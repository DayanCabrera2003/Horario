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111" sheetId="1" state="visible" r:id="rId3"/>
    <sheet name="C112" sheetId="2" state="visible" r:id="rId4"/>
    <sheet name="C113" sheetId="3" state="visible" r:id="rId5"/>
    <sheet name="Aula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<sst xmlns="http://schemas.openxmlformats.org/spreadsheetml/2006/main" count="225" uniqueCount="50">
  <si>
    <t xml:space="preserve">Grupo </t>
  </si>
  <si>
    <t xml:space="preserve">C111</t>
  </si>
  <si>
    <t xml:space="preserve">Lunes</t>
  </si>
  <si>
    <t xml:space="preserve">Martes</t>
  </si>
  <si>
    <t xml:space="preserve">Miércoles</t>
  </si>
  <si>
    <t xml:space="preserve">Jueves </t>
  </si>
  <si>
    <t xml:space="preserve">Viernes</t>
  </si>
  <si>
    <t xml:space="preserve">Asignaturas</t>
  </si>
  <si>
    <t xml:space="preserve">Frec</t>
  </si>
  <si>
    <t xml:space="preserve">Faltan</t>
  </si>
  <si>
    <t xml:space="preserve">Asignadas</t>
  </si>
  <si>
    <t xml:space="preserve">Aulas</t>
  </si>
  <si>
    <t xml:space="preserve">1er Turno</t>
  </si>
  <si>
    <t xml:space="preserve">L-C</t>
  </si>
  <si>
    <t xml:space="preserve">Pro-C</t>
  </si>
  <si>
    <t xml:space="preserve">AM1-CP</t>
  </si>
  <si>
    <t xml:space="preserve">F-CP</t>
  </si>
  <si>
    <t xml:space="preserve">Pro-CP</t>
  </si>
  <si>
    <t xml:space="preserve">2do Turno</t>
  </si>
  <si>
    <t xml:space="preserve">AM1-C</t>
  </si>
  <si>
    <t xml:space="preserve">F-C</t>
  </si>
  <si>
    <t xml:space="preserve">EF</t>
  </si>
  <si>
    <t xml:space="preserve">A1-C</t>
  </si>
  <si>
    <t xml:space="preserve">SEDER</t>
  </si>
  <si>
    <t xml:space="preserve">A1-CP</t>
  </si>
  <si>
    <t xml:space="preserve">3er Turno</t>
  </si>
  <si>
    <t xml:space="preserve">L-CP</t>
  </si>
  <si>
    <t xml:space="preserve">4to Turno</t>
  </si>
  <si>
    <t xml:space="preserve">Lab</t>
  </si>
  <si>
    <t xml:space="preserve">5to Turno</t>
  </si>
  <si>
    <t xml:space="preserve">6to Turno</t>
  </si>
  <si>
    <t xml:space="preserve">Resaltar</t>
  </si>
  <si>
    <t xml:space="preserve">C112</t>
  </si>
  <si>
    <t xml:space="preserve">C113</t>
  </si>
  <si>
    <t xml:space="preserve">Aula 1</t>
  </si>
  <si>
    <t xml:space="preserve">Aula 2</t>
  </si>
  <si>
    <t xml:space="preserve">Aula 3</t>
  </si>
  <si>
    <t xml:space="preserve">Aula 4</t>
  </si>
  <si>
    <t xml:space="preserve">Aula 5</t>
  </si>
  <si>
    <t xml:space="preserve">Aula 6</t>
  </si>
  <si>
    <t xml:space="preserve">Aula 7</t>
  </si>
  <si>
    <t xml:space="preserve">Aula 8</t>
  </si>
  <si>
    <t xml:space="preserve">Aula 9</t>
  </si>
  <si>
    <t xml:space="preserve">1ro</t>
  </si>
  <si>
    <t xml:space="preserve">2do</t>
  </si>
  <si>
    <t xml:space="preserve">3ro</t>
  </si>
  <si>
    <t xml:space="preserve">4to</t>
  </si>
  <si>
    <t xml:space="preserve">5to</t>
  </si>
  <si>
    <t xml:space="preserve">6to</t>
  </si>
  <si>
    <t xml:space="preserve">Jueves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</si>
</sst>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outline val="true"/>
      <u val="single"/>
      <sz val="10"/>
      <color rgb="FF000000"/>
      <name val="Arial"/>
      <family val="2"/>
    </font>
    <font>
      <sz val="10"/>
      <color rgb="FFFFFFFF"/>
      <name val="Arial"/>
      <family val="2"/>
    </font>
    <font>
      <sz val="10"/>
      <name val="Times New Roman"/>
      <family val="1"/>
    </font>
    <font>
      <b val="true"/>
      <sz val="10"/>
      <color rgb="FFDE3017"/>
      <name val="Times New Roman"/>
      <family val="1"/>
    </font>
    <font>
      <sz val="10"/>
      <color rgb="FF666666"/>
      <name val="Arial"/>
      <family val="2"/>
    </font>
    <font>
      <sz val="1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DE3017"/>
        <bgColor rgb="FFCC0000"/>
      </patternFill>
    </fill>
    <fill>
      <patternFill patternType="solid">
        <fgColor rgb="FFFFB573"/>
        <bgColor rgb="FFEC9BA4"/>
      </patternFill>
    </fill>
    <fill>
      <patternFill patternType="solid">
        <fgColor rgb="FFFFFFD1"/>
        <bgColor rgb="FFFFFFCC"/>
      </patternFill>
    </fill>
    <fill>
      <patternFill patternType="solid">
        <fgColor rgb="FF729FCF"/>
        <bgColor rgb="FF969696"/>
      </patternFill>
    </fill>
    <fill>
      <patternFill patternType="solid">
        <fgColor rgb="FFEC9BA4"/>
        <bgColor rgb="FFFF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/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2" borderId="0" applyFont="true" applyBorder="false" applyAlignment="false" applyProtection="false"/>
    <xf numFmtId="164" fontId="6" fillId="3" borderId="0" applyFont="true" applyBorder="false" applyAlignment="true" applyProtection="false">
      <alignment horizontal="right" vertical="bottom" textRotation="0" wrapText="true" indent="0" shrinkToFit="false"/>
    </xf>
    <xf numFmtId="165" fontId="0" fillId="4" borderId="1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2" applyFont="true" applyBorder="true" applyAlignment="true" applyProtection="false">
      <alignment horizontal="right" vertical="bottom" textRotation="0" wrapText="true" indent="0" shrinkToFit="false"/>
    </xf>
    <xf numFmtId="164" fontId="6" fillId="3" borderId="3" applyFont="true" applyBorder="true" applyAlignment="true" applyProtection="false">
      <alignment horizontal="right" vertical="bottom" textRotation="0" wrapText="true" indent="0" shrinkToFit="false"/>
    </xf>
    <xf numFmtId="164" fontId="6" fillId="3" borderId="4" applyFont="true" applyBorder="true" applyAlignment="true" applyProtection="false">
      <alignment horizontal="right" vertical="bottom" textRotation="0" wrapText="true" indent="0" shrinkToFit="false"/>
    </xf>
    <xf numFmtId="164" fontId="6" fillId="3" borderId="5" applyFont="true" applyBorder="true" applyAlignment="true" applyProtection="false">
      <alignment horizontal="right" vertical="bottom" textRotation="0" wrapText="true" indent="0" shrinkToFit="false"/>
    </xf>
    <xf numFmtId="164" fontId="6" fillId="3" borderId="6" applyFont="true" applyBorder="true" applyAlignment="true" applyProtection="false">
      <alignment horizontal="right" vertical="bottom" textRotation="0" wrapText="true" indent="0" shrinkToFit="false"/>
    </xf>
    <xf numFmtId="164" fontId="6" fillId="3" borderId="7" applyFont="true" applyBorder="true" applyAlignment="true" applyProtection="false">
      <alignment horizontal="right" vertical="bottom" textRotation="0" wrapText="true" indent="0" shrinkToFit="false"/>
    </xf>
    <xf numFmtId="164" fontId="6" fillId="3" borderId="8" applyFont="true" applyBorder="true" applyAlignment="true" applyProtection="false">
      <alignment horizontal="right" vertical="bottom" textRotation="0" wrapText="true" indent="0" shrinkToFit="false"/>
    </xf>
    <xf numFmtId="164" fontId="6" fillId="3" borderId="9" applyFont="true" applyBorder="true" applyAlignment="true" applyProtection="false">
      <alignment horizontal="right" vertical="bottom" textRotation="0" wrapText="true" indent="0" shrinkToFit="false"/>
    </xf>
    <xf numFmtId="164" fontId="7" fillId="3" borderId="10" applyFont="true" applyBorder="true" applyAlignment="true" applyProtection="false">
      <alignment horizontal="center" vertical="bottom" textRotation="0" wrapText="tru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dxfs count="7">
    <dxf>
      <font>
        <b val="0"/>
        <i val="0"/>
        <color rgb="FF006600"/>
        <sz val="10"/>
      </font>
      <fill>
        <patternFill>
          <bgColor rgb="FFCCFFCC"/>
        </patternFill>
      </fill>
    </dxf>
    <dxf>
      <font>
        <b val="1"/>
        <i val="0"/>
        <color rgb="FFFFFFFF"/>
        <sz val="10"/>
      </font>
      <fill>
        <patternFill>
          <bgColor rgb="FFCC0000"/>
        </patternFill>
      </fill>
    </dxf>
    <dxf>
      <font>
        <color rgb="FFFFFFFF"/>
      </font>
      <fill>
        <patternFill>
          <bgColor rgb="FFDE3017"/>
        </patternFill>
      </fill>
    </dxf>
    <dxf>
      <font>
        <name val="Times New Roman"/>
        <family val="1"/>
        <b val="0"/>
      </font>
      <fill>
        <patternFill>
          <bgColor rgb="FFFFB573"/>
        </patternFill>
      </fill>
      <border diagonalUp="false" diagonalDown="false">
        <left style="hair">
          <color rgb="FF000080"/>
        </left>
        <right/>
        <top style="hair">
          <color rgb="FF000080"/>
        </top>
        <bottom/>
        <diagonal/>
      </border>
    </dxf>
    <dxf>
      <font>
        <b val="0"/>
        <i val="0"/>
        <color rgb="FF333333"/>
        <sz val="10"/>
      </font>
      <fill>
        <patternFill>
          <bgColor rgb="FFFFFFCC"/>
        </patternFill>
      </fill>
      <border diagonalUp="false" diagonalDown="false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diagonal/>
      </border>
    </dxf>
    <dxf>
      <font>
        <name val="Times New Roman"/>
        <family val="1"/>
        <b val="0"/>
      </font>
      <fill>
        <patternFill>
          <bgColor rgb="FFFFB573"/>
        </patternFill>
      </fill>
      <alignment horizontal="right" vertical="bottom" textRotation="0" wrapText="true" indent="0" shrinkToFit="false"/>
    </dxf>
    <dxf>
      <font>
        <name val="Times New Roman"/>
        <family val="1"/>
        <b val="0"/>
      </font>
      <fill>
        <patternFill>
          <bgColor rgb="FFFFB573"/>
        </patternFill>
      </fill>
      <border diagonalUp="false" diagonalDown="false">
        <left/>
        <right style="hair">
          <color rgb="FF000080"/>
        </right>
        <top/>
        <bottom style="hair">
          <color rgb="FF000080"/>
        </bottom>
        <diagonal/>
      </border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D1"/>
      <rgbColor rgb="FF99CCFF"/>
      <rgbColor rgb="FFEC9BA4"/>
      <rgbColor rgb="FFCC99FF"/>
      <rgbColor rgb="FFFFB57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DE301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J17" activeCellId="0" sqref="J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3" customFormat="false" ht="12.8" hidden="false" customHeight="false" outlineLevel="0" collapsed="false">
      <c r="B3" s="1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N3" s="1" t="s">
        <v>11</v>
      </c>
    </row>
    <row r="4" customFormat="false" ht="12.8" hidden="false" customHeight="false" outlineLevel="0" collapsed="false">
      <c r="B4" s="2" t="s">
        <v>12</v>
      </c>
      <c r="C4" s="3" t="s">
        <v>13</v>
      </c>
      <c r="D4" s="4" t="s">
        <v>14</v>
      </c>
      <c r="E4" s="3" t="s">
        <v>15</v>
      </c>
      <c r="F4" s="3" t="s">
        <v>16</v>
      </c>
      <c r="G4" s="3"/>
      <c r="I4" s="5" t="s">
        <v>14</v>
      </c>
      <c r="J4" s="1" t="n">
        <v>1</v>
      </c>
      <c r="K4" s="1" t="n">
        <f aca="false">J4-L4</f>
        <v>0</v>
      </c>
      <c r="L4" s="1" t="n">
        <f aca="false">COUNTIF($C$4:$G$17,I4)</f>
        <v>1</v>
      </c>
      <c r="N4" s="1" t="n">
        <v>1</v>
      </c>
    </row>
    <row r="5" customFormat="false" ht="12.8" hidden="false" customHeight="false" outlineLevel="0" collapsed="false">
      <c r="B5" s="2"/>
      <c r="C5" s="6" t="n">
        <v>6</v>
      </c>
      <c r="D5" s="6" t="n">
        <v>6</v>
      </c>
      <c r="E5" s="6" t="n">
        <v>6</v>
      </c>
      <c r="F5" s="6" t="n">
        <v>6</v>
      </c>
      <c r="G5" s="6"/>
      <c r="I5" s="5" t="s">
        <v>17</v>
      </c>
      <c r="J5" s="1" t="n">
        <v>2</v>
      </c>
      <c r="K5" s="1" t="n">
        <f aca="false">J5-L5</f>
        <v>0</v>
      </c>
      <c r="L5" s="1" t="n">
        <f aca="false">COUNTIF($C$4:$G$17,I5)</f>
        <v>2</v>
      </c>
      <c r="N5" s="1" t="n">
        <v>2</v>
      </c>
    </row>
    <row r="6" customFormat="false" ht="12.8" hidden="false" customHeight="false" outlineLevel="0" collapsed="false">
      <c r="B6" s="2" t="s">
        <v>18</v>
      </c>
      <c r="C6" s="3" t="s">
        <v>19</v>
      </c>
      <c r="D6" s="7" t="s">
        <v>20</v>
      </c>
      <c r="E6" s="7" t="s">
        <v>21</v>
      </c>
      <c r="F6" s="7" t="s">
        <v>17</v>
      </c>
      <c r="G6" s="7"/>
      <c r="I6" s="5" t="s">
        <v>22</v>
      </c>
      <c r="J6" s="1" t="n">
        <v>2</v>
      </c>
      <c r="K6" s="1" t="n">
        <f aca="false">J6-L6</f>
        <v>0</v>
      </c>
      <c r="L6" s="1" t="n">
        <f aca="false">COUNTIF($C$4:$G$17,I6)</f>
        <v>2</v>
      </c>
      <c r="N6" s="1" t="n">
        <v>3</v>
      </c>
    </row>
    <row r="7" customFormat="false" ht="12.8" hidden="false" customHeight="false" outlineLevel="0" collapsed="false">
      <c r="B7" s="2"/>
      <c r="C7" s="6" t="n">
        <v>1</v>
      </c>
      <c r="D7" s="8" t="n">
        <v>1</v>
      </c>
      <c r="E7" s="8" t="s">
        <v>23</v>
      </c>
      <c r="F7" s="8" t="n">
        <v>6</v>
      </c>
      <c r="G7" s="8"/>
      <c r="I7" s="5" t="s">
        <v>24</v>
      </c>
      <c r="J7" s="1" t="n">
        <v>1</v>
      </c>
      <c r="K7" s="1" t="n">
        <f aca="false">J7-L7</f>
        <v>0</v>
      </c>
      <c r="L7" s="1" t="n">
        <f aca="false">COUNTIF($C$4:$G$17,I7)</f>
        <v>1</v>
      </c>
      <c r="N7" s="1" t="n">
        <v>4</v>
      </c>
    </row>
    <row r="8" customFormat="false" ht="12.8" hidden="false" customHeight="false" outlineLevel="0" collapsed="false">
      <c r="B8" s="2" t="s">
        <v>25</v>
      </c>
      <c r="C8" s="3" t="s">
        <v>22</v>
      </c>
      <c r="D8" s="7" t="s">
        <v>22</v>
      </c>
      <c r="E8" s="7" t="s">
        <v>26</v>
      </c>
      <c r="F8" s="7" t="s">
        <v>24</v>
      </c>
      <c r="G8" s="7" t="s">
        <v>17</v>
      </c>
      <c r="I8" s="5" t="s">
        <v>19</v>
      </c>
      <c r="J8" s="1" t="n">
        <v>1</v>
      </c>
      <c r="K8" s="1" t="n">
        <f aca="false">J8-L8</f>
        <v>0</v>
      </c>
      <c r="L8" s="1" t="n">
        <f aca="false">COUNTIF($C$4:$G$17,I8)</f>
        <v>1</v>
      </c>
      <c r="N8" s="1" t="n">
        <v>5</v>
      </c>
    </row>
    <row r="9" customFormat="false" ht="12.8" hidden="false" customHeight="false" outlineLevel="0" collapsed="false">
      <c r="B9" s="2"/>
      <c r="C9" s="6" t="n">
        <v>6</v>
      </c>
      <c r="D9" s="8" t="n">
        <v>6</v>
      </c>
      <c r="E9" s="8" t="n">
        <v>6</v>
      </c>
      <c r="F9" s="8" t="n">
        <v>6</v>
      </c>
      <c r="G9" s="8" t="n">
        <v>5</v>
      </c>
      <c r="I9" s="5" t="s">
        <v>15</v>
      </c>
      <c r="J9" s="1" t="n">
        <v>1</v>
      </c>
      <c r="K9" s="1" t="n">
        <f aca="false">J9-L9</f>
        <v>0</v>
      </c>
      <c r="L9" s="1" t="n">
        <f aca="false">COUNTIF($C$4:$G$17,I9)</f>
        <v>1</v>
      </c>
      <c r="N9" s="1" t="n">
        <v>6</v>
      </c>
    </row>
    <row r="10" customFormat="false" ht="12.8" hidden="false" customHeight="false" outlineLevel="0" collapsed="false">
      <c r="B10" s="2"/>
      <c r="C10" s="9"/>
      <c r="D10" s="10"/>
      <c r="E10" s="10"/>
      <c r="F10" s="10"/>
      <c r="G10" s="10"/>
      <c r="I10" s="5" t="s">
        <v>13</v>
      </c>
      <c r="J10" s="1" t="n">
        <v>1</v>
      </c>
      <c r="K10" s="1" t="n">
        <f aca="false">J10-L10</f>
        <v>0</v>
      </c>
      <c r="L10" s="1" t="n">
        <f aca="false">COUNTIF($C$4:$G$17,I10)</f>
        <v>1</v>
      </c>
      <c r="N10" s="1" t="n">
        <v>7</v>
      </c>
    </row>
    <row r="11" customFormat="false" ht="12.8" hidden="false" customHeight="false" outlineLevel="0" collapsed="false">
      <c r="B11" s="2"/>
      <c r="C11" s="11"/>
      <c r="D11" s="12"/>
      <c r="E11" s="12"/>
      <c r="F11" s="12"/>
      <c r="G11" s="12"/>
      <c r="I11" s="5" t="s">
        <v>26</v>
      </c>
      <c r="J11" s="1" t="n">
        <v>1</v>
      </c>
      <c r="K11" s="1" t="n">
        <f aca="false">J11-L11</f>
        <v>0</v>
      </c>
      <c r="L11" s="1" t="n">
        <f aca="false">COUNTIF($C$4:$G$17,I11)</f>
        <v>1</v>
      </c>
      <c r="N11" s="1" t="n">
        <v>8</v>
      </c>
    </row>
    <row r="12" customFormat="false" ht="12.8" hidden="false" customHeight="false" outlineLevel="0" collapsed="false">
      <c r="B12" s="2" t="s">
        <v>27</v>
      </c>
      <c r="C12" s="3"/>
      <c r="D12" s="7"/>
      <c r="E12" s="7"/>
      <c r="F12" s="7"/>
      <c r="G12" s="7"/>
      <c r="I12" s="5" t="s">
        <v>20</v>
      </c>
      <c r="J12" s="1" t="n">
        <v>1</v>
      </c>
      <c r="K12" s="1" t="n">
        <f aca="false">J12-L12</f>
        <v>0</v>
      </c>
      <c r="L12" s="1" t="n">
        <f aca="false">COUNTIF($C$4:$G$17,I12)</f>
        <v>1</v>
      </c>
      <c r="N12" s="1" t="n">
        <v>9</v>
      </c>
    </row>
    <row r="13" customFormat="false" ht="12.8" hidden="false" customHeight="false" outlineLevel="0" collapsed="false">
      <c r="B13" s="2"/>
      <c r="C13" s="6"/>
      <c r="D13" s="8"/>
      <c r="E13" s="6"/>
      <c r="F13" s="8"/>
      <c r="G13" s="6"/>
      <c r="I13" s="5" t="s">
        <v>16</v>
      </c>
      <c r="J13" s="1" t="n">
        <v>1</v>
      </c>
      <c r="K13" s="1" t="n">
        <f aca="false">J13-L13</f>
        <v>0</v>
      </c>
      <c r="L13" s="1" t="n">
        <f aca="false">COUNTIF($C$4:$G$17,I13)</f>
        <v>1</v>
      </c>
      <c r="N13" s="1" t="s">
        <v>28</v>
      </c>
    </row>
    <row r="14" customFormat="false" ht="12.8" hidden="false" customHeight="false" outlineLevel="0" collapsed="false">
      <c r="B14" s="2" t="s">
        <v>29</v>
      </c>
      <c r="C14" s="3"/>
      <c r="D14" s="7"/>
      <c r="E14" s="7"/>
      <c r="F14" s="7"/>
      <c r="G14" s="7"/>
      <c r="I14" s="5" t="s">
        <v>21</v>
      </c>
      <c r="J14" s="1" t="n">
        <v>1</v>
      </c>
      <c r="K14" s="1" t="n">
        <f aca="false">J14-L14</f>
        <v>0</v>
      </c>
      <c r="L14" s="1" t="n">
        <f aca="false">COUNTIF($C$4:$G$17,I14)</f>
        <v>1</v>
      </c>
    </row>
    <row r="15" customFormat="false" ht="12.8" hidden="false" customHeight="false" outlineLevel="0" collapsed="false">
      <c r="B15" s="2"/>
      <c r="C15" s="6"/>
      <c r="D15" s="8"/>
      <c r="E15" s="6"/>
      <c r="F15" s="8"/>
      <c r="G15" s="6"/>
      <c r="I15" s="1"/>
      <c r="J15" s="1"/>
      <c r="K15" s="1"/>
      <c r="L15" s="1"/>
    </row>
    <row r="16" customFormat="false" ht="12.8" hidden="false" customHeight="false" outlineLevel="0" collapsed="false">
      <c r="B16" s="2" t="s">
        <v>30</v>
      </c>
      <c r="C16" s="3"/>
      <c r="D16" s="7"/>
      <c r="E16" s="7"/>
      <c r="F16" s="7"/>
      <c r="G16" s="7"/>
    </row>
    <row r="17" customFormat="false" ht="12.8" hidden="false" customHeight="false" outlineLevel="0" collapsed="false">
      <c r="B17" s="2"/>
      <c r="C17" s="6"/>
      <c r="D17" s="8"/>
      <c r="E17" s="6"/>
      <c r="F17" s="8"/>
      <c r="G17" s="6"/>
      <c r="I17" s="13" t="s">
        <v>31</v>
      </c>
      <c r="J17" s="5" t="s">
        <v>17</v>
      </c>
    </row>
    <row r="20" customFormat="false" ht="12.8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2.8" hidden="false" customHeight="false" outlineLevel="0" collapsed="false">
      <c r="A21" s="14"/>
      <c r="B21" s="14"/>
      <c r="C21" s="15"/>
      <c r="D21" s="16"/>
      <c r="E21" s="16"/>
      <c r="F21" s="16"/>
      <c r="G21" s="16"/>
      <c r="H21" s="14"/>
      <c r="I21" s="14"/>
      <c r="J21" s="14"/>
      <c r="K21" s="14"/>
      <c r="L21" s="14"/>
    </row>
    <row r="22" customFormat="false" ht="12.8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12.8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2.8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2.8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12.8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2.8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12.8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2.8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2.8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2.8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2.8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</sheetData>
  <mergeCells count="7">
    <mergeCell ref="B4:B5"/>
    <mergeCell ref="B6:B7"/>
    <mergeCell ref="B8:B9"/>
    <mergeCell ref="B10:B11"/>
    <mergeCell ref="B12:B13"/>
    <mergeCell ref="B14:B15"/>
    <mergeCell ref="B16:B17"/>
  </mergeCells>
  <conditionalFormatting sqref="I4:I14">
    <cfRule type="expression" priority="2" aboveAverage="0" equalAverage="0" bottom="0" percent="0" rank="0" text="" dxfId="0">
      <formula>K4=0</formula>
    </cfRule>
    <cfRule type="expression" priority="3" aboveAverage="0" equalAverage="0" bottom="0" percent="0" rank="0" text="" dxfId="1">
      <formula>K4&lt;0</formula>
    </cfRule>
  </conditionalFormatting>
  <conditionalFormatting sqref="C4:G17">
    <cfRule type="expression" priority="4" aboveAverage="0" equalAverage="0" bottom="0" percent="0" rank="0" text="" dxfId="2">
      <formula>AND(C4&lt;&gt;"", C4=$J$17)</formula>
    </cfRule>
  </conditionalFormatting>
  <conditionalFormatting sqref="C4:G4 C6:G6 C8:G8 C12:G12 C14:G14 C16:G16">
    <cfRule type="expression" priority="5" aboveAverage="0" equalAverage="0" bottom="0" percent="0" rank="0" text="" dxfId="3">
      <formula>AND(C4&lt;&gt;"", COUNTIF($I$4:$I$14,C4)=0)</formula>
    </cfRule>
  </conditionalFormatting>
  <conditionalFormatting sqref="C5:G5 C7:G7 C9:G9 C13:G13 C15:G15 C17:G17">
    <cfRule type="expression" priority="6" aboveAverage="0" equalAverage="0" bottom="0" percent="0" rank="0" text="" dxfId="4">
      <formula>AND(C5&lt;&gt;"", COUNTIF($N$4:$N$13,C5)=0)</formula>
    </cfRule>
  </conditionalFormatting>
  <conditionalFormatting sqref="C5:G5 C7:G7 C9:G9 C13:G13 C15:G15 C17:G17">
    <cfRule type="expression" priority="7" aboveAverage="0" equalAverage="0" bottom="0" percent="0" rank="0" text="" dxfId="1">
      <formula>AND(C4&lt;&gt;"", C5="")</formula>
    </cfRule>
  </conditionalFormatting>
  <dataValidations count="3">
    <dataValidation allowBlank="true" errorStyle="stop" operator="equal" showDropDown="false" showErrorMessage="true" showInputMessage="false" sqref="G5" type="none">
      <formula1>0</formula1>
      <formula2>0</formula2>
    </dataValidation>
    <dataValidation allowBlank="true" errorStyle="stop" operator="equal" showDropDown="false" showErrorMessage="true" showInputMessage="false" sqref="J17" type="list">
      <formula1>$I$4:$I$14</formula1>
      <formula2>0</formula2>
    </dataValidation>
    <dataValidation allowBlank="true" errorStyle="stop" operator="equal" showDropDown="false" showErrorMessage="true" showInputMessage="false" sqref="A21" type="list">
      <formula1>C111!$N$4:$N$13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32</v>
      </c>
    </row>
    <row r="3" customFormat="false" ht="12.8" hidden="false" customHeight="false" outlineLevel="0" collapsed="false">
      <c r="B3" s="1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N3" s="1" t="s">
        <v>11</v>
      </c>
    </row>
    <row r="4" customFormat="false" ht="12.8" hidden="false" customHeight="false" outlineLevel="0" collapsed="false">
      <c r="B4" s="2" t="s">
        <v>12</v>
      </c>
      <c r="C4" s="3" t="s">
        <v>13</v>
      </c>
      <c r="D4" s="4" t="s">
        <v>14</v>
      </c>
      <c r="E4" s="3" t="s">
        <v>15</v>
      </c>
      <c r="F4" s="3" t="s">
        <v>16</v>
      </c>
      <c r="G4" s="3"/>
      <c r="I4" s="5" t="s">
        <v>14</v>
      </c>
      <c r="J4" s="1" t="n">
        <v>1</v>
      </c>
      <c r="K4" s="1" t="n">
        <f aca="false">J4-L4</f>
        <v>0</v>
      </c>
      <c r="L4" s="1" t="n">
        <f aca="false">COUNTIF($C$4:$G$17,I4)</f>
        <v>1</v>
      </c>
      <c r="N4" s="1" t="n">
        <v>1</v>
      </c>
    </row>
    <row r="5" customFormat="false" ht="12.8" hidden="false" customHeight="false" outlineLevel="0" collapsed="false">
      <c r="B5" s="2"/>
      <c r="C5" s="6" t="n">
        <v>6</v>
      </c>
      <c r="D5" s="6" t="n">
        <v>2</v>
      </c>
      <c r="E5" s="6" t="n">
        <v>5</v>
      </c>
      <c r="F5" s="6" t="n">
        <v>5</v>
      </c>
      <c r="G5" s="6"/>
      <c r="I5" s="5" t="s">
        <v>17</v>
      </c>
      <c r="J5" s="1" t="n">
        <v>2</v>
      </c>
      <c r="K5" s="1" t="n">
        <f aca="false">J5-L5</f>
        <v>0</v>
      </c>
      <c r="L5" s="1" t="n">
        <f aca="false">COUNTIF($C$4:$G$17,I5)</f>
        <v>2</v>
      </c>
      <c r="N5" s="1" t="n">
        <v>2</v>
      </c>
    </row>
    <row r="6" customFormat="false" ht="12.8" hidden="false" customHeight="false" outlineLevel="0" collapsed="false">
      <c r="B6" s="2" t="s">
        <v>18</v>
      </c>
      <c r="C6" s="3" t="s">
        <v>19</v>
      </c>
      <c r="D6" s="7" t="s">
        <v>20</v>
      </c>
      <c r="E6" s="7" t="s">
        <v>21</v>
      </c>
      <c r="F6" s="7" t="s">
        <v>17</v>
      </c>
      <c r="G6" s="7" t="s">
        <v>17</v>
      </c>
      <c r="I6" s="5" t="s">
        <v>22</v>
      </c>
      <c r="J6" s="1" t="n">
        <v>2</v>
      </c>
      <c r="K6" s="1" t="n">
        <f aca="false">J6-L6</f>
        <v>0</v>
      </c>
      <c r="L6" s="1" t="n">
        <f aca="false">COUNTIF($C$4:$G$17,I6)</f>
        <v>2</v>
      </c>
      <c r="N6" s="1" t="n">
        <v>3</v>
      </c>
    </row>
    <row r="7" customFormat="false" ht="12.8" hidden="false" customHeight="false" outlineLevel="0" collapsed="false">
      <c r="B7" s="2"/>
      <c r="C7" s="6" t="n">
        <v>5</v>
      </c>
      <c r="D7" s="8" t="n">
        <v>6</v>
      </c>
      <c r="E7" s="8" t="s">
        <v>23</v>
      </c>
      <c r="F7" s="8" t="n">
        <v>5</v>
      </c>
      <c r="G7" s="8" t="s">
        <v>28</v>
      </c>
      <c r="I7" s="5" t="s">
        <v>24</v>
      </c>
      <c r="J7" s="1" t="n">
        <v>1</v>
      </c>
      <c r="K7" s="1" t="n">
        <f aca="false">J7-L7</f>
        <v>0</v>
      </c>
      <c r="L7" s="1" t="n">
        <f aca="false">COUNTIF($C$4:$G$17,I7)</f>
        <v>1</v>
      </c>
      <c r="N7" s="1" t="n">
        <v>4</v>
      </c>
    </row>
    <row r="8" customFormat="false" ht="12.8" hidden="false" customHeight="false" outlineLevel="0" collapsed="false">
      <c r="B8" s="2" t="s">
        <v>25</v>
      </c>
      <c r="C8" s="3" t="s">
        <v>22</v>
      </c>
      <c r="D8" s="7" t="s">
        <v>22</v>
      </c>
      <c r="E8" s="7" t="s">
        <v>26</v>
      </c>
      <c r="F8" s="7" t="s">
        <v>24</v>
      </c>
      <c r="G8" s="7"/>
      <c r="I8" s="5" t="s">
        <v>19</v>
      </c>
      <c r="J8" s="1" t="n">
        <v>1</v>
      </c>
      <c r="K8" s="1" t="n">
        <f aca="false">J8-L8</f>
        <v>0</v>
      </c>
      <c r="L8" s="1" t="n">
        <f aca="false">COUNTIF($C$4:$G$17,I8)</f>
        <v>1</v>
      </c>
      <c r="N8" s="1" t="n">
        <v>5</v>
      </c>
    </row>
    <row r="9" customFormat="false" ht="12.8" hidden="false" customHeight="false" outlineLevel="0" collapsed="false">
      <c r="B9" s="2"/>
      <c r="C9" s="6" t="n">
        <v>8</v>
      </c>
      <c r="D9" s="8" t="n">
        <v>6</v>
      </c>
      <c r="E9" s="8" t="n">
        <v>2</v>
      </c>
      <c r="F9" s="8" t="n">
        <v>5</v>
      </c>
      <c r="G9" s="8"/>
      <c r="I9" s="5" t="s">
        <v>15</v>
      </c>
      <c r="J9" s="1" t="n">
        <v>1</v>
      </c>
      <c r="K9" s="1" t="n">
        <f aca="false">J9-L9</f>
        <v>0</v>
      </c>
      <c r="L9" s="1" t="n">
        <f aca="false">COUNTIF($C$4:$G$17,I9)</f>
        <v>1</v>
      </c>
      <c r="N9" s="1" t="n">
        <v>6</v>
      </c>
    </row>
    <row r="10" customFormat="false" ht="12.8" hidden="false" customHeight="false" outlineLevel="0" collapsed="false">
      <c r="B10" s="2"/>
      <c r="C10" s="9"/>
      <c r="D10" s="10"/>
      <c r="E10" s="10"/>
      <c r="F10" s="10"/>
      <c r="G10" s="10"/>
      <c r="I10" s="5" t="s">
        <v>13</v>
      </c>
      <c r="J10" s="1" t="n">
        <v>1</v>
      </c>
      <c r="K10" s="1" t="n">
        <f aca="false">J10-L10</f>
        <v>0</v>
      </c>
      <c r="L10" s="1" t="n">
        <f aca="false">COUNTIF($C$4:$G$17,I10)</f>
        <v>1</v>
      </c>
      <c r="N10" s="1" t="n">
        <v>7</v>
      </c>
    </row>
    <row r="11" customFormat="false" ht="12.8" hidden="false" customHeight="false" outlineLevel="0" collapsed="false">
      <c r="B11" s="2"/>
      <c r="C11" s="11"/>
      <c r="D11" s="12"/>
      <c r="E11" s="12"/>
      <c r="F11" s="12"/>
      <c r="G11" s="12"/>
      <c r="I11" s="5" t="s">
        <v>26</v>
      </c>
      <c r="J11" s="1" t="n">
        <v>1</v>
      </c>
      <c r="K11" s="1" t="n">
        <f aca="false">J11-L11</f>
        <v>0</v>
      </c>
      <c r="L11" s="1" t="n">
        <f aca="false">COUNTIF($C$4:$G$17,I11)</f>
        <v>1</v>
      </c>
      <c r="N11" s="1" t="n">
        <v>8</v>
      </c>
    </row>
    <row r="12" customFormat="false" ht="12.8" hidden="false" customHeight="false" outlineLevel="0" collapsed="false">
      <c r="B12" s="2" t="s">
        <v>27</v>
      </c>
      <c r="C12" s="3"/>
      <c r="D12" s="7"/>
      <c r="E12" s="7"/>
      <c r="F12" s="7"/>
      <c r="G12" s="7"/>
      <c r="I12" s="5" t="s">
        <v>20</v>
      </c>
      <c r="J12" s="1" t="n">
        <v>1</v>
      </c>
      <c r="K12" s="1" t="n">
        <f aca="false">J12-L12</f>
        <v>0</v>
      </c>
      <c r="L12" s="1" t="n">
        <f aca="false">COUNTIF($C$4:$G$17,I12)</f>
        <v>1</v>
      </c>
      <c r="N12" s="1" t="n">
        <v>9</v>
      </c>
    </row>
    <row r="13" customFormat="false" ht="12.8" hidden="false" customHeight="false" outlineLevel="0" collapsed="false">
      <c r="B13" s="2"/>
      <c r="C13" s="6"/>
      <c r="D13" s="8"/>
      <c r="E13" s="8"/>
      <c r="F13" s="8"/>
      <c r="G13" s="8"/>
      <c r="I13" s="5" t="s">
        <v>16</v>
      </c>
      <c r="J13" s="1" t="n">
        <v>1</v>
      </c>
      <c r="K13" s="1" t="n">
        <f aca="false">J13-L13</f>
        <v>0</v>
      </c>
      <c r="L13" s="1" t="n">
        <f aca="false">COUNTIF($C$4:$G$17,I13)</f>
        <v>1</v>
      </c>
      <c r="N13" s="1" t="s">
        <v>28</v>
      </c>
    </row>
    <row r="14" customFormat="false" ht="12.8" hidden="false" customHeight="false" outlineLevel="0" collapsed="false">
      <c r="B14" s="2" t="s">
        <v>29</v>
      </c>
      <c r="C14" s="3"/>
      <c r="D14" s="7"/>
      <c r="E14" s="7"/>
      <c r="F14" s="7"/>
      <c r="G14" s="7"/>
      <c r="I14" s="5" t="s">
        <v>21</v>
      </c>
      <c r="J14" s="1" t="n">
        <v>1</v>
      </c>
      <c r="K14" s="1" t="n">
        <f aca="false">J14-L14</f>
        <v>0</v>
      </c>
      <c r="L14" s="1" t="n">
        <f aca="false">COUNTIF($C$4:$G$17,I14)</f>
        <v>1</v>
      </c>
    </row>
    <row r="15" customFormat="false" ht="12.8" hidden="false" customHeight="false" outlineLevel="0" collapsed="false">
      <c r="B15" s="2"/>
      <c r="C15" s="6"/>
      <c r="D15" s="8"/>
      <c r="E15" s="8"/>
      <c r="F15" s="8"/>
      <c r="G15" s="8"/>
      <c r="I15" s="1"/>
      <c r="J15" s="1"/>
      <c r="K15" s="1"/>
      <c r="L15" s="1"/>
    </row>
    <row r="16" customFormat="false" ht="12.8" hidden="false" customHeight="false" outlineLevel="0" collapsed="false">
      <c r="B16" s="2" t="s">
        <v>30</v>
      </c>
      <c r="C16" s="3"/>
      <c r="D16" s="7"/>
      <c r="E16" s="7"/>
      <c r="F16" s="7"/>
      <c r="G16" s="7"/>
    </row>
    <row r="17" customFormat="false" ht="12.8" hidden="false" customHeight="false" outlineLevel="0" collapsed="false">
      <c r="B17" s="2"/>
      <c r="C17" s="6"/>
      <c r="D17" s="8"/>
      <c r="E17" s="8"/>
      <c r="F17" s="8"/>
      <c r="G17" s="8"/>
      <c r="I17" s="13" t="s">
        <v>31</v>
      </c>
      <c r="J17" s="5"/>
    </row>
  </sheetData>
  <mergeCells count="7">
    <mergeCell ref="B4:B5"/>
    <mergeCell ref="B6:B7"/>
    <mergeCell ref="B8:B9"/>
    <mergeCell ref="B10:B11"/>
    <mergeCell ref="B12:B13"/>
    <mergeCell ref="B14:B15"/>
    <mergeCell ref="B16:B17"/>
  </mergeCells>
  <conditionalFormatting sqref="I4:I14">
    <cfRule type="expression" priority="2" aboveAverage="0" equalAverage="0" bottom="0" percent="0" rank="0" text="" dxfId="0">
      <formula>K4=0</formula>
    </cfRule>
    <cfRule type="expression" priority="3" aboveAverage="0" equalAverage="0" bottom="0" percent="0" rank="0" text="" dxfId="1">
      <formula>K4&lt;0</formula>
    </cfRule>
  </conditionalFormatting>
  <conditionalFormatting sqref="C4:G17">
    <cfRule type="expression" priority="4" aboveAverage="0" equalAverage="0" bottom="0" percent="0" rank="0" text="" dxfId="2">
      <formula>AND(C4&lt;&gt;"", C4=$J$17)</formula>
    </cfRule>
  </conditionalFormatting>
  <conditionalFormatting sqref="C4:G4 C6:G6 C8:G8 C12:G12 C14:G14 C16:G16">
    <cfRule type="expression" priority="5" aboveAverage="0" equalAverage="0" bottom="0" percent="0" rank="0" text="" dxfId="5">
      <formula>AND(C4&lt;&gt;"", COUNTIF($I$4:$I$14,C4)=0)</formula>
    </cfRule>
  </conditionalFormatting>
  <conditionalFormatting sqref="C5:G5 C7:G7 C9:G9 C13:G13 C15:G15 C17:G17">
    <cfRule type="expression" priority="6" aboveAverage="0" equalAverage="0" bottom="0" percent="0" rank="0" text="" dxfId="4">
      <formula>AND(C5&lt;&gt;"", COUNTIF($N$4:$N$13,C5)=0)</formula>
    </cfRule>
  </conditionalFormatting>
  <dataValidations count="1">
    <dataValidation allowBlank="true" errorStyle="stop" operator="equal" showDropDown="false" showErrorMessage="true" showInputMessage="false" sqref="J17" type="list">
      <formula1>$I$4:$I$14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33</v>
      </c>
    </row>
    <row r="3" customFormat="false" ht="12.8" hidden="false" customHeight="false" outlineLevel="0" collapsed="false">
      <c r="B3" s="1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N3" s="1" t="s">
        <v>11</v>
      </c>
    </row>
    <row r="4" customFormat="false" ht="12.8" hidden="false" customHeight="false" outlineLevel="0" collapsed="false">
      <c r="B4" s="2" t="s">
        <v>12</v>
      </c>
      <c r="C4" s="3" t="s">
        <v>13</v>
      </c>
      <c r="D4" s="4" t="s">
        <v>14</v>
      </c>
      <c r="E4" s="3" t="s">
        <v>15</v>
      </c>
      <c r="F4" s="3" t="s">
        <v>16</v>
      </c>
      <c r="G4" s="3"/>
      <c r="I4" s="5" t="s">
        <v>14</v>
      </c>
      <c r="J4" s="1" t="n">
        <v>1</v>
      </c>
      <c r="K4" s="1" t="n">
        <f aca="false">J4-L4</f>
        <v>0</v>
      </c>
      <c r="L4" s="1" t="n">
        <f aca="false">COUNTIF($C$4:$G$17,I4)</f>
        <v>1</v>
      </c>
      <c r="N4" s="1" t="n">
        <v>1</v>
      </c>
    </row>
    <row r="5" customFormat="false" ht="12.8" hidden="false" customHeight="false" outlineLevel="0" collapsed="false">
      <c r="B5" s="2"/>
      <c r="C5" s="6" t="s">
        <v>28</v>
      </c>
      <c r="D5" s="6" t="n">
        <v>7</v>
      </c>
      <c r="E5" s="6" t="n">
        <v>8</v>
      </c>
      <c r="F5" s="6" t="n">
        <v>1</v>
      </c>
      <c r="G5" s="6"/>
      <c r="I5" s="5" t="s">
        <v>17</v>
      </c>
      <c r="J5" s="1" t="n">
        <v>2</v>
      </c>
      <c r="K5" s="1" t="n">
        <f aca="false">J5-L5</f>
        <v>0</v>
      </c>
      <c r="L5" s="1" t="n">
        <f aca="false">COUNTIF($C$4:$G$17,I5)</f>
        <v>2</v>
      </c>
      <c r="N5" s="1" t="n">
        <v>2</v>
      </c>
    </row>
    <row r="6" customFormat="false" ht="12.8" hidden="false" customHeight="false" outlineLevel="0" collapsed="false">
      <c r="B6" s="2" t="s">
        <v>18</v>
      </c>
      <c r="C6" s="3" t="s">
        <v>19</v>
      </c>
      <c r="D6" s="7" t="s">
        <v>20</v>
      </c>
      <c r="E6" s="7" t="s">
        <v>21</v>
      </c>
      <c r="F6" s="7" t="s">
        <v>17</v>
      </c>
      <c r="G6" s="17"/>
      <c r="I6" s="5" t="s">
        <v>22</v>
      </c>
      <c r="J6" s="1" t="n">
        <v>2</v>
      </c>
      <c r="K6" s="1" t="n">
        <f aca="false">J6-L6</f>
        <v>0</v>
      </c>
      <c r="L6" s="1" t="n">
        <f aca="false">COUNTIF($C$4:$G$17,I6)</f>
        <v>2</v>
      </c>
      <c r="N6" s="1" t="n">
        <v>3</v>
      </c>
    </row>
    <row r="7" customFormat="false" ht="12.8" hidden="false" customHeight="false" outlineLevel="0" collapsed="false">
      <c r="B7" s="2"/>
      <c r="C7" s="6" t="n">
        <v>6</v>
      </c>
      <c r="D7" s="8" t="n">
        <v>6</v>
      </c>
      <c r="E7" s="8" t="s">
        <v>23</v>
      </c>
      <c r="F7" s="8" t="n">
        <v>1</v>
      </c>
      <c r="G7" s="18"/>
      <c r="I7" s="5" t="s">
        <v>24</v>
      </c>
      <c r="J7" s="1" t="n">
        <v>1</v>
      </c>
      <c r="K7" s="1" t="n">
        <f aca="false">J7-L7</f>
        <v>0</v>
      </c>
      <c r="L7" s="1" t="n">
        <f aca="false">COUNTIF($C$4:$G$17,I7)</f>
        <v>1</v>
      </c>
      <c r="N7" s="1" t="n">
        <v>4</v>
      </c>
    </row>
    <row r="8" customFormat="false" ht="12.8" hidden="false" customHeight="false" outlineLevel="0" collapsed="false">
      <c r="B8" s="2" t="s">
        <v>25</v>
      </c>
      <c r="C8" s="3" t="s">
        <v>22</v>
      </c>
      <c r="D8" s="7" t="s">
        <v>22</v>
      </c>
      <c r="E8" s="7" t="s">
        <v>26</v>
      </c>
      <c r="F8" s="7" t="s">
        <v>24</v>
      </c>
      <c r="G8" s="19" t="s">
        <v>17</v>
      </c>
      <c r="I8" s="5" t="s">
        <v>19</v>
      </c>
      <c r="J8" s="1" t="n">
        <v>1</v>
      </c>
      <c r="K8" s="1" t="n">
        <f aca="false">J8-L8</f>
        <v>0</v>
      </c>
      <c r="L8" s="1" t="n">
        <f aca="false">COUNTIF($C$4:$G$17,I8)</f>
        <v>1</v>
      </c>
      <c r="N8" s="1" t="n">
        <v>5</v>
      </c>
    </row>
    <row r="9" customFormat="false" ht="12.8" hidden="false" customHeight="false" outlineLevel="0" collapsed="false">
      <c r="B9" s="2"/>
      <c r="C9" s="6" t="n">
        <v>6</v>
      </c>
      <c r="D9" s="8" t="n">
        <v>6</v>
      </c>
      <c r="E9" s="8" t="n">
        <v>5</v>
      </c>
      <c r="F9" s="8" t="n">
        <v>1</v>
      </c>
      <c r="G9" s="6" t="s">
        <v>28</v>
      </c>
      <c r="I9" s="5" t="s">
        <v>15</v>
      </c>
      <c r="J9" s="1" t="n">
        <v>1</v>
      </c>
      <c r="K9" s="1" t="n">
        <f aca="false">J9-L9</f>
        <v>0</v>
      </c>
      <c r="L9" s="1" t="n">
        <f aca="false">COUNTIF($C$4:$G$17,I9)</f>
        <v>1</v>
      </c>
      <c r="N9" s="1" t="n">
        <v>6</v>
      </c>
    </row>
    <row r="10" customFormat="false" ht="12.8" hidden="false" customHeight="false" outlineLevel="0" collapsed="false">
      <c r="B10" s="2"/>
      <c r="C10" s="9"/>
      <c r="D10" s="10"/>
      <c r="E10" s="10"/>
      <c r="F10" s="10"/>
      <c r="G10" s="10"/>
      <c r="I10" s="5" t="s">
        <v>13</v>
      </c>
      <c r="J10" s="1" t="n">
        <v>1</v>
      </c>
      <c r="K10" s="1" t="n">
        <f aca="false">J10-L10</f>
        <v>0</v>
      </c>
      <c r="L10" s="1" t="n">
        <f aca="false">COUNTIF($C$4:$G$17,I10)</f>
        <v>1</v>
      </c>
      <c r="N10" s="1" t="n">
        <v>7</v>
      </c>
    </row>
    <row r="11" customFormat="false" ht="12.8" hidden="false" customHeight="false" outlineLevel="0" collapsed="false">
      <c r="B11" s="2"/>
      <c r="C11" s="11"/>
      <c r="D11" s="12"/>
      <c r="E11" s="12"/>
      <c r="F11" s="12"/>
      <c r="G11" s="12"/>
      <c r="I11" s="5" t="s">
        <v>26</v>
      </c>
      <c r="J11" s="1" t="n">
        <v>1</v>
      </c>
      <c r="K11" s="1" t="n">
        <f aca="false">J11-L11</f>
        <v>0</v>
      </c>
      <c r="L11" s="1" t="n">
        <f aca="false">COUNTIF($C$4:$G$17,I11)</f>
        <v>1</v>
      </c>
      <c r="N11" s="1" t="n">
        <v>8</v>
      </c>
    </row>
    <row r="12" customFormat="false" ht="12.8" hidden="false" customHeight="false" outlineLevel="0" collapsed="false">
      <c r="B12" s="2" t="s">
        <v>27</v>
      </c>
      <c r="C12" s="3"/>
      <c r="D12" s="7"/>
      <c r="E12" s="7"/>
      <c r="F12" s="7"/>
      <c r="G12" s="7"/>
      <c r="I12" s="5" t="s">
        <v>20</v>
      </c>
      <c r="J12" s="1" t="n">
        <v>1</v>
      </c>
      <c r="K12" s="1" t="n">
        <f aca="false">J12-L12</f>
        <v>0</v>
      </c>
      <c r="L12" s="1" t="n">
        <f aca="false">COUNTIF($C$4:$G$17,I12)</f>
        <v>1</v>
      </c>
      <c r="N12" s="1" t="n">
        <v>9</v>
      </c>
    </row>
    <row r="13" customFormat="false" ht="12.8" hidden="false" customHeight="false" outlineLevel="0" collapsed="false">
      <c r="B13" s="2"/>
      <c r="C13" s="6"/>
      <c r="D13" s="8"/>
      <c r="E13" s="8"/>
      <c r="F13" s="8"/>
      <c r="G13" s="8"/>
      <c r="I13" s="5" t="s">
        <v>16</v>
      </c>
      <c r="J13" s="1" t="n">
        <v>1</v>
      </c>
      <c r="K13" s="1" t="n">
        <f aca="false">J13-L13</f>
        <v>0</v>
      </c>
      <c r="L13" s="1" t="n">
        <f aca="false">COUNTIF($C$4:$G$17,I13)</f>
        <v>1</v>
      </c>
      <c r="N13" s="1" t="s">
        <v>28</v>
      </c>
    </row>
    <row r="14" customFormat="false" ht="12.8" hidden="false" customHeight="false" outlineLevel="0" collapsed="false">
      <c r="B14" s="2" t="s">
        <v>29</v>
      </c>
      <c r="C14" s="3"/>
      <c r="D14" s="7"/>
      <c r="E14" s="7"/>
      <c r="F14" s="7"/>
      <c r="G14" s="7"/>
      <c r="I14" s="5" t="s">
        <v>21</v>
      </c>
      <c r="J14" s="1" t="n">
        <v>1</v>
      </c>
      <c r="K14" s="1" t="n">
        <f aca="false">J14-L14</f>
        <v>0</v>
      </c>
      <c r="L14" s="1" t="n">
        <f aca="false">COUNTIF($C$4:$G$17,I14)</f>
        <v>1</v>
      </c>
    </row>
    <row r="15" customFormat="false" ht="12.8" hidden="false" customHeight="false" outlineLevel="0" collapsed="false">
      <c r="B15" s="2"/>
      <c r="C15" s="6"/>
      <c r="D15" s="8"/>
      <c r="E15" s="8"/>
      <c r="F15" s="8"/>
      <c r="G15" s="8"/>
      <c r="I15" s="1"/>
      <c r="J15" s="1"/>
      <c r="K15" s="1"/>
      <c r="L15" s="1"/>
    </row>
    <row r="16" customFormat="false" ht="12.8" hidden="false" customHeight="false" outlineLevel="0" collapsed="false">
      <c r="B16" s="2" t="s">
        <v>30</v>
      </c>
      <c r="C16" s="3"/>
      <c r="D16" s="7"/>
      <c r="E16" s="7"/>
      <c r="F16" s="7"/>
      <c r="G16" s="7"/>
    </row>
    <row r="17" customFormat="false" ht="12.8" hidden="false" customHeight="false" outlineLevel="0" collapsed="false">
      <c r="B17" s="2"/>
      <c r="C17" s="6"/>
      <c r="D17" s="8"/>
      <c r="E17" s="8"/>
      <c r="F17" s="8"/>
      <c r="G17" s="8"/>
      <c r="I17" s="13" t="s">
        <v>31</v>
      </c>
      <c r="J17" s="5"/>
    </row>
    <row r="22" customFormat="false" ht="12.8" hidden="false" customHeight="false" outlineLevel="0" collapsed="false">
      <c r="I22" s="14"/>
    </row>
  </sheetData>
  <mergeCells count="7">
    <mergeCell ref="B4:B5"/>
    <mergeCell ref="B6:B7"/>
    <mergeCell ref="B8:B9"/>
    <mergeCell ref="B10:B11"/>
    <mergeCell ref="B12:B13"/>
    <mergeCell ref="B14:B15"/>
    <mergeCell ref="B16:B17"/>
  </mergeCells>
  <conditionalFormatting sqref="I4:I14">
    <cfRule type="expression" priority="2" aboveAverage="0" equalAverage="0" bottom="0" percent="0" rank="0" text="" dxfId="0">
      <formula>K4=0</formula>
    </cfRule>
    <cfRule type="expression" priority="3" aboveAverage="0" equalAverage="0" bottom="0" percent="0" rank="0" text="" dxfId="1">
      <formula>K4&lt;0</formula>
    </cfRule>
  </conditionalFormatting>
  <conditionalFormatting sqref="C4:F17 G4:G5 G8:G17">
    <cfRule type="expression" priority="4" aboveAverage="0" equalAverage="0" bottom="0" percent="0" rank="0" text="" dxfId="2">
      <formula>AND(C4&lt;&gt;"", C4=$J$17)</formula>
    </cfRule>
  </conditionalFormatting>
  <conditionalFormatting sqref="C4:G4 C6:F6 C8:G8 C12:G12 C14:G14 C16:G16">
    <cfRule type="expression" priority="5" aboveAverage="0" equalAverage="0" bottom="0" percent="0" rank="0" text="" dxfId="5">
      <formula>AND(C4&lt;&gt;"", COUNTIF($I$4:$I$14,C4)=0)</formula>
    </cfRule>
  </conditionalFormatting>
  <conditionalFormatting sqref="C5:G5 C7:F7 C9:G9 C13:G13 C15:G15 C17:G17">
    <cfRule type="expression" priority="6" aboveAverage="0" equalAverage="0" bottom="0" percent="0" rank="0" text="" dxfId="1">
      <formula>AND(C4&lt;&gt;"", C5="")</formula>
    </cfRule>
    <cfRule type="expression" priority="7" aboveAverage="0" equalAverage="0" bottom="0" percent="0" rank="0" text="" dxfId="4">
      <formula>AND(C5&lt;&gt;"", COUNTIF($N$4:$N$13,C5)=0)</formula>
    </cfRule>
  </conditionalFormatting>
  <dataValidations count="2">
    <dataValidation allowBlank="true" errorStyle="stop" operator="equal" showDropDown="false" showErrorMessage="true" showInputMessage="false" sqref="J17" type="list">
      <formula1>$I$4:$I$14</formula1>
      <formula2>0</formula2>
    </dataValidation>
    <dataValidation allowBlank="true" error="Igual, lo puedes dejar si quieres" errorStyle="information" errorTitle="Ese valor no existe" operator="equal" promptTitle="Posibles asignaturas" showDropDown="false" showErrorMessage="true" showInputMessage="true" sqref="I2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1"/>
  <sheetViews>
    <sheetView showFormulas="false" showGridLines="true" showRowColHeaders="true" showZeros="true" rightToLeft="false" tabSelected="true" showOutlineSymbols="true" defaultGridColor="true" view="normal" topLeftCell="B1" colorId="64" zoomScale="150" zoomScaleNormal="150" zoomScalePageLayoutView="100" workbookViewId="0">
      <selection pane="topLeft" activeCell="H30" activeCellId="0" sqref="H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N1" s="14"/>
    </row>
    <row r="2" customFormat="false" ht="12.8" hidden="false" customHeight="false" outlineLevel="0" collapsed="false"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s">
        <v>28</v>
      </c>
      <c r="N2" s="14"/>
    </row>
    <row r="3" customFormat="false" ht="12.8" hidden="false" customHeight="false" outlineLevel="0" collapsed="false">
      <c r="B3" s="20" t="s">
        <v>2</v>
      </c>
      <c r="C3" s="20" t="s">
        <v>34</v>
      </c>
      <c r="D3" s="20" t="s">
        <v>35</v>
      </c>
      <c r="E3" s="20" t="s">
        <v>36</v>
      </c>
      <c r="F3" s="20" t="s">
        <v>37</v>
      </c>
      <c r="G3" s="20" t="s">
        <v>38</v>
      </c>
      <c r="H3" s="20" t="s">
        <v>39</v>
      </c>
      <c r="I3" s="20" t="s">
        <v>40</v>
      </c>
      <c r="J3" s="20" t="s">
        <v>41</v>
      </c>
      <c r="K3" s="20" t="s">
        <v>42</v>
      </c>
      <c r="L3" s="20" t="s">
        <v>28</v>
      </c>
      <c r="N3" s="14"/>
    </row>
    <row r="4" customFormat="false" ht="12.8" hidden="false" customHeight="false" outlineLevel="0" collapsed="false">
      <c r="B4" s="1" t="s">
        <v>43</v>
      </c>
      <c r="C4" s="5" t="str">
        <f aca="false">SUBSTITUTE(TRIM(_xlfn.CONCAT(IF(C111!$C$5=C$2,C111!$B$1 &amp; " ", ""), IF(C112!$C$5=C$2,C112!$B$1 &amp; " ", ""), IF(C113!$C$5=C$2,C113!$B$1 &amp; " ", ""))), " ", ",")</f>
        <v/>
      </c>
      <c r="D4" s="5" t="str">
        <f aca="false">SUBSTITUTE(TRIM(_xlfn.CONCAT(IF(C111!$C$5=D$2,C111!$B$1 &amp; " ", ""), IF(C112!$C$5=D$2,C112!$B$1 &amp; " ", ""), IF(C113!$C$5=D$2,C113!$B$1 &amp; " ", ""))), " ", ",")</f>
        <v/>
      </c>
      <c r="E4" s="5" t="str">
        <f aca="false">SUBSTITUTE(TRIM(_xlfn.CONCAT(IF(C111!$C$5=E$2,C111!$B$1 &amp; " ", ""), IF(C112!$C$5=E$2,C112!$B$1 &amp; " ", ""), IF(C113!$C$5=E$2,C113!$B$1 &amp; " ", ""))), " ", ",")</f>
        <v/>
      </c>
      <c r="F4" s="5" t="str">
        <f aca="false">SUBSTITUTE(TRIM(_xlfn.CONCAT(IF(C111!$C$5=F$2,C111!$B$1 &amp; " ", ""), IF(C112!$C$5=F$2,C112!$B$1 &amp; " ", ""), IF(C113!$C$5=F$2,C113!$B$1 &amp; " ", ""))), " ", ",")</f>
        <v/>
      </c>
      <c r="G4" s="5" t="str">
        <f aca="false">SUBSTITUTE(TRIM(_xlfn.CONCAT(IF(C111!$C$5=G$2,C111!$B$1 &amp; " ", ""), IF(C112!$C$5=G$2,C112!$B$1 &amp; " ", ""), IF(C113!$C$5=G$2,C113!$B$1 &amp; " ", ""))), " ", ",")</f>
        <v/>
      </c>
      <c r="H4" s="5" t="str">
        <f aca="false">SUBSTITUTE(TRIM(_xlfn.CONCAT(IF(C111!$C$5=H$2,C111!$B$1 &amp; " ", ""), IF(C112!$C$5=H$2,C112!$B$1 &amp; " ", ""), IF(C113!$C$5=H$2,C113!$B$1 &amp; " ", ""))), " ", ",")</f>
        <v>C111,C112</v>
      </c>
      <c r="I4" s="5" t="str">
        <f aca="false">SUBSTITUTE(TRIM(_xlfn.CONCAT(IF(C111!$C$5=I$2,C111!$B$1 &amp; " ", ""), IF(C112!$C$5=I$2,C112!$B$1 &amp; " ", ""), IF(C113!$C$5=I$2,C113!$B$1 &amp; " ", ""))), " ", ",")</f>
        <v/>
      </c>
      <c r="J4" s="5" t="str">
        <f aca="false">SUBSTITUTE(TRIM(_xlfn.CONCAT(IF(C111!$C$5=J$2,C111!$B$1 &amp; " ", ""), IF(C112!$C$5=J$2,C112!$B$1 &amp; " ", ""), IF(C113!$C$5=J$2,C113!$B$1 &amp; " ", ""))), " ", ",")</f>
        <v/>
      </c>
      <c r="K4" s="5" t="str">
        <f aca="false">SUBSTITUTE(TRIM(_xlfn.CONCAT(IF(C111!$C$5=K$2,C111!$B$1 &amp; " ", ""), IF(C112!$C$5=K$2,C112!$B$1 &amp; " ", ""), IF(C113!$C$5=K$2,C113!$B$1 &amp; " ", ""))), " ", ",")</f>
        <v/>
      </c>
      <c r="L4" s="5" t="str">
        <f aca="false">SUBSTITUTE(TRIM(_xlfn.CONCAT(IF(C111!$C$5=L$2,C111!$B$1 &amp; " ", ""), IF(C112!$C$5=L$2,C112!$B$1 &amp; " ", ""), IF(C113!$C$5=L$2,C113!$B$1 &amp; " ", ""))), " ", ",")</f>
        <v>C113</v>
      </c>
      <c r="N4" s="14"/>
    </row>
    <row r="5" customFormat="false" ht="12.8" hidden="false" customHeight="false" outlineLevel="0" collapsed="false">
      <c r="B5" s="1" t="s">
        <v>44</v>
      </c>
      <c r="C5" s="5" t="str">
        <f aca="false">SUBSTITUTE(TRIM(_xlfn.CONCAT(IF(C111!$C$9=C$2,C111!$B$1 &amp; " ", ""), IF(C112!$C$9=C$2,C112!$B$1 &amp; " ", ""), IF(C113!$C$9=C$2,C113!$B$1 &amp; " ", ""))), " ", ",")</f>
        <v/>
      </c>
      <c r="D5" s="5" t="str">
        <f aca="false">SUBSTITUTE(TRIM(_xlfn.CONCAT(IF(C111!$C$7=D$2,C111!$B$1 &amp; " ", ""), IF(C112!$C$7=D$2,C112!$B$1 &amp; " ", ""), IF(C113!$C$7=D$2,C113!$B$1 &amp; " ", ""))), " ", ",")</f>
        <v/>
      </c>
      <c r="E5" s="5" t="str">
        <f aca="false">SUBSTITUTE(TRIM(_xlfn.CONCAT(IF(C111!$C$7=E$2,C111!$B$1 &amp; " ", ""), IF(C112!$C$7=E$2,C112!$B$1 &amp; " ", ""), IF(C113!$C$7=E$2,C113!$B$1 &amp; " ", ""))), " ", ",")</f>
        <v/>
      </c>
      <c r="F5" s="5" t="str">
        <f aca="false">SUBSTITUTE(TRIM(_xlfn.CONCAT(IF(C111!$C$7=F$2,C111!$B$1 &amp; " ", ""), IF(C112!$C$7=F$2,C112!$B$1 &amp; " ", ""), IF(C113!$C$7=F$2,C113!$B$1 &amp; " ", ""))), " ", ",")</f>
        <v/>
      </c>
      <c r="G5" s="5" t="str">
        <f aca="false">SUBSTITUTE(TRIM(_xlfn.CONCAT(IF(C111!$C$7=G$2,C111!$B$1 &amp; " ", ""), IF(C112!$C$7=G$2,C112!$B$1 &amp; " ", ""), IF(C113!$C$7=G$2,C113!$B$1 &amp; " ", ""))), " ", ",")</f>
        <v>C112</v>
      </c>
      <c r="H5" s="5" t="str">
        <f aca="false">SUBSTITUTE(TRIM(_xlfn.CONCAT(IF(C111!$C$7=H$2,C111!$B$1 &amp; " ", ""), IF(C112!$C$7=H$2,C112!$B$1 &amp; " ", ""), IF(C113!$C$7=H$2,C113!$B$1 &amp; " ", ""))), " ", ",")</f>
        <v>C113</v>
      </c>
      <c r="I5" s="5" t="str">
        <f aca="false">SUBSTITUTE(TRIM(_xlfn.CONCAT(IF(C111!$C$7=I$2,C111!$B$1 &amp; " ", ""), IF(C112!$C$7=I$2,C112!$B$1 &amp; " ", ""), IF(C113!$C$7=I$2,C113!$B$1 &amp; " ", ""))), " ", ",")</f>
        <v/>
      </c>
      <c r="J5" s="5" t="str">
        <f aca="false">SUBSTITUTE(TRIM(_xlfn.CONCAT(IF(C111!$C$7=J$2,C111!$B$1 &amp; " ", ""), IF(C112!$C$7=J$2,C112!$B$1 &amp; " ", ""), IF(C113!$C$7=J$2,C113!$B$1 &amp; " ", ""))), " ", ",")</f>
        <v/>
      </c>
      <c r="K5" s="5" t="str">
        <f aca="false">SUBSTITUTE(TRIM(_xlfn.CONCAT(IF(C111!$C$7=K$2,C111!$B$1 &amp; " ", ""), IF(C112!$C$7=K$2,C112!$B$1 &amp; " ", ""), IF(C113!$C$7=K$2,C113!$B$1 &amp; " ", ""))), " ", ",")</f>
        <v/>
      </c>
      <c r="L5" s="5" t="str">
        <f aca="false">SUBSTITUTE(TRIM(_xlfn.CONCAT(IF(C111!$C$7=L$2,C111!$B$1 &amp; " ", ""), IF(C112!$C$7=L$2,C112!$B$1 &amp; " ", ""), IF(C113!$C$7=L$2,C113!$B$1 &amp; " ", ""))), " ", ",")</f>
        <v/>
      </c>
      <c r="N5" s="14"/>
    </row>
    <row r="6" customFormat="false" ht="12.8" hidden="false" customHeight="false" outlineLevel="0" collapsed="false">
      <c r="B6" s="1" t="s">
        <v>45</v>
      </c>
      <c r="C6" s="5" t="str">
        <f aca="false">SUBSTITUTE(TRIM(_xlfn.CONCAT(IF(C111!$C$9=C$2,C111!$B$1 &amp; " ", ""), IF(C112!$C$9=C$2,C112!$B$1 &amp; " ", ""), IF(C113!$C$9=C$2,C113!$B$1 &amp; " ", ""))), " ", ",")</f>
        <v/>
      </c>
      <c r="D6" s="5" t="str">
        <f aca="false">SUBSTITUTE(TRIM(_xlfn.CONCAT(IF(C111!$C$9=D$2,C111!$B$1 &amp; " ", ""), IF(C112!$C$9=D$2,C112!$B$1 &amp; " ", ""), IF(C113!$C$9=D$2,C113!$B$1 &amp; " ", ""))), " ", ",")</f>
        <v/>
      </c>
      <c r="E6" s="5" t="str">
        <f aca="false">SUBSTITUTE(TRIM(_xlfn.CONCAT(IF(C111!$C$9=E$2,C111!$B$1 &amp; " ", ""), IF(C112!$C$9=E$2,C112!$B$1 &amp; " ", ""), IF(C113!$C$9=E$2,C113!$B$1 &amp; " ", ""))), " ", ",")</f>
        <v/>
      </c>
      <c r="F6" s="5" t="str">
        <f aca="false">SUBSTITUTE(TRIM(_xlfn.CONCAT(IF(C111!$C$9=F$2,C111!$B$1 &amp; " ", ""), IF(C112!$C$9=F$2,C112!$B$1 &amp; " ", ""), IF(C113!$C$9=F$2,C113!$B$1 &amp; " ", ""))), " ", ",")</f>
        <v/>
      </c>
      <c r="G6" s="5" t="str">
        <f aca="false">SUBSTITUTE(TRIM(_xlfn.CONCAT(IF(C111!$C$9=G$2,C111!$B$1 &amp; " ", ""), IF(C112!$C$9=G$2,C112!$B$1 &amp; " ", ""), IF(C113!$C$9=G$2,C113!$B$1 &amp; " ", ""))), " ", ",")</f>
        <v/>
      </c>
      <c r="H6" s="5" t="str">
        <f aca="false">SUBSTITUTE(TRIM(_xlfn.CONCAT(IF(C111!$C$9=H$2,C111!$B$1 &amp; " ", ""), IF(C112!$C$9=H$2,C112!$B$1 &amp; " ", ""), IF(C113!$C$9=H$2,C113!$B$1 &amp; " ", ""))), " ", ",")</f>
        <v>C111,C113</v>
      </c>
      <c r="I6" s="5" t="str">
        <f aca="false">SUBSTITUTE(TRIM(_xlfn.CONCAT(IF(C111!$C$9=I$2,C111!$B$1 &amp; " ", ""), IF(C112!$C$9=I$2,C112!$B$1 &amp; " ", ""), IF(C113!$C$9=I$2,C113!$B$1 &amp; " ", ""))), " ", ",")</f>
        <v/>
      </c>
      <c r="J6" s="5" t="str">
        <f aca="false">SUBSTITUTE(TRIM(_xlfn.CONCAT(IF(C111!$C$9=J$2,C111!$B$1 &amp; " ", ""), IF(C112!$C$9=J$2,C112!$B$1 &amp; " ", ""), IF(C113!$C$9=J$2,C113!$B$1 &amp; " ", ""))), " ", ",")</f>
        <v>C112</v>
      </c>
      <c r="K6" s="5" t="str">
        <f aca="false">SUBSTITUTE(TRIM(_xlfn.CONCAT(IF(C111!$C$9=K$2,C111!$B$1 &amp; " ", ""), IF(C112!$C$9=K$2,C112!$B$1 &amp; " ", ""), IF(C113!$C$9=K$2,C113!$B$1 &amp; " ", ""))), " ", ",")</f>
        <v/>
      </c>
      <c r="L6" s="5" t="str">
        <f aca="false">SUBSTITUTE(TRIM(_xlfn.CONCAT(IF(C111!$C$9=L$2,C111!$B$1 &amp; " ", ""), IF(C112!$C$9=L$2,C112!$B$1 &amp; " ", ""), IF(C113!$C$9=L$2,C113!$B$1 &amp; " ", ""))), " ", ",")</f>
        <v/>
      </c>
      <c r="N6" s="14"/>
    </row>
    <row r="7" customFormat="false" ht="12.8" hidden="false" customHeight="false" outlineLevel="0" collapsed="false">
      <c r="B7" s="1" t="s">
        <v>46</v>
      </c>
      <c r="C7" s="5"/>
      <c r="D7" s="5"/>
      <c r="E7" s="5"/>
      <c r="F7" s="5"/>
      <c r="G7" s="5"/>
      <c r="H7" s="5"/>
      <c r="I7" s="5"/>
      <c r="J7" s="5"/>
      <c r="K7" s="5"/>
      <c r="L7" s="5"/>
      <c r="N7" s="14"/>
    </row>
    <row r="8" customFormat="false" ht="12.8" hidden="false" customHeight="false" outlineLevel="0" collapsed="false">
      <c r="B8" s="1" t="s">
        <v>47</v>
      </c>
      <c r="C8" s="5"/>
      <c r="D8" s="5"/>
      <c r="E8" s="5"/>
      <c r="F8" s="5"/>
      <c r="G8" s="5"/>
      <c r="H8" s="5"/>
      <c r="I8" s="5"/>
      <c r="J8" s="5"/>
      <c r="K8" s="5"/>
      <c r="L8" s="5"/>
      <c r="N8" s="14"/>
    </row>
    <row r="9" customFormat="false" ht="12.8" hidden="false" customHeight="false" outlineLevel="0" collapsed="false">
      <c r="B9" s="1" t="s">
        <v>48</v>
      </c>
      <c r="C9" s="5"/>
      <c r="D9" s="5"/>
      <c r="E9" s="5"/>
      <c r="F9" s="5"/>
      <c r="G9" s="5"/>
      <c r="H9" s="5"/>
      <c r="I9" s="5"/>
      <c r="J9" s="5"/>
      <c r="K9" s="5"/>
      <c r="L9" s="5"/>
      <c r="N9" s="14"/>
    </row>
    <row r="10" customFormat="false" ht="12.8" hidden="false" customHeight="false" outlineLevel="0" collapsed="false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N10" s="14"/>
    </row>
    <row r="11" customFormat="false" ht="12.8" hidden="false" customHeight="false" outlineLevel="0" collapsed="false">
      <c r="B11" s="20" t="s">
        <v>3</v>
      </c>
      <c r="C11" s="20" t="s">
        <v>34</v>
      </c>
      <c r="D11" s="20" t="s">
        <v>35</v>
      </c>
      <c r="E11" s="20" t="s">
        <v>36</v>
      </c>
      <c r="F11" s="20" t="s">
        <v>37</v>
      </c>
      <c r="G11" s="20" t="s">
        <v>38</v>
      </c>
      <c r="H11" s="20" t="s">
        <v>39</v>
      </c>
      <c r="I11" s="20" t="s">
        <v>40</v>
      </c>
      <c r="J11" s="20" t="s">
        <v>41</v>
      </c>
      <c r="K11" s="20" t="s">
        <v>42</v>
      </c>
      <c r="L11" s="20" t="s">
        <v>28</v>
      </c>
      <c r="N11" s="14"/>
    </row>
    <row r="12" customFormat="false" ht="12.8" hidden="false" customHeight="false" outlineLevel="0" collapsed="false">
      <c r="B12" s="1" t="s">
        <v>43</v>
      </c>
      <c r="C12" s="1" t="str">
        <f aca="false">SUBSTITUTE(TRIM(_xlfn.CONCAT(IF(C111!$D5=C$2,C111!$B$1 &amp; " ", ""), IF(C112!$D5=C$2,C112!$B$1 &amp; " ", ""), IF(C113!$D5=C$2,C113!$B$1 &amp; " ", ""))), " ", ",")</f>
        <v/>
      </c>
      <c r="D12" s="1" t="str">
        <f aca="false">SUBSTITUTE(TRIM(_xlfn.CONCAT(IF(C111!$D5=D$2,C111!$B1 &amp; " ", ""), IF(C112!$D5=D$2,C112!$B1 &amp; " ", ""), IF(C113!$D5=D$2,C113!$B1 &amp; " ", ""))), " ", ",")</f>
        <v>C112</v>
      </c>
      <c r="E12" s="1" t="str">
        <f aca="false">SUBSTITUTE(TRIM(_xlfn.CONCAT(IF(C111!$D5=E$2,C111!$B1 &amp; " ", ""), IF(C112!$D5=E$2,C112!$B1 &amp; " ", ""), IF(C113!$D5=E$2,C113!$B1 &amp; " ", ""))), " ", ",")</f>
        <v/>
      </c>
      <c r="F12" s="1" t="str">
        <f aca="false">SUBSTITUTE(TRIM(_xlfn.CONCAT(IF(C111!$D5=F$2,C111!$B1 &amp; " ", ""), IF(C112!$D5=F$2,C112!$B1 &amp; " ", ""), IF(C113!$D5=F$2,C113!$B1 &amp; " ", ""))), " ", ",")</f>
        <v/>
      </c>
      <c r="G12" s="1" t="str">
        <f aca="false">SUBSTITUTE(TRIM(_xlfn.CONCAT(IF(C111!$D5=G$2,C111!$B1 &amp; " ", ""), IF(C112!$D5=G$2,C112!$B1 &amp; " ", ""), IF(C113!$D5=G$2,C113!$B1 &amp; " ", ""))), " ", ",")</f>
        <v/>
      </c>
      <c r="H12" s="1" t="str">
        <f aca="false">SUBSTITUTE(TRIM(_xlfn.CONCAT(IF(C111!$D5=H$2,C111!$B1 &amp; " ", ""), IF(C112!$D5=H$2,C112!$B1 &amp; " ", ""), IF(C113!$D5=H$2,C113!$B1 &amp; " ", ""))), " ", ",")</f>
        <v>C111</v>
      </c>
      <c r="I12" s="1" t="str">
        <f aca="false">SUBSTITUTE(TRIM(_xlfn.CONCAT(IF(C111!$D5=I$2,C111!$B1 &amp; " ", ""), IF(C112!$D5=I$2,C112!$B1 &amp; " ", ""), IF(C113!$D5=I$2,C113!$B1 &amp; " ", ""))), " ", ",")</f>
        <v>C113</v>
      </c>
      <c r="J12" s="1" t="str">
        <f aca="false">SUBSTITUTE(TRIM(_xlfn.CONCAT(IF(C111!$D5=J$2,C111!$B1 &amp; " ", ""), IF(C112!$D5=J$2,C112!$B1 &amp; " ", ""), IF(C113!$D5=J$2,C113!$B1 &amp; " ", ""))), " ", ",")</f>
        <v/>
      </c>
      <c r="K12" s="1" t="str">
        <f aca="false">SUBSTITUTE(TRIM(_xlfn.CONCAT(IF(C111!$D5=K$2,C111!$B1 &amp; " ", ""), IF(C112!$D5=K$2,C112!$B1 &amp; " ", ""), IF(C113!$D5=K$2,C113!$B1 &amp; " ", ""))), " ", ",")</f>
        <v/>
      </c>
      <c r="L12" s="1" t="str">
        <f aca="false">SUBSTITUTE(TRIM(_xlfn.CONCAT(IF(C111!$D5=L$2,C111!$B1 &amp; " ", ""), IF(C112!$D5=L$2,C112!$B1 &amp; " ", ""), IF(C113!$D5=L$2,C113!$B1 &amp; " ", ""))), " ", ",")</f>
        <v/>
      </c>
      <c r="N12" s="14"/>
    </row>
    <row r="13" customFormat="false" ht="12.8" hidden="false" customHeight="false" outlineLevel="0" collapsed="false">
      <c r="B13" s="1" t="s">
        <v>44</v>
      </c>
      <c r="C13" s="1" t="str">
        <f aca="false">SUBSTITUTE(TRIM(_xlfn.CONCAT(IF(C111!$D7=C$2,C111!$B$1 &amp; " ", ""), IF(C112!$D7=C$2,C112!$B$1 &amp; " ", ""), IF(C113!$D7=C$2,C113!$B$1 &amp; " ", ""))), " ", ",")</f>
        <v>C111</v>
      </c>
      <c r="D13" s="1" t="str">
        <f aca="false">SUBSTITUTE(TRIM(_xlfn.CONCAT(IF(C111!$D7=D$2,C111!$B$1 &amp; " ", ""), IF(C112!$D7=D$2,C112!$B$1 &amp; " ", ""), IF(C113!$D7=D$2,C113!$B$1 &amp; " ", ""))), " ", ",")</f>
        <v/>
      </c>
      <c r="E13" s="1" t="str">
        <f aca="false">SUBSTITUTE(TRIM(_xlfn.CONCAT(IF(C111!$D7=E$2,C111!$B$1 &amp; " ", ""), IF(C112!$D7=E$2,C112!$B$1 &amp; " ", ""), IF(C113!$D7=E$2,C113!$B$1 &amp; " ", ""))), " ", ",")</f>
        <v/>
      </c>
      <c r="F13" s="1" t="str">
        <f aca="false">SUBSTITUTE(TRIM(_xlfn.CONCAT(IF(C111!$D7=F$2,C111!$B$1 &amp; " ", ""), IF(C112!$D7=F$2,C112!$B$1 &amp; " ", ""), IF(C113!$D7=F$2,C113!$B$1 &amp; " ", ""))), " ", ",")</f>
        <v/>
      </c>
      <c r="G13" s="1" t="str">
        <f aca="false">SUBSTITUTE(TRIM(_xlfn.CONCAT(IF(C111!$D7=G$2,C111!$B$1 &amp; " ", ""), IF(C112!$D7=G$2,C112!$B$1 &amp; " ", ""), IF(C113!$D7=G$2,C113!$B$1 &amp; " ", ""))), " ", ",")</f>
        <v/>
      </c>
      <c r="H13" s="1" t="str">
        <f aca="false">SUBSTITUTE(TRIM(_xlfn.CONCAT(IF(C111!$D7=H$2,C111!$B$1 &amp; " ", ""), IF(C112!$D7=H$2,C112!$B$1 &amp; " ", ""), IF(C113!$D7=H$2,C113!$B$1 &amp; " ", ""))), " ", ",")</f>
        <v>C112,C113</v>
      </c>
      <c r="I13" s="1" t="str">
        <f aca="false">SUBSTITUTE(TRIM(_xlfn.CONCAT(IF(C111!$D7=I$2,C111!$B$1 &amp; " ", ""), IF(C112!$D7=I$2,C112!$B$1 &amp; " ", ""), IF(C113!$D7=I$2,C113!$B$1 &amp; " ", ""))), " ", ",")</f>
        <v/>
      </c>
      <c r="J13" s="1" t="str">
        <f aca="false">SUBSTITUTE(TRIM(_xlfn.CONCAT(IF(C111!$D7=J$2,C111!$B$1 &amp; " ", ""), IF(C112!$D7=J$2,C112!$B$1 &amp; " ", ""), IF(C113!$D7=J$2,C113!$B$1 &amp; " ", ""))), " ", ",")</f>
        <v/>
      </c>
      <c r="K13" s="1" t="str">
        <f aca="false">SUBSTITUTE(TRIM(_xlfn.CONCAT(IF(C111!$D7=K$2,C111!$B$1 &amp; " ", ""), IF(C112!$D7=K$2,C112!$B$1 &amp; " ", ""), IF(C113!$D7=K$2,C113!$B$1 &amp; " ", ""))), " ", ",")</f>
        <v/>
      </c>
      <c r="L13" s="1" t="str">
        <f aca="false">SUBSTITUTE(TRIM(_xlfn.CONCAT(IF(C111!$D7=L$2,C111!$B$1 &amp; " ", ""), IF(C112!$D7=L$2,C112!$B$1 &amp; " ", ""), IF(C113!$D7=L$2,C113!$B$1 &amp; " ", ""))), " ", ",")</f>
        <v/>
      </c>
      <c r="N13" s="14"/>
    </row>
    <row r="14" customFormat="false" ht="12.8" hidden="false" customHeight="false" outlineLevel="0" collapsed="false">
      <c r="B14" s="1" t="s">
        <v>45</v>
      </c>
      <c r="C14" s="1" t="str">
        <f aca="false">SUBSTITUTE(TRIM(_xlfn.CONCAT(IF(C111!$D9=C$2,C111!$B$1 &amp; " ", ""), IF(C112!$D9=C$2,C112!$B$1 &amp; " ", ""), IF(C113!$D9=C$2,C113!$B$1 &amp; " ", ""))), " ", ",")</f>
        <v/>
      </c>
      <c r="D14" s="1" t="str">
        <f aca="false">SUBSTITUTE(TRIM(_xlfn.CONCAT(IF(C111!$D9=D$2,C111!$B$1 &amp; " ", ""), IF(C112!$D9=D$2,C112!$B$1 &amp; " ", ""), IF(C113!$D9=D$2,C113!$B$1 &amp; " ", ""))), " ", ",")</f>
        <v/>
      </c>
      <c r="E14" s="1" t="str">
        <f aca="false">SUBSTITUTE(TRIM(_xlfn.CONCAT(IF(C111!$D9=E$2,C111!$B$1 &amp; " ", ""), IF(C112!$D9=E$2,C112!$B$1 &amp; " ", ""), IF(C113!$D9=E$2,C113!$B$1 &amp; " ", ""))), " ", ",")</f>
        <v/>
      </c>
      <c r="F14" s="1" t="str">
        <f aca="false">SUBSTITUTE(TRIM(_xlfn.CONCAT(IF(C111!$D9=F$2,C111!$B$1 &amp; " ", ""), IF(C112!$D9=F$2,C112!$B$1 &amp; " ", ""), IF(C113!$D9=F$2,C113!$B$1 &amp; " ", ""))), " ", ",")</f>
        <v/>
      </c>
      <c r="G14" s="1" t="str">
        <f aca="false">SUBSTITUTE(TRIM(_xlfn.CONCAT(IF(C111!$D9=G$2,C111!$B$1 &amp; " ", ""), IF(C112!$D9=G$2,C112!$B$1 &amp; " ", ""), IF(C113!$D9=G$2,C113!$B$1 &amp; " ", ""))), " ", ",")</f>
        <v/>
      </c>
      <c r="H14" s="1" t="str">
        <f aca="false">SUBSTITUTE(TRIM(_xlfn.CONCAT(IF(C111!$D9=H$2,C111!$B$1 &amp; " ", ""), IF(C112!$D9=H$2,C112!$B$1 &amp; " ", ""), IF(C113!$D9=H$2,C113!$B$1 &amp; " ", ""))), " ", ",")</f>
        <v>C111,C112,C113</v>
      </c>
      <c r="I14" s="1" t="str">
        <f aca="false">SUBSTITUTE(TRIM(_xlfn.CONCAT(IF(C111!$D9=I$2,C111!$B$1 &amp; " ", ""), IF(C112!$D9=I$2,C112!$B$1 &amp; " ", ""), IF(C113!$D9=I$2,C113!$B$1 &amp; " ", ""))), " ", ",")</f>
        <v/>
      </c>
      <c r="J14" s="1" t="str">
        <f aca="false">SUBSTITUTE(TRIM(_xlfn.CONCAT(IF(C111!$D9=J$2,C111!$B$1 &amp; " ", ""), IF(C112!$D9=J$2,C112!$B$1 &amp; " ", ""), IF(C113!$D9=J$2,C113!$B$1 &amp; " ", ""))), " ", ",")</f>
        <v/>
      </c>
      <c r="K14" s="1" t="str">
        <f aca="false">SUBSTITUTE(TRIM(_xlfn.CONCAT(IF(C111!$D9=K$2,C111!$B$1 &amp; " ", ""), IF(C112!$D9=K$2,C112!$B$1 &amp; " ", ""), IF(C113!$D9=K$2,C113!$B$1 &amp; " ", ""))), " ", ",")</f>
        <v/>
      </c>
      <c r="L14" s="1" t="str">
        <f aca="false">SUBSTITUTE(TRIM(_xlfn.CONCAT(IF(C111!$D9=L$2,C111!$B$1 &amp; " ", ""), IF(C112!$D9=L$2,C112!$B$1 &amp; " ", ""), IF(C113!$D9=L$2,C113!$B$1 &amp; " ", ""))), " ", ",")</f>
        <v/>
      </c>
      <c r="N14" s="14"/>
    </row>
    <row r="15" customFormat="false" ht="12.8" hidden="false" customHeight="false" outlineLevel="0" collapsed="false">
      <c r="B15" s="1" t="s">
        <v>46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2.8" hidden="false" customHeight="false" outlineLevel="0" collapsed="false">
      <c r="B16" s="1" t="s">
        <v>47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B17" s="1" t="s">
        <v>48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9" customFormat="false" ht="12.8" hidden="false" customHeight="false" outlineLevel="0" collapsed="false">
      <c r="B19" s="20" t="s">
        <v>4</v>
      </c>
      <c r="C19" s="20" t="s">
        <v>34</v>
      </c>
      <c r="D19" s="20" t="s">
        <v>35</v>
      </c>
      <c r="E19" s="20" t="s">
        <v>36</v>
      </c>
      <c r="F19" s="20" t="s">
        <v>37</v>
      </c>
      <c r="G19" s="20" t="s">
        <v>38</v>
      </c>
      <c r="H19" s="20" t="s">
        <v>39</v>
      </c>
      <c r="I19" s="20" t="s">
        <v>40</v>
      </c>
      <c r="J19" s="20" t="s">
        <v>41</v>
      </c>
      <c r="K19" s="20" t="s">
        <v>42</v>
      </c>
      <c r="L19" s="20" t="s">
        <v>28</v>
      </c>
    </row>
    <row r="20" customFormat="false" ht="12.8" hidden="false" customHeight="false" outlineLevel="0" collapsed="false">
      <c r="B20" s="1" t="s">
        <v>43</v>
      </c>
      <c r="C20" s="1" t="str">
        <f aca="false">SUBSTITUTE(TRIM(_xlfn.CONCAT(IF(C111!$E5=C$2,C111!$B$1 &amp; " ", ""), IF(C112!$E5=C$2,C112!$B$1 &amp; " ", ""), IF(C113!$E5=C$2,C113!$B$1 &amp; " ", ""))), " ", ",")</f>
        <v/>
      </c>
      <c r="D20" s="1" t="str">
        <f aca="false">SUBSTITUTE(TRIM(_xlfn.CONCAT(IF(C111!$E5=D$2,C111!$B$1 &amp; " ", ""), IF(C112!$E5=D$2,C112!$B$1 &amp; " ", ""), IF(C113!$E5=D$2,C113!$B$1 &amp; " ", ""))), " ", ",")</f>
        <v/>
      </c>
      <c r="E20" s="1" t="str">
        <f aca="false">SUBSTITUTE(TRIM(_xlfn.CONCAT(IF(C111!$E5=E$2,C111!$B$1 &amp; " ", ""), IF(C112!$E5=E$2,C112!$B$1 &amp; " ", ""), IF(C113!$E5=E$2,C113!$B$1 &amp; " ", ""))), " ", ",")</f>
        <v/>
      </c>
      <c r="F20" s="1" t="str">
        <f aca="false">SUBSTITUTE(TRIM(_xlfn.CONCAT(IF(C111!$E5=F$2,C111!$B$1 &amp; " ", ""), IF(C112!$E5=F$2,C112!$B$1 &amp; " ", ""), IF(C113!$E5=F$2,C113!$B$1 &amp; " ", ""))), " ", ",")</f>
        <v/>
      </c>
      <c r="G20" s="1" t="str">
        <f aca="false">SUBSTITUTE(TRIM(_xlfn.CONCAT(IF(C111!$E5=G$2,C111!$B$1 &amp; " ", ""), IF(C112!$E5=G$2,C112!$B$1 &amp; " ", ""), IF(C113!$E5=G$2,C113!$B$1 &amp; " ", ""))), " ", ",")</f>
        <v>C112</v>
      </c>
      <c r="H20" s="1" t="str">
        <f aca="false">SUBSTITUTE(TRIM(_xlfn.CONCAT(IF(C111!$E5=H$2,C111!$B$1 &amp; " ", ""), IF(C112!$E5=H$2,C112!$B$1 &amp; " ", ""), IF(C113!$E5=H$2,C113!$B$1 &amp; " ", ""))), " ", ",")</f>
        <v>C111</v>
      </c>
      <c r="I20" s="1" t="str">
        <f aca="false">SUBSTITUTE(TRIM(_xlfn.CONCAT(IF(C111!$E5=I$2,C111!$B$1 &amp; " ", ""), IF(C112!$E5=I$2,C112!$B$1 &amp; " ", ""), IF(C113!$E5=I$2,C113!$B$1 &amp; " ", ""))), " ", ",")</f>
        <v/>
      </c>
      <c r="J20" s="1" t="str">
        <f aca="false">SUBSTITUTE(TRIM(_xlfn.CONCAT(IF(C111!$E5=J$2,C111!$B$1 &amp; " ", ""), IF(C112!$E5=J$2,C112!$B$1 &amp; " ", ""), IF(C113!$E5=J$2,C113!$B$1 &amp; " ", ""))), " ", ",")</f>
        <v>C113</v>
      </c>
      <c r="K20" s="1" t="str">
        <f aca="false">SUBSTITUTE(TRIM(_xlfn.CONCAT(IF(C111!$E5=K$2,C111!$B$1 &amp; " ", ""), IF(C112!$E5=K$2,C112!$B$1 &amp; " ", ""), IF(C113!$E5=K$2,C113!$B$1 &amp; " ", ""))), " ", ",")</f>
        <v/>
      </c>
      <c r="L20" s="1" t="str">
        <f aca="false">SUBSTITUTE(TRIM(_xlfn.CONCAT(IF(C111!$E5=L$2,C111!$B$1 &amp; " ", ""), IF(C112!$E5=L$2,C112!$B$1 &amp; " ", ""), IF(C113!$E5=L$2,C113!$B$1 &amp; " ", ""))), " ", ",")</f>
        <v/>
      </c>
    </row>
    <row r="21" customFormat="false" ht="12.8" hidden="false" customHeight="false" outlineLevel="0" collapsed="false">
      <c r="B21" s="1" t="s">
        <v>44</v>
      </c>
      <c r="C21" s="1" t="str">
        <f aca="false">SUBSTITUTE(TRIM(_xlfn.CONCAT(IF(C111!$E7=C$2,C111!$B$1 &amp; " ", ""), IF(C112!$E7=C$2,C112!$B$1 &amp; " ", ""), IF(C113!$E7=C$2,C113!$B$1 &amp; " ", ""))), " ", ",")</f>
        <v/>
      </c>
      <c r="D21" s="1" t="str">
        <f aca="false">SUBSTITUTE(TRIM(_xlfn.CONCAT(IF(C111!$E7=D$2,C111!$B$1 &amp; " ", ""), IF(C112!$E7=D$2,C112!$B$1 &amp; " ", ""), IF(C113!$E7=D$2,C113!$B$1 &amp; " ", ""))), " ", ",")</f>
        <v/>
      </c>
      <c r="E21" s="1" t="str">
        <f aca="false">SUBSTITUTE(TRIM(_xlfn.CONCAT(IF(C111!$E7=E$2,C111!$B$1 &amp; " ", ""), IF(C112!$E7=E$2,C112!$B$1 &amp; " ", ""), IF(C113!$E7=E$2,C113!$B$1 &amp; " ", ""))), " ", ",")</f>
        <v/>
      </c>
      <c r="F21" s="1" t="str">
        <f aca="false">SUBSTITUTE(TRIM(_xlfn.CONCAT(IF(C111!$E7=F$2,C111!$B$1 &amp; " ", ""), IF(C112!$E7=F$2,C112!$B$1 &amp; " ", ""), IF(C113!$E7=F$2,C113!$B$1 &amp; " ", ""))), " ", ",")</f>
        <v/>
      </c>
      <c r="G21" s="1" t="str">
        <f aca="false">SUBSTITUTE(TRIM(_xlfn.CONCAT(IF(C111!$E7=G$2,C111!$B$1 &amp; " ", ""), IF(C112!$E7=G$2,C112!$B$1 &amp; " ", ""), IF(C113!$E7=G$2,C113!$B$1 &amp; " ", ""))), " ", ",")</f>
        <v/>
      </c>
      <c r="H21" s="1" t="str">
        <f aca="false">SUBSTITUTE(TRIM(_xlfn.CONCAT(IF(C111!$E7=H$2,C111!$B$1 &amp; " ", ""), IF(C112!$E7=H$2,C112!$B$1 &amp; " ", ""), IF(C113!$E7=H$2,C113!$B$1 &amp; " ", ""))), " ", ",")</f>
        <v/>
      </c>
      <c r="I21" s="1" t="str">
        <f aca="false">SUBSTITUTE(TRIM(_xlfn.CONCAT(IF(C111!$E7=I$2,C111!$B$1 &amp; " ", ""), IF(C112!$E7=I$2,C112!$B$1 &amp; " ", ""), IF(C113!$E7=I$2,C113!$B$1 &amp; " ", ""))), " ", ",")</f>
        <v/>
      </c>
      <c r="J21" s="1" t="str">
        <f aca="false">SUBSTITUTE(TRIM(_xlfn.CONCAT(IF(C111!$E7=J$2,C111!$B$1 &amp; " ", ""), IF(C112!$E7=J$2,C112!$B$1 &amp; " ", ""), IF(C113!$E7=J$2,C113!$B$1 &amp; " ", ""))), " ", ",")</f>
        <v/>
      </c>
      <c r="K21" s="1" t="str">
        <f aca="false">SUBSTITUTE(TRIM(_xlfn.CONCAT(IF(C111!$E7=K$2,C111!$B$1 &amp; " ", ""), IF(C112!$E7=K$2,C112!$B$1 &amp; " ", ""), IF(C113!$E7=K$2,C113!$B$1 &amp; " ", ""))), " ", ",")</f>
        <v/>
      </c>
      <c r="L21" s="1" t="str">
        <f aca="false">SUBSTITUTE(TRIM(_xlfn.CONCAT(IF(C111!$E7=L$2,C111!$B$1 &amp; " ", ""), IF(C112!$E7=L$2,C112!$B$1 &amp; " ", ""), IF(C113!$E7=L$2,C113!$B$1 &amp; " ", ""))), " ", ",")</f>
        <v/>
      </c>
    </row>
    <row r="22" customFormat="false" ht="12.8" hidden="false" customHeight="false" outlineLevel="0" collapsed="false">
      <c r="B22" s="1" t="s">
        <v>45</v>
      </c>
      <c r="C22" s="1" t="str">
        <f aca="false">SUBSTITUTE(TRIM(_xlfn.CONCAT(IF(C111!$E9=C$2,C111!$B$1 &amp; " ", ""), IF(C112!$E9=C$2,C112!$B$1 &amp; " ", ""), IF(C113!$E9=C$2,C113!$B$1 &amp; " ", ""))), " ", ",")</f>
        <v/>
      </c>
      <c r="D22" s="1" t="str">
        <f aca="false">SUBSTITUTE(TRIM(_xlfn.CONCAT(IF(C111!$E9=D$2,C111!$B$1 &amp; " ", ""), IF(C112!$E9=D$2,C112!$B$1 &amp; " ", ""), IF(C113!$E9=D$2,C113!$B$1 &amp; " ", ""))), " ", ",")</f>
        <v>C112</v>
      </c>
      <c r="E22" s="1" t="str">
        <f aca="false">SUBSTITUTE(TRIM(_xlfn.CONCAT(IF(C111!$E9=E$2,C111!$B$1 &amp; " ", ""), IF(C112!$E9=E$2,C112!$B$1 &amp; " ", ""), IF(C113!$E9=E$2,C113!$B$1 &amp; " ", ""))), " ", ",")</f>
        <v/>
      </c>
      <c r="F22" s="1" t="str">
        <f aca="false">SUBSTITUTE(TRIM(_xlfn.CONCAT(IF(C111!$E9=F$2,C111!$B$1 &amp; " ", ""), IF(C112!$E9=F$2,C112!$B$1 &amp; " ", ""), IF(C113!$E9=F$2,C113!$B$1 &amp; " ", ""))), " ", ",")</f>
        <v/>
      </c>
      <c r="G22" s="1" t="str">
        <f aca="false">SUBSTITUTE(TRIM(_xlfn.CONCAT(IF(C111!$E9=G$2,C111!$B$1 &amp; " ", ""), IF(C112!$E9=G$2,C112!$B$1 &amp; " ", ""), IF(C113!$E9=G$2,C113!$B$1 &amp; " ", ""))), " ", ",")</f>
        <v>C113</v>
      </c>
      <c r="H22" s="1" t="str">
        <f aca="false">SUBSTITUTE(TRIM(_xlfn.CONCAT(IF(C111!$E9=H$2,C111!$B$1 &amp; " ", ""), IF(C112!$E9=H$2,C112!$B$1 &amp; " ", ""), IF(C113!$E9=H$2,C113!$B$1 &amp; " ", ""))), " ", ",")</f>
        <v>C111</v>
      </c>
      <c r="I22" s="1" t="str">
        <f aca="false">SUBSTITUTE(TRIM(_xlfn.CONCAT(IF(C111!$E9=I$2,C111!$B$1 &amp; " ", ""), IF(C112!$E9=I$2,C112!$B$1 &amp; " ", ""), IF(C113!$E9=I$2,C113!$B$1 &amp; " ", ""))), " ", ",")</f>
        <v/>
      </c>
      <c r="J22" s="1" t="str">
        <f aca="false">SUBSTITUTE(TRIM(_xlfn.CONCAT(IF(C111!$E9=J$2,C111!$B$1 &amp; " ", ""), IF(C112!$E9=J$2,C112!$B$1 &amp; " ", ""), IF(C113!$E9=J$2,C113!$B$1 &amp; " ", ""))), " ", ",")</f>
        <v/>
      </c>
      <c r="K22" s="1" t="str">
        <f aca="false">SUBSTITUTE(TRIM(_xlfn.CONCAT(IF(C111!$E9=K$2,C111!$B$1 &amp; " ", ""), IF(C112!$E9=K$2,C112!$B$1 &amp; " ", ""), IF(C113!$E9=K$2,C113!$B$1 &amp; " ", ""))), " ", ",")</f>
        <v/>
      </c>
      <c r="L22" s="1" t="str">
        <f aca="false">SUBSTITUTE(TRIM(_xlfn.CONCAT(IF(C111!$E9=L$2,C111!$B$1 &amp; " ", ""), IF(C112!$E9=L$2,C112!$B$1 &amp; " ", ""), IF(C113!$E9=L$2,C113!$B$1 &amp; " ", ""))), " ", ",")</f>
        <v/>
      </c>
    </row>
    <row r="23" customFormat="false" ht="12.8" hidden="false" customHeight="false" outlineLevel="0" collapsed="false"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2.8" hidden="false" customHeight="false" outlineLevel="0" collapsed="false">
      <c r="B24" s="1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7" customFormat="false" ht="12.8" hidden="false" customHeight="false" outlineLevel="0" collapsed="false">
      <c r="B27" s="20" t="s">
        <v>49</v>
      </c>
      <c r="C27" s="20" t="s">
        <v>34</v>
      </c>
      <c r="D27" s="20" t="s">
        <v>35</v>
      </c>
      <c r="E27" s="20" t="s">
        <v>36</v>
      </c>
      <c r="F27" s="20" t="s">
        <v>37</v>
      </c>
      <c r="G27" s="20" t="s">
        <v>38</v>
      </c>
      <c r="H27" s="20" t="s">
        <v>39</v>
      </c>
      <c r="I27" s="20" t="s">
        <v>40</v>
      </c>
      <c r="J27" s="20" t="s">
        <v>41</v>
      </c>
      <c r="K27" s="20" t="s">
        <v>42</v>
      </c>
      <c r="L27" s="20" t="s">
        <v>28</v>
      </c>
    </row>
    <row r="28" customFormat="false" ht="12.8" hidden="false" customHeight="false" outlineLevel="0" collapsed="false">
      <c r="B28" s="1" t="s">
        <v>43</v>
      </c>
      <c r="C28" s="1" t="str">
        <f aca="false">SUBSTITUTE(TRIM(_xlfn.CONCAT(IF(C111!$F5=C$2,C111!$B$1 &amp; " ", ""), IF(C112!$F5=C$2,C112!$B$1 &amp; " ", ""), IF(C113!$F5=C$2,C113!$B$1 &amp; " ", ""))), " ", ",")</f>
        <v>C113</v>
      </c>
      <c r="D28" s="1" t="str">
        <f aca="false">SUBSTITUTE(TRIM(_xlfn.CONCAT(IF(C111!$F5=D$2,C111!$B$1 &amp; " ", ""), IF(C112!$F5=D$2,C112!$B$1 &amp; " ", ""), IF(C113!$F5=D$2,C113!$B$1 &amp; " ", ""))), " ", ",")</f>
        <v/>
      </c>
      <c r="E28" s="1" t="str">
        <f aca="false">SUBSTITUTE(TRIM(_xlfn.CONCAT(IF(C111!$F5=E$2,C111!$B$1 &amp; " ", ""), IF(C112!$F5=E$2,C112!$B$1 &amp; " ", ""), IF(C113!$F5=E$2,C113!$B$1 &amp; " ", ""))), " ", ",")</f>
        <v/>
      </c>
      <c r="F28" s="1" t="str">
        <f aca="false">SUBSTITUTE(TRIM(_xlfn.CONCAT(IF(C111!$F5=F$2,C111!$B$1 &amp; " ", ""), IF(C112!$F5=F$2,C112!$B$1 &amp; " ", ""), IF(C113!$F5=F$2,C113!$B$1 &amp; " ", ""))), " ", ",")</f>
        <v/>
      </c>
      <c r="G28" s="1" t="str">
        <f aca="false">SUBSTITUTE(TRIM(_xlfn.CONCAT(IF(C111!$F5=G$2,C111!$B$1 &amp; " ", ""), IF(C112!$F5=G$2,C112!$B$1 &amp; " ", ""), IF(C113!$F5=G$2,C113!$B$1 &amp; " ", ""))), " ", ",")</f>
        <v>C112</v>
      </c>
      <c r="H28" s="1" t="str">
        <f aca="false">SUBSTITUTE(TRIM(_xlfn.CONCAT(IF(C111!$F5=H$2,C111!$B$1 &amp; " ", ""), IF(C112!$F5=H$2,C112!$B$1 &amp; " ", ""), IF(C113!$F5=H$2,C113!$B$1 &amp; " ", ""))), " ", ",")</f>
        <v>C111</v>
      </c>
      <c r="I28" s="1" t="str">
        <f aca="false">SUBSTITUTE(TRIM(_xlfn.CONCAT(IF(C111!$F5=I$2,C111!$B$1 &amp; " ", ""), IF(C112!$F5=I$2,C112!$B$1 &amp; " ", ""), IF(C113!$F5=I$2,C113!$B$1 &amp; " ", ""))), " ", ",")</f>
        <v/>
      </c>
      <c r="J28" s="1" t="str">
        <f aca="false">SUBSTITUTE(TRIM(_xlfn.CONCAT(IF(C111!$F5=J$2,C111!$B$1 &amp; " ", ""), IF(C112!$F5=J$2,C112!$B$1 &amp; " ", ""), IF(C113!$F5=J$2,C113!$B$1 &amp; " ", ""))), " ", ",")</f>
        <v/>
      </c>
      <c r="K28" s="1" t="str">
        <f aca="false">SUBSTITUTE(TRIM(_xlfn.CONCAT(IF(C111!$F5=K$2,C111!$B$1 &amp; " ", ""), IF(C112!$F5=K$2,C112!$B$1 &amp; " ", ""), IF(C113!$F5=K$2,C113!$B$1 &amp; " ", ""))), " ", ",")</f>
        <v/>
      </c>
      <c r="L28" s="1" t="str">
        <f aca="false">SUBSTITUTE(TRIM(_xlfn.CONCAT(IF(C111!$F5=L$2,C111!$B$1 &amp; " ", ""), IF(C112!$F5=L$2,C112!$B$1 &amp; " ", ""), IF(C113!$F5=L$2,C113!$B$1 &amp; " ", ""))), " ", ",")</f>
        <v/>
      </c>
    </row>
    <row r="29" customFormat="false" ht="12.8" hidden="false" customHeight="false" outlineLevel="0" collapsed="false">
      <c r="B29" s="1" t="s">
        <v>44</v>
      </c>
      <c r="C29" s="1" t="str">
        <f aca="false">SUBSTITUTE(TRIM(_xlfn.CONCAT(IF(C111!$F7=C$2,C111!$B$1 &amp; " ", ""), IF(C112!$F7=C$2,C112!$B$1 &amp; " ", ""), IF(C113!$F7=C$2,C113!$B$1 &amp; " ", ""))), " ", ",")</f>
        <v>C113</v>
      </c>
      <c r="D29" s="1" t="str">
        <f aca="false">SUBSTITUTE(TRIM(_xlfn.CONCAT(IF(C111!$F7=D$2,C111!$B$1 &amp; " ", ""), IF(C112!$F7=D$2,C112!$B$1 &amp; " ", ""), IF(C113!$F7=D$2,C113!$B$1 &amp; " ", ""))), " ", ",")</f>
        <v/>
      </c>
      <c r="E29" s="1" t="str">
        <f aca="false">SUBSTITUTE(TRIM(_xlfn.CONCAT(IF(C111!$F7=E$2,C111!$B$1 &amp; " ", ""), IF(C112!$F7=E$2,C112!$B$1 &amp; " ", ""), IF(C113!$F7=E$2,C113!$B$1 &amp; " ", ""))), " ", ",")</f>
        <v/>
      </c>
      <c r="F29" s="1" t="str">
        <f aca="false">SUBSTITUTE(TRIM(_xlfn.CONCAT(IF(C111!$F7=F$2,C111!$B$1 &amp; " ", ""), IF(C112!$F7=F$2,C112!$B$1 &amp; " ", ""), IF(C113!$F7=F$2,C113!$B$1 &amp; " ", ""))), " ", ",")</f>
        <v/>
      </c>
      <c r="G29" s="1" t="str">
        <f aca="false">SUBSTITUTE(TRIM(_xlfn.CONCAT(IF(C111!$F7=G$2,C111!$B$1 &amp; " ", ""), IF(C112!$F7=G$2,C112!$B$1 &amp; " ", ""), IF(C113!$F7=G$2,C113!$B$1 &amp; " ", ""))), " ", ",")</f>
        <v>C112</v>
      </c>
      <c r="H29" s="1" t="str">
        <f aca="false">SUBSTITUTE(TRIM(_xlfn.CONCAT(IF(C111!$F7=H$2,C111!$B$1 &amp; " ", ""), IF(C112!$F7=H$2,C112!$B$1 &amp; " ", ""), IF(C113!$F7=H$2,C113!$B$1 &amp; " ", ""))), " ", ",")</f>
        <v>C111</v>
      </c>
      <c r="I29" s="1" t="str">
        <f aca="false">SUBSTITUTE(TRIM(_xlfn.CONCAT(IF(C111!$F7=I$2,C111!$B$1 &amp; " ", ""), IF(C112!$F7=I$2,C112!$B$1 &amp; " ", ""), IF(C113!$F7=I$2,C113!$B$1 &amp; " ", ""))), " ", ",")</f>
        <v/>
      </c>
      <c r="J29" s="1" t="str">
        <f aca="false">SUBSTITUTE(TRIM(_xlfn.CONCAT(IF(C111!$F7=J$2,C111!$B$1 &amp; " ", ""), IF(C112!$F7=J$2,C112!$B$1 &amp; " ", ""), IF(C113!$F7=J$2,C113!$B$1 &amp; " ", ""))), " ", ",")</f>
        <v/>
      </c>
      <c r="K29" s="1" t="str">
        <f aca="false">SUBSTITUTE(TRIM(_xlfn.CONCAT(IF(C111!$F7=K$2,C111!$B$1 &amp; " ", ""), IF(C112!$F7=K$2,C112!$B$1 &amp; " ", ""), IF(C113!$F7=K$2,C113!$B$1 &amp; " ", ""))), " ", ",")</f>
        <v/>
      </c>
      <c r="L29" s="1" t="str">
        <f aca="false">SUBSTITUTE(TRIM(_xlfn.CONCAT(IF(C111!$F7=L$2,C111!$B$1 &amp; " ", ""), IF(C112!$F7=L$2,C112!$B$1 &amp; " ", ""), IF(C113!$F7=L$2,C113!$B$1 &amp; " ", ""))), " ", ",")</f>
        <v/>
      </c>
    </row>
    <row r="30" customFormat="false" ht="12.8" hidden="false" customHeight="false" outlineLevel="0" collapsed="false">
      <c r="B30" s="1" t="s">
        <v>45</v>
      </c>
      <c r="C30" s="1" t="str">
        <f aca="false">SUBSTITUTE(TRIM(_xlfn.CONCAT(IF(C111!$F9=C$2,C111!$B$1 &amp; " ", ""), IF(C112!$F9=C$2,C112!$B$1 &amp; " ", ""), IF(C113!$F9=C$2,C113!$B$1 &amp; " ", ""))), " ", ",")</f>
        <v>C113</v>
      </c>
      <c r="D30" s="1" t="str">
        <f aca="false">SUBSTITUTE(TRIM(_xlfn.CONCAT(IF(C111!$F9=D$2,C111!$B$1 &amp; " ", ""), IF(C112!$F9=D$2,C112!$B$1 &amp; " ", ""), IF(C113!$F9=D$2,C113!$B$1 &amp; " ", ""))), " ", ",")</f>
        <v/>
      </c>
      <c r="E30" s="1" t="str">
        <f aca="false">SUBSTITUTE(TRIM(_xlfn.CONCAT(IF(C111!$F9=E$2,C111!$B$1 &amp; " ", ""), IF(C112!$F9=E$2,C112!$B$1 &amp; " ", ""), IF(C113!$F9=E$2,C113!$B$1 &amp; " ", ""))), " ", ",")</f>
        <v/>
      </c>
      <c r="F30" s="1" t="str">
        <f aca="false">SUBSTITUTE(TRIM(_xlfn.CONCAT(IF(C111!$F9=F$2,C111!$B$1 &amp; " ", ""), IF(C112!$F9=F$2,C112!$B$1 &amp; " ", ""), IF(C113!$F9=F$2,C113!$B$1 &amp; " ", ""))), " ", ",")</f>
        <v/>
      </c>
      <c r="G30" s="1" t="str">
        <f aca="false">SUBSTITUTE(TRIM(_xlfn.CONCAT(IF(C111!$F9=G$2,C111!$B$1 &amp; " ", ""), IF(C112!$F9=G$2,C112!$B$1 &amp; " ", ""), IF(C113!$F9=G$2,C113!$B$1 &amp; " ", ""))), " ", ",")</f>
        <v>C112</v>
      </c>
      <c r="H30" s="1" t="str">
        <f aca="false">SUBSTITUTE(TRIM(_xlfn.CONCAT(IF(C111!$F9=H$2,C111!$B$1 &amp; " ", ""), IF(C112!$F9=H$2,C112!$B$1 &amp; " ", ""), IF(C113!$F9=H$2,C113!$B$1 &amp; " ", ""))), " ", ",")</f>
        <v>C111</v>
      </c>
      <c r="I30" s="1" t="str">
        <f aca="false">SUBSTITUTE(TRIM(_xlfn.CONCAT(IF(C111!$F9=I$2,C111!$B$1 &amp; " ", ""), IF(C112!$F9=I$2,C112!$B$1 &amp; " ", ""), IF(C113!$F9=I$2,C113!$B$1 &amp; " ", ""))), " ", ",")</f>
        <v/>
      </c>
      <c r="J30" s="1" t="str">
        <f aca="false">SUBSTITUTE(TRIM(_xlfn.CONCAT(IF(C111!$F9=J$2,C111!$B$1 &amp; " ", ""), IF(C112!$F9=J$2,C112!$B$1 &amp; " ", ""), IF(C113!$F9=J$2,C113!$B$1 &amp; " ", ""))), " ", ",")</f>
        <v/>
      </c>
      <c r="K30" s="1" t="str">
        <f aca="false">SUBSTITUTE(TRIM(_xlfn.CONCAT(IF(C111!$F9=K$2,C111!$B$1 &amp; " ", ""), IF(C112!$F9=K$2,C112!$B$1 &amp; " ", ""), IF(C113!$F9=K$2,C113!$B$1 &amp; " ", ""))), " ", ",")</f>
        <v/>
      </c>
      <c r="L30" s="1" t="str">
        <f aca="false">SUBSTITUTE(TRIM(_xlfn.CONCAT(IF(C111!$F9=L$2,C111!$B$1 &amp; " ", ""), IF(C112!$F9=L$2,C112!$B$1 &amp; " ", ""), IF(C113!$F9=L$2,C113!$B$1 &amp; " ", ""))), " ", ",")</f>
        <v/>
      </c>
    </row>
    <row r="31" customFormat="false" ht="12.8" hidden="false" customHeight="false" outlineLevel="0" collapsed="false">
      <c r="B31" s="1" t="s">
        <v>46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2.8" hidden="false" customHeight="false" outlineLevel="0" collapsed="false">
      <c r="B32" s="1" t="s">
        <v>47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2.8" hidden="false" customHeight="false" outlineLevel="0" collapsed="false">
      <c r="B33" s="1" t="s">
        <v>48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5" customFormat="false" ht="12.8" hidden="false" customHeight="false" outlineLevel="0" collapsed="false">
      <c r="B35" s="20" t="s">
        <v>6</v>
      </c>
      <c r="C35" s="20" t="s">
        <v>34</v>
      </c>
      <c r="D35" s="20" t="s">
        <v>35</v>
      </c>
      <c r="E35" s="20" t="s">
        <v>36</v>
      </c>
      <c r="F35" s="20" t="s">
        <v>37</v>
      </c>
      <c r="G35" s="20" t="s">
        <v>38</v>
      </c>
      <c r="H35" s="20" t="s">
        <v>39</v>
      </c>
      <c r="I35" s="20" t="s">
        <v>40</v>
      </c>
      <c r="J35" s="20" t="s">
        <v>41</v>
      </c>
      <c r="K35" s="20" t="s">
        <v>42</v>
      </c>
      <c r="L35" s="20" t="s">
        <v>28</v>
      </c>
    </row>
    <row r="36" customFormat="false" ht="12.8" hidden="false" customHeight="false" outlineLevel="0" collapsed="false">
      <c r="B36" s="1" t="s">
        <v>43</v>
      </c>
      <c r="C36" s="1" t="str">
        <f aca="false">SUBSTITUTE(TRIM(_xlfn.CONCAT(IF(C111!$G5=C$2,C111!$B$1 &amp; " ", ""), IF(C112!$G5=C$2,C112!$B$1 &amp; " ", ""), IF(C113!$G5=C$2,C113!$B$1 &amp; " ", ""))), " ", ",")</f>
        <v/>
      </c>
      <c r="D36" s="1" t="str">
        <f aca="false">SUBSTITUTE(TRIM(_xlfn.CONCAT(IF(C111!$G5=D$2,C111!$B$1 &amp; " ", ""), IF(C112!$G5=D$2,C112!$B$1 &amp; " ", ""), IF(C113!$G5=D$2,C113!$B$1 &amp; " ", ""))), " ", ",")</f>
        <v/>
      </c>
      <c r="E36" s="1" t="str">
        <f aca="false">SUBSTITUTE(TRIM(_xlfn.CONCAT(IF(C111!$G5=E$2,C111!$B$1 &amp; " ", ""), IF(C112!$G5=E$2,C112!$B$1 &amp; " ", ""), IF(C113!$G5=E$2,C113!$B$1 &amp; " ", ""))), " ", ",")</f>
        <v/>
      </c>
      <c r="F36" s="1" t="str">
        <f aca="false">SUBSTITUTE(TRIM(_xlfn.CONCAT(IF(C111!$G5=F$2,C111!$B$1 &amp; " ", ""), IF(C112!$G5=F$2,C112!$B$1 &amp; " ", ""), IF(C113!$G5=F$2,C113!$B$1 &amp; " ", ""))), " ", ",")</f>
        <v/>
      </c>
      <c r="G36" s="1"/>
      <c r="H36" s="1" t="str">
        <f aca="false">SUBSTITUTE(TRIM(_xlfn.CONCAT(IF(C111!$G5=H$2,C111!$B$1 &amp; " ", ""), IF(C112!$G5=H$2,C112!$B$1 &amp; " ", ""), IF(C113!$G5=H$2,C113!$B$1 &amp; " ", ""))), " ", ",")</f>
        <v/>
      </c>
      <c r="I36" s="1" t="str">
        <f aca="false">SUBSTITUTE(TRIM(_xlfn.CONCAT(IF(C111!$G5=I$2,C111!$B$1 &amp; " ", ""), IF(C112!$G5=I$2,C112!$B$1 &amp; " ", ""), IF(C113!$G5=I$2,C113!$B$1 &amp; " ", ""))), " ", ",")</f>
        <v/>
      </c>
      <c r="J36" s="1" t="str">
        <f aca="false">SUBSTITUTE(TRIM(_xlfn.CONCAT(IF(C111!$G5=J$2,C111!$B$1 &amp; " ", ""), IF(C112!$G5=J$2,C112!$B$1 &amp; " ", ""), IF(C113!$G5=J$2,C113!$B$1 &amp; " ", ""))), " ", ",")</f>
        <v/>
      </c>
      <c r="K36" s="1" t="str">
        <f aca="false">SUBSTITUTE(TRIM(_xlfn.CONCAT(IF(C111!$G5=K$2,C111!$B$1 &amp; " ", ""), IF(C112!$G5=K$2,C112!$B$1 &amp; " ", ""), IF(C113!$G5=K$2,C113!$B$1 &amp; " ", ""))), " ", ",")</f>
        <v/>
      </c>
      <c r="L36" s="1" t="str">
        <f aca="false">SUBSTITUTE(TRIM(_xlfn.CONCAT(IF(C111!$G5=L$2,C111!$B$1 &amp; " ", ""), IF(C112!$G5=L$2,C112!$B$1 &amp; " ", ""), IF(C113!$G5=L$2,C113!$B$1 &amp; " ", ""))), " ", ",")</f>
        <v/>
      </c>
    </row>
    <row r="37" customFormat="false" ht="12.8" hidden="false" customHeight="false" outlineLevel="0" collapsed="false">
      <c r="B37" s="1" t="s">
        <v>44</v>
      </c>
      <c r="C37" s="1" t="str">
        <f aca="false">SUBSTITUTE(TRIM(_xlfn.CONCAT(IF(C111!$G7=C$2,C111!$B$1 &amp; " ", ""), IF(C112!$G7=C$2,C112!$B$1 &amp; " ", ""), IF(C113!$G7=C$2,C113!$B$1 &amp; " ", ""))), " ", ",")</f>
        <v/>
      </c>
      <c r="D37" s="1" t="str">
        <f aca="false">SUBSTITUTE(TRIM(_xlfn.CONCAT(IF(C111!$G7=D$2,C111!$B$1 &amp; " ", ""), IF(C112!$G7=D$2,C112!$B$1 &amp; " ", ""), IF(C113!$G7=D$2,C113!$B$1 &amp; " ", ""))), " ", ",")</f>
        <v/>
      </c>
      <c r="E37" s="1" t="str">
        <f aca="false">SUBSTITUTE(TRIM(_xlfn.CONCAT(IF(C111!$G7=E$2,C111!$B$1 &amp; " ", ""), IF(C112!$G7=E$2,C112!$B$1 &amp; " ", ""), IF(C113!$G7=E$2,C113!$B$1 &amp; " ", ""))), " ", ",")</f>
        <v/>
      </c>
      <c r="F37" s="1" t="str">
        <f aca="false">SUBSTITUTE(TRIM(_xlfn.CONCAT(IF(C111!$G7=F$2,C111!$B$1 &amp; " ", ""), IF(C112!$G7=F$2,C112!$B$1 &amp; " ", ""), IF(C113!$G7=F$2,C113!$B$1 &amp; " ", ""))), " ", ",")</f>
        <v/>
      </c>
      <c r="G37" s="1" t="str">
        <f aca="false">SUBSTITUTE(TRIM(_xlfn.CONCAT(IF(C111!$G7=G$2,C111!$B$1 &amp; " ", ""), IF(C112!$G7=G$2,C112!$B$1 &amp; " ", ""), IF(C113!$G7=G$2,C113!$B$1 &amp; " ", ""))), " ", ",")</f>
        <v/>
      </c>
      <c r="H37" s="1" t="str">
        <f aca="false">SUBSTITUTE(TRIM(_xlfn.CONCAT(IF(C111!$G7=H$2,C111!$B$1 &amp; " ", ""), IF(C112!$G7=H$2,C112!$B$1 &amp; " ", ""), IF(C113!$G7=H$2,C113!$B$1 &amp; " ", ""))), " ", ",")</f>
        <v/>
      </c>
      <c r="I37" s="1" t="str">
        <f aca="false">SUBSTITUTE(TRIM(_xlfn.CONCAT(IF(C111!$G7=I$2,C111!$B$1 &amp; " ", ""), IF(C112!$G7=I$2,C112!$B$1 &amp; " ", ""), IF(C113!$G7=I$2,C113!$B$1 &amp; " ", ""))), " ", ",")</f>
        <v/>
      </c>
      <c r="J37" s="1" t="str">
        <f aca="false">SUBSTITUTE(TRIM(_xlfn.CONCAT(IF(C111!$G7=J$2,C111!$B$1 &amp; " ", ""), IF(C112!$G7=J$2,C112!$B$1 &amp; " ", ""), IF(C113!$G7=J$2,C113!$B$1 &amp; " ", ""))), " ", ",")</f>
        <v/>
      </c>
      <c r="K37" s="1" t="str">
        <f aca="false">SUBSTITUTE(TRIM(_xlfn.CONCAT(IF(C111!$G7=K$2,C111!$B$1 &amp; " ", ""), IF(C112!$G7=K$2,C112!$B$1 &amp; " ", ""), IF(C113!$G7=K$2,C113!$B$1 &amp; " ", ""))), " ", ",")</f>
        <v/>
      </c>
      <c r="L37" s="1" t="str">
        <f aca="false">SUBSTITUTE(TRIM(_xlfn.CONCAT(IF(C111!$G7=L$2,C111!$B$1 &amp; " ", ""), IF(C112!$G7=L$2,C112!$B$1 &amp; " ", ""), IF(C113!$G7=L$2,C113!$B$1 &amp; " ", ""))), " ", ",")</f>
        <v>C112</v>
      </c>
    </row>
    <row r="38" customFormat="false" ht="12.8" hidden="false" customHeight="false" outlineLevel="0" collapsed="false">
      <c r="B38" s="1" t="s">
        <v>45</v>
      </c>
      <c r="C38" s="1" t="str">
        <f aca="false">SUBSTITUTE(TRIM(_xlfn.CONCAT(IF(C111!$G9=C$2,C111!$B$1 &amp; " ", ""), IF(C112!$G9=C$2,C112!$B$1 &amp; " ", ""), IF(C113!$G9=C$2,C113!$B$1 &amp; " ", ""))), " ", ",")</f>
        <v/>
      </c>
      <c r="D38" s="1" t="str">
        <f aca="false">SUBSTITUTE(TRIM(_xlfn.CONCAT(IF(C111!$G9=D$2,C111!$B$1 &amp; " ", ""), IF(C112!$G9=D$2,C112!$B$1 &amp; " ", ""), IF(C113!$G9=D$2,C113!$B$1 &amp; " ", ""))), " ", ",")</f>
        <v/>
      </c>
      <c r="E38" s="1" t="str">
        <f aca="false">SUBSTITUTE(TRIM(_xlfn.CONCAT(IF(C111!$G9=E$2,C111!$B$1 &amp; " ", ""), IF(C112!$G9=E$2,C112!$B$1 &amp; " ", ""), IF(C113!$G9=E$2,C113!$B$1 &amp; " ", ""))), " ", ",")</f>
        <v/>
      </c>
      <c r="F38" s="1" t="str">
        <f aca="false">SUBSTITUTE(TRIM(_xlfn.CONCAT(IF(C111!$G9=F$2,C111!$B$1 &amp; " ", ""), IF(C112!$G9=F$2,C112!$B$1 &amp; " ", ""), IF(C113!$G9=F$2,C113!$B$1 &amp; " ", ""))), " ", ",")</f>
        <v/>
      </c>
      <c r="G38" s="1" t="str">
        <f aca="false">SUBSTITUTE(TRIM(_xlfn.CONCAT(IF(C111!$G9=G$2,C111!$B$1 &amp; " ", ""), IF(C112!$G9=G$2,C112!$B$1 &amp; " ", ""), IF(C113!$G9=G$2,C113!$B$1 &amp; " ", ""))), " ", ",")</f>
        <v>C111</v>
      </c>
      <c r="H38" s="1" t="str">
        <f aca="false">SUBSTITUTE(TRIM(_xlfn.CONCAT(IF(C111!$G9=H$2,C111!$B$1 &amp; " ", ""), IF(C112!$G9=H$2,C112!$B$1 &amp; " ", ""), IF(C113!$G9=H$2,C113!$B$1 &amp; " ", ""))), " ", ",")</f>
        <v/>
      </c>
      <c r="I38" s="1" t="str">
        <f aca="false">SUBSTITUTE(TRIM(_xlfn.CONCAT(IF(C111!$G9=I$2,C111!$B$1 &amp; " ", ""), IF(C112!$G9=I$2,C112!$B$1 &amp; " ", ""), IF(C113!$G9=I$2,C113!$B$1 &amp; " ", ""))), " ", ",")</f>
        <v/>
      </c>
      <c r="J38" s="1" t="str">
        <f aca="false">SUBSTITUTE(TRIM(_xlfn.CONCAT(IF(C111!$G9=J$2,C111!$B$1 &amp; " ", ""), IF(C112!$G9=J$2,C112!$B$1 &amp; " ", ""), IF(C113!$G9=J$2,C113!$B$1 &amp; " ", ""))), " ", ",")</f>
        <v/>
      </c>
      <c r="K38" s="1" t="str">
        <f aca="false">SUBSTITUTE(TRIM(_xlfn.CONCAT(IF(C111!$G9=K$2,C111!$B$1 &amp; " ", ""), IF(C112!$G9=K$2,C112!$B$1 &amp; " ", ""), IF(C113!$G9=K$2,C113!$B$1 &amp; " ", ""))), " ", ",")</f>
        <v/>
      </c>
      <c r="L38" s="1" t="str">
        <f aca="false">SUBSTITUTE(TRIM(_xlfn.CONCAT(IF(C111!$G9=L$2,C111!$B$1 &amp; " ", ""), IF(C112!$G9=L$2,C112!$B$1 &amp; " ", ""), IF(C113!$G9=L$2,C113!$B$1 &amp; " ", ""))), " ", ",")</f>
        <v>C113</v>
      </c>
    </row>
    <row r="39" customFormat="false" ht="12.8" hidden="false" customHeight="false" outlineLevel="0" collapsed="false">
      <c r="B39" s="1" t="s">
        <v>46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2.8" hidden="false" customHeight="false" outlineLevel="0" collapsed="false">
      <c r="B40" s="1" t="s">
        <v>47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2.8" hidden="false" customHeight="false" outlineLevel="0" collapsed="false">
      <c r="B41" s="1" t="s">
        <v>48</v>
      </c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conditionalFormatting sqref="C4:L9">
    <cfRule type="containsText" priority="2" operator="containsText" aboveAverage="0" equalAverage="0" bottom="0" percent="0" rank="0" text="C1" dxfId="6">
      <formula>NOT(ISERROR(SEARCH("C1",C4)))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2025-09-13T01:14:24Z</dcterms:created>
  <dc:creator/>
  <dc:description/>
  <dc:language>en-US</dc:language>
  <cp:lastModifiedBy/>
  <dcterms:modified xsi:type="dcterms:W3CDTF">2026-07-03T15:46:21Z</dcterms:modified>
  <cp:revision>36</cp:revision>
  <dc:subject/>
  <dc:title/>
</cp:coreProperties>
</file>