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ó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atos" sheetId="4" state="hidden" r:id="rId4"/>
  </sheets>
  <definedNames>
    <definedName name="ProfesoresValidos">'Datos'!$A$1:$A$5</definedName>
    <definedName name="ProfesoresTabla">'Datos'!$A$1:$D$5</definedName>
    <definedName name="CargaPorProfesor">'Datos'!$F$1:$J$10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ck"/>
    </border>
    <border>
      <left style="thin"/>
      <right style="thin"/>
      <top style="thin"/>
      <bottom style="thick"/>
    </border>
    <border>
      <left style="thin"/>
      <right style="medium"/>
      <top style="thin"/>
      <bottom style="thick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0" fontId="0" fillId="0" borderId="5" applyAlignment="1" pivotButton="0" quotePrefix="0" xfId="0">
      <alignment horizontal="left" vertical="center" indent="1"/>
    </xf>
    <xf numFmtId="0" fontId="0" fillId="0" borderId="6" applyAlignment="1" pivotButton="0" quotePrefix="0" xfId="0">
      <alignment horizontal="left" vertical="center" indent="1"/>
    </xf>
    <xf numFmtId="0" fontId="0" fillId="0" borderId="10" applyAlignment="1" pivotButton="0" quotePrefix="0" xfId="0">
      <alignment horizontal="left" vertical="center" indent="1"/>
    </xf>
    <xf numFmtId="0" fontId="0" fillId="0" borderId="11" applyAlignment="1" pivotButton="0" quotePrefix="0" xfId="0">
      <alignment horizontal="left" vertical="center" indent="1"/>
    </xf>
    <xf numFmtId="0" fontId="0" fillId="0" borderId="12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0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5" borderId="5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9" customWidth="1" min="2" max="2"/>
    <col width="8" customWidth="1" min="3" max="3"/>
    <col width="9" customWidth="1" min="4" max="4"/>
    <col width="9" customWidth="1" min="5" max="5"/>
    <col width="12" customWidth="1" min="6" max="6"/>
    <col width="24" customWidth="1" min="7" max="7"/>
  </cols>
  <sheetData>
    <row r="1">
      <c r="A1" s="1" t="inlineStr">
        <is>
          <t>Asignación — Matemática Aplicada — 2026-2027 / 1</t>
        </is>
      </c>
    </row>
    <row r="2"/>
    <row r="3">
      <c r="A3" s="2" t="inlineStr">
        <is>
          <t>Asignatura</t>
        </is>
      </c>
      <c r="B3" s="3" t="inlineStr">
        <is>
          <t>Carrera</t>
        </is>
      </c>
      <c r="C3" s="3" t="inlineStr">
        <is>
          <t>Tipo</t>
        </is>
      </c>
      <c r="D3" s="3" t="inlineStr">
        <is>
          <t>Grupo</t>
        </is>
      </c>
      <c r="E3" s="3" t="inlineStr">
        <is>
          <t>Horas</t>
        </is>
      </c>
      <c r="F3" s="3" t="inlineStr">
        <is>
          <t>Profesor</t>
        </is>
      </c>
      <c r="G3" s="4" t="inlineStr">
        <is>
          <t>Nombre</t>
        </is>
      </c>
    </row>
    <row r="4" ht="22" customHeight="1">
      <c r="A4" s="5" t="inlineStr">
        <is>
          <t>Estadística (CC)</t>
        </is>
      </c>
      <c r="B4" s="6" t="inlineStr">
        <is>
          <t>Ciencia de la Computación</t>
        </is>
      </c>
      <c r="C4" s="6" t="inlineStr">
        <is>
          <t>Conf</t>
        </is>
      </c>
      <c r="D4" s="6" t="inlineStr">
        <is>
          <t>-</t>
        </is>
      </c>
      <c r="E4" s="6" t="n">
        <v>32</v>
      </c>
      <c r="F4" s="6" t="n"/>
      <c r="G4" s="7">
        <f>IF(F4="","",IFERROR(VLOOKUP(F4,ProfesoresTabla,2,0),"(desconocido)"))</f>
        <v/>
      </c>
    </row>
    <row r="5" ht="22" customHeight="1">
      <c r="A5" s="5" t="inlineStr">
        <is>
          <t>Estadística (CC)</t>
        </is>
      </c>
      <c r="B5" s="6" t="inlineStr">
        <is>
          <t>Ciencia de la Computación</t>
        </is>
      </c>
      <c r="C5" s="6" t="inlineStr">
        <is>
          <t>CP</t>
        </is>
      </c>
      <c r="D5" s="6" t="n">
        <v>1</v>
      </c>
      <c r="E5" s="6" t="n">
        <v>32</v>
      </c>
      <c r="F5" s="6" t="n"/>
      <c r="G5" s="7">
        <f>IF(F5="","",IFERROR(VLOOKUP(F5,ProfesoresTabla,2,0),"(desconocido)"))</f>
        <v/>
      </c>
    </row>
    <row r="6" ht="22" customHeight="1">
      <c r="A6" s="8" t="inlineStr">
        <is>
          <t>Estadística (CC)</t>
        </is>
      </c>
      <c r="B6" s="9" t="inlineStr">
        <is>
          <t>Ciencia de la Computación</t>
        </is>
      </c>
      <c r="C6" s="9" t="inlineStr">
        <is>
          <t>CP</t>
        </is>
      </c>
      <c r="D6" s="9" t="n">
        <v>2</v>
      </c>
      <c r="E6" s="9" t="n">
        <v>32</v>
      </c>
      <c r="F6" s="9" t="n"/>
      <c r="G6" s="10">
        <f>IF(F6="","",IFERROR(VLOOKUP(F6,ProfesoresTabla,2,0),"(desconocido)"))</f>
        <v/>
      </c>
    </row>
    <row r="7" ht="22" customHeight="1">
      <c r="A7" s="5" t="inlineStr">
        <is>
          <t>Estadística (Mat)</t>
        </is>
      </c>
      <c r="B7" s="6" t="inlineStr">
        <is>
          <t>Matemática</t>
        </is>
      </c>
      <c r="C7" s="6" t="inlineStr">
        <is>
          <t>Conf</t>
        </is>
      </c>
      <c r="D7" s="6" t="inlineStr">
        <is>
          <t>-</t>
        </is>
      </c>
      <c r="E7" s="6" t="n">
        <v>32</v>
      </c>
      <c r="F7" s="6" t="n"/>
      <c r="G7" s="7">
        <f>IF(F7="","",IFERROR(VLOOKUP(F7,ProfesoresTabla,2,0),"(desconocido)"))</f>
        <v/>
      </c>
    </row>
    <row r="8" ht="22" customHeight="1">
      <c r="A8" s="8" t="inlineStr">
        <is>
          <t>Estadística (Mat)</t>
        </is>
      </c>
      <c r="B8" s="9" t="inlineStr">
        <is>
          <t>Matemática</t>
        </is>
      </c>
      <c r="C8" s="9" t="inlineStr">
        <is>
          <t>CP</t>
        </is>
      </c>
      <c r="D8" s="9" t="n">
        <v>1</v>
      </c>
      <c r="E8" s="9" t="n">
        <v>32</v>
      </c>
      <c r="F8" s="9" t="n"/>
      <c r="G8" s="10">
        <f>IF(F8="","",IFERROR(VLOOKUP(F8,ProfesoresTabla,2,0),"(desconocido)"))</f>
        <v/>
      </c>
    </row>
    <row r="9" ht="22" customHeight="1">
      <c r="A9" s="5" t="inlineStr">
        <is>
          <t>Análisis Numérico (CD)</t>
        </is>
      </c>
      <c r="B9" s="6" t="inlineStr">
        <is>
          <t>Ciencia de Datos</t>
        </is>
      </c>
      <c r="C9" s="6" t="inlineStr">
        <is>
          <t>Conf</t>
        </is>
      </c>
      <c r="D9" s="6" t="inlineStr">
        <is>
          <t>-</t>
        </is>
      </c>
      <c r="E9" s="6" t="n">
        <v>48</v>
      </c>
      <c r="F9" s="6" t="n"/>
      <c r="G9" s="7">
        <f>IF(F9="","",IFERROR(VLOOKUP(F9,ProfesoresTabla,2,0),"(desconocido)"))</f>
        <v/>
      </c>
    </row>
    <row r="10" ht="22" customHeight="1">
      <c r="A10" s="5" t="inlineStr">
        <is>
          <t>Análisis Numérico (CD)</t>
        </is>
      </c>
      <c r="B10" s="6" t="inlineStr">
        <is>
          <t>Ciencia de Datos</t>
        </is>
      </c>
      <c r="C10" s="6" t="inlineStr">
        <is>
          <t>CP</t>
        </is>
      </c>
      <c r="D10" s="6" t="n">
        <v>1</v>
      </c>
      <c r="E10" s="6" t="n">
        <v>32</v>
      </c>
      <c r="F10" s="6" t="n"/>
      <c r="G10" s="7">
        <f>IF(F10="","",IFERROR(VLOOKUP(F10,ProfesoresTabla,2,0),"(desconocido)"))</f>
        <v/>
      </c>
    </row>
    <row r="11" ht="22" customHeight="1">
      <c r="A11" s="5" t="inlineStr">
        <is>
          <t>Análisis Numérico (CD)</t>
        </is>
      </c>
      <c r="B11" s="6" t="inlineStr">
        <is>
          <t>Ciencia de Datos</t>
        </is>
      </c>
      <c r="C11" s="6" t="inlineStr">
        <is>
          <t>CP</t>
        </is>
      </c>
      <c r="D11" s="6" t="n">
        <v>2</v>
      </c>
      <c r="E11" s="6" t="n">
        <v>32</v>
      </c>
      <c r="F11" s="6" t="n"/>
      <c r="G11" s="7">
        <f>IF(F11="","",IFERROR(VLOOKUP(F11,ProfesoresTabla,2,0),"(desconocido)"))</f>
        <v/>
      </c>
    </row>
    <row r="12" ht="22" customHeight="1">
      <c r="A12" s="8" t="inlineStr">
        <is>
          <t>Análisis Numérico (CD)</t>
        </is>
      </c>
      <c r="B12" s="9" t="inlineStr">
        <is>
          <t>Ciencia de Datos</t>
        </is>
      </c>
      <c r="C12" s="9" t="inlineStr">
        <is>
          <t>CP</t>
        </is>
      </c>
      <c r="D12" s="9" t="n">
        <v>3</v>
      </c>
      <c r="E12" s="9" t="n">
        <v>32</v>
      </c>
      <c r="F12" s="9" t="n"/>
      <c r="G12" s="10">
        <f>IF(F12="","",IFERROR(VLOOKUP(F12,ProfesoresTabla,2,0),"(desconocido)"))</f>
        <v/>
      </c>
    </row>
    <row r="13" ht="22" customHeight="1">
      <c r="A13" s="11" t="inlineStr">
        <is>
          <t>Seminario de Matemática</t>
        </is>
      </c>
      <c r="B13" s="12" t="inlineStr">
        <is>
          <t>Matemática</t>
        </is>
      </c>
      <c r="C13" s="12" t="inlineStr">
        <is>
          <t>Conf</t>
        </is>
      </c>
      <c r="D13" s="12" t="inlineStr">
        <is>
          <t>-</t>
        </is>
      </c>
      <c r="E13" s="12" t="n">
        <v>16</v>
      </c>
      <c r="F13" s="12" t="n"/>
      <c r="G13" s="13">
        <f>IF(F13="","",IFERROR(VLOOKUP(F13,ProfesoresTabla,2,0),"(desconocido)"))</f>
        <v/>
      </c>
    </row>
    <row r="15">
      <c r="A15" s="14" t="n"/>
      <c r="B15" t="inlineStr">
        <is>
          <t>Falta asignar profesor</t>
        </is>
      </c>
    </row>
    <row r="16">
      <c r="A16" s="15" t="n"/>
      <c r="B16" t="inlineStr">
        <is>
          <t>Profesor fuera de la lista</t>
        </is>
      </c>
    </row>
  </sheetData>
  <conditionalFormatting sqref="A4:G13">
    <cfRule type="expression" priority="1" dxfId="0">
      <formula>$F4=""</formula>
    </cfRule>
    <cfRule type="expression" priority="2" dxfId="1">
      <formula>AND($F4&lt;&gt;"",COUNTIF(ProfesoresValidos,$F4)=0)</formula>
    </cfRule>
  </conditionalFormatting>
  <dataValidations count="1">
    <dataValidation sqref="F4:F1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43" customWidth="1" min="2" max="2"/>
    <col width="9" customWidth="1" min="3" max="3"/>
    <col width="14" customWidth="1" min="4" max="4"/>
  </cols>
  <sheetData>
    <row r="1">
      <c r="A1" s="1" t="inlineStr">
        <is>
          <t>Profesores — Matemática Aplicada — 2026-2027 / 1</t>
        </is>
      </c>
    </row>
    <row r="2"/>
    <row r="3" ht="22" customHeight="1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 ht="22" customHeight="1">
      <c r="A4" s="5" t="inlineStr">
        <is>
          <t>PIAD</t>
        </is>
      </c>
      <c r="B4" s="6" t="inlineStr">
        <is>
          <t>Pedro I. Alonso Diaz</t>
        </is>
      </c>
      <c r="C4" s="6" t="inlineStr">
        <is>
          <t>Dr.</t>
        </is>
      </c>
      <c r="D4" s="7" t="n">
        <v>160</v>
      </c>
    </row>
    <row r="5" ht="22" customHeight="1">
      <c r="A5" s="16" t="inlineStr">
        <is>
          <t>Asignatura</t>
        </is>
      </c>
      <c r="B5" s="17" t="inlineStr">
        <is>
          <t>Tipo</t>
        </is>
      </c>
      <c r="C5" s="17" t="inlineStr">
        <is>
          <t>Grupo</t>
        </is>
      </c>
      <c r="D5" s="18" t="inlineStr">
        <is>
          <t>Horas</t>
        </is>
      </c>
    </row>
    <row r="6" ht="22" customHeight="1">
      <c r="A6" s="5">
        <f>IFERROR(VLOOKUP("PIAD#1",CargaPorProfesor,2,0),"")</f>
        <v/>
      </c>
      <c r="B6" s="6">
        <f>IFERROR(VLOOKUP("PIAD#1",CargaPorProfesor,3,0),"")</f>
        <v/>
      </c>
      <c r="C6" s="6">
        <f>IFERROR(VLOOKUP("PIAD#1",CargaPorProfesor,4,0),"")</f>
        <v/>
      </c>
      <c r="D6" s="7">
        <f>IFERROR(VLOOKUP("PIAD#1",CargaPorProfesor,5,0),"")</f>
        <v/>
      </c>
    </row>
    <row r="7" ht="22" customHeight="1">
      <c r="A7" s="5">
        <f>IFERROR(VLOOKUP("PIAD#2",CargaPorProfesor,2,0),"")</f>
        <v/>
      </c>
      <c r="B7" s="6">
        <f>IFERROR(VLOOKUP("PIAD#2",CargaPorProfesor,3,0),"")</f>
        <v/>
      </c>
      <c r="C7" s="6">
        <f>IFERROR(VLOOKUP("PIAD#2",CargaPorProfesor,4,0),"")</f>
        <v/>
      </c>
      <c r="D7" s="7">
        <f>IFERROR(VLOOKUP("PIAD#2",CargaPorProfesor,5,0),"")</f>
        <v/>
      </c>
    </row>
    <row r="8" ht="22" customHeight="1">
      <c r="A8" s="5">
        <f>IFERROR(VLOOKUP("PIAD#3",CargaPorProfesor,2,0),"")</f>
        <v/>
      </c>
      <c r="B8" s="6">
        <f>IFERROR(VLOOKUP("PIAD#3",CargaPorProfesor,3,0),"")</f>
        <v/>
      </c>
      <c r="C8" s="6">
        <f>IFERROR(VLOOKUP("PIAD#3",CargaPorProfesor,4,0),"")</f>
        <v/>
      </c>
      <c r="D8" s="7">
        <f>IFERROR(VLOOKUP("PIAD#3",CargaPorProfesor,5,0),"")</f>
        <v/>
      </c>
    </row>
    <row r="9" ht="22" customHeight="1">
      <c r="A9" s="5">
        <f>IFERROR(VLOOKUP("PIAD#4",CargaPorProfesor,2,0),"")</f>
        <v/>
      </c>
      <c r="B9" s="6">
        <f>IFERROR(VLOOKUP("PIAD#4",CargaPorProfesor,3,0),"")</f>
        <v/>
      </c>
      <c r="C9" s="6">
        <f>IFERROR(VLOOKUP("PIAD#4",CargaPorProfesor,4,0),"")</f>
        <v/>
      </c>
      <c r="D9" s="7">
        <f>IFERROR(VLOOKUP("PIAD#4",CargaPorProfesor,5,0),"")</f>
        <v/>
      </c>
    </row>
    <row r="10" ht="22" customHeight="1">
      <c r="A10" s="5">
        <f>IFERROR(VLOOKUP("PIAD#5",CargaPorProfesor,2,0),"")</f>
        <v/>
      </c>
      <c r="B10" s="6">
        <f>IFERROR(VLOOKUP("PIAD#5",CargaPorProfesor,3,0),"")</f>
        <v/>
      </c>
      <c r="C10" s="6">
        <f>IFERROR(VLOOKUP("PIAD#5",CargaPorProfesor,4,0),"")</f>
        <v/>
      </c>
      <c r="D10" s="7">
        <f>IFERROR(VLOOKUP("PIAD#5",CargaPorProfesor,5,0),"")</f>
        <v/>
      </c>
    </row>
    <row r="11" ht="22" customHeight="1">
      <c r="A11" s="5">
        <f>IFERROR(VLOOKUP("PIAD#6",CargaPorProfesor,2,0),"")</f>
        <v/>
      </c>
      <c r="B11" s="6">
        <f>IFERROR(VLOOKUP("PIAD#6",CargaPorProfesor,3,0),"")</f>
        <v/>
      </c>
      <c r="C11" s="6">
        <f>IFERROR(VLOOKUP("PIAD#6",CargaPorProfesor,4,0),"")</f>
        <v/>
      </c>
      <c r="D11" s="7">
        <f>IFERROR(VLOOKUP("PIAD#6",CargaPorProfesor,5,0),"")</f>
        <v/>
      </c>
    </row>
    <row r="12" ht="22" customHeight="1">
      <c r="A12" s="5">
        <f>IFERROR(VLOOKUP("PIAD#7",CargaPorProfesor,2,0),"")</f>
        <v/>
      </c>
      <c r="B12" s="6">
        <f>IFERROR(VLOOKUP("PIAD#7",CargaPorProfesor,3,0),"")</f>
        <v/>
      </c>
      <c r="C12" s="6">
        <f>IFERROR(VLOOKUP("PIAD#7",CargaPorProfesor,4,0),"")</f>
        <v/>
      </c>
      <c r="D12" s="7">
        <f>IFERROR(VLOOKUP("PIAD#7",CargaPorProfesor,5,0),"")</f>
        <v/>
      </c>
    </row>
    <row r="13" ht="22" customHeight="1">
      <c r="A13" s="5">
        <f>IF(COUNTIF('Asignación'!$F$4:$F$13,"PIAD")&gt;8,"(+"&amp;(COUNTIF('Asignación'!$F$4:$F$13,"PIAD")-8+1)&amp;" más)",IFERROR(VLOOKUP("PIAD#8",CargaPorProfesor,2,0),""))</f>
        <v/>
      </c>
      <c r="B13" s="6">
        <f>IFERROR(VLOOKUP("PIAD#8",CargaPorProfesor,3,0),"")</f>
        <v/>
      </c>
      <c r="C13" s="6">
        <f>IFERROR(VLOOKUP("PIAD#8",CargaPorProfesor,4,0),"")</f>
        <v/>
      </c>
      <c r="D13" s="7">
        <f>IFERROR(VLOOKUP("PIAD#8",CargaPorProfesor,5,0),"")</f>
        <v/>
      </c>
    </row>
    <row r="14" ht="22" customHeight="1">
      <c r="A14" s="19" t="inlineStr">
        <is>
          <t>TOTAL</t>
        </is>
      </c>
      <c r="B14" s="12" t="n"/>
      <c r="C14" s="12" t="n"/>
      <c r="D14" s="13">
        <f>SUMIF('Asignación'!$F$4:$F$13,"PIAD",'Asignación'!$E$4:$E$13)</f>
        <v/>
      </c>
    </row>
    <row r="15" ht="22" customHeight="1"/>
    <row r="16" ht="22" customHeight="1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 ht="22" customHeight="1">
      <c r="A17" s="5" t="inlineStr">
        <is>
          <t>MARA</t>
        </is>
      </c>
      <c r="B17" s="6" t="inlineStr">
        <is>
          <t>Maria Ramirez</t>
        </is>
      </c>
      <c r="C17" s="6" t="inlineStr">
        <is>
          <t>MSc.</t>
        </is>
      </c>
      <c r="D17" s="7" t="n">
        <v>160</v>
      </c>
    </row>
    <row r="18" ht="22" customHeight="1">
      <c r="A18" s="16" t="inlineStr">
        <is>
          <t>Asignatura</t>
        </is>
      </c>
      <c r="B18" s="17" t="inlineStr">
        <is>
          <t>Tipo</t>
        </is>
      </c>
      <c r="C18" s="17" t="inlineStr">
        <is>
          <t>Grupo</t>
        </is>
      </c>
      <c r="D18" s="18" t="inlineStr">
        <is>
          <t>Horas</t>
        </is>
      </c>
    </row>
    <row r="19" ht="22" customHeight="1">
      <c r="A19" s="5">
        <f>IFERROR(VLOOKUP("MARA#1",CargaPorProfesor,2,0),"")</f>
        <v/>
      </c>
      <c r="B19" s="6">
        <f>IFERROR(VLOOKUP("MARA#1",CargaPorProfesor,3,0),"")</f>
        <v/>
      </c>
      <c r="C19" s="6">
        <f>IFERROR(VLOOKUP("MARA#1",CargaPorProfesor,4,0),"")</f>
        <v/>
      </c>
      <c r="D19" s="7">
        <f>IFERROR(VLOOKUP("MARA#1",CargaPorProfesor,5,0),"")</f>
        <v/>
      </c>
    </row>
    <row r="20" ht="22" customHeight="1">
      <c r="A20" s="5">
        <f>IFERROR(VLOOKUP("MARA#2",CargaPorProfesor,2,0),"")</f>
        <v/>
      </c>
      <c r="B20" s="6">
        <f>IFERROR(VLOOKUP("MARA#2",CargaPorProfesor,3,0),"")</f>
        <v/>
      </c>
      <c r="C20" s="6">
        <f>IFERROR(VLOOKUP("MARA#2",CargaPorProfesor,4,0),"")</f>
        <v/>
      </c>
      <c r="D20" s="7">
        <f>IFERROR(VLOOKUP("MARA#2",CargaPorProfesor,5,0),"")</f>
        <v/>
      </c>
    </row>
    <row r="21" ht="22" customHeight="1">
      <c r="A21" s="5">
        <f>IFERROR(VLOOKUP("MARA#3",CargaPorProfesor,2,0),"")</f>
        <v/>
      </c>
      <c r="B21" s="6">
        <f>IFERROR(VLOOKUP("MARA#3",CargaPorProfesor,3,0),"")</f>
        <v/>
      </c>
      <c r="C21" s="6">
        <f>IFERROR(VLOOKUP("MARA#3",CargaPorProfesor,4,0),"")</f>
        <v/>
      </c>
      <c r="D21" s="7">
        <f>IFERROR(VLOOKUP("MARA#3",CargaPorProfesor,5,0),"")</f>
        <v/>
      </c>
    </row>
    <row r="22" ht="22" customHeight="1">
      <c r="A22" s="5">
        <f>IFERROR(VLOOKUP("MARA#4",CargaPorProfesor,2,0),"")</f>
        <v/>
      </c>
      <c r="B22" s="6">
        <f>IFERROR(VLOOKUP("MARA#4",CargaPorProfesor,3,0),"")</f>
        <v/>
      </c>
      <c r="C22" s="6">
        <f>IFERROR(VLOOKUP("MARA#4",CargaPorProfesor,4,0),"")</f>
        <v/>
      </c>
      <c r="D22" s="7">
        <f>IFERROR(VLOOKUP("MARA#4",CargaPorProfesor,5,0),"")</f>
        <v/>
      </c>
    </row>
    <row r="23" ht="22" customHeight="1">
      <c r="A23" s="5">
        <f>IFERROR(VLOOKUP("MARA#5",CargaPorProfesor,2,0),"")</f>
        <v/>
      </c>
      <c r="B23" s="6">
        <f>IFERROR(VLOOKUP("MARA#5",CargaPorProfesor,3,0),"")</f>
        <v/>
      </c>
      <c r="C23" s="6">
        <f>IFERROR(VLOOKUP("MARA#5",CargaPorProfesor,4,0),"")</f>
        <v/>
      </c>
      <c r="D23" s="7">
        <f>IFERROR(VLOOKUP("MARA#5",CargaPorProfesor,5,0),"")</f>
        <v/>
      </c>
    </row>
    <row r="24" ht="22" customHeight="1">
      <c r="A24" s="5">
        <f>IFERROR(VLOOKUP("MARA#6",CargaPorProfesor,2,0),"")</f>
        <v/>
      </c>
      <c r="B24" s="6">
        <f>IFERROR(VLOOKUP("MARA#6",CargaPorProfesor,3,0),"")</f>
        <v/>
      </c>
      <c r="C24" s="6">
        <f>IFERROR(VLOOKUP("MARA#6",CargaPorProfesor,4,0),"")</f>
        <v/>
      </c>
      <c r="D24" s="7">
        <f>IFERROR(VLOOKUP("MARA#6",CargaPorProfesor,5,0),"")</f>
        <v/>
      </c>
    </row>
    <row r="25" ht="22" customHeight="1">
      <c r="A25" s="5">
        <f>IFERROR(VLOOKUP("MARA#7",CargaPorProfesor,2,0),"")</f>
        <v/>
      </c>
      <c r="B25" s="6">
        <f>IFERROR(VLOOKUP("MARA#7",CargaPorProfesor,3,0),"")</f>
        <v/>
      </c>
      <c r="C25" s="6">
        <f>IFERROR(VLOOKUP("MARA#7",CargaPorProfesor,4,0),"")</f>
        <v/>
      </c>
      <c r="D25" s="7">
        <f>IFERROR(VLOOKUP("MARA#7",CargaPorProfesor,5,0),"")</f>
        <v/>
      </c>
    </row>
    <row r="26" ht="22" customHeight="1">
      <c r="A26" s="5">
        <f>IF(COUNTIF('Asignación'!$F$4:$F$13,"MARA")&gt;8,"(+"&amp;(COUNTIF('Asignación'!$F$4:$F$13,"MARA")-8+1)&amp;" más)",IFERROR(VLOOKUP("MARA#8",CargaPorProfesor,2,0),""))</f>
        <v/>
      </c>
      <c r="B26" s="6">
        <f>IFERROR(VLOOKUP("MARA#8",CargaPorProfesor,3,0),"")</f>
        <v/>
      </c>
      <c r="C26" s="6">
        <f>IFERROR(VLOOKUP("MARA#8",CargaPorProfesor,4,0),"")</f>
        <v/>
      </c>
      <c r="D26" s="7">
        <f>IFERROR(VLOOKUP("MARA#8",CargaPorProfesor,5,0),"")</f>
        <v/>
      </c>
    </row>
    <row r="27" ht="22" customHeight="1">
      <c r="A27" s="19" t="inlineStr">
        <is>
          <t>TOTAL</t>
        </is>
      </c>
      <c r="B27" s="12" t="n"/>
      <c r="C27" s="12" t="n"/>
      <c r="D27" s="13">
        <f>SUMIF('Asignación'!$F$4:$F$13,"MARA",'Asignación'!$E$4:$E$13)</f>
        <v/>
      </c>
    </row>
    <row r="28" ht="22" customHeight="1"/>
    <row r="29" ht="22" customHeight="1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 ht="22" customHeight="1">
      <c r="A30" s="5" t="inlineStr">
        <is>
          <t>LGOM</t>
        </is>
      </c>
      <c r="B30" s="6" t="inlineStr">
        <is>
          <t>Luis Gomez</t>
        </is>
      </c>
      <c r="C30" s="6" t="inlineStr">
        <is>
          <t>Dr.</t>
        </is>
      </c>
      <c r="D30" s="7" t="n">
        <v>160</v>
      </c>
    </row>
    <row r="31" ht="22" customHeight="1">
      <c r="A31" s="16" t="inlineStr">
        <is>
          <t>Asignatura</t>
        </is>
      </c>
      <c r="B31" s="17" t="inlineStr">
        <is>
          <t>Tipo</t>
        </is>
      </c>
      <c r="C31" s="17" t="inlineStr">
        <is>
          <t>Grupo</t>
        </is>
      </c>
      <c r="D31" s="18" t="inlineStr">
        <is>
          <t>Horas</t>
        </is>
      </c>
    </row>
    <row r="32" ht="22" customHeight="1">
      <c r="A32" s="5">
        <f>IFERROR(VLOOKUP("LGOM#1",CargaPorProfesor,2,0),"")</f>
        <v/>
      </c>
      <c r="B32" s="6">
        <f>IFERROR(VLOOKUP("LGOM#1",CargaPorProfesor,3,0),"")</f>
        <v/>
      </c>
      <c r="C32" s="6">
        <f>IFERROR(VLOOKUP("LGOM#1",CargaPorProfesor,4,0),"")</f>
        <v/>
      </c>
      <c r="D32" s="7">
        <f>IFERROR(VLOOKUP("LGOM#1",CargaPorProfesor,5,0),"")</f>
        <v/>
      </c>
    </row>
    <row r="33" ht="22" customHeight="1">
      <c r="A33" s="5">
        <f>IFERROR(VLOOKUP("LGOM#2",CargaPorProfesor,2,0),"")</f>
        <v/>
      </c>
      <c r="B33" s="6">
        <f>IFERROR(VLOOKUP("LGOM#2",CargaPorProfesor,3,0),"")</f>
        <v/>
      </c>
      <c r="C33" s="6">
        <f>IFERROR(VLOOKUP("LGOM#2",CargaPorProfesor,4,0),"")</f>
        <v/>
      </c>
      <c r="D33" s="7">
        <f>IFERROR(VLOOKUP("LGOM#2",CargaPorProfesor,5,0),"")</f>
        <v/>
      </c>
    </row>
    <row r="34" ht="22" customHeight="1">
      <c r="A34" s="5">
        <f>IFERROR(VLOOKUP("LGOM#3",CargaPorProfesor,2,0),"")</f>
        <v/>
      </c>
      <c r="B34" s="6">
        <f>IFERROR(VLOOKUP("LGOM#3",CargaPorProfesor,3,0),"")</f>
        <v/>
      </c>
      <c r="C34" s="6">
        <f>IFERROR(VLOOKUP("LGOM#3",CargaPorProfesor,4,0),"")</f>
        <v/>
      </c>
      <c r="D34" s="7">
        <f>IFERROR(VLOOKUP("LGOM#3",CargaPorProfesor,5,0),"")</f>
        <v/>
      </c>
    </row>
    <row r="35" ht="22" customHeight="1">
      <c r="A35" s="5">
        <f>IFERROR(VLOOKUP("LGOM#4",CargaPorProfesor,2,0),"")</f>
        <v/>
      </c>
      <c r="B35" s="6">
        <f>IFERROR(VLOOKUP("LGOM#4",CargaPorProfesor,3,0),"")</f>
        <v/>
      </c>
      <c r="C35" s="6">
        <f>IFERROR(VLOOKUP("LGOM#4",CargaPorProfesor,4,0),"")</f>
        <v/>
      </c>
      <c r="D35" s="7">
        <f>IFERROR(VLOOKUP("LGOM#4",CargaPorProfesor,5,0),"")</f>
        <v/>
      </c>
    </row>
    <row r="36" ht="22" customHeight="1">
      <c r="A36" s="5">
        <f>IFERROR(VLOOKUP("LGOM#5",CargaPorProfesor,2,0),"")</f>
        <v/>
      </c>
      <c r="B36" s="6">
        <f>IFERROR(VLOOKUP("LGOM#5",CargaPorProfesor,3,0),"")</f>
        <v/>
      </c>
      <c r="C36" s="6">
        <f>IFERROR(VLOOKUP("LGOM#5",CargaPorProfesor,4,0),"")</f>
        <v/>
      </c>
      <c r="D36" s="7">
        <f>IFERROR(VLOOKUP("LGOM#5",CargaPorProfesor,5,0),"")</f>
        <v/>
      </c>
    </row>
    <row r="37" ht="22" customHeight="1">
      <c r="A37" s="5">
        <f>IFERROR(VLOOKUP("LGOM#6",CargaPorProfesor,2,0),"")</f>
        <v/>
      </c>
      <c r="B37" s="6">
        <f>IFERROR(VLOOKUP("LGOM#6",CargaPorProfesor,3,0),"")</f>
        <v/>
      </c>
      <c r="C37" s="6">
        <f>IFERROR(VLOOKUP("LGOM#6",CargaPorProfesor,4,0),"")</f>
        <v/>
      </c>
      <c r="D37" s="7">
        <f>IFERROR(VLOOKUP("LGOM#6",CargaPorProfesor,5,0),"")</f>
        <v/>
      </c>
    </row>
    <row r="38" ht="22" customHeight="1">
      <c r="A38" s="5">
        <f>IFERROR(VLOOKUP("LGOM#7",CargaPorProfesor,2,0),"")</f>
        <v/>
      </c>
      <c r="B38" s="6">
        <f>IFERROR(VLOOKUP("LGOM#7",CargaPorProfesor,3,0),"")</f>
        <v/>
      </c>
      <c r="C38" s="6">
        <f>IFERROR(VLOOKUP("LGOM#7",CargaPorProfesor,4,0),"")</f>
        <v/>
      </c>
      <c r="D38" s="7">
        <f>IFERROR(VLOOKUP("LGOM#7",CargaPorProfesor,5,0),"")</f>
        <v/>
      </c>
    </row>
    <row r="39" ht="22" customHeight="1">
      <c r="A39" s="5">
        <f>IF(COUNTIF('Asignación'!$F$4:$F$13,"LGOM")&gt;8,"(+"&amp;(COUNTIF('Asignación'!$F$4:$F$13,"LGOM")-8+1)&amp;" más)",IFERROR(VLOOKUP("LGOM#8",CargaPorProfesor,2,0),""))</f>
        <v/>
      </c>
      <c r="B39" s="6">
        <f>IFERROR(VLOOKUP("LGOM#8",CargaPorProfesor,3,0),"")</f>
        <v/>
      </c>
      <c r="C39" s="6">
        <f>IFERROR(VLOOKUP("LGOM#8",CargaPorProfesor,4,0),"")</f>
        <v/>
      </c>
      <c r="D39" s="7">
        <f>IFERROR(VLOOKUP("LGOM#8",CargaPorProfesor,5,0),"")</f>
        <v/>
      </c>
    </row>
    <row r="40" ht="22" customHeight="1">
      <c r="A40" s="19" t="inlineStr">
        <is>
          <t>TOTAL</t>
        </is>
      </c>
      <c r="B40" s="12" t="n"/>
      <c r="C40" s="12" t="n"/>
      <c r="D40" s="13">
        <f>SUMIF('Asignación'!$F$4:$F$13,"LGOM",'Asignación'!$E$4:$E$13)</f>
        <v/>
      </c>
    </row>
    <row r="41" ht="22" customHeight="1"/>
    <row r="42" ht="22" customHeight="1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 ht="22" customHeight="1">
      <c r="A43" s="5" t="inlineStr">
        <is>
          <t>ANSU</t>
        </is>
      </c>
      <c r="B43" s="6" t="inlineStr">
        <is>
          <t>Ana Suarez</t>
        </is>
      </c>
      <c r="C43" s="6" t="inlineStr">
        <is>
          <t>MSc.</t>
        </is>
      </c>
      <c r="D43" s="7" t="n">
        <v>80</v>
      </c>
    </row>
    <row r="44" ht="22" customHeight="1">
      <c r="A44" s="16" t="inlineStr">
        <is>
          <t>Asignatura</t>
        </is>
      </c>
      <c r="B44" s="17" t="inlineStr">
        <is>
          <t>Tipo</t>
        </is>
      </c>
      <c r="C44" s="17" t="inlineStr">
        <is>
          <t>Grupo</t>
        </is>
      </c>
      <c r="D44" s="18" t="inlineStr">
        <is>
          <t>Horas</t>
        </is>
      </c>
    </row>
    <row r="45" ht="22" customHeight="1">
      <c r="A45" s="5">
        <f>IFERROR(VLOOKUP("ANSU#1",CargaPorProfesor,2,0),"")</f>
        <v/>
      </c>
      <c r="B45" s="6">
        <f>IFERROR(VLOOKUP("ANSU#1",CargaPorProfesor,3,0),"")</f>
        <v/>
      </c>
      <c r="C45" s="6">
        <f>IFERROR(VLOOKUP("ANSU#1",CargaPorProfesor,4,0),"")</f>
        <v/>
      </c>
      <c r="D45" s="7">
        <f>IFERROR(VLOOKUP("ANSU#1",CargaPorProfesor,5,0),"")</f>
        <v/>
      </c>
    </row>
    <row r="46" ht="22" customHeight="1">
      <c r="A46" s="5">
        <f>IFERROR(VLOOKUP("ANSU#2",CargaPorProfesor,2,0),"")</f>
        <v/>
      </c>
      <c r="B46" s="6">
        <f>IFERROR(VLOOKUP("ANSU#2",CargaPorProfesor,3,0),"")</f>
        <v/>
      </c>
      <c r="C46" s="6">
        <f>IFERROR(VLOOKUP("ANSU#2",CargaPorProfesor,4,0),"")</f>
        <v/>
      </c>
      <c r="D46" s="7">
        <f>IFERROR(VLOOKUP("ANSU#2",CargaPorProfesor,5,0),"")</f>
        <v/>
      </c>
    </row>
    <row r="47" ht="22" customHeight="1">
      <c r="A47" s="5">
        <f>IFERROR(VLOOKUP("ANSU#3",CargaPorProfesor,2,0),"")</f>
        <v/>
      </c>
      <c r="B47" s="6">
        <f>IFERROR(VLOOKUP("ANSU#3",CargaPorProfesor,3,0),"")</f>
        <v/>
      </c>
      <c r="C47" s="6">
        <f>IFERROR(VLOOKUP("ANSU#3",CargaPorProfesor,4,0),"")</f>
        <v/>
      </c>
      <c r="D47" s="7">
        <f>IFERROR(VLOOKUP("ANSU#3",CargaPorProfesor,5,0),"")</f>
        <v/>
      </c>
    </row>
    <row r="48" ht="22" customHeight="1">
      <c r="A48" s="5">
        <f>IFERROR(VLOOKUP("ANSU#4",CargaPorProfesor,2,0),"")</f>
        <v/>
      </c>
      <c r="B48" s="6">
        <f>IFERROR(VLOOKUP("ANSU#4",CargaPorProfesor,3,0),"")</f>
        <v/>
      </c>
      <c r="C48" s="6">
        <f>IFERROR(VLOOKUP("ANSU#4",CargaPorProfesor,4,0),"")</f>
        <v/>
      </c>
      <c r="D48" s="7">
        <f>IFERROR(VLOOKUP("ANSU#4",CargaPorProfesor,5,0),"")</f>
        <v/>
      </c>
    </row>
    <row r="49" ht="22" customHeight="1">
      <c r="A49" s="5">
        <f>IFERROR(VLOOKUP("ANSU#5",CargaPorProfesor,2,0),"")</f>
        <v/>
      </c>
      <c r="B49" s="6">
        <f>IFERROR(VLOOKUP("ANSU#5",CargaPorProfesor,3,0),"")</f>
        <v/>
      </c>
      <c r="C49" s="6">
        <f>IFERROR(VLOOKUP("ANSU#5",CargaPorProfesor,4,0),"")</f>
        <v/>
      </c>
      <c r="D49" s="7">
        <f>IFERROR(VLOOKUP("ANSU#5",CargaPorProfesor,5,0),"")</f>
        <v/>
      </c>
    </row>
    <row r="50" ht="22" customHeight="1">
      <c r="A50" s="5">
        <f>IFERROR(VLOOKUP("ANSU#6",CargaPorProfesor,2,0),"")</f>
        <v/>
      </c>
      <c r="B50" s="6">
        <f>IFERROR(VLOOKUP("ANSU#6",CargaPorProfesor,3,0),"")</f>
        <v/>
      </c>
      <c r="C50" s="6">
        <f>IFERROR(VLOOKUP("ANSU#6",CargaPorProfesor,4,0),"")</f>
        <v/>
      </c>
      <c r="D50" s="7">
        <f>IFERROR(VLOOKUP("ANSU#6",CargaPorProfesor,5,0),"")</f>
        <v/>
      </c>
    </row>
    <row r="51" ht="22" customHeight="1">
      <c r="A51" s="5">
        <f>IFERROR(VLOOKUP("ANSU#7",CargaPorProfesor,2,0),"")</f>
        <v/>
      </c>
      <c r="B51" s="6">
        <f>IFERROR(VLOOKUP("ANSU#7",CargaPorProfesor,3,0),"")</f>
        <v/>
      </c>
      <c r="C51" s="6">
        <f>IFERROR(VLOOKUP("ANSU#7",CargaPorProfesor,4,0),"")</f>
        <v/>
      </c>
      <c r="D51" s="7">
        <f>IFERROR(VLOOKUP("ANSU#7",CargaPorProfesor,5,0),"")</f>
        <v/>
      </c>
    </row>
    <row r="52" ht="22" customHeight="1">
      <c r="A52" s="5">
        <f>IF(COUNTIF('Asignación'!$F$4:$F$13,"ANSU")&gt;8,"(+"&amp;(COUNTIF('Asignación'!$F$4:$F$13,"ANSU")-8+1)&amp;" más)",IFERROR(VLOOKUP("ANSU#8",CargaPorProfesor,2,0),""))</f>
        <v/>
      </c>
      <c r="B52" s="6">
        <f>IFERROR(VLOOKUP("ANSU#8",CargaPorProfesor,3,0),"")</f>
        <v/>
      </c>
      <c r="C52" s="6">
        <f>IFERROR(VLOOKUP("ANSU#8",CargaPorProfesor,4,0),"")</f>
        <v/>
      </c>
      <c r="D52" s="7">
        <f>IFERROR(VLOOKUP("ANSU#8",CargaPorProfesor,5,0),"")</f>
        <v/>
      </c>
    </row>
    <row r="53" ht="22" customHeight="1">
      <c r="A53" s="19" t="inlineStr">
        <is>
          <t>TOTAL</t>
        </is>
      </c>
      <c r="B53" s="12" t="n"/>
      <c r="C53" s="12" t="n"/>
      <c r="D53" s="13">
        <f>SUMIF('Asignación'!$F$4:$F$13,"ANSU",'Asignación'!$E$4:$E$13)</f>
        <v/>
      </c>
    </row>
    <row r="54" ht="22" customHeight="1"/>
    <row r="55" ht="22" customHeight="1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 ht="22" customHeight="1">
      <c r="A56" s="5" t="inlineStr">
        <is>
          <t>RTOR</t>
        </is>
      </c>
      <c r="B56" s="6" t="inlineStr">
        <is>
          <t>Raul Torres</t>
        </is>
      </c>
      <c r="C56" s="6" t="inlineStr">
        <is>
          <t>Dr.</t>
        </is>
      </c>
      <c r="D56" s="7" t="n">
        <v>160</v>
      </c>
    </row>
    <row r="57" ht="22" customHeight="1">
      <c r="A57" s="16" t="inlineStr">
        <is>
          <t>Asignatura</t>
        </is>
      </c>
      <c r="B57" s="17" t="inlineStr">
        <is>
          <t>Tipo</t>
        </is>
      </c>
      <c r="C57" s="17" t="inlineStr">
        <is>
          <t>Grupo</t>
        </is>
      </c>
      <c r="D57" s="18" t="inlineStr">
        <is>
          <t>Horas</t>
        </is>
      </c>
    </row>
    <row r="58" ht="22" customHeight="1">
      <c r="A58" s="5">
        <f>IFERROR(VLOOKUP("RTOR#1",CargaPorProfesor,2,0),"")</f>
        <v/>
      </c>
      <c r="B58" s="6">
        <f>IFERROR(VLOOKUP("RTOR#1",CargaPorProfesor,3,0),"")</f>
        <v/>
      </c>
      <c r="C58" s="6">
        <f>IFERROR(VLOOKUP("RTOR#1",CargaPorProfesor,4,0),"")</f>
        <v/>
      </c>
      <c r="D58" s="7">
        <f>IFERROR(VLOOKUP("RTOR#1",CargaPorProfesor,5,0),"")</f>
        <v/>
      </c>
    </row>
    <row r="59" ht="22" customHeight="1">
      <c r="A59" s="5">
        <f>IFERROR(VLOOKUP("RTOR#2",CargaPorProfesor,2,0),"")</f>
        <v/>
      </c>
      <c r="B59" s="6">
        <f>IFERROR(VLOOKUP("RTOR#2",CargaPorProfesor,3,0),"")</f>
        <v/>
      </c>
      <c r="C59" s="6">
        <f>IFERROR(VLOOKUP("RTOR#2",CargaPorProfesor,4,0),"")</f>
        <v/>
      </c>
      <c r="D59" s="7">
        <f>IFERROR(VLOOKUP("RTOR#2",CargaPorProfesor,5,0),"")</f>
        <v/>
      </c>
    </row>
    <row r="60" ht="22" customHeight="1">
      <c r="A60" s="5">
        <f>IFERROR(VLOOKUP("RTOR#3",CargaPorProfesor,2,0),"")</f>
        <v/>
      </c>
      <c r="B60" s="6">
        <f>IFERROR(VLOOKUP("RTOR#3",CargaPorProfesor,3,0),"")</f>
        <v/>
      </c>
      <c r="C60" s="6">
        <f>IFERROR(VLOOKUP("RTOR#3",CargaPorProfesor,4,0),"")</f>
        <v/>
      </c>
      <c r="D60" s="7">
        <f>IFERROR(VLOOKUP("RTOR#3",CargaPorProfesor,5,0),"")</f>
        <v/>
      </c>
    </row>
    <row r="61" ht="22" customHeight="1">
      <c r="A61" s="5">
        <f>IFERROR(VLOOKUP("RTOR#4",CargaPorProfesor,2,0),"")</f>
        <v/>
      </c>
      <c r="B61" s="6">
        <f>IFERROR(VLOOKUP("RTOR#4",CargaPorProfesor,3,0),"")</f>
        <v/>
      </c>
      <c r="C61" s="6">
        <f>IFERROR(VLOOKUP("RTOR#4",CargaPorProfesor,4,0),"")</f>
        <v/>
      </c>
      <c r="D61" s="7">
        <f>IFERROR(VLOOKUP("RTOR#4",CargaPorProfesor,5,0),"")</f>
        <v/>
      </c>
    </row>
    <row r="62" ht="22" customHeight="1">
      <c r="A62" s="5">
        <f>IFERROR(VLOOKUP("RTOR#5",CargaPorProfesor,2,0),"")</f>
        <v/>
      </c>
      <c r="B62" s="6">
        <f>IFERROR(VLOOKUP("RTOR#5",CargaPorProfesor,3,0),"")</f>
        <v/>
      </c>
      <c r="C62" s="6">
        <f>IFERROR(VLOOKUP("RTOR#5",CargaPorProfesor,4,0),"")</f>
        <v/>
      </c>
      <c r="D62" s="7">
        <f>IFERROR(VLOOKUP("RTOR#5",CargaPorProfesor,5,0),"")</f>
        <v/>
      </c>
    </row>
    <row r="63" ht="22" customHeight="1">
      <c r="A63" s="5">
        <f>IFERROR(VLOOKUP("RTOR#6",CargaPorProfesor,2,0),"")</f>
        <v/>
      </c>
      <c r="B63" s="6">
        <f>IFERROR(VLOOKUP("RTOR#6",CargaPorProfesor,3,0),"")</f>
        <v/>
      </c>
      <c r="C63" s="6">
        <f>IFERROR(VLOOKUP("RTOR#6",CargaPorProfesor,4,0),"")</f>
        <v/>
      </c>
      <c r="D63" s="7">
        <f>IFERROR(VLOOKUP("RTOR#6",CargaPorProfesor,5,0),"")</f>
        <v/>
      </c>
    </row>
    <row r="64" ht="22" customHeight="1">
      <c r="A64" s="5">
        <f>IFERROR(VLOOKUP("RTOR#7",CargaPorProfesor,2,0),"")</f>
        <v/>
      </c>
      <c r="B64" s="6">
        <f>IFERROR(VLOOKUP("RTOR#7",CargaPorProfesor,3,0),"")</f>
        <v/>
      </c>
      <c r="C64" s="6">
        <f>IFERROR(VLOOKUP("RTOR#7",CargaPorProfesor,4,0),"")</f>
        <v/>
      </c>
      <c r="D64" s="7">
        <f>IFERROR(VLOOKUP("RTOR#7",CargaPorProfesor,5,0),"")</f>
        <v/>
      </c>
    </row>
    <row r="65" ht="22" customHeight="1">
      <c r="A65" s="5">
        <f>IF(COUNTIF('Asignación'!$F$4:$F$13,"RTOR")&gt;8,"(+"&amp;(COUNTIF('Asignación'!$F$4:$F$13,"RTOR")-8+1)&amp;" más)",IFERROR(VLOOKUP("RTOR#8",CargaPorProfesor,2,0),""))</f>
        <v/>
      </c>
      <c r="B65" s="6">
        <f>IFERROR(VLOOKUP("RTOR#8",CargaPorProfesor,3,0),"")</f>
        <v/>
      </c>
      <c r="C65" s="6">
        <f>IFERROR(VLOOKUP("RTOR#8",CargaPorProfesor,4,0),"")</f>
        <v/>
      </c>
      <c r="D65" s="7">
        <f>IFERROR(VLOOKUP("RTOR#8",CargaPorProfesor,5,0),"")</f>
        <v/>
      </c>
    </row>
    <row r="66" ht="22" customHeight="1">
      <c r="A66" s="19" t="inlineStr">
        <is>
          <t>TOTAL</t>
        </is>
      </c>
      <c r="B66" s="12" t="n"/>
      <c r="C66" s="12" t="n"/>
      <c r="D66" s="13">
        <f>SUMIF('Asignación'!$F$4:$F$13,"RTOR",'Asignación'!$E$4:$E$13)</f>
        <v/>
      </c>
    </row>
    <row r="67"/>
    <row r="68">
      <c r="A68" s="20" t="n"/>
      <c r="B68" t="inlineStr">
        <is>
          <t>Profesor por encima de su tope de horas</t>
        </is>
      </c>
    </row>
  </sheetData>
  <conditionalFormatting sqref="A14:D14">
    <cfRule type="expression" priority="1" dxfId="2">
      <formula>$D$14&gt;$D$4</formula>
    </cfRule>
  </conditionalFormatting>
  <conditionalFormatting sqref="A27:D27">
    <cfRule type="expression" priority="2" dxfId="2">
      <formula>$D$27&gt;$D$17</formula>
    </cfRule>
  </conditionalFormatting>
  <conditionalFormatting sqref="A40:D40">
    <cfRule type="expression" priority="3" dxfId="2">
      <formula>$D$40&gt;$D$30</formula>
    </cfRule>
  </conditionalFormatting>
  <conditionalFormatting sqref="A53:D53">
    <cfRule type="expression" priority="4" dxfId="2">
      <formula>$D$53&gt;$D$43</formula>
    </cfRule>
  </conditionalFormatting>
  <conditionalFormatting sqref="A66:D66">
    <cfRule type="expression" priority="5" dxfId="2">
      <formula>$D$66&gt;$D$56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9" customWidth="1" min="3" max="3"/>
    <col width="8" customWidth="1" min="4" max="4"/>
    <col width="24" customWidth="1" min="5" max="5"/>
  </cols>
  <sheetData>
    <row r="1">
      <c r="A1" s="1" t="inlineStr">
        <is>
          <t>Asignaturas — Matemática Aplicada — 2026-2027 / 1</t>
        </is>
      </c>
    </row>
    <row r="2"/>
    <row r="3" ht="22" customHeight="1">
      <c r="A3" s="21" t="inlineStr">
        <is>
          <t>Estadística (CC) — Ciencia de la Computación</t>
        </is>
      </c>
      <c r="B3" s="22" t="n"/>
      <c r="C3" s="22" t="n"/>
      <c r="D3" s="22" t="n"/>
      <c r="E3" s="23" t="n"/>
    </row>
    <row r="4" ht="22" customHeight="1">
      <c r="A4" s="16" t="inlineStr">
        <is>
          <t>Tipo</t>
        </is>
      </c>
      <c r="B4" s="17" t="inlineStr">
        <is>
          <t>Grupo</t>
        </is>
      </c>
      <c r="C4" s="17" t="inlineStr">
        <is>
          <t>Horas</t>
        </is>
      </c>
      <c r="D4" s="17" t="inlineStr">
        <is>
          <t>Profesor</t>
        </is>
      </c>
      <c r="E4" s="18" t="inlineStr">
        <is>
          <t>Nombre</t>
        </is>
      </c>
    </row>
    <row r="5" ht="22" customHeight="1">
      <c r="A5" s="5" t="inlineStr">
        <is>
          <t>Conf</t>
        </is>
      </c>
      <c r="B5" s="6" t="inlineStr">
        <is>
          <t>-</t>
        </is>
      </c>
      <c r="C5" s="6" t="n">
        <v>32</v>
      </c>
      <c r="D5" s="6">
        <f>IF('Asignación'!F4="","",'Asignación'!F4)</f>
        <v/>
      </c>
      <c r="E5" s="7">
        <f>'Asignación'!G4</f>
        <v/>
      </c>
    </row>
    <row r="6" ht="22" customHeight="1">
      <c r="A6" s="5" t="inlineStr">
        <is>
          <t>CP</t>
        </is>
      </c>
      <c r="B6" s="6" t="n">
        <v>1</v>
      </c>
      <c r="C6" s="6" t="n">
        <v>32</v>
      </c>
      <c r="D6" s="6">
        <f>IF('Asignación'!F5="","",'Asignación'!F5)</f>
        <v/>
      </c>
      <c r="E6" s="7">
        <f>'Asignación'!G5</f>
        <v/>
      </c>
    </row>
    <row r="7" ht="22" customHeight="1">
      <c r="A7" s="11" t="inlineStr">
        <is>
          <t>CP</t>
        </is>
      </c>
      <c r="B7" s="12" t="n">
        <v>2</v>
      </c>
      <c r="C7" s="12" t="n">
        <v>32</v>
      </c>
      <c r="D7" s="12">
        <f>IF('Asignación'!F6="","",'Asignación'!F6)</f>
        <v/>
      </c>
      <c r="E7" s="13">
        <f>'Asignación'!G6</f>
        <v/>
      </c>
    </row>
    <row r="8" ht="22" customHeight="1"/>
    <row r="9" ht="22" customHeight="1">
      <c r="A9" s="21" t="inlineStr">
        <is>
          <t>Estadística (Mat) — Matemática</t>
        </is>
      </c>
      <c r="B9" s="22" t="n"/>
      <c r="C9" s="22" t="n"/>
      <c r="D9" s="22" t="n"/>
      <c r="E9" s="23" t="n"/>
    </row>
    <row r="10" ht="22" customHeight="1">
      <c r="A10" s="16" t="inlineStr">
        <is>
          <t>Tipo</t>
        </is>
      </c>
      <c r="B10" s="17" t="inlineStr">
        <is>
          <t>Grupo</t>
        </is>
      </c>
      <c r="C10" s="17" t="inlineStr">
        <is>
          <t>Horas</t>
        </is>
      </c>
      <c r="D10" s="17" t="inlineStr">
        <is>
          <t>Profesor</t>
        </is>
      </c>
      <c r="E10" s="18" t="inlineStr">
        <is>
          <t>Nombre</t>
        </is>
      </c>
    </row>
    <row r="11" ht="22" customHeight="1">
      <c r="A11" s="5" t="inlineStr">
        <is>
          <t>Conf</t>
        </is>
      </c>
      <c r="B11" s="6" t="inlineStr">
        <is>
          <t>-</t>
        </is>
      </c>
      <c r="C11" s="6" t="n">
        <v>32</v>
      </c>
      <c r="D11" s="6">
        <f>IF('Asignación'!F7="","",'Asignación'!F7)</f>
        <v/>
      </c>
      <c r="E11" s="7">
        <f>'Asignación'!G7</f>
        <v/>
      </c>
    </row>
    <row r="12" ht="22" customHeight="1">
      <c r="A12" s="11" t="inlineStr">
        <is>
          <t>CP</t>
        </is>
      </c>
      <c r="B12" s="12" t="n">
        <v>1</v>
      </c>
      <c r="C12" s="12" t="n">
        <v>32</v>
      </c>
      <c r="D12" s="12">
        <f>IF('Asignación'!F8="","",'Asignación'!F8)</f>
        <v/>
      </c>
      <c r="E12" s="13">
        <f>'Asignación'!G8</f>
        <v/>
      </c>
    </row>
    <row r="13" ht="22" customHeight="1"/>
    <row r="14" ht="22" customHeight="1">
      <c r="A14" s="21" t="inlineStr">
        <is>
          <t>Análisis Numérico (CD) — Ciencia de Datos</t>
        </is>
      </c>
      <c r="B14" s="22" t="n"/>
      <c r="C14" s="22" t="n"/>
      <c r="D14" s="22" t="n"/>
      <c r="E14" s="23" t="n"/>
    </row>
    <row r="15" ht="22" customHeight="1">
      <c r="A15" s="16" t="inlineStr">
        <is>
          <t>Tipo</t>
        </is>
      </c>
      <c r="B15" s="17" t="inlineStr">
        <is>
          <t>Grupo</t>
        </is>
      </c>
      <c r="C15" s="17" t="inlineStr">
        <is>
          <t>Horas</t>
        </is>
      </c>
      <c r="D15" s="17" t="inlineStr">
        <is>
          <t>Profesor</t>
        </is>
      </c>
      <c r="E15" s="18" t="inlineStr">
        <is>
          <t>Nombre</t>
        </is>
      </c>
    </row>
    <row r="16" ht="22" customHeight="1">
      <c r="A16" s="5" t="inlineStr">
        <is>
          <t>Conf</t>
        </is>
      </c>
      <c r="B16" s="6" t="inlineStr">
        <is>
          <t>-</t>
        </is>
      </c>
      <c r="C16" s="6" t="n">
        <v>48</v>
      </c>
      <c r="D16" s="6">
        <f>IF('Asignación'!F9="","",'Asignación'!F9)</f>
        <v/>
      </c>
      <c r="E16" s="7">
        <f>'Asignación'!G9</f>
        <v/>
      </c>
    </row>
    <row r="17" ht="22" customHeight="1">
      <c r="A17" s="5" t="inlineStr">
        <is>
          <t>CP</t>
        </is>
      </c>
      <c r="B17" s="6" t="n">
        <v>1</v>
      </c>
      <c r="C17" s="6" t="n">
        <v>32</v>
      </c>
      <c r="D17" s="6">
        <f>IF('Asignación'!F10="","",'Asignación'!F10)</f>
        <v/>
      </c>
      <c r="E17" s="7">
        <f>'Asignación'!G10</f>
        <v/>
      </c>
    </row>
    <row r="18" ht="22" customHeight="1">
      <c r="A18" s="5" t="inlineStr">
        <is>
          <t>CP</t>
        </is>
      </c>
      <c r="B18" s="6" t="n">
        <v>2</v>
      </c>
      <c r="C18" s="6" t="n">
        <v>32</v>
      </c>
      <c r="D18" s="6">
        <f>IF('Asignación'!F11="","",'Asignación'!F11)</f>
        <v/>
      </c>
      <c r="E18" s="7">
        <f>'Asignación'!G11</f>
        <v/>
      </c>
    </row>
    <row r="19" ht="22" customHeight="1">
      <c r="A19" s="11" t="inlineStr">
        <is>
          <t>CP</t>
        </is>
      </c>
      <c r="B19" s="12" t="n">
        <v>3</v>
      </c>
      <c r="C19" s="12" t="n">
        <v>32</v>
      </c>
      <c r="D19" s="12">
        <f>IF('Asignación'!F12="","",'Asignación'!F12)</f>
        <v/>
      </c>
      <c r="E19" s="13">
        <f>'Asignación'!G12</f>
        <v/>
      </c>
    </row>
    <row r="20" ht="22" customHeight="1"/>
    <row r="21" ht="22" customHeight="1">
      <c r="A21" s="21" t="inlineStr">
        <is>
          <t>Seminario de Matemática — Matemática</t>
        </is>
      </c>
      <c r="B21" s="22" t="n"/>
      <c r="C21" s="22" t="n"/>
      <c r="D21" s="22" t="n"/>
      <c r="E21" s="23" t="n"/>
    </row>
    <row r="22" ht="22" customHeight="1">
      <c r="A22" s="16" t="inlineStr">
        <is>
          <t>Tipo</t>
        </is>
      </c>
      <c r="B22" s="17" t="inlineStr">
        <is>
          <t>Grupo</t>
        </is>
      </c>
      <c r="C22" s="17" t="inlineStr">
        <is>
          <t>Horas</t>
        </is>
      </c>
      <c r="D22" s="17" t="inlineStr">
        <is>
          <t>Profesor</t>
        </is>
      </c>
      <c r="E22" s="18" t="inlineStr">
        <is>
          <t>Nombre</t>
        </is>
      </c>
    </row>
    <row r="23" ht="22" customHeight="1">
      <c r="A23" s="11" t="inlineStr">
        <is>
          <t>Conf</t>
        </is>
      </c>
      <c r="B23" s="12" t="inlineStr">
        <is>
          <t>-</t>
        </is>
      </c>
      <c r="C23" s="12" t="n">
        <v>16</v>
      </c>
      <c r="D23" s="12">
        <f>IF('Asignación'!F13="","",'Asignación'!F13)</f>
        <v/>
      </c>
      <c r="E23" s="13">
        <f>'Asignación'!G13</f>
        <v/>
      </c>
    </row>
    <row r="24" ht="22" customHeight="1"/>
    <row r="25"/>
    <row r="26">
      <c r="A26" s="24" t="n"/>
      <c r="B26" t="inlineStr">
        <is>
          <t>Asignatura completa (todo asignado)</t>
        </is>
      </c>
    </row>
    <row r="27">
      <c r="A27" s="25" t="n"/>
      <c r="B27" t="inlineStr">
        <is>
          <t>Asignatura incompleta (faltan profesores)</t>
        </is>
      </c>
    </row>
  </sheetData>
  <conditionalFormatting sqref="A3:E3">
    <cfRule type="expression" priority="1" dxfId="3">
      <formula>COUNTBLANK('Asignación'!$F$4:$F$6)=0</formula>
    </cfRule>
    <cfRule type="expression" priority="2" dxfId="4">
      <formula>COUNTBLANK('Asignación'!$F$4:$F$6)&gt;0</formula>
    </cfRule>
  </conditionalFormatting>
  <conditionalFormatting sqref="A9:E9">
    <cfRule type="expression" priority="3" dxfId="3">
      <formula>COUNTBLANK('Asignación'!$F$7:$F$8)=0</formula>
    </cfRule>
    <cfRule type="expression" priority="4" dxfId="4">
      <formula>COUNTBLANK('Asignación'!$F$7:$F$8)&gt;0</formula>
    </cfRule>
  </conditionalFormatting>
  <conditionalFormatting sqref="A14:E14">
    <cfRule type="expression" priority="5" dxfId="3">
      <formula>COUNTBLANK('Asignación'!$F$9:$F$12)=0</formula>
    </cfRule>
    <cfRule type="expression" priority="6" dxfId="4">
      <formula>COUNTBLANK('Asignación'!$F$9:$F$12)&gt;0</formula>
    </cfRule>
  </conditionalFormatting>
  <conditionalFormatting sqref="A21:E21">
    <cfRule type="expression" priority="7" dxfId="3">
      <formula>COUNTBLANK('Asignación'!$F$13:$F$13)=0</formula>
    </cfRule>
    <cfRule type="expression" priority="8" dxfId="4">
      <formula>COUNTBLANK('Asignación'!$F$13:$F$13)&gt;0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PIAD</t>
        </is>
      </c>
      <c r="B1" t="inlineStr">
        <is>
          <t>Pedro I. Alonso Diaz</t>
        </is>
      </c>
      <c r="C1" t="inlineStr">
        <is>
          <t>Dr.</t>
        </is>
      </c>
      <c r="D1" t="n">
        <v>160</v>
      </c>
      <c r="F1">
        <f>IF('Asignación'!$F$4="","",'Asignación'!$F$4&amp;"#"&amp;COUNTIF('Asignación'!$F$4:$F$4,'Asignación'!$F$4))</f>
        <v/>
      </c>
      <c r="G1" t="inlineStr">
        <is>
          <t>Estadística (CC)</t>
        </is>
      </c>
      <c r="H1" t="inlineStr">
        <is>
          <t>Conf</t>
        </is>
      </c>
      <c r="I1" t="inlineStr">
        <is>
          <t>-</t>
        </is>
      </c>
      <c r="J1" t="n">
        <v>32</v>
      </c>
    </row>
    <row r="2">
      <c r="A2" t="inlineStr">
        <is>
          <t>MARA</t>
        </is>
      </c>
      <c r="B2" t="inlineStr">
        <is>
          <t>Maria Ramirez</t>
        </is>
      </c>
      <c r="C2" t="inlineStr">
        <is>
          <t>MSc.</t>
        </is>
      </c>
      <c r="D2" t="n">
        <v>160</v>
      </c>
      <c r="F2">
        <f>IF('Asignación'!$F$5="","",'Asignación'!$F$5&amp;"#"&amp;COUNTIF('Asignación'!$F$4:$F$5,'Asignación'!$F$5))</f>
        <v/>
      </c>
      <c r="G2" t="inlineStr">
        <is>
          <t>Estadística (CC)</t>
        </is>
      </c>
      <c r="H2" t="inlineStr">
        <is>
          <t>CP</t>
        </is>
      </c>
      <c r="I2" t="n">
        <v>1</v>
      </c>
      <c r="J2" t="n">
        <v>32</v>
      </c>
    </row>
    <row r="3">
      <c r="A3" t="inlineStr">
        <is>
          <t>LGOM</t>
        </is>
      </c>
      <c r="B3" t="inlineStr">
        <is>
          <t>Luis Gomez</t>
        </is>
      </c>
      <c r="C3" t="inlineStr">
        <is>
          <t>Dr.</t>
        </is>
      </c>
      <c r="D3" t="n">
        <v>160</v>
      </c>
      <c r="F3">
        <f>IF('Asignación'!$F$6="","",'Asignación'!$F$6&amp;"#"&amp;COUNTIF('Asignación'!$F$4:$F$6,'Asignación'!$F$6))</f>
        <v/>
      </c>
      <c r="G3" t="inlineStr">
        <is>
          <t>Estadística (CC)</t>
        </is>
      </c>
      <c r="H3" t="inlineStr">
        <is>
          <t>CP</t>
        </is>
      </c>
      <c r="I3" t="n">
        <v>2</v>
      </c>
      <c r="J3" t="n">
        <v>32</v>
      </c>
    </row>
    <row r="4">
      <c r="A4" t="inlineStr">
        <is>
          <t>ANSU</t>
        </is>
      </c>
      <c r="B4" t="inlineStr">
        <is>
          <t>Ana Suarez</t>
        </is>
      </c>
      <c r="C4" t="inlineStr">
        <is>
          <t>MSc.</t>
        </is>
      </c>
      <c r="D4" t="n">
        <v>80</v>
      </c>
      <c r="F4">
        <f>IF('Asignación'!$F$7="","",'Asignación'!$F$7&amp;"#"&amp;COUNTIF('Asignación'!$F$4:$F$7,'Asignación'!$F$7))</f>
        <v/>
      </c>
      <c r="G4" t="inlineStr">
        <is>
          <t>Estadística (Mat)</t>
        </is>
      </c>
      <c r="H4" t="inlineStr">
        <is>
          <t>Conf</t>
        </is>
      </c>
      <c r="I4" t="inlineStr">
        <is>
          <t>-</t>
        </is>
      </c>
      <c r="J4" t="n">
        <v>32</v>
      </c>
    </row>
    <row r="5">
      <c r="A5" t="inlineStr">
        <is>
          <t>RTOR</t>
        </is>
      </c>
      <c r="B5" t="inlineStr">
        <is>
          <t>Raul Torres</t>
        </is>
      </c>
      <c r="C5" t="inlineStr">
        <is>
          <t>Dr.</t>
        </is>
      </c>
      <c r="D5" t="n">
        <v>160</v>
      </c>
      <c r="F5">
        <f>IF('Asignación'!$F$8="","",'Asignación'!$F$8&amp;"#"&amp;COUNTIF('Asignación'!$F$4:$F$8,'Asignación'!$F$8))</f>
        <v/>
      </c>
      <c r="G5" t="inlineStr">
        <is>
          <t>Estadística (Mat)</t>
        </is>
      </c>
      <c r="H5" t="inlineStr">
        <is>
          <t>CP</t>
        </is>
      </c>
      <c r="I5" t="n">
        <v>1</v>
      </c>
      <c r="J5" t="n">
        <v>32</v>
      </c>
    </row>
    <row r="6">
      <c r="F6">
        <f>IF('Asignación'!$F$9="","",'Asignación'!$F$9&amp;"#"&amp;COUNTIF('Asignación'!$F$4:$F$9,'Asignación'!$F$9))</f>
        <v/>
      </c>
      <c r="G6" t="inlineStr">
        <is>
          <t>Análisis Numérico (CD)</t>
        </is>
      </c>
      <c r="H6" t="inlineStr">
        <is>
          <t>Conf</t>
        </is>
      </c>
      <c r="I6" t="inlineStr">
        <is>
          <t>-</t>
        </is>
      </c>
      <c r="J6" t="n">
        <v>48</v>
      </c>
    </row>
    <row r="7">
      <c r="F7">
        <f>IF('Asignación'!$F$10="","",'Asignación'!$F$10&amp;"#"&amp;COUNTIF('Asignación'!$F$4:$F$10,'Asignación'!$F$10))</f>
        <v/>
      </c>
      <c r="G7" t="inlineStr">
        <is>
          <t>Análisis Numérico (CD)</t>
        </is>
      </c>
      <c r="H7" t="inlineStr">
        <is>
          <t>CP</t>
        </is>
      </c>
      <c r="I7" t="n">
        <v>1</v>
      </c>
      <c r="J7" t="n">
        <v>32</v>
      </c>
    </row>
    <row r="8">
      <c r="F8">
        <f>IF('Asignación'!$F$11="","",'Asignación'!$F$11&amp;"#"&amp;COUNTIF('Asignación'!$F$4:$F$11,'Asignación'!$F$11))</f>
        <v/>
      </c>
      <c r="G8" t="inlineStr">
        <is>
          <t>Análisis Numérico (CD)</t>
        </is>
      </c>
      <c r="H8" t="inlineStr">
        <is>
          <t>CP</t>
        </is>
      </c>
      <c r="I8" t="n">
        <v>2</v>
      </c>
      <c r="J8" t="n">
        <v>32</v>
      </c>
    </row>
    <row r="9">
      <c r="F9">
        <f>IF('Asignación'!$F$12="","",'Asignación'!$F$12&amp;"#"&amp;COUNTIF('Asignación'!$F$4:$F$12,'Asignación'!$F$12))</f>
        <v/>
      </c>
      <c r="G9" t="inlineStr">
        <is>
          <t>Análisis Numérico (CD)</t>
        </is>
      </c>
      <c r="H9" t="inlineStr">
        <is>
          <t>CP</t>
        </is>
      </c>
      <c r="I9" t="n">
        <v>3</v>
      </c>
      <c r="J9" t="n">
        <v>32</v>
      </c>
    </row>
    <row r="10">
      <c r="F10">
        <f>IF('Asignación'!$F$13="","",'Asignación'!$F$13&amp;"#"&amp;COUNTIF('Asignación'!$F$4:$F$13,'Asignación'!$F$13))</f>
        <v/>
      </c>
      <c r="G10" t="inlineStr">
        <is>
          <t>Seminario de Matemática</t>
        </is>
      </c>
      <c r="H10" t="inlineStr">
        <is>
          <t>Conf</t>
        </is>
      </c>
      <c r="I10" t="inlineStr">
        <is>
          <t>-</t>
        </is>
      </c>
      <c r="J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2026-08-19T21:01:43Z</dcterms:created>
  <dcterms:modified xmlns:dcterms="http://purl.org/dc/terms/" xmlns:xsi="http://www.w3.org/2001/XMLSchema-instance" xsi:type="dcterms:W3CDTF">2026-08-19T21:01:43Z</dcterms:modified>
</cp:coreProperties>
</file>