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Profesores" sheetId="2" state="visible" r:id="rId2"/>
    <sheet xmlns:r="http://schemas.openxmlformats.org/officeDocument/2006/relationships" name="Asignaturas" sheetId="3" state="visible" r:id="rId3"/>
    <sheet xmlns:r="http://schemas.openxmlformats.org/officeDocument/2006/relationships" name="Asignación" sheetId="4" state="visible" r:id="rId4"/>
    <sheet xmlns:r="http://schemas.openxmlformats.org/officeDocument/2006/relationships" name="Carga por profesor" sheetId="5" state="visible" r:id="rId5"/>
    <sheet xmlns:r="http://schemas.openxmlformats.org/officeDocument/2006/relationships" name="Cobertura por asignatura" sheetId="6" state="visible" r:id="rId6"/>
    <sheet xmlns:r="http://schemas.openxmlformats.org/officeDocument/2006/relationships" name="Auxiliar" sheetId="7" state="hidden" r:id="rId7"/>
  </sheets>
  <definedNames>
    <definedName name="CargaPorProfesor">'Auxiliar'!$F$1:$J$30</definedName>
    <definedName name="AsignaturaNuevaProfesor">'Auxiliar'!$M$1:$M$30</definedName>
    <definedName name="ProfesoresValidos">OFFSET('Profesores'!$A$2,0,0,COUNTA('Profesores'!$A$2:$A$11),1)</definedName>
    <definedName name="ProfesoresTabla">OFFSET('Profesores'!$A$2,0,0,COUNTA('Profesores'!$A$2:$A$11),4)</definedName>
    <definedName name="AsignaturasValidas">OFFSET('Asignaturas'!$A$2,0,0,COUNTA('Asignaturas'!$A$2:$A$15),1)</definedName>
    <definedName name="AsignaturasTabla">OFFSET('Asignaturas'!$A$2,0,0,COUNTA('Asignaturas'!$A$2:$A$15),7)</definedName>
    <definedName name="_xlnm._FilterDatabase" localSheetId="3" hidden="1">'Asignación'!$A$3:$H$33</definedName>
    <definedName name="_xlnm._FilterDatabase" localSheetId="5" hidden="1">'Cobertura por asignatura'!$A$2:$I$16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176"/>
        <bgColor rgb="00FFF176"/>
      </patternFill>
    </fill>
    <fill>
      <patternFill patternType="solid">
        <fgColor rgb="00FFB74D"/>
        <bgColor rgb="00FFB74D"/>
      </patternFill>
    </fill>
    <fill>
      <patternFill patternType="solid">
        <fgColor rgb="00EF9A9A"/>
        <bgColor rgb="00EF9A9A"/>
      </patternFill>
    </fill>
    <fill>
      <patternFill patternType="solid">
        <fgColor rgb="00A5D6A7"/>
        <bgColor rgb="00A5D6A7"/>
      </patternFill>
    </fill>
    <fill>
      <patternFill patternType="solid">
        <fgColor rgb="00FFCC80"/>
        <bgColor rgb="00FFCC80"/>
      </patternFill>
    </fill>
  </fills>
  <borders count="13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medium"/>
      <top style="thin"/>
      <bottom style="thick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indent="1"/>
    </xf>
    <xf numFmtId="0" fontId="1" fillId="2" borderId="2" applyAlignment="1" pivotButton="0" quotePrefix="0" xfId="0">
      <alignment horizontal="left" vertical="center" indent="1"/>
    </xf>
    <xf numFmtId="0" fontId="1" fillId="2" borderId="3" applyAlignment="1" pivotButton="0" quotePrefix="0" xfId="0">
      <alignment horizontal="left" vertical="center" indent="1"/>
    </xf>
    <xf numFmtId="0" fontId="0" fillId="0" borderId="4" applyAlignment="1" applyProtection="1" pivotButton="0" quotePrefix="0" xfId="0">
      <alignment horizontal="left" vertical="center" indent="1"/>
      <protection locked="0" hidden="0"/>
    </xf>
    <xf numFmtId="0" fontId="0" fillId="0" borderId="5" applyAlignment="1" applyProtection="1" pivotButton="0" quotePrefix="0" xfId="0">
      <alignment horizontal="left" vertical="center" indent="1"/>
      <protection locked="0" hidden="0"/>
    </xf>
    <xf numFmtId="0" fontId="0" fillId="0" borderId="6" applyAlignment="1" pivotButton="0" quotePrefix="0" xfId="0">
      <alignment horizontal="left" vertical="center" indent="1"/>
    </xf>
    <xf numFmtId="0" fontId="0" fillId="0" borderId="7" applyAlignment="1" applyProtection="1" pivotButton="0" quotePrefix="0" xfId="0">
      <alignment horizontal="left" vertical="center" indent="1"/>
      <protection locked="0" hidden="0"/>
    </xf>
    <xf numFmtId="0" fontId="0" fillId="0" borderId="8" applyAlignment="1" applyProtection="1" pivotButton="0" quotePrefix="0" xfId="0">
      <alignment horizontal="left" vertical="center" indent="1"/>
      <protection locked="0" hidden="0"/>
    </xf>
    <xf numFmtId="0" fontId="0" fillId="0" borderId="9" applyAlignment="1" pivotButton="0" quotePrefix="0" xfId="0">
      <alignment horizontal="left" vertical="center" indent="1"/>
    </xf>
    <xf numFmtId="0" fontId="1" fillId="0" borderId="0" pivotButton="0" quotePrefix="0" xfId="0"/>
    <xf numFmtId="0" fontId="0" fillId="0" borderId="5" applyAlignment="1" pivotButton="0" quotePrefix="0" xfId="0">
      <alignment horizontal="left" vertical="center" indent="1"/>
    </xf>
    <xf numFmtId="1" fontId="0" fillId="0" borderId="5" applyAlignment="1" pivotButton="0" quotePrefix="0" xfId="0">
      <alignment horizontal="left" vertical="center" indent="1"/>
    </xf>
    <xf numFmtId="0" fontId="0" fillId="0" borderId="4" applyAlignment="1" pivotButton="0" quotePrefix="0" xfId="0">
      <alignment horizontal="left" vertical="center" indent="1"/>
    </xf>
    <xf numFmtId="1" fontId="0" fillId="0" borderId="6" applyAlignment="1" pivotButton="0" quotePrefix="0" xfId="0">
      <alignment horizontal="left" vertical="center" indent="1"/>
    </xf>
    <xf numFmtId="0" fontId="0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1" applyAlignment="1" pivotButton="0" quotePrefix="0" xfId="0">
      <alignment horizontal="left" vertical="center" indent="1"/>
    </xf>
    <xf numFmtId="0" fontId="0" fillId="0" borderId="11" applyAlignment="1" applyProtection="1" pivotButton="0" quotePrefix="0" xfId="0">
      <alignment horizontal="left" vertical="center" indent="1"/>
      <protection locked="0" hidden="0"/>
    </xf>
    <xf numFmtId="1" fontId="0" fillId="0" borderId="11" applyAlignment="1" pivotButton="0" quotePrefix="0" xfId="0">
      <alignment horizontal="left" vertical="center" indent="1"/>
    </xf>
    <xf numFmtId="0" fontId="0" fillId="0" borderId="12" applyAlignment="1" pivotButton="0" quotePrefix="0" xfId="0">
      <alignment horizontal="left" vertical="center" indent="1"/>
    </xf>
    <xf numFmtId="0" fontId="0" fillId="0" borderId="7" applyAlignment="1" pivotButton="0" quotePrefix="0" xfId="0">
      <alignment horizontal="left" vertical="center" indent="1"/>
    </xf>
    <xf numFmtId="0" fontId="0" fillId="0" borderId="8" applyAlignment="1" pivotButton="0" quotePrefix="0" xfId="0">
      <alignment horizontal="left" vertical="center" indent="1"/>
    </xf>
    <xf numFmtId="1" fontId="0" fillId="0" borderId="8" applyAlignment="1" pivotButton="0" quotePrefix="0" xfId="0">
      <alignment horizontal="left" vertical="center" indent="1"/>
    </xf>
    <xf numFmtId="1" fontId="0" fillId="0" borderId="9" applyAlignment="1" pivotButton="0" quotePrefix="0" xfId="0">
      <alignment horizontal="left" vertical="center" indent="1"/>
    </xf>
    <xf numFmtId="0" fontId="0" fillId="3" borderId="5" pivotButton="0" quotePrefix="0" xfId="0"/>
    <xf numFmtId="0" fontId="0" fillId="4" borderId="5" pivotButton="0" quotePrefix="0" xfId="0"/>
    <xf numFmtId="0" fontId="0" fillId="5" borderId="5" pivotButton="0" quotePrefix="0" xfId="0"/>
    <xf numFmtId="0" fontId="1" fillId="2" borderId="4" applyAlignment="1" pivotButton="0" quotePrefix="0" xfId="0">
      <alignment horizontal="left" vertical="center" indent="1"/>
    </xf>
    <xf numFmtId="0" fontId="1" fillId="2" borderId="5" applyAlignment="1" pivotButton="0" quotePrefix="0" xfId="0">
      <alignment horizontal="left" vertical="center" indent="1"/>
    </xf>
    <xf numFmtId="0" fontId="1" fillId="2" borderId="6" applyAlignment="1" pivotButton="0" quotePrefix="0" xfId="0">
      <alignment horizontal="left" vertical="center" indent="1"/>
    </xf>
    <xf numFmtId="0" fontId="1" fillId="0" borderId="7" applyAlignment="1" pivotButton="0" quotePrefix="0" xfId="0">
      <alignment horizontal="left" vertical="center" indent="1"/>
    </xf>
    <xf numFmtId="0" fontId="0" fillId="6" borderId="5" pivotButton="0" quotePrefix="0" xfId="0"/>
    <xf numFmtId="0" fontId="0" fillId="7" borderId="5" pivotButton="0" quotePrefix="0" xfId="0"/>
  </cellXfs>
  <cellStyles count="1">
    <cellStyle name="Normal" xfId="0" builtinId="0" hidden="0"/>
  </cellStyles>
  <dxfs count="5">
    <dxf>
      <fill>
        <patternFill patternType="solid">
          <fgColor rgb="00FFF176"/>
          <bgColor rgb="00FFF176"/>
        </patternFill>
      </fill>
    </dxf>
    <dxf>
      <fill>
        <patternFill patternType="solid">
          <fgColor rgb="00FFB74D"/>
          <bgColor rgb="00FFB74D"/>
        </patternFill>
      </fill>
    </dxf>
    <dxf>
      <fill>
        <patternFill patternType="solid">
          <fgColor rgb="00EF9A9A"/>
          <bgColor rgb="00EF9A9A"/>
        </patternFill>
      </fill>
    </dxf>
    <dxf>
      <fill>
        <patternFill patternType="solid">
          <fgColor rgb="00A5D6A7"/>
          <bgColor rgb="00A5D6A7"/>
        </patternFill>
      </fill>
    </dxf>
    <dxf>
      <fill>
        <patternFill patternType="solid">
          <fgColor rgb="00FFCC80"/>
          <bgColor rgb="00FFCC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</cols>
  <sheetData>
    <row r="1"/>
    <row r="2">
      <c r="A2" t="inlineStr">
        <is>
          <t>Gestión del departamento</t>
        </is>
      </c>
    </row>
    <row r="3">
      <c r="A3" t="inlineStr">
        <is>
          <t>Matemática Aplicada · Semestre 2026-2027 / 1</t>
        </is>
      </c>
    </row>
    <row r="4">
      <c r="A4" t="inlineStr">
        <is>
          <t>Generado desde</t>
        </is>
      </c>
      <c r="B4" t="inlineStr">
        <is>
          <t>config/departamento.yaml</t>
        </is>
      </c>
    </row>
    <row r="5">
      <c r="A5" t="inlineStr">
        <is>
          <t>Fecha</t>
        </is>
      </c>
      <c r="B5" t="inlineStr">
        <is>
          <t>07/09/2026 16:52</t>
        </is>
      </c>
    </row>
    <row r="6"/>
    <row r="7">
      <c r="A7" t="inlineStr">
        <is>
          <t>Donde se cambian los datos</t>
        </is>
      </c>
    </row>
    <row r="8" ht="45" customHeight="1">
      <c r="A8" s="1" t="inlineStr">
        <is>
          <t>Las casillas de fondo blanco se escriben a mano. Las demás se calculan solas y están bloqueadas: si necesitas tocarlas, quita la protección de la hoja desde el menú de Excel o de Calc.</t>
        </is>
      </c>
    </row>
    <row r="9" ht="60" customHeight="1">
      <c r="A9" s="1" t="inlineStr">
        <is>
          <t>Las listas que el índice marca «se escribe» admiten filas nuevas al final, en las líneas libres que ya vienen preparadas. No dejes filas en blanco en medio: la lista se corta ahí y lo que quede debajo desaparece de los desplegables. Las demás hojas de datos son copia del YAML y están bloqueadas.</t>
        </is>
      </c>
    </row>
    <row r="10"/>
    <row r="11">
      <c r="A11" t="inlineStr">
        <is>
          <t>Las hojas de este libro</t>
        </is>
      </c>
    </row>
    <row r="12">
      <c r="A12" t="inlineStr">
        <is>
          <t>Profesores</t>
        </is>
      </c>
      <c r="B12" t="inlineStr">
        <is>
          <t>Los profesores del departamento, con su grado y su tope</t>
        </is>
      </c>
      <c r="C12" t="inlineStr">
        <is>
          <t>se escribe</t>
        </is>
      </c>
    </row>
    <row r="13">
      <c r="A13" t="inlineStr">
        <is>
          <t>Asignaturas</t>
        </is>
      </c>
      <c r="B13" t="inlineStr">
        <is>
          <t>Las asignaturas del semestre y sus horas; aquí se añaden las nuevas</t>
        </is>
      </c>
      <c r="C13" t="inlineStr">
        <is>
          <t>se escribe</t>
        </is>
      </c>
    </row>
    <row r="14">
      <c r="A14" t="inlineStr">
        <is>
          <t>Asignación</t>
        </is>
      </c>
      <c r="B14" t="inlineStr">
        <is>
          <t>Quién imparte cada conferencia y cada grupo de CP</t>
        </is>
      </c>
      <c r="C14" t="inlineStr">
        <is>
          <t>se escribe</t>
        </is>
      </c>
    </row>
    <row r="15">
      <c r="A15" t="inlineStr">
        <is>
          <t>Carga por profesor</t>
        </is>
      </c>
      <c r="B15" t="inlineStr">
        <is>
          <t>Cuántas horas acumula cada uno y si pasa su tope</t>
        </is>
      </c>
      <c r="C15" t="inlineStr">
        <is>
          <t>se calcula</t>
        </is>
      </c>
    </row>
    <row r="16">
      <c r="A16" t="inlineStr">
        <is>
          <t>Cobertura por asignatura</t>
        </is>
      </c>
      <c r="B16" t="inlineStr">
        <is>
          <t>Qué asignaturas están cubiertas y qué les falta</t>
        </is>
      </c>
      <c r="C16" t="inlineStr">
        <is>
          <t>se calcula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9:C9"/>
    <mergeCell ref="A8:C8"/>
  </mergeCells>
  <hyperlinks>
    <hyperlink ref="A12" location="'Profesores'!A1"/>
    <hyperlink ref="A13" location="'Asignaturas'!A1"/>
    <hyperlink ref="A14" location="'Asignación'!A1"/>
    <hyperlink ref="A15" location="'Carga por profesor'!A1"/>
    <hyperlink ref="A16" location="'Cobertura por asignatura'!A1"/>
  </hyperlink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B39DDB"/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2" customWidth="1" min="4" max="4"/>
    <col width="17" customWidth="1" min="5" max="5"/>
  </cols>
  <sheetData>
    <row r="1" ht="22" customHeight="1">
      <c r="A1" s="2" t="inlineStr">
        <is>
          <t>Id</t>
        </is>
      </c>
      <c r="B1" s="3" t="inlineStr">
        <is>
          <t>Nombre</t>
        </is>
      </c>
      <c r="C1" s="3" t="inlineStr">
        <is>
          <t>Grado</t>
        </is>
      </c>
      <c r="D1" s="3" t="inlineStr">
        <is>
          <t>Tope horas</t>
        </is>
      </c>
      <c r="E1" s="4" t="inlineStr">
        <is>
          <t>Origen del tope</t>
        </is>
      </c>
    </row>
    <row r="2" ht="22" customHeight="1">
      <c r="A2" s="5" t="inlineStr">
        <is>
          <t>PIAD</t>
        </is>
      </c>
      <c r="B2" s="6" t="inlineStr">
        <is>
          <t>Pedro I. Alonso Diaz</t>
        </is>
      </c>
      <c r="C2" s="6" t="inlineStr">
        <is>
          <t>Dr.</t>
        </is>
      </c>
      <c r="D2" s="6" t="n">
        <v>160</v>
      </c>
      <c r="E2" s="7">
        <f>IF(A2="","",IF(D2="","Sin tope",IF(D2=160,"Del departamento","Propio")))</f>
        <v/>
      </c>
    </row>
    <row r="3" ht="22" customHeight="1">
      <c r="A3" s="5" t="inlineStr">
        <is>
          <t>MARA</t>
        </is>
      </c>
      <c r="B3" s="6" t="inlineStr">
        <is>
          <t>Maria Ramirez</t>
        </is>
      </c>
      <c r="C3" s="6" t="inlineStr">
        <is>
          <t>MSc.</t>
        </is>
      </c>
      <c r="D3" s="6" t="n">
        <v>160</v>
      </c>
      <c r="E3" s="7">
        <f>IF(A3="","",IF(D3="","Sin tope",IF(D3=160,"Del departamento","Propio")))</f>
        <v/>
      </c>
    </row>
    <row r="4" ht="22" customHeight="1">
      <c r="A4" s="5" t="inlineStr">
        <is>
          <t>LGOM</t>
        </is>
      </c>
      <c r="B4" s="6" t="inlineStr">
        <is>
          <t>Luis Gomez</t>
        </is>
      </c>
      <c r="C4" s="6" t="inlineStr">
        <is>
          <t>Dr.</t>
        </is>
      </c>
      <c r="D4" s="6" t="n">
        <v>160</v>
      </c>
      <c r="E4" s="7">
        <f>IF(A4="","",IF(D4="","Sin tope",IF(D4=160,"Del departamento","Propio")))</f>
        <v/>
      </c>
    </row>
    <row r="5" ht="22" customHeight="1">
      <c r="A5" s="5" t="inlineStr">
        <is>
          <t>ANSU</t>
        </is>
      </c>
      <c r="B5" s="6" t="inlineStr">
        <is>
          <t>Ana Suarez</t>
        </is>
      </c>
      <c r="C5" s="6" t="inlineStr">
        <is>
          <t>MSc.</t>
        </is>
      </c>
      <c r="D5" s="6" t="n">
        <v>80</v>
      </c>
      <c r="E5" s="7">
        <f>IF(A5="","",IF(D5="","Sin tope",IF(D5=160,"Del departamento","Propio")))</f>
        <v/>
      </c>
    </row>
    <row r="6" ht="22" customHeight="1">
      <c r="A6" s="5" t="inlineStr">
        <is>
          <t>RTOR</t>
        </is>
      </c>
      <c r="B6" s="6" t="inlineStr">
        <is>
          <t>Raul Torres</t>
        </is>
      </c>
      <c r="C6" s="6" t="inlineStr">
        <is>
          <t>Dr.</t>
        </is>
      </c>
      <c r="D6" s="6" t="n">
        <v>160</v>
      </c>
      <c r="E6" s="7">
        <f>IF(A6="","",IF(D6="","Sin tope",IF(D6=160,"Del departamento","Propio")))</f>
        <v/>
      </c>
    </row>
    <row r="7" ht="22" customHeight="1">
      <c r="A7" s="5" t="n"/>
      <c r="B7" s="6" t="n"/>
      <c r="C7" s="6" t="n"/>
      <c r="D7" s="6" t="inlineStr"/>
      <c r="E7" s="7">
        <f>IF(A7="","",IF(D7="","Sin tope",IF(D7=160,"Del departamento","Propio")))</f>
        <v/>
      </c>
    </row>
    <row r="8" ht="22" customHeight="1">
      <c r="A8" s="5" t="n"/>
      <c r="B8" s="6" t="n"/>
      <c r="C8" s="6" t="n"/>
      <c r="D8" s="6" t="inlineStr"/>
      <c r="E8" s="7">
        <f>IF(A8="","",IF(D8="","Sin tope",IF(D8=160,"Del departamento","Propio")))</f>
        <v/>
      </c>
    </row>
    <row r="9" ht="22" customHeight="1">
      <c r="A9" s="5" t="n"/>
      <c r="B9" s="6" t="n"/>
      <c r="C9" s="6" t="n"/>
      <c r="D9" s="6" t="inlineStr"/>
      <c r="E9" s="7">
        <f>IF(A9="","",IF(D9="","Sin tope",IF(D9=160,"Del departamento","Propio")))</f>
        <v/>
      </c>
    </row>
    <row r="10" ht="22" customHeight="1">
      <c r="A10" s="5" t="n"/>
      <c r="B10" s="6" t="n"/>
      <c r="C10" s="6" t="n"/>
      <c r="D10" s="6" t="inlineStr"/>
      <c r="E10" s="7">
        <f>IF(A10="","",IF(D10="","Sin tope",IF(D10=160,"Del departamento","Propio")))</f>
        <v/>
      </c>
    </row>
    <row r="11" ht="22" customHeight="1">
      <c r="A11" s="8" t="n"/>
      <c r="B11" s="9" t="n"/>
      <c r="C11" s="9" t="n"/>
      <c r="D11" s="9" t="inlineStr"/>
      <c r="E11" s="10">
        <f>IF(A11="","",IF(D11="","Sin tope",IF(D11=160,"Del departamento","Propio")))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39DDB"/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27" customWidth="1" min="3" max="3"/>
    <col width="12" customWidth="1" min="4" max="4"/>
    <col width="20" customWidth="1" min="5" max="5"/>
    <col width="11" customWidth="1" min="6" max="6"/>
    <col width="9" customWidth="1" min="7" max="7"/>
  </cols>
  <sheetData>
    <row r="1" ht="22" customHeight="1">
      <c r="A1" s="2" t="inlineStr">
        <is>
          <t>Id</t>
        </is>
      </c>
      <c r="B1" s="3" t="inlineStr">
        <is>
          <t>Nombre</t>
        </is>
      </c>
      <c r="C1" s="3" t="inlineStr">
        <is>
          <t>Carrera</t>
        </is>
      </c>
      <c r="D1" s="3" t="inlineStr">
        <is>
          <t>Horas Conf</t>
        </is>
      </c>
      <c r="E1" s="3" t="inlineStr">
        <is>
          <t>Horas CP por grupo</t>
        </is>
      </c>
      <c r="F1" s="3" t="inlineStr">
        <is>
          <t>Grupos CP</t>
        </is>
      </c>
      <c r="G1" s="4" t="inlineStr">
        <is>
          <t>Total</t>
        </is>
      </c>
    </row>
    <row r="2" ht="22" customHeight="1">
      <c r="A2" s="5" t="inlineStr">
        <is>
          <t>EST-CC</t>
        </is>
      </c>
      <c r="B2" s="6" t="inlineStr">
        <is>
          <t>Estadística (CC)</t>
        </is>
      </c>
      <c r="C2" s="6" t="inlineStr">
        <is>
          <t>Ciencia de la Computación</t>
        </is>
      </c>
      <c r="D2" s="6" t="n">
        <v>32</v>
      </c>
      <c r="E2" s="6" t="n">
        <v>32</v>
      </c>
      <c r="F2" s="6" t="n">
        <v>2</v>
      </c>
      <c r="G2" s="7">
        <f>IF(A2="","",D2+E2*F2)</f>
        <v/>
      </c>
    </row>
    <row r="3" ht="22" customHeight="1">
      <c r="A3" s="5" t="inlineStr">
        <is>
          <t>EST-MAT</t>
        </is>
      </c>
      <c r="B3" s="6" t="inlineStr">
        <is>
          <t>Estadística (Mat)</t>
        </is>
      </c>
      <c r="C3" s="6" t="inlineStr">
        <is>
          <t>Matemática</t>
        </is>
      </c>
      <c r="D3" s="6" t="n">
        <v>32</v>
      </c>
      <c r="E3" s="6" t="n">
        <v>32</v>
      </c>
      <c r="F3" s="6" t="n">
        <v>1</v>
      </c>
      <c r="G3" s="7">
        <f>IF(A3="","",D3+E3*F3)</f>
        <v/>
      </c>
    </row>
    <row r="4" ht="22" customHeight="1">
      <c r="A4" s="5" t="inlineStr">
        <is>
          <t>AN-CD</t>
        </is>
      </c>
      <c r="B4" s="6" t="inlineStr">
        <is>
          <t>Análisis Numérico (CD)</t>
        </is>
      </c>
      <c r="C4" s="6" t="inlineStr">
        <is>
          <t>Ciencia de Datos</t>
        </is>
      </c>
      <c r="D4" s="6" t="n">
        <v>48</v>
      </c>
      <c r="E4" s="6" t="n">
        <v>32</v>
      </c>
      <c r="F4" s="6" t="n">
        <v>3</v>
      </c>
      <c r="G4" s="7">
        <f>IF(A4="","",D4+E4*F4)</f>
        <v/>
      </c>
    </row>
    <row r="5" ht="22" customHeight="1">
      <c r="A5" s="5" t="inlineStr">
        <is>
          <t>SEM-MAT</t>
        </is>
      </c>
      <c r="B5" s="6" t="inlineStr">
        <is>
          <t>Seminario de Matemática</t>
        </is>
      </c>
      <c r="C5" s="6" t="inlineStr">
        <is>
          <t>Matemática</t>
        </is>
      </c>
      <c r="D5" s="6" t="n">
        <v>16</v>
      </c>
      <c r="E5" s="6" t="n">
        <v>0</v>
      </c>
      <c r="F5" s="6" t="n">
        <v>0</v>
      </c>
      <c r="G5" s="7">
        <f>IF(A5="","",D5+E5*F5)</f>
        <v/>
      </c>
    </row>
    <row r="6" ht="22" customHeight="1">
      <c r="A6" s="5" t="n"/>
      <c r="B6" s="6" t="n"/>
      <c r="C6" s="6" t="n"/>
      <c r="D6" s="6" t="n"/>
      <c r="E6" s="6" t="n"/>
      <c r="F6" s="6" t="n"/>
      <c r="G6" s="7">
        <f>IF(A6="","",D6+E6*F6)</f>
        <v/>
      </c>
    </row>
    <row r="7" ht="22" customHeight="1">
      <c r="A7" s="5" t="n"/>
      <c r="B7" s="6" t="n"/>
      <c r="C7" s="6" t="n"/>
      <c r="D7" s="6" t="n"/>
      <c r="E7" s="6" t="n"/>
      <c r="F7" s="6" t="n"/>
      <c r="G7" s="7">
        <f>IF(A7="","",D7+E7*F7)</f>
        <v/>
      </c>
    </row>
    <row r="8" ht="22" customHeight="1">
      <c r="A8" s="5" t="n"/>
      <c r="B8" s="6" t="n"/>
      <c r="C8" s="6" t="n"/>
      <c r="D8" s="6" t="n"/>
      <c r="E8" s="6" t="n"/>
      <c r="F8" s="6" t="n"/>
      <c r="G8" s="7">
        <f>IF(A8="","",D8+E8*F8)</f>
        <v/>
      </c>
    </row>
    <row r="9" ht="22" customHeight="1">
      <c r="A9" s="5" t="n"/>
      <c r="B9" s="6" t="n"/>
      <c r="C9" s="6" t="n"/>
      <c r="D9" s="6" t="n"/>
      <c r="E9" s="6" t="n"/>
      <c r="F9" s="6" t="n"/>
      <c r="G9" s="7">
        <f>IF(A9="","",D9+E9*F9)</f>
        <v/>
      </c>
    </row>
    <row r="10" ht="22" customHeight="1">
      <c r="A10" s="5" t="n"/>
      <c r="B10" s="6" t="n"/>
      <c r="C10" s="6" t="n"/>
      <c r="D10" s="6" t="n"/>
      <c r="E10" s="6" t="n"/>
      <c r="F10" s="6" t="n"/>
      <c r="G10" s="7">
        <f>IF(A10="","",D10+E10*F10)</f>
        <v/>
      </c>
    </row>
    <row r="11" ht="22" customHeight="1">
      <c r="A11" s="5" t="n"/>
      <c r="B11" s="6" t="n"/>
      <c r="C11" s="6" t="n"/>
      <c r="D11" s="6" t="n"/>
      <c r="E11" s="6" t="n"/>
      <c r="F11" s="6" t="n"/>
      <c r="G11" s="7">
        <f>IF(A11="","",D11+E11*F11)</f>
        <v/>
      </c>
    </row>
    <row r="12" ht="22" customHeight="1">
      <c r="A12" s="5" t="n"/>
      <c r="B12" s="6" t="n"/>
      <c r="C12" s="6" t="n"/>
      <c r="D12" s="6" t="n"/>
      <c r="E12" s="6" t="n"/>
      <c r="F12" s="6" t="n"/>
      <c r="G12" s="7">
        <f>IF(A12="","",D12+E12*F12)</f>
        <v/>
      </c>
    </row>
    <row r="13" ht="22" customHeight="1">
      <c r="A13" s="5" t="n"/>
      <c r="B13" s="6" t="n"/>
      <c r="C13" s="6" t="n"/>
      <c r="D13" s="6" t="n"/>
      <c r="E13" s="6" t="n"/>
      <c r="F13" s="6" t="n"/>
      <c r="G13" s="7">
        <f>IF(A13="","",D13+E13*F13)</f>
        <v/>
      </c>
    </row>
    <row r="14" ht="22" customHeight="1">
      <c r="A14" s="5" t="n"/>
      <c r="B14" s="6" t="n"/>
      <c r="C14" s="6" t="n"/>
      <c r="D14" s="6" t="n"/>
      <c r="E14" s="6" t="n"/>
      <c r="F14" s="6" t="n"/>
      <c r="G14" s="7">
        <f>IF(A14="","",D14+E14*F14)</f>
        <v/>
      </c>
    </row>
    <row r="15" ht="22" customHeight="1">
      <c r="A15" s="8" t="n"/>
      <c r="B15" s="9" t="n"/>
      <c r="C15" s="9" t="n"/>
      <c r="D15" s="9" t="n"/>
      <c r="E15" s="9" t="n"/>
      <c r="F15" s="9" t="n"/>
      <c r="G15" s="10">
        <f>IF(A15="","",D15+E15*F15)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0CAF9"/>
    <outlinePr summaryBelow="1" summaryRight="1"/>
    <pageSetUpPr/>
  </sheetPr>
  <dimension ref="A1:N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9" customWidth="1" min="3" max="3"/>
    <col width="8" customWidth="1" min="4" max="4"/>
    <col width="9" customWidth="1" min="5" max="5"/>
    <col width="9" customWidth="1" min="6" max="6"/>
    <col width="12" customWidth="1" min="7" max="7"/>
    <col width="24" customWidth="1" min="8" max="8"/>
    <col width="3" customWidth="1" min="9" max="9"/>
    <col width="8" customWidth="1" min="10" max="10"/>
    <col width="24" customWidth="1" min="11" max="11"/>
    <col width="9" customWidth="1" min="12" max="12"/>
    <col width="15" customWidth="1" min="13" max="13"/>
    <col width="8" customWidth="1" min="14" max="14"/>
  </cols>
  <sheetData>
    <row r="1">
      <c r="A1" s="11" t="inlineStr">
        <is>
          <t>Asignación — Matemática Aplicada — 2026-2027 / 1</t>
        </is>
      </c>
    </row>
    <row r="2"/>
    <row r="3">
      <c r="A3" s="2" t="inlineStr">
        <is>
          <t>Id</t>
        </is>
      </c>
      <c r="B3" s="3" t="inlineStr">
        <is>
          <t>Asignatura</t>
        </is>
      </c>
      <c r="C3" s="3" t="inlineStr">
        <is>
          <t>Carrera</t>
        </is>
      </c>
      <c r="D3" s="3" t="inlineStr">
        <is>
          <t>Tipo</t>
        </is>
      </c>
      <c r="E3" s="3" t="inlineStr">
        <is>
          <t>Grupo</t>
        </is>
      </c>
      <c r="F3" s="3" t="inlineStr">
        <is>
          <t>Horas</t>
        </is>
      </c>
      <c r="G3" s="3" t="inlineStr">
        <is>
          <t>Profesor</t>
        </is>
      </c>
      <c r="H3" s="4" t="inlineStr">
        <is>
          <t>Nombre</t>
        </is>
      </c>
      <c r="J3" s="2" t="inlineStr">
        <is>
          <t>Id</t>
        </is>
      </c>
      <c r="K3" s="3" t="inlineStr">
        <is>
          <t>Nombre</t>
        </is>
      </c>
      <c r="L3" s="3" t="inlineStr">
        <is>
          <t>Horas</t>
        </is>
      </c>
      <c r="M3" s="3" t="inlineStr">
        <is>
          <t>Asignaturas</t>
        </is>
      </c>
      <c r="N3" s="4" t="inlineStr">
        <is>
          <t>Tope</t>
        </is>
      </c>
    </row>
    <row r="4" ht="22" customHeight="1">
      <c r="A4" s="5" t="inlineStr">
        <is>
          <t>EST-CC</t>
        </is>
      </c>
      <c r="B4" s="12">
        <f>IF($A4="","",IFERROR(VLOOKUP($A4,AsignaturasTabla,2,0),""))</f>
        <v/>
      </c>
      <c r="C4" s="12">
        <f>IF($A4="","",IFERROR(VLOOKUP($A4,AsignaturasTabla,3,0),""))</f>
        <v/>
      </c>
      <c r="D4" s="6" t="inlineStr">
        <is>
          <t>Conf</t>
        </is>
      </c>
      <c r="E4" s="6" t="inlineStr">
        <is>
          <t>-</t>
        </is>
      </c>
      <c r="F4" s="13">
        <f>IF($A4="","",IFERROR(IF($D4="Conf",VLOOKUP($A4,AsignaturasTabla,4,0),VLOOKUP($A4,AsignaturasTabla,5,0)),""))</f>
        <v/>
      </c>
      <c r="G4" s="6" t="n"/>
      <c r="H4" s="7">
        <f>IF($G4="","",IFERROR(VLOOKUP($G4,ProfesoresTabla,2,0),"(desconocido)"))</f>
        <v/>
      </c>
      <c r="J4" s="14">
        <f>IF(Profesores!A2="","",Profesores!A2)</f>
        <v/>
      </c>
      <c r="K4" s="12">
        <f>IF(Profesores!A2="","",Profesores!B2)</f>
        <v/>
      </c>
      <c r="L4" s="13">
        <f>IF($J4="","",SUMIF($G$4:$G$33,$J4,$F$4:$F$33))</f>
        <v/>
      </c>
      <c r="M4" s="13">
        <f>IF($J4="","",SUMIF($G$4:$G$33,$J4,AsignaturaNuevaProfesor))</f>
        <v/>
      </c>
      <c r="N4" s="15">
        <f>IF(Profesores!A2="","",Profesores!D2)</f>
        <v/>
      </c>
    </row>
    <row r="5" ht="22" customHeight="1">
      <c r="A5" s="5" t="inlineStr">
        <is>
          <t>EST-CC</t>
        </is>
      </c>
      <c r="B5" s="12">
        <f>IF($A5="","",IFERROR(VLOOKUP($A5,AsignaturasTabla,2,0),""))</f>
        <v/>
      </c>
      <c r="C5" s="12">
        <f>IF($A5="","",IFERROR(VLOOKUP($A5,AsignaturasTabla,3,0),""))</f>
        <v/>
      </c>
      <c r="D5" s="6" t="inlineStr">
        <is>
          <t>CP</t>
        </is>
      </c>
      <c r="E5" s="6" t="n">
        <v>1</v>
      </c>
      <c r="F5" s="13">
        <f>IF($A5="","",IFERROR(IF($D5="Conf",VLOOKUP($A5,AsignaturasTabla,4,0),VLOOKUP($A5,AsignaturasTabla,5,0)),""))</f>
        <v/>
      </c>
      <c r="G5" s="6" t="n"/>
      <c r="H5" s="7">
        <f>IF($G5="","",IFERROR(VLOOKUP($G5,ProfesoresTabla,2,0),"(desconocido)"))</f>
        <v/>
      </c>
      <c r="J5" s="14">
        <f>IF(Profesores!A3="","",Profesores!A3)</f>
        <v/>
      </c>
      <c r="K5" s="12">
        <f>IF(Profesores!A3="","",Profesores!B3)</f>
        <v/>
      </c>
      <c r="L5" s="13">
        <f>IF($J5="","",SUMIF($G$4:$G$33,$J5,$F$4:$F$33))</f>
        <v/>
      </c>
      <c r="M5" s="13">
        <f>IF($J5="","",SUMIF($G$4:$G$33,$J5,AsignaturaNuevaProfesor))</f>
        <v/>
      </c>
      <c r="N5" s="15">
        <f>IF(Profesores!A3="","",Profesores!D3)</f>
        <v/>
      </c>
    </row>
    <row r="6" ht="22" customHeight="1">
      <c r="A6" s="16" t="inlineStr">
        <is>
          <t>EST-CC</t>
        </is>
      </c>
      <c r="B6" s="17">
        <f>IF($A6="","",IFERROR(VLOOKUP($A6,AsignaturasTabla,2,0),""))</f>
        <v/>
      </c>
      <c r="C6" s="17">
        <f>IF($A6="","",IFERROR(VLOOKUP($A6,AsignaturasTabla,3,0),""))</f>
        <v/>
      </c>
      <c r="D6" s="18" t="inlineStr">
        <is>
          <t>CP</t>
        </is>
      </c>
      <c r="E6" s="18" t="n">
        <v>2</v>
      </c>
      <c r="F6" s="19">
        <f>IF($A6="","",IFERROR(IF($D6="Conf",VLOOKUP($A6,AsignaturasTabla,4,0),VLOOKUP($A6,AsignaturasTabla,5,0)),""))</f>
        <v/>
      </c>
      <c r="G6" s="18" t="n"/>
      <c r="H6" s="20">
        <f>IF($G6="","",IFERROR(VLOOKUP($G6,ProfesoresTabla,2,0),"(desconocido)"))</f>
        <v/>
      </c>
      <c r="J6" s="14">
        <f>IF(Profesores!A4="","",Profesores!A4)</f>
        <v/>
      </c>
      <c r="K6" s="12">
        <f>IF(Profesores!A4="","",Profesores!B4)</f>
        <v/>
      </c>
      <c r="L6" s="13">
        <f>IF($J6="","",SUMIF($G$4:$G$33,$J6,$F$4:$F$33))</f>
        <v/>
      </c>
      <c r="M6" s="13">
        <f>IF($J6="","",SUMIF($G$4:$G$33,$J6,AsignaturaNuevaProfesor))</f>
        <v/>
      </c>
      <c r="N6" s="15">
        <f>IF(Profesores!A4="","",Profesores!D4)</f>
        <v/>
      </c>
    </row>
    <row r="7" ht="22" customHeight="1">
      <c r="A7" s="5" t="inlineStr">
        <is>
          <t>EST-MAT</t>
        </is>
      </c>
      <c r="B7" s="12">
        <f>IF($A7="","",IFERROR(VLOOKUP($A7,AsignaturasTabla,2,0),""))</f>
        <v/>
      </c>
      <c r="C7" s="12">
        <f>IF($A7="","",IFERROR(VLOOKUP($A7,AsignaturasTabla,3,0),""))</f>
        <v/>
      </c>
      <c r="D7" s="6" t="inlineStr">
        <is>
          <t>Conf</t>
        </is>
      </c>
      <c r="E7" s="6" t="inlineStr">
        <is>
          <t>-</t>
        </is>
      </c>
      <c r="F7" s="13">
        <f>IF($A7="","",IFERROR(IF($D7="Conf",VLOOKUP($A7,AsignaturasTabla,4,0),VLOOKUP($A7,AsignaturasTabla,5,0)),""))</f>
        <v/>
      </c>
      <c r="G7" s="6" t="n"/>
      <c r="H7" s="7">
        <f>IF($G7="","",IFERROR(VLOOKUP($G7,ProfesoresTabla,2,0),"(desconocido)"))</f>
        <v/>
      </c>
      <c r="J7" s="14">
        <f>IF(Profesores!A5="","",Profesores!A5)</f>
        <v/>
      </c>
      <c r="K7" s="12">
        <f>IF(Profesores!A5="","",Profesores!B5)</f>
        <v/>
      </c>
      <c r="L7" s="13">
        <f>IF($J7="","",SUMIF($G$4:$G$33,$J7,$F$4:$F$33))</f>
        <v/>
      </c>
      <c r="M7" s="13">
        <f>IF($J7="","",SUMIF($G$4:$G$33,$J7,AsignaturaNuevaProfesor))</f>
        <v/>
      </c>
      <c r="N7" s="15">
        <f>IF(Profesores!A5="","",Profesores!D5)</f>
        <v/>
      </c>
    </row>
    <row r="8" ht="22" customHeight="1">
      <c r="A8" s="16" t="inlineStr">
        <is>
          <t>EST-MAT</t>
        </is>
      </c>
      <c r="B8" s="17">
        <f>IF($A8="","",IFERROR(VLOOKUP($A8,AsignaturasTabla,2,0),""))</f>
        <v/>
      </c>
      <c r="C8" s="17">
        <f>IF($A8="","",IFERROR(VLOOKUP($A8,AsignaturasTabla,3,0),""))</f>
        <v/>
      </c>
      <c r="D8" s="18" t="inlineStr">
        <is>
          <t>CP</t>
        </is>
      </c>
      <c r="E8" s="18" t="n">
        <v>1</v>
      </c>
      <c r="F8" s="19">
        <f>IF($A8="","",IFERROR(IF($D8="Conf",VLOOKUP($A8,AsignaturasTabla,4,0),VLOOKUP($A8,AsignaturasTabla,5,0)),""))</f>
        <v/>
      </c>
      <c r="G8" s="18" t="n"/>
      <c r="H8" s="20">
        <f>IF($G8="","",IFERROR(VLOOKUP($G8,ProfesoresTabla,2,0),"(desconocido)"))</f>
        <v/>
      </c>
      <c r="J8" s="14">
        <f>IF(Profesores!A6="","",Profesores!A6)</f>
        <v/>
      </c>
      <c r="K8" s="12">
        <f>IF(Profesores!A6="","",Profesores!B6)</f>
        <v/>
      </c>
      <c r="L8" s="13">
        <f>IF($J8="","",SUMIF($G$4:$G$33,$J8,$F$4:$F$33))</f>
        <v/>
      </c>
      <c r="M8" s="13">
        <f>IF($J8="","",SUMIF($G$4:$G$33,$J8,AsignaturaNuevaProfesor))</f>
        <v/>
      </c>
      <c r="N8" s="15">
        <f>IF(Profesores!A6="","",Profesores!D6)</f>
        <v/>
      </c>
    </row>
    <row r="9" ht="22" customHeight="1">
      <c r="A9" s="5" t="inlineStr">
        <is>
          <t>AN-CD</t>
        </is>
      </c>
      <c r="B9" s="12">
        <f>IF($A9="","",IFERROR(VLOOKUP($A9,AsignaturasTabla,2,0),""))</f>
        <v/>
      </c>
      <c r="C9" s="12">
        <f>IF($A9="","",IFERROR(VLOOKUP($A9,AsignaturasTabla,3,0),""))</f>
        <v/>
      </c>
      <c r="D9" s="6" t="inlineStr">
        <is>
          <t>Conf</t>
        </is>
      </c>
      <c r="E9" s="6" t="inlineStr">
        <is>
          <t>-</t>
        </is>
      </c>
      <c r="F9" s="13">
        <f>IF($A9="","",IFERROR(IF($D9="Conf",VLOOKUP($A9,AsignaturasTabla,4,0),VLOOKUP($A9,AsignaturasTabla,5,0)),""))</f>
        <v/>
      </c>
      <c r="G9" s="6" t="n"/>
      <c r="H9" s="7">
        <f>IF($G9="","",IFERROR(VLOOKUP($G9,ProfesoresTabla,2,0),"(desconocido)"))</f>
        <v/>
      </c>
      <c r="J9" s="14">
        <f>IF(Profesores!A7="","",Profesores!A7)</f>
        <v/>
      </c>
      <c r="K9" s="12">
        <f>IF(Profesores!A7="","",Profesores!B7)</f>
        <v/>
      </c>
      <c r="L9" s="13">
        <f>IF($J9="","",SUMIF($G$4:$G$33,$J9,$F$4:$F$33))</f>
        <v/>
      </c>
      <c r="M9" s="13">
        <f>IF($J9="","",SUMIF($G$4:$G$33,$J9,AsignaturaNuevaProfesor))</f>
        <v/>
      </c>
      <c r="N9" s="15">
        <f>IF(Profesores!A7="","",Profesores!D7)</f>
        <v/>
      </c>
    </row>
    <row r="10" ht="22" customHeight="1">
      <c r="A10" s="5" t="inlineStr">
        <is>
          <t>AN-CD</t>
        </is>
      </c>
      <c r="B10" s="12">
        <f>IF($A10="","",IFERROR(VLOOKUP($A10,AsignaturasTabla,2,0),""))</f>
        <v/>
      </c>
      <c r="C10" s="12">
        <f>IF($A10="","",IFERROR(VLOOKUP($A10,AsignaturasTabla,3,0),""))</f>
        <v/>
      </c>
      <c r="D10" s="6" t="inlineStr">
        <is>
          <t>CP</t>
        </is>
      </c>
      <c r="E10" s="6" t="n">
        <v>1</v>
      </c>
      <c r="F10" s="13">
        <f>IF($A10="","",IFERROR(IF($D10="Conf",VLOOKUP($A10,AsignaturasTabla,4,0),VLOOKUP($A10,AsignaturasTabla,5,0)),""))</f>
        <v/>
      </c>
      <c r="G10" s="6" t="n"/>
      <c r="H10" s="7">
        <f>IF($G10="","",IFERROR(VLOOKUP($G10,ProfesoresTabla,2,0),"(desconocido)"))</f>
        <v/>
      </c>
      <c r="J10" s="14">
        <f>IF(Profesores!A8="","",Profesores!A8)</f>
        <v/>
      </c>
      <c r="K10" s="12">
        <f>IF(Profesores!A8="","",Profesores!B8)</f>
        <v/>
      </c>
      <c r="L10" s="13">
        <f>IF($J10="","",SUMIF($G$4:$G$33,$J10,$F$4:$F$33))</f>
        <v/>
      </c>
      <c r="M10" s="13">
        <f>IF($J10="","",SUMIF($G$4:$G$33,$J10,AsignaturaNuevaProfesor))</f>
        <v/>
      </c>
      <c r="N10" s="15">
        <f>IF(Profesores!A8="","",Profesores!D8)</f>
        <v/>
      </c>
    </row>
    <row r="11" ht="22" customHeight="1">
      <c r="A11" s="5" t="inlineStr">
        <is>
          <t>AN-CD</t>
        </is>
      </c>
      <c r="B11" s="12">
        <f>IF($A11="","",IFERROR(VLOOKUP($A11,AsignaturasTabla,2,0),""))</f>
        <v/>
      </c>
      <c r="C11" s="12">
        <f>IF($A11="","",IFERROR(VLOOKUP($A11,AsignaturasTabla,3,0),""))</f>
        <v/>
      </c>
      <c r="D11" s="6" t="inlineStr">
        <is>
          <t>CP</t>
        </is>
      </c>
      <c r="E11" s="6" t="n">
        <v>2</v>
      </c>
      <c r="F11" s="13">
        <f>IF($A11="","",IFERROR(IF($D11="Conf",VLOOKUP($A11,AsignaturasTabla,4,0),VLOOKUP($A11,AsignaturasTabla,5,0)),""))</f>
        <v/>
      </c>
      <c r="G11" s="6" t="n"/>
      <c r="H11" s="7">
        <f>IF($G11="","",IFERROR(VLOOKUP($G11,ProfesoresTabla,2,0),"(desconocido)"))</f>
        <v/>
      </c>
      <c r="J11" s="14">
        <f>IF(Profesores!A9="","",Profesores!A9)</f>
        <v/>
      </c>
      <c r="K11" s="12">
        <f>IF(Profesores!A9="","",Profesores!B9)</f>
        <v/>
      </c>
      <c r="L11" s="13">
        <f>IF($J11="","",SUMIF($G$4:$G$33,$J11,$F$4:$F$33))</f>
        <v/>
      </c>
      <c r="M11" s="13">
        <f>IF($J11="","",SUMIF($G$4:$G$33,$J11,AsignaturaNuevaProfesor))</f>
        <v/>
      </c>
      <c r="N11" s="15">
        <f>IF(Profesores!A9="","",Profesores!D9)</f>
        <v/>
      </c>
    </row>
    <row r="12" ht="22" customHeight="1">
      <c r="A12" s="16" t="inlineStr">
        <is>
          <t>AN-CD</t>
        </is>
      </c>
      <c r="B12" s="17">
        <f>IF($A12="","",IFERROR(VLOOKUP($A12,AsignaturasTabla,2,0),""))</f>
        <v/>
      </c>
      <c r="C12" s="17">
        <f>IF($A12="","",IFERROR(VLOOKUP($A12,AsignaturasTabla,3,0),""))</f>
        <v/>
      </c>
      <c r="D12" s="18" t="inlineStr">
        <is>
          <t>CP</t>
        </is>
      </c>
      <c r="E12" s="18" t="n">
        <v>3</v>
      </c>
      <c r="F12" s="19">
        <f>IF($A12="","",IFERROR(IF($D12="Conf",VLOOKUP($A12,AsignaturasTabla,4,0),VLOOKUP($A12,AsignaturasTabla,5,0)),""))</f>
        <v/>
      </c>
      <c r="G12" s="18" t="n"/>
      <c r="H12" s="20">
        <f>IF($G12="","",IFERROR(VLOOKUP($G12,ProfesoresTabla,2,0),"(desconocido)"))</f>
        <v/>
      </c>
      <c r="J12" s="14">
        <f>IF(Profesores!A10="","",Profesores!A10)</f>
        <v/>
      </c>
      <c r="K12" s="12">
        <f>IF(Profesores!A10="","",Profesores!B10)</f>
        <v/>
      </c>
      <c r="L12" s="13">
        <f>IF($J12="","",SUMIF($G$4:$G$33,$J12,$F$4:$F$33))</f>
        <v/>
      </c>
      <c r="M12" s="13">
        <f>IF($J12="","",SUMIF($G$4:$G$33,$J12,AsignaturaNuevaProfesor))</f>
        <v/>
      </c>
      <c r="N12" s="15">
        <f>IF(Profesores!A10="","",Profesores!D10)</f>
        <v/>
      </c>
    </row>
    <row r="13" ht="22" customHeight="1">
      <c r="A13" s="5" t="inlineStr">
        <is>
          <t>SEM-MAT</t>
        </is>
      </c>
      <c r="B13" s="12">
        <f>IF($A13="","",IFERROR(VLOOKUP($A13,AsignaturasTabla,2,0),""))</f>
        <v/>
      </c>
      <c r="C13" s="12">
        <f>IF($A13="","",IFERROR(VLOOKUP($A13,AsignaturasTabla,3,0),""))</f>
        <v/>
      </c>
      <c r="D13" s="6" t="inlineStr">
        <is>
          <t>Conf</t>
        </is>
      </c>
      <c r="E13" s="6" t="inlineStr">
        <is>
          <t>-</t>
        </is>
      </c>
      <c r="F13" s="13">
        <f>IF($A13="","",IFERROR(IF($D13="Conf",VLOOKUP($A13,AsignaturasTabla,4,0),VLOOKUP($A13,AsignaturasTabla,5,0)),""))</f>
        <v/>
      </c>
      <c r="G13" s="6" t="n"/>
      <c r="H13" s="7">
        <f>IF($G13="","",IFERROR(VLOOKUP($G13,ProfesoresTabla,2,0),"(desconocido)"))</f>
        <v/>
      </c>
      <c r="J13" s="21">
        <f>IF(Profesores!A11="","",Profesores!A11)</f>
        <v/>
      </c>
      <c r="K13" s="22">
        <f>IF(Profesores!A11="","",Profesores!B11)</f>
        <v/>
      </c>
      <c r="L13" s="23">
        <f>IF($J13="","",SUMIF($G$4:$G$33,$J13,$F$4:$F$33))</f>
        <v/>
      </c>
      <c r="M13" s="23">
        <f>IF($J13="","",SUMIF($G$4:$G$33,$J13,AsignaturaNuevaProfesor))</f>
        <v/>
      </c>
      <c r="N13" s="24">
        <f>IF(Profesores!A11="","",Profesores!D11)</f>
        <v/>
      </c>
    </row>
    <row r="14" ht="22" customHeight="1">
      <c r="A14" s="5" t="n"/>
      <c r="B14" s="12">
        <f>IF($A14="","",IFERROR(VLOOKUP($A14,AsignaturasTabla,2,0),""))</f>
        <v/>
      </c>
      <c r="C14" s="12">
        <f>IF($A14="","",IFERROR(VLOOKUP($A14,AsignaturasTabla,3,0),""))</f>
        <v/>
      </c>
      <c r="D14" s="6" t="n"/>
      <c r="E14" s="6" t="n"/>
      <c r="F14" s="13">
        <f>IF($A14="","",IFERROR(IF($D14="Conf",VLOOKUP($A14,AsignaturasTabla,4,0),VLOOKUP($A14,AsignaturasTabla,5,0)),""))</f>
        <v/>
      </c>
      <c r="G14" s="6" t="n"/>
      <c r="H14" s="7">
        <f>IF($G14="","",IFERROR(VLOOKUP($G14,ProfesoresTabla,2,0),"(desconocido)"))</f>
        <v/>
      </c>
    </row>
    <row r="15" ht="22" customHeight="1">
      <c r="A15" s="5" t="n"/>
      <c r="B15" s="12">
        <f>IF($A15="","",IFERROR(VLOOKUP($A15,AsignaturasTabla,2,0),""))</f>
        <v/>
      </c>
      <c r="C15" s="12">
        <f>IF($A15="","",IFERROR(VLOOKUP($A15,AsignaturasTabla,3,0),""))</f>
        <v/>
      </c>
      <c r="D15" s="6" t="n"/>
      <c r="E15" s="6" t="n"/>
      <c r="F15" s="13">
        <f>IF($A15="","",IFERROR(IF($D15="Conf",VLOOKUP($A15,AsignaturasTabla,4,0),VLOOKUP($A15,AsignaturasTabla,5,0)),""))</f>
        <v/>
      </c>
      <c r="G15" s="6" t="n"/>
      <c r="H15" s="7">
        <f>IF($G15="","",IFERROR(VLOOKUP($G15,ProfesoresTabla,2,0),"(desconocido)"))</f>
        <v/>
      </c>
    </row>
    <row r="16" ht="22" customHeight="1">
      <c r="A16" s="5" t="n"/>
      <c r="B16" s="12">
        <f>IF($A16="","",IFERROR(VLOOKUP($A16,AsignaturasTabla,2,0),""))</f>
        <v/>
      </c>
      <c r="C16" s="12">
        <f>IF($A16="","",IFERROR(VLOOKUP($A16,AsignaturasTabla,3,0),""))</f>
        <v/>
      </c>
      <c r="D16" s="6" t="n"/>
      <c r="E16" s="6" t="n"/>
      <c r="F16" s="13">
        <f>IF($A16="","",IFERROR(IF($D16="Conf",VLOOKUP($A16,AsignaturasTabla,4,0),VLOOKUP($A16,AsignaturasTabla,5,0)),""))</f>
        <v/>
      </c>
      <c r="G16" s="6" t="n"/>
      <c r="H16" s="7">
        <f>IF($G16="","",IFERROR(VLOOKUP($G16,ProfesoresTabla,2,0),"(desconocido)"))</f>
        <v/>
      </c>
    </row>
    <row r="17" ht="22" customHeight="1">
      <c r="A17" s="5" t="n"/>
      <c r="B17" s="12">
        <f>IF($A17="","",IFERROR(VLOOKUP($A17,AsignaturasTabla,2,0),""))</f>
        <v/>
      </c>
      <c r="C17" s="12">
        <f>IF($A17="","",IFERROR(VLOOKUP($A17,AsignaturasTabla,3,0),""))</f>
        <v/>
      </c>
      <c r="D17" s="6" t="n"/>
      <c r="E17" s="6" t="n"/>
      <c r="F17" s="13">
        <f>IF($A17="","",IFERROR(IF($D17="Conf",VLOOKUP($A17,AsignaturasTabla,4,0),VLOOKUP($A17,AsignaturasTabla,5,0)),""))</f>
        <v/>
      </c>
      <c r="G17" s="6" t="n"/>
      <c r="H17" s="7">
        <f>IF($G17="","",IFERROR(VLOOKUP($G17,ProfesoresTabla,2,0),"(desconocido)"))</f>
        <v/>
      </c>
    </row>
    <row r="18" ht="22" customHeight="1">
      <c r="A18" s="5" t="n"/>
      <c r="B18" s="12">
        <f>IF($A18="","",IFERROR(VLOOKUP($A18,AsignaturasTabla,2,0),""))</f>
        <v/>
      </c>
      <c r="C18" s="12">
        <f>IF($A18="","",IFERROR(VLOOKUP($A18,AsignaturasTabla,3,0),""))</f>
        <v/>
      </c>
      <c r="D18" s="6" t="n"/>
      <c r="E18" s="6" t="n"/>
      <c r="F18" s="13">
        <f>IF($A18="","",IFERROR(IF($D18="Conf",VLOOKUP($A18,AsignaturasTabla,4,0),VLOOKUP($A18,AsignaturasTabla,5,0)),""))</f>
        <v/>
      </c>
      <c r="G18" s="6" t="n"/>
      <c r="H18" s="7">
        <f>IF($G18="","",IFERROR(VLOOKUP($G18,ProfesoresTabla,2,0),"(desconocido)"))</f>
        <v/>
      </c>
    </row>
    <row r="19" ht="22" customHeight="1">
      <c r="A19" s="5" t="n"/>
      <c r="B19" s="12">
        <f>IF($A19="","",IFERROR(VLOOKUP($A19,AsignaturasTabla,2,0),""))</f>
        <v/>
      </c>
      <c r="C19" s="12">
        <f>IF($A19="","",IFERROR(VLOOKUP($A19,AsignaturasTabla,3,0),""))</f>
        <v/>
      </c>
      <c r="D19" s="6" t="n"/>
      <c r="E19" s="6" t="n"/>
      <c r="F19" s="13">
        <f>IF($A19="","",IFERROR(IF($D19="Conf",VLOOKUP($A19,AsignaturasTabla,4,0),VLOOKUP($A19,AsignaturasTabla,5,0)),""))</f>
        <v/>
      </c>
      <c r="G19" s="6" t="n"/>
      <c r="H19" s="7">
        <f>IF($G19="","",IFERROR(VLOOKUP($G19,ProfesoresTabla,2,0),"(desconocido)"))</f>
        <v/>
      </c>
    </row>
    <row r="20" ht="22" customHeight="1">
      <c r="A20" s="5" t="n"/>
      <c r="B20" s="12">
        <f>IF($A20="","",IFERROR(VLOOKUP($A20,AsignaturasTabla,2,0),""))</f>
        <v/>
      </c>
      <c r="C20" s="12">
        <f>IF($A20="","",IFERROR(VLOOKUP($A20,AsignaturasTabla,3,0),""))</f>
        <v/>
      </c>
      <c r="D20" s="6" t="n"/>
      <c r="E20" s="6" t="n"/>
      <c r="F20" s="13">
        <f>IF($A20="","",IFERROR(IF($D20="Conf",VLOOKUP($A20,AsignaturasTabla,4,0),VLOOKUP($A20,AsignaturasTabla,5,0)),""))</f>
        <v/>
      </c>
      <c r="G20" s="6" t="n"/>
      <c r="H20" s="7">
        <f>IF($G20="","",IFERROR(VLOOKUP($G20,ProfesoresTabla,2,0),"(desconocido)"))</f>
        <v/>
      </c>
    </row>
    <row r="21" ht="22" customHeight="1">
      <c r="A21" s="5" t="n"/>
      <c r="B21" s="12">
        <f>IF($A21="","",IFERROR(VLOOKUP($A21,AsignaturasTabla,2,0),""))</f>
        <v/>
      </c>
      <c r="C21" s="12">
        <f>IF($A21="","",IFERROR(VLOOKUP($A21,AsignaturasTabla,3,0),""))</f>
        <v/>
      </c>
      <c r="D21" s="6" t="n"/>
      <c r="E21" s="6" t="n"/>
      <c r="F21" s="13">
        <f>IF($A21="","",IFERROR(IF($D21="Conf",VLOOKUP($A21,AsignaturasTabla,4,0),VLOOKUP($A21,AsignaturasTabla,5,0)),""))</f>
        <v/>
      </c>
      <c r="G21" s="6" t="n"/>
      <c r="H21" s="7">
        <f>IF($G21="","",IFERROR(VLOOKUP($G21,ProfesoresTabla,2,0),"(desconocido)"))</f>
        <v/>
      </c>
    </row>
    <row r="22" ht="22" customHeight="1">
      <c r="A22" s="5" t="n"/>
      <c r="B22" s="12">
        <f>IF($A22="","",IFERROR(VLOOKUP($A22,AsignaturasTabla,2,0),""))</f>
        <v/>
      </c>
      <c r="C22" s="12">
        <f>IF($A22="","",IFERROR(VLOOKUP($A22,AsignaturasTabla,3,0),""))</f>
        <v/>
      </c>
      <c r="D22" s="6" t="n"/>
      <c r="E22" s="6" t="n"/>
      <c r="F22" s="13">
        <f>IF($A22="","",IFERROR(IF($D22="Conf",VLOOKUP($A22,AsignaturasTabla,4,0),VLOOKUP($A22,AsignaturasTabla,5,0)),""))</f>
        <v/>
      </c>
      <c r="G22" s="6" t="n"/>
      <c r="H22" s="7">
        <f>IF($G22="","",IFERROR(VLOOKUP($G22,ProfesoresTabla,2,0),"(desconocido)"))</f>
        <v/>
      </c>
    </row>
    <row r="23" ht="22" customHeight="1">
      <c r="A23" s="5" t="n"/>
      <c r="B23" s="12">
        <f>IF($A23="","",IFERROR(VLOOKUP($A23,AsignaturasTabla,2,0),""))</f>
        <v/>
      </c>
      <c r="C23" s="12">
        <f>IF($A23="","",IFERROR(VLOOKUP($A23,AsignaturasTabla,3,0),""))</f>
        <v/>
      </c>
      <c r="D23" s="6" t="n"/>
      <c r="E23" s="6" t="n"/>
      <c r="F23" s="13">
        <f>IF($A23="","",IFERROR(IF($D23="Conf",VLOOKUP($A23,AsignaturasTabla,4,0),VLOOKUP($A23,AsignaturasTabla,5,0)),""))</f>
        <v/>
      </c>
      <c r="G23" s="6" t="n"/>
      <c r="H23" s="7">
        <f>IF($G23="","",IFERROR(VLOOKUP($G23,ProfesoresTabla,2,0),"(desconocido)"))</f>
        <v/>
      </c>
    </row>
    <row r="24" ht="22" customHeight="1">
      <c r="A24" s="5" t="n"/>
      <c r="B24" s="12">
        <f>IF($A24="","",IFERROR(VLOOKUP($A24,AsignaturasTabla,2,0),""))</f>
        <v/>
      </c>
      <c r="C24" s="12">
        <f>IF($A24="","",IFERROR(VLOOKUP($A24,AsignaturasTabla,3,0),""))</f>
        <v/>
      </c>
      <c r="D24" s="6" t="n"/>
      <c r="E24" s="6" t="n"/>
      <c r="F24" s="13">
        <f>IF($A24="","",IFERROR(IF($D24="Conf",VLOOKUP($A24,AsignaturasTabla,4,0),VLOOKUP($A24,AsignaturasTabla,5,0)),""))</f>
        <v/>
      </c>
      <c r="G24" s="6" t="n"/>
      <c r="H24" s="7">
        <f>IF($G24="","",IFERROR(VLOOKUP($G24,ProfesoresTabla,2,0),"(desconocido)"))</f>
        <v/>
      </c>
    </row>
    <row r="25" ht="22" customHeight="1">
      <c r="A25" s="5" t="n"/>
      <c r="B25" s="12">
        <f>IF($A25="","",IFERROR(VLOOKUP($A25,AsignaturasTabla,2,0),""))</f>
        <v/>
      </c>
      <c r="C25" s="12">
        <f>IF($A25="","",IFERROR(VLOOKUP($A25,AsignaturasTabla,3,0),""))</f>
        <v/>
      </c>
      <c r="D25" s="6" t="n"/>
      <c r="E25" s="6" t="n"/>
      <c r="F25" s="13">
        <f>IF($A25="","",IFERROR(IF($D25="Conf",VLOOKUP($A25,AsignaturasTabla,4,0),VLOOKUP($A25,AsignaturasTabla,5,0)),""))</f>
        <v/>
      </c>
      <c r="G25" s="6" t="n"/>
      <c r="H25" s="7">
        <f>IF($G25="","",IFERROR(VLOOKUP($G25,ProfesoresTabla,2,0),"(desconocido)"))</f>
        <v/>
      </c>
    </row>
    <row r="26" ht="22" customHeight="1">
      <c r="A26" s="5" t="n"/>
      <c r="B26" s="12">
        <f>IF($A26="","",IFERROR(VLOOKUP($A26,AsignaturasTabla,2,0),""))</f>
        <v/>
      </c>
      <c r="C26" s="12">
        <f>IF($A26="","",IFERROR(VLOOKUP($A26,AsignaturasTabla,3,0),""))</f>
        <v/>
      </c>
      <c r="D26" s="6" t="n"/>
      <c r="E26" s="6" t="n"/>
      <c r="F26" s="13">
        <f>IF($A26="","",IFERROR(IF($D26="Conf",VLOOKUP($A26,AsignaturasTabla,4,0),VLOOKUP($A26,AsignaturasTabla,5,0)),""))</f>
        <v/>
      </c>
      <c r="G26" s="6" t="n"/>
      <c r="H26" s="7">
        <f>IF($G26="","",IFERROR(VLOOKUP($G26,ProfesoresTabla,2,0),"(desconocido)"))</f>
        <v/>
      </c>
    </row>
    <row r="27" ht="22" customHeight="1">
      <c r="A27" s="5" t="n"/>
      <c r="B27" s="12">
        <f>IF($A27="","",IFERROR(VLOOKUP($A27,AsignaturasTabla,2,0),""))</f>
        <v/>
      </c>
      <c r="C27" s="12">
        <f>IF($A27="","",IFERROR(VLOOKUP($A27,AsignaturasTabla,3,0),""))</f>
        <v/>
      </c>
      <c r="D27" s="6" t="n"/>
      <c r="E27" s="6" t="n"/>
      <c r="F27" s="13">
        <f>IF($A27="","",IFERROR(IF($D27="Conf",VLOOKUP($A27,AsignaturasTabla,4,0),VLOOKUP($A27,AsignaturasTabla,5,0)),""))</f>
        <v/>
      </c>
      <c r="G27" s="6" t="n"/>
      <c r="H27" s="7">
        <f>IF($G27="","",IFERROR(VLOOKUP($G27,ProfesoresTabla,2,0),"(desconocido)"))</f>
        <v/>
      </c>
    </row>
    <row r="28" ht="22" customHeight="1">
      <c r="A28" s="5" t="n"/>
      <c r="B28" s="12">
        <f>IF($A28="","",IFERROR(VLOOKUP($A28,AsignaturasTabla,2,0),""))</f>
        <v/>
      </c>
      <c r="C28" s="12">
        <f>IF($A28="","",IFERROR(VLOOKUP($A28,AsignaturasTabla,3,0),""))</f>
        <v/>
      </c>
      <c r="D28" s="6" t="n"/>
      <c r="E28" s="6" t="n"/>
      <c r="F28" s="13">
        <f>IF($A28="","",IFERROR(IF($D28="Conf",VLOOKUP($A28,AsignaturasTabla,4,0),VLOOKUP($A28,AsignaturasTabla,5,0)),""))</f>
        <v/>
      </c>
      <c r="G28" s="6" t="n"/>
      <c r="H28" s="7">
        <f>IF($G28="","",IFERROR(VLOOKUP($G28,ProfesoresTabla,2,0),"(desconocido)"))</f>
        <v/>
      </c>
    </row>
    <row r="29" ht="22" customHeight="1">
      <c r="A29" s="5" t="n"/>
      <c r="B29" s="12">
        <f>IF($A29="","",IFERROR(VLOOKUP($A29,AsignaturasTabla,2,0),""))</f>
        <v/>
      </c>
      <c r="C29" s="12">
        <f>IF($A29="","",IFERROR(VLOOKUP($A29,AsignaturasTabla,3,0),""))</f>
        <v/>
      </c>
      <c r="D29" s="6" t="n"/>
      <c r="E29" s="6" t="n"/>
      <c r="F29" s="13">
        <f>IF($A29="","",IFERROR(IF($D29="Conf",VLOOKUP($A29,AsignaturasTabla,4,0),VLOOKUP($A29,AsignaturasTabla,5,0)),""))</f>
        <v/>
      </c>
      <c r="G29" s="6" t="n"/>
      <c r="H29" s="7">
        <f>IF($G29="","",IFERROR(VLOOKUP($G29,ProfesoresTabla,2,0),"(desconocido)"))</f>
        <v/>
      </c>
    </row>
    <row r="30" ht="22" customHeight="1">
      <c r="A30" s="5" t="n"/>
      <c r="B30" s="12">
        <f>IF($A30="","",IFERROR(VLOOKUP($A30,AsignaturasTabla,2,0),""))</f>
        <v/>
      </c>
      <c r="C30" s="12">
        <f>IF($A30="","",IFERROR(VLOOKUP($A30,AsignaturasTabla,3,0),""))</f>
        <v/>
      </c>
      <c r="D30" s="6" t="n"/>
      <c r="E30" s="6" t="n"/>
      <c r="F30" s="13">
        <f>IF($A30="","",IFERROR(IF($D30="Conf",VLOOKUP($A30,AsignaturasTabla,4,0),VLOOKUP($A30,AsignaturasTabla,5,0)),""))</f>
        <v/>
      </c>
      <c r="G30" s="6" t="n"/>
      <c r="H30" s="7">
        <f>IF($G30="","",IFERROR(VLOOKUP($G30,ProfesoresTabla,2,0),"(desconocido)"))</f>
        <v/>
      </c>
    </row>
    <row r="31" ht="22" customHeight="1">
      <c r="A31" s="5" t="n"/>
      <c r="B31" s="12">
        <f>IF($A31="","",IFERROR(VLOOKUP($A31,AsignaturasTabla,2,0),""))</f>
        <v/>
      </c>
      <c r="C31" s="12">
        <f>IF($A31="","",IFERROR(VLOOKUP($A31,AsignaturasTabla,3,0),""))</f>
        <v/>
      </c>
      <c r="D31" s="6" t="n"/>
      <c r="E31" s="6" t="n"/>
      <c r="F31" s="13">
        <f>IF($A31="","",IFERROR(IF($D31="Conf",VLOOKUP($A31,AsignaturasTabla,4,0),VLOOKUP($A31,AsignaturasTabla,5,0)),""))</f>
        <v/>
      </c>
      <c r="G31" s="6" t="n"/>
      <c r="H31" s="7">
        <f>IF($G31="","",IFERROR(VLOOKUP($G31,ProfesoresTabla,2,0),"(desconocido)"))</f>
        <v/>
      </c>
    </row>
    <row r="32" ht="22" customHeight="1">
      <c r="A32" s="5" t="n"/>
      <c r="B32" s="12">
        <f>IF($A32="","",IFERROR(VLOOKUP($A32,AsignaturasTabla,2,0),""))</f>
        <v/>
      </c>
      <c r="C32" s="12">
        <f>IF($A32="","",IFERROR(VLOOKUP($A32,AsignaturasTabla,3,0),""))</f>
        <v/>
      </c>
      <c r="D32" s="6" t="n"/>
      <c r="E32" s="6" t="n"/>
      <c r="F32" s="13">
        <f>IF($A32="","",IFERROR(IF($D32="Conf",VLOOKUP($A32,AsignaturasTabla,4,0),VLOOKUP($A32,AsignaturasTabla,5,0)),""))</f>
        <v/>
      </c>
      <c r="G32" s="6" t="n"/>
      <c r="H32" s="7">
        <f>IF($G32="","",IFERROR(VLOOKUP($G32,ProfesoresTabla,2,0),"(desconocido)"))</f>
        <v/>
      </c>
    </row>
    <row r="33" ht="22" customHeight="1">
      <c r="A33" s="8" t="n"/>
      <c r="B33" s="22">
        <f>IF($A33="","",IFERROR(VLOOKUP($A33,AsignaturasTabla,2,0),""))</f>
        <v/>
      </c>
      <c r="C33" s="22">
        <f>IF($A33="","",IFERROR(VLOOKUP($A33,AsignaturasTabla,3,0),""))</f>
        <v/>
      </c>
      <c r="D33" s="9" t="n"/>
      <c r="E33" s="9" t="n"/>
      <c r="F33" s="23">
        <f>IF($A33="","",IFERROR(IF($D33="Conf",VLOOKUP($A33,AsignaturasTabla,4,0),VLOOKUP($A33,AsignaturasTabla,5,0)),""))</f>
        <v/>
      </c>
      <c r="G33" s="9" t="n"/>
      <c r="H33" s="10">
        <f>IF($G33="","",IFERROR(VLOOKUP($G33,ProfesoresTabla,2,0),"(desconocido)"))</f>
        <v/>
      </c>
    </row>
    <row r="35">
      <c r="A35" s="25" t="n"/>
      <c r="B35" t="inlineStr">
        <is>
          <t>Falta asignar profesor</t>
        </is>
      </c>
    </row>
    <row r="36">
      <c r="A36" s="26" t="n"/>
      <c r="B36" t="inlineStr">
        <is>
          <t>Id fuera de la lista (profesor o asignatura)</t>
        </is>
      </c>
    </row>
    <row r="37">
      <c r="A37" s="27" t="n"/>
      <c r="B37" t="inlineStr">
        <is>
          <t>Profesor por encima de su tope (panel de la derecha)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3:H33"/>
  <conditionalFormatting sqref="A4:H33">
    <cfRule type="expression" priority="1" dxfId="0">
      <formula>AND($A4&lt;&gt;"",$G4="")</formula>
    </cfRule>
    <cfRule type="expression" priority="2" dxfId="1">
      <formula>AND($G4&lt;&gt;"",COUNTIF(ProfesoresValidos,$G4)=0)</formula>
    </cfRule>
    <cfRule type="expression" priority="3" dxfId="1">
      <formula>AND($A4&lt;&gt;"",COUNTIF(AsignaturasValidas,$A4)=0)</formula>
    </cfRule>
  </conditionalFormatting>
  <conditionalFormatting sqref="J4:N13">
    <cfRule type="expression" priority="4" dxfId="2">
      <formula>AND($N4&lt;&gt;"",$L4&gt;$N4)</formula>
    </cfRule>
  </conditionalFormatting>
  <dataValidations count="3">
    <dataValidation sqref="A4:A33" showDropDown="0" showInputMessage="0" showErrorMessage="1" allowBlank="1" type="list" errorStyle="information">
      <formula1>AsignaturasValidas</formula1>
    </dataValidation>
    <dataValidation sqref="D4:D33" showDropDown="0" showInputMessage="0" showErrorMessage="1" allowBlank="1" type="list" errorStyle="information">
      <formula1>"Conf,CP"</formula1>
    </dataValidation>
    <dataValidation sqref="G4:G33" showDropDown="0" showInputMessage="0" showErrorMessage="1" allowBlank="1" type="list" errorStyle="information">
      <formula1>ProfesoresValidos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0BEC5"/>
    <outlinePr summaryBelow="1" summaryRight="1"/>
    <pageSetUpPr/>
  </sheetPr>
  <dimension ref="A1:D1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43" customWidth="1" min="2" max="2"/>
    <col width="9" customWidth="1" min="3" max="3"/>
    <col width="14" customWidth="1" min="4" max="4"/>
  </cols>
  <sheetData>
    <row r="1">
      <c r="A1" s="11" t="inlineStr">
        <is>
          <t>Carga por profesor — Matemática Aplicada — 2026-2027 / 1</t>
        </is>
      </c>
    </row>
    <row r="2"/>
    <row r="3" ht="22" customHeight="1">
      <c r="A3" s="2" t="inlineStr">
        <is>
          <t>Id</t>
        </is>
      </c>
      <c r="B3" s="3" t="inlineStr">
        <is>
          <t>Nombre</t>
        </is>
      </c>
      <c r="C3" s="3" t="inlineStr">
        <is>
          <t>Grado</t>
        </is>
      </c>
      <c r="D3" s="4" t="inlineStr">
        <is>
          <t>Tope horas</t>
        </is>
      </c>
    </row>
    <row r="4" ht="22" customHeight="1">
      <c r="A4" s="14">
        <f>IF(Profesores!A2="","",Profesores!A2)</f>
        <v/>
      </c>
      <c r="B4" s="12">
        <f>IF($A$4="","",IFERROR(VLOOKUP($A$4,ProfesoresTabla,2,0),""))</f>
        <v/>
      </c>
      <c r="C4" s="12">
        <f>IF($A$4="","",IFERROR(VLOOKUP($A$4,ProfesoresTabla,3,0),""))</f>
        <v/>
      </c>
      <c r="D4" s="15">
        <f>IF($A$4="","",IFERROR(VLOOKUP($A$4,ProfesoresTabla,4,0),""))</f>
        <v/>
      </c>
    </row>
    <row r="5" ht="22" customHeight="1">
      <c r="A5" s="28" t="inlineStr">
        <is>
          <t>Asignatura</t>
        </is>
      </c>
      <c r="B5" s="29" t="inlineStr">
        <is>
          <t>Tipo</t>
        </is>
      </c>
      <c r="C5" s="29" t="inlineStr">
        <is>
          <t>Grupo</t>
        </is>
      </c>
      <c r="D5" s="30" t="inlineStr">
        <is>
          <t>Horas</t>
        </is>
      </c>
    </row>
    <row r="6" ht="22" customHeight="1">
      <c r="A6" s="14">
        <f>IF($A$4="","",IFERROR(VLOOKUP($A$4&amp;"#1",CargaPorProfesor,2,0),""))</f>
        <v/>
      </c>
      <c r="B6" s="12">
        <f>IF($A$4="","",IFERROR(VLOOKUP($A$4&amp;"#1",CargaPorProfesor,3,0),""))</f>
        <v/>
      </c>
      <c r="C6" s="12">
        <f>IF($A$4="","",IFERROR(VLOOKUP($A$4&amp;"#1",CargaPorProfesor,4,0),""))</f>
        <v/>
      </c>
      <c r="D6" s="15">
        <f>IF($A$4="","",IFERROR(VLOOKUP($A$4&amp;"#1",CargaPorProfesor,5,0),""))</f>
        <v/>
      </c>
    </row>
    <row r="7" ht="22" customHeight="1">
      <c r="A7" s="14">
        <f>IF($A$4="","",IFERROR(VLOOKUP($A$4&amp;"#2",CargaPorProfesor,2,0),""))</f>
        <v/>
      </c>
      <c r="B7" s="12">
        <f>IF($A$4="","",IFERROR(VLOOKUP($A$4&amp;"#2",CargaPorProfesor,3,0),""))</f>
        <v/>
      </c>
      <c r="C7" s="12">
        <f>IF($A$4="","",IFERROR(VLOOKUP($A$4&amp;"#2",CargaPorProfesor,4,0),""))</f>
        <v/>
      </c>
      <c r="D7" s="15">
        <f>IF($A$4="","",IFERROR(VLOOKUP($A$4&amp;"#2",CargaPorProfesor,5,0),""))</f>
        <v/>
      </c>
    </row>
    <row r="8" ht="22" customHeight="1">
      <c r="A8" s="14">
        <f>IF($A$4="","",IFERROR(VLOOKUP($A$4&amp;"#3",CargaPorProfesor,2,0),""))</f>
        <v/>
      </c>
      <c r="B8" s="12">
        <f>IF($A$4="","",IFERROR(VLOOKUP($A$4&amp;"#3",CargaPorProfesor,3,0),""))</f>
        <v/>
      </c>
      <c r="C8" s="12">
        <f>IF($A$4="","",IFERROR(VLOOKUP($A$4&amp;"#3",CargaPorProfesor,4,0),""))</f>
        <v/>
      </c>
      <c r="D8" s="15">
        <f>IF($A$4="","",IFERROR(VLOOKUP($A$4&amp;"#3",CargaPorProfesor,5,0),""))</f>
        <v/>
      </c>
    </row>
    <row r="9" ht="22" customHeight="1">
      <c r="A9" s="14">
        <f>IF($A$4="","",IFERROR(VLOOKUP($A$4&amp;"#4",CargaPorProfesor,2,0),""))</f>
        <v/>
      </c>
      <c r="B9" s="12">
        <f>IF($A$4="","",IFERROR(VLOOKUP($A$4&amp;"#4",CargaPorProfesor,3,0),""))</f>
        <v/>
      </c>
      <c r="C9" s="12">
        <f>IF($A$4="","",IFERROR(VLOOKUP($A$4&amp;"#4",CargaPorProfesor,4,0),""))</f>
        <v/>
      </c>
      <c r="D9" s="15">
        <f>IF($A$4="","",IFERROR(VLOOKUP($A$4&amp;"#4",CargaPorProfesor,5,0),""))</f>
        <v/>
      </c>
    </row>
    <row r="10" ht="22" customHeight="1">
      <c r="A10" s="14">
        <f>IF($A$4="","",IFERROR(VLOOKUP($A$4&amp;"#5",CargaPorProfesor,2,0),""))</f>
        <v/>
      </c>
      <c r="B10" s="12">
        <f>IF($A$4="","",IFERROR(VLOOKUP($A$4&amp;"#5",CargaPorProfesor,3,0),""))</f>
        <v/>
      </c>
      <c r="C10" s="12">
        <f>IF($A$4="","",IFERROR(VLOOKUP($A$4&amp;"#5",CargaPorProfesor,4,0),""))</f>
        <v/>
      </c>
      <c r="D10" s="15">
        <f>IF($A$4="","",IFERROR(VLOOKUP($A$4&amp;"#5",CargaPorProfesor,5,0),""))</f>
        <v/>
      </c>
    </row>
    <row r="11" ht="22" customHeight="1">
      <c r="A11" s="14">
        <f>IF($A$4="","",IFERROR(VLOOKUP($A$4&amp;"#6",CargaPorProfesor,2,0),""))</f>
        <v/>
      </c>
      <c r="B11" s="12">
        <f>IF($A$4="","",IFERROR(VLOOKUP($A$4&amp;"#6",CargaPorProfesor,3,0),""))</f>
        <v/>
      </c>
      <c r="C11" s="12">
        <f>IF($A$4="","",IFERROR(VLOOKUP($A$4&amp;"#6",CargaPorProfesor,4,0),""))</f>
        <v/>
      </c>
      <c r="D11" s="15">
        <f>IF($A$4="","",IFERROR(VLOOKUP($A$4&amp;"#6",CargaPorProfesor,5,0),""))</f>
        <v/>
      </c>
    </row>
    <row r="12" ht="22" customHeight="1">
      <c r="A12" s="14">
        <f>IF($A$4="","",IFERROR(VLOOKUP($A$4&amp;"#7",CargaPorProfesor,2,0),""))</f>
        <v/>
      </c>
      <c r="B12" s="12">
        <f>IF($A$4="","",IFERROR(VLOOKUP($A$4&amp;"#7",CargaPorProfesor,3,0),""))</f>
        <v/>
      </c>
      <c r="C12" s="12">
        <f>IF($A$4="","",IFERROR(VLOOKUP($A$4&amp;"#7",CargaPorProfesor,4,0),""))</f>
        <v/>
      </c>
      <c r="D12" s="15">
        <f>IF($A$4="","",IFERROR(VLOOKUP($A$4&amp;"#7",CargaPorProfesor,5,0),""))</f>
        <v/>
      </c>
    </row>
    <row r="13" ht="22" customHeight="1">
      <c r="A13" s="14">
        <f>IF($A$4="","",IF(COUNTIF('Asignación'!$G$4:$G$33,$A$4)&gt;8,"(+"&amp;(COUNTIF('Asignación'!$G$4:$G$33,$A$4)-8+1)&amp;" más)",IFERROR(VLOOKUP($A$4&amp;"#8",CargaPorProfesor,2,0),"")))</f>
        <v/>
      </c>
      <c r="B13" s="12">
        <f>IF($A$4="","",IFERROR(VLOOKUP($A$4&amp;"#8",CargaPorProfesor,3,0),""))</f>
        <v/>
      </c>
      <c r="C13" s="12">
        <f>IF($A$4="","",IFERROR(VLOOKUP($A$4&amp;"#8",CargaPorProfesor,4,0),""))</f>
        <v/>
      </c>
      <c r="D13" s="15">
        <f>IF($A$4="","",IFERROR(VLOOKUP($A$4&amp;"#8",CargaPorProfesor,5,0),""))</f>
        <v/>
      </c>
    </row>
    <row r="14" ht="22" customHeight="1">
      <c r="A14" s="31" t="inlineStr">
        <is>
          <t>TOTAL</t>
        </is>
      </c>
      <c r="B14" s="22" t="n"/>
      <c r="C14" s="22" t="n"/>
      <c r="D14" s="24">
        <f>IF($A$4="","",SUMIF('Asignación'!$G$4:$G$33,$A$4,'Asignación'!$F$4:$F$33))</f>
        <v/>
      </c>
    </row>
    <row r="15" ht="22" customHeight="1"/>
    <row r="16" ht="22" customHeight="1">
      <c r="A16" s="2" t="inlineStr">
        <is>
          <t>Id</t>
        </is>
      </c>
      <c r="B16" s="3" t="inlineStr">
        <is>
          <t>Nombre</t>
        </is>
      </c>
      <c r="C16" s="3" t="inlineStr">
        <is>
          <t>Grado</t>
        </is>
      </c>
      <c r="D16" s="4" t="inlineStr">
        <is>
          <t>Tope horas</t>
        </is>
      </c>
    </row>
    <row r="17" ht="22" customHeight="1">
      <c r="A17" s="14">
        <f>IF(Profesores!A3="","",Profesores!A3)</f>
        <v/>
      </c>
      <c r="B17" s="12">
        <f>IF($A$17="","",IFERROR(VLOOKUP($A$17,ProfesoresTabla,2,0),""))</f>
        <v/>
      </c>
      <c r="C17" s="12">
        <f>IF($A$17="","",IFERROR(VLOOKUP($A$17,ProfesoresTabla,3,0),""))</f>
        <v/>
      </c>
      <c r="D17" s="15">
        <f>IF($A$17="","",IFERROR(VLOOKUP($A$17,ProfesoresTabla,4,0),""))</f>
        <v/>
      </c>
    </row>
    <row r="18" ht="22" customHeight="1">
      <c r="A18" s="28" t="inlineStr">
        <is>
          <t>Asignatura</t>
        </is>
      </c>
      <c r="B18" s="29" t="inlineStr">
        <is>
          <t>Tipo</t>
        </is>
      </c>
      <c r="C18" s="29" t="inlineStr">
        <is>
          <t>Grupo</t>
        </is>
      </c>
      <c r="D18" s="30" t="inlineStr">
        <is>
          <t>Horas</t>
        </is>
      </c>
    </row>
    <row r="19" ht="22" customHeight="1">
      <c r="A19" s="14">
        <f>IF($A$17="","",IFERROR(VLOOKUP($A$17&amp;"#1",CargaPorProfesor,2,0),""))</f>
        <v/>
      </c>
      <c r="B19" s="12">
        <f>IF($A$17="","",IFERROR(VLOOKUP($A$17&amp;"#1",CargaPorProfesor,3,0),""))</f>
        <v/>
      </c>
      <c r="C19" s="12">
        <f>IF($A$17="","",IFERROR(VLOOKUP($A$17&amp;"#1",CargaPorProfesor,4,0),""))</f>
        <v/>
      </c>
      <c r="D19" s="15">
        <f>IF($A$17="","",IFERROR(VLOOKUP($A$17&amp;"#1",CargaPorProfesor,5,0),""))</f>
        <v/>
      </c>
    </row>
    <row r="20" ht="22" customHeight="1">
      <c r="A20" s="14">
        <f>IF($A$17="","",IFERROR(VLOOKUP($A$17&amp;"#2",CargaPorProfesor,2,0),""))</f>
        <v/>
      </c>
      <c r="B20" s="12">
        <f>IF($A$17="","",IFERROR(VLOOKUP($A$17&amp;"#2",CargaPorProfesor,3,0),""))</f>
        <v/>
      </c>
      <c r="C20" s="12">
        <f>IF($A$17="","",IFERROR(VLOOKUP($A$17&amp;"#2",CargaPorProfesor,4,0),""))</f>
        <v/>
      </c>
      <c r="D20" s="15">
        <f>IF($A$17="","",IFERROR(VLOOKUP($A$17&amp;"#2",CargaPorProfesor,5,0),""))</f>
        <v/>
      </c>
    </row>
    <row r="21" ht="22" customHeight="1">
      <c r="A21" s="14">
        <f>IF($A$17="","",IFERROR(VLOOKUP($A$17&amp;"#3",CargaPorProfesor,2,0),""))</f>
        <v/>
      </c>
      <c r="B21" s="12">
        <f>IF($A$17="","",IFERROR(VLOOKUP($A$17&amp;"#3",CargaPorProfesor,3,0),""))</f>
        <v/>
      </c>
      <c r="C21" s="12">
        <f>IF($A$17="","",IFERROR(VLOOKUP($A$17&amp;"#3",CargaPorProfesor,4,0),""))</f>
        <v/>
      </c>
      <c r="D21" s="15">
        <f>IF($A$17="","",IFERROR(VLOOKUP($A$17&amp;"#3",CargaPorProfesor,5,0),""))</f>
        <v/>
      </c>
    </row>
    <row r="22" ht="22" customHeight="1">
      <c r="A22" s="14">
        <f>IF($A$17="","",IFERROR(VLOOKUP($A$17&amp;"#4",CargaPorProfesor,2,0),""))</f>
        <v/>
      </c>
      <c r="B22" s="12">
        <f>IF($A$17="","",IFERROR(VLOOKUP($A$17&amp;"#4",CargaPorProfesor,3,0),""))</f>
        <v/>
      </c>
      <c r="C22" s="12">
        <f>IF($A$17="","",IFERROR(VLOOKUP($A$17&amp;"#4",CargaPorProfesor,4,0),""))</f>
        <v/>
      </c>
      <c r="D22" s="15">
        <f>IF($A$17="","",IFERROR(VLOOKUP($A$17&amp;"#4",CargaPorProfesor,5,0),""))</f>
        <v/>
      </c>
    </row>
    <row r="23" ht="22" customHeight="1">
      <c r="A23" s="14">
        <f>IF($A$17="","",IFERROR(VLOOKUP($A$17&amp;"#5",CargaPorProfesor,2,0),""))</f>
        <v/>
      </c>
      <c r="B23" s="12">
        <f>IF($A$17="","",IFERROR(VLOOKUP($A$17&amp;"#5",CargaPorProfesor,3,0),""))</f>
        <v/>
      </c>
      <c r="C23" s="12">
        <f>IF($A$17="","",IFERROR(VLOOKUP($A$17&amp;"#5",CargaPorProfesor,4,0),""))</f>
        <v/>
      </c>
      <c r="D23" s="15">
        <f>IF($A$17="","",IFERROR(VLOOKUP($A$17&amp;"#5",CargaPorProfesor,5,0),""))</f>
        <v/>
      </c>
    </row>
    <row r="24" ht="22" customHeight="1">
      <c r="A24" s="14">
        <f>IF($A$17="","",IFERROR(VLOOKUP($A$17&amp;"#6",CargaPorProfesor,2,0),""))</f>
        <v/>
      </c>
      <c r="B24" s="12">
        <f>IF($A$17="","",IFERROR(VLOOKUP($A$17&amp;"#6",CargaPorProfesor,3,0),""))</f>
        <v/>
      </c>
      <c r="C24" s="12">
        <f>IF($A$17="","",IFERROR(VLOOKUP($A$17&amp;"#6",CargaPorProfesor,4,0),""))</f>
        <v/>
      </c>
      <c r="D24" s="15">
        <f>IF($A$17="","",IFERROR(VLOOKUP($A$17&amp;"#6",CargaPorProfesor,5,0),""))</f>
        <v/>
      </c>
    </row>
    <row r="25" ht="22" customHeight="1">
      <c r="A25" s="14">
        <f>IF($A$17="","",IFERROR(VLOOKUP($A$17&amp;"#7",CargaPorProfesor,2,0),""))</f>
        <v/>
      </c>
      <c r="B25" s="12">
        <f>IF($A$17="","",IFERROR(VLOOKUP($A$17&amp;"#7",CargaPorProfesor,3,0),""))</f>
        <v/>
      </c>
      <c r="C25" s="12">
        <f>IF($A$17="","",IFERROR(VLOOKUP($A$17&amp;"#7",CargaPorProfesor,4,0),""))</f>
        <v/>
      </c>
      <c r="D25" s="15">
        <f>IF($A$17="","",IFERROR(VLOOKUP($A$17&amp;"#7",CargaPorProfesor,5,0),""))</f>
        <v/>
      </c>
    </row>
    <row r="26" ht="22" customHeight="1">
      <c r="A26" s="14">
        <f>IF($A$17="","",IF(COUNTIF('Asignación'!$G$4:$G$33,$A$17)&gt;8,"(+"&amp;(COUNTIF('Asignación'!$G$4:$G$33,$A$17)-8+1)&amp;" más)",IFERROR(VLOOKUP($A$17&amp;"#8",CargaPorProfesor,2,0),"")))</f>
        <v/>
      </c>
      <c r="B26" s="12">
        <f>IF($A$17="","",IFERROR(VLOOKUP($A$17&amp;"#8",CargaPorProfesor,3,0),""))</f>
        <v/>
      </c>
      <c r="C26" s="12">
        <f>IF($A$17="","",IFERROR(VLOOKUP($A$17&amp;"#8",CargaPorProfesor,4,0),""))</f>
        <v/>
      </c>
      <c r="D26" s="15">
        <f>IF($A$17="","",IFERROR(VLOOKUP($A$17&amp;"#8",CargaPorProfesor,5,0),""))</f>
        <v/>
      </c>
    </row>
    <row r="27" ht="22" customHeight="1">
      <c r="A27" s="31" t="inlineStr">
        <is>
          <t>TOTAL</t>
        </is>
      </c>
      <c r="B27" s="22" t="n"/>
      <c r="C27" s="22" t="n"/>
      <c r="D27" s="24">
        <f>IF($A$17="","",SUMIF('Asignación'!$G$4:$G$33,$A$17,'Asignación'!$F$4:$F$33))</f>
        <v/>
      </c>
    </row>
    <row r="28" ht="22" customHeight="1"/>
    <row r="29" ht="22" customHeight="1">
      <c r="A29" s="2" t="inlineStr">
        <is>
          <t>Id</t>
        </is>
      </c>
      <c r="B29" s="3" t="inlineStr">
        <is>
          <t>Nombre</t>
        </is>
      </c>
      <c r="C29" s="3" t="inlineStr">
        <is>
          <t>Grado</t>
        </is>
      </c>
      <c r="D29" s="4" t="inlineStr">
        <is>
          <t>Tope horas</t>
        </is>
      </c>
    </row>
    <row r="30" ht="22" customHeight="1">
      <c r="A30" s="14">
        <f>IF(Profesores!A4="","",Profesores!A4)</f>
        <v/>
      </c>
      <c r="B30" s="12">
        <f>IF($A$30="","",IFERROR(VLOOKUP($A$30,ProfesoresTabla,2,0),""))</f>
        <v/>
      </c>
      <c r="C30" s="12">
        <f>IF($A$30="","",IFERROR(VLOOKUP($A$30,ProfesoresTabla,3,0),""))</f>
        <v/>
      </c>
      <c r="D30" s="15">
        <f>IF($A$30="","",IFERROR(VLOOKUP($A$30,ProfesoresTabla,4,0),""))</f>
        <v/>
      </c>
    </row>
    <row r="31" ht="22" customHeight="1">
      <c r="A31" s="28" t="inlineStr">
        <is>
          <t>Asignatura</t>
        </is>
      </c>
      <c r="B31" s="29" t="inlineStr">
        <is>
          <t>Tipo</t>
        </is>
      </c>
      <c r="C31" s="29" t="inlineStr">
        <is>
          <t>Grupo</t>
        </is>
      </c>
      <c r="D31" s="30" t="inlineStr">
        <is>
          <t>Horas</t>
        </is>
      </c>
    </row>
    <row r="32" ht="22" customHeight="1">
      <c r="A32" s="14">
        <f>IF($A$30="","",IFERROR(VLOOKUP($A$30&amp;"#1",CargaPorProfesor,2,0),""))</f>
        <v/>
      </c>
      <c r="B32" s="12">
        <f>IF($A$30="","",IFERROR(VLOOKUP($A$30&amp;"#1",CargaPorProfesor,3,0),""))</f>
        <v/>
      </c>
      <c r="C32" s="12">
        <f>IF($A$30="","",IFERROR(VLOOKUP($A$30&amp;"#1",CargaPorProfesor,4,0),""))</f>
        <v/>
      </c>
      <c r="D32" s="15">
        <f>IF($A$30="","",IFERROR(VLOOKUP($A$30&amp;"#1",CargaPorProfesor,5,0),""))</f>
        <v/>
      </c>
    </row>
    <row r="33" ht="22" customHeight="1">
      <c r="A33" s="14">
        <f>IF($A$30="","",IFERROR(VLOOKUP($A$30&amp;"#2",CargaPorProfesor,2,0),""))</f>
        <v/>
      </c>
      <c r="B33" s="12">
        <f>IF($A$30="","",IFERROR(VLOOKUP($A$30&amp;"#2",CargaPorProfesor,3,0),""))</f>
        <v/>
      </c>
      <c r="C33" s="12">
        <f>IF($A$30="","",IFERROR(VLOOKUP($A$30&amp;"#2",CargaPorProfesor,4,0),""))</f>
        <v/>
      </c>
      <c r="D33" s="15">
        <f>IF($A$30="","",IFERROR(VLOOKUP($A$30&amp;"#2",CargaPorProfesor,5,0),""))</f>
        <v/>
      </c>
    </row>
    <row r="34" ht="22" customHeight="1">
      <c r="A34" s="14">
        <f>IF($A$30="","",IFERROR(VLOOKUP($A$30&amp;"#3",CargaPorProfesor,2,0),""))</f>
        <v/>
      </c>
      <c r="B34" s="12">
        <f>IF($A$30="","",IFERROR(VLOOKUP($A$30&amp;"#3",CargaPorProfesor,3,0),""))</f>
        <v/>
      </c>
      <c r="C34" s="12">
        <f>IF($A$30="","",IFERROR(VLOOKUP($A$30&amp;"#3",CargaPorProfesor,4,0),""))</f>
        <v/>
      </c>
      <c r="D34" s="15">
        <f>IF($A$30="","",IFERROR(VLOOKUP($A$30&amp;"#3",CargaPorProfesor,5,0),""))</f>
        <v/>
      </c>
    </row>
    <row r="35" ht="22" customHeight="1">
      <c r="A35" s="14">
        <f>IF($A$30="","",IFERROR(VLOOKUP($A$30&amp;"#4",CargaPorProfesor,2,0),""))</f>
        <v/>
      </c>
      <c r="B35" s="12">
        <f>IF($A$30="","",IFERROR(VLOOKUP($A$30&amp;"#4",CargaPorProfesor,3,0),""))</f>
        <v/>
      </c>
      <c r="C35" s="12">
        <f>IF($A$30="","",IFERROR(VLOOKUP($A$30&amp;"#4",CargaPorProfesor,4,0),""))</f>
        <v/>
      </c>
      <c r="D35" s="15">
        <f>IF($A$30="","",IFERROR(VLOOKUP($A$30&amp;"#4",CargaPorProfesor,5,0),""))</f>
        <v/>
      </c>
    </row>
    <row r="36" ht="22" customHeight="1">
      <c r="A36" s="14">
        <f>IF($A$30="","",IFERROR(VLOOKUP($A$30&amp;"#5",CargaPorProfesor,2,0),""))</f>
        <v/>
      </c>
      <c r="B36" s="12">
        <f>IF($A$30="","",IFERROR(VLOOKUP($A$30&amp;"#5",CargaPorProfesor,3,0),""))</f>
        <v/>
      </c>
      <c r="C36" s="12">
        <f>IF($A$30="","",IFERROR(VLOOKUP($A$30&amp;"#5",CargaPorProfesor,4,0),""))</f>
        <v/>
      </c>
      <c r="D36" s="15">
        <f>IF($A$30="","",IFERROR(VLOOKUP($A$30&amp;"#5",CargaPorProfesor,5,0),""))</f>
        <v/>
      </c>
    </row>
    <row r="37" ht="22" customHeight="1">
      <c r="A37" s="14">
        <f>IF($A$30="","",IFERROR(VLOOKUP($A$30&amp;"#6",CargaPorProfesor,2,0),""))</f>
        <v/>
      </c>
      <c r="B37" s="12">
        <f>IF($A$30="","",IFERROR(VLOOKUP($A$30&amp;"#6",CargaPorProfesor,3,0),""))</f>
        <v/>
      </c>
      <c r="C37" s="12">
        <f>IF($A$30="","",IFERROR(VLOOKUP($A$30&amp;"#6",CargaPorProfesor,4,0),""))</f>
        <v/>
      </c>
      <c r="D37" s="15">
        <f>IF($A$30="","",IFERROR(VLOOKUP($A$30&amp;"#6",CargaPorProfesor,5,0),""))</f>
        <v/>
      </c>
    </row>
    <row r="38" ht="22" customHeight="1">
      <c r="A38" s="14">
        <f>IF($A$30="","",IFERROR(VLOOKUP($A$30&amp;"#7",CargaPorProfesor,2,0),""))</f>
        <v/>
      </c>
      <c r="B38" s="12">
        <f>IF($A$30="","",IFERROR(VLOOKUP($A$30&amp;"#7",CargaPorProfesor,3,0),""))</f>
        <v/>
      </c>
      <c r="C38" s="12">
        <f>IF($A$30="","",IFERROR(VLOOKUP($A$30&amp;"#7",CargaPorProfesor,4,0),""))</f>
        <v/>
      </c>
      <c r="D38" s="15">
        <f>IF($A$30="","",IFERROR(VLOOKUP($A$30&amp;"#7",CargaPorProfesor,5,0),""))</f>
        <v/>
      </c>
    </row>
    <row r="39" ht="22" customHeight="1">
      <c r="A39" s="14">
        <f>IF($A$30="","",IF(COUNTIF('Asignación'!$G$4:$G$33,$A$30)&gt;8,"(+"&amp;(COUNTIF('Asignación'!$G$4:$G$33,$A$30)-8+1)&amp;" más)",IFERROR(VLOOKUP($A$30&amp;"#8",CargaPorProfesor,2,0),"")))</f>
        <v/>
      </c>
      <c r="B39" s="12">
        <f>IF($A$30="","",IFERROR(VLOOKUP($A$30&amp;"#8",CargaPorProfesor,3,0),""))</f>
        <v/>
      </c>
      <c r="C39" s="12">
        <f>IF($A$30="","",IFERROR(VLOOKUP($A$30&amp;"#8",CargaPorProfesor,4,0),""))</f>
        <v/>
      </c>
      <c r="D39" s="15">
        <f>IF($A$30="","",IFERROR(VLOOKUP($A$30&amp;"#8",CargaPorProfesor,5,0),""))</f>
        <v/>
      </c>
    </row>
    <row r="40" ht="22" customHeight="1">
      <c r="A40" s="31" t="inlineStr">
        <is>
          <t>TOTAL</t>
        </is>
      </c>
      <c r="B40" s="22" t="n"/>
      <c r="C40" s="22" t="n"/>
      <c r="D40" s="24">
        <f>IF($A$30="","",SUMIF('Asignación'!$G$4:$G$33,$A$30,'Asignación'!$F$4:$F$33))</f>
        <v/>
      </c>
    </row>
    <row r="41" ht="22" customHeight="1"/>
    <row r="42" ht="22" customHeight="1">
      <c r="A42" s="2" t="inlineStr">
        <is>
          <t>Id</t>
        </is>
      </c>
      <c r="B42" s="3" t="inlineStr">
        <is>
          <t>Nombre</t>
        </is>
      </c>
      <c r="C42" s="3" t="inlineStr">
        <is>
          <t>Grado</t>
        </is>
      </c>
      <c r="D42" s="4" t="inlineStr">
        <is>
          <t>Tope horas</t>
        </is>
      </c>
    </row>
    <row r="43" ht="22" customHeight="1">
      <c r="A43" s="14">
        <f>IF(Profesores!A5="","",Profesores!A5)</f>
        <v/>
      </c>
      <c r="B43" s="12">
        <f>IF($A$43="","",IFERROR(VLOOKUP($A$43,ProfesoresTabla,2,0),""))</f>
        <v/>
      </c>
      <c r="C43" s="12">
        <f>IF($A$43="","",IFERROR(VLOOKUP($A$43,ProfesoresTabla,3,0),""))</f>
        <v/>
      </c>
      <c r="D43" s="15">
        <f>IF($A$43="","",IFERROR(VLOOKUP($A$43,ProfesoresTabla,4,0),""))</f>
        <v/>
      </c>
    </row>
    <row r="44" ht="22" customHeight="1">
      <c r="A44" s="28" t="inlineStr">
        <is>
          <t>Asignatura</t>
        </is>
      </c>
      <c r="B44" s="29" t="inlineStr">
        <is>
          <t>Tipo</t>
        </is>
      </c>
      <c r="C44" s="29" t="inlineStr">
        <is>
          <t>Grupo</t>
        </is>
      </c>
      <c r="D44" s="30" t="inlineStr">
        <is>
          <t>Horas</t>
        </is>
      </c>
    </row>
    <row r="45" ht="22" customHeight="1">
      <c r="A45" s="14">
        <f>IF($A$43="","",IFERROR(VLOOKUP($A$43&amp;"#1",CargaPorProfesor,2,0),""))</f>
        <v/>
      </c>
      <c r="B45" s="12">
        <f>IF($A$43="","",IFERROR(VLOOKUP($A$43&amp;"#1",CargaPorProfesor,3,0),""))</f>
        <v/>
      </c>
      <c r="C45" s="12">
        <f>IF($A$43="","",IFERROR(VLOOKUP($A$43&amp;"#1",CargaPorProfesor,4,0),""))</f>
        <v/>
      </c>
      <c r="D45" s="15">
        <f>IF($A$43="","",IFERROR(VLOOKUP($A$43&amp;"#1",CargaPorProfesor,5,0),""))</f>
        <v/>
      </c>
    </row>
    <row r="46" ht="22" customHeight="1">
      <c r="A46" s="14">
        <f>IF($A$43="","",IFERROR(VLOOKUP($A$43&amp;"#2",CargaPorProfesor,2,0),""))</f>
        <v/>
      </c>
      <c r="B46" s="12">
        <f>IF($A$43="","",IFERROR(VLOOKUP($A$43&amp;"#2",CargaPorProfesor,3,0),""))</f>
        <v/>
      </c>
      <c r="C46" s="12">
        <f>IF($A$43="","",IFERROR(VLOOKUP($A$43&amp;"#2",CargaPorProfesor,4,0),""))</f>
        <v/>
      </c>
      <c r="D46" s="15">
        <f>IF($A$43="","",IFERROR(VLOOKUP($A$43&amp;"#2",CargaPorProfesor,5,0),""))</f>
        <v/>
      </c>
    </row>
    <row r="47" ht="22" customHeight="1">
      <c r="A47" s="14">
        <f>IF($A$43="","",IFERROR(VLOOKUP($A$43&amp;"#3",CargaPorProfesor,2,0),""))</f>
        <v/>
      </c>
      <c r="B47" s="12">
        <f>IF($A$43="","",IFERROR(VLOOKUP($A$43&amp;"#3",CargaPorProfesor,3,0),""))</f>
        <v/>
      </c>
      <c r="C47" s="12">
        <f>IF($A$43="","",IFERROR(VLOOKUP($A$43&amp;"#3",CargaPorProfesor,4,0),""))</f>
        <v/>
      </c>
      <c r="D47" s="15">
        <f>IF($A$43="","",IFERROR(VLOOKUP($A$43&amp;"#3",CargaPorProfesor,5,0),""))</f>
        <v/>
      </c>
    </row>
    <row r="48" ht="22" customHeight="1">
      <c r="A48" s="14">
        <f>IF($A$43="","",IFERROR(VLOOKUP($A$43&amp;"#4",CargaPorProfesor,2,0),""))</f>
        <v/>
      </c>
      <c r="B48" s="12">
        <f>IF($A$43="","",IFERROR(VLOOKUP($A$43&amp;"#4",CargaPorProfesor,3,0),""))</f>
        <v/>
      </c>
      <c r="C48" s="12">
        <f>IF($A$43="","",IFERROR(VLOOKUP($A$43&amp;"#4",CargaPorProfesor,4,0),""))</f>
        <v/>
      </c>
      <c r="D48" s="15">
        <f>IF($A$43="","",IFERROR(VLOOKUP($A$43&amp;"#4",CargaPorProfesor,5,0),""))</f>
        <v/>
      </c>
    </row>
    <row r="49" ht="22" customHeight="1">
      <c r="A49" s="14">
        <f>IF($A$43="","",IFERROR(VLOOKUP($A$43&amp;"#5",CargaPorProfesor,2,0),""))</f>
        <v/>
      </c>
      <c r="B49" s="12">
        <f>IF($A$43="","",IFERROR(VLOOKUP($A$43&amp;"#5",CargaPorProfesor,3,0),""))</f>
        <v/>
      </c>
      <c r="C49" s="12">
        <f>IF($A$43="","",IFERROR(VLOOKUP($A$43&amp;"#5",CargaPorProfesor,4,0),""))</f>
        <v/>
      </c>
      <c r="D49" s="15">
        <f>IF($A$43="","",IFERROR(VLOOKUP($A$43&amp;"#5",CargaPorProfesor,5,0),""))</f>
        <v/>
      </c>
    </row>
    <row r="50" ht="22" customHeight="1">
      <c r="A50" s="14">
        <f>IF($A$43="","",IFERROR(VLOOKUP($A$43&amp;"#6",CargaPorProfesor,2,0),""))</f>
        <v/>
      </c>
      <c r="B50" s="12">
        <f>IF($A$43="","",IFERROR(VLOOKUP($A$43&amp;"#6",CargaPorProfesor,3,0),""))</f>
        <v/>
      </c>
      <c r="C50" s="12">
        <f>IF($A$43="","",IFERROR(VLOOKUP($A$43&amp;"#6",CargaPorProfesor,4,0),""))</f>
        <v/>
      </c>
      <c r="D50" s="15">
        <f>IF($A$43="","",IFERROR(VLOOKUP($A$43&amp;"#6",CargaPorProfesor,5,0),""))</f>
        <v/>
      </c>
    </row>
    <row r="51" ht="22" customHeight="1">
      <c r="A51" s="14">
        <f>IF($A$43="","",IFERROR(VLOOKUP($A$43&amp;"#7",CargaPorProfesor,2,0),""))</f>
        <v/>
      </c>
      <c r="B51" s="12">
        <f>IF($A$43="","",IFERROR(VLOOKUP($A$43&amp;"#7",CargaPorProfesor,3,0),""))</f>
        <v/>
      </c>
      <c r="C51" s="12">
        <f>IF($A$43="","",IFERROR(VLOOKUP($A$43&amp;"#7",CargaPorProfesor,4,0),""))</f>
        <v/>
      </c>
      <c r="D51" s="15">
        <f>IF($A$43="","",IFERROR(VLOOKUP($A$43&amp;"#7",CargaPorProfesor,5,0),""))</f>
        <v/>
      </c>
    </row>
    <row r="52" ht="22" customHeight="1">
      <c r="A52" s="14">
        <f>IF($A$43="","",IF(COUNTIF('Asignación'!$G$4:$G$33,$A$43)&gt;8,"(+"&amp;(COUNTIF('Asignación'!$G$4:$G$33,$A$43)-8+1)&amp;" más)",IFERROR(VLOOKUP($A$43&amp;"#8",CargaPorProfesor,2,0),"")))</f>
        <v/>
      </c>
      <c r="B52" s="12">
        <f>IF($A$43="","",IFERROR(VLOOKUP($A$43&amp;"#8",CargaPorProfesor,3,0),""))</f>
        <v/>
      </c>
      <c r="C52" s="12">
        <f>IF($A$43="","",IFERROR(VLOOKUP($A$43&amp;"#8",CargaPorProfesor,4,0),""))</f>
        <v/>
      </c>
      <c r="D52" s="15">
        <f>IF($A$43="","",IFERROR(VLOOKUP($A$43&amp;"#8",CargaPorProfesor,5,0),""))</f>
        <v/>
      </c>
    </row>
    <row r="53" ht="22" customHeight="1">
      <c r="A53" s="31" t="inlineStr">
        <is>
          <t>TOTAL</t>
        </is>
      </c>
      <c r="B53" s="22" t="n"/>
      <c r="C53" s="22" t="n"/>
      <c r="D53" s="24">
        <f>IF($A$43="","",SUMIF('Asignación'!$G$4:$G$33,$A$43,'Asignación'!$F$4:$F$33))</f>
        <v/>
      </c>
    </row>
    <row r="54" ht="22" customHeight="1"/>
    <row r="55" ht="22" customHeight="1">
      <c r="A55" s="2" t="inlineStr">
        <is>
          <t>Id</t>
        </is>
      </c>
      <c r="B55" s="3" t="inlineStr">
        <is>
          <t>Nombre</t>
        </is>
      </c>
      <c r="C55" s="3" t="inlineStr">
        <is>
          <t>Grado</t>
        </is>
      </c>
      <c r="D55" s="4" t="inlineStr">
        <is>
          <t>Tope horas</t>
        </is>
      </c>
    </row>
    <row r="56" ht="22" customHeight="1">
      <c r="A56" s="14">
        <f>IF(Profesores!A6="","",Profesores!A6)</f>
        <v/>
      </c>
      <c r="B56" s="12">
        <f>IF($A$56="","",IFERROR(VLOOKUP($A$56,ProfesoresTabla,2,0),""))</f>
        <v/>
      </c>
      <c r="C56" s="12">
        <f>IF($A$56="","",IFERROR(VLOOKUP($A$56,ProfesoresTabla,3,0),""))</f>
        <v/>
      </c>
      <c r="D56" s="15">
        <f>IF($A$56="","",IFERROR(VLOOKUP($A$56,ProfesoresTabla,4,0),""))</f>
        <v/>
      </c>
    </row>
    <row r="57" ht="22" customHeight="1">
      <c r="A57" s="28" t="inlineStr">
        <is>
          <t>Asignatura</t>
        </is>
      </c>
      <c r="B57" s="29" t="inlineStr">
        <is>
          <t>Tipo</t>
        </is>
      </c>
      <c r="C57" s="29" t="inlineStr">
        <is>
          <t>Grupo</t>
        </is>
      </c>
      <c r="D57" s="30" t="inlineStr">
        <is>
          <t>Horas</t>
        </is>
      </c>
    </row>
    <row r="58" ht="22" customHeight="1">
      <c r="A58" s="14">
        <f>IF($A$56="","",IFERROR(VLOOKUP($A$56&amp;"#1",CargaPorProfesor,2,0),""))</f>
        <v/>
      </c>
      <c r="B58" s="12">
        <f>IF($A$56="","",IFERROR(VLOOKUP($A$56&amp;"#1",CargaPorProfesor,3,0),""))</f>
        <v/>
      </c>
      <c r="C58" s="12">
        <f>IF($A$56="","",IFERROR(VLOOKUP($A$56&amp;"#1",CargaPorProfesor,4,0),""))</f>
        <v/>
      </c>
      <c r="D58" s="15">
        <f>IF($A$56="","",IFERROR(VLOOKUP($A$56&amp;"#1",CargaPorProfesor,5,0),""))</f>
        <v/>
      </c>
    </row>
    <row r="59" ht="22" customHeight="1">
      <c r="A59" s="14">
        <f>IF($A$56="","",IFERROR(VLOOKUP($A$56&amp;"#2",CargaPorProfesor,2,0),""))</f>
        <v/>
      </c>
      <c r="B59" s="12">
        <f>IF($A$56="","",IFERROR(VLOOKUP($A$56&amp;"#2",CargaPorProfesor,3,0),""))</f>
        <v/>
      </c>
      <c r="C59" s="12">
        <f>IF($A$56="","",IFERROR(VLOOKUP($A$56&amp;"#2",CargaPorProfesor,4,0),""))</f>
        <v/>
      </c>
      <c r="D59" s="15">
        <f>IF($A$56="","",IFERROR(VLOOKUP($A$56&amp;"#2",CargaPorProfesor,5,0),""))</f>
        <v/>
      </c>
    </row>
    <row r="60" ht="22" customHeight="1">
      <c r="A60" s="14">
        <f>IF($A$56="","",IFERROR(VLOOKUP($A$56&amp;"#3",CargaPorProfesor,2,0),""))</f>
        <v/>
      </c>
      <c r="B60" s="12">
        <f>IF($A$56="","",IFERROR(VLOOKUP($A$56&amp;"#3",CargaPorProfesor,3,0),""))</f>
        <v/>
      </c>
      <c r="C60" s="12">
        <f>IF($A$56="","",IFERROR(VLOOKUP($A$56&amp;"#3",CargaPorProfesor,4,0),""))</f>
        <v/>
      </c>
      <c r="D60" s="15">
        <f>IF($A$56="","",IFERROR(VLOOKUP($A$56&amp;"#3",CargaPorProfesor,5,0),""))</f>
        <v/>
      </c>
    </row>
    <row r="61" ht="22" customHeight="1">
      <c r="A61" s="14">
        <f>IF($A$56="","",IFERROR(VLOOKUP($A$56&amp;"#4",CargaPorProfesor,2,0),""))</f>
        <v/>
      </c>
      <c r="B61" s="12">
        <f>IF($A$56="","",IFERROR(VLOOKUP($A$56&amp;"#4",CargaPorProfesor,3,0),""))</f>
        <v/>
      </c>
      <c r="C61" s="12">
        <f>IF($A$56="","",IFERROR(VLOOKUP($A$56&amp;"#4",CargaPorProfesor,4,0),""))</f>
        <v/>
      </c>
      <c r="D61" s="15">
        <f>IF($A$56="","",IFERROR(VLOOKUP($A$56&amp;"#4",CargaPorProfesor,5,0),""))</f>
        <v/>
      </c>
    </row>
    <row r="62" ht="22" customHeight="1">
      <c r="A62" s="14">
        <f>IF($A$56="","",IFERROR(VLOOKUP($A$56&amp;"#5",CargaPorProfesor,2,0),""))</f>
        <v/>
      </c>
      <c r="B62" s="12">
        <f>IF($A$56="","",IFERROR(VLOOKUP($A$56&amp;"#5",CargaPorProfesor,3,0),""))</f>
        <v/>
      </c>
      <c r="C62" s="12">
        <f>IF($A$56="","",IFERROR(VLOOKUP($A$56&amp;"#5",CargaPorProfesor,4,0),""))</f>
        <v/>
      </c>
      <c r="D62" s="15">
        <f>IF($A$56="","",IFERROR(VLOOKUP($A$56&amp;"#5",CargaPorProfesor,5,0),""))</f>
        <v/>
      </c>
    </row>
    <row r="63" ht="22" customHeight="1">
      <c r="A63" s="14">
        <f>IF($A$56="","",IFERROR(VLOOKUP($A$56&amp;"#6",CargaPorProfesor,2,0),""))</f>
        <v/>
      </c>
      <c r="B63" s="12">
        <f>IF($A$56="","",IFERROR(VLOOKUP($A$56&amp;"#6",CargaPorProfesor,3,0),""))</f>
        <v/>
      </c>
      <c r="C63" s="12">
        <f>IF($A$56="","",IFERROR(VLOOKUP($A$56&amp;"#6",CargaPorProfesor,4,0),""))</f>
        <v/>
      </c>
      <c r="D63" s="15">
        <f>IF($A$56="","",IFERROR(VLOOKUP($A$56&amp;"#6",CargaPorProfesor,5,0),""))</f>
        <v/>
      </c>
    </row>
    <row r="64" ht="22" customHeight="1">
      <c r="A64" s="14">
        <f>IF($A$56="","",IFERROR(VLOOKUP($A$56&amp;"#7",CargaPorProfesor,2,0),""))</f>
        <v/>
      </c>
      <c r="B64" s="12">
        <f>IF($A$56="","",IFERROR(VLOOKUP($A$56&amp;"#7",CargaPorProfesor,3,0),""))</f>
        <v/>
      </c>
      <c r="C64" s="12">
        <f>IF($A$56="","",IFERROR(VLOOKUP($A$56&amp;"#7",CargaPorProfesor,4,0),""))</f>
        <v/>
      </c>
      <c r="D64" s="15">
        <f>IF($A$56="","",IFERROR(VLOOKUP($A$56&amp;"#7",CargaPorProfesor,5,0),""))</f>
        <v/>
      </c>
    </row>
    <row r="65" ht="22" customHeight="1">
      <c r="A65" s="14">
        <f>IF($A$56="","",IF(COUNTIF('Asignación'!$G$4:$G$33,$A$56)&gt;8,"(+"&amp;(COUNTIF('Asignación'!$G$4:$G$33,$A$56)-8+1)&amp;" más)",IFERROR(VLOOKUP($A$56&amp;"#8",CargaPorProfesor,2,0),"")))</f>
        <v/>
      </c>
      <c r="B65" s="12">
        <f>IF($A$56="","",IFERROR(VLOOKUP($A$56&amp;"#8",CargaPorProfesor,3,0),""))</f>
        <v/>
      </c>
      <c r="C65" s="12">
        <f>IF($A$56="","",IFERROR(VLOOKUP($A$56&amp;"#8",CargaPorProfesor,4,0),""))</f>
        <v/>
      </c>
      <c r="D65" s="15">
        <f>IF($A$56="","",IFERROR(VLOOKUP($A$56&amp;"#8",CargaPorProfesor,5,0),""))</f>
        <v/>
      </c>
    </row>
    <row r="66" ht="22" customHeight="1">
      <c r="A66" s="31" t="inlineStr">
        <is>
          <t>TOTAL</t>
        </is>
      </c>
      <c r="B66" s="22" t="n"/>
      <c r="C66" s="22" t="n"/>
      <c r="D66" s="24">
        <f>IF($A$56="","",SUMIF('Asignación'!$G$4:$G$33,$A$56,'Asignación'!$F$4:$F$33))</f>
        <v/>
      </c>
    </row>
    <row r="67" ht="22" customHeight="1"/>
    <row r="68" ht="22" customHeight="1">
      <c r="A68" s="2" t="inlineStr">
        <is>
          <t>Id</t>
        </is>
      </c>
      <c r="B68" s="3" t="inlineStr">
        <is>
          <t>Nombre</t>
        </is>
      </c>
      <c r="C68" s="3" t="inlineStr">
        <is>
          <t>Grado</t>
        </is>
      </c>
      <c r="D68" s="4" t="inlineStr">
        <is>
          <t>Tope horas</t>
        </is>
      </c>
    </row>
    <row r="69" ht="22" customHeight="1">
      <c r="A69" s="14">
        <f>IF(Profesores!A7="","",Profesores!A7)</f>
        <v/>
      </c>
      <c r="B69" s="12">
        <f>IF($A$69="","",IFERROR(VLOOKUP($A$69,ProfesoresTabla,2,0),""))</f>
        <v/>
      </c>
      <c r="C69" s="12">
        <f>IF($A$69="","",IFERROR(VLOOKUP($A$69,ProfesoresTabla,3,0),""))</f>
        <v/>
      </c>
      <c r="D69" s="15">
        <f>IF($A$69="","",IFERROR(VLOOKUP($A$69,ProfesoresTabla,4,0),""))</f>
        <v/>
      </c>
    </row>
    <row r="70" ht="22" customHeight="1">
      <c r="A70" s="28" t="inlineStr">
        <is>
          <t>Asignatura</t>
        </is>
      </c>
      <c r="B70" s="29" t="inlineStr">
        <is>
          <t>Tipo</t>
        </is>
      </c>
      <c r="C70" s="29" t="inlineStr">
        <is>
          <t>Grupo</t>
        </is>
      </c>
      <c r="D70" s="30" t="inlineStr">
        <is>
          <t>Horas</t>
        </is>
      </c>
    </row>
    <row r="71" ht="22" customHeight="1">
      <c r="A71" s="14">
        <f>IF($A$69="","",IFERROR(VLOOKUP($A$69&amp;"#1",CargaPorProfesor,2,0),""))</f>
        <v/>
      </c>
      <c r="B71" s="12">
        <f>IF($A$69="","",IFERROR(VLOOKUP($A$69&amp;"#1",CargaPorProfesor,3,0),""))</f>
        <v/>
      </c>
      <c r="C71" s="12">
        <f>IF($A$69="","",IFERROR(VLOOKUP($A$69&amp;"#1",CargaPorProfesor,4,0),""))</f>
        <v/>
      </c>
      <c r="D71" s="15">
        <f>IF($A$69="","",IFERROR(VLOOKUP($A$69&amp;"#1",CargaPorProfesor,5,0),""))</f>
        <v/>
      </c>
    </row>
    <row r="72" ht="22" customHeight="1">
      <c r="A72" s="14">
        <f>IF($A$69="","",IFERROR(VLOOKUP($A$69&amp;"#2",CargaPorProfesor,2,0),""))</f>
        <v/>
      </c>
      <c r="B72" s="12">
        <f>IF($A$69="","",IFERROR(VLOOKUP($A$69&amp;"#2",CargaPorProfesor,3,0),""))</f>
        <v/>
      </c>
      <c r="C72" s="12">
        <f>IF($A$69="","",IFERROR(VLOOKUP($A$69&amp;"#2",CargaPorProfesor,4,0),""))</f>
        <v/>
      </c>
      <c r="D72" s="15">
        <f>IF($A$69="","",IFERROR(VLOOKUP($A$69&amp;"#2",CargaPorProfesor,5,0),""))</f>
        <v/>
      </c>
    </row>
    <row r="73" ht="22" customHeight="1">
      <c r="A73" s="14">
        <f>IF($A$69="","",IFERROR(VLOOKUP($A$69&amp;"#3",CargaPorProfesor,2,0),""))</f>
        <v/>
      </c>
      <c r="B73" s="12">
        <f>IF($A$69="","",IFERROR(VLOOKUP($A$69&amp;"#3",CargaPorProfesor,3,0),""))</f>
        <v/>
      </c>
      <c r="C73" s="12">
        <f>IF($A$69="","",IFERROR(VLOOKUP($A$69&amp;"#3",CargaPorProfesor,4,0),""))</f>
        <v/>
      </c>
      <c r="D73" s="15">
        <f>IF($A$69="","",IFERROR(VLOOKUP($A$69&amp;"#3",CargaPorProfesor,5,0),""))</f>
        <v/>
      </c>
    </row>
    <row r="74" ht="22" customHeight="1">
      <c r="A74" s="14">
        <f>IF($A$69="","",IFERROR(VLOOKUP($A$69&amp;"#4",CargaPorProfesor,2,0),""))</f>
        <v/>
      </c>
      <c r="B74" s="12">
        <f>IF($A$69="","",IFERROR(VLOOKUP($A$69&amp;"#4",CargaPorProfesor,3,0),""))</f>
        <v/>
      </c>
      <c r="C74" s="12">
        <f>IF($A$69="","",IFERROR(VLOOKUP($A$69&amp;"#4",CargaPorProfesor,4,0),""))</f>
        <v/>
      </c>
      <c r="D74" s="15">
        <f>IF($A$69="","",IFERROR(VLOOKUP($A$69&amp;"#4",CargaPorProfesor,5,0),""))</f>
        <v/>
      </c>
    </row>
    <row r="75" ht="22" customHeight="1">
      <c r="A75" s="14">
        <f>IF($A$69="","",IFERROR(VLOOKUP($A$69&amp;"#5",CargaPorProfesor,2,0),""))</f>
        <v/>
      </c>
      <c r="B75" s="12">
        <f>IF($A$69="","",IFERROR(VLOOKUP($A$69&amp;"#5",CargaPorProfesor,3,0),""))</f>
        <v/>
      </c>
      <c r="C75" s="12">
        <f>IF($A$69="","",IFERROR(VLOOKUP($A$69&amp;"#5",CargaPorProfesor,4,0),""))</f>
        <v/>
      </c>
      <c r="D75" s="15">
        <f>IF($A$69="","",IFERROR(VLOOKUP($A$69&amp;"#5",CargaPorProfesor,5,0),""))</f>
        <v/>
      </c>
    </row>
    <row r="76" ht="22" customHeight="1">
      <c r="A76" s="14">
        <f>IF($A$69="","",IFERROR(VLOOKUP($A$69&amp;"#6",CargaPorProfesor,2,0),""))</f>
        <v/>
      </c>
      <c r="B76" s="12">
        <f>IF($A$69="","",IFERROR(VLOOKUP($A$69&amp;"#6",CargaPorProfesor,3,0),""))</f>
        <v/>
      </c>
      <c r="C76" s="12">
        <f>IF($A$69="","",IFERROR(VLOOKUP($A$69&amp;"#6",CargaPorProfesor,4,0),""))</f>
        <v/>
      </c>
      <c r="D76" s="15">
        <f>IF($A$69="","",IFERROR(VLOOKUP($A$69&amp;"#6",CargaPorProfesor,5,0),""))</f>
        <v/>
      </c>
    </row>
    <row r="77" ht="22" customHeight="1">
      <c r="A77" s="14">
        <f>IF($A$69="","",IFERROR(VLOOKUP($A$69&amp;"#7",CargaPorProfesor,2,0),""))</f>
        <v/>
      </c>
      <c r="B77" s="12">
        <f>IF($A$69="","",IFERROR(VLOOKUP($A$69&amp;"#7",CargaPorProfesor,3,0),""))</f>
        <v/>
      </c>
      <c r="C77" s="12">
        <f>IF($A$69="","",IFERROR(VLOOKUP($A$69&amp;"#7",CargaPorProfesor,4,0),""))</f>
        <v/>
      </c>
      <c r="D77" s="15">
        <f>IF($A$69="","",IFERROR(VLOOKUP($A$69&amp;"#7",CargaPorProfesor,5,0),""))</f>
        <v/>
      </c>
    </row>
    <row r="78" ht="22" customHeight="1">
      <c r="A78" s="14">
        <f>IF($A$69="","",IF(COUNTIF('Asignación'!$G$4:$G$33,$A$69)&gt;8,"(+"&amp;(COUNTIF('Asignación'!$G$4:$G$33,$A$69)-8+1)&amp;" más)",IFERROR(VLOOKUP($A$69&amp;"#8",CargaPorProfesor,2,0),"")))</f>
        <v/>
      </c>
      <c r="B78" s="12">
        <f>IF($A$69="","",IFERROR(VLOOKUP($A$69&amp;"#8",CargaPorProfesor,3,0),""))</f>
        <v/>
      </c>
      <c r="C78" s="12">
        <f>IF($A$69="","",IFERROR(VLOOKUP($A$69&amp;"#8",CargaPorProfesor,4,0),""))</f>
        <v/>
      </c>
      <c r="D78" s="15">
        <f>IF($A$69="","",IFERROR(VLOOKUP($A$69&amp;"#8",CargaPorProfesor,5,0),""))</f>
        <v/>
      </c>
    </row>
    <row r="79" ht="22" customHeight="1">
      <c r="A79" s="31" t="inlineStr">
        <is>
          <t>TOTAL</t>
        </is>
      </c>
      <c r="B79" s="22" t="n"/>
      <c r="C79" s="22" t="n"/>
      <c r="D79" s="24">
        <f>IF($A$69="","",SUMIF('Asignación'!$G$4:$G$33,$A$69,'Asignación'!$F$4:$F$33))</f>
        <v/>
      </c>
    </row>
    <row r="80" ht="22" customHeight="1"/>
    <row r="81" ht="22" customHeight="1">
      <c r="A81" s="2" t="inlineStr">
        <is>
          <t>Id</t>
        </is>
      </c>
      <c r="B81" s="3" t="inlineStr">
        <is>
          <t>Nombre</t>
        </is>
      </c>
      <c r="C81" s="3" t="inlineStr">
        <is>
          <t>Grado</t>
        </is>
      </c>
      <c r="D81" s="4" t="inlineStr">
        <is>
          <t>Tope horas</t>
        </is>
      </c>
    </row>
    <row r="82" ht="22" customHeight="1">
      <c r="A82" s="14">
        <f>IF(Profesores!A8="","",Profesores!A8)</f>
        <v/>
      </c>
      <c r="B82" s="12">
        <f>IF($A$82="","",IFERROR(VLOOKUP($A$82,ProfesoresTabla,2,0),""))</f>
        <v/>
      </c>
      <c r="C82" s="12">
        <f>IF($A$82="","",IFERROR(VLOOKUP($A$82,ProfesoresTabla,3,0),""))</f>
        <v/>
      </c>
      <c r="D82" s="15">
        <f>IF($A$82="","",IFERROR(VLOOKUP($A$82,ProfesoresTabla,4,0),""))</f>
        <v/>
      </c>
    </row>
    <row r="83" ht="22" customHeight="1">
      <c r="A83" s="28" t="inlineStr">
        <is>
          <t>Asignatura</t>
        </is>
      </c>
      <c r="B83" s="29" t="inlineStr">
        <is>
          <t>Tipo</t>
        </is>
      </c>
      <c r="C83" s="29" t="inlineStr">
        <is>
          <t>Grupo</t>
        </is>
      </c>
      <c r="D83" s="30" t="inlineStr">
        <is>
          <t>Horas</t>
        </is>
      </c>
    </row>
    <row r="84" ht="22" customHeight="1">
      <c r="A84" s="14">
        <f>IF($A$82="","",IFERROR(VLOOKUP($A$82&amp;"#1",CargaPorProfesor,2,0),""))</f>
        <v/>
      </c>
      <c r="B84" s="12">
        <f>IF($A$82="","",IFERROR(VLOOKUP($A$82&amp;"#1",CargaPorProfesor,3,0),""))</f>
        <v/>
      </c>
      <c r="C84" s="12">
        <f>IF($A$82="","",IFERROR(VLOOKUP($A$82&amp;"#1",CargaPorProfesor,4,0),""))</f>
        <v/>
      </c>
      <c r="D84" s="15">
        <f>IF($A$82="","",IFERROR(VLOOKUP($A$82&amp;"#1",CargaPorProfesor,5,0),""))</f>
        <v/>
      </c>
    </row>
    <row r="85" ht="22" customHeight="1">
      <c r="A85" s="14">
        <f>IF($A$82="","",IFERROR(VLOOKUP($A$82&amp;"#2",CargaPorProfesor,2,0),""))</f>
        <v/>
      </c>
      <c r="B85" s="12">
        <f>IF($A$82="","",IFERROR(VLOOKUP($A$82&amp;"#2",CargaPorProfesor,3,0),""))</f>
        <v/>
      </c>
      <c r="C85" s="12">
        <f>IF($A$82="","",IFERROR(VLOOKUP($A$82&amp;"#2",CargaPorProfesor,4,0),""))</f>
        <v/>
      </c>
      <c r="D85" s="15">
        <f>IF($A$82="","",IFERROR(VLOOKUP($A$82&amp;"#2",CargaPorProfesor,5,0),""))</f>
        <v/>
      </c>
    </row>
    <row r="86" ht="22" customHeight="1">
      <c r="A86" s="14">
        <f>IF($A$82="","",IFERROR(VLOOKUP($A$82&amp;"#3",CargaPorProfesor,2,0),""))</f>
        <v/>
      </c>
      <c r="B86" s="12">
        <f>IF($A$82="","",IFERROR(VLOOKUP($A$82&amp;"#3",CargaPorProfesor,3,0),""))</f>
        <v/>
      </c>
      <c r="C86" s="12">
        <f>IF($A$82="","",IFERROR(VLOOKUP($A$82&amp;"#3",CargaPorProfesor,4,0),""))</f>
        <v/>
      </c>
      <c r="D86" s="15">
        <f>IF($A$82="","",IFERROR(VLOOKUP($A$82&amp;"#3",CargaPorProfesor,5,0),""))</f>
        <v/>
      </c>
    </row>
    <row r="87" ht="22" customHeight="1">
      <c r="A87" s="14">
        <f>IF($A$82="","",IFERROR(VLOOKUP($A$82&amp;"#4",CargaPorProfesor,2,0),""))</f>
        <v/>
      </c>
      <c r="B87" s="12">
        <f>IF($A$82="","",IFERROR(VLOOKUP($A$82&amp;"#4",CargaPorProfesor,3,0),""))</f>
        <v/>
      </c>
      <c r="C87" s="12">
        <f>IF($A$82="","",IFERROR(VLOOKUP($A$82&amp;"#4",CargaPorProfesor,4,0),""))</f>
        <v/>
      </c>
      <c r="D87" s="15">
        <f>IF($A$82="","",IFERROR(VLOOKUP($A$82&amp;"#4",CargaPorProfesor,5,0),""))</f>
        <v/>
      </c>
    </row>
    <row r="88" ht="22" customHeight="1">
      <c r="A88" s="14">
        <f>IF($A$82="","",IFERROR(VLOOKUP($A$82&amp;"#5",CargaPorProfesor,2,0),""))</f>
        <v/>
      </c>
      <c r="B88" s="12">
        <f>IF($A$82="","",IFERROR(VLOOKUP($A$82&amp;"#5",CargaPorProfesor,3,0),""))</f>
        <v/>
      </c>
      <c r="C88" s="12">
        <f>IF($A$82="","",IFERROR(VLOOKUP($A$82&amp;"#5",CargaPorProfesor,4,0),""))</f>
        <v/>
      </c>
      <c r="D88" s="15">
        <f>IF($A$82="","",IFERROR(VLOOKUP($A$82&amp;"#5",CargaPorProfesor,5,0),""))</f>
        <v/>
      </c>
    </row>
    <row r="89" ht="22" customHeight="1">
      <c r="A89" s="14">
        <f>IF($A$82="","",IFERROR(VLOOKUP($A$82&amp;"#6",CargaPorProfesor,2,0),""))</f>
        <v/>
      </c>
      <c r="B89" s="12">
        <f>IF($A$82="","",IFERROR(VLOOKUP($A$82&amp;"#6",CargaPorProfesor,3,0),""))</f>
        <v/>
      </c>
      <c r="C89" s="12">
        <f>IF($A$82="","",IFERROR(VLOOKUP($A$82&amp;"#6",CargaPorProfesor,4,0),""))</f>
        <v/>
      </c>
      <c r="D89" s="15">
        <f>IF($A$82="","",IFERROR(VLOOKUP($A$82&amp;"#6",CargaPorProfesor,5,0),""))</f>
        <v/>
      </c>
    </row>
    <row r="90" ht="22" customHeight="1">
      <c r="A90" s="14">
        <f>IF($A$82="","",IFERROR(VLOOKUP($A$82&amp;"#7",CargaPorProfesor,2,0),""))</f>
        <v/>
      </c>
      <c r="B90" s="12">
        <f>IF($A$82="","",IFERROR(VLOOKUP($A$82&amp;"#7",CargaPorProfesor,3,0),""))</f>
        <v/>
      </c>
      <c r="C90" s="12">
        <f>IF($A$82="","",IFERROR(VLOOKUP($A$82&amp;"#7",CargaPorProfesor,4,0),""))</f>
        <v/>
      </c>
      <c r="D90" s="15">
        <f>IF($A$82="","",IFERROR(VLOOKUP($A$82&amp;"#7",CargaPorProfesor,5,0),""))</f>
        <v/>
      </c>
    </row>
    <row r="91" ht="22" customHeight="1">
      <c r="A91" s="14">
        <f>IF($A$82="","",IF(COUNTIF('Asignación'!$G$4:$G$33,$A$82)&gt;8,"(+"&amp;(COUNTIF('Asignación'!$G$4:$G$33,$A$82)-8+1)&amp;" más)",IFERROR(VLOOKUP($A$82&amp;"#8",CargaPorProfesor,2,0),"")))</f>
        <v/>
      </c>
      <c r="B91" s="12">
        <f>IF($A$82="","",IFERROR(VLOOKUP($A$82&amp;"#8",CargaPorProfesor,3,0),""))</f>
        <v/>
      </c>
      <c r="C91" s="12">
        <f>IF($A$82="","",IFERROR(VLOOKUP($A$82&amp;"#8",CargaPorProfesor,4,0),""))</f>
        <v/>
      </c>
      <c r="D91" s="15">
        <f>IF($A$82="","",IFERROR(VLOOKUP($A$82&amp;"#8",CargaPorProfesor,5,0),""))</f>
        <v/>
      </c>
    </row>
    <row r="92" ht="22" customHeight="1">
      <c r="A92" s="31" t="inlineStr">
        <is>
          <t>TOTAL</t>
        </is>
      </c>
      <c r="B92" s="22" t="n"/>
      <c r="C92" s="22" t="n"/>
      <c r="D92" s="24">
        <f>IF($A$82="","",SUMIF('Asignación'!$G$4:$G$33,$A$82,'Asignación'!$F$4:$F$33))</f>
        <v/>
      </c>
    </row>
    <row r="93" ht="22" customHeight="1"/>
    <row r="94" ht="22" customHeight="1">
      <c r="A94" s="2" t="inlineStr">
        <is>
          <t>Id</t>
        </is>
      </c>
      <c r="B94" s="3" t="inlineStr">
        <is>
          <t>Nombre</t>
        </is>
      </c>
      <c r="C94" s="3" t="inlineStr">
        <is>
          <t>Grado</t>
        </is>
      </c>
      <c r="D94" s="4" t="inlineStr">
        <is>
          <t>Tope horas</t>
        </is>
      </c>
    </row>
    <row r="95" ht="22" customHeight="1">
      <c r="A95" s="14">
        <f>IF(Profesores!A9="","",Profesores!A9)</f>
        <v/>
      </c>
      <c r="B95" s="12">
        <f>IF($A$95="","",IFERROR(VLOOKUP($A$95,ProfesoresTabla,2,0),""))</f>
        <v/>
      </c>
      <c r="C95" s="12">
        <f>IF($A$95="","",IFERROR(VLOOKUP($A$95,ProfesoresTabla,3,0),""))</f>
        <v/>
      </c>
      <c r="D95" s="15">
        <f>IF($A$95="","",IFERROR(VLOOKUP($A$95,ProfesoresTabla,4,0),""))</f>
        <v/>
      </c>
    </row>
    <row r="96" ht="22" customHeight="1">
      <c r="A96" s="28" t="inlineStr">
        <is>
          <t>Asignatura</t>
        </is>
      </c>
      <c r="B96" s="29" t="inlineStr">
        <is>
          <t>Tipo</t>
        </is>
      </c>
      <c r="C96" s="29" t="inlineStr">
        <is>
          <t>Grupo</t>
        </is>
      </c>
      <c r="D96" s="30" t="inlineStr">
        <is>
          <t>Horas</t>
        </is>
      </c>
    </row>
    <row r="97" ht="22" customHeight="1">
      <c r="A97" s="14">
        <f>IF($A$95="","",IFERROR(VLOOKUP($A$95&amp;"#1",CargaPorProfesor,2,0),""))</f>
        <v/>
      </c>
      <c r="B97" s="12">
        <f>IF($A$95="","",IFERROR(VLOOKUP($A$95&amp;"#1",CargaPorProfesor,3,0),""))</f>
        <v/>
      </c>
      <c r="C97" s="12">
        <f>IF($A$95="","",IFERROR(VLOOKUP($A$95&amp;"#1",CargaPorProfesor,4,0),""))</f>
        <v/>
      </c>
      <c r="D97" s="15">
        <f>IF($A$95="","",IFERROR(VLOOKUP($A$95&amp;"#1",CargaPorProfesor,5,0),""))</f>
        <v/>
      </c>
    </row>
    <row r="98" ht="22" customHeight="1">
      <c r="A98" s="14">
        <f>IF($A$95="","",IFERROR(VLOOKUP($A$95&amp;"#2",CargaPorProfesor,2,0),""))</f>
        <v/>
      </c>
      <c r="B98" s="12">
        <f>IF($A$95="","",IFERROR(VLOOKUP($A$95&amp;"#2",CargaPorProfesor,3,0),""))</f>
        <v/>
      </c>
      <c r="C98" s="12">
        <f>IF($A$95="","",IFERROR(VLOOKUP($A$95&amp;"#2",CargaPorProfesor,4,0),""))</f>
        <v/>
      </c>
      <c r="D98" s="15">
        <f>IF($A$95="","",IFERROR(VLOOKUP($A$95&amp;"#2",CargaPorProfesor,5,0),""))</f>
        <v/>
      </c>
    </row>
    <row r="99" ht="22" customHeight="1">
      <c r="A99" s="14">
        <f>IF($A$95="","",IFERROR(VLOOKUP($A$95&amp;"#3",CargaPorProfesor,2,0),""))</f>
        <v/>
      </c>
      <c r="B99" s="12">
        <f>IF($A$95="","",IFERROR(VLOOKUP($A$95&amp;"#3",CargaPorProfesor,3,0),""))</f>
        <v/>
      </c>
      <c r="C99" s="12">
        <f>IF($A$95="","",IFERROR(VLOOKUP($A$95&amp;"#3",CargaPorProfesor,4,0),""))</f>
        <v/>
      </c>
      <c r="D99" s="15">
        <f>IF($A$95="","",IFERROR(VLOOKUP($A$95&amp;"#3",CargaPorProfesor,5,0),""))</f>
        <v/>
      </c>
    </row>
    <row r="100" ht="22" customHeight="1">
      <c r="A100" s="14">
        <f>IF($A$95="","",IFERROR(VLOOKUP($A$95&amp;"#4",CargaPorProfesor,2,0),""))</f>
        <v/>
      </c>
      <c r="B100" s="12">
        <f>IF($A$95="","",IFERROR(VLOOKUP($A$95&amp;"#4",CargaPorProfesor,3,0),""))</f>
        <v/>
      </c>
      <c r="C100" s="12">
        <f>IF($A$95="","",IFERROR(VLOOKUP($A$95&amp;"#4",CargaPorProfesor,4,0),""))</f>
        <v/>
      </c>
      <c r="D100" s="15">
        <f>IF($A$95="","",IFERROR(VLOOKUP($A$95&amp;"#4",CargaPorProfesor,5,0),""))</f>
        <v/>
      </c>
    </row>
    <row r="101" ht="22" customHeight="1">
      <c r="A101" s="14">
        <f>IF($A$95="","",IFERROR(VLOOKUP($A$95&amp;"#5",CargaPorProfesor,2,0),""))</f>
        <v/>
      </c>
      <c r="B101" s="12">
        <f>IF($A$95="","",IFERROR(VLOOKUP($A$95&amp;"#5",CargaPorProfesor,3,0),""))</f>
        <v/>
      </c>
      <c r="C101" s="12">
        <f>IF($A$95="","",IFERROR(VLOOKUP($A$95&amp;"#5",CargaPorProfesor,4,0),""))</f>
        <v/>
      </c>
      <c r="D101" s="15">
        <f>IF($A$95="","",IFERROR(VLOOKUP($A$95&amp;"#5",CargaPorProfesor,5,0),""))</f>
        <v/>
      </c>
    </row>
    <row r="102" ht="22" customHeight="1">
      <c r="A102" s="14">
        <f>IF($A$95="","",IFERROR(VLOOKUP($A$95&amp;"#6",CargaPorProfesor,2,0),""))</f>
        <v/>
      </c>
      <c r="B102" s="12">
        <f>IF($A$95="","",IFERROR(VLOOKUP($A$95&amp;"#6",CargaPorProfesor,3,0),""))</f>
        <v/>
      </c>
      <c r="C102" s="12">
        <f>IF($A$95="","",IFERROR(VLOOKUP($A$95&amp;"#6",CargaPorProfesor,4,0),""))</f>
        <v/>
      </c>
      <c r="D102" s="15">
        <f>IF($A$95="","",IFERROR(VLOOKUP($A$95&amp;"#6",CargaPorProfesor,5,0),""))</f>
        <v/>
      </c>
    </row>
    <row r="103" ht="22" customHeight="1">
      <c r="A103" s="14">
        <f>IF($A$95="","",IFERROR(VLOOKUP($A$95&amp;"#7",CargaPorProfesor,2,0),""))</f>
        <v/>
      </c>
      <c r="B103" s="12">
        <f>IF($A$95="","",IFERROR(VLOOKUP($A$95&amp;"#7",CargaPorProfesor,3,0),""))</f>
        <v/>
      </c>
      <c r="C103" s="12">
        <f>IF($A$95="","",IFERROR(VLOOKUP($A$95&amp;"#7",CargaPorProfesor,4,0),""))</f>
        <v/>
      </c>
      <c r="D103" s="15">
        <f>IF($A$95="","",IFERROR(VLOOKUP($A$95&amp;"#7",CargaPorProfesor,5,0),""))</f>
        <v/>
      </c>
    </row>
    <row r="104" ht="22" customHeight="1">
      <c r="A104" s="14">
        <f>IF($A$95="","",IF(COUNTIF('Asignación'!$G$4:$G$33,$A$95)&gt;8,"(+"&amp;(COUNTIF('Asignación'!$G$4:$G$33,$A$95)-8+1)&amp;" más)",IFERROR(VLOOKUP($A$95&amp;"#8",CargaPorProfesor,2,0),"")))</f>
        <v/>
      </c>
      <c r="B104" s="12">
        <f>IF($A$95="","",IFERROR(VLOOKUP($A$95&amp;"#8",CargaPorProfesor,3,0),""))</f>
        <v/>
      </c>
      <c r="C104" s="12">
        <f>IF($A$95="","",IFERROR(VLOOKUP($A$95&amp;"#8",CargaPorProfesor,4,0),""))</f>
        <v/>
      </c>
      <c r="D104" s="15">
        <f>IF($A$95="","",IFERROR(VLOOKUP($A$95&amp;"#8",CargaPorProfesor,5,0),""))</f>
        <v/>
      </c>
    </row>
    <row r="105" ht="22" customHeight="1">
      <c r="A105" s="31" t="inlineStr">
        <is>
          <t>TOTAL</t>
        </is>
      </c>
      <c r="B105" s="22" t="n"/>
      <c r="C105" s="22" t="n"/>
      <c r="D105" s="24">
        <f>IF($A$95="","",SUMIF('Asignación'!$G$4:$G$33,$A$95,'Asignación'!$F$4:$F$33))</f>
        <v/>
      </c>
    </row>
    <row r="106" ht="22" customHeight="1"/>
    <row r="107" ht="22" customHeight="1">
      <c r="A107" s="2" t="inlineStr">
        <is>
          <t>Id</t>
        </is>
      </c>
      <c r="B107" s="3" t="inlineStr">
        <is>
          <t>Nombre</t>
        </is>
      </c>
      <c r="C107" s="3" t="inlineStr">
        <is>
          <t>Grado</t>
        </is>
      </c>
      <c r="D107" s="4" t="inlineStr">
        <is>
          <t>Tope horas</t>
        </is>
      </c>
    </row>
    <row r="108" ht="22" customHeight="1">
      <c r="A108" s="14">
        <f>IF(Profesores!A10="","",Profesores!A10)</f>
        <v/>
      </c>
      <c r="B108" s="12">
        <f>IF($A$108="","",IFERROR(VLOOKUP($A$108,ProfesoresTabla,2,0),""))</f>
        <v/>
      </c>
      <c r="C108" s="12">
        <f>IF($A$108="","",IFERROR(VLOOKUP($A$108,ProfesoresTabla,3,0),""))</f>
        <v/>
      </c>
      <c r="D108" s="15">
        <f>IF($A$108="","",IFERROR(VLOOKUP($A$108,ProfesoresTabla,4,0),""))</f>
        <v/>
      </c>
    </row>
    <row r="109" ht="22" customHeight="1">
      <c r="A109" s="28" t="inlineStr">
        <is>
          <t>Asignatura</t>
        </is>
      </c>
      <c r="B109" s="29" t="inlineStr">
        <is>
          <t>Tipo</t>
        </is>
      </c>
      <c r="C109" s="29" t="inlineStr">
        <is>
          <t>Grupo</t>
        </is>
      </c>
      <c r="D109" s="30" t="inlineStr">
        <is>
          <t>Horas</t>
        </is>
      </c>
    </row>
    <row r="110" ht="22" customHeight="1">
      <c r="A110" s="14">
        <f>IF($A$108="","",IFERROR(VLOOKUP($A$108&amp;"#1",CargaPorProfesor,2,0),""))</f>
        <v/>
      </c>
      <c r="B110" s="12">
        <f>IF($A$108="","",IFERROR(VLOOKUP($A$108&amp;"#1",CargaPorProfesor,3,0),""))</f>
        <v/>
      </c>
      <c r="C110" s="12">
        <f>IF($A$108="","",IFERROR(VLOOKUP($A$108&amp;"#1",CargaPorProfesor,4,0),""))</f>
        <v/>
      </c>
      <c r="D110" s="15">
        <f>IF($A$108="","",IFERROR(VLOOKUP($A$108&amp;"#1",CargaPorProfesor,5,0),""))</f>
        <v/>
      </c>
    </row>
    <row r="111" ht="22" customHeight="1">
      <c r="A111" s="14">
        <f>IF($A$108="","",IFERROR(VLOOKUP($A$108&amp;"#2",CargaPorProfesor,2,0),""))</f>
        <v/>
      </c>
      <c r="B111" s="12">
        <f>IF($A$108="","",IFERROR(VLOOKUP($A$108&amp;"#2",CargaPorProfesor,3,0),""))</f>
        <v/>
      </c>
      <c r="C111" s="12">
        <f>IF($A$108="","",IFERROR(VLOOKUP($A$108&amp;"#2",CargaPorProfesor,4,0),""))</f>
        <v/>
      </c>
      <c r="D111" s="15">
        <f>IF($A$108="","",IFERROR(VLOOKUP($A$108&amp;"#2",CargaPorProfesor,5,0),""))</f>
        <v/>
      </c>
    </row>
    <row r="112" ht="22" customHeight="1">
      <c r="A112" s="14">
        <f>IF($A$108="","",IFERROR(VLOOKUP($A$108&amp;"#3",CargaPorProfesor,2,0),""))</f>
        <v/>
      </c>
      <c r="B112" s="12">
        <f>IF($A$108="","",IFERROR(VLOOKUP($A$108&amp;"#3",CargaPorProfesor,3,0),""))</f>
        <v/>
      </c>
      <c r="C112" s="12">
        <f>IF($A$108="","",IFERROR(VLOOKUP($A$108&amp;"#3",CargaPorProfesor,4,0),""))</f>
        <v/>
      </c>
      <c r="D112" s="15">
        <f>IF($A$108="","",IFERROR(VLOOKUP($A$108&amp;"#3",CargaPorProfesor,5,0),""))</f>
        <v/>
      </c>
    </row>
    <row r="113" ht="22" customHeight="1">
      <c r="A113" s="14">
        <f>IF($A$108="","",IFERROR(VLOOKUP($A$108&amp;"#4",CargaPorProfesor,2,0),""))</f>
        <v/>
      </c>
      <c r="B113" s="12">
        <f>IF($A$108="","",IFERROR(VLOOKUP($A$108&amp;"#4",CargaPorProfesor,3,0),""))</f>
        <v/>
      </c>
      <c r="C113" s="12">
        <f>IF($A$108="","",IFERROR(VLOOKUP($A$108&amp;"#4",CargaPorProfesor,4,0),""))</f>
        <v/>
      </c>
      <c r="D113" s="15">
        <f>IF($A$108="","",IFERROR(VLOOKUP($A$108&amp;"#4",CargaPorProfesor,5,0),""))</f>
        <v/>
      </c>
    </row>
    <row r="114" ht="22" customHeight="1">
      <c r="A114" s="14">
        <f>IF($A$108="","",IFERROR(VLOOKUP($A$108&amp;"#5",CargaPorProfesor,2,0),""))</f>
        <v/>
      </c>
      <c r="B114" s="12">
        <f>IF($A$108="","",IFERROR(VLOOKUP($A$108&amp;"#5",CargaPorProfesor,3,0),""))</f>
        <v/>
      </c>
      <c r="C114" s="12">
        <f>IF($A$108="","",IFERROR(VLOOKUP($A$108&amp;"#5",CargaPorProfesor,4,0),""))</f>
        <v/>
      </c>
      <c r="D114" s="15">
        <f>IF($A$108="","",IFERROR(VLOOKUP($A$108&amp;"#5",CargaPorProfesor,5,0),""))</f>
        <v/>
      </c>
    </row>
    <row r="115" ht="22" customHeight="1">
      <c r="A115" s="14">
        <f>IF($A$108="","",IFERROR(VLOOKUP($A$108&amp;"#6",CargaPorProfesor,2,0),""))</f>
        <v/>
      </c>
      <c r="B115" s="12">
        <f>IF($A$108="","",IFERROR(VLOOKUP($A$108&amp;"#6",CargaPorProfesor,3,0),""))</f>
        <v/>
      </c>
      <c r="C115" s="12">
        <f>IF($A$108="","",IFERROR(VLOOKUP($A$108&amp;"#6",CargaPorProfesor,4,0),""))</f>
        <v/>
      </c>
      <c r="D115" s="15">
        <f>IF($A$108="","",IFERROR(VLOOKUP($A$108&amp;"#6",CargaPorProfesor,5,0),""))</f>
        <v/>
      </c>
    </row>
    <row r="116" ht="22" customHeight="1">
      <c r="A116" s="14">
        <f>IF($A$108="","",IFERROR(VLOOKUP($A$108&amp;"#7",CargaPorProfesor,2,0),""))</f>
        <v/>
      </c>
      <c r="B116" s="12">
        <f>IF($A$108="","",IFERROR(VLOOKUP($A$108&amp;"#7",CargaPorProfesor,3,0),""))</f>
        <v/>
      </c>
      <c r="C116" s="12">
        <f>IF($A$108="","",IFERROR(VLOOKUP($A$108&amp;"#7",CargaPorProfesor,4,0),""))</f>
        <v/>
      </c>
      <c r="D116" s="15">
        <f>IF($A$108="","",IFERROR(VLOOKUP($A$108&amp;"#7",CargaPorProfesor,5,0),""))</f>
        <v/>
      </c>
    </row>
    <row r="117" ht="22" customHeight="1">
      <c r="A117" s="14">
        <f>IF($A$108="","",IF(COUNTIF('Asignación'!$G$4:$G$33,$A$108)&gt;8,"(+"&amp;(COUNTIF('Asignación'!$G$4:$G$33,$A$108)-8+1)&amp;" más)",IFERROR(VLOOKUP($A$108&amp;"#8",CargaPorProfesor,2,0),"")))</f>
        <v/>
      </c>
      <c r="B117" s="12">
        <f>IF($A$108="","",IFERROR(VLOOKUP($A$108&amp;"#8",CargaPorProfesor,3,0),""))</f>
        <v/>
      </c>
      <c r="C117" s="12">
        <f>IF($A$108="","",IFERROR(VLOOKUP($A$108&amp;"#8",CargaPorProfesor,4,0),""))</f>
        <v/>
      </c>
      <c r="D117" s="15">
        <f>IF($A$108="","",IFERROR(VLOOKUP($A$108&amp;"#8",CargaPorProfesor,5,0),""))</f>
        <v/>
      </c>
    </row>
    <row r="118" ht="22" customHeight="1">
      <c r="A118" s="31" t="inlineStr">
        <is>
          <t>TOTAL</t>
        </is>
      </c>
      <c r="B118" s="22" t="n"/>
      <c r="C118" s="22" t="n"/>
      <c r="D118" s="24">
        <f>IF($A$108="","",SUMIF('Asignación'!$G$4:$G$33,$A$108,'Asignación'!$F$4:$F$33))</f>
        <v/>
      </c>
    </row>
    <row r="119" ht="22" customHeight="1"/>
    <row r="120" ht="22" customHeight="1">
      <c r="A120" s="2" t="inlineStr">
        <is>
          <t>Id</t>
        </is>
      </c>
      <c r="B120" s="3" t="inlineStr">
        <is>
          <t>Nombre</t>
        </is>
      </c>
      <c r="C120" s="3" t="inlineStr">
        <is>
          <t>Grado</t>
        </is>
      </c>
      <c r="D120" s="4" t="inlineStr">
        <is>
          <t>Tope horas</t>
        </is>
      </c>
    </row>
    <row r="121" ht="22" customHeight="1">
      <c r="A121" s="14">
        <f>IF(Profesores!A11="","",Profesores!A11)</f>
        <v/>
      </c>
      <c r="B121" s="12">
        <f>IF($A$121="","",IFERROR(VLOOKUP($A$121,ProfesoresTabla,2,0),""))</f>
        <v/>
      </c>
      <c r="C121" s="12">
        <f>IF($A$121="","",IFERROR(VLOOKUP($A$121,ProfesoresTabla,3,0),""))</f>
        <v/>
      </c>
      <c r="D121" s="15">
        <f>IF($A$121="","",IFERROR(VLOOKUP($A$121,ProfesoresTabla,4,0),""))</f>
        <v/>
      </c>
    </row>
    <row r="122" ht="22" customHeight="1">
      <c r="A122" s="28" t="inlineStr">
        <is>
          <t>Asignatura</t>
        </is>
      </c>
      <c r="B122" s="29" t="inlineStr">
        <is>
          <t>Tipo</t>
        </is>
      </c>
      <c r="C122" s="29" t="inlineStr">
        <is>
          <t>Grupo</t>
        </is>
      </c>
      <c r="D122" s="30" t="inlineStr">
        <is>
          <t>Horas</t>
        </is>
      </c>
    </row>
    <row r="123" ht="22" customHeight="1">
      <c r="A123" s="14">
        <f>IF($A$121="","",IFERROR(VLOOKUP($A$121&amp;"#1",CargaPorProfesor,2,0),""))</f>
        <v/>
      </c>
      <c r="B123" s="12">
        <f>IF($A$121="","",IFERROR(VLOOKUP($A$121&amp;"#1",CargaPorProfesor,3,0),""))</f>
        <v/>
      </c>
      <c r="C123" s="12">
        <f>IF($A$121="","",IFERROR(VLOOKUP($A$121&amp;"#1",CargaPorProfesor,4,0),""))</f>
        <v/>
      </c>
      <c r="D123" s="15">
        <f>IF($A$121="","",IFERROR(VLOOKUP($A$121&amp;"#1",CargaPorProfesor,5,0),""))</f>
        <v/>
      </c>
    </row>
    <row r="124" ht="22" customHeight="1">
      <c r="A124" s="14">
        <f>IF($A$121="","",IFERROR(VLOOKUP($A$121&amp;"#2",CargaPorProfesor,2,0),""))</f>
        <v/>
      </c>
      <c r="B124" s="12">
        <f>IF($A$121="","",IFERROR(VLOOKUP($A$121&amp;"#2",CargaPorProfesor,3,0),""))</f>
        <v/>
      </c>
      <c r="C124" s="12">
        <f>IF($A$121="","",IFERROR(VLOOKUP($A$121&amp;"#2",CargaPorProfesor,4,0),""))</f>
        <v/>
      </c>
      <c r="D124" s="15">
        <f>IF($A$121="","",IFERROR(VLOOKUP($A$121&amp;"#2",CargaPorProfesor,5,0),""))</f>
        <v/>
      </c>
    </row>
    <row r="125" ht="22" customHeight="1">
      <c r="A125" s="14">
        <f>IF($A$121="","",IFERROR(VLOOKUP($A$121&amp;"#3",CargaPorProfesor,2,0),""))</f>
        <v/>
      </c>
      <c r="B125" s="12">
        <f>IF($A$121="","",IFERROR(VLOOKUP($A$121&amp;"#3",CargaPorProfesor,3,0),""))</f>
        <v/>
      </c>
      <c r="C125" s="12">
        <f>IF($A$121="","",IFERROR(VLOOKUP($A$121&amp;"#3",CargaPorProfesor,4,0),""))</f>
        <v/>
      </c>
      <c r="D125" s="15">
        <f>IF($A$121="","",IFERROR(VLOOKUP($A$121&amp;"#3",CargaPorProfesor,5,0),""))</f>
        <v/>
      </c>
    </row>
    <row r="126" ht="22" customHeight="1">
      <c r="A126" s="14">
        <f>IF($A$121="","",IFERROR(VLOOKUP($A$121&amp;"#4",CargaPorProfesor,2,0),""))</f>
        <v/>
      </c>
      <c r="B126" s="12">
        <f>IF($A$121="","",IFERROR(VLOOKUP($A$121&amp;"#4",CargaPorProfesor,3,0),""))</f>
        <v/>
      </c>
      <c r="C126" s="12">
        <f>IF($A$121="","",IFERROR(VLOOKUP($A$121&amp;"#4",CargaPorProfesor,4,0),""))</f>
        <v/>
      </c>
      <c r="D126" s="15">
        <f>IF($A$121="","",IFERROR(VLOOKUP($A$121&amp;"#4",CargaPorProfesor,5,0),""))</f>
        <v/>
      </c>
    </row>
    <row r="127" ht="22" customHeight="1">
      <c r="A127" s="14">
        <f>IF($A$121="","",IFERROR(VLOOKUP($A$121&amp;"#5",CargaPorProfesor,2,0),""))</f>
        <v/>
      </c>
      <c r="B127" s="12">
        <f>IF($A$121="","",IFERROR(VLOOKUP($A$121&amp;"#5",CargaPorProfesor,3,0),""))</f>
        <v/>
      </c>
      <c r="C127" s="12">
        <f>IF($A$121="","",IFERROR(VLOOKUP($A$121&amp;"#5",CargaPorProfesor,4,0),""))</f>
        <v/>
      </c>
      <c r="D127" s="15">
        <f>IF($A$121="","",IFERROR(VLOOKUP($A$121&amp;"#5",CargaPorProfesor,5,0),""))</f>
        <v/>
      </c>
    </row>
    <row r="128" ht="22" customHeight="1">
      <c r="A128" s="14">
        <f>IF($A$121="","",IFERROR(VLOOKUP($A$121&amp;"#6",CargaPorProfesor,2,0),""))</f>
        <v/>
      </c>
      <c r="B128" s="12">
        <f>IF($A$121="","",IFERROR(VLOOKUP($A$121&amp;"#6",CargaPorProfesor,3,0),""))</f>
        <v/>
      </c>
      <c r="C128" s="12">
        <f>IF($A$121="","",IFERROR(VLOOKUP($A$121&amp;"#6",CargaPorProfesor,4,0),""))</f>
        <v/>
      </c>
      <c r="D128" s="15">
        <f>IF($A$121="","",IFERROR(VLOOKUP($A$121&amp;"#6",CargaPorProfesor,5,0),""))</f>
        <v/>
      </c>
    </row>
    <row r="129" ht="22" customHeight="1">
      <c r="A129" s="14">
        <f>IF($A$121="","",IFERROR(VLOOKUP($A$121&amp;"#7",CargaPorProfesor,2,0),""))</f>
        <v/>
      </c>
      <c r="B129" s="12">
        <f>IF($A$121="","",IFERROR(VLOOKUP($A$121&amp;"#7",CargaPorProfesor,3,0),""))</f>
        <v/>
      </c>
      <c r="C129" s="12">
        <f>IF($A$121="","",IFERROR(VLOOKUP($A$121&amp;"#7",CargaPorProfesor,4,0),""))</f>
        <v/>
      </c>
      <c r="D129" s="15">
        <f>IF($A$121="","",IFERROR(VLOOKUP($A$121&amp;"#7",CargaPorProfesor,5,0),""))</f>
        <v/>
      </c>
    </row>
    <row r="130" ht="22" customHeight="1">
      <c r="A130" s="14">
        <f>IF($A$121="","",IF(COUNTIF('Asignación'!$G$4:$G$33,$A$121)&gt;8,"(+"&amp;(COUNTIF('Asignación'!$G$4:$G$33,$A$121)-8+1)&amp;" más)",IFERROR(VLOOKUP($A$121&amp;"#8",CargaPorProfesor,2,0),"")))</f>
        <v/>
      </c>
      <c r="B130" s="12">
        <f>IF($A$121="","",IFERROR(VLOOKUP($A$121&amp;"#8",CargaPorProfesor,3,0),""))</f>
        <v/>
      </c>
      <c r="C130" s="12">
        <f>IF($A$121="","",IFERROR(VLOOKUP($A$121&amp;"#8",CargaPorProfesor,4,0),""))</f>
        <v/>
      </c>
      <c r="D130" s="15">
        <f>IF($A$121="","",IFERROR(VLOOKUP($A$121&amp;"#8",CargaPorProfesor,5,0),""))</f>
        <v/>
      </c>
    </row>
    <row r="131" ht="22" customHeight="1">
      <c r="A131" s="31" t="inlineStr">
        <is>
          <t>TOTAL</t>
        </is>
      </c>
      <c r="B131" s="22" t="n"/>
      <c r="C131" s="22" t="n"/>
      <c r="D131" s="24">
        <f>IF($A$121="","",SUMIF('Asignación'!$G$4:$G$33,$A$121,'Asignación'!$F$4:$F$33))</f>
        <v/>
      </c>
    </row>
    <row r="132"/>
    <row r="133">
      <c r="A133" s="27" t="n"/>
      <c r="B133" t="inlineStr">
        <is>
          <t>Profesor por encima de su tope de horas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14:D14">
    <cfRule type="expression" priority="1" dxfId="2">
      <formula>AND($D$4&lt;&gt;"",$D$14&gt;$D$4)</formula>
    </cfRule>
  </conditionalFormatting>
  <conditionalFormatting sqref="A27:D27">
    <cfRule type="expression" priority="2" dxfId="2">
      <formula>AND($D$17&lt;&gt;"",$D$27&gt;$D$17)</formula>
    </cfRule>
  </conditionalFormatting>
  <conditionalFormatting sqref="A40:D40">
    <cfRule type="expression" priority="3" dxfId="2">
      <formula>AND($D$30&lt;&gt;"",$D$40&gt;$D$30)</formula>
    </cfRule>
  </conditionalFormatting>
  <conditionalFormatting sqref="A53:D53">
    <cfRule type="expression" priority="4" dxfId="2">
      <formula>AND($D$43&lt;&gt;"",$D$53&gt;$D$43)</formula>
    </cfRule>
  </conditionalFormatting>
  <conditionalFormatting sqref="A66:D66">
    <cfRule type="expression" priority="5" dxfId="2">
      <formula>AND($D$56&lt;&gt;"",$D$66&gt;$D$56)</formula>
    </cfRule>
  </conditionalFormatting>
  <conditionalFormatting sqref="A79:D79">
    <cfRule type="expression" priority="6" dxfId="2">
      <formula>AND($D$69&lt;&gt;"",$D$79&gt;$D$69)</formula>
    </cfRule>
  </conditionalFormatting>
  <conditionalFormatting sqref="A92:D92">
    <cfRule type="expression" priority="7" dxfId="2">
      <formula>AND($D$82&lt;&gt;"",$D$92&gt;$D$82)</formula>
    </cfRule>
  </conditionalFormatting>
  <conditionalFormatting sqref="A105:D105">
    <cfRule type="expression" priority="8" dxfId="2">
      <formula>AND($D$95&lt;&gt;"",$D$105&gt;$D$95)</formula>
    </cfRule>
  </conditionalFormatting>
  <conditionalFormatting sqref="A118:D118">
    <cfRule type="expression" priority="9" dxfId="2">
      <formula>AND($D$108&lt;&gt;"",$D$118&gt;$D$108)</formula>
    </cfRule>
  </conditionalFormatting>
  <conditionalFormatting sqref="A131:D131">
    <cfRule type="expression" priority="10" dxfId="2">
      <formula>AND($D$121&lt;&gt;"",$D$131&gt;$D$121)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0BEC5"/>
    <outlinePr summaryBelow="1" summaryRight="1"/>
    <pageSetUpPr/>
  </sheetPr>
  <dimension ref="A1:I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9" customWidth="1" min="3" max="3"/>
    <col width="22" customWidth="1" min="4" max="4"/>
    <col width="18" customWidth="1" min="5" max="5"/>
    <col width="18" customWidth="1" min="6" max="6"/>
    <col width="19" customWidth="1" min="7" max="7"/>
    <col width="22" customWidth="1" min="8" max="8"/>
    <col width="29" customWidth="1" min="9" max="9"/>
  </cols>
  <sheetData>
    <row r="1">
      <c r="A1" s="11" t="inlineStr">
        <is>
          <t>Cobertura por asignatura — Matemática Aplicada — 2026-2027 / 1</t>
        </is>
      </c>
    </row>
    <row r="2" ht="22" customHeight="1">
      <c r="A2" s="2" t="inlineStr">
        <is>
          <t>Id</t>
        </is>
      </c>
      <c r="B2" s="3" t="inlineStr">
        <is>
          <t>Asignatura</t>
        </is>
      </c>
      <c r="C2" s="3" t="inlineStr">
        <is>
          <t>Carrera</t>
        </is>
      </c>
      <c r="D2" s="3" t="inlineStr">
        <is>
          <t>Horas planificadas</t>
        </is>
      </c>
      <c r="E2" s="3" t="inlineStr">
        <is>
          <t>Filas de carga</t>
        </is>
      </c>
      <c r="F2" s="3" t="inlineStr">
        <is>
          <t>Horas en filas</t>
        </is>
      </c>
      <c r="G2" s="3" t="inlineStr">
        <is>
          <t>Horas asignadas</t>
        </is>
      </c>
      <c r="H2" s="3" t="inlineStr">
        <is>
          <t>Filas sin profesor</t>
        </is>
      </c>
      <c r="I2" s="4" t="inlineStr">
        <is>
          <t>Estado</t>
        </is>
      </c>
    </row>
    <row r="3" ht="22" customHeight="1">
      <c r="A3" s="14">
        <f>IF(Asignaturas!A2="","",Asignaturas!A2)</f>
        <v/>
      </c>
      <c r="B3" s="12">
        <f>IF(Asignaturas!A2="","",Asignaturas!B2)</f>
        <v/>
      </c>
      <c r="C3" s="12">
        <f>IF(Asignaturas!A2="","",Asignaturas!C2)</f>
        <v/>
      </c>
      <c r="D3" s="13">
        <f>IF(Asignaturas!A2="","",Asignaturas!G2)</f>
        <v/>
      </c>
      <c r="E3" s="13">
        <f>IF($A3="","",COUNTIF('Asignación'!$A$4:$A$33,$A3))</f>
        <v/>
      </c>
      <c r="F3" s="13">
        <f>IF($A3="","",SUMIF('Asignación'!$A$4:$A$33,$A3,'Asignación'!$F$4:$F$33))</f>
        <v/>
      </c>
      <c r="G3" s="13">
        <f>IF($A3="","",SUMIFS('Asignación'!$F$4:$F$33,'Asignación'!$A$4:$A$33,$A3,'Asignación'!$G$4:$G$33,"&lt;&gt;"))</f>
        <v/>
      </c>
      <c r="H3" s="13">
        <f>IF($A3="","",COUNTIFS('Asignación'!$A$4:$A$33,$A3,'Asignación'!$G$4:$G$33,""))</f>
        <v/>
      </c>
      <c r="I3" s="7">
        <f>IF($A3="","",IF($E3=0,"Sin filas de carga",IF($F3&lt;$D3,IF($D3-$F3=1,"Falta 1 hora de carga","Faltan "&amp;($D3-$F3)&amp;" horas de carga"),IF($H3&gt;0,IF($H3=1,"Falta 1 profesor","Faltan "&amp;$H3&amp;" profesores"),"Completa"))))</f>
        <v/>
      </c>
    </row>
    <row r="4" ht="22" customHeight="1">
      <c r="A4" s="14">
        <f>IF(Asignaturas!A3="","",Asignaturas!A3)</f>
        <v/>
      </c>
      <c r="B4" s="12">
        <f>IF(Asignaturas!A3="","",Asignaturas!B3)</f>
        <v/>
      </c>
      <c r="C4" s="12">
        <f>IF(Asignaturas!A3="","",Asignaturas!C3)</f>
        <v/>
      </c>
      <c r="D4" s="13">
        <f>IF(Asignaturas!A3="","",Asignaturas!G3)</f>
        <v/>
      </c>
      <c r="E4" s="13">
        <f>IF($A4="","",COUNTIF('Asignación'!$A$4:$A$33,$A4))</f>
        <v/>
      </c>
      <c r="F4" s="13">
        <f>IF($A4="","",SUMIF('Asignación'!$A$4:$A$33,$A4,'Asignación'!$F$4:$F$33))</f>
        <v/>
      </c>
      <c r="G4" s="13">
        <f>IF($A4="","",SUMIFS('Asignación'!$F$4:$F$33,'Asignación'!$A$4:$A$33,$A4,'Asignación'!$G$4:$G$33,"&lt;&gt;"))</f>
        <v/>
      </c>
      <c r="H4" s="13">
        <f>IF($A4="","",COUNTIFS('Asignación'!$A$4:$A$33,$A4,'Asignación'!$G$4:$G$33,""))</f>
        <v/>
      </c>
      <c r="I4" s="7">
        <f>IF($A4="","",IF($E4=0,"Sin filas de carga",IF($F4&lt;$D4,IF($D4-$F4=1,"Falta 1 hora de carga","Faltan "&amp;($D4-$F4)&amp;" horas de carga"),IF($H4&gt;0,IF($H4=1,"Falta 1 profesor","Faltan "&amp;$H4&amp;" profesores"),"Completa"))))</f>
        <v/>
      </c>
    </row>
    <row r="5" ht="22" customHeight="1">
      <c r="A5" s="14">
        <f>IF(Asignaturas!A4="","",Asignaturas!A4)</f>
        <v/>
      </c>
      <c r="B5" s="12">
        <f>IF(Asignaturas!A4="","",Asignaturas!B4)</f>
        <v/>
      </c>
      <c r="C5" s="12">
        <f>IF(Asignaturas!A4="","",Asignaturas!C4)</f>
        <v/>
      </c>
      <c r="D5" s="13">
        <f>IF(Asignaturas!A4="","",Asignaturas!G4)</f>
        <v/>
      </c>
      <c r="E5" s="13">
        <f>IF($A5="","",COUNTIF('Asignación'!$A$4:$A$33,$A5))</f>
        <v/>
      </c>
      <c r="F5" s="13">
        <f>IF($A5="","",SUMIF('Asignación'!$A$4:$A$33,$A5,'Asignación'!$F$4:$F$33))</f>
        <v/>
      </c>
      <c r="G5" s="13">
        <f>IF($A5="","",SUMIFS('Asignación'!$F$4:$F$33,'Asignación'!$A$4:$A$33,$A5,'Asignación'!$G$4:$G$33,"&lt;&gt;"))</f>
        <v/>
      </c>
      <c r="H5" s="13">
        <f>IF($A5="","",COUNTIFS('Asignación'!$A$4:$A$33,$A5,'Asignación'!$G$4:$G$33,""))</f>
        <v/>
      </c>
      <c r="I5" s="7">
        <f>IF($A5="","",IF($E5=0,"Sin filas de carga",IF($F5&lt;$D5,IF($D5-$F5=1,"Falta 1 hora de carga","Faltan "&amp;($D5-$F5)&amp;" horas de carga"),IF($H5&gt;0,IF($H5=1,"Falta 1 profesor","Faltan "&amp;$H5&amp;" profesores"),"Completa"))))</f>
        <v/>
      </c>
    </row>
    <row r="6" ht="22" customHeight="1">
      <c r="A6" s="14">
        <f>IF(Asignaturas!A5="","",Asignaturas!A5)</f>
        <v/>
      </c>
      <c r="B6" s="12">
        <f>IF(Asignaturas!A5="","",Asignaturas!B5)</f>
        <v/>
      </c>
      <c r="C6" s="12">
        <f>IF(Asignaturas!A5="","",Asignaturas!C5)</f>
        <v/>
      </c>
      <c r="D6" s="13">
        <f>IF(Asignaturas!A5="","",Asignaturas!G5)</f>
        <v/>
      </c>
      <c r="E6" s="13">
        <f>IF($A6="","",COUNTIF('Asignación'!$A$4:$A$33,$A6))</f>
        <v/>
      </c>
      <c r="F6" s="13">
        <f>IF($A6="","",SUMIF('Asignación'!$A$4:$A$33,$A6,'Asignación'!$F$4:$F$33))</f>
        <v/>
      </c>
      <c r="G6" s="13">
        <f>IF($A6="","",SUMIFS('Asignación'!$F$4:$F$33,'Asignación'!$A$4:$A$33,$A6,'Asignación'!$G$4:$G$33,"&lt;&gt;"))</f>
        <v/>
      </c>
      <c r="H6" s="13">
        <f>IF($A6="","",COUNTIFS('Asignación'!$A$4:$A$33,$A6,'Asignación'!$G$4:$G$33,""))</f>
        <v/>
      </c>
      <c r="I6" s="7">
        <f>IF($A6="","",IF($E6=0,"Sin filas de carga",IF($F6&lt;$D6,IF($D6-$F6=1,"Falta 1 hora de carga","Faltan "&amp;($D6-$F6)&amp;" horas de carga"),IF($H6&gt;0,IF($H6=1,"Falta 1 profesor","Faltan "&amp;$H6&amp;" profesores"),"Completa"))))</f>
        <v/>
      </c>
    </row>
    <row r="7" ht="22" customHeight="1">
      <c r="A7" s="14">
        <f>IF(Asignaturas!A6="","",Asignaturas!A6)</f>
        <v/>
      </c>
      <c r="B7" s="12">
        <f>IF(Asignaturas!A6="","",Asignaturas!B6)</f>
        <v/>
      </c>
      <c r="C7" s="12">
        <f>IF(Asignaturas!A6="","",Asignaturas!C6)</f>
        <v/>
      </c>
      <c r="D7" s="13">
        <f>IF(Asignaturas!A6="","",Asignaturas!G6)</f>
        <v/>
      </c>
      <c r="E7" s="13">
        <f>IF($A7="","",COUNTIF('Asignación'!$A$4:$A$33,$A7))</f>
        <v/>
      </c>
      <c r="F7" s="13">
        <f>IF($A7="","",SUMIF('Asignación'!$A$4:$A$33,$A7,'Asignación'!$F$4:$F$33))</f>
        <v/>
      </c>
      <c r="G7" s="13">
        <f>IF($A7="","",SUMIFS('Asignación'!$F$4:$F$33,'Asignación'!$A$4:$A$33,$A7,'Asignación'!$G$4:$G$33,"&lt;&gt;"))</f>
        <v/>
      </c>
      <c r="H7" s="13">
        <f>IF($A7="","",COUNTIFS('Asignación'!$A$4:$A$33,$A7,'Asignación'!$G$4:$G$33,""))</f>
        <v/>
      </c>
      <c r="I7" s="7">
        <f>IF($A7="","",IF($E7=0,"Sin filas de carga",IF($F7&lt;$D7,IF($D7-$F7=1,"Falta 1 hora de carga","Faltan "&amp;($D7-$F7)&amp;" horas de carga"),IF($H7&gt;0,IF($H7=1,"Falta 1 profesor","Faltan "&amp;$H7&amp;" profesores"),"Completa"))))</f>
        <v/>
      </c>
    </row>
    <row r="8" ht="22" customHeight="1">
      <c r="A8" s="14">
        <f>IF(Asignaturas!A7="","",Asignaturas!A7)</f>
        <v/>
      </c>
      <c r="B8" s="12">
        <f>IF(Asignaturas!A7="","",Asignaturas!B7)</f>
        <v/>
      </c>
      <c r="C8" s="12">
        <f>IF(Asignaturas!A7="","",Asignaturas!C7)</f>
        <v/>
      </c>
      <c r="D8" s="13">
        <f>IF(Asignaturas!A7="","",Asignaturas!G7)</f>
        <v/>
      </c>
      <c r="E8" s="13">
        <f>IF($A8="","",COUNTIF('Asignación'!$A$4:$A$33,$A8))</f>
        <v/>
      </c>
      <c r="F8" s="13">
        <f>IF($A8="","",SUMIF('Asignación'!$A$4:$A$33,$A8,'Asignación'!$F$4:$F$33))</f>
        <v/>
      </c>
      <c r="G8" s="13">
        <f>IF($A8="","",SUMIFS('Asignación'!$F$4:$F$33,'Asignación'!$A$4:$A$33,$A8,'Asignación'!$G$4:$G$33,"&lt;&gt;"))</f>
        <v/>
      </c>
      <c r="H8" s="13">
        <f>IF($A8="","",COUNTIFS('Asignación'!$A$4:$A$33,$A8,'Asignación'!$G$4:$G$33,""))</f>
        <v/>
      </c>
      <c r="I8" s="7">
        <f>IF($A8="","",IF($E8=0,"Sin filas de carga",IF($F8&lt;$D8,IF($D8-$F8=1,"Falta 1 hora de carga","Faltan "&amp;($D8-$F8)&amp;" horas de carga"),IF($H8&gt;0,IF($H8=1,"Falta 1 profesor","Faltan "&amp;$H8&amp;" profesores"),"Completa"))))</f>
        <v/>
      </c>
    </row>
    <row r="9" ht="22" customHeight="1">
      <c r="A9" s="14">
        <f>IF(Asignaturas!A8="","",Asignaturas!A8)</f>
        <v/>
      </c>
      <c r="B9" s="12">
        <f>IF(Asignaturas!A8="","",Asignaturas!B8)</f>
        <v/>
      </c>
      <c r="C9" s="12">
        <f>IF(Asignaturas!A8="","",Asignaturas!C8)</f>
        <v/>
      </c>
      <c r="D9" s="13">
        <f>IF(Asignaturas!A8="","",Asignaturas!G8)</f>
        <v/>
      </c>
      <c r="E9" s="13">
        <f>IF($A9="","",COUNTIF('Asignación'!$A$4:$A$33,$A9))</f>
        <v/>
      </c>
      <c r="F9" s="13">
        <f>IF($A9="","",SUMIF('Asignación'!$A$4:$A$33,$A9,'Asignación'!$F$4:$F$33))</f>
        <v/>
      </c>
      <c r="G9" s="13">
        <f>IF($A9="","",SUMIFS('Asignación'!$F$4:$F$33,'Asignación'!$A$4:$A$33,$A9,'Asignación'!$G$4:$G$33,"&lt;&gt;"))</f>
        <v/>
      </c>
      <c r="H9" s="13">
        <f>IF($A9="","",COUNTIFS('Asignación'!$A$4:$A$33,$A9,'Asignación'!$G$4:$G$33,""))</f>
        <v/>
      </c>
      <c r="I9" s="7">
        <f>IF($A9="","",IF($E9=0,"Sin filas de carga",IF($F9&lt;$D9,IF($D9-$F9=1,"Falta 1 hora de carga","Faltan "&amp;($D9-$F9)&amp;" horas de carga"),IF($H9&gt;0,IF($H9=1,"Falta 1 profesor","Faltan "&amp;$H9&amp;" profesores"),"Completa"))))</f>
        <v/>
      </c>
    </row>
    <row r="10" ht="22" customHeight="1">
      <c r="A10" s="14">
        <f>IF(Asignaturas!A9="","",Asignaturas!A9)</f>
        <v/>
      </c>
      <c r="B10" s="12">
        <f>IF(Asignaturas!A9="","",Asignaturas!B9)</f>
        <v/>
      </c>
      <c r="C10" s="12">
        <f>IF(Asignaturas!A9="","",Asignaturas!C9)</f>
        <v/>
      </c>
      <c r="D10" s="13">
        <f>IF(Asignaturas!A9="","",Asignaturas!G9)</f>
        <v/>
      </c>
      <c r="E10" s="13">
        <f>IF($A10="","",COUNTIF('Asignación'!$A$4:$A$33,$A10))</f>
        <v/>
      </c>
      <c r="F10" s="13">
        <f>IF($A10="","",SUMIF('Asignación'!$A$4:$A$33,$A10,'Asignación'!$F$4:$F$33))</f>
        <v/>
      </c>
      <c r="G10" s="13">
        <f>IF($A10="","",SUMIFS('Asignación'!$F$4:$F$33,'Asignación'!$A$4:$A$33,$A10,'Asignación'!$G$4:$G$33,"&lt;&gt;"))</f>
        <v/>
      </c>
      <c r="H10" s="13">
        <f>IF($A10="","",COUNTIFS('Asignación'!$A$4:$A$33,$A10,'Asignación'!$G$4:$G$33,""))</f>
        <v/>
      </c>
      <c r="I10" s="7">
        <f>IF($A10="","",IF($E10=0,"Sin filas de carga",IF($F10&lt;$D10,IF($D10-$F10=1,"Falta 1 hora de carga","Faltan "&amp;($D10-$F10)&amp;" horas de carga"),IF($H10&gt;0,IF($H10=1,"Falta 1 profesor","Faltan "&amp;$H10&amp;" profesores"),"Completa"))))</f>
        <v/>
      </c>
    </row>
    <row r="11" ht="22" customHeight="1">
      <c r="A11" s="14">
        <f>IF(Asignaturas!A10="","",Asignaturas!A10)</f>
        <v/>
      </c>
      <c r="B11" s="12">
        <f>IF(Asignaturas!A10="","",Asignaturas!B10)</f>
        <v/>
      </c>
      <c r="C11" s="12">
        <f>IF(Asignaturas!A10="","",Asignaturas!C10)</f>
        <v/>
      </c>
      <c r="D11" s="13">
        <f>IF(Asignaturas!A10="","",Asignaturas!G10)</f>
        <v/>
      </c>
      <c r="E11" s="13">
        <f>IF($A11="","",COUNTIF('Asignación'!$A$4:$A$33,$A11))</f>
        <v/>
      </c>
      <c r="F11" s="13">
        <f>IF($A11="","",SUMIF('Asignación'!$A$4:$A$33,$A11,'Asignación'!$F$4:$F$33))</f>
        <v/>
      </c>
      <c r="G11" s="13">
        <f>IF($A11="","",SUMIFS('Asignación'!$F$4:$F$33,'Asignación'!$A$4:$A$33,$A11,'Asignación'!$G$4:$G$33,"&lt;&gt;"))</f>
        <v/>
      </c>
      <c r="H11" s="13">
        <f>IF($A11="","",COUNTIFS('Asignación'!$A$4:$A$33,$A11,'Asignación'!$G$4:$G$33,""))</f>
        <v/>
      </c>
      <c r="I11" s="7">
        <f>IF($A11="","",IF($E11=0,"Sin filas de carga",IF($F11&lt;$D11,IF($D11-$F11=1,"Falta 1 hora de carga","Faltan "&amp;($D11-$F11)&amp;" horas de carga"),IF($H11&gt;0,IF($H11=1,"Falta 1 profesor","Faltan "&amp;$H11&amp;" profesores"),"Completa"))))</f>
        <v/>
      </c>
    </row>
    <row r="12" ht="22" customHeight="1">
      <c r="A12" s="14">
        <f>IF(Asignaturas!A11="","",Asignaturas!A11)</f>
        <v/>
      </c>
      <c r="B12" s="12">
        <f>IF(Asignaturas!A11="","",Asignaturas!B11)</f>
        <v/>
      </c>
      <c r="C12" s="12">
        <f>IF(Asignaturas!A11="","",Asignaturas!C11)</f>
        <v/>
      </c>
      <c r="D12" s="13">
        <f>IF(Asignaturas!A11="","",Asignaturas!G11)</f>
        <v/>
      </c>
      <c r="E12" s="13">
        <f>IF($A12="","",COUNTIF('Asignación'!$A$4:$A$33,$A12))</f>
        <v/>
      </c>
      <c r="F12" s="13">
        <f>IF($A12="","",SUMIF('Asignación'!$A$4:$A$33,$A12,'Asignación'!$F$4:$F$33))</f>
        <v/>
      </c>
      <c r="G12" s="13">
        <f>IF($A12="","",SUMIFS('Asignación'!$F$4:$F$33,'Asignación'!$A$4:$A$33,$A12,'Asignación'!$G$4:$G$33,"&lt;&gt;"))</f>
        <v/>
      </c>
      <c r="H12" s="13">
        <f>IF($A12="","",COUNTIFS('Asignación'!$A$4:$A$33,$A12,'Asignación'!$G$4:$G$33,""))</f>
        <v/>
      </c>
      <c r="I12" s="7">
        <f>IF($A12="","",IF($E12=0,"Sin filas de carga",IF($F12&lt;$D12,IF($D12-$F12=1,"Falta 1 hora de carga","Faltan "&amp;($D12-$F12)&amp;" horas de carga"),IF($H12&gt;0,IF($H12=1,"Falta 1 profesor","Faltan "&amp;$H12&amp;" profesores"),"Completa"))))</f>
        <v/>
      </c>
    </row>
    <row r="13" ht="22" customHeight="1">
      <c r="A13" s="14">
        <f>IF(Asignaturas!A12="","",Asignaturas!A12)</f>
        <v/>
      </c>
      <c r="B13" s="12">
        <f>IF(Asignaturas!A12="","",Asignaturas!B12)</f>
        <v/>
      </c>
      <c r="C13" s="12">
        <f>IF(Asignaturas!A12="","",Asignaturas!C12)</f>
        <v/>
      </c>
      <c r="D13" s="13">
        <f>IF(Asignaturas!A12="","",Asignaturas!G12)</f>
        <v/>
      </c>
      <c r="E13" s="13">
        <f>IF($A13="","",COUNTIF('Asignación'!$A$4:$A$33,$A13))</f>
        <v/>
      </c>
      <c r="F13" s="13">
        <f>IF($A13="","",SUMIF('Asignación'!$A$4:$A$33,$A13,'Asignación'!$F$4:$F$33))</f>
        <v/>
      </c>
      <c r="G13" s="13">
        <f>IF($A13="","",SUMIFS('Asignación'!$F$4:$F$33,'Asignación'!$A$4:$A$33,$A13,'Asignación'!$G$4:$G$33,"&lt;&gt;"))</f>
        <v/>
      </c>
      <c r="H13" s="13">
        <f>IF($A13="","",COUNTIFS('Asignación'!$A$4:$A$33,$A13,'Asignación'!$G$4:$G$33,""))</f>
        <v/>
      </c>
      <c r="I13" s="7">
        <f>IF($A13="","",IF($E13=0,"Sin filas de carga",IF($F13&lt;$D13,IF($D13-$F13=1,"Falta 1 hora de carga","Faltan "&amp;($D13-$F13)&amp;" horas de carga"),IF($H13&gt;0,IF($H13=1,"Falta 1 profesor","Faltan "&amp;$H13&amp;" profesores"),"Completa"))))</f>
        <v/>
      </c>
    </row>
    <row r="14" ht="22" customHeight="1">
      <c r="A14" s="14">
        <f>IF(Asignaturas!A13="","",Asignaturas!A13)</f>
        <v/>
      </c>
      <c r="B14" s="12">
        <f>IF(Asignaturas!A13="","",Asignaturas!B13)</f>
        <v/>
      </c>
      <c r="C14" s="12">
        <f>IF(Asignaturas!A13="","",Asignaturas!C13)</f>
        <v/>
      </c>
      <c r="D14" s="13">
        <f>IF(Asignaturas!A13="","",Asignaturas!G13)</f>
        <v/>
      </c>
      <c r="E14" s="13">
        <f>IF($A14="","",COUNTIF('Asignación'!$A$4:$A$33,$A14))</f>
        <v/>
      </c>
      <c r="F14" s="13">
        <f>IF($A14="","",SUMIF('Asignación'!$A$4:$A$33,$A14,'Asignación'!$F$4:$F$33))</f>
        <v/>
      </c>
      <c r="G14" s="13">
        <f>IF($A14="","",SUMIFS('Asignación'!$F$4:$F$33,'Asignación'!$A$4:$A$33,$A14,'Asignación'!$G$4:$G$33,"&lt;&gt;"))</f>
        <v/>
      </c>
      <c r="H14" s="13">
        <f>IF($A14="","",COUNTIFS('Asignación'!$A$4:$A$33,$A14,'Asignación'!$G$4:$G$33,""))</f>
        <v/>
      </c>
      <c r="I14" s="7">
        <f>IF($A14="","",IF($E14=0,"Sin filas de carga",IF($F14&lt;$D14,IF($D14-$F14=1,"Falta 1 hora de carga","Faltan "&amp;($D14-$F14)&amp;" horas de carga"),IF($H14&gt;0,IF($H14=1,"Falta 1 profesor","Faltan "&amp;$H14&amp;" profesores"),"Completa"))))</f>
        <v/>
      </c>
    </row>
    <row r="15" ht="22" customHeight="1">
      <c r="A15" s="14">
        <f>IF(Asignaturas!A14="","",Asignaturas!A14)</f>
        <v/>
      </c>
      <c r="B15" s="12">
        <f>IF(Asignaturas!A14="","",Asignaturas!B14)</f>
        <v/>
      </c>
      <c r="C15" s="12">
        <f>IF(Asignaturas!A14="","",Asignaturas!C14)</f>
        <v/>
      </c>
      <c r="D15" s="13">
        <f>IF(Asignaturas!A14="","",Asignaturas!G14)</f>
        <v/>
      </c>
      <c r="E15" s="13">
        <f>IF($A15="","",COUNTIF('Asignación'!$A$4:$A$33,$A15))</f>
        <v/>
      </c>
      <c r="F15" s="13">
        <f>IF($A15="","",SUMIF('Asignación'!$A$4:$A$33,$A15,'Asignación'!$F$4:$F$33))</f>
        <v/>
      </c>
      <c r="G15" s="13">
        <f>IF($A15="","",SUMIFS('Asignación'!$F$4:$F$33,'Asignación'!$A$4:$A$33,$A15,'Asignación'!$G$4:$G$33,"&lt;&gt;"))</f>
        <v/>
      </c>
      <c r="H15" s="13">
        <f>IF($A15="","",COUNTIFS('Asignación'!$A$4:$A$33,$A15,'Asignación'!$G$4:$G$33,""))</f>
        <v/>
      </c>
      <c r="I15" s="7">
        <f>IF($A15="","",IF($E15=0,"Sin filas de carga",IF($F15&lt;$D15,IF($D15-$F15=1,"Falta 1 hora de carga","Faltan "&amp;($D15-$F15)&amp;" horas de carga"),IF($H15&gt;0,IF($H15=1,"Falta 1 profesor","Faltan "&amp;$H15&amp;" profesores"),"Completa"))))</f>
        <v/>
      </c>
    </row>
    <row r="16" ht="22" customHeight="1">
      <c r="A16" s="21">
        <f>IF(Asignaturas!A15="","",Asignaturas!A15)</f>
        <v/>
      </c>
      <c r="B16" s="22">
        <f>IF(Asignaturas!A15="","",Asignaturas!B15)</f>
        <v/>
      </c>
      <c r="C16" s="22">
        <f>IF(Asignaturas!A15="","",Asignaturas!C15)</f>
        <v/>
      </c>
      <c r="D16" s="23">
        <f>IF(Asignaturas!A15="","",Asignaturas!G15)</f>
        <v/>
      </c>
      <c r="E16" s="23">
        <f>IF($A16="","",COUNTIF('Asignación'!$A$4:$A$33,$A16))</f>
        <v/>
      </c>
      <c r="F16" s="23">
        <f>IF($A16="","",SUMIF('Asignación'!$A$4:$A$33,$A16,'Asignación'!$F$4:$F$33))</f>
        <v/>
      </c>
      <c r="G16" s="23">
        <f>IF($A16="","",SUMIFS('Asignación'!$F$4:$F$33,'Asignación'!$A$4:$A$33,$A16,'Asignación'!$G$4:$G$33,"&lt;&gt;"))</f>
        <v/>
      </c>
      <c r="H16" s="23">
        <f>IF($A16="","",COUNTIFS('Asignación'!$A$4:$A$33,$A16,'Asignación'!$G$4:$G$33,""))</f>
        <v/>
      </c>
      <c r="I16" s="10">
        <f>IF($A16="","",IF($E16=0,"Sin filas de carga",IF($F16&lt;$D16,IF($D16-$F16=1,"Falta 1 hora de carga","Faltan "&amp;($D16-$F16)&amp;" horas de carga"),IF($H16&gt;0,IF($H16=1,"Falta 1 profesor","Faltan "&amp;$H16&amp;" profesores"),"Completa"))))</f>
        <v/>
      </c>
    </row>
    <row r="18">
      <c r="A18" s="32" t="n"/>
      <c r="B18" t="inlineStr">
        <is>
          <t>Asignatura completa (todo creado y asignado)</t>
        </is>
      </c>
    </row>
    <row r="19">
      <c r="A19" s="33" t="n"/>
      <c r="B19" t="inlineStr">
        <is>
          <t>Asignatura incompleta (ver la columna Estado)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2:I16"/>
  <conditionalFormatting sqref="A3:I16">
    <cfRule type="expression" priority="1" dxfId="3">
      <formula>$I3="Completa"</formula>
    </cfRule>
    <cfRule type="expression" priority="2" dxfId="4">
      <formula>AND($A3&lt;&gt;"",$I3&lt;&gt;"Completa")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M30"/>
  <sheetViews>
    <sheetView workbookViewId="0">
      <selection activeCell="A1" sqref="A1"/>
    </sheetView>
  </sheetViews>
  <sheetFormatPr baseColWidth="8" defaultRowHeight="15"/>
  <sheetData>
    <row r="1">
      <c r="F1">
        <f>IF('Asignación'!$G$4="","",'Asignación'!$G$4&amp;"#"&amp;COUNTIF('Asignación'!$G$4:$G$4,'Asignación'!$G$4))</f>
        <v/>
      </c>
      <c r="G1">
        <f>'Asignación'!B4</f>
        <v/>
      </c>
      <c r="H1">
        <f>'Asignación'!D4</f>
        <v/>
      </c>
      <c r="I1">
        <f>'Asignación'!E4</f>
        <v/>
      </c>
      <c r="J1">
        <f>'Asignación'!F4</f>
        <v/>
      </c>
      <c r="L1">
        <f>IF('Asignación'!$G$4="","",'Asignación'!$G$4&amp;"|"&amp;'Asignación'!$A$4)</f>
        <v/>
      </c>
      <c r="M1">
        <f>IF(L1="",0,IF(COUNTIF($L$1:$L1,L1)=1,1,0))</f>
        <v/>
      </c>
    </row>
    <row r="2">
      <c r="F2">
        <f>IF('Asignación'!$G$5="","",'Asignación'!$G$5&amp;"#"&amp;COUNTIF('Asignación'!$G$4:$G$5,'Asignación'!$G$5))</f>
        <v/>
      </c>
      <c r="G2">
        <f>'Asignación'!B5</f>
        <v/>
      </c>
      <c r="H2">
        <f>'Asignación'!D5</f>
        <v/>
      </c>
      <c r="I2">
        <f>'Asignación'!E5</f>
        <v/>
      </c>
      <c r="J2">
        <f>'Asignación'!F5</f>
        <v/>
      </c>
      <c r="L2">
        <f>IF('Asignación'!$G$5="","",'Asignación'!$G$5&amp;"|"&amp;'Asignación'!$A$5)</f>
        <v/>
      </c>
      <c r="M2">
        <f>IF(L2="",0,IF(COUNTIF($L$1:$L2,L2)=1,1,0))</f>
        <v/>
      </c>
    </row>
    <row r="3">
      <c r="F3">
        <f>IF('Asignación'!$G$6="","",'Asignación'!$G$6&amp;"#"&amp;COUNTIF('Asignación'!$G$4:$G$6,'Asignación'!$G$6))</f>
        <v/>
      </c>
      <c r="G3">
        <f>'Asignación'!B6</f>
        <v/>
      </c>
      <c r="H3">
        <f>'Asignación'!D6</f>
        <v/>
      </c>
      <c r="I3">
        <f>'Asignación'!E6</f>
        <v/>
      </c>
      <c r="J3">
        <f>'Asignación'!F6</f>
        <v/>
      </c>
      <c r="L3">
        <f>IF('Asignación'!$G$6="","",'Asignación'!$G$6&amp;"|"&amp;'Asignación'!$A$6)</f>
        <v/>
      </c>
      <c r="M3">
        <f>IF(L3="",0,IF(COUNTIF($L$1:$L3,L3)=1,1,0))</f>
        <v/>
      </c>
    </row>
    <row r="4">
      <c r="F4">
        <f>IF('Asignación'!$G$7="","",'Asignación'!$G$7&amp;"#"&amp;COUNTIF('Asignación'!$G$4:$G$7,'Asignación'!$G$7))</f>
        <v/>
      </c>
      <c r="G4">
        <f>'Asignación'!B7</f>
        <v/>
      </c>
      <c r="H4">
        <f>'Asignación'!D7</f>
        <v/>
      </c>
      <c r="I4">
        <f>'Asignación'!E7</f>
        <v/>
      </c>
      <c r="J4">
        <f>'Asignación'!F7</f>
        <v/>
      </c>
      <c r="L4">
        <f>IF('Asignación'!$G$7="","",'Asignación'!$G$7&amp;"|"&amp;'Asignación'!$A$7)</f>
        <v/>
      </c>
      <c r="M4">
        <f>IF(L4="",0,IF(COUNTIF($L$1:$L4,L4)=1,1,0))</f>
        <v/>
      </c>
    </row>
    <row r="5">
      <c r="F5">
        <f>IF('Asignación'!$G$8="","",'Asignación'!$G$8&amp;"#"&amp;COUNTIF('Asignación'!$G$4:$G$8,'Asignación'!$G$8))</f>
        <v/>
      </c>
      <c r="G5">
        <f>'Asignación'!B8</f>
        <v/>
      </c>
      <c r="H5">
        <f>'Asignación'!D8</f>
        <v/>
      </c>
      <c r="I5">
        <f>'Asignación'!E8</f>
        <v/>
      </c>
      <c r="J5">
        <f>'Asignación'!F8</f>
        <v/>
      </c>
      <c r="L5">
        <f>IF('Asignación'!$G$8="","",'Asignación'!$G$8&amp;"|"&amp;'Asignación'!$A$8)</f>
        <v/>
      </c>
      <c r="M5">
        <f>IF(L5="",0,IF(COUNTIF($L$1:$L5,L5)=1,1,0))</f>
        <v/>
      </c>
    </row>
    <row r="6">
      <c r="F6">
        <f>IF('Asignación'!$G$9="","",'Asignación'!$G$9&amp;"#"&amp;COUNTIF('Asignación'!$G$4:$G$9,'Asignación'!$G$9))</f>
        <v/>
      </c>
      <c r="G6">
        <f>'Asignación'!B9</f>
        <v/>
      </c>
      <c r="H6">
        <f>'Asignación'!D9</f>
        <v/>
      </c>
      <c r="I6">
        <f>'Asignación'!E9</f>
        <v/>
      </c>
      <c r="J6">
        <f>'Asignación'!F9</f>
        <v/>
      </c>
      <c r="L6">
        <f>IF('Asignación'!$G$9="","",'Asignación'!$G$9&amp;"|"&amp;'Asignación'!$A$9)</f>
        <v/>
      </c>
      <c r="M6">
        <f>IF(L6="",0,IF(COUNTIF($L$1:$L6,L6)=1,1,0))</f>
        <v/>
      </c>
    </row>
    <row r="7">
      <c r="F7">
        <f>IF('Asignación'!$G$10="","",'Asignación'!$G$10&amp;"#"&amp;COUNTIF('Asignación'!$G$4:$G$10,'Asignación'!$G$10))</f>
        <v/>
      </c>
      <c r="G7">
        <f>'Asignación'!B10</f>
        <v/>
      </c>
      <c r="H7">
        <f>'Asignación'!D10</f>
        <v/>
      </c>
      <c r="I7">
        <f>'Asignación'!E10</f>
        <v/>
      </c>
      <c r="J7">
        <f>'Asignación'!F10</f>
        <v/>
      </c>
      <c r="L7">
        <f>IF('Asignación'!$G$10="","",'Asignación'!$G$10&amp;"|"&amp;'Asignación'!$A$10)</f>
        <v/>
      </c>
      <c r="M7">
        <f>IF(L7="",0,IF(COUNTIF($L$1:$L7,L7)=1,1,0))</f>
        <v/>
      </c>
    </row>
    <row r="8">
      <c r="F8">
        <f>IF('Asignación'!$G$11="","",'Asignación'!$G$11&amp;"#"&amp;COUNTIF('Asignación'!$G$4:$G$11,'Asignación'!$G$11))</f>
        <v/>
      </c>
      <c r="G8">
        <f>'Asignación'!B11</f>
        <v/>
      </c>
      <c r="H8">
        <f>'Asignación'!D11</f>
        <v/>
      </c>
      <c r="I8">
        <f>'Asignación'!E11</f>
        <v/>
      </c>
      <c r="J8">
        <f>'Asignación'!F11</f>
        <v/>
      </c>
      <c r="L8">
        <f>IF('Asignación'!$G$11="","",'Asignación'!$G$11&amp;"|"&amp;'Asignación'!$A$11)</f>
        <v/>
      </c>
      <c r="M8">
        <f>IF(L8="",0,IF(COUNTIF($L$1:$L8,L8)=1,1,0))</f>
        <v/>
      </c>
    </row>
    <row r="9">
      <c r="F9">
        <f>IF('Asignación'!$G$12="","",'Asignación'!$G$12&amp;"#"&amp;COUNTIF('Asignación'!$G$4:$G$12,'Asignación'!$G$12))</f>
        <v/>
      </c>
      <c r="G9">
        <f>'Asignación'!B12</f>
        <v/>
      </c>
      <c r="H9">
        <f>'Asignación'!D12</f>
        <v/>
      </c>
      <c r="I9">
        <f>'Asignación'!E12</f>
        <v/>
      </c>
      <c r="J9">
        <f>'Asignación'!F12</f>
        <v/>
      </c>
      <c r="L9">
        <f>IF('Asignación'!$G$12="","",'Asignación'!$G$12&amp;"|"&amp;'Asignación'!$A$12)</f>
        <v/>
      </c>
      <c r="M9">
        <f>IF(L9="",0,IF(COUNTIF($L$1:$L9,L9)=1,1,0))</f>
        <v/>
      </c>
    </row>
    <row r="10">
      <c r="F10">
        <f>IF('Asignación'!$G$13="","",'Asignación'!$G$13&amp;"#"&amp;COUNTIF('Asignación'!$G$4:$G$13,'Asignación'!$G$13))</f>
        <v/>
      </c>
      <c r="G10">
        <f>'Asignación'!B13</f>
        <v/>
      </c>
      <c r="H10">
        <f>'Asignación'!D13</f>
        <v/>
      </c>
      <c r="I10">
        <f>'Asignación'!E13</f>
        <v/>
      </c>
      <c r="J10">
        <f>'Asignación'!F13</f>
        <v/>
      </c>
      <c r="L10">
        <f>IF('Asignación'!$G$13="","",'Asignación'!$G$13&amp;"|"&amp;'Asignación'!$A$13)</f>
        <v/>
      </c>
      <c r="M10">
        <f>IF(L10="",0,IF(COUNTIF($L$1:$L10,L10)=1,1,0))</f>
        <v/>
      </c>
    </row>
    <row r="11">
      <c r="F11">
        <f>IF('Asignación'!$G$14="","",'Asignación'!$G$14&amp;"#"&amp;COUNTIF('Asignación'!$G$4:$G$14,'Asignación'!$G$14))</f>
        <v/>
      </c>
      <c r="G11">
        <f>'Asignación'!B14</f>
        <v/>
      </c>
      <c r="H11">
        <f>'Asignación'!D14</f>
        <v/>
      </c>
      <c r="I11">
        <f>'Asignación'!E14</f>
        <v/>
      </c>
      <c r="J11">
        <f>'Asignación'!F14</f>
        <v/>
      </c>
      <c r="L11">
        <f>IF('Asignación'!$G$14="","",'Asignación'!$G$14&amp;"|"&amp;'Asignación'!$A$14)</f>
        <v/>
      </c>
      <c r="M11">
        <f>IF(L11="",0,IF(COUNTIF($L$1:$L11,L11)=1,1,0))</f>
        <v/>
      </c>
    </row>
    <row r="12">
      <c r="F12">
        <f>IF('Asignación'!$G$15="","",'Asignación'!$G$15&amp;"#"&amp;COUNTIF('Asignación'!$G$4:$G$15,'Asignación'!$G$15))</f>
        <v/>
      </c>
      <c r="G12">
        <f>'Asignación'!B15</f>
        <v/>
      </c>
      <c r="H12">
        <f>'Asignación'!D15</f>
        <v/>
      </c>
      <c r="I12">
        <f>'Asignación'!E15</f>
        <v/>
      </c>
      <c r="J12">
        <f>'Asignación'!F15</f>
        <v/>
      </c>
      <c r="L12">
        <f>IF('Asignación'!$G$15="","",'Asignación'!$G$15&amp;"|"&amp;'Asignación'!$A$15)</f>
        <v/>
      </c>
      <c r="M12">
        <f>IF(L12="",0,IF(COUNTIF($L$1:$L12,L12)=1,1,0))</f>
        <v/>
      </c>
    </row>
    <row r="13">
      <c r="F13">
        <f>IF('Asignación'!$G$16="","",'Asignación'!$G$16&amp;"#"&amp;COUNTIF('Asignación'!$G$4:$G$16,'Asignación'!$G$16))</f>
        <v/>
      </c>
      <c r="G13">
        <f>'Asignación'!B16</f>
        <v/>
      </c>
      <c r="H13">
        <f>'Asignación'!D16</f>
        <v/>
      </c>
      <c r="I13">
        <f>'Asignación'!E16</f>
        <v/>
      </c>
      <c r="J13">
        <f>'Asignación'!F16</f>
        <v/>
      </c>
      <c r="L13">
        <f>IF('Asignación'!$G$16="","",'Asignación'!$G$16&amp;"|"&amp;'Asignación'!$A$16)</f>
        <v/>
      </c>
      <c r="M13">
        <f>IF(L13="",0,IF(COUNTIF($L$1:$L13,L13)=1,1,0))</f>
        <v/>
      </c>
    </row>
    <row r="14">
      <c r="F14">
        <f>IF('Asignación'!$G$17="","",'Asignación'!$G$17&amp;"#"&amp;COUNTIF('Asignación'!$G$4:$G$17,'Asignación'!$G$17))</f>
        <v/>
      </c>
      <c r="G14">
        <f>'Asignación'!B17</f>
        <v/>
      </c>
      <c r="H14">
        <f>'Asignación'!D17</f>
        <v/>
      </c>
      <c r="I14">
        <f>'Asignación'!E17</f>
        <v/>
      </c>
      <c r="J14">
        <f>'Asignación'!F17</f>
        <v/>
      </c>
      <c r="L14">
        <f>IF('Asignación'!$G$17="","",'Asignación'!$G$17&amp;"|"&amp;'Asignación'!$A$17)</f>
        <v/>
      </c>
      <c r="M14">
        <f>IF(L14="",0,IF(COUNTIF($L$1:$L14,L14)=1,1,0))</f>
        <v/>
      </c>
    </row>
    <row r="15">
      <c r="F15">
        <f>IF('Asignación'!$G$18="","",'Asignación'!$G$18&amp;"#"&amp;COUNTIF('Asignación'!$G$4:$G$18,'Asignación'!$G$18))</f>
        <v/>
      </c>
      <c r="G15">
        <f>'Asignación'!B18</f>
        <v/>
      </c>
      <c r="H15">
        <f>'Asignación'!D18</f>
        <v/>
      </c>
      <c r="I15">
        <f>'Asignación'!E18</f>
        <v/>
      </c>
      <c r="J15">
        <f>'Asignación'!F18</f>
        <v/>
      </c>
      <c r="L15">
        <f>IF('Asignación'!$G$18="","",'Asignación'!$G$18&amp;"|"&amp;'Asignación'!$A$18)</f>
        <v/>
      </c>
      <c r="M15">
        <f>IF(L15="",0,IF(COUNTIF($L$1:$L15,L15)=1,1,0))</f>
        <v/>
      </c>
    </row>
    <row r="16">
      <c r="F16">
        <f>IF('Asignación'!$G$19="","",'Asignación'!$G$19&amp;"#"&amp;COUNTIF('Asignación'!$G$4:$G$19,'Asignación'!$G$19))</f>
        <v/>
      </c>
      <c r="G16">
        <f>'Asignación'!B19</f>
        <v/>
      </c>
      <c r="H16">
        <f>'Asignación'!D19</f>
        <v/>
      </c>
      <c r="I16">
        <f>'Asignación'!E19</f>
        <v/>
      </c>
      <c r="J16">
        <f>'Asignación'!F19</f>
        <v/>
      </c>
      <c r="L16">
        <f>IF('Asignación'!$G$19="","",'Asignación'!$G$19&amp;"|"&amp;'Asignación'!$A$19)</f>
        <v/>
      </c>
      <c r="M16">
        <f>IF(L16="",0,IF(COUNTIF($L$1:$L16,L16)=1,1,0))</f>
        <v/>
      </c>
    </row>
    <row r="17">
      <c r="F17">
        <f>IF('Asignación'!$G$20="","",'Asignación'!$G$20&amp;"#"&amp;COUNTIF('Asignación'!$G$4:$G$20,'Asignación'!$G$20))</f>
        <v/>
      </c>
      <c r="G17">
        <f>'Asignación'!B20</f>
        <v/>
      </c>
      <c r="H17">
        <f>'Asignación'!D20</f>
        <v/>
      </c>
      <c r="I17">
        <f>'Asignación'!E20</f>
        <v/>
      </c>
      <c r="J17">
        <f>'Asignación'!F20</f>
        <v/>
      </c>
      <c r="L17">
        <f>IF('Asignación'!$G$20="","",'Asignación'!$G$20&amp;"|"&amp;'Asignación'!$A$20)</f>
        <v/>
      </c>
      <c r="M17">
        <f>IF(L17="",0,IF(COUNTIF($L$1:$L17,L17)=1,1,0))</f>
        <v/>
      </c>
    </row>
    <row r="18">
      <c r="F18">
        <f>IF('Asignación'!$G$21="","",'Asignación'!$G$21&amp;"#"&amp;COUNTIF('Asignación'!$G$4:$G$21,'Asignación'!$G$21))</f>
        <v/>
      </c>
      <c r="G18">
        <f>'Asignación'!B21</f>
        <v/>
      </c>
      <c r="H18">
        <f>'Asignación'!D21</f>
        <v/>
      </c>
      <c r="I18">
        <f>'Asignación'!E21</f>
        <v/>
      </c>
      <c r="J18">
        <f>'Asignación'!F21</f>
        <v/>
      </c>
      <c r="L18">
        <f>IF('Asignación'!$G$21="","",'Asignación'!$G$21&amp;"|"&amp;'Asignación'!$A$21)</f>
        <v/>
      </c>
      <c r="M18">
        <f>IF(L18="",0,IF(COUNTIF($L$1:$L18,L18)=1,1,0))</f>
        <v/>
      </c>
    </row>
    <row r="19">
      <c r="F19">
        <f>IF('Asignación'!$G$22="","",'Asignación'!$G$22&amp;"#"&amp;COUNTIF('Asignación'!$G$4:$G$22,'Asignación'!$G$22))</f>
        <v/>
      </c>
      <c r="G19">
        <f>'Asignación'!B22</f>
        <v/>
      </c>
      <c r="H19">
        <f>'Asignación'!D22</f>
        <v/>
      </c>
      <c r="I19">
        <f>'Asignación'!E22</f>
        <v/>
      </c>
      <c r="J19">
        <f>'Asignación'!F22</f>
        <v/>
      </c>
      <c r="L19">
        <f>IF('Asignación'!$G$22="","",'Asignación'!$G$22&amp;"|"&amp;'Asignación'!$A$22)</f>
        <v/>
      </c>
      <c r="M19">
        <f>IF(L19="",0,IF(COUNTIF($L$1:$L19,L19)=1,1,0))</f>
        <v/>
      </c>
    </row>
    <row r="20">
      <c r="F20">
        <f>IF('Asignación'!$G$23="","",'Asignación'!$G$23&amp;"#"&amp;COUNTIF('Asignación'!$G$4:$G$23,'Asignación'!$G$23))</f>
        <v/>
      </c>
      <c r="G20">
        <f>'Asignación'!B23</f>
        <v/>
      </c>
      <c r="H20">
        <f>'Asignación'!D23</f>
        <v/>
      </c>
      <c r="I20">
        <f>'Asignación'!E23</f>
        <v/>
      </c>
      <c r="J20">
        <f>'Asignación'!F23</f>
        <v/>
      </c>
      <c r="L20">
        <f>IF('Asignación'!$G$23="","",'Asignación'!$G$23&amp;"|"&amp;'Asignación'!$A$23)</f>
        <v/>
      </c>
      <c r="M20">
        <f>IF(L20="",0,IF(COUNTIF($L$1:$L20,L20)=1,1,0))</f>
        <v/>
      </c>
    </row>
    <row r="21">
      <c r="F21">
        <f>IF('Asignación'!$G$24="","",'Asignación'!$G$24&amp;"#"&amp;COUNTIF('Asignación'!$G$4:$G$24,'Asignación'!$G$24))</f>
        <v/>
      </c>
      <c r="G21">
        <f>'Asignación'!B24</f>
        <v/>
      </c>
      <c r="H21">
        <f>'Asignación'!D24</f>
        <v/>
      </c>
      <c r="I21">
        <f>'Asignación'!E24</f>
        <v/>
      </c>
      <c r="J21">
        <f>'Asignación'!F24</f>
        <v/>
      </c>
      <c r="L21">
        <f>IF('Asignación'!$G$24="","",'Asignación'!$G$24&amp;"|"&amp;'Asignación'!$A$24)</f>
        <v/>
      </c>
      <c r="M21">
        <f>IF(L21="",0,IF(COUNTIF($L$1:$L21,L21)=1,1,0))</f>
        <v/>
      </c>
    </row>
    <row r="22">
      <c r="F22">
        <f>IF('Asignación'!$G$25="","",'Asignación'!$G$25&amp;"#"&amp;COUNTIF('Asignación'!$G$4:$G$25,'Asignación'!$G$25))</f>
        <v/>
      </c>
      <c r="G22">
        <f>'Asignación'!B25</f>
        <v/>
      </c>
      <c r="H22">
        <f>'Asignación'!D25</f>
        <v/>
      </c>
      <c r="I22">
        <f>'Asignación'!E25</f>
        <v/>
      </c>
      <c r="J22">
        <f>'Asignación'!F25</f>
        <v/>
      </c>
      <c r="L22">
        <f>IF('Asignación'!$G$25="","",'Asignación'!$G$25&amp;"|"&amp;'Asignación'!$A$25)</f>
        <v/>
      </c>
      <c r="M22">
        <f>IF(L22="",0,IF(COUNTIF($L$1:$L22,L22)=1,1,0))</f>
        <v/>
      </c>
    </row>
    <row r="23">
      <c r="F23">
        <f>IF('Asignación'!$G$26="","",'Asignación'!$G$26&amp;"#"&amp;COUNTIF('Asignación'!$G$4:$G$26,'Asignación'!$G$26))</f>
        <v/>
      </c>
      <c r="G23">
        <f>'Asignación'!B26</f>
        <v/>
      </c>
      <c r="H23">
        <f>'Asignación'!D26</f>
        <v/>
      </c>
      <c r="I23">
        <f>'Asignación'!E26</f>
        <v/>
      </c>
      <c r="J23">
        <f>'Asignación'!F26</f>
        <v/>
      </c>
      <c r="L23">
        <f>IF('Asignación'!$G$26="","",'Asignación'!$G$26&amp;"|"&amp;'Asignación'!$A$26)</f>
        <v/>
      </c>
      <c r="M23">
        <f>IF(L23="",0,IF(COUNTIF($L$1:$L23,L23)=1,1,0))</f>
        <v/>
      </c>
    </row>
    <row r="24">
      <c r="F24">
        <f>IF('Asignación'!$G$27="","",'Asignación'!$G$27&amp;"#"&amp;COUNTIF('Asignación'!$G$4:$G$27,'Asignación'!$G$27))</f>
        <v/>
      </c>
      <c r="G24">
        <f>'Asignación'!B27</f>
        <v/>
      </c>
      <c r="H24">
        <f>'Asignación'!D27</f>
        <v/>
      </c>
      <c r="I24">
        <f>'Asignación'!E27</f>
        <v/>
      </c>
      <c r="J24">
        <f>'Asignación'!F27</f>
        <v/>
      </c>
      <c r="L24">
        <f>IF('Asignación'!$G$27="","",'Asignación'!$G$27&amp;"|"&amp;'Asignación'!$A$27)</f>
        <v/>
      </c>
      <c r="M24">
        <f>IF(L24="",0,IF(COUNTIF($L$1:$L24,L24)=1,1,0))</f>
        <v/>
      </c>
    </row>
    <row r="25">
      <c r="F25">
        <f>IF('Asignación'!$G$28="","",'Asignación'!$G$28&amp;"#"&amp;COUNTIF('Asignación'!$G$4:$G$28,'Asignación'!$G$28))</f>
        <v/>
      </c>
      <c r="G25">
        <f>'Asignación'!B28</f>
        <v/>
      </c>
      <c r="H25">
        <f>'Asignación'!D28</f>
        <v/>
      </c>
      <c r="I25">
        <f>'Asignación'!E28</f>
        <v/>
      </c>
      <c r="J25">
        <f>'Asignación'!F28</f>
        <v/>
      </c>
      <c r="L25">
        <f>IF('Asignación'!$G$28="","",'Asignación'!$G$28&amp;"|"&amp;'Asignación'!$A$28)</f>
        <v/>
      </c>
      <c r="M25">
        <f>IF(L25="",0,IF(COUNTIF($L$1:$L25,L25)=1,1,0))</f>
        <v/>
      </c>
    </row>
    <row r="26">
      <c r="F26">
        <f>IF('Asignación'!$G$29="","",'Asignación'!$G$29&amp;"#"&amp;COUNTIF('Asignación'!$G$4:$G$29,'Asignación'!$G$29))</f>
        <v/>
      </c>
      <c r="G26">
        <f>'Asignación'!B29</f>
        <v/>
      </c>
      <c r="H26">
        <f>'Asignación'!D29</f>
        <v/>
      </c>
      <c r="I26">
        <f>'Asignación'!E29</f>
        <v/>
      </c>
      <c r="J26">
        <f>'Asignación'!F29</f>
        <v/>
      </c>
      <c r="L26">
        <f>IF('Asignación'!$G$29="","",'Asignación'!$G$29&amp;"|"&amp;'Asignación'!$A$29)</f>
        <v/>
      </c>
      <c r="M26">
        <f>IF(L26="",0,IF(COUNTIF($L$1:$L26,L26)=1,1,0))</f>
        <v/>
      </c>
    </row>
    <row r="27">
      <c r="F27">
        <f>IF('Asignación'!$G$30="","",'Asignación'!$G$30&amp;"#"&amp;COUNTIF('Asignación'!$G$4:$G$30,'Asignación'!$G$30))</f>
        <v/>
      </c>
      <c r="G27">
        <f>'Asignación'!B30</f>
        <v/>
      </c>
      <c r="H27">
        <f>'Asignación'!D30</f>
        <v/>
      </c>
      <c r="I27">
        <f>'Asignación'!E30</f>
        <v/>
      </c>
      <c r="J27">
        <f>'Asignación'!F30</f>
        <v/>
      </c>
      <c r="L27">
        <f>IF('Asignación'!$G$30="","",'Asignación'!$G$30&amp;"|"&amp;'Asignación'!$A$30)</f>
        <v/>
      </c>
      <c r="M27">
        <f>IF(L27="",0,IF(COUNTIF($L$1:$L27,L27)=1,1,0))</f>
        <v/>
      </c>
    </row>
    <row r="28">
      <c r="F28">
        <f>IF('Asignación'!$G$31="","",'Asignación'!$G$31&amp;"#"&amp;COUNTIF('Asignación'!$G$4:$G$31,'Asignación'!$G$31))</f>
        <v/>
      </c>
      <c r="G28">
        <f>'Asignación'!B31</f>
        <v/>
      </c>
      <c r="H28">
        <f>'Asignación'!D31</f>
        <v/>
      </c>
      <c r="I28">
        <f>'Asignación'!E31</f>
        <v/>
      </c>
      <c r="J28">
        <f>'Asignación'!F31</f>
        <v/>
      </c>
      <c r="L28">
        <f>IF('Asignación'!$G$31="","",'Asignación'!$G$31&amp;"|"&amp;'Asignación'!$A$31)</f>
        <v/>
      </c>
      <c r="M28">
        <f>IF(L28="",0,IF(COUNTIF($L$1:$L28,L28)=1,1,0))</f>
        <v/>
      </c>
    </row>
    <row r="29">
      <c r="F29">
        <f>IF('Asignación'!$G$32="","",'Asignación'!$G$32&amp;"#"&amp;COUNTIF('Asignación'!$G$4:$G$32,'Asignación'!$G$32))</f>
        <v/>
      </c>
      <c r="G29">
        <f>'Asignación'!B32</f>
        <v/>
      </c>
      <c r="H29">
        <f>'Asignación'!D32</f>
        <v/>
      </c>
      <c r="I29">
        <f>'Asignación'!E32</f>
        <v/>
      </c>
      <c r="J29">
        <f>'Asignación'!F32</f>
        <v/>
      </c>
      <c r="L29">
        <f>IF('Asignación'!$G$32="","",'Asignación'!$G$32&amp;"|"&amp;'Asignación'!$A$32)</f>
        <v/>
      </c>
      <c r="M29">
        <f>IF(L29="",0,IF(COUNTIF($L$1:$L29,L29)=1,1,0))</f>
        <v/>
      </c>
    </row>
    <row r="30">
      <c r="F30">
        <f>IF('Asignación'!$G$33="","",'Asignación'!$G$33&amp;"#"&amp;COUNTIF('Asignación'!$G$4:$G$33,'Asignación'!$G$33))</f>
        <v/>
      </c>
      <c r="G30">
        <f>'Asignación'!B33</f>
        <v/>
      </c>
      <c r="H30">
        <f>'Asignación'!D33</f>
        <v/>
      </c>
      <c r="I30">
        <f>'Asignación'!E33</f>
        <v/>
      </c>
      <c r="J30">
        <f>'Asignación'!F33</f>
        <v/>
      </c>
      <c r="L30">
        <f>IF('Asignación'!$G$33="","",'Asignación'!$G$33&amp;"|"&amp;'Asignación'!$A$33)</f>
        <v/>
      </c>
      <c r="M30">
        <f>IF(L30="",0,IF(COUNTIF($L$1:$L30,L30)=1,1,0))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2026-09-07T19:52:17Z</dcterms:created>
  <dcterms:modified xmlns:dcterms="http://purl.org/dc/terms/" xmlns:xsi="http://www.w3.org/2001/XMLSchema-instance" xsi:type="dcterms:W3CDTF">2026-09-07T19:52:18Z</dcterms:modified>
</cp:coreProperties>
</file>