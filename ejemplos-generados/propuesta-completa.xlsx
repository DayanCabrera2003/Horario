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Datos" sheetId="2" state="hidden" r:id="rId2"/>
    <sheet xmlns:r="http://schemas.openxmlformats.org/officeDocument/2006/relationships" name="C111" sheetId="3" state="visible" r:id="rId3"/>
    <sheet xmlns:r="http://schemas.openxmlformats.org/officeDocument/2006/relationships" name="C112" sheetId="4" state="visible" r:id="rId4"/>
    <sheet xmlns:r="http://schemas.openxmlformats.org/officeDocument/2006/relationships" name="C113" sheetId="5" state="visible" r:id="rId5"/>
    <sheet xmlns:r="http://schemas.openxmlformats.org/officeDocument/2006/relationships" name="C121" sheetId="6" state="visible" r:id="rId6"/>
    <sheet xmlns:r="http://schemas.openxmlformats.org/officeDocument/2006/relationships" name="C122" sheetId="7" state="visible" r:id="rId7"/>
    <sheet xmlns:r="http://schemas.openxmlformats.org/officeDocument/2006/relationships" name="C211" sheetId="8" state="visible" r:id="rId8"/>
    <sheet xmlns:r="http://schemas.openxmlformats.org/officeDocument/2006/relationships" name="C212" sheetId="9" state="visible" r:id="rId9"/>
    <sheet xmlns:r="http://schemas.openxmlformats.org/officeDocument/2006/relationships" name="C311" sheetId="10" state="visible" r:id="rId10"/>
    <sheet xmlns:r="http://schemas.openxmlformats.org/officeDocument/2006/relationships" name="C312" sheetId="11" state="visible" r:id="rId11"/>
    <sheet xmlns:r="http://schemas.openxmlformats.org/officeDocument/2006/relationships" name="C411" sheetId="12" state="visible" r:id="rId12"/>
    <sheet xmlns:r="http://schemas.openxmlformats.org/officeDocument/2006/relationships" name="C412" sheetId="13" state="visible" r:id="rId13"/>
    <sheet xmlns:r="http://schemas.openxmlformats.org/officeDocument/2006/relationships" name="M111" sheetId="14" state="visible" r:id="rId14"/>
    <sheet xmlns:r="http://schemas.openxmlformats.org/officeDocument/2006/relationships" name="M112" sheetId="15" state="visible" r:id="rId15"/>
    <sheet xmlns:r="http://schemas.openxmlformats.org/officeDocument/2006/relationships" name="M211" sheetId="16" state="visible" r:id="rId16"/>
    <sheet xmlns:r="http://schemas.openxmlformats.org/officeDocument/2006/relationships" name="M212" sheetId="17" state="visible" r:id="rId17"/>
    <sheet xmlns:r="http://schemas.openxmlformats.org/officeDocument/2006/relationships" name="M311" sheetId="18" state="visible" r:id="rId18"/>
    <sheet xmlns:r="http://schemas.openxmlformats.org/officeDocument/2006/relationships" name="M411" sheetId="19" state="visible" r:id="rId19"/>
    <sheet xmlns:r="http://schemas.openxmlformats.org/officeDocument/2006/relationships" name="D111" sheetId="20" state="visible" r:id="rId20"/>
    <sheet xmlns:r="http://schemas.openxmlformats.org/officeDocument/2006/relationships" name="D112" sheetId="21" state="visible" r:id="rId21"/>
    <sheet xmlns:r="http://schemas.openxmlformats.org/officeDocument/2006/relationships" name="D211" sheetId="22" state="visible" r:id="rId22"/>
    <sheet xmlns:r="http://schemas.openxmlformats.org/officeDocument/2006/relationships" name="D311" sheetId="23" state="visible" r:id="rId23"/>
    <sheet xmlns:r="http://schemas.openxmlformats.org/officeDocument/2006/relationships" name="D411" sheetId="24" state="visible" r:id="rId24"/>
  </sheets>
  <definedNames>
    <definedName name="AulasValidas">'Datos'!$A$1:$A$15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9">
    <fill>
      <patternFill/>
    </fill>
    <fill>
      <patternFill patternType="gray125"/>
    </fill>
    <fill>
      <patternFill patternType="solid">
        <fgColor rgb="00ECEFF1"/>
        <bgColor rgb="00ECEFF1"/>
      </patternFill>
    </fill>
    <fill>
      <patternFill patternType="solid">
        <fgColor rgb="00D9D9D9"/>
        <bgColor rgb="00D9D9D9"/>
      </patternFill>
    </fill>
    <fill>
      <patternFill patternType="solid">
        <fgColor rgb="00FFF176"/>
        <bgColor rgb="00FFF176"/>
      </patternFill>
    </fill>
    <fill>
      <patternFill patternType="solid">
        <fgColor rgb="00FFB74D"/>
        <bgColor rgb="00FFB74D"/>
      </patternFill>
    </fill>
    <fill>
      <patternFill patternType="solid">
        <fgColor rgb="00EF9A9A"/>
        <bgColor rgb="00EF9A9A"/>
      </patternFill>
    </fill>
    <fill>
      <patternFill patternType="solid">
        <fgColor rgb="00A5D6A7"/>
        <bgColor rgb="00A5D6A7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64B5F6"/>
        <bgColor rgb="0064B5F6"/>
      </patternFill>
    </fill>
    <fill>
      <patternFill patternType="solid">
        <fgColor rgb="0042A5F5"/>
        <bgColor rgb="0042A5F5"/>
      </patternFill>
    </fill>
    <fill>
      <patternFill patternType="solid">
        <fgColor rgb="00C8E6C9"/>
        <bgColor rgb="00C8E6C9"/>
      </patternFill>
    </fill>
    <fill>
      <patternFill patternType="solid">
        <fgColor rgb="0081C784"/>
        <bgColor rgb="0081C784"/>
      </patternFill>
    </fill>
    <fill>
      <patternFill patternType="solid">
        <fgColor rgb="0066BB6A"/>
        <bgColor rgb="0066BB6A"/>
      </patternFill>
    </fill>
    <fill>
      <patternFill patternType="solid">
        <fgColor rgb="00FFE0B2"/>
        <bgColor rgb="00FFE0B2"/>
      </patternFill>
    </fill>
    <fill>
      <patternFill patternType="solid">
        <fgColor rgb="00FFCC80"/>
        <bgColor rgb="00FFCC80"/>
      </patternFill>
    </fill>
    <fill>
      <patternFill patternType="solid">
        <fgColor rgb="00FFA726"/>
        <bgColor rgb="00FFA726"/>
      </patternFill>
    </fill>
    <fill>
      <patternFill patternType="solid">
        <fgColor rgb="00E53935"/>
        <bgColor rgb="00E53935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ck"/>
    </border>
    <border>
      <left style="medium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medium"/>
      <top style="thin"/>
      <bottom style="thick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1" fillId="3" borderId="3" pivotButton="0" quotePrefix="0" xfId="0"/>
    <xf numFmtId="0" fontId="1" fillId="3" borderId="4" pivotButton="0" quotePrefix="0" xfId="0"/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3" borderId="7" pivotButton="0" quotePrefix="0" xfId="0"/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8" borderId="5" pivotButton="0" quotePrefix="0" xfId="0"/>
    <xf numFmtId="0" fontId="0" fillId="9" borderId="5" pivotButton="0" quotePrefix="0" xfId="0"/>
    <xf numFmtId="0" fontId="0" fillId="10" borderId="5" pivotButton="0" quotePrefix="0" xfId="0"/>
    <xf numFmtId="0" fontId="0" fillId="11" borderId="5" pivotButton="0" quotePrefix="0" xfId="0"/>
    <xf numFmtId="0" fontId="0" fillId="12" borderId="5" pivotButton="0" quotePrefix="0" xfId="0"/>
    <xf numFmtId="0" fontId="0" fillId="7" borderId="5" pivotButton="0" quotePrefix="0" xfId="0"/>
    <xf numFmtId="0" fontId="0" fillId="13" borderId="5" pivotButton="0" quotePrefix="0" xfId="0"/>
    <xf numFmtId="0" fontId="0" fillId="14" borderId="5" pivotButton="0" quotePrefix="0" xfId="0"/>
    <xf numFmtId="0" fontId="0" fillId="15" borderId="5" pivotButton="0" quotePrefix="0" xfId="0"/>
    <xf numFmtId="0" fontId="0" fillId="16" borderId="5" pivotButton="0" quotePrefix="0" xfId="0"/>
    <xf numFmtId="0" fontId="0" fillId="5" borderId="5" pivotButton="0" quotePrefix="0" xfId="0"/>
    <xf numFmtId="0" fontId="0" fillId="17" borderId="5" pivotButton="0" quotePrefix="0" xfId="0"/>
    <xf numFmtId="0" fontId="0" fillId="18" borderId="5" pivotButton="0" quotePrefix="0" xfId="0"/>
    <xf numFmtId="0" fontId="0" fillId="0" borderId="0" applyAlignment="1" pivotButton="0" quotePrefix="0" xfId="0">
      <alignment horizontal="left" vertical="center" indent="1"/>
    </xf>
    <xf numFmtId="0" fontId="1" fillId="3" borderId="1" applyAlignment="1" pivotButton="0" quotePrefix="0" xfId="0">
      <alignment horizontal="left" vertical="center" indent="1"/>
    </xf>
    <xf numFmtId="0" fontId="1" fillId="3" borderId="2" applyAlignment="1" pivotButton="0" quotePrefix="0" xfId="0">
      <alignment horizontal="left" vertical="center" indent="1"/>
    </xf>
    <xf numFmtId="0" fontId="1" fillId="3" borderId="3" applyAlignment="1" pivotButton="0" quotePrefix="0" xfId="0">
      <alignment horizontal="left" vertical="center" indent="1"/>
    </xf>
    <xf numFmtId="0" fontId="1" fillId="3" borderId="10" applyAlignment="1" pivotButton="0" quotePrefix="0" xfId="0">
      <alignment horizontal="left" vertical="center" indent="1"/>
    </xf>
    <xf numFmtId="0" fontId="0" fillId="0" borderId="4" applyAlignment="1" pivotButton="0" quotePrefix="0" xfId="0">
      <alignment horizontal="left" vertical="center" indent="1"/>
    </xf>
    <xf numFmtId="0" fontId="0" fillId="0" borderId="5" applyAlignment="1" pivotButton="0" quotePrefix="0" xfId="0">
      <alignment horizontal="left" vertical="center" indent="1"/>
    </xf>
    <xf numFmtId="0" fontId="0" fillId="0" borderId="6" applyAlignment="1" pivotButton="0" quotePrefix="0" xfId="0">
      <alignment horizontal="left" vertical="center" indent="1"/>
    </xf>
    <xf numFmtId="0" fontId="0" fillId="0" borderId="13" applyAlignment="1" pivotButton="0" quotePrefix="0" xfId="0">
      <alignment horizontal="left" vertical="center" indent="1"/>
    </xf>
    <xf numFmtId="0" fontId="0" fillId="2" borderId="14" applyAlignment="1" pivotButton="0" quotePrefix="0" xfId="0">
      <alignment horizontal="left" vertical="center" indent="1"/>
    </xf>
    <xf numFmtId="0" fontId="0" fillId="2" borderId="15" applyAlignment="1" pivotButton="0" quotePrefix="0" xfId="0">
      <alignment horizontal="left" vertical="center" indent="1"/>
    </xf>
    <xf numFmtId="0" fontId="0" fillId="2" borderId="16" applyAlignment="1" pivotButton="0" quotePrefix="0" xfId="0">
      <alignment horizontal="left" vertical="center" indent="1"/>
    </xf>
    <xf numFmtId="0" fontId="1" fillId="3" borderId="11" applyAlignment="1" pivotButton="0" quotePrefix="0" xfId="0">
      <alignment horizontal="left" vertical="center" indent="1"/>
    </xf>
    <xf numFmtId="0" fontId="0" fillId="0" borderId="7" applyAlignment="1" pivotButton="0" quotePrefix="0" xfId="0">
      <alignment horizontal="left" vertical="center" indent="1"/>
    </xf>
    <xf numFmtId="0" fontId="0" fillId="0" borderId="8" applyAlignment="1" pivotButton="0" quotePrefix="0" xfId="0">
      <alignment horizontal="left" vertical="center" indent="1"/>
    </xf>
    <xf numFmtId="0" fontId="0" fillId="0" borderId="9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left" vertical="center" indent="1"/>
    </xf>
    <xf numFmtId="0" fontId="0" fillId="2" borderId="7" applyAlignment="1" pivotButton="0" quotePrefix="0" xfId="0">
      <alignment horizontal="left" vertical="center" indent="1"/>
    </xf>
    <xf numFmtId="0" fontId="0" fillId="2" borderId="8" applyAlignment="1" pivotButton="0" quotePrefix="0" xfId="0">
      <alignment horizontal="left" vertical="center" indent="1"/>
    </xf>
    <xf numFmtId="0" fontId="0" fillId="2" borderId="9" applyAlignment="1" pivotButton="0" quotePrefix="0" xfId="0">
      <alignment horizontal="left" vertical="center" indent="1"/>
    </xf>
    <xf numFmtId="0" fontId="0" fillId="4" borderId="5" pivotButton="0" quotePrefix="0" xfId="0"/>
    <xf numFmtId="0" fontId="0" fillId="6" borderId="5" pivotButton="0" quotePrefix="0" xfId="0"/>
  </cellXfs>
  <cellStyles count="1">
    <cellStyle name="Normal" xfId="0" builtinId="0" hidden="0"/>
  </cellStyles>
  <dxfs count="15">
    <dxf>
      <fill>
        <patternFill patternType="solid">
          <fgColor rgb="00BBDEFB"/>
          <bgColor rgb="00BBDEFB"/>
        </patternFill>
      </fill>
    </dxf>
    <dxf>
      <fill>
        <patternFill patternType="solid">
          <fgColor rgb="0090CAF9"/>
          <bgColor rgb="0090CAF9"/>
        </patternFill>
      </fill>
    </dxf>
    <dxf>
      <fill>
        <patternFill patternType="solid">
          <fgColor rgb="0064B5F6"/>
          <bgColor rgb="0064B5F6"/>
        </patternFill>
      </fill>
    </dxf>
    <dxf>
      <fill>
        <patternFill patternType="solid">
          <fgColor rgb="0042A5F5"/>
          <bgColor rgb="0042A5F5"/>
        </patternFill>
      </fill>
    </dxf>
    <dxf>
      <fill>
        <patternFill patternType="solid">
          <fgColor rgb="00C8E6C9"/>
          <bgColor rgb="00C8E6C9"/>
        </patternFill>
      </fill>
    </dxf>
    <dxf>
      <fill>
        <patternFill patternType="solid">
          <fgColor rgb="00A5D6A7"/>
          <bgColor rgb="00A5D6A7"/>
        </patternFill>
      </fill>
    </dxf>
    <dxf>
      <fill>
        <patternFill patternType="solid">
          <fgColor rgb="0081C784"/>
          <bgColor rgb="0081C784"/>
        </patternFill>
      </fill>
    </dxf>
    <dxf>
      <fill>
        <patternFill patternType="solid">
          <fgColor rgb="0066BB6A"/>
          <bgColor rgb="0066BB6A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FFCC80"/>
          <bgColor rgb="00FFCC80"/>
        </patternFill>
      </fill>
    </dxf>
    <dxf>
      <fill>
        <patternFill patternType="solid">
          <fgColor rgb="00FFB74D"/>
          <bgColor rgb="00FFB74D"/>
        </patternFill>
      </fill>
    </dxf>
    <dxf>
      <fill>
        <patternFill patternType="solid">
          <fgColor rgb="00FFA726"/>
          <bgColor rgb="00FFA726"/>
        </patternFill>
      </fill>
    </dxf>
    <dxf>
      <fill>
        <patternFill patternType="solid">
          <fgColor rgb="00E53935"/>
          <bgColor rgb="00E53935"/>
        </patternFill>
      </fill>
    </dxf>
    <dxf>
      <fill>
        <patternFill patternType="solid">
          <fgColor rgb="00FFF176"/>
          <bgColor rgb="00FFF176"/>
        </patternFill>
      </fill>
    </dxf>
    <dxf>
      <fill>
        <patternFill patternType="solid">
          <fgColor rgb="00EF9A9A"/>
          <bgColor rgb="00EF9A9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Lunes</t>
        </is>
      </c>
      <c r="B1" s="2" t="inlineStr">
        <is>
          <t>Aula 1</t>
        </is>
      </c>
      <c r="C1" s="2" t="inlineStr">
        <is>
          <t>Aula 2</t>
        </is>
      </c>
      <c r="D1" s="2" t="inlineStr">
        <is>
          <t>Aula 3</t>
        </is>
      </c>
      <c r="E1" s="2" t="inlineStr">
        <is>
          <t>Aula 4</t>
        </is>
      </c>
      <c r="F1" s="2" t="inlineStr">
        <is>
          <t>Aula 5</t>
        </is>
      </c>
      <c r="G1" s="2" t="inlineStr">
        <is>
          <t>Aula 6</t>
        </is>
      </c>
      <c r="H1" s="2" t="inlineStr">
        <is>
          <t>Aula 7</t>
        </is>
      </c>
      <c r="I1" s="2" t="inlineStr">
        <is>
          <t>Aula 8</t>
        </is>
      </c>
      <c r="J1" s="2" t="inlineStr">
        <is>
          <t>Aula 9</t>
        </is>
      </c>
      <c r="K1" s="2" t="inlineStr">
        <is>
          <t>Aula 10</t>
        </is>
      </c>
      <c r="L1" s="2" t="inlineStr">
        <is>
          <t>Aula 11</t>
        </is>
      </c>
      <c r="M1" s="2" t="inlineStr">
        <is>
          <t>Aula 12</t>
        </is>
      </c>
      <c r="N1" s="2" t="inlineStr">
        <is>
          <t>Lab 1</t>
        </is>
      </c>
      <c r="O1" s="2" t="inlineStr">
        <is>
          <t>Lab 2</t>
        </is>
      </c>
      <c r="P1" s="3" t="inlineStr">
        <is>
          <t>Salón</t>
        </is>
      </c>
    </row>
    <row r="2">
      <c r="A2" s="4" t="inlineStr">
        <is>
          <t>Turno 1</t>
        </is>
      </c>
      <c r="B2" s="5">
        <f>SUBSTITUTE(TRIM(IF('C111'!B5="Aula 1","C111 ","")&amp;IF('C112'!B5="Aula 1","C112 ","")&amp;IF('C113'!B5="Aula 1","C113 ","")&amp;IF('C121'!B5="Aula 1","C121 ","")&amp;IF('C122'!B5="Aula 1","C122 ","")&amp;IF('C211'!B5="Aula 1","C211 ","")&amp;IF('C212'!B5="Aula 1","C212 ","")&amp;IF('C311'!B5="Aula 1","C311 ","")&amp;IF('C312'!B5="Aula 1","C312 ","")&amp;IF('C411'!B5="Aula 1","C411 ","")&amp;IF('C412'!B5="Aula 1","C412 ","")&amp;IF('M111'!B5="Aula 1","M111 ","")&amp;IF('M112'!B5="Aula 1","M112 ","")&amp;IF('M211'!B5="Aula 1","M211 ","")&amp;IF('M212'!B5="Aula 1","M212 ","")&amp;IF('M311'!B5="Aula 1","M311 ","")&amp;IF('M411'!B5="Aula 1","M411 ","")&amp;IF('D111'!B5="Aula 1","D111 ","")&amp;IF('D112'!B5="Aula 1","D112 ","")&amp;IF('D211'!B5="Aula 1","D211 ","")&amp;IF('D311'!B5="Aula 1","D311 ","")&amp;IF('D411'!B5="Aula 1","D411 ",""))," ",",")</f>
        <v/>
      </c>
      <c r="C2" s="5">
        <f>SUBSTITUTE(TRIM(IF('C111'!B5="Aula 2","C111 ","")&amp;IF('C112'!B5="Aula 2","C112 ","")&amp;IF('C113'!B5="Aula 2","C113 ","")&amp;IF('C121'!B5="Aula 2","C121 ","")&amp;IF('C122'!B5="Aula 2","C122 ","")&amp;IF('C211'!B5="Aula 2","C211 ","")&amp;IF('C212'!B5="Aula 2","C212 ","")&amp;IF('C311'!B5="Aula 2","C311 ","")&amp;IF('C312'!B5="Aula 2","C312 ","")&amp;IF('C411'!B5="Aula 2","C411 ","")&amp;IF('C412'!B5="Aula 2","C412 ","")&amp;IF('M111'!B5="Aula 2","M111 ","")&amp;IF('M112'!B5="Aula 2","M112 ","")&amp;IF('M211'!B5="Aula 2","M211 ","")&amp;IF('M212'!B5="Aula 2","M212 ","")&amp;IF('M311'!B5="Aula 2","M311 ","")&amp;IF('M411'!B5="Aula 2","M411 ","")&amp;IF('D111'!B5="Aula 2","D111 ","")&amp;IF('D112'!B5="Aula 2","D112 ","")&amp;IF('D211'!B5="Aula 2","D211 ","")&amp;IF('D311'!B5="Aula 2","D311 ","")&amp;IF('D411'!B5="Aula 2","D411 ",""))," ",",")</f>
        <v/>
      </c>
      <c r="D2" s="5">
        <f>SUBSTITUTE(TRIM(IF('C111'!B5="Aula 3","C111 ","")&amp;IF('C112'!B5="Aula 3","C112 ","")&amp;IF('C113'!B5="Aula 3","C113 ","")&amp;IF('C121'!B5="Aula 3","C121 ","")&amp;IF('C122'!B5="Aula 3","C122 ","")&amp;IF('C211'!B5="Aula 3","C211 ","")&amp;IF('C212'!B5="Aula 3","C212 ","")&amp;IF('C311'!B5="Aula 3","C311 ","")&amp;IF('C312'!B5="Aula 3","C312 ","")&amp;IF('C411'!B5="Aula 3","C411 ","")&amp;IF('C412'!B5="Aula 3","C412 ","")&amp;IF('M111'!B5="Aula 3","M111 ","")&amp;IF('M112'!B5="Aula 3","M112 ","")&amp;IF('M211'!B5="Aula 3","M211 ","")&amp;IF('M212'!B5="Aula 3","M212 ","")&amp;IF('M311'!B5="Aula 3","M311 ","")&amp;IF('M411'!B5="Aula 3","M411 ","")&amp;IF('D111'!B5="Aula 3","D111 ","")&amp;IF('D112'!B5="Aula 3","D112 ","")&amp;IF('D211'!B5="Aula 3","D211 ","")&amp;IF('D311'!B5="Aula 3","D311 ","")&amp;IF('D411'!B5="Aula 3","D411 ",""))," ",",")</f>
        <v/>
      </c>
      <c r="E2" s="5">
        <f>SUBSTITUTE(TRIM(IF('C111'!B5="Aula 4","C111 ","")&amp;IF('C112'!B5="Aula 4","C112 ","")&amp;IF('C113'!B5="Aula 4","C113 ","")&amp;IF('C121'!B5="Aula 4","C121 ","")&amp;IF('C122'!B5="Aula 4","C122 ","")&amp;IF('C211'!B5="Aula 4","C211 ","")&amp;IF('C212'!B5="Aula 4","C212 ","")&amp;IF('C311'!B5="Aula 4","C311 ","")&amp;IF('C312'!B5="Aula 4","C312 ","")&amp;IF('C411'!B5="Aula 4","C411 ","")&amp;IF('C412'!B5="Aula 4","C412 ","")&amp;IF('M111'!B5="Aula 4","M111 ","")&amp;IF('M112'!B5="Aula 4","M112 ","")&amp;IF('M211'!B5="Aula 4","M211 ","")&amp;IF('M212'!B5="Aula 4","M212 ","")&amp;IF('M311'!B5="Aula 4","M311 ","")&amp;IF('M411'!B5="Aula 4","M411 ","")&amp;IF('D111'!B5="Aula 4","D111 ","")&amp;IF('D112'!B5="Aula 4","D112 ","")&amp;IF('D211'!B5="Aula 4","D211 ","")&amp;IF('D311'!B5="Aula 4","D311 ","")&amp;IF('D411'!B5="Aula 4","D411 ",""))," ",",")</f>
        <v/>
      </c>
      <c r="F2" s="5">
        <f>SUBSTITUTE(TRIM(IF('C111'!B5="Aula 5","C111 ","")&amp;IF('C112'!B5="Aula 5","C112 ","")&amp;IF('C113'!B5="Aula 5","C113 ","")&amp;IF('C121'!B5="Aula 5","C121 ","")&amp;IF('C122'!B5="Aula 5","C122 ","")&amp;IF('C211'!B5="Aula 5","C211 ","")&amp;IF('C212'!B5="Aula 5","C212 ","")&amp;IF('C311'!B5="Aula 5","C311 ","")&amp;IF('C312'!B5="Aula 5","C312 ","")&amp;IF('C411'!B5="Aula 5","C411 ","")&amp;IF('C412'!B5="Aula 5","C412 ","")&amp;IF('M111'!B5="Aula 5","M111 ","")&amp;IF('M112'!B5="Aula 5","M112 ","")&amp;IF('M211'!B5="Aula 5","M211 ","")&amp;IF('M212'!B5="Aula 5","M212 ","")&amp;IF('M311'!B5="Aula 5","M311 ","")&amp;IF('M411'!B5="Aula 5","M411 ","")&amp;IF('D111'!B5="Aula 5","D111 ","")&amp;IF('D112'!B5="Aula 5","D112 ","")&amp;IF('D211'!B5="Aula 5","D211 ","")&amp;IF('D311'!B5="Aula 5","D311 ","")&amp;IF('D411'!B5="Aula 5","D411 ",""))," ",",")</f>
        <v/>
      </c>
      <c r="G2" s="5">
        <f>SUBSTITUTE(TRIM(IF('C111'!B5="Aula 6","C111 ","")&amp;IF('C112'!B5="Aula 6","C112 ","")&amp;IF('C113'!B5="Aula 6","C113 ","")&amp;IF('C121'!B5="Aula 6","C121 ","")&amp;IF('C122'!B5="Aula 6","C122 ","")&amp;IF('C211'!B5="Aula 6","C211 ","")&amp;IF('C212'!B5="Aula 6","C212 ","")&amp;IF('C311'!B5="Aula 6","C311 ","")&amp;IF('C312'!B5="Aula 6","C312 ","")&amp;IF('C411'!B5="Aula 6","C411 ","")&amp;IF('C412'!B5="Aula 6","C412 ","")&amp;IF('M111'!B5="Aula 6","M111 ","")&amp;IF('M112'!B5="Aula 6","M112 ","")&amp;IF('M211'!B5="Aula 6","M211 ","")&amp;IF('M212'!B5="Aula 6","M212 ","")&amp;IF('M311'!B5="Aula 6","M311 ","")&amp;IF('M411'!B5="Aula 6","M411 ","")&amp;IF('D111'!B5="Aula 6","D111 ","")&amp;IF('D112'!B5="Aula 6","D112 ","")&amp;IF('D211'!B5="Aula 6","D211 ","")&amp;IF('D311'!B5="Aula 6","D311 ","")&amp;IF('D411'!B5="Aula 6","D411 ",""))," ",",")</f>
        <v/>
      </c>
      <c r="H2" s="5">
        <f>SUBSTITUTE(TRIM(IF('C111'!B5="Aula 7","C111 ","")&amp;IF('C112'!B5="Aula 7","C112 ","")&amp;IF('C113'!B5="Aula 7","C113 ","")&amp;IF('C121'!B5="Aula 7","C121 ","")&amp;IF('C122'!B5="Aula 7","C122 ","")&amp;IF('C211'!B5="Aula 7","C211 ","")&amp;IF('C212'!B5="Aula 7","C212 ","")&amp;IF('C311'!B5="Aula 7","C311 ","")&amp;IF('C312'!B5="Aula 7","C312 ","")&amp;IF('C411'!B5="Aula 7","C411 ","")&amp;IF('C412'!B5="Aula 7","C412 ","")&amp;IF('M111'!B5="Aula 7","M111 ","")&amp;IF('M112'!B5="Aula 7","M112 ","")&amp;IF('M211'!B5="Aula 7","M211 ","")&amp;IF('M212'!B5="Aula 7","M212 ","")&amp;IF('M311'!B5="Aula 7","M311 ","")&amp;IF('M411'!B5="Aula 7","M411 ","")&amp;IF('D111'!B5="Aula 7","D111 ","")&amp;IF('D112'!B5="Aula 7","D112 ","")&amp;IF('D211'!B5="Aula 7","D211 ","")&amp;IF('D311'!B5="Aula 7","D311 ","")&amp;IF('D411'!B5="Aula 7","D411 ",""))," ",",")</f>
        <v/>
      </c>
      <c r="I2" s="5">
        <f>SUBSTITUTE(TRIM(IF('C111'!B5="Aula 8","C111 ","")&amp;IF('C112'!B5="Aula 8","C112 ","")&amp;IF('C113'!B5="Aula 8","C113 ","")&amp;IF('C121'!B5="Aula 8","C121 ","")&amp;IF('C122'!B5="Aula 8","C122 ","")&amp;IF('C211'!B5="Aula 8","C211 ","")&amp;IF('C212'!B5="Aula 8","C212 ","")&amp;IF('C311'!B5="Aula 8","C311 ","")&amp;IF('C312'!B5="Aula 8","C312 ","")&amp;IF('C411'!B5="Aula 8","C411 ","")&amp;IF('C412'!B5="Aula 8","C412 ","")&amp;IF('M111'!B5="Aula 8","M111 ","")&amp;IF('M112'!B5="Aula 8","M112 ","")&amp;IF('M211'!B5="Aula 8","M211 ","")&amp;IF('M212'!B5="Aula 8","M212 ","")&amp;IF('M311'!B5="Aula 8","M311 ","")&amp;IF('M411'!B5="Aula 8","M411 ","")&amp;IF('D111'!B5="Aula 8","D111 ","")&amp;IF('D112'!B5="Aula 8","D112 ","")&amp;IF('D211'!B5="Aula 8","D211 ","")&amp;IF('D311'!B5="Aula 8","D311 ","")&amp;IF('D411'!B5="Aula 8","D411 ",""))," ",",")</f>
        <v/>
      </c>
      <c r="J2" s="5">
        <f>SUBSTITUTE(TRIM(IF('C111'!B5="Aula 9","C111 ","")&amp;IF('C112'!B5="Aula 9","C112 ","")&amp;IF('C113'!B5="Aula 9","C113 ","")&amp;IF('C121'!B5="Aula 9","C121 ","")&amp;IF('C122'!B5="Aula 9","C122 ","")&amp;IF('C211'!B5="Aula 9","C211 ","")&amp;IF('C212'!B5="Aula 9","C212 ","")&amp;IF('C311'!B5="Aula 9","C311 ","")&amp;IF('C312'!B5="Aula 9","C312 ","")&amp;IF('C411'!B5="Aula 9","C411 ","")&amp;IF('C412'!B5="Aula 9","C412 ","")&amp;IF('M111'!B5="Aula 9","M111 ","")&amp;IF('M112'!B5="Aula 9","M112 ","")&amp;IF('M211'!B5="Aula 9","M211 ","")&amp;IF('M212'!B5="Aula 9","M212 ","")&amp;IF('M311'!B5="Aula 9","M311 ","")&amp;IF('M411'!B5="Aula 9","M411 ","")&amp;IF('D111'!B5="Aula 9","D111 ","")&amp;IF('D112'!B5="Aula 9","D112 ","")&amp;IF('D211'!B5="Aula 9","D211 ","")&amp;IF('D311'!B5="Aula 9","D311 ","")&amp;IF('D411'!B5="Aula 9","D411 ",""))," ",",")</f>
        <v/>
      </c>
      <c r="K2" s="5">
        <f>SUBSTITUTE(TRIM(IF('C111'!B5="Aula 10","C111 ","")&amp;IF('C112'!B5="Aula 10","C112 ","")&amp;IF('C113'!B5="Aula 10","C113 ","")&amp;IF('C121'!B5="Aula 10","C121 ","")&amp;IF('C122'!B5="Aula 10","C122 ","")&amp;IF('C211'!B5="Aula 10","C211 ","")&amp;IF('C212'!B5="Aula 10","C212 ","")&amp;IF('C311'!B5="Aula 10","C311 ","")&amp;IF('C312'!B5="Aula 10","C312 ","")&amp;IF('C411'!B5="Aula 10","C411 ","")&amp;IF('C412'!B5="Aula 10","C412 ","")&amp;IF('M111'!B5="Aula 10","M111 ","")&amp;IF('M112'!B5="Aula 10","M112 ","")&amp;IF('M211'!B5="Aula 10","M211 ","")&amp;IF('M212'!B5="Aula 10","M212 ","")&amp;IF('M311'!B5="Aula 10","M311 ","")&amp;IF('M411'!B5="Aula 10","M411 ","")&amp;IF('D111'!B5="Aula 10","D111 ","")&amp;IF('D112'!B5="Aula 10","D112 ","")&amp;IF('D211'!B5="Aula 10","D211 ","")&amp;IF('D311'!B5="Aula 10","D311 ","")&amp;IF('D411'!B5="Aula 10","D411 ",""))," ",",")</f>
        <v/>
      </c>
      <c r="L2" s="5">
        <f>SUBSTITUTE(TRIM(IF('C111'!B5="Aula 11","C111 ","")&amp;IF('C112'!B5="Aula 11","C112 ","")&amp;IF('C113'!B5="Aula 11","C113 ","")&amp;IF('C121'!B5="Aula 11","C121 ","")&amp;IF('C122'!B5="Aula 11","C122 ","")&amp;IF('C211'!B5="Aula 11","C211 ","")&amp;IF('C212'!B5="Aula 11","C212 ","")&amp;IF('C311'!B5="Aula 11","C311 ","")&amp;IF('C312'!B5="Aula 11","C312 ","")&amp;IF('C411'!B5="Aula 11","C411 ","")&amp;IF('C412'!B5="Aula 11","C412 ","")&amp;IF('M111'!B5="Aula 11","M111 ","")&amp;IF('M112'!B5="Aula 11","M112 ","")&amp;IF('M211'!B5="Aula 11","M211 ","")&amp;IF('M212'!B5="Aula 11","M212 ","")&amp;IF('M311'!B5="Aula 11","M311 ","")&amp;IF('M411'!B5="Aula 11","M411 ","")&amp;IF('D111'!B5="Aula 11","D111 ","")&amp;IF('D112'!B5="Aula 11","D112 ","")&amp;IF('D211'!B5="Aula 11","D211 ","")&amp;IF('D311'!B5="Aula 11","D311 ","")&amp;IF('D411'!B5="Aula 11","D411 ",""))," ",",")</f>
        <v/>
      </c>
      <c r="M2" s="5">
        <f>SUBSTITUTE(TRIM(IF('C111'!B5="Aula 12","C111 ","")&amp;IF('C112'!B5="Aula 12","C112 ","")&amp;IF('C113'!B5="Aula 12","C113 ","")&amp;IF('C121'!B5="Aula 12","C121 ","")&amp;IF('C122'!B5="Aula 12","C122 ","")&amp;IF('C211'!B5="Aula 12","C211 ","")&amp;IF('C212'!B5="Aula 12","C212 ","")&amp;IF('C311'!B5="Aula 12","C311 ","")&amp;IF('C312'!B5="Aula 12","C312 ","")&amp;IF('C411'!B5="Aula 12","C411 ","")&amp;IF('C412'!B5="Aula 12","C412 ","")&amp;IF('M111'!B5="Aula 12","M111 ","")&amp;IF('M112'!B5="Aula 12","M112 ","")&amp;IF('M211'!B5="Aula 12","M211 ","")&amp;IF('M212'!B5="Aula 12","M212 ","")&amp;IF('M311'!B5="Aula 12","M311 ","")&amp;IF('M411'!B5="Aula 12","M411 ","")&amp;IF('D111'!B5="Aula 12","D111 ","")&amp;IF('D112'!B5="Aula 12","D112 ","")&amp;IF('D211'!B5="Aula 12","D211 ","")&amp;IF('D311'!B5="Aula 12","D311 ","")&amp;IF('D411'!B5="Aula 12","D411 ",""))," ",",")</f>
        <v/>
      </c>
      <c r="N2" s="5">
        <f>SUBSTITUTE(TRIM(IF('C111'!B5="Lab 1","C111 ","")&amp;IF('C112'!B5="Lab 1","C112 ","")&amp;IF('C113'!B5="Lab 1","C113 ","")&amp;IF('C121'!B5="Lab 1","C121 ","")&amp;IF('C122'!B5="Lab 1","C122 ","")&amp;IF('C211'!B5="Lab 1","C211 ","")&amp;IF('C212'!B5="Lab 1","C212 ","")&amp;IF('C311'!B5="Lab 1","C311 ","")&amp;IF('C312'!B5="Lab 1","C312 ","")&amp;IF('C411'!B5="Lab 1","C411 ","")&amp;IF('C412'!B5="Lab 1","C412 ","")&amp;IF('M111'!B5="Lab 1","M111 ","")&amp;IF('M112'!B5="Lab 1","M112 ","")&amp;IF('M211'!B5="Lab 1","M211 ","")&amp;IF('M212'!B5="Lab 1","M212 ","")&amp;IF('M311'!B5="Lab 1","M311 ","")&amp;IF('M411'!B5="Lab 1","M411 ","")&amp;IF('D111'!B5="Lab 1","D111 ","")&amp;IF('D112'!B5="Lab 1","D112 ","")&amp;IF('D211'!B5="Lab 1","D211 ","")&amp;IF('D311'!B5="Lab 1","D311 ","")&amp;IF('D411'!B5="Lab 1","D411 ",""))," ",",")</f>
        <v/>
      </c>
      <c r="O2" s="5">
        <f>SUBSTITUTE(TRIM(IF('C111'!B5="Lab 2","C111 ","")&amp;IF('C112'!B5="Lab 2","C112 ","")&amp;IF('C113'!B5="Lab 2","C113 ","")&amp;IF('C121'!B5="Lab 2","C121 ","")&amp;IF('C122'!B5="Lab 2","C122 ","")&amp;IF('C211'!B5="Lab 2","C211 ","")&amp;IF('C212'!B5="Lab 2","C212 ","")&amp;IF('C311'!B5="Lab 2","C311 ","")&amp;IF('C312'!B5="Lab 2","C312 ","")&amp;IF('C411'!B5="Lab 2","C411 ","")&amp;IF('C412'!B5="Lab 2","C412 ","")&amp;IF('M111'!B5="Lab 2","M111 ","")&amp;IF('M112'!B5="Lab 2","M112 ","")&amp;IF('M211'!B5="Lab 2","M211 ","")&amp;IF('M212'!B5="Lab 2","M212 ","")&amp;IF('M311'!B5="Lab 2","M311 ","")&amp;IF('M411'!B5="Lab 2","M411 ","")&amp;IF('D111'!B5="Lab 2","D111 ","")&amp;IF('D112'!B5="Lab 2","D112 ","")&amp;IF('D211'!B5="Lab 2","D211 ","")&amp;IF('D311'!B5="Lab 2","D311 ","")&amp;IF('D411'!B5="Lab 2","D411 ",""))," ",",")</f>
        <v/>
      </c>
      <c r="P2" s="6">
        <f>SUBSTITUTE(TRIM(IF('C111'!B5="Salón","C111 ","")&amp;IF('C112'!B5="Salón","C112 ","")&amp;IF('C113'!B5="Salón","C113 ","")&amp;IF('C121'!B5="Salón","C121 ","")&amp;IF('C122'!B5="Salón","C122 ","")&amp;IF('C211'!B5="Salón","C211 ","")&amp;IF('C212'!B5="Salón","C212 ","")&amp;IF('C311'!B5="Salón","C311 ","")&amp;IF('C312'!B5="Salón","C312 ","")&amp;IF('C411'!B5="Salón","C411 ","")&amp;IF('C412'!B5="Salón","C412 ","")&amp;IF('M111'!B5="Salón","M111 ","")&amp;IF('M112'!B5="Salón","M112 ","")&amp;IF('M211'!B5="Salón","M211 ","")&amp;IF('M212'!B5="Salón","M212 ","")&amp;IF('M311'!B5="Salón","M311 ","")&amp;IF('M411'!B5="Salón","M411 ","")&amp;IF('D111'!B5="Salón","D111 ","")&amp;IF('D112'!B5="Salón","D112 ","")&amp;IF('D211'!B5="Salón","D211 ","")&amp;IF('D311'!B5="Salón","D311 ","")&amp;IF('D411'!B5="Salón","D411 ",""))," ",",")</f>
        <v/>
      </c>
    </row>
    <row r="3">
      <c r="A3" s="4" t="inlineStr">
        <is>
          <t>Turno 2</t>
        </is>
      </c>
      <c r="B3" s="5">
        <f>SUBSTITUTE(TRIM(IF('C111'!B7="Aula 1","C111 ","")&amp;IF('C112'!B7="Aula 1","C112 ","")&amp;IF('C113'!B7="Aula 1","C113 ","")&amp;IF('C121'!B7="Aula 1","C121 ","")&amp;IF('C122'!B7="Aula 1","C122 ","")&amp;IF('C211'!B7="Aula 1","C211 ","")&amp;IF('C212'!B7="Aula 1","C212 ","")&amp;IF('C311'!B7="Aula 1","C311 ","")&amp;IF('C312'!B7="Aula 1","C312 ","")&amp;IF('C411'!B7="Aula 1","C411 ","")&amp;IF('C412'!B7="Aula 1","C412 ","")&amp;IF('M111'!B7="Aula 1","M111 ","")&amp;IF('M112'!B7="Aula 1","M112 ","")&amp;IF('M211'!B7="Aula 1","M211 ","")&amp;IF('M212'!B7="Aula 1","M212 ","")&amp;IF('M311'!B7="Aula 1","M311 ","")&amp;IF('M411'!B7="Aula 1","M411 ","")&amp;IF('D111'!B7="Aula 1","D111 ","")&amp;IF('D112'!B7="Aula 1","D112 ","")&amp;IF('D211'!B7="Aula 1","D211 ","")&amp;IF('D311'!B7="Aula 1","D311 ","")&amp;IF('D411'!B7="Aula 1","D411 ",""))," ",",")</f>
        <v/>
      </c>
      <c r="C3" s="5">
        <f>SUBSTITUTE(TRIM(IF('C111'!B7="Aula 2","C111 ","")&amp;IF('C112'!B7="Aula 2","C112 ","")&amp;IF('C113'!B7="Aula 2","C113 ","")&amp;IF('C121'!B7="Aula 2","C121 ","")&amp;IF('C122'!B7="Aula 2","C122 ","")&amp;IF('C211'!B7="Aula 2","C211 ","")&amp;IF('C212'!B7="Aula 2","C212 ","")&amp;IF('C311'!B7="Aula 2","C311 ","")&amp;IF('C312'!B7="Aula 2","C312 ","")&amp;IF('C411'!B7="Aula 2","C411 ","")&amp;IF('C412'!B7="Aula 2","C412 ","")&amp;IF('M111'!B7="Aula 2","M111 ","")&amp;IF('M112'!B7="Aula 2","M112 ","")&amp;IF('M211'!B7="Aula 2","M211 ","")&amp;IF('M212'!B7="Aula 2","M212 ","")&amp;IF('M311'!B7="Aula 2","M311 ","")&amp;IF('M411'!B7="Aula 2","M411 ","")&amp;IF('D111'!B7="Aula 2","D111 ","")&amp;IF('D112'!B7="Aula 2","D112 ","")&amp;IF('D211'!B7="Aula 2","D211 ","")&amp;IF('D311'!B7="Aula 2","D311 ","")&amp;IF('D411'!B7="Aula 2","D411 ",""))," ",",")</f>
        <v/>
      </c>
      <c r="D3" s="5">
        <f>SUBSTITUTE(TRIM(IF('C111'!B7="Aula 3","C111 ","")&amp;IF('C112'!B7="Aula 3","C112 ","")&amp;IF('C113'!B7="Aula 3","C113 ","")&amp;IF('C121'!B7="Aula 3","C121 ","")&amp;IF('C122'!B7="Aula 3","C122 ","")&amp;IF('C211'!B7="Aula 3","C211 ","")&amp;IF('C212'!B7="Aula 3","C212 ","")&amp;IF('C311'!B7="Aula 3","C311 ","")&amp;IF('C312'!B7="Aula 3","C312 ","")&amp;IF('C411'!B7="Aula 3","C411 ","")&amp;IF('C412'!B7="Aula 3","C412 ","")&amp;IF('M111'!B7="Aula 3","M111 ","")&amp;IF('M112'!B7="Aula 3","M112 ","")&amp;IF('M211'!B7="Aula 3","M211 ","")&amp;IF('M212'!B7="Aula 3","M212 ","")&amp;IF('M311'!B7="Aula 3","M311 ","")&amp;IF('M411'!B7="Aula 3","M411 ","")&amp;IF('D111'!B7="Aula 3","D111 ","")&amp;IF('D112'!B7="Aula 3","D112 ","")&amp;IF('D211'!B7="Aula 3","D211 ","")&amp;IF('D311'!B7="Aula 3","D311 ","")&amp;IF('D411'!B7="Aula 3","D411 ",""))," ",",")</f>
        <v/>
      </c>
      <c r="E3" s="5">
        <f>SUBSTITUTE(TRIM(IF('C111'!B7="Aula 4","C111 ","")&amp;IF('C112'!B7="Aula 4","C112 ","")&amp;IF('C113'!B7="Aula 4","C113 ","")&amp;IF('C121'!B7="Aula 4","C121 ","")&amp;IF('C122'!B7="Aula 4","C122 ","")&amp;IF('C211'!B7="Aula 4","C211 ","")&amp;IF('C212'!B7="Aula 4","C212 ","")&amp;IF('C311'!B7="Aula 4","C311 ","")&amp;IF('C312'!B7="Aula 4","C312 ","")&amp;IF('C411'!B7="Aula 4","C411 ","")&amp;IF('C412'!B7="Aula 4","C412 ","")&amp;IF('M111'!B7="Aula 4","M111 ","")&amp;IF('M112'!B7="Aula 4","M112 ","")&amp;IF('M211'!B7="Aula 4","M211 ","")&amp;IF('M212'!B7="Aula 4","M212 ","")&amp;IF('M311'!B7="Aula 4","M311 ","")&amp;IF('M411'!B7="Aula 4","M411 ","")&amp;IF('D111'!B7="Aula 4","D111 ","")&amp;IF('D112'!B7="Aula 4","D112 ","")&amp;IF('D211'!B7="Aula 4","D211 ","")&amp;IF('D311'!B7="Aula 4","D311 ","")&amp;IF('D411'!B7="Aula 4","D411 ",""))," ",",")</f>
        <v/>
      </c>
      <c r="F3" s="5">
        <f>SUBSTITUTE(TRIM(IF('C111'!B7="Aula 5","C111 ","")&amp;IF('C112'!B7="Aula 5","C112 ","")&amp;IF('C113'!B7="Aula 5","C113 ","")&amp;IF('C121'!B7="Aula 5","C121 ","")&amp;IF('C122'!B7="Aula 5","C122 ","")&amp;IF('C211'!B7="Aula 5","C211 ","")&amp;IF('C212'!B7="Aula 5","C212 ","")&amp;IF('C311'!B7="Aula 5","C311 ","")&amp;IF('C312'!B7="Aula 5","C312 ","")&amp;IF('C411'!B7="Aula 5","C411 ","")&amp;IF('C412'!B7="Aula 5","C412 ","")&amp;IF('M111'!B7="Aula 5","M111 ","")&amp;IF('M112'!B7="Aula 5","M112 ","")&amp;IF('M211'!B7="Aula 5","M211 ","")&amp;IF('M212'!B7="Aula 5","M212 ","")&amp;IF('M311'!B7="Aula 5","M311 ","")&amp;IF('M411'!B7="Aula 5","M411 ","")&amp;IF('D111'!B7="Aula 5","D111 ","")&amp;IF('D112'!B7="Aula 5","D112 ","")&amp;IF('D211'!B7="Aula 5","D211 ","")&amp;IF('D311'!B7="Aula 5","D311 ","")&amp;IF('D411'!B7="Aula 5","D411 ",""))," ",",")</f>
        <v/>
      </c>
      <c r="G3" s="5">
        <f>SUBSTITUTE(TRIM(IF('C111'!B7="Aula 6","C111 ","")&amp;IF('C112'!B7="Aula 6","C112 ","")&amp;IF('C113'!B7="Aula 6","C113 ","")&amp;IF('C121'!B7="Aula 6","C121 ","")&amp;IF('C122'!B7="Aula 6","C122 ","")&amp;IF('C211'!B7="Aula 6","C211 ","")&amp;IF('C212'!B7="Aula 6","C212 ","")&amp;IF('C311'!B7="Aula 6","C311 ","")&amp;IF('C312'!B7="Aula 6","C312 ","")&amp;IF('C411'!B7="Aula 6","C411 ","")&amp;IF('C412'!B7="Aula 6","C412 ","")&amp;IF('M111'!B7="Aula 6","M111 ","")&amp;IF('M112'!B7="Aula 6","M112 ","")&amp;IF('M211'!B7="Aula 6","M211 ","")&amp;IF('M212'!B7="Aula 6","M212 ","")&amp;IF('M311'!B7="Aula 6","M311 ","")&amp;IF('M411'!B7="Aula 6","M411 ","")&amp;IF('D111'!B7="Aula 6","D111 ","")&amp;IF('D112'!B7="Aula 6","D112 ","")&amp;IF('D211'!B7="Aula 6","D211 ","")&amp;IF('D311'!B7="Aula 6","D311 ","")&amp;IF('D411'!B7="Aula 6","D411 ",""))," ",",")</f>
        <v/>
      </c>
      <c r="H3" s="5">
        <f>SUBSTITUTE(TRIM(IF('C111'!B7="Aula 7","C111 ","")&amp;IF('C112'!B7="Aula 7","C112 ","")&amp;IF('C113'!B7="Aula 7","C113 ","")&amp;IF('C121'!B7="Aula 7","C121 ","")&amp;IF('C122'!B7="Aula 7","C122 ","")&amp;IF('C211'!B7="Aula 7","C211 ","")&amp;IF('C212'!B7="Aula 7","C212 ","")&amp;IF('C311'!B7="Aula 7","C311 ","")&amp;IF('C312'!B7="Aula 7","C312 ","")&amp;IF('C411'!B7="Aula 7","C411 ","")&amp;IF('C412'!B7="Aula 7","C412 ","")&amp;IF('M111'!B7="Aula 7","M111 ","")&amp;IF('M112'!B7="Aula 7","M112 ","")&amp;IF('M211'!B7="Aula 7","M211 ","")&amp;IF('M212'!B7="Aula 7","M212 ","")&amp;IF('M311'!B7="Aula 7","M311 ","")&amp;IF('M411'!B7="Aula 7","M411 ","")&amp;IF('D111'!B7="Aula 7","D111 ","")&amp;IF('D112'!B7="Aula 7","D112 ","")&amp;IF('D211'!B7="Aula 7","D211 ","")&amp;IF('D311'!B7="Aula 7","D311 ","")&amp;IF('D411'!B7="Aula 7","D411 ",""))," ",",")</f>
        <v/>
      </c>
      <c r="I3" s="5">
        <f>SUBSTITUTE(TRIM(IF('C111'!B7="Aula 8","C111 ","")&amp;IF('C112'!B7="Aula 8","C112 ","")&amp;IF('C113'!B7="Aula 8","C113 ","")&amp;IF('C121'!B7="Aula 8","C121 ","")&amp;IF('C122'!B7="Aula 8","C122 ","")&amp;IF('C211'!B7="Aula 8","C211 ","")&amp;IF('C212'!B7="Aula 8","C212 ","")&amp;IF('C311'!B7="Aula 8","C311 ","")&amp;IF('C312'!B7="Aula 8","C312 ","")&amp;IF('C411'!B7="Aula 8","C411 ","")&amp;IF('C412'!B7="Aula 8","C412 ","")&amp;IF('M111'!B7="Aula 8","M111 ","")&amp;IF('M112'!B7="Aula 8","M112 ","")&amp;IF('M211'!B7="Aula 8","M211 ","")&amp;IF('M212'!B7="Aula 8","M212 ","")&amp;IF('M311'!B7="Aula 8","M311 ","")&amp;IF('M411'!B7="Aula 8","M411 ","")&amp;IF('D111'!B7="Aula 8","D111 ","")&amp;IF('D112'!B7="Aula 8","D112 ","")&amp;IF('D211'!B7="Aula 8","D211 ","")&amp;IF('D311'!B7="Aula 8","D311 ","")&amp;IF('D411'!B7="Aula 8","D411 ",""))," ",",")</f>
        <v/>
      </c>
      <c r="J3" s="5">
        <f>SUBSTITUTE(TRIM(IF('C111'!B7="Aula 9","C111 ","")&amp;IF('C112'!B7="Aula 9","C112 ","")&amp;IF('C113'!B7="Aula 9","C113 ","")&amp;IF('C121'!B7="Aula 9","C121 ","")&amp;IF('C122'!B7="Aula 9","C122 ","")&amp;IF('C211'!B7="Aula 9","C211 ","")&amp;IF('C212'!B7="Aula 9","C212 ","")&amp;IF('C311'!B7="Aula 9","C311 ","")&amp;IF('C312'!B7="Aula 9","C312 ","")&amp;IF('C411'!B7="Aula 9","C411 ","")&amp;IF('C412'!B7="Aula 9","C412 ","")&amp;IF('M111'!B7="Aula 9","M111 ","")&amp;IF('M112'!B7="Aula 9","M112 ","")&amp;IF('M211'!B7="Aula 9","M211 ","")&amp;IF('M212'!B7="Aula 9","M212 ","")&amp;IF('M311'!B7="Aula 9","M311 ","")&amp;IF('M411'!B7="Aula 9","M411 ","")&amp;IF('D111'!B7="Aula 9","D111 ","")&amp;IF('D112'!B7="Aula 9","D112 ","")&amp;IF('D211'!B7="Aula 9","D211 ","")&amp;IF('D311'!B7="Aula 9","D311 ","")&amp;IF('D411'!B7="Aula 9","D411 ",""))," ",",")</f>
        <v/>
      </c>
      <c r="K3" s="5">
        <f>SUBSTITUTE(TRIM(IF('C111'!B7="Aula 10","C111 ","")&amp;IF('C112'!B7="Aula 10","C112 ","")&amp;IF('C113'!B7="Aula 10","C113 ","")&amp;IF('C121'!B7="Aula 10","C121 ","")&amp;IF('C122'!B7="Aula 10","C122 ","")&amp;IF('C211'!B7="Aula 10","C211 ","")&amp;IF('C212'!B7="Aula 10","C212 ","")&amp;IF('C311'!B7="Aula 10","C311 ","")&amp;IF('C312'!B7="Aula 10","C312 ","")&amp;IF('C411'!B7="Aula 10","C411 ","")&amp;IF('C412'!B7="Aula 10","C412 ","")&amp;IF('M111'!B7="Aula 10","M111 ","")&amp;IF('M112'!B7="Aula 10","M112 ","")&amp;IF('M211'!B7="Aula 10","M211 ","")&amp;IF('M212'!B7="Aula 10","M212 ","")&amp;IF('M311'!B7="Aula 10","M311 ","")&amp;IF('M411'!B7="Aula 10","M411 ","")&amp;IF('D111'!B7="Aula 10","D111 ","")&amp;IF('D112'!B7="Aula 10","D112 ","")&amp;IF('D211'!B7="Aula 10","D211 ","")&amp;IF('D311'!B7="Aula 10","D311 ","")&amp;IF('D411'!B7="Aula 10","D411 ",""))," ",",")</f>
        <v/>
      </c>
      <c r="L3" s="5">
        <f>SUBSTITUTE(TRIM(IF('C111'!B7="Aula 11","C111 ","")&amp;IF('C112'!B7="Aula 11","C112 ","")&amp;IF('C113'!B7="Aula 11","C113 ","")&amp;IF('C121'!B7="Aula 11","C121 ","")&amp;IF('C122'!B7="Aula 11","C122 ","")&amp;IF('C211'!B7="Aula 11","C211 ","")&amp;IF('C212'!B7="Aula 11","C212 ","")&amp;IF('C311'!B7="Aula 11","C311 ","")&amp;IF('C312'!B7="Aula 11","C312 ","")&amp;IF('C411'!B7="Aula 11","C411 ","")&amp;IF('C412'!B7="Aula 11","C412 ","")&amp;IF('M111'!B7="Aula 11","M111 ","")&amp;IF('M112'!B7="Aula 11","M112 ","")&amp;IF('M211'!B7="Aula 11","M211 ","")&amp;IF('M212'!B7="Aula 11","M212 ","")&amp;IF('M311'!B7="Aula 11","M311 ","")&amp;IF('M411'!B7="Aula 11","M411 ","")&amp;IF('D111'!B7="Aula 11","D111 ","")&amp;IF('D112'!B7="Aula 11","D112 ","")&amp;IF('D211'!B7="Aula 11","D211 ","")&amp;IF('D311'!B7="Aula 11","D311 ","")&amp;IF('D411'!B7="Aula 11","D411 ",""))," ",",")</f>
        <v/>
      </c>
      <c r="M3" s="5">
        <f>SUBSTITUTE(TRIM(IF('C111'!B7="Aula 12","C111 ","")&amp;IF('C112'!B7="Aula 12","C112 ","")&amp;IF('C113'!B7="Aula 12","C113 ","")&amp;IF('C121'!B7="Aula 12","C121 ","")&amp;IF('C122'!B7="Aula 12","C122 ","")&amp;IF('C211'!B7="Aula 12","C211 ","")&amp;IF('C212'!B7="Aula 12","C212 ","")&amp;IF('C311'!B7="Aula 12","C311 ","")&amp;IF('C312'!B7="Aula 12","C312 ","")&amp;IF('C411'!B7="Aula 12","C411 ","")&amp;IF('C412'!B7="Aula 12","C412 ","")&amp;IF('M111'!B7="Aula 12","M111 ","")&amp;IF('M112'!B7="Aula 12","M112 ","")&amp;IF('M211'!B7="Aula 12","M211 ","")&amp;IF('M212'!B7="Aula 12","M212 ","")&amp;IF('M311'!B7="Aula 12","M311 ","")&amp;IF('M411'!B7="Aula 12","M411 ","")&amp;IF('D111'!B7="Aula 12","D111 ","")&amp;IF('D112'!B7="Aula 12","D112 ","")&amp;IF('D211'!B7="Aula 12","D211 ","")&amp;IF('D311'!B7="Aula 12","D311 ","")&amp;IF('D411'!B7="Aula 12","D411 ",""))," ",",")</f>
        <v/>
      </c>
      <c r="N3" s="5">
        <f>SUBSTITUTE(TRIM(IF('C111'!B7="Lab 1","C111 ","")&amp;IF('C112'!B7="Lab 1","C112 ","")&amp;IF('C113'!B7="Lab 1","C113 ","")&amp;IF('C121'!B7="Lab 1","C121 ","")&amp;IF('C122'!B7="Lab 1","C122 ","")&amp;IF('C211'!B7="Lab 1","C211 ","")&amp;IF('C212'!B7="Lab 1","C212 ","")&amp;IF('C311'!B7="Lab 1","C311 ","")&amp;IF('C312'!B7="Lab 1","C312 ","")&amp;IF('C411'!B7="Lab 1","C411 ","")&amp;IF('C412'!B7="Lab 1","C412 ","")&amp;IF('M111'!B7="Lab 1","M111 ","")&amp;IF('M112'!B7="Lab 1","M112 ","")&amp;IF('M211'!B7="Lab 1","M211 ","")&amp;IF('M212'!B7="Lab 1","M212 ","")&amp;IF('M311'!B7="Lab 1","M311 ","")&amp;IF('M411'!B7="Lab 1","M411 ","")&amp;IF('D111'!B7="Lab 1","D111 ","")&amp;IF('D112'!B7="Lab 1","D112 ","")&amp;IF('D211'!B7="Lab 1","D211 ","")&amp;IF('D311'!B7="Lab 1","D311 ","")&amp;IF('D411'!B7="Lab 1","D411 ",""))," ",",")</f>
        <v/>
      </c>
      <c r="O3" s="5">
        <f>SUBSTITUTE(TRIM(IF('C111'!B7="Lab 2","C111 ","")&amp;IF('C112'!B7="Lab 2","C112 ","")&amp;IF('C113'!B7="Lab 2","C113 ","")&amp;IF('C121'!B7="Lab 2","C121 ","")&amp;IF('C122'!B7="Lab 2","C122 ","")&amp;IF('C211'!B7="Lab 2","C211 ","")&amp;IF('C212'!B7="Lab 2","C212 ","")&amp;IF('C311'!B7="Lab 2","C311 ","")&amp;IF('C312'!B7="Lab 2","C312 ","")&amp;IF('C411'!B7="Lab 2","C411 ","")&amp;IF('C412'!B7="Lab 2","C412 ","")&amp;IF('M111'!B7="Lab 2","M111 ","")&amp;IF('M112'!B7="Lab 2","M112 ","")&amp;IF('M211'!B7="Lab 2","M211 ","")&amp;IF('M212'!B7="Lab 2","M212 ","")&amp;IF('M311'!B7="Lab 2","M311 ","")&amp;IF('M411'!B7="Lab 2","M411 ","")&amp;IF('D111'!B7="Lab 2","D111 ","")&amp;IF('D112'!B7="Lab 2","D112 ","")&amp;IF('D211'!B7="Lab 2","D211 ","")&amp;IF('D311'!B7="Lab 2","D311 ","")&amp;IF('D411'!B7="Lab 2","D411 ",""))," ",",")</f>
        <v/>
      </c>
      <c r="P3" s="6">
        <f>SUBSTITUTE(TRIM(IF('C111'!B7="Salón","C111 ","")&amp;IF('C112'!B7="Salón","C112 ","")&amp;IF('C113'!B7="Salón","C113 ","")&amp;IF('C121'!B7="Salón","C121 ","")&amp;IF('C122'!B7="Salón","C122 ","")&amp;IF('C211'!B7="Salón","C211 ","")&amp;IF('C212'!B7="Salón","C212 ","")&amp;IF('C311'!B7="Salón","C311 ","")&amp;IF('C312'!B7="Salón","C312 ","")&amp;IF('C411'!B7="Salón","C411 ","")&amp;IF('C412'!B7="Salón","C412 ","")&amp;IF('M111'!B7="Salón","M111 ","")&amp;IF('M112'!B7="Salón","M112 ","")&amp;IF('M211'!B7="Salón","M211 ","")&amp;IF('M212'!B7="Salón","M212 ","")&amp;IF('M311'!B7="Salón","M311 ","")&amp;IF('M411'!B7="Salón","M411 ","")&amp;IF('D111'!B7="Salón","D111 ","")&amp;IF('D112'!B7="Salón","D112 ","")&amp;IF('D211'!B7="Salón","D211 ","")&amp;IF('D311'!B7="Salón","D311 ","")&amp;IF('D411'!B7="Salón","D411 ",""))," ",",")</f>
        <v/>
      </c>
    </row>
    <row r="4">
      <c r="A4" s="4" t="inlineStr">
        <is>
          <t>Turno 3</t>
        </is>
      </c>
      <c r="B4" s="5">
        <f>SUBSTITUTE(TRIM(IF('C111'!B9="Aula 1","C111 ","")&amp;IF('C112'!B9="Aula 1","C112 ","")&amp;IF('C113'!B9="Aula 1","C113 ","")&amp;IF('C121'!B9="Aula 1","C121 ","")&amp;IF('C122'!B9="Aula 1","C122 ","")&amp;IF('C211'!B9="Aula 1","C211 ","")&amp;IF('C212'!B9="Aula 1","C212 ","")&amp;IF('C311'!B9="Aula 1","C311 ","")&amp;IF('C312'!B9="Aula 1","C312 ","")&amp;IF('C411'!B9="Aula 1","C411 ","")&amp;IF('C412'!B9="Aula 1","C412 ","")&amp;IF('M111'!B9="Aula 1","M111 ","")&amp;IF('M112'!B9="Aula 1","M112 ","")&amp;IF('M211'!B9="Aula 1","M211 ","")&amp;IF('M212'!B9="Aula 1","M212 ","")&amp;IF('M311'!B9="Aula 1","M311 ","")&amp;IF('M411'!B9="Aula 1","M411 ","")&amp;IF('D111'!B9="Aula 1","D111 ","")&amp;IF('D112'!B9="Aula 1","D112 ","")&amp;IF('D211'!B9="Aula 1","D211 ","")&amp;IF('D311'!B9="Aula 1","D311 ","")&amp;IF('D411'!B9="Aula 1","D411 ",""))," ",",")</f>
        <v/>
      </c>
      <c r="C4" s="5">
        <f>SUBSTITUTE(TRIM(IF('C111'!B9="Aula 2","C111 ","")&amp;IF('C112'!B9="Aula 2","C112 ","")&amp;IF('C113'!B9="Aula 2","C113 ","")&amp;IF('C121'!B9="Aula 2","C121 ","")&amp;IF('C122'!B9="Aula 2","C122 ","")&amp;IF('C211'!B9="Aula 2","C211 ","")&amp;IF('C212'!B9="Aula 2","C212 ","")&amp;IF('C311'!B9="Aula 2","C311 ","")&amp;IF('C312'!B9="Aula 2","C312 ","")&amp;IF('C411'!B9="Aula 2","C411 ","")&amp;IF('C412'!B9="Aula 2","C412 ","")&amp;IF('M111'!B9="Aula 2","M111 ","")&amp;IF('M112'!B9="Aula 2","M112 ","")&amp;IF('M211'!B9="Aula 2","M211 ","")&amp;IF('M212'!B9="Aula 2","M212 ","")&amp;IF('M311'!B9="Aula 2","M311 ","")&amp;IF('M411'!B9="Aula 2","M411 ","")&amp;IF('D111'!B9="Aula 2","D111 ","")&amp;IF('D112'!B9="Aula 2","D112 ","")&amp;IF('D211'!B9="Aula 2","D211 ","")&amp;IF('D311'!B9="Aula 2","D311 ","")&amp;IF('D411'!B9="Aula 2","D411 ",""))," ",",")</f>
        <v/>
      </c>
      <c r="D4" s="5">
        <f>SUBSTITUTE(TRIM(IF('C111'!B9="Aula 3","C111 ","")&amp;IF('C112'!B9="Aula 3","C112 ","")&amp;IF('C113'!B9="Aula 3","C113 ","")&amp;IF('C121'!B9="Aula 3","C121 ","")&amp;IF('C122'!B9="Aula 3","C122 ","")&amp;IF('C211'!B9="Aula 3","C211 ","")&amp;IF('C212'!B9="Aula 3","C212 ","")&amp;IF('C311'!B9="Aula 3","C311 ","")&amp;IF('C312'!B9="Aula 3","C312 ","")&amp;IF('C411'!B9="Aula 3","C411 ","")&amp;IF('C412'!B9="Aula 3","C412 ","")&amp;IF('M111'!B9="Aula 3","M111 ","")&amp;IF('M112'!B9="Aula 3","M112 ","")&amp;IF('M211'!B9="Aula 3","M211 ","")&amp;IF('M212'!B9="Aula 3","M212 ","")&amp;IF('M311'!B9="Aula 3","M311 ","")&amp;IF('M411'!B9="Aula 3","M411 ","")&amp;IF('D111'!B9="Aula 3","D111 ","")&amp;IF('D112'!B9="Aula 3","D112 ","")&amp;IF('D211'!B9="Aula 3","D211 ","")&amp;IF('D311'!B9="Aula 3","D311 ","")&amp;IF('D411'!B9="Aula 3","D411 ",""))," ",",")</f>
        <v/>
      </c>
      <c r="E4" s="5">
        <f>SUBSTITUTE(TRIM(IF('C111'!B9="Aula 4","C111 ","")&amp;IF('C112'!B9="Aula 4","C112 ","")&amp;IF('C113'!B9="Aula 4","C113 ","")&amp;IF('C121'!B9="Aula 4","C121 ","")&amp;IF('C122'!B9="Aula 4","C122 ","")&amp;IF('C211'!B9="Aula 4","C211 ","")&amp;IF('C212'!B9="Aula 4","C212 ","")&amp;IF('C311'!B9="Aula 4","C311 ","")&amp;IF('C312'!B9="Aula 4","C312 ","")&amp;IF('C411'!B9="Aula 4","C411 ","")&amp;IF('C412'!B9="Aula 4","C412 ","")&amp;IF('M111'!B9="Aula 4","M111 ","")&amp;IF('M112'!B9="Aula 4","M112 ","")&amp;IF('M211'!B9="Aula 4","M211 ","")&amp;IF('M212'!B9="Aula 4","M212 ","")&amp;IF('M311'!B9="Aula 4","M311 ","")&amp;IF('M411'!B9="Aula 4","M411 ","")&amp;IF('D111'!B9="Aula 4","D111 ","")&amp;IF('D112'!B9="Aula 4","D112 ","")&amp;IF('D211'!B9="Aula 4","D211 ","")&amp;IF('D311'!B9="Aula 4","D311 ","")&amp;IF('D411'!B9="Aula 4","D411 ",""))," ",",")</f>
        <v/>
      </c>
      <c r="F4" s="5">
        <f>SUBSTITUTE(TRIM(IF('C111'!B9="Aula 5","C111 ","")&amp;IF('C112'!B9="Aula 5","C112 ","")&amp;IF('C113'!B9="Aula 5","C113 ","")&amp;IF('C121'!B9="Aula 5","C121 ","")&amp;IF('C122'!B9="Aula 5","C122 ","")&amp;IF('C211'!B9="Aula 5","C211 ","")&amp;IF('C212'!B9="Aula 5","C212 ","")&amp;IF('C311'!B9="Aula 5","C311 ","")&amp;IF('C312'!B9="Aula 5","C312 ","")&amp;IF('C411'!B9="Aula 5","C411 ","")&amp;IF('C412'!B9="Aula 5","C412 ","")&amp;IF('M111'!B9="Aula 5","M111 ","")&amp;IF('M112'!B9="Aula 5","M112 ","")&amp;IF('M211'!B9="Aula 5","M211 ","")&amp;IF('M212'!B9="Aula 5","M212 ","")&amp;IF('M311'!B9="Aula 5","M311 ","")&amp;IF('M411'!B9="Aula 5","M411 ","")&amp;IF('D111'!B9="Aula 5","D111 ","")&amp;IF('D112'!B9="Aula 5","D112 ","")&amp;IF('D211'!B9="Aula 5","D211 ","")&amp;IF('D311'!B9="Aula 5","D311 ","")&amp;IF('D411'!B9="Aula 5","D411 ",""))," ",",")</f>
        <v/>
      </c>
      <c r="G4" s="5">
        <f>SUBSTITUTE(TRIM(IF('C111'!B9="Aula 6","C111 ","")&amp;IF('C112'!B9="Aula 6","C112 ","")&amp;IF('C113'!B9="Aula 6","C113 ","")&amp;IF('C121'!B9="Aula 6","C121 ","")&amp;IF('C122'!B9="Aula 6","C122 ","")&amp;IF('C211'!B9="Aula 6","C211 ","")&amp;IF('C212'!B9="Aula 6","C212 ","")&amp;IF('C311'!B9="Aula 6","C311 ","")&amp;IF('C312'!B9="Aula 6","C312 ","")&amp;IF('C411'!B9="Aula 6","C411 ","")&amp;IF('C412'!B9="Aula 6","C412 ","")&amp;IF('M111'!B9="Aula 6","M111 ","")&amp;IF('M112'!B9="Aula 6","M112 ","")&amp;IF('M211'!B9="Aula 6","M211 ","")&amp;IF('M212'!B9="Aula 6","M212 ","")&amp;IF('M311'!B9="Aula 6","M311 ","")&amp;IF('M411'!B9="Aula 6","M411 ","")&amp;IF('D111'!B9="Aula 6","D111 ","")&amp;IF('D112'!B9="Aula 6","D112 ","")&amp;IF('D211'!B9="Aula 6","D211 ","")&amp;IF('D311'!B9="Aula 6","D311 ","")&amp;IF('D411'!B9="Aula 6","D411 ",""))," ",",")</f>
        <v/>
      </c>
      <c r="H4" s="5">
        <f>SUBSTITUTE(TRIM(IF('C111'!B9="Aula 7","C111 ","")&amp;IF('C112'!B9="Aula 7","C112 ","")&amp;IF('C113'!B9="Aula 7","C113 ","")&amp;IF('C121'!B9="Aula 7","C121 ","")&amp;IF('C122'!B9="Aula 7","C122 ","")&amp;IF('C211'!B9="Aula 7","C211 ","")&amp;IF('C212'!B9="Aula 7","C212 ","")&amp;IF('C311'!B9="Aula 7","C311 ","")&amp;IF('C312'!B9="Aula 7","C312 ","")&amp;IF('C411'!B9="Aula 7","C411 ","")&amp;IF('C412'!B9="Aula 7","C412 ","")&amp;IF('M111'!B9="Aula 7","M111 ","")&amp;IF('M112'!B9="Aula 7","M112 ","")&amp;IF('M211'!B9="Aula 7","M211 ","")&amp;IF('M212'!B9="Aula 7","M212 ","")&amp;IF('M311'!B9="Aula 7","M311 ","")&amp;IF('M411'!B9="Aula 7","M411 ","")&amp;IF('D111'!B9="Aula 7","D111 ","")&amp;IF('D112'!B9="Aula 7","D112 ","")&amp;IF('D211'!B9="Aula 7","D211 ","")&amp;IF('D311'!B9="Aula 7","D311 ","")&amp;IF('D411'!B9="Aula 7","D411 ",""))," ",",")</f>
        <v/>
      </c>
      <c r="I4" s="5">
        <f>SUBSTITUTE(TRIM(IF('C111'!B9="Aula 8","C111 ","")&amp;IF('C112'!B9="Aula 8","C112 ","")&amp;IF('C113'!B9="Aula 8","C113 ","")&amp;IF('C121'!B9="Aula 8","C121 ","")&amp;IF('C122'!B9="Aula 8","C122 ","")&amp;IF('C211'!B9="Aula 8","C211 ","")&amp;IF('C212'!B9="Aula 8","C212 ","")&amp;IF('C311'!B9="Aula 8","C311 ","")&amp;IF('C312'!B9="Aula 8","C312 ","")&amp;IF('C411'!B9="Aula 8","C411 ","")&amp;IF('C412'!B9="Aula 8","C412 ","")&amp;IF('M111'!B9="Aula 8","M111 ","")&amp;IF('M112'!B9="Aula 8","M112 ","")&amp;IF('M211'!B9="Aula 8","M211 ","")&amp;IF('M212'!B9="Aula 8","M212 ","")&amp;IF('M311'!B9="Aula 8","M311 ","")&amp;IF('M411'!B9="Aula 8","M411 ","")&amp;IF('D111'!B9="Aula 8","D111 ","")&amp;IF('D112'!B9="Aula 8","D112 ","")&amp;IF('D211'!B9="Aula 8","D211 ","")&amp;IF('D311'!B9="Aula 8","D311 ","")&amp;IF('D411'!B9="Aula 8","D411 ",""))," ",",")</f>
        <v/>
      </c>
      <c r="J4" s="5">
        <f>SUBSTITUTE(TRIM(IF('C111'!B9="Aula 9","C111 ","")&amp;IF('C112'!B9="Aula 9","C112 ","")&amp;IF('C113'!B9="Aula 9","C113 ","")&amp;IF('C121'!B9="Aula 9","C121 ","")&amp;IF('C122'!B9="Aula 9","C122 ","")&amp;IF('C211'!B9="Aula 9","C211 ","")&amp;IF('C212'!B9="Aula 9","C212 ","")&amp;IF('C311'!B9="Aula 9","C311 ","")&amp;IF('C312'!B9="Aula 9","C312 ","")&amp;IF('C411'!B9="Aula 9","C411 ","")&amp;IF('C412'!B9="Aula 9","C412 ","")&amp;IF('M111'!B9="Aula 9","M111 ","")&amp;IF('M112'!B9="Aula 9","M112 ","")&amp;IF('M211'!B9="Aula 9","M211 ","")&amp;IF('M212'!B9="Aula 9","M212 ","")&amp;IF('M311'!B9="Aula 9","M311 ","")&amp;IF('M411'!B9="Aula 9","M411 ","")&amp;IF('D111'!B9="Aula 9","D111 ","")&amp;IF('D112'!B9="Aula 9","D112 ","")&amp;IF('D211'!B9="Aula 9","D211 ","")&amp;IF('D311'!B9="Aula 9","D311 ","")&amp;IF('D411'!B9="Aula 9","D411 ",""))," ",",")</f>
        <v/>
      </c>
      <c r="K4" s="5">
        <f>SUBSTITUTE(TRIM(IF('C111'!B9="Aula 10","C111 ","")&amp;IF('C112'!B9="Aula 10","C112 ","")&amp;IF('C113'!B9="Aula 10","C113 ","")&amp;IF('C121'!B9="Aula 10","C121 ","")&amp;IF('C122'!B9="Aula 10","C122 ","")&amp;IF('C211'!B9="Aula 10","C211 ","")&amp;IF('C212'!B9="Aula 10","C212 ","")&amp;IF('C311'!B9="Aula 10","C311 ","")&amp;IF('C312'!B9="Aula 10","C312 ","")&amp;IF('C411'!B9="Aula 10","C411 ","")&amp;IF('C412'!B9="Aula 10","C412 ","")&amp;IF('M111'!B9="Aula 10","M111 ","")&amp;IF('M112'!B9="Aula 10","M112 ","")&amp;IF('M211'!B9="Aula 10","M211 ","")&amp;IF('M212'!B9="Aula 10","M212 ","")&amp;IF('M311'!B9="Aula 10","M311 ","")&amp;IF('M411'!B9="Aula 10","M411 ","")&amp;IF('D111'!B9="Aula 10","D111 ","")&amp;IF('D112'!B9="Aula 10","D112 ","")&amp;IF('D211'!B9="Aula 10","D211 ","")&amp;IF('D311'!B9="Aula 10","D311 ","")&amp;IF('D411'!B9="Aula 10","D411 ",""))," ",",")</f>
        <v/>
      </c>
      <c r="L4" s="5">
        <f>SUBSTITUTE(TRIM(IF('C111'!B9="Aula 11","C111 ","")&amp;IF('C112'!B9="Aula 11","C112 ","")&amp;IF('C113'!B9="Aula 11","C113 ","")&amp;IF('C121'!B9="Aula 11","C121 ","")&amp;IF('C122'!B9="Aula 11","C122 ","")&amp;IF('C211'!B9="Aula 11","C211 ","")&amp;IF('C212'!B9="Aula 11","C212 ","")&amp;IF('C311'!B9="Aula 11","C311 ","")&amp;IF('C312'!B9="Aula 11","C312 ","")&amp;IF('C411'!B9="Aula 11","C411 ","")&amp;IF('C412'!B9="Aula 11","C412 ","")&amp;IF('M111'!B9="Aula 11","M111 ","")&amp;IF('M112'!B9="Aula 11","M112 ","")&amp;IF('M211'!B9="Aula 11","M211 ","")&amp;IF('M212'!B9="Aula 11","M212 ","")&amp;IF('M311'!B9="Aula 11","M311 ","")&amp;IF('M411'!B9="Aula 11","M411 ","")&amp;IF('D111'!B9="Aula 11","D111 ","")&amp;IF('D112'!B9="Aula 11","D112 ","")&amp;IF('D211'!B9="Aula 11","D211 ","")&amp;IF('D311'!B9="Aula 11","D311 ","")&amp;IF('D411'!B9="Aula 11","D411 ",""))," ",",")</f>
        <v/>
      </c>
      <c r="M4" s="5">
        <f>SUBSTITUTE(TRIM(IF('C111'!B9="Aula 12","C111 ","")&amp;IF('C112'!B9="Aula 12","C112 ","")&amp;IF('C113'!B9="Aula 12","C113 ","")&amp;IF('C121'!B9="Aula 12","C121 ","")&amp;IF('C122'!B9="Aula 12","C122 ","")&amp;IF('C211'!B9="Aula 12","C211 ","")&amp;IF('C212'!B9="Aula 12","C212 ","")&amp;IF('C311'!B9="Aula 12","C311 ","")&amp;IF('C312'!B9="Aula 12","C312 ","")&amp;IF('C411'!B9="Aula 12","C411 ","")&amp;IF('C412'!B9="Aula 12","C412 ","")&amp;IF('M111'!B9="Aula 12","M111 ","")&amp;IF('M112'!B9="Aula 12","M112 ","")&amp;IF('M211'!B9="Aula 12","M211 ","")&amp;IF('M212'!B9="Aula 12","M212 ","")&amp;IF('M311'!B9="Aula 12","M311 ","")&amp;IF('M411'!B9="Aula 12","M411 ","")&amp;IF('D111'!B9="Aula 12","D111 ","")&amp;IF('D112'!B9="Aula 12","D112 ","")&amp;IF('D211'!B9="Aula 12","D211 ","")&amp;IF('D311'!B9="Aula 12","D311 ","")&amp;IF('D411'!B9="Aula 12","D411 ",""))," ",",")</f>
        <v/>
      </c>
      <c r="N4" s="5">
        <f>SUBSTITUTE(TRIM(IF('C111'!B9="Lab 1","C111 ","")&amp;IF('C112'!B9="Lab 1","C112 ","")&amp;IF('C113'!B9="Lab 1","C113 ","")&amp;IF('C121'!B9="Lab 1","C121 ","")&amp;IF('C122'!B9="Lab 1","C122 ","")&amp;IF('C211'!B9="Lab 1","C211 ","")&amp;IF('C212'!B9="Lab 1","C212 ","")&amp;IF('C311'!B9="Lab 1","C311 ","")&amp;IF('C312'!B9="Lab 1","C312 ","")&amp;IF('C411'!B9="Lab 1","C411 ","")&amp;IF('C412'!B9="Lab 1","C412 ","")&amp;IF('M111'!B9="Lab 1","M111 ","")&amp;IF('M112'!B9="Lab 1","M112 ","")&amp;IF('M211'!B9="Lab 1","M211 ","")&amp;IF('M212'!B9="Lab 1","M212 ","")&amp;IF('M311'!B9="Lab 1","M311 ","")&amp;IF('M411'!B9="Lab 1","M411 ","")&amp;IF('D111'!B9="Lab 1","D111 ","")&amp;IF('D112'!B9="Lab 1","D112 ","")&amp;IF('D211'!B9="Lab 1","D211 ","")&amp;IF('D311'!B9="Lab 1","D311 ","")&amp;IF('D411'!B9="Lab 1","D411 ",""))," ",",")</f>
        <v/>
      </c>
      <c r="O4" s="5">
        <f>SUBSTITUTE(TRIM(IF('C111'!B9="Lab 2","C111 ","")&amp;IF('C112'!B9="Lab 2","C112 ","")&amp;IF('C113'!B9="Lab 2","C113 ","")&amp;IF('C121'!B9="Lab 2","C121 ","")&amp;IF('C122'!B9="Lab 2","C122 ","")&amp;IF('C211'!B9="Lab 2","C211 ","")&amp;IF('C212'!B9="Lab 2","C212 ","")&amp;IF('C311'!B9="Lab 2","C311 ","")&amp;IF('C312'!B9="Lab 2","C312 ","")&amp;IF('C411'!B9="Lab 2","C411 ","")&amp;IF('C412'!B9="Lab 2","C412 ","")&amp;IF('M111'!B9="Lab 2","M111 ","")&amp;IF('M112'!B9="Lab 2","M112 ","")&amp;IF('M211'!B9="Lab 2","M211 ","")&amp;IF('M212'!B9="Lab 2","M212 ","")&amp;IF('M311'!B9="Lab 2","M311 ","")&amp;IF('M411'!B9="Lab 2","M411 ","")&amp;IF('D111'!B9="Lab 2","D111 ","")&amp;IF('D112'!B9="Lab 2","D112 ","")&amp;IF('D211'!B9="Lab 2","D211 ","")&amp;IF('D311'!B9="Lab 2","D311 ","")&amp;IF('D411'!B9="Lab 2","D411 ",""))," ",",")</f>
        <v/>
      </c>
      <c r="P4" s="6">
        <f>SUBSTITUTE(TRIM(IF('C111'!B9="Salón","C111 ","")&amp;IF('C112'!B9="Salón","C112 ","")&amp;IF('C113'!B9="Salón","C113 ","")&amp;IF('C121'!B9="Salón","C121 ","")&amp;IF('C122'!B9="Salón","C122 ","")&amp;IF('C211'!B9="Salón","C211 ","")&amp;IF('C212'!B9="Salón","C212 ","")&amp;IF('C311'!B9="Salón","C311 ","")&amp;IF('C312'!B9="Salón","C312 ","")&amp;IF('C411'!B9="Salón","C411 ","")&amp;IF('C412'!B9="Salón","C412 ","")&amp;IF('M111'!B9="Salón","M111 ","")&amp;IF('M112'!B9="Salón","M112 ","")&amp;IF('M211'!B9="Salón","M211 ","")&amp;IF('M212'!B9="Salón","M212 ","")&amp;IF('M311'!B9="Salón","M311 ","")&amp;IF('M411'!B9="Salón","M411 ","")&amp;IF('D111'!B9="Salón","D111 ","")&amp;IF('D112'!B9="Salón","D112 ","")&amp;IF('D211'!B9="Salón","D211 ","")&amp;IF('D311'!B9="Salón","D311 ","")&amp;IF('D411'!B9="Salón","D411 ",""))," ",",")</f>
        <v/>
      </c>
    </row>
    <row r="5">
      <c r="A5" s="4" t="inlineStr">
        <is>
          <t>Turno 4</t>
        </is>
      </c>
      <c r="B5" s="5">
        <f>SUBSTITUTE(TRIM(IF('C111'!B11="Aula 1","C111 ","")&amp;IF('C112'!B11="Aula 1","C112 ","")&amp;IF('C113'!B11="Aula 1","C113 ","")&amp;IF('C121'!B11="Aula 1","C121 ","")&amp;IF('C122'!B11="Aula 1","C122 ","")&amp;IF('C211'!B11="Aula 1","C211 ","")&amp;IF('C212'!B11="Aula 1","C212 ","")&amp;IF('C311'!B11="Aula 1","C311 ","")&amp;IF('C312'!B11="Aula 1","C312 ","")&amp;IF('C411'!B11="Aula 1","C411 ","")&amp;IF('C412'!B11="Aula 1","C412 ","")&amp;IF('M111'!B11="Aula 1","M111 ","")&amp;IF('M112'!B11="Aula 1","M112 ","")&amp;IF('M211'!B11="Aula 1","M211 ","")&amp;IF('M212'!B11="Aula 1","M212 ","")&amp;IF('M311'!B11="Aula 1","M311 ","")&amp;IF('M411'!B11="Aula 1","M411 ","")&amp;IF('D111'!B11="Aula 1","D111 ","")&amp;IF('D112'!B11="Aula 1","D112 ","")&amp;IF('D211'!B11="Aula 1","D211 ","")&amp;IF('D311'!B11="Aula 1","D311 ","")&amp;IF('D411'!B11="Aula 1","D411 ",""))," ",",")</f>
        <v/>
      </c>
      <c r="C5" s="5">
        <f>SUBSTITUTE(TRIM(IF('C111'!B11="Aula 2","C111 ","")&amp;IF('C112'!B11="Aula 2","C112 ","")&amp;IF('C113'!B11="Aula 2","C113 ","")&amp;IF('C121'!B11="Aula 2","C121 ","")&amp;IF('C122'!B11="Aula 2","C122 ","")&amp;IF('C211'!B11="Aula 2","C211 ","")&amp;IF('C212'!B11="Aula 2","C212 ","")&amp;IF('C311'!B11="Aula 2","C311 ","")&amp;IF('C312'!B11="Aula 2","C312 ","")&amp;IF('C411'!B11="Aula 2","C411 ","")&amp;IF('C412'!B11="Aula 2","C412 ","")&amp;IF('M111'!B11="Aula 2","M111 ","")&amp;IF('M112'!B11="Aula 2","M112 ","")&amp;IF('M211'!B11="Aula 2","M211 ","")&amp;IF('M212'!B11="Aula 2","M212 ","")&amp;IF('M311'!B11="Aula 2","M311 ","")&amp;IF('M411'!B11="Aula 2","M411 ","")&amp;IF('D111'!B11="Aula 2","D111 ","")&amp;IF('D112'!B11="Aula 2","D112 ","")&amp;IF('D211'!B11="Aula 2","D211 ","")&amp;IF('D311'!B11="Aula 2","D311 ","")&amp;IF('D411'!B11="Aula 2","D411 ",""))," ",",")</f>
        <v/>
      </c>
      <c r="D5" s="5">
        <f>SUBSTITUTE(TRIM(IF('C111'!B11="Aula 3","C111 ","")&amp;IF('C112'!B11="Aula 3","C112 ","")&amp;IF('C113'!B11="Aula 3","C113 ","")&amp;IF('C121'!B11="Aula 3","C121 ","")&amp;IF('C122'!B11="Aula 3","C122 ","")&amp;IF('C211'!B11="Aula 3","C211 ","")&amp;IF('C212'!B11="Aula 3","C212 ","")&amp;IF('C311'!B11="Aula 3","C311 ","")&amp;IF('C312'!B11="Aula 3","C312 ","")&amp;IF('C411'!B11="Aula 3","C411 ","")&amp;IF('C412'!B11="Aula 3","C412 ","")&amp;IF('M111'!B11="Aula 3","M111 ","")&amp;IF('M112'!B11="Aula 3","M112 ","")&amp;IF('M211'!B11="Aula 3","M211 ","")&amp;IF('M212'!B11="Aula 3","M212 ","")&amp;IF('M311'!B11="Aula 3","M311 ","")&amp;IF('M411'!B11="Aula 3","M411 ","")&amp;IF('D111'!B11="Aula 3","D111 ","")&amp;IF('D112'!B11="Aula 3","D112 ","")&amp;IF('D211'!B11="Aula 3","D211 ","")&amp;IF('D311'!B11="Aula 3","D311 ","")&amp;IF('D411'!B11="Aula 3","D411 ",""))," ",",")</f>
        <v/>
      </c>
      <c r="E5" s="5">
        <f>SUBSTITUTE(TRIM(IF('C111'!B11="Aula 4","C111 ","")&amp;IF('C112'!B11="Aula 4","C112 ","")&amp;IF('C113'!B11="Aula 4","C113 ","")&amp;IF('C121'!B11="Aula 4","C121 ","")&amp;IF('C122'!B11="Aula 4","C122 ","")&amp;IF('C211'!B11="Aula 4","C211 ","")&amp;IF('C212'!B11="Aula 4","C212 ","")&amp;IF('C311'!B11="Aula 4","C311 ","")&amp;IF('C312'!B11="Aula 4","C312 ","")&amp;IF('C411'!B11="Aula 4","C411 ","")&amp;IF('C412'!B11="Aula 4","C412 ","")&amp;IF('M111'!B11="Aula 4","M111 ","")&amp;IF('M112'!B11="Aula 4","M112 ","")&amp;IF('M211'!B11="Aula 4","M211 ","")&amp;IF('M212'!B11="Aula 4","M212 ","")&amp;IF('M311'!B11="Aula 4","M311 ","")&amp;IF('M411'!B11="Aula 4","M411 ","")&amp;IF('D111'!B11="Aula 4","D111 ","")&amp;IF('D112'!B11="Aula 4","D112 ","")&amp;IF('D211'!B11="Aula 4","D211 ","")&amp;IF('D311'!B11="Aula 4","D311 ","")&amp;IF('D411'!B11="Aula 4","D411 ",""))," ",",")</f>
        <v/>
      </c>
      <c r="F5" s="5">
        <f>SUBSTITUTE(TRIM(IF('C111'!B11="Aula 5","C111 ","")&amp;IF('C112'!B11="Aula 5","C112 ","")&amp;IF('C113'!B11="Aula 5","C113 ","")&amp;IF('C121'!B11="Aula 5","C121 ","")&amp;IF('C122'!B11="Aula 5","C122 ","")&amp;IF('C211'!B11="Aula 5","C211 ","")&amp;IF('C212'!B11="Aula 5","C212 ","")&amp;IF('C311'!B11="Aula 5","C311 ","")&amp;IF('C312'!B11="Aula 5","C312 ","")&amp;IF('C411'!B11="Aula 5","C411 ","")&amp;IF('C412'!B11="Aula 5","C412 ","")&amp;IF('M111'!B11="Aula 5","M111 ","")&amp;IF('M112'!B11="Aula 5","M112 ","")&amp;IF('M211'!B11="Aula 5","M211 ","")&amp;IF('M212'!B11="Aula 5","M212 ","")&amp;IF('M311'!B11="Aula 5","M311 ","")&amp;IF('M411'!B11="Aula 5","M411 ","")&amp;IF('D111'!B11="Aula 5","D111 ","")&amp;IF('D112'!B11="Aula 5","D112 ","")&amp;IF('D211'!B11="Aula 5","D211 ","")&amp;IF('D311'!B11="Aula 5","D311 ","")&amp;IF('D411'!B11="Aula 5","D411 ",""))," ",",")</f>
        <v/>
      </c>
      <c r="G5" s="5">
        <f>SUBSTITUTE(TRIM(IF('C111'!B11="Aula 6","C111 ","")&amp;IF('C112'!B11="Aula 6","C112 ","")&amp;IF('C113'!B11="Aula 6","C113 ","")&amp;IF('C121'!B11="Aula 6","C121 ","")&amp;IF('C122'!B11="Aula 6","C122 ","")&amp;IF('C211'!B11="Aula 6","C211 ","")&amp;IF('C212'!B11="Aula 6","C212 ","")&amp;IF('C311'!B11="Aula 6","C311 ","")&amp;IF('C312'!B11="Aula 6","C312 ","")&amp;IF('C411'!B11="Aula 6","C411 ","")&amp;IF('C412'!B11="Aula 6","C412 ","")&amp;IF('M111'!B11="Aula 6","M111 ","")&amp;IF('M112'!B11="Aula 6","M112 ","")&amp;IF('M211'!B11="Aula 6","M211 ","")&amp;IF('M212'!B11="Aula 6","M212 ","")&amp;IF('M311'!B11="Aula 6","M311 ","")&amp;IF('M411'!B11="Aula 6","M411 ","")&amp;IF('D111'!B11="Aula 6","D111 ","")&amp;IF('D112'!B11="Aula 6","D112 ","")&amp;IF('D211'!B11="Aula 6","D211 ","")&amp;IF('D311'!B11="Aula 6","D311 ","")&amp;IF('D411'!B11="Aula 6","D411 ",""))," ",",")</f>
        <v/>
      </c>
      <c r="H5" s="5">
        <f>SUBSTITUTE(TRIM(IF('C111'!B11="Aula 7","C111 ","")&amp;IF('C112'!B11="Aula 7","C112 ","")&amp;IF('C113'!B11="Aula 7","C113 ","")&amp;IF('C121'!B11="Aula 7","C121 ","")&amp;IF('C122'!B11="Aula 7","C122 ","")&amp;IF('C211'!B11="Aula 7","C211 ","")&amp;IF('C212'!B11="Aula 7","C212 ","")&amp;IF('C311'!B11="Aula 7","C311 ","")&amp;IF('C312'!B11="Aula 7","C312 ","")&amp;IF('C411'!B11="Aula 7","C411 ","")&amp;IF('C412'!B11="Aula 7","C412 ","")&amp;IF('M111'!B11="Aula 7","M111 ","")&amp;IF('M112'!B11="Aula 7","M112 ","")&amp;IF('M211'!B11="Aula 7","M211 ","")&amp;IF('M212'!B11="Aula 7","M212 ","")&amp;IF('M311'!B11="Aula 7","M311 ","")&amp;IF('M411'!B11="Aula 7","M411 ","")&amp;IF('D111'!B11="Aula 7","D111 ","")&amp;IF('D112'!B11="Aula 7","D112 ","")&amp;IF('D211'!B11="Aula 7","D211 ","")&amp;IF('D311'!B11="Aula 7","D311 ","")&amp;IF('D411'!B11="Aula 7","D411 ",""))," ",",")</f>
        <v/>
      </c>
      <c r="I5" s="5">
        <f>SUBSTITUTE(TRIM(IF('C111'!B11="Aula 8","C111 ","")&amp;IF('C112'!B11="Aula 8","C112 ","")&amp;IF('C113'!B11="Aula 8","C113 ","")&amp;IF('C121'!B11="Aula 8","C121 ","")&amp;IF('C122'!B11="Aula 8","C122 ","")&amp;IF('C211'!B11="Aula 8","C211 ","")&amp;IF('C212'!B11="Aula 8","C212 ","")&amp;IF('C311'!B11="Aula 8","C311 ","")&amp;IF('C312'!B11="Aula 8","C312 ","")&amp;IF('C411'!B11="Aula 8","C411 ","")&amp;IF('C412'!B11="Aula 8","C412 ","")&amp;IF('M111'!B11="Aula 8","M111 ","")&amp;IF('M112'!B11="Aula 8","M112 ","")&amp;IF('M211'!B11="Aula 8","M211 ","")&amp;IF('M212'!B11="Aula 8","M212 ","")&amp;IF('M311'!B11="Aula 8","M311 ","")&amp;IF('M411'!B11="Aula 8","M411 ","")&amp;IF('D111'!B11="Aula 8","D111 ","")&amp;IF('D112'!B11="Aula 8","D112 ","")&amp;IF('D211'!B11="Aula 8","D211 ","")&amp;IF('D311'!B11="Aula 8","D311 ","")&amp;IF('D411'!B11="Aula 8","D411 ",""))," ",",")</f>
        <v/>
      </c>
      <c r="J5" s="5">
        <f>SUBSTITUTE(TRIM(IF('C111'!B11="Aula 9","C111 ","")&amp;IF('C112'!B11="Aula 9","C112 ","")&amp;IF('C113'!B11="Aula 9","C113 ","")&amp;IF('C121'!B11="Aula 9","C121 ","")&amp;IF('C122'!B11="Aula 9","C122 ","")&amp;IF('C211'!B11="Aula 9","C211 ","")&amp;IF('C212'!B11="Aula 9","C212 ","")&amp;IF('C311'!B11="Aula 9","C311 ","")&amp;IF('C312'!B11="Aula 9","C312 ","")&amp;IF('C411'!B11="Aula 9","C411 ","")&amp;IF('C412'!B11="Aula 9","C412 ","")&amp;IF('M111'!B11="Aula 9","M111 ","")&amp;IF('M112'!B11="Aula 9","M112 ","")&amp;IF('M211'!B11="Aula 9","M211 ","")&amp;IF('M212'!B11="Aula 9","M212 ","")&amp;IF('M311'!B11="Aula 9","M311 ","")&amp;IF('M411'!B11="Aula 9","M411 ","")&amp;IF('D111'!B11="Aula 9","D111 ","")&amp;IF('D112'!B11="Aula 9","D112 ","")&amp;IF('D211'!B11="Aula 9","D211 ","")&amp;IF('D311'!B11="Aula 9","D311 ","")&amp;IF('D411'!B11="Aula 9","D411 ",""))," ",",")</f>
        <v/>
      </c>
      <c r="K5" s="5">
        <f>SUBSTITUTE(TRIM(IF('C111'!B11="Aula 10","C111 ","")&amp;IF('C112'!B11="Aula 10","C112 ","")&amp;IF('C113'!B11="Aula 10","C113 ","")&amp;IF('C121'!B11="Aula 10","C121 ","")&amp;IF('C122'!B11="Aula 10","C122 ","")&amp;IF('C211'!B11="Aula 10","C211 ","")&amp;IF('C212'!B11="Aula 10","C212 ","")&amp;IF('C311'!B11="Aula 10","C311 ","")&amp;IF('C312'!B11="Aula 10","C312 ","")&amp;IF('C411'!B11="Aula 10","C411 ","")&amp;IF('C412'!B11="Aula 10","C412 ","")&amp;IF('M111'!B11="Aula 10","M111 ","")&amp;IF('M112'!B11="Aula 10","M112 ","")&amp;IF('M211'!B11="Aula 10","M211 ","")&amp;IF('M212'!B11="Aula 10","M212 ","")&amp;IF('M311'!B11="Aula 10","M311 ","")&amp;IF('M411'!B11="Aula 10","M411 ","")&amp;IF('D111'!B11="Aula 10","D111 ","")&amp;IF('D112'!B11="Aula 10","D112 ","")&amp;IF('D211'!B11="Aula 10","D211 ","")&amp;IF('D311'!B11="Aula 10","D311 ","")&amp;IF('D411'!B11="Aula 10","D411 ",""))," ",",")</f>
        <v/>
      </c>
      <c r="L5" s="5">
        <f>SUBSTITUTE(TRIM(IF('C111'!B11="Aula 11","C111 ","")&amp;IF('C112'!B11="Aula 11","C112 ","")&amp;IF('C113'!B11="Aula 11","C113 ","")&amp;IF('C121'!B11="Aula 11","C121 ","")&amp;IF('C122'!B11="Aula 11","C122 ","")&amp;IF('C211'!B11="Aula 11","C211 ","")&amp;IF('C212'!B11="Aula 11","C212 ","")&amp;IF('C311'!B11="Aula 11","C311 ","")&amp;IF('C312'!B11="Aula 11","C312 ","")&amp;IF('C411'!B11="Aula 11","C411 ","")&amp;IF('C412'!B11="Aula 11","C412 ","")&amp;IF('M111'!B11="Aula 11","M111 ","")&amp;IF('M112'!B11="Aula 11","M112 ","")&amp;IF('M211'!B11="Aula 11","M211 ","")&amp;IF('M212'!B11="Aula 11","M212 ","")&amp;IF('M311'!B11="Aula 11","M311 ","")&amp;IF('M411'!B11="Aula 11","M411 ","")&amp;IF('D111'!B11="Aula 11","D111 ","")&amp;IF('D112'!B11="Aula 11","D112 ","")&amp;IF('D211'!B11="Aula 11","D211 ","")&amp;IF('D311'!B11="Aula 11","D311 ","")&amp;IF('D411'!B11="Aula 11","D411 ",""))," ",",")</f>
        <v/>
      </c>
      <c r="M5" s="5">
        <f>SUBSTITUTE(TRIM(IF('C111'!B11="Aula 12","C111 ","")&amp;IF('C112'!B11="Aula 12","C112 ","")&amp;IF('C113'!B11="Aula 12","C113 ","")&amp;IF('C121'!B11="Aula 12","C121 ","")&amp;IF('C122'!B11="Aula 12","C122 ","")&amp;IF('C211'!B11="Aula 12","C211 ","")&amp;IF('C212'!B11="Aula 12","C212 ","")&amp;IF('C311'!B11="Aula 12","C311 ","")&amp;IF('C312'!B11="Aula 12","C312 ","")&amp;IF('C411'!B11="Aula 12","C411 ","")&amp;IF('C412'!B11="Aula 12","C412 ","")&amp;IF('M111'!B11="Aula 12","M111 ","")&amp;IF('M112'!B11="Aula 12","M112 ","")&amp;IF('M211'!B11="Aula 12","M211 ","")&amp;IF('M212'!B11="Aula 12","M212 ","")&amp;IF('M311'!B11="Aula 12","M311 ","")&amp;IF('M411'!B11="Aula 12","M411 ","")&amp;IF('D111'!B11="Aula 12","D111 ","")&amp;IF('D112'!B11="Aula 12","D112 ","")&amp;IF('D211'!B11="Aula 12","D211 ","")&amp;IF('D311'!B11="Aula 12","D311 ","")&amp;IF('D411'!B11="Aula 12","D411 ",""))," ",",")</f>
        <v/>
      </c>
      <c r="N5" s="5">
        <f>SUBSTITUTE(TRIM(IF('C111'!B11="Lab 1","C111 ","")&amp;IF('C112'!B11="Lab 1","C112 ","")&amp;IF('C113'!B11="Lab 1","C113 ","")&amp;IF('C121'!B11="Lab 1","C121 ","")&amp;IF('C122'!B11="Lab 1","C122 ","")&amp;IF('C211'!B11="Lab 1","C211 ","")&amp;IF('C212'!B11="Lab 1","C212 ","")&amp;IF('C311'!B11="Lab 1","C311 ","")&amp;IF('C312'!B11="Lab 1","C312 ","")&amp;IF('C411'!B11="Lab 1","C411 ","")&amp;IF('C412'!B11="Lab 1","C412 ","")&amp;IF('M111'!B11="Lab 1","M111 ","")&amp;IF('M112'!B11="Lab 1","M112 ","")&amp;IF('M211'!B11="Lab 1","M211 ","")&amp;IF('M212'!B11="Lab 1","M212 ","")&amp;IF('M311'!B11="Lab 1","M311 ","")&amp;IF('M411'!B11="Lab 1","M411 ","")&amp;IF('D111'!B11="Lab 1","D111 ","")&amp;IF('D112'!B11="Lab 1","D112 ","")&amp;IF('D211'!B11="Lab 1","D211 ","")&amp;IF('D311'!B11="Lab 1","D311 ","")&amp;IF('D411'!B11="Lab 1","D411 ",""))," ",",")</f>
        <v/>
      </c>
      <c r="O5" s="5">
        <f>SUBSTITUTE(TRIM(IF('C111'!B11="Lab 2","C111 ","")&amp;IF('C112'!B11="Lab 2","C112 ","")&amp;IF('C113'!B11="Lab 2","C113 ","")&amp;IF('C121'!B11="Lab 2","C121 ","")&amp;IF('C122'!B11="Lab 2","C122 ","")&amp;IF('C211'!B11="Lab 2","C211 ","")&amp;IF('C212'!B11="Lab 2","C212 ","")&amp;IF('C311'!B11="Lab 2","C311 ","")&amp;IF('C312'!B11="Lab 2","C312 ","")&amp;IF('C411'!B11="Lab 2","C411 ","")&amp;IF('C412'!B11="Lab 2","C412 ","")&amp;IF('M111'!B11="Lab 2","M111 ","")&amp;IF('M112'!B11="Lab 2","M112 ","")&amp;IF('M211'!B11="Lab 2","M211 ","")&amp;IF('M212'!B11="Lab 2","M212 ","")&amp;IF('M311'!B11="Lab 2","M311 ","")&amp;IF('M411'!B11="Lab 2","M411 ","")&amp;IF('D111'!B11="Lab 2","D111 ","")&amp;IF('D112'!B11="Lab 2","D112 ","")&amp;IF('D211'!B11="Lab 2","D211 ","")&amp;IF('D311'!B11="Lab 2","D311 ","")&amp;IF('D411'!B11="Lab 2","D411 ",""))," ",",")</f>
        <v/>
      </c>
      <c r="P5" s="6">
        <f>SUBSTITUTE(TRIM(IF('C111'!B11="Salón","C111 ","")&amp;IF('C112'!B11="Salón","C112 ","")&amp;IF('C113'!B11="Salón","C113 ","")&amp;IF('C121'!B11="Salón","C121 ","")&amp;IF('C122'!B11="Salón","C122 ","")&amp;IF('C211'!B11="Salón","C211 ","")&amp;IF('C212'!B11="Salón","C212 ","")&amp;IF('C311'!B11="Salón","C311 ","")&amp;IF('C312'!B11="Salón","C312 ","")&amp;IF('C411'!B11="Salón","C411 ","")&amp;IF('C412'!B11="Salón","C412 ","")&amp;IF('M111'!B11="Salón","M111 ","")&amp;IF('M112'!B11="Salón","M112 ","")&amp;IF('M211'!B11="Salón","M211 ","")&amp;IF('M212'!B11="Salón","M212 ","")&amp;IF('M311'!B11="Salón","M311 ","")&amp;IF('M411'!B11="Salón","M411 ","")&amp;IF('D111'!B11="Salón","D111 ","")&amp;IF('D112'!B11="Salón","D112 ","")&amp;IF('D211'!B11="Salón","D211 ","")&amp;IF('D311'!B11="Salón","D311 ","")&amp;IF('D411'!B11="Salón","D411 ",""))," ",",")</f>
        <v/>
      </c>
    </row>
    <row r="6">
      <c r="A6" s="4" t="inlineStr">
        <is>
          <t>Turno 5</t>
        </is>
      </c>
      <c r="B6" s="5">
        <f>SUBSTITUTE(TRIM(IF('C111'!B13="Aula 1","C111 ","")&amp;IF('C112'!B13="Aula 1","C112 ","")&amp;IF('C113'!B13="Aula 1","C113 ","")&amp;IF('C121'!B13="Aula 1","C121 ","")&amp;IF('C122'!B13="Aula 1","C122 ","")&amp;IF('C211'!B13="Aula 1","C211 ","")&amp;IF('C212'!B13="Aula 1","C212 ","")&amp;IF('C311'!B13="Aula 1","C311 ","")&amp;IF('C312'!B13="Aula 1","C312 ","")&amp;IF('C411'!B13="Aula 1","C411 ","")&amp;IF('C412'!B13="Aula 1","C412 ","")&amp;IF('M111'!B13="Aula 1","M111 ","")&amp;IF('M112'!B13="Aula 1","M112 ","")&amp;IF('M211'!B13="Aula 1","M211 ","")&amp;IF('M212'!B13="Aula 1","M212 ","")&amp;IF('M311'!B13="Aula 1","M311 ","")&amp;IF('M411'!B13="Aula 1","M411 ","")&amp;IF('D111'!B13="Aula 1","D111 ","")&amp;IF('D112'!B13="Aula 1","D112 ","")&amp;IF('D211'!B13="Aula 1","D211 ","")&amp;IF('D311'!B13="Aula 1","D311 ","")&amp;IF('D411'!B13="Aula 1","D411 ",""))," ",",")</f>
        <v/>
      </c>
      <c r="C6" s="5">
        <f>SUBSTITUTE(TRIM(IF('C111'!B13="Aula 2","C111 ","")&amp;IF('C112'!B13="Aula 2","C112 ","")&amp;IF('C113'!B13="Aula 2","C113 ","")&amp;IF('C121'!B13="Aula 2","C121 ","")&amp;IF('C122'!B13="Aula 2","C122 ","")&amp;IF('C211'!B13="Aula 2","C211 ","")&amp;IF('C212'!B13="Aula 2","C212 ","")&amp;IF('C311'!B13="Aula 2","C311 ","")&amp;IF('C312'!B13="Aula 2","C312 ","")&amp;IF('C411'!B13="Aula 2","C411 ","")&amp;IF('C412'!B13="Aula 2","C412 ","")&amp;IF('M111'!B13="Aula 2","M111 ","")&amp;IF('M112'!B13="Aula 2","M112 ","")&amp;IF('M211'!B13="Aula 2","M211 ","")&amp;IF('M212'!B13="Aula 2","M212 ","")&amp;IF('M311'!B13="Aula 2","M311 ","")&amp;IF('M411'!B13="Aula 2","M411 ","")&amp;IF('D111'!B13="Aula 2","D111 ","")&amp;IF('D112'!B13="Aula 2","D112 ","")&amp;IF('D211'!B13="Aula 2","D211 ","")&amp;IF('D311'!B13="Aula 2","D311 ","")&amp;IF('D411'!B13="Aula 2","D411 ",""))," ",",")</f>
        <v/>
      </c>
      <c r="D6" s="5">
        <f>SUBSTITUTE(TRIM(IF('C111'!B13="Aula 3","C111 ","")&amp;IF('C112'!B13="Aula 3","C112 ","")&amp;IF('C113'!B13="Aula 3","C113 ","")&amp;IF('C121'!B13="Aula 3","C121 ","")&amp;IF('C122'!B13="Aula 3","C122 ","")&amp;IF('C211'!B13="Aula 3","C211 ","")&amp;IF('C212'!B13="Aula 3","C212 ","")&amp;IF('C311'!B13="Aula 3","C311 ","")&amp;IF('C312'!B13="Aula 3","C312 ","")&amp;IF('C411'!B13="Aula 3","C411 ","")&amp;IF('C412'!B13="Aula 3","C412 ","")&amp;IF('M111'!B13="Aula 3","M111 ","")&amp;IF('M112'!B13="Aula 3","M112 ","")&amp;IF('M211'!B13="Aula 3","M211 ","")&amp;IF('M212'!B13="Aula 3","M212 ","")&amp;IF('M311'!B13="Aula 3","M311 ","")&amp;IF('M411'!B13="Aula 3","M411 ","")&amp;IF('D111'!B13="Aula 3","D111 ","")&amp;IF('D112'!B13="Aula 3","D112 ","")&amp;IF('D211'!B13="Aula 3","D211 ","")&amp;IF('D311'!B13="Aula 3","D311 ","")&amp;IF('D411'!B13="Aula 3","D411 ",""))," ",",")</f>
        <v/>
      </c>
      <c r="E6" s="5">
        <f>SUBSTITUTE(TRIM(IF('C111'!B13="Aula 4","C111 ","")&amp;IF('C112'!B13="Aula 4","C112 ","")&amp;IF('C113'!B13="Aula 4","C113 ","")&amp;IF('C121'!B13="Aula 4","C121 ","")&amp;IF('C122'!B13="Aula 4","C122 ","")&amp;IF('C211'!B13="Aula 4","C211 ","")&amp;IF('C212'!B13="Aula 4","C212 ","")&amp;IF('C311'!B13="Aula 4","C311 ","")&amp;IF('C312'!B13="Aula 4","C312 ","")&amp;IF('C411'!B13="Aula 4","C411 ","")&amp;IF('C412'!B13="Aula 4","C412 ","")&amp;IF('M111'!B13="Aula 4","M111 ","")&amp;IF('M112'!B13="Aula 4","M112 ","")&amp;IF('M211'!B13="Aula 4","M211 ","")&amp;IF('M212'!B13="Aula 4","M212 ","")&amp;IF('M311'!B13="Aula 4","M311 ","")&amp;IF('M411'!B13="Aula 4","M411 ","")&amp;IF('D111'!B13="Aula 4","D111 ","")&amp;IF('D112'!B13="Aula 4","D112 ","")&amp;IF('D211'!B13="Aula 4","D211 ","")&amp;IF('D311'!B13="Aula 4","D311 ","")&amp;IF('D411'!B13="Aula 4","D411 ",""))," ",",")</f>
        <v/>
      </c>
      <c r="F6" s="5">
        <f>SUBSTITUTE(TRIM(IF('C111'!B13="Aula 5","C111 ","")&amp;IF('C112'!B13="Aula 5","C112 ","")&amp;IF('C113'!B13="Aula 5","C113 ","")&amp;IF('C121'!B13="Aula 5","C121 ","")&amp;IF('C122'!B13="Aula 5","C122 ","")&amp;IF('C211'!B13="Aula 5","C211 ","")&amp;IF('C212'!B13="Aula 5","C212 ","")&amp;IF('C311'!B13="Aula 5","C311 ","")&amp;IF('C312'!B13="Aula 5","C312 ","")&amp;IF('C411'!B13="Aula 5","C411 ","")&amp;IF('C412'!B13="Aula 5","C412 ","")&amp;IF('M111'!B13="Aula 5","M111 ","")&amp;IF('M112'!B13="Aula 5","M112 ","")&amp;IF('M211'!B13="Aula 5","M211 ","")&amp;IF('M212'!B13="Aula 5","M212 ","")&amp;IF('M311'!B13="Aula 5","M311 ","")&amp;IF('M411'!B13="Aula 5","M411 ","")&amp;IF('D111'!B13="Aula 5","D111 ","")&amp;IF('D112'!B13="Aula 5","D112 ","")&amp;IF('D211'!B13="Aula 5","D211 ","")&amp;IF('D311'!B13="Aula 5","D311 ","")&amp;IF('D411'!B13="Aula 5","D411 ",""))," ",",")</f>
        <v/>
      </c>
      <c r="G6" s="5">
        <f>SUBSTITUTE(TRIM(IF('C111'!B13="Aula 6","C111 ","")&amp;IF('C112'!B13="Aula 6","C112 ","")&amp;IF('C113'!B13="Aula 6","C113 ","")&amp;IF('C121'!B13="Aula 6","C121 ","")&amp;IF('C122'!B13="Aula 6","C122 ","")&amp;IF('C211'!B13="Aula 6","C211 ","")&amp;IF('C212'!B13="Aula 6","C212 ","")&amp;IF('C311'!B13="Aula 6","C311 ","")&amp;IF('C312'!B13="Aula 6","C312 ","")&amp;IF('C411'!B13="Aula 6","C411 ","")&amp;IF('C412'!B13="Aula 6","C412 ","")&amp;IF('M111'!B13="Aula 6","M111 ","")&amp;IF('M112'!B13="Aula 6","M112 ","")&amp;IF('M211'!B13="Aula 6","M211 ","")&amp;IF('M212'!B13="Aula 6","M212 ","")&amp;IF('M311'!B13="Aula 6","M311 ","")&amp;IF('M411'!B13="Aula 6","M411 ","")&amp;IF('D111'!B13="Aula 6","D111 ","")&amp;IF('D112'!B13="Aula 6","D112 ","")&amp;IF('D211'!B13="Aula 6","D211 ","")&amp;IF('D311'!B13="Aula 6","D311 ","")&amp;IF('D411'!B13="Aula 6","D411 ",""))," ",",")</f>
        <v/>
      </c>
      <c r="H6" s="5">
        <f>SUBSTITUTE(TRIM(IF('C111'!B13="Aula 7","C111 ","")&amp;IF('C112'!B13="Aula 7","C112 ","")&amp;IF('C113'!B13="Aula 7","C113 ","")&amp;IF('C121'!B13="Aula 7","C121 ","")&amp;IF('C122'!B13="Aula 7","C122 ","")&amp;IF('C211'!B13="Aula 7","C211 ","")&amp;IF('C212'!B13="Aula 7","C212 ","")&amp;IF('C311'!B13="Aula 7","C311 ","")&amp;IF('C312'!B13="Aula 7","C312 ","")&amp;IF('C411'!B13="Aula 7","C411 ","")&amp;IF('C412'!B13="Aula 7","C412 ","")&amp;IF('M111'!B13="Aula 7","M111 ","")&amp;IF('M112'!B13="Aula 7","M112 ","")&amp;IF('M211'!B13="Aula 7","M211 ","")&amp;IF('M212'!B13="Aula 7","M212 ","")&amp;IF('M311'!B13="Aula 7","M311 ","")&amp;IF('M411'!B13="Aula 7","M411 ","")&amp;IF('D111'!B13="Aula 7","D111 ","")&amp;IF('D112'!B13="Aula 7","D112 ","")&amp;IF('D211'!B13="Aula 7","D211 ","")&amp;IF('D311'!B13="Aula 7","D311 ","")&amp;IF('D411'!B13="Aula 7","D411 ",""))," ",",")</f>
        <v/>
      </c>
      <c r="I6" s="5">
        <f>SUBSTITUTE(TRIM(IF('C111'!B13="Aula 8","C111 ","")&amp;IF('C112'!B13="Aula 8","C112 ","")&amp;IF('C113'!B13="Aula 8","C113 ","")&amp;IF('C121'!B13="Aula 8","C121 ","")&amp;IF('C122'!B13="Aula 8","C122 ","")&amp;IF('C211'!B13="Aula 8","C211 ","")&amp;IF('C212'!B13="Aula 8","C212 ","")&amp;IF('C311'!B13="Aula 8","C311 ","")&amp;IF('C312'!B13="Aula 8","C312 ","")&amp;IF('C411'!B13="Aula 8","C411 ","")&amp;IF('C412'!B13="Aula 8","C412 ","")&amp;IF('M111'!B13="Aula 8","M111 ","")&amp;IF('M112'!B13="Aula 8","M112 ","")&amp;IF('M211'!B13="Aula 8","M211 ","")&amp;IF('M212'!B13="Aula 8","M212 ","")&amp;IF('M311'!B13="Aula 8","M311 ","")&amp;IF('M411'!B13="Aula 8","M411 ","")&amp;IF('D111'!B13="Aula 8","D111 ","")&amp;IF('D112'!B13="Aula 8","D112 ","")&amp;IF('D211'!B13="Aula 8","D211 ","")&amp;IF('D311'!B13="Aula 8","D311 ","")&amp;IF('D411'!B13="Aula 8","D411 ",""))," ",",")</f>
        <v/>
      </c>
      <c r="J6" s="5">
        <f>SUBSTITUTE(TRIM(IF('C111'!B13="Aula 9","C111 ","")&amp;IF('C112'!B13="Aula 9","C112 ","")&amp;IF('C113'!B13="Aula 9","C113 ","")&amp;IF('C121'!B13="Aula 9","C121 ","")&amp;IF('C122'!B13="Aula 9","C122 ","")&amp;IF('C211'!B13="Aula 9","C211 ","")&amp;IF('C212'!B13="Aula 9","C212 ","")&amp;IF('C311'!B13="Aula 9","C311 ","")&amp;IF('C312'!B13="Aula 9","C312 ","")&amp;IF('C411'!B13="Aula 9","C411 ","")&amp;IF('C412'!B13="Aula 9","C412 ","")&amp;IF('M111'!B13="Aula 9","M111 ","")&amp;IF('M112'!B13="Aula 9","M112 ","")&amp;IF('M211'!B13="Aula 9","M211 ","")&amp;IF('M212'!B13="Aula 9","M212 ","")&amp;IF('M311'!B13="Aula 9","M311 ","")&amp;IF('M411'!B13="Aula 9","M411 ","")&amp;IF('D111'!B13="Aula 9","D111 ","")&amp;IF('D112'!B13="Aula 9","D112 ","")&amp;IF('D211'!B13="Aula 9","D211 ","")&amp;IF('D311'!B13="Aula 9","D311 ","")&amp;IF('D411'!B13="Aula 9","D411 ",""))," ",",")</f>
        <v/>
      </c>
      <c r="K6" s="5">
        <f>SUBSTITUTE(TRIM(IF('C111'!B13="Aula 10","C111 ","")&amp;IF('C112'!B13="Aula 10","C112 ","")&amp;IF('C113'!B13="Aula 10","C113 ","")&amp;IF('C121'!B13="Aula 10","C121 ","")&amp;IF('C122'!B13="Aula 10","C122 ","")&amp;IF('C211'!B13="Aula 10","C211 ","")&amp;IF('C212'!B13="Aula 10","C212 ","")&amp;IF('C311'!B13="Aula 10","C311 ","")&amp;IF('C312'!B13="Aula 10","C312 ","")&amp;IF('C411'!B13="Aula 10","C411 ","")&amp;IF('C412'!B13="Aula 10","C412 ","")&amp;IF('M111'!B13="Aula 10","M111 ","")&amp;IF('M112'!B13="Aula 10","M112 ","")&amp;IF('M211'!B13="Aula 10","M211 ","")&amp;IF('M212'!B13="Aula 10","M212 ","")&amp;IF('M311'!B13="Aula 10","M311 ","")&amp;IF('M411'!B13="Aula 10","M411 ","")&amp;IF('D111'!B13="Aula 10","D111 ","")&amp;IF('D112'!B13="Aula 10","D112 ","")&amp;IF('D211'!B13="Aula 10","D211 ","")&amp;IF('D311'!B13="Aula 10","D311 ","")&amp;IF('D411'!B13="Aula 10","D411 ",""))," ",",")</f>
        <v/>
      </c>
      <c r="L6" s="5">
        <f>SUBSTITUTE(TRIM(IF('C111'!B13="Aula 11","C111 ","")&amp;IF('C112'!B13="Aula 11","C112 ","")&amp;IF('C113'!B13="Aula 11","C113 ","")&amp;IF('C121'!B13="Aula 11","C121 ","")&amp;IF('C122'!B13="Aula 11","C122 ","")&amp;IF('C211'!B13="Aula 11","C211 ","")&amp;IF('C212'!B13="Aula 11","C212 ","")&amp;IF('C311'!B13="Aula 11","C311 ","")&amp;IF('C312'!B13="Aula 11","C312 ","")&amp;IF('C411'!B13="Aula 11","C411 ","")&amp;IF('C412'!B13="Aula 11","C412 ","")&amp;IF('M111'!B13="Aula 11","M111 ","")&amp;IF('M112'!B13="Aula 11","M112 ","")&amp;IF('M211'!B13="Aula 11","M211 ","")&amp;IF('M212'!B13="Aula 11","M212 ","")&amp;IF('M311'!B13="Aula 11","M311 ","")&amp;IF('M411'!B13="Aula 11","M411 ","")&amp;IF('D111'!B13="Aula 11","D111 ","")&amp;IF('D112'!B13="Aula 11","D112 ","")&amp;IF('D211'!B13="Aula 11","D211 ","")&amp;IF('D311'!B13="Aula 11","D311 ","")&amp;IF('D411'!B13="Aula 11","D411 ",""))," ",",")</f>
        <v/>
      </c>
      <c r="M6" s="5">
        <f>SUBSTITUTE(TRIM(IF('C111'!B13="Aula 12","C111 ","")&amp;IF('C112'!B13="Aula 12","C112 ","")&amp;IF('C113'!B13="Aula 12","C113 ","")&amp;IF('C121'!B13="Aula 12","C121 ","")&amp;IF('C122'!B13="Aula 12","C122 ","")&amp;IF('C211'!B13="Aula 12","C211 ","")&amp;IF('C212'!B13="Aula 12","C212 ","")&amp;IF('C311'!B13="Aula 12","C311 ","")&amp;IF('C312'!B13="Aula 12","C312 ","")&amp;IF('C411'!B13="Aula 12","C411 ","")&amp;IF('C412'!B13="Aula 12","C412 ","")&amp;IF('M111'!B13="Aula 12","M111 ","")&amp;IF('M112'!B13="Aula 12","M112 ","")&amp;IF('M211'!B13="Aula 12","M211 ","")&amp;IF('M212'!B13="Aula 12","M212 ","")&amp;IF('M311'!B13="Aula 12","M311 ","")&amp;IF('M411'!B13="Aula 12","M411 ","")&amp;IF('D111'!B13="Aula 12","D111 ","")&amp;IF('D112'!B13="Aula 12","D112 ","")&amp;IF('D211'!B13="Aula 12","D211 ","")&amp;IF('D311'!B13="Aula 12","D311 ","")&amp;IF('D411'!B13="Aula 12","D411 ",""))," ",",")</f>
        <v/>
      </c>
      <c r="N6" s="5">
        <f>SUBSTITUTE(TRIM(IF('C111'!B13="Lab 1","C111 ","")&amp;IF('C112'!B13="Lab 1","C112 ","")&amp;IF('C113'!B13="Lab 1","C113 ","")&amp;IF('C121'!B13="Lab 1","C121 ","")&amp;IF('C122'!B13="Lab 1","C122 ","")&amp;IF('C211'!B13="Lab 1","C211 ","")&amp;IF('C212'!B13="Lab 1","C212 ","")&amp;IF('C311'!B13="Lab 1","C311 ","")&amp;IF('C312'!B13="Lab 1","C312 ","")&amp;IF('C411'!B13="Lab 1","C411 ","")&amp;IF('C412'!B13="Lab 1","C412 ","")&amp;IF('M111'!B13="Lab 1","M111 ","")&amp;IF('M112'!B13="Lab 1","M112 ","")&amp;IF('M211'!B13="Lab 1","M211 ","")&amp;IF('M212'!B13="Lab 1","M212 ","")&amp;IF('M311'!B13="Lab 1","M311 ","")&amp;IF('M411'!B13="Lab 1","M411 ","")&amp;IF('D111'!B13="Lab 1","D111 ","")&amp;IF('D112'!B13="Lab 1","D112 ","")&amp;IF('D211'!B13="Lab 1","D211 ","")&amp;IF('D311'!B13="Lab 1","D311 ","")&amp;IF('D411'!B13="Lab 1","D411 ",""))," ",",")</f>
        <v/>
      </c>
      <c r="O6" s="5">
        <f>SUBSTITUTE(TRIM(IF('C111'!B13="Lab 2","C111 ","")&amp;IF('C112'!B13="Lab 2","C112 ","")&amp;IF('C113'!B13="Lab 2","C113 ","")&amp;IF('C121'!B13="Lab 2","C121 ","")&amp;IF('C122'!B13="Lab 2","C122 ","")&amp;IF('C211'!B13="Lab 2","C211 ","")&amp;IF('C212'!B13="Lab 2","C212 ","")&amp;IF('C311'!B13="Lab 2","C311 ","")&amp;IF('C312'!B13="Lab 2","C312 ","")&amp;IF('C411'!B13="Lab 2","C411 ","")&amp;IF('C412'!B13="Lab 2","C412 ","")&amp;IF('M111'!B13="Lab 2","M111 ","")&amp;IF('M112'!B13="Lab 2","M112 ","")&amp;IF('M211'!B13="Lab 2","M211 ","")&amp;IF('M212'!B13="Lab 2","M212 ","")&amp;IF('M311'!B13="Lab 2","M311 ","")&amp;IF('M411'!B13="Lab 2","M411 ","")&amp;IF('D111'!B13="Lab 2","D111 ","")&amp;IF('D112'!B13="Lab 2","D112 ","")&amp;IF('D211'!B13="Lab 2","D211 ","")&amp;IF('D311'!B13="Lab 2","D311 ","")&amp;IF('D411'!B13="Lab 2","D411 ",""))," ",",")</f>
        <v/>
      </c>
      <c r="P6" s="6">
        <f>SUBSTITUTE(TRIM(IF('C111'!B13="Salón","C111 ","")&amp;IF('C112'!B13="Salón","C112 ","")&amp;IF('C113'!B13="Salón","C113 ","")&amp;IF('C121'!B13="Salón","C121 ","")&amp;IF('C122'!B13="Salón","C122 ","")&amp;IF('C211'!B13="Salón","C211 ","")&amp;IF('C212'!B13="Salón","C212 ","")&amp;IF('C311'!B13="Salón","C311 ","")&amp;IF('C312'!B13="Salón","C312 ","")&amp;IF('C411'!B13="Salón","C411 ","")&amp;IF('C412'!B13="Salón","C412 ","")&amp;IF('M111'!B13="Salón","M111 ","")&amp;IF('M112'!B13="Salón","M112 ","")&amp;IF('M211'!B13="Salón","M211 ","")&amp;IF('M212'!B13="Salón","M212 ","")&amp;IF('M311'!B13="Salón","M311 ","")&amp;IF('M411'!B13="Salón","M411 ","")&amp;IF('D111'!B13="Salón","D111 ","")&amp;IF('D112'!B13="Salón","D112 ","")&amp;IF('D211'!B13="Salón","D211 ","")&amp;IF('D311'!B13="Salón","D311 ","")&amp;IF('D411'!B13="Salón","D411 ",""))," ",",")</f>
        <v/>
      </c>
    </row>
    <row r="7">
      <c r="A7" s="7" t="inlineStr">
        <is>
          <t>Turno 6</t>
        </is>
      </c>
      <c r="B7" s="8">
        <f>SUBSTITUTE(TRIM(IF('C111'!B15="Aula 1","C111 ","")&amp;IF('C112'!B15="Aula 1","C112 ","")&amp;IF('C113'!B15="Aula 1","C113 ","")&amp;IF('C121'!B15="Aula 1","C121 ","")&amp;IF('C122'!B15="Aula 1","C122 ","")&amp;IF('C211'!B15="Aula 1","C211 ","")&amp;IF('C212'!B15="Aula 1","C212 ","")&amp;IF('C311'!B15="Aula 1","C311 ","")&amp;IF('C312'!B15="Aula 1","C312 ","")&amp;IF('C411'!B15="Aula 1","C411 ","")&amp;IF('C412'!B15="Aula 1","C412 ","")&amp;IF('M111'!B15="Aula 1","M111 ","")&amp;IF('M112'!B15="Aula 1","M112 ","")&amp;IF('M211'!B15="Aula 1","M211 ","")&amp;IF('M212'!B15="Aula 1","M212 ","")&amp;IF('M311'!B15="Aula 1","M311 ","")&amp;IF('M411'!B15="Aula 1","M411 ","")&amp;IF('D111'!B15="Aula 1","D111 ","")&amp;IF('D112'!B15="Aula 1","D112 ","")&amp;IF('D211'!B15="Aula 1","D211 ","")&amp;IF('D311'!B15="Aula 1","D311 ","")&amp;IF('D411'!B15="Aula 1","D411 ",""))," ",",")</f>
        <v/>
      </c>
      <c r="C7" s="8">
        <f>SUBSTITUTE(TRIM(IF('C111'!B15="Aula 2","C111 ","")&amp;IF('C112'!B15="Aula 2","C112 ","")&amp;IF('C113'!B15="Aula 2","C113 ","")&amp;IF('C121'!B15="Aula 2","C121 ","")&amp;IF('C122'!B15="Aula 2","C122 ","")&amp;IF('C211'!B15="Aula 2","C211 ","")&amp;IF('C212'!B15="Aula 2","C212 ","")&amp;IF('C311'!B15="Aula 2","C311 ","")&amp;IF('C312'!B15="Aula 2","C312 ","")&amp;IF('C411'!B15="Aula 2","C411 ","")&amp;IF('C412'!B15="Aula 2","C412 ","")&amp;IF('M111'!B15="Aula 2","M111 ","")&amp;IF('M112'!B15="Aula 2","M112 ","")&amp;IF('M211'!B15="Aula 2","M211 ","")&amp;IF('M212'!B15="Aula 2","M212 ","")&amp;IF('M311'!B15="Aula 2","M311 ","")&amp;IF('M411'!B15="Aula 2","M411 ","")&amp;IF('D111'!B15="Aula 2","D111 ","")&amp;IF('D112'!B15="Aula 2","D112 ","")&amp;IF('D211'!B15="Aula 2","D211 ","")&amp;IF('D311'!B15="Aula 2","D311 ","")&amp;IF('D411'!B15="Aula 2","D411 ",""))," ",",")</f>
        <v/>
      </c>
      <c r="D7" s="8">
        <f>SUBSTITUTE(TRIM(IF('C111'!B15="Aula 3","C111 ","")&amp;IF('C112'!B15="Aula 3","C112 ","")&amp;IF('C113'!B15="Aula 3","C113 ","")&amp;IF('C121'!B15="Aula 3","C121 ","")&amp;IF('C122'!B15="Aula 3","C122 ","")&amp;IF('C211'!B15="Aula 3","C211 ","")&amp;IF('C212'!B15="Aula 3","C212 ","")&amp;IF('C311'!B15="Aula 3","C311 ","")&amp;IF('C312'!B15="Aula 3","C312 ","")&amp;IF('C411'!B15="Aula 3","C411 ","")&amp;IF('C412'!B15="Aula 3","C412 ","")&amp;IF('M111'!B15="Aula 3","M111 ","")&amp;IF('M112'!B15="Aula 3","M112 ","")&amp;IF('M211'!B15="Aula 3","M211 ","")&amp;IF('M212'!B15="Aula 3","M212 ","")&amp;IF('M311'!B15="Aula 3","M311 ","")&amp;IF('M411'!B15="Aula 3","M411 ","")&amp;IF('D111'!B15="Aula 3","D111 ","")&amp;IF('D112'!B15="Aula 3","D112 ","")&amp;IF('D211'!B15="Aula 3","D211 ","")&amp;IF('D311'!B15="Aula 3","D311 ","")&amp;IF('D411'!B15="Aula 3","D411 ",""))," ",",")</f>
        <v/>
      </c>
      <c r="E7" s="8">
        <f>SUBSTITUTE(TRIM(IF('C111'!B15="Aula 4","C111 ","")&amp;IF('C112'!B15="Aula 4","C112 ","")&amp;IF('C113'!B15="Aula 4","C113 ","")&amp;IF('C121'!B15="Aula 4","C121 ","")&amp;IF('C122'!B15="Aula 4","C122 ","")&amp;IF('C211'!B15="Aula 4","C211 ","")&amp;IF('C212'!B15="Aula 4","C212 ","")&amp;IF('C311'!B15="Aula 4","C311 ","")&amp;IF('C312'!B15="Aula 4","C312 ","")&amp;IF('C411'!B15="Aula 4","C411 ","")&amp;IF('C412'!B15="Aula 4","C412 ","")&amp;IF('M111'!B15="Aula 4","M111 ","")&amp;IF('M112'!B15="Aula 4","M112 ","")&amp;IF('M211'!B15="Aula 4","M211 ","")&amp;IF('M212'!B15="Aula 4","M212 ","")&amp;IF('M311'!B15="Aula 4","M311 ","")&amp;IF('M411'!B15="Aula 4","M411 ","")&amp;IF('D111'!B15="Aula 4","D111 ","")&amp;IF('D112'!B15="Aula 4","D112 ","")&amp;IF('D211'!B15="Aula 4","D211 ","")&amp;IF('D311'!B15="Aula 4","D311 ","")&amp;IF('D411'!B15="Aula 4","D411 ",""))," ",",")</f>
        <v/>
      </c>
      <c r="F7" s="8">
        <f>SUBSTITUTE(TRIM(IF('C111'!B15="Aula 5","C111 ","")&amp;IF('C112'!B15="Aula 5","C112 ","")&amp;IF('C113'!B15="Aula 5","C113 ","")&amp;IF('C121'!B15="Aula 5","C121 ","")&amp;IF('C122'!B15="Aula 5","C122 ","")&amp;IF('C211'!B15="Aula 5","C211 ","")&amp;IF('C212'!B15="Aula 5","C212 ","")&amp;IF('C311'!B15="Aula 5","C311 ","")&amp;IF('C312'!B15="Aula 5","C312 ","")&amp;IF('C411'!B15="Aula 5","C411 ","")&amp;IF('C412'!B15="Aula 5","C412 ","")&amp;IF('M111'!B15="Aula 5","M111 ","")&amp;IF('M112'!B15="Aula 5","M112 ","")&amp;IF('M211'!B15="Aula 5","M211 ","")&amp;IF('M212'!B15="Aula 5","M212 ","")&amp;IF('M311'!B15="Aula 5","M311 ","")&amp;IF('M411'!B15="Aula 5","M411 ","")&amp;IF('D111'!B15="Aula 5","D111 ","")&amp;IF('D112'!B15="Aula 5","D112 ","")&amp;IF('D211'!B15="Aula 5","D211 ","")&amp;IF('D311'!B15="Aula 5","D311 ","")&amp;IF('D411'!B15="Aula 5","D411 ",""))," ",",")</f>
        <v/>
      </c>
      <c r="G7" s="8">
        <f>SUBSTITUTE(TRIM(IF('C111'!B15="Aula 6","C111 ","")&amp;IF('C112'!B15="Aula 6","C112 ","")&amp;IF('C113'!B15="Aula 6","C113 ","")&amp;IF('C121'!B15="Aula 6","C121 ","")&amp;IF('C122'!B15="Aula 6","C122 ","")&amp;IF('C211'!B15="Aula 6","C211 ","")&amp;IF('C212'!B15="Aula 6","C212 ","")&amp;IF('C311'!B15="Aula 6","C311 ","")&amp;IF('C312'!B15="Aula 6","C312 ","")&amp;IF('C411'!B15="Aula 6","C411 ","")&amp;IF('C412'!B15="Aula 6","C412 ","")&amp;IF('M111'!B15="Aula 6","M111 ","")&amp;IF('M112'!B15="Aula 6","M112 ","")&amp;IF('M211'!B15="Aula 6","M211 ","")&amp;IF('M212'!B15="Aula 6","M212 ","")&amp;IF('M311'!B15="Aula 6","M311 ","")&amp;IF('M411'!B15="Aula 6","M411 ","")&amp;IF('D111'!B15="Aula 6","D111 ","")&amp;IF('D112'!B15="Aula 6","D112 ","")&amp;IF('D211'!B15="Aula 6","D211 ","")&amp;IF('D311'!B15="Aula 6","D311 ","")&amp;IF('D411'!B15="Aula 6","D411 ",""))," ",",")</f>
        <v/>
      </c>
      <c r="H7" s="8">
        <f>SUBSTITUTE(TRIM(IF('C111'!B15="Aula 7","C111 ","")&amp;IF('C112'!B15="Aula 7","C112 ","")&amp;IF('C113'!B15="Aula 7","C113 ","")&amp;IF('C121'!B15="Aula 7","C121 ","")&amp;IF('C122'!B15="Aula 7","C122 ","")&amp;IF('C211'!B15="Aula 7","C211 ","")&amp;IF('C212'!B15="Aula 7","C212 ","")&amp;IF('C311'!B15="Aula 7","C311 ","")&amp;IF('C312'!B15="Aula 7","C312 ","")&amp;IF('C411'!B15="Aula 7","C411 ","")&amp;IF('C412'!B15="Aula 7","C412 ","")&amp;IF('M111'!B15="Aula 7","M111 ","")&amp;IF('M112'!B15="Aula 7","M112 ","")&amp;IF('M211'!B15="Aula 7","M211 ","")&amp;IF('M212'!B15="Aula 7","M212 ","")&amp;IF('M311'!B15="Aula 7","M311 ","")&amp;IF('M411'!B15="Aula 7","M411 ","")&amp;IF('D111'!B15="Aula 7","D111 ","")&amp;IF('D112'!B15="Aula 7","D112 ","")&amp;IF('D211'!B15="Aula 7","D211 ","")&amp;IF('D311'!B15="Aula 7","D311 ","")&amp;IF('D411'!B15="Aula 7","D411 ",""))," ",",")</f>
        <v/>
      </c>
      <c r="I7" s="8">
        <f>SUBSTITUTE(TRIM(IF('C111'!B15="Aula 8","C111 ","")&amp;IF('C112'!B15="Aula 8","C112 ","")&amp;IF('C113'!B15="Aula 8","C113 ","")&amp;IF('C121'!B15="Aula 8","C121 ","")&amp;IF('C122'!B15="Aula 8","C122 ","")&amp;IF('C211'!B15="Aula 8","C211 ","")&amp;IF('C212'!B15="Aula 8","C212 ","")&amp;IF('C311'!B15="Aula 8","C311 ","")&amp;IF('C312'!B15="Aula 8","C312 ","")&amp;IF('C411'!B15="Aula 8","C411 ","")&amp;IF('C412'!B15="Aula 8","C412 ","")&amp;IF('M111'!B15="Aula 8","M111 ","")&amp;IF('M112'!B15="Aula 8","M112 ","")&amp;IF('M211'!B15="Aula 8","M211 ","")&amp;IF('M212'!B15="Aula 8","M212 ","")&amp;IF('M311'!B15="Aula 8","M311 ","")&amp;IF('M411'!B15="Aula 8","M411 ","")&amp;IF('D111'!B15="Aula 8","D111 ","")&amp;IF('D112'!B15="Aula 8","D112 ","")&amp;IF('D211'!B15="Aula 8","D211 ","")&amp;IF('D311'!B15="Aula 8","D311 ","")&amp;IF('D411'!B15="Aula 8","D411 ",""))," ",",")</f>
        <v/>
      </c>
      <c r="J7" s="8">
        <f>SUBSTITUTE(TRIM(IF('C111'!B15="Aula 9","C111 ","")&amp;IF('C112'!B15="Aula 9","C112 ","")&amp;IF('C113'!B15="Aula 9","C113 ","")&amp;IF('C121'!B15="Aula 9","C121 ","")&amp;IF('C122'!B15="Aula 9","C122 ","")&amp;IF('C211'!B15="Aula 9","C211 ","")&amp;IF('C212'!B15="Aula 9","C212 ","")&amp;IF('C311'!B15="Aula 9","C311 ","")&amp;IF('C312'!B15="Aula 9","C312 ","")&amp;IF('C411'!B15="Aula 9","C411 ","")&amp;IF('C412'!B15="Aula 9","C412 ","")&amp;IF('M111'!B15="Aula 9","M111 ","")&amp;IF('M112'!B15="Aula 9","M112 ","")&amp;IF('M211'!B15="Aula 9","M211 ","")&amp;IF('M212'!B15="Aula 9","M212 ","")&amp;IF('M311'!B15="Aula 9","M311 ","")&amp;IF('M411'!B15="Aula 9","M411 ","")&amp;IF('D111'!B15="Aula 9","D111 ","")&amp;IF('D112'!B15="Aula 9","D112 ","")&amp;IF('D211'!B15="Aula 9","D211 ","")&amp;IF('D311'!B15="Aula 9","D311 ","")&amp;IF('D411'!B15="Aula 9","D411 ",""))," ",",")</f>
        <v/>
      </c>
      <c r="K7" s="8">
        <f>SUBSTITUTE(TRIM(IF('C111'!B15="Aula 10","C111 ","")&amp;IF('C112'!B15="Aula 10","C112 ","")&amp;IF('C113'!B15="Aula 10","C113 ","")&amp;IF('C121'!B15="Aula 10","C121 ","")&amp;IF('C122'!B15="Aula 10","C122 ","")&amp;IF('C211'!B15="Aula 10","C211 ","")&amp;IF('C212'!B15="Aula 10","C212 ","")&amp;IF('C311'!B15="Aula 10","C311 ","")&amp;IF('C312'!B15="Aula 10","C312 ","")&amp;IF('C411'!B15="Aula 10","C411 ","")&amp;IF('C412'!B15="Aula 10","C412 ","")&amp;IF('M111'!B15="Aula 10","M111 ","")&amp;IF('M112'!B15="Aula 10","M112 ","")&amp;IF('M211'!B15="Aula 10","M211 ","")&amp;IF('M212'!B15="Aula 10","M212 ","")&amp;IF('M311'!B15="Aula 10","M311 ","")&amp;IF('M411'!B15="Aula 10","M411 ","")&amp;IF('D111'!B15="Aula 10","D111 ","")&amp;IF('D112'!B15="Aula 10","D112 ","")&amp;IF('D211'!B15="Aula 10","D211 ","")&amp;IF('D311'!B15="Aula 10","D311 ","")&amp;IF('D411'!B15="Aula 10","D411 ",""))," ",",")</f>
        <v/>
      </c>
      <c r="L7" s="8">
        <f>SUBSTITUTE(TRIM(IF('C111'!B15="Aula 11","C111 ","")&amp;IF('C112'!B15="Aula 11","C112 ","")&amp;IF('C113'!B15="Aula 11","C113 ","")&amp;IF('C121'!B15="Aula 11","C121 ","")&amp;IF('C122'!B15="Aula 11","C122 ","")&amp;IF('C211'!B15="Aula 11","C211 ","")&amp;IF('C212'!B15="Aula 11","C212 ","")&amp;IF('C311'!B15="Aula 11","C311 ","")&amp;IF('C312'!B15="Aula 11","C312 ","")&amp;IF('C411'!B15="Aula 11","C411 ","")&amp;IF('C412'!B15="Aula 11","C412 ","")&amp;IF('M111'!B15="Aula 11","M111 ","")&amp;IF('M112'!B15="Aula 11","M112 ","")&amp;IF('M211'!B15="Aula 11","M211 ","")&amp;IF('M212'!B15="Aula 11","M212 ","")&amp;IF('M311'!B15="Aula 11","M311 ","")&amp;IF('M411'!B15="Aula 11","M411 ","")&amp;IF('D111'!B15="Aula 11","D111 ","")&amp;IF('D112'!B15="Aula 11","D112 ","")&amp;IF('D211'!B15="Aula 11","D211 ","")&amp;IF('D311'!B15="Aula 11","D311 ","")&amp;IF('D411'!B15="Aula 11","D411 ",""))," ",",")</f>
        <v/>
      </c>
      <c r="M7" s="8">
        <f>SUBSTITUTE(TRIM(IF('C111'!B15="Aula 12","C111 ","")&amp;IF('C112'!B15="Aula 12","C112 ","")&amp;IF('C113'!B15="Aula 12","C113 ","")&amp;IF('C121'!B15="Aula 12","C121 ","")&amp;IF('C122'!B15="Aula 12","C122 ","")&amp;IF('C211'!B15="Aula 12","C211 ","")&amp;IF('C212'!B15="Aula 12","C212 ","")&amp;IF('C311'!B15="Aula 12","C311 ","")&amp;IF('C312'!B15="Aula 12","C312 ","")&amp;IF('C411'!B15="Aula 12","C411 ","")&amp;IF('C412'!B15="Aula 12","C412 ","")&amp;IF('M111'!B15="Aula 12","M111 ","")&amp;IF('M112'!B15="Aula 12","M112 ","")&amp;IF('M211'!B15="Aula 12","M211 ","")&amp;IF('M212'!B15="Aula 12","M212 ","")&amp;IF('M311'!B15="Aula 12","M311 ","")&amp;IF('M411'!B15="Aula 12","M411 ","")&amp;IF('D111'!B15="Aula 12","D111 ","")&amp;IF('D112'!B15="Aula 12","D112 ","")&amp;IF('D211'!B15="Aula 12","D211 ","")&amp;IF('D311'!B15="Aula 12","D311 ","")&amp;IF('D411'!B15="Aula 12","D411 ",""))," ",",")</f>
        <v/>
      </c>
      <c r="N7" s="8">
        <f>SUBSTITUTE(TRIM(IF('C111'!B15="Lab 1","C111 ","")&amp;IF('C112'!B15="Lab 1","C112 ","")&amp;IF('C113'!B15="Lab 1","C113 ","")&amp;IF('C121'!B15="Lab 1","C121 ","")&amp;IF('C122'!B15="Lab 1","C122 ","")&amp;IF('C211'!B15="Lab 1","C211 ","")&amp;IF('C212'!B15="Lab 1","C212 ","")&amp;IF('C311'!B15="Lab 1","C311 ","")&amp;IF('C312'!B15="Lab 1","C312 ","")&amp;IF('C411'!B15="Lab 1","C411 ","")&amp;IF('C412'!B15="Lab 1","C412 ","")&amp;IF('M111'!B15="Lab 1","M111 ","")&amp;IF('M112'!B15="Lab 1","M112 ","")&amp;IF('M211'!B15="Lab 1","M211 ","")&amp;IF('M212'!B15="Lab 1","M212 ","")&amp;IF('M311'!B15="Lab 1","M311 ","")&amp;IF('M411'!B15="Lab 1","M411 ","")&amp;IF('D111'!B15="Lab 1","D111 ","")&amp;IF('D112'!B15="Lab 1","D112 ","")&amp;IF('D211'!B15="Lab 1","D211 ","")&amp;IF('D311'!B15="Lab 1","D311 ","")&amp;IF('D411'!B15="Lab 1","D411 ",""))," ",",")</f>
        <v/>
      </c>
      <c r="O7" s="8">
        <f>SUBSTITUTE(TRIM(IF('C111'!B15="Lab 2","C111 ","")&amp;IF('C112'!B15="Lab 2","C112 ","")&amp;IF('C113'!B15="Lab 2","C113 ","")&amp;IF('C121'!B15="Lab 2","C121 ","")&amp;IF('C122'!B15="Lab 2","C122 ","")&amp;IF('C211'!B15="Lab 2","C211 ","")&amp;IF('C212'!B15="Lab 2","C212 ","")&amp;IF('C311'!B15="Lab 2","C311 ","")&amp;IF('C312'!B15="Lab 2","C312 ","")&amp;IF('C411'!B15="Lab 2","C411 ","")&amp;IF('C412'!B15="Lab 2","C412 ","")&amp;IF('M111'!B15="Lab 2","M111 ","")&amp;IF('M112'!B15="Lab 2","M112 ","")&amp;IF('M211'!B15="Lab 2","M211 ","")&amp;IF('M212'!B15="Lab 2","M212 ","")&amp;IF('M311'!B15="Lab 2","M311 ","")&amp;IF('M411'!B15="Lab 2","M411 ","")&amp;IF('D111'!B15="Lab 2","D111 ","")&amp;IF('D112'!B15="Lab 2","D112 ","")&amp;IF('D211'!B15="Lab 2","D211 ","")&amp;IF('D311'!B15="Lab 2","D311 ","")&amp;IF('D411'!B15="Lab 2","D411 ",""))," ",",")</f>
        <v/>
      </c>
      <c r="P7" s="9">
        <f>SUBSTITUTE(TRIM(IF('C111'!B15="Salón","C111 ","")&amp;IF('C112'!B15="Salón","C112 ","")&amp;IF('C113'!B15="Salón","C113 ","")&amp;IF('C121'!B15="Salón","C121 ","")&amp;IF('C122'!B15="Salón","C122 ","")&amp;IF('C211'!B15="Salón","C211 ","")&amp;IF('C212'!B15="Salón","C212 ","")&amp;IF('C311'!B15="Salón","C311 ","")&amp;IF('C312'!B15="Salón","C312 ","")&amp;IF('C411'!B15="Salón","C411 ","")&amp;IF('C412'!B15="Salón","C412 ","")&amp;IF('M111'!B15="Salón","M111 ","")&amp;IF('M112'!B15="Salón","M112 ","")&amp;IF('M211'!B15="Salón","M211 ","")&amp;IF('M212'!B15="Salón","M212 ","")&amp;IF('M311'!B15="Salón","M311 ","")&amp;IF('M411'!B15="Salón","M411 ","")&amp;IF('D111'!B15="Salón","D111 ","")&amp;IF('D112'!B15="Salón","D112 ","")&amp;IF('D211'!B15="Salón","D211 ","")&amp;IF('D311'!B15="Salón","D311 ","")&amp;IF('D411'!B15="Salón","D411 ",""))," ",",")</f>
        <v/>
      </c>
    </row>
    <row r="8"/>
    <row r="9">
      <c r="A9" s="1" t="inlineStr">
        <is>
          <t>Martes</t>
        </is>
      </c>
      <c r="B9" s="2" t="inlineStr">
        <is>
          <t>Aula 1</t>
        </is>
      </c>
      <c r="C9" s="2" t="inlineStr">
        <is>
          <t>Aula 2</t>
        </is>
      </c>
      <c r="D9" s="2" t="inlineStr">
        <is>
          <t>Aula 3</t>
        </is>
      </c>
      <c r="E9" s="2" t="inlineStr">
        <is>
          <t>Aula 4</t>
        </is>
      </c>
      <c r="F9" s="2" t="inlineStr">
        <is>
          <t>Aula 5</t>
        </is>
      </c>
      <c r="G9" s="2" t="inlineStr">
        <is>
          <t>Aula 6</t>
        </is>
      </c>
      <c r="H9" s="2" t="inlineStr">
        <is>
          <t>Aula 7</t>
        </is>
      </c>
      <c r="I9" s="2" t="inlineStr">
        <is>
          <t>Aula 8</t>
        </is>
      </c>
      <c r="J9" s="2" t="inlineStr">
        <is>
          <t>Aula 9</t>
        </is>
      </c>
      <c r="K9" s="2" t="inlineStr">
        <is>
          <t>Aula 10</t>
        </is>
      </c>
      <c r="L9" s="2" t="inlineStr">
        <is>
          <t>Aula 11</t>
        </is>
      </c>
      <c r="M9" s="2" t="inlineStr">
        <is>
          <t>Aula 12</t>
        </is>
      </c>
      <c r="N9" s="2" t="inlineStr">
        <is>
          <t>Lab 1</t>
        </is>
      </c>
      <c r="O9" s="2" t="inlineStr">
        <is>
          <t>Lab 2</t>
        </is>
      </c>
      <c r="P9" s="3" t="inlineStr">
        <is>
          <t>Salón</t>
        </is>
      </c>
    </row>
    <row r="10">
      <c r="A10" s="4" t="inlineStr">
        <is>
          <t>Turno 1</t>
        </is>
      </c>
      <c r="B10" s="5">
        <f>SUBSTITUTE(TRIM(IF('C111'!C5="Aula 1","C111 ","")&amp;IF('C112'!C5="Aula 1","C112 ","")&amp;IF('C113'!C5="Aula 1","C113 ","")&amp;IF('C121'!C5="Aula 1","C121 ","")&amp;IF('C122'!C5="Aula 1","C122 ","")&amp;IF('C211'!C5="Aula 1","C211 ","")&amp;IF('C212'!C5="Aula 1","C212 ","")&amp;IF('C311'!C5="Aula 1","C311 ","")&amp;IF('C312'!C5="Aula 1","C312 ","")&amp;IF('C411'!C5="Aula 1","C411 ","")&amp;IF('C412'!C5="Aula 1","C412 ","")&amp;IF('M111'!C5="Aula 1","M111 ","")&amp;IF('M112'!C5="Aula 1","M112 ","")&amp;IF('M211'!C5="Aula 1","M211 ","")&amp;IF('M212'!C5="Aula 1","M212 ","")&amp;IF('M311'!C5="Aula 1","M311 ","")&amp;IF('M411'!C5="Aula 1","M411 ","")&amp;IF('D111'!C5="Aula 1","D111 ","")&amp;IF('D112'!C5="Aula 1","D112 ","")&amp;IF('D211'!C5="Aula 1","D211 ","")&amp;IF('D311'!C5="Aula 1","D311 ","")&amp;IF('D411'!C5="Aula 1","D411 ",""))," ",",")</f>
        <v/>
      </c>
      <c r="C10" s="5">
        <f>SUBSTITUTE(TRIM(IF('C111'!C5="Aula 2","C111 ","")&amp;IF('C112'!C5="Aula 2","C112 ","")&amp;IF('C113'!C5="Aula 2","C113 ","")&amp;IF('C121'!C5="Aula 2","C121 ","")&amp;IF('C122'!C5="Aula 2","C122 ","")&amp;IF('C211'!C5="Aula 2","C211 ","")&amp;IF('C212'!C5="Aula 2","C212 ","")&amp;IF('C311'!C5="Aula 2","C311 ","")&amp;IF('C312'!C5="Aula 2","C312 ","")&amp;IF('C411'!C5="Aula 2","C411 ","")&amp;IF('C412'!C5="Aula 2","C412 ","")&amp;IF('M111'!C5="Aula 2","M111 ","")&amp;IF('M112'!C5="Aula 2","M112 ","")&amp;IF('M211'!C5="Aula 2","M211 ","")&amp;IF('M212'!C5="Aula 2","M212 ","")&amp;IF('M311'!C5="Aula 2","M311 ","")&amp;IF('M411'!C5="Aula 2","M411 ","")&amp;IF('D111'!C5="Aula 2","D111 ","")&amp;IF('D112'!C5="Aula 2","D112 ","")&amp;IF('D211'!C5="Aula 2","D211 ","")&amp;IF('D311'!C5="Aula 2","D311 ","")&amp;IF('D411'!C5="Aula 2","D411 ",""))," ",",")</f>
        <v/>
      </c>
      <c r="D10" s="5">
        <f>SUBSTITUTE(TRIM(IF('C111'!C5="Aula 3","C111 ","")&amp;IF('C112'!C5="Aula 3","C112 ","")&amp;IF('C113'!C5="Aula 3","C113 ","")&amp;IF('C121'!C5="Aula 3","C121 ","")&amp;IF('C122'!C5="Aula 3","C122 ","")&amp;IF('C211'!C5="Aula 3","C211 ","")&amp;IF('C212'!C5="Aula 3","C212 ","")&amp;IF('C311'!C5="Aula 3","C311 ","")&amp;IF('C312'!C5="Aula 3","C312 ","")&amp;IF('C411'!C5="Aula 3","C411 ","")&amp;IF('C412'!C5="Aula 3","C412 ","")&amp;IF('M111'!C5="Aula 3","M111 ","")&amp;IF('M112'!C5="Aula 3","M112 ","")&amp;IF('M211'!C5="Aula 3","M211 ","")&amp;IF('M212'!C5="Aula 3","M212 ","")&amp;IF('M311'!C5="Aula 3","M311 ","")&amp;IF('M411'!C5="Aula 3","M411 ","")&amp;IF('D111'!C5="Aula 3","D111 ","")&amp;IF('D112'!C5="Aula 3","D112 ","")&amp;IF('D211'!C5="Aula 3","D211 ","")&amp;IF('D311'!C5="Aula 3","D311 ","")&amp;IF('D411'!C5="Aula 3","D411 ",""))," ",",")</f>
        <v/>
      </c>
      <c r="E10" s="5">
        <f>SUBSTITUTE(TRIM(IF('C111'!C5="Aula 4","C111 ","")&amp;IF('C112'!C5="Aula 4","C112 ","")&amp;IF('C113'!C5="Aula 4","C113 ","")&amp;IF('C121'!C5="Aula 4","C121 ","")&amp;IF('C122'!C5="Aula 4","C122 ","")&amp;IF('C211'!C5="Aula 4","C211 ","")&amp;IF('C212'!C5="Aula 4","C212 ","")&amp;IF('C311'!C5="Aula 4","C311 ","")&amp;IF('C312'!C5="Aula 4","C312 ","")&amp;IF('C411'!C5="Aula 4","C411 ","")&amp;IF('C412'!C5="Aula 4","C412 ","")&amp;IF('M111'!C5="Aula 4","M111 ","")&amp;IF('M112'!C5="Aula 4","M112 ","")&amp;IF('M211'!C5="Aula 4","M211 ","")&amp;IF('M212'!C5="Aula 4","M212 ","")&amp;IF('M311'!C5="Aula 4","M311 ","")&amp;IF('M411'!C5="Aula 4","M411 ","")&amp;IF('D111'!C5="Aula 4","D111 ","")&amp;IF('D112'!C5="Aula 4","D112 ","")&amp;IF('D211'!C5="Aula 4","D211 ","")&amp;IF('D311'!C5="Aula 4","D311 ","")&amp;IF('D411'!C5="Aula 4","D411 ",""))," ",",")</f>
        <v/>
      </c>
      <c r="F10" s="5">
        <f>SUBSTITUTE(TRIM(IF('C111'!C5="Aula 5","C111 ","")&amp;IF('C112'!C5="Aula 5","C112 ","")&amp;IF('C113'!C5="Aula 5","C113 ","")&amp;IF('C121'!C5="Aula 5","C121 ","")&amp;IF('C122'!C5="Aula 5","C122 ","")&amp;IF('C211'!C5="Aula 5","C211 ","")&amp;IF('C212'!C5="Aula 5","C212 ","")&amp;IF('C311'!C5="Aula 5","C311 ","")&amp;IF('C312'!C5="Aula 5","C312 ","")&amp;IF('C411'!C5="Aula 5","C411 ","")&amp;IF('C412'!C5="Aula 5","C412 ","")&amp;IF('M111'!C5="Aula 5","M111 ","")&amp;IF('M112'!C5="Aula 5","M112 ","")&amp;IF('M211'!C5="Aula 5","M211 ","")&amp;IF('M212'!C5="Aula 5","M212 ","")&amp;IF('M311'!C5="Aula 5","M311 ","")&amp;IF('M411'!C5="Aula 5","M411 ","")&amp;IF('D111'!C5="Aula 5","D111 ","")&amp;IF('D112'!C5="Aula 5","D112 ","")&amp;IF('D211'!C5="Aula 5","D211 ","")&amp;IF('D311'!C5="Aula 5","D311 ","")&amp;IF('D411'!C5="Aula 5","D411 ",""))," ",",")</f>
        <v/>
      </c>
      <c r="G10" s="5">
        <f>SUBSTITUTE(TRIM(IF('C111'!C5="Aula 6","C111 ","")&amp;IF('C112'!C5="Aula 6","C112 ","")&amp;IF('C113'!C5="Aula 6","C113 ","")&amp;IF('C121'!C5="Aula 6","C121 ","")&amp;IF('C122'!C5="Aula 6","C122 ","")&amp;IF('C211'!C5="Aula 6","C211 ","")&amp;IF('C212'!C5="Aula 6","C212 ","")&amp;IF('C311'!C5="Aula 6","C311 ","")&amp;IF('C312'!C5="Aula 6","C312 ","")&amp;IF('C411'!C5="Aula 6","C411 ","")&amp;IF('C412'!C5="Aula 6","C412 ","")&amp;IF('M111'!C5="Aula 6","M111 ","")&amp;IF('M112'!C5="Aula 6","M112 ","")&amp;IF('M211'!C5="Aula 6","M211 ","")&amp;IF('M212'!C5="Aula 6","M212 ","")&amp;IF('M311'!C5="Aula 6","M311 ","")&amp;IF('M411'!C5="Aula 6","M411 ","")&amp;IF('D111'!C5="Aula 6","D111 ","")&amp;IF('D112'!C5="Aula 6","D112 ","")&amp;IF('D211'!C5="Aula 6","D211 ","")&amp;IF('D311'!C5="Aula 6","D311 ","")&amp;IF('D411'!C5="Aula 6","D411 ",""))," ",",")</f>
        <v/>
      </c>
      <c r="H10" s="5">
        <f>SUBSTITUTE(TRIM(IF('C111'!C5="Aula 7","C111 ","")&amp;IF('C112'!C5="Aula 7","C112 ","")&amp;IF('C113'!C5="Aula 7","C113 ","")&amp;IF('C121'!C5="Aula 7","C121 ","")&amp;IF('C122'!C5="Aula 7","C122 ","")&amp;IF('C211'!C5="Aula 7","C211 ","")&amp;IF('C212'!C5="Aula 7","C212 ","")&amp;IF('C311'!C5="Aula 7","C311 ","")&amp;IF('C312'!C5="Aula 7","C312 ","")&amp;IF('C411'!C5="Aula 7","C411 ","")&amp;IF('C412'!C5="Aula 7","C412 ","")&amp;IF('M111'!C5="Aula 7","M111 ","")&amp;IF('M112'!C5="Aula 7","M112 ","")&amp;IF('M211'!C5="Aula 7","M211 ","")&amp;IF('M212'!C5="Aula 7","M212 ","")&amp;IF('M311'!C5="Aula 7","M311 ","")&amp;IF('M411'!C5="Aula 7","M411 ","")&amp;IF('D111'!C5="Aula 7","D111 ","")&amp;IF('D112'!C5="Aula 7","D112 ","")&amp;IF('D211'!C5="Aula 7","D211 ","")&amp;IF('D311'!C5="Aula 7","D311 ","")&amp;IF('D411'!C5="Aula 7","D411 ",""))," ",",")</f>
        <v/>
      </c>
      <c r="I10" s="5">
        <f>SUBSTITUTE(TRIM(IF('C111'!C5="Aula 8","C111 ","")&amp;IF('C112'!C5="Aula 8","C112 ","")&amp;IF('C113'!C5="Aula 8","C113 ","")&amp;IF('C121'!C5="Aula 8","C121 ","")&amp;IF('C122'!C5="Aula 8","C122 ","")&amp;IF('C211'!C5="Aula 8","C211 ","")&amp;IF('C212'!C5="Aula 8","C212 ","")&amp;IF('C311'!C5="Aula 8","C311 ","")&amp;IF('C312'!C5="Aula 8","C312 ","")&amp;IF('C411'!C5="Aula 8","C411 ","")&amp;IF('C412'!C5="Aula 8","C412 ","")&amp;IF('M111'!C5="Aula 8","M111 ","")&amp;IF('M112'!C5="Aula 8","M112 ","")&amp;IF('M211'!C5="Aula 8","M211 ","")&amp;IF('M212'!C5="Aula 8","M212 ","")&amp;IF('M311'!C5="Aula 8","M311 ","")&amp;IF('M411'!C5="Aula 8","M411 ","")&amp;IF('D111'!C5="Aula 8","D111 ","")&amp;IF('D112'!C5="Aula 8","D112 ","")&amp;IF('D211'!C5="Aula 8","D211 ","")&amp;IF('D311'!C5="Aula 8","D311 ","")&amp;IF('D411'!C5="Aula 8","D411 ",""))," ",",")</f>
        <v/>
      </c>
      <c r="J10" s="5">
        <f>SUBSTITUTE(TRIM(IF('C111'!C5="Aula 9","C111 ","")&amp;IF('C112'!C5="Aula 9","C112 ","")&amp;IF('C113'!C5="Aula 9","C113 ","")&amp;IF('C121'!C5="Aula 9","C121 ","")&amp;IF('C122'!C5="Aula 9","C122 ","")&amp;IF('C211'!C5="Aula 9","C211 ","")&amp;IF('C212'!C5="Aula 9","C212 ","")&amp;IF('C311'!C5="Aula 9","C311 ","")&amp;IF('C312'!C5="Aula 9","C312 ","")&amp;IF('C411'!C5="Aula 9","C411 ","")&amp;IF('C412'!C5="Aula 9","C412 ","")&amp;IF('M111'!C5="Aula 9","M111 ","")&amp;IF('M112'!C5="Aula 9","M112 ","")&amp;IF('M211'!C5="Aula 9","M211 ","")&amp;IF('M212'!C5="Aula 9","M212 ","")&amp;IF('M311'!C5="Aula 9","M311 ","")&amp;IF('M411'!C5="Aula 9","M411 ","")&amp;IF('D111'!C5="Aula 9","D111 ","")&amp;IF('D112'!C5="Aula 9","D112 ","")&amp;IF('D211'!C5="Aula 9","D211 ","")&amp;IF('D311'!C5="Aula 9","D311 ","")&amp;IF('D411'!C5="Aula 9","D411 ",""))," ",",")</f>
        <v/>
      </c>
      <c r="K10" s="5">
        <f>SUBSTITUTE(TRIM(IF('C111'!C5="Aula 10","C111 ","")&amp;IF('C112'!C5="Aula 10","C112 ","")&amp;IF('C113'!C5="Aula 10","C113 ","")&amp;IF('C121'!C5="Aula 10","C121 ","")&amp;IF('C122'!C5="Aula 10","C122 ","")&amp;IF('C211'!C5="Aula 10","C211 ","")&amp;IF('C212'!C5="Aula 10","C212 ","")&amp;IF('C311'!C5="Aula 10","C311 ","")&amp;IF('C312'!C5="Aula 10","C312 ","")&amp;IF('C411'!C5="Aula 10","C411 ","")&amp;IF('C412'!C5="Aula 10","C412 ","")&amp;IF('M111'!C5="Aula 10","M111 ","")&amp;IF('M112'!C5="Aula 10","M112 ","")&amp;IF('M211'!C5="Aula 10","M211 ","")&amp;IF('M212'!C5="Aula 10","M212 ","")&amp;IF('M311'!C5="Aula 10","M311 ","")&amp;IF('M411'!C5="Aula 10","M411 ","")&amp;IF('D111'!C5="Aula 10","D111 ","")&amp;IF('D112'!C5="Aula 10","D112 ","")&amp;IF('D211'!C5="Aula 10","D211 ","")&amp;IF('D311'!C5="Aula 10","D311 ","")&amp;IF('D411'!C5="Aula 10","D411 ",""))," ",",")</f>
        <v/>
      </c>
      <c r="L10" s="5">
        <f>SUBSTITUTE(TRIM(IF('C111'!C5="Aula 11","C111 ","")&amp;IF('C112'!C5="Aula 11","C112 ","")&amp;IF('C113'!C5="Aula 11","C113 ","")&amp;IF('C121'!C5="Aula 11","C121 ","")&amp;IF('C122'!C5="Aula 11","C122 ","")&amp;IF('C211'!C5="Aula 11","C211 ","")&amp;IF('C212'!C5="Aula 11","C212 ","")&amp;IF('C311'!C5="Aula 11","C311 ","")&amp;IF('C312'!C5="Aula 11","C312 ","")&amp;IF('C411'!C5="Aula 11","C411 ","")&amp;IF('C412'!C5="Aula 11","C412 ","")&amp;IF('M111'!C5="Aula 11","M111 ","")&amp;IF('M112'!C5="Aula 11","M112 ","")&amp;IF('M211'!C5="Aula 11","M211 ","")&amp;IF('M212'!C5="Aula 11","M212 ","")&amp;IF('M311'!C5="Aula 11","M311 ","")&amp;IF('M411'!C5="Aula 11","M411 ","")&amp;IF('D111'!C5="Aula 11","D111 ","")&amp;IF('D112'!C5="Aula 11","D112 ","")&amp;IF('D211'!C5="Aula 11","D211 ","")&amp;IF('D311'!C5="Aula 11","D311 ","")&amp;IF('D411'!C5="Aula 11","D411 ",""))," ",",")</f>
        <v/>
      </c>
      <c r="M10" s="5">
        <f>SUBSTITUTE(TRIM(IF('C111'!C5="Aula 12","C111 ","")&amp;IF('C112'!C5="Aula 12","C112 ","")&amp;IF('C113'!C5="Aula 12","C113 ","")&amp;IF('C121'!C5="Aula 12","C121 ","")&amp;IF('C122'!C5="Aula 12","C122 ","")&amp;IF('C211'!C5="Aula 12","C211 ","")&amp;IF('C212'!C5="Aula 12","C212 ","")&amp;IF('C311'!C5="Aula 12","C311 ","")&amp;IF('C312'!C5="Aula 12","C312 ","")&amp;IF('C411'!C5="Aula 12","C411 ","")&amp;IF('C412'!C5="Aula 12","C412 ","")&amp;IF('M111'!C5="Aula 12","M111 ","")&amp;IF('M112'!C5="Aula 12","M112 ","")&amp;IF('M211'!C5="Aula 12","M211 ","")&amp;IF('M212'!C5="Aula 12","M212 ","")&amp;IF('M311'!C5="Aula 12","M311 ","")&amp;IF('M411'!C5="Aula 12","M411 ","")&amp;IF('D111'!C5="Aula 12","D111 ","")&amp;IF('D112'!C5="Aula 12","D112 ","")&amp;IF('D211'!C5="Aula 12","D211 ","")&amp;IF('D311'!C5="Aula 12","D311 ","")&amp;IF('D411'!C5="Aula 12","D411 ",""))," ",",")</f>
        <v/>
      </c>
      <c r="N10" s="5">
        <f>SUBSTITUTE(TRIM(IF('C111'!C5="Lab 1","C111 ","")&amp;IF('C112'!C5="Lab 1","C112 ","")&amp;IF('C113'!C5="Lab 1","C113 ","")&amp;IF('C121'!C5="Lab 1","C121 ","")&amp;IF('C122'!C5="Lab 1","C122 ","")&amp;IF('C211'!C5="Lab 1","C211 ","")&amp;IF('C212'!C5="Lab 1","C212 ","")&amp;IF('C311'!C5="Lab 1","C311 ","")&amp;IF('C312'!C5="Lab 1","C312 ","")&amp;IF('C411'!C5="Lab 1","C411 ","")&amp;IF('C412'!C5="Lab 1","C412 ","")&amp;IF('M111'!C5="Lab 1","M111 ","")&amp;IF('M112'!C5="Lab 1","M112 ","")&amp;IF('M211'!C5="Lab 1","M211 ","")&amp;IF('M212'!C5="Lab 1","M212 ","")&amp;IF('M311'!C5="Lab 1","M311 ","")&amp;IF('M411'!C5="Lab 1","M411 ","")&amp;IF('D111'!C5="Lab 1","D111 ","")&amp;IF('D112'!C5="Lab 1","D112 ","")&amp;IF('D211'!C5="Lab 1","D211 ","")&amp;IF('D311'!C5="Lab 1","D311 ","")&amp;IF('D411'!C5="Lab 1","D411 ",""))," ",",")</f>
        <v/>
      </c>
      <c r="O10" s="5">
        <f>SUBSTITUTE(TRIM(IF('C111'!C5="Lab 2","C111 ","")&amp;IF('C112'!C5="Lab 2","C112 ","")&amp;IF('C113'!C5="Lab 2","C113 ","")&amp;IF('C121'!C5="Lab 2","C121 ","")&amp;IF('C122'!C5="Lab 2","C122 ","")&amp;IF('C211'!C5="Lab 2","C211 ","")&amp;IF('C212'!C5="Lab 2","C212 ","")&amp;IF('C311'!C5="Lab 2","C311 ","")&amp;IF('C312'!C5="Lab 2","C312 ","")&amp;IF('C411'!C5="Lab 2","C411 ","")&amp;IF('C412'!C5="Lab 2","C412 ","")&amp;IF('M111'!C5="Lab 2","M111 ","")&amp;IF('M112'!C5="Lab 2","M112 ","")&amp;IF('M211'!C5="Lab 2","M211 ","")&amp;IF('M212'!C5="Lab 2","M212 ","")&amp;IF('M311'!C5="Lab 2","M311 ","")&amp;IF('M411'!C5="Lab 2","M411 ","")&amp;IF('D111'!C5="Lab 2","D111 ","")&amp;IF('D112'!C5="Lab 2","D112 ","")&amp;IF('D211'!C5="Lab 2","D211 ","")&amp;IF('D311'!C5="Lab 2","D311 ","")&amp;IF('D411'!C5="Lab 2","D411 ",""))," ",",")</f>
        <v/>
      </c>
      <c r="P10" s="6">
        <f>SUBSTITUTE(TRIM(IF('C111'!C5="Salón","C111 ","")&amp;IF('C112'!C5="Salón","C112 ","")&amp;IF('C113'!C5="Salón","C113 ","")&amp;IF('C121'!C5="Salón","C121 ","")&amp;IF('C122'!C5="Salón","C122 ","")&amp;IF('C211'!C5="Salón","C211 ","")&amp;IF('C212'!C5="Salón","C212 ","")&amp;IF('C311'!C5="Salón","C311 ","")&amp;IF('C312'!C5="Salón","C312 ","")&amp;IF('C411'!C5="Salón","C411 ","")&amp;IF('C412'!C5="Salón","C412 ","")&amp;IF('M111'!C5="Salón","M111 ","")&amp;IF('M112'!C5="Salón","M112 ","")&amp;IF('M211'!C5="Salón","M211 ","")&amp;IF('M212'!C5="Salón","M212 ","")&amp;IF('M311'!C5="Salón","M311 ","")&amp;IF('M411'!C5="Salón","M411 ","")&amp;IF('D111'!C5="Salón","D111 ","")&amp;IF('D112'!C5="Salón","D112 ","")&amp;IF('D211'!C5="Salón","D211 ","")&amp;IF('D311'!C5="Salón","D311 ","")&amp;IF('D411'!C5="Salón","D411 ",""))," ",",")</f>
        <v/>
      </c>
    </row>
    <row r="11">
      <c r="A11" s="4" t="inlineStr">
        <is>
          <t>Turno 2</t>
        </is>
      </c>
      <c r="B11" s="5">
        <f>SUBSTITUTE(TRIM(IF('C111'!C7="Aula 1","C111 ","")&amp;IF('C112'!C7="Aula 1","C112 ","")&amp;IF('C113'!C7="Aula 1","C113 ","")&amp;IF('C121'!C7="Aula 1","C121 ","")&amp;IF('C122'!C7="Aula 1","C122 ","")&amp;IF('C211'!C7="Aula 1","C211 ","")&amp;IF('C212'!C7="Aula 1","C212 ","")&amp;IF('C311'!C7="Aula 1","C311 ","")&amp;IF('C312'!C7="Aula 1","C312 ","")&amp;IF('C411'!C7="Aula 1","C411 ","")&amp;IF('C412'!C7="Aula 1","C412 ","")&amp;IF('M111'!C7="Aula 1","M111 ","")&amp;IF('M112'!C7="Aula 1","M112 ","")&amp;IF('M211'!C7="Aula 1","M211 ","")&amp;IF('M212'!C7="Aula 1","M212 ","")&amp;IF('M311'!C7="Aula 1","M311 ","")&amp;IF('M411'!C7="Aula 1","M411 ","")&amp;IF('D111'!C7="Aula 1","D111 ","")&amp;IF('D112'!C7="Aula 1","D112 ","")&amp;IF('D211'!C7="Aula 1","D211 ","")&amp;IF('D311'!C7="Aula 1","D311 ","")&amp;IF('D411'!C7="Aula 1","D411 ",""))," ",",")</f>
        <v/>
      </c>
      <c r="C11" s="5">
        <f>SUBSTITUTE(TRIM(IF('C111'!C7="Aula 2","C111 ","")&amp;IF('C112'!C7="Aula 2","C112 ","")&amp;IF('C113'!C7="Aula 2","C113 ","")&amp;IF('C121'!C7="Aula 2","C121 ","")&amp;IF('C122'!C7="Aula 2","C122 ","")&amp;IF('C211'!C7="Aula 2","C211 ","")&amp;IF('C212'!C7="Aula 2","C212 ","")&amp;IF('C311'!C7="Aula 2","C311 ","")&amp;IF('C312'!C7="Aula 2","C312 ","")&amp;IF('C411'!C7="Aula 2","C411 ","")&amp;IF('C412'!C7="Aula 2","C412 ","")&amp;IF('M111'!C7="Aula 2","M111 ","")&amp;IF('M112'!C7="Aula 2","M112 ","")&amp;IF('M211'!C7="Aula 2","M211 ","")&amp;IF('M212'!C7="Aula 2","M212 ","")&amp;IF('M311'!C7="Aula 2","M311 ","")&amp;IF('M411'!C7="Aula 2","M411 ","")&amp;IF('D111'!C7="Aula 2","D111 ","")&amp;IF('D112'!C7="Aula 2","D112 ","")&amp;IF('D211'!C7="Aula 2","D211 ","")&amp;IF('D311'!C7="Aula 2","D311 ","")&amp;IF('D411'!C7="Aula 2","D411 ",""))," ",",")</f>
        <v/>
      </c>
      <c r="D11" s="5">
        <f>SUBSTITUTE(TRIM(IF('C111'!C7="Aula 3","C111 ","")&amp;IF('C112'!C7="Aula 3","C112 ","")&amp;IF('C113'!C7="Aula 3","C113 ","")&amp;IF('C121'!C7="Aula 3","C121 ","")&amp;IF('C122'!C7="Aula 3","C122 ","")&amp;IF('C211'!C7="Aula 3","C211 ","")&amp;IF('C212'!C7="Aula 3","C212 ","")&amp;IF('C311'!C7="Aula 3","C311 ","")&amp;IF('C312'!C7="Aula 3","C312 ","")&amp;IF('C411'!C7="Aula 3","C411 ","")&amp;IF('C412'!C7="Aula 3","C412 ","")&amp;IF('M111'!C7="Aula 3","M111 ","")&amp;IF('M112'!C7="Aula 3","M112 ","")&amp;IF('M211'!C7="Aula 3","M211 ","")&amp;IF('M212'!C7="Aula 3","M212 ","")&amp;IF('M311'!C7="Aula 3","M311 ","")&amp;IF('M411'!C7="Aula 3","M411 ","")&amp;IF('D111'!C7="Aula 3","D111 ","")&amp;IF('D112'!C7="Aula 3","D112 ","")&amp;IF('D211'!C7="Aula 3","D211 ","")&amp;IF('D311'!C7="Aula 3","D311 ","")&amp;IF('D411'!C7="Aula 3","D411 ",""))," ",",")</f>
        <v/>
      </c>
      <c r="E11" s="5">
        <f>SUBSTITUTE(TRIM(IF('C111'!C7="Aula 4","C111 ","")&amp;IF('C112'!C7="Aula 4","C112 ","")&amp;IF('C113'!C7="Aula 4","C113 ","")&amp;IF('C121'!C7="Aula 4","C121 ","")&amp;IF('C122'!C7="Aula 4","C122 ","")&amp;IF('C211'!C7="Aula 4","C211 ","")&amp;IF('C212'!C7="Aula 4","C212 ","")&amp;IF('C311'!C7="Aula 4","C311 ","")&amp;IF('C312'!C7="Aula 4","C312 ","")&amp;IF('C411'!C7="Aula 4","C411 ","")&amp;IF('C412'!C7="Aula 4","C412 ","")&amp;IF('M111'!C7="Aula 4","M111 ","")&amp;IF('M112'!C7="Aula 4","M112 ","")&amp;IF('M211'!C7="Aula 4","M211 ","")&amp;IF('M212'!C7="Aula 4","M212 ","")&amp;IF('M311'!C7="Aula 4","M311 ","")&amp;IF('M411'!C7="Aula 4","M411 ","")&amp;IF('D111'!C7="Aula 4","D111 ","")&amp;IF('D112'!C7="Aula 4","D112 ","")&amp;IF('D211'!C7="Aula 4","D211 ","")&amp;IF('D311'!C7="Aula 4","D311 ","")&amp;IF('D411'!C7="Aula 4","D411 ",""))," ",",")</f>
        <v/>
      </c>
      <c r="F11" s="5">
        <f>SUBSTITUTE(TRIM(IF('C111'!C7="Aula 5","C111 ","")&amp;IF('C112'!C7="Aula 5","C112 ","")&amp;IF('C113'!C7="Aula 5","C113 ","")&amp;IF('C121'!C7="Aula 5","C121 ","")&amp;IF('C122'!C7="Aula 5","C122 ","")&amp;IF('C211'!C7="Aula 5","C211 ","")&amp;IF('C212'!C7="Aula 5","C212 ","")&amp;IF('C311'!C7="Aula 5","C311 ","")&amp;IF('C312'!C7="Aula 5","C312 ","")&amp;IF('C411'!C7="Aula 5","C411 ","")&amp;IF('C412'!C7="Aula 5","C412 ","")&amp;IF('M111'!C7="Aula 5","M111 ","")&amp;IF('M112'!C7="Aula 5","M112 ","")&amp;IF('M211'!C7="Aula 5","M211 ","")&amp;IF('M212'!C7="Aula 5","M212 ","")&amp;IF('M311'!C7="Aula 5","M311 ","")&amp;IF('M411'!C7="Aula 5","M411 ","")&amp;IF('D111'!C7="Aula 5","D111 ","")&amp;IF('D112'!C7="Aula 5","D112 ","")&amp;IF('D211'!C7="Aula 5","D211 ","")&amp;IF('D311'!C7="Aula 5","D311 ","")&amp;IF('D411'!C7="Aula 5","D411 ",""))," ",",")</f>
        <v/>
      </c>
      <c r="G11" s="5">
        <f>SUBSTITUTE(TRIM(IF('C111'!C7="Aula 6","C111 ","")&amp;IF('C112'!C7="Aula 6","C112 ","")&amp;IF('C113'!C7="Aula 6","C113 ","")&amp;IF('C121'!C7="Aula 6","C121 ","")&amp;IF('C122'!C7="Aula 6","C122 ","")&amp;IF('C211'!C7="Aula 6","C211 ","")&amp;IF('C212'!C7="Aula 6","C212 ","")&amp;IF('C311'!C7="Aula 6","C311 ","")&amp;IF('C312'!C7="Aula 6","C312 ","")&amp;IF('C411'!C7="Aula 6","C411 ","")&amp;IF('C412'!C7="Aula 6","C412 ","")&amp;IF('M111'!C7="Aula 6","M111 ","")&amp;IF('M112'!C7="Aula 6","M112 ","")&amp;IF('M211'!C7="Aula 6","M211 ","")&amp;IF('M212'!C7="Aula 6","M212 ","")&amp;IF('M311'!C7="Aula 6","M311 ","")&amp;IF('M411'!C7="Aula 6","M411 ","")&amp;IF('D111'!C7="Aula 6","D111 ","")&amp;IF('D112'!C7="Aula 6","D112 ","")&amp;IF('D211'!C7="Aula 6","D211 ","")&amp;IF('D311'!C7="Aula 6","D311 ","")&amp;IF('D411'!C7="Aula 6","D411 ",""))," ",",")</f>
        <v/>
      </c>
      <c r="H11" s="5">
        <f>SUBSTITUTE(TRIM(IF('C111'!C7="Aula 7","C111 ","")&amp;IF('C112'!C7="Aula 7","C112 ","")&amp;IF('C113'!C7="Aula 7","C113 ","")&amp;IF('C121'!C7="Aula 7","C121 ","")&amp;IF('C122'!C7="Aula 7","C122 ","")&amp;IF('C211'!C7="Aula 7","C211 ","")&amp;IF('C212'!C7="Aula 7","C212 ","")&amp;IF('C311'!C7="Aula 7","C311 ","")&amp;IF('C312'!C7="Aula 7","C312 ","")&amp;IF('C411'!C7="Aula 7","C411 ","")&amp;IF('C412'!C7="Aula 7","C412 ","")&amp;IF('M111'!C7="Aula 7","M111 ","")&amp;IF('M112'!C7="Aula 7","M112 ","")&amp;IF('M211'!C7="Aula 7","M211 ","")&amp;IF('M212'!C7="Aula 7","M212 ","")&amp;IF('M311'!C7="Aula 7","M311 ","")&amp;IF('M411'!C7="Aula 7","M411 ","")&amp;IF('D111'!C7="Aula 7","D111 ","")&amp;IF('D112'!C7="Aula 7","D112 ","")&amp;IF('D211'!C7="Aula 7","D211 ","")&amp;IF('D311'!C7="Aula 7","D311 ","")&amp;IF('D411'!C7="Aula 7","D411 ",""))," ",",")</f>
        <v/>
      </c>
      <c r="I11" s="5">
        <f>SUBSTITUTE(TRIM(IF('C111'!C7="Aula 8","C111 ","")&amp;IF('C112'!C7="Aula 8","C112 ","")&amp;IF('C113'!C7="Aula 8","C113 ","")&amp;IF('C121'!C7="Aula 8","C121 ","")&amp;IF('C122'!C7="Aula 8","C122 ","")&amp;IF('C211'!C7="Aula 8","C211 ","")&amp;IF('C212'!C7="Aula 8","C212 ","")&amp;IF('C311'!C7="Aula 8","C311 ","")&amp;IF('C312'!C7="Aula 8","C312 ","")&amp;IF('C411'!C7="Aula 8","C411 ","")&amp;IF('C412'!C7="Aula 8","C412 ","")&amp;IF('M111'!C7="Aula 8","M111 ","")&amp;IF('M112'!C7="Aula 8","M112 ","")&amp;IF('M211'!C7="Aula 8","M211 ","")&amp;IF('M212'!C7="Aula 8","M212 ","")&amp;IF('M311'!C7="Aula 8","M311 ","")&amp;IF('M411'!C7="Aula 8","M411 ","")&amp;IF('D111'!C7="Aula 8","D111 ","")&amp;IF('D112'!C7="Aula 8","D112 ","")&amp;IF('D211'!C7="Aula 8","D211 ","")&amp;IF('D311'!C7="Aula 8","D311 ","")&amp;IF('D411'!C7="Aula 8","D411 ",""))," ",",")</f>
        <v/>
      </c>
      <c r="J11" s="5">
        <f>SUBSTITUTE(TRIM(IF('C111'!C7="Aula 9","C111 ","")&amp;IF('C112'!C7="Aula 9","C112 ","")&amp;IF('C113'!C7="Aula 9","C113 ","")&amp;IF('C121'!C7="Aula 9","C121 ","")&amp;IF('C122'!C7="Aula 9","C122 ","")&amp;IF('C211'!C7="Aula 9","C211 ","")&amp;IF('C212'!C7="Aula 9","C212 ","")&amp;IF('C311'!C7="Aula 9","C311 ","")&amp;IF('C312'!C7="Aula 9","C312 ","")&amp;IF('C411'!C7="Aula 9","C411 ","")&amp;IF('C412'!C7="Aula 9","C412 ","")&amp;IF('M111'!C7="Aula 9","M111 ","")&amp;IF('M112'!C7="Aula 9","M112 ","")&amp;IF('M211'!C7="Aula 9","M211 ","")&amp;IF('M212'!C7="Aula 9","M212 ","")&amp;IF('M311'!C7="Aula 9","M311 ","")&amp;IF('M411'!C7="Aula 9","M411 ","")&amp;IF('D111'!C7="Aula 9","D111 ","")&amp;IF('D112'!C7="Aula 9","D112 ","")&amp;IF('D211'!C7="Aula 9","D211 ","")&amp;IF('D311'!C7="Aula 9","D311 ","")&amp;IF('D411'!C7="Aula 9","D411 ",""))," ",",")</f>
        <v/>
      </c>
      <c r="K11" s="5">
        <f>SUBSTITUTE(TRIM(IF('C111'!C7="Aula 10","C111 ","")&amp;IF('C112'!C7="Aula 10","C112 ","")&amp;IF('C113'!C7="Aula 10","C113 ","")&amp;IF('C121'!C7="Aula 10","C121 ","")&amp;IF('C122'!C7="Aula 10","C122 ","")&amp;IF('C211'!C7="Aula 10","C211 ","")&amp;IF('C212'!C7="Aula 10","C212 ","")&amp;IF('C311'!C7="Aula 10","C311 ","")&amp;IF('C312'!C7="Aula 10","C312 ","")&amp;IF('C411'!C7="Aula 10","C411 ","")&amp;IF('C412'!C7="Aula 10","C412 ","")&amp;IF('M111'!C7="Aula 10","M111 ","")&amp;IF('M112'!C7="Aula 10","M112 ","")&amp;IF('M211'!C7="Aula 10","M211 ","")&amp;IF('M212'!C7="Aula 10","M212 ","")&amp;IF('M311'!C7="Aula 10","M311 ","")&amp;IF('M411'!C7="Aula 10","M411 ","")&amp;IF('D111'!C7="Aula 10","D111 ","")&amp;IF('D112'!C7="Aula 10","D112 ","")&amp;IF('D211'!C7="Aula 10","D211 ","")&amp;IF('D311'!C7="Aula 10","D311 ","")&amp;IF('D411'!C7="Aula 10","D411 ",""))," ",",")</f>
        <v/>
      </c>
      <c r="L11" s="5">
        <f>SUBSTITUTE(TRIM(IF('C111'!C7="Aula 11","C111 ","")&amp;IF('C112'!C7="Aula 11","C112 ","")&amp;IF('C113'!C7="Aula 11","C113 ","")&amp;IF('C121'!C7="Aula 11","C121 ","")&amp;IF('C122'!C7="Aula 11","C122 ","")&amp;IF('C211'!C7="Aula 11","C211 ","")&amp;IF('C212'!C7="Aula 11","C212 ","")&amp;IF('C311'!C7="Aula 11","C311 ","")&amp;IF('C312'!C7="Aula 11","C312 ","")&amp;IF('C411'!C7="Aula 11","C411 ","")&amp;IF('C412'!C7="Aula 11","C412 ","")&amp;IF('M111'!C7="Aula 11","M111 ","")&amp;IF('M112'!C7="Aula 11","M112 ","")&amp;IF('M211'!C7="Aula 11","M211 ","")&amp;IF('M212'!C7="Aula 11","M212 ","")&amp;IF('M311'!C7="Aula 11","M311 ","")&amp;IF('M411'!C7="Aula 11","M411 ","")&amp;IF('D111'!C7="Aula 11","D111 ","")&amp;IF('D112'!C7="Aula 11","D112 ","")&amp;IF('D211'!C7="Aula 11","D211 ","")&amp;IF('D311'!C7="Aula 11","D311 ","")&amp;IF('D411'!C7="Aula 11","D411 ",""))," ",",")</f>
        <v/>
      </c>
      <c r="M11" s="5">
        <f>SUBSTITUTE(TRIM(IF('C111'!C7="Aula 12","C111 ","")&amp;IF('C112'!C7="Aula 12","C112 ","")&amp;IF('C113'!C7="Aula 12","C113 ","")&amp;IF('C121'!C7="Aula 12","C121 ","")&amp;IF('C122'!C7="Aula 12","C122 ","")&amp;IF('C211'!C7="Aula 12","C211 ","")&amp;IF('C212'!C7="Aula 12","C212 ","")&amp;IF('C311'!C7="Aula 12","C311 ","")&amp;IF('C312'!C7="Aula 12","C312 ","")&amp;IF('C411'!C7="Aula 12","C411 ","")&amp;IF('C412'!C7="Aula 12","C412 ","")&amp;IF('M111'!C7="Aula 12","M111 ","")&amp;IF('M112'!C7="Aula 12","M112 ","")&amp;IF('M211'!C7="Aula 12","M211 ","")&amp;IF('M212'!C7="Aula 12","M212 ","")&amp;IF('M311'!C7="Aula 12","M311 ","")&amp;IF('M411'!C7="Aula 12","M411 ","")&amp;IF('D111'!C7="Aula 12","D111 ","")&amp;IF('D112'!C7="Aula 12","D112 ","")&amp;IF('D211'!C7="Aula 12","D211 ","")&amp;IF('D311'!C7="Aula 12","D311 ","")&amp;IF('D411'!C7="Aula 12","D411 ",""))," ",",")</f>
        <v/>
      </c>
      <c r="N11" s="5">
        <f>SUBSTITUTE(TRIM(IF('C111'!C7="Lab 1","C111 ","")&amp;IF('C112'!C7="Lab 1","C112 ","")&amp;IF('C113'!C7="Lab 1","C113 ","")&amp;IF('C121'!C7="Lab 1","C121 ","")&amp;IF('C122'!C7="Lab 1","C122 ","")&amp;IF('C211'!C7="Lab 1","C211 ","")&amp;IF('C212'!C7="Lab 1","C212 ","")&amp;IF('C311'!C7="Lab 1","C311 ","")&amp;IF('C312'!C7="Lab 1","C312 ","")&amp;IF('C411'!C7="Lab 1","C411 ","")&amp;IF('C412'!C7="Lab 1","C412 ","")&amp;IF('M111'!C7="Lab 1","M111 ","")&amp;IF('M112'!C7="Lab 1","M112 ","")&amp;IF('M211'!C7="Lab 1","M211 ","")&amp;IF('M212'!C7="Lab 1","M212 ","")&amp;IF('M311'!C7="Lab 1","M311 ","")&amp;IF('M411'!C7="Lab 1","M411 ","")&amp;IF('D111'!C7="Lab 1","D111 ","")&amp;IF('D112'!C7="Lab 1","D112 ","")&amp;IF('D211'!C7="Lab 1","D211 ","")&amp;IF('D311'!C7="Lab 1","D311 ","")&amp;IF('D411'!C7="Lab 1","D411 ",""))," ",",")</f>
        <v/>
      </c>
      <c r="O11" s="5">
        <f>SUBSTITUTE(TRIM(IF('C111'!C7="Lab 2","C111 ","")&amp;IF('C112'!C7="Lab 2","C112 ","")&amp;IF('C113'!C7="Lab 2","C113 ","")&amp;IF('C121'!C7="Lab 2","C121 ","")&amp;IF('C122'!C7="Lab 2","C122 ","")&amp;IF('C211'!C7="Lab 2","C211 ","")&amp;IF('C212'!C7="Lab 2","C212 ","")&amp;IF('C311'!C7="Lab 2","C311 ","")&amp;IF('C312'!C7="Lab 2","C312 ","")&amp;IF('C411'!C7="Lab 2","C411 ","")&amp;IF('C412'!C7="Lab 2","C412 ","")&amp;IF('M111'!C7="Lab 2","M111 ","")&amp;IF('M112'!C7="Lab 2","M112 ","")&amp;IF('M211'!C7="Lab 2","M211 ","")&amp;IF('M212'!C7="Lab 2","M212 ","")&amp;IF('M311'!C7="Lab 2","M311 ","")&amp;IF('M411'!C7="Lab 2","M411 ","")&amp;IF('D111'!C7="Lab 2","D111 ","")&amp;IF('D112'!C7="Lab 2","D112 ","")&amp;IF('D211'!C7="Lab 2","D211 ","")&amp;IF('D311'!C7="Lab 2","D311 ","")&amp;IF('D411'!C7="Lab 2","D411 ",""))," ",",")</f>
        <v/>
      </c>
      <c r="P11" s="6">
        <f>SUBSTITUTE(TRIM(IF('C111'!C7="Salón","C111 ","")&amp;IF('C112'!C7="Salón","C112 ","")&amp;IF('C113'!C7="Salón","C113 ","")&amp;IF('C121'!C7="Salón","C121 ","")&amp;IF('C122'!C7="Salón","C122 ","")&amp;IF('C211'!C7="Salón","C211 ","")&amp;IF('C212'!C7="Salón","C212 ","")&amp;IF('C311'!C7="Salón","C311 ","")&amp;IF('C312'!C7="Salón","C312 ","")&amp;IF('C411'!C7="Salón","C411 ","")&amp;IF('C412'!C7="Salón","C412 ","")&amp;IF('M111'!C7="Salón","M111 ","")&amp;IF('M112'!C7="Salón","M112 ","")&amp;IF('M211'!C7="Salón","M211 ","")&amp;IF('M212'!C7="Salón","M212 ","")&amp;IF('M311'!C7="Salón","M311 ","")&amp;IF('M411'!C7="Salón","M411 ","")&amp;IF('D111'!C7="Salón","D111 ","")&amp;IF('D112'!C7="Salón","D112 ","")&amp;IF('D211'!C7="Salón","D211 ","")&amp;IF('D311'!C7="Salón","D311 ","")&amp;IF('D411'!C7="Salón","D411 ",""))," ",",")</f>
        <v/>
      </c>
    </row>
    <row r="12">
      <c r="A12" s="4" t="inlineStr">
        <is>
          <t>Turno 3</t>
        </is>
      </c>
      <c r="B12" s="5">
        <f>SUBSTITUTE(TRIM(IF('C111'!C9="Aula 1","C111 ","")&amp;IF('C112'!C9="Aula 1","C112 ","")&amp;IF('C113'!C9="Aula 1","C113 ","")&amp;IF('C121'!C9="Aula 1","C121 ","")&amp;IF('C122'!C9="Aula 1","C122 ","")&amp;IF('C211'!C9="Aula 1","C211 ","")&amp;IF('C212'!C9="Aula 1","C212 ","")&amp;IF('C311'!C9="Aula 1","C311 ","")&amp;IF('C312'!C9="Aula 1","C312 ","")&amp;IF('C411'!C9="Aula 1","C411 ","")&amp;IF('C412'!C9="Aula 1","C412 ","")&amp;IF('M111'!C9="Aula 1","M111 ","")&amp;IF('M112'!C9="Aula 1","M112 ","")&amp;IF('M211'!C9="Aula 1","M211 ","")&amp;IF('M212'!C9="Aula 1","M212 ","")&amp;IF('M311'!C9="Aula 1","M311 ","")&amp;IF('M411'!C9="Aula 1","M411 ","")&amp;IF('D111'!C9="Aula 1","D111 ","")&amp;IF('D112'!C9="Aula 1","D112 ","")&amp;IF('D211'!C9="Aula 1","D211 ","")&amp;IF('D311'!C9="Aula 1","D311 ","")&amp;IF('D411'!C9="Aula 1","D411 ",""))," ",",")</f>
        <v/>
      </c>
      <c r="C12" s="5">
        <f>SUBSTITUTE(TRIM(IF('C111'!C9="Aula 2","C111 ","")&amp;IF('C112'!C9="Aula 2","C112 ","")&amp;IF('C113'!C9="Aula 2","C113 ","")&amp;IF('C121'!C9="Aula 2","C121 ","")&amp;IF('C122'!C9="Aula 2","C122 ","")&amp;IF('C211'!C9="Aula 2","C211 ","")&amp;IF('C212'!C9="Aula 2","C212 ","")&amp;IF('C311'!C9="Aula 2","C311 ","")&amp;IF('C312'!C9="Aula 2","C312 ","")&amp;IF('C411'!C9="Aula 2","C411 ","")&amp;IF('C412'!C9="Aula 2","C412 ","")&amp;IF('M111'!C9="Aula 2","M111 ","")&amp;IF('M112'!C9="Aula 2","M112 ","")&amp;IF('M211'!C9="Aula 2","M211 ","")&amp;IF('M212'!C9="Aula 2","M212 ","")&amp;IF('M311'!C9="Aula 2","M311 ","")&amp;IF('M411'!C9="Aula 2","M411 ","")&amp;IF('D111'!C9="Aula 2","D111 ","")&amp;IF('D112'!C9="Aula 2","D112 ","")&amp;IF('D211'!C9="Aula 2","D211 ","")&amp;IF('D311'!C9="Aula 2","D311 ","")&amp;IF('D411'!C9="Aula 2","D411 ",""))," ",",")</f>
        <v/>
      </c>
      <c r="D12" s="5">
        <f>SUBSTITUTE(TRIM(IF('C111'!C9="Aula 3","C111 ","")&amp;IF('C112'!C9="Aula 3","C112 ","")&amp;IF('C113'!C9="Aula 3","C113 ","")&amp;IF('C121'!C9="Aula 3","C121 ","")&amp;IF('C122'!C9="Aula 3","C122 ","")&amp;IF('C211'!C9="Aula 3","C211 ","")&amp;IF('C212'!C9="Aula 3","C212 ","")&amp;IF('C311'!C9="Aula 3","C311 ","")&amp;IF('C312'!C9="Aula 3","C312 ","")&amp;IF('C411'!C9="Aula 3","C411 ","")&amp;IF('C412'!C9="Aula 3","C412 ","")&amp;IF('M111'!C9="Aula 3","M111 ","")&amp;IF('M112'!C9="Aula 3","M112 ","")&amp;IF('M211'!C9="Aula 3","M211 ","")&amp;IF('M212'!C9="Aula 3","M212 ","")&amp;IF('M311'!C9="Aula 3","M311 ","")&amp;IF('M411'!C9="Aula 3","M411 ","")&amp;IF('D111'!C9="Aula 3","D111 ","")&amp;IF('D112'!C9="Aula 3","D112 ","")&amp;IF('D211'!C9="Aula 3","D211 ","")&amp;IF('D311'!C9="Aula 3","D311 ","")&amp;IF('D411'!C9="Aula 3","D411 ",""))," ",",")</f>
        <v/>
      </c>
      <c r="E12" s="5">
        <f>SUBSTITUTE(TRIM(IF('C111'!C9="Aula 4","C111 ","")&amp;IF('C112'!C9="Aula 4","C112 ","")&amp;IF('C113'!C9="Aula 4","C113 ","")&amp;IF('C121'!C9="Aula 4","C121 ","")&amp;IF('C122'!C9="Aula 4","C122 ","")&amp;IF('C211'!C9="Aula 4","C211 ","")&amp;IF('C212'!C9="Aula 4","C212 ","")&amp;IF('C311'!C9="Aula 4","C311 ","")&amp;IF('C312'!C9="Aula 4","C312 ","")&amp;IF('C411'!C9="Aula 4","C411 ","")&amp;IF('C412'!C9="Aula 4","C412 ","")&amp;IF('M111'!C9="Aula 4","M111 ","")&amp;IF('M112'!C9="Aula 4","M112 ","")&amp;IF('M211'!C9="Aula 4","M211 ","")&amp;IF('M212'!C9="Aula 4","M212 ","")&amp;IF('M311'!C9="Aula 4","M311 ","")&amp;IF('M411'!C9="Aula 4","M411 ","")&amp;IF('D111'!C9="Aula 4","D111 ","")&amp;IF('D112'!C9="Aula 4","D112 ","")&amp;IF('D211'!C9="Aula 4","D211 ","")&amp;IF('D311'!C9="Aula 4","D311 ","")&amp;IF('D411'!C9="Aula 4","D411 ",""))," ",",")</f>
        <v/>
      </c>
      <c r="F12" s="5">
        <f>SUBSTITUTE(TRIM(IF('C111'!C9="Aula 5","C111 ","")&amp;IF('C112'!C9="Aula 5","C112 ","")&amp;IF('C113'!C9="Aula 5","C113 ","")&amp;IF('C121'!C9="Aula 5","C121 ","")&amp;IF('C122'!C9="Aula 5","C122 ","")&amp;IF('C211'!C9="Aula 5","C211 ","")&amp;IF('C212'!C9="Aula 5","C212 ","")&amp;IF('C311'!C9="Aula 5","C311 ","")&amp;IF('C312'!C9="Aula 5","C312 ","")&amp;IF('C411'!C9="Aula 5","C411 ","")&amp;IF('C412'!C9="Aula 5","C412 ","")&amp;IF('M111'!C9="Aula 5","M111 ","")&amp;IF('M112'!C9="Aula 5","M112 ","")&amp;IF('M211'!C9="Aula 5","M211 ","")&amp;IF('M212'!C9="Aula 5","M212 ","")&amp;IF('M311'!C9="Aula 5","M311 ","")&amp;IF('M411'!C9="Aula 5","M411 ","")&amp;IF('D111'!C9="Aula 5","D111 ","")&amp;IF('D112'!C9="Aula 5","D112 ","")&amp;IF('D211'!C9="Aula 5","D211 ","")&amp;IF('D311'!C9="Aula 5","D311 ","")&amp;IF('D411'!C9="Aula 5","D411 ",""))," ",",")</f>
        <v/>
      </c>
      <c r="G12" s="5">
        <f>SUBSTITUTE(TRIM(IF('C111'!C9="Aula 6","C111 ","")&amp;IF('C112'!C9="Aula 6","C112 ","")&amp;IF('C113'!C9="Aula 6","C113 ","")&amp;IF('C121'!C9="Aula 6","C121 ","")&amp;IF('C122'!C9="Aula 6","C122 ","")&amp;IF('C211'!C9="Aula 6","C211 ","")&amp;IF('C212'!C9="Aula 6","C212 ","")&amp;IF('C311'!C9="Aula 6","C311 ","")&amp;IF('C312'!C9="Aula 6","C312 ","")&amp;IF('C411'!C9="Aula 6","C411 ","")&amp;IF('C412'!C9="Aula 6","C412 ","")&amp;IF('M111'!C9="Aula 6","M111 ","")&amp;IF('M112'!C9="Aula 6","M112 ","")&amp;IF('M211'!C9="Aula 6","M211 ","")&amp;IF('M212'!C9="Aula 6","M212 ","")&amp;IF('M311'!C9="Aula 6","M311 ","")&amp;IF('M411'!C9="Aula 6","M411 ","")&amp;IF('D111'!C9="Aula 6","D111 ","")&amp;IF('D112'!C9="Aula 6","D112 ","")&amp;IF('D211'!C9="Aula 6","D211 ","")&amp;IF('D311'!C9="Aula 6","D311 ","")&amp;IF('D411'!C9="Aula 6","D411 ",""))," ",",")</f>
        <v/>
      </c>
      <c r="H12" s="5">
        <f>SUBSTITUTE(TRIM(IF('C111'!C9="Aula 7","C111 ","")&amp;IF('C112'!C9="Aula 7","C112 ","")&amp;IF('C113'!C9="Aula 7","C113 ","")&amp;IF('C121'!C9="Aula 7","C121 ","")&amp;IF('C122'!C9="Aula 7","C122 ","")&amp;IF('C211'!C9="Aula 7","C211 ","")&amp;IF('C212'!C9="Aula 7","C212 ","")&amp;IF('C311'!C9="Aula 7","C311 ","")&amp;IF('C312'!C9="Aula 7","C312 ","")&amp;IF('C411'!C9="Aula 7","C411 ","")&amp;IF('C412'!C9="Aula 7","C412 ","")&amp;IF('M111'!C9="Aula 7","M111 ","")&amp;IF('M112'!C9="Aula 7","M112 ","")&amp;IF('M211'!C9="Aula 7","M211 ","")&amp;IF('M212'!C9="Aula 7","M212 ","")&amp;IF('M311'!C9="Aula 7","M311 ","")&amp;IF('M411'!C9="Aula 7","M411 ","")&amp;IF('D111'!C9="Aula 7","D111 ","")&amp;IF('D112'!C9="Aula 7","D112 ","")&amp;IF('D211'!C9="Aula 7","D211 ","")&amp;IF('D311'!C9="Aula 7","D311 ","")&amp;IF('D411'!C9="Aula 7","D411 ",""))," ",",")</f>
        <v/>
      </c>
      <c r="I12" s="5">
        <f>SUBSTITUTE(TRIM(IF('C111'!C9="Aula 8","C111 ","")&amp;IF('C112'!C9="Aula 8","C112 ","")&amp;IF('C113'!C9="Aula 8","C113 ","")&amp;IF('C121'!C9="Aula 8","C121 ","")&amp;IF('C122'!C9="Aula 8","C122 ","")&amp;IF('C211'!C9="Aula 8","C211 ","")&amp;IF('C212'!C9="Aula 8","C212 ","")&amp;IF('C311'!C9="Aula 8","C311 ","")&amp;IF('C312'!C9="Aula 8","C312 ","")&amp;IF('C411'!C9="Aula 8","C411 ","")&amp;IF('C412'!C9="Aula 8","C412 ","")&amp;IF('M111'!C9="Aula 8","M111 ","")&amp;IF('M112'!C9="Aula 8","M112 ","")&amp;IF('M211'!C9="Aula 8","M211 ","")&amp;IF('M212'!C9="Aula 8","M212 ","")&amp;IF('M311'!C9="Aula 8","M311 ","")&amp;IF('M411'!C9="Aula 8","M411 ","")&amp;IF('D111'!C9="Aula 8","D111 ","")&amp;IF('D112'!C9="Aula 8","D112 ","")&amp;IF('D211'!C9="Aula 8","D211 ","")&amp;IF('D311'!C9="Aula 8","D311 ","")&amp;IF('D411'!C9="Aula 8","D411 ",""))," ",",")</f>
        <v/>
      </c>
      <c r="J12" s="5">
        <f>SUBSTITUTE(TRIM(IF('C111'!C9="Aula 9","C111 ","")&amp;IF('C112'!C9="Aula 9","C112 ","")&amp;IF('C113'!C9="Aula 9","C113 ","")&amp;IF('C121'!C9="Aula 9","C121 ","")&amp;IF('C122'!C9="Aula 9","C122 ","")&amp;IF('C211'!C9="Aula 9","C211 ","")&amp;IF('C212'!C9="Aula 9","C212 ","")&amp;IF('C311'!C9="Aula 9","C311 ","")&amp;IF('C312'!C9="Aula 9","C312 ","")&amp;IF('C411'!C9="Aula 9","C411 ","")&amp;IF('C412'!C9="Aula 9","C412 ","")&amp;IF('M111'!C9="Aula 9","M111 ","")&amp;IF('M112'!C9="Aula 9","M112 ","")&amp;IF('M211'!C9="Aula 9","M211 ","")&amp;IF('M212'!C9="Aula 9","M212 ","")&amp;IF('M311'!C9="Aula 9","M311 ","")&amp;IF('M411'!C9="Aula 9","M411 ","")&amp;IF('D111'!C9="Aula 9","D111 ","")&amp;IF('D112'!C9="Aula 9","D112 ","")&amp;IF('D211'!C9="Aula 9","D211 ","")&amp;IF('D311'!C9="Aula 9","D311 ","")&amp;IF('D411'!C9="Aula 9","D411 ",""))," ",",")</f>
        <v/>
      </c>
      <c r="K12" s="5">
        <f>SUBSTITUTE(TRIM(IF('C111'!C9="Aula 10","C111 ","")&amp;IF('C112'!C9="Aula 10","C112 ","")&amp;IF('C113'!C9="Aula 10","C113 ","")&amp;IF('C121'!C9="Aula 10","C121 ","")&amp;IF('C122'!C9="Aula 10","C122 ","")&amp;IF('C211'!C9="Aula 10","C211 ","")&amp;IF('C212'!C9="Aula 10","C212 ","")&amp;IF('C311'!C9="Aula 10","C311 ","")&amp;IF('C312'!C9="Aula 10","C312 ","")&amp;IF('C411'!C9="Aula 10","C411 ","")&amp;IF('C412'!C9="Aula 10","C412 ","")&amp;IF('M111'!C9="Aula 10","M111 ","")&amp;IF('M112'!C9="Aula 10","M112 ","")&amp;IF('M211'!C9="Aula 10","M211 ","")&amp;IF('M212'!C9="Aula 10","M212 ","")&amp;IF('M311'!C9="Aula 10","M311 ","")&amp;IF('M411'!C9="Aula 10","M411 ","")&amp;IF('D111'!C9="Aula 10","D111 ","")&amp;IF('D112'!C9="Aula 10","D112 ","")&amp;IF('D211'!C9="Aula 10","D211 ","")&amp;IF('D311'!C9="Aula 10","D311 ","")&amp;IF('D411'!C9="Aula 10","D411 ",""))," ",",")</f>
        <v/>
      </c>
      <c r="L12" s="5">
        <f>SUBSTITUTE(TRIM(IF('C111'!C9="Aula 11","C111 ","")&amp;IF('C112'!C9="Aula 11","C112 ","")&amp;IF('C113'!C9="Aula 11","C113 ","")&amp;IF('C121'!C9="Aula 11","C121 ","")&amp;IF('C122'!C9="Aula 11","C122 ","")&amp;IF('C211'!C9="Aula 11","C211 ","")&amp;IF('C212'!C9="Aula 11","C212 ","")&amp;IF('C311'!C9="Aula 11","C311 ","")&amp;IF('C312'!C9="Aula 11","C312 ","")&amp;IF('C411'!C9="Aula 11","C411 ","")&amp;IF('C412'!C9="Aula 11","C412 ","")&amp;IF('M111'!C9="Aula 11","M111 ","")&amp;IF('M112'!C9="Aula 11","M112 ","")&amp;IF('M211'!C9="Aula 11","M211 ","")&amp;IF('M212'!C9="Aula 11","M212 ","")&amp;IF('M311'!C9="Aula 11","M311 ","")&amp;IF('M411'!C9="Aula 11","M411 ","")&amp;IF('D111'!C9="Aula 11","D111 ","")&amp;IF('D112'!C9="Aula 11","D112 ","")&amp;IF('D211'!C9="Aula 11","D211 ","")&amp;IF('D311'!C9="Aula 11","D311 ","")&amp;IF('D411'!C9="Aula 11","D411 ",""))," ",",")</f>
        <v/>
      </c>
      <c r="M12" s="5">
        <f>SUBSTITUTE(TRIM(IF('C111'!C9="Aula 12","C111 ","")&amp;IF('C112'!C9="Aula 12","C112 ","")&amp;IF('C113'!C9="Aula 12","C113 ","")&amp;IF('C121'!C9="Aula 12","C121 ","")&amp;IF('C122'!C9="Aula 12","C122 ","")&amp;IF('C211'!C9="Aula 12","C211 ","")&amp;IF('C212'!C9="Aula 12","C212 ","")&amp;IF('C311'!C9="Aula 12","C311 ","")&amp;IF('C312'!C9="Aula 12","C312 ","")&amp;IF('C411'!C9="Aula 12","C411 ","")&amp;IF('C412'!C9="Aula 12","C412 ","")&amp;IF('M111'!C9="Aula 12","M111 ","")&amp;IF('M112'!C9="Aula 12","M112 ","")&amp;IF('M211'!C9="Aula 12","M211 ","")&amp;IF('M212'!C9="Aula 12","M212 ","")&amp;IF('M311'!C9="Aula 12","M311 ","")&amp;IF('M411'!C9="Aula 12","M411 ","")&amp;IF('D111'!C9="Aula 12","D111 ","")&amp;IF('D112'!C9="Aula 12","D112 ","")&amp;IF('D211'!C9="Aula 12","D211 ","")&amp;IF('D311'!C9="Aula 12","D311 ","")&amp;IF('D411'!C9="Aula 12","D411 ",""))," ",",")</f>
        <v/>
      </c>
      <c r="N12" s="5">
        <f>SUBSTITUTE(TRIM(IF('C111'!C9="Lab 1","C111 ","")&amp;IF('C112'!C9="Lab 1","C112 ","")&amp;IF('C113'!C9="Lab 1","C113 ","")&amp;IF('C121'!C9="Lab 1","C121 ","")&amp;IF('C122'!C9="Lab 1","C122 ","")&amp;IF('C211'!C9="Lab 1","C211 ","")&amp;IF('C212'!C9="Lab 1","C212 ","")&amp;IF('C311'!C9="Lab 1","C311 ","")&amp;IF('C312'!C9="Lab 1","C312 ","")&amp;IF('C411'!C9="Lab 1","C411 ","")&amp;IF('C412'!C9="Lab 1","C412 ","")&amp;IF('M111'!C9="Lab 1","M111 ","")&amp;IF('M112'!C9="Lab 1","M112 ","")&amp;IF('M211'!C9="Lab 1","M211 ","")&amp;IF('M212'!C9="Lab 1","M212 ","")&amp;IF('M311'!C9="Lab 1","M311 ","")&amp;IF('M411'!C9="Lab 1","M411 ","")&amp;IF('D111'!C9="Lab 1","D111 ","")&amp;IF('D112'!C9="Lab 1","D112 ","")&amp;IF('D211'!C9="Lab 1","D211 ","")&amp;IF('D311'!C9="Lab 1","D311 ","")&amp;IF('D411'!C9="Lab 1","D411 ",""))," ",",")</f>
        <v/>
      </c>
      <c r="O12" s="5">
        <f>SUBSTITUTE(TRIM(IF('C111'!C9="Lab 2","C111 ","")&amp;IF('C112'!C9="Lab 2","C112 ","")&amp;IF('C113'!C9="Lab 2","C113 ","")&amp;IF('C121'!C9="Lab 2","C121 ","")&amp;IF('C122'!C9="Lab 2","C122 ","")&amp;IF('C211'!C9="Lab 2","C211 ","")&amp;IF('C212'!C9="Lab 2","C212 ","")&amp;IF('C311'!C9="Lab 2","C311 ","")&amp;IF('C312'!C9="Lab 2","C312 ","")&amp;IF('C411'!C9="Lab 2","C411 ","")&amp;IF('C412'!C9="Lab 2","C412 ","")&amp;IF('M111'!C9="Lab 2","M111 ","")&amp;IF('M112'!C9="Lab 2","M112 ","")&amp;IF('M211'!C9="Lab 2","M211 ","")&amp;IF('M212'!C9="Lab 2","M212 ","")&amp;IF('M311'!C9="Lab 2","M311 ","")&amp;IF('M411'!C9="Lab 2","M411 ","")&amp;IF('D111'!C9="Lab 2","D111 ","")&amp;IF('D112'!C9="Lab 2","D112 ","")&amp;IF('D211'!C9="Lab 2","D211 ","")&amp;IF('D311'!C9="Lab 2","D311 ","")&amp;IF('D411'!C9="Lab 2","D411 ",""))," ",",")</f>
        <v/>
      </c>
      <c r="P12" s="6">
        <f>SUBSTITUTE(TRIM(IF('C111'!C9="Salón","C111 ","")&amp;IF('C112'!C9="Salón","C112 ","")&amp;IF('C113'!C9="Salón","C113 ","")&amp;IF('C121'!C9="Salón","C121 ","")&amp;IF('C122'!C9="Salón","C122 ","")&amp;IF('C211'!C9="Salón","C211 ","")&amp;IF('C212'!C9="Salón","C212 ","")&amp;IF('C311'!C9="Salón","C311 ","")&amp;IF('C312'!C9="Salón","C312 ","")&amp;IF('C411'!C9="Salón","C411 ","")&amp;IF('C412'!C9="Salón","C412 ","")&amp;IF('M111'!C9="Salón","M111 ","")&amp;IF('M112'!C9="Salón","M112 ","")&amp;IF('M211'!C9="Salón","M211 ","")&amp;IF('M212'!C9="Salón","M212 ","")&amp;IF('M311'!C9="Salón","M311 ","")&amp;IF('M411'!C9="Salón","M411 ","")&amp;IF('D111'!C9="Salón","D111 ","")&amp;IF('D112'!C9="Salón","D112 ","")&amp;IF('D211'!C9="Salón","D211 ","")&amp;IF('D311'!C9="Salón","D311 ","")&amp;IF('D411'!C9="Salón","D411 ",""))," ",",")</f>
        <v/>
      </c>
    </row>
    <row r="13">
      <c r="A13" s="4" t="inlineStr">
        <is>
          <t>Turno 4</t>
        </is>
      </c>
      <c r="B13" s="5">
        <f>SUBSTITUTE(TRIM(IF('C111'!C11="Aula 1","C111 ","")&amp;IF('C112'!C11="Aula 1","C112 ","")&amp;IF('C113'!C11="Aula 1","C113 ","")&amp;IF('C121'!C11="Aula 1","C121 ","")&amp;IF('C122'!C11="Aula 1","C122 ","")&amp;IF('C211'!C11="Aula 1","C211 ","")&amp;IF('C212'!C11="Aula 1","C212 ","")&amp;IF('C311'!C11="Aula 1","C311 ","")&amp;IF('C312'!C11="Aula 1","C312 ","")&amp;IF('C411'!C11="Aula 1","C411 ","")&amp;IF('C412'!C11="Aula 1","C412 ","")&amp;IF('M111'!C11="Aula 1","M111 ","")&amp;IF('M112'!C11="Aula 1","M112 ","")&amp;IF('M211'!C11="Aula 1","M211 ","")&amp;IF('M212'!C11="Aula 1","M212 ","")&amp;IF('M311'!C11="Aula 1","M311 ","")&amp;IF('M411'!C11="Aula 1","M411 ","")&amp;IF('D111'!C11="Aula 1","D111 ","")&amp;IF('D112'!C11="Aula 1","D112 ","")&amp;IF('D211'!C11="Aula 1","D211 ","")&amp;IF('D311'!C11="Aula 1","D311 ","")&amp;IF('D411'!C11="Aula 1","D411 ",""))," ",",")</f>
        <v/>
      </c>
      <c r="C13" s="5">
        <f>SUBSTITUTE(TRIM(IF('C111'!C11="Aula 2","C111 ","")&amp;IF('C112'!C11="Aula 2","C112 ","")&amp;IF('C113'!C11="Aula 2","C113 ","")&amp;IF('C121'!C11="Aula 2","C121 ","")&amp;IF('C122'!C11="Aula 2","C122 ","")&amp;IF('C211'!C11="Aula 2","C211 ","")&amp;IF('C212'!C11="Aula 2","C212 ","")&amp;IF('C311'!C11="Aula 2","C311 ","")&amp;IF('C312'!C11="Aula 2","C312 ","")&amp;IF('C411'!C11="Aula 2","C411 ","")&amp;IF('C412'!C11="Aula 2","C412 ","")&amp;IF('M111'!C11="Aula 2","M111 ","")&amp;IF('M112'!C11="Aula 2","M112 ","")&amp;IF('M211'!C11="Aula 2","M211 ","")&amp;IF('M212'!C11="Aula 2","M212 ","")&amp;IF('M311'!C11="Aula 2","M311 ","")&amp;IF('M411'!C11="Aula 2","M411 ","")&amp;IF('D111'!C11="Aula 2","D111 ","")&amp;IF('D112'!C11="Aula 2","D112 ","")&amp;IF('D211'!C11="Aula 2","D211 ","")&amp;IF('D311'!C11="Aula 2","D311 ","")&amp;IF('D411'!C11="Aula 2","D411 ",""))," ",",")</f>
        <v/>
      </c>
      <c r="D13" s="5">
        <f>SUBSTITUTE(TRIM(IF('C111'!C11="Aula 3","C111 ","")&amp;IF('C112'!C11="Aula 3","C112 ","")&amp;IF('C113'!C11="Aula 3","C113 ","")&amp;IF('C121'!C11="Aula 3","C121 ","")&amp;IF('C122'!C11="Aula 3","C122 ","")&amp;IF('C211'!C11="Aula 3","C211 ","")&amp;IF('C212'!C11="Aula 3","C212 ","")&amp;IF('C311'!C11="Aula 3","C311 ","")&amp;IF('C312'!C11="Aula 3","C312 ","")&amp;IF('C411'!C11="Aula 3","C411 ","")&amp;IF('C412'!C11="Aula 3","C412 ","")&amp;IF('M111'!C11="Aula 3","M111 ","")&amp;IF('M112'!C11="Aula 3","M112 ","")&amp;IF('M211'!C11="Aula 3","M211 ","")&amp;IF('M212'!C11="Aula 3","M212 ","")&amp;IF('M311'!C11="Aula 3","M311 ","")&amp;IF('M411'!C11="Aula 3","M411 ","")&amp;IF('D111'!C11="Aula 3","D111 ","")&amp;IF('D112'!C11="Aula 3","D112 ","")&amp;IF('D211'!C11="Aula 3","D211 ","")&amp;IF('D311'!C11="Aula 3","D311 ","")&amp;IF('D411'!C11="Aula 3","D411 ",""))," ",",")</f>
        <v/>
      </c>
      <c r="E13" s="5">
        <f>SUBSTITUTE(TRIM(IF('C111'!C11="Aula 4","C111 ","")&amp;IF('C112'!C11="Aula 4","C112 ","")&amp;IF('C113'!C11="Aula 4","C113 ","")&amp;IF('C121'!C11="Aula 4","C121 ","")&amp;IF('C122'!C11="Aula 4","C122 ","")&amp;IF('C211'!C11="Aula 4","C211 ","")&amp;IF('C212'!C11="Aula 4","C212 ","")&amp;IF('C311'!C11="Aula 4","C311 ","")&amp;IF('C312'!C11="Aula 4","C312 ","")&amp;IF('C411'!C11="Aula 4","C411 ","")&amp;IF('C412'!C11="Aula 4","C412 ","")&amp;IF('M111'!C11="Aula 4","M111 ","")&amp;IF('M112'!C11="Aula 4","M112 ","")&amp;IF('M211'!C11="Aula 4","M211 ","")&amp;IF('M212'!C11="Aula 4","M212 ","")&amp;IF('M311'!C11="Aula 4","M311 ","")&amp;IF('M411'!C11="Aula 4","M411 ","")&amp;IF('D111'!C11="Aula 4","D111 ","")&amp;IF('D112'!C11="Aula 4","D112 ","")&amp;IF('D211'!C11="Aula 4","D211 ","")&amp;IF('D311'!C11="Aula 4","D311 ","")&amp;IF('D411'!C11="Aula 4","D411 ",""))," ",",")</f>
        <v/>
      </c>
      <c r="F13" s="5">
        <f>SUBSTITUTE(TRIM(IF('C111'!C11="Aula 5","C111 ","")&amp;IF('C112'!C11="Aula 5","C112 ","")&amp;IF('C113'!C11="Aula 5","C113 ","")&amp;IF('C121'!C11="Aula 5","C121 ","")&amp;IF('C122'!C11="Aula 5","C122 ","")&amp;IF('C211'!C11="Aula 5","C211 ","")&amp;IF('C212'!C11="Aula 5","C212 ","")&amp;IF('C311'!C11="Aula 5","C311 ","")&amp;IF('C312'!C11="Aula 5","C312 ","")&amp;IF('C411'!C11="Aula 5","C411 ","")&amp;IF('C412'!C11="Aula 5","C412 ","")&amp;IF('M111'!C11="Aula 5","M111 ","")&amp;IF('M112'!C11="Aula 5","M112 ","")&amp;IF('M211'!C11="Aula 5","M211 ","")&amp;IF('M212'!C11="Aula 5","M212 ","")&amp;IF('M311'!C11="Aula 5","M311 ","")&amp;IF('M411'!C11="Aula 5","M411 ","")&amp;IF('D111'!C11="Aula 5","D111 ","")&amp;IF('D112'!C11="Aula 5","D112 ","")&amp;IF('D211'!C11="Aula 5","D211 ","")&amp;IF('D311'!C11="Aula 5","D311 ","")&amp;IF('D411'!C11="Aula 5","D411 ",""))," ",",")</f>
        <v/>
      </c>
      <c r="G13" s="5">
        <f>SUBSTITUTE(TRIM(IF('C111'!C11="Aula 6","C111 ","")&amp;IF('C112'!C11="Aula 6","C112 ","")&amp;IF('C113'!C11="Aula 6","C113 ","")&amp;IF('C121'!C11="Aula 6","C121 ","")&amp;IF('C122'!C11="Aula 6","C122 ","")&amp;IF('C211'!C11="Aula 6","C211 ","")&amp;IF('C212'!C11="Aula 6","C212 ","")&amp;IF('C311'!C11="Aula 6","C311 ","")&amp;IF('C312'!C11="Aula 6","C312 ","")&amp;IF('C411'!C11="Aula 6","C411 ","")&amp;IF('C412'!C11="Aula 6","C412 ","")&amp;IF('M111'!C11="Aula 6","M111 ","")&amp;IF('M112'!C11="Aula 6","M112 ","")&amp;IF('M211'!C11="Aula 6","M211 ","")&amp;IF('M212'!C11="Aula 6","M212 ","")&amp;IF('M311'!C11="Aula 6","M311 ","")&amp;IF('M411'!C11="Aula 6","M411 ","")&amp;IF('D111'!C11="Aula 6","D111 ","")&amp;IF('D112'!C11="Aula 6","D112 ","")&amp;IF('D211'!C11="Aula 6","D211 ","")&amp;IF('D311'!C11="Aula 6","D311 ","")&amp;IF('D411'!C11="Aula 6","D411 ",""))," ",",")</f>
        <v/>
      </c>
      <c r="H13" s="5">
        <f>SUBSTITUTE(TRIM(IF('C111'!C11="Aula 7","C111 ","")&amp;IF('C112'!C11="Aula 7","C112 ","")&amp;IF('C113'!C11="Aula 7","C113 ","")&amp;IF('C121'!C11="Aula 7","C121 ","")&amp;IF('C122'!C11="Aula 7","C122 ","")&amp;IF('C211'!C11="Aula 7","C211 ","")&amp;IF('C212'!C11="Aula 7","C212 ","")&amp;IF('C311'!C11="Aula 7","C311 ","")&amp;IF('C312'!C11="Aula 7","C312 ","")&amp;IF('C411'!C11="Aula 7","C411 ","")&amp;IF('C412'!C11="Aula 7","C412 ","")&amp;IF('M111'!C11="Aula 7","M111 ","")&amp;IF('M112'!C11="Aula 7","M112 ","")&amp;IF('M211'!C11="Aula 7","M211 ","")&amp;IF('M212'!C11="Aula 7","M212 ","")&amp;IF('M311'!C11="Aula 7","M311 ","")&amp;IF('M411'!C11="Aula 7","M411 ","")&amp;IF('D111'!C11="Aula 7","D111 ","")&amp;IF('D112'!C11="Aula 7","D112 ","")&amp;IF('D211'!C11="Aula 7","D211 ","")&amp;IF('D311'!C11="Aula 7","D311 ","")&amp;IF('D411'!C11="Aula 7","D411 ",""))," ",",")</f>
        <v/>
      </c>
      <c r="I13" s="5">
        <f>SUBSTITUTE(TRIM(IF('C111'!C11="Aula 8","C111 ","")&amp;IF('C112'!C11="Aula 8","C112 ","")&amp;IF('C113'!C11="Aula 8","C113 ","")&amp;IF('C121'!C11="Aula 8","C121 ","")&amp;IF('C122'!C11="Aula 8","C122 ","")&amp;IF('C211'!C11="Aula 8","C211 ","")&amp;IF('C212'!C11="Aula 8","C212 ","")&amp;IF('C311'!C11="Aula 8","C311 ","")&amp;IF('C312'!C11="Aula 8","C312 ","")&amp;IF('C411'!C11="Aula 8","C411 ","")&amp;IF('C412'!C11="Aula 8","C412 ","")&amp;IF('M111'!C11="Aula 8","M111 ","")&amp;IF('M112'!C11="Aula 8","M112 ","")&amp;IF('M211'!C11="Aula 8","M211 ","")&amp;IF('M212'!C11="Aula 8","M212 ","")&amp;IF('M311'!C11="Aula 8","M311 ","")&amp;IF('M411'!C11="Aula 8","M411 ","")&amp;IF('D111'!C11="Aula 8","D111 ","")&amp;IF('D112'!C11="Aula 8","D112 ","")&amp;IF('D211'!C11="Aula 8","D211 ","")&amp;IF('D311'!C11="Aula 8","D311 ","")&amp;IF('D411'!C11="Aula 8","D411 ",""))," ",",")</f>
        <v/>
      </c>
      <c r="J13" s="5">
        <f>SUBSTITUTE(TRIM(IF('C111'!C11="Aula 9","C111 ","")&amp;IF('C112'!C11="Aula 9","C112 ","")&amp;IF('C113'!C11="Aula 9","C113 ","")&amp;IF('C121'!C11="Aula 9","C121 ","")&amp;IF('C122'!C11="Aula 9","C122 ","")&amp;IF('C211'!C11="Aula 9","C211 ","")&amp;IF('C212'!C11="Aula 9","C212 ","")&amp;IF('C311'!C11="Aula 9","C311 ","")&amp;IF('C312'!C11="Aula 9","C312 ","")&amp;IF('C411'!C11="Aula 9","C411 ","")&amp;IF('C412'!C11="Aula 9","C412 ","")&amp;IF('M111'!C11="Aula 9","M111 ","")&amp;IF('M112'!C11="Aula 9","M112 ","")&amp;IF('M211'!C11="Aula 9","M211 ","")&amp;IF('M212'!C11="Aula 9","M212 ","")&amp;IF('M311'!C11="Aula 9","M311 ","")&amp;IF('M411'!C11="Aula 9","M411 ","")&amp;IF('D111'!C11="Aula 9","D111 ","")&amp;IF('D112'!C11="Aula 9","D112 ","")&amp;IF('D211'!C11="Aula 9","D211 ","")&amp;IF('D311'!C11="Aula 9","D311 ","")&amp;IF('D411'!C11="Aula 9","D411 ",""))," ",",")</f>
        <v/>
      </c>
      <c r="K13" s="5">
        <f>SUBSTITUTE(TRIM(IF('C111'!C11="Aula 10","C111 ","")&amp;IF('C112'!C11="Aula 10","C112 ","")&amp;IF('C113'!C11="Aula 10","C113 ","")&amp;IF('C121'!C11="Aula 10","C121 ","")&amp;IF('C122'!C11="Aula 10","C122 ","")&amp;IF('C211'!C11="Aula 10","C211 ","")&amp;IF('C212'!C11="Aula 10","C212 ","")&amp;IF('C311'!C11="Aula 10","C311 ","")&amp;IF('C312'!C11="Aula 10","C312 ","")&amp;IF('C411'!C11="Aula 10","C411 ","")&amp;IF('C412'!C11="Aula 10","C412 ","")&amp;IF('M111'!C11="Aula 10","M111 ","")&amp;IF('M112'!C11="Aula 10","M112 ","")&amp;IF('M211'!C11="Aula 10","M211 ","")&amp;IF('M212'!C11="Aula 10","M212 ","")&amp;IF('M311'!C11="Aula 10","M311 ","")&amp;IF('M411'!C11="Aula 10","M411 ","")&amp;IF('D111'!C11="Aula 10","D111 ","")&amp;IF('D112'!C11="Aula 10","D112 ","")&amp;IF('D211'!C11="Aula 10","D211 ","")&amp;IF('D311'!C11="Aula 10","D311 ","")&amp;IF('D411'!C11="Aula 10","D411 ",""))," ",",")</f>
        <v/>
      </c>
      <c r="L13" s="5">
        <f>SUBSTITUTE(TRIM(IF('C111'!C11="Aula 11","C111 ","")&amp;IF('C112'!C11="Aula 11","C112 ","")&amp;IF('C113'!C11="Aula 11","C113 ","")&amp;IF('C121'!C11="Aula 11","C121 ","")&amp;IF('C122'!C11="Aula 11","C122 ","")&amp;IF('C211'!C11="Aula 11","C211 ","")&amp;IF('C212'!C11="Aula 11","C212 ","")&amp;IF('C311'!C11="Aula 11","C311 ","")&amp;IF('C312'!C11="Aula 11","C312 ","")&amp;IF('C411'!C11="Aula 11","C411 ","")&amp;IF('C412'!C11="Aula 11","C412 ","")&amp;IF('M111'!C11="Aula 11","M111 ","")&amp;IF('M112'!C11="Aula 11","M112 ","")&amp;IF('M211'!C11="Aula 11","M211 ","")&amp;IF('M212'!C11="Aula 11","M212 ","")&amp;IF('M311'!C11="Aula 11","M311 ","")&amp;IF('M411'!C11="Aula 11","M411 ","")&amp;IF('D111'!C11="Aula 11","D111 ","")&amp;IF('D112'!C11="Aula 11","D112 ","")&amp;IF('D211'!C11="Aula 11","D211 ","")&amp;IF('D311'!C11="Aula 11","D311 ","")&amp;IF('D411'!C11="Aula 11","D411 ",""))," ",",")</f>
        <v/>
      </c>
      <c r="M13" s="5">
        <f>SUBSTITUTE(TRIM(IF('C111'!C11="Aula 12","C111 ","")&amp;IF('C112'!C11="Aula 12","C112 ","")&amp;IF('C113'!C11="Aula 12","C113 ","")&amp;IF('C121'!C11="Aula 12","C121 ","")&amp;IF('C122'!C11="Aula 12","C122 ","")&amp;IF('C211'!C11="Aula 12","C211 ","")&amp;IF('C212'!C11="Aula 12","C212 ","")&amp;IF('C311'!C11="Aula 12","C311 ","")&amp;IF('C312'!C11="Aula 12","C312 ","")&amp;IF('C411'!C11="Aula 12","C411 ","")&amp;IF('C412'!C11="Aula 12","C412 ","")&amp;IF('M111'!C11="Aula 12","M111 ","")&amp;IF('M112'!C11="Aula 12","M112 ","")&amp;IF('M211'!C11="Aula 12","M211 ","")&amp;IF('M212'!C11="Aula 12","M212 ","")&amp;IF('M311'!C11="Aula 12","M311 ","")&amp;IF('M411'!C11="Aula 12","M411 ","")&amp;IF('D111'!C11="Aula 12","D111 ","")&amp;IF('D112'!C11="Aula 12","D112 ","")&amp;IF('D211'!C11="Aula 12","D211 ","")&amp;IF('D311'!C11="Aula 12","D311 ","")&amp;IF('D411'!C11="Aula 12","D411 ",""))," ",",")</f>
        <v/>
      </c>
      <c r="N13" s="5">
        <f>SUBSTITUTE(TRIM(IF('C111'!C11="Lab 1","C111 ","")&amp;IF('C112'!C11="Lab 1","C112 ","")&amp;IF('C113'!C11="Lab 1","C113 ","")&amp;IF('C121'!C11="Lab 1","C121 ","")&amp;IF('C122'!C11="Lab 1","C122 ","")&amp;IF('C211'!C11="Lab 1","C211 ","")&amp;IF('C212'!C11="Lab 1","C212 ","")&amp;IF('C311'!C11="Lab 1","C311 ","")&amp;IF('C312'!C11="Lab 1","C312 ","")&amp;IF('C411'!C11="Lab 1","C411 ","")&amp;IF('C412'!C11="Lab 1","C412 ","")&amp;IF('M111'!C11="Lab 1","M111 ","")&amp;IF('M112'!C11="Lab 1","M112 ","")&amp;IF('M211'!C11="Lab 1","M211 ","")&amp;IF('M212'!C11="Lab 1","M212 ","")&amp;IF('M311'!C11="Lab 1","M311 ","")&amp;IF('M411'!C11="Lab 1","M411 ","")&amp;IF('D111'!C11="Lab 1","D111 ","")&amp;IF('D112'!C11="Lab 1","D112 ","")&amp;IF('D211'!C11="Lab 1","D211 ","")&amp;IF('D311'!C11="Lab 1","D311 ","")&amp;IF('D411'!C11="Lab 1","D411 ",""))," ",",")</f>
        <v/>
      </c>
      <c r="O13" s="5">
        <f>SUBSTITUTE(TRIM(IF('C111'!C11="Lab 2","C111 ","")&amp;IF('C112'!C11="Lab 2","C112 ","")&amp;IF('C113'!C11="Lab 2","C113 ","")&amp;IF('C121'!C11="Lab 2","C121 ","")&amp;IF('C122'!C11="Lab 2","C122 ","")&amp;IF('C211'!C11="Lab 2","C211 ","")&amp;IF('C212'!C11="Lab 2","C212 ","")&amp;IF('C311'!C11="Lab 2","C311 ","")&amp;IF('C312'!C11="Lab 2","C312 ","")&amp;IF('C411'!C11="Lab 2","C411 ","")&amp;IF('C412'!C11="Lab 2","C412 ","")&amp;IF('M111'!C11="Lab 2","M111 ","")&amp;IF('M112'!C11="Lab 2","M112 ","")&amp;IF('M211'!C11="Lab 2","M211 ","")&amp;IF('M212'!C11="Lab 2","M212 ","")&amp;IF('M311'!C11="Lab 2","M311 ","")&amp;IF('M411'!C11="Lab 2","M411 ","")&amp;IF('D111'!C11="Lab 2","D111 ","")&amp;IF('D112'!C11="Lab 2","D112 ","")&amp;IF('D211'!C11="Lab 2","D211 ","")&amp;IF('D311'!C11="Lab 2","D311 ","")&amp;IF('D411'!C11="Lab 2","D411 ",""))," ",",")</f>
        <v/>
      </c>
      <c r="P13" s="6">
        <f>SUBSTITUTE(TRIM(IF('C111'!C11="Salón","C111 ","")&amp;IF('C112'!C11="Salón","C112 ","")&amp;IF('C113'!C11="Salón","C113 ","")&amp;IF('C121'!C11="Salón","C121 ","")&amp;IF('C122'!C11="Salón","C122 ","")&amp;IF('C211'!C11="Salón","C211 ","")&amp;IF('C212'!C11="Salón","C212 ","")&amp;IF('C311'!C11="Salón","C311 ","")&amp;IF('C312'!C11="Salón","C312 ","")&amp;IF('C411'!C11="Salón","C411 ","")&amp;IF('C412'!C11="Salón","C412 ","")&amp;IF('M111'!C11="Salón","M111 ","")&amp;IF('M112'!C11="Salón","M112 ","")&amp;IF('M211'!C11="Salón","M211 ","")&amp;IF('M212'!C11="Salón","M212 ","")&amp;IF('M311'!C11="Salón","M311 ","")&amp;IF('M411'!C11="Salón","M411 ","")&amp;IF('D111'!C11="Salón","D111 ","")&amp;IF('D112'!C11="Salón","D112 ","")&amp;IF('D211'!C11="Salón","D211 ","")&amp;IF('D311'!C11="Salón","D311 ","")&amp;IF('D411'!C11="Salón","D411 ",""))," ",",")</f>
        <v/>
      </c>
    </row>
    <row r="14">
      <c r="A14" s="4" t="inlineStr">
        <is>
          <t>Turno 5</t>
        </is>
      </c>
      <c r="B14" s="5">
        <f>SUBSTITUTE(TRIM(IF('C111'!C13="Aula 1","C111 ","")&amp;IF('C112'!C13="Aula 1","C112 ","")&amp;IF('C113'!C13="Aula 1","C113 ","")&amp;IF('C121'!C13="Aula 1","C121 ","")&amp;IF('C122'!C13="Aula 1","C122 ","")&amp;IF('C211'!C13="Aula 1","C211 ","")&amp;IF('C212'!C13="Aula 1","C212 ","")&amp;IF('C311'!C13="Aula 1","C311 ","")&amp;IF('C312'!C13="Aula 1","C312 ","")&amp;IF('C411'!C13="Aula 1","C411 ","")&amp;IF('C412'!C13="Aula 1","C412 ","")&amp;IF('M111'!C13="Aula 1","M111 ","")&amp;IF('M112'!C13="Aula 1","M112 ","")&amp;IF('M211'!C13="Aula 1","M211 ","")&amp;IF('M212'!C13="Aula 1","M212 ","")&amp;IF('M311'!C13="Aula 1","M311 ","")&amp;IF('M411'!C13="Aula 1","M411 ","")&amp;IF('D111'!C13="Aula 1","D111 ","")&amp;IF('D112'!C13="Aula 1","D112 ","")&amp;IF('D211'!C13="Aula 1","D211 ","")&amp;IF('D311'!C13="Aula 1","D311 ","")&amp;IF('D411'!C13="Aula 1","D411 ",""))," ",",")</f>
        <v/>
      </c>
      <c r="C14" s="5">
        <f>SUBSTITUTE(TRIM(IF('C111'!C13="Aula 2","C111 ","")&amp;IF('C112'!C13="Aula 2","C112 ","")&amp;IF('C113'!C13="Aula 2","C113 ","")&amp;IF('C121'!C13="Aula 2","C121 ","")&amp;IF('C122'!C13="Aula 2","C122 ","")&amp;IF('C211'!C13="Aula 2","C211 ","")&amp;IF('C212'!C13="Aula 2","C212 ","")&amp;IF('C311'!C13="Aula 2","C311 ","")&amp;IF('C312'!C13="Aula 2","C312 ","")&amp;IF('C411'!C13="Aula 2","C411 ","")&amp;IF('C412'!C13="Aula 2","C412 ","")&amp;IF('M111'!C13="Aula 2","M111 ","")&amp;IF('M112'!C13="Aula 2","M112 ","")&amp;IF('M211'!C13="Aula 2","M211 ","")&amp;IF('M212'!C13="Aula 2","M212 ","")&amp;IF('M311'!C13="Aula 2","M311 ","")&amp;IF('M411'!C13="Aula 2","M411 ","")&amp;IF('D111'!C13="Aula 2","D111 ","")&amp;IF('D112'!C13="Aula 2","D112 ","")&amp;IF('D211'!C13="Aula 2","D211 ","")&amp;IF('D311'!C13="Aula 2","D311 ","")&amp;IF('D411'!C13="Aula 2","D411 ",""))," ",",")</f>
        <v/>
      </c>
      <c r="D14" s="5">
        <f>SUBSTITUTE(TRIM(IF('C111'!C13="Aula 3","C111 ","")&amp;IF('C112'!C13="Aula 3","C112 ","")&amp;IF('C113'!C13="Aula 3","C113 ","")&amp;IF('C121'!C13="Aula 3","C121 ","")&amp;IF('C122'!C13="Aula 3","C122 ","")&amp;IF('C211'!C13="Aula 3","C211 ","")&amp;IF('C212'!C13="Aula 3","C212 ","")&amp;IF('C311'!C13="Aula 3","C311 ","")&amp;IF('C312'!C13="Aula 3","C312 ","")&amp;IF('C411'!C13="Aula 3","C411 ","")&amp;IF('C412'!C13="Aula 3","C412 ","")&amp;IF('M111'!C13="Aula 3","M111 ","")&amp;IF('M112'!C13="Aula 3","M112 ","")&amp;IF('M211'!C13="Aula 3","M211 ","")&amp;IF('M212'!C13="Aula 3","M212 ","")&amp;IF('M311'!C13="Aula 3","M311 ","")&amp;IF('M411'!C13="Aula 3","M411 ","")&amp;IF('D111'!C13="Aula 3","D111 ","")&amp;IF('D112'!C13="Aula 3","D112 ","")&amp;IF('D211'!C13="Aula 3","D211 ","")&amp;IF('D311'!C13="Aula 3","D311 ","")&amp;IF('D411'!C13="Aula 3","D411 ",""))," ",",")</f>
        <v/>
      </c>
      <c r="E14" s="5">
        <f>SUBSTITUTE(TRIM(IF('C111'!C13="Aula 4","C111 ","")&amp;IF('C112'!C13="Aula 4","C112 ","")&amp;IF('C113'!C13="Aula 4","C113 ","")&amp;IF('C121'!C13="Aula 4","C121 ","")&amp;IF('C122'!C13="Aula 4","C122 ","")&amp;IF('C211'!C13="Aula 4","C211 ","")&amp;IF('C212'!C13="Aula 4","C212 ","")&amp;IF('C311'!C13="Aula 4","C311 ","")&amp;IF('C312'!C13="Aula 4","C312 ","")&amp;IF('C411'!C13="Aula 4","C411 ","")&amp;IF('C412'!C13="Aula 4","C412 ","")&amp;IF('M111'!C13="Aula 4","M111 ","")&amp;IF('M112'!C13="Aula 4","M112 ","")&amp;IF('M211'!C13="Aula 4","M211 ","")&amp;IF('M212'!C13="Aula 4","M212 ","")&amp;IF('M311'!C13="Aula 4","M311 ","")&amp;IF('M411'!C13="Aula 4","M411 ","")&amp;IF('D111'!C13="Aula 4","D111 ","")&amp;IF('D112'!C13="Aula 4","D112 ","")&amp;IF('D211'!C13="Aula 4","D211 ","")&amp;IF('D311'!C13="Aula 4","D311 ","")&amp;IF('D411'!C13="Aula 4","D411 ",""))," ",",")</f>
        <v/>
      </c>
      <c r="F14" s="5">
        <f>SUBSTITUTE(TRIM(IF('C111'!C13="Aula 5","C111 ","")&amp;IF('C112'!C13="Aula 5","C112 ","")&amp;IF('C113'!C13="Aula 5","C113 ","")&amp;IF('C121'!C13="Aula 5","C121 ","")&amp;IF('C122'!C13="Aula 5","C122 ","")&amp;IF('C211'!C13="Aula 5","C211 ","")&amp;IF('C212'!C13="Aula 5","C212 ","")&amp;IF('C311'!C13="Aula 5","C311 ","")&amp;IF('C312'!C13="Aula 5","C312 ","")&amp;IF('C411'!C13="Aula 5","C411 ","")&amp;IF('C412'!C13="Aula 5","C412 ","")&amp;IF('M111'!C13="Aula 5","M111 ","")&amp;IF('M112'!C13="Aula 5","M112 ","")&amp;IF('M211'!C13="Aula 5","M211 ","")&amp;IF('M212'!C13="Aula 5","M212 ","")&amp;IF('M311'!C13="Aula 5","M311 ","")&amp;IF('M411'!C13="Aula 5","M411 ","")&amp;IF('D111'!C13="Aula 5","D111 ","")&amp;IF('D112'!C13="Aula 5","D112 ","")&amp;IF('D211'!C13="Aula 5","D211 ","")&amp;IF('D311'!C13="Aula 5","D311 ","")&amp;IF('D411'!C13="Aula 5","D411 ",""))," ",",")</f>
        <v/>
      </c>
      <c r="G14" s="5">
        <f>SUBSTITUTE(TRIM(IF('C111'!C13="Aula 6","C111 ","")&amp;IF('C112'!C13="Aula 6","C112 ","")&amp;IF('C113'!C13="Aula 6","C113 ","")&amp;IF('C121'!C13="Aula 6","C121 ","")&amp;IF('C122'!C13="Aula 6","C122 ","")&amp;IF('C211'!C13="Aula 6","C211 ","")&amp;IF('C212'!C13="Aula 6","C212 ","")&amp;IF('C311'!C13="Aula 6","C311 ","")&amp;IF('C312'!C13="Aula 6","C312 ","")&amp;IF('C411'!C13="Aula 6","C411 ","")&amp;IF('C412'!C13="Aula 6","C412 ","")&amp;IF('M111'!C13="Aula 6","M111 ","")&amp;IF('M112'!C13="Aula 6","M112 ","")&amp;IF('M211'!C13="Aula 6","M211 ","")&amp;IF('M212'!C13="Aula 6","M212 ","")&amp;IF('M311'!C13="Aula 6","M311 ","")&amp;IF('M411'!C13="Aula 6","M411 ","")&amp;IF('D111'!C13="Aula 6","D111 ","")&amp;IF('D112'!C13="Aula 6","D112 ","")&amp;IF('D211'!C13="Aula 6","D211 ","")&amp;IF('D311'!C13="Aula 6","D311 ","")&amp;IF('D411'!C13="Aula 6","D411 ",""))," ",",")</f>
        <v/>
      </c>
      <c r="H14" s="5">
        <f>SUBSTITUTE(TRIM(IF('C111'!C13="Aula 7","C111 ","")&amp;IF('C112'!C13="Aula 7","C112 ","")&amp;IF('C113'!C13="Aula 7","C113 ","")&amp;IF('C121'!C13="Aula 7","C121 ","")&amp;IF('C122'!C13="Aula 7","C122 ","")&amp;IF('C211'!C13="Aula 7","C211 ","")&amp;IF('C212'!C13="Aula 7","C212 ","")&amp;IF('C311'!C13="Aula 7","C311 ","")&amp;IF('C312'!C13="Aula 7","C312 ","")&amp;IF('C411'!C13="Aula 7","C411 ","")&amp;IF('C412'!C13="Aula 7","C412 ","")&amp;IF('M111'!C13="Aula 7","M111 ","")&amp;IF('M112'!C13="Aula 7","M112 ","")&amp;IF('M211'!C13="Aula 7","M211 ","")&amp;IF('M212'!C13="Aula 7","M212 ","")&amp;IF('M311'!C13="Aula 7","M311 ","")&amp;IF('M411'!C13="Aula 7","M411 ","")&amp;IF('D111'!C13="Aula 7","D111 ","")&amp;IF('D112'!C13="Aula 7","D112 ","")&amp;IF('D211'!C13="Aula 7","D211 ","")&amp;IF('D311'!C13="Aula 7","D311 ","")&amp;IF('D411'!C13="Aula 7","D411 ",""))," ",",")</f>
        <v/>
      </c>
      <c r="I14" s="5">
        <f>SUBSTITUTE(TRIM(IF('C111'!C13="Aula 8","C111 ","")&amp;IF('C112'!C13="Aula 8","C112 ","")&amp;IF('C113'!C13="Aula 8","C113 ","")&amp;IF('C121'!C13="Aula 8","C121 ","")&amp;IF('C122'!C13="Aula 8","C122 ","")&amp;IF('C211'!C13="Aula 8","C211 ","")&amp;IF('C212'!C13="Aula 8","C212 ","")&amp;IF('C311'!C13="Aula 8","C311 ","")&amp;IF('C312'!C13="Aula 8","C312 ","")&amp;IF('C411'!C13="Aula 8","C411 ","")&amp;IF('C412'!C13="Aula 8","C412 ","")&amp;IF('M111'!C13="Aula 8","M111 ","")&amp;IF('M112'!C13="Aula 8","M112 ","")&amp;IF('M211'!C13="Aula 8","M211 ","")&amp;IF('M212'!C13="Aula 8","M212 ","")&amp;IF('M311'!C13="Aula 8","M311 ","")&amp;IF('M411'!C13="Aula 8","M411 ","")&amp;IF('D111'!C13="Aula 8","D111 ","")&amp;IF('D112'!C13="Aula 8","D112 ","")&amp;IF('D211'!C13="Aula 8","D211 ","")&amp;IF('D311'!C13="Aula 8","D311 ","")&amp;IF('D411'!C13="Aula 8","D411 ",""))," ",",")</f>
        <v/>
      </c>
      <c r="J14" s="5">
        <f>SUBSTITUTE(TRIM(IF('C111'!C13="Aula 9","C111 ","")&amp;IF('C112'!C13="Aula 9","C112 ","")&amp;IF('C113'!C13="Aula 9","C113 ","")&amp;IF('C121'!C13="Aula 9","C121 ","")&amp;IF('C122'!C13="Aula 9","C122 ","")&amp;IF('C211'!C13="Aula 9","C211 ","")&amp;IF('C212'!C13="Aula 9","C212 ","")&amp;IF('C311'!C13="Aula 9","C311 ","")&amp;IF('C312'!C13="Aula 9","C312 ","")&amp;IF('C411'!C13="Aula 9","C411 ","")&amp;IF('C412'!C13="Aula 9","C412 ","")&amp;IF('M111'!C13="Aula 9","M111 ","")&amp;IF('M112'!C13="Aula 9","M112 ","")&amp;IF('M211'!C13="Aula 9","M211 ","")&amp;IF('M212'!C13="Aula 9","M212 ","")&amp;IF('M311'!C13="Aula 9","M311 ","")&amp;IF('M411'!C13="Aula 9","M411 ","")&amp;IF('D111'!C13="Aula 9","D111 ","")&amp;IF('D112'!C13="Aula 9","D112 ","")&amp;IF('D211'!C13="Aula 9","D211 ","")&amp;IF('D311'!C13="Aula 9","D311 ","")&amp;IF('D411'!C13="Aula 9","D411 ",""))," ",",")</f>
        <v/>
      </c>
      <c r="K14" s="5">
        <f>SUBSTITUTE(TRIM(IF('C111'!C13="Aula 10","C111 ","")&amp;IF('C112'!C13="Aula 10","C112 ","")&amp;IF('C113'!C13="Aula 10","C113 ","")&amp;IF('C121'!C13="Aula 10","C121 ","")&amp;IF('C122'!C13="Aula 10","C122 ","")&amp;IF('C211'!C13="Aula 10","C211 ","")&amp;IF('C212'!C13="Aula 10","C212 ","")&amp;IF('C311'!C13="Aula 10","C311 ","")&amp;IF('C312'!C13="Aula 10","C312 ","")&amp;IF('C411'!C13="Aula 10","C411 ","")&amp;IF('C412'!C13="Aula 10","C412 ","")&amp;IF('M111'!C13="Aula 10","M111 ","")&amp;IF('M112'!C13="Aula 10","M112 ","")&amp;IF('M211'!C13="Aula 10","M211 ","")&amp;IF('M212'!C13="Aula 10","M212 ","")&amp;IF('M311'!C13="Aula 10","M311 ","")&amp;IF('M411'!C13="Aula 10","M411 ","")&amp;IF('D111'!C13="Aula 10","D111 ","")&amp;IF('D112'!C13="Aula 10","D112 ","")&amp;IF('D211'!C13="Aula 10","D211 ","")&amp;IF('D311'!C13="Aula 10","D311 ","")&amp;IF('D411'!C13="Aula 10","D411 ",""))," ",",")</f>
        <v/>
      </c>
      <c r="L14" s="5">
        <f>SUBSTITUTE(TRIM(IF('C111'!C13="Aula 11","C111 ","")&amp;IF('C112'!C13="Aula 11","C112 ","")&amp;IF('C113'!C13="Aula 11","C113 ","")&amp;IF('C121'!C13="Aula 11","C121 ","")&amp;IF('C122'!C13="Aula 11","C122 ","")&amp;IF('C211'!C13="Aula 11","C211 ","")&amp;IF('C212'!C13="Aula 11","C212 ","")&amp;IF('C311'!C13="Aula 11","C311 ","")&amp;IF('C312'!C13="Aula 11","C312 ","")&amp;IF('C411'!C13="Aula 11","C411 ","")&amp;IF('C412'!C13="Aula 11","C412 ","")&amp;IF('M111'!C13="Aula 11","M111 ","")&amp;IF('M112'!C13="Aula 11","M112 ","")&amp;IF('M211'!C13="Aula 11","M211 ","")&amp;IF('M212'!C13="Aula 11","M212 ","")&amp;IF('M311'!C13="Aula 11","M311 ","")&amp;IF('M411'!C13="Aula 11","M411 ","")&amp;IF('D111'!C13="Aula 11","D111 ","")&amp;IF('D112'!C13="Aula 11","D112 ","")&amp;IF('D211'!C13="Aula 11","D211 ","")&amp;IF('D311'!C13="Aula 11","D311 ","")&amp;IF('D411'!C13="Aula 11","D411 ",""))," ",",")</f>
        <v/>
      </c>
      <c r="M14" s="5">
        <f>SUBSTITUTE(TRIM(IF('C111'!C13="Aula 12","C111 ","")&amp;IF('C112'!C13="Aula 12","C112 ","")&amp;IF('C113'!C13="Aula 12","C113 ","")&amp;IF('C121'!C13="Aula 12","C121 ","")&amp;IF('C122'!C13="Aula 12","C122 ","")&amp;IF('C211'!C13="Aula 12","C211 ","")&amp;IF('C212'!C13="Aula 12","C212 ","")&amp;IF('C311'!C13="Aula 12","C311 ","")&amp;IF('C312'!C13="Aula 12","C312 ","")&amp;IF('C411'!C13="Aula 12","C411 ","")&amp;IF('C412'!C13="Aula 12","C412 ","")&amp;IF('M111'!C13="Aula 12","M111 ","")&amp;IF('M112'!C13="Aula 12","M112 ","")&amp;IF('M211'!C13="Aula 12","M211 ","")&amp;IF('M212'!C13="Aula 12","M212 ","")&amp;IF('M311'!C13="Aula 12","M311 ","")&amp;IF('M411'!C13="Aula 12","M411 ","")&amp;IF('D111'!C13="Aula 12","D111 ","")&amp;IF('D112'!C13="Aula 12","D112 ","")&amp;IF('D211'!C13="Aula 12","D211 ","")&amp;IF('D311'!C13="Aula 12","D311 ","")&amp;IF('D411'!C13="Aula 12","D411 ",""))," ",",")</f>
        <v/>
      </c>
      <c r="N14" s="5">
        <f>SUBSTITUTE(TRIM(IF('C111'!C13="Lab 1","C111 ","")&amp;IF('C112'!C13="Lab 1","C112 ","")&amp;IF('C113'!C13="Lab 1","C113 ","")&amp;IF('C121'!C13="Lab 1","C121 ","")&amp;IF('C122'!C13="Lab 1","C122 ","")&amp;IF('C211'!C13="Lab 1","C211 ","")&amp;IF('C212'!C13="Lab 1","C212 ","")&amp;IF('C311'!C13="Lab 1","C311 ","")&amp;IF('C312'!C13="Lab 1","C312 ","")&amp;IF('C411'!C13="Lab 1","C411 ","")&amp;IF('C412'!C13="Lab 1","C412 ","")&amp;IF('M111'!C13="Lab 1","M111 ","")&amp;IF('M112'!C13="Lab 1","M112 ","")&amp;IF('M211'!C13="Lab 1","M211 ","")&amp;IF('M212'!C13="Lab 1","M212 ","")&amp;IF('M311'!C13="Lab 1","M311 ","")&amp;IF('M411'!C13="Lab 1","M411 ","")&amp;IF('D111'!C13="Lab 1","D111 ","")&amp;IF('D112'!C13="Lab 1","D112 ","")&amp;IF('D211'!C13="Lab 1","D211 ","")&amp;IF('D311'!C13="Lab 1","D311 ","")&amp;IF('D411'!C13="Lab 1","D411 ",""))," ",",")</f>
        <v/>
      </c>
      <c r="O14" s="5">
        <f>SUBSTITUTE(TRIM(IF('C111'!C13="Lab 2","C111 ","")&amp;IF('C112'!C13="Lab 2","C112 ","")&amp;IF('C113'!C13="Lab 2","C113 ","")&amp;IF('C121'!C13="Lab 2","C121 ","")&amp;IF('C122'!C13="Lab 2","C122 ","")&amp;IF('C211'!C13="Lab 2","C211 ","")&amp;IF('C212'!C13="Lab 2","C212 ","")&amp;IF('C311'!C13="Lab 2","C311 ","")&amp;IF('C312'!C13="Lab 2","C312 ","")&amp;IF('C411'!C13="Lab 2","C411 ","")&amp;IF('C412'!C13="Lab 2","C412 ","")&amp;IF('M111'!C13="Lab 2","M111 ","")&amp;IF('M112'!C13="Lab 2","M112 ","")&amp;IF('M211'!C13="Lab 2","M211 ","")&amp;IF('M212'!C13="Lab 2","M212 ","")&amp;IF('M311'!C13="Lab 2","M311 ","")&amp;IF('M411'!C13="Lab 2","M411 ","")&amp;IF('D111'!C13="Lab 2","D111 ","")&amp;IF('D112'!C13="Lab 2","D112 ","")&amp;IF('D211'!C13="Lab 2","D211 ","")&amp;IF('D311'!C13="Lab 2","D311 ","")&amp;IF('D411'!C13="Lab 2","D411 ",""))," ",",")</f>
        <v/>
      </c>
      <c r="P14" s="6">
        <f>SUBSTITUTE(TRIM(IF('C111'!C13="Salón","C111 ","")&amp;IF('C112'!C13="Salón","C112 ","")&amp;IF('C113'!C13="Salón","C113 ","")&amp;IF('C121'!C13="Salón","C121 ","")&amp;IF('C122'!C13="Salón","C122 ","")&amp;IF('C211'!C13="Salón","C211 ","")&amp;IF('C212'!C13="Salón","C212 ","")&amp;IF('C311'!C13="Salón","C311 ","")&amp;IF('C312'!C13="Salón","C312 ","")&amp;IF('C411'!C13="Salón","C411 ","")&amp;IF('C412'!C13="Salón","C412 ","")&amp;IF('M111'!C13="Salón","M111 ","")&amp;IF('M112'!C13="Salón","M112 ","")&amp;IF('M211'!C13="Salón","M211 ","")&amp;IF('M212'!C13="Salón","M212 ","")&amp;IF('M311'!C13="Salón","M311 ","")&amp;IF('M411'!C13="Salón","M411 ","")&amp;IF('D111'!C13="Salón","D111 ","")&amp;IF('D112'!C13="Salón","D112 ","")&amp;IF('D211'!C13="Salón","D211 ","")&amp;IF('D311'!C13="Salón","D311 ","")&amp;IF('D411'!C13="Salón","D411 ",""))," ",",")</f>
        <v/>
      </c>
    </row>
    <row r="15">
      <c r="A15" s="7" t="inlineStr">
        <is>
          <t>Turno 6</t>
        </is>
      </c>
      <c r="B15" s="8">
        <f>SUBSTITUTE(TRIM(IF('C111'!C15="Aula 1","C111 ","")&amp;IF('C112'!C15="Aula 1","C112 ","")&amp;IF('C113'!C15="Aula 1","C113 ","")&amp;IF('C121'!C15="Aula 1","C121 ","")&amp;IF('C122'!C15="Aula 1","C122 ","")&amp;IF('C211'!C15="Aula 1","C211 ","")&amp;IF('C212'!C15="Aula 1","C212 ","")&amp;IF('C311'!C15="Aula 1","C311 ","")&amp;IF('C312'!C15="Aula 1","C312 ","")&amp;IF('C411'!C15="Aula 1","C411 ","")&amp;IF('C412'!C15="Aula 1","C412 ","")&amp;IF('M111'!C15="Aula 1","M111 ","")&amp;IF('M112'!C15="Aula 1","M112 ","")&amp;IF('M211'!C15="Aula 1","M211 ","")&amp;IF('M212'!C15="Aula 1","M212 ","")&amp;IF('M311'!C15="Aula 1","M311 ","")&amp;IF('M411'!C15="Aula 1","M411 ","")&amp;IF('D111'!C15="Aula 1","D111 ","")&amp;IF('D112'!C15="Aula 1","D112 ","")&amp;IF('D211'!C15="Aula 1","D211 ","")&amp;IF('D311'!C15="Aula 1","D311 ","")&amp;IF('D411'!C15="Aula 1","D411 ",""))," ",",")</f>
        <v/>
      </c>
      <c r="C15" s="8">
        <f>SUBSTITUTE(TRIM(IF('C111'!C15="Aula 2","C111 ","")&amp;IF('C112'!C15="Aula 2","C112 ","")&amp;IF('C113'!C15="Aula 2","C113 ","")&amp;IF('C121'!C15="Aula 2","C121 ","")&amp;IF('C122'!C15="Aula 2","C122 ","")&amp;IF('C211'!C15="Aula 2","C211 ","")&amp;IF('C212'!C15="Aula 2","C212 ","")&amp;IF('C311'!C15="Aula 2","C311 ","")&amp;IF('C312'!C15="Aula 2","C312 ","")&amp;IF('C411'!C15="Aula 2","C411 ","")&amp;IF('C412'!C15="Aula 2","C412 ","")&amp;IF('M111'!C15="Aula 2","M111 ","")&amp;IF('M112'!C15="Aula 2","M112 ","")&amp;IF('M211'!C15="Aula 2","M211 ","")&amp;IF('M212'!C15="Aula 2","M212 ","")&amp;IF('M311'!C15="Aula 2","M311 ","")&amp;IF('M411'!C15="Aula 2","M411 ","")&amp;IF('D111'!C15="Aula 2","D111 ","")&amp;IF('D112'!C15="Aula 2","D112 ","")&amp;IF('D211'!C15="Aula 2","D211 ","")&amp;IF('D311'!C15="Aula 2","D311 ","")&amp;IF('D411'!C15="Aula 2","D411 ",""))," ",",")</f>
        <v/>
      </c>
      <c r="D15" s="8">
        <f>SUBSTITUTE(TRIM(IF('C111'!C15="Aula 3","C111 ","")&amp;IF('C112'!C15="Aula 3","C112 ","")&amp;IF('C113'!C15="Aula 3","C113 ","")&amp;IF('C121'!C15="Aula 3","C121 ","")&amp;IF('C122'!C15="Aula 3","C122 ","")&amp;IF('C211'!C15="Aula 3","C211 ","")&amp;IF('C212'!C15="Aula 3","C212 ","")&amp;IF('C311'!C15="Aula 3","C311 ","")&amp;IF('C312'!C15="Aula 3","C312 ","")&amp;IF('C411'!C15="Aula 3","C411 ","")&amp;IF('C412'!C15="Aula 3","C412 ","")&amp;IF('M111'!C15="Aula 3","M111 ","")&amp;IF('M112'!C15="Aula 3","M112 ","")&amp;IF('M211'!C15="Aula 3","M211 ","")&amp;IF('M212'!C15="Aula 3","M212 ","")&amp;IF('M311'!C15="Aula 3","M311 ","")&amp;IF('M411'!C15="Aula 3","M411 ","")&amp;IF('D111'!C15="Aula 3","D111 ","")&amp;IF('D112'!C15="Aula 3","D112 ","")&amp;IF('D211'!C15="Aula 3","D211 ","")&amp;IF('D311'!C15="Aula 3","D311 ","")&amp;IF('D411'!C15="Aula 3","D411 ",""))," ",",")</f>
        <v/>
      </c>
      <c r="E15" s="8">
        <f>SUBSTITUTE(TRIM(IF('C111'!C15="Aula 4","C111 ","")&amp;IF('C112'!C15="Aula 4","C112 ","")&amp;IF('C113'!C15="Aula 4","C113 ","")&amp;IF('C121'!C15="Aula 4","C121 ","")&amp;IF('C122'!C15="Aula 4","C122 ","")&amp;IF('C211'!C15="Aula 4","C211 ","")&amp;IF('C212'!C15="Aula 4","C212 ","")&amp;IF('C311'!C15="Aula 4","C311 ","")&amp;IF('C312'!C15="Aula 4","C312 ","")&amp;IF('C411'!C15="Aula 4","C411 ","")&amp;IF('C412'!C15="Aula 4","C412 ","")&amp;IF('M111'!C15="Aula 4","M111 ","")&amp;IF('M112'!C15="Aula 4","M112 ","")&amp;IF('M211'!C15="Aula 4","M211 ","")&amp;IF('M212'!C15="Aula 4","M212 ","")&amp;IF('M311'!C15="Aula 4","M311 ","")&amp;IF('M411'!C15="Aula 4","M411 ","")&amp;IF('D111'!C15="Aula 4","D111 ","")&amp;IF('D112'!C15="Aula 4","D112 ","")&amp;IF('D211'!C15="Aula 4","D211 ","")&amp;IF('D311'!C15="Aula 4","D311 ","")&amp;IF('D411'!C15="Aula 4","D411 ",""))," ",",")</f>
        <v/>
      </c>
      <c r="F15" s="8">
        <f>SUBSTITUTE(TRIM(IF('C111'!C15="Aula 5","C111 ","")&amp;IF('C112'!C15="Aula 5","C112 ","")&amp;IF('C113'!C15="Aula 5","C113 ","")&amp;IF('C121'!C15="Aula 5","C121 ","")&amp;IF('C122'!C15="Aula 5","C122 ","")&amp;IF('C211'!C15="Aula 5","C211 ","")&amp;IF('C212'!C15="Aula 5","C212 ","")&amp;IF('C311'!C15="Aula 5","C311 ","")&amp;IF('C312'!C15="Aula 5","C312 ","")&amp;IF('C411'!C15="Aula 5","C411 ","")&amp;IF('C412'!C15="Aula 5","C412 ","")&amp;IF('M111'!C15="Aula 5","M111 ","")&amp;IF('M112'!C15="Aula 5","M112 ","")&amp;IF('M211'!C15="Aula 5","M211 ","")&amp;IF('M212'!C15="Aula 5","M212 ","")&amp;IF('M311'!C15="Aula 5","M311 ","")&amp;IF('M411'!C15="Aula 5","M411 ","")&amp;IF('D111'!C15="Aula 5","D111 ","")&amp;IF('D112'!C15="Aula 5","D112 ","")&amp;IF('D211'!C15="Aula 5","D211 ","")&amp;IF('D311'!C15="Aula 5","D311 ","")&amp;IF('D411'!C15="Aula 5","D411 ",""))," ",",")</f>
        <v/>
      </c>
      <c r="G15" s="8">
        <f>SUBSTITUTE(TRIM(IF('C111'!C15="Aula 6","C111 ","")&amp;IF('C112'!C15="Aula 6","C112 ","")&amp;IF('C113'!C15="Aula 6","C113 ","")&amp;IF('C121'!C15="Aula 6","C121 ","")&amp;IF('C122'!C15="Aula 6","C122 ","")&amp;IF('C211'!C15="Aula 6","C211 ","")&amp;IF('C212'!C15="Aula 6","C212 ","")&amp;IF('C311'!C15="Aula 6","C311 ","")&amp;IF('C312'!C15="Aula 6","C312 ","")&amp;IF('C411'!C15="Aula 6","C411 ","")&amp;IF('C412'!C15="Aula 6","C412 ","")&amp;IF('M111'!C15="Aula 6","M111 ","")&amp;IF('M112'!C15="Aula 6","M112 ","")&amp;IF('M211'!C15="Aula 6","M211 ","")&amp;IF('M212'!C15="Aula 6","M212 ","")&amp;IF('M311'!C15="Aula 6","M311 ","")&amp;IF('M411'!C15="Aula 6","M411 ","")&amp;IF('D111'!C15="Aula 6","D111 ","")&amp;IF('D112'!C15="Aula 6","D112 ","")&amp;IF('D211'!C15="Aula 6","D211 ","")&amp;IF('D311'!C15="Aula 6","D311 ","")&amp;IF('D411'!C15="Aula 6","D411 ",""))," ",",")</f>
        <v/>
      </c>
      <c r="H15" s="8">
        <f>SUBSTITUTE(TRIM(IF('C111'!C15="Aula 7","C111 ","")&amp;IF('C112'!C15="Aula 7","C112 ","")&amp;IF('C113'!C15="Aula 7","C113 ","")&amp;IF('C121'!C15="Aula 7","C121 ","")&amp;IF('C122'!C15="Aula 7","C122 ","")&amp;IF('C211'!C15="Aula 7","C211 ","")&amp;IF('C212'!C15="Aula 7","C212 ","")&amp;IF('C311'!C15="Aula 7","C311 ","")&amp;IF('C312'!C15="Aula 7","C312 ","")&amp;IF('C411'!C15="Aula 7","C411 ","")&amp;IF('C412'!C15="Aula 7","C412 ","")&amp;IF('M111'!C15="Aula 7","M111 ","")&amp;IF('M112'!C15="Aula 7","M112 ","")&amp;IF('M211'!C15="Aula 7","M211 ","")&amp;IF('M212'!C15="Aula 7","M212 ","")&amp;IF('M311'!C15="Aula 7","M311 ","")&amp;IF('M411'!C15="Aula 7","M411 ","")&amp;IF('D111'!C15="Aula 7","D111 ","")&amp;IF('D112'!C15="Aula 7","D112 ","")&amp;IF('D211'!C15="Aula 7","D211 ","")&amp;IF('D311'!C15="Aula 7","D311 ","")&amp;IF('D411'!C15="Aula 7","D411 ",""))," ",",")</f>
        <v/>
      </c>
      <c r="I15" s="8">
        <f>SUBSTITUTE(TRIM(IF('C111'!C15="Aula 8","C111 ","")&amp;IF('C112'!C15="Aula 8","C112 ","")&amp;IF('C113'!C15="Aula 8","C113 ","")&amp;IF('C121'!C15="Aula 8","C121 ","")&amp;IF('C122'!C15="Aula 8","C122 ","")&amp;IF('C211'!C15="Aula 8","C211 ","")&amp;IF('C212'!C15="Aula 8","C212 ","")&amp;IF('C311'!C15="Aula 8","C311 ","")&amp;IF('C312'!C15="Aula 8","C312 ","")&amp;IF('C411'!C15="Aula 8","C411 ","")&amp;IF('C412'!C15="Aula 8","C412 ","")&amp;IF('M111'!C15="Aula 8","M111 ","")&amp;IF('M112'!C15="Aula 8","M112 ","")&amp;IF('M211'!C15="Aula 8","M211 ","")&amp;IF('M212'!C15="Aula 8","M212 ","")&amp;IF('M311'!C15="Aula 8","M311 ","")&amp;IF('M411'!C15="Aula 8","M411 ","")&amp;IF('D111'!C15="Aula 8","D111 ","")&amp;IF('D112'!C15="Aula 8","D112 ","")&amp;IF('D211'!C15="Aula 8","D211 ","")&amp;IF('D311'!C15="Aula 8","D311 ","")&amp;IF('D411'!C15="Aula 8","D411 ",""))," ",",")</f>
        <v/>
      </c>
      <c r="J15" s="8">
        <f>SUBSTITUTE(TRIM(IF('C111'!C15="Aula 9","C111 ","")&amp;IF('C112'!C15="Aula 9","C112 ","")&amp;IF('C113'!C15="Aula 9","C113 ","")&amp;IF('C121'!C15="Aula 9","C121 ","")&amp;IF('C122'!C15="Aula 9","C122 ","")&amp;IF('C211'!C15="Aula 9","C211 ","")&amp;IF('C212'!C15="Aula 9","C212 ","")&amp;IF('C311'!C15="Aula 9","C311 ","")&amp;IF('C312'!C15="Aula 9","C312 ","")&amp;IF('C411'!C15="Aula 9","C411 ","")&amp;IF('C412'!C15="Aula 9","C412 ","")&amp;IF('M111'!C15="Aula 9","M111 ","")&amp;IF('M112'!C15="Aula 9","M112 ","")&amp;IF('M211'!C15="Aula 9","M211 ","")&amp;IF('M212'!C15="Aula 9","M212 ","")&amp;IF('M311'!C15="Aula 9","M311 ","")&amp;IF('M411'!C15="Aula 9","M411 ","")&amp;IF('D111'!C15="Aula 9","D111 ","")&amp;IF('D112'!C15="Aula 9","D112 ","")&amp;IF('D211'!C15="Aula 9","D211 ","")&amp;IF('D311'!C15="Aula 9","D311 ","")&amp;IF('D411'!C15="Aula 9","D411 ",""))," ",",")</f>
        <v/>
      </c>
      <c r="K15" s="8">
        <f>SUBSTITUTE(TRIM(IF('C111'!C15="Aula 10","C111 ","")&amp;IF('C112'!C15="Aula 10","C112 ","")&amp;IF('C113'!C15="Aula 10","C113 ","")&amp;IF('C121'!C15="Aula 10","C121 ","")&amp;IF('C122'!C15="Aula 10","C122 ","")&amp;IF('C211'!C15="Aula 10","C211 ","")&amp;IF('C212'!C15="Aula 10","C212 ","")&amp;IF('C311'!C15="Aula 10","C311 ","")&amp;IF('C312'!C15="Aula 10","C312 ","")&amp;IF('C411'!C15="Aula 10","C411 ","")&amp;IF('C412'!C15="Aula 10","C412 ","")&amp;IF('M111'!C15="Aula 10","M111 ","")&amp;IF('M112'!C15="Aula 10","M112 ","")&amp;IF('M211'!C15="Aula 10","M211 ","")&amp;IF('M212'!C15="Aula 10","M212 ","")&amp;IF('M311'!C15="Aula 10","M311 ","")&amp;IF('M411'!C15="Aula 10","M411 ","")&amp;IF('D111'!C15="Aula 10","D111 ","")&amp;IF('D112'!C15="Aula 10","D112 ","")&amp;IF('D211'!C15="Aula 10","D211 ","")&amp;IF('D311'!C15="Aula 10","D311 ","")&amp;IF('D411'!C15="Aula 10","D411 ",""))," ",",")</f>
        <v/>
      </c>
      <c r="L15" s="8">
        <f>SUBSTITUTE(TRIM(IF('C111'!C15="Aula 11","C111 ","")&amp;IF('C112'!C15="Aula 11","C112 ","")&amp;IF('C113'!C15="Aula 11","C113 ","")&amp;IF('C121'!C15="Aula 11","C121 ","")&amp;IF('C122'!C15="Aula 11","C122 ","")&amp;IF('C211'!C15="Aula 11","C211 ","")&amp;IF('C212'!C15="Aula 11","C212 ","")&amp;IF('C311'!C15="Aula 11","C311 ","")&amp;IF('C312'!C15="Aula 11","C312 ","")&amp;IF('C411'!C15="Aula 11","C411 ","")&amp;IF('C412'!C15="Aula 11","C412 ","")&amp;IF('M111'!C15="Aula 11","M111 ","")&amp;IF('M112'!C15="Aula 11","M112 ","")&amp;IF('M211'!C15="Aula 11","M211 ","")&amp;IF('M212'!C15="Aula 11","M212 ","")&amp;IF('M311'!C15="Aula 11","M311 ","")&amp;IF('M411'!C15="Aula 11","M411 ","")&amp;IF('D111'!C15="Aula 11","D111 ","")&amp;IF('D112'!C15="Aula 11","D112 ","")&amp;IF('D211'!C15="Aula 11","D211 ","")&amp;IF('D311'!C15="Aula 11","D311 ","")&amp;IF('D411'!C15="Aula 11","D411 ",""))," ",",")</f>
        <v/>
      </c>
      <c r="M15" s="8">
        <f>SUBSTITUTE(TRIM(IF('C111'!C15="Aula 12","C111 ","")&amp;IF('C112'!C15="Aula 12","C112 ","")&amp;IF('C113'!C15="Aula 12","C113 ","")&amp;IF('C121'!C15="Aula 12","C121 ","")&amp;IF('C122'!C15="Aula 12","C122 ","")&amp;IF('C211'!C15="Aula 12","C211 ","")&amp;IF('C212'!C15="Aula 12","C212 ","")&amp;IF('C311'!C15="Aula 12","C311 ","")&amp;IF('C312'!C15="Aula 12","C312 ","")&amp;IF('C411'!C15="Aula 12","C411 ","")&amp;IF('C412'!C15="Aula 12","C412 ","")&amp;IF('M111'!C15="Aula 12","M111 ","")&amp;IF('M112'!C15="Aula 12","M112 ","")&amp;IF('M211'!C15="Aula 12","M211 ","")&amp;IF('M212'!C15="Aula 12","M212 ","")&amp;IF('M311'!C15="Aula 12","M311 ","")&amp;IF('M411'!C15="Aula 12","M411 ","")&amp;IF('D111'!C15="Aula 12","D111 ","")&amp;IF('D112'!C15="Aula 12","D112 ","")&amp;IF('D211'!C15="Aula 12","D211 ","")&amp;IF('D311'!C15="Aula 12","D311 ","")&amp;IF('D411'!C15="Aula 12","D411 ",""))," ",",")</f>
        <v/>
      </c>
      <c r="N15" s="8">
        <f>SUBSTITUTE(TRIM(IF('C111'!C15="Lab 1","C111 ","")&amp;IF('C112'!C15="Lab 1","C112 ","")&amp;IF('C113'!C15="Lab 1","C113 ","")&amp;IF('C121'!C15="Lab 1","C121 ","")&amp;IF('C122'!C15="Lab 1","C122 ","")&amp;IF('C211'!C15="Lab 1","C211 ","")&amp;IF('C212'!C15="Lab 1","C212 ","")&amp;IF('C311'!C15="Lab 1","C311 ","")&amp;IF('C312'!C15="Lab 1","C312 ","")&amp;IF('C411'!C15="Lab 1","C411 ","")&amp;IF('C412'!C15="Lab 1","C412 ","")&amp;IF('M111'!C15="Lab 1","M111 ","")&amp;IF('M112'!C15="Lab 1","M112 ","")&amp;IF('M211'!C15="Lab 1","M211 ","")&amp;IF('M212'!C15="Lab 1","M212 ","")&amp;IF('M311'!C15="Lab 1","M311 ","")&amp;IF('M411'!C15="Lab 1","M411 ","")&amp;IF('D111'!C15="Lab 1","D111 ","")&amp;IF('D112'!C15="Lab 1","D112 ","")&amp;IF('D211'!C15="Lab 1","D211 ","")&amp;IF('D311'!C15="Lab 1","D311 ","")&amp;IF('D411'!C15="Lab 1","D411 ",""))," ",",")</f>
        <v/>
      </c>
      <c r="O15" s="8">
        <f>SUBSTITUTE(TRIM(IF('C111'!C15="Lab 2","C111 ","")&amp;IF('C112'!C15="Lab 2","C112 ","")&amp;IF('C113'!C15="Lab 2","C113 ","")&amp;IF('C121'!C15="Lab 2","C121 ","")&amp;IF('C122'!C15="Lab 2","C122 ","")&amp;IF('C211'!C15="Lab 2","C211 ","")&amp;IF('C212'!C15="Lab 2","C212 ","")&amp;IF('C311'!C15="Lab 2","C311 ","")&amp;IF('C312'!C15="Lab 2","C312 ","")&amp;IF('C411'!C15="Lab 2","C411 ","")&amp;IF('C412'!C15="Lab 2","C412 ","")&amp;IF('M111'!C15="Lab 2","M111 ","")&amp;IF('M112'!C15="Lab 2","M112 ","")&amp;IF('M211'!C15="Lab 2","M211 ","")&amp;IF('M212'!C15="Lab 2","M212 ","")&amp;IF('M311'!C15="Lab 2","M311 ","")&amp;IF('M411'!C15="Lab 2","M411 ","")&amp;IF('D111'!C15="Lab 2","D111 ","")&amp;IF('D112'!C15="Lab 2","D112 ","")&amp;IF('D211'!C15="Lab 2","D211 ","")&amp;IF('D311'!C15="Lab 2","D311 ","")&amp;IF('D411'!C15="Lab 2","D411 ",""))," ",",")</f>
        <v/>
      </c>
      <c r="P15" s="9">
        <f>SUBSTITUTE(TRIM(IF('C111'!C15="Salón","C111 ","")&amp;IF('C112'!C15="Salón","C112 ","")&amp;IF('C113'!C15="Salón","C113 ","")&amp;IF('C121'!C15="Salón","C121 ","")&amp;IF('C122'!C15="Salón","C122 ","")&amp;IF('C211'!C15="Salón","C211 ","")&amp;IF('C212'!C15="Salón","C212 ","")&amp;IF('C311'!C15="Salón","C311 ","")&amp;IF('C312'!C15="Salón","C312 ","")&amp;IF('C411'!C15="Salón","C411 ","")&amp;IF('C412'!C15="Salón","C412 ","")&amp;IF('M111'!C15="Salón","M111 ","")&amp;IF('M112'!C15="Salón","M112 ","")&amp;IF('M211'!C15="Salón","M211 ","")&amp;IF('M212'!C15="Salón","M212 ","")&amp;IF('M311'!C15="Salón","M311 ","")&amp;IF('M411'!C15="Salón","M411 ","")&amp;IF('D111'!C15="Salón","D111 ","")&amp;IF('D112'!C15="Salón","D112 ","")&amp;IF('D211'!C15="Salón","D211 ","")&amp;IF('D311'!C15="Salón","D311 ","")&amp;IF('D411'!C15="Salón","D411 ",""))," ",",")</f>
        <v/>
      </c>
    </row>
    <row r="16"/>
    <row r="17">
      <c r="A17" s="1" t="inlineStr">
        <is>
          <t>Miércoles</t>
        </is>
      </c>
      <c r="B17" s="2" t="inlineStr">
        <is>
          <t>Aula 1</t>
        </is>
      </c>
      <c r="C17" s="2" t="inlineStr">
        <is>
          <t>Aula 2</t>
        </is>
      </c>
      <c r="D17" s="2" t="inlineStr">
        <is>
          <t>Aula 3</t>
        </is>
      </c>
      <c r="E17" s="2" t="inlineStr">
        <is>
          <t>Aula 4</t>
        </is>
      </c>
      <c r="F17" s="2" t="inlineStr">
        <is>
          <t>Aula 5</t>
        </is>
      </c>
      <c r="G17" s="2" t="inlineStr">
        <is>
          <t>Aula 6</t>
        </is>
      </c>
      <c r="H17" s="2" t="inlineStr">
        <is>
          <t>Aula 7</t>
        </is>
      </c>
      <c r="I17" s="2" t="inlineStr">
        <is>
          <t>Aula 8</t>
        </is>
      </c>
      <c r="J17" s="2" t="inlineStr">
        <is>
          <t>Aula 9</t>
        </is>
      </c>
      <c r="K17" s="2" t="inlineStr">
        <is>
          <t>Aula 10</t>
        </is>
      </c>
      <c r="L17" s="2" t="inlineStr">
        <is>
          <t>Aula 11</t>
        </is>
      </c>
      <c r="M17" s="2" t="inlineStr">
        <is>
          <t>Aula 12</t>
        </is>
      </c>
      <c r="N17" s="2" t="inlineStr">
        <is>
          <t>Lab 1</t>
        </is>
      </c>
      <c r="O17" s="2" t="inlineStr">
        <is>
          <t>Lab 2</t>
        </is>
      </c>
      <c r="P17" s="3" t="inlineStr">
        <is>
          <t>Salón</t>
        </is>
      </c>
    </row>
    <row r="18">
      <c r="A18" s="4" t="inlineStr">
        <is>
          <t>Turno 1</t>
        </is>
      </c>
      <c r="B18" s="5">
        <f>SUBSTITUTE(TRIM(IF('C111'!D5="Aula 1","C111 ","")&amp;IF('C112'!D5="Aula 1","C112 ","")&amp;IF('C113'!D5="Aula 1","C113 ","")&amp;IF('C121'!D5="Aula 1","C121 ","")&amp;IF('C122'!D5="Aula 1","C122 ","")&amp;IF('C211'!D5="Aula 1","C211 ","")&amp;IF('C212'!D5="Aula 1","C212 ","")&amp;IF('C311'!D5="Aula 1","C311 ","")&amp;IF('C312'!D5="Aula 1","C312 ","")&amp;IF('C411'!D5="Aula 1","C411 ","")&amp;IF('C412'!D5="Aula 1","C412 ","")&amp;IF('M111'!D5="Aula 1","M111 ","")&amp;IF('M112'!D5="Aula 1","M112 ","")&amp;IF('M211'!D5="Aula 1","M211 ","")&amp;IF('M212'!D5="Aula 1","M212 ","")&amp;IF('M311'!D5="Aula 1","M311 ","")&amp;IF('M411'!D5="Aula 1","M411 ","")&amp;IF('D111'!D5="Aula 1","D111 ","")&amp;IF('D112'!D5="Aula 1","D112 ","")&amp;IF('D211'!D5="Aula 1","D211 ","")&amp;IF('D311'!D5="Aula 1","D311 ","")&amp;IF('D411'!D5="Aula 1","D411 ",""))," ",",")</f>
        <v/>
      </c>
      <c r="C18" s="5">
        <f>SUBSTITUTE(TRIM(IF('C111'!D5="Aula 2","C111 ","")&amp;IF('C112'!D5="Aula 2","C112 ","")&amp;IF('C113'!D5="Aula 2","C113 ","")&amp;IF('C121'!D5="Aula 2","C121 ","")&amp;IF('C122'!D5="Aula 2","C122 ","")&amp;IF('C211'!D5="Aula 2","C211 ","")&amp;IF('C212'!D5="Aula 2","C212 ","")&amp;IF('C311'!D5="Aula 2","C311 ","")&amp;IF('C312'!D5="Aula 2","C312 ","")&amp;IF('C411'!D5="Aula 2","C411 ","")&amp;IF('C412'!D5="Aula 2","C412 ","")&amp;IF('M111'!D5="Aula 2","M111 ","")&amp;IF('M112'!D5="Aula 2","M112 ","")&amp;IF('M211'!D5="Aula 2","M211 ","")&amp;IF('M212'!D5="Aula 2","M212 ","")&amp;IF('M311'!D5="Aula 2","M311 ","")&amp;IF('M411'!D5="Aula 2","M411 ","")&amp;IF('D111'!D5="Aula 2","D111 ","")&amp;IF('D112'!D5="Aula 2","D112 ","")&amp;IF('D211'!D5="Aula 2","D211 ","")&amp;IF('D311'!D5="Aula 2","D311 ","")&amp;IF('D411'!D5="Aula 2","D411 ",""))," ",",")</f>
        <v/>
      </c>
      <c r="D18" s="5">
        <f>SUBSTITUTE(TRIM(IF('C111'!D5="Aula 3","C111 ","")&amp;IF('C112'!D5="Aula 3","C112 ","")&amp;IF('C113'!D5="Aula 3","C113 ","")&amp;IF('C121'!D5="Aula 3","C121 ","")&amp;IF('C122'!D5="Aula 3","C122 ","")&amp;IF('C211'!D5="Aula 3","C211 ","")&amp;IF('C212'!D5="Aula 3","C212 ","")&amp;IF('C311'!D5="Aula 3","C311 ","")&amp;IF('C312'!D5="Aula 3","C312 ","")&amp;IF('C411'!D5="Aula 3","C411 ","")&amp;IF('C412'!D5="Aula 3","C412 ","")&amp;IF('M111'!D5="Aula 3","M111 ","")&amp;IF('M112'!D5="Aula 3","M112 ","")&amp;IF('M211'!D5="Aula 3","M211 ","")&amp;IF('M212'!D5="Aula 3","M212 ","")&amp;IF('M311'!D5="Aula 3","M311 ","")&amp;IF('M411'!D5="Aula 3","M411 ","")&amp;IF('D111'!D5="Aula 3","D111 ","")&amp;IF('D112'!D5="Aula 3","D112 ","")&amp;IF('D211'!D5="Aula 3","D211 ","")&amp;IF('D311'!D5="Aula 3","D311 ","")&amp;IF('D411'!D5="Aula 3","D411 ",""))," ",",")</f>
        <v/>
      </c>
      <c r="E18" s="5">
        <f>SUBSTITUTE(TRIM(IF('C111'!D5="Aula 4","C111 ","")&amp;IF('C112'!D5="Aula 4","C112 ","")&amp;IF('C113'!D5="Aula 4","C113 ","")&amp;IF('C121'!D5="Aula 4","C121 ","")&amp;IF('C122'!D5="Aula 4","C122 ","")&amp;IF('C211'!D5="Aula 4","C211 ","")&amp;IF('C212'!D5="Aula 4","C212 ","")&amp;IF('C311'!D5="Aula 4","C311 ","")&amp;IF('C312'!D5="Aula 4","C312 ","")&amp;IF('C411'!D5="Aula 4","C411 ","")&amp;IF('C412'!D5="Aula 4","C412 ","")&amp;IF('M111'!D5="Aula 4","M111 ","")&amp;IF('M112'!D5="Aula 4","M112 ","")&amp;IF('M211'!D5="Aula 4","M211 ","")&amp;IF('M212'!D5="Aula 4","M212 ","")&amp;IF('M311'!D5="Aula 4","M311 ","")&amp;IF('M411'!D5="Aula 4","M411 ","")&amp;IF('D111'!D5="Aula 4","D111 ","")&amp;IF('D112'!D5="Aula 4","D112 ","")&amp;IF('D211'!D5="Aula 4","D211 ","")&amp;IF('D311'!D5="Aula 4","D311 ","")&amp;IF('D411'!D5="Aula 4","D411 ",""))," ",",")</f>
        <v/>
      </c>
      <c r="F18" s="5">
        <f>SUBSTITUTE(TRIM(IF('C111'!D5="Aula 5","C111 ","")&amp;IF('C112'!D5="Aula 5","C112 ","")&amp;IF('C113'!D5="Aula 5","C113 ","")&amp;IF('C121'!D5="Aula 5","C121 ","")&amp;IF('C122'!D5="Aula 5","C122 ","")&amp;IF('C211'!D5="Aula 5","C211 ","")&amp;IF('C212'!D5="Aula 5","C212 ","")&amp;IF('C311'!D5="Aula 5","C311 ","")&amp;IF('C312'!D5="Aula 5","C312 ","")&amp;IF('C411'!D5="Aula 5","C411 ","")&amp;IF('C412'!D5="Aula 5","C412 ","")&amp;IF('M111'!D5="Aula 5","M111 ","")&amp;IF('M112'!D5="Aula 5","M112 ","")&amp;IF('M211'!D5="Aula 5","M211 ","")&amp;IF('M212'!D5="Aula 5","M212 ","")&amp;IF('M311'!D5="Aula 5","M311 ","")&amp;IF('M411'!D5="Aula 5","M411 ","")&amp;IF('D111'!D5="Aula 5","D111 ","")&amp;IF('D112'!D5="Aula 5","D112 ","")&amp;IF('D211'!D5="Aula 5","D211 ","")&amp;IF('D311'!D5="Aula 5","D311 ","")&amp;IF('D411'!D5="Aula 5","D411 ",""))," ",",")</f>
        <v/>
      </c>
      <c r="G18" s="5">
        <f>SUBSTITUTE(TRIM(IF('C111'!D5="Aula 6","C111 ","")&amp;IF('C112'!D5="Aula 6","C112 ","")&amp;IF('C113'!D5="Aula 6","C113 ","")&amp;IF('C121'!D5="Aula 6","C121 ","")&amp;IF('C122'!D5="Aula 6","C122 ","")&amp;IF('C211'!D5="Aula 6","C211 ","")&amp;IF('C212'!D5="Aula 6","C212 ","")&amp;IF('C311'!D5="Aula 6","C311 ","")&amp;IF('C312'!D5="Aula 6","C312 ","")&amp;IF('C411'!D5="Aula 6","C411 ","")&amp;IF('C412'!D5="Aula 6","C412 ","")&amp;IF('M111'!D5="Aula 6","M111 ","")&amp;IF('M112'!D5="Aula 6","M112 ","")&amp;IF('M211'!D5="Aula 6","M211 ","")&amp;IF('M212'!D5="Aula 6","M212 ","")&amp;IF('M311'!D5="Aula 6","M311 ","")&amp;IF('M411'!D5="Aula 6","M411 ","")&amp;IF('D111'!D5="Aula 6","D111 ","")&amp;IF('D112'!D5="Aula 6","D112 ","")&amp;IF('D211'!D5="Aula 6","D211 ","")&amp;IF('D311'!D5="Aula 6","D311 ","")&amp;IF('D411'!D5="Aula 6","D411 ",""))," ",",")</f>
        <v/>
      </c>
      <c r="H18" s="5">
        <f>SUBSTITUTE(TRIM(IF('C111'!D5="Aula 7","C111 ","")&amp;IF('C112'!D5="Aula 7","C112 ","")&amp;IF('C113'!D5="Aula 7","C113 ","")&amp;IF('C121'!D5="Aula 7","C121 ","")&amp;IF('C122'!D5="Aula 7","C122 ","")&amp;IF('C211'!D5="Aula 7","C211 ","")&amp;IF('C212'!D5="Aula 7","C212 ","")&amp;IF('C311'!D5="Aula 7","C311 ","")&amp;IF('C312'!D5="Aula 7","C312 ","")&amp;IF('C411'!D5="Aula 7","C411 ","")&amp;IF('C412'!D5="Aula 7","C412 ","")&amp;IF('M111'!D5="Aula 7","M111 ","")&amp;IF('M112'!D5="Aula 7","M112 ","")&amp;IF('M211'!D5="Aula 7","M211 ","")&amp;IF('M212'!D5="Aula 7","M212 ","")&amp;IF('M311'!D5="Aula 7","M311 ","")&amp;IF('M411'!D5="Aula 7","M411 ","")&amp;IF('D111'!D5="Aula 7","D111 ","")&amp;IF('D112'!D5="Aula 7","D112 ","")&amp;IF('D211'!D5="Aula 7","D211 ","")&amp;IF('D311'!D5="Aula 7","D311 ","")&amp;IF('D411'!D5="Aula 7","D411 ",""))," ",",")</f>
        <v/>
      </c>
      <c r="I18" s="5">
        <f>SUBSTITUTE(TRIM(IF('C111'!D5="Aula 8","C111 ","")&amp;IF('C112'!D5="Aula 8","C112 ","")&amp;IF('C113'!D5="Aula 8","C113 ","")&amp;IF('C121'!D5="Aula 8","C121 ","")&amp;IF('C122'!D5="Aula 8","C122 ","")&amp;IF('C211'!D5="Aula 8","C211 ","")&amp;IF('C212'!D5="Aula 8","C212 ","")&amp;IF('C311'!D5="Aula 8","C311 ","")&amp;IF('C312'!D5="Aula 8","C312 ","")&amp;IF('C411'!D5="Aula 8","C411 ","")&amp;IF('C412'!D5="Aula 8","C412 ","")&amp;IF('M111'!D5="Aula 8","M111 ","")&amp;IF('M112'!D5="Aula 8","M112 ","")&amp;IF('M211'!D5="Aula 8","M211 ","")&amp;IF('M212'!D5="Aula 8","M212 ","")&amp;IF('M311'!D5="Aula 8","M311 ","")&amp;IF('M411'!D5="Aula 8","M411 ","")&amp;IF('D111'!D5="Aula 8","D111 ","")&amp;IF('D112'!D5="Aula 8","D112 ","")&amp;IF('D211'!D5="Aula 8","D211 ","")&amp;IF('D311'!D5="Aula 8","D311 ","")&amp;IF('D411'!D5="Aula 8","D411 ",""))," ",",")</f>
        <v/>
      </c>
      <c r="J18" s="5">
        <f>SUBSTITUTE(TRIM(IF('C111'!D5="Aula 9","C111 ","")&amp;IF('C112'!D5="Aula 9","C112 ","")&amp;IF('C113'!D5="Aula 9","C113 ","")&amp;IF('C121'!D5="Aula 9","C121 ","")&amp;IF('C122'!D5="Aula 9","C122 ","")&amp;IF('C211'!D5="Aula 9","C211 ","")&amp;IF('C212'!D5="Aula 9","C212 ","")&amp;IF('C311'!D5="Aula 9","C311 ","")&amp;IF('C312'!D5="Aula 9","C312 ","")&amp;IF('C411'!D5="Aula 9","C411 ","")&amp;IF('C412'!D5="Aula 9","C412 ","")&amp;IF('M111'!D5="Aula 9","M111 ","")&amp;IF('M112'!D5="Aula 9","M112 ","")&amp;IF('M211'!D5="Aula 9","M211 ","")&amp;IF('M212'!D5="Aula 9","M212 ","")&amp;IF('M311'!D5="Aula 9","M311 ","")&amp;IF('M411'!D5="Aula 9","M411 ","")&amp;IF('D111'!D5="Aula 9","D111 ","")&amp;IF('D112'!D5="Aula 9","D112 ","")&amp;IF('D211'!D5="Aula 9","D211 ","")&amp;IF('D311'!D5="Aula 9","D311 ","")&amp;IF('D411'!D5="Aula 9","D411 ",""))," ",",")</f>
        <v/>
      </c>
      <c r="K18" s="5">
        <f>SUBSTITUTE(TRIM(IF('C111'!D5="Aula 10","C111 ","")&amp;IF('C112'!D5="Aula 10","C112 ","")&amp;IF('C113'!D5="Aula 10","C113 ","")&amp;IF('C121'!D5="Aula 10","C121 ","")&amp;IF('C122'!D5="Aula 10","C122 ","")&amp;IF('C211'!D5="Aula 10","C211 ","")&amp;IF('C212'!D5="Aula 10","C212 ","")&amp;IF('C311'!D5="Aula 10","C311 ","")&amp;IF('C312'!D5="Aula 10","C312 ","")&amp;IF('C411'!D5="Aula 10","C411 ","")&amp;IF('C412'!D5="Aula 10","C412 ","")&amp;IF('M111'!D5="Aula 10","M111 ","")&amp;IF('M112'!D5="Aula 10","M112 ","")&amp;IF('M211'!D5="Aula 10","M211 ","")&amp;IF('M212'!D5="Aula 10","M212 ","")&amp;IF('M311'!D5="Aula 10","M311 ","")&amp;IF('M411'!D5="Aula 10","M411 ","")&amp;IF('D111'!D5="Aula 10","D111 ","")&amp;IF('D112'!D5="Aula 10","D112 ","")&amp;IF('D211'!D5="Aula 10","D211 ","")&amp;IF('D311'!D5="Aula 10","D311 ","")&amp;IF('D411'!D5="Aula 10","D411 ",""))," ",",")</f>
        <v/>
      </c>
      <c r="L18" s="5">
        <f>SUBSTITUTE(TRIM(IF('C111'!D5="Aula 11","C111 ","")&amp;IF('C112'!D5="Aula 11","C112 ","")&amp;IF('C113'!D5="Aula 11","C113 ","")&amp;IF('C121'!D5="Aula 11","C121 ","")&amp;IF('C122'!D5="Aula 11","C122 ","")&amp;IF('C211'!D5="Aula 11","C211 ","")&amp;IF('C212'!D5="Aula 11","C212 ","")&amp;IF('C311'!D5="Aula 11","C311 ","")&amp;IF('C312'!D5="Aula 11","C312 ","")&amp;IF('C411'!D5="Aula 11","C411 ","")&amp;IF('C412'!D5="Aula 11","C412 ","")&amp;IF('M111'!D5="Aula 11","M111 ","")&amp;IF('M112'!D5="Aula 11","M112 ","")&amp;IF('M211'!D5="Aula 11","M211 ","")&amp;IF('M212'!D5="Aula 11","M212 ","")&amp;IF('M311'!D5="Aula 11","M311 ","")&amp;IF('M411'!D5="Aula 11","M411 ","")&amp;IF('D111'!D5="Aula 11","D111 ","")&amp;IF('D112'!D5="Aula 11","D112 ","")&amp;IF('D211'!D5="Aula 11","D211 ","")&amp;IF('D311'!D5="Aula 11","D311 ","")&amp;IF('D411'!D5="Aula 11","D411 ",""))," ",",")</f>
        <v/>
      </c>
      <c r="M18" s="5">
        <f>SUBSTITUTE(TRIM(IF('C111'!D5="Aula 12","C111 ","")&amp;IF('C112'!D5="Aula 12","C112 ","")&amp;IF('C113'!D5="Aula 12","C113 ","")&amp;IF('C121'!D5="Aula 12","C121 ","")&amp;IF('C122'!D5="Aula 12","C122 ","")&amp;IF('C211'!D5="Aula 12","C211 ","")&amp;IF('C212'!D5="Aula 12","C212 ","")&amp;IF('C311'!D5="Aula 12","C311 ","")&amp;IF('C312'!D5="Aula 12","C312 ","")&amp;IF('C411'!D5="Aula 12","C411 ","")&amp;IF('C412'!D5="Aula 12","C412 ","")&amp;IF('M111'!D5="Aula 12","M111 ","")&amp;IF('M112'!D5="Aula 12","M112 ","")&amp;IF('M211'!D5="Aula 12","M211 ","")&amp;IF('M212'!D5="Aula 12","M212 ","")&amp;IF('M311'!D5="Aula 12","M311 ","")&amp;IF('M411'!D5="Aula 12","M411 ","")&amp;IF('D111'!D5="Aula 12","D111 ","")&amp;IF('D112'!D5="Aula 12","D112 ","")&amp;IF('D211'!D5="Aula 12","D211 ","")&amp;IF('D311'!D5="Aula 12","D311 ","")&amp;IF('D411'!D5="Aula 12","D411 ",""))," ",",")</f>
        <v/>
      </c>
      <c r="N18" s="5">
        <f>SUBSTITUTE(TRIM(IF('C111'!D5="Lab 1","C111 ","")&amp;IF('C112'!D5="Lab 1","C112 ","")&amp;IF('C113'!D5="Lab 1","C113 ","")&amp;IF('C121'!D5="Lab 1","C121 ","")&amp;IF('C122'!D5="Lab 1","C122 ","")&amp;IF('C211'!D5="Lab 1","C211 ","")&amp;IF('C212'!D5="Lab 1","C212 ","")&amp;IF('C311'!D5="Lab 1","C311 ","")&amp;IF('C312'!D5="Lab 1","C312 ","")&amp;IF('C411'!D5="Lab 1","C411 ","")&amp;IF('C412'!D5="Lab 1","C412 ","")&amp;IF('M111'!D5="Lab 1","M111 ","")&amp;IF('M112'!D5="Lab 1","M112 ","")&amp;IF('M211'!D5="Lab 1","M211 ","")&amp;IF('M212'!D5="Lab 1","M212 ","")&amp;IF('M311'!D5="Lab 1","M311 ","")&amp;IF('M411'!D5="Lab 1","M411 ","")&amp;IF('D111'!D5="Lab 1","D111 ","")&amp;IF('D112'!D5="Lab 1","D112 ","")&amp;IF('D211'!D5="Lab 1","D211 ","")&amp;IF('D311'!D5="Lab 1","D311 ","")&amp;IF('D411'!D5="Lab 1","D411 ",""))," ",",")</f>
        <v/>
      </c>
      <c r="O18" s="5">
        <f>SUBSTITUTE(TRIM(IF('C111'!D5="Lab 2","C111 ","")&amp;IF('C112'!D5="Lab 2","C112 ","")&amp;IF('C113'!D5="Lab 2","C113 ","")&amp;IF('C121'!D5="Lab 2","C121 ","")&amp;IF('C122'!D5="Lab 2","C122 ","")&amp;IF('C211'!D5="Lab 2","C211 ","")&amp;IF('C212'!D5="Lab 2","C212 ","")&amp;IF('C311'!D5="Lab 2","C311 ","")&amp;IF('C312'!D5="Lab 2","C312 ","")&amp;IF('C411'!D5="Lab 2","C411 ","")&amp;IF('C412'!D5="Lab 2","C412 ","")&amp;IF('M111'!D5="Lab 2","M111 ","")&amp;IF('M112'!D5="Lab 2","M112 ","")&amp;IF('M211'!D5="Lab 2","M211 ","")&amp;IF('M212'!D5="Lab 2","M212 ","")&amp;IF('M311'!D5="Lab 2","M311 ","")&amp;IF('M411'!D5="Lab 2","M411 ","")&amp;IF('D111'!D5="Lab 2","D111 ","")&amp;IF('D112'!D5="Lab 2","D112 ","")&amp;IF('D211'!D5="Lab 2","D211 ","")&amp;IF('D311'!D5="Lab 2","D311 ","")&amp;IF('D411'!D5="Lab 2","D411 ",""))," ",",")</f>
        <v/>
      </c>
      <c r="P18" s="6">
        <f>SUBSTITUTE(TRIM(IF('C111'!D5="Salón","C111 ","")&amp;IF('C112'!D5="Salón","C112 ","")&amp;IF('C113'!D5="Salón","C113 ","")&amp;IF('C121'!D5="Salón","C121 ","")&amp;IF('C122'!D5="Salón","C122 ","")&amp;IF('C211'!D5="Salón","C211 ","")&amp;IF('C212'!D5="Salón","C212 ","")&amp;IF('C311'!D5="Salón","C311 ","")&amp;IF('C312'!D5="Salón","C312 ","")&amp;IF('C411'!D5="Salón","C411 ","")&amp;IF('C412'!D5="Salón","C412 ","")&amp;IF('M111'!D5="Salón","M111 ","")&amp;IF('M112'!D5="Salón","M112 ","")&amp;IF('M211'!D5="Salón","M211 ","")&amp;IF('M212'!D5="Salón","M212 ","")&amp;IF('M311'!D5="Salón","M311 ","")&amp;IF('M411'!D5="Salón","M411 ","")&amp;IF('D111'!D5="Salón","D111 ","")&amp;IF('D112'!D5="Salón","D112 ","")&amp;IF('D211'!D5="Salón","D211 ","")&amp;IF('D311'!D5="Salón","D311 ","")&amp;IF('D411'!D5="Salón","D411 ",""))," ",",")</f>
        <v/>
      </c>
    </row>
    <row r="19">
      <c r="A19" s="4" t="inlineStr">
        <is>
          <t>Turno 2</t>
        </is>
      </c>
      <c r="B19" s="5">
        <f>SUBSTITUTE(TRIM(IF('C111'!D7="Aula 1","C111 ","")&amp;IF('C112'!D7="Aula 1","C112 ","")&amp;IF('C113'!D7="Aula 1","C113 ","")&amp;IF('C121'!D7="Aula 1","C121 ","")&amp;IF('C122'!D7="Aula 1","C122 ","")&amp;IF('C211'!D7="Aula 1","C211 ","")&amp;IF('C212'!D7="Aula 1","C212 ","")&amp;IF('C311'!D7="Aula 1","C311 ","")&amp;IF('C312'!D7="Aula 1","C312 ","")&amp;IF('C411'!D7="Aula 1","C411 ","")&amp;IF('C412'!D7="Aula 1","C412 ","")&amp;IF('M111'!D7="Aula 1","M111 ","")&amp;IF('M112'!D7="Aula 1","M112 ","")&amp;IF('M211'!D7="Aula 1","M211 ","")&amp;IF('M212'!D7="Aula 1","M212 ","")&amp;IF('M311'!D7="Aula 1","M311 ","")&amp;IF('M411'!D7="Aula 1","M411 ","")&amp;IF('D111'!D7="Aula 1","D111 ","")&amp;IF('D112'!D7="Aula 1","D112 ","")&amp;IF('D211'!D7="Aula 1","D211 ","")&amp;IF('D311'!D7="Aula 1","D311 ","")&amp;IF('D411'!D7="Aula 1","D411 ",""))," ",",")</f>
        <v/>
      </c>
      <c r="C19" s="5">
        <f>SUBSTITUTE(TRIM(IF('C111'!D7="Aula 2","C111 ","")&amp;IF('C112'!D7="Aula 2","C112 ","")&amp;IF('C113'!D7="Aula 2","C113 ","")&amp;IF('C121'!D7="Aula 2","C121 ","")&amp;IF('C122'!D7="Aula 2","C122 ","")&amp;IF('C211'!D7="Aula 2","C211 ","")&amp;IF('C212'!D7="Aula 2","C212 ","")&amp;IF('C311'!D7="Aula 2","C311 ","")&amp;IF('C312'!D7="Aula 2","C312 ","")&amp;IF('C411'!D7="Aula 2","C411 ","")&amp;IF('C412'!D7="Aula 2","C412 ","")&amp;IF('M111'!D7="Aula 2","M111 ","")&amp;IF('M112'!D7="Aula 2","M112 ","")&amp;IF('M211'!D7="Aula 2","M211 ","")&amp;IF('M212'!D7="Aula 2","M212 ","")&amp;IF('M311'!D7="Aula 2","M311 ","")&amp;IF('M411'!D7="Aula 2","M411 ","")&amp;IF('D111'!D7="Aula 2","D111 ","")&amp;IF('D112'!D7="Aula 2","D112 ","")&amp;IF('D211'!D7="Aula 2","D211 ","")&amp;IF('D311'!D7="Aula 2","D311 ","")&amp;IF('D411'!D7="Aula 2","D411 ",""))," ",",")</f>
        <v/>
      </c>
      <c r="D19" s="5">
        <f>SUBSTITUTE(TRIM(IF('C111'!D7="Aula 3","C111 ","")&amp;IF('C112'!D7="Aula 3","C112 ","")&amp;IF('C113'!D7="Aula 3","C113 ","")&amp;IF('C121'!D7="Aula 3","C121 ","")&amp;IF('C122'!D7="Aula 3","C122 ","")&amp;IF('C211'!D7="Aula 3","C211 ","")&amp;IF('C212'!D7="Aula 3","C212 ","")&amp;IF('C311'!D7="Aula 3","C311 ","")&amp;IF('C312'!D7="Aula 3","C312 ","")&amp;IF('C411'!D7="Aula 3","C411 ","")&amp;IF('C412'!D7="Aula 3","C412 ","")&amp;IF('M111'!D7="Aula 3","M111 ","")&amp;IF('M112'!D7="Aula 3","M112 ","")&amp;IF('M211'!D7="Aula 3","M211 ","")&amp;IF('M212'!D7="Aula 3","M212 ","")&amp;IF('M311'!D7="Aula 3","M311 ","")&amp;IF('M411'!D7="Aula 3","M411 ","")&amp;IF('D111'!D7="Aula 3","D111 ","")&amp;IF('D112'!D7="Aula 3","D112 ","")&amp;IF('D211'!D7="Aula 3","D211 ","")&amp;IF('D311'!D7="Aula 3","D311 ","")&amp;IF('D411'!D7="Aula 3","D411 ",""))," ",",")</f>
        <v/>
      </c>
      <c r="E19" s="5">
        <f>SUBSTITUTE(TRIM(IF('C111'!D7="Aula 4","C111 ","")&amp;IF('C112'!D7="Aula 4","C112 ","")&amp;IF('C113'!D7="Aula 4","C113 ","")&amp;IF('C121'!D7="Aula 4","C121 ","")&amp;IF('C122'!D7="Aula 4","C122 ","")&amp;IF('C211'!D7="Aula 4","C211 ","")&amp;IF('C212'!D7="Aula 4","C212 ","")&amp;IF('C311'!D7="Aula 4","C311 ","")&amp;IF('C312'!D7="Aula 4","C312 ","")&amp;IF('C411'!D7="Aula 4","C411 ","")&amp;IF('C412'!D7="Aula 4","C412 ","")&amp;IF('M111'!D7="Aula 4","M111 ","")&amp;IF('M112'!D7="Aula 4","M112 ","")&amp;IF('M211'!D7="Aula 4","M211 ","")&amp;IF('M212'!D7="Aula 4","M212 ","")&amp;IF('M311'!D7="Aula 4","M311 ","")&amp;IF('M411'!D7="Aula 4","M411 ","")&amp;IF('D111'!D7="Aula 4","D111 ","")&amp;IF('D112'!D7="Aula 4","D112 ","")&amp;IF('D211'!D7="Aula 4","D211 ","")&amp;IF('D311'!D7="Aula 4","D311 ","")&amp;IF('D411'!D7="Aula 4","D411 ",""))," ",",")</f>
        <v/>
      </c>
      <c r="F19" s="5">
        <f>SUBSTITUTE(TRIM(IF('C111'!D7="Aula 5","C111 ","")&amp;IF('C112'!D7="Aula 5","C112 ","")&amp;IF('C113'!D7="Aula 5","C113 ","")&amp;IF('C121'!D7="Aula 5","C121 ","")&amp;IF('C122'!D7="Aula 5","C122 ","")&amp;IF('C211'!D7="Aula 5","C211 ","")&amp;IF('C212'!D7="Aula 5","C212 ","")&amp;IF('C311'!D7="Aula 5","C311 ","")&amp;IF('C312'!D7="Aula 5","C312 ","")&amp;IF('C411'!D7="Aula 5","C411 ","")&amp;IF('C412'!D7="Aula 5","C412 ","")&amp;IF('M111'!D7="Aula 5","M111 ","")&amp;IF('M112'!D7="Aula 5","M112 ","")&amp;IF('M211'!D7="Aula 5","M211 ","")&amp;IF('M212'!D7="Aula 5","M212 ","")&amp;IF('M311'!D7="Aula 5","M311 ","")&amp;IF('M411'!D7="Aula 5","M411 ","")&amp;IF('D111'!D7="Aula 5","D111 ","")&amp;IF('D112'!D7="Aula 5","D112 ","")&amp;IF('D211'!D7="Aula 5","D211 ","")&amp;IF('D311'!D7="Aula 5","D311 ","")&amp;IF('D411'!D7="Aula 5","D411 ",""))," ",",")</f>
        <v/>
      </c>
      <c r="G19" s="5">
        <f>SUBSTITUTE(TRIM(IF('C111'!D7="Aula 6","C111 ","")&amp;IF('C112'!D7="Aula 6","C112 ","")&amp;IF('C113'!D7="Aula 6","C113 ","")&amp;IF('C121'!D7="Aula 6","C121 ","")&amp;IF('C122'!D7="Aula 6","C122 ","")&amp;IF('C211'!D7="Aula 6","C211 ","")&amp;IF('C212'!D7="Aula 6","C212 ","")&amp;IF('C311'!D7="Aula 6","C311 ","")&amp;IF('C312'!D7="Aula 6","C312 ","")&amp;IF('C411'!D7="Aula 6","C411 ","")&amp;IF('C412'!D7="Aula 6","C412 ","")&amp;IF('M111'!D7="Aula 6","M111 ","")&amp;IF('M112'!D7="Aula 6","M112 ","")&amp;IF('M211'!D7="Aula 6","M211 ","")&amp;IF('M212'!D7="Aula 6","M212 ","")&amp;IF('M311'!D7="Aula 6","M311 ","")&amp;IF('M411'!D7="Aula 6","M411 ","")&amp;IF('D111'!D7="Aula 6","D111 ","")&amp;IF('D112'!D7="Aula 6","D112 ","")&amp;IF('D211'!D7="Aula 6","D211 ","")&amp;IF('D311'!D7="Aula 6","D311 ","")&amp;IF('D411'!D7="Aula 6","D411 ",""))," ",",")</f>
        <v/>
      </c>
      <c r="H19" s="5">
        <f>SUBSTITUTE(TRIM(IF('C111'!D7="Aula 7","C111 ","")&amp;IF('C112'!D7="Aula 7","C112 ","")&amp;IF('C113'!D7="Aula 7","C113 ","")&amp;IF('C121'!D7="Aula 7","C121 ","")&amp;IF('C122'!D7="Aula 7","C122 ","")&amp;IF('C211'!D7="Aula 7","C211 ","")&amp;IF('C212'!D7="Aula 7","C212 ","")&amp;IF('C311'!D7="Aula 7","C311 ","")&amp;IF('C312'!D7="Aula 7","C312 ","")&amp;IF('C411'!D7="Aula 7","C411 ","")&amp;IF('C412'!D7="Aula 7","C412 ","")&amp;IF('M111'!D7="Aula 7","M111 ","")&amp;IF('M112'!D7="Aula 7","M112 ","")&amp;IF('M211'!D7="Aula 7","M211 ","")&amp;IF('M212'!D7="Aula 7","M212 ","")&amp;IF('M311'!D7="Aula 7","M311 ","")&amp;IF('M411'!D7="Aula 7","M411 ","")&amp;IF('D111'!D7="Aula 7","D111 ","")&amp;IF('D112'!D7="Aula 7","D112 ","")&amp;IF('D211'!D7="Aula 7","D211 ","")&amp;IF('D311'!D7="Aula 7","D311 ","")&amp;IF('D411'!D7="Aula 7","D411 ",""))," ",",")</f>
        <v/>
      </c>
      <c r="I19" s="5">
        <f>SUBSTITUTE(TRIM(IF('C111'!D7="Aula 8","C111 ","")&amp;IF('C112'!D7="Aula 8","C112 ","")&amp;IF('C113'!D7="Aula 8","C113 ","")&amp;IF('C121'!D7="Aula 8","C121 ","")&amp;IF('C122'!D7="Aula 8","C122 ","")&amp;IF('C211'!D7="Aula 8","C211 ","")&amp;IF('C212'!D7="Aula 8","C212 ","")&amp;IF('C311'!D7="Aula 8","C311 ","")&amp;IF('C312'!D7="Aula 8","C312 ","")&amp;IF('C411'!D7="Aula 8","C411 ","")&amp;IF('C412'!D7="Aula 8","C412 ","")&amp;IF('M111'!D7="Aula 8","M111 ","")&amp;IF('M112'!D7="Aula 8","M112 ","")&amp;IF('M211'!D7="Aula 8","M211 ","")&amp;IF('M212'!D7="Aula 8","M212 ","")&amp;IF('M311'!D7="Aula 8","M311 ","")&amp;IF('M411'!D7="Aula 8","M411 ","")&amp;IF('D111'!D7="Aula 8","D111 ","")&amp;IF('D112'!D7="Aula 8","D112 ","")&amp;IF('D211'!D7="Aula 8","D211 ","")&amp;IF('D311'!D7="Aula 8","D311 ","")&amp;IF('D411'!D7="Aula 8","D411 ",""))," ",",")</f>
        <v/>
      </c>
      <c r="J19" s="5">
        <f>SUBSTITUTE(TRIM(IF('C111'!D7="Aula 9","C111 ","")&amp;IF('C112'!D7="Aula 9","C112 ","")&amp;IF('C113'!D7="Aula 9","C113 ","")&amp;IF('C121'!D7="Aula 9","C121 ","")&amp;IF('C122'!D7="Aula 9","C122 ","")&amp;IF('C211'!D7="Aula 9","C211 ","")&amp;IF('C212'!D7="Aula 9","C212 ","")&amp;IF('C311'!D7="Aula 9","C311 ","")&amp;IF('C312'!D7="Aula 9","C312 ","")&amp;IF('C411'!D7="Aula 9","C411 ","")&amp;IF('C412'!D7="Aula 9","C412 ","")&amp;IF('M111'!D7="Aula 9","M111 ","")&amp;IF('M112'!D7="Aula 9","M112 ","")&amp;IF('M211'!D7="Aula 9","M211 ","")&amp;IF('M212'!D7="Aula 9","M212 ","")&amp;IF('M311'!D7="Aula 9","M311 ","")&amp;IF('M411'!D7="Aula 9","M411 ","")&amp;IF('D111'!D7="Aula 9","D111 ","")&amp;IF('D112'!D7="Aula 9","D112 ","")&amp;IF('D211'!D7="Aula 9","D211 ","")&amp;IF('D311'!D7="Aula 9","D311 ","")&amp;IF('D411'!D7="Aula 9","D411 ",""))," ",",")</f>
        <v/>
      </c>
      <c r="K19" s="5">
        <f>SUBSTITUTE(TRIM(IF('C111'!D7="Aula 10","C111 ","")&amp;IF('C112'!D7="Aula 10","C112 ","")&amp;IF('C113'!D7="Aula 10","C113 ","")&amp;IF('C121'!D7="Aula 10","C121 ","")&amp;IF('C122'!D7="Aula 10","C122 ","")&amp;IF('C211'!D7="Aula 10","C211 ","")&amp;IF('C212'!D7="Aula 10","C212 ","")&amp;IF('C311'!D7="Aula 10","C311 ","")&amp;IF('C312'!D7="Aula 10","C312 ","")&amp;IF('C411'!D7="Aula 10","C411 ","")&amp;IF('C412'!D7="Aula 10","C412 ","")&amp;IF('M111'!D7="Aula 10","M111 ","")&amp;IF('M112'!D7="Aula 10","M112 ","")&amp;IF('M211'!D7="Aula 10","M211 ","")&amp;IF('M212'!D7="Aula 10","M212 ","")&amp;IF('M311'!D7="Aula 10","M311 ","")&amp;IF('M411'!D7="Aula 10","M411 ","")&amp;IF('D111'!D7="Aula 10","D111 ","")&amp;IF('D112'!D7="Aula 10","D112 ","")&amp;IF('D211'!D7="Aula 10","D211 ","")&amp;IF('D311'!D7="Aula 10","D311 ","")&amp;IF('D411'!D7="Aula 10","D411 ",""))," ",",")</f>
        <v/>
      </c>
      <c r="L19" s="5">
        <f>SUBSTITUTE(TRIM(IF('C111'!D7="Aula 11","C111 ","")&amp;IF('C112'!D7="Aula 11","C112 ","")&amp;IF('C113'!D7="Aula 11","C113 ","")&amp;IF('C121'!D7="Aula 11","C121 ","")&amp;IF('C122'!D7="Aula 11","C122 ","")&amp;IF('C211'!D7="Aula 11","C211 ","")&amp;IF('C212'!D7="Aula 11","C212 ","")&amp;IF('C311'!D7="Aula 11","C311 ","")&amp;IF('C312'!D7="Aula 11","C312 ","")&amp;IF('C411'!D7="Aula 11","C411 ","")&amp;IF('C412'!D7="Aula 11","C412 ","")&amp;IF('M111'!D7="Aula 11","M111 ","")&amp;IF('M112'!D7="Aula 11","M112 ","")&amp;IF('M211'!D7="Aula 11","M211 ","")&amp;IF('M212'!D7="Aula 11","M212 ","")&amp;IF('M311'!D7="Aula 11","M311 ","")&amp;IF('M411'!D7="Aula 11","M411 ","")&amp;IF('D111'!D7="Aula 11","D111 ","")&amp;IF('D112'!D7="Aula 11","D112 ","")&amp;IF('D211'!D7="Aula 11","D211 ","")&amp;IF('D311'!D7="Aula 11","D311 ","")&amp;IF('D411'!D7="Aula 11","D411 ",""))," ",",")</f>
        <v/>
      </c>
      <c r="M19" s="5">
        <f>SUBSTITUTE(TRIM(IF('C111'!D7="Aula 12","C111 ","")&amp;IF('C112'!D7="Aula 12","C112 ","")&amp;IF('C113'!D7="Aula 12","C113 ","")&amp;IF('C121'!D7="Aula 12","C121 ","")&amp;IF('C122'!D7="Aula 12","C122 ","")&amp;IF('C211'!D7="Aula 12","C211 ","")&amp;IF('C212'!D7="Aula 12","C212 ","")&amp;IF('C311'!D7="Aula 12","C311 ","")&amp;IF('C312'!D7="Aula 12","C312 ","")&amp;IF('C411'!D7="Aula 12","C411 ","")&amp;IF('C412'!D7="Aula 12","C412 ","")&amp;IF('M111'!D7="Aula 12","M111 ","")&amp;IF('M112'!D7="Aula 12","M112 ","")&amp;IF('M211'!D7="Aula 12","M211 ","")&amp;IF('M212'!D7="Aula 12","M212 ","")&amp;IF('M311'!D7="Aula 12","M311 ","")&amp;IF('M411'!D7="Aula 12","M411 ","")&amp;IF('D111'!D7="Aula 12","D111 ","")&amp;IF('D112'!D7="Aula 12","D112 ","")&amp;IF('D211'!D7="Aula 12","D211 ","")&amp;IF('D311'!D7="Aula 12","D311 ","")&amp;IF('D411'!D7="Aula 12","D411 ",""))," ",",")</f>
        <v/>
      </c>
      <c r="N19" s="5">
        <f>SUBSTITUTE(TRIM(IF('C111'!D7="Lab 1","C111 ","")&amp;IF('C112'!D7="Lab 1","C112 ","")&amp;IF('C113'!D7="Lab 1","C113 ","")&amp;IF('C121'!D7="Lab 1","C121 ","")&amp;IF('C122'!D7="Lab 1","C122 ","")&amp;IF('C211'!D7="Lab 1","C211 ","")&amp;IF('C212'!D7="Lab 1","C212 ","")&amp;IF('C311'!D7="Lab 1","C311 ","")&amp;IF('C312'!D7="Lab 1","C312 ","")&amp;IF('C411'!D7="Lab 1","C411 ","")&amp;IF('C412'!D7="Lab 1","C412 ","")&amp;IF('M111'!D7="Lab 1","M111 ","")&amp;IF('M112'!D7="Lab 1","M112 ","")&amp;IF('M211'!D7="Lab 1","M211 ","")&amp;IF('M212'!D7="Lab 1","M212 ","")&amp;IF('M311'!D7="Lab 1","M311 ","")&amp;IF('M411'!D7="Lab 1","M411 ","")&amp;IF('D111'!D7="Lab 1","D111 ","")&amp;IF('D112'!D7="Lab 1","D112 ","")&amp;IF('D211'!D7="Lab 1","D211 ","")&amp;IF('D311'!D7="Lab 1","D311 ","")&amp;IF('D411'!D7="Lab 1","D411 ",""))," ",",")</f>
        <v/>
      </c>
      <c r="O19" s="5">
        <f>SUBSTITUTE(TRIM(IF('C111'!D7="Lab 2","C111 ","")&amp;IF('C112'!D7="Lab 2","C112 ","")&amp;IF('C113'!D7="Lab 2","C113 ","")&amp;IF('C121'!D7="Lab 2","C121 ","")&amp;IF('C122'!D7="Lab 2","C122 ","")&amp;IF('C211'!D7="Lab 2","C211 ","")&amp;IF('C212'!D7="Lab 2","C212 ","")&amp;IF('C311'!D7="Lab 2","C311 ","")&amp;IF('C312'!D7="Lab 2","C312 ","")&amp;IF('C411'!D7="Lab 2","C411 ","")&amp;IF('C412'!D7="Lab 2","C412 ","")&amp;IF('M111'!D7="Lab 2","M111 ","")&amp;IF('M112'!D7="Lab 2","M112 ","")&amp;IF('M211'!D7="Lab 2","M211 ","")&amp;IF('M212'!D7="Lab 2","M212 ","")&amp;IF('M311'!D7="Lab 2","M311 ","")&amp;IF('M411'!D7="Lab 2","M411 ","")&amp;IF('D111'!D7="Lab 2","D111 ","")&amp;IF('D112'!D7="Lab 2","D112 ","")&amp;IF('D211'!D7="Lab 2","D211 ","")&amp;IF('D311'!D7="Lab 2","D311 ","")&amp;IF('D411'!D7="Lab 2","D411 ",""))," ",",")</f>
        <v/>
      </c>
      <c r="P19" s="6">
        <f>SUBSTITUTE(TRIM(IF('C111'!D7="Salón","C111 ","")&amp;IF('C112'!D7="Salón","C112 ","")&amp;IF('C113'!D7="Salón","C113 ","")&amp;IF('C121'!D7="Salón","C121 ","")&amp;IF('C122'!D7="Salón","C122 ","")&amp;IF('C211'!D7="Salón","C211 ","")&amp;IF('C212'!D7="Salón","C212 ","")&amp;IF('C311'!D7="Salón","C311 ","")&amp;IF('C312'!D7="Salón","C312 ","")&amp;IF('C411'!D7="Salón","C411 ","")&amp;IF('C412'!D7="Salón","C412 ","")&amp;IF('M111'!D7="Salón","M111 ","")&amp;IF('M112'!D7="Salón","M112 ","")&amp;IF('M211'!D7="Salón","M211 ","")&amp;IF('M212'!D7="Salón","M212 ","")&amp;IF('M311'!D7="Salón","M311 ","")&amp;IF('M411'!D7="Salón","M411 ","")&amp;IF('D111'!D7="Salón","D111 ","")&amp;IF('D112'!D7="Salón","D112 ","")&amp;IF('D211'!D7="Salón","D211 ","")&amp;IF('D311'!D7="Salón","D311 ","")&amp;IF('D411'!D7="Salón","D411 ",""))," ",",")</f>
        <v/>
      </c>
    </row>
    <row r="20">
      <c r="A20" s="4" t="inlineStr">
        <is>
          <t>Turno 3</t>
        </is>
      </c>
      <c r="B20" s="5">
        <f>SUBSTITUTE(TRIM(IF('C111'!D9="Aula 1","C111 ","")&amp;IF('C112'!D9="Aula 1","C112 ","")&amp;IF('C113'!D9="Aula 1","C113 ","")&amp;IF('C121'!D9="Aula 1","C121 ","")&amp;IF('C122'!D9="Aula 1","C122 ","")&amp;IF('C211'!D9="Aula 1","C211 ","")&amp;IF('C212'!D9="Aula 1","C212 ","")&amp;IF('C311'!D9="Aula 1","C311 ","")&amp;IF('C312'!D9="Aula 1","C312 ","")&amp;IF('C411'!D9="Aula 1","C411 ","")&amp;IF('C412'!D9="Aula 1","C412 ","")&amp;IF('M111'!D9="Aula 1","M111 ","")&amp;IF('M112'!D9="Aula 1","M112 ","")&amp;IF('M211'!D9="Aula 1","M211 ","")&amp;IF('M212'!D9="Aula 1","M212 ","")&amp;IF('M311'!D9="Aula 1","M311 ","")&amp;IF('M411'!D9="Aula 1","M411 ","")&amp;IF('D111'!D9="Aula 1","D111 ","")&amp;IF('D112'!D9="Aula 1","D112 ","")&amp;IF('D211'!D9="Aula 1","D211 ","")&amp;IF('D311'!D9="Aula 1","D311 ","")&amp;IF('D411'!D9="Aula 1","D411 ",""))," ",",")</f>
        <v/>
      </c>
      <c r="C20" s="5">
        <f>SUBSTITUTE(TRIM(IF('C111'!D9="Aula 2","C111 ","")&amp;IF('C112'!D9="Aula 2","C112 ","")&amp;IF('C113'!D9="Aula 2","C113 ","")&amp;IF('C121'!D9="Aula 2","C121 ","")&amp;IF('C122'!D9="Aula 2","C122 ","")&amp;IF('C211'!D9="Aula 2","C211 ","")&amp;IF('C212'!D9="Aula 2","C212 ","")&amp;IF('C311'!D9="Aula 2","C311 ","")&amp;IF('C312'!D9="Aula 2","C312 ","")&amp;IF('C411'!D9="Aula 2","C411 ","")&amp;IF('C412'!D9="Aula 2","C412 ","")&amp;IF('M111'!D9="Aula 2","M111 ","")&amp;IF('M112'!D9="Aula 2","M112 ","")&amp;IF('M211'!D9="Aula 2","M211 ","")&amp;IF('M212'!D9="Aula 2","M212 ","")&amp;IF('M311'!D9="Aula 2","M311 ","")&amp;IF('M411'!D9="Aula 2","M411 ","")&amp;IF('D111'!D9="Aula 2","D111 ","")&amp;IF('D112'!D9="Aula 2","D112 ","")&amp;IF('D211'!D9="Aula 2","D211 ","")&amp;IF('D311'!D9="Aula 2","D311 ","")&amp;IF('D411'!D9="Aula 2","D411 ",""))," ",",")</f>
        <v/>
      </c>
      <c r="D20" s="5">
        <f>SUBSTITUTE(TRIM(IF('C111'!D9="Aula 3","C111 ","")&amp;IF('C112'!D9="Aula 3","C112 ","")&amp;IF('C113'!D9="Aula 3","C113 ","")&amp;IF('C121'!D9="Aula 3","C121 ","")&amp;IF('C122'!D9="Aula 3","C122 ","")&amp;IF('C211'!D9="Aula 3","C211 ","")&amp;IF('C212'!D9="Aula 3","C212 ","")&amp;IF('C311'!D9="Aula 3","C311 ","")&amp;IF('C312'!D9="Aula 3","C312 ","")&amp;IF('C411'!D9="Aula 3","C411 ","")&amp;IF('C412'!D9="Aula 3","C412 ","")&amp;IF('M111'!D9="Aula 3","M111 ","")&amp;IF('M112'!D9="Aula 3","M112 ","")&amp;IF('M211'!D9="Aula 3","M211 ","")&amp;IF('M212'!D9="Aula 3","M212 ","")&amp;IF('M311'!D9="Aula 3","M311 ","")&amp;IF('M411'!D9="Aula 3","M411 ","")&amp;IF('D111'!D9="Aula 3","D111 ","")&amp;IF('D112'!D9="Aula 3","D112 ","")&amp;IF('D211'!D9="Aula 3","D211 ","")&amp;IF('D311'!D9="Aula 3","D311 ","")&amp;IF('D411'!D9="Aula 3","D411 ",""))," ",",")</f>
        <v/>
      </c>
      <c r="E20" s="5">
        <f>SUBSTITUTE(TRIM(IF('C111'!D9="Aula 4","C111 ","")&amp;IF('C112'!D9="Aula 4","C112 ","")&amp;IF('C113'!D9="Aula 4","C113 ","")&amp;IF('C121'!D9="Aula 4","C121 ","")&amp;IF('C122'!D9="Aula 4","C122 ","")&amp;IF('C211'!D9="Aula 4","C211 ","")&amp;IF('C212'!D9="Aula 4","C212 ","")&amp;IF('C311'!D9="Aula 4","C311 ","")&amp;IF('C312'!D9="Aula 4","C312 ","")&amp;IF('C411'!D9="Aula 4","C411 ","")&amp;IF('C412'!D9="Aula 4","C412 ","")&amp;IF('M111'!D9="Aula 4","M111 ","")&amp;IF('M112'!D9="Aula 4","M112 ","")&amp;IF('M211'!D9="Aula 4","M211 ","")&amp;IF('M212'!D9="Aula 4","M212 ","")&amp;IF('M311'!D9="Aula 4","M311 ","")&amp;IF('M411'!D9="Aula 4","M411 ","")&amp;IF('D111'!D9="Aula 4","D111 ","")&amp;IF('D112'!D9="Aula 4","D112 ","")&amp;IF('D211'!D9="Aula 4","D211 ","")&amp;IF('D311'!D9="Aula 4","D311 ","")&amp;IF('D411'!D9="Aula 4","D411 ",""))," ",",")</f>
        <v/>
      </c>
      <c r="F20" s="5">
        <f>SUBSTITUTE(TRIM(IF('C111'!D9="Aula 5","C111 ","")&amp;IF('C112'!D9="Aula 5","C112 ","")&amp;IF('C113'!D9="Aula 5","C113 ","")&amp;IF('C121'!D9="Aula 5","C121 ","")&amp;IF('C122'!D9="Aula 5","C122 ","")&amp;IF('C211'!D9="Aula 5","C211 ","")&amp;IF('C212'!D9="Aula 5","C212 ","")&amp;IF('C311'!D9="Aula 5","C311 ","")&amp;IF('C312'!D9="Aula 5","C312 ","")&amp;IF('C411'!D9="Aula 5","C411 ","")&amp;IF('C412'!D9="Aula 5","C412 ","")&amp;IF('M111'!D9="Aula 5","M111 ","")&amp;IF('M112'!D9="Aula 5","M112 ","")&amp;IF('M211'!D9="Aula 5","M211 ","")&amp;IF('M212'!D9="Aula 5","M212 ","")&amp;IF('M311'!D9="Aula 5","M311 ","")&amp;IF('M411'!D9="Aula 5","M411 ","")&amp;IF('D111'!D9="Aula 5","D111 ","")&amp;IF('D112'!D9="Aula 5","D112 ","")&amp;IF('D211'!D9="Aula 5","D211 ","")&amp;IF('D311'!D9="Aula 5","D311 ","")&amp;IF('D411'!D9="Aula 5","D411 ",""))," ",",")</f>
        <v/>
      </c>
      <c r="G20" s="5">
        <f>SUBSTITUTE(TRIM(IF('C111'!D9="Aula 6","C111 ","")&amp;IF('C112'!D9="Aula 6","C112 ","")&amp;IF('C113'!D9="Aula 6","C113 ","")&amp;IF('C121'!D9="Aula 6","C121 ","")&amp;IF('C122'!D9="Aula 6","C122 ","")&amp;IF('C211'!D9="Aula 6","C211 ","")&amp;IF('C212'!D9="Aula 6","C212 ","")&amp;IF('C311'!D9="Aula 6","C311 ","")&amp;IF('C312'!D9="Aula 6","C312 ","")&amp;IF('C411'!D9="Aula 6","C411 ","")&amp;IF('C412'!D9="Aula 6","C412 ","")&amp;IF('M111'!D9="Aula 6","M111 ","")&amp;IF('M112'!D9="Aula 6","M112 ","")&amp;IF('M211'!D9="Aula 6","M211 ","")&amp;IF('M212'!D9="Aula 6","M212 ","")&amp;IF('M311'!D9="Aula 6","M311 ","")&amp;IF('M411'!D9="Aula 6","M411 ","")&amp;IF('D111'!D9="Aula 6","D111 ","")&amp;IF('D112'!D9="Aula 6","D112 ","")&amp;IF('D211'!D9="Aula 6","D211 ","")&amp;IF('D311'!D9="Aula 6","D311 ","")&amp;IF('D411'!D9="Aula 6","D411 ",""))," ",",")</f>
        <v/>
      </c>
      <c r="H20" s="5">
        <f>SUBSTITUTE(TRIM(IF('C111'!D9="Aula 7","C111 ","")&amp;IF('C112'!D9="Aula 7","C112 ","")&amp;IF('C113'!D9="Aula 7","C113 ","")&amp;IF('C121'!D9="Aula 7","C121 ","")&amp;IF('C122'!D9="Aula 7","C122 ","")&amp;IF('C211'!D9="Aula 7","C211 ","")&amp;IF('C212'!D9="Aula 7","C212 ","")&amp;IF('C311'!D9="Aula 7","C311 ","")&amp;IF('C312'!D9="Aula 7","C312 ","")&amp;IF('C411'!D9="Aula 7","C411 ","")&amp;IF('C412'!D9="Aula 7","C412 ","")&amp;IF('M111'!D9="Aula 7","M111 ","")&amp;IF('M112'!D9="Aula 7","M112 ","")&amp;IF('M211'!D9="Aula 7","M211 ","")&amp;IF('M212'!D9="Aula 7","M212 ","")&amp;IF('M311'!D9="Aula 7","M311 ","")&amp;IF('M411'!D9="Aula 7","M411 ","")&amp;IF('D111'!D9="Aula 7","D111 ","")&amp;IF('D112'!D9="Aula 7","D112 ","")&amp;IF('D211'!D9="Aula 7","D211 ","")&amp;IF('D311'!D9="Aula 7","D311 ","")&amp;IF('D411'!D9="Aula 7","D411 ",""))," ",",")</f>
        <v/>
      </c>
      <c r="I20" s="5">
        <f>SUBSTITUTE(TRIM(IF('C111'!D9="Aula 8","C111 ","")&amp;IF('C112'!D9="Aula 8","C112 ","")&amp;IF('C113'!D9="Aula 8","C113 ","")&amp;IF('C121'!D9="Aula 8","C121 ","")&amp;IF('C122'!D9="Aula 8","C122 ","")&amp;IF('C211'!D9="Aula 8","C211 ","")&amp;IF('C212'!D9="Aula 8","C212 ","")&amp;IF('C311'!D9="Aula 8","C311 ","")&amp;IF('C312'!D9="Aula 8","C312 ","")&amp;IF('C411'!D9="Aula 8","C411 ","")&amp;IF('C412'!D9="Aula 8","C412 ","")&amp;IF('M111'!D9="Aula 8","M111 ","")&amp;IF('M112'!D9="Aula 8","M112 ","")&amp;IF('M211'!D9="Aula 8","M211 ","")&amp;IF('M212'!D9="Aula 8","M212 ","")&amp;IF('M311'!D9="Aula 8","M311 ","")&amp;IF('M411'!D9="Aula 8","M411 ","")&amp;IF('D111'!D9="Aula 8","D111 ","")&amp;IF('D112'!D9="Aula 8","D112 ","")&amp;IF('D211'!D9="Aula 8","D211 ","")&amp;IF('D311'!D9="Aula 8","D311 ","")&amp;IF('D411'!D9="Aula 8","D411 ",""))," ",",")</f>
        <v/>
      </c>
      <c r="J20" s="5">
        <f>SUBSTITUTE(TRIM(IF('C111'!D9="Aula 9","C111 ","")&amp;IF('C112'!D9="Aula 9","C112 ","")&amp;IF('C113'!D9="Aula 9","C113 ","")&amp;IF('C121'!D9="Aula 9","C121 ","")&amp;IF('C122'!D9="Aula 9","C122 ","")&amp;IF('C211'!D9="Aula 9","C211 ","")&amp;IF('C212'!D9="Aula 9","C212 ","")&amp;IF('C311'!D9="Aula 9","C311 ","")&amp;IF('C312'!D9="Aula 9","C312 ","")&amp;IF('C411'!D9="Aula 9","C411 ","")&amp;IF('C412'!D9="Aula 9","C412 ","")&amp;IF('M111'!D9="Aula 9","M111 ","")&amp;IF('M112'!D9="Aula 9","M112 ","")&amp;IF('M211'!D9="Aula 9","M211 ","")&amp;IF('M212'!D9="Aula 9","M212 ","")&amp;IF('M311'!D9="Aula 9","M311 ","")&amp;IF('M411'!D9="Aula 9","M411 ","")&amp;IF('D111'!D9="Aula 9","D111 ","")&amp;IF('D112'!D9="Aula 9","D112 ","")&amp;IF('D211'!D9="Aula 9","D211 ","")&amp;IF('D311'!D9="Aula 9","D311 ","")&amp;IF('D411'!D9="Aula 9","D411 ",""))," ",",")</f>
        <v/>
      </c>
      <c r="K20" s="5">
        <f>SUBSTITUTE(TRIM(IF('C111'!D9="Aula 10","C111 ","")&amp;IF('C112'!D9="Aula 10","C112 ","")&amp;IF('C113'!D9="Aula 10","C113 ","")&amp;IF('C121'!D9="Aula 10","C121 ","")&amp;IF('C122'!D9="Aula 10","C122 ","")&amp;IF('C211'!D9="Aula 10","C211 ","")&amp;IF('C212'!D9="Aula 10","C212 ","")&amp;IF('C311'!D9="Aula 10","C311 ","")&amp;IF('C312'!D9="Aula 10","C312 ","")&amp;IF('C411'!D9="Aula 10","C411 ","")&amp;IF('C412'!D9="Aula 10","C412 ","")&amp;IF('M111'!D9="Aula 10","M111 ","")&amp;IF('M112'!D9="Aula 10","M112 ","")&amp;IF('M211'!D9="Aula 10","M211 ","")&amp;IF('M212'!D9="Aula 10","M212 ","")&amp;IF('M311'!D9="Aula 10","M311 ","")&amp;IF('M411'!D9="Aula 10","M411 ","")&amp;IF('D111'!D9="Aula 10","D111 ","")&amp;IF('D112'!D9="Aula 10","D112 ","")&amp;IF('D211'!D9="Aula 10","D211 ","")&amp;IF('D311'!D9="Aula 10","D311 ","")&amp;IF('D411'!D9="Aula 10","D411 ",""))," ",",")</f>
        <v/>
      </c>
      <c r="L20" s="5">
        <f>SUBSTITUTE(TRIM(IF('C111'!D9="Aula 11","C111 ","")&amp;IF('C112'!D9="Aula 11","C112 ","")&amp;IF('C113'!D9="Aula 11","C113 ","")&amp;IF('C121'!D9="Aula 11","C121 ","")&amp;IF('C122'!D9="Aula 11","C122 ","")&amp;IF('C211'!D9="Aula 11","C211 ","")&amp;IF('C212'!D9="Aula 11","C212 ","")&amp;IF('C311'!D9="Aula 11","C311 ","")&amp;IF('C312'!D9="Aula 11","C312 ","")&amp;IF('C411'!D9="Aula 11","C411 ","")&amp;IF('C412'!D9="Aula 11","C412 ","")&amp;IF('M111'!D9="Aula 11","M111 ","")&amp;IF('M112'!D9="Aula 11","M112 ","")&amp;IF('M211'!D9="Aula 11","M211 ","")&amp;IF('M212'!D9="Aula 11","M212 ","")&amp;IF('M311'!D9="Aula 11","M311 ","")&amp;IF('M411'!D9="Aula 11","M411 ","")&amp;IF('D111'!D9="Aula 11","D111 ","")&amp;IF('D112'!D9="Aula 11","D112 ","")&amp;IF('D211'!D9="Aula 11","D211 ","")&amp;IF('D311'!D9="Aula 11","D311 ","")&amp;IF('D411'!D9="Aula 11","D411 ",""))," ",",")</f>
        <v/>
      </c>
      <c r="M20" s="5">
        <f>SUBSTITUTE(TRIM(IF('C111'!D9="Aula 12","C111 ","")&amp;IF('C112'!D9="Aula 12","C112 ","")&amp;IF('C113'!D9="Aula 12","C113 ","")&amp;IF('C121'!D9="Aula 12","C121 ","")&amp;IF('C122'!D9="Aula 12","C122 ","")&amp;IF('C211'!D9="Aula 12","C211 ","")&amp;IF('C212'!D9="Aula 12","C212 ","")&amp;IF('C311'!D9="Aula 12","C311 ","")&amp;IF('C312'!D9="Aula 12","C312 ","")&amp;IF('C411'!D9="Aula 12","C411 ","")&amp;IF('C412'!D9="Aula 12","C412 ","")&amp;IF('M111'!D9="Aula 12","M111 ","")&amp;IF('M112'!D9="Aula 12","M112 ","")&amp;IF('M211'!D9="Aula 12","M211 ","")&amp;IF('M212'!D9="Aula 12","M212 ","")&amp;IF('M311'!D9="Aula 12","M311 ","")&amp;IF('M411'!D9="Aula 12","M411 ","")&amp;IF('D111'!D9="Aula 12","D111 ","")&amp;IF('D112'!D9="Aula 12","D112 ","")&amp;IF('D211'!D9="Aula 12","D211 ","")&amp;IF('D311'!D9="Aula 12","D311 ","")&amp;IF('D411'!D9="Aula 12","D411 ",""))," ",",")</f>
        <v/>
      </c>
      <c r="N20" s="5">
        <f>SUBSTITUTE(TRIM(IF('C111'!D9="Lab 1","C111 ","")&amp;IF('C112'!D9="Lab 1","C112 ","")&amp;IF('C113'!D9="Lab 1","C113 ","")&amp;IF('C121'!D9="Lab 1","C121 ","")&amp;IF('C122'!D9="Lab 1","C122 ","")&amp;IF('C211'!D9="Lab 1","C211 ","")&amp;IF('C212'!D9="Lab 1","C212 ","")&amp;IF('C311'!D9="Lab 1","C311 ","")&amp;IF('C312'!D9="Lab 1","C312 ","")&amp;IF('C411'!D9="Lab 1","C411 ","")&amp;IF('C412'!D9="Lab 1","C412 ","")&amp;IF('M111'!D9="Lab 1","M111 ","")&amp;IF('M112'!D9="Lab 1","M112 ","")&amp;IF('M211'!D9="Lab 1","M211 ","")&amp;IF('M212'!D9="Lab 1","M212 ","")&amp;IF('M311'!D9="Lab 1","M311 ","")&amp;IF('M411'!D9="Lab 1","M411 ","")&amp;IF('D111'!D9="Lab 1","D111 ","")&amp;IF('D112'!D9="Lab 1","D112 ","")&amp;IF('D211'!D9="Lab 1","D211 ","")&amp;IF('D311'!D9="Lab 1","D311 ","")&amp;IF('D411'!D9="Lab 1","D411 ",""))," ",",")</f>
        <v/>
      </c>
      <c r="O20" s="5">
        <f>SUBSTITUTE(TRIM(IF('C111'!D9="Lab 2","C111 ","")&amp;IF('C112'!D9="Lab 2","C112 ","")&amp;IF('C113'!D9="Lab 2","C113 ","")&amp;IF('C121'!D9="Lab 2","C121 ","")&amp;IF('C122'!D9="Lab 2","C122 ","")&amp;IF('C211'!D9="Lab 2","C211 ","")&amp;IF('C212'!D9="Lab 2","C212 ","")&amp;IF('C311'!D9="Lab 2","C311 ","")&amp;IF('C312'!D9="Lab 2","C312 ","")&amp;IF('C411'!D9="Lab 2","C411 ","")&amp;IF('C412'!D9="Lab 2","C412 ","")&amp;IF('M111'!D9="Lab 2","M111 ","")&amp;IF('M112'!D9="Lab 2","M112 ","")&amp;IF('M211'!D9="Lab 2","M211 ","")&amp;IF('M212'!D9="Lab 2","M212 ","")&amp;IF('M311'!D9="Lab 2","M311 ","")&amp;IF('M411'!D9="Lab 2","M411 ","")&amp;IF('D111'!D9="Lab 2","D111 ","")&amp;IF('D112'!D9="Lab 2","D112 ","")&amp;IF('D211'!D9="Lab 2","D211 ","")&amp;IF('D311'!D9="Lab 2","D311 ","")&amp;IF('D411'!D9="Lab 2","D411 ",""))," ",",")</f>
        <v/>
      </c>
      <c r="P20" s="6">
        <f>SUBSTITUTE(TRIM(IF('C111'!D9="Salón","C111 ","")&amp;IF('C112'!D9="Salón","C112 ","")&amp;IF('C113'!D9="Salón","C113 ","")&amp;IF('C121'!D9="Salón","C121 ","")&amp;IF('C122'!D9="Salón","C122 ","")&amp;IF('C211'!D9="Salón","C211 ","")&amp;IF('C212'!D9="Salón","C212 ","")&amp;IF('C311'!D9="Salón","C311 ","")&amp;IF('C312'!D9="Salón","C312 ","")&amp;IF('C411'!D9="Salón","C411 ","")&amp;IF('C412'!D9="Salón","C412 ","")&amp;IF('M111'!D9="Salón","M111 ","")&amp;IF('M112'!D9="Salón","M112 ","")&amp;IF('M211'!D9="Salón","M211 ","")&amp;IF('M212'!D9="Salón","M212 ","")&amp;IF('M311'!D9="Salón","M311 ","")&amp;IF('M411'!D9="Salón","M411 ","")&amp;IF('D111'!D9="Salón","D111 ","")&amp;IF('D112'!D9="Salón","D112 ","")&amp;IF('D211'!D9="Salón","D211 ","")&amp;IF('D311'!D9="Salón","D311 ","")&amp;IF('D411'!D9="Salón","D411 ",""))," ",",")</f>
        <v/>
      </c>
    </row>
    <row r="21">
      <c r="A21" s="4" t="inlineStr">
        <is>
          <t>Turno 4</t>
        </is>
      </c>
      <c r="B21" s="5">
        <f>SUBSTITUTE(TRIM(IF('C111'!D11="Aula 1","C111 ","")&amp;IF('C112'!D11="Aula 1","C112 ","")&amp;IF('C113'!D11="Aula 1","C113 ","")&amp;IF('C121'!D11="Aula 1","C121 ","")&amp;IF('C122'!D11="Aula 1","C122 ","")&amp;IF('C211'!D11="Aula 1","C211 ","")&amp;IF('C212'!D11="Aula 1","C212 ","")&amp;IF('C311'!D11="Aula 1","C311 ","")&amp;IF('C312'!D11="Aula 1","C312 ","")&amp;IF('C411'!D11="Aula 1","C411 ","")&amp;IF('C412'!D11="Aula 1","C412 ","")&amp;IF('M111'!D11="Aula 1","M111 ","")&amp;IF('M112'!D11="Aula 1","M112 ","")&amp;IF('M211'!D11="Aula 1","M211 ","")&amp;IF('M212'!D11="Aula 1","M212 ","")&amp;IF('M311'!D11="Aula 1","M311 ","")&amp;IF('M411'!D11="Aula 1","M411 ","")&amp;IF('D111'!D11="Aula 1","D111 ","")&amp;IF('D112'!D11="Aula 1","D112 ","")&amp;IF('D211'!D11="Aula 1","D211 ","")&amp;IF('D311'!D11="Aula 1","D311 ","")&amp;IF('D411'!D11="Aula 1","D411 ",""))," ",",")</f>
        <v/>
      </c>
      <c r="C21" s="5">
        <f>SUBSTITUTE(TRIM(IF('C111'!D11="Aula 2","C111 ","")&amp;IF('C112'!D11="Aula 2","C112 ","")&amp;IF('C113'!D11="Aula 2","C113 ","")&amp;IF('C121'!D11="Aula 2","C121 ","")&amp;IF('C122'!D11="Aula 2","C122 ","")&amp;IF('C211'!D11="Aula 2","C211 ","")&amp;IF('C212'!D11="Aula 2","C212 ","")&amp;IF('C311'!D11="Aula 2","C311 ","")&amp;IF('C312'!D11="Aula 2","C312 ","")&amp;IF('C411'!D11="Aula 2","C411 ","")&amp;IF('C412'!D11="Aula 2","C412 ","")&amp;IF('M111'!D11="Aula 2","M111 ","")&amp;IF('M112'!D11="Aula 2","M112 ","")&amp;IF('M211'!D11="Aula 2","M211 ","")&amp;IF('M212'!D11="Aula 2","M212 ","")&amp;IF('M311'!D11="Aula 2","M311 ","")&amp;IF('M411'!D11="Aula 2","M411 ","")&amp;IF('D111'!D11="Aula 2","D111 ","")&amp;IF('D112'!D11="Aula 2","D112 ","")&amp;IF('D211'!D11="Aula 2","D211 ","")&amp;IF('D311'!D11="Aula 2","D311 ","")&amp;IF('D411'!D11="Aula 2","D411 ",""))," ",",")</f>
        <v/>
      </c>
      <c r="D21" s="5">
        <f>SUBSTITUTE(TRIM(IF('C111'!D11="Aula 3","C111 ","")&amp;IF('C112'!D11="Aula 3","C112 ","")&amp;IF('C113'!D11="Aula 3","C113 ","")&amp;IF('C121'!D11="Aula 3","C121 ","")&amp;IF('C122'!D11="Aula 3","C122 ","")&amp;IF('C211'!D11="Aula 3","C211 ","")&amp;IF('C212'!D11="Aula 3","C212 ","")&amp;IF('C311'!D11="Aula 3","C311 ","")&amp;IF('C312'!D11="Aula 3","C312 ","")&amp;IF('C411'!D11="Aula 3","C411 ","")&amp;IF('C412'!D11="Aula 3","C412 ","")&amp;IF('M111'!D11="Aula 3","M111 ","")&amp;IF('M112'!D11="Aula 3","M112 ","")&amp;IF('M211'!D11="Aula 3","M211 ","")&amp;IF('M212'!D11="Aula 3","M212 ","")&amp;IF('M311'!D11="Aula 3","M311 ","")&amp;IF('M411'!D11="Aula 3","M411 ","")&amp;IF('D111'!D11="Aula 3","D111 ","")&amp;IF('D112'!D11="Aula 3","D112 ","")&amp;IF('D211'!D11="Aula 3","D211 ","")&amp;IF('D311'!D11="Aula 3","D311 ","")&amp;IF('D411'!D11="Aula 3","D411 ",""))," ",",")</f>
        <v/>
      </c>
      <c r="E21" s="5">
        <f>SUBSTITUTE(TRIM(IF('C111'!D11="Aula 4","C111 ","")&amp;IF('C112'!D11="Aula 4","C112 ","")&amp;IF('C113'!D11="Aula 4","C113 ","")&amp;IF('C121'!D11="Aula 4","C121 ","")&amp;IF('C122'!D11="Aula 4","C122 ","")&amp;IF('C211'!D11="Aula 4","C211 ","")&amp;IF('C212'!D11="Aula 4","C212 ","")&amp;IF('C311'!D11="Aula 4","C311 ","")&amp;IF('C312'!D11="Aula 4","C312 ","")&amp;IF('C411'!D11="Aula 4","C411 ","")&amp;IF('C412'!D11="Aula 4","C412 ","")&amp;IF('M111'!D11="Aula 4","M111 ","")&amp;IF('M112'!D11="Aula 4","M112 ","")&amp;IF('M211'!D11="Aula 4","M211 ","")&amp;IF('M212'!D11="Aula 4","M212 ","")&amp;IF('M311'!D11="Aula 4","M311 ","")&amp;IF('M411'!D11="Aula 4","M411 ","")&amp;IF('D111'!D11="Aula 4","D111 ","")&amp;IF('D112'!D11="Aula 4","D112 ","")&amp;IF('D211'!D11="Aula 4","D211 ","")&amp;IF('D311'!D11="Aula 4","D311 ","")&amp;IF('D411'!D11="Aula 4","D411 ",""))," ",",")</f>
        <v/>
      </c>
      <c r="F21" s="5">
        <f>SUBSTITUTE(TRIM(IF('C111'!D11="Aula 5","C111 ","")&amp;IF('C112'!D11="Aula 5","C112 ","")&amp;IF('C113'!D11="Aula 5","C113 ","")&amp;IF('C121'!D11="Aula 5","C121 ","")&amp;IF('C122'!D11="Aula 5","C122 ","")&amp;IF('C211'!D11="Aula 5","C211 ","")&amp;IF('C212'!D11="Aula 5","C212 ","")&amp;IF('C311'!D11="Aula 5","C311 ","")&amp;IF('C312'!D11="Aula 5","C312 ","")&amp;IF('C411'!D11="Aula 5","C411 ","")&amp;IF('C412'!D11="Aula 5","C412 ","")&amp;IF('M111'!D11="Aula 5","M111 ","")&amp;IF('M112'!D11="Aula 5","M112 ","")&amp;IF('M211'!D11="Aula 5","M211 ","")&amp;IF('M212'!D11="Aula 5","M212 ","")&amp;IF('M311'!D11="Aula 5","M311 ","")&amp;IF('M411'!D11="Aula 5","M411 ","")&amp;IF('D111'!D11="Aula 5","D111 ","")&amp;IF('D112'!D11="Aula 5","D112 ","")&amp;IF('D211'!D11="Aula 5","D211 ","")&amp;IF('D311'!D11="Aula 5","D311 ","")&amp;IF('D411'!D11="Aula 5","D411 ",""))," ",",")</f>
        <v/>
      </c>
      <c r="G21" s="5">
        <f>SUBSTITUTE(TRIM(IF('C111'!D11="Aula 6","C111 ","")&amp;IF('C112'!D11="Aula 6","C112 ","")&amp;IF('C113'!D11="Aula 6","C113 ","")&amp;IF('C121'!D11="Aula 6","C121 ","")&amp;IF('C122'!D11="Aula 6","C122 ","")&amp;IF('C211'!D11="Aula 6","C211 ","")&amp;IF('C212'!D11="Aula 6","C212 ","")&amp;IF('C311'!D11="Aula 6","C311 ","")&amp;IF('C312'!D11="Aula 6","C312 ","")&amp;IF('C411'!D11="Aula 6","C411 ","")&amp;IF('C412'!D11="Aula 6","C412 ","")&amp;IF('M111'!D11="Aula 6","M111 ","")&amp;IF('M112'!D11="Aula 6","M112 ","")&amp;IF('M211'!D11="Aula 6","M211 ","")&amp;IF('M212'!D11="Aula 6","M212 ","")&amp;IF('M311'!D11="Aula 6","M311 ","")&amp;IF('M411'!D11="Aula 6","M411 ","")&amp;IF('D111'!D11="Aula 6","D111 ","")&amp;IF('D112'!D11="Aula 6","D112 ","")&amp;IF('D211'!D11="Aula 6","D211 ","")&amp;IF('D311'!D11="Aula 6","D311 ","")&amp;IF('D411'!D11="Aula 6","D411 ",""))," ",",")</f>
        <v/>
      </c>
      <c r="H21" s="5">
        <f>SUBSTITUTE(TRIM(IF('C111'!D11="Aula 7","C111 ","")&amp;IF('C112'!D11="Aula 7","C112 ","")&amp;IF('C113'!D11="Aula 7","C113 ","")&amp;IF('C121'!D11="Aula 7","C121 ","")&amp;IF('C122'!D11="Aula 7","C122 ","")&amp;IF('C211'!D11="Aula 7","C211 ","")&amp;IF('C212'!D11="Aula 7","C212 ","")&amp;IF('C311'!D11="Aula 7","C311 ","")&amp;IF('C312'!D11="Aula 7","C312 ","")&amp;IF('C411'!D11="Aula 7","C411 ","")&amp;IF('C412'!D11="Aula 7","C412 ","")&amp;IF('M111'!D11="Aula 7","M111 ","")&amp;IF('M112'!D11="Aula 7","M112 ","")&amp;IF('M211'!D11="Aula 7","M211 ","")&amp;IF('M212'!D11="Aula 7","M212 ","")&amp;IF('M311'!D11="Aula 7","M311 ","")&amp;IF('M411'!D11="Aula 7","M411 ","")&amp;IF('D111'!D11="Aula 7","D111 ","")&amp;IF('D112'!D11="Aula 7","D112 ","")&amp;IF('D211'!D11="Aula 7","D211 ","")&amp;IF('D311'!D11="Aula 7","D311 ","")&amp;IF('D411'!D11="Aula 7","D411 ",""))," ",",")</f>
        <v/>
      </c>
      <c r="I21" s="5">
        <f>SUBSTITUTE(TRIM(IF('C111'!D11="Aula 8","C111 ","")&amp;IF('C112'!D11="Aula 8","C112 ","")&amp;IF('C113'!D11="Aula 8","C113 ","")&amp;IF('C121'!D11="Aula 8","C121 ","")&amp;IF('C122'!D11="Aula 8","C122 ","")&amp;IF('C211'!D11="Aula 8","C211 ","")&amp;IF('C212'!D11="Aula 8","C212 ","")&amp;IF('C311'!D11="Aula 8","C311 ","")&amp;IF('C312'!D11="Aula 8","C312 ","")&amp;IF('C411'!D11="Aula 8","C411 ","")&amp;IF('C412'!D11="Aula 8","C412 ","")&amp;IF('M111'!D11="Aula 8","M111 ","")&amp;IF('M112'!D11="Aula 8","M112 ","")&amp;IF('M211'!D11="Aula 8","M211 ","")&amp;IF('M212'!D11="Aula 8","M212 ","")&amp;IF('M311'!D11="Aula 8","M311 ","")&amp;IF('M411'!D11="Aula 8","M411 ","")&amp;IF('D111'!D11="Aula 8","D111 ","")&amp;IF('D112'!D11="Aula 8","D112 ","")&amp;IF('D211'!D11="Aula 8","D211 ","")&amp;IF('D311'!D11="Aula 8","D311 ","")&amp;IF('D411'!D11="Aula 8","D411 ",""))," ",",")</f>
        <v/>
      </c>
      <c r="J21" s="5">
        <f>SUBSTITUTE(TRIM(IF('C111'!D11="Aula 9","C111 ","")&amp;IF('C112'!D11="Aula 9","C112 ","")&amp;IF('C113'!D11="Aula 9","C113 ","")&amp;IF('C121'!D11="Aula 9","C121 ","")&amp;IF('C122'!D11="Aula 9","C122 ","")&amp;IF('C211'!D11="Aula 9","C211 ","")&amp;IF('C212'!D11="Aula 9","C212 ","")&amp;IF('C311'!D11="Aula 9","C311 ","")&amp;IF('C312'!D11="Aula 9","C312 ","")&amp;IF('C411'!D11="Aula 9","C411 ","")&amp;IF('C412'!D11="Aula 9","C412 ","")&amp;IF('M111'!D11="Aula 9","M111 ","")&amp;IF('M112'!D11="Aula 9","M112 ","")&amp;IF('M211'!D11="Aula 9","M211 ","")&amp;IF('M212'!D11="Aula 9","M212 ","")&amp;IF('M311'!D11="Aula 9","M311 ","")&amp;IF('M411'!D11="Aula 9","M411 ","")&amp;IF('D111'!D11="Aula 9","D111 ","")&amp;IF('D112'!D11="Aula 9","D112 ","")&amp;IF('D211'!D11="Aula 9","D211 ","")&amp;IF('D311'!D11="Aula 9","D311 ","")&amp;IF('D411'!D11="Aula 9","D411 ",""))," ",",")</f>
        <v/>
      </c>
      <c r="K21" s="5">
        <f>SUBSTITUTE(TRIM(IF('C111'!D11="Aula 10","C111 ","")&amp;IF('C112'!D11="Aula 10","C112 ","")&amp;IF('C113'!D11="Aula 10","C113 ","")&amp;IF('C121'!D11="Aula 10","C121 ","")&amp;IF('C122'!D11="Aula 10","C122 ","")&amp;IF('C211'!D11="Aula 10","C211 ","")&amp;IF('C212'!D11="Aula 10","C212 ","")&amp;IF('C311'!D11="Aula 10","C311 ","")&amp;IF('C312'!D11="Aula 10","C312 ","")&amp;IF('C411'!D11="Aula 10","C411 ","")&amp;IF('C412'!D11="Aula 10","C412 ","")&amp;IF('M111'!D11="Aula 10","M111 ","")&amp;IF('M112'!D11="Aula 10","M112 ","")&amp;IF('M211'!D11="Aula 10","M211 ","")&amp;IF('M212'!D11="Aula 10","M212 ","")&amp;IF('M311'!D11="Aula 10","M311 ","")&amp;IF('M411'!D11="Aula 10","M411 ","")&amp;IF('D111'!D11="Aula 10","D111 ","")&amp;IF('D112'!D11="Aula 10","D112 ","")&amp;IF('D211'!D11="Aula 10","D211 ","")&amp;IF('D311'!D11="Aula 10","D311 ","")&amp;IF('D411'!D11="Aula 10","D411 ",""))," ",",")</f>
        <v/>
      </c>
      <c r="L21" s="5">
        <f>SUBSTITUTE(TRIM(IF('C111'!D11="Aula 11","C111 ","")&amp;IF('C112'!D11="Aula 11","C112 ","")&amp;IF('C113'!D11="Aula 11","C113 ","")&amp;IF('C121'!D11="Aula 11","C121 ","")&amp;IF('C122'!D11="Aula 11","C122 ","")&amp;IF('C211'!D11="Aula 11","C211 ","")&amp;IF('C212'!D11="Aula 11","C212 ","")&amp;IF('C311'!D11="Aula 11","C311 ","")&amp;IF('C312'!D11="Aula 11","C312 ","")&amp;IF('C411'!D11="Aula 11","C411 ","")&amp;IF('C412'!D11="Aula 11","C412 ","")&amp;IF('M111'!D11="Aula 11","M111 ","")&amp;IF('M112'!D11="Aula 11","M112 ","")&amp;IF('M211'!D11="Aula 11","M211 ","")&amp;IF('M212'!D11="Aula 11","M212 ","")&amp;IF('M311'!D11="Aula 11","M311 ","")&amp;IF('M411'!D11="Aula 11","M411 ","")&amp;IF('D111'!D11="Aula 11","D111 ","")&amp;IF('D112'!D11="Aula 11","D112 ","")&amp;IF('D211'!D11="Aula 11","D211 ","")&amp;IF('D311'!D11="Aula 11","D311 ","")&amp;IF('D411'!D11="Aula 11","D411 ",""))," ",",")</f>
        <v/>
      </c>
      <c r="M21" s="5">
        <f>SUBSTITUTE(TRIM(IF('C111'!D11="Aula 12","C111 ","")&amp;IF('C112'!D11="Aula 12","C112 ","")&amp;IF('C113'!D11="Aula 12","C113 ","")&amp;IF('C121'!D11="Aula 12","C121 ","")&amp;IF('C122'!D11="Aula 12","C122 ","")&amp;IF('C211'!D11="Aula 12","C211 ","")&amp;IF('C212'!D11="Aula 12","C212 ","")&amp;IF('C311'!D11="Aula 12","C311 ","")&amp;IF('C312'!D11="Aula 12","C312 ","")&amp;IF('C411'!D11="Aula 12","C411 ","")&amp;IF('C412'!D11="Aula 12","C412 ","")&amp;IF('M111'!D11="Aula 12","M111 ","")&amp;IF('M112'!D11="Aula 12","M112 ","")&amp;IF('M211'!D11="Aula 12","M211 ","")&amp;IF('M212'!D11="Aula 12","M212 ","")&amp;IF('M311'!D11="Aula 12","M311 ","")&amp;IF('M411'!D11="Aula 12","M411 ","")&amp;IF('D111'!D11="Aula 12","D111 ","")&amp;IF('D112'!D11="Aula 12","D112 ","")&amp;IF('D211'!D11="Aula 12","D211 ","")&amp;IF('D311'!D11="Aula 12","D311 ","")&amp;IF('D411'!D11="Aula 12","D411 ",""))," ",",")</f>
        <v/>
      </c>
      <c r="N21" s="5">
        <f>SUBSTITUTE(TRIM(IF('C111'!D11="Lab 1","C111 ","")&amp;IF('C112'!D11="Lab 1","C112 ","")&amp;IF('C113'!D11="Lab 1","C113 ","")&amp;IF('C121'!D11="Lab 1","C121 ","")&amp;IF('C122'!D11="Lab 1","C122 ","")&amp;IF('C211'!D11="Lab 1","C211 ","")&amp;IF('C212'!D11="Lab 1","C212 ","")&amp;IF('C311'!D11="Lab 1","C311 ","")&amp;IF('C312'!D11="Lab 1","C312 ","")&amp;IF('C411'!D11="Lab 1","C411 ","")&amp;IF('C412'!D11="Lab 1","C412 ","")&amp;IF('M111'!D11="Lab 1","M111 ","")&amp;IF('M112'!D11="Lab 1","M112 ","")&amp;IF('M211'!D11="Lab 1","M211 ","")&amp;IF('M212'!D11="Lab 1","M212 ","")&amp;IF('M311'!D11="Lab 1","M311 ","")&amp;IF('M411'!D11="Lab 1","M411 ","")&amp;IF('D111'!D11="Lab 1","D111 ","")&amp;IF('D112'!D11="Lab 1","D112 ","")&amp;IF('D211'!D11="Lab 1","D211 ","")&amp;IF('D311'!D11="Lab 1","D311 ","")&amp;IF('D411'!D11="Lab 1","D411 ",""))," ",",")</f>
        <v/>
      </c>
      <c r="O21" s="5">
        <f>SUBSTITUTE(TRIM(IF('C111'!D11="Lab 2","C111 ","")&amp;IF('C112'!D11="Lab 2","C112 ","")&amp;IF('C113'!D11="Lab 2","C113 ","")&amp;IF('C121'!D11="Lab 2","C121 ","")&amp;IF('C122'!D11="Lab 2","C122 ","")&amp;IF('C211'!D11="Lab 2","C211 ","")&amp;IF('C212'!D11="Lab 2","C212 ","")&amp;IF('C311'!D11="Lab 2","C311 ","")&amp;IF('C312'!D11="Lab 2","C312 ","")&amp;IF('C411'!D11="Lab 2","C411 ","")&amp;IF('C412'!D11="Lab 2","C412 ","")&amp;IF('M111'!D11="Lab 2","M111 ","")&amp;IF('M112'!D11="Lab 2","M112 ","")&amp;IF('M211'!D11="Lab 2","M211 ","")&amp;IF('M212'!D11="Lab 2","M212 ","")&amp;IF('M311'!D11="Lab 2","M311 ","")&amp;IF('M411'!D11="Lab 2","M411 ","")&amp;IF('D111'!D11="Lab 2","D111 ","")&amp;IF('D112'!D11="Lab 2","D112 ","")&amp;IF('D211'!D11="Lab 2","D211 ","")&amp;IF('D311'!D11="Lab 2","D311 ","")&amp;IF('D411'!D11="Lab 2","D411 ",""))," ",",")</f>
        <v/>
      </c>
      <c r="P21" s="6">
        <f>SUBSTITUTE(TRIM(IF('C111'!D11="Salón","C111 ","")&amp;IF('C112'!D11="Salón","C112 ","")&amp;IF('C113'!D11="Salón","C113 ","")&amp;IF('C121'!D11="Salón","C121 ","")&amp;IF('C122'!D11="Salón","C122 ","")&amp;IF('C211'!D11="Salón","C211 ","")&amp;IF('C212'!D11="Salón","C212 ","")&amp;IF('C311'!D11="Salón","C311 ","")&amp;IF('C312'!D11="Salón","C312 ","")&amp;IF('C411'!D11="Salón","C411 ","")&amp;IF('C412'!D11="Salón","C412 ","")&amp;IF('M111'!D11="Salón","M111 ","")&amp;IF('M112'!D11="Salón","M112 ","")&amp;IF('M211'!D11="Salón","M211 ","")&amp;IF('M212'!D11="Salón","M212 ","")&amp;IF('M311'!D11="Salón","M311 ","")&amp;IF('M411'!D11="Salón","M411 ","")&amp;IF('D111'!D11="Salón","D111 ","")&amp;IF('D112'!D11="Salón","D112 ","")&amp;IF('D211'!D11="Salón","D211 ","")&amp;IF('D311'!D11="Salón","D311 ","")&amp;IF('D411'!D11="Salón","D411 ",""))," ",",")</f>
        <v/>
      </c>
    </row>
    <row r="22">
      <c r="A22" s="4" t="inlineStr">
        <is>
          <t>Turno 5</t>
        </is>
      </c>
      <c r="B22" s="5">
        <f>SUBSTITUTE(TRIM(IF('C111'!D13="Aula 1","C111 ","")&amp;IF('C112'!D13="Aula 1","C112 ","")&amp;IF('C113'!D13="Aula 1","C113 ","")&amp;IF('C121'!D13="Aula 1","C121 ","")&amp;IF('C122'!D13="Aula 1","C122 ","")&amp;IF('C211'!D13="Aula 1","C211 ","")&amp;IF('C212'!D13="Aula 1","C212 ","")&amp;IF('C311'!D13="Aula 1","C311 ","")&amp;IF('C312'!D13="Aula 1","C312 ","")&amp;IF('C411'!D13="Aula 1","C411 ","")&amp;IF('C412'!D13="Aula 1","C412 ","")&amp;IF('M111'!D13="Aula 1","M111 ","")&amp;IF('M112'!D13="Aula 1","M112 ","")&amp;IF('M211'!D13="Aula 1","M211 ","")&amp;IF('M212'!D13="Aula 1","M212 ","")&amp;IF('M311'!D13="Aula 1","M311 ","")&amp;IF('M411'!D13="Aula 1","M411 ","")&amp;IF('D111'!D13="Aula 1","D111 ","")&amp;IF('D112'!D13="Aula 1","D112 ","")&amp;IF('D211'!D13="Aula 1","D211 ","")&amp;IF('D311'!D13="Aula 1","D311 ","")&amp;IF('D411'!D13="Aula 1","D411 ",""))," ",",")</f>
        <v/>
      </c>
      <c r="C22" s="5">
        <f>SUBSTITUTE(TRIM(IF('C111'!D13="Aula 2","C111 ","")&amp;IF('C112'!D13="Aula 2","C112 ","")&amp;IF('C113'!D13="Aula 2","C113 ","")&amp;IF('C121'!D13="Aula 2","C121 ","")&amp;IF('C122'!D13="Aula 2","C122 ","")&amp;IF('C211'!D13="Aula 2","C211 ","")&amp;IF('C212'!D13="Aula 2","C212 ","")&amp;IF('C311'!D13="Aula 2","C311 ","")&amp;IF('C312'!D13="Aula 2","C312 ","")&amp;IF('C411'!D13="Aula 2","C411 ","")&amp;IF('C412'!D13="Aula 2","C412 ","")&amp;IF('M111'!D13="Aula 2","M111 ","")&amp;IF('M112'!D13="Aula 2","M112 ","")&amp;IF('M211'!D13="Aula 2","M211 ","")&amp;IF('M212'!D13="Aula 2","M212 ","")&amp;IF('M311'!D13="Aula 2","M311 ","")&amp;IF('M411'!D13="Aula 2","M411 ","")&amp;IF('D111'!D13="Aula 2","D111 ","")&amp;IF('D112'!D13="Aula 2","D112 ","")&amp;IF('D211'!D13="Aula 2","D211 ","")&amp;IF('D311'!D13="Aula 2","D311 ","")&amp;IF('D411'!D13="Aula 2","D411 ",""))," ",",")</f>
        <v/>
      </c>
      <c r="D22" s="5">
        <f>SUBSTITUTE(TRIM(IF('C111'!D13="Aula 3","C111 ","")&amp;IF('C112'!D13="Aula 3","C112 ","")&amp;IF('C113'!D13="Aula 3","C113 ","")&amp;IF('C121'!D13="Aula 3","C121 ","")&amp;IF('C122'!D13="Aula 3","C122 ","")&amp;IF('C211'!D13="Aula 3","C211 ","")&amp;IF('C212'!D13="Aula 3","C212 ","")&amp;IF('C311'!D13="Aula 3","C311 ","")&amp;IF('C312'!D13="Aula 3","C312 ","")&amp;IF('C411'!D13="Aula 3","C411 ","")&amp;IF('C412'!D13="Aula 3","C412 ","")&amp;IF('M111'!D13="Aula 3","M111 ","")&amp;IF('M112'!D13="Aula 3","M112 ","")&amp;IF('M211'!D13="Aula 3","M211 ","")&amp;IF('M212'!D13="Aula 3","M212 ","")&amp;IF('M311'!D13="Aula 3","M311 ","")&amp;IF('M411'!D13="Aula 3","M411 ","")&amp;IF('D111'!D13="Aula 3","D111 ","")&amp;IF('D112'!D13="Aula 3","D112 ","")&amp;IF('D211'!D13="Aula 3","D211 ","")&amp;IF('D311'!D13="Aula 3","D311 ","")&amp;IF('D411'!D13="Aula 3","D411 ",""))," ",",")</f>
        <v/>
      </c>
      <c r="E22" s="5">
        <f>SUBSTITUTE(TRIM(IF('C111'!D13="Aula 4","C111 ","")&amp;IF('C112'!D13="Aula 4","C112 ","")&amp;IF('C113'!D13="Aula 4","C113 ","")&amp;IF('C121'!D13="Aula 4","C121 ","")&amp;IF('C122'!D13="Aula 4","C122 ","")&amp;IF('C211'!D13="Aula 4","C211 ","")&amp;IF('C212'!D13="Aula 4","C212 ","")&amp;IF('C311'!D13="Aula 4","C311 ","")&amp;IF('C312'!D13="Aula 4","C312 ","")&amp;IF('C411'!D13="Aula 4","C411 ","")&amp;IF('C412'!D13="Aula 4","C412 ","")&amp;IF('M111'!D13="Aula 4","M111 ","")&amp;IF('M112'!D13="Aula 4","M112 ","")&amp;IF('M211'!D13="Aula 4","M211 ","")&amp;IF('M212'!D13="Aula 4","M212 ","")&amp;IF('M311'!D13="Aula 4","M311 ","")&amp;IF('M411'!D13="Aula 4","M411 ","")&amp;IF('D111'!D13="Aula 4","D111 ","")&amp;IF('D112'!D13="Aula 4","D112 ","")&amp;IF('D211'!D13="Aula 4","D211 ","")&amp;IF('D311'!D13="Aula 4","D311 ","")&amp;IF('D411'!D13="Aula 4","D411 ",""))," ",",")</f>
        <v/>
      </c>
      <c r="F22" s="5">
        <f>SUBSTITUTE(TRIM(IF('C111'!D13="Aula 5","C111 ","")&amp;IF('C112'!D13="Aula 5","C112 ","")&amp;IF('C113'!D13="Aula 5","C113 ","")&amp;IF('C121'!D13="Aula 5","C121 ","")&amp;IF('C122'!D13="Aula 5","C122 ","")&amp;IF('C211'!D13="Aula 5","C211 ","")&amp;IF('C212'!D13="Aula 5","C212 ","")&amp;IF('C311'!D13="Aula 5","C311 ","")&amp;IF('C312'!D13="Aula 5","C312 ","")&amp;IF('C411'!D13="Aula 5","C411 ","")&amp;IF('C412'!D13="Aula 5","C412 ","")&amp;IF('M111'!D13="Aula 5","M111 ","")&amp;IF('M112'!D13="Aula 5","M112 ","")&amp;IF('M211'!D13="Aula 5","M211 ","")&amp;IF('M212'!D13="Aula 5","M212 ","")&amp;IF('M311'!D13="Aula 5","M311 ","")&amp;IF('M411'!D13="Aula 5","M411 ","")&amp;IF('D111'!D13="Aula 5","D111 ","")&amp;IF('D112'!D13="Aula 5","D112 ","")&amp;IF('D211'!D13="Aula 5","D211 ","")&amp;IF('D311'!D13="Aula 5","D311 ","")&amp;IF('D411'!D13="Aula 5","D411 ",""))," ",",")</f>
        <v/>
      </c>
      <c r="G22" s="5">
        <f>SUBSTITUTE(TRIM(IF('C111'!D13="Aula 6","C111 ","")&amp;IF('C112'!D13="Aula 6","C112 ","")&amp;IF('C113'!D13="Aula 6","C113 ","")&amp;IF('C121'!D13="Aula 6","C121 ","")&amp;IF('C122'!D13="Aula 6","C122 ","")&amp;IF('C211'!D13="Aula 6","C211 ","")&amp;IF('C212'!D13="Aula 6","C212 ","")&amp;IF('C311'!D13="Aula 6","C311 ","")&amp;IF('C312'!D13="Aula 6","C312 ","")&amp;IF('C411'!D13="Aula 6","C411 ","")&amp;IF('C412'!D13="Aula 6","C412 ","")&amp;IF('M111'!D13="Aula 6","M111 ","")&amp;IF('M112'!D13="Aula 6","M112 ","")&amp;IF('M211'!D13="Aula 6","M211 ","")&amp;IF('M212'!D13="Aula 6","M212 ","")&amp;IF('M311'!D13="Aula 6","M311 ","")&amp;IF('M411'!D13="Aula 6","M411 ","")&amp;IF('D111'!D13="Aula 6","D111 ","")&amp;IF('D112'!D13="Aula 6","D112 ","")&amp;IF('D211'!D13="Aula 6","D211 ","")&amp;IF('D311'!D13="Aula 6","D311 ","")&amp;IF('D411'!D13="Aula 6","D411 ",""))," ",",")</f>
        <v/>
      </c>
      <c r="H22" s="5">
        <f>SUBSTITUTE(TRIM(IF('C111'!D13="Aula 7","C111 ","")&amp;IF('C112'!D13="Aula 7","C112 ","")&amp;IF('C113'!D13="Aula 7","C113 ","")&amp;IF('C121'!D13="Aula 7","C121 ","")&amp;IF('C122'!D13="Aula 7","C122 ","")&amp;IF('C211'!D13="Aula 7","C211 ","")&amp;IF('C212'!D13="Aula 7","C212 ","")&amp;IF('C311'!D13="Aula 7","C311 ","")&amp;IF('C312'!D13="Aula 7","C312 ","")&amp;IF('C411'!D13="Aula 7","C411 ","")&amp;IF('C412'!D13="Aula 7","C412 ","")&amp;IF('M111'!D13="Aula 7","M111 ","")&amp;IF('M112'!D13="Aula 7","M112 ","")&amp;IF('M211'!D13="Aula 7","M211 ","")&amp;IF('M212'!D13="Aula 7","M212 ","")&amp;IF('M311'!D13="Aula 7","M311 ","")&amp;IF('M411'!D13="Aula 7","M411 ","")&amp;IF('D111'!D13="Aula 7","D111 ","")&amp;IF('D112'!D13="Aula 7","D112 ","")&amp;IF('D211'!D13="Aula 7","D211 ","")&amp;IF('D311'!D13="Aula 7","D311 ","")&amp;IF('D411'!D13="Aula 7","D411 ",""))," ",",")</f>
        <v/>
      </c>
      <c r="I22" s="5">
        <f>SUBSTITUTE(TRIM(IF('C111'!D13="Aula 8","C111 ","")&amp;IF('C112'!D13="Aula 8","C112 ","")&amp;IF('C113'!D13="Aula 8","C113 ","")&amp;IF('C121'!D13="Aula 8","C121 ","")&amp;IF('C122'!D13="Aula 8","C122 ","")&amp;IF('C211'!D13="Aula 8","C211 ","")&amp;IF('C212'!D13="Aula 8","C212 ","")&amp;IF('C311'!D13="Aula 8","C311 ","")&amp;IF('C312'!D13="Aula 8","C312 ","")&amp;IF('C411'!D13="Aula 8","C411 ","")&amp;IF('C412'!D13="Aula 8","C412 ","")&amp;IF('M111'!D13="Aula 8","M111 ","")&amp;IF('M112'!D13="Aula 8","M112 ","")&amp;IF('M211'!D13="Aula 8","M211 ","")&amp;IF('M212'!D13="Aula 8","M212 ","")&amp;IF('M311'!D13="Aula 8","M311 ","")&amp;IF('M411'!D13="Aula 8","M411 ","")&amp;IF('D111'!D13="Aula 8","D111 ","")&amp;IF('D112'!D13="Aula 8","D112 ","")&amp;IF('D211'!D13="Aula 8","D211 ","")&amp;IF('D311'!D13="Aula 8","D311 ","")&amp;IF('D411'!D13="Aula 8","D411 ",""))," ",",")</f>
        <v/>
      </c>
      <c r="J22" s="5">
        <f>SUBSTITUTE(TRIM(IF('C111'!D13="Aula 9","C111 ","")&amp;IF('C112'!D13="Aula 9","C112 ","")&amp;IF('C113'!D13="Aula 9","C113 ","")&amp;IF('C121'!D13="Aula 9","C121 ","")&amp;IF('C122'!D13="Aula 9","C122 ","")&amp;IF('C211'!D13="Aula 9","C211 ","")&amp;IF('C212'!D13="Aula 9","C212 ","")&amp;IF('C311'!D13="Aula 9","C311 ","")&amp;IF('C312'!D13="Aula 9","C312 ","")&amp;IF('C411'!D13="Aula 9","C411 ","")&amp;IF('C412'!D13="Aula 9","C412 ","")&amp;IF('M111'!D13="Aula 9","M111 ","")&amp;IF('M112'!D13="Aula 9","M112 ","")&amp;IF('M211'!D13="Aula 9","M211 ","")&amp;IF('M212'!D13="Aula 9","M212 ","")&amp;IF('M311'!D13="Aula 9","M311 ","")&amp;IF('M411'!D13="Aula 9","M411 ","")&amp;IF('D111'!D13="Aula 9","D111 ","")&amp;IF('D112'!D13="Aula 9","D112 ","")&amp;IF('D211'!D13="Aula 9","D211 ","")&amp;IF('D311'!D13="Aula 9","D311 ","")&amp;IF('D411'!D13="Aula 9","D411 ",""))," ",",")</f>
        <v/>
      </c>
      <c r="K22" s="5">
        <f>SUBSTITUTE(TRIM(IF('C111'!D13="Aula 10","C111 ","")&amp;IF('C112'!D13="Aula 10","C112 ","")&amp;IF('C113'!D13="Aula 10","C113 ","")&amp;IF('C121'!D13="Aula 10","C121 ","")&amp;IF('C122'!D13="Aula 10","C122 ","")&amp;IF('C211'!D13="Aula 10","C211 ","")&amp;IF('C212'!D13="Aula 10","C212 ","")&amp;IF('C311'!D13="Aula 10","C311 ","")&amp;IF('C312'!D13="Aula 10","C312 ","")&amp;IF('C411'!D13="Aula 10","C411 ","")&amp;IF('C412'!D13="Aula 10","C412 ","")&amp;IF('M111'!D13="Aula 10","M111 ","")&amp;IF('M112'!D13="Aula 10","M112 ","")&amp;IF('M211'!D13="Aula 10","M211 ","")&amp;IF('M212'!D13="Aula 10","M212 ","")&amp;IF('M311'!D13="Aula 10","M311 ","")&amp;IF('M411'!D13="Aula 10","M411 ","")&amp;IF('D111'!D13="Aula 10","D111 ","")&amp;IF('D112'!D13="Aula 10","D112 ","")&amp;IF('D211'!D13="Aula 10","D211 ","")&amp;IF('D311'!D13="Aula 10","D311 ","")&amp;IF('D411'!D13="Aula 10","D411 ",""))," ",",")</f>
        <v/>
      </c>
      <c r="L22" s="5">
        <f>SUBSTITUTE(TRIM(IF('C111'!D13="Aula 11","C111 ","")&amp;IF('C112'!D13="Aula 11","C112 ","")&amp;IF('C113'!D13="Aula 11","C113 ","")&amp;IF('C121'!D13="Aula 11","C121 ","")&amp;IF('C122'!D13="Aula 11","C122 ","")&amp;IF('C211'!D13="Aula 11","C211 ","")&amp;IF('C212'!D13="Aula 11","C212 ","")&amp;IF('C311'!D13="Aula 11","C311 ","")&amp;IF('C312'!D13="Aula 11","C312 ","")&amp;IF('C411'!D13="Aula 11","C411 ","")&amp;IF('C412'!D13="Aula 11","C412 ","")&amp;IF('M111'!D13="Aula 11","M111 ","")&amp;IF('M112'!D13="Aula 11","M112 ","")&amp;IF('M211'!D13="Aula 11","M211 ","")&amp;IF('M212'!D13="Aula 11","M212 ","")&amp;IF('M311'!D13="Aula 11","M311 ","")&amp;IF('M411'!D13="Aula 11","M411 ","")&amp;IF('D111'!D13="Aula 11","D111 ","")&amp;IF('D112'!D13="Aula 11","D112 ","")&amp;IF('D211'!D13="Aula 11","D211 ","")&amp;IF('D311'!D13="Aula 11","D311 ","")&amp;IF('D411'!D13="Aula 11","D411 ",""))," ",",")</f>
        <v/>
      </c>
      <c r="M22" s="5">
        <f>SUBSTITUTE(TRIM(IF('C111'!D13="Aula 12","C111 ","")&amp;IF('C112'!D13="Aula 12","C112 ","")&amp;IF('C113'!D13="Aula 12","C113 ","")&amp;IF('C121'!D13="Aula 12","C121 ","")&amp;IF('C122'!D13="Aula 12","C122 ","")&amp;IF('C211'!D13="Aula 12","C211 ","")&amp;IF('C212'!D13="Aula 12","C212 ","")&amp;IF('C311'!D13="Aula 12","C311 ","")&amp;IF('C312'!D13="Aula 12","C312 ","")&amp;IF('C411'!D13="Aula 12","C411 ","")&amp;IF('C412'!D13="Aula 12","C412 ","")&amp;IF('M111'!D13="Aula 12","M111 ","")&amp;IF('M112'!D13="Aula 12","M112 ","")&amp;IF('M211'!D13="Aula 12","M211 ","")&amp;IF('M212'!D13="Aula 12","M212 ","")&amp;IF('M311'!D13="Aula 12","M311 ","")&amp;IF('M411'!D13="Aula 12","M411 ","")&amp;IF('D111'!D13="Aula 12","D111 ","")&amp;IF('D112'!D13="Aula 12","D112 ","")&amp;IF('D211'!D13="Aula 12","D211 ","")&amp;IF('D311'!D13="Aula 12","D311 ","")&amp;IF('D411'!D13="Aula 12","D411 ",""))," ",",")</f>
        <v/>
      </c>
      <c r="N22" s="5">
        <f>SUBSTITUTE(TRIM(IF('C111'!D13="Lab 1","C111 ","")&amp;IF('C112'!D13="Lab 1","C112 ","")&amp;IF('C113'!D13="Lab 1","C113 ","")&amp;IF('C121'!D13="Lab 1","C121 ","")&amp;IF('C122'!D13="Lab 1","C122 ","")&amp;IF('C211'!D13="Lab 1","C211 ","")&amp;IF('C212'!D13="Lab 1","C212 ","")&amp;IF('C311'!D13="Lab 1","C311 ","")&amp;IF('C312'!D13="Lab 1","C312 ","")&amp;IF('C411'!D13="Lab 1","C411 ","")&amp;IF('C412'!D13="Lab 1","C412 ","")&amp;IF('M111'!D13="Lab 1","M111 ","")&amp;IF('M112'!D13="Lab 1","M112 ","")&amp;IF('M211'!D13="Lab 1","M211 ","")&amp;IF('M212'!D13="Lab 1","M212 ","")&amp;IF('M311'!D13="Lab 1","M311 ","")&amp;IF('M411'!D13="Lab 1","M411 ","")&amp;IF('D111'!D13="Lab 1","D111 ","")&amp;IF('D112'!D13="Lab 1","D112 ","")&amp;IF('D211'!D13="Lab 1","D211 ","")&amp;IF('D311'!D13="Lab 1","D311 ","")&amp;IF('D411'!D13="Lab 1","D411 ",""))," ",",")</f>
        <v/>
      </c>
      <c r="O22" s="5">
        <f>SUBSTITUTE(TRIM(IF('C111'!D13="Lab 2","C111 ","")&amp;IF('C112'!D13="Lab 2","C112 ","")&amp;IF('C113'!D13="Lab 2","C113 ","")&amp;IF('C121'!D13="Lab 2","C121 ","")&amp;IF('C122'!D13="Lab 2","C122 ","")&amp;IF('C211'!D13="Lab 2","C211 ","")&amp;IF('C212'!D13="Lab 2","C212 ","")&amp;IF('C311'!D13="Lab 2","C311 ","")&amp;IF('C312'!D13="Lab 2","C312 ","")&amp;IF('C411'!D13="Lab 2","C411 ","")&amp;IF('C412'!D13="Lab 2","C412 ","")&amp;IF('M111'!D13="Lab 2","M111 ","")&amp;IF('M112'!D13="Lab 2","M112 ","")&amp;IF('M211'!D13="Lab 2","M211 ","")&amp;IF('M212'!D13="Lab 2","M212 ","")&amp;IF('M311'!D13="Lab 2","M311 ","")&amp;IF('M411'!D13="Lab 2","M411 ","")&amp;IF('D111'!D13="Lab 2","D111 ","")&amp;IF('D112'!D13="Lab 2","D112 ","")&amp;IF('D211'!D13="Lab 2","D211 ","")&amp;IF('D311'!D13="Lab 2","D311 ","")&amp;IF('D411'!D13="Lab 2","D411 ",""))," ",",")</f>
        <v/>
      </c>
      <c r="P22" s="6">
        <f>SUBSTITUTE(TRIM(IF('C111'!D13="Salón","C111 ","")&amp;IF('C112'!D13="Salón","C112 ","")&amp;IF('C113'!D13="Salón","C113 ","")&amp;IF('C121'!D13="Salón","C121 ","")&amp;IF('C122'!D13="Salón","C122 ","")&amp;IF('C211'!D13="Salón","C211 ","")&amp;IF('C212'!D13="Salón","C212 ","")&amp;IF('C311'!D13="Salón","C311 ","")&amp;IF('C312'!D13="Salón","C312 ","")&amp;IF('C411'!D13="Salón","C411 ","")&amp;IF('C412'!D13="Salón","C412 ","")&amp;IF('M111'!D13="Salón","M111 ","")&amp;IF('M112'!D13="Salón","M112 ","")&amp;IF('M211'!D13="Salón","M211 ","")&amp;IF('M212'!D13="Salón","M212 ","")&amp;IF('M311'!D13="Salón","M311 ","")&amp;IF('M411'!D13="Salón","M411 ","")&amp;IF('D111'!D13="Salón","D111 ","")&amp;IF('D112'!D13="Salón","D112 ","")&amp;IF('D211'!D13="Salón","D211 ","")&amp;IF('D311'!D13="Salón","D311 ","")&amp;IF('D411'!D13="Salón","D411 ",""))," ",",")</f>
        <v/>
      </c>
    </row>
    <row r="23">
      <c r="A23" s="7" t="inlineStr">
        <is>
          <t>Turno 6</t>
        </is>
      </c>
      <c r="B23" s="8">
        <f>SUBSTITUTE(TRIM(IF('C111'!D15="Aula 1","C111 ","")&amp;IF('C112'!D15="Aula 1","C112 ","")&amp;IF('C113'!D15="Aula 1","C113 ","")&amp;IF('C121'!D15="Aula 1","C121 ","")&amp;IF('C122'!D15="Aula 1","C122 ","")&amp;IF('C211'!D15="Aula 1","C211 ","")&amp;IF('C212'!D15="Aula 1","C212 ","")&amp;IF('C311'!D15="Aula 1","C311 ","")&amp;IF('C312'!D15="Aula 1","C312 ","")&amp;IF('C411'!D15="Aula 1","C411 ","")&amp;IF('C412'!D15="Aula 1","C412 ","")&amp;IF('M111'!D15="Aula 1","M111 ","")&amp;IF('M112'!D15="Aula 1","M112 ","")&amp;IF('M211'!D15="Aula 1","M211 ","")&amp;IF('M212'!D15="Aula 1","M212 ","")&amp;IF('M311'!D15="Aula 1","M311 ","")&amp;IF('M411'!D15="Aula 1","M411 ","")&amp;IF('D111'!D15="Aula 1","D111 ","")&amp;IF('D112'!D15="Aula 1","D112 ","")&amp;IF('D211'!D15="Aula 1","D211 ","")&amp;IF('D311'!D15="Aula 1","D311 ","")&amp;IF('D411'!D15="Aula 1","D411 ",""))," ",",")</f>
        <v/>
      </c>
      <c r="C23" s="8">
        <f>SUBSTITUTE(TRIM(IF('C111'!D15="Aula 2","C111 ","")&amp;IF('C112'!D15="Aula 2","C112 ","")&amp;IF('C113'!D15="Aula 2","C113 ","")&amp;IF('C121'!D15="Aula 2","C121 ","")&amp;IF('C122'!D15="Aula 2","C122 ","")&amp;IF('C211'!D15="Aula 2","C211 ","")&amp;IF('C212'!D15="Aula 2","C212 ","")&amp;IF('C311'!D15="Aula 2","C311 ","")&amp;IF('C312'!D15="Aula 2","C312 ","")&amp;IF('C411'!D15="Aula 2","C411 ","")&amp;IF('C412'!D15="Aula 2","C412 ","")&amp;IF('M111'!D15="Aula 2","M111 ","")&amp;IF('M112'!D15="Aula 2","M112 ","")&amp;IF('M211'!D15="Aula 2","M211 ","")&amp;IF('M212'!D15="Aula 2","M212 ","")&amp;IF('M311'!D15="Aula 2","M311 ","")&amp;IF('M411'!D15="Aula 2","M411 ","")&amp;IF('D111'!D15="Aula 2","D111 ","")&amp;IF('D112'!D15="Aula 2","D112 ","")&amp;IF('D211'!D15="Aula 2","D211 ","")&amp;IF('D311'!D15="Aula 2","D311 ","")&amp;IF('D411'!D15="Aula 2","D411 ",""))," ",",")</f>
        <v/>
      </c>
      <c r="D23" s="8">
        <f>SUBSTITUTE(TRIM(IF('C111'!D15="Aula 3","C111 ","")&amp;IF('C112'!D15="Aula 3","C112 ","")&amp;IF('C113'!D15="Aula 3","C113 ","")&amp;IF('C121'!D15="Aula 3","C121 ","")&amp;IF('C122'!D15="Aula 3","C122 ","")&amp;IF('C211'!D15="Aula 3","C211 ","")&amp;IF('C212'!D15="Aula 3","C212 ","")&amp;IF('C311'!D15="Aula 3","C311 ","")&amp;IF('C312'!D15="Aula 3","C312 ","")&amp;IF('C411'!D15="Aula 3","C411 ","")&amp;IF('C412'!D15="Aula 3","C412 ","")&amp;IF('M111'!D15="Aula 3","M111 ","")&amp;IF('M112'!D15="Aula 3","M112 ","")&amp;IF('M211'!D15="Aula 3","M211 ","")&amp;IF('M212'!D15="Aula 3","M212 ","")&amp;IF('M311'!D15="Aula 3","M311 ","")&amp;IF('M411'!D15="Aula 3","M411 ","")&amp;IF('D111'!D15="Aula 3","D111 ","")&amp;IF('D112'!D15="Aula 3","D112 ","")&amp;IF('D211'!D15="Aula 3","D211 ","")&amp;IF('D311'!D15="Aula 3","D311 ","")&amp;IF('D411'!D15="Aula 3","D411 ",""))," ",",")</f>
        <v/>
      </c>
      <c r="E23" s="8">
        <f>SUBSTITUTE(TRIM(IF('C111'!D15="Aula 4","C111 ","")&amp;IF('C112'!D15="Aula 4","C112 ","")&amp;IF('C113'!D15="Aula 4","C113 ","")&amp;IF('C121'!D15="Aula 4","C121 ","")&amp;IF('C122'!D15="Aula 4","C122 ","")&amp;IF('C211'!D15="Aula 4","C211 ","")&amp;IF('C212'!D15="Aula 4","C212 ","")&amp;IF('C311'!D15="Aula 4","C311 ","")&amp;IF('C312'!D15="Aula 4","C312 ","")&amp;IF('C411'!D15="Aula 4","C411 ","")&amp;IF('C412'!D15="Aula 4","C412 ","")&amp;IF('M111'!D15="Aula 4","M111 ","")&amp;IF('M112'!D15="Aula 4","M112 ","")&amp;IF('M211'!D15="Aula 4","M211 ","")&amp;IF('M212'!D15="Aula 4","M212 ","")&amp;IF('M311'!D15="Aula 4","M311 ","")&amp;IF('M411'!D15="Aula 4","M411 ","")&amp;IF('D111'!D15="Aula 4","D111 ","")&amp;IF('D112'!D15="Aula 4","D112 ","")&amp;IF('D211'!D15="Aula 4","D211 ","")&amp;IF('D311'!D15="Aula 4","D311 ","")&amp;IF('D411'!D15="Aula 4","D411 ",""))," ",",")</f>
        <v/>
      </c>
      <c r="F23" s="8">
        <f>SUBSTITUTE(TRIM(IF('C111'!D15="Aula 5","C111 ","")&amp;IF('C112'!D15="Aula 5","C112 ","")&amp;IF('C113'!D15="Aula 5","C113 ","")&amp;IF('C121'!D15="Aula 5","C121 ","")&amp;IF('C122'!D15="Aula 5","C122 ","")&amp;IF('C211'!D15="Aula 5","C211 ","")&amp;IF('C212'!D15="Aula 5","C212 ","")&amp;IF('C311'!D15="Aula 5","C311 ","")&amp;IF('C312'!D15="Aula 5","C312 ","")&amp;IF('C411'!D15="Aula 5","C411 ","")&amp;IF('C412'!D15="Aula 5","C412 ","")&amp;IF('M111'!D15="Aula 5","M111 ","")&amp;IF('M112'!D15="Aula 5","M112 ","")&amp;IF('M211'!D15="Aula 5","M211 ","")&amp;IF('M212'!D15="Aula 5","M212 ","")&amp;IF('M311'!D15="Aula 5","M311 ","")&amp;IF('M411'!D15="Aula 5","M411 ","")&amp;IF('D111'!D15="Aula 5","D111 ","")&amp;IF('D112'!D15="Aula 5","D112 ","")&amp;IF('D211'!D15="Aula 5","D211 ","")&amp;IF('D311'!D15="Aula 5","D311 ","")&amp;IF('D411'!D15="Aula 5","D411 ",""))," ",",")</f>
        <v/>
      </c>
      <c r="G23" s="8">
        <f>SUBSTITUTE(TRIM(IF('C111'!D15="Aula 6","C111 ","")&amp;IF('C112'!D15="Aula 6","C112 ","")&amp;IF('C113'!D15="Aula 6","C113 ","")&amp;IF('C121'!D15="Aula 6","C121 ","")&amp;IF('C122'!D15="Aula 6","C122 ","")&amp;IF('C211'!D15="Aula 6","C211 ","")&amp;IF('C212'!D15="Aula 6","C212 ","")&amp;IF('C311'!D15="Aula 6","C311 ","")&amp;IF('C312'!D15="Aula 6","C312 ","")&amp;IF('C411'!D15="Aula 6","C411 ","")&amp;IF('C412'!D15="Aula 6","C412 ","")&amp;IF('M111'!D15="Aula 6","M111 ","")&amp;IF('M112'!D15="Aula 6","M112 ","")&amp;IF('M211'!D15="Aula 6","M211 ","")&amp;IF('M212'!D15="Aula 6","M212 ","")&amp;IF('M311'!D15="Aula 6","M311 ","")&amp;IF('M411'!D15="Aula 6","M411 ","")&amp;IF('D111'!D15="Aula 6","D111 ","")&amp;IF('D112'!D15="Aula 6","D112 ","")&amp;IF('D211'!D15="Aula 6","D211 ","")&amp;IF('D311'!D15="Aula 6","D311 ","")&amp;IF('D411'!D15="Aula 6","D411 ",""))," ",",")</f>
        <v/>
      </c>
      <c r="H23" s="8">
        <f>SUBSTITUTE(TRIM(IF('C111'!D15="Aula 7","C111 ","")&amp;IF('C112'!D15="Aula 7","C112 ","")&amp;IF('C113'!D15="Aula 7","C113 ","")&amp;IF('C121'!D15="Aula 7","C121 ","")&amp;IF('C122'!D15="Aula 7","C122 ","")&amp;IF('C211'!D15="Aula 7","C211 ","")&amp;IF('C212'!D15="Aula 7","C212 ","")&amp;IF('C311'!D15="Aula 7","C311 ","")&amp;IF('C312'!D15="Aula 7","C312 ","")&amp;IF('C411'!D15="Aula 7","C411 ","")&amp;IF('C412'!D15="Aula 7","C412 ","")&amp;IF('M111'!D15="Aula 7","M111 ","")&amp;IF('M112'!D15="Aula 7","M112 ","")&amp;IF('M211'!D15="Aula 7","M211 ","")&amp;IF('M212'!D15="Aula 7","M212 ","")&amp;IF('M311'!D15="Aula 7","M311 ","")&amp;IF('M411'!D15="Aula 7","M411 ","")&amp;IF('D111'!D15="Aula 7","D111 ","")&amp;IF('D112'!D15="Aula 7","D112 ","")&amp;IF('D211'!D15="Aula 7","D211 ","")&amp;IF('D311'!D15="Aula 7","D311 ","")&amp;IF('D411'!D15="Aula 7","D411 ",""))," ",",")</f>
        <v/>
      </c>
      <c r="I23" s="8">
        <f>SUBSTITUTE(TRIM(IF('C111'!D15="Aula 8","C111 ","")&amp;IF('C112'!D15="Aula 8","C112 ","")&amp;IF('C113'!D15="Aula 8","C113 ","")&amp;IF('C121'!D15="Aula 8","C121 ","")&amp;IF('C122'!D15="Aula 8","C122 ","")&amp;IF('C211'!D15="Aula 8","C211 ","")&amp;IF('C212'!D15="Aula 8","C212 ","")&amp;IF('C311'!D15="Aula 8","C311 ","")&amp;IF('C312'!D15="Aula 8","C312 ","")&amp;IF('C411'!D15="Aula 8","C411 ","")&amp;IF('C412'!D15="Aula 8","C412 ","")&amp;IF('M111'!D15="Aula 8","M111 ","")&amp;IF('M112'!D15="Aula 8","M112 ","")&amp;IF('M211'!D15="Aula 8","M211 ","")&amp;IF('M212'!D15="Aula 8","M212 ","")&amp;IF('M311'!D15="Aula 8","M311 ","")&amp;IF('M411'!D15="Aula 8","M411 ","")&amp;IF('D111'!D15="Aula 8","D111 ","")&amp;IF('D112'!D15="Aula 8","D112 ","")&amp;IF('D211'!D15="Aula 8","D211 ","")&amp;IF('D311'!D15="Aula 8","D311 ","")&amp;IF('D411'!D15="Aula 8","D411 ",""))," ",",")</f>
        <v/>
      </c>
      <c r="J23" s="8">
        <f>SUBSTITUTE(TRIM(IF('C111'!D15="Aula 9","C111 ","")&amp;IF('C112'!D15="Aula 9","C112 ","")&amp;IF('C113'!D15="Aula 9","C113 ","")&amp;IF('C121'!D15="Aula 9","C121 ","")&amp;IF('C122'!D15="Aula 9","C122 ","")&amp;IF('C211'!D15="Aula 9","C211 ","")&amp;IF('C212'!D15="Aula 9","C212 ","")&amp;IF('C311'!D15="Aula 9","C311 ","")&amp;IF('C312'!D15="Aula 9","C312 ","")&amp;IF('C411'!D15="Aula 9","C411 ","")&amp;IF('C412'!D15="Aula 9","C412 ","")&amp;IF('M111'!D15="Aula 9","M111 ","")&amp;IF('M112'!D15="Aula 9","M112 ","")&amp;IF('M211'!D15="Aula 9","M211 ","")&amp;IF('M212'!D15="Aula 9","M212 ","")&amp;IF('M311'!D15="Aula 9","M311 ","")&amp;IF('M411'!D15="Aula 9","M411 ","")&amp;IF('D111'!D15="Aula 9","D111 ","")&amp;IF('D112'!D15="Aula 9","D112 ","")&amp;IF('D211'!D15="Aula 9","D211 ","")&amp;IF('D311'!D15="Aula 9","D311 ","")&amp;IF('D411'!D15="Aula 9","D411 ",""))," ",",")</f>
        <v/>
      </c>
      <c r="K23" s="8">
        <f>SUBSTITUTE(TRIM(IF('C111'!D15="Aula 10","C111 ","")&amp;IF('C112'!D15="Aula 10","C112 ","")&amp;IF('C113'!D15="Aula 10","C113 ","")&amp;IF('C121'!D15="Aula 10","C121 ","")&amp;IF('C122'!D15="Aula 10","C122 ","")&amp;IF('C211'!D15="Aula 10","C211 ","")&amp;IF('C212'!D15="Aula 10","C212 ","")&amp;IF('C311'!D15="Aula 10","C311 ","")&amp;IF('C312'!D15="Aula 10","C312 ","")&amp;IF('C411'!D15="Aula 10","C411 ","")&amp;IF('C412'!D15="Aula 10","C412 ","")&amp;IF('M111'!D15="Aula 10","M111 ","")&amp;IF('M112'!D15="Aula 10","M112 ","")&amp;IF('M211'!D15="Aula 10","M211 ","")&amp;IF('M212'!D15="Aula 10","M212 ","")&amp;IF('M311'!D15="Aula 10","M311 ","")&amp;IF('M411'!D15="Aula 10","M411 ","")&amp;IF('D111'!D15="Aula 10","D111 ","")&amp;IF('D112'!D15="Aula 10","D112 ","")&amp;IF('D211'!D15="Aula 10","D211 ","")&amp;IF('D311'!D15="Aula 10","D311 ","")&amp;IF('D411'!D15="Aula 10","D411 ",""))," ",",")</f>
        <v/>
      </c>
      <c r="L23" s="8">
        <f>SUBSTITUTE(TRIM(IF('C111'!D15="Aula 11","C111 ","")&amp;IF('C112'!D15="Aula 11","C112 ","")&amp;IF('C113'!D15="Aula 11","C113 ","")&amp;IF('C121'!D15="Aula 11","C121 ","")&amp;IF('C122'!D15="Aula 11","C122 ","")&amp;IF('C211'!D15="Aula 11","C211 ","")&amp;IF('C212'!D15="Aula 11","C212 ","")&amp;IF('C311'!D15="Aula 11","C311 ","")&amp;IF('C312'!D15="Aula 11","C312 ","")&amp;IF('C411'!D15="Aula 11","C411 ","")&amp;IF('C412'!D15="Aula 11","C412 ","")&amp;IF('M111'!D15="Aula 11","M111 ","")&amp;IF('M112'!D15="Aula 11","M112 ","")&amp;IF('M211'!D15="Aula 11","M211 ","")&amp;IF('M212'!D15="Aula 11","M212 ","")&amp;IF('M311'!D15="Aula 11","M311 ","")&amp;IF('M411'!D15="Aula 11","M411 ","")&amp;IF('D111'!D15="Aula 11","D111 ","")&amp;IF('D112'!D15="Aula 11","D112 ","")&amp;IF('D211'!D15="Aula 11","D211 ","")&amp;IF('D311'!D15="Aula 11","D311 ","")&amp;IF('D411'!D15="Aula 11","D411 ",""))," ",",")</f>
        <v/>
      </c>
      <c r="M23" s="8">
        <f>SUBSTITUTE(TRIM(IF('C111'!D15="Aula 12","C111 ","")&amp;IF('C112'!D15="Aula 12","C112 ","")&amp;IF('C113'!D15="Aula 12","C113 ","")&amp;IF('C121'!D15="Aula 12","C121 ","")&amp;IF('C122'!D15="Aula 12","C122 ","")&amp;IF('C211'!D15="Aula 12","C211 ","")&amp;IF('C212'!D15="Aula 12","C212 ","")&amp;IF('C311'!D15="Aula 12","C311 ","")&amp;IF('C312'!D15="Aula 12","C312 ","")&amp;IF('C411'!D15="Aula 12","C411 ","")&amp;IF('C412'!D15="Aula 12","C412 ","")&amp;IF('M111'!D15="Aula 12","M111 ","")&amp;IF('M112'!D15="Aula 12","M112 ","")&amp;IF('M211'!D15="Aula 12","M211 ","")&amp;IF('M212'!D15="Aula 12","M212 ","")&amp;IF('M311'!D15="Aula 12","M311 ","")&amp;IF('M411'!D15="Aula 12","M411 ","")&amp;IF('D111'!D15="Aula 12","D111 ","")&amp;IF('D112'!D15="Aula 12","D112 ","")&amp;IF('D211'!D15="Aula 12","D211 ","")&amp;IF('D311'!D15="Aula 12","D311 ","")&amp;IF('D411'!D15="Aula 12","D411 ",""))," ",",")</f>
        <v/>
      </c>
      <c r="N23" s="8">
        <f>SUBSTITUTE(TRIM(IF('C111'!D15="Lab 1","C111 ","")&amp;IF('C112'!D15="Lab 1","C112 ","")&amp;IF('C113'!D15="Lab 1","C113 ","")&amp;IF('C121'!D15="Lab 1","C121 ","")&amp;IF('C122'!D15="Lab 1","C122 ","")&amp;IF('C211'!D15="Lab 1","C211 ","")&amp;IF('C212'!D15="Lab 1","C212 ","")&amp;IF('C311'!D15="Lab 1","C311 ","")&amp;IF('C312'!D15="Lab 1","C312 ","")&amp;IF('C411'!D15="Lab 1","C411 ","")&amp;IF('C412'!D15="Lab 1","C412 ","")&amp;IF('M111'!D15="Lab 1","M111 ","")&amp;IF('M112'!D15="Lab 1","M112 ","")&amp;IF('M211'!D15="Lab 1","M211 ","")&amp;IF('M212'!D15="Lab 1","M212 ","")&amp;IF('M311'!D15="Lab 1","M311 ","")&amp;IF('M411'!D15="Lab 1","M411 ","")&amp;IF('D111'!D15="Lab 1","D111 ","")&amp;IF('D112'!D15="Lab 1","D112 ","")&amp;IF('D211'!D15="Lab 1","D211 ","")&amp;IF('D311'!D15="Lab 1","D311 ","")&amp;IF('D411'!D15="Lab 1","D411 ",""))," ",",")</f>
        <v/>
      </c>
      <c r="O23" s="8">
        <f>SUBSTITUTE(TRIM(IF('C111'!D15="Lab 2","C111 ","")&amp;IF('C112'!D15="Lab 2","C112 ","")&amp;IF('C113'!D15="Lab 2","C113 ","")&amp;IF('C121'!D15="Lab 2","C121 ","")&amp;IF('C122'!D15="Lab 2","C122 ","")&amp;IF('C211'!D15="Lab 2","C211 ","")&amp;IF('C212'!D15="Lab 2","C212 ","")&amp;IF('C311'!D15="Lab 2","C311 ","")&amp;IF('C312'!D15="Lab 2","C312 ","")&amp;IF('C411'!D15="Lab 2","C411 ","")&amp;IF('C412'!D15="Lab 2","C412 ","")&amp;IF('M111'!D15="Lab 2","M111 ","")&amp;IF('M112'!D15="Lab 2","M112 ","")&amp;IF('M211'!D15="Lab 2","M211 ","")&amp;IF('M212'!D15="Lab 2","M212 ","")&amp;IF('M311'!D15="Lab 2","M311 ","")&amp;IF('M411'!D15="Lab 2","M411 ","")&amp;IF('D111'!D15="Lab 2","D111 ","")&amp;IF('D112'!D15="Lab 2","D112 ","")&amp;IF('D211'!D15="Lab 2","D211 ","")&amp;IF('D311'!D15="Lab 2","D311 ","")&amp;IF('D411'!D15="Lab 2","D411 ",""))," ",",")</f>
        <v/>
      </c>
      <c r="P23" s="9">
        <f>SUBSTITUTE(TRIM(IF('C111'!D15="Salón","C111 ","")&amp;IF('C112'!D15="Salón","C112 ","")&amp;IF('C113'!D15="Salón","C113 ","")&amp;IF('C121'!D15="Salón","C121 ","")&amp;IF('C122'!D15="Salón","C122 ","")&amp;IF('C211'!D15="Salón","C211 ","")&amp;IF('C212'!D15="Salón","C212 ","")&amp;IF('C311'!D15="Salón","C311 ","")&amp;IF('C312'!D15="Salón","C312 ","")&amp;IF('C411'!D15="Salón","C411 ","")&amp;IF('C412'!D15="Salón","C412 ","")&amp;IF('M111'!D15="Salón","M111 ","")&amp;IF('M112'!D15="Salón","M112 ","")&amp;IF('M211'!D15="Salón","M211 ","")&amp;IF('M212'!D15="Salón","M212 ","")&amp;IF('M311'!D15="Salón","M311 ","")&amp;IF('M411'!D15="Salón","M411 ","")&amp;IF('D111'!D15="Salón","D111 ","")&amp;IF('D112'!D15="Salón","D112 ","")&amp;IF('D211'!D15="Salón","D211 ","")&amp;IF('D311'!D15="Salón","D311 ","")&amp;IF('D411'!D15="Salón","D411 ",""))," ",",")</f>
        <v/>
      </c>
    </row>
    <row r="24"/>
    <row r="25">
      <c r="A25" s="1" t="inlineStr">
        <is>
          <t>Jueves</t>
        </is>
      </c>
      <c r="B25" s="2" t="inlineStr">
        <is>
          <t>Aula 1</t>
        </is>
      </c>
      <c r="C25" s="2" t="inlineStr">
        <is>
          <t>Aula 2</t>
        </is>
      </c>
      <c r="D25" s="2" t="inlineStr">
        <is>
          <t>Aula 3</t>
        </is>
      </c>
      <c r="E25" s="2" t="inlineStr">
        <is>
          <t>Aula 4</t>
        </is>
      </c>
      <c r="F25" s="2" t="inlineStr">
        <is>
          <t>Aula 5</t>
        </is>
      </c>
      <c r="G25" s="2" t="inlineStr">
        <is>
          <t>Aula 6</t>
        </is>
      </c>
      <c r="H25" s="2" t="inlineStr">
        <is>
          <t>Aula 7</t>
        </is>
      </c>
      <c r="I25" s="2" t="inlineStr">
        <is>
          <t>Aula 8</t>
        </is>
      </c>
      <c r="J25" s="2" t="inlineStr">
        <is>
          <t>Aula 9</t>
        </is>
      </c>
      <c r="K25" s="2" t="inlineStr">
        <is>
          <t>Aula 10</t>
        </is>
      </c>
      <c r="L25" s="2" t="inlineStr">
        <is>
          <t>Aula 11</t>
        </is>
      </c>
      <c r="M25" s="2" t="inlineStr">
        <is>
          <t>Aula 12</t>
        </is>
      </c>
      <c r="N25" s="2" t="inlineStr">
        <is>
          <t>Lab 1</t>
        </is>
      </c>
      <c r="O25" s="2" t="inlineStr">
        <is>
          <t>Lab 2</t>
        </is>
      </c>
      <c r="P25" s="3" t="inlineStr">
        <is>
          <t>Salón</t>
        </is>
      </c>
    </row>
    <row r="26">
      <c r="A26" s="4" t="inlineStr">
        <is>
          <t>Turno 1</t>
        </is>
      </c>
      <c r="B26" s="5">
        <f>SUBSTITUTE(TRIM(IF('C111'!E5="Aula 1","C111 ","")&amp;IF('C112'!E5="Aula 1","C112 ","")&amp;IF('C113'!E5="Aula 1","C113 ","")&amp;IF('C121'!E5="Aula 1","C121 ","")&amp;IF('C122'!E5="Aula 1","C122 ","")&amp;IF('C211'!E5="Aula 1","C211 ","")&amp;IF('C212'!E5="Aula 1","C212 ","")&amp;IF('C311'!E5="Aula 1","C311 ","")&amp;IF('C312'!E5="Aula 1","C312 ","")&amp;IF('C411'!E5="Aula 1","C411 ","")&amp;IF('C412'!E5="Aula 1","C412 ","")&amp;IF('M111'!E5="Aula 1","M111 ","")&amp;IF('M112'!E5="Aula 1","M112 ","")&amp;IF('M211'!E5="Aula 1","M211 ","")&amp;IF('M212'!E5="Aula 1","M212 ","")&amp;IF('M311'!E5="Aula 1","M311 ","")&amp;IF('M411'!E5="Aula 1","M411 ","")&amp;IF('D111'!E5="Aula 1","D111 ","")&amp;IF('D112'!E5="Aula 1","D112 ","")&amp;IF('D211'!E5="Aula 1","D211 ","")&amp;IF('D311'!E5="Aula 1","D311 ","")&amp;IF('D411'!E5="Aula 1","D411 ",""))," ",",")</f>
        <v/>
      </c>
      <c r="C26" s="5">
        <f>SUBSTITUTE(TRIM(IF('C111'!E5="Aula 2","C111 ","")&amp;IF('C112'!E5="Aula 2","C112 ","")&amp;IF('C113'!E5="Aula 2","C113 ","")&amp;IF('C121'!E5="Aula 2","C121 ","")&amp;IF('C122'!E5="Aula 2","C122 ","")&amp;IF('C211'!E5="Aula 2","C211 ","")&amp;IF('C212'!E5="Aula 2","C212 ","")&amp;IF('C311'!E5="Aula 2","C311 ","")&amp;IF('C312'!E5="Aula 2","C312 ","")&amp;IF('C411'!E5="Aula 2","C411 ","")&amp;IF('C412'!E5="Aula 2","C412 ","")&amp;IF('M111'!E5="Aula 2","M111 ","")&amp;IF('M112'!E5="Aula 2","M112 ","")&amp;IF('M211'!E5="Aula 2","M211 ","")&amp;IF('M212'!E5="Aula 2","M212 ","")&amp;IF('M311'!E5="Aula 2","M311 ","")&amp;IF('M411'!E5="Aula 2","M411 ","")&amp;IF('D111'!E5="Aula 2","D111 ","")&amp;IF('D112'!E5="Aula 2","D112 ","")&amp;IF('D211'!E5="Aula 2","D211 ","")&amp;IF('D311'!E5="Aula 2","D311 ","")&amp;IF('D411'!E5="Aula 2","D411 ",""))," ",",")</f>
        <v/>
      </c>
      <c r="D26" s="5">
        <f>SUBSTITUTE(TRIM(IF('C111'!E5="Aula 3","C111 ","")&amp;IF('C112'!E5="Aula 3","C112 ","")&amp;IF('C113'!E5="Aula 3","C113 ","")&amp;IF('C121'!E5="Aula 3","C121 ","")&amp;IF('C122'!E5="Aula 3","C122 ","")&amp;IF('C211'!E5="Aula 3","C211 ","")&amp;IF('C212'!E5="Aula 3","C212 ","")&amp;IF('C311'!E5="Aula 3","C311 ","")&amp;IF('C312'!E5="Aula 3","C312 ","")&amp;IF('C411'!E5="Aula 3","C411 ","")&amp;IF('C412'!E5="Aula 3","C412 ","")&amp;IF('M111'!E5="Aula 3","M111 ","")&amp;IF('M112'!E5="Aula 3","M112 ","")&amp;IF('M211'!E5="Aula 3","M211 ","")&amp;IF('M212'!E5="Aula 3","M212 ","")&amp;IF('M311'!E5="Aula 3","M311 ","")&amp;IF('M411'!E5="Aula 3","M411 ","")&amp;IF('D111'!E5="Aula 3","D111 ","")&amp;IF('D112'!E5="Aula 3","D112 ","")&amp;IF('D211'!E5="Aula 3","D211 ","")&amp;IF('D311'!E5="Aula 3","D311 ","")&amp;IF('D411'!E5="Aula 3","D411 ",""))," ",",")</f>
        <v/>
      </c>
      <c r="E26" s="5">
        <f>SUBSTITUTE(TRIM(IF('C111'!E5="Aula 4","C111 ","")&amp;IF('C112'!E5="Aula 4","C112 ","")&amp;IF('C113'!E5="Aula 4","C113 ","")&amp;IF('C121'!E5="Aula 4","C121 ","")&amp;IF('C122'!E5="Aula 4","C122 ","")&amp;IF('C211'!E5="Aula 4","C211 ","")&amp;IF('C212'!E5="Aula 4","C212 ","")&amp;IF('C311'!E5="Aula 4","C311 ","")&amp;IF('C312'!E5="Aula 4","C312 ","")&amp;IF('C411'!E5="Aula 4","C411 ","")&amp;IF('C412'!E5="Aula 4","C412 ","")&amp;IF('M111'!E5="Aula 4","M111 ","")&amp;IF('M112'!E5="Aula 4","M112 ","")&amp;IF('M211'!E5="Aula 4","M211 ","")&amp;IF('M212'!E5="Aula 4","M212 ","")&amp;IF('M311'!E5="Aula 4","M311 ","")&amp;IF('M411'!E5="Aula 4","M411 ","")&amp;IF('D111'!E5="Aula 4","D111 ","")&amp;IF('D112'!E5="Aula 4","D112 ","")&amp;IF('D211'!E5="Aula 4","D211 ","")&amp;IF('D311'!E5="Aula 4","D311 ","")&amp;IF('D411'!E5="Aula 4","D411 ",""))," ",",")</f>
        <v/>
      </c>
      <c r="F26" s="5">
        <f>SUBSTITUTE(TRIM(IF('C111'!E5="Aula 5","C111 ","")&amp;IF('C112'!E5="Aula 5","C112 ","")&amp;IF('C113'!E5="Aula 5","C113 ","")&amp;IF('C121'!E5="Aula 5","C121 ","")&amp;IF('C122'!E5="Aula 5","C122 ","")&amp;IF('C211'!E5="Aula 5","C211 ","")&amp;IF('C212'!E5="Aula 5","C212 ","")&amp;IF('C311'!E5="Aula 5","C311 ","")&amp;IF('C312'!E5="Aula 5","C312 ","")&amp;IF('C411'!E5="Aula 5","C411 ","")&amp;IF('C412'!E5="Aula 5","C412 ","")&amp;IF('M111'!E5="Aula 5","M111 ","")&amp;IF('M112'!E5="Aula 5","M112 ","")&amp;IF('M211'!E5="Aula 5","M211 ","")&amp;IF('M212'!E5="Aula 5","M212 ","")&amp;IF('M311'!E5="Aula 5","M311 ","")&amp;IF('M411'!E5="Aula 5","M411 ","")&amp;IF('D111'!E5="Aula 5","D111 ","")&amp;IF('D112'!E5="Aula 5","D112 ","")&amp;IF('D211'!E5="Aula 5","D211 ","")&amp;IF('D311'!E5="Aula 5","D311 ","")&amp;IF('D411'!E5="Aula 5","D411 ",""))," ",",")</f>
        <v/>
      </c>
      <c r="G26" s="5">
        <f>SUBSTITUTE(TRIM(IF('C111'!E5="Aula 6","C111 ","")&amp;IF('C112'!E5="Aula 6","C112 ","")&amp;IF('C113'!E5="Aula 6","C113 ","")&amp;IF('C121'!E5="Aula 6","C121 ","")&amp;IF('C122'!E5="Aula 6","C122 ","")&amp;IF('C211'!E5="Aula 6","C211 ","")&amp;IF('C212'!E5="Aula 6","C212 ","")&amp;IF('C311'!E5="Aula 6","C311 ","")&amp;IF('C312'!E5="Aula 6","C312 ","")&amp;IF('C411'!E5="Aula 6","C411 ","")&amp;IF('C412'!E5="Aula 6","C412 ","")&amp;IF('M111'!E5="Aula 6","M111 ","")&amp;IF('M112'!E5="Aula 6","M112 ","")&amp;IF('M211'!E5="Aula 6","M211 ","")&amp;IF('M212'!E5="Aula 6","M212 ","")&amp;IF('M311'!E5="Aula 6","M311 ","")&amp;IF('M411'!E5="Aula 6","M411 ","")&amp;IF('D111'!E5="Aula 6","D111 ","")&amp;IF('D112'!E5="Aula 6","D112 ","")&amp;IF('D211'!E5="Aula 6","D211 ","")&amp;IF('D311'!E5="Aula 6","D311 ","")&amp;IF('D411'!E5="Aula 6","D411 ",""))," ",",")</f>
        <v/>
      </c>
      <c r="H26" s="5">
        <f>SUBSTITUTE(TRIM(IF('C111'!E5="Aula 7","C111 ","")&amp;IF('C112'!E5="Aula 7","C112 ","")&amp;IF('C113'!E5="Aula 7","C113 ","")&amp;IF('C121'!E5="Aula 7","C121 ","")&amp;IF('C122'!E5="Aula 7","C122 ","")&amp;IF('C211'!E5="Aula 7","C211 ","")&amp;IF('C212'!E5="Aula 7","C212 ","")&amp;IF('C311'!E5="Aula 7","C311 ","")&amp;IF('C312'!E5="Aula 7","C312 ","")&amp;IF('C411'!E5="Aula 7","C411 ","")&amp;IF('C412'!E5="Aula 7","C412 ","")&amp;IF('M111'!E5="Aula 7","M111 ","")&amp;IF('M112'!E5="Aula 7","M112 ","")&amp;IF('M211'!E5="Aula 7","M211 ","")&amp;IF('M212'!E5="Aula 7","M212 ","")&amp;IF('M311'!E5="Aula 7","M311 ","")&amp;IF('M411'!E5="Aula 7","M411 ","")&amp;IF('D111'!E5="Aula 7","D111 ","")&amp;IF('D112'!E5="Aula 7","D112 ","")&amp;IF('D211'!E5="Aula 7","D211 ","")&amp;IF('D311'!E5="Aula 7","D311 ","")&amp;IF('D411'!E5="Aula 7","D411 ",""))," ",",")</f>
        <v/>
      </c>
      <c r="I26" s="5">
        <f>SUBSTITUTE(TRIM(IF('C111'!E5="Aula 8","C111 ","")&amp;IF('C112'!E5="Aula 8","C112 ","")&amp;IF('C113'!E5="Aula 8","C113 ","")&amp;IF('C121'!E5="Aula 8","C121 ","")&amp;IF('C122'!E5="Aula 8","C122 ","")&amp;IF('C211'!E5="Aula 8","C211 ","")&amp;IF('C212'!E5="Aula 8","C212 ","")&amp;IF('C311'!E5="Aula 8","C311 ","")&amp;IF('C312'!E5="Aula 8","C312 ","")&amp;IF('C411'!E5="Aula 8","C411 ","")&amp;IF('C412'!E5="Aula 8","C412 ","")&amp;IF('M111'!E5="Aula 8","M111 ","")&amp;IF('M112'!E5="Aula 8","M112 ","")&amp;IF('M211'!E5="Aula 8","M211 ","")&amp;IF('M212'!E5="Aula 8","M212 ","")&amp;IF('M311'!E5="Aula 8","M311 ","")&amp;IF('M411'!E5="Aula 8","M411 ","")&amp;IF('D111'!E5="Aula 8","D111 ","")&amp;IF('D112'!E5="Aula 8","D112 ","")&amp;IF('D211'!E5="Aula 8","D211 ","")&amp;IF('D311'!E5="Aula 8","D311 ","")&amp;IF('D411'!E5="Aula 8","D411 ",""))," ",",")</f>
        <v/>
      </c>
      <c r="J26" s="5">
        <f>SUBSTITUTE(TRIM(IF('C111'!E5="Aula 9","C111 ","")&amp;IF('C112'!E5="Aula 9","C112 ","")&amp;IF('C113'!E5="Aula 9","C113 ","")&amp;IF('C121'!E5="Aula 9","C121 ","")&amp;IF('C122'!E5="Aula 9","C122 ","")&amp;IF('C211'!E5="Aula 9","C211 ","")&amp;IF('C212'!E5="Aula 9","C212 ","")&amp;IF('C311'!E5="Aula 9","C311 ","")&amp;IF('C312'!E5="Aula 9","C312 ","")&amp;IF('C411'!E5="Aula 9","C411 ","")&amp;IF('C412'!E5="Aula 9","C412 ","")&amp;IF('M111'!E5="Aula 9","M111 ","")&amp;IF('M112'!E5="Aula 9","M112 ","")&amp;IF('M211'!E5="Aula 9","M211 ","")&amp;IF('M212'!E5="Aula 9","M212 ","")&amp;IF('M311'!E5="Aula 9","M311 ","")&amp;IF('M411'!E5="Aula 9","M411 ","")&amp;IF('D111'!E5="Aula 9","D111 ","")&amp;IF('D112'!E5="Aula 9","D112 ","")&amp;IF('D211'!E5="Aula 9","D211 ","")&amp;IF('D311'!E5="Aula 9","D311 ","")&amp;IF('D411'!E5="Aula 9","D411 ",""))," ",",")</f>
        <v/>
      </c>
      <c r="K26" s="5">
        <f>SUBSTITUTE(TRIM(IF('C111'!E5="Aula 10","C111 ","")&amp;IF('C112'!E5="Aula 10","C112 ","")&amp;IF('C113'!E5="Aula 10","C113 ","")&amp;IF('C121'!E5="Aula 10","C121 ","")&amp;IF('C122'!E5="Aula 10","C122 ","")&amp;IF('C211'!E5="Aula 10","C211 ","")&amp;IF('C212'!E5="Aula 10","C212 ","")&amp;IF('C311'!E5="Aula 10","C311 ","")&amp;IF('C312'!E5="Aula 10","C312 ","")&amp;IF('C411'!E5="Aula 10","C411 ","")&amp;IF('C412'!E5="Aula 10","C412 ","")&amp;IF('M111'!E5="Aula 10","M111 ","")&amp;IF('M112'!E5="Aula 10","M112 ","")&amp;IF('M211'!E5="Aula 10","M211 ","")&amp;IF('M212'!E5="Aula 10","M212 ","")&amp;IF('M311'!E5="Aula 10","M311 ","")&amp;IF('M411'!E5="Aula 10","M411 ","")&amp;IF('D111'!E5="Aula 10","D111 ","")&amp;IF('D112'!E5="Aula 10","D112 ","")&amp;IF('D211'!E5="Aula 10","D211 ","")&amp;IF('D311'!E5="Aula 10","D311 ","")&amp;IF('D411'!E5="Aula 10","D411 ",""))," ",",")</f>
        <v/>
      </c>
      <c r="L26" s="5">
        <f>SUBSTITUTE(TRIM(IF('C111'!E5="Aula 11","C111 ","")&amp;IF('C112'!E5="Aula 11","C112 ","")&amp;IF('C113'!E5="Aula 11","C113 ","")&amp;IF('C121'!E5="Aula 11","C121 ","")&amp;IF('C122'!E5="Aula 11","C122 ","")&amp;IF('C211'!E5="Aula 11","C211 ","")&amp;IF('C212'!E5="Aula 11","C212 ","")&amp;IF('C311'!E5="Aula 11","C311 ","")&amp;IF('C312'!E5="Aula 11","C312 ","")&amp;IF('C411'!E5="Aula 11","C411 ","")&amp;IF('C412'!E5="Aula 11","C412 ","")&amp;IF('M111'!E5="Aula 11","M111 ","")&amp;IF('M112'!E5="Aula 11","M112 ","")&amp;IF('M211'!E5="Aula 11","M211 ","")&amp;IF('M212'!E5="Aula 11","M212 ","")&amp;IF('M311'!E5="Aula 11","M311 ","")&amp;IF('M411'!E5="Aula 11","M411 ","")&amp;IF('D111'!E5="Aula 11","D111 ","")&amp;IF('D112'!E5="Aula 11","D112 ","")&amp;IF('D211'!E5="Aula 11","D211 ","")&amp;IF('D311'!E5="Aula 11","D311 ","")&amp;IF('D411'!E5="Aula 11","D411 ",""))," ",",")</f>
        <v/>
      </c>
      <c r="M26" s="5">
        <f>SUBSTITUTE(TRIM(IF('C111'!E5="Aula 12","C111 ","")&amp;IF('C112'!E5="Aula 12","C112 ","")&amp;IF('C113'!E5="Aula 12","C113 ","")&amp;IF('C121'!E5="Aula 12","C121 ","")&amp;IF('C122'!E5="Aula 12","C122 ","")&amp;IF('C211'!E5="Aula 12","C211 ","")&amp;IF('C212'!E5="Aula 12","C212 ","")&amp;IF('C311'!E5="Aula 12","C311 ","")&amp;IF('C312'!E5="Aula 12","C312 ","")&amp;IF('C411'!E5="Aula 12","C411 ","")&amp;IF('C412'!E5="Aula 12","C412 ","")&amp;IF('M111'!E5="Aula 12","M111 ","")&amp;IF('M112'!E5="Aula 12","M112 ","")&amp;IF('M211'!E5="Aula 12","M211 ","")&amp;IF('M212'!E5="Aula 12","M212 ","")&amp;IF('M311'!E5="Aula 12","M311 ","")&amp;IF('M411'!E5="Aula 12","M411 ","")&amp;IF('D111'!E5="Aula 12","D111 ","")&amp;IF('D112'!E5="Aula 12","D112 ","")&amp;IF('D211'!E5="Aula 12","D211 ","")&amp;IF('D311'!E5="Aula 12","D311 ","")&amp;IF('D411'!E5="Aula 12","D411 ",""))," ",",")</f>
        <v/>
      </c>
      <c r="N26" s="5">
        <f>SUBSTITUTE(TRIM(IF('C111'!E5="Lab 1","C111 ","")&amp;IF('C112'!E5="Lab 1","C112 ","")&amp;IF('C113'!E5="Lab 1","C113 ","")&amp;IF('C121'!E5="Lab 1","C121 ","")&amp;IF('C122'!E5="Lab 1","C122 ","")&amp;IF('C211'!E5="Lab 1","C211 ","")&amp;IF('C212'!E5="Lab 1","C212 ","")&amp;IF('C311'!E5="Lab 1","C311 ","")&amp;IF('C312'!E5="Lab 1","C312 ","")&amp;IF('C411'!E5="Lab 1","C411 ","")&amp;IF('C412'!E5="Lab 1","C412 ","")&amp;IF('M111'!E5="Lab 1","M111 ","")&amp;IF('M112'!E5="Lab 1","M112 ","")&amp;IF('M211'!E5="Lab 1","M211 ","")&amp;IF('M212'!E5="Lab 1","M212 ","")&amp;IF('M311'!E5="Lab 1","M311 ","")&amp;IF('M411'!E5="Lab 1","M411 ","")&amp;IF('D111'!E5="Lab 1","D111 ","")&amp;IF('D112'!E5="Lab 1","D112 ","")&amp;IF('D211'!E5="Lab 1","D211 ","")&amp;IF('D311'!E5="Lab 1","D311 ","")&amp;IF('D411'!E5="Lab 1","D411 ",""))," ",",")</f>
        <v/>
      </c>
      <c r="O26" s="5">
        <f>SUBSTITUTE(TRIM(IF('C111'!E5="Lab 2","C111 ","")&amp;IF('C112'!E5="Lab 2","C112 ","")&amp;IF('C113'!E5="Lab 2","C113 ","")&amp;IF('C121'!E5="Lab 2","C121 ","")&amp;IF('C122'!E5="Lab 2","C122 ","")&amp;IF('C211'!E5="Lab 2","C211 ","")&amp;IF('C212'!E5="Lab 2","C212 ","")&amp;IF('C311'!E5="Lab 2","C311 ","")&amp;IF('C312'!E5="Lab 2","C312 ","")&amp;IF('C411'!E5="Lab 2","C411 ","")&amp;IF('C412'!E5="Lab 2","C412 ","")&amp;IF('M111'!E5="Lab 2","M111 ","")&amp;IF('M112'!E5="Lab 2","M112 ","")&amp;IF('M211'!E5="Lab 2","M211 ","")&amp;IF('M212'!E5="Lab 2","M212 ","")&amp;IF('M311'!E5="Lab 2","M311 ","")&amp;IF('M411'!E5="Lab 2","M411 ","")&amp;IF('D111'!E5="Lab 2","D111 ","")&amp;IF('D112'!E5="Lab 2","D112 ","")&amp;IF('D211'!E5="Lab 2","D211 ","")&amp;IF('D311'!E5="Lab 2","D311 ","")&amp;IF('D411'!E5="Lab 2","D411 ",""))," ",",")</f>
        <v/>
      </c>
      <c r="P26" s="6">
        <f>SUBSTITUTE(TRIM(IF('C111'!E5="Salón","C111 ","")&amp;IF('C112'!E5="Salón","C112 ","")&amp;IF('C113'!E5="Salón","C113 ","")&amp;IF('C121'!E5="Salón","C121 ","")&amp;IF('C122'!E5="Salón","C122 ","")&amp;IF('C211'!E5="Salón","C211 ","")&amp;IF('C212'!E5="Salón","C212 ","")&amp;IF('C311'!E5="Salón","C311 ","")&amp;IF('C312'!E5="Salón","C312 ","")&amp;IF('C411'!E5="Salón","C411 ","")&amp;IF('C412'!E5="Salón","C412 ","")&amp;IF('M111'!E5="Salón","M111 ","")&amp;IF('M112'!E5="Salón","M112 ","")&amp;IF('M211'!E5="Salón","M211 ","")&amp;IF('M212'!E5="Salón","M212 ","")&amp;IF('M311'!E5="Salón","M311 ","")&amp;IF('M411'!E5="Salón","M411 ","")&amp;IF('D111'!E5="Salón","D111 ","")&amp;IF('D112'!E5="Salón","D112 ","")&amp;IF('D211'!E5="Salón","D211 ","")&amp;IF('D311'!E5="Salón","D311 ","")&amp;IF('D411'!E5="Salón","D411 ",""))," ",",")</f>
        <v/>
      </c>
    </row>
    <row r="27">
      <c r="A27" s="4" t="inlineStr">
        <is>
          <t>Turno 2</t>
        </is>
      </c>
      <c r="B27" s="5">
        <f>SUBSTITUTE(TRIM(IF('C111'!E7="Aula 1","C111 ","")&amp;IF('C112'!E7="Aula 1","C112 ","")&amp;IF('C113'!E7="Aula 1","C113 ","")&amp;IF('C121'!E7="Aula 1","C121 ","")&amp;IF('C122'!E7="Aula 1","C122 ","")&amp;IF('C211'!E7="Aula 1","C211 ","")&amp;IF('C212'!E7="Aula 1","C212 ","")&amp;IF('C311'!E7="Aula 1","C311 ","")&amp;IF('C312'!E7="Aula 1","C312 ","")&amp;IF('C411'!E7="Aula 1","C411 ","")&amp;IF('C412'!E7="Aula 1","C412 ","")&amp;IF('M111'!E7="Aula 1","M111 ","")&amp;IF('M112'!E7="Aula 1","M112 ","")&amp;IF('M211'!E7="Aula 1","M211 ","")&amp;IF('M212'!E7="Aula 1","M212 ","")&amp;IF('M311'!E7="Aula 1","M311 ","")&amp;IF('M411'!E7="Aula 1","M411 ","")&amp;IF('D111'!E7="Aula 1","D111 ","")&amp;IF('D112'!E7="Aula 1","D112 ","")&amp;IF('D211'!E7="Aula 1","D211 ","")&amp;IF('D311'!E7="Aula 1","D311 ","")&amp;IF('D411'!E7="Aula 1","D411 ",""))," ",",")</f>
        <v/>
      </c>
      <c r="C27" s="5">
        <f>SUBSTITUTE(TRIM(IF('C111'!E7="Aula 2","C111 ","")&amp;IF('C112'!E7="Aula 2","C112 ","")&amp;IF('C113'!E7="Aula 2","C113 ","")&amp;IF('C121'!E7="Aula 2","C121 ","")&amp;IF('C122'!E7="Aula 2","C122 ","")&amp;IF('C211'!E7="Aula 2","C211 ","")&amp;IF('C212'!E7="Aula 2","C212 ","")&amp;IF('C311'!E7="Aula 2","C311 ","")&amp;IF('C312'!E7="Aula 2","C312 ","")&amp;IF('C411'!E7="Aula 2","C411 ","")&amp;IF('C412'!E7="Aula 2","C412 ","")&amp;IF('M111'!E7="Aula 2","M111 ","")&amp;IF('M112'!E7="Aula 2","M112 ","")&amp;IF('M211'!E7="Aula 2","M211 ","")&amp;IF('M212'!E7="Aula 2","M212 ","")&amp;IF('M311'!E7="Aula 2","M311 ","")&amp;IF('M411'!E7="Aula 2","M411 ","")&amp;IF('D111'!E7="Aula 2","D111 ","")&amp;IF('D112'!E7="Aula 2","D112 ","")&amp;IF('D211'!E7="Aula 2","D211 ","")&amp;IF('D311'!E7="Aula 2","D311 ","")&amp;IF('D411'!E7="Aula 2","D411 ",""))," ",",")</f>
        <v/>
      </c>
      <c r="D27" s="5">
        <f>SUBSTITUTE(TRIM(IF('C111'!E7="Aula 3","C111 ","")&amp;IF('C112'!E7="Aula 3","C112 ","")&amp;IF('C113'!E7="Aula 3","C113 ","")&amp;IF('C121'!E7="Aula 3","C121 ","")&amp;IF('C122'!E7="Aula 3","C122 ","")&amp;IF('C211'!E7="Aula 3","C211 ","")&amp;IF('C212'!E7="Aula 3","C212 ","")&amp;IF('C311'!E7="Aula 3","C311 ","")&amp;IF('C312'!E7="Aula 3","C312 ","")&amp;IF('C411'!E7="Aula 3","C411 ","")&amp;IF('C412'!E7="Aula 3","C412 ","")&amp;IF('M111'!E7="Aula 3","M111 ","")&amp;IF('M112'!E7="Aula 3","M112 ","")&amp;IF('M211'!E7="Aula 3","M211 ","")&amp;IF('M212'!E7="Aula 3","M212 ","")&amp;IF('M311'!E7="Aula 3","M311 ","")&amp;IF('M411'!E7="Aula 3","M411 ","")&amp;IF('D111'!E7="Aula 3","D111 ","")&amp;IF('D112'!E7="Aula 3","D112 ","")&amp;IF('D211'!E7="Aula 3","D211 ","")&amp;IF('D311'!E7="Aula 3","D311 ","")&amp;IF('D411'!E7="Aula 3","D411 ",""))," ",",")</f>
        <v/>
      </c>
      <c r="E27" s="5">
        <f>SUBSTITUTE(TRIM(IF('C111'!E7="Aula 4","C111 ","")&amp;IF('C112'!E7="Aula 4","C112 ","")&amp;IF('C113'!E7="Aula 4","C113 ","")&amp;IF('C121'!E7="Aula 4","C121 ","")&amp;IF('C122'!E7="Aula 4","C122 ","")&amp;IF('C211'!E7="Aula 4","C211 ","")&amp;IF('C212'!E7="Aula 4","C212 ","")&amp;IF('C311'!E7="Aula 4","C311 ","")&amp;IF('C312'!E7="Aula 4","C312 ","")&amp;IF('C411'!E7="Aula 4","C411 ","")&amp;IF('C412'!E7="Aula 4","C412 ","")&amp;IF('M111'!E7="Aula 4","M111 ","")&amp;IF('M112'!E7="Aula 4","M112 ","")&amp;IF('M211'!E7="Aula 4","M211 ","")&amp;IF('M212'!E7="Aula 4","M212 ","")&amp;IF('M311'!E7="Aula 4","M311 ","")&amp;IF('M411'!E7="Aula 4","M411 ","")&amp;IF('D111'!E7="Aula 4","D111 ","")&amp;IF('D112'!E7="Aula 4","D112 ","")&amp;IF('D211'!E7="Aula 4","D211 ","")&amp;IF('D311'!E7="Aula 4","D311 ","")&amp;IF('D411'!E7="Aula 4","D411 ",""))," ",",")</f>
        <v/>
      </c>
      <c r="F27" s="5">
        <f>SUBSTITUTE(TRIM(IF('C111'!E7="Aula 5","C111 ","")&amp;IF('C112'!E7="Aula 5","C112 ","")&amp;IF('C113'!E7="Aula 5","C113 ","")&amp;IF('C121'!E7="Aula 5","C121 ","")&amp;IF('C122'!E7="Aula 5","C122 ","")&amp;IF('C211'!E7="Aula 5","C211 ","")&amp;IF('C212'!E7="Aula 5","C212 ","")&amp;IF('C311'!E7="Aula 5","C311 ","")&amp;IF('C312'!E7="Aula 5","C312 ","")&amp;IF('C411'!E7="Aula 5","C411 ","")&amp;IF('C412'!E7="Aula 5","C412 ","")&amp;IF('M111'!E7="Aula 5","M111 ","")&amp;IF('M112'!E7="Aula 5","M112 ","")&amp;IF('M211'!E7="Aula 5","M211 ","")&amp;IF('M212'!E7="Aula 5","M212 ","")&amp;IF('M311'!E7="Aula 5","M311 ","")&amp;IF('M411'!E7="Aula 5","M411 ","")&amp;IF('D111'!E7="Aula 5","D111 ","")&amp;IF('D112'!E7="Aula 5","D112 ","")&amp;IF('D211'!E7="Aula 5","D211 ","")&amp;IF('D311'!E7="Aula 5","D311 ","")&amp;IF('D411'!E7="Aula 5","D411 ",""))," ",",")</f>
        <v/>
      </c>
      <c r="G27" s="5">
        <f>SUBSTITUTE(TRIM(IF('C111'!E7="Aula 6","C111 ","")&amp;IF('C112'!E7="Aula 6","C112 ","")&amp;IF('C113'!E7="Aula 6","C113 ","")&amp;IF('C121'!E7="Aula 6","C121 ","")&amp;IF('C122'!E7="Aula 6","C122 ","")&amp;IF('C211'!E7="Aula 6","C211 ","")&amp;IF('C212'!E7="Aula 6","C212 ","")&amp;IF('C311'!E7="Aula 6","C311 ","")&amp;IF('C312'!E7="Aula 6","C312 ","")&amp;IF('C411'!E7="Aula 6","C411 ","")&amp;IF('C412'!E7="Aula 6","C412 ","")&amp;IF('M111'!E7="Aula 6","M111 ","")&amp;IF('M112'!E7="Aula 6","M112 ","")&amp;IF('M211'!E7="Aula 6","M211 ","")&amp;IF('M212'!E7="Aula 6","M212 ","")&amp;IF('M311'!E7="Aula 6","M311 ","")&amp;IF('M411'!E7="Aula 6","M411 ","")&amp;IF('D111'!E7="Aula 6","D111 ","")&amp;IF('D112'!E7="Aula 6","D112 ","")&amp;IF('D211'!E7="Aula 6","D211 ","")&amp;IF('D311'!E7="Aula 6","D311 ","")&amp;IF('D411'!E7="Aula 6","D411 ",""))," ",",")</f>
        <v/>
      </c>
      <c r="H27" s="5">
        <f>SUBSTITUTE(TRIM(IF('C111'!E7="Aula 7","C111 ","")&amp;IF('C112'!E7="Aula 7","C112 ","")&amp;IF('C113'!E7="Aula 7","C113 ","")&amp;IF('C121'!E7="Aula 7","C121 ","")&amp;IF('C122'!E7="Aula 7","C122 ","")&amp;IF('C211'!E7="Aula 7","C211 ","")&amp;IF('C212'!E7="Aula 7","C212 ","")&amp;IF('C311'!E7="Aula 7","C311 ","")&amp;IF('C312'!E7="Aula 7","C312 ","")&amp;IF('C411'!E7="Aula 7","C411 ","")&amp;IF('C412'!E7="Aula 7","C412 ","")&amp;IF('M111'!E7="Aula 7","M111 ","")&amp;IF('M112'!E7="Aula 7","M112 ","")&amp;IF('M211'!E7="Aula 7","M211 ","")&amp;IF('M212'!E7="Aula 7","M212 ","")&amp;IF('M311'!E7="Aula 7","M311 ","")&amp;IF('M411'!E7="Aula 7","M411 ","")&amp;IF('D111'!E7="Aula 7","D111 ","")&amp;IF('D112'!E7="Aula 7","D112 ","")&amp;IF('D211'!E7="Aula 7","D211 ","")&amp;IF('D311'!E7="Aula 7","D311 ","")&amp;IF('D411'!E7="Aula 7","D411 ",""))," ",",")</f>
        <v/>
      </c>
      <c r="I27" s="5">
        <f>SUBSTITUTE(TRIM(IF('C111'!E7="Aula 8","C111 ","")&amp;IF('C112'!E7="Aula 8","C112 ","")&amp;IF('C113'!E7="Aula 8","C113 ","")&amp;IF('C121'!E7="Aula 8","C121 ","")&amp;IF('C122'!E7="Aula 8","C122 ","")&amp;IF('C211'!E7="Aula 8","C211 ","")&amp;IF('C212'!E7="Aula 8","C212 ","")&amp;IF('C311'!E7="Aula 8","C311 ","")&amp;IF('C312'!E7="Aula 8","C312 ","")&amp;IF('C411'!E7="Aula 8","C411 ","")&amp;IF('C412'!E7="Aula 8","C412 ","")&amp;IF('M111'!E7="Aula 8","M111 ","")&amp;IF('M112'!E7="Aula 8","M112 ","")&amp;IF('M211'!E7="Aula 8","M211 ","")&amp;IF('M212'!E7="Aula 8","M212 ","")&amp;IF('M311'!E7="Aula 8","M311 ","")&amp;IF('M411'!E7="Aula 8","M411 ","")&amp;IF('D111'!E7="Aula 8","D111 ","")&amp;IF('D112'!E7="Aula 8","D112 ","")&amp;IF('D211'!E7="Aula 8","D211 ","")&amp;IF('D311'!E7="Aula 8","D311 ","")&amp;IF('D411'!E7="Aula 8","D411 ",""))," ",",")</f>
        <v/>
      </c>
      <c r="J27" s="5">
        <f>SUBSTITUTE(TRIM(IF('C111'!E7="Aula 9","C111 ","")&amp;IF('C112'!E7="Aula 9","C112 ","")&amp;IF('C113'!E7="Aula 9","C113 ","")&amp;IF('C121'!E7="Aula 9","C121 ","")&amp;IF('C122'!E7="Aula 9","C122 ","")&amp;IF('C211'!E7="Aula 9","C211 ","")&amp;IF('C212'!E7="Aula 9","C212 ","")&amp;IF('C311'!E7="Aula 9","C311 ","")&amp;IF('C312'!E7="Aula 9","C312 ","")&amp;IF('C411'!E7="Aula 9","C411 ","")&amp;IF('C412'!E7="Aula 9","C412 ","")&amp;IF('M111'!E7="Aula 9","M111 ","")&amp;IF('M112'!E7="Aula 9","M112 ","")&amp;IF('M211'!E7="Aula 9","M211 ","")&amp;IF('M212'!E7="Aula 9","M212 ","")&amp;IF('M311'!E7="Aula 9","M311 ","")&amp;IF('M411'!E7="Aula 9","M411 ","")&amp;IF('D111'!E7="Aula 9","D111 ","")&amp;IF('D112'!E7="Aula 9","D112 ","")&amp;IF('D211'!E7="Aula 9","D211 ","")&amp;IF('D311'!E7="Aula 9","D311 ","")&amp;IF('D411'!E7="Aula 9","D411 ",""))," ",",")</f>
        <v/>
      </c>
      <c r="K27" s="5">
        <f>SUBSTITUTE(TRIM(IF('C111'!E7="Aula 10","C111 ","")&amp;IF('C112'!E7="Aula 10","C112 ","")&amp;IF('C113'!E7="Aula 10","C113 ","")&amp;IF('C121'!E7="Aula 10","C121 ","")&amp;IF('C122'!E7="Aula 10","C122 ","")&amp;IF('C211'!E7="Aula 10","C211 ","")&amp;IF('C212'!E7="Aula 10","C212 ","")&amp;IF('C311'!E7="Aula 10","C311 ","")&amp;IF('C312'!E7="Aula 10","C312 ","")&amp;IF('C411'!E7="Aula 10","C411 ","")&amp;IF('C412'!E7="Aula 10","C412 ","")&amp;IF('M111'!E7="Aula 10","M111 ","")&amp;IF('M112'!E7="Aula 10","M112 ","")&amp;IF('M211'!E7="Aula 10","M211 ","")&amp;IF('M212'!E7="Aula 10","M212 ","")&amp;IF('M311'!E7="Aula 10","M311 ","")&amp;IF('M411'!E7="Aula 10","M411 ","")&amp;IF('D111'!E7="Aula 10","D111 ","")&amp;IF('D112'!E7="Aula 10","D112 ","")&amp;IF('D211'!E7="Aula 10","D211 ","")&amp;IF('D311'!E7="Aula 10","D311 ","")&amp;IF('D411'!E7="Aula 10","D411 ",""))," ",",")</f>
        <v/>
      </c>
      <c r="L27" s="5">
        <f>SUBSTITUTE(TRIM(IF('C111'!E7="Aula 11","C111 ","")&amp;IF('C112'!E7="Aula 11","C112 ","")&amp;IF('C113'!E7="Aula 11","C113 ","")&amp;IF('C121'!E7="Aula 11","C121 ","")&amp;IF('C122'!E7="Aula 11","C122 ","")&amp;IF('C211'!E7="Aula 11","C211 ","")&amp;IF('C212'!E7="Aula 11","C212 ","")&amp;IF('C311'!E7="Aula 11","C311 ","")&amp;IF('C312'!E7="Aula 11","C312 ","")&amp;IF('C411'!E7="Aula 11","C411 ","")&amp;IF('C412'!E7="Aula 11","C412 ","")&amp;IF('M111'!E7="Aula 11","M111 ","")&amp;IF('M112'!E7="Aula 11","M112 ","")&amp;IF('M211'!E7="Aula 11","M211 ","")&amp;IF('M212'!E7="Aula 11","M212 ","")&amp;IF('M311'!E7="Aula 11","M311 ","")&amp;IF('M411'!E7="Aula 11","M411 ","")&amp;IF('D111'!E7="Aula 11","D111 ","")&amp;IF('D112'!E7="Aula 11","D112 ","")&amp;IF('D211'!E7="Aula 11","D211 ","")&amp;IF('D311'!E7="Aula 11","D311 ","")&amp;IF('D411'!E7="Aula 11","D411 ",""))," ",",")</f>
        <v/>
      </c>
      <c r="M27" s="5">
        <f>SUBSTITUTE(TRIM(IF('C111'!E7="Aula 12","C111 ","")&amp;IF('C112'!E7="Aula 12","C112 ","")&amp;IF('C113'!E7="Aula 12","C113 ","")&amp;IF('C121'!E7="Aula 12","C121 ","")&amp;IF('C122'!E7="Aula 12","C122 ","")&amp;IF('C211'!E7="Aula 12","C211 ","")&amp;IF('C212'!E7="Aula 12","C212 ","")&amp;IF('C311'!E7="Aula 12","C311 ","")&amp;IF('C312'!E7="Aula 12","C312 ","")&amp;IF('C411'!E7="Aula 12","C411 ","")&amp;IF('C412'!E7="Aula 12","C412 ","")&amp;IF('M111'!E7="Aula 12","M111 ","")&amp;IF('M112'!E7="Aula 12","M112 ","")&amp;IF('M211'!E7="Aula 12","M211 ","")&amp;IF('M212'!E7="Aula 12","M212 ","")&amp;IF('M311'!E7="Aula 12","M311 ","")&amp;IF('M411'!E7="Aula 12","M411 ","")&amp;IF('D111'!E7="Aula 12","D111 ","")&amp;IF('D112'!E7="Aula 12","D112 ","")&amp;IF('D211'!E7="Aula 12","D211 ","")&amp;IF('D311'!E7="Aula 12","D311 ","")&amp;IF('D411'!E7="Aula 12","D411 ",""))," ",",")</f>
        <v/>
      </c>
      <c r="N27" s="5">
        <f>SUBSTITUTE(TRIM(IF('C111'!E7="Lab 1","C111 ","")&amp;IF('C112'!E7="Lab 1","C112 ","")&amp;IF('C113'!E7="Lab 1","C113 ","")&amp;IF('C121'!E7="Lab 1","C121 ","")&amp;IF('C122'!E7="Lab 1","C122 ","")&amp;IF('C211'!E7="Lab 1","C211 ","")&amp;IF('C212'!E7="Lab 1","C212 ","")&amp;IF('C311'!E7="Lab 1","C311 ","")&amp;IF('C312'!E7="Lab 1","C312 ","")&amp;IF('C411'!E7="Lab 1","C411 ","")&amp;IF('C412'!E7="Lab 1","C412 ","")&amp;IF('M111'!E7="Lab 1","M111 ","")&amp;IF('M112'!E7="Lab 1","M112 ","")&amp;IF('M211'!E7="Lab 1","M211 ","")&amp;IF('M212'!E7="Lab 1","M212 ","")&amp;IF('M311'!E7="Lab 1","M311 ","")&amp;IF('M411'!E7="Lab 1","M411 ","")&amp;IF('D111'!E7="Lab 1","D111 ","")&amp;IF('D112'!E7="Lab 1","D112 ","")&amp;IF('D211'!E7="Lab 1","D211 ","")&amp;IF('D311'!E7="Lab 1","D311 ","")&amp;IF('D411'!E7="Lab 1","D411 ",""))," ",",")</f>
        <v/>
      </c>
      <c r="O27" s="5">
        <f>SUBSTITUTE(TRIM(IF('C111'!E7="Lab 2","C111 ","")&amp;IF('C112'!E7="Lab 2","C112 ","")&amp;IF('C113'!E7="Lab 2","C113 ","")&amp;IF('C121'!E7="Lab 2","C121 ","")&amp;IF('C122'!E7="Lab 2","C122 ","")&amp;IF('C211'!E7="Lab 2","C211 ","")&amp;IF('C212'!E7="Lab 2","C212 ","")&amp;IF('C311'!E7="Lab 2","C311 ","")&amp;IF('C312'!E7="Lab 2","C312 ","")&amp;IF('C411'!E7="Lab 2","C411 ","")&amp;IF('C412'!E7="Lab 2","C412 ","")&amp;IF('M111'!E7="Lab 2","M111 ","")&amp;IF('M112'!E7="Lab 2","M112 ","")&amp;IF('M211'!E7="Lab 2","M211 ","")&amp;IF('M212'!E7="Lab 2","M212 ","")&amp;IF('M311'!E7="Lab 2","M311 ","")&amp;IF('M411'!E7="Lab 2","M411 ","")&amp;IF('D111'!E7="Lab 2","D111 ","")&amp;IF('D112'!E7="Lab 2","D112 ","")&amp;IF('D211'!E7="Lab 2","D211 ","")&amp;IF('D311'!E7="Lab 2","D311 ","")&amp;IF('D411'!E7="Lab 2","D411 ",""))," ",",")</f>
        <v/>
      </c>
      <c r="P27" s="6">
        <f>SUBSTITUTE(TRIM(IF('C111'!E7="Salón","C111 ","")&amp;IF('C112'!E7="Salón","C112 ","")&amp;IF('C113'!E7="Salón","C113 ","")&amp;IF('C121'!E7="Salón","C121 ","")&amp;IF('C122'!E7="Salón","C122 ","")&amp;IF('C211'!E7="Salón","C211 ","")&amp;IF('C212'!E7="Salón","C212 ","")&amp;IF('C311'!E7="Salón","C311 ","")&amp;IF('C312'!E7="Salón","C312 ","")&amp;IF('C411'!E7="Salón","C411 ","")&amp;IF('C412'!E7="Salón","C412 ","")&amp;IF('M111'!E7="Salón","M111 ","")&amp;IF('M112'!E7="Salón","M112 ","")&amp;IF('M211'!E7="Salón","M211 ","")&amp;IF('M212'!E7="Salón","M212 ","")&amp;IF('M311'!E7="Salón","M311 ","")&amp;IF('M411'!E7="Salón","M411 ","")&amp;IF('D111'!E7="Salón","D111 ","")&amp;IF('D112'!E7="Salón","D112 ","")&amp;IF('D211'!E7="Salón","D211 ","")&amp;IF('D311'!E7="Salón","D311 ","")&amp;IF('D411'!E7="Salón","D411 ",""))," ",",")</f>
        <v/>
      </c>
    </row>
    <row r="28">
      <c r="A28" s="4" t="inlineStr">
        <is>
          <t>Turno 3</t>
        </is>
      </c>
      <c r="B28" s="5">
        <f>SUBSTITUTE(TRIM(IF('C111'!E9="Aula 1","C111 ","")&amp;IF('C112'!E9="Aula 1","C112 ","")&amp;IF('C113'!E9="Aula 1","C113 ","")&amp;IF('C121'!E9="Aula 1","C121 ","")&amp;IF('C122'!E9="Aula 1","C122 ","")&amp;IF('C211'!E9="Aula 1","C211 ","")&amp;IF('C212'!E9="Aula 1","C212 ","")&amp;IF('C311'!E9="Aula 1","C311 ","")&amp;IF('C312'!E9="Aula 1","C312 ","")&amp;IF('C411'!E9="Aula 1","C411 ","")&amp;IF('C412'!E9="Aula 1","C412 ","")&amp;IF('M111'!E9="Aula 1","M111 ","")&amp;IF('M112'!E9="Aula 1","M112 ","")&amp;IF('M211'!E9="Aula 1","M211 ","")&amp;IF('M212'!E9="Aula 1","M212 ","")&amp;IF('M311'!E9="Aula 1","M311 ","")&amp;IF('M411'!E9="Aula 1","M411 ","")&amp;IF('D111'!E9="Aula 1","D111 ","")&amp;IF('D112'!E9="Aula 1","D112 ","")&amp;IF('D211'!E9="Aula 1","D211 ","")&amp;IF('D311'!E9="Aula 1","D311 ","")&amp;IF('D411'!E9="Aula 1","D411 ",""))," ",",")</f>
        <v/>
      </c>
      <c r="C28" s="5">
        <f>SUBSTITUTE(TRIM(IF('C111'!E9="Aula 2","C111 ","")&amp;IF('C112'!E9="Aula 2","C112 ","")&amp;IF('C113'!E9="Aula 2","C113 ","")&amp;IF('C121'!E9="Aula 2","C121 ","")&amp;IF('C122'!E9="Aula 2","C122 ","")&amp;IF('C211'!E9="Aula 2","C211 ","")&amp;IF('C212'!E9="Aula 2","C212 ","")&amp;IF('C311'!E9="Aula 2","C311 ","")&amp;IF('C312'!E9="Aula 2","C312 ","")&amp;IF('C411'!E9="Aula 2","C411 ","")&amp;IF('C412'!E9="Aula 2","C412 ","")&amp;IF('M111'!E9="Aula 2","M111 ","")&amp;IF('M112'!E9="Aula 2","M112 ","")&amp;IF('M211'!E9="Aula 2","M211 ","")&amp;IF('M212'!E9="Aula 2","M212 ","")&amp;IF('M311'!E9="Aula 2","M311 ","")&amp;IF('M411'!E9="Aula 2","M411 ","")&amp;IF('D111'!E9="Aula 2","D111 ","")&amp;IF('D112'!E9="Aula 2","D112 ","")&amp;IF('D211'!E9="Aula 2","D211 ","")&amp;IF('D311'!E9="Aula 2","D311 ","")&amp;IF('D411'!E9="Aula 2","D411 ",""))," ",",")</f>
        <v/>
      </c>
      <c r="D28" s="5">
        <f>SUBSTITUTE(TRIM(IF('C111'!E9="Aula 3","C111 ","")&amp;IF('C112'!E9="Aula 3","C112 ","")&amp;IF('C113'!E9="Aula 3","C113 ","")&amp;IF('C121'!E9="Aula 3","C121 ","")&amp;IF('C122'!E9="Aula 3","C122 ","")&amp;IF('C211'!E9="Aula 3","C211 ","")&amp;IF('C212'!E9="Aula 3","C212 ","")&amp;IF('C311'!E9="Aula 3","C311 ","")&amp;IF('C312'!E9="Aula 3","C312 ","")&amp;IF('C411'!E9="Aula 3","C411 ","")&amp;IF('C412'!E9="Aula 3","C412 ","")&amp;IF('M111'!E9="Aula 3","M111 ","")&amp;IF('M112'!E9="Aula 3","M112 ","")&amp;IF('M211'!E9="Aula 3","M211 ","")&amp;IF('M212'!E9="Aula 3","M212 ","")&amp;IF('M311'!E9="Aula 3","M311 ","")&amp;IF('M411'!E9="Aula 3","M411 ","")&amp;IF('D111'!E9="Aula 3","D111 ","")&amp;IF('D112'!E9="Aula 3","D112 ","")&amp;IF('D211'!E9="Aula 3","D211 ","")&amp;IF('D311'!E9="Aula 3","D311 ","")&amp;IF('D411'!E9="Aula 3","D411 ",""))," ",",")</f>
        <v/>
      </c>
      <c r="E28" s="5">
        <f>SUBSTITUTE(TRIM(IF('C111'!E9="Aula 4","C111 ","")&amp;IF('C112'!E9="Aula 4","C112 ","")&amp;IF('C113'!E9="Aula 4","C113 ","")&amp;IF('C121'!E9="Aula 4","C121 ","")&amp;IF('C122'!E9="Aula 4","C122 ","")&amp;IF('C211'!E9="Aula 4","C211 ","")&amp;IF('C212'!E9="Aula 4","C212 ","")&amp;IF('C311'!E9="Aula 4","C311 ","")&amp;IF('C312'!E9="Aula 4","C312 ","")&amp;IF('C411'!E9="Aula 4","C411 ","")&amp;IF('C412'!E9="Aula 4","C412 ","")&amp;IF('M111'!E9="Aula 4","M111 ","")&amp;IF('M112'!E9="Aula 4","M112 ","")&amp;IF('M211'!E9="Aula 4","M211 ","")&amp;IF('M212'!E9="Aula 4","M212 ","")&amp;IF('M311'!E9="Aula 4","M311 ","")&amp;IF('M411'!E9="Aula 4","M411 ","")&amp;IF('D111'!E9="Aula 4","D111 ","")&amp;IF('D112'!E9="Aula 4","D112 ","")&amp;IF('D211'!E9="Aula 4","D211 ","")&amp;IF('D311'!E9="Aula 4","D311 ","")&amp;IF('D411'!E9="Aula 4","D411 ",""))," ",",")</f>
        <v/>
      </c>
      <c r="F28" s="5">
        <f>SUBSTITUTE(TRIM(IF('C111'!E9="Aula 5","C111 ","")&amp;IF('C112'!E9="Aula 5","C112 ","")&amp;IF('C113'!E9="Aula 5","C113 ","")&amp;IF('C121'!E9="Aula 5","C121 ","")&amp;IF('C122'!E9="Aula 5","C122 ","")&amp;IF('C211'!E9="Aula 5","C211 ","")&amp;IF('C212'!E9="Aula 5","C212 ","")&amp;IF('C311'!E9="Aula 5","C311 ","")&amp;IF('C312'!E9="Aula 5","C312 ","")&amp;IF('C411'!E9="Aula 5","C411 ","")&amp;IF('C412'!E9="Aula 5","C412 ","")&amp;IF('M111'!E9="Aula 5","M111 ","")&amp;IF('M112'!E9="Aula 5","M112 ","")&amp;IF('M211'!E9="Aula 5","M211 ","")&amp;IF('M212'!E9="Aula 5","M212 ","")&amp;IF('M311'!E9="Aula 5","M311 ","")&amp;IF('M411'!E9="Aula 5","M411 ","")&amp;IF('D111'!E9="Aula 5","D111 ","")&amp;IF('D112'!E9="Aula 5","D112 ","")&amp;IF('D211'!E9="Aula 5","D211 ","")&amp;IF('D311'!E9="Aula 5","D311 ","")&amp;IF('D411'!E9="Aula 5","D411 ",""))," ",",")</f>
        <v/>
      </c>
      <c r="G28" s="5">
        <f>SUBSTITUTE(TRIM(IF('C111'!E9="Aula 6","C111 ","")&amp;IF('C112'!E9="Aula 6","C112 ","")&amp;IF('C113'!E9="Aula 6","C113 ","")&amp;IF('C121'!E9="Aula 6","C121 ","")&amp;IF('C122'!E9="Aula 6","C122 ","")&amp;IF('C211'!E9="Aula 6","C211 ","")&amp;IF('C212'!E9="Aula 6","C212 ","")&amp;IF('C311'!E9="Aula 6","C311 ","")&amp;IF('C312'!E9="Aula 6","C312 ","")&amp;IF('C411'!E9="Aula 6","C411 ","")&amp;IF('C412'!E9="Aula 6","C412 ","")&amp;IF('M111'!E9="Aula 6","M111 ","")&amp;IF('M112'!E9="Aula 6","M112 ","")&amp;IF('M211'!E9="Aula 6","M211 ","")&amp;IF('M212'!E9="Aula 6","M212 ","")&amp;IF('M311'!E9="Aula 6","M311 ","")&amp;IF('M411'!E9="Aula 6","M411 ","")&amp;IF('D111'!E9="Aula 6","D111 ","")&amp;IF('D112'!E9="Aula 6","D112 ","")&amp;IF('D211'!E9="Aula 6","D211 ","")&amp;IF('D311'!E9="Aula 6","D311 ","")&amp;IF('D411'!E9="Aula 6","D411 ",""))," ",",")</f>
        <v/>
      </c>
      <c r="H28" s="5">
        <f>SUBSTITUTE(TRIM(IF('C111'!E9="Aula 7","C111 ","")&amp;IF('C112'!E9="Aula 7","C112 ","")&amp;IF('C113'!E9="Aula 7","C113 ","")&amp;IF('C121'!E9="Aula 7","C121 ","")&amp;IF('C122'!E9="Aula 7","C122 ","")&amp;IF('C211'!E9="Aula 7","C211 ","")&amp;IF('C212'!E9="Aula 7","C212 ","")&amp;IF('C311'!E9="Aula 7","C311 ","")&amp;IF('C312'!E9="Aula 7","C312 ","")&amp;IF('C411'!E9="Aula 7","C411 ","")&amp;IF('C412'!E9="Aula 7","C412 ","")&amp;IF('M111'!E9="Aula 7","M111 ","")&amp;IF('M112'!E9="Aula 7","M112 ","")&amp;IF('M211'!E9="Aula 7","M211 ","")&amp;IF('M212'!E9="Aula 7","M212 ","")&amp;IF('M311'!E9="Aula 7","M311 ","")&amp;IF('M411'!E9="Aula 7","M411 ","")&amp;IF('D111'!E9="Aula 7","D111 ","")&amp;IF('D112'!E9="Aula 7","D112 ","")&amp;IF('D211'!E9="Aula 7","D211 ","")&amp;IF('D311'!E9="Aula 7","D311 ","")&amp;IF('D411'!E9="Aula 7","D411 ",""))," ",",")</f>
        <v/>
      </c>
      <c r="I28" s="5">
        <f>SUBSTITUTE(TRIM(IF('C111'!E9="Aula 8","C111 ","")&amp;IF('C112'!E9="Aula 8","C112 ","")&amp;IF('C113'!E9="Aula 8","C113 ","")&amp;IF('C121'!E9="Aula 8","C121 ","")&amp;IF('C122'!E9="Aula 8","C122 ","")&amp;IF('C211'!E9="Aula 8","C211 ","")&amp;IF('C212'!E9="Aula 8","C212 ","")&amp;IF('C311'!E9="Aula 8","C311 ","")&amp;IF('C312'!E9="Aula 8","C312 ","")&amp;IF('C411'!E9="Aula 8","C411 ","")&amp;IF('C412'!E9="Aula 8","C412 ","")&amp;IF('M111'!E9="Aula 8","M111 ","")&amp;IF('M112'!E9="Aula 8","M112 ","")&amp;IF('M211'!E9="Aula 8","M211 ","")&amp;IF('M212'!E9="Aula 8","M212 ","")&amp;IF('M311'!E9="Aula 8","M311 ","")&amp;IF('M411'!E9="Aula 8","M411 ","")&amp;IF('D111'!E9="Aula 8","D111 ","")&amp;IF('D112'!E9="Aula 8","D112 ","")&amp;IF('D211'!E9="Aula 8","D211 ","")&amp;IF('D311'!E9="Aula 8","D311 ","")&amp;IF('D411'!E9="Aula 8","D411 ",""))," ",",")</f>
        <v/>
      </c>
      <c r="J28" s="5">
        <f>SUBSTITUTE(TRIM(IF('C111'!E9="Aula 9","C111 ","")&amp;IF('C112'!E9="Aula 9","C112 ","")&amp;IF('C113'!E9="Aula 9","C113 ","")&amp;IF('C121'!E9="Aula 9","C121 ","")&amp;IF('C122'!E9="Aula 9","C122 ","")&amp;IF('C211'!E9="Aula 9","C211 ","")&amp;IF('C212'!E9="Aula 9","C212 ","")&amp;IF('C311'!E9="Aula 9","C311 ","")&amp;IF('C312'!E9="Aula 9","C312 ","")&amp;IF('C411'!E9="Aula 9","C411 ","")&amp;IF('C412'!E9="Aula 9","C412 ","")&amp;IF('M111'!E9="Aula 9","M111 ","")&amp;IF('M112'!E9="Aula 9","M112 ","")&amp;IF('M211'!E9="Aula 9","M211 ","")&amp;IF('M212'!E9="Aula 9","M212 ","")&amp;IF('M311'!E9="Aula 9","M311 ","")&amp;IF('M411'!E9="Aula 9","M411 ","")&amp;IF('D111'!E9="Aula 9","D111 ","")&amp;IF('D112'!E9="Aula 9","D112 ","")&amp;IF('D211'!E9="Aula 9","D211 ","")&amp;IF('D311'!E9="Aula 9","D311 ","")&amp;IF('D411'!E9="Aula 9","D411 ",""))," ",",")</f>
        <v/>
      </c>
      <c r="K28" s="5">
        <f>SUBSTITUTE(TRIM(IF('C111'!E9="Aula 10","C111 ","")&amp;IF('C112'!E9="Aula 10","C112 ","")&amp;IF('C113'!E9="Aula 10","C113 ","")&amp;IF('C121'!E9="Aula 10","C121 ","")&amp;IF('C122'!E9="Aula 10","C122 ","")&amp;IF('C211'!E9="Aula 10","C211 ","")&amp;IF('C212'!E9="Aula 10","C212 ","")&amp;IF('C311'!E9="Aula 10","C311 ","")&amp;IF('C312'!E9="Aula 10","C312 ","")&amp;IF('C411'!E9="Aula 10","C411 ","")&amp;IF('C412'!E9="Aula 10","C412 ","")&amp;IF('M111'!E9="Aula 10","M111 ","")&amp;IF('M112'!E9="Aula 10","M112 ","")&amp;IF('M211'!E9="Aula 10","M211 ","")&amp;IF('M212'!E9="Aula 10","M212 ","")&amp;IF('M311'!E9="Aula 10","M311 ","")&amp;IF('M411'!E9="Aula 10","M411 ","")&amp;IF('D111'!E9="Aula 10","D111 ","")&amp;IF('D112'!E9="Aula 10","D112 ","")&amp;IF('D211'!E9="Aula 10","D211 ","")&amp;IF('D311'!E9="Aula 10","D311 ","")&amp;IF('D411'!E9="Aula 10","D411 ",""))," ",",")</f>
        <v/>
      </c>
      <c r="L28" s="5">
        <f>SUBSTITUTE(TRIM(IF('C111'!E9="Aula 11","C111 ","")&amp;IF('C112'!E9="Aula 11","C112 ","")&amp;IF('C113'!E9="Aula 11","C113 ","")&amp;IF('C121'!E9="Aula 11","C121 ","")&amp;IF('C122'!E9="Aula 11","C122 ","")&amp;IF('C211'!E9="Aula 11","C211 ","")&amp;IF('C212'!E9="Aula 11","C212 ","")&amp;IF('C311'!E9="Aula 11","C311 ","")&amp;IF('C312'!E9="Aula 11","C312 ","")&amp;IF('C411'!E9="Aula 11","C411 ","")&amp;IF('C412'!E9="Aula 11","C412 ","")&amp;IF('M111'!E9="Aula 11","M111 ","")&amp;IF('M112'!E9="Aula 11","M112 ","")&amp;IF('M211'!E9="Aula 11","M211 ","")&amp;IF('M212'!E9="Aula 11","M212 ","")&amp;IF('M311'!E9="Aula 11","M311 ","")&amp;IF('M411'!E9="Aula 11","M411 ","")&amp;IF('D111'!E9="Aula 11","D111 ","")&amp;IF('D112'!E9="Aula 11","D112 ","")&amp;IF('D211'!E9="Aula 11","D211 ","")&amp;IF('D311'!E9="Aula 11","D311 ","")&amp;IF('D411'!E9="Aula 11","D411 ",""))," ",",")</f>
        <v/>
      </c>
      <c r="M28" s="5">
        <f>SUBSTITUTE(TRIM(IF('C111'!E9="Aula 12","C111 ","")&amp;IF('C112'!E9="Aula 12","C112 ","")&amp;IF('C113'!E9="Aula 12","C113 ","")&amp;IF('C121'!E9="Aula 12","C121 ","")&amp;IF('C122'!E9="Aula 12","C122 ","")&amp;IF('C211'!E9="Aula 12","C211 ","")&amp;IF('C212'!E9="Aula 12","C212 ","")&amp;IF('C311'!E9="Aula 12","C311 ","")&amp;IF('C312'!E9="Aula 12","C312 ","")&amp;IF('C411'!E9="Aula 12","C411 ","")&amp;IF('C412'!E9="Aula 12","C412 ","")&amp;IF('M111'!E9="Aula 12","M111 ","")&amp;IF('M112'!E9="Aula 12","M112 ","")&amp;IF('M211'!E9="Aula 12","M211 ","")&amp;IF('M212'!E9="Aula 12","M212 ","")&amp;IF('M311'!E9="Aula 12","M311 ","")&amp;IF('M411'!E9="Aula 12","M411 ","")&amp;IF('D111'!E9="Aula 12","D111 ","")&amp;IF('D112'!E9="Aula 12","D112 ","")&amp;IF('D211'!E9="Aula 12","D211 ","")&amp;IF('D311'!E9="Aula 12","D311 ","")&amp;IF('D411'!E9="Aula 12","D411 ",""))," ",",")</f>
        <v/>
      </c>
      <c r="N28" s="5">
        <f>SUBSTITUTE(TRIM(IF('C111'!E9="Lab 1","C111 ","")&amp;IF('C112'!E9="Lab 1","C112 ","")&amp;IF('C113'!E9="Lab 1","C113 ","")&amp;IF('C121'!E9="Lab 1","C121 ","")&amp;IF('C122'!E9="Lab 1","C122 ","")&amp;IF('C211'!E9="Lab 1","C211 ","")&amp;IF('C212'!E9="Lab 1","C212 ","")&amp;IF('C311'!E9="Lab 1","C311 ","")&amp;IF('C312'!E9="Lab 1","C312 ","")&amp;IF('C411'!E9="Lab 1","C411 ","")&amp;IF('C412'!E9="Lab 1","C412 ","")&amp;IF('M111'!E9="Lab 1","M111 ","")&amp;IF('M112'!E9="Lab 1","M112 ","")&amp;IF('M211'!E9="Lab 1","M211 ","")&amp;IF('M212'!E9="Lab 1","M212 ","")&amp;IF('M311'!E9="Lab 1","M311 ","")&amp;IF('M411'!E9="Lab 1","M411 ","")&amp;IF('D111'!E9="Lab 1","D111 ","")&amp;IF('D112'!E9="Lab 1","D112 ","")&amp;IF('D211'!E9="Lab 1","D211 ","")&amp;IF('D311'!E9="Lab 1","D311 ","")&amp;IF('D411'!E9="Lab 1","D411 ",""))," ",",")</f>
        <v/>
      </c>
      <c r="O28" s="5">
        <f>SUBSTITUTE(TRIM(IF('C111'!E9="Lab 2","C111 ","")&amp;IF('C112'!E9="Lab 2","C112 ","")&amp;IF('C113'!E9="Lab 2","C113 ","")&amp;IF('C121'!E9="Lab 2","C121 ","")&amp;IF('C122'!E9="Lab 2","C122 ","")&amp;IF('C211'!E9="Lab 2","C211 ","")&amp;IF('C212'!E9="Lab 2","C212 ","")&amp;IF('C311'!E9="Lab 2","C311 ","")&amp;IF('C312'!E9="Lab 2","C312 ","")&amp;IF('C411'!E9="Lab 2","C411 ","")&amp;IF('C412'!E9="Lab 2","C412 ","")&amp;IF('M111'!E9="Lab 2","M111 ","")&amp;IF('M112'!E9="Lab 2","M112 ","")&amp;IF('M211'!E9="Lab 2","M211 ","")&amp;IF('M212'!E9="Lab 2","M212 ","")&amp;IF('M311'!E9="Lab 2","M311 ","")&amp;IF('M411'!E9="Lab 2","M411 ","")&amp;IF('D111'!E9="Lab 2","D111 ","")&amp;IF('D112'!E9="Lab 2","D112 ","")&amp;IF('D211'!E9="Lab 2","D211 ","")&amp;IF('D311'!E9="Lab 2","D311 ","")&amp;IF('D411'!E9="Lab 2","D411 ",""))," ",",")</f>
        <v/>
      </c>
      <c r="P28" s="6">
        <f>SUBSTITUTE(TRIM(IF('C111'!E9="Salón","C111 ","")&amp;IF('C112'!E9="Salón","C112 ","")&amp;IF('C113'!E9="Salón","C113 ","")&amp;IF('C121'!E9="Salón","C121 ","")&amp;IF('C122'!E9="Salón","C122 ","")&amp;IF('C211'!E9="Salón","C211 ","")&amp;IF('C212'!E9="Salón","C212 ","")&amp;IF('C311'!E9="Salón","C311 ","")&amp;IF('C312'!E9="Salón","C312 ","")&amp;IF('C411'!E9="Salón","C411 ","")&amp;IF('C412'!E9="Salón","C412 ","")&amp;IF('M111'!E9="Salón","M111 ","")&amp;IF('M112'!E9="Salón","M112 ","")&amp;IF('M211'!E9="Salón","M211 ","")&amp;IF('M212'!E9="Salón","M212 ","")&amp;IF('M311'!E9="Salón","M311 ","")&amp;IF('M411'!E9="Salón","M411 ","")&amp;IF('D111'!E9="Salón","D111 ","")&amp;IF('D112'!E9="Salón","D112 ","")&amp;IF('D211'!E9="Salón","D211 ","")&amp;IF('D311'!E9="Salón","D311 ","")&amp;IF('D411'!E9="Salón","D411 ",""))," ",",")</f>
        <v/>
      </c>
    </row>
    <row r="29">
      <c r="A29" s="4" t="inlineStr">
        <is>
          <t>Turno 4</t>
        </is>
      </c>
      <c r="B29" s="5">
        <f>SUBSTITUTE(TRIM(IF('C111'!E11="Aula 1","C111 ","")&amp;IF('C112'!E11="Aula 1","C112 ","")&amp;IF('C113'!E11="Aula 1","C113 ","")&amp;IF('C121'!E11="Aula 1","C121 ","")&amp;IF('C122'!E11="Aula 1","C122 ","")&amp;IF('C211'!E11="Aula 1","C211 ","")&amp;IF('C212'!E11="Aula 1","C212 ","")&amp;IF('C311'!E11="Aula 1","C311 ","")&amp;IF('C312'!E11="Aula 1","C312 ","")&amp;IF('C411'!E11="Aula 1","C411 ","")&amp;IF('C412'!E11="Aula 1","C412 ","")&amp;IF('M111'!E11="Aula 1","M111 ","")&amp;IF('M112'!E11="Aula 1","M112 ","")&amp;IF('M211'!E11="Aula 1","M211 ","")&amp;IF('M212'!E11="Aula 1","M212 ","")&amp;IF('M311'!E11="Aula 1","M311 ","")&amp;IF('M411'!E11="Aula 1","M411 ","")&amp;IF('D111'!E11="Aula 1","D111 ","")&amp;IF('D112'!E11="Aula 1","D112 ","")&amp;IF('D211'!E11="Aula 1","D211 ","")&amp;IF('D311'!E11="Aula 1","D311 ","")&amp;IF('D411'!E11="Aula 1","D411 ",""))," ",",")</f>
        <v/>
      </c>
      <c r="C29" s="5">
        <f>SUBSTITUTE(TRIM(IF('C111'!E11="Aula 2","C111 ","")&amp;IF('C112'!E11="Aula 2","C112 ","")&amp;IF('C113'!E11="Aula 2","C113 ","")&amp;IF('C121'!E11="Aula 2","C121 ","")&amp;IF('C122'!E11="Aula 2","C122 ","")&amp;IF('C211'!E11="Aula 2","C211 ","")&amp;IF('C212'!E11="Aula 2","C212 ","")&amp;IF('C311'!E11="Aula 2","C311 ","")&amp;IF('C312'!E11="Aula 2","C312 ","")&amp;IF('C411'!E11="Aula 2","C411 ","")&amp;IF('C412'!E11="Aula 2","C412 ","")&amp;IF('M111'!E11="Aula 2","M111 ","")&amp;IF('M112'!E11="Aula 2","M112 ","")&amp;IF('M211'!E11="Aula 2","M211 ","")&amp;IF('M212'!E11="Aula 2","M212 ","")&amp;IF('M311'!E11="Aula 2","M311 ","")&amp;IF('M411'!E11="Aula 2","M411 ","")&amp;IF('D111'!E11="Aula 2","D111 ","")&amp;IF('D112'!E11="Aula 2","D112 ","")&amp;IF('D211'!E11="Aula 2","D211 ","")&amp;IF('D311'!E11="Aula 2","D311 ","")&amp;IF('D411'!E11="Aula 2","D411 ",""))," ",",")</f>
        <v/>
      </c>
      <c r="D29" s="5">
        <f>SUBSTITUTE(TRIM(IF('C111'!E11="Aula 3","C111 ","")&amp;IF('C112'!E11="Aula 3","C112 ","")&amp;IF('C113'!E11="Aula 3","C113 ","")&amp;IF('C121'!E11="Aula 3","C121 ","")&amp;IF('C122'!E11="Aula 3","C122 ","")&amp;IF('C211'!E11="Aula 3","C211 ","")&amp;IF('C212'!E11="Aula 3","C212 ","")&amp;IF('C311'!E11="Aula 3","C311 ","")&amp;IF('C312'!E11="Aula 3","C312 ","")&amp;IF('C411'!E11="Aula 3","C411 ","")&amp;IF('C412'!E11="Aula 3","C412 ","")&amp;IF('M111'!E11="Aula 3","M111 ","")&amp;IF('M112'!E11="Aula 3","M112 ","")&amp;IF('M211'!E11="Aula 3","M211 ","")&amp;IF('M212'!E11="Aula 3","M212 ","")&amp;IF('M311'!E11="Aula 3","M311 ","")&amp;IF('M411'!E11="Aula 3","M411 ","")&amp;IF('D111'!E11="Aula 3","D111 ","")&amp;IF('D112'!E11="Aula 3","D112 ","")&amp;IF('D211'!E11="Aula 3","D211 ","")&amp;IF('D311'!E11="Aula 3","D311 ","")&amp;IF('D411'!E11="Aula 3","D411 ",""))," ",",")</f>
        <v/>
      </c>
      <c r="E29" s="5">
        <f>SUBSTITUTE(TRIM(IF('C111'!E11="Aula 4","C111 ","")&amp;IF('C112'!E11="Aula 4","C112 ","")&amp;IF('C113'!E11="Aula 4","C113 ","")&amp;IF('C121'!E11="Aula 4","C121 ","")&amp;IF('C122'!E11="Aula 4","C122 ","")&amp;IF('C211'!E11="Aula 4","C211 ","")&amp;IF('C212'!E11="Aula 4","C212 ","")&amp;IF('C311'!E11="Aula 4","C311 ","")&amp;IF('C312'!E11="Aula 4","C312 ","")&amp;IF('C411'!E11="Aula 4","C411 ","")&amp;IF('C412'!E11="Aula 4","C412 ","")&amp;IF('M111'!E11="Aula 4","M111 ","")&amp;IF('M112'!E11="Aula 4","M112 ","")&amp;IF('M211'!E11="Aula 4","M211 ","")&amp;IF('M212'!E11="Aula 4","M212 ","")&amp;IF('M311'!E11="Aula 4","M311 ","")&amp;IF('M411'!E11="Aula 4","M411 ","")&amp;IF('D111'!E11="Aula 4","D111 ","")&amp;IF('D112'!E11="Aula 4","D112 ","")&amp;IF('D211'!E11="Aula 4","D211 ","")&amp;IF('D311'!E11="Aula 4","D311 ","")&amp;IF('D411'!E11="Aula 4","D411 ",""))," ",",")</f>
        <v/>
      </c>
      <c r="F29" s="5">
        <f>SUBSTITUTE(TRIM(IF('C111'!E11="Aula 5","C111 ","")&amp;IF('C112'!E11="Aula 5","C112 ","")&amp;IF('C113'!E11="Aula 5","C113 ","")&amp;IF('C121'!E11="Aula 5","C121 ","")&amp;IF('C122'!E11="Aula 5","C122 ","")&amp;IF('C211'!E11="Aula 5","C211 ","")&amp;IF('C212'!E11="Aula 5","C212 ","")&amp;IF('C311'!E11="Aula 5","C311 ","")&amp;IF('C312'!E11="Aula 5","C312 ","")&amp;IF('C411'!E11="Aula 5","C411 ","")&amp;IF('C412'!E11="Aula 5","C412 ","")&amp;IF('M111'!E11="Aula 5","M111 ","")&amp;IF('M112'!E11="Aula 5","M112 ","")&amp;IF('M211'!E11="Aula 5","M211 ","")&amp;IF('M212'!E11="Aula 5","M212 ","")&amp;IF('M311'!E11="Aula 5","M311 ","")&amp;IF('M411'!E11="Aula 5","M411 ","")&amp;IF('D111'!E11="Aula 5","D111 ","")&amp;IF('D112'!E11="Aula 5","D112 ","")&amp;IF('D211'!E11="Aula 5","D211 ","")&amp;IF('D311'!E11="Aula 5","D311 ","")&amp;IF('D411'!E11="Aula 5","D411 ",""))," ",",")</f>
        <v/>
      </c>
      <c r="G29" s="5">
        <f>SUBSTITUTE(TRIM(IF('C111'!E11="Aula 6","C111 ","")&amp;IF('C112'!E11="Aula 6","C112 ","")&amp;IF('C113'!E11="Aula 6","C113 ","")&amp;IF('C121'!E11="Aula 6","C121 ","")&amp;IF('C122'!E11="Aula 6","C122 ","")&amp;IF('C211'!E11="Aula 6","C211 ","")&amp;IF('C212'!E11="Aula 6","C212 ","")&amp;IF('C311'!E11="Aula 6","C311 ","")&amp;IF('C312'!E11="Aula 6","C312 ","")&amp;IF('C411'!E11="Aula 6","C411 ","")&amp;IF('C412'!E11="Aula 6","C412 ","")&amp;IF('M111'!E11="Aula 6","M111 ","")&amp;IF('M112'!E11="Aula 6","M112 ","")&amp;IF('M211'!E11="Aula 6","M211 ","")&amp;IF('M212'!E11="Aula 6","M212 ","")&amp;IF('M311'!E11="Aula 6","M311 ","")&amp;IF('M411'!E11="Aula 6","M411 ","")&amp;IF('D111'!E11="Aula 6","D111 ","")&amp;IF('D112'!E11="Aula 6","D112 ","")&amp;IF('D211'!E11="Aula 6","D211 ","")&amp;IF('D311'!E11="Aula 6","D311 ","")&amp;IF('D411'!E11="Aula 6","D411 ",""))," ",",")</f>
        <v/>
      </c>
      <c r="H29" s="5">
        <f>SUBSTITUTE(TRIM(IF('C111'!E11="Aula 7","C111 ","")&amp;IF('C112'!E11="Aula 7","C112 ","")&amp;IF('C113'!E11="Aula 7","C113 ","")&amp;IF('C121'!E11="Aula 7","C121 ","")&amp;IF('C122'!E11="Aula 7","C122 ","")&amp;IF('C211'!E11="Aula 7","C211 ","")&amp;IF('C212'!E11="Aula 7","C212 ","")&amp;IF('C311'!E11="Aula 7","C311 ","")&amp;IF('C312'!E11="Aula 7","C312 ","")&amp;IF('C411'!E11="Aula 7","C411 ","")&amp;IF('C412'!E11="Aula 7","C412 ","")&amp;IF('M111'!E11="Aula 7","M111 ","")&amp;IF('M112'!E11="Aula 7","M112 ","")&amp;IF('M211'!E11="Aula 7","M211 ","")&amp;IF('M212'!E11="Aula 7","M212 ","")&amp;IF('M311'!E11="Aula 7","M311 ","")&amp;IF('M411'!E11="Aula 7","M411 ","")&amp;IF('D111'!E11="Aula 7","D111 ","")&amp;IF('D112'!E11="Aula 7","D112 ","")&amp;IF('D211'!E11="Aula 7","D211 ","")&amp;IF('D311'!E11="Aula 7","D311 ","")&amp;IF('D411'!E11="Aula 7","D411 ",""))," ",",")</f>
        <v/>
      </c>
      <c r="I29" s="5">
        <f>SUBSTITUTE(TRIM(IF('C111'!E11="Aula 8","C111 ","")&amp;IF('C112'!E11="Aula 8","C112 ","")&amp;IF('C113'!E11="Aula 8","C113 ","")&amp;IF('C121'!E11="Aula 8","C121 ","")&amp;IF('C122'!E11="Aula 8","C122 ","")&amp;IF('C211'!E11="Aula 8","C211 ","")&amp;IF('C212'!E11="Aula 8","C212 ","")&amp;IF('C311'!E11="Aula 8","C311 ","")&amp;IF('C312'!E11="Aula 8","C312 ","")&amp;IF('C411'!E11="Aula 8","C411 ","")&amp;IF('C412'!E11="Aula 8","C412 ","")&amp;IF('M111'!E11="Aula 8","M111 ","")&amp;IF('M112'!E11="Aula 8","M112 ","")&amp;IF('M211'!E11="Aula 8","M211 ","")&amp;IF('M212'!E11="Aula 8","M212 ","")&amp;IF('M311'!E11="Aula 8","M311 ","")&amp;IF('M411'!E11="Aula 8","M411 ","")&amp;IF('D111'!E11="Aula 8","D111 ","")&amp;IF('D112'!E11="Aula 8","D112 ","")&amp;IF('D211'!E11="Aula 8","D211 ","")&amp;IF('D311'!E11="Aula 8","D311 ","")&amp;IF('D411'!E11="Aula 8","D411 ",""))," ",",")</f>
        <v/>
      </c>
      <c r="J29" s="5">
        <f>SUBSTITUTE(TRIM(IF('C111'!E11="Aula 9","C111 ","")&amp;IF('C112'!E11="Aula 9","C112 ","")&amp;IF('C113'!E11="Aula 9","C113 ","")&amp;IF('C121'!E11="Aula 9","C121 ","")&amp;IF('C122'!E11="Aula 9","C122 ","")&amp;IF('C211'!E11="Aula 9","C211 ","")&amp;IF('C212'!E11="Aula 9","C212 ","")&amp;IF('C311'!E11="Aula 9","C311 ","")&amp;IF('C312'!E11="Aula 9","C312 ","")&amp;IF('C411'!E11="Aula 9","C411 ","")&amp;IF('C412'!E11="Aula 9","C412 ","")&amp;IF('M111'!E11="Aula 9","M111 ","")&amp;IF('M112'!E11="Aula 9","M112 ","")&amp;IF('M211'!E11="Aula 9","M211 ","")&amp;IF('M212'!E11="Aula 9","M212 ","")&amp;IF('M311'!E11="Aula 9","M311 ","")&amp;IF('M411'!E11="Aula 9","M411 ","")&amp;IF('D111'!E11="Aula 9","D111 ","")&amp;IF('D112'!E11="Aula 9","D112 ","")&amp;IF('D211'!E11="Aula 9","D211 ","")&amp;IF('D311'!E11="Aula 9","D311 ","")&amp;IF('D411'!E11="Aula 9","D411 ",""))," ",",")</f>
        <v/>
      </c>
      <c r="K29" s="5">
        <f>SUBSTITUTE(TRIM(IF('C111'!E11="Aula 10","C111 ","")&amp;IF('C112'!E11="Aula 10","C112 ","")&amp;IF('C113'!E11="Aula 10","C113 ","")&amp;IF('C121'!E11="Aula 10","C121 ","")&amp;IF('C122'!E11="Aula 10","C122 ","")&amp;IF('C211'!E11="Aula 10","C211 ","")&amp;IF('C212'!E11="Aula 10","C212 ","")&amp;IF('C311'!E11="Aula 10","C311 ","")&amp;IF('C312'!E11="Aula 10","C312 ","")&amp;IF('C411'!E11="Aula 10","C411 ","")&amp;IF('C412'!E11="Aula 10","C412 ","")&amp;IF('M111'!E11="Aula 10","M111 ","")&amp;IF('M112'!E11="Aula 10","M112 ","")&amp;IF('M211'!E11="Aula 10","M211 ","")&amp;IF('M212'!E11="Aula 10","M212 ","")&amp;IF('M311'!E11="Aula 10","M311 ","")&amp;IF('M411'!E11="Aula 10","M411 ","")&amp;IF('D111'!E11="Aula 10","D111 ","")&amp;IF('D112'!E11="Aula 10","D112 ","")&amp;IF('D211'!E11="Aula 10","D211 ","")&amp;IF('D311'!E11="Aula 10","D311 ","")&amp;IF('D411'!E11="Aula 10","D411 ",""))," ",",")</f>
        <v/>
      </c>
      <c r="L29" s="5">
        <f>SUBSTITUTE(TRIM(IF('C111'!E11="Aula 11","C111 ","")&amp;IF('C112'!E11="Aula 11","C112 ","")&amp;IF('C113'!E11="Aula 11","C113 ","")&amp;IF('C121'!E11="Aula 11","C121 ","")&amp;IF('C122'!E11="Aula 11","C122 ","")&amp;IF('C211'!E11="Aula 11","C211 ","")&amp;IF('C212'!E11="Aula 11","C212 ","")&amp;IF('C311'!E11="Aula 11","C311 ","")&amp;IF('C312'!E11="Aula 11","C312 ","")&amp;IF('C411'!E11="Aula 11","C411 ","")&amp;IF('C412'!E11="Aula 11","C412 ","")&amp;IF('M111'!E11="Aula 11","M111 ","")&amp;IF('M112'!E11="Aula 11","M112 ","")&amp;IF('M211'!E11="Aula 11","M211 ","")&amp;IF('M212'!E11="Aula 11","M212 ","")&amp;IF('M311'!E11="Aula 11","M311 ","")&amp;IF('M411'!E11="Aula 11","M411 ","")&amp;IF('D111'!E11="Aula 11","D111 ","")&amp;IF('D112'!E11="Aula 11","D112 ","")&amp;IF('D211'!E11="Aula 11","D211 ","")&amp;IF('D311'!E11="Aula 11","D311 ","")&amp;IF('D411'!E11="Aula 11","D411 ",""))," ",",")</f>
        <v/>
      </c>
      <c r="M29" s="5">
        <f>SUBSTITUTE(TRIM(IF('C111'!E11="Aula 12","C111 ","")&amp;IF('C112'!E11="Aula 12","C112 ","")&amp;IF('C113'!E11="Aula 12","C113 ","")&amp;IF('C121'!E11="Aula 12","C121 ","")&amp;IF('C122'!E11="Aula 12","C122 ","")&amp;IF('C211'!E11="Aula 12","C211 ","")&amp;IF('C212'!E11="Aula 12","C212 ","")&amp;IF('C311'!E11="Aula 12","C311 ","")&amp;IF('C312'!E11="Aula 12","C312 ","")&amp;IF('C411'!E11="Aula 12","C411 ","")&amp;IF('C412'!E11="Aula 12","C412 ","")&amp;IF('M111'!E11="Aula 12","M111 ","")&amp;IF('M112'!E11="Aula 12","M112 ","")&amp;IF('M211'!E11="Aula 12","M211 ","")&amp;IF('M212'!E11="Aula 12","M212 ","")&amp;IF('M311'!E11="Aula 12","M311 ","")&amp;IF('M411'!E11="Aula 12","M411 ","")&amp;IF('D111'!E11="Aula 12","D111 ","")&amp;IF('D112'!E11="Aula 12","D112 ","")&amp;IF('D211'!E11="Aula 12","D211 ","")&amp;IF('D311'!E11="Aula 12","D311 ","")&amp;IF('D411'!E11="Aula 12","D411 ",""))," ",",")</f>
        <v/>
      </c>
      <c r="N29" s="5">
        <f>SUBSTITUTE(TRIM(IF('C111'!E11="Lab 1","C111 ","")&amp;IF('C112'!E11="Lab 1","C112 ","")&amp;IF('C113'!E11="Lab 1","C113 ","")&amp;IF('C121'!E11="Lab 1","C121 ","")&amp;IF('C122'!E11="Lab 1","C122 ","")&amp;IF('C211'!E11="Lab 1","C211 ","")&amp;IF('C212'!E11="Lab 1","C212 ","")&amp;IF('C311'!E11="Lab 1","C311 ","")&amp;IF('C312'!E11="Lab 1","C312 ","")&amp;IF('C411'!E11="Lab 1","C411 ","")&amp;IF('C412'!E11="Lab 1","C412 ","")&amp;IF('M111'!E11="Lab 1","M111 ","")&amp;IF('M112'!E11="Lab 1","M112 ","")&amp;IF('M211'!E11="Lab 1","M211 ","")&amp;IF('M212'!E11="Lab 1","M212 ","")&amp;IF('M311'!E11="Lab 1","M311 ","")&amp;IF('M411'!E11="Lab 1","M411 ","")&amp;IF('D111'!E11="Lab 1","D111 ","")&amp;IF('D112'!E11="Lab 1","D112 ","")&amp;IF('D211'!E11="Lab 1","D211 ","")&amp;IF('D311'!E11="Lab 1","D311 ","")&amp;IF('D411'!E11="Lab 1","D411 ",""))," ",",")</f>
        <v/>
      </c>
      <c r="O29" s="5">
        <f>SUBSTITUTE(TRIM(IF('C111'!E11="Lab 2","C111 ","")&amp;IF('C112'!E11="Lab 2","C112 ","")&amp;IF('C113'!E11="Lab 2","C113 ","")&amp;IF('C121'!E11="Lab 2","C121 ","")&amp;IF('C122'!E11="Lab 2","C122 ","")&amp;IF('C211'!E11="Lab 2","C211 ","")&amp;IF('C212'!E11="Lab 2","C212 ","")&amp;IF('C311'!E11="Lab 2","C311 ","")&amp;IF('C312'!E11="Lab 2","C312 ","")&amp;IF('C411'!E11="Lab 2","C411 ","")&amp;IF('C412'!E11="Lab 2","C412 ","")&amp;IF('M111'!E11="Lab 2","M111 ","")&amp;IF('M112'!E11="Lab 2","M112 ","")&amp;IF('M211'!E11="Lab 2","M211 ","")&amp;IF('M212'!E11="Lab 2","M212 ","")&amp;IF('M311'!E11="Lab 2","M311 ","")&amp;IF('M411'!E11="Lab 2","M411 ","")&amp;IF('D111'!E11="Lab 2","D111 ","")&amp;IF('D112'!E11="Lab 2","D112 ","")&amp;IF('D211'!E11="Lab 2","D211 ","")&amp;IF('D311'!E11="Lab 2","D311 ","")&amp;IF('D411'!E11="Lab 2","D411 ",""))," ",",")</f>
        <v/>
      </c>
      <c r="P29" s="6">
        <f>SUBSTITUTE(TRIM(IF('C111'!E11="Salón","C111 ","")&amp;IF('C112'!E11="Salón","C112 ","")&amp;IF('C113'!E11="Salón","C113 ","")&amp;IF('C121'!E11="Salón","C121 ","")&amp;IF('C122'!E11="Salón","C122 ","")&amp;IF('C211'!E11="Salón","C211 ","")&amp;IF('C212'!E11="Salón","C212 ","")&amp;IF('C311'!E11="Salón","C311 ","")&amp;IF('C312'!E11="Salón","C312 ","")&amp;IF('C411'!E11="Salón","C411 ","")&amp;IF('C412'!E11="Salón","C412 ","")&amp;IF('M111'!E11="Salón","M111 ","")&amp;IF('M112'!E11="Salón","M112 ","")&amp;IF('M211'!E11="Salón","M211 ","")&amp;IF('M212'!E11="Salón","M212 ","")&amp;IF('M311'!E11="Salón","M311 ","")&amp;IF('M411'!E11="Salón","M411 ","")&amp;IF('D111'!E11="Salón","D111 ","")&amp;IF('D112'!E11="Salón","D112 ","")&amp;IF('D211'!E11="Salón","D211 ","")&amp;IF('D311'!E11="Salón","D311 ","")&amp;IF('D411'!E11="Salón","D411 ",""))," ",",")</f>
        <v/>
      </c>
    </row>
    <row r="30">
      <c r="A30" s="4" t="inlineStr">
        <is>
          <t>Turno 5</t>
        </is>
      </c>
      <c r="B30" s="5">
        <f>SUBSTITUTE(TRIM(IF('C111'!E13="Aula 1","C111 ","")&amp;IF('C112'!E13="Aula 1","C112 ","")&amp;IF('C113'!E13="Aula 1","C113 ","")&amp;IF('C121'!E13="Aula 1","C121 ","")&amp;IF('C122'!E13="Aula 1","C122 ","")&amp;IF('C211'!E13="Aula 1","C211 ","")&amp;IF('C212'!E13="Aula 1","C212 ","")&amp;IF('C311'!E13="Aula 1","C311 ","")&amp;IF('C312'!E13="Aula 1","C312 ","")&amp;IF('C411'!E13="Aula 1","C411 ","")&amp;IF('C412'!E13="Aula 1","C412 ","")&amp;IF('M111'!E13="Aula 1","M111 ","")&amp;IF('M112'!E13="Aula 1","M112 ","")&amp;IF('M211'!E13="Aula 1","M211 ","")&amp;IF('M212'!E13="Aula 1","M212 ","")&amp;IF('M311'!E13="Aula 1","M311 ","")&amp;IF('M411'!E13="Aula 1","M411 ","")&amp;IF('D111'!E13="Aula 1","D111 ","")&amp;IF('D112'!E13="Aula 1","D112 ","")&amp;IF('D211'!E13="Aula 1","D211 ","")&amp;IF('D311'!E13="Aula 1","D311 ","")&amp;IF('D411'!E13="Aula 1","D411 ",""))," ",",")</f>
        <v/>
      </c>
      <c r="C30" s="5">
        <f>SUBSTITUTE(TRIM(IF('C111'!E13="Aula 2","C111 ","")&amp;IF('C112'!E13="Aula 2","C112 ","")&amp;IF('C113'!E13="Aula 2","C113 ","")&amp;IF('C121'!E13="Aula 2","C121 ","")&amp;IF('C122'!E13="Aula 2","C122 ","")&amp;IF('C211'!E13="Aula 2","C211 ","")&amp;IF('C212'!E13="Aula 2","C212 ","")&amp;IF('C311'!E13="Aula 2","C311 ","")&amp;IF('C312'!E13="Aula 2","C312 ","")&amp;IF('C411'!E13="Aula 2","C411 ","")&amp;IF('C412'!E13="Aula 2","C412 ","")&amp;IF('M111'!E13="Aula 2","M111 ","")&amp;IF('M112'!E13="Aula 2","M112 ","")&amp;IF('M211'!E13="Aula 2","M211 ","")&amp;IF('M212'!E13="Aula 2","M212 ","")&amp;IF('M311'!E13="Aula 2","M311 ","")&amp;IF('M411'!E13="Aula 2","M411 ","")&amp;IF('D111'!E13="Aula 2","D111 ","")&amp;IF('D112'!E13="Aula 2","D112 ","")&amp;IF('D211'!E13="Aula 2","D211 ","")&amp;IF('D311'!E13="Aula 2","D311 ","")&amp;IF('D411'!E13="Aula 2","D411 ",""))," ",",")</f>
        <v/>
      </c>
      <c r="D30" s="5">
        <f>SUBSTITUTE(TRIM(IF('C111'!E13="Aula 3","C111 ","")&amp;IF('C112'!E13="Aula 3","C112 ","")&amp;IF('C113'!E13="Aula 3","C113 ","")&amp;IF('C121'!E13="Aula 3","C121 ","")&amp;IF('C122'!E13="Aula 3","C122 ","")&amp;IF('C211'!E13="Aula 3","C211 ","")&amp;IF('C212'!E13="Aula 3","C212 ","")&amp;IF('C311'!E13="Aula 3","C311 ","")&amp;IF('C312'!E13="Aula 3","C312 ","")&amp;IF('C411'!E13="Aula 3","C411 ","")&amp;IF('C412'!E13="Aula 3","C412 ","")&amp;IF('M111'!E13="Aula 3","M111 ","")&amp;IF('M112'!E13="Aula 3","M112 ","")&amp;IF('M211'!E13="Aula 3","M211 ","")&amp;IF('M212'!E13="Aula 3","M212 ","")&amp;IF('M311'!E13="Aula 3","M311 ","")&amp;IF('M411'!E13="Aula 3","M411 ","")&amp;IF('D111'!E13="Aula 3","D111 ","")&amp;IF('D112'!E13="Aula 3","D112 ","")&amp;IF('D211'!E13="Aula 3","D211 ","")&amp;IF('D311'!E13="Aula 3","D311 ","")&amp;IF('D411'!E13="Aula 3","D411 ",""))," ",",")</f>
        <v/>
      </c>
      <c r="E30" s="5">
        <f>SUBSTITUTE(TRIM(IF('C111'!E13="Aula 4","C111 ","")&amp;IF('C112'!E13="Aula 4","C112 ","")&amp;IF('C113'!E13="Aula 4","C113 ","")&amp;IF('C121'!E13="Aula 4","C121 ","")&amp;IF('C122'!E13="Aula 4","C122 ","")&amp;IF('C211'!E13="Aula 4","C211 ","")&amp;IF('C212'!E13="Aula 4","C212 ","")&amp;IF('C311'!E13="Aula 4","C311 ","")&amp;IF('C312'!E13="Aula 4","C312 ","")&amp;IF('C411'!E13="Aula 4","C411 ","")&amp;IF('C412'!E13="Aula 4","C412 ","")&amp;IF('M111'!E13="Aula 4","M111 ","")&amp;IF('M112'!E13="Aula 4","M112 ","")&amp;IF('M211'!E13="Aula 4","M211 ","")&amp;IF('M212'!E13="Aula 4","M212 ","")&amp;IF('M311'!E13="Aula 4","M311 ","")&amp;IF('M411'!E13="Aula 4","M411 ","")&amp;IF('D111'!E13="Aula 4","D111 ","")&amp;IF('D112'!E13="Aula 4","D112 ","")&amp;IF('D211'!E13="Aula 4","D211 ","")&amp;IF('D311'!E13="Aula 4","D311 ","")&amp;IF('D411'!E13="Aula 4","D411 ",""))," ",",")</f>
        <v/>
      </c>
      <c r="F30" s="5">
        <f>SUBSTITUTE(TRIM(IF('C111'!E13="Aula 5","C111 ","")&amp;IF('C112'!E13="Aula 5","C112 ","")&amp;IF('C113'!E13="Aula 5","C113 ","")&amp;IF('C121'!E13="Aula 5","C121 ","")&amp;IF('C122'!E13="Aula 5","C122 ","")&amp;IF('C211'!E13="Aula 5","C211 ","")&amp;IF('C212'!E13="Aula 5","C212 ","")&amp;IF('C311'!E13="Aula 5","C311 ","")&amp;IF('C312'!E13="Aula 5","C312 ","")&amp;IF('C411'!E13="Aula 5","C411 ","")&amp;IF('C412'!E13="Aula 5","C412 ","")&amp;IF('M111'!E13="Aula 5","M111 ","")&amp;IF('M112'!E13="Aula 5","M112 ","")&amp;IF('M211'!E13="Aula 5","M211 ","")&amp;IF('M212'!E13="Aula 5","M212 ","")&amp;IF('M311'!E13="Aula 5","M311 ","")&amp;IF('M411'!E13="Aula 5","M411 ","")&amp;IF('D111'!E13="Aula 5","D111 ","")&amp;IF('D112'!E13="Aula 5","D112 ","")&amp;IF('D211'!E13="Aula 5","D211 ","")&amp;IF('D311'!E13="Aula 5","D311 ","")&amp;IF('D411'!E13="Aula 5","D411 ",""))," ",",")</f>
        <v/>
      </c>
      <c r="G30" s="5">
        <f>SUBSTITUTE(TRIM(IF('C111'!E13="Aula 6","C111 ","")&amp;IF('C112'!E13="Aula 6","C112 ","")&amp;IF('C113'!E13="Aula 6","C113 ","")&amp;IF('C121'!E13="Aula 6","C121 ","")&amp;IF('C122'!E13="Aula 6","C122 ","")&amp;IF('C211'!E13="Aula 6","C211 ","")&amp;IF('C212'!E13="Aula 6","C212 ","")&amp;IF('C311'!E13="Aula 6","C311 ","")&amp;IF('C312'!E13="Aula 6","C312 ","")&amp;IF('C411'!E13="Aula 6","C411 ","")&amp;IF('C412'!E13="Aula 6","C412 ","")&amp;IF('M111'!E13="Aula 6","M111 ","")&amp;IF('M112'!E13="Aula 6","M112 ","")&amp;IF('M211'!E13="Aula 6","M211 ","")&amp;IF('M212'!E13="Aula 6","M212 ","")&amp;IF('M311'!E13="Aula 6","M311 ","")&amp;IF('M411'!E13="Aula 6","M411 ","")&amp;IF('D111'!E13="Aula 6","D111 ","")&amp;IF('D112'!E13="Aula 6","D112 ","")&amp;IF('D211'!E13="Aula 6","D211 ","")&amp;IF('D311'!E13="Aula 6","D311 ","")&amp;IF('D411'!E13="Aula 6","D411 ",""))," ",",")</f>
        <v/>
      </c>
      <c r="H30" s="5">
        <f>SUBSTITUTE(TRIM(IF('C111'!E13="Aula 7","C111 ","")&amp;IF('C112'!E13="Aula 7","C112 ","")&amp;IF('C113'!E13="Aula 7","C113 ","")&amp;IF('C121'!E13="Aula 7","C121 ","")&amp;IF('C122'!E13="Aula 7","C122 ","")&amp;IF('C211'!E13="Aula 7","C211 ","")&amp;IF('C212'!E13="Aula 7","C212 ","")&amp;IF('C311'!E13="Aula 7","C311 ","")&amp;IF('C312'!E13="Aula 7","C312 ","")&amp;IF('C411'!E13="Aula 7","C411 ","")&amp;IF('C412'!E13="Aula 7","C412 ","")&amp;IF('M111'!E13="Aula 7","M111 ","")&amp;IF('M112'!E13="Aula 7","M112 ","")&amp;IF('M211'!E13="Aula 7","M211 ","")&amp;IF('M212'!E13="Aula 7","M212 ","")&amp;IF('M311'!E13="Aula 7","M311 ","")&amp;IF('M411'!E13="Aula 7","M411 ","")&amp;IF('D111'!E13="Aula 7","D111 ","")&amp;IF('D112'!E13="Aula 7","D112 ","")&amp;IF('D211'!E13="Aula 7","D211 ","")&amp;IF('D311'!E13="Aula 7","D311 ","")&amp;IF('D411'!E13="Aula 7","D411 ",""))," ",",")</f>
        <v/>
      </c>
      <c r="I30" s="5">
        <f>SUBSTITUTE(TRIM(IF('C111'!E13="Aula 8","C111 ","")&amp;IF('C112'!E13="Aula 8","C112 ","")&amp;IF('C113'!E13="Aula 8","C113 ","")&amp;IF('C121'!E13="Aula 8","C121 ","")&amp;IF('C122'!E13="Aula 8","C122 ","")&amp;IF('C211'!E13="Aula 8","C211 ","")&amp;IF('C212'!E13="Aula 8","C212 ","")&amp;IF('C311'!E13="Aula 8","C311 ","")&amp;IF('C312'!E13="Aula 8","C312 ","")&amp;IF('C411'!E13="Aula 8","C411 ","")&amp;IF('C412'!E13="Aula 8","C412 ","")&amp;IF('M111'!E13="Aula 8","M111 ","")&amp;IF('M112'!E13="Aula 8","M112 ","")&amp;IF('M211'!E13="Aula 8","M211 ","")&amp;IF('M212'!E13="Aula 8","M212 ","")&amp;IF('M311'!E13="Aula 8","M311 ","")&amp;IF('M411'!E13="Aula 8","M411 ","")&amp;IF('D111'!E13="Aula 8","D111 ","")&amp;IF('D112'!E13="Aula 8","D112 ","")&amp;IF('D211'!E13="Aula 8","D211 ","")&amp;IF('D311'!E13="Aula 8","D311 ","")&amp;IF('D411'!E13="Aula 8","D411 ",""))," ",",")</f>
        <v/>
      </c>
      <c r="J30" s="5">
        <f>SUBSTITUTE(TRIM(IF('C111'!E13="Aula 9","C111 ","")&amp;IF('C112'!E13="Aula 9","C112 ","")&amp;IF('C113'!E13="Aula 9","C113 ","")&amp;IF('C121'!E13="Aula 9","C121 ","")&amp;IF('C122'!E13="Aula 9","C122 ","")&amp;IF('C211'!E13="Aula 9","C211 ","")&amp;IF('C212'!E13="Aula 9","C212 ","")&amp;IF('C311'!E13="Aula 9","C311 ","")&amp;IF('C312'!E13="Aula 9","C312 ","")&amp;IF('C411'!E13="Aula 9","C411 ","")&amp;IF('C412'!E13="Aula 9","C412 ","")&amp;IF('M111'!E13="Aula 9","M111 ","")&amp;IF('M112'!E13="Aula 9","M112 ","")&amp;IF('M211'!E13="Aula 9","M211 ","")&amp;IF('M212'!E13="Aula 9","M212 ","")&amp;IF('M311'!E13="Aula 9","M311 ","")&amp;IF('M411'!E13="Aula 9","M411 ","")&amp;IF('D111'!E13="Aula 9","D111 ","")&amp;IF('D112'!E13="Aula 9","D112 ","")&amp;IF('D211'!E13="Aula 9","D211 ","")&amp;IF('D311'!E13="Aula 9","D311 ","")&amp;IF('D411'!E13="Aula 9","D411 ",""))," ",",")</f>
        <v/>
      </c>
      <c r="K30" s="5">
        <f>SUBSTITUTE(TRIM(IF('C111'!E13="Aula 10","C111 ","")&amp;IF('C112'!E13="Aula 10","C112 ","")&amp;IF('C113'!E13="Aula 10","C113 ","")&amp;IF('C121'!E13="Aula 10","C121 ","")&amp;IF('C122'!E13="Aula 10","C122 ","")&amp;IF('C211'!E13="Aula 10","C211 ","")&amp;IF('C212'!E13="Aula 10","C212 ","")&amp;IF('C311'!E13="Aula 10","C311 ","")&amp;IF('C312'!E13="Aula 10","C312 ","")&amp;IF('C411'!E13="Aula 10","C411 ","")&amp;IF('C412'!E13="Aula 10","C412 ","")&amp;IF('M111'!E13="Aula 10","M111 ","")&amp;IF('M112'!E13="Aula 10","M112 ","")&amp;IF('M211'!E13="Aula 10","M211 ","")&amp;IF('M212'!E13="Aula 10","M212 ","")&amp;IF('M311'!E13="Aula 10","M311 ","")&amp;IF('M411'!E13="Aula 10","M411 ","")&amp;IF('D111'!E13="Aula 10","D111 ","")&amp;IF('D112'!E13="Aula 10","D112 ","")&amp;IF('D211'!E13="Aula 10","D211 ","")&amp;IF('D311'!E13="Aula 10","D311 ","")&amp;IF('D411'!E13="Aula 10","D411 ",""))," ",",")</f>
        <v/>
      </c>
      <c r="L30" s="5">
        <f>SUBSTITUTE(TRIM(IF('C111'!E13="Aula 11","C111 ","")&amp;IF('C112'!E13="Aula 11","C112 ","")&amp;IF('C113'!E13="Aula 11","C113 ","")&amp;IF('C121'!E13="Aula 11","C121 ","")&amp;IF('C122'!E13="Aula 11","C122 ","")&amp;IF('C211'!E13="Aula 11","C211 ","")&amp;IF('C212'!E13="Aula 11","C212 ","")&amp;IF('C311'!E13="Aula 11","C311 ","")&amp;IF('C312'!E13="Aula 11","C312 ","")&amp;IF('C411'!E13="Aula 11","C411 ","")&amp;IF('C412'!E13="Aula 11","C412 ","")&amp;IF('M111'!E13="Aula 11","M111 ","")&amp;IF('M112'!E13="Aula 11","M112 ","")&amp;IF('M211'!E13="Aula 11","M211 ","")&amp;IF('M212'!E13="Aula 11","M212 ","")&amp;IF('M311'!E13="Aula 11","M311 ","")&amp;IF('M411'!E13="Aula 11","M411 ","")&amp;IF('D111'!E13="Aula 11","D111 ","")&amp;IF('D112'!E13="Aula 11","D112 ","")&amp;IF('D211'!E13="Aula 11","D211 ","")&amp;IF('D311'!E13="Aula 11","D311 ","")&amp;IF('D411'!E13="Aula 11","D411 ",""))," ",",")</f>
        <v/>
      </c>
      <c r="M30" s="5">
        <f>SUBSTITUTE(TRIM(IF('C111'!E13="Aula 12","C111 ","")&amp;IF('C112'!E13="Aula 12","C112 ","")&amp;IF('C113'!E13="Aula 12","C113 ","")&amp;IF('C121'!E13="Aula 12","C121 ","")&amp;IF('C122'!E13="Aula 12","C122 ","")&amp;IF('C211'!E13="Aula 12","C211 ","")&amp;IF('C212'!E13="Aula 12","C212 ","")&amp;IF('C311'!E13="Aula 12","C311 ","")&amp;IF('C312'!E13="Aula 12","C312 ","")&amp;IF('C411'!E13="Aula 12","C411 ","")&amp;IF('C412'!E13="Aula 12","C412 ","")&amp;IF('M111'!E13="Aula 12","M111 ","")&amp;IF('M112'!E13="Aula 12","M112 ","")&amp;IF('M211'!E13="Aula 12","M211 ","")&amp;IF('M212'!E13="Aula 12","M212 ","")&amp;IF('M311'!E13="Aula 12","M311 ","")&amp;IF('M411'!E13="Aula 12","M411 ","")&amp;IF('D111'!E13="Aula 12","D111 ","")&amp;IF('D112'!E13="Aula 12","D112 ","")&amp;IF('D211'!E13="Aula 12","D211 ","")&amp;IF('D311'!E13="Aula 12","D311 ","")&amp;IF('D411'!E13="Aula 12","D411 ",""))," ",",")</f>
        <v/>
      </c>
      <c r="N30" s="5">
        <f>SUBSTITUTE(TRIM(IF('C111'!E13="Lab 1","C111 ","")&amp;IF('C112'!E13="Lab 1","C112 ","")&amp;IF('C113'!E13="Lab 1","C113 ","")&amp;IF('C121'!E13="Lab 1","C121 ","")&amp;IF('C122'!E13="Lab 1","C122 ","")&amp;IF('C211'!E13="Lab 1","C211 ","")&amp;IF('C212'!E13="Lab 1","C212 ","")&amp;IF('C311'!E13="Lab 1","C311 ","")&amp;IF('C312'!E13="Lab 1","C312 ","")&amp;IF('C411'!E13="Lab 1","C411 ","")&amp;IF('C412'!E13="Lab 1","C412 ","")&amp;IF('M111'!E13="Lab 1","M111 ","")&amp;IF('M112'!E13="Lab 1","M112 ","")&amp;IF('M211'!E13="Lab 1","M211 ","")&amp;IF('M212'!E13="Lab 1","M212 ","")&amp;IF('M311'!E13="Lab 1","M311 ","")&amp;IF('M411'!E13="Lab 1","M411 ","")&amp;IF('D111'!E13="Lab 1","D111 ","")&amp;IF('D112'!E13="Lab 1","D112 ","")&amp;IF('D211'!E13="Lab 1","D211 ","")&amp;IF('D311'!E13="Lab 1","D311 ","")&amp;IF('D411'!E13="Lab 1","D411 ",""))," ",",")</f>
        <v/>
      </c>
      <c r="O30" s="5">
        <f>SUBSTITUTE(TRIM(IF('C111'!E13="Lab 2","C111 ","")&amp;IF('C112'!E13="Lab 2","C112 ","")&amp;IF('C113'!E13="Lab 2","C113 ","")&amp;IF('C121'!E13="Lab 2","C121 ","")&amp;IF('C122'!E13="Lab 2","C122 ","")&amp;IF('C211'!E13="Lab 2","C211 ","")&amp;IF('C212'!E13="Lab 2","C212 ","")&amp;IF('C311'!E13="Lab 2","C311 ","")&amp;IF('C312'!E13="Lab 2","C312 ","")&amp;IF('C411'!E13="Lab 2","C411 ","")&amp;IF('C412'!E13="Lab 2","C412 ","")&amp;IF('M111'!E13="Lab 2","M111 ","")&amp;IF('M112'!E13="Lab 2","M112 ","")&amp;IF('M211'!E13="Lab 2","M211 ","")&amp;IF('M212'!E13="Lab 2","M212 ","")&amp;IF('M311'!E13="Lab 2","M311 ","")&amp;IF('M411'!E13="Lab 2","M411 ","")&amp;IF('D111'!E13="Lab 2","D111 ","")&amp;IF('D112'!E13="Lab 2","D112 ","")&amp;IF('D211'!E13="Lab 2","D211 ","")&amp;IF('D311'!E13="Lab 2","D311 ","")&amp;IF('D411'!E13="Lab 2","D411 ",""))," ",",")</f>
        <v/>
      </c>
      <c r="P30" s="6">
        <f>SUBSTITUTE(TRIM(IF('C111'!E13="Salón","C111 ","")&amp;IF('C112'!E13="Salón","C112 ","")&amp;IF('C113'!E13="Salón","C113 ","")&amp;IF('C121'!E13="Salón","C121 ","")&amp;IF('C122'!E13="Salón","C122 ","")&amp;IF('C211'!E13="Salón","C211 ","")&amp;IF('C212'!E13="Salón","C212 ","")&amp;IF('C311'!E13="Salón","C311 ","")&amp;IF('C312'!E13="Salón","C312 ","")&amp;IF('C411'!E13="Salón","C411 ","")&amp;IF('C412'!E13="Salón","C412 ","")&amp;IF('M111'!E13="Salón","M111 ","")&amp;IF('M112'!E13="Salón","M112 ","")&amp;IF('M211'!E13="Salón","M211 ","")&amp;IF('M212'!E13="Salón","M212 ","")&amp;IF('M311'!E13="Salón","M311 ","")&amp;IF('M411'!E13="Salón","M411 ","")&amp;IF('D111'!E13="Salón","D111 ","")&amp;IF('D112'!E13="Salón","D112 ","")&amp;IF('D211'!E13="Salón","D211 ","")&amp;IF('D311'!E13="Salón","D311 ","")&amp;IF('D411'!E13="Salón","D411 ",""))," ",",")</f>
        <v/>
      </c>
    </row>
    <row r="31">
      <c r="A31" s="7" t="inlineStr">
        <is>
          <t>Turno 6</t>
        </is>
      </c>
      <c r="B31" s="8">
        <f>SUBSTITUTE(TRIM(IF('C111'!E15="Aula 1","C111 ","")&amp;IF('C112'!E15="Aula 1","C112 ","")&amp;IF('C113'!E15="Aula 1","C113 ","")&amp;IF('C121'!E15="Aula 1","C121 ","")&amp;IF('C122'!E15="Aula 1","C122 ","")&amp;IF('C211'!E15="Aula 1","C211 ","")&amp;IF('C212'!E15="Aula 1","C212 ","")&amp;IF('C311'!E15="Aula 1","C311 ","")&amp;IF('C312'!E15="Aula 1","C312 ","")&amp;IF('C411'!E15="Aula 1","C411 ","")&amp;IF('C412'!E15="Aula 1","C412 ","")&amp;IF('M111'!E15="Aula 1","M111 ","")&amp;IF('M112'!E15="Aula 1","M112 ","")&amp;IF('M211'!E15="Aula 1","M211 ","")&amp;IF('M212'!E15="Aula 1","M212 ","")&amp;IF('M311'!E15="Aula 1","M311 ","")&amp;IF('M411'!E15="Aula 1","M411 ","")&amp;IF('D111'!E15="Aula 1","D111 ","")&amp;IF('D112'!E15="Aula 1","D112 ","")&amp;IF('D211'!E15="Aula 1","D211 ","")&amp;IF('D311'!E15="Aula 1","D311 ","")&amp;IF('D411'!E15="Aula 1","D411 ",""))," ",",")</f>
        <v/>
      </c>
      <c r="C31" s="8">
        <f>SUBSTITUTE(TRIM(IF('C111'!E15="Aula 2","C111 ","")&amp;IF('C112'!E15="Aula 2","C112 ","")&amp;IF('C113'!E15="Aula 2","C113 ","")&amp;IF('C121'!E15="Aula 2","C121 ","")&amp;IF('C122'!E15="Aula 2","C122 ","")&amp;IF('C211'!E15="Aula 2","C211 ","")&amp;IF('C212'!E15="Aula 2","C212 ","")&amp;IF('C311'!E15="Aula 2","C311 ","")&amp;IF('C312'!E15="Aula 2","C312 ","")&amp;IF('C411'!E15="Aula 2","C411 ","")&amp;IF('C412'!E15="Aula 2","C412 ","")&amp;IF('M111'!E15="Aula 2","M111 ","")&amp;IF('M112'!E15="Aula 2","M112 ","")&amp;IF('M211'!E15="Aula 2","M211 ","")&amp;IF('M212'!E15="Aula 2","M212 ","")&amp;IF('M311'!E15="Aula 2","M311 ","")&amp;IF('M411'!E15="Aula 2","M411 ","")&amp;IF('D111'!E15="Aula 2","D111 ","")&amp;IF('D112'!E15="Aula 2","D112 ","")&amp;IF('D211'!E15="Aula 2","D211 ","")&amp;IF('D311'!E15="Aula 2","D311 ","")&amp;IF('D411'!E15="Aula 2","D411 ",""))," ",",")</f>
        <v/>
      </c>
      <c r="D31" s="8">
        <f>SUBSTITUTE(TRIM(IF('C111'!E15="Aula 3","C111 ","")&amp;IF('C112'!E15="Aula 3","C112 ","")&amp;IF('C113'!E15="Aula 3","C113 ","")&amp;IF('C121'!E15="Aula 3","C121 ","")&amp;IF('C122'!E15="Aula 3","C122 ","")&amp;IF('C211'!E15="Aula 3","C211 ","")&amp;IF('C212'!E15="Aula 3","C212 ","")&amp;IF('C311'!E15="Aula 3","C311 ","")&amp;IF('C312'!E15="Aula 3","C312 ","")&amp;IF('C411'!E15="Aula 3","C411 ","")&amp;IF('C412'!E15="Aula 3","C412 ","")&amp;IF('M111'!E15="Aula 3","M111 ","")&amp;IF('M112'!E15="Aula 3","M112 ","")&amp;IF('M211'!E15="Aula 3","M211 ","")&amp;IF('M212'!E15="Aula 3","M212 ","")&amp;IF('M311'!E15="Aula 3","M311 ","")&amp;IF('M411'!E15="Aula 3","M411 ","")&amp;IF('D111'!E15="Aula 3","D111 ","")&amp;IF('D112'!E15="Aula 3","D112 ","")&amp;IF('D211'!E15="Aula 3","D211 ","")&amp;IF('D311'!E15="Aula 3","D311 ","")&amp;IF('D411'!E15="Aula 3","D411 ",""))," ",",")</f>
        <v/>
      </c>
      <c r="E31" s="8">
        <f>SUBSTITUTE(TRIM(IF('C111'!E15="Aula 4","C111 ","")&amp;IF('C112'!E15="Aula 4","C112 ","")&amp;IF('C113'!E15="Aula 4","C113 ","")&amp;IF('C121'!E15="Aula 4","C121 ","")&amp;IF('C122'!E15="Aula 4","C122 ","")&amp;IF('C211'!E15="Aula 4","C211 ","")&amp;IF('C212'!E15="Aula 4","C212 ","")&amp;IF('C311'!E15="Aula 4","C311 ","")&amp;IF('C312'!E15="Aula 4","C312 ","")&amp;IF('C411'!E15="Aula 4","C411 ","")&amp;IF('C412'!E15="Aula 4","C412 ","")&amp;IF('M111'!E15="Aula 4","M111 ","")&amp;IF('M112'!E15="Aula 4","M112 ","")&amp;IF('M211'!E15="Aula 4","M211 ","")&amp;IF('M212'!E15="Aula 4","M212 ","")&amp;IF('M311'!E15="Aula 4","M311 ","")&amp;IF('M411'!E15="Aula 4","M411 ","")&amp;IF('D111'!E15="Aula 4","D111 ","")&amp;IF('D112'!E15="Aula 4","D112 ","")&amp;IF('D211'!E15="Aula 4","D211 ","")&amp;IF('D311'!E15="Aula 4","D311 ","")&amp;IF('D411'!E15="Aula 4","D411 ",""))," ",",")</f>
        <v/>
      </c>
      <c r="F31" s="8">
        <f>SUBSTITUTE(TRIM(IF('C111'!E15="Aula 5","C111 ","")&amp;IF('C112'!E15="Aula 5","C112 ","")&amp;IF('C113'!E15="Aula 5","C113 ","")&amp;IF('C121'!E15="Aula 5","C121 ","")&amp;IF('C122'!E15="Aula 5","C122 ","")&amp;IF('C211'!E15="Aula 5","C211 ","")&amp;IF('C212'!E15="Aula 5","C212 ","")&amp;IF('C311'!E15="Aula 5","C311 ","")&amp;IF('C312'!E15="Aula 5","C312 ","")&amp;IF('C411'!E15="Aula 5","C411 ","")&amp;IF('C412'!E15="Aula 5","C412 ","")&amp;IF('M111'!E15="Aula 5","M111 ","")&amp;IF('M112'!E15="Aula 5","M112 ","")&amp;IF('M211'!E15="Aula 5","M211 ","")&amp;IF('M212'!E15="Aula 5","M212 ","")&amp;IF('M311'!E15="Aula 5","M311 ","")&amp;IF('M411'!E15="Aula 5","M411 ","")&amp;IF('D111'!E15="Aula 5","D111 ","")&amp;IF('D112'!E15="Aula 5","D112 ","")&amp;IF('D211'!E15="Aula 5","D211 ","")&amp;IF('D311'!E15="Aula 5","D311 ","")&amp;IF('D411'!E15="Aula 5","D411 ",""))," ",",")</f>
        <v/>
      </c>
      <c r="G31" s="8">
        <f>SUBSTITUTE(TRIM(IF('C111'!E15="Aula 6","C111 ","")&amp;IF('C112'!E15="Aula 6","C112 ","")&amp;IF('C113'!E15="Aula 6","C113 ","")&amp;IF('C121'!E15="Aula 6","C121 ","")&amp;IF('C122'!E15="Aula 6","C122 ","")&amp;IF('C211'!E15="Aula 6","C211 ","")&amp;IF('C212'!E15="Aula 6","C212 ","")&amp;IF('C311'!E15="Aula 6","C311 ","")&amp;IF('C312'!E15="Aula 6","C312 ","")&amp;IF('C411'!E15="Aula 6","C411 ","")&amp;IF('C412'!E15="Aula 6","C412 ","")&amp;IF('M111'!E15="Aula 6","M111 ","")&amp;IF('M112'!E15="Aula 6","M112 ","")&amp;IF('M211'!E15="Aula 6","M211 ","")&amp;IF('M212'!E15="Aula 6","M212 ","")&amp;IF('M311'!E15="Aula 6","M311 ","")&amp;IF('M411'!E15="Aula 6","M411 ","")&amp;IF('D111'!E15="Aula 6","D111 ","")&amp;IF('D112'!E15="Aula 6","D112 ","")&amp;IF('D211'!E15="Aula 6","D211 ","")&amp;IF('D311'!E15="Aula 6","D311 ","")&amp;IF('D411'!E15="Aula 6","D411 ",""))," ",",")</f>
        <v/>
      </c>
      <c r="H31" s="8">
        <f>SUBSTITUTE(TRIM(IF('C111'!E15="Aula 7","C111 ","")&amp;IF('C112'!E15="Aula 7","C112 ","")&amp;IF('C113'!E15="Aula 7","C113 ","")&amp;IF('C121'!E15="Aula 7","C121 ","")&amp;IF('C122'!E15="Aula 7","C122 ","")&amp;IF('C211'!E15="Aula 7","C211 ","")&amp;IF('C212'!E15="Aula 7","C212 ","")&amp;IF('C311'!E15="Aula 7","C311 ","")&amp;IF('C312'!E15="Aula 7","C312 ","")&amp;IF('C411'!E15="Aula 7","C411 ","")&amp;IF('C412'!E15="Aula 7","C412 ","")&amp;IF('M111'!E15="Aula 7","M111 ","")&amp;IF('M112'!E15="Aula 7","M112 ","")&amp;IF('M211'!E15="Aula 7","M211 ","")&amp;IF('M212'!E15="Aula 7","M212 ","")&amp;IF('M311'!E15="Aula 7","M311 ","")&amp;IF('M411'!E15="Aula 7","M411 ","")&amp;IF('D111'!E15="Aula 7","D111 ","")&amp;IF('D112'!E15="Aula 7","D112 ","")&amp;IF('D211'!E15="Aula 7","D211 ","")&amp;IF('D311'!E15="Aula 7","D311 ","")&amp;IF('D411'!E15="Aula 7","D411 ",""))," ",",")</f>
        <v/>
      </c>
      <c r="I31" s="8">
        <f>SUBSTITUTE(TRIM(IF('C111'!E15="Aula 8","C111 ","")&amp;IF('C112'!E15="Aula 8","C112 ","")&amp;IF('C113'!E15="Aula 8","C113 ","")&amp;IF('C121'!E15="Aula 8","C121 ","")&amp;IF('C122'!E15="Aula 8","C122 ","")&amp;IF('C211'!E15="Aula 8","C211 ","")&amp;IF('C212'!E15="Aula 8","C212 ","")&amp;IF('C311'!E15="Aula 8","C311 ","")&amp;IF('C312'!E15="Aula 8","C312 ","")&amp;IF('C411'!E15="Aula 8","C411 ","")&amp;IF('C412'!E15="Aula 8","C412 ","")&amp;IF('M111'!E15="Aula 8","M111 ","")&amp;IF('M112'!E15="Aula 8","M112 ","")&amp;IF('M211'!E15="Aula 8","M211 ","")&amp;IF('M212'!E15="Aula 8","M212 ","")&amp;IF('M311'!E15="Aula 8","M311 ","")&amp;IF('M411'!E15="Aula 8","M411 ","")&amp;IF('D111'!E15="Aula 8","D111 ","")&amp;IF('D112'!E15="Aula 8","D112 ","")&amp;IF('D211'!E15="Aula 8","D211 ","")&amp;IF('D311'!E15="Aula 8","D311 ","")&amp;IF('D411'!E15="Aula 8","D411 ",""))," ",",")</f>
        <v/>
      </c>
      <c r="J31" s="8">
        <f>SUBSTITUTE(TRIM(IF('C111'!E15="Aula 9","C111 ","")&amp;IF('C112'!E15="Aula 9","C112 ","")&amp;IF('C113'!E15="Aula 9","C113 ","")&amp;IF('C121'!E15="Aula 9","C121 ","")&amp;IF('C122'!E15="Aula 9","C122 ","")&amp;IF('C211'!E15="Aula 9","C211 ","")&amp;IF('C212'!E15="Aula 9","C212 ","")&amp;IF('C311'!E15="Aula 9","C311 ","")&amp;IF('C312'!E15="Aula 9","C312 ","")&amp;IF('C411'!E15="Aula 9","C411 ","")&amp;IF('C412'!E15="Aula 9","C412 ","")&amp;IF('M111'!E15="Aula 9","M111 ","")&amp;IF('M112'!E15="Aula 9","M112 ","")&amp;IF('M211'!E15="Aula 9","M211 ","")&amp;IF('M212'!E15="Aula 9","M212 ","")&amp;IF('M311'!E15="Aula 9","M311 ","")&amp;IF('M411'!E15="Aula 9","M411 ","")&amp;IF('D111'!E15="Aula 9","D111 ","")&amp;IF('D112'!E15="Aula 9","D112 ","")&amp;IF('D211'!E15="Aula 9","D211 ","")&amp;IF('D311'!E15="Aula 9","D311 ","")&amp;IF('D411'!E15="Aula 9","D411 ",""))," ",",")</f>
        <v/>
      </c>
      <c r="K31" s="8">
        <f>SUBSTITUTE(TRIM(IF('C111'!E15="Aula 10","C111 ","")&amp;IF('C112'!E15="Aula 10","C112 ","")&amp;IF('C113'!E15="Aula 10","C113 ","")&amp;IF('C121'!E15="Aula 10","C121 ","")&amp;IF('C122'!E15="Aula 10","C122 ","")&amp;IF('C211'!E15="Aula 10","C211 ","")&amp;IF('C212'!E15="Aula 10","C212 ","")&amp;IF('C311'!E15="Aula 10","C311 ","")&amp;IF('C312'!E15="Aula 10","C312 ","")&amp;IF('C411'!E15="Aula 10","C411 ","")&amp;IF('C412'!E15="Aula 10","C412 ","")&amp;IF('M111'!E15="Aula 10","M111 ","")&amp;IF('M112'!E15="Aula 10","M112 ","")&amp;IF('M211'!E15="Aula 10","M211 ","")&amp;IF('M212'!E15="Aula 10","M212 ","")&amp;IF('M311'!E15="Aula 10","M311 ","")&amp;IF('M411'!E15="Aula 10","M411 ","")&amp;IF('D111'!E15="Aula 10","D111 ","")&amp;IF('D112'!E15="Aula 10","D112 ","")&amp;IF('D211'!E15="Aula 10","D211 ","")&amp;IF('D311'!E15="Aula 10","D311 ","")&amp;IF('D411'!E15="Aula 10","D411 ",""))," ",",")</f>
        <v/>
      </c>
      <c r="L31" s="8">
        <f>SUBSTITUTE(TRIM(IF('C111'!E15="Aula 11","C111 ","")&amp;IF('C112'!E15="Aula 11","C112 ","")&amp;IF('C113'!E15="Aula 11","C113 ","")&amp;IF('C121'!E15="Aula 11","C121 ","")&amp;IF('C122'!E15="Aula 11","C122 ","")&amp;IF('C211'!E15="Aula 11","C211 ","")&amp;IF('C212'!E15="Aula 11","C212 ","")&amp;IF('C311'!E15="Aula 11","C311 ","")&amp;IF('C312'!E15="Aula 11","C312 ","")&amp;IF('C411'!E15="Aula 11","C411 ","")&amp;IF('C412'!E15="Aula 11","C412 ","")&amp;IF('M111'!E15="Aula 11","M111 ","")&amp;IF('M112'!E15="Aula 11","M112 ","")&amp;IF('M211'!E15="Aula 11","M211 ","")&amp;IF('M212'!E15="Aula 11","M212 ","")&amp;IF('M311'!E15="Aula 11","M311 ","")&amp;IF('M411'!E15="Aula 11","M411 ","")&amp;IF('D111'!E15="Aula 11","D111 ","")&amp;IF('D112'!E15="Aula 11","D112 ","")&amp;IF('D211'!E15="Aula 11","D211 ","")&amp;IF('D311'!E15="Aula 11","D311 ","")&amp;IF('D411'!E15="Aula 11","D411 ",""))," ",",")</f>
        <v/>
      </c>
      <c r="M31" s="8">
        <f>SUBSTITUTE(TRIM(IF('C111'!E15="Aula 12","C111 ","")&amp;IF('C112'!E15="Aula 12","C112 ","")&amp;IF('C113'!E15="Aula 12","C113 ","")&amp;IF('C121'!E15="Aula 12","C121 ","")&amp;IF('C122'!E15="Aula 12","C122 ","")&amp;IF('C211'!E15="Aula 12","C211 ","")&amp;IF('C212'!E15="Aula 12","C212 ","")&amp;IF('C311'!E15="Aula 12","C311 ","")&amp;IF('C312'!E15="Aula 12","C312 ","")&amp;IF('C411'!E15="Aula 12","C411 ","")&amp;IF('C412'!E15="Aula 12","C412 ","")&amp;IF('M111'!E15="Aula 12","M111 ","")&amp;IF('M112'!E15="Aula 12","M112 ","")&amp;IF('M211'!E15="Aula 12","M211 ","")&amp;IF('M212'!E15="Aula 12","M212 ","")&amp;IF('M311'!E15="Aula 12","M311 ","")&amp;IF('M411'!E15="Aula 12","M411 ","")&amp;IF('D111'!E15="Aula 12","D111 ","")&amp;IF('D112'!E15="Aula 12","D112 ","")&amp;IF('D211'!E15="Aula 12","D211 ","")&amp;IF('D311'!E15="Aula 12","D311 ","")&amp;IF('D411'!E15="Aula 12","D411 ",""))," ",",")</f>
        <v/>
      </c>
      <c r="N31" s="8">
        <f>SUBSTITUTE(TRIM(IF('C111'!E15="Lab 1","C111 ","")&amp;IF('C112'!E15="Lab 1","C112 ","")&amp;IF('C113'!E15="Lab 1","C113 ","")&amp;IF('C121'!E15="Lab 1","C121 ","")&amp;IF('C122'!E15="Lab 1","C122 ","")&amp;IF('C211'!E15="Lab 1","C211 ","")&amp;IF('C212'!E15="Lab 1","C212 ","")&amp;IF('C311'!E15="Lab 1","C311 ","")&amp;IF('C312'!E15="Lab 1","C312 ","")&amp;IF('C411'!E15="Lab 1","C411 ","")&amp;IF('C412'!E15="Lab 1","C412 ","")&amp;IF('M111'!E15="Lab 1","M111 ","")&amp;IF('M112'!E15="Lab 1","M112 ","")&amp;IF('M211'!E15="Lab 1","M211 ","")&amp;IF('M212'!E15="Lab 1","M212 ","")&amp;IF('M311'!E15="Lab 1","M311 ","")&amp;IF('M411'!E15="Lab 1","M411 ","")&amp;IF('D111'!E15="Lab 1","D111 ","")&amp;IF('D112'!E15="Lab 1","D112 ","")&amp;IF('D211'!E15="Lab 1","D211 ","")&amp;IF('D311'!E15="Lab 1","D311 ","")&amp;IF('D411'!E15="Lab 1","D411 ",""))," ",",")</f>
        <v/>
      </c>
      <c r="O31" s="8">
        <f>SUBSTITUTE(TRIM(IF('C111'!E15="Lab 2","C111 ","")&amp;IF('C112'!E15="Lab 2","C112 ","")&amp;IF('C113'!E15="Lab 2","C113 ","")&amp;IF('C121'!E15="Lab 2","C121 ","")&amp;IF('C122'!E15="Lab 2","C122 ","")&amp;IF('C211'!E15="Lab 2","C211 ","")&amp;IF('C212'!E15="Lab 2","C212 ","")&amp;IF('C311'!E15="Lab 2","C311 ","")&amp;IF('C312'!E15="Lab 2","C312 ","")&amp;IF('C411'!E15="Lab 2","C411 ","")&amp;IF('C412'!E15="Lab 2","C412 ","")&amp;IF('M111'!E15="Lab 2","M111 ","")&amp;IF('M112'!E15="Lab 2","M112 ","")&amp;IF('M211'!E15="Lab 2","M211 ","")&amp;IF('M212'!E15="Lab 2","M212 ","")&amp;IF('M311'!E15="Lab 2","M311 ","")&amp;IF('M411'!E15="Lab 2","M411 ","")&amp;IF('D111'!E15="Lab 2","D111 ","")&amp;IF('D112'!E15="Lab 2","D112 ","")&amp;IF('D211'!E15="Lab 2","D211 ","")&amp;IF('D311'!E15="Lab 2","D311 ","")&amp;IF('D411'!E15="Lab 2","D411 ",""))," ",",")</f>
        <v/>
      </c>
      <c r="P31" s="9">
        <f>SUBSTITUTE(TRIM(IF('C111'!E15="Salón","C111 ","")&amp;IF('C112'!E15="Salón","C112 ","")&amp;IF('C113'!E15="Salón","C113 ","")&amp;IF('C121'!E15="Salón","C121 ","")&amp;IF('C122'!E15="Salón","C122 ","")&amp;IF('C211'!E15="Salón","C211 ","")&amp;IF('C212'!E15="Salón","C212 ","")&amp;IF('C311'!E15="Salón","C311 ","")&amp;IF('C312'!E15="Salón","C312 ","")&amp;IF('C411'!E15="Salón","C411 ","")&amp;IF('C412'!E15="Salón","C412 ","")&amp;IF('M111'!E15="Salón","M111 ","")&amp;IF('M112'!E15="Salón","M112 ","")&amp;IF('M211'!E15="Salón","M211 ","")&amp;IF('M212'!E15="Salón","M212 ","")&amp;IF('M311'!E15="Salón","M311 ","")&amp;IF('M411'!E15="Salón","M411 ","")&amp;IF('D111'!E15="Salón","D111 ","")&amp;IF('D112'!E15="Salón","D112 ","")&amp;IF('D211'!E15="Salón","D211 ","")&amp;IF('D311'!E15="Salón","D311 ","")&amp;IF('D411'!E15="Salón","D411 ",""))," ",",")</f>
        <v/>
      </c>
    </row>
    <row r="32"/>
    <row r="33">
      <c r="A33" s="1" t="inlineStr">
        <is>
          <t>Viernes</t>
        </is>
      </c>
      <c r="B33" s="2" t="inlineStr">
        <is>
          <t>Aula 1</t>
        </is>
      </c>
      <c r="C33" s="2" t="inlineStr">
        <is>
          <t>Aula 2</t>
        </is>
      </c>
      <c r="D33" s="2" t="inlineStr">
        <is>
          <t>Aula 3</t>
        </is>
      </c>
      <c r="E33" s="2" t="inlineStr">
        <is>
          <t>Aula 4</t>
        </is>
      </c>
      <c r="F33" s="2" t="inlineStr">
        <is>
          <t>Aula 5</t>
        </is>
      </c>
      <c r="G33" s="2" t="inlineStr">
        <is>
          <t>Aula 6</t>
        </is>
      </c>
      <c r="H33" s="2" t="inlineStr">
        <is>
          <t>Aula 7</t>
        </is>
      </c>
      <c r="I33" s="2" t="inlineStr">
        <is>
          <t>Aula 8</t>
        </is>
      </c>
      <c r="J33" s="2" t="inlineStr">
        <is>
          <t>Aula 9</t>
        </is>
      </c>
      <c r="K33" s="2" t="inlineStr">
        <is>
          <t>Aula 10</t>
        </is>
      </c>
      <c r="L33" s="2" t="inlineStr">
        <is>
          <t>Aula 11</t>
        </is>
      </c>
      <c r="M33" s="2" t="inlineStr">
        <is>
          <t>Aula 12</t>
        </is>
      </c>
      <c r="N33" s="2" t="inlineStr">
        <is>
          <t>Lab 1</t>
        </is>
      </c>
      <c r="O33" s="2" t="inlineStr">
        <is>
          <t>Lab 2</t>
        </is>
      </c>
      <c r="P33" s="3" t="inlineStr">
        <is>
          <t>Salón</t>
        </is>
      </c>
    </row>
    <row r="34">
      <c r="A34" s="4" t="inlineStr">
        <is>
          <t>Turno 1</t>
        </is>
      </c>
      <c r="B34" s="5">
        <f>SUBSTITUTE(TRIM(IF('C111'!F5="Aula 1","C111 ","")&amp;IF('C112'!F5="Aula 1","C112 ","")&amp;IF('C113'!F5="Aula 1","C113 ","")&amp;IF('C121'!F5="Aula 1","C121 ","")&amp;IF('C122'!F5="Aula 1","C122 ","")&amp;IF('C211'!F5="Aula 1","C211 ","")&amp;IF('C212'!F5="Aula 1","C212 ","")&amp;IF('C311'!F5="Aula 1","C311 ","")&amp;IF('C312'!F5="Aula 1","C312 ","")&amp;IF('C411'!F5="Aula 1","C411 ","")&amp;IF('C412'!F5="Aula 1","C412 ","")&amp;IF('M111'!F5="Aula 1","M111 ","")&amp;IF('M112'!F5="Aula 1","M112 ","")&amp;IF('M211'!F5="Aula 1","M211 ","")&amp;IF('M212'!F5="Aula 1","M212 ","")&amp;IF('M311'!F5="Aula 1","M311 ","")&amp;IF('M411'!F5="Aula 1","M411 ","")&amp;IF('D111'!F5="Aula 1","D111 ","")&amp;IF('D112'!F5="Aula 1","D112 ","")&amp;IF('D211'!F5="Aula 1","D211 ","")&amp;IF('D311'!F5="Aula 1","D311 ","")&amp;IF('D411'!F5="Aula 1","D411 ",""))," ",",")</f>
        <v/>
      </c>
      <c r="C34" s="5">
        <f>SUBSTITUTE(TRIM(IF('C111'!F5="Aula 2","C111 ","")&amp;IF('C112'!F5="Aula 2","C112 ","")&amp;IF('C113'!F5="Aula 2","C113 ","")&amp;IF('C121'!F5="Aula 2","C121 ","")&amp;IF('C122'!F5="Aula 2","C122 ","")&amp;IF('C211'!F5="Aula 2","C211 ","")&amp;IF('C212'!F5="Aula 2","C212 ","")&amp;IF('C311'!F5="Aula 2","C311 ","")&amp;IF('C312'!F5="Aula 2","C312 ","")&amp;IF('C411'!F5="Aula 2","C411 ","")&amp;IF('C412'!F5="Aula 2","C412 ","")&amp;IF('M111'!F5="Aula 2","M111 ","")&amp;IF('M112'!F5="Aula 2","M112 ","")&amp;IF('M211'!F5="Aula 2","M211 ","")&amp;IF('M212'!F5="Aula 2","M212 ","")&amp;IF('M311'!F5="Aula 2","M311 ","")&amp;IF('M411'!F5="Aula 2","M411 ","")&amp;IF('D111'!F5="Aula 2","D111 ","")&amp;IF('D112'!F5="Aula 2","D112 ","")&amp;IF('D211'!F5="Aula 2","D211 ","")&amp;IF('D311'!F5="Aula 2","D311 ","")&amp;IF('D411'!F5="Aula 2","D411 ",""))," ",",")</f>
        <v/>
      </c>
      <c r="D34" s="5">
        <f>SUBSTITUTE(TRIM(IF('C111'!F5="Aula 3","C111 ","")&amp;IF('C112'!F5="Aula 3","C112 ","")&amp;IF('C113'!F5="Aula 3","C113 ","")&amp;IF('C121'!F5="Aula 3","C121 ","")&amp;IF('C122'!F5="Aula 3","C122 ","")&amp;IF('C211'!F5="Aula 3","C211 ","")&amp;IF('C212'!F5="Aula 3","C212 ","")&amp;IF('C311'!F5="Aula 3","C311 ","")&amp;IF('C312'!F5="Aula 3","C312 ","")&amp;IF('C411'!F5="Aula 3","C411 ","")&amp;IF('C412'!F5="Aula 3","C412 ","")&amp;IF('M111'!F5="Aula 3","M111 ","")&amp;IF('M112'!F5="Aula 3","M112 ","")&amp;IF('M211'!F5="Aula 3","M211 ","")&amp;IF('M212'!F5="Aula 3","M212 ","")&amp;IF('M311'!F5="Aula 3","M311 ","")&amp;IF('M411'!F5="Aula 3","M411 ","")&amp;IF('D111'!F5="Aula 3","D111 ","")&amp;IF('D112'!F5="Aula 3","D112 ","")&amp;IF('D211'!F5="Aula 3","D211 ","")&amp;IF('D311'!F5="Aula 3","D311 ","")&amp;IF('D411'!F5="Aula 3","D411 ",""))," ",",")</f>
        <v/>
      </c>
      <c r="E34" s="5">
        <f>SUBSTITUTE(TRIM(IF('C111'!F5="Aula 4","C111 ","")&amp;IF('C112'!F5="Aula 4","C112 ","")&amp;IF('C113'!F5="Aula 4","C113 ","")&amp;IF('C121'!F5="Aula 4","C121 ","")&amp;IF('C122'!F5="Aula 4","C122 ","")&amp;IF('C211'!F5="Aula 4","C211 ","")&amp;IF('C212'!F5="Aula 4","C212 ","")&amp;IF('C311'!F5="Aula 4","C311 ","")&amp;IF('C312'!F5="Aula 4","C312 ","")&amp;IF('C411'!F5="Aula 4","C411 ","")&amp;IF('C412'!F5="Aula 4","C412 ","")&amp;IF('M111'!F5="Aula 4","M111 ","")&amp;IF('M112'!F5="Aula 4","M112 ","")&amp;IF('M211'!F5="Aula 4","M211 ","")&amp;IF('M212'!F5="Aula 4","M212 ","")&amp;IF('M311'!F5="Aula 4","M311 ","")&amp;IF('M411'!F5="Aula 4","M411 ","")&amp;IF('D111'!F5="Aula 4","D111 ","")&amp;IF('D112'!F5="Aula 4","D112 ","")&amp;IF('D211'!F5="Aula 4","D211 ","")&amp;IF('D311'!F5="Aula 4","D311 ","")&amp;IF('D411'!F5="Aula 4","D411 ",""))," ",",")</f>
        <v/>
      </c>
      <c r="F34" s="5">
        <f>SUBSTITUTE(TRIM(IF('C111'!F5="Aula 5","C111 ","")&amp;IF('C112'!F5="Aula 5","C112 ","")&amp;IF('C113'!F5="Aula 5","C113 ","")&amp;IF('C121'!F5="Aula 5","C121 ","")&amp;IF('C122'!F5="Aula 5","C122 ","")&amp;IF('C211'!F5="Aula 5","C211 ","")&amp;IF('C212'!F5="Aula 5","C212 ","")&amp;IF('C311'!F5="Aula 5","C311 ","")&amp;IF('C312'!F5="Aula 5","C312 ","")&amp;IF('C411'!F5="Aula 5","C411 ","")&amp;IF('C412'!F5="Aula 5","C412 ","")&amp;IF('M111'!F5="Aula 5","M111 ","")&amp;IF('M112'!F5="Aula 5","M112 ","")&amp;IF('M211'!F5="Aula 5","M211 ","")&amp;IF('M212'!F5="Aula 5","M212 ","")&amp;IF('M311'!F5="Aula 5","M311 ","")&amp;IF('M411'!F5="Aula 5","M411 ","")&amp;IF('D111'!F5="Aula 5","D111 ","")&amp;IF('D112'!F5="Aula 5","D112 ","")&amp;IF('D211'!F5="Aula 5","D211 ","")&amp;IF('D311'!F5="Aula 5","D311 ","")&amp;IF('D411'!F5="Aula 5","D411 ",""))," ",",")</f>
        <v/>
      </c>
      <c r="G34" s="5">
        <f>SUBSTITUTE(TRIM(IF('C111'!F5="Aula 6","C111 ","")&amp;IF('C112'!F5="Aula 6","C112 ","")&amp;IF('C113'!F5="Aula 6","C113 ","")&amp;IF('C121'!F5="Aula 6","C121 ","")&amp;IF('C122'!F5="Aula 6","C122 ","")&amp;IF('C211'!F5="Aula 6","C211 ","")&amp;IF('C212'!F5="Aula 6","C212 ","")&amp;IF('C311'!F5="Aula 6","C311 ","")&amp;IF('C312'!F5="Aula 6","C312 ","")&amp;IF('C411'!F5="Aula 6","C411 ","")&amp;IF('C412'!F5="Aula 6","C412 ","")&amp;IF('M111'!F5="Aula 6","M111 ","")&amp;IF('M112'!F5="Aula 6","M112 ","")&amp;IF('M211'!F5="Aula 6","M211 ","")&amp;IF('M212'!F5="Aula 6","M212 ","")&amp;IF('M311'!F5="Aula 6","M311 ","")&amp;IF('M411'!F5="Aula 6","M411 ","")&amp;IF('D111'!F5="Aula 6","D111 ","")&amp;IF('D112'!F5="Aula 6","D112 ","")&amp;IF('D211'!F5="Aula 6","D211 ","")&amp;IF('D311'!F5="Aula 6","D311 ","")&amp;IF('D411'!F5="Aula 6","D411 ",""))," ",",")</f>
        <v/>
      </c>
      <c r="H34" s="5">
        <f>SUBSTITUTE(TRIM(IF('C111'!F5="Aula 7","C111 ","")&amp;IF('C112'!F5="Aula 7","C112 ","")&amp;IF('C113'!F5="Aula 7","C113 ","")&amp;IF('C121'!F5="Aula 7","C121 ","")&amp;IF('C122'!F5="Aula 7","C122 ","")&amp;IF('C211'!F5="Aula 7","C211 ","")&amp;IF('C212'!F5="Aula 7","C212 ","")&amp;IF('C311'!F5="Aula 7","C311 ","")&amp;IF('C312'!F5="Aula 7","C312 ","")&amp;IF('C411'!F5="Aula 7","C411 ","")&amp;IF('C412'!F5="Aula 7","C412 ","")&amp;IF('M111'!F5="Aula 7","M111 ","")&amp;IF('M112'!F5="Aula 7","M112 ","")&amp;IF('M211'!F5="Aula 7","M211 ","")&amp;IF('M212'!F5="Aula 7","M212 ","")&amp;IF('M311'!F5="Aula 7","M311 ","")&amp;IF('M411'!F5="Aula 7","M411 ","")&amp;IF('D111'!F5="Aula 7","D111 ","")&amp;IF('D112'!F5="Aula 7","D112 ","")&amp;IF('D211'!F5="Aula 7","D211 ","")&amp;IF('D311'!F5="Aula 7","D311 ","")&amp;IF('D411'!F5="Aula 7","D411 ",""))," ",",")</f>
        <v/>
      </c>
      <c r="I34" s="5">
        <f>SUBSTITUTE(TRIM(IF('C111'!F5="Aula 8","C111 ","")&amp;IF('C112'!F5="Aula 8","C112 ","")&amp;IF('C113'!F5="Aula 8","C113 ","")&amp;IF('C121'!F5="Aula 8","C121 ","")&amp;IF('C122'!F5="Aula 8","C122 ","")&amp;IF('C211'!F5="Aula 8","C211 ","")&amp;IF('C212'!F5="Aula 8","C212 ","")&amp;IF('C311'!F5="Aula 8","C311 ","")&amp;IF('C312'!F5="Aula 8","C312 ","")&amp;IF('C411'!F5="Aula 8","C411 ","")&amp;IF('C412'!F5="Aula 8","C412 ","")&amp;IF('M111'!F5="Aula 8","M111 ","")&amp;IF('M112'!F5="Aula 8","M112 ","")&amp;IF('M211'!F5="Aula 8","M211 ","")&amp;IF('M212'!F5="Aula 8","M212 ","")&amp;IF('M311'!F5="Aula 8","M311 ","")&amp;IF('M411'!F5="Aula 8","M411 ","")&amp;IF('D111'!F5="Aula 8","D111 ","")&amp;IF('D112'!F5="Aula 8","D112 ","")&amp;IF('D211'!F5="Aula 8","D211 ","")&amp;IF('D311'!F5="Aula 8","D311 ","")&amp;IF('D411'!F5="Aula 8","D411 ",""))," ",",")</f>
        <v/>
      </c>
      <c r="J34" s="5">
        <f>SUBSTITUTE(TRIM(IF('C111'!F5="Aula 9","C111 ","")&amp;IF('C112'!F5="Aula 9","C112 ","")&amp;IF('C113'!F5="Aula 9","C113 ","")&amp;IF('C121'!F5="Aula 9","C121 ","")&amp;IF('C122'!F5="Aula 9","C122 ","")&amp;IF('C211'!F5="Aula 9","C211 ","")&amp;IF('C212'!F5="Aula 9","C212 ","")&amp;IF('C311'!F5="Aula 9","C311 ","")&amp;IF('C312'!F5="Aula 9","C312 ","")&amp;IF('C411'!F5="Aula 9","C411 ","")&amp;IF('C412'!F5="Aula 9","C412 ","")&amp;IF('M111'!F5="Aula 9","M111 ","")&amp;IF('M112'!F5="Aula 9","M112 ","")&amp;IF('M211'!F5="Aula 9","M211 ","")&amp;IF('M212'!F5="Aula 9","M212 ","")&amp;IF('M311'!F5="Aula 9","M311 ","")&amp;IF('M411'!F5="Aula 9","M411 ","")&amp;IF('D111'!F5="Aula 9","D111 ","")&amp;IF('D112'!F5="Aula 9","D112 ","")&amp;IF('D211'!F5="Aula 9","D211 ","")&amp;IF('D311'!F5="Aula 9","D311 ","")&amp;IF('D411'!F5="Aula 9","D411 ",""))," ",",")</f>
        <v/>
      </c>
      <c r="K34" s="5">
        <f>SUBSTITUTE(TRIM(IF('C111'!F5="Aula 10","C111 ","")&amp;IF('C112'!F5="Aula 10","C112 ","")&amp;IF('C113'!F5="Aula 10","C113 ","")&amp;IF('C121'!F5="Aula 10","C121 ","")&amp;IF('C122'!F5="Aula 10","C122 ","")&amp;IF('C211'!F5="Aula 10","C211 ","")&amp;IF('C212'!F5="Aula 10","C212 ","")&amp;IF('C311'!F5="Aula 10","C311 ","")&amp;IF('C312'!F5="Aula 10","C312 ","")&amp;IF('C411'!F5="Aula 10","C411 ","")&amp;IF('C412'!F5="Aula 10","C412 ","")&amp;IF('M111'!F5="Aula 10","M111 ","")&amp;IF('M112'!F5="Aula 10","M112 ","")&amp;IF('M211'!F5="Aula 10","M211 ","")&amp;IF('M212'!F5="Aula 10","M212 ","")&amp;IF('M311'!F5="Aula 10","M311 ","")&amp;IF('M411'!F5="Aula 10","M411 ","")&amp;IF('D111'!F5="Aula 10","D111 ","")&amp;IF('D112'!F5="Aula 10","D112 ","")&amp;IF('D211'!F5="Aula 10","D211 ","")&amp;IF('D311'!F5="Aula 10","D311 ","")&amp;IF('D411'!F5="Aula 10","D411 ",""))," ",",")</f>
        <v/>
      </c>
      <c r="L34" s="5">
        <f>SUBSTITUTE(TRIM(IF('C111'!F5="Aula 11","C111 ","")&amp;IF('C112'!F5="Aula 11","C112 ","")&amp;IF('C113'!F5="Aula 11","C113 ","")&amp;IF('C121'!F5="Aula 11","C121 ","")&amp;IF('C122'!F5="Aula 11","C122 ","")&amp;IF('C211'!F5="Aula 11","C211 ","")&amp;IF('C212'!F5="Aula 11","C212 ","")&amp;IF('C311'!F5="Aula 11","C311 ","")&amp;IF('C312'!F5="Aula 11","C312 ","")&amp;IF('C411'!F5="Aula 11","C411 ","")&amp;IF('C412'!F5="Aula 11","C412 ","")&amp;IF('M111'!F5="Aula 11","M111 ","")&amp;IF('M112'!F5="Aula 11","M112 ","")&amp;IF('M211'!F5="Aula 11","M211 ","")&amp;IF('M212'!F5="Aula 11","M212 ","")&amp;IF('M311'!F5="Aula 11","M311 ","")&amp;IF('M411'!F5="Aula 11","M411 ","")&amp;IF('D111'!F5="Aula 11","D111 ","")&amp;IF('D112'!F5="Aula 11","D112 ","")&amp;IF('D211'!F5="Aula 11","D211 ","")&amp;IF('D311'!F5="Aula 11","D311 ","")&amp;IF('D411'!F5="Aula 11","D411 ",""))," ",",")</f>
        <v/>
      </c>
      <c r="M34" s="5">
        <f>SUBSTITUTE(TRIM(IF('C111'!F5="Aula 12","C111 ","")&amp;IF('C112'!F5="Aula 12","C112 ","")&amp;IF('C113'!F5="Aula 12","C113 ","")&amp;IF('C121'!F5="Aula 12","C121 ","")&amp;IF('C122'!F5="Aula 12","C122 ","")&amp;IF('C211'!F5="Aula 12","C211 ","")&amp;IF('C212'!F5="Aula 12","C212 ","")&amp;IF('C311'!F5="Aula 12","C311 ","")&amp;IF('C312'!F5="Aula 12","C312 ","")&amp;IF('C411'!F5="Aula 12","C411 ","")&amp;IF('C412'!F5="Aula 12","C412 ","")&amp;IF('M111'!F5="Aula 12","M111 ","")&amp;IF('M112'!F5="Aula 12","M112 ","")&amp;IF('M211'!F5="Aula 12","M211 ","")&amp;IF('M212'!F5="Aula 12","M212 ","")&amp;IF('M311'!F5="Aula 12","M311 ","")&amp;IF('M411'!F5="Aula 12","M411 ","")&amp;IF('D111'!F5="Aula 12","D111 ","")&amp;IF('D112'!F5="Aula 12","D112 ","")&amp;IF('D211'!F5="Aula 12","D211 ","")&amp;IF('D311'!F5="Aula 12","D311 ","")&amp;IF('D411'!F5="Aula 12","D411 ",""))," ",",")</f>
        <v/>
      </c>
      <c r="N34" s="5">
        <f>SUBSTITUTE(TRIM(IF('C111'!F5="Lab 1","C111 ","")&amp;IF('C112'!F5="Lab 1","C112 ","")&amp;IF('C113'!F5="Lab 1","C113 ","")&amp;IF('C121'!F5="Lab 1","C121 ","")&amp;IF('C122'!F5="Lab 1","C122 ","")&amp;IF('C211'!F5="Lab 1","C211 ","")&amp;IF('C212'!F5="Lab 1","C212 ","")&amp;IF('C311'!F5="Lab 1","C311 ","")&amp;IF('C312'!F5="Lab 1","C312 ","")&amp;IF('C411'!F5="Lab 1","C411 ","")&amp;IF('C412'!F5="Lab 1","C412 ","")&amp;IF('M111'!F5="Lab 1","M111 ","")&amp;IF('M112'!F5="Lab 1","M112 ","")&amp;IF('M211'!F5="Lab 1","M211 ","")&amp;IF('M212'!F5="Lab 1","M212 ","")&amp;IF('M311'!F5="Lab 1","M311 ","")&amp;IF('M411'!F5="Lab 1","M411 ","")&amp;IF('D111'!F5="Lab 1","D111 ","")&amp;IF('D112'!F5="Lab 1","D112 ","")&amp;IF('D211'!F5="Lab 1","D211 ","")&amp;IF('D311'!F5="Lab 1","D311 ","")&amp;IF('D411'!F5="Lab 1","D411 ",""))," ",",")</f>
        <v/>
      </c>
      <c r="O34" s="5">
        <f>SUBSTITUTE(TRIM(IF('C111'!F5="Lab 2","C111 ","")&amp;IF('C112'!F5="Lab 2","C112 ","")&amp;IF('C113'!F5="Lab 2","C113 ","")&amp;IF('C121'!F5="Lab 2","C121 ","")&amp;IF('C122'!F5="Lab 2","C122 ","")&amp;IF('C211'!F5="Lab 2","C211 ","")&amp;IF('C212'!F5="Lab 2","C212 ","")&amp;IF('C311'!F5="Lab 2","C311 ","")&amp;IF('C312'!F5="Lab 2","C312 ","")&amp;IF('C411'!F5="Lab 2","C411 ","")&amp;IF('C412'!F5="Lab 2","C412 ","")&amp;IF('M111'!F5="Lab 2","M111 ","")&amp;IF('M112'!F5="Lab 2","M112 ","")&amp;IF('M211'!F5="Lab 2","M211 ","")&amp;IF('M212'!F5="Lab 2","M212 ","")&amp;IF('M311'!F5="Lab 2","M311 ","")&amp;IF('M411'!F5="Lab 2","M411 ","")&amp;IF('D111'!F5="Lab 2","D111 ","")&amp;IF('D112'!F5="Lab 2","D112 ","")&amp;IF('D211'!F5="Lab 2","D211 ","")&amp;IF('D311'!F5="Lab 2","D311 ","")&amp;IF('D411'!F5="Lab 2","D411 ",""))," ",",")</f>
        <v/>
      </c>
      <c r="P34" s="6">
        <f>SUBSTITUTE(TRIM(IF('C111'!F5="Salón","C111 ","")&amp;IF('C112'!F5="Salón","C112 ","")&amp;IF('C113'!F5="Salón","C113 ","")&amp;IF('C121'!F5="Salón","C121 ","")&amp;IF('C122'!F5="Salón","C122 ","")&amp;IF('C211'!F5="Salón","C211 ","")&amp;IF('C212'!F5="Salón","C212 ","")&amp;IF('C311'!F5="Salón","C311 ","")&amp;IF('C312'!F5="Salón","C312 ","")&amp;IF('C411'!F5="Salón","C411 ","")&amp;IF('C412'!F5="Salón","C412 ","")&amp;IF('M111'!F5="Salón","M111 ","")&amp;IF('M112'!F5="Salón","M112 ","")&amp;IF('M211'!F5="Salón","M211 ","")&amp;IF('M212'!F5="Salón","M212 ","")&amp;IF('M311'!F5="Salón","M311 ","")&amp;IF('M411'!F5="Salón","M411 ","")&amp;IF('D111'!F5="Salón","D111 ","")&amp;IF('D112'!F5="Salón","D112 ","")&amp;IF('D211'!F5="Salón","D211 ","")&amp;IF('D311'!F5="Salón","D311 ","")&amp;IF('D411'!F5="Salón","D411 ",""))," ",",")</f>
        <v/>
      </c>
    </row>
    <row r="35">
      <c r="A35" s="4" t="inlineStr">
        <is>
          <t>Turno 2</t>
        </is>
      </c>
      <c r="B35" s="5">
        <f>SUBSTITUTE(TRIM(IF('C111'!F7="Aula 1","C111 ","")&amp;IF('C112'!F7="Aula 1","C112 ","")&amp;IF('C113'!F7="Aula 1","C113 ","")&amp;IF('C121'!F7="Aula 1","C121 ","")&amp;IF('C122'!F7="Aula 1","C122 ","")&amp;IF('C211'!F7="Aula 1","C211 ","")&amp;IF('C212'!F7="Aula 1","C212 ","")&amp;IF('C311'!F7="Aula 1","C311 ","")&amp;IF('C312'!F7="Aula 1","C312 ","")&amp;IF('C411'!F7="Aula 1","C411 ","")&amp;IF('C412'!F7="Aula 1","C412 ","")&amp;IF('M111'!F7="Aula 1","M111 ","")&amp;IF('M112'!F7="Aula 1","M112 ","")&amp;IF('M211'!F7="Aula 1","M211 ","")&amp;IF('M212'!F7="Aula 1","M212 ","")&amp;IF('M311'!F7="Aula 1","M311 ","")&amp;IF('M411'!F7="Aula 1","M411 ","")&amp;IF('D111'!F7="Aula 1","D111 ","")&amp;IF('D112'!F7="Aula 1","D112 ","")&amp;IF('D211'!F7="Aula 1","D211 ","")&amp;IF('D311'!F7="Aula 1","D311 ","")&amp;IF('D411'!F7="Aula 1","D411 ",""))," ",",")</f>
        <v/>
      </c>
      <c r="C35" s="5">
        <f>SUBSTITUTE(TRIM(IF('C111'!F7="Aula 2","C111 ","")&amp;IF('C112'!F7="Aula 2","C112 ","")&amp;IF('C113'!F7="Aula 2","C113 ","")&amp;IF('C121'!F7="Aula 2","C121 ","")&amp;IF('C122'!F7="Aula 2","C122 ","")&amp;IF('C211'!F7="Aula 2","C211 ","")&amp;IF('C212'!F7="Aula 2","C212 ","")&amp;IF('C311'!F7="Aula 2","C311 ","")&amp;IF('C312'!F7="Aula 2","C312 ","")&amp;IF('C411'!F7="Aula 2","C411 ","")&amp;IF('C412'!F7="Aula 2","C412 ","")&amp;IF('M111'!F7="Aula 2","M111 ","")&amp;IF('M112'!F7="Aula 2","M112 ","")&amp;IF('M211'!F7="Aula 2","M211 ","")&amp;IF('M212'!F7="Aula 2","M212 ","")&amp;IF('M311'!F7="Aula 2","M311 ","")&amp;IF('M411'!F7="Aula 2","M411 ","")&amp;IF('D111'!F7="Aula 2","D111 ","")&amp;IF('D112'!F7="Aula 2","D112 ","")&amp;IF('D211'!F7="Aula 2","D211 ","")&amp;IF('D311'!F7="Aula 2","D311 ","")&amp;IF('D411'!F7="Aula 2","D411 ",""))," ",",")</f>
        <v/>
      </c>
      <c r="D35" s="5">
        <f>SUBSTITUTE(TRIM(IF('C111'!F7="Aula 3","C111 ","")&amp;IF('C112'!F7="Aula 3","C112 ","")&amp;IF('C113'!F7="Aula 3","C113 ","")&amp;IF('C121'!F7="Aula 3","C121 ","")&amp;IF('C122'!F7="Aula 3","C122 ","")&amp;IF('C211'!F7="Aula 3","C211 ","")&amp;IF('C212'!F7="Aula 3","C212 ","")&amp;IF('C311'!F7="Aula 3","C311 ","")&amp;IF('C312'!F7="Aula 3","C312 ","")&amp;IF('C411'!F7="Aula 3","C411 ","")&amp;IF('C412'!F7="Aula 3","C412 ","")&amp;IF('M111'!F7="Aula 3","M111 ","")&amp;IF('M112'!F7="Aula 3","M112 ","")&amp;IF('M211'!F7="Aula 3","M211 ","")&amp;IF('M212'!F7="Aula 3","M212 ","")&amp;IF('M311'!F7="Aula 3","M311 ","")&amp;IF('M411'!F7="Aula 3","M411 ","")&amp;IF('D111'!F7="Aula 3","D111 ","")&amp;IF('D112'!F7="Aula 3","D112 ","")&amp;IF('D211'!F7="Aula 3","D211 ","")&amp;IF('D311'!F7="Aula 3","D311 ","")&amp;IF('D411'!F7="Aula 3","D411 ",""))," ",",")</f>
        <v/>
      </c>
      <c r="E35" s="5">
        <f>SUBSTITUTE(TRIM(IF('C111'!F7="Aula 4","C111 ","")&amp;IF('C112'!F7="Aula 4","C112 ","")&amp;IF('C113'!F7="Aula 4","C113 ","")&amp;IF('C121'!F7="Aula 4","C121 ","")&amp;IF('C122'!F7="Aula 4","C122 ","")&amp;IF('C211'!F7="Aula 4","C211 ","")&amp;IF('C212'!F7="Aula 4","C212 ","")&amp;IF('C311'!F7="Aula 4","C311 ","")&amp;IF('C312'!F7="Aula 4","C312 ","")&amp;IF('C411'!F7="Aula 4","C411 ","")&amp;IF('C412'!F7="Aula 4","C412 ","")&amp;IF('M111'!F7="Aula 4","M111 ","")&amp;IF('M112'!F7="Aula 4","M112 ","")&amp;IF('M211'!F7="Aula 4","M211 ","")&amp;IF('M212'!F7="Aula 4","M212 ","")&amp;IF('M311'!F7="Aula 4","M311 ","")&amp;IF('M411'!F7="Aula 4","M411 ","")&amp;IF('D111'!F7="Aula 4","D111 ","")&amp;IF('D112'!F7="Aula 4","D112 ","")&amp;IF('D211'!F7="Aula 4","D211 ","")&amp;IF('D311'!F7="Aula 4","D311 ","")&amp;IF('D411'!F7="Aula 4","D411 ",""))," ",",")</f>
        <v/>
      </c>
      <c r="F35" s="5">
        <f>SUBSTITUTE(TRIM(IF('C111'!F7="Aula 5","C111 ","")&amp;IF('C112'!F7="Aula 5","C112 ","")&amp;IF('C113'!F7="Aula 5","C113 ","")&amp;IF('C121'!F7="Aula 5","C121 ","")&amp;IF('C122'!F7="Aula 5","C122 ","")&amp;IF('C211'!F7="Aula 5","C211 ","")&amp;IF('C212'!F7="Aula 5","C212 ","")&amp;IF('C311'!F7="Aula 5","C311 ","")&amp;IF('C312'!F7="Aula 5","C312 ","")&amp;IF('C411'!F7="Aula 5","C411 ","")&amp;IF('C412'!F7="Aula 5","C412 ","")&amp;IF('M111'!F7="Aula 5","M111 ","")&amp;IF('M112'!F7="Aula 5","M112 ","")&amp;IF('M211'!F7="Aula 5","M211 ","")&amp;IF('M212'!F7="Aula 5","M212 ","")&amp;IF('M311'!F7="Aula 5","M311 ","")&amp;IF('M411'!F7="Aula 5","M411 ","")&amp;IF('D111'!F7="Aula 5","D111 ","")&amp;IF('D112'!F7="Aula 5","D112 ","")&amp;IF('D211'!F7="Aula 5","D211 ","")&amp;IF('D311'!F7="Aula 5","D311 ","")&amp;IF('D411'!F7="Aula 5","D411 ",""))," ",",")</f>
        <v/>
      </c>
      <c r="G35" s="5">
        <f>SUBSTITUTE(TRIM(IF('C111'!F7="Aula 6","C111 ","")&amp;IF('C112'!F7="Aula 6","C112 ","")&amp;IF('C113'!F7="Aula 6","C113 ","")&amp;IF('C121'!F7="Aula 6","C121 ","")&amp;IF('C122'!F7="Aula 6","C122 ","")&amp;IF('C211'!F7="Aula 6","C211 ","")&amp;IF('C212'!F7="Aula 6","C212 ","")&amp;IF('C311'!F7="Aula 6","C311 ","")&amp;IF('C312'!F7="Aula 6","C312 ","")&amp;IF('C411'!F7="Aula 6","C411 ","")&amp;IF('C412'!F7="Aula 6","C412 ","")&amp;IF('M111'!F7="Aula 6","M111 ","")&amp;IF('M112'!F7="Aula 6","M112 ","")&amp;IF('M211'!F7="Aula 6","M211 ","")&amp;IF('M212'!F7="Aula 6","M212 ","")&amp;IF('M311'!F7="Aula 6","M311 ","")&amp;IF('M411'!F7="Aula 6","M411 ","")&amp;IF('D111'!F7="Aula 6","D111 ","")&amp;IF('D112'!F7="Aula 6","D112 ","")&amp;IF('D211'!F7="Aula 6","D211 ","")&amp;IF('D311'!F7="Aula 6","D311 ","")&amp;IF('D411'!F7="Aula 6","D411 ",""))," ",",")</f>
        <v/>
      </c>
      <c r="H35" s="5">
        <f>SUBSTITUTE(TRIM(IF('C111'!F7="Aula 7","C111 ","")&amp;IF('C112'!F7="Aula 7","C112 ","")&amp;IF('C113'!F7="Aula 7","C113 ","")&amp;IF('C121'!F7="Aula 7","C121 ","")&amp;IF('C122'!F7="Aula 7","C122 ","")&amp;IF('C211'!F7="Aula 7","C211 ","")&amp;IF('C212'!F7="Aula 7","C212 ","")&amp;IF('C311'!F7="Aula 7","C311 ","")&amp;IF('C312'!F7="Aula 7","C312 ","")&amp;IF('C411'!F7="Aula 7","C411 ","")&amp;IF('C412'!F7="Aula 7","C412 ","")&amp;IF('M111'!F7="Aula 7","M111 ","")&amp;IF('M112'!F7="Aula 7","M112 ","")&amp;IF('M211'!F7="Aula 7","M211 ","")&amp;IF('M212'!F7="Aula 7","M212 ","")&amp;IF('M311'!F7="Aula 7","M311 ","")&amp;IF('M411'!F7="Aula 7","M411 ","")&amp;IF('D111'!F7="Aula 7","D111 ","")&amp;IF('D112'!F7="Aula 7","D112 ","")&amp;IF('D211'!F7="Aula 7","D211 ","")&amp;IF('D311'!F7="Aula 7","D311 ","")&amp;IF('D411'!F7="Aula 7","D411 ",""))," ",",")</f>
        <v/>
      </c>
      <c r="I35" s="5">
        <f>SUBSTITUTE(TRIM(IF('C111'!F7="Aula 8","C111 ","")&amp;IF('C112'!F7="Aula 8","C112 ","")&amp;IF('C113'!F7="Aula 8","C113 ","")&amp;IF('C121'!F7="Aula 8","C121 ","")&amp;IF('C122'!F7="Aula 8","C122 ","")&amp;IF('C211'!F7="Aula 8","C211 ","")&amp;IF('C212'!F7="Aula 8","C212 ","")&amp;IF('C311'!F7="Aula 8","C311 ","")&amp;IF('C312'!F7="Aula 8","C312 ","")&amp;IF('C411'!F7="Aula 8","C411 ","")&amp;IF('C412'!F7="Aula 8","C412 ","")&amp;IF('M111'!F7="Aula 8","M111 ","")&amp;IF('M112'!F7="Aula 8","M112 ","")&amp;IF('M211'!F7="Aula 8","M211 ","")&amp;IF('M212'!F7="Aula 8","M212 ","")&amp;IF('M311'!F7="Aula 8","M311 ","")&amp;IF('M411'!F7="Aula 8","M411 ","")&amp;IF('D111'!F7="Aula 8","D111 ","")&amp;IF('D112'!F7="Aula 8","D112 ","")&amp;IF('D211'!F7="Aula 8","D211 ","")&amp;IF('D311'!F7="Aula 8","D311 ","")&amp;IF('D411'!F7="Aula 8","D411 ",""))," ",",")</f>
        <v/>
      </c>
      <c r="J35" s="5">
        <f>SUBSTITUTE(TRIM(IF('C111'!F7="Aula 9","C111 ","")&amp;IF('C112'!F7="Aula 9","C112 ","")&amp;IF('C113'!F7="Aula 9","C113 ","")&amp;IF('C121'!F7="Aula 9","C121 ","")&amp;IF('C122'!F7="Aula 9","C122 ","")&amp;IF('C211'!F7="Aula 9","C211 ","")&amp;IF('C212'!F7="Aula 9","C212 ","")&amp;IF('C311'!F7="Aula 9","C311 ","")&amp;IF('C312'!F7="Aula 9","C312 ","")&amp;IF('C411'!F7="Aula 9","C411 ","")&amp;IF('C412'!F7="Aula 9","C412 ","")&amp;IF('M111'!F7="Aula 9","M111 ","")&amp;IF('M112'!F7="Aula 9","M112 ","")&amp;IF('M211'!F7="Aula 9","M211 ","")&amp;IF('M212'!F7="Aula 9","M212 ","")&amp;IF('M311'!F7="Aula 9","M311 ","")&amp;IF('M411'!F7="Aula 9","M411 ","")&amp;IF('D111'!F7="Aula 9","D111 ","")&amp;IF('D112'!F7="Aula 9","D112 ","")&amp;IF('D211'!F7="Aula 9","D211 ","")&amp;IF('D311'!F7="Aula 9","D311 ","")&amp;IF('D411'!F7="Aula 9","D411 ",""))," ",",")</f>
        <v/>
      </c>
      <c r="K35" s="5">
        <f>SUBSTITUTE(TRIM(IF('C111'!F7="Aula 10","C111 ","")&amp;IF('C112'!F7="Aula 10","C112 ","")&amp;IF('C113'!F7="Aula 10","C113 ","")&amp;IF('C121'!F7="Aula 10","C121 ","")&amp;IF('C122'!F7="Aula 10","C122 ","")&amp;IF('C211'!F7="Aula 10","C211 ","")&amp;IF('C212'!F7="Aula 10","C212 ","")&amp;IF('C311'!F7="Aula 10","C311 ","")&amp;IF('C312'!F7="Aula 10","C312 ","")&amp;IF('C411'!F7="Aula 10","C411 ","")&amp;IF('C412'!F7="Aula 10","C412 ","")&amp;IF('M111'!F7="Aula 10","M111 ","")&amp;IF('M112'!F7="Aula 10","M112 ","")&amp;IF('M211'!F7="Aula 10","M211 ","")&amp;IF('M212'!F7="Aula 10","M212 ","")&amp;IF('M311'!F7="Aula 10","M311 ","")&amp;IF('M411'!F7="Aula 10","M411 ","")&amp;IF('D111'!F7="Aula 10","D111 ","")&amp;IF('D112'!F7="Aula 10","D112 ","")&amp;IF('D211'!F7="Aula 10","D211 ","")&amp;IF('D311'!F7="Aula 10","D311 ","")&amp;IF('D411'!F7="Aula 10","D411 ",""))," ",",")</f>
        <v/>
      </c>
      <c r="L35" s="5">
        <f>SUBSTITUTE(TRIM(IF('C111'!F7="Aula 11","C111 ","")&amp;IF('C112'!F7="Aula 11","C112 ","")&amp;IF('C113'!F7="Aula 11","C113 ","")&amp;IF('C121'!F7="Aula 11","C121 ","")&amp;IF('C122'!F7="Aula 11","C122 ","")&amp;IF('C211'!F7="Aula 11","C211 ","")&amp;IF('C212'!F7="Aula 11","C212 ","")&amp;IF('C311'!F7="Aula 11","C311 ","")&amp;IF('C312'!F7="Aula 11","C312 ","")&amp;IF('C411'!F7="Aula 11","C411 ","")&amp;IF('C412'!F7="Aula 11","C412 ","")&amp;IF('M111'!F7="Aula 11","M111 ","")&amp;IF('M112'!F7="Aula 11","M112 ","")&amp;IF('M211'!F7="Aula 11","M211 ","")&amp;IF('M212'!F7="Aula 11","M212 ","")&amp;IF('M311'!F7="Aula 11","M311 ","")&amp;IF('M411'!F7="Aula 11","M411 ","")&amp;IF('D111'!F7="Aula 11","D111 ","")&amp;IF('D112'!F7="Aula 11","D112 ","")&amp;IF('D211'!F7="Aula 11","D211 ","")&amp;IF('D311'!F7="Aula 11","D311 ","")&amp;IF('D411'!F7="Aula 11","D411 ",""))," ",",")</f>
        <v/>
      </c>
      <c r="M35" s="5">
        <f>SUBSTITUTE(TRIM(IF('C111'!F7="Aula 12","C111 ","")&amp;IF('C112'!F7="Aula 12","C112 ","")&amp;IF('C113'!F7="Aula 12","C113 ","")&amp;IF('C121'!F7="Aula 12","C121 ","")&amp;IF('C122'!F7="Aula 12","C122 ","")&amp;IF('C211'!F7="Aula 12","C211 ","")&amp;IF('C212'!F7="Aula 12","C212 ","")&amp;IF('C311'!F7="Aula 12","C311 ","")&amp;IF('C312'!F7="Aula 12","C312 ","")&amp;IF('C411'!F7="Aula 12","C411 ","")&amp;IF('C412'!F7="Aula 12","C412 ","")&amp;IF('M111'!F7="Aula 12","M111 ","")&amp;IF('M112'!F7="Aula 12","M112 ","")&amp;IF('M211'!F7="Aula 12","M211 ","")&amp;IF('M212'!F7="Aula 12","M212 ","")&amp;IF('M311'!F7="Aula 12","M311 ","")&amp;IF('M411'!F7="Aula 12","M411 ","")&amp;IF('D111'!F7="Aula 12","D111 ","")&amp;IF('D112'!F7="Aula 12","D112 ","")&amp;IF('D211'!F7="Aula 12","D211 ","")&amp;IF('D311'!F7="Aula 12","D311 ","")&amp;IF('D411'!F7="Aula 12","D411 ",""))," ",",")</f>
        <v/>
      </c>
      <c r="N35" s="5">
        <f>SUBSTITUTE(TRIM(IF('C111'!F7="Lab 1","C111 ","")&amp;IF('C112'!F7="Lab 1","C112 ","")&amp;IF('C113'!F7="Lab 1","C113 ","")&amp;IF('C121'!F7="Lab 1","C121 ","")&amp;IF('C122'!F7="Lab 1","C122 ","")&amp;IF('C211'!F7="Lab 1","C211 ","")&amp;IF('C212'!F7="Lab 1","C212 ","")&amp;IF('C311'!F7="Lab 1","C311 ","")&amp;IF('C312'!F7="Lab 1","C312 ","")&amp;IF('C411'!F7="Lab 1","C411 ","")&amp;IF('C412'!F7="Lab 1","C412 ","")&amp;IF('M111'!F7="Lab 1","M111 ","")&amp;IF('M112'!F7="Lab 1","M112 ","")&amp;IF('M211'!F7="Lab 1","M211 ","")&amp;IF('M212'!F7="Lab 1","M212 ","")&amp;IF('M311'!F7="Lab 1","M311 ","")&amp;IF('M411'!F7="Lab 1","M411 ","")&amp;IF('D111'!F7="Lab 1","D111 ","")&amp;IF('D112'!F7="Lab 1","D112 ","")&amp;IF('D211'!F7="Lab 1","D211 ","")&amp;IF('D311'!F7="Lab 1","D311 ","")&amp;IF('D411'!F7="Lab 1","D411 ",""))," ",",")</f>
        <v/>
      </c>
      <c r="O35" s="5">
        <f>SUBSTITUTE(TRIM(IF('C111'!F7="Lab 2","C111 ","")&amp;IF('C112'!F7="Lab 2","C112 ","")&amp;IF('C113'!F7="Lab 2","C113 ","")&amp;IF('C121'!F7="Lab 2","C121 ","")&amp;IF('C122'!F7="Lab 2","C122 ","")&amp;IF('C211'!F7="Lab 2","C211 ","")&amp;IF('C212'!F7="Lab 2","C212 ","")&amp;IF('C311'!F7="Lab 2","C311 ","")&amp;IF('C312'!F7="Lab 2","C312 ","")&amp;IF('C411'!F7="Lab 2","C411 ","")&amp;IF('C412'!F7="Lab 2","C412 ","")&amp;IF('M111'!F7="Lab 2","M111 ","")&amp;IF('M112'!F7="Lab 2","M112 ","")&amp;IF('M211'!F7="Lab 2","M211 ","")&amp;IF('M212'!F7="Lab 2","M212 ","")&amp;IF('M311'!F7="Lab 2","M311 ","")&amp;IF('M411'!F7="Lab 2","M411 ","")&amp;IF('D111'!F7="Lab 2","D111 ","")&amp;IF('D112'!F7="Lab 2","D112 ","")&amp;IF('D211'!F7="Lab 2","D211 ","")&amp;IF('D311'!F7="Lab 2","D311 ","")&amp;IF('D411'!F7="Lab 2","D411 ",""))," ",",")</f>
        <v/>
      </c>
      <c r="P35" s="6">
        <f>SUBSTITUTE(TRIM(IF('C111'!F7="Salón","C111 ","")&amp;IF('C112'!F7="Salón","C112 ","")&amp;IF('C113'!F7="Salón","C113 ","")&amp;IF('C121'!F7="Salón","C121 ","")&amp;IF('C122'!F7="Salón","C122 ","")&amp;IF('C211'!F7="Salón","C211 ","")&amp;IF('C212'!F7="Salón","C212 ","")&amp;IF('C311'!F7="Salón","C311 ","")&amp;IF('C312'!F7="Salón","C312 ","")&amp;IF('C411'!F7="Salón","C411 ","")&amp;IF('C412'!F7="Salón","C412 ","")&amp;IF('M111'!F7="Salón","M111 ","")&amp;IF('M112'!F7="Salón","M112 ","")&amp;IF('M211'!F7="Salón","M211 ","")&amp;IF('M212'!F7="Salón","M212 ","")&amp;IF('M311'!F7="Salón","M311 ","")&amp;IF('M411'!F7="Salón","M411 ","")&amp;IF('D111'!F7="Salón","D111 ","")&amp;IF('D112'!F7="Salón","D112 ","")&amp;IF('D211'!F7="Salón","D211 ","")&amp;IF('D311'!F7="Salón","D311 ","")&amp;IF('D411'!F7="Salón","D411 ",""))," ",",")</f>
        <v/>
      </c>
    </row>
    <row r="36">
      <c r="A36" s="4" t="inlineStr">
        <is>
          <t>Turno 3</t>
        </is>
      </c>
      <c r="B36" s="5">
        <f>SUBSTITUTE(TRIM(IF('C111'!F9="Aula 1","C111 ","")&amp;IF('C112'!F9="Aula 1","C112 ","")&amp;IF('C113'!F9="Aula 1","C113 ","")&amp;IF('C121'!F9="Aula 1","C121 ","")&amp;IF('C122'!F9="Aula 1","C122 ","")&amp;IF('C211'!F9="Aula 1","C211 ","")&amp;IF('C212'!F9="Aula 1","C212 ","")&amp;IF('C311'!F9="Aula 1","C311 ","")&amp;IF('C312'!F9="Aula 1","C312 ","")&amp;IF('C411'!F9="Aula 1","C411 ","")&amp;IF('C412'!F9="Aula 1","C412 ","")&amp;IF('M111'!F9="Aula 1","M111 ","")&amp;IF('M112'!F9="Aula 1","M112 ","")&amp;IF('M211'!F9="Aula 1","M211 ","")&amp;IF('M212'!F9="Aula 1","M212 ","")&amp;IF('M311'!F9="Aula 1","M311 ","")&amp;IF('M411'!F9="Aula 1","M411 ","")&amp;IF('D111'!F9="Aula 1","D111 ","")&amp;IF('D112'!F9="Aula 1","D112 ","")&amp;IF('D211'!F9="Aula 1","D211 ","")&amp;IF('D311'!F9="Aula 1","D311 ","")&amp;IF('D411'!F9="Aula 1","D411 ",""))," ",",")</f>
        <v/>
      </c>
      <c r="C36" s="5">
        <f>SUBSTITUTE(TRIM(IF('C111'!F9="Aula 2","C111 ","")&amp;IF('C112'!F9="Aula 2","C112 ","")&amp;IF('C113'!F9="Aula 2","C113 ","")&amp;IF('C121'!F9="Aula 2","C121 ","")&amp;IF('C122'!F9="Aula 2","C122 ","")&amp;IF('C211'!F9="Aula 2","C211 ","")&amp;IF('C212'!F9="Aula 2","C212 ","")&amp;IF('C311'!F9="Aula 2","C311 ","")&amp;IF('C312'!F9="Aula 2","C312 ","")&amp;IF('C411'!F9="Aula 2","C411 ","")&amp;IF('C412'!F9="Aula 2","C412 ","")&amp;IF('M111'!F9="Aula 2","M111 ","")&amp;IF('M112'!F9="Aula 2","M112 ","")&amp;IF('M211'!F9="Aula 2","M211 ","")&amp;IF('M212'!F9="Aula 2","M212 ","")&amp;IF('M311'!F9="Aula 2","M311 ","")&amp;IF('M411'!F9="Aula 2","M411 ","")&amp;IF('D111'!F9="Aula 2","D111 ","")&amp;IF('D112'!F9="Aula 2","D112 ","")&amp;IF('D211'!F9="Aula 2","D211 ","")&amp;IF('D311'!F9="Aula 2","D311 ","")&amp;IF('D411'!F9="Aula 2","D411 ",""))," ",",")</f>
        <v/>
      </c>
      <c r="D36" s="5">
        <f>SUBSTITUTE(TRIM(IF('C111'!F9="Aula 3","C111 ","")&amp;IF('C112'!F9="Aula 3","C112 ","")&amp;IF('C113'!F9="Aula 3","C113 ","")&amp;IF('C121'!F9="Aula 3","C121 ","")&amp;IF('C122'!F9="Aula 3","C122 ","")&amp;IF('C211'!F9="Aula 3","C211 ","")&amp;IF('C212'!F9="Aula 3","C212 ","")&amp;IF('C311'!F9="Aula 3","C311 ","")&amp;IF('C312'!F9="Aula 3","C312 ","")&amp;IF('C411'!F9="Aula 3","C411 ","")&amp;IF('C412'!F9="Aula 3","C412 ","")&amp;IF('M111'!F9="Aula 3","M111 ","")&amp;IF('M112'!F9="Aula 3","M112 ","")&amp;IF('M211'!F9="Aula 3","M211 ","")&amp;IF('M212'!F9="Aula 3","M212 ","")&amp;IF('M311'!F9="Aula 3","M311 ","")&amp;IF('M411'!F9="Aula 3","M411 ","")&amp;IF('D111'!F9="Aula 3","D111 ","")&amp;IF('D112'!F9="Aula 3","D112 ","")&amp;IF('D211'!F9="Aula 3","D211 ","")&amp;IF('D311'!F9="Aula 3","D311 ","")&amp;IF('D411'!F9="Aula 3","D411 ",""))," ",",")</f>
        <v/>
      </c>
      <c r="E36" s="5">
        <f>SUBSTITUTE(TRIM(IF('C111'!F9="Aula 4","C111 ","")&amp;IF('C112'!F9="Aula 4","C112 ","")&amp;IF('C113'!F9="Aula 4","C113 ","")&amp;IF('C121'!F9="Aula 4","C121 ","")&amp;IF('C122'!F9="Aula 4","C122 ","")&amp;IF('C211'!F9="Aula 4","C211 ","")&amp;IF('C212'!F9="Aula 4","C212 ","")&amp;IF('C311'!F9="Aula 4","C311 ","")&amp;IF('C312'!F9="Aula 4","C312 ","")&amp;IF('C411'!F9="Aula 4","C411 ","")&amp;IF('C412'!F9="Aula 4","C412 ","")&amp;IF('M111'!F9="Aula 4","M111 ","")&amp;IF('M112'!F9="Aula 4","M112 ","")&amp;IF('M211'!F9="Aula 4","M211 ","")&amp;IF('M212'!F9="Aula 4","M212 ","")&amp;IF('M311'!F9="Aula 4","M311 ","")&amp;IF('M411'!F9="Aula 4","M411 ","")&amp;IF('D111'!F9="Aula 4","D111 ","")&amp;IF('D112'!F9="Aula 4","D112 ","")&amp;IF('D211'!F9="Aula 4","D211 ","")&amp;IF('D311'!F9="Aula 4","D311 ","")&amp;IF('D411'!F9="Aula 4","D411 ",""))," ",",")</f>
        <v/>
      </c>
      <c r="F36" s="5">
        <f>SUBSTITUTE(TRIM(IF('C111'!F9="Aula 5","C111 ","")&amp;IF('C112'!F9="Aula 5","C112 ","")&amp;IF('C113'!F9="Aula 5","C113 ","")&amp;IF('C121'!F9="Aula 5","C121 ","")&amp;IF('C122'!F9="Aula 5","C122 ","")&amp;IF('C211'!F9="Aula 5","C211 ","")&amp;IF('C212'!F9="Aula 5","C212 ","")&amp;IF('C311'!F9="Aula 5","C311 ","")&amp;IF('C312'!F9="Aula 5","C312 ","")&amp;IF('C411'!F9="Aula 5","C411 ","")&amp;IF('C412'!F9="Aula 5","C412 ","")&amp;IF('M111'!F9="Aula 5","M111 ","")&amp;IF('M112'!F9="Aula 5","M112 ","")&amp;IF('M211'!F9="Aula 5","M211 ","")&amp;IF('M212'!F9="Aula 5","M212 ","")&amp;IF('M311'!F9="Aula 5","M311 ","")&amp;IF('M411'!F9="Aula 5","M411 ","")&amp;IF('D111'!F9="Aula 5","D111 ","")&amp;IF('D112'!F9="Aula 5","D112 ","")&amp;IF('D211'!F9="Aula 5","D211 ","")&amp;IF('D311'!F9="Aula 5","D311 ","")&amp;IF('D411'!F9="Aula 5","D411 ",""))," ",",")</f>
        <v/>
      </c>
      <c r="G36" s="5">
        <f>SUBSTITUTE(TRIM(IF('C111'!F9="Aula 6","C111 ","")&amp;IF('C112'!F9="Aula 6","C112 ","")&amp;IF('C113'!F9="Aula 6","C113 ","")&amp;IF('C121'!F9="Aula 6","C121 ","")&amp;IF('C122'!F9="Aula 6","C122 ","")&amp;IF('C211'!F9="Aula 6","C211 ","")&amp;IF('C212'!F9="Aula 6","C212 ","")&amp;IF('C311'!F9="Aula 6","C311 ","")&amp;IF('C312'!F9="Aula 6","C312 ","")&amp;IF('C411'!F9="Aula 6","C411 ","")&amp;IF('C412'!F9="Aula 6","C412 ","")&amp;IF('M111'!F9="Aula 6","M111 ","")&amp;IF('M112'!F9="Aula 6","M112 ","")&amp;IF('M211'!F9="Aula 6","M211 ","")&amp;IF('M212'!F9="Aula 6","M212 ","")&amp;IF('M311'!F9="Aula 6","M311 ","")&amp;IF('M411'!F9="Aula 6","M411 ","")&amp;IF('D111'!F9="Aula 6","D111 ","")&amp;IF('D112'!F9="Aula 6","D112 ","")&amp;IF('D211'!F9="Aula 6","D211 ","")&amp;IF('D311'!F9="Aula 6","D311 ","")&amp;IF('D411'!F9="Aula 6","D411 ",""))," ",",")</f>
        <v/>
      </c>
      <c r="H36" s="5">
        <f>SUBSTITUTE(TRIM(IF('C111'!F9="Aula 7","C111 ","")&amp;IF('C112'!F9="Aula 7","C112 ","")&amp;IF('C113'!F9="Aula 7","C113 ","")&amp;IF('C121'!F9="Aula 7","C121 ","")&amp;IF('C122'!F9="Aula 7","C122 ","")&amp;IF('C211'!F9="Aula 7","C211 ","")&amp;IF('C212'!F9="Aula 7","C212 ","")&amp;IF('C311'!F9="Aula 7","C311 ","")&amp;IF('C312'!F9="Aula 7","C312 ","")&amp;IF('C411'!F9="Aula 7","C411 ","")&amp;IF('C412'!F9="Aula 7","C412 ","")&amp;IF('M111'!F9="Aula 7","M111 ","")&amp;IF('M112'!F9="Aula 7","M112 ","")&amp;IF('M211'!F9="Aula 7","M211 ","")&amp;IF('M212'!F9="Aula 7","M212 ","")&amp;IF('M311'!F9="Aula 7","M311 ","")&amp;IF('M411'!F9="Aula 7","M411 ","")&amp;IF('D111'!F9="Aula 7","D111 ","")&amp;IF('D112'!F9="Aula 7","D112 ","")&amp;IF('D211'!F9="Aula 7","D211 ","")&amp;IF('D311'!F9="Aula 7","D311 ","")&amp;IF('D411'!F9="Aula 7","D411 ",""))," ",",")</f>
        <v/>
      </c>
      <c r="I36" s="5">
        <f>SUBSTITUTE(TRIM(IF('C111'!F9="Aula 8","C111 ","")&amp;IF('C112'!F9="Aula 8","C112 ","")&amp;IF('C113'!F9="Aula 8","C113 ","")&amp;IF('C121'!F9="Aula 8","C121 ","")&amp;IF('C122'!F9="Aula 8","C122 ","")&amp;IF('C211'!F9="Aula 8","C211 ","")&amp;IF('C212'!F9="Aula 8","C212 ","")&amp;IF('C311'!F9="Aula 8","C311 ","")&amp;IF('C312'!F9="Aula 8","C312 ","")&amp;IF('C411'!F9="Aula 8","C411 ","")&amp;IF('C412'!F9="Aula 8","C412 ","")&amp;IF('M111'!F9="Aula 8","M111 ","")&amp;IF('M112'!F9="Aula 8","M112 ","")&amp;IF('M211'!F9="Aula 8","M211 ","")&amp;IF('M212'!F9="Aula 8","M212 ","")&amp;IF('M311'!F9="Aula 8","M311 ","")&amp;IF('M411'!F9="Aula 8","M411 ","")&amp;IF('D111'!F9="Aula 8","D111 ","")&amp;IF('D112'!F9="Aula 8","D112 ","")&amp;IF('D211'!F9="Aula 8","D211 ","")&amp;IF('D311'!F9="Aula 8","D311 ","")&amp;IF('D411'!F9="Aula 8","D411 ",""))," ",",")</f>
        <v/>
      </c>
      <c r="J36" s="5">
        <f>SUBSTITUTE(TRIM(IF('C111'!F9="Aula 9","C111 ","")&amp;IF('C112'!F9="Aula 9","C112 ","")&amp;IF('C113'!F9="Aula 9","C113 ","")&amp;IF('C121'!F9="Aula 9","C121 ","")&amp;IF('C122'!F9="Aula 9","C122 ","")&amp;IF('C211'!F9="Aula 9","C211 ","")&amp;IF('C212'!F9="Aula 9","C212 ","")&amp;IF('C311'!F9="Aula 9","C311 ","")&amp;IF('C312'!F9="Aula 9","C312 ","")&amp;IF('C411'!F9="Aula 9","C411 ","")&amp;IF('C412'!F9="Aula 9","C412 ","")&amp;IF('M111'!F9="Aula 9","M111 ","")&amp;IF('M112'!F9="Aula 9","M112 ","")&amp;IF('M211'!F9="Aula 9","M211 ","")&amp;IF('M212'!F9="Aula 9","M212 ","")&amp;IF('M311'!F9="Aula 9","M311 ","")&amp;IF('M411'!F9="Aula 9","M411 ","")&amp;IF('D111'!F9="Aula 9","D111 ","")&amp;IF('D112'!F9="Aula 9","D112 ","")&amp;IF('D211'!F9="Aula 9","D211 ","")&amp;IF('D311'!F9="Aula 9","D311 ","")&amp;IF('D411'!F9="Aula 9","D411 ",""))," ",",")</f>
        <v/>
      </c>
      <c r="K36" s="5">
        <f>SUBSTITUTE(TRIM(IF('C111'!F9="Aula 10","C111 ","")&amp;IF('C112'!F9="Aula 10","C112 ","")&amp;IF('C113'!F9="Aula 10","C113 ","")&amp;IF('C121'!F9="Aula 10","C121 ","")&amp;IF('C122'!F9="Aula 10","C122 ","")&amp;IF('C211'!F9="Aula 10","C211 ","")&amp;IF('C212'!F9="Aula 10","C212 ","")&amp;IF('C311'!F9="Aula 10","C311 ","")&amp;IF('C312'!F9="Aula 10","C312 ","")&amp;IF('C411'!F9="Aula 10","C411 ","")&amp;IF('C412'!F9="Aula 10","C412 ","")&amp;IF('M111'!F9="Aula 10","M111 ","")&amp;IF('M112'!F9="Aula 10","M112 ","")&amp;IF('M211'!F9="Aula 10","M211 ","")&amp;IF('M212'!F9="Aula 10","M212 ","")&amp;IF('M311'!F9="Aula 10","M311 ","")&amp;IF('M411'!F9="Aula 10","M411 ","")&amp;IF('D111'!F9="Aula 10","D111 ","")&amp;IF('D112'!F9="Aula 10","D112 ","")&amp;IF('D211'!F9="Aula 10","D211 ","")&amp;IF('D311'!F9="Aula 10","D311 ","")&amp;IF('D411'!F9="Aula 10","D411 ",""))," ",",")</f>
        <v/>
      </c>
      <c r="L36" s="5">
        <f>SUBSTITUTE(TRIM(IF('C111'!F9="Aula 11","C111 ","")&amp;IF('C112'!F9="Aula 11","C112 ","")&amp;IF('C113'!F9="Aula 11","C113 ","")&amp;IF('C121'!F9="Aula 11","C121 ","")&amp;IF('C122'!F9="Aula 11","C122 ","")&amp;IF('C211'!F9="Aula 11","C211 ","")&amp;IF('C212'!F9="Aula 11","C212 ","")&amp;IF('C311'!F9="Aula 11","C311 ","")&amp;IF('C312'!F9="Aula 11","C312 ","")&amp;IF('C411'!F9="Aula 11","C411 ","")&amp;IF('C412'!F9="Aula 11","C412 ","")&amp;IF('M111'!F9="Aula 11","M111 ","")&amp;IF('M112'!F9="Aula 11","M112 ","")&amp;IF('M211'!F9="Aula 11","M211 ","")&amp;IF('M212'!F9="Aula 11","M212 ","")&amp;IF('M311'!F9="Aula 11","M311 ","")&amp;IF('M411'!F9="Aula 11","M411 ","")&amp;IF('D111'!F9="Aula 11","D111 ","")&amp;IF('D112'!F9="Aula 11","D112 ","")&amp;IF('D211'!F9="Aula 11","D211 ","")&amp;IF('D311'!F9="Aula 11","D311 ","")&amp;IF('D411'!F9="Aula 11","D411 ",""))," ",",")</f>
        <v/>
      </c>
      <c r="M36" s="5">
        <f>SUBSTITUTE(TRIM(IF('C111'!F9="Aula 12","C111 ","")&amp;IF('C112'!F9="Aula 12","C112 ","")&amp;IF('C113'!F9="Aula 12","C113 ","")&amp;IF('C121'!F9="Aula 12","C121 ","")&amp;IF('C122'!F9="Aula 12","C122 ","")&amp;IF('C211'!F9="Aula 12","C211 ","")&amp;IF('C212'!F9="Aula 12","C212 ","")&amp;IF('C311'!F9="Aula 12","C311 ","")&amp;IF('C312'!F9="Aula 12","C312 ","")&amp;IF('C411'!F9="Aula 12","C411 ","")&amp;IF('C412'!F9="Aula 12","C412 ","")&amp;IF('M111'!F9="Aula 12","M111 ","")&amp;IF('M112'!F9="Aula 12","M112 ","")&amp;IF('M211'!F9="Aula 12","M211 ","")&amp;IF('M212'!F9="Aula 12","M212 ","")&amp;IF('M311'!F9="Aula 12","M311 ","")&amp;IF('M411'!F9="Aula 12","M411 ","")&amp;IF('D111'!F9="Aula 12","D111 ","")&amp;IF('D112'!F9="Aula 12","D112 ","")&amp;IF('D211'!F9="Aula 12","D211 ","")&amp;IF('D311'!F9="Aula 12","D311 ","")&amp;IF('D411'!F9="Aula 12","D411 ",""))," ",",")</f>
        <v/>
      </c>
      <c r="N36" s="5">
        <f>SUBSTITUTE(TRIM(IF('C111'!F9="Lab 1","C111 ","")&amp;IF('C112'!F9="Lab 1","C112 ","")&amp;IF('C113'!F9="Lab 1","C113 ","")&amp;IF('C121'!F9="Lab 1","C121 ","")&amp;IF('C122'!F9="Lab 1","C122 ","")&amp;IF('C211'!F9="Lab 1","C211 ","")&amp;IF('C212'!F9="Lab 1","C212 ","")&amp;IF('C311'!F9="Lab 1","C311 ","")&amp;IF('C312'!F9="Lab 1","C312 ","")&amp;IF('C411'!F9="Lab 1","C411 ","")&amp;IF('C412'!F9="Lab 1","C412 ","")&amp;IF('M111'!F9="Lab 1","M111 ","")&amp;IF('M112'!F9="Lab 1","M112 ","")&amp;IF('M211'!F9="Lab 1","M211 ","")&amp;IF('M212'!F9="Lab 1","M212 ","")&amp;IF('M311'!F9="Lab 1","M311 ","")&amp;IF('M411'!F9="Lab 1","M411 ","")&amp;IF('D111'!F9="Lab 1","D111 ","")&amp;IF('D112'!F9="Lab 1","D112 ","")&amp;IF('D211'!F9="Lab 1","D211 ","")&amp;IF('D311'!F9="Lab 1","D311 ","")&amp;IF('D411'!F9="Lab 1","D411 ",""))," ",",")</f>
        <v/>
      </c>
      <c r="O36" s="5">
        <f>SUBSTITUTE(TRIM(IF('C111'!F9="Lab 2","C111 ","")&amp;IF('C112'!F9="Lab 2","C112 ","")&amp;IF('C113'!F9="Lab 2","C113 ","")&amp;IF('C121'!F9="Lab 2","C121 ","")&amp;IF('C122'!F9="Lab 2","C122 ","")&amp;IF('C211'!F9="Lab 2","C211 ","")&amp;IF('C212'!F9="Lab 2","C212 ","")&amp;IF('C311'!F9="Lab 2","C311 ","")&amp;IF('C312'!F9="Lab 2","C312 ","")&amp;IF('C411'!F9="Lab 2","C411 ","")&amp;IF('C412'!F9="Lab 2","C412 ","")&amp;IF('M111'!F9="Lab 2","M111 ","")&amp;IF('M112'!F9="Lab 2","M112 ","")&amp;IF('M211'!F9="Lab 2","M211 ","")&amp;IF('M212'!F9="Lab 2","M212 ","")&amp;IF('M311'!F9="Lab 2","M311 ","")&amp;IF('M411'!F9="Lab 2","M411 ","")&amp;IF('D111'!F9="Lab 2","D111 ","")&amp;IF('D112'!F9="Lab 2","D112 ","")&amp;IF('D211'!F9="Lab 2","D211 ","")&amp;IF('D311'!F9="Lab 2","D311 ","")&amp;IF('D411'!F9="Lab 2","D411 ",""))," ",",")</f>
        <v/>
      </c>
      <c r="P36" s="6">
        <f>SUBSTITUTE(TRIM(IF('C111'!F9="Salón","C111 ","")&amp;IF('C112'!F9="Salón","C112 ","")&amp;IF('C113'!F9="Salón","C113 ","")&amp;IF('C121'!F9="Salón","C121 ","")&amp;IF('C122'!F9="Salón","C122 ","")&amp;IF('C211'!F9="Salón","C211 ","")&amp;IF('C212'!F9="Salón","C212 ","")&amp;IF('C311'!F9="Salón","C311 ","")&amp;IF('C312'!F9="Salón","C312 ","")&amp;IF('C411'!F9="Salón","C411 ","")&amp;IF('C412'!F9="Salón","C412 ","")&amp;IF('M111'!F9="Salón","M111 ","")&amp;IF('M112'!F9="Salón","M112 ","")&amp;IF('M211'!F9="Salón","M211 ","")&amp;IF('M212'!F9="Salón","M212 ","")&amp;IF('M311'!F9="Salón","M311 ","")&amp;IF('M411'!F9="Salón","M411 ","")&amp;IF('D111'!F9="Salón","D111 ","")&amp;IF('D112'!F9="Salón","D112 ","")&amp;IF('D211'!F9="Salón","D211 ","")&amp;IF('D311'!F9="Salón","D311 ","")&amp;IF('D411'!F9="Salón","D411 ",""))," ",",")</f>
        <v/>
      </c>
    </row>
    <row r="37">
      <c r="A37" s="4" t="inlineStr">
        <is>
          <t>Turno 4</t>
        </is>
      </c>
      <c r="B37" s="5">
        <f>SUBSTITUTE(TRIM(IF('C111'!F11="Aula 1","C111 ","")&amp;IF('C112'!F11="Aula 1","C112 ","")&amp;IF('C113'!F11="Aula 1","C113 ","")&amp;IF('C121'!F11="Aula 1","C121 ","")&amp;IF('C122'!F11="Aula 1","C122 ","")&amp;IF('C211'!F11="Aula 1","C211 ","")&amp;IF('C212'!F11="Aula 1","C212 ","")&amp;IF('C311'!F11="Aula 1","C311 ","")&amp;IF('C312'!F11="Aula 1","C312 ","")&amp;IF('C411'!F11="Aula 1","C411 ","")&amp;IF('C412'!F11="Aula 1","C412 ","")&amp;IF('M111'!F11="Aula 1","M111 ","")&amp;IF('M112'!F11="Aula 1","M112 ","")&amp;IF('M211'!F11="Aula 1","M211 ","")&amp;IF('M212'!F11="Aula 1","M212 ","")&amp;IF('M311'!F11="Aula 1","M311 ","")&amp;IF('M411'!F11="Aula 1","M411 ","")&amp;IF('D111'!F11="Aula 1","D111 ","")&amp;IF('D112'!F11="Aula 1","D112 ","")&amp;IF('D211'!F11="Aula 1","D211 ","")&amp;IF('D311'!F11="Aula 1","D311 ","")&amp;IF('D411'!F11="Aula 1","D411 ",""))," ",",")</f>
        <v/>
      </c>
      <c r="C37" s="5">
        <f>SUBSTITUTE(TRIM(IF('C111'!F11="Aula 2","C111 ","")&amp;IF('C112'!F11="Aula 2","C112 ","")&amp;IF('C113'!F11="Aula 2","C113 ","")&amp;IF('C121'!F11="Aula 2","C121 ","")&amp;IF('C122'!F11="Aula 2","C122 ","")&amp;IF('C211'!F11="Aula 2","C211 ","")&amp;IF('C212'!F11="Aula 2","C212 ","")&amp;IF('C311'!F11="Aula 2","C311 ","")&amp;IF('C312'!F11="Aula 2","C312 ","")&amp;IF('C411'!F11="Aula 2","C411 ","")&amp;IF('C412'!F11="Aula 2","C412 ","")&amp;IF('M111'!F11="Aula 2","M111 ","")&amp;IF('M112'!F11="Aula 2","M112 ","")&amp;IF('M211'!F11="Aula 2","M211 ","")&amp;IF('M212'!F11="Aula 2","M212 ","")&amp;IF('M311'!F11="Aula 2","M311 ","")&amp;IF('M411'!F11="Aula 2","M411 ","")&amp;IF('D111'!F11="Aula 2","D111 ","")&amp;IF('D112'!F11="Aula 2","D112 ","")&amp;IF('D211'!F11="Aula 2","D211 ","")&amp;IF('D311'!F11="Aula 2","D311 ","")&amp;IF('D411'!F11="Aula 2","D411 ",""))," ",",")</f>
        <v/>
      </c>
      <c r="D37" s="5">
        <f>SUBSTITUTE(TRIM(IF('C111'!F11="Aula 3","C111 ","")&amp;IF('C112'!F11="Aula 3","C112 ","")&amp;IF('C113'!F11="Aula 3","C113 ","")&amp;IF('C121'!F11="Aula 3","C121 ","")&amp;IF('C122'!F11="Aula 3","C122 ","")&amp;IF('C211'!F11="Aula 3","C211 ","")&amp;IF('C212'!F11="Aula 3","C212 ","")&amp;IF('C311'!F11="Aula 3","C311 ","")&amp;IF('C312'!F11="Aula 3","C312 ","")&amp;IF('C411'!F11="Aula 3","C411 ","")&amp;IF('C412'!F11="Aula 3","C412 ","")&amp;IF('M111'!F11="Aula 3","M111 ","")&amp;IF('M112'!F11="Aula 3","M112 ","")&amp;IF('M211'!F11="Aula 3","M211 ","")&amp;IF('M212'!F11="Aula 3","M212 ","")&amp;IF('M311'!F11="Aula 3","M311 ","")&amp;IF('M411'!F11="Aula 3","M411 ","")&amp;IF('D111'!F11="Aula 3","D111 ","")&amp;IF('D112'!F11="Aula 3","D112 ","")&amp;IF('D211'!F11="Aula 3","D211 ","")&amp;IF('D311'!F11="Aula 3","D311 ","")&amp;IF('D411'!F11="Aula 3","D411 ",""))," ",",")</f>
        <v/>
      </c>
      <c r="E37" s="5">
        <f>SUBSTITUTE(TRIM(IF('C111'!F11="Aula 4","C111 ","")&amp;IF('C112'!F11="Aula 4","C112 ","")&amp;IF('C113'!F11="Aula 4","C113 ","")&amp;IF('C121'!F11="Aula 4","C121 ","")&amp;IF('C122'!F11="Aula 4","C122 ","")&amp;IF('C211'!F11="Aula 4","C211 ","")&amp;IF('C212'!F11="Aula 4","C212 ","")&amp;IF('C311'!F11="Aula 4","C311 ","")&amp;IF('C312'!F11="Aula 4","C312 ","")&amp;IF('C411'!F11="Aula 4","C411 ","")&amp;IF('C412'!F11="Aula 4","C412 ","")&amp;IF('M111'!F11="Aula 4","M111 ","")&amp;IF('M112'!F11="Aula 4","M112 ","")&amp;IF('M211'!F11="Aula 4","M211 ","")&amp;IF('M212'!F11="Aula 4","M212 ","")&amp;IF('M311'!F11="Aula 4","M311 ","")&amp;IF('M411'!F11="Aula 4","M411 ","")&amp;IF('D111'!F11="Aula 4","D111 ","")&amp;IF('D112'!F11="Aula 4","D112 ","")&amp;IF('D211'!F11="Aula 4","D211 ","")&amp;IF('D311'!F11="Aula 4","D311 ","")&amp;IF('D411'!F11="Aula 4","D411 ",""))," ",",")</f>
        <v/>
      </c>
      <c r="F37" s="5">
        <f>SUBSTITUTE(TRIM(IF('C111'!F11="Aula 5","C111 ","")&amp;IF('C112'!F11="Aula 5","C112 ","")&amp;IF('C113'!F11="Aula 5","C113 ","")&amp;IF('C121'!F11="Aula 5","C121 ","")&amp;IF('C122'!F11="Aula 5","C122 ","")&amp;IF('C211'!F11="Aula 5","C211 ","")&amp;IF('C212'!F11="Aula 5","C212 ","")&amp;IF('C311'!F11="Aula 5","C311 ","")&amp;IF('C312'!F11="Aula 5","C312 ","")&amp;IF('C411'!F11="Aula 5","C411 ","")&amp;IF('C412'!F11="Aula 5","C412 ","")&amp;IF('M111'!F11="Aula 5","M111 ","")&amp;IF('M112'!F11="Aula 5","M112 ","")&amp;IF('M211'!F11="Aula 5","M211 ","")&amp;IF('M212'!F11="Aula 5","M212 ","")&amp;IF('M311'!F11="Aula 5","M311 ","")&amp;IF('M411'!F11="Aula 5","M411 ","")&amp;IF('D111'!F11="Aula 5","D111 ","")&amp;IF('D112'!F11="Aula 5","D112 ","")&amp;IF('D211'!F11="Aula 5","D211 ","")&amp;IF('D311'!F11="Aula 5","D311 ","")&amp;IF('D411'!F11="Aula 5","D411 ",""))," ",",")</f>
        <v/>
      </c>
      <c r="G37" s="5">
        <f>SUBSTITUTE(TRIM(IF('C111'!F11="Aula 6","C111 ","")&amp;IF('C112'!F11="Aula 6","C112 ","")&amp;IF('C113'!F11="Aula 6","C113 ","")&amp;IF('C121'!F11="Aula 6","C121 ","")&amp;IF('C122'!F11="Aula 6","C122 ","")&amp;IF('C211'!F11="Aula 6","C211 ","")&amp;IF('C212'!F11="Aula 6","C212 ","")&amp;IF('C311'!F11="Aula 6","C311 ","")&amp;IF('C312'!F11="Aula 6","C312 ","")&amp;IF('C411'!F11="Aula 6","C411 ","")&amp;IF('C412'!F11="Aula 6","C412 ","")&amp;IF('M111'!F11="Aula 6","M111 ","")&amp;IF('M112'!F11="Aula 6","M112 ","")&amp;IF('M211'!F11="Aula 6","M211 ","")&amp;IF('M212'!F11="Aula 6","M212 ","")&amp;IF('M311'!F11="Aula 6","M311 ","")&amp;IF('M411'!F11="Aula 6","M411 ","")&amp;IF('D111'!F11="Aula 6","D111 ","")&amp;IF('D112'!F11="Aula 6","D112 ","")&amp;IF('D211'!F11="Aula 6","D211 ","")&amp;IF('D311'!F11="Aula 6","D311 ","")&amp;IF('D411'!F11="Aula 6","D411 ",""))," ",",")</f>
        <v/>
      </c>
      <c r="H37" s="5">
        <f>SUBSTITUTE(TRIM(IF('C111'!F11="Aula 7","C111 ","")&amp;IF('C112'!F11="Aula 7","C112 ","")&amp;IF('C113'!F11="Aula 7","C113 ","")&amp;IF('C121'!F11="Aula 7","C121 ","")&amp;IF('C122'!F11="Aula 7","C122 ","")&amp;IF('C211'!F11="Aula 7","C211 ","")&amp;IF('C212'!F11="Aula 7","C212 ","")&amp;IF('C311'!F11="Aula 7","C311 ","")&amp;IF('C312'!F11="Aula 7","C312 ","")&amp;IF('C411'!F11="Aula 7","C411 ","")&amp;IF('C412'!F11="Aula 7","C412 ","")&amp;IF('M111'!F11="Aula 7","M111 ","")&amp;IF('M112'!F11="Aula 7","M112 ","")&amp;IF('M211'!F11="Aula 7","M211 ","")&amp;IF('M212'!F11="Aula 7","M212 ","")&amp;IF('M311'!F11="Aula 7","M311 ","")&amp;IF('M411'!F11="Aula 7","M411 ","")&amp;IF('D111'!F11="Aula 7","D111 ","")&amp;IF('D112'!F11="Aula 7","D112 ","")&amp;IF('D211'!F11="Aula 7","D211 ","")&amp;IF('D311'!F11="Aula 7","D311 ","")&amp;IF('D411'!F11="Aula 7","D411 ",""))," ",",")</f>
        <v/>
      </c>
      <c r="I37" s="5">
        <f>SUBSTITUTE(TRIM(IF('C111'!F11="Aula 8","C111 ","")&amp;IF('C112'!F11="Aula 8","C112 ","")&amp;IF('C113'!F11="Aula 8","C113 ","")&amp;IF('C121'!F11="Aula 8","C121 ","")&amp;IF('C122'!F11="Aula 8","C122 ","")&amp;IF('C211'!F11="Aula 8","C211 ","")&amp;IF('C212'!F11="Aula 8","C212 ","")&amp;IF('C311'!F11="Aula 8","C311 ","")&amp;IF('C312'!F11="Aula 8","C312 ","")&amp;IF('C411'!F11="Aula 8","C411 ","")&amp;IF('C412'!F11="Aula 8","C412 ","")&amp;IF('M111'!F11="Aula 8","M111 ","")&amp;IF('M112'!F11="Aula 8","M112 ","")&amp;IF('M211'!F11="Aula 8","M211 ","")&amp;IF('M212'!F11="Aula 8","M212 ","")&amp;IF('M311'!F11="Aula 8","M311 ","")&amp;IF('M411'!F11="Aula 8","M411 ","")&amp;IF('D111'!F11="Aula 8","D111 ","")&amp;IF('D112'!F11="Aula 8","D112 ","")&amp;IF('D211'!F11="Aula 8","D211 ","")&amp;IF('D311'!F11="Aula 8","D311 ","")&amp;IF('D411'!F11="Aula 8","D411 ",""))," ",",")</f>
        <v/>
      </c>
      <c r="J37" s="5">
        <f>SUBSTITUTE(TRIM(IF('C111'!F11="Aula 9","C111 ","")&amp;IF('C112'!F11="Aula 9","C112 ","")&amp;IF('C113'!F11="Aula 9","C113 ","")&amp;IF('C121'!F11="Aula 9","C121 ","")&amp;IF('C122'!F11="Aula 9","C122 ","")&amp;IF('C211'!F11="Aula 9","C211 ","")&amp;IF('C212'!F11="Aula 9","C212 ","")&amp;IF('C311'!F11="Aula 9","C311 ","")&amp;IF('C312'!F11="Aula 9","C312 ","")&amp;IF('C411'!F11="Aula 9","C411 ","")&amp;IF('C412'!F11="Aula 9","C412 ","")&amp;IF('M111'!F11="Aula 9","M111 ","")&amp;IF('M112'!F11="Aula 9","M112 ","")&amp;IF('M211'!F11="Aula 9","M211 ","")&amp;IF('M212'!F11="Aula 9","M212 ","")&amp;IF('M311'!F11="Aula 9","M311 ","")&amp;IF('M411'!F11="Aula 9","M411 ","")&amp;IF('D111'!F11="Aula 9","D111 ","")&amp;IF('D112'!F11="Aula 9","D112 ","")&amp;IF('D211'!F11="Aula 9","D211 ","")&amp;IF('D311'!F11="Aula 9","D311 ","")&amp;IF('D411'!F11="Aula 9","D411 ",""))," ",",")</f>
        <v/>
      </c>
      <c r="K37" s="5">
        <f>SUBSTITUTE(TRIM(IF('C111'!F11="Aula 10","C111 ","")&amp;IF('C112'!F11="Aula 10","C112 ","")&amp;IF('C113'!F11="Aula 10","C113 ","")&amp;IF('C121'!F11="Aula 10","C121 ","")&amp;IF('C122'!F11="Aula 10","C122 ","")&amp;IF('C211'!F11="Aula 10","C211 ","")&amp;IF('C212'!F11="Aula 10","C212 ","")&amp;IF('C311'!F11="Aula 10","C311 ","")&amp;IF('C312'!F11="Aula 10","C312 ","")&amp;IF('C411'!F11="Aula 10","C411 ","")&amp;IF('C412'!F11="Aula 10","C412 ","")&amp;IF('M111'!F11="Aula 10","M111 ","")&amp;IF('M112'!F11="Aula 10","M112 ","")&amp;IF('M211'!F11="Aula 10","M211 ","")&amp;IF('M212'!F11="Aula 10","M212 ","")&amp;IF('M311'!F11="Aula 10","M311 ","")&amp;IF('M411'!F11="Aula 10","M411 ","")&amp;IF('D111'!F11="Aula 10","D111 ","")&amp;IF('D112'!F11="Aula 10","D112 ","")&amp;IF('D211'!F11="Aula 10","D211 ","")&amp;IF('D311'!F11="Aula 10","D311 ","")&amp;IF('D411'!F11="Aula 10","D411 ",""))," ",",")</f>
        <v/>
      </c>
      <c r="L37" s="5">
        <f>SUBSTITUTE(TRIM(IF('C111'!F11="Aula 11","C111 ","")&amp;IF('C112'!F11="Aula 11","C112 ","")&amp;IF('C113'!F11="Aula 11","C113 ","")&amp;IF('C121'!F11="Aula 11","C121 ","")&amp;IF('C122'!F11="Aula 11","C122 ","")&amp;IF('C211'!F11="Aula 11","C211 ","")&amp;IF('C212'!F11="Aula 11","C212 ","")&amp;IF('C311'!F11="Aula 11","C311 ","")&amp;IF('C312'!F11="Aula 11","C312 ","")&amp;IF('C411'!F11="Aula 11","C411 ","")&amp;IF('C412'!F11="Aula 11","C412 ","")&amp;IF('M111'!F11="Aula 11","M111 ","")&amp;IF('M112'!F11="Aula 11","M112 ","")&amp;IF('M211'!F11="Aula 11","M211 ","")&amp;IF('M212'!F11="Aula 11","M212 ","")&amp;IF('M311'!F11="Aula 11","M311 ","")&amp;IF('M411'!F11="Aula 11","M411 ","")&amp;IF('D111'!F11="Aula 11","D111 ","")&amp;IF('D112'!F11="Aula 11","D112 ","")&amp;IF('D211'!F11="Aula 11","D211 ","")&amp;IF('D311'!F11="Aula 11","D311 ","")&amp;IF('D411'!F11="Aula 11","D411 ",""))," ",",")</f>
        <v/>
      </c>
      <c r="M37" s="5">
        <f>SUBSTITUTE(TRIM(IF('C111'!F11="Aula 12","C111 ","")&amp;IF('C112'!F11="Aula 12","C112 ","")&amp;IF('C113'!F11="Aula 12","C113 ","")&amp;IF('C121'!F11="Aula 12","C121 ","")&amp;IF('C122'!F11="Aula 12","C122 ","")&amp;IF('C211'!F11="Aula 12","C211 ","")&amp;IF('C212'!F11="Aula 12","C212 ","")&amp;IF('C311'!F11="Aula 12","C311 ","")&amp;IF('C312'!F11="Aula 12","C312 ","")&amp;IF('C411'!F11="Aula 12","C411 ","")&amp;IF('C412'!F11="Aula 12","C412 ","")&amp;IF('M111'!F11="Aula 12","M111 ","")&amp;IF('M112'!F11="Aula 12","M112 ","")&amp;IF('M211'!F11="Aula 12","M211 ","")&amp;IF('M212'!F11="Aula 12","M212 ","")&amp;IF('M311'!F11="Aula 12","M311 ","")&amp;IF('M411'!F11="Aula 12","M411 ","")&amp;IF('D111'!F11="Aula 12","D111 ","")&amp;IF('D112'!F11="Aula 12","D112 ","")&amp;IF('D211'!F11="Aula 12","D211 ","")&amp;IF('D311'!F11="Aula 12","D311 ","")&amp;IF('D411'!F11="Aula 12","D411 ",""))," ",",")</f>
        <v/>
      </c>
      <c r="N37" s="5">
        <f>SUBSTITUTE(TRIM(IF('C111'!F11="Lab 1","C111 ","")&amp;IF('C112'!F11="Lab 1","C112 ","")&amp;IF('C113'!F11="Lab 1","C113 ","")&amp;IF('C121'!F11="Lab 1","C121 ","")&amp;IF('C122'!F11="Lab 1","C122 ","")&amp;IF('C211'!F11="Lab 1","C211 ","")&amp;IF('C212'!F11="Lab 1","C212 ","")&amp;IF('C311'!F11="Lab 1","C311 ","")&amp;IF('C312'!F11="Lab 1","C312 ","")&amp;IF('C411'!F11="Lab 1","C411 ","")&amp;IF('C412'!F11="Lab 1","C412 ","")&amp;IF('M111'!F11="Lab 1","M111 ","")&amp;IF('M112'!F11="Lab 1","M112 ","")&amp;IF('M211'!F11="Lab 1","M211 ","")&amp;IF('M212'!F11="Lab 1","M212 ","")&amp;IF('M311'!F11="Lab 1","M311 ","")&amp;IF('M411'!F11="Lab 1","M411 ","")&amp;IF('D111'!F11="Lab 1","D111 ","")&amp;IF('D112'!F11="Lab 1","D112 ","")&amp;IF('D211'!F11="Lab 1","D211 ","")&amp;IF('D311'!F11="Lab 1","D311 ","")&amp;IF('D411'!F11="Lab 1","D411 ",""))," ",",")</f>
        <v/>
      </c>
      <c r="O37" s="5">
        <f>SUBSTITUTE(TRIM(IF('C111'!F11="Lab 2","C111 ","")&amp;IF('C112'!F11="Lab 2","C112 ","")&amp;IF('C113'!F11="Lab 2","C113 ","")&amp;IF('C121'!F11="Lab 2","C121 ","")&amp;IF('C122'!F11="Lab 2","C122 ","")&amp;IF('C211'!F11="Lab 2","C211 ","")&amp;IF('C212'!F11="Lab 2","C212 ","")&amp;IF('C311'!F11="Lab 2","C311 ","")&amp;IF('C312'!F11="Lab 2","C312 ","")&amp;IF('C411'!F11="Lab 2","C411 ","")&amp;IF('C412'!F11="Lab 2","C412 ","")&amp;IF('M111'!F11="Lab 2","M111 ","")&amp;IF('M112'!F11="Lab 2","M112 ","")&amp;IF('M211'!F11="Lab 2","M211 ","")&amp;IF('M212'!F11="Lab 2","M212 ","")&amp;IF('M311'!F11="Lab 2","M311 ","")&amp;IF('M411'!F11="Lab 2","M411 ","")&amp;IF('D111'!F11="Lab 2","D111 ","")&amp;IF('D112'!F11="Lab 2","D112 ","")&amp;IF('D211'!F11="Lab 2","D211 ","")&amp;IF('D311'!F11="Lab 2","D311 ","")&amp;IF('D411'!F11="Lab 2","D411 ",""))," ",",")</f>
        <v/>
      </c>
      <c r="P37" s="6">
        <f>SUBSTITUTE(TRIM(IF('C111'!F11="Salón","C111 ","")&amp;IF('C112'!F11="Salón","C112 ","")&amp;IF('C113'!F11="Salón","C113 ","")&amp;IF('C121'!F11="Salón","C121 ","")&amp;IF('C122'!F11="Salón","C122 ","")&amp;IF('C211'!F11="Salón","C211 ","")&amp;IF('C212'!F11="Salón","C212 ","")&amp;IF('C311'!F11="Salón","C311 ","")&amp;IF('C312'!F11="Salón","C312 ","")&amp;IF('C411'!F11="Salón","C411 ","")&amp;IF('C412'!F11="Salón","C412 ","")&amp;IF('M111'!F11="Salón","M111 ","")&amp;IF('M112'!F11="Salón","M112 ","")&amp;IF('M211'!F11="Salón","M211 ","")&amp;IF('M212'!F11="Salón","M212 ","")&amp;IF('M311'!F11="Salón","M311 ","")&amp;IF('M411'!F11="Salón","M411 ","")&amp;IF('D111'!F11="Salón","D111 ","")&amp;IF('D112'!F11="Salón","D112 ","")&amp;IF('D211'!F11="Salón","D211 ","")&amp;IF('D311'!F11="Salón","D311 ","")&amp;IF('D411'!F11="Salón","D411 ",""))," ",",")</f>
        <v/>
      </c>
    </row>
    <row r="38">
      <c r="A38" s="4" t="inlineStr">
        <is>
          <t>Turno 5</t>
        </is>
      </c>
      <c r="B38" s="5">
        <f>SUBSTITUTE(TRIM(IF('C111'!F13="Aula 1","C111 ","")&amp;IF('C112'!F13="Aula 1","C112 ","")&amp;IF('C113'!F13="Aula 1","C113 ","")&amp;IF('C121'!F13="Aula 1","C121 ","")&amp;IF('C122'!F13="Aula 1","C122 ","")&amp;IF('C211'!F13="Aula 1","C211 ","")&amp;IF('C212'!F13="Aula 1","C212 ","")&amp;IF('C311'!F13="Aula 1","C311 ","")&amp;IF('C312'!F13="Aula 1","C312 ","")&amp;IF('C411'!F13="Aula 1","C411 ","")&amp;IF('C412'!F13="Aula 1","C412 ","")&amp;IF('M111'!F13="Aula 1","M111 ","")&amp;IF('M112'!F13="Aula 1","M112 ","")&amp;IF('M211'!F13="Aula 1","M211 ","")&amp;IF('M212'!F13="Aula 1","M212 ","")&amp;IF('M311'!F13="Aula 1","M311 ","")&amp;IF('M411'!F13="Aula 1","M411 ","")&amp;IF('D111'!F13="Aula 1","D111 ","")&amp;IF('D112'!F13="Aula 1","D112 ","")&amp;IF('D211'!F13="Aula 1","D211 ","")&amp;IF('D311'!F13="Aula 1","D311 ","")&amp;IF('D411'!F13="Aula 1","D411 ",""))," ",",")</f>
        <v/>
      </c>
      <c r="C38" s="5">
        <f>SUBSTITUTE(TRIM(IF('C111'!F13="Aula 2","C111 ","")&amp;IF('C112'!F13="Aula 2","C112 ","")&amp;IF('C113'!F13="Aula 2","C113 ","")&amp;IF('C121'!F13="Aula 2","C121 ","")&amp;IF('C122'!F13="Aula 2","C122 ","")&amp;IF('C211'!F13="Aula 2","C211 ","")&amp;IF('C212'!F13="Aula 2","C212 ","")&amp;IF('C311'!F13="Aula 2","C311 ","")&amp;IF('C312'!F13="Aula 2","C312 ","")&amp;IF('C411'!F13="Aula 2","C411 ","")&amp;IF('C412'!F13="Aula 2","C412 ","")&amp;IF('M111'!F13="Aula 2","M111 ","")&amp;IF('M112'!F13="Aula 2","M112 ","")&amp;IF('M211'!F13="Aula 2","M211 ","")&amp;IF('M212'!F13="Aula 2","M212 ","")&amp;IF('M311'!F13="Aula 2","M311 ","")&amp;IF('M411'!F13="Aula 2","M411 ","")&amp;IF('D111'!F13="Aula 2","D111 ","")&amp;IF('D112'!F13="Aula 2","D112 ","")&amp;IF('D211'!F13="Aula 2","D211 ","")&amp;IF('D311'!F13="Aula 2","D311 ","")&amp;IF('D411'!F13="Aula 2","D411 ",""))," ",",")</f>
        <v/>
      </c>
      <c r="D38" s="5">
        <f>SUBSTITUTE(TRIM(IF('C111'!F13="Aula 3","C111 ","")&amp;IF('C112'!F13="Aula 3","C112 ","")&amp;IF('C113'!F13="Aula 3","C113 ","")&amp;IF('C121'!F13="Aula 3","C121 ","")&amp;IF('C122'!F13="Aula 3","C122 ","")&amp;IF('C211'!F13="Aula 3","C211 ","")&amp;IF('C212'!F13="Aula 3","C212 ","")&amp;IF('C311'!F13="Aula 3","C311 ","")&amp;IF('C312'!F13="Aula 3","C312 ","")&amp;IF('C411'!F13="Aula 3","C411 ","")&amp;IF('C412'!F13="Aula 3","C412 ","")&amp;IF('M111'!F13="Aula 3","M111 ","")&amp;IF('M112'!F13="Aula 3","M112 ","")&amp;IF('M211'!F13="Aula 3","M211 ","")&amp;IF('M212'!F13="Aula 3","M212 ","")&amp;IF('M311'!F13="Aula 3","M311 ","")&amp;IF('M411'!F13="Aula 3","M411 ","")&amp;IF('D111'!F13="Aula 3","D111 ","")&amp;IF('D112'!F13="Aula 3","D112 ","")&amp;IF('D211'!F13="Aula 3","D211 ","")&amp;IF('D311'!F13="Aula 3","D311 ","")&amp;IF('D411'!F13="Aula 3","D411 ",""))," ",",")</f>
        <v/>
      </c>
      <c r="E38" s="5">
        <f>SUBSTITUTE(TRIM(IF('C111'!F13="Aula 4","C111 ","")&amp;IF('C112'!F13="Aula 4","C112 ","")&amp;IF('C113'!F13="Aula 4","C113 ","")&amp;IF('C121'!F13="Aula 4","C121 ","")&amp;IF('C122'!F13="Aula 4","C122 ","")&amp;IF('C211'!F13="Aula 4","C211 ","")&amp;IF('C212'!F13="Aula 4","C212 ","")&amp;IF('C311'!F13="Aula 4","C311 ","")&amp;IF('C312'!F13="Aula 4","C312 ","")&amp;IF('C411'!F13="Aula 4","C411 ","")&amp;IF('C412'!F13="Aula 4","C412 ","")&amp;IF('M111'!F13="Aula 4","M111 ","")&amp;IF('M112'!F13="Aula 4","M112 ","")&amp;IF('M211'!F13="Aula 4","M211 ","")&amp;IF('M212'!F13="Aula 4","M212 ","")&amp;IF('M311'!F13="Aula 4","M311 ","")&amp;IF('M411'!F13="Aula 4","M411 ","")&amp;IF('D111'!F13="Aula 4","D111 ","")&amp;IF('D112'!F13="Aula 4","D112 ","")&amp;IF('D211'!F13="Aula 4","D211 ","")&amp;IF('D311'!F13="Aula 4","D311 ","")&amp;IF('D411'!F13="Aula 4","D411 ",""))," ",",")</f>
        <v/>
      </c>
      <c r="F38" s="5">
        <f>SUBSTITUTE(TRIM(IF('C111'!F13="Aula 5","C111 ","")&amp;IF('C112'!F13="Aula 5","C112 ","")&amp;IF('C113'!F13="Aula 5","C113 ","")&amp;IF('C121'!F13="Aula 5","C121 ","")&amp;IF('C122'!F13="Aula 5","C122 ","")&amp;IF('C211'!F13="Aula 5","C211 ","")&amp;IF('C212'!F13="Aula 5","C212 ","")&amp;IF('C311'!F13="Aula 5","C311 ","")&amp;IF('C312'!F13="Aula 5","C312 ","")&amp;IF('C411'!F13="Aula 5","C411 ","")&amp;IF('C412'!F13="Aula 5","C412 ","")&amp;IF('M111'!F13="Aula 5","M111 ","")&amp;IF('M112'!F13="Aula 5","M112 ","")&amp;IF('M211'!F13="Aula 5","M211 ","")&amp;IF('M212'!F13="Aula 5","M212 ","")&amp;IF('M311'!F13="Aula 5","M311 ","")&amp;IF('M411'!F13="Aula 5","M411 ","")&amp;IF('D111'!F13="Aula 5","D111 ","")&amp;IF('D112'!F13="Aula 5","D112 ","")&amp;IF('D211'!F13="Aula 5","D211 ","")&amp;IF('D311'!F13="Aula 5","D311 ","")&amp;IF('D411'!F13="Aula 5","D411 ",""))," ",",")</f>
        <v/>
      </c>
      <c r="G38" s="5">
        <f>SUBSTITUTE(TRIM(IF('C111'!F13="Aula 6","C111 ","")&amp;IF('C112'!F13="Aula 6","C112 ","")&amp;IF('C113'!F13="Aula 6","C113 ","")&amp;IF('C121'!F13="Aula 6","C121 ","")&amp;IF('C122'!F13="Aula 6","C122 ","")&amp;IF('C211'!F13="Aula 6","C211 ","")&amp;IF('C212'!F13="Aula 6","C212 ","")&amp;IF('C311'!F13="Aula 6","C311 ","")&amp;IF('C312'!F13="Aula 6","C312 ","")&amp;IF('C411'!F13="Aula 6","C411 ","")&amp;IF('C412'!F13="Aula 6","C412 ","")&amp;IF('M111'!F13="Aula 6","M111 ","")&amp;IF('M112'!F13="Aula 6","M112 ","")&amp;IF('M211'!F13="Aula 6","M211 ","")&amp;IF('M212'!F13="Aula 6","M212 ","")&amp;IF('M311'!F13="Aula 6","M311 ","")&amp;IF('M411'!F13="Aula 6","M411 ","")&amp;IF('D111'!F13="Aula 6","D111 ","")&amp;IF('D112'!F13="Aula 6","D112 ","")&amp;IF('D211'!F13="Aula 6","D211 ","")&amp;IF('D311'!F13="Aula 6","D311 ","")&amp;IF('D411'!F13="Aula 6","D411 ",""))," ",",")</f>
        <v/>
      </c>
      <c r="H38" s="5">
        <f>SUBSTITUTE(TRIM(IF('C111'!F13="Aula 7","C111 ","")&amp;IF('C112'!F13="Aula 7","C112 ","")&amp;IF('C113'!F13="Aula 7","C113 ","")&amp;IF('C121'!F13="Aula 7","C121 ","")&amp;IF('C122'!F13="Aula 7","C122 ","")&amp;IF('C211'!F13="Aula 7","C211 ","")&amp;IF('C212'!F13="Aula 7","C212 ","")&amp;IF('C311'!F13="Aula 7","C311 ","")&amp;IF('C312'!F13="Aula 7","C312 ","")&amp;IF('C411'!F13="Aula 7","C411 ","")&amp;IF('C412'!F13="Aula 7","C412 ","")&amp;IF('M111'!F13="Aula 7","M111 ","")&amp;IF('M112'!F13="Aula 7","M112 ","")&amp;IF('M211'!F13="Aula 7","M211 ","")&amp;IF('M212'!F13="Aula 7","M212 ","")&amp;IF('M311'!F13="Aula 7","M311 ","")&amp;IF('M411'!F13="Aula 7","M411 ","")&amp;IF('D111'!F13="Aula 7","D111 ","")&amp;IF('D112'!F13="Aula 7","D112 ","")&amp;IF('D211'!F13="Aula 7","D211 ","")&amp;IF('D311'!F13="Aula 7","D311 ","")&amp;IF('D411'!F13="Aula 7","D411 ",""))," ",",")</f>
        <v/>
      </c>
      <c r="I38" s="5">
        <f>SUBSTITUTE(TRIM(IF('C111'!F13="Aula 8","C111 ","")&amp;IF('C112'!F13="Aula 8","C112 ","")&amp;IF('C113'!F13="Aula 8","C113 ","")&amp;IF('C121'!F13="Aula 8","C121 ","")&amp;IF('C122'!F13="Aula 8","C122 ","")&amp;IF('C211'!F13="Aula 8","C211 ","")&amp;IF('C212'!F13="Aula 8","C212 ","")&amp;IF('C311'!F13="Aula 8","C311 ","")&amp;IF('C312'!F13="Aula 8","C312 ","")&amp;IF('C411'!F13="Aula 8","C411 ","")&amp;IF('C412'!F13="Aula 8","C412 ","")&amp;IF('M111'!F13="Aula 8","M111 ","")&amp;IF('M112'!F13="Aula 8","M112 ","")&amp;IF('M211'!F13="Aula 8","M211 ","")&amp;IF('M212'!F13="Aula 8","M212 ","")&amp;IF('M311'!F13="Aula 8","M311 ","")&amp;IF('M411'!F13="Aula 8","M411 ","")&amp;IF('D111'!F13="Aula 8","D111 ","")&amp;IF('D112'!F13="Aula 8","D112 ","")&amp;IF('D211'!F13="Aula 8","D211 ","")&amp;IF('D311'!F13="Aula 8","D311 ","")&amp;IF('D411'!F13="Aula 8","D411 ",""))," ",",")</f>
        <v/>
      </c>
      <c r="J38" s="5">
        <f>SUBSTITUTE(TRIM(IF('C111'!F13="Aula 9","C111 ","")&amp;IF('C112'!F13="Aula 9","C112 ","")&amp;IF('C113'!F13="Aula 9","C113 ","")&amp;IF('C121'!F13="Aula 9","C121 ","")&amp;IF('C122'!F13="Aula 9","C122 ","")&amp;IF('C211'!F13="Aula 9","C211 ","")&amp;IF('C212'!F13="Aula 9","C212 ","")&amp;IF('C311'!F13="Aula 9","C311 ","")&amp;IF('C312'!F13="Aula 9","C312 ","")&amp;IF('C411'!F13="Aula 9","C411 ","")&amp;IF('C412'!F13="Aula 9","C412 ","")&amp;IF('M111'!F13="Aula 9","M111 ","")&amp;IF('M112'!F13="Aula 9","M112 ","")&amp;IF('M211'!F13="Aula 9","M211 ","")&amp;IF('M212'!F13="Aula 9","M212 ","")&amp;IF('M311'!F13="Aula 9","M311 ","")&amp;IF('M411'!F13="Aula 9","M411 ","")&amp;IF('D111'!F13="Aula 9","D111 ","")&amp;IF('D112'!F13="Aula 9","D112 ","")&amp;IF('D211'!F13="Aula 9","D211 ","")&amp;IF('D311'!F13="Aula 9","D311 ","")&amp;IF('D411'!F13="Aula 9","D411 ",""))," ",",")</f>
        <v/>
      </c>
      <c r="K38" s="5">
        <f>SUBSTITUTE(TRIM(IF('C111'!F13="Aula 10","C111 ","")&amp;IF('C112'!F13="Aula 10","C112 ","")&amp;IF('C113'!F13="Aula 10","C113 ","")&amp;IF('C121'!F13="Aula 10","C121 ","")&amp;IF('C122'!F13="Aula 10","C122 ","")&amp;IF('C211'!F13="Aula 10","C211 ","")&amp;IF('C212'!F13="Aula 10","C212 ","")&amp;IF('C311'!F13="Aula 10","C311 ","")&amp;IF('C312'!F13="Aula 10","C312 ","")&amp;IF('C411'!F13="Aula 10","C411 ","")&amp;IF('C412'!F13="Aula 10","C412 ","")&amp;IF('M111'!F13="Aula 10","M111 ","")&amp;IF('M112'!F13="Aula 10","M112 ","")&amp;IF('M211'!F13="Aula 10","M211 ","")&amp;IF('M212'!F13="Aula 10","M212 ","")&amp;IF('M311'!F13="Aula 10","M311 ","")&amp;IF('M411'!F13="Aula 10","M411 ","")&amp;IF('D111'!F13="Aula 10","D111 ","")&amp;IF('D112'!F13="Aula 10","D112 ","")&amp;IF('D211'!F13="Aula 10","D211 ","")&amp;IF('D311'!F13="Aula 10","D311 ","")&amp;IF('D411'!F13="Aula 10","D411 ",""))," ",",")</f>
        <v/>
      </c>
      <c r="L38" s="5">
        <f>SUBSTITUTE(TRIM(IF('C111'!F13="Aula 11","C111 ","")&amp;IF('C112'!F13="Aula 11","C112 ","")&amp;IF('C113'!F13="Aula 11","C113 ","")&amp;IF('C121'!F13="Aula 11","C121 ","")&amp;IF('C122'!F13="Aula 11","C122 ","")&amp;IF('C211'!F13="Aula 11","C211 ","")&amp;IF('C212'!F13="Aula 11","C212 ","")&amp;IF('C311'!F13="Aula 11","C311 ","")&amp;IF('C312'!F13="Aula 11","C312 ","")&amp;IF('C411'!F13="Aula 11","C411 ","")&amp;IF('C412'!F13="Aula 11","C412 ","")&amp;IF('M111'!F13="Aula 11","M111 ","")&amp;IF('M112'!F13="Aula 11","M112 ","")&amp;IF('M211'!F13="Aula 11","M211 ","")&amp;IF('M212'!F13="Aula 11","M212 ","")&amp;IF('M311'!F13="Aula 11","M311 ","")&amp;IF('M411'!F13="Aula 11","M411 ","")&amp;IF('D111'!F13="Aula 11","D111 ","")&amp;IF('D112'!F13="Aula 11","D112 ","")&amp;IF('D211'!F13="Aula 11","D211 ","")&amp;IF('D311'!F13="Aula 11","D311 ","")&amp;IF('D411'!F13="Aula 11","D411 ",""))," ",",")</f>
        <v/>
      </c>
      <c r="M38" s="5">
        <f>SUBSTITUTE(TRIM(IF('C111'!F13="Aula 12","C111 ","")&amp;IF('C112'!F13="Aula 12","C112 ","")&amp;IF('C113'!F13="Aula 12","C113 ","")&amp;IF('C121'!F13="Aula 12","C121 ","")&amp;IF('C122'!F13="Aula 12","C122 ","")&amp;IF('C211'!F13="Aula 12","C211 ","")&amp;IF('C212'!F13="Aula 12","C212 ","")&amp;IF('C311'!F13="Aula 12","C311 ","")&amp;IF('C312'!F13="Aula 12","C312 ","")&amp;IF('C411'!F13="Aula 12","C411 ","")&amp;IF('C412'!F13="Aula 12","C412 ","")&amp;IF('M111'!F13="Aula 12","M111 ","")&amp;IF('M112'!F13="Aula 12","M112 ","")&amp;IF('M211'!F13="Aula 12","M211 ","")&amp;IF('M212'!F13="Aula 12","M212 ","")&amp;IF('M311'!F13="Aula 12","M311 ","")&amp;IF('M411'!F13="Aula 12","M411 ","")&amp;IF('D111'!F13="Aula 12","D111 ","")&amp;IF('D112'!F13="Aula 12","D112 ","")&amp;IF('D211'!F13="Aula 12","D211 ","")&amp;IF('D311'!F13="Aula 12","D311 ","")&amp;IF('D411'!F13="Aula 12","D411 ",""))," ",",")</f>
        <v/>
      </c>
      <c r="N38" s="5">
        <f>SUBSTITUTE(TRIM(IF('C111'!F13="Lab 1","C111 ","")&amp;IF('C112'!F13="Lab 1","C112 ","")&amp;IF('C113'!F13="Lab 1","C113 ","")&amp;IF('C121'!F13="Lab 1","C121 ","")&amp;IF('C122'!F13="Lab 1","C122 ","")&amp;IF('C211'!F13="Lab 1","C211 ","")&amp;IF('C212'!F13="Lab 1","C212 ","")&amp;IF('C311'!F13="Lab 1","C311 ","")&amp;IF('C312'!F13="Lab 1","C312 ","")&amp;IF('C411'!F13="Lab 1","C411 ","")&amp;IF('C412'!F13="Lab 1","C412 ","")&amp;IF('M111'!F13="Lab 1","M111 ","")&amp;IF('M112'!F13="Lab 1","M112 ","")&amp;IF('M211'!F13="Lab 1","M211 ","")&amp;IF('M212'!F13="Lab 1","M212 ","")&amp;IF('M311'!F13="Lab 1","M311 ","")&amp;IF('M411'!F13="Lab 1","M411 ","")&amp;IF('D111'!F13="Lab 1","D111 ","")&amp;IF('D112'!F13="Lab 1","D112 ","")&amp;IF('D211'!F13="Lab 1","D211 ","")&amp;IF('D311'!F13="Lab 1","D311 ","")&amp;IF('D411'!F13="Lab 1","D411 ",""))," ",",")</f>
        <v/>
      </c>
      <c r="O38" s="5">
        <f>SUBSTITUTE(TRIM(IF('C111'!F13="Lab 2","C111 ","")&amp;IF('C112'!F13="Lab 2","C112 ","")&amp;IF('C113'!F13="Lab 2","C113 ","")&amp;IF('C121'!F13="Lab 2","C121 ","")&amp;IF('C122'!F13="Lab 2","C122 ","")&amp;IF('C211'!F13="Lab 2","C211 ","")&amp;IF('C212'!F13="Lab 2","C212 ","")&amp;IF('C311'!F13="Lab 2","C311 ","")&amp;IF('C312'!F13="Lab 2","C312 ","")&amp;IF('C411'!F13="Lab 2","C411 ","")&amp;IF('C412'!F13="Lab 2","C412 ","")&amp;IF('M111'!F13="Lab 2","M111 ","")&amp;IF('M112'!F13="Lab 2","M112 ","")&amp;IF('M211'!F13="Lab 2","M211 ","")&amp;IF('M212'!F13="Lab 2","M212 ","")&amp;IF('M311'!F13="Lab 2","M311 ","")&amp;IF('M411'!F13="Lab 2","M411 ","")&amp;IF('D111'!F13="Lab 2","D111 ","")&amp;IF('D112'!F13="Lab 2","D112 ","")&amp;IF('D211'!F13="Lab 2","D211 ","")&amp;IF('D311'!F13="Lab 2","D311 ","")&amp;IF('D411'!F13="Lab 2","D411 ",""))," ",",")</f>
        <v/>
      </c>
      <c r="P38" s="6">
        <f>SUBSTITUTE(TRIM(IF('C111'!F13="Salón","C111 ","")&amp;IF('C112'!F13="Salón","C112 ","")&amp;IF('C113'!F13="Salón","C113 ","")&amp;IF('C121'!F13="Salón","C121 ","")&amp;IF('C122'!F13="Salón","C122 ","")&amp;IF('C211'!F13="Salón","C211 ","")&amp;IF('C212'!F13="Salón","C212 ","")&amp;IF('C311'!F13="Salón","C311 ","")&amp;IF('C312'!F13="Salón","C312 ","")&amp;IF('C411'!F13="Salón","C411 ","")&amp;IF('C412'!F13="Salón","C412 ","")&amp;IF('M111'!F13="Salón","M111 ","")&amp;IF('M112'!F13="Salón","M112 ","")&amp;IF('M211'!F13="Salón","M211 ","")&amp;IF('M212'!F13="Salón","M212 ","")&amp;IF('M311'!F13="Salón","M311 ","")&amp;IF('M411'!F13="Salón","M411 ","")&amp;IF('D111'!F13="Salón","D111 ","")&amp;IF('D112'!F13="Salón","D112 ","")&amp;IF('D211'!F13="Salón","D211 ","")&amp;IF('D311'!F13="Salón","D311 ","")&amp;IF('D411'!F13="Salón","D411 ",""))," ",",")</f>
        <v/>
      </c>
    </row>
    <row r="39">
      <c r="A39" s="7" t="inlineStr">
        <is>
          <t>Turno 6</t>
        </is>
      </c>
      <c r="B39" s="8">
        <f>SUBSTITUTE(TRIM(IF('C111'!F15="Aula 1","C111 ","")&amp;IF('C112'!F15="Aula 1","C112 ","")&amp;IF('C113'!F15="Aula 1","C113 ","")&amp;IF('C121'!F15="Aula 1","C121 ","")&amp;IF('C122'!F15="Aula 1","C122 ","")&amp;IF('C211'!F15="Aula 1","C211 ","")&amp;IF('C212'!F15="Aula 1","C212 ","")&amp;IF('C311'!F15="Aula 1","C311 ","")&amp;IF('C312'!F15="Aula 1","C312 ","")&amp;IF('C411'!F15="Aula 1","C411 ","")&amp;IF('C412'!F15="Aula 1","C412 ","")&amp;IF('M111'!F15="Aula 1","M111 ","")&amp;IF('M112'!F15="Aula 1","M112 ","")&amp;IF('M211'!F15="Aula 1","M211 ","")&amp;IF('M212'!F15="Aula 1","M212 ","")&amp;IF('M311'!F15="Aula 1","M311 ","")&amp;IF('M411'!F15="Aula 1","M411 ","")&amp;IF('D111'!F15="Aula 1","D111 ","")&amp;IF('D112'!F15="Aula 1","D112 ","")&amp;IF('D211'!F15="Aula 1","D211 ","")&amp;IF('D311'!F15="Aula 1","D311 ","")&amp;IF('D411'!F15="Aula 1","D411 ",""))," ",",")</f>
        <v/>
      </c>
      <c r="C39" s="8">
        <f>SUBSTITUTE(TRIM(IF('C111'!F15="Aula 2","C111 ","")&amp;IF('C112'!F15="Aula 2","C112 ","")&amp;IF('C113'!F15="Aula 2","C113 ","")&amp;IF('C121'!F15="Aula 2","C121 ","")&amp;IF('C122'!F15="Aula 2","C122 ","")&amp;IF('C211'!F15="Aula 2","C211 ","")&amp;IF('C212'!F15="Aula 2","C212 ","")&amp;IF('C311'!F15="Aula 2","C311 ","")&amp;IF('C312'!F15="Aula 2","C312 ","")&amp;IF('C411'!F15="Aula 2","C411 ","")&amp;IF('C412'!F15="Aula 2","C412 ","")&amp;IF('M111'!F15="Aula 2","M111 ","")&amp;IF('M112'!F15="Aula 2","M112 ","")&amp;IF('M211'!F15="Aula 2","M211 ","")&amp;IF('M212'!F15="Aula 2","M212 ","")&amp;IF('M311'!F15="Aula 2","M311 ","")&amp;IF('M411'!F15="Aula 2","M411 ","")&amp;IF('D111'!F15="Aula 2","D111 ","")&amp;IF('D112'!F15="Aula 2","D112 ","")&amp;IF('D211'!F15="Aula 2","D211 ","")&amp;IF('D311'!F15="Aula 2","D311 ","")&amp;IF('D411'!F15="Aula 2","D411 ",""))," ",",")</f>
        <v/>
      </c>
      <c r="D39" s="8">
        <f>SUBSTITUTE(TRIM(IF('C111'!F15="Aula 3","C111 ","")&amp;IF('C112'!F15="Aula 3","C112 ","")&amp;IF('C113'!F15="Aula 3","C113 ","")&amp;IF('C121'!F15="Aula 3","C121 ","")&amp;IF('C122'!F15="Aula 3","C122 ","")&amp;IF('C211'!F15="Aula 3","C211 ","")&amp;IF('C212'!F15="Aula 3","C212 ","")&amp;IF('C311'!F15="Aula 3","C311 ","")&amp;IF('C312'!F15="Aula 3","C312 ","")&amp;IF('C411'!F15="Aula 3","C411 ","")&amp;IF('C412'!F15="Aula 3","C412 ","")&amp;IF('M111'!F15="Aula 3","M111 ","")&amp;IF('M112'!F15="Aula 3","M112 ","")&amp;IF('M211'!F15="Aula 3","M211 ","")&amp;IF('M212'!F15="Aula 3","M212 ","")&amp;IF('M311'!F15="Aula 3","M311 ","")&amp;IF('M411'!F15="Aula 3","M411 ","")&amp;IF('D111'!F15="Aula 3","D111 ","")&amp;IF('D112'!F15="Aula 3","D112 ","")&amp;IF('D211'!F15="Aula 3","D211 ","")&amp;IF('D311'!F15="Aula 3","D311 ","")&amp;IF('D411'!F15="Aula 3","D411 ",""))," ",",")</f>
        <v/>
      </c>
      <c r="E39" s="8">
        <f>SUBSTITUTE(TRIM(IF('C111'!F15="Aula 4","C111 ","")&amp;IF('C112'!F15="Aula 4","C112 ","")&amp;IF('C113'!F15="Aula 4","C113 ","")&amp;IF('C121'!F15="Aula 4","C121 ","")&amp;IF('C122'!F15="Aula 4","C122 ","")&amp;IF('C211'!F15="Aula 4","C211 ","")&amp;IF('C212'!F15="Aula 4","C212 ","")&amp;IF('C311'!F15="Aula 4","C311 ","")&amp;IF('C312'!F15="Aula 4","C312 ","")&amp;IF('C411'!F15="Aula 4","C411 ","")&amp;IF('C412'!F15="Aula 4","C412 ","")&amp;IF('M111'!F15="Aula 4","M111 ","")&amp;IF('M112'!F15="Aula 4","M112 ","")&amp;IF('M211'!F15="Aula 4","M211 ","")&amp;IF('M212'!F15="Aula 4","M212 ","")&amp;IF('M311'!F15="Aula 4","M311 ","")&amp;IF('M411'!F15="Aula 4","M411 ","")&amp;IF('D111'!F15="Aula 4","D111 ","")&amp;IF('D112'!F15="Aula 4","D112 ","")&amp;IF('D211'!F15="Aula 4","D211 ","")&amp;IF('D311'!F15="Aula 4","D311 ","")&amp;IF('D411'!F15="Aula 4","D411 ",""))," ",",")</f>
        <v/>
      </c>
      <c r="F39" s="8">
        <f>SUBSTITUTE(TRIM(IF('C111'!F15="Aula 5","C111 ","")&amp;IF('C112'!F15="Aula 5","C112 ","")&amp;IF('C113'!F15="Aula 5","C113 ","")&amp;IF('C121'!F15="Aula 5","C121 ","")&amp;IF('C122'!F15="Aula 5","C122 ","")&amp;IF('C211'!F15="Aula 5","C211 ","")&amp;IF('C212'!F15="Aula 5","C212 ","")&amp;IF('C311'!F15="Aula 5","C311 ","")&amp;IF('C312'!F15="Aula 5","C312 ","")&amp;IF('C411'!F15="Aula 5","C411 ","")&amp;IF('C412'!F15="Aula 5","C412 ","")&amp;IF('M111'!F15="Aula 5","M111 ","")&amp;IF('M112'!F15="Aula 5","M112 ","")&amp;IF('M211'!F15="Aula 5","M211 ","")&amp;IF('M212'!F15="Aula 5","M212 ","")&amp;IF('M311'!F15="Aula 5","M311 ","")&amp;IF('M411'!F15="Aula 5","M411 ","")&amp;IF('D111'!F15="Aula 5","D111 ","")&amp;IF('D112'!F15="Aula 5","D112 ","")&amp;IF('D211'!F15="Aula 5","D211 ","")&amp;IF('D311'!F15="Aula 5","D311 ","")&amp;IF('D411'!F15="Aula 5","D411 ",""))," ",",")</f>
        <v/>
      </c>
      <c r="G39" s="8">
        <f>SUBSTITUTE(TRIM(IF('C111'!F15="Aula 6","C111 ","")&amp;IF('C112'!F15="Aula 6","C112 ","")&amp;IF('C113'!F15="Aula 6","C113 ","")&amp;IF('C121'!F15="Aula 6","C121 ","")&amp;IF('C122'!F15="Aula 6","C122 ","")&amp;IF('C211'!F15="Aula 6","C211 ","")&amp;IF('C212'!F15="Aula 6","C212 ","")&amp;IF('C311'!F15="Aula 6","C311 ","")&amp;IF('C312'!F15="Aula 6","C312 ","")&amp;IF('C411'!F15="Aula 6","C411 ","")&amp;IF('C412'!F15="Aula 6","C412 ","")&amp;IF('M111'!F15="Aula 6","M111 ","")&amp;IF('M112'!F15="Aula 6","M112 ","")&amp;IF('M211'!F15="Aula 6","M211 ","")&amp;IF('M212'!F15="Aula 6","M212 ","")&amp;IF('M311'!F15="Aula 6","M311 ","")&amp;IF('M411'!F15="Aula 6","M411 ","")&amp;IF('D111'!F15="Aula 6","D111 ","")&amp;IF('D112'!F15="Aula 6","D112 ","")&amp;IF('D211'!F15="Aula 6","D211 ","")&amp;IF('D311'!F15="Aula 6","D311 ","")&amp;IF('D411'!F15="Aula 6","D411 ",""))," ",",")</f>
        <v/>
      </c>
      <c r="H39" s="8">
        <f>SUBSTITUTE(TRIM(IF('C111'!F15="Aula 7","C111 ","")&amp;IF('C112'!F15="Aula 7","C112 ","")&amp;IF('C113'!F15="Aula 7","C113 ","")&amp;IF('C121'!F15="Aula 7","C121 ","")&amp;IF('C122'!F15="Aula 7","C122 ","")&amp;IF('C211'!F15="Aula 7","C211 ","")&amp;IF('C212'!F15="Aula 7","C212 ","")&amp;IF('C311'!F15="Aula 7","C311 ","")&amp;IF('C312'!F15="Aula 7","C312 ","")&amp;IF('C411'!F15="Aula 7","C411 ","")&amp;IF('C412'!F15="Aula 7","C412 ","")&amp;IF('M111'!F15="Aula 7","M111 ","")&amp;IF('M112'!F15="Aula 7","M112 ","")&amp;IF('M211'!F15="Aula 7","M211 ","")&amp;IF('M212'!F15="Aula 7","M212 ","")&amp;IF('M311'!F15="Aula 7","M311 ","")&amp;IF('M411'!F15="Aula 7","M411 ","")&amp;IF('D111'!F15="Aula 7","D111 ","")&amp;IF('D112'!F15="Aula 7","D112 ","")&amp;IF('D211'!F15="Aula 7","D211 ","")&amp;IF('D311'!F15="Aula 7","D311 ","")&amp;IF('D411'!F15="Aula 7","D411 ",""))," ",",")</f>
        <v/>
      </c>
      <c r="I39" s="8">
        <f>SUBSTITUTE(TRIM(IF('C111'!F15="Aula 8","C111 ","")&amp;IF('C112'!F15="Aula 8","C112 ","")&amp;IF('C113'!F15="Aula 8","C113 ","")&amp;IF('C121'!F15="Aula 8","C121 ","")&amp;IF('C122'!F15="Aula 8","C122 ","")&amp;IF('C211'!F15="Aula 8","C211 ","")&amp;IF('C212'!F15="Aula 8","C212 ","")&amp;IF('C311'!F15="Aula 8","C311 ","")&amp;IF('C312'!F15="Aula 8","C312 ","")&amp;IF('C411'!F15="Aula 8","C411 ","")&amp;IF('C412'!F15="Aula 8","C412 ","")&amp;IF('M111'!F15="Aula 8","M111 ","")&amp;IF('M112'!F15="Aula 8","M112 ","")&amp;IF('M211'!F15="Aula 8","M211 ","")&amp;IF('M212'!F15="Aula 8","M212 ","")&amp;IF('M311'!F15="Aula 8","M311 ","")&amp;IF('M411'!F15="Aula 8","M411 ","")&amp;IF('D111'!F15="Aula 8","D111 ","")&amp;IF('D112'!F15="Aula 8","D112 ","")&amp;IF('D211'!F15="Aula 8","D211 ","")&amp;IF('D311'!F15="Aula 8","D311 ","")&amp;IF('D411'!F15="Aula 8","D411 ",""))," ",",")</f>
        <v/>
      </c>
      <c r="J39" s="8">
        <f>SUBSTITUTE(TRIM(IF('C111'!F15="Aula 9","C111 ","")&amp;IF('C112'!F15="Aula 9","C112 ","")&amp;IF('C113'!F15="Aula 9","C113 ","")&amp;IF('C121'!F15="Aula 9","C121 ","")&amp;IF('C122'!F15="Aula 9","C122 ","")&amp;IF('C211'!F15="Aula 9","C211 ","")&amp;IF('C212'!F15="Aula 9","C212 ","")&amp;IF('C311'!F15="Aula 9","C311 ","")&amp;IF('C312'!F15="Aula 9","C312 ","")&amp;IF('C411'!F15="Aula 9","C411 ","")&amp;IF('C412'!F15="Aula 9","C412 ","")&amp;IF('M111'!F15="Aula 9","M111 ","")&amp;IF('M112'!F15="Aula 9","M112 ","")&amp;IF('M211'!F15="Aula 9","M211 ","")&amp;IF('M212'!F15="Aula 9","M212 ","")&amp;IF('M311'!F15="Aula 9","M311 ","")&amp;IF('M411'!F15="Aula 9","M411 ","")&amp;IF('D111'!F15="Aula 9","D111 ","")&amp;IF('D112'!F15="Aula 9","D112 ","")&amp;IF('D211'!F15="Aula 9","D211 ","")&amp;IF('D311'!F15="Aula 9","D311 ","")&amp;IF('D411'!F15="Aula 9","D411 ",""))," ",",")</f>
        <v/>
      </c>
      <c r="K39" s="8">
        <f>SUBSTITUTE(TRIM(IF('C111'!F15="Aula 10","C111 ","")&amp;IF('C112'!F15="Aula 10","C112 ","")&amp;IF('C113'!F15="Aula 10","C113 ","")&amp;IF('C121'!F15="Aula 10","C121 ","")&amp;IF('C122'!F15="Aula 10","C122 ","")&amp;IF('C211'!F15="Aula 10","C211 ","")&amp;IF('C212'!F15="Aula 10","C212 ","")&amp;IF('C311'!F15="Aula 10","C311 ","")&amp;IF('C312'!F15="Aula 10","C312 ","")&amp;IF('C411'!F15="Aula 10","C411 ","")&amp;IF('C412'!F15="Aula 10","C412 ","")&amp;IF('M111'!F15="Aula 10","M111 ","")&amp;IF('M112'!F15="Aula 10","M112 ","")&amp;IF('M211'!F15="Aula 10","M211 ","")&amp;IF('M212'!F15="Aula 10","M212 ","")&amp;IF('M311'!F15="Aula 10","M311 ","")&amp;IF('M411'!F15="Aula 10","M411 ","")&amp;IF('D111'!F15="Aula 10","D111 ","")&amp;IF('D112'!F15="Aula 10","D112 ","")&amp;IF('D211'!F15="Aula 10","D211 ","")&amp;IF('D311'!F15="Aula 10","D311 ","")&amp;IF('D411'!F15="Aula 10","D411 ",""))," ",",")</f>
        <v/>
      </c>
      <c r="L39" s="8">
        <f>SUBSTITUTE(TRIM(IF('C111'!F15="Aula 11","C111 ","")&amp;IF('C112'!F15="Aula 11","C112 ","")&amp;IF('C113'!F15="Aula 11","C113 ","")&amp;IF('C121'!F15="Aula 11","C121 ","")&amp;IF('C122'!F15="Aula 11","C122 ","")&amp;IF('C211'!F15="Aula 11","C211 ","")&amp;IF('C212'!F15="Aula 11","C212 ","")&amp;IF('C311'!F15="Aula 11","C311 ","")&amp;IF('C312'!F15="Aula 11","C312 ","")&amp;IF('C411'!F15="Aula 11","C411 ","")&amp;IF('C412'!F15="Aula 11","C412 ","")&amp;IF('M111'!F15="Aula 11","M111 ","")&amp;IF('M112'!F15="Aula 11","M112 ","")&amp;IF('M211'!F15="Aula 11","M211 ","")&amp;IF('M212'!F15="Aula 11","M212 ","")&amp;IF('M311'!F15="Aula 11","M311 ","")&amp;IF('M411'!F15="Aula 11","M411 ","")&amp;IF('D111'!F15="Aula 11","D111 ","")&amp;IF('D112'!F15="Aula 11","D112 ","")&amp;IF('D211'!F15="Aula 11","D211 ","")&amp;IF('D311'!F15="Aula 11","D311 ","")&amp;IF('D411'!F15="Aula 11","D411 ",""))," ",",")</f>
        <v/>
      </c>
      <c r="M39" s="8">
        <f>SUBSTITUTE(TRIM(IF('C111'!F15="Aula 12","C111 ","")&amp;IF('C112'!F15="Aula 12","C112 ","")&amp;IF('C113'!F15="Aula 12","C113 ","")&amp;IF('C121'!F15="Aula 12","C121 ","")&amp;IF('C122'!F15="Aula 12","C122 ","")&amp;IF('C211'!F15="Aula 12","C211 ","")&amp;IF('C212'!F15="Aula 12","C212 ","")&amp;IF('C311'!F15="Aula 12","C311 ","")&amp;IF('C312'!F15="Aula 12","C312 ","")&amp;IF('C411'!F15="Aula 12","C411 ","")&amp;IF('C412'!F15="Aula 12","C412 ","")&amp;IF('M111'!F15="Aula 12","M111 ","")&amp;IF('M112'!F15="Aula 12","M112 ","")&amp;IF('M211'!F15="Aula 12","M211 ","")&amp;IF('M212'!F15="Aula 12","M212 ","")&amp;IF('M311'!F15="Aula 12","M311 ","")&amp;IF('M411'!F15="Aula 12","M411 ","")&amp;IF('D111'!F15="Aula 12","D111 ","")&amp;IF('D112'!F15="Aula 12","D112 ","")&amp;IF('D211'!F15="Aula 12","D211 ","")&amp;IF('D311'!F15="Aula 12","D311 ","")&amp;IF('D411'!F15="Aula 12","D411 ",""))," ",",")</f>
        <v/>
      </c>
      <c r="N39" s="8">
        <f>SUBSTITUTE(TRIM(IF('C111'!F15="Lab 1","C111 ","")&amp;IF('C112'!F15="Lab 1","C112 ","")&amp;IF('C113'!F15="Lab 1","C113 ","")&amp;IF('C121'!F15="Lab 1","C121 ","")&amp;IF('C122'!F15="Lab 1","C122 ","")&amp;IF('C211'!F15="Lab 1","C211 ","")&amp;IF('C212'!F15="Lab 1","C212 ","")&amp;IF('C311'!F15="Lab 1","C311 ","")&amp;IF('C312'!F15="Lab 1","C312 ","")&amp;IF('C411'!F15="Lab 1","C411 ","")&amp;IF('C412'!F15="Lab 1","C412 ","")&amp;IF('M111'!F15="Lab 1","M111 ","")&amp;IF('M112'!F15="Lab 1","M112 ","")&amp;IF('M211'!F15="Lab 1","M211 ","")&amp;IF('M212'!F15="Lab 1","M212 ","")&amp;IF('M311'!F15="Lab 1","M311 ","")&amp;IF('M411'!F15="Lab 1","M411 ","")&amp;IF('D111'!F15="Lab 1","D111 ","")&amp;IF('D112'!F15="Lab 1","D112 ","")&amp;IF('D211'!F15="Lab 1","D211 ","")&amp;IF('D311'!F15="Lab 1","D311 ","")&amp;IF('D411'!F15="Lab 1","D411 ",""))," ",",")</f>
        <v/>
      </c>
      <c r="O39" s="8">
        <f>SUBSTITUTE(TRIM(IF('C111'!F15="Lab 2","C111 ","")&amp;IF('C112'!F15="Lab 2","C112 ","")&amp;IF('C113'!F15="Lab 2","C113 ","")&amp;IF('C121'!F15="Lab 2","C121 ","")&amp;IF('C122'!F15="Lab 2","C122 ","")&amp;IF('C211'!F15="Lab 2","C211 ","")&amp;IF('C212'!F15="Lab 2","C212 ","")&amp;IF('C311'!F15="Lab 2","C311 ","")&amp;IF('C312'!F15="Lab 2","C312 ","")&amp;IF('C411'!F15="Lab 2","C411 ","")&amp;IF('C412'!F15="Lab 2","C412 ","")&amp;IF('M111'!F15="Lab 2","M111 ","")&amp;IF('M112'!F15="Lab 2","M112 ","")&amp;IF('M211'!F15="Lab 2","M211 ","")&amp;IF('M212'!F15="Lab 2","M212 ","")&amp;IF('M311'!F15="Lab 2","M311 ","")&amp;IF('M411'!F15="Lab 2","M411 ","")&amp;IF('D111'!F15="Lab 2","D111 ","")&amp;IF('D112'!F15="Lab 2","D112 ","")&amp;IF('D211'!F15="Lab 2","D211 ","")&amp;IF('D311'!F15="Lab 2","D311 ","")&amp;IF('D411'!F15="Lab 2","D411 ",""))," ",",")</f>
        <v/>
      </c>
      <c r="P39" s="9">
        <f>SUBSTITUTE(TRIM(IF('C111'!F15="Salón","C111 ","")&amp;IF('C112'!F15="Salón","C112 ","")&amp;IF('C113'!F15="Salón","C113 ","")&amp;IF('C121'!F15="Salón","C121 ","")&amp;IF('C122'!F15="Salón","C122 ","")&amp;IF('C211'!F15="Salón","C211 ","")&amp;IF('C212'!F15="Salón","C212 ","")&amp;IF('C311'!F15="Salón","C311 ","")&amp;IF('C312'!F15="Salón","C312 ","")&amp;IF('C411'!F15="Salón","C411 ","")&amp;IF('C412'!F15="Salón","C412 ","")&amp;IF('M111'!F15="Salón","M111 ","")&amp;IF('M112'!F15="Salón","M112 ","")&amp;IF('M211'!F15="Salón","M211 ","")&amp;IF('M212'!F15="Salón","M212 ","")&amp;IF('M311'!F15="Salón","M311 ","")&amp;IF('M411'!F15="Salón","M411 ","")&amp;IF('D111'!F15="Salón","D111 ","")&amp;IF('D112'!F15="Salón","D112 ","")&amp;IF('D211'!F15="Salón","D211 ","")&amp;IF('D311'!F15="Salón","D311 ","")&amp;IF('D411'!F15="Salón","D411 ",""))," ",",")</f>
        <v/>
      </c>
    </row>
    <row r="41">
      <c r="A41" t="inlineStr">
        <is>
          <t>Leyenda</t>
        </is>
      </c>
    </row>
    <row r="42">
      <c r="A42" s="10" t="n"/>
      <c r="B42" t="inlineStr">
        <is>
          <t>Año C1</t>
        </is>
      </c>
    </row>
    <row r="43">
      <c r="A43" s="11" t="n"/>
      <c r="B43" t="inlineStr">
        <is>
          <t>Año C2</t>
        </is>
      </c>
    </row>
    <row r="44">
      <c r="A44" s="12" t="n"/>
      <c r="B44" t="inlineStr">
        <is>
          <t>Año C3</t>
        </is>
      </c>
    </row>
    <row r="45">
      <c r="A45" s="13" t="n"/>
      <c r="B45" t="inlineStr">
        <is>
          <t>Año C4</t>
        </is>
      </c>
    </row>
    <row r="46">
      <c r="A46" s="14" t="n"/>
      <c r="B46" t="inlineStr">
        <is>
          <t>Año M1</t>
        </is>
      </c>
    </row>
    <row r="47">
      <c r="A47" s="15" t="n"/>
      <c r="B47" t="inlineStr">
        <is>
          <t>Año M2</t>
        </is>
      </c>
    </row>
    <row r="48">
      <c r="A48" s="16" t="n"/>
      <c r="B48" t="inlineStr">
        <is>
          <t>Año M3</t>
        </is>
      </c>
    </row>
    <row r="49">
      <c r="A49" s="17" t="n"/>
      <c r="B49" t="inlineStr">
        <is>
          <t>Año M4</t>
        </is>
      </c>
    </row>
    <row r="50">
      <c r="A50" s="18" t="n"/>
      <c r="B50" t="inlineStr">
        <is>
          <t>Año D1</t>
        </is>
      </c>
    </row>
    <row r="51">
      <c r="A51" s="19" t="n"/>
      <c r="B51" t="inlineStr">
        <is>
          <t>Año D2</t>
        </is>
      </c>
    </row>
    <row r="52">
      <c r="A52" s="20" t="n"/>
      <c r="B52" t="inlineStr">
        <is>
          <t>Año D3</t>
        </is>
      </c>
    </row>
    <row r="53">
      <c r="A53" s="21" t="n"/>
      <c r="B53" t="inlineStr">
        <is>
          <t>Año D4</t>
        </is>
      </c>
    </row>
    <row r="54">
      <c r="A54" s="22" t="n"/>
      <c r="B54" t="inlineStr">
        <is>
          <t>Conflicto (varios años en la misma aula)</t>
        </is>
      </c>
    </row>
  </sheetData>
  <conditionalFormatting sqref="B2">
    <cfRule type="expression" priority="1" dxfId="0">
      <formula>Datos!C1="C1"</formula>
    </cfRule>
    <cfRule type="expression" priority="2" dxfId="1">
      <formula>Datos!C1="C2"</formula>
    </cfRule>
    <cfRule type="expression" priority="3" dxfId="2">
      <formula>Datos!C1="C3"</formula>
    </cfRule>
    <cfRule type="expression" priority="4" dxfId="3">
      <formula>Datos!C1="C4"</formula>
    </cfRule>
    <cfRule type="expression" priority="5" dxfId="4">
      <formula>Datos!C1="M1"</formula>
    </cfRule>
    <cfRule type="expression" priority="6" dxfId="5">
      <formula>Datos!C1="M2"</formula>
    </cfRule>
    <cfRule type="expression" priority="7" dxfId="6">
      <formula>Datos!C1="M3"</formula>
    </cfRule>
    <cfRule type="expression" priority="8" dxfId="7">
      <formula>Datos!C1="M4"</formula>
    </cfRule>
    <cfRule type="expression" priority="9" dxfId="8">
      <formula>Datos!C1="D1"</formula>
    </cfRule>
    <cfRule type="expression" priority="10" dxfId="9">
      <formula>Datos!C1="D2"</formula>
    </cfRule>
    <cfRule type="expression" priority="11" dxfId="10">
      <formula>Datos!C1="D3"</formula>
    </cfRule>
    <cfRule type="expression" priority="12" dxfId="11">
      <formula>Datos!C1="D4"</formula>
    </cfRule>
    <cfRule type="expression" priority="13" dxfId="12">
      <formula>Datos!C1="MIX"</formula>
    </cfRule>
  </conditionalFormatting>
  <conditionalFormatting sqref="C2">
    <cfRule type="expression" priority="14" dxfId="0">
      <formula>Datos!C2="C1"</formula>
    </cfRule>
    <cfRule type="expression" priority="15" dxfId="1">
      <formula>Datos!C2="C2"</formula>
    </cfRule>
    <cfRule type="expression" priority="16" dxfId="2">
      <formula>Datos!C2="C3"</formula>
    </cfRule>
    <cfRule type="expression" priority="17" dxfId="3">
      <formula>Datos!C2="C4"</formula>
    </cfRule>
    <cfRule type="expression" priority="18" dxfId="4">
      <formula>Datos!C2="M1"</formula>
    </cfRule>
    <cfRule type="expression" priority="19" dxfId="5">
      <formula>Datos!C2="M2"</formula>
    </cfRule>
    <cfRule type="expression" priority="20" dxfId="6">
      <formula>Datos!C2="M3"</formula>
    </cfRule>
    <cfRule type="expression" priority="21" dxfId="7">
      <formula>Datos!C2="M4"</formula>
    </cfRule>
    <cfRule type="expression" priority="22" dxfId="8">
      <formula>Datos!C2="D1"</formula>
    </cfRule>
    <cfRule type="expression" priority="23" dxfId="9">
      <formula>Datos!C2="D2"</formula>
    </cfRule>
    <cfRule type="expression" priority="24" dxfId="10">
      <formula>Datos!C2="D3"</formula>
    </cfRule>
    <cfRule type="expression" priority="25" dxfId="11">
      <formula>Datos!C2="D4"</formula>
    </cfRule>
    <cfRule type="expression" priority="26" dxfId="12">
      <formula>Datos!C2="MIX"</formula>
    </cfRule>
  </conditionalFormatting>
  <conditionalFormatting sqref="D2">
    <cfRule type="expression" priority="27" dxfId="0">
      <formula>Datos!C3="C1"</formula>
    </cfRule>
    <cfRule type="expression" priority="28" dxfId="1">
      <formula>Datos!C3="C2"</formula>
    </cfRule>
    <cfRule type="expression" priority="29" dxfId="2">
      <formula>Datos!C3="C3"</formula>
    </cfRule>
    <cfRule type="expression" priority="30" dxfId="3">
      <formula>Datos!C3="C4"</formula>
    </cfRule>
    <cfRule type="expression" priority="31" dxfId="4">
      <formula>Datos!C3="M1"</formula>
    </cfRule>
    <cfRule type="expression" priority="32" dxfId="5">
      <formula>Datos!C3="M2"</formula>
    </cfRule>
    <cfRule type="expression" priority="33" dxfId="6">
      <formula>Datos!C3="M3"</formula>
    </cfRule>
    <cfRule type="expression" priority="34" dxfId="7">
      <formula>Datos!C3="M4"</formula>
    </cfRule>
    <cfRule type="expression" priority="35" dxfId="8">
      <formula>Datos!C3="D1"</formula>
    </cfRule>
    <cfRule type="expression" priority="36" dxfId="9">
      <formula>Datos!C3="D2"</formula>
    </cfRule>
    <cfRule type="expression" priority="37" dxfId="10">
      <formula>Datos!C3="D3"</formula>
    </cfRule>
    <cfRule type="expression" priority="38" dxfId="11">
      <formula>Datos!C3="D4"</formula>
    </cfRule>
    <cfRule type="expression" priority="39" dxfId="12">
      <formula>Datos!C3="MIX"</formula>
    </cfRule>
  </conditionalFormatting>
  <conditionalFormatting sqref="E2">
    <cfRule type="expression" priority="40" dxfId="0">
      <formula>Datos!C4="C1"</formula>
    </cfRule>
    <cfRule type="expression" priority="41" dxfId="1">
      <formula>Datos!C4="C2"</formula>
    </cfRule>
    <cfRule type="expression" priority="42" dxfId="2">
      <formula>Datos!C4="C3"</formula>
    </cfRule>
    <cfRule type="expression" priority="43" dxfId="3">
      <formula>Datos!C4="C4"</formula>
    </cfRule>
    <cfRule type="expression" priority="44" dxfId="4">
      <formula>Datos!C4="M1"</formula>
    </cfRule>
    <cfRule type="expression" priority="45" dxfId="5">
      <formula>Datos!C4="M2"</formula>
    </cfRule>
    <cfRule type="expression" priority="46" dxfId="6">
      <formula>Datos!C4="M3"</formula>
    </cfRule>
    <cfRule type="expression" priority="47" dxfId="7">
      <formula>Datos!C4="M4"</formula>
    </cfRule>
    <cfRule type="expression" priority="48" dxfId="8">
      <formula>Datos!C4="D1"</formula>
    </cfRule>
    <cfRule type="expression" priority="49" dxfId="9">
      <formula>Datos!C4="D2"</formula>
    </cfRule>
    <cfRule type="expression" priority="50" dxfId="10">
      <formula>Datos!C4="D3"</formula>
    </cfRule>
    <cfRule type="expression" priority="51" dxfId="11">
      <formula>Datos!C4="D4"</formula>
    </cfRule>
    <cfRule type="expression" priority="52" dxfId="12">
      <formula>Datos!C4="MIX"</formula>
    </cfRule>
  </conditionalFormatting>
  <conditionalFormatting sqref="F2">
    <cfRule type="expression" priority="53" dxfId="0">
      <formula>Datos!C5="C1"</formula>
    </cfRule>
    <cfRule type="expression" priority="54" dxfId="1">
      <formula>Datos!C5="C2"</formula>
    </cfRule>
    <cfRule type="expression" priority="55" dxfId="2">
      <formula>Datos!C5="C3"</formula>
    </cfRule>
    <cfRule type="expression" priority="56" dxfId="3">
      <formula>Datos!C5="C4"</formula>
    </cfRule>
    <cfRule type="expression" priority="57" dxfId="4">
      <formula>Datos!C5="M1"</formula>
    </cfRule>
    <cfRule type="expression" priority="58" dxfId="5">
      <formula>Datos!C5="M2"</formula>
    </cfRule>
    <cfRule type="expression" priority="59" dxfId="6">
      <formula>Datos!C5="M3"</formula>
    </cfRule>
    <cfRule type="expression" priority="60" dxfId="7">
      <formula>Datos!C5="M4"</formula>
    </cfRule>
    <cfRule type="expression" priority="61" dxfId="8">
      <formula>Datos!C5="D1"</formula>
    </cfRule>
    <cfRule type="expression" priority="62" dxfId="9">
      <formula>Datos!C5="D2"</formula>
    </cfRule>
    <cfRule type="expression" priority="63" dxfId="10">
      <formula>Datos!C5="D3"</formula>
    </cfRule>
    <cfRule type="expression" priority="64" dxfId="11">
      <formula>Datos!C5="D4"</formula>
    </cfRule>
    <cfRule type="expression" priority="65" dxfId="12">
      <formula>Datos!C5="MIX"</formula>
    </cfRule>
  </conditionalFormatting>
  <conditionalFormatting sqref="G2">
    <cfRule type="expression" priority="66" dxfId="0">
      <formula>Datos!C6="C1"</formula>
    </cfRule>
    <cfRule type="expression" priority="67" dxfId="1">
      <formula>Datos!C6="C2"</formula>
    </cfRule>
    <cfRule type="expression" priority="68" dxfId="2">
      <formula>Datos!C6="C3"</formula>
    </cfRule>
    <cfRule type="expression" priority="69" dxfId="3">
      <formula>Datos!C6="C4"</formula>
    </cfRule>
    <cfRule type="expression" priority="70" dxfId="4">
      <formula>Datos!C6="M1"</formula>
    </cfRule>
    <cfRule type="expression" priority="71" dxfId="5">
      <formula>Datos!C6="M2"</formula>
    </cfRule>
    <cfRule type="expression" priority="72" dxfId="6">
      <formula>Datos!C6="M3"</formula>
    </cfRule>
    <cfRule type="expression" priority="73" dxfId="7">
      <formula>Datos!C6="M4"</formula>
    </cfRule>
    <cfRule type="expression" priority="74" dxfId="8">
      <formula>Datos!C6="D1"</formula>
    </cfRule>
    <cfRule type="expression" priority="75" dxfId="9">
      <formula>Datos!C6="D2"</formula>
    </cfRule>
    <cfRule type="expression" priority="76" dxfId="10">
      <formula>Datos!C6="D3"</formula>
    </cfRule>
    <cfRule type="expression" priority="77" dxfId="11">
      <formula>Datos!C6="D4"</formula>
    </cfRule>
    <cfRule type="expression" priority="78" dxfId="12">
      <formula>Datos!C6="MIX"</formula>
    </cfRule>
  </conditionalFormatting>
  <conditionalFormatting sqref="H2">
    <cfRule type="expression" priority="79" dxfId="0">
      <formula>Datos!C7="C1"</formula>
    </cfRule>
    <cfRule type="expression" priority="80" dxfId="1">
      <formula>Datos!C7="C2"</formula>
    </cfRule>
    <cfRule type="expression" priority="81" dxfId="2">
      <formula>Datos!C7="C3"</formula>
    </cfRule>
    <cfRule type="expression" priority="82" dxfId="3">
      <formula>Datos!C7="C4"</formula>
    </cfRule>
    <cfRule type="expression" priority="83" dxfId="4">
      <formula>Datos!C7="M1"</formula>
    </cfRule>
    <cfRule type="expression" priority="84" dxfId="5">
      <formula>Datos!C7="M2"</formula>
    </cfRule>
    <cfRule type="expression" priority="85" dxfId="6">
      <formula>Datos!C7="M3"</formula>
    </cfRule>
    <cfRule type="expression" priority="86" dxfId="7">
      <formula>Datos!C7="M4"</formula>
    </cfRule>
    <cfRule type="expression" priority="87" dxfId="8">
      <formula>Datos!C7="D1"</formula>
    </cfRule>
    <cfRule type="expression" priority="88" dxfId="9">
      <formula>Datos!C7="D2"</formula>
    </cfRule>
    <cfRule type="expression" priority="89" dxfId="10">
      <formula>Datos!C7="D3"</formula>
    </cfRule>
    <cfRule type="expression" priority="90" dxfId="11">
      <formula>Datos!C7="D4"</formula>
    </cfRule>
    <cfRule type="expression" priority="91" dxfId="12">
      <formula>Datos!C7="MIX"</formula>
    </cfRule>
  </conditionalFormatting>
  <conditionalFormatting sqref="I2">
    <cfRule type="expression" priority="92" dxfId="0">
      <formula>Datos!C8="C1"</formula>
    </cfRule>
    <cfRule type="expression" priority="93" dxfId="1">
      <formula>Datos!C8="C2"</formula>
    </cfRule>
    <cfRule type="expression" priority="94" dxfId="2">
      <formula>Datos!C8="C3"</formula>
    </cfRule>
    <cfRule type="expression" priority="95" dxfId="3">
      <formula>Datos!C8="C4"</formula>
    </cfRule>
    <cfRule type="expression" priority="96" dxfId="4">
      <formula>Datos!C8="M1"</formula>
    </cfRule>
    <cfRule type="expression" priority="97" dxfId="5">
      <formula>Datos!C8="M2"</formula>
    </cfRule>
    <cfRule type="expression" priority="98" dxfId="6">
      <formula>Datos!C8="M3"</formula>
    </cfRule>
    <cfRule type="expression" priority="99" dxfId="7">
      <formula>Datos!C8="M4"</formula>
    </cfRule>
    <cfRule type="expression" priority="100" dxfId="8">
      <formula>Datos!C8="D1"</formula>
    </cfRule>
    <cfRule type="expression" priority="101" dxfId="9">
      <formula>Datos!C8="D2"</formula>
    </cfRule>
    <cfRule type="expression" priority="102" dxfId="10">
      <formula>Datos!C8="D3"</formula>
    </cfRule>
    <cfRule type="expression" priority="103" dxfId="11">
      <formula>Datos!C8="D4"</formula>
    </cfRule>
    <cfRule type="expression" priority="104" dxfId="12">
      <formula>Datos!C8="MIX"</formula>
    </cfRule>
  </conditionalFormatting>
  <conditionalFormatting sqref="J2">
    <cfRule type="expression" priority="105" dxfId="0">
      <formula>Datos!C9="C1"</formula>
    </cfRule>
    <cfRule type="expression" priority="106" dxfId="1">
      <formula>Datos!C9="C2"</formula>
    </cfRule>
    <cfRule type="expression" priority="107" dxfId="2">
      <formula>Datos!C9="C3"</formula>
    </cfRule>
    <cfRule type="expression" priority="108" dxfId="3">
      <formula>Datos!C9="C4"</formula>
    </cfRule>
    <cfRule type="expression" priority="109" dxfId="4">
      <formula>Datos!C9="M1"</formula>
    </cfRule>
    <cfRule type="expression" priority="110" dxfId="5">
      <formula>Datos!C9="M2"</formula>
    </cfRule>
    <cfRule type="expression" priority="111" dxfId="6">
      <formula>Datos!C9="M3"</formula>
    </cfRule>
    <cfRule type="expression" priority="112" dxfId="7">
      <formula>Datos!C9="M4"</formula>
    </cfRule>
    <cfRule type="expression" priority="113" dxfId="8">
      <formula>Datos!C9="D1"</formula>
    </cfRule>
    <cfRule type="expression" priority="114" dxfId="9">
      <formula>Datos!C9="D2"</formula>
    </cfRule>
    <cfRule type="expression" priority="115" dxfId="10">
      <formula>Datos!C9="D3"</formula>
    </cfRule>
    <cfRule type="expression" priority="116" dxfId="11">
      <formula>Datos!C9="D4"</formula>
    </cfRule>
    <cfRule type="expression" priority="117" dxfId="12">
      <formula>Datos!C9="MIX"</formula>
    </cfRule>
  </conditionalFormatting>
  <conditionalFormatting sqref="K2">
    <cfRule type="expression" priority="118" dxfId="0">
      <formula>Datos!C10="C1"</formula>
    </cfRule>
    <cfRule type="expression" priority="119" dxfId="1">
      <formula>Datos!C10="C2"</formula>
    </cfRule>
    <cfRule type="expression" priority="120" dxfId="2">
      <formula>Datos!C10="C3"</formula>
    </cfRule>
    <cfRule type="expression" priority="121" dxfId="3">
      <formula>Datos!C10="C4"</formula>
    </cfRule>
    <cfRule type="expression" priority="122" dxfId="4">
      <formula>Datos!C10="M1"</formula>
    </cfRule>
    <cfRule type="expression" priority="123" dxfId="5">
      <formula>Datos!C10="M2"</formula>
    </cfRule>
    <cfRule type="expression" priority="124" dxfId="6">
      <formula>Datos!C10="M3"</formula>
    </cfRule>
    <cfRule type="expression" priority="125" dxfId="7">
      <formula>Datos!C10="M4"</formula>
    </cfRule>
    <cfRule type="expression" priority="126" dxfId="8">
      <formula>Datos!C10="D1"</formula>
    </cfRule>
    <cfRule type="expression" priority="127" dxfId="9">
      <formula>Datos!C10="D2"</formula>
    </cfRule>
    <cfRule type="expression" priority="128" dxfId="10">
      <formula>Datos!C10="D3"</formula>
    </cfRule>
    <cfRule type="expression" priority="129" dxfId="11">
      <formula>Datos!C10="D4"</formula>
    </cfRule>
    <cfRule type="expression" priority="130" dxfId="12">
      <formula>Datos!C10="MIX"</formula>
    </cfRule>
  </conditionalFormatting>
  <conditionalFormatting sqref="L2">
    <cfRule type="expression" priority="131" dxfId="0">
      <formula>Datos!C11="C1"</formula>
    </cfRule>
    <cfRule type="expression" priority="132" dxfId="1">
      <formula>Datos!C11="C2"</formula>
    </cfRule>
    <cfRule type="expression" priority="133" dxfId="2">
      <formula>Datos!C11="C3"</formula>
    </cfRule>
    <cfRule type="expression" priority="134" dxfId="3">
      <formula>Datos!C11="C4"</formula>
    </cfRule>
    <cfRule type="expression" priority="135" dxfId="4">
      <formula>Datos!C11="M1"</formula>
    </cfRule>
    <cfRule type="expression" priority="136" dxfId="5">
      <formula>Datos!C11="M2"</formula>
    </cfRule>
    <cfRule type="expression" priority="137" dxfId="6">
      <formula>Datos!C11="M3"</formula>
    </cfRule>
    <cfRule type="expression" priority="138" dxfId="7">
      <formula>Datos!C11="M4"</formula>
    </cfRule>
    <cfRule type="expression" priority="139" dxfId="8">
      <formula>Datos!C11="D1"</formula>
    </cfRule>
    <cfRule type="expression" priority="140" dxfId="9">
      <formula>Datos!C11="D2"</formula>
    </cfRule>
    <cfRule type="expression" priority="141" dxfId="10">
      <formula>Datos!C11="D3"</formula>
    </cfRule>
    <cfRule type="expression" priority="142" dxfId="11">
      <formula>Datos!C11="D4"</formula>
    </cfRule>
    <cfRule type="expression" priority="143" dxfId="12">
      <formula>Datos!C11="MIX"</formula>
    </cfRule>
  </conditionalFormatting>
  <conditionalFormatting sqref="M2">
    <cfRule type="expression" priority="144" dxfId="0">
      <formula>Datos!C12="C1"</formula>
    </cfRule>
    <cfRule type="expression" priority="145" dxfId="1">
      <formula>Datos!C12="C2"</formula>
    </cfRule>
    <cfRule type="expression" priority="146" dxfId="2">
      <formula>Datos!C12="C3"</formula>
    </cfRule>
    <cfRule type="expression" priority="147" dxfId="3">
      <formula>Datos!C12="C4"</formula>
    </cfRule>
    <cfRule type="expression" priority="148" dxfId="4">
      <formula>Datos!C12="M1"</formula>
    </cfRule>
    <cfRule type="expression" priority="149" dxfId="5">
      <formula>Datos!C12="M2"</formula>
    </cfRule>
    <cfRule type="expression" priority="150" dxfId="6">
      <formula>Datos!C12="M3"</formula>
    </cfRule>
    <cfRule type="expression" priority="151" dxfId="7">
      <formula>Datos!C12="M4"</formula>
    </cfRule>
    <cfRule type="expression" priority="152" dxfId="8">
      <formula>Datos!C12="D1"</formula>
    </cfRule>
    <cfRule type="expression" priority="153" dxfId="9">
      <formula>Datos!C12="D2"</formula>
    </cfRule>
    <cfRule type="expression" priority="154" dxfId="10">
      <formula>Datos!C12="D3"</formula>
    </cfRule>
    <cfRule type="expression" priority="155" dxfId="11">
      <formula>Datos!C12="D4"</formula>
    </cfRule>
    <cfRule type="expression" priority="156" dxfId="12">
      <formula>Datos!C12="MIX"</formula>
    </cfRule>
  </conditionalFormatting>
  <conditionalFormatting sqref="N2">
    <cfRule type="expression" priority="157" dxfId="0">
      <formula>Datos!C13="C1"</formula>
    </cfRule>
    <cfRule type="expression" priority="158" dxfId="1">
      <formula>Datos!C13="C2"</formula>
    </cfRule>
    <cfRule type="expression" priority="159" dxfId="2">
      <formula>Datos!C13="C3"</formula>
    </cfRule>
    <cfRule type="expression" priority="160" dxfId="3">
      <formula>Datos!C13="C4"</formula>
    </cfRule>
    <cfRule type="expression" priority="161" dxfId="4">
      <formula>Datos!C13="M1"</formula>
    </cfRule>
    <cfRule type="expression" priority="162" dxfId="5">
      <formula>Datos!C13="M2"</formula>
    </cfRule>
    <cfRule type="expression" priority="163" dxfId="6">
      <formula>Datos!C13="M3"</formula>
    </cfRule>
    <cfRule type="expression" priority="164" dxfId="7">
      <formula>Datos!C13="M4"</formula>
    </cfRule>
    <cfRule type="expression" priority="165" dxfId="8">
      <formula>Datos!C13="D1"</formula>
    </cfRule>
    <cfRule type="expression" priority="166" dxfId="9">
      <formula>Datos!C13="D2"</formula>
    </cfRule>
    <cfRule type="expression" priority="167" dxfId="10">
      <formula>Datos!C13="D3"</formula>
    </cfRule>
    <cfRule type="expression" priority="168" dxfId="11">
      <formula>Datos!C13="D4"</formula>
    </cfRule>
    <cfRule type="expression" priority="169" dxfId="12">
      <formula>Datos!C13="MIX"</formula>
    </cfRule>
  </conditionalFormatting>
  <conditionalFormatting sqref="O2">
    <cfRule type="expression" priority="170" dxfId="0">
      <formula>Datos!C14="C1"</formula>
    </cfRule>
    <cfRule type="expression" priority="171" dxfId="1">
      <formula>Datos!C14="C2"</formula>
    </cfRule>
    <cfRule type="expression" priority="172" dxfId="2">
      <formula>Datos!C14="C3"</formula>
    </cfRule>
    <cfRule type="expression" priority="173" dxfId="3">
      <formula>Datos!C14="C4"</formula>
    </cfRule>
    <cfRule type="expression" priority="174" dxfId="4">
      <formula>Datos!C14="M1"</formula>
    </cfRule>
    <cfRule type="expression" priority="175" dxfId="5">
      <formula>Datos!C14="M2"</formula>
    </cfRule>
    <cfRule type="expression" priority="176" dxfId="6">
      <formula>Datos!C14="M3"</formula>
    </cfRule>
    <cfRule type="expression" priority="177" dxfId="7">
      <formula>Datos!C14="M4"</formula>
    </cfRule>
    <cfRule type="expression" priority="178" dxfId="8">
      <formula>Datos!C14="D1"</formula>
    </cfRule>
    <cfRule type="expression" priority="179" dxfId="9">
      <formula>Datos!C14="D2"</formula>
    </cfRule>
    <cfRule type="expression" priority="180" dxfId="10">
      <formula>Datos!C14="D3"</formula>
    </cfRule>
    <cfRule type="expression" priority="181" dxfId="11">
      <formula>Datos!C14="D4"</formula>
    </cfRule>
    <cfRule type="expression" priority="182" dxfId="12">
      <formula>Datos!C14="MIX"</formula>
    </cfRule>
  </conditionalFormatting>
  <conditionalFormatting sqref="P2">
    <cfRule type="expression" priority="183" dxfId="0">
      <formula>Datos!C15="C1"</formula>
    </cfRule>
    <cfRule type="expression" priority="184" dxfId="1">
      <formula>Datos!C15="C2"</formula>
    </cfRule>
    <cfRule type="expression" priority="185" dxfId="2">
      <formula>Datos!C15="C3"</formula>
    </cfRule>
    <cfRule type="expression" priority="186" dxfId="3">
      <formula>Datos!C15="C4"</formula>
    </cfRule>
    <cfRule type="expression" priority="187" dxfId="4">
      <formula>Datos!C15="M1"</formula>
    </cfRule>
    <cfRule type="expression" priority="188" dxfId="5">
      <formula>Datos!C15="M2"</formula>
    </cfRule>
    <cfRule type="expression" priority="189" dxfId="6">
      <formula>Datos!C15="M3"</formula>
    </cfRule>
    <cfRule type="expression" priority="190" dxfId="7">
      <formula>Datos!C15="M4"</formula>
    </cfRule>
    <cfRule type="expression" priority="191" dxfId="8">
      <formula>Datos!C15="D1"</formula>
    </cfRule>
    <cfRule type="expression" priority="192" dxfId="9">
      <formula>Datos!C15="D2"</formula>
    </cfRule>
    <cfRule type="expression" priority="193" dxfId="10">
      <formula>Datos!C15="D3"</formula>
    </cfRule>
    <cfRule type="expression" priority="194" dxfId="11">
      <formula>Datos!C15="D4"</formula>
    </cfRule>
    <cfRule type="expression" priority="195" dxfId="12">
      <formula>Datos!C15="MIX"</formula>
    </cfRule>
  </conditionalFormatting>
  <conditionalFormatting sqref="B3">
    <cfRule type="expression" priority="196" dxfId="0">
      <formula>Datos!C16="C1"</formula>
    </cfRule>
    <cfRule type="expression" priority="197" dxfId="1">
      <formula>Datos!C16="C2"</formula>
    </cfRule>
    <cfRule type="expression" priority="198" dxfId="2">
      <formula>Datos!C16="C3"</formula>
    </cfRule>
    <cfRule type="expression" priority="199" dxfId="3">
      <formula>Datos!C16="C4"</formula>
    </cfRule>
    <cfRule type="expression" priority="200" dxfId="4">
      <formula>Datos!C16="M1"</formula>
    </cfRule>
    <cfRule type="expression" priority="201" dxfId="5">
      <formula>Datos!C16="M2"</formula>
    </cfRule>
    <cfRule type="expression" priority="202" dxfId="6">
      <formula>Datos!C16="M3"</formula>
    </cfRule>
    <cfRule type="expression" priority="203" dxfId="7">
      <formula>Datos!C16="M4"</formula>
    </cfRule>
    <cfRule type="expression" priority="204" dxfId="8">
      <formula>Datos!C16="D1"</formula>
    </cfRule>
    <cfRule type="expression" priority="205" dxfId="9">
      <formula>Datos!C16="D2"</formula>
    </cfRule>
    <cfRule type="expression" priority="206" dxfId="10">
      <formula>Datos!C16="D3"</formula>
    </cfRule>
    <cfRule type="expression" priority="207" dxfId="11">
      <formula>Datos!C16="D4"</formula>
    </cfRule>
    <cfRule type="expression" priority="208" dxfId="12">
      <formula>Datos!C16="MIX"</formula>
    </cfRule>
  </conditionalFormatting>
  <conditionalFormatting sqref="C3">
    <cfRule type="expression" priority="209" dxfId="0">
      <formula>Datos!C17="C1"</formula>
    </cfRule>
    <cfRule type="expression" priority="210" dxfId="1">
      <formula>Datos!C17="C2"</formula>
    </cfRule>
    <cfRule type="expression" priority="211" dxfId="2">
      <formula>Datos!C17="C3"</formula>
    </cfRule>
    <cfRule type="expression" priority="212" dxfId="3">
      <formula>Datos!C17="C4"</formula>
    </cfRule>
    <cfRule type="expression" priority="213" dxfId="4">
      <formula>Datos!C17="M1"</formula>
    </cfRule>
    <cfRule type="expression" priority="214" dxfId="5">
      <formula>Datos!C17="M2"</formula>
    </cfRule>
    <cfRule type="expression" priority="215" dxfId="6">
      <formula>Datos!C17="M3"</formula>
    </cfRule>
    <cfRule type="expression" priority="216" dxfId="7">
      <formula>Datos!C17="M4"</formula>
    </cfRule>
    <cfRule type="expression" priority="217" dxfId="8">
      <formula>Datos!C17="D1"</formula>
    </cfRule>
    <cfRule type="expression" priority="218" dxfId="9">
      <formula>Datos!C17="D2"</formula>
    </cfRule>
    <cfRule type="expression" priority="219" dxfId="10">
      <formula>Datos!C17="D3"</formula>
    </cfRule>
    <cfRule type="expression" priority="220" dxfId="11">
      <formula>Datos!C17="D4"</formula>
    </cfRule>
    <cfRule type="expression" priority="221" dxfId="12">
      <formula>Datos!C17="MIX"</formula>
    </cfRule>
  </conditionalFormatting>
  <conditionalFormatting sqref="D3">
    <cfRule type="expression" priority="222" dxfId="0">
      <formula>Datos!C18="C1"</formula>
    </cfRule>
    <cfRule type="expression" priority="223" dxfId="1">
      <formula>Datos!C18="C2"</formula>
    </cfRule>
    <cfRule type="expression" priority="224" dxfId="2">
      <formula>Datos!C18="C3"</formula>
    </cfRule>
    <cfRule type="expression" priority="225" dxfId="3">
      <formula>Datos!C18="C4"</formula>
    </cfRule>
    <cfRule type="expression" priority="226" dxfId="4">
      <formula>Datos!C18="M1"</formula>
    </cfRule>
    <cfRule type="expression" priority="227" dxfId="5">
      <formula>Datos!C18="M2"</formula>
    </cfRule>
    <cfRule type="expression" priority="228" dxfId="6">
      <formula>Datos!C18="M3"</formula>
    </cfRule>
    <cfRule type="expression" priority="229" dxfId="7">
      <formula>Datos!C18="M4"</formula>
    </cfRule>
    <cfRule type="expression" priority="230" dxfId="8">
      <formula>Datos!C18="D1"</formula>
    </cfRule>
    <cfRule type="expression" priority="231" dxfId="9">
      <formula>Datos!C18="D2"</formula>
    </cfRule>
    <cfRule type="expression" priority="232" dxfId="10">
      <formula>Datos!C18="D3"</formula>
    </cfRule>
    <cfRule type="expression" priority="233" dxfId="11">
      <formula>Datos!C18="D4"</formula>
    </cfRule>
    <cfRule type="expression" priority="234" dxfId="12">
      <formula>Datos!C18="MIX"</formula>
    </cfRule>
  </conditionalFormatting>
  <conditionalFormatting sqref="E3">
    <cfRule type="expression" priority="235" dxfId="0">
      <formula>Datos!C19="C1"</formula>
    </cfRule>
    <cfRule type="expression" priority="236" dxfId="1">
      <formula>Datos!C19="C2"</formula>
    </cfRule>
    <cfRule type="expression" priority="237" dxfId="2">
      <formula>Datos!C19="C3"</formula>
    </cfRule>
    <cfRule type="expression" priority="238" dxfId="3">
      <formula>Datos!C19="C4"</formula>
    </cfRule>
    <cfRule type="expression" priority="239" dxfId="4">
      <formula>Datos!C19="M1"</formula>
    </cfRule>
    <cfRule type="expression" priority="240" dxfId="5">
      <formula>Datos!C19="M2"</formula>
    </cfRule>
    <cfRule type="expression" priority="241" dxfId="6">
      <formula>Datos!C19="M3"</formula>
    </cfRule>
    <cfRule type="expression" priority="242" dxfId="7">
      <formula>Datos!C19="M4"</formula>
    </cfRule>
    <cfRule type="expression" priority="243" dxfId="8">
      <formula>Datos!C19="D1"</formula>
    </cfRule>
    <cfRule type="expression" priority="244" dxfId="9">
      <formula>Datos!C19="D2"</formula>
    </cfRule>
    <cfRule type="expression" priority="245" dxfId="10">
      <formula>Datos!C19="D3"</formula>
    </cfRule>
    <cfRule type="expression" priority="246" dxfId="11">
      <formula>Datos!C19="D4"</formula>
    </cfRule>
    <cfRule type="expression" priority="247" dxfId="12">
      <formula>Datos!C19="MIX"</formula>
    </cfRule>
  </conditionalFormatting>
  <conditionalFormatting sqref="F3">
    <cfRule type="expression" priority="248" dxfId="0">
      <formula>Datos!C20="C1"</formula>
    </cfRule>
    <cfRule type="expression" priority="249" dxfId="1">
      <formula>Datos!C20="C2"</formula>
    </cfRule>
    <cfRule type="expression" priority="250" dxfId="2">
      <formula>Datos!C20="C3"</formula>
    </cfRule>
    <cfRule type="expression" priority="251" dxfId="3">
      <formula>Datos!C20="C4"</formula>
    </cfRule>
    <cfRule type="expression" priority="252" dxfId="4">
      <formula>Datos!C20="M1"</formula>
    </cfRule>
    <cfRule type="expression" priority="253" dxfId="5">
      <formula>Datos!C20="M2"</formula>
    </cfRule>
    <cfRule type="expression" priority="254" dxfId="6">
      <formula>Datos!C20="M3"</formula>
    </cfRule>
    <cfRule type="expression" priority="255" dxfId="7">
      <formula>Datos!C20="M4"</formula>
    </cfRule>
    <cfRule type="expression" priority="256" dxfId="8">
      <formula>Datos!C20="D1"</formula>
    </cfRule>
    <cfRule type="expression" priority="257" dxfId="9">
      <formula>Datos!C20="D2"</formula>
    </cfRule>
    <cfRule type="expression" priority="258" dxfId="10">
      <formula>Datos!C20="D3"</formula>
    </cfRule>
    <cfRule type="expression" priority="259" dxfId="11">
      <formula>Datos!C20="D4"</formula>
    </cfRule>
    <cfRule type="expression" priority="260" dxfId="12">
      <formula>Datos!C20="MIX"</formula>
    </cfRule>
  </conditionalFormatting>
  <conditionalFormatting sqref="G3">
    <cfRule type="expression" priority="261" dxfId="0">
      <formula>Datos!C21="C1"</formula>
    </cfRule>
    <cfRule type="expression" priority="262" dxfId="1">
      <formula>Datos!C21="C2"</formula>
    </cfRule>
    <cfRule type="expression" priority="263" dxfId="2">
      <formula>Datos!C21="C3"</formula>
    </cfRule>
    <cfRule type="expression" priority="264" dxfId="3">
      <formula>Datos!C21="C4"</formula>
    </cfRule>
    <cfRule type="expression" priority="265" dxfId="4">
      <formula>Datos!C21="M1"</formula>
    </cfRule>
    <cfRule type="expression" priority="266" dxfId="5">
      <formula>Datos!C21="M2"</formula>
    </cfRule>
    <cfRule type="expression" priority="267" dxfId="6">
      <formula>Datos!C21="M3"</formula>
    </cfRule>
    <cfRule type="expression" priority="268" dxfId="7">
      <formula>Datos!C21="M4"</formula>
    </cfRule>
    <cfRule type="expression" priority="269" dxfId="8">
      <formula>Datos!C21="D1"</formula>
    </cfRule>
    <cfRule type="expression" priority="270" dxfId="9">
      <formula>Datos!C21="D2"</formula>
    </cfRule>
    <cfRule type="expression" priority="271" dxfId="10">
      <formula>Datos!C21="D3"</formula>
    </cfRule>
    <cfRule type="expression" priority="272" dxfId="11">
      <formula>Datos!C21="D4"</formula>
    </cfRule>
    <cfRule type="expression" priority="273" dxfId="12">
      <formula>Datos!C21="MIX"</formula>
    </cfRule>
  </conditionalFormatting>
  <conditionalFormatting sqref="H3">
    <cfRule type="expression" priority="274" dxfId="0">
      <formula>Datos!C22="C1"</formula>
    </cfRule>
    <cfRule type="expression" priority="275" dxfId="1">
      <formula>Datos!C22="C2"</formula>
    </cfRule>
    <cfRule type="expression" priority="276" dxfId="2">
      <formula>Datos!C22="C3"</formula>
    </cfRule>
    <cfRule type="expression" priority="277" dxfId="3">
      <formula>Datos!C22="C4"</formula>
    </cfRule>
    <cfRule type="expression" priority="278" dxfId="4">
      <formula>Datos!C22="M1"</formula>
    </cfRule>
    <cfRule type="expression" priority="279" dxfId="5">
      <formula>Datos!C22="M2"</formula>
    </cfRule>
    <cfRule type="expression" priority="280" dxfId="6">
      <formula>Datos!C22="M3"</formula>
    </cfRule>
    <cfRule type="expression" priority="281" dxfId="7">
      <formula>Datos!C22="M4"</formula>
    </cfRule>
    <cfRule type="expression" priority="282" dxfId="8">
      <formula>Datos!C22="D1"</formula>
    </cfRule>
    <cfRule type="expression" priority="283" dxfId="9">
      <formula>Datos!C22="D2"</formula>
    </cfRule>
    <cfRule type="expression" priority="284" dxfId="10">
      <formula>Datos!C22="D3"</formula>
    </cfRule>
    <cfRule type="expression" priority="285" dxfId="11">
      <formula>Datos!C22="D4"</formula>
    </cfRule>
    <cfRule type="expression" priority="286" dxfId="12">
      <formula>Datos!C22="MIX"</formula>
    </cfRule>
  </conditionalFormatting>
  <conditionalFormatting sqref="I3">
    <cfRule type="expression" priority="287" dxfId="0">
      <formula>Datos!C23="C1"</formula>
    </cfRule>
    <cfRule type="expression" priority="288" dxfId="1">
      <formula>Datos!C23="C2"</formula>
    </cfRule>
    <cfRule type="expression" priority="289" dxfId="2">
      <formula>Datos!C23="C3"</formula>
    </cfRule>
    <cfRule type="expression" priority="290" dxfId="3">
      <formula>Datos!C23="C4"</formula>
    </cfRule>
    <cfRule type="expression" priority="291" dxfId="4">
      <formula>Datos!C23="M1"</formula>
    </cfRule>
    <cfRule type="expression" priority="292" dxfId="5">
      <formula>Datos!C23="M2"</formula>
    </cfRule>
    <cfRule type="expression" priority="293" dxfId="6">
      <formula>Datos!C23="M3"</formula>
    </cfRule>
    <cfRule type="expression" priority="294" dxfId="7">
      <formula>Datos!C23="M4"</formula>
    </cfRule>
    <cfRule type="expression" priority="295" dxfId="8">
      <formula>Datos!C23="D1"</formula>
    </cfRule>
    <cfRule type="expression" priority="296" dxfId="9">
      <formula>Datos!C23="D2"</formula>
    </cfRule>
    <cfRule type="expression" priority="297" dxfId="10">
      <formula>Datos!C23="D3"</formula>
    </cfRule>
    <cfRule type="expression" priority="298" dxfId="11">
      <formula>Datos!C23="D4"</formula>
    </cfRule>
    <cfRule type="expression" priority="299" dxfId="12">
      <formula>Datos!C23="MIX"</formula>
    </cfRule>
  </conditionalFormatting>
  <conditionalFormatting sqref="J3">
    <cfRule type="expression" priority="300" dxfId="0">
      <formula>Datos!C24="C1"</formula>
    </cfRule>
    <cfRule type="expression" priority="301" dxfId="1">
      <formula>Datos!C24="C2"</formula>
    </cfRule>
    <cfRule type="expression" priority="302" dxfId="2">
      <formula>Datos!C24="C3"</formula>
    </cfRule>
    <cfRule type="expression" priority="303" dxfId="3">
      <formula>Datos!C24="C4"</formula>
    </cfRule>
    <cfRule type="expression" priority="304" dxfId="4">
      <formula>Datos!C24="M1"</formula>
    </cfRule>
    <cfRule type="expression" priority="305" dxfId="5">
      <formula>Datos!C24="M2"</formula>
    </cfRule>
    <cfRule type="expression" priority="306" dxfId="6">
      <formula>Datos!C24="M3"</formula>
    </cfRule>
    <cfRule type="expression" priority="307" dxfId="7">
      <formula>Datos!C24="M4"</formula>
    </cfRule>
    <cfRule type="expression" priority="308" dxfId="8">
      <formula>Datos!C24="D1"</formula>
    </cfRule>
    <cfRule type="expression" priority="309" dxfId="9">
      <formula>Datos!C24="D2"</formula>
    </cfRule>
    <cfRule type="expression" priority="310" dxfId="10">
      <formula>Datos!C24="D3"</formula>
    </cfRule>
    <cfRule type="expression" priority="311" dxfId="11">
      <formula>Datos!C24="D4"</formula>
    </cfRule>
    <cfRule type="expression" priority="312" dxfId="12">
      <formula>Datos!C24="MIX"</formula>
    </cfRule>
  </conditionalFormatting>
  <conditionalFormatting sqref="K3">
    <cfRule type="expression" priority="313" dxfId="0">
      <formula>Datos!C25="C1"</formula>
    </cfRule>
    <cfRule type="expression" priority="314" dxfId="1">
      <formula>Datos!C25="C2"</formula>
    </cfRule>
    <cfRule type="expression" priority="315" dxfId="2">
      <formula>Datos!C25="C3"</formula>
    </cfRule>
    <cfRule type="expression" priority="316" dxfId="3">
      <formula>Datos!C25="C4"</formula>
    </cfRule>
    <cfRule type="expression" priority="317" dxfId="4">
      <formula>Datos!C25="M1"</formula>
    </cfRule>
    <cfRule type="expression" priority="318" dxfId="5">
      <formula>Datos!C25="M2"</formula>
    </cfRule>
    <cfRule type="expression" priority="319" dxfId="6">
      <formula>Datos!C25="M3"</formula>
    </cfRule>
    <cfRule type="expression" priority="320" dxfId="7">
      <formula>Datos!C25="M4"</formula>
    </cfRule>
    <cfRule type="expression" priority="321" dxfId="8">
      <formula>Datos!C25="D1"</formula>
    </cfRule>
    <cfRule type="expression" priority="322" dxfId="9">
      <formula>Datos!C25="D2"</formula>
    </cfRule>
    <cfRule type="expression" priority="323" dxfId="10">
      <formula>Datos!C25="D3"</formula>
    </cfRule>
    <cfRule type="expression" priority="324" dxfId="11">
      <formula>Datos!C25="D4"</formula>
    </cfRule>
    <cfRule type="expression" priority="325" dxfId="12">
      <formula>Datos!C25="MIX"</formula>
    </cfRule>
  </conditionalFormatting>
  <conditionalFormatting sqref="L3">
    <cfRule type="expression" priority="326" dxfId="0">
      <formula>Datos!C26="C1"</formula>
    </cfRule>
    <cfRule type="expression" priority="327" dxfId="1">
      <formula>Datos!C26="C2"</formula>
    </cfRule>
    <cfRule type="expression" priority="328" dxfId="2">
      <formula>Datos!C26="C3"</formula>
    </cfRule>
    <cfRule type="expression" priority="329" dxfId="3">
      <formula>Datos!C26="C4"</formula>
    </cfRule>
    <cfRule type="expression" priority="330" dxfId="4">
      <formula>Datos!C26="M1"</formula>
    </cfRule>
    <cfRule type="expression" priority="331" dxfId="5">
      <formula>Datos!C26="M2"</formula>
    </cfRule>
    <cfRule type="expression" priority="332" dxfId="6">
      <formula>Datos!C26="M3"</formula>
    </cfRule>
    <cfRule type="expression" priority="333" dxfId="7">
      <formula>Datos!C26="M4"</formula>
    </cfRule>
    <cfRule type="expression" priority="334" dxfId="8">
      <formula>Datos!C26="D1"</formula>
    </cfRule>
    <cfRule type="expression" priority="335" dxfId="9">
      <formula>Datos!C26="D2"</formula>
    </cfRule>
    <cfRule type="expression" priority="336" dxfId="10">
      <formula>Datos!C26="D3"</formula>
    </cfRule>
    <cfRule type="expression" priority="337" dxfId="11">
      <formula>Datos!C26="D4"</formula>
    </cfRule>
    <cfRule type="expression" priority="338" dxfId="12">
      <formula>Datos!C26="MIX"</formula>
    </cfRule>
  </conditionalFormatting>
  <conditionalFormatting sqref="M3">
    <cfRule type="expression" priority="339" dxfId="0">
      <formula>Datos!C27="C1"</formula>
    </cfRule>
    <cfRule type="expression" priority="340" dxfId="1">
      <formula>Datos!C27="C2"</formula>
    </cfRule>
    <cfRule type="expression" priority="341" dxfId="2">
      <formula>Datos!C27="C3"</formula>
    </cfRule>
    <cfRule type="expression" priority="342" dxfId="3">
      <formula>Datos!C27="C4"</formula>
    </cfRule>
    <cfRule type="expression" priority="343" dxfId="4">
      <formula>Datos!C27="M1"</formula>
    </cfRule>
    <cfRule type="expression" priority="344" dxfId="5">
      <formula>Datos!C27="M2"</formula>
    </cfRule>
    <cfRule type="expression" priority="345" dxfId="6">
      <formula>Datos!C27="M3"</formula>
    </cfRule>
    <cfRule type="expression" priority="346" dxfId="7">
      <formula>Datos!C27="M4"</formula>
    </cfRule>
    <cfRule type="expression" priority="347" dxfId="8">
      <formula>Datos!C27="D1"</formula>
    </cfRule>
    <cfRule type="expression" priority="348" dxfId="9">
      <formula>Datos!C27="D2"</formula>
    </cfRule>
    <cfRule type="expression" priority="349" dxfId="10">
      <formula>Datos!C27="D3"</formula>
    </cfRule>
    <cfRule type="expression" priority="350" dxfId="11">
      <formula>Datos!C27="D4"</formula>
    </cfRule>
    <cfRule type="expression" priority="351" dxfId="12">
      <formula>Datos!C27="MIX"</formula>
    </cfRule>
  </conditionalFormatting>
  <conditionalFormatting sqref="N3">
    <cfRule type="expression" priority="352" dxfId="0">
      <formula>Datos!C28="C1"</formula>
    </cfRule>
    <cfRule type="expression" priority="353" dxfId="1">
      <formula>Datos!C28="C2"</formula>
    </cfRule>
    <cfRule type="expression" priority="354" dxfId="2">
      <formula>Datos!C28="C3"</formula>
    </cfRule>
    <cfRule type="expression" priority="355" dxfId="3">
      <formula>Datos!C28="C4"</formula>
    </cfRule>
    <cfRule type="expression" priority="356" dxfId="4">
      <formula>Datos!C28="M1"</formula>
    </cfRule>
    <cfRule type="expression" priority="357" dxfId="5">
      <formula>Datos!C28="M2"</formula>
    </cfRule>
    <cfRule type="expression" priority="358" dxfId="6">
      <formula>Datos!C28="M3"</formula>
    </cfRule>
    <cfRule type="expression" priority="359" dxfId="7">
      <formula>Datos!C28="M4"</formula>
    </cfRule>
    <cfRule type="expression" priority="360" dxfId="8">
      <formula>Datos!C28="D1"</formula>
    </cfRule>
    <cfRule type="expression" priority="361" dxfId="9">
      <formula>Datos!C28="D2"</formula>
    </cfRule>
    <cfRule type="expression" priority="362" dxfId="10">
      <formula>Datos!C28="D3"</formula>
    </cfRule>
    <cfRule type="expression" priority="363" dxfId="11">
      <formula>Datos!C28="D4"</formula>
    </cfRule>
    <cfRule type="expression" priority="364" dxfId="12">
      <formula>Datos!C28="MIX"</formula>
    </cfRule>
  </conditionalFormatting>
  <conditionalFormatting sqref="O3">
    <cfRule type="expression" priority="365" dxfId="0">
      <formula>Datos!C29="C1"</formula>
    </cfRule>
    <cfRule type="expression" priority="366" dxfId="1">
      <formula>Datos!C29="C2"</formula>
    </cfRule>
    <cfRule type="expression" priority="367" dxfId="2">
      <formula>Datos!C29="C3"</formula>
    </cfRule>
    <cfRule type="expression" priority="368" dxfId="3">
      <formula>Datos!C29="C4"</formula>
    </cfRule>
    <cfRule type="expression" priority="369" dxfId="4">
      <formula>Datos!C29="M1"</formula>
    </cfRule>
    <cfRule type="expression" priority="370" dxfId="5">
      <formula>Datos!C29="M2"</formula>
    </cfRule>
    <cfRule type="expression" priority="371" dxfId="6">
      <formula>Datos!C29="M3"</formula>
    </cfRule>
    <cfRule type="expression" priority="372" dxfId="7">
      <formula>Datos!C29="M4"</formula>
    </cfRule>
    <cfRule type="expression" priority="373" dxfId="8">
      <formula>Datos!C29="D1"</formula>
    </cfRule>
    <cfRule type="expression" priority="374" dxfId="9">
      <formula>Datos!C29="D2"</formula>
    </cfRule>
    <cfRule type="expression" priority="375" dxfId="10">
      <formula>Datos!C29="D3"</formula>
    </cfRule>
    <cfRule type="expression" priority="376" dxfId="11">
      <formula>Datos!C29="D4"</formula>
    </cfRule>
    <cfRule type="expression" priority="377" dxfId="12">
      <formula>Datos!C29="MIX"</formula>
    </cfRule>
  </conditionalFormatting>
  <conditionalFormatting sqref="P3">
    <cfRule type="expression" priority="378" dxfId="0">
      <formula>Datos!C30="C1"</formula>
    </cfRule>
    <cfRule type="expression" priority="379" dxfId="1">
      <formula>Datos!C30="C2"</formula>
    </cfRule>
    <cfRule type="expression" priority="380" dxfId="2">
      <formula>Datos!C30="C3"</formula>
    </cfRule>
    <cfRule type="expression" priority="381" dxfId="3">
      <formula>Datos!C30="C4"</formula>
    </cfRule>
    <cfRule type="expression" priority="382" dxfId="4">
      <formula>Datos!C30="M1"</formula>
    </cfRule>
    <cfRule type="expression" priority="383" dxfId="5">
      <formula>Datos!C30="M2"</formula>
    </cfRule>
    <cfRule type="expression" priority="384" dxfId="6">
      <formula>Datos!C30="M3"</formula>
    </cfRule>
    <cfRule type="expression" priority="385" dxfId="7">
      <formula>Datos!C30="M4"</formula>
    </cfRule>
    <cfRule type="expression" priority="386" dxfId="8">
      <formula>Datos!C30="D1"</formula>
    </cfRule>
    <cfRule type="expression" priority="387" dxfId="9">
      <formula>Datos!C30="D2"</formula>
    </cfRule>
    <cfRule type="expression" priority="388" dxfId="10">
      <formula>Datos!C30="D3"</formula>
    </cfRule>
    <cfRule type="expression" priority="389" dxfId="11">
      <formula>Datos!C30="D4"</formula>
    </cfRule>
    <cfRule type="expression" priority="390" dxfId="12">
      <formula>Datos!C30="MIX"</formula>
    </cfRule>
  </conditionalFormatting>
  <conditionalFormatting sqref="B4">
    <cfRule type="expression" priority="391" dxfId="0">
      <formula>Datos!C31="C1"</formula>
    </cfRule>
    <cfRule type="expression" priority="392" dxfId="1">
      <formula>Datos!C31="C2"</formula>
    </cfRule>
    <cfRule type="expression" priority="393" dxfId="2">
      <formula>Datos!C31="C3"</formula>
    </cfRule>
    <cfRule type="expression" priority="394" dxfId="3">
      <formula>Datos!C31="C4"</formula>
    </cfRule>
    <cfRule type="expression" priority="395" dxfId="4">
      <formula>Datos!C31="M1"</formula>
    </cfRule>
    <cfRule type="expression" priority="396" dxfId="5">
      <formula>Datos!C31="M2"</formula>
    </cfRule>
    <cfRule type="expression" priority="397" dxfId="6">
      <formula>Datos!C31="M3"</formula>
    </cfRule>
    <cfRule type="expression" priority="398" dxfId="7">
      <formula>Datos!C31="M4"</formula>
    </cfRule>
    <cfRule type="expression" priority="399" dxfId="8">
      <formula>Datos!C31="D1"</formula>
    </cfRule>
    <cfRule type="expression" priority="400" dxfId="9">
      <formula>Datos!C31="D2"</formula>
    </cfRule>
    <cfRule type="expression" priority="401" dxfId="10">
      <formula>Datos!C31="D3"</formula>
    </cfRule>
    <cfRule type="expression" priority="402" dxfId="11">
      <formula>Datos!C31="D4"</formula>
    </cfRule>
    <cfRule type="expression" priority="403" dxfId="12">
      <formula>Datos!C31="MIX"</formula>
    </cfRule>
  </conditionalFormatting>
  <conditionalFormatting sqref="C4">
    <cfRule type="expression" priority="404" dxfId="0">
      <formula>Datos!C32="C1"</formula>
    </cfRule>
    <cfRule type="expression" priority="405" dxfId="1">
      <formula>Datos!C32="C2"</formula>
    </cfRule>
    <cfRule type="expression" priority="406" dxfId="2">
      <formula>Datos!C32="C3"</formula>
    </cfRule>
    <cfRule type="expression" priority="407" dxfId="3">
      <formula>Datos!C32="C4"</formula>
    </cfRule>
    <cfRule type="expression" priority="408" dxfId="4">
      <formula>Datos!C32="M1"</formula>
    </cfRule>
    <cfRule type="expression" priority="409" dxfId="5">
      <formula>Datos!C32="M2"</formula>
    </cfRule>
    <cfRule type="expression" priority="410" dxfId="6">
      <formula>Datos!C32="M3"</formula>
    </cfRule>
    <cfRule type="expression" priority="411" dxfId="7">
      <formula>Datos!C32="M4"</formula>
    </cfRule>
    <cfRule type="expression" priority="412" dxfId="8">
      <formula>Datos!C32="D1"</formula>
    </cfRule>
    <cfRule type="expression" priority="413" dxfId="9">
      <formula>Datos!C32="D2"</formula>
    </cfRule>
    <cfRule type="expression" priority="414" dxfId="10">
      <formula>Datos!C32="D3"</formula>
    </cfRule>
    <cfRule type="expression" priority="415" dxfId="11">
      <formula>Datos!C32="D4"</formula>
    </cfRule>
    <cfRule type="expression" priority="416" dxfId="12">
      <formula>Datos!C32="MIX"</formula>
    </cfRule>
  </conditionalFormatting>
  <conditionalFormatting sqref="D4">
    <cfRule type="expression" priority="417" dxfId="0">
      <formula>Datos!C33="C1"</formula>
    </cfRule>
    <cfRule type="expression" priority="418" dxfId="1">
      <formula>Datos!C33="C2"</formula>
    </cfRule>
    <cfRule type="expression" priority="419" dxfId="2">
      <formula>Datos!C33="C3"</formula>
    </cfRule>
    <cfRule type="expression" priority="420" dxfId="3">
      <formula>Datos!C33="C4"</formula>
    </cfRule>
    <cfRule type="expression" priority="421" dxfId="4">
      <formula>Datos!C33="M1"</formula>
    </cfRule>
    <cfRule type="expression" priority="422" dxfId="5">
      <formula>Datos!C33="M2"</formula>
    </cfRule>
    <cfRule type="expression" priority="423" dxfId="6">
      <formula>Datos!C33="M3"</formula>
    </cfRule>
    <cfRule type="expression" priority="424" dxfId="7">
      <formula>Datos!C33="M4"</formula>
    </cfRule>
    <cfRule type="expression" priority="425" dxfId="8">
      <formula>Datos!C33="D1"</formula>
    </cfRule>
    <cfRule type="expression" priority="426" dxfId="9">
      <formula>Datos!C33="D2"</formula>
    </cfRule>
    <cfRule type="expression" priority="427" dxfId="10">
      <formula>Datos!C33="D3"</formula>
    </cfRule>
    <cfRule type="expression" priority="428" dxfId="11">
      <formula>Datos!C33="D4"</formula>
    </cfRule>
    <cfRule type="expression" priority="429" dxfId="12">
      <formula>Datos!C33="MIX"</formula>
    </cfRule>
  </conditionalFormatting>
  <conditionalFormatting sqref="E4">
    <cfRule type="expression" priority="430" dxfId="0">
      <formula>Datos!C34="C1"</formula>
    </cfRule>
    <cfRule type="expression" priority="431" dxfId="1">
      <formula>Datos!C34="C2"</formula>
    </cfRule>
    <cfRule type="expression" priority="432" dxfId="2">
      <formula>Datos!C34="C3"</formula>
    </cfRule>
    <cfRule type="expression" priority="433" dxfId="3">
      <formula>Datos!C34="C4"</formula>
    </cfRule>
    <cfRule type="expression" priority="434" dxfId="4">
      <formula>Datos!C34="M1"</formula>
    </cfRule>
    <cfRule type="expression" priority="435" dxfId="5">
      <formula>Datos!C34="M2"</formula>
    </cfRule>
    <cfRule type="expression" priority="436" dxfId="6">
      <formula>Datos!C34="M3"</formula>
    </cfRule>
    <cfRule type="expression" priority="437" dxfId="7">
      <formula>Datos!C34="M4"</formula>
    </cfRule>
    <cfRule type="expression" priority="438" dxfId="8">
      <formula>Datos!C34="D1"</formula>
    </cfRule>
    <cfRule type="expression" priority="439" dxfId="9">
      <formula>Datos!C34="D2"</formula>
    </cfRule>
    <cfRule type="expression" priority="440" dxfId="10">
      <formula>Datos!C34="D3"</formula>
    </cfRule>
    <cfRule type="expression" priority="441" dxfId="11">
      <formula>Datos!C34="D4"</formula>
    </cfRule>
    <cfRule type="expression" priority="442" dxfId="12">
      <formula>Datos!C34="MIX"</formula>
    </cfRule>
  </conditionalFormatting>
  <conditionalFormatting sqref="F4">
    <cfRule type="expression" priority="443" dxfId="0">
      <formula>Datos!C35="C1"</formula>
    </cfRule>
    <cfRule type="expression" priority="444" dxfId="1">
      <formula>Datos!C35="C2"</formula>
    </cfRule>
    <cfRule type="expression" priority="445" dxfId="2">
      <formula>Datos!C35="C3"</formula>
    </cfRule>
    <cfRule type="expression" priority="446" dxfId="3">
      <formula>Datos!C35="C4"</formula>
    </cfRule>
    <cfRule type="expression" priority="447" dxfId="4">
      <formula>Datos!C35="M1"</formula>
    </cfRule>
    <cfRule type="expression" priority="448" dxfId="5">
      <formula>Datos!C35="M2"</formula>
    </cfRule>
    <cfRule type="expression" priority="449" dxfId="6">
      <formula>Datos!C35="M3"</formula>
    </cfRule>
    <cfRule type="expression" priority="450" dxfId="7">
      <formula>Datos!C35="M4"</formula>
    </cfRule>
    <cfRule type="expression" priority="451" dxfId="8">
      <formula>Datos!C35="D1"</formula>
    </cfRule>
    <cfRule type="expression" priority="452" dxfId="9">
      <formula>Datos!C35="D2"</formula>
    </cfRule>
    <cfRule type="expression" priority="453" dxfId="10">
      <formula>Datos!C35="D3"</formula>
    </cfRule>
    <cfRule type="expression" priority="454" dxfId="11">
      <formula>Datos!C35="D4"</formula>
    </cfRule>
    <cfRule type="expression" priority="455" dxfId="12">
      <formula>Datos!C35="MIX"</formula>
    </cfRule>
  </conditionalFormatting>
  <conditionalFormatting sqref="G4">
    <cfRule type="expression" priority="456" dxfId="0">
      <formula>Datos!C36="C1"</formula>
    </cfRule>
    <cfRule type="expression" priority="457" dxfId="1">
      <formula>Datos!C36="C2"</formula>
    </cfRule>
    <cfRule type="expression" priority="458" dxfId="2">
      <formula>Datos!C36="C3"</formula>
    </cfRule>
    <cfRule type="expression" priority="459" dxfId="3">
      <formula>Datos!C36="C4"</formula>
    </cfRule>
    <cfRule type="expression" priority="460" dxfId="4">
      <formula>Datos!C36="M1"</formula>
    </cfRule>
    <cfRule type="expression" priority="461" dxfId="5">
      <formula>Datos!C36="M2"</formula>
    </cfRule>
    <cfRule type="expression" priority="462" dxfId="6">
      <formula>Datos!C36="M3"</formula>
    </cfRule>
    <cfRule type="expression" priority="463" dxfId="7">
      <formula>Datos!C36="M4"</formula>
    </cfRule>
    <cfRule type="expression" priority="464" dxfId="8">
      <formula>Datos!C36="D1"</formula>
    </cfRule>
    <cfRule type="expression" priority="465" dxfId="9">
      <formula>Datos!C36="D2"</formula>
    </cfRule>
    <cfRule type="expression" priority="466" dxfId="10">
      <formula>Datos!C36="D3"</formula>
    </cfRule>
    <cfRule type="expression" priority="467" dxfId="11">
      <formula>Datos!C36="D4"</formula>
    </cfRule>
    <cfRule type="expression" priority="468" dxfId="12">
      <formula>Datos!C36="MIX"</formula>
    </cfRule>
  </conditionalFormatting>
  <conditionalFormatting sqref="H4">
    <cfRule type="expression" priority="469" dxfId="0">
      <formula>Datos!C37="C1"</formula>
    </cfRule>
    <cfRule type="expression" priority="470" dxfId="1">
      <formula>Datos!C37="C2"</formula>
    </cfRule>
    <cfRule type="expression" priority="471" dxfId="2">
      <formula>Datos!C37="C3"</formula>
    </cfRule>
    <cfRule type="expression" priority="472" dxfId="3">
      <formula>Datos!C37="C4"</formula>
    </cfRule>
    <cfRule type="expression" priority="473" dxfId="4">
      <formula>Datos!C37="M1"</formula>
    </cfRule>
    <cfRule type="expression" priority="474" dxfId="5">
      <formula>Datos!C37="M2"</formula>
    </cfRule>
    <cfRule type="expression" priority="475" dxfId="6">
      <formula>Datos!C37="M3"</formula>
    </cfRule>
    <cfRule type="expression" priority="476" dxfId="7">
      <formula>Datos!C37="M4"</formula>
    </cfRule>
    <cfRule type="expression" priority="477" dxfId="8">
      <formula>Datos!C37="D1"</formula>
    </cfRule>
    <cfRule type="expression" priority="478" dxfId="9">
      <formula>Datos!C37="D2"</formula>
    </cfRule>
    <cfRule type="expression" priority="479" dxfId="10">
      <formula>Datos!C37="D3"</formula>
    </cfRule>
    <cfRule type="expression" priority="480" dxfId="11">
      <formula>Datos!C37="D4"</formula>
    </cfRule>
    <cfRule type="expression" priority="481" dxfId="12">
      <formula>Datos!C37="MIX"</formula>
    </cfRule>
  </conditionalFormatting>
  <conditionalFormatting sqref="I4">
    <cfRule type="expression" priority="482" dxfId="0">
      <formula>Datos!C38="C1"</formula>
    </cfRule>
    <cfRule type="expression" priority="483" dxfId="1">
      <formula>Datos!C38="C2"</formula>
    </cfRule>
    <cfRule type="expression" priority="484" dxfId="2">
      <formula>Datos!C38="C3"</formula>
    </cfRule>
    <cfRule type="expression" priority="485" dxfId="3">
      <formula>Datos!C38="C4"</formula>
    </cfRule>
    <cfRule type="expression" priority="486" dxfId="4">
      <formula>Datos!C38="M1"</formula>
    </cfRule>
    <cfRule type="expression" priority="487" dxfId="5">
      <formula>Datos!C38="M2"</formula>
    </cfRule>
    <cfRule type="expression" priority="488" dxfId="6">
      <formula>Datos!C38="M3"</formula>
    </cfRule>
    <cfRule type="expression" priority="489" dxfId="7">
      <formula>Datos!C38="M4"</formula>
    </cfRule>
    <cfRule type="expression" priority="490" dxfId="8">
      <formula>Datos!C38="D1"</formula>
    </cfRule>
    <cfRule type="expression" priority="491" dxfId="9">
      <formula>Datos!C38="D2"</formula>
    </cfRule>
    <cfRule type="expression" priority="492" dxfId="10">
      <formula>Datos!C38="D3"</formula>
    </cfRule>
    <cfRule type="expression" priority="493" dxfId="11">
      <formula>Datos!C38="D4"</formula>
    </cfRule>
    <cfRule type="expression" priority="494" dxfId="12">
      <formula>Datos!C38="MIX"</formula>
    </cfRule>
  </conditionalFormatting>
  <conditionalFormatting sqref="J4">
    <cfRule type="expression" priority="495" dxfId="0">
      <formula>Datos!C39="C1"</formula>
    </cfRule>
    <cfRule type="expression" priority="496" dxfId="1">
      <formula>Datos!C39="C2"</formula>
    </cfRule>
    <cfRule type="expression" priority="497" dxfId="2">
      <formula>Datos!C39="C3"</formula>
    </cfRule>
    <cfRule type="expression" priority="498" dxfId="3">
      <formula>Datos!C39="C4"</formula>
    </cfRule>
    <cfRule type="expression" priority="499" dxfId="4">
      <formula>Datos!C39="M1"</formula>
    </cfRule>
    <cfRule type="expression" priority="500" dxfId="5">
      <formula>Datos!C39="M2"</formula>
    </cfRule>
    <cfRule type="expression" priority="501" dxfId="6">
      <formula>Datos!C39="M3"</formula>
    </cfRule>
    <cfRule type="expression" priority="502" dxfId="7">
      <formula>Datos!C39="M4"</formula>
    </cfRule>
    <cfRule type="expression" priority="503" dxfId="8">
      <formula>Datos!C39="D1"</formula>
    </cfRule>
    <cfRule type="expression" priority="504" dxfId="9">
      <formula>Datos!C39="D2"</formula>
    </cfRule>
    <cfRule type="expression" priority="505" dxfId="10">
      <formula>Datos!C39="D3"</formula>
    </cfRule>
    <cfRule type="expression" priority="506" dxfId="11">
      <formula>Datos!C39="D4"</formula>
    </cfRule>
    <cfRule type="expression" priority="507" dxfId="12">
      <formula>Datos!C39="MIX"</formula>
    </cfRule>
  </conditionalFormatting>
  <conditionalFormatting sqref="K4">
    <cfRule type="expression" priority="508" dxfId="0">
      <formula>Datos!C40="C1"</formula>
    </cfRule>
    <cfRule type="expression" priority="509" dxfId="1">
      <formula>Datos!C40="C2"</formula>
    </cfRule>
    <cfRule type="expression" priority="510" dxfId="2">
      <formula>Datos!C40="C3"</formula>
    </cfRule>
    <cfRule type="expression" priority="511" dxfId="3">
      <formula>Datos!C40="C4"</formula>
    </cfRule>
    <cfRule type="expression" priority="512" dxfId="4">
      <formula>Datos!C40="M1"</formula>
    </cfRule>
    <cfRule type="expression" priority="513" dxfId="5">
      <formula>Datos!C40="M2"</formula>
    </cfRule>
    <cfRule type="expression" priority="514" dxfId="6">
      <formula>Datos!C40="M3"</formula>
    </cfRule>
    <cfRule type="expression" priority="515" dxfId="7">
      <formula>Datos!C40="M4"</formula>
    </cfRule>
    <cfRule type="expression" priority="516" dxfId="8">
      <formula>Datos!C40="D1"</formula>
    </cfRule>
    <cfRule type="expression" priority="517" dxfId="9">
      <formula>Datos!C40="D2"</formula>
    </cfRule>
    <cfRule type="expression" priority="518" dxfId="10">
      <formula>Datos!C40="D3"</formula>
    </cfRule>
    <cfRule type="expression" priority="519" dxfId="11">
      <formula>Datos!C40="D4"</formula>
    </cfRule>
    <cfRule type="expression" priority="520" dxfId="12">
      <formula>Datos!C40="MIX"</formula>
    </cfRule>
  </conditionalFormatting>
  <conditionalFormatting sqref="L4">
    <cfRule type="expression" priority="521" dxfId="0">
      <formula>Datos!C41="C1"</formula>
    </cfRule>
    <cfRule type="expression" priority="522" dxfId="1">
      <formula>Datos!C41="C2"</formula>
    </cfRule>
    <cfRule type="expression" priority="523" dxfId="2">
      <formula>Datos!C41="C3"</formula>
    </cfRule>
    <cfRule type="expression" priority="524" dxfId="3">
      <formula>Datos!C41="C4"</formula>
    </cfRule>
    <cfRule type="expression" priority="525" dxfId="4">
      <formula>Datos!C41="M1"</formula>
    </cfRule>
    <cfRule type="expression" priority="526" dxfId="5">
      <formula>Datos!C41="M2"</formula>
    </cfRule>
    <cfRule type="expression" priority="527" dxfId="6">
      <formula>Datos!C41="M3"</formula>
    </cfRule>
    <cfRule type="expression" priority="528" dxfId="7">
      <formula>Datos!C41="M4"</formula>
    </cfRule>
    <cfRule type="expression" priority="529" dxfId="8">
      <formula>Datos!C41="D1"</formula>
    </cfRule>
    <cfRule type="expression" priority="530" dxfId="9">
      <formula>Datos!C41="D2"</formula>
    </cfRule>
    <cfRule type="expression" priority="531" dxfId="10">
      <formula>Datos!C41="D3"</formula>
    </cfRule>
    <cfRule type="expression" priority="532" dxfId="11">
      <formula>Datos!C41="D4"</formula>
    </cfRule>
    <cfRule type="expression" priority="533" dxfId="12">
      <formula>Datos!C41="MIX"</formula>
    </cfRule>
  </conditionalFormatting>
  <conditionalFormatting sqref="M4">
    <cfRule type="expression" priority="534" dxfId="0">
      <formula>Datos!C42="C1"</formula>
    </cfRule>
    <cfRule type="expression" priority="535" dxfId="1">
      <formula>Datos!C42="C2"</formula>
    </cfRule>
    <cfRule type="expression" priority="536" dxfId="2">
      <formula>Datos!C42="C3"</formula>
    </cfRule>
    <cfRule type="expression" priority="537" dxfId="3">
      <formula>Datos!C42="C4"</formula>
    </cfRule>
    <cfRule type="expression" priority="538" dxfId="4">
      <formula>Datos!C42="M1"</formula>
    </cfRule>
    <cfRule type="expression" priority="539" dxfId="5">
      <formula>Datos!C42="M2"</formula>
    </cfRule>
    <cfRule type="expression" priority="540" dxfId="6">
      <formula>Datos!C42="M3"</formula>
    </cfRule>
    <cfRule type="expression" priority="541" dxfId="7">
      <formula>Datos!C42="M4"</formula>
    </cfRule>
    <cfRule type="expression" priority="542" dxfId="8">
      <formula>Datos!C42="D1"</formula>
    </cfRule>
    <cfRule type="expression" priority="543" dxfId="9">
      <formula>Datos!C42="D2"</formula>
    </cfRule>
    <cfRule type="expression" priority="544" dxfId="10">
      <formula>Datos!C42="D3"</formula>
    </cfRule>
    <cfRule type="expression" priority="545" dxfId="11">
      <formula>Datos!C42="D4"</formula>
    </cfRule>
    <cfRule type="expression" priority="546" dxfId="12">
      <formula>Datos!C42="MIX"</formula>
    </cfRule>
  </conditionalFormatting>
  <conditionalFormatting sqref="N4">
    <cfRule type="expression" priority="547" dxfId="0">
      <formula>Datos!C43="C1"</formula>
    </cfRule>
    <cfRule type="expression" priority="548" dxfId="1">
      <formula>Datos!C43="C2"</formula>
    </cfRule>
    <cfRule type="expression" priority="549" dxfId="2">
      <formula>Datos!C43="C3"</formula>
    </cfRule>
    <cfRule type="expression" priority="550" dxfId="3">
      <formula>Datos!C43="C4"</formula>
    </cfRule>
    <cfRule type="expression" priority="551" dxfId="4">
      <formula>Datos!C43="M1"</formula>
    </cfRule>
    <cfRule type="expression" priority="552" dxfId="5">
      <formula>Datos!C43="M2"</formula>
    </cfRule>
    <cfRule type="expression" priority="553" dxfId="6">
      <formula>Datos!C43="M3"</formula>
    </cfRule>
    <cfRule type="expression" priority="554" dxfId="7">
      <formula>Datos!C43="M4"</formula>
    </cfRule>
    <cfRule type="expression" priority="555" dxfId="8">
      <formula>Datos!C43="D1"</formula>
    </cfRule>
    <cfRule type="expression" priority="556" dxfId="9">
      <formula>Datos!C43="D2"</formula>
    </cfRule>
    <cfRule type="expression" priority="557" dxfId="10">
      <formula>Datos!C43="D3"</formula>
    </cfRule>
    <cfRule type="expression" priority="558" dxfId="11">
      <formula>Datos!C43="D4"</formula>
    </cfRule>
    <cfRule type="expression" priority="559" dxfId="12">
      <formula>Datos!C43="MIX"</formula>
    </cfRule>
  </conditionalFormatting>
  <conditionalFormatting sqref="O4">
    <cfRule type="expression" priority="560" dxfId="0">
      <formula>Datos!C44="C1"</formula>
    </cfRule>
    <cfRule type="expression" priority="561" dxfId="1">
      <formula>Datos!C44="C2"</formula>
    </cfRule>
    <cfRule type="expression" priority="562" dxfId="2">
      <formula>Datos!C44="C3"</formula>
    </cfRule>
    <cfRule type="expression" priority="563" dxfId="3">
      <formula>Datos!C44="C4"</formula>
    </cfRule>
    <cfRule type="expression" priority="564" dxfId="4">
      <formula>Datos!C44="M1"</formula>
    </cfRule>
    <cfRule type="expression" priority="565" dxfId="5">
      <formula>Datos!C44="M2"</formula>
    </cfRule>
    <cfRule type="expression" priority="566" dxfId="6">
      <formula>Datos!C44="M3"</formula>
    </cfRule>
    <cfRule type="expression" priority="567" dxfId="7">
      <formula>Datos!C44="M4"</formula>
    </cfRule>
    <cfRule type="expression" priority="568" dxfId="8">
      <formula>Datos!C44="D1"</formula>
    </cfRule>
    <cfRule type="expression" priority="569" dxfId="9">
      <formula>Datos!C44="D2"</formula>
    </cfRule>
    <cfRule type="expression" priority="570" dxfId="10">
      <formula>Datos!C44="D3"</formula>
    </cfRule>
    <cfRule type="expression" priority="571" dxfId="11">
      <formula>Datos!C44="D4"</formula>
    </cfRule>
    <cfRule type="expression" priority="572" dxfId="12">
      <formula>Datos!C44="MIX"</formula>
    </cfRule>
  </conditionalFormatting>
  <conditionalFormatting sqref="P4">
    <cfRule type="expression" priority="573" dxfId="0">
      <formula>Datos!C45="C1"</formula>
    </cfRule>
    <cfRule type="expression" priority="574" dxfId="1">
      <formula>Datos!C45="C2"</formula>
    </cfRule>
    <cfRule type="expression" priority="575" dxfId="2">
      <formula>Datos!C45="C3"</formula>
    </cfRule>
    <cfRule type="expression" priority="576" dxfId="3">
      <formula>Datos!C45="C4"</formula>
    </cfRule>
    <cfRule type="expression" priority="577" dxfId="4">
      <formula>Datos!C45="M1"</formula>
    </cfRule>
    <cfRule type="expression" priority="578" dxfId="5">
      <formula>Datos!C45="M2"</formula>
    </cfRule>
    <cfRule type="expression" priority="579" dxfId="6">
      <formula>Datos!C45="M3"</formula>
    </cfRule>
    <cfRule type="expression" priority="580" dxfId="7">
      <formula>Datos!C45="M4"</formula>
    </cfRule>
    <cfRule type="expression" priority="581" dxfId="8">
      <formula>Datos!C45="D1"</formula>
    </cfRule>
    <cfRule type="expression" priority="582" dxfId="9">
      <formula>Datos!C45="D2"</formula>
    </cfRule>
    <cfRule type="expression" priority="583" dxfId="10">
      <formula>Datos!C45="D3"</formula>
    </cfRule>
    <cfRule type="expression" priority="584" dxfId="11">
      <formula>Datos!C45="D4"</formula>
    </cfRule>
    <cfRule type="expression" priority="585" dxfId="12">
      <formula>Datos!C45="MIX"</formula>
    </cfRule>
  </conditionalFormatting>
  <conditionalFormatting sqref="B5">
    <cfRule type="expression" priority="586" dxfId="0">
      <formula>Datos!C46="C1"</formula>
    </cfRule>
    <cfRule type="expression" priority="587" dxfId="1">
      <formula>Datos!C46="C2"</formula>
    </cfRule>
    <cfRule type="expression" priority="588" dxfId="2">
      <formula>Datos!C46="C3"</formula>
    </cfRule>
    <cfRule type="expression" priority="589" dxfId="3">
      <formula>Datos!C46="C4"</formula>
    </cfRule>
    <cfRule type="expression" priority="590" dxfId="4">
      <formula>Datos!C46="M1"</formula>
    </cfRule>
    <cfRule type="expression" priority="591" dxfId="5">
      <formula>Datos!C46="M2"</formula>
    </cfRule>
    <cfRule type="expression" priority="592" dxfId="6">
      <formula>Datos!C46="M3"</formula>
    </cfRule>
    <cfRule type="expression" priority="593" dxfId="7">
      <formula>Datos!C46="M4"</formula>
    </cfRule>
    <cfRule type="expression" priority="594" dxfId="8">
      <formula>Datos!C46="D1"</formula>
    </cfRule>
    <cfRule type="expression" priority="595" dxfId="9">
      <formula>Datos!C46="D2"</formula>
    </cfRule>
    <cfRule type="expression" priority="596" dxfId="10">
      <formula>Datos!C46="D3"</formula>
    </cfRule>
    <cfRule type="expression" priority="597" dxfId="11">
      <formula>Datos!C46="D4"</formula>
    </cfRule>
    <cfRule type="expression" priority="598" dxfId="12">
      <formula>Datos!C46="MIX"</formula>
    </cfRule>
  </conditionalFormatting>
  <conditionalFormatting sqref="C5">
    <cfRule type="expression" priority="599" dxfId="0">
      <formula>Datos!C47="C1"</formula>
    </cfRule>
    <cfRule type="expression" priority="600" dxfId="1">
      <formula>Datos!C47="C2"</formula>
    </cfRule>
    <cfRule type="expression" priority="601" dxfId="2">
      <formula>Datos!C47="C3"</formula>
    </cfRule>
    <cfRule type="expression" priority="602" dxfId="3">
      <formula>Datos!C47="C4"</formula>
    </cfRule>
    <cfRule type="expression" priority="603" dxfId="4">
      <formula>Datos!C47="M1"</formula>
    </cfRule>
    <cfRule type="expression" priority="604" dxfId="5">
      <formula>Datos!C47="M2"</formula>
    </cfRule>
    <cfRule type="expression" priority="605" dxfId="6">
      <formula>Datos!C47="M3"</formula>
    </cfRule>
    <cfRule type="expression" priority="606" dxfId="7">
      <formula>Datos!C47="M4"</formula>
    </cfRule>
    <cfRule type="expression" priority="607" dxfId="8">
      <formula>Datos!C47="D1"</formula>
    </cfRule>
    <cfRule type="expression" priority="608" dxfId="9">
      <formula>Datos!C47="D2"</formula>
    </cfRule>
    <cfRule type="expression" priority="609" dxfId="10">
      <formula>Datos!C47="D3"</formula>
    </cfRule>
    <cfRule type="expression" priority="610" dxfId="11">
      <formula>Datos!C47="D4"</formula>
    </cfRule>
    <cfRule type="expression" priority="611" dxfId="12">
      <formula>Datos!C47="MIX"</formula>
    </cfRule>
  </conditionalFormatting>
  <conditionalFormatting sqref="D5">
    <cfRule type="expression" priority="612" dxfId="0">
      <formula>Datos!C48="C1"</formula>
    </cfRule>
    <cfRule type="expression" priority="613" dxfId="1">
      <formula>Datos!C48="C2"</formula>
    </cfRule>
    <cfRule type="expression" priority="614" dxfId="2">
      <formula>Datos!C48="C3"</formula>
    </cfRule>
    <cfRule type="expression" priority="615" dxfId="3">
      <formula>Datos!C48="C4"</formula>
    </cfRule>
    <cfRule type="expression" priority="616" dxfId="4">
      <formula>Datos!C48="M1"</formula>
    </cfRule>
    <cfRule type="expression" priority="617" dxfId="5">
      <formula>Datos!C48="M2"</formula>
    </cfRule>
    <cfRule type="expression" priority="618" dxfId="6">
      <formula>Datos!C48="M3"</formula>
    </cfRule>
    <cfRule type="expression" priority="619" dxfId="7">
      <formula>Datos!C48="M4"</formula>
    </cfRule>
    <cfRule type="expression" priority="620" dxfId="8">
      <formula>Datos!C48="D1"</formula>
    </cfRule>
    <cfRule type="expression" priority="621" dxfId="9">
      <formula>Datos!C48="D2"</formula>
    </cfRule>
    <cfRule type="expression" priority="622" dxfId="10">
      <formula>Datos!C48="D3"</formula>
    </cfRule>
    <cfRule type="expression" priority="623" dxfId="11">
      <formula>Datos!C48="D4"</formula>
    </cfRule>
    <cfRule type="expression" priority="624" dxfId="12">
      <formula>Datos!C48="MIX"</formula>
    </cfRule>
  </conditionalFormatting>
  <conditionalFormatting sqref="E5">
    <cfRule type="expression" priority="625" dxfId="0">
      <formula>Datos!C49="C1"</formula>
    </cfRule>
    <cfRule type="expression" priority="626" dxfId="1">
      <formula>Datos!C49="C2"</formula>
    </cfRule>
    <cfRule type="expression" priority="627" dxfId="2">
      <formula>Datos!C49="C3"</formula>
    </cfRule>
    <cfRule type="expression" priority="628" dxfId="3">
      <formula>Datos!C49="C4"</formula>
    </cfRule>
    <cfRule type="expression" priority="629" dxfId="4">
      <formula>Datos!C49="M1"</formula>
    </cfRule>
    <cfRule type="expression" priority="630" dxfId="5">
      <formula>Datos!C49="M2"</formula>
    </cfRule>
    <cfRule type="expression" priority="631" dxfId="6">
      <formula>Datos!C49="M3"</formula>
    </cfRule>
    <cfRule type="expression" priority="632" dxfId="7">
      <formula>Datos!C49="M4"</formula>
    </cfRule>
    <cfRule type="expression" priority="633" dxfId="8">
      <formula>Datos!C49="D1"</formula>
    </cfRule>
    <cfRule type="expression" priority="634" dxfId="9">
      <formula>Datos!C49="D2"</formula>
    </cfRule>
    <cfRule type="expression" priority="635" dxfId="10">
      <formula>Datos!C49="D3"</formula>
    </cfRule>
    <cfRule type="expression" priority="636" dxfId="11">
      <formula>Datos!C49="D4"</formula>
    </cfRule>
    <cfRule type="expression" priority="637" dxfId="12">
      <formula>Datos!C49="MIX"</formula>
    </cfRule>
  </conditionalFormatting>
  <conditionalFormatting sqref="F5">
    <cfRule type="expression" priority="638" dxfId="0">
      <formula>Datos!C50="C1"</formula>
    </cfRule>
    <cfRule type="expression" priority="639" dxfId="1">
      <formula>Datos!C50="C2"</formula>
    </cfRule>
    <cfRule type="expression" priority="640" dxfId="2">
      <formula>Datos!C50="C3"</formula>
    </cfRule>
    <cfRule type="expression" priority="641" dxfId="3">
      <formula>Datos!C50="C4"</formula>
    </cfRule>
    <cfRule type="expression" priority="642" dxfId="4">
      <formula>Datos!C50="M1"</formula>
    </cfRule>
    <cfRule type="expression" priority="643" dxfId="5">
      <formula>Datos!C50="M2"</formula>
    </cfRule>
    <cfRule type="expression" priority="644" dxfId="6">
      <formula>Datos!C50="M3"</formula>
    </cfRule>
    <cfRule type="expression" priority="645" dxfId="7">
      <formula>Datos!C50="M4"</formula>
    </cfRule>
    <cfRule type="expression" priority="646" dxfId="8">
      <formula>Datos!C50="D1"</formula>
    </cfRule>
    <cfRule type="expression" priority="647" dxfId="9">
      <formula>Datos!C50="D2"</formula>
    </cfRule>
    <cfRule type="expression" priority="648" dxfId="10">
      <formula>Datos!C50="D3"</formula>
    </cfRule>
    <cfRule type="expression" priority="649" dxfId="11">
      <formula>Datos!C50="D4"</formula>
    </cfRule>
    <cfRule type="expression" priority="650" dxfId="12">
      <formula>Datos!C50="MIX"</formula>
    </cfRule>
  </conditionalFormatting>
  <conditionalFormatting sqref="G5">
    <cfRule type="expression" priority="651" dxfId="0">
      <formula>Datos!C51="C1"</formula>
    </cfRule>
    <cfRule type="expression" priority="652" dxfId="1">
      <formula>Datos!C51="C2"</formula>
    </cfRule>
    <cfRule type="expression" priority="653" dxfId="2">
      <formula>Datos!C51="C3"</formula>
    </cfRule>
    <cfRule type="expression" priority="654" dxfId="3">
      <formula>Datos!C51="C4"</formula>
    </cfRule>
    <cfRule type="expression" priority="655" dxfId="4">
      <formula>Datos!C51="M1"</formula>
    </cfRule>
    <cfRule type="expression" priority="656" dxfId="5">
      <formula>Datos!C51="M2"</formula>
    </cfRule>
    <cfRule type="expression" priority="657" dxfId="6">
      <formula>Datos!C51="M3"</formula>
    </cfRule>
    <cfRule type="expression" priority="658" dxfId="7">
      <formula>Datos!C51="M4"</formula>
    </cfRule>
    <cfRule type="expression" priority="659" dxfId="8">
      <formula>Datos!C51="D1"</formula>
    </cfRule>
    <cfRule type="expression" priority="660" dxfId="9">
      <formula>Datos!C51="D2"</formula>
    </cfRule>
    <cfRule type="expression" priority="661" dxfId="10">
      <formula>Datos!C51="D3"</formula>
    </cfRule>
    <cfRule type="expression" priority="662" dxfId="11">
      <formula>Datos!C51="D4"</formula>
    </cfRule>
    <cfRule type="expression" priority="663" dxfId="12">
      <formula>Datos!C51="MIX"</formula>
    </cfRule>
  </conditionalFormatting>
  <conditionalFormatting sqref="H5">
    <cfRule type="expression" priority="664" dxfId="0">
      <formula>Datos!C52="C1"</formula>
    </cfRule>
    <cfRule type="expression" priority="665" dxfId="1">
      <formula>Datos!C52="C2"</formula>
    </cfRule>
    <cfRule type="expression" priority="666" dxfId="2">
      <formula>Datos!C52="C3"</formula>
    </cfRule>
    <cfRule type="expression" priority="667" dxfId="3">
      <formula>Datos!C52="C4"</formula>
    </cfRule>
    <cfRule type="expression" priority="668" dxfId="4">
      <formula>Datos!C52="M1"</formula>
    </cfRule>
    <cfRule type="expression" priority="669" dxfId="5">
      <formula>Datos!C52="M2"</formula>
    </cfRule>
    <cfRule type="expression" priority="670" dxfId="6">
      <formula>Datos!C52="M3"</formula>
    </cfRule>
    <cfRule type="expression" priority="671" dxfId="7">
      <formula>Datos!C52="M4"</formula>
    </cfRule>
    <cfRule type="expression" priority="672" dxfId="8">
      <formula>Datos!C52="D1"</formula>
    </cfRule>
    <cfRule type="expression" priority="673" dxfId="9">
      <formula>Datos!C52="D2"</formula>
    </cfRule>
    <cfRule type="expression" priority="674" dxfId="10">
      <formula>Datos!C52="D3"</formula>
    </cfRule>
    <cfRule type="expression" priority="675" dxfId="11">
      <formula>Datos!C52="D4"</formula>
    </cfRule>
    <cfRule type="expression" priority="676" dxfId="12">
      <formula>Datos!C52="MIX"</formula>
    </cfRule>
  </conditionalFormatting>
  <conditionalFormatting sqref="I5">
    <cfRule type="expression" priority="677" dxfId="0">
      <formula>Datos!C53="C1"</formula>
    </cfRule>
    <cfRule type="expression" priority="678" dxfId="1">
      <formula>Datos!C53="C2"</formula>
    </cfRule>
    <cfRule type="expression" priority="679" dxfId="2">
      <formula>Datos!C53="C3"</formula>
    </cfRule>
    <cfRule type="expression" priority="680" dxfId="3">
      <formula>Datos!C53="C4"</formula>
    </cfRule>
    <cfRule type="expression" priority="681" dxfId="4">
      <formula>Datos!C53="M1"</formula>
    </cfRule>
    <cfRule type="expression" priority="682" dxfId="5">
      <formula>Datos!C53="M2"</formula>
    </cfRule>
    <cfRule type="expression" priority="683" dxfId="6">
      <formula>Datos!C53="M3"</formula>
    </cfRule>
    <cfRule type="expression" priority="684" dxfId="7">
      <formula>Datos!C53="M4"</formula>
    </cfRule>
    <cfRule type="expression" priority="685" dxfId="8">
      <formula>Datos!C53="D1"</formula>
    </cfRule>
    <cfRule type="expression" priority="686" dxfId="9">
      <formula>Datos!C53="D2"</formula>
    </cfRule>
    <cfRule type="expression" priority="687" dxfId="10">
      <formula>Datos!C53="D3"</formula>
    </cfRule>
    <cfRule type="expression" priority="688" dxfId="11">
      <formula>Datos!C53="D4"</formula>
    </cfRule>
    <cfRule type="expression" priority="689" dxfId="12">
      <formula>Datos!C53="MIX"</formula>
    </cfRule>
  </conditionalFormatting>
  <conditionalFormatting sqref="J5">
    <cfRule type="expression" priority="690" dxfId="0">
      <formula>Datos!C54="C1"</formula>
    </cfRule>
    <cfRule type="expression" priority="691" dxfId="1">
      <formula>Datos!C54="C2"</formula>
    </cfRule>
    <cfRule type="expression" priority="692" dxfId="2">
      <formula>Datos!C54="C3"</formula>
    </cfRule>
    <cfRule type="expression" priority="693" dxfId="3">
      <formula>Datos!C54="C4"</formula>
    </cfRule>
    <cfRule type="expression" priority="694" dxfId="4">
      <formula>Datos!C54="M1"</formula>
    </cfRule>
    <cfRule type="expression" priority="695" dxfId="5">
      <formula>Datos!C54="M2"</formula>
    </cfRule>
    <cfRule type="expression" priority="696" dxfId="6">
      <formula>Datos!C54="M3"</formula>
    </cfRule>
    <cfRule type="expression" priority="697" dxfId="7">
      <formula>Datos!C54="M4"</formula>
    </cfRule>
    <cfRule type="expression" priority="698" dxfId="8">
      <formula>Datos!C54="D1"</formula>
    </cfRule>
    <cfRule type="expression" priority="699" dxfId="9">
      <formula>Datos!C54="D2"</formula>
    </cfRule>
    <cfRule type="expression" priority="700" dxfId="10">
      <formula>Datos!C54="D3"</formula>
    </cfRule>
    <cfRule type="expression" priority="701" dxfId="11">
      <formula>Datos!C54="D4"</formula>
    </cfRule>
    <cfRule type="expression" priority="702" dxfId="12">
      <formula>Datos!C54="MIX"</formula>
    </cfRule>
  </conditionalFormatting>
  <conditionalFormatting sqref="K5">
    <cfRule type="expression" priority="703" dxfId="0">
      <formula>Datos!C55="C1"</formula>
    </cfRule>
    <cfRule type="expression" priority="704" dxfId="1">
      <formula>Datos!C55="C2"</formula>
    </cfRule>
    <cfRule type="expression" priority="705" dxfId="2">
      <formula>Datos!C55="C3"</formula>
    </cfRule>
    <cfRule type="expression" priority="706" dxfId="3">
      <formula>Datos!C55="C4"</formula>
    </cfRule>
    <cfRule type="expression" priority="707" dxfId="4">
      <formula>Datos!C55="M1"</formula>
    </cfRule>
    <cfRule type="expression" priority="708" dxfId="5">
      <formula>Datos!C55="M2"</formula>
    </cfRule>
    <cfRule type="expression" priority="709" dxfId="6">
      <formula>Datos!C55="M3"</formula>
    </cfRule>
    <cfRule type="expression" priority="710" dxfId="7">
      <formula>Datos!C55="M4"</formula>
    </cfRule>
    <cfRule type="expression" priority="711" dxfId="8">
      <formula>Datos!C55="D1"</formula>
    </cfRule>
    <cfRule type="expression" priority="712" dxfId="9">
      <formula>Datos!C55="D2"</formula>
    </cfRule>
    <cfRule type="expression" priority="713" dxfId="10">
      <formula>Datos!C55="D3"</formula>
    </cfRule>
    <cfRule type="expression" priority="714" dxfId="11">
      <formula>Datos!C55="D4"</formula>
    </cfRule>
    <cfRule type="expression" priority="715" dxfId="12">
      <formula>Datos!C55="MIX"</formula>
    </cfRule>
  </conditionalFormatting>
  <conditionalFormatting sqref="L5">
    <cfRule type="expression" priority="716" dxfId="0">
      <formula>Datos!C56="C1"</formula>
    </cfRule>
    <cfRule type="expression" priority="717" dxfId="1">
      <formula>Datos!C56="C2"</formula>
    </cfRule>
    <cfRule type="expression" priority="718" dxfId="2">
      <formula>Datos!C56="C3"</formula>
    </cfRule>
    <cfRule type="expression" priority="719" dxfId="3">
      <formula>Datos!C56="C4"</formula>
    </cfRule>
    <cfRule type="expression" priority="720" dxfId="4">
      <formula>Datos!C56="M1"</formula>
    </cfRule>
    <cfRule type="expression" priority="721" dxfId="5">
      <formula>Datos!C56="M2"</formula>
    </cfRule>
    <cfRule type="expression" priority="722" dxfId="6">
      <formula>Datos!C56="M3"</formula>
    </cfRule>
    <cfRule type="expression" priority="723" dxfId="7">
      <formula>Datos!C56="M4"</formula>
    </cfRule>
    <cfRule type="expression" priority="724" dxfId="8">
      <formula>Datos!C56="D1"</formula>
    </cfRule>
    <cfRule type="expression" priority="725" dxfId="9">
      <formula>Datos!C56="D2"</formula>
    </cfRule>
    <cfRule type="expression" priority="726" dxfId="10">
      <formula>Datos!C56="D3"</formula>
    </cfRule>
    <cfRule type="expression" priority="727" dxfId="11">
      <formula>Datos!C56="D4"</formula>
    </cfRule>
    <cfRule type="expression" priority="728" dxfId="12">
      <formula>Datos!C56="MIX"</formula>
    </cfRule>
  </conditionalFormatting>
  <conditionalFormatting sqref="M5">
    <cfRule type="expression" priority="729" dxfId="0">
      <formula>Datos!C57="C1"</formula>
    </cfRule>
    <cfRule type="expression" priority="730" dxfId="1">
      <formula>Datos!C57="C2"</formula>
    </cfRule>
    <cfRule type="expression" priority="731" dxfId="2">
      <formula>Datos!C57="C3"</formula>
    </cfRule>
    <cfRule type="expression" priority="732" dxfId="3">
      <formula>Datos!C57="C4"</formula>
    </cfRule>
    <cfRule type="expression" priority="733" dxfId="4">
      <formula>Datos!C57="M1"</formula>
    </cfRule>
    <cfRule type="expression" priority="734" dxfId="5">
      <formula>Datos!C57="M2"</formula>
    </cfRule>
    <cfRule type="expression" priority="735" dxfId="6">
      <formula>Datos!C57="M3"</formula>
    </cfRule>
    <cfRule type="expression" priority="736" dxfId="7">
      <formula>Datos!C57="M4"</formula>
    </cfRule>
    <cfRule type="expression" priority="737" dxfId="8">
      <formula>Datos!C57="D1"</formula>
    </cfRule>
    <cfRule type="expression" priority="738" dxfId="9">
      <formula>Datos!C57="D2"</formula>
    </cfRule>
    <cfRule type="expression" priority="739" dxfId="10">
      <formula>Datos!C57="D3"</formula>
    </cfRule>
    <cfRule type="expression" priority="740" dxfId="11">
      <formula>Datos!C57="D4"</formula>
    </cfRule>
    <cfRule type="expression" priority="741" dxfId="12">
      <formula>Datos!C57="MIX"</formula>
    </cfRule>
  </conditionalFormatting>
  <conditionalFormatting sqref="N5">
    <cfRule type="expression" priority="742" dxfId="0">
      <formula>Datos!C58="C1"</formula>
    </cfRule>
    <cfRule type="expression" priority="743" dxfId="1">
      <formula>Datos!C58="C2"</formula>
    </cfRule>
    <cfRule type="expression" priority="744" dxfId="2">
      <formula>Datos!C58="C3"</formula>
    </cfRule>
    <cfRule type="expression" priority="745" dxfId="3">
      <formula>Datos!C58="C4"</formula>
    </cfRule>
    <cfRule type="expression" priority="746" dxfId="4">
      <formula>Datos!C58="M1"</formula>
    </cfRule>
    <cfRule type="expression" priority="747" dxfId="5">
      <formula>Datos!C58="M2"</formula>
    </cfRule>
    <cfRule type="expression" priority="748" dxfId="6">
      <formula>Datos!C58="M3"</formula>
    </cfRule>
    <cfRule type="expression" priority="749" dxfId="7">
      <formula>Datos!C58="M4"</formula>
    </cfRule>
    <cfRule type="expression" priority="750" dxfId="8">
      <formula>Datos!C58="D1"</formula>
    </cfRule>
    <cfRule type="expression" priority="751" dxfId="9">
      <formula>Datos!C58="D2"</formula>
    </cfRule>
    <cfRule type="expression" priority="752" dxfId="10">
      <formula>Datos!C58="D3"</formula>
    </cfRule>
    <cfRule type="expression" priority="753" dxfId="11">
      <formula>Datos!C58="D4"</formula>
    </cfRule>
    <cfRule type="expression" priority="754" dxfId="12">
      <formula>Datos!C58="MIX"</formula>
    </cfRule>
  </conditionalFormatting>
  <conditionalFormatting sqref="O5">
    <cfRule type="expression" priority="755" dxfId="0">
      <formula>Datos!C59="C1"</formula>
    </cfRule>
    <cfRule type="expression" priority="756" dxfId="1">
      <formula>Datos!C59="C2"</formula>
    </cfRule>
    <cfRule type="expression" priority="757" dxfId="2">
      <formula>Datos!C59="C3"</formula>
    </cfRule>
    <cfRule type="expression" priority="758" dxfId="3">
      <formula>Datos!C59="C4"</formula>
    </cfRule>
    <cfRule type="expression" priority="759" dxfId="4">
      <formula>Datos!C59="M1"</formula>
    </cfRule>
    <cfRule type="expression" priority="760" dxfId="5">
      <formula>Datos!C59="M2"</formula>
    </cfRule>
    <cfRule type="expression" priority="761" dxfId="6">
      <formula>Datos!C59="M3"</formula>
    </cfRule>
    <cfRule type="expression" priority="762" dxfId="7">
      <formula>Datos!C59="M4"</formula>
    </cfRule>
    <cfRule type="expression" priority="763" dxfId="8">
      <formula>Datos!C59="D1"</formula>
    </cfRule>
    <cfRule type="expression" priority="764" dxfId="9">
      <formula>Datos!C59="D2"</formula>
    </cfRule>
    <cfRule type="expression" priority="765" dxfId="10">
      <formula>Datos!C59="D3"</formula>
    </cfRule>
    <cfRule type="expression" priority="766" dxfId="11">
      <formula>Datos!C59="D4"</formula>
    </cfRule>
    <cfRule type="expression" priority="767" dxfId="12">
      <formula>Datos!C59="MIX"</formula>
    </cfRule>
  </conditionalFormatting>
  <conditionalFormatting sqref="P5">
    <cfRule type="expression" priority="768" dxfId="0">
      <formula>Datos!C60="C1"</formula>
    </cfRule>
    <cfRule type="expression" priority="769" dxfId="1">
      <formula>Datos!C60="C2"</formula>
    </cfRule>
    <cfRule type="expression" priority="770" dxfId="2">
      <formula>Datos!C60="C3"</formula>
    </cfRule>
    <cfRule type="expression" priority="771" dxfId="3">
      <formula>Datos!C60="C4"</formula>
    </cfRule>
    <cfRule type="expression" priority="772" dxfId="4">
      <formula>Datos!C60="M1"</formula>
    </cfRule>
    <cfRule type="expression" priority="773" dxfId="5">
      <formula>Datos!C60="M2"</formula>
    </cfRule>
    <cfRule type="expression" priority="774" dxfId="6">
      <formula>Datos!C60="M3"</formula>
    </cfRule>
    <cfRule type="expression" priority="775" dxfId="7">
      <formula>Datos!C60="M4"</formula>
    </cfRule>
    <cfRule type="expression" priority="776" dxfId="8">
      <formula>Datos!C60="D1"</formula>
    </cfRule>
    <cfRule type="expression" priority="777" dxfId="9">
      <formula>Datos!C60="D2"</formula>
    </cfRule>
    <cfRule type="expression" priority="778" dxfId="10">
      <formula>Datos!C60="D3"</formula>
    </cfRule>
    <cfRule type="expression" priority="779" dxfId="11">
      <formula>Datos!C60="D4"</formula>
    </cfRule>
    <cfRule type="expression" priority="780" dxfId="12">
      <formula>Datos!C60="MIX"</formula>
    </cfRule>
  </conditionalFormatting>
  <conditionalFormatting sqref="B6">
    <cfRule type="expression" priority="781" dxfId="0">
      <formula>Datos!C61="C1"</formula>
    </cfRule>
    <cfRule type="expression" priority="782" dxfId="1">
      <formula>Datos!C61="C2"</formula>
    </cfRule>
    <cfRule type="expression" priority="783" dxfId="2">
      <formula>Datos!C61="C3"</formula>
    </cfRule>
    <cfRule type="expression" priority="784" dxfId="3">
      <formula>Datos!C61="C4"</formula>
    </cfRule>
    <cfRule type="expression" priority="785" dxfId="4">
      <formula>Datos!C61="M1"</formula>
    </cfRule>
    <cfRule type="expression" priority="786" dxfId="5">
      <formula>Datos!C61="M2"</formula>
    </cfRule>
    <cfRule type="expression" priority="787" dxfId="6">
      <formula>Datos!C61="M3"</formula>
    </cfRule>
    <cfRule type="expression" priority="788" dxfId="7">
      <formula>Datos!C61="M4"</formula>
    </cfRule>
    <cfRule type="expression" priority="789" dxfId="8">
      <formula>Datos!C61="D1"</formula>
    </cfRule>
    <cfRule type="expression" priority="790" dxfId="9">
      <formula>Datos!C61="D2"</formula>
    </cfRule>
    <cfRule type="expression" priority="791" dxfId="10">
      <formula>Datos!C61="D3"</formula>
    </cfRule>
    <cfRule type="expression" priority="792" dxfId="11">
      <formula>Datos!C61="D4"</formula>
    </cfRule>
    <cfRule type="expression" priority="793" dxfId="12">
      <formula>Datos!C61="MIX"</formula>
    </cfRule>
  </conditionalFormatting>
  <conditionalFormatting sqref="C6">
    <cfRule type="expression" priority="794" dxfId="0">
      <formula>Datos!C62="C1"</formula>
    </cfRule>
    <cfRule type="expression" priority="795" dxfId="1">
      <formula>Datos!C62="C2"</formula>
    </cfRule>
    <cfRule type="expression" priority="796" dxfId="2">
      <formula>Datos!C62="C3"</formula>
    </cfRule>
    <cfRule type="expression" priority="797" dxfId="3">
      <formula>Datos!C62="C4"</formula>
    </cfRule>
    <cfRule type="expression" priority="798" dxfId="4">
      <formula>Datos!C62="M1"</formula>
    </cfRule>
    <cfRule type="expression" priority="799" dxfId="5">
      <formula>Datos!C62="M2"</formula>
    </cfRule>
    <cfRule type="expression" priority="800" dxfId="6">
      <formula>Datos!C62="M3"</formula>
    </cfRule>
    <cfRule type="expression" priority="801" dxfId="7">
      <formula>Datos!C62="M4"</formula>
    </cfRule>
    <cfRule type="expression" priority="802" dxfId="8">
      <formula>Datos!C62="D1"</formula>
    </cfRule>
    <cfRule type="expression" priority="803" dxfId="9">
      <formula>Datos!C62="D2"</formula>
    </cfRule>
    <cfRule type="expression" priority="804" dxfId="10">
      <formula>Datos!C62="D3"</formula>
    </cfRule>
    <cfRule type="expression" priority="805" dxfId="11">
      <formula>Datos!C62="D4"</formula>
    </cfRule>
    <cfRule type="expression" priority="806" dxfId="12">
      <formula>Datos!C62="MIX"</formula>
    </cfRule>
  </conditionalFormatting>
  <conditionalFormatting sqref="D6">
    <cfRule type="expression" priority="807" dxfId="0">
      <formula>Datos!C63="C1"</formula>
    </cfRule>
    <cfRule type="expression" priority="808" dxfId="1">
      <formula>Datos!C63="C2"</formula>
    </cfRule>
    <cfRule type="expression" priority="809" dxfId="2">
      <formula>Datos!C63="C3"</formula>
    </cfRule>
    <cfRule type="expression" priority="810" dxfId="3">
      <formula>Datos!C63="C4"</formula>
    </cfRule>
    <cfRule type="expression" priority="811" dxfId="4">
      <formula>Datos!C63="M1"</formula>
    </cfRule>
    <cfRule type="expression" priority="812" dxfId="5">
      <formula>Datos!C63="M2"</formula>
    </cfRule>
    <cfRule type="expression" priority="813" dxfId="6">
      <formula>Datos!C63="M3"</formula>
    </cfRule>
    <cfRule type="expression" priority="814" dxfId="7">
      <formula>Datos!C63="M4"</formula>
    </cfRule>
    <cfRule type="expression" priority="815" dxfId="8">
      <formula>Datos!C63="D1"</formula>
    </cfRule>
    <cfRule type="expression" priority="816" dxfId="9">
      <formula>Datos!C63="D2"</formula>
    </cfRule>
    <cfRule type="expression" priority="817" dxfId="10">
      <formula>Datos!C63="D3"</formula>
    </cfRule>
    <cfRule type="expression" priority="818" dxfId="11">
      <formula>Datos!C63="D4"</formula>
    </cfRule>
    <cfRule type="expression" priority="819" dxfId="12">
      <formula>Datos!C63="MIX"</formula>
    </cfRule>
  </conditionalFormatting>
  <conditionalFormatting sqref="E6">
    <cfRule type="expression" priority="820" dxfId="0">
      <formula>Datos!C64="C1"</formula>
    </cfRule>
    <cfRule type="expression" priority="821" dxfId="1">
      <formula>Datos!C64="C2"</formula>
    </cfRule>
    <cfRule type="expression" priority="822" dxfId="2">
      <formula>Datos!C64="C3"</formula>
    </cfRule>
    <cfRule type="expression" priority="823" dxfId="3">
      <formula>Datos!C64="C4"</formula>
    </cfRule>
    <cfRule type="expression" priority="824" dxfId="4">
      <formula>Datos!C64="M1"</formula>
    </cfRule>
    <cfRule type="expression" priority="825" dxfId="5">
      <formula>Datos!C64="M2"</formula>
    </cfRule>
    <cfRule type="expression" priority="826" dxfId="6">
      <formula>Datos!C64="M3"</formula>
    </cfRule>
    <cfRule type="expression" priority="827" dxfId="7">
      <formula>Datos!C64="M4"</formula>
    </cfRule>
    <cfRule type="expression" priority="828" dxfId="8">
      <formula>Datos!C64="D1"</formula>
    </cfRule>
    <cfRule type="expression" priority="829" dxfId="9">
      <formula>Datos!C64="D2"</formula>
    </cfRule>
    <cfRule type="expression" priority="830" dxfId="10">
      <formula>Datos!C64="D3"</formula>
    </cfRule>
    <cfRule type="expression" priority="831" dxfId="11">
      <formula>Datos!C64="D4"</formula>
    </cfRule>
    <cfRule type="expression" priority="832" dxfId="12">
      <formula>Datos!C64="MIX"</formula>
    </cfRule>
  </conditionalFormatting>
  <conditionalFormatting sqref="F6">
    <cfRule type="expression" priority="833" dxfId="0">
      <formula>Datos!C65="C1"</formula>
    </cfRule>
    <cfRule type="expression" priority="834" dxfId="1">
      <formula>Datos!C65="C2"</formula>
    </cfRule>
    <cfRule type="expression" priority="835" dxfId="2">
      <formula>Datos!C65="C3"</formula>
    </cfRule>
    <cfRule type="expression" priority="836" dxfId="3">
      <formula>Datos!C65="C4"</formula>
    </cfRule>
    <cfRule type="expression" priority="837" dxfId="4">
      <formula>Datos!C65="M1"</formula>
    </cfRule>
    <cfRule type="expression" priority="838" dxfId="5">
      <formula>Datos!C65="M2"</formula>
    </cfRule>
    <cfRule type="expression" priority="839" dxfId="6">
      <formula>Datos!C65="M3"</formula>
    </cfRule>
    <cfRule type="expression" priority="840" dxfId="7">
      <formula>Datos!C65="M4"</formula>
    </cfRule>
    <cfRule type="expression" priority="841" dxfId="8">
      <formula>Datos!C65="D1"</formula>
    </cfRule>
    <cfRule type="expression" priority="842" dxfId="9">
      <formula>Datos!C65="D2"</formula>
    </cfRule>
    <cfRule type="expression" priority="843" dxfId="10">
      <formula>Datos!C65="D3"</formula>
    </cfRule>
    <cfRule type="expression" priority="844" dxfId="11">
      <formula>Datos!C65="D4"</formula>
    </cfRule>
    <cfRule type="expression" priority="845" dxfId="12">
      <formula>Datos!C65="MIX"</formula>
    </cfRule>
  </conditionalFormatting>
  <conditionalFormatting sqref="G6">
    <cfRule type="expression" priority="846" dxfId="0">
      <formula>Datos!C66="C1"</formula>
    </cfRule>
    <cfRule type="expression" priority="847" dxfId="1">
      <formula>Datos!C66="C2"</formula>
    </cfRule>
    <cfRule type="expression" priority="848" dxfId="2">
      <formula>Datos!C66="C3"</formula>
    </cfRule>
    <cfRule type="expression" priority="849" dxfId="3">
      <formula>Datos!C66="C4"</formula>
    </cfRule>
    <cfRule type="expression" priority="850" dxfId="4">
      <formula>Datos!C66="M1"</formula>
    </cfRule>
    <cfRule type="expression" priority="851" dxfId="5">
      <formula>Datos!C66="M2"</formula>
    </cfRule>
    <cfRule type="expression" priority="852" dxfId="6">
      <formula>Datos!C66="M3"</formula>
    </cfRule>
    <cfRule type="expression" priority="853" dxfId="7">
      <formula>Datos!C66="M4"</formula>
    </cfRule>
    <cfRule type="expression" priority="854" dxfId="8">
      <formula>Datos!C66="D1"</formula>
    </cfRule>
    <cfRule type="expression" priority="855" dxfId="9">
      <formula>Datos!C66="D2"</formula>
    </cfRule>
    <cfRule type="expression" priority="856" dxfId="10">
      <formula>Datos!C66="D3"</formula>
    </cfRule>
    <cfRule type="expression" priority="857" dxfId="11">
      <formula>Datos!C66="D4"</formula>
    </cfRule>
    <cfRule type="expression" priority="858" dxfId="12">
      <formula>Datos!C66="MIX"</formula>
    </cfRule>
  </conditionalFormatting>
  <conditionalFormatting sqref="H6">
    <cfRule type="expression" priority="859" dxfId="0">
      <formula>Datos!C67="C1"</formula>
    </cfRule>
    <cfRule type="expression" priority="860" dxfId="1">
      <formula>Datos!C67="C2"</formula>
    </cfRule>
    <cfRule type="expression" priority="861" dxfId="2">
      <formula>Datos!C67="C3"</formula>
    </cfRule>
    <cfRule type="expression" priority="862" dxfId="3">
      <formula>Datos!C67="C4"</formula>
    </cfRule>
    <cfRule type="expression" priority="863" dxfId="4">
      <formula>Datos!C67="M1"</formula>
    </cfRule>
    <cfRule type="expression" priority="864" dxfId="5">
      <formula>Datos!C67="M2"</formula>
    </cfRule>
    <cfRule type="expression" priority="865" dxfId="6">
      <formula>Datos!C67="M3"</formula>
    </cfRule>
    <cfRule type="expression" priority="866" dxfId="7">
      <formula>Datos!C67="M4"</formula>
    </cfRule>
    <cfRule type="expression" priority="867" dxfId="8">
      <formula>Datos!C67="D1"</formula>
    </cfRule>
    <cfRule type="expression" priority="868" dxfId="9">
      <formula>Datos!C67="D2"</formula>
    </cfRule>
    <cfRule type="expression" priority="869" dxfId="10">
      <formula>Datos!C67="D3"</formula>
    </cfRule>
    <cfRule type="expression" priority="870" dxfId="11">
      <formula>Datos!C67="D4"</formula>
    </cfRule>
    <cfRule type="expression" priority="871" dxfId="12">
      <formula>Datos!C67="MIX"</formula>
    </cfRule>
  </conditionalFormatting>
  <conditionalFormatting sqref="I6">
    <cfRule type="expression" priority="872" dxfId="0">
      <formula>Datos!C68="C1"</formula>
    </cfRule>
    <cfRule type="expression" priority="873" dxfId="1">
      <formula>Datos!C68="C2"</formula>
    </cfRule>
    <cfRule type="expression" priority="874" dxfId="2">
      <formula>Datos!C68="C3"</formula>
    </cfRule>
    <cfRule type="expression" priority="875" dxfId="3">
      <formula>Datos!C68="C4"</formula>
    </cfRule>
    <cfRule type="expression" priority="876" dxfId="4">
      <formula>Datos!C68="M1"</formula>
    </cfRule>
    <cfRule type="expression" priority="877" dxfId="5">
      <formula>Datos!C68="M2"</formula>
    </cfRule>
    <cfRule type="expression" priority="878" dxfId="6">
      <formula>Datos!C68="M3"</formula>
    </cfRule>
    <cfRule type="expression" priority="879" dxfId="7">
      <formula>Datos!C68="M4"</formula>
    </cfRule>
    <cfRule type="expression" priority="880" dxfId="8">
      <formula>Datos!C68="D1"</formula>
    </cfRule>
    <cfRule type="expression" priority="881" dxfId="9">
      <formula>Datos!C68="D2"</formula>
    </cfRule>
    <cfRule type="expression" priority="882" dxfId="10">
      <formula>Datos!C68="D3"</formula>
    </cfRule>
    <cfRule type="expression" priority="883" dxfId="11">
      <formula>Datos!C68="D4"</formula>
    </cfRule>
    <cfRule type="expression" priority="884" dxfId="12">
      <formula>Datos!C68="MIX"</formula>
    </cfRule>
  </conditionalFormatting>
  <conditionalFormatting sqref="J6">
    <cfRule type="expression" priority="885" dxfId="0">
      <formula>Datos!C69="C1"</formula>
    </cfRule>
    <cfRule type="expression" priority="886" dxfId="1">
      <formula>Datos!C69="C2"</formula>
    </cfRule>
    <cfRule type="expression" priority="887" dxfId="2">
      <formula>Datos!C69="C3"</formula>
    </cfRule>
    <cfRule type="expression" priority="888" dxfId="3">
      <formula>Datos!C69="C4"</formula>
    </cfRule>
    <cfRule type="expression" priority="889" dxfId="4">
      <formula>Datos!C69="M1"</formula>
    </cfRule>
    <cfRule type="expression" priority="890" dxfId="5">
      <formula>Datos!C69="M2"</formula>
    </cfRule>
    <cfRule type="expression" priority="891" dxfId="6">
      <formula>Datos!C69="M3"</formula>
    </cfRule>
    <cfRule type="expression" priority="892" dxfId="7">
      <formula>Datos!C69="M4"</formula>
    </cfRule>
    <cfRule type="expression" priority="893" dxfId="8">
      <formula>Datos!C69="D1"</formula>
    </cfRule>
    <cfRule type="expression" priority="894" dxfId="9">
      <formula>Datos!C69="D2"</formula>
    </cfRule>
    <cfRule type="expression" priority="895" dxfId="10">
      <formula>Datos!C69="D3"</formula>
    </cfRule>
    <cfRule type="expression" priority="896" dxfId="11">
      <formula>Datos!C69="D4"</formula>
    </cfRule>
    <cfRule type="expression" priority="897" dxfId="12">
      <formula>Datos!C69="MIX"</formula>
    </cfRule>
  </conditionalFormatting>
  <conditionalFormatting sqref="K6">
    <cfRule type="expression" priority="898" dxfId="0">
      <formula>Datos!C70="C1"</formula>
    </cfRule>
    <cfRule type="expression" priority="899" dxfId="1">
      <formula>Datos!C70="C2"</formula>
    </cfRule>
    <cfRule type="expression" priority="900" dxfId="2">
      <formula>Datos!C70="C3"</formula>
    </cfRule>
    <cfRule type="expression" priority="901" dxfId="3">
      <formula>Datos!C70="C4"</formula>
    </cfRule>
    <cfRule type="expression" priority="902" dxfId="4">
      <formula>Datos!C70="M1"</formula>
    </cfRule>
    <cfRule type="expression" priority="903" dxfId="5">
      <formula>Datos!C70="M2"</formula>
    </cfRule>
    <cfRule type="expression" priority="904" dxfId="6">
      <formula>Datos!C70="M3"</formula>
    </cfRule>
    <cfRule type="expression" priority="905" dxfId="7">
      <formula>Datos!C70="M4"</formula>
    </cfRule>
    <cfRule type="expression" priority="906" dxfId="8">
      <formula>Datos!C70="D1"</formula>
    </cfRule>
    <cfRule type="expression" priority="907" dxfId="9">
      <formula>Datos!C70="D2"</formula>
    </cfRule>
    <cfRule type="expression" priority="908" dxfId="10">
      <formula>Datos!C70="D3"</formula>
    </cfRule>
    <cfRule type="expression" priority="909" dxfId="11">
      <formula>Datos!C70="D4"</formula>
    </cfRule>
    <cfRule type="expression" priority="910" dxfId="12">
      <formula>Datos!C70="MIX"</formula>
    </cfRule>
  </conditionalFormatting>
  <conditionalFormatting sqref="L6">
    <cfRule type="expression" priority="911" dxfId="0">
      <formula>Datos!C71="C1"</formula>
    </cfRule>
    <cfRule type="expression" priority="912" dxfId="1">
      <formula>Datos!C71="C2"</formula>
    </cfRule>
    <cfRule type="expression" priority="913" dxfId="2">
      <formula>Datos!C71="C3"</formula>
    </cfRule>
    <cfRule type="expression" priority="914" dxfId="3">
      <formula>Datos!C71="C4"</formula>
    </cfRule>
    <cfRule type="expression" priority="915" dxfId="4">
      <formula>Datos!C71="M1"</formula>
    </cfRule>
    <cfRule type="expression" priority="916" dxfId="5">
      <formula>Datos!C71="M2"</formula>
    </cfRule>
    <cfRule type="expression" priority="917" dxfId="6">
      <formula>Datos!C71="M3"</formula>
    </cfRule>
    <cfRule type="expression" priority="918" dxfId="7">
      <formula>Datos!C71="M4"</formula>
    </cfRule>
    <cfRule type="expression" priority="919" dxfId="8">
      <formula>Datos!C71="D1"</formula>
    </cfRule>
    <cfRule type="expression" priority="920" dxfId="9">
      <formula>Datos!C71="D2"</formula>
    </cfRule>
    <cfRule type="expression" priority="921" dxfId="10">
      <formula>Datos!C71="D3"</formula>
    </cfRule>
    <cfRule type="expression" priority="922" dxfId="11">
      <formula>Datos!C71="D4"</formula>
    </cfRule>
    <cfRule type="expression" priority="923" dxfId="12">
      <formula>Datos!C71="MIX"</formula>
    </cfRule>
  </conditionalFormatting>
  <conditionalFormatting sqref="M6">
    <cfRule type="expression" priority="924" dxfId="0">
      <formula>Datos!C72="C1"</formula>
    </cfRule>
    <cfRule type="expression" priority="925" dxfId="1">
      <formula>Datos!C72="C2"</formula>
    </cfRule>
    <cfRule type="expression" priority="926" dxfId="2">
      <formula>Datos!C72="C3"</formula>
    </cfRule>
    <cfRule type="expression" priority="927" dxfId="3">
      <formula>Datos!C72="C4"</formula>
    </cfRule>
    <cfRule type="expression" priority="928" dxfId="4">
      <formula>Datos!C72="M1"</formula>
    </cfRule>
    <cfRule type="expression" priority="929" dxfId="5">
      <formula>Datos!C72="M2"</formula>
    </cfRule>
    <cfRule type="expression" priority="930" dxfId="6">
      <formula>Datos!C72="M3"</formula>
    </cfRule>
    <cfRule type="expression" priority="931" dxfId="7">
      <formula>Datos!C72="M4"</formula>
    </cfRule>
    <cfRule type="expression" priority="932" dxfId="8">
      <formula>Datos!C72="D1"</formula>
    </cfRule>
    <cfRule type="expression" priority="933" dxfId="9">
      <formula>Datos!C72="D2"</formula>
    </cfRule>
    <cfRule type="expression" priority="934" dxfId="10">
      <formula>Datos!C72="D3"</formula>
    </cfRule>
    <cfRule type="expression" priority="935" dxfId="11">
      <formula>Datos!C72="D4"</formula>
    </cfRule>
    <cfRule type="expression" priority="936" dxfId="12">
      <formula>Datos!C72="MIX"</formula>
    </cfRule>
  </conditionalFormatting>
  <conditionalFormatting sqref="N6">
    <cfRule type="expression" priority="937" dxfId="0">
      <formula>Datos!C73="C1"</formula>
    </cfRule>
    <cfRule type="expression" priority="938" dxfId="1">
      <formula>Datos!C73="C2"</formula>
    </cfRule>
    <cfRule type="expression" priority="939" dxfId="2">
      <formula>Datos!C73="C3"</formula>
    </cfRule>
    <cfRule type="expression" priority="940" dxfId="3">
      <formula>Datos!C73="C4"</formula>
    </cfRule>
    <cfRule type="expression" priority="941" dxfId="4">
      <formula>Datos!C73="M1"</formula>
    </cfRule>
    <cfRule type="expression" priority="942" dxfId="5">
      <formula>Datos!C73="M2"</formula>
    </cfRule>
    <cfRule type="expression" priority="943" dxfId="6">
      <formula>Datos!C73="M3"</formula>
    </cfRule>
    <cfRule type="expression" priority="944" dxfId="7">
      <formula>Datos!C73="M4"</formula>
    </cfRule>
    <cfRule type="expression" priority="945" dxfId="8">
      <formula>Datos!C73="D1"</formula>
    </cfRule>
    <cfRule type="expression" priority="946" dxfId="9">
      <formula>Datos!C73="D2"</formula>
    </cfRule>
    <cfRule type="expression" priority="947" dxfId="10">
      <formula>Datos!C73="D3"</formula>
    </cfRule>
    <cfRule type="expression" priority="948" dxfId="11">
      <formula>Datos!C73="D4"</formula>
    </cfRule>
    <cfRule type="expression" priority="949" dxfId="12">
      <formula>Datos!C73="MIX"</formula>
    </cfRule>
  </conditionalFormatting>
  <conditionalFormatting sqref="O6">
    <cfRule type="expression" priority="950" dxfId="0">
      <formula>Datos!C74="C1"</formula>
    </cfRule>
    <cfRule type="expression" priority="951" dxfId="1">
      <formula>Datos!C74="C2"</formula>
    </cfRule>
    <cfRule type="expression" priority="952" dxfId="2">
      <formula>Datos!C74="C3"</formula>
    </cfRule>
    <cfRule type="expression" priority="953" dxfId="3">
      <formula>Datos!C74="C4"</formula>
    </cfRule>
    <cfRule type="expression" priority="954" dxfId="4">
      <formula>Datos!C74="M1"</formula>
    </cfRule>
    <cfRule type="expression" priority="955" dxfId="5">
      <formula>Datos!C74="M2"</formula>
    </cfRule>
    <cfRule type="expression" priority="956" dxfId="6">
      <formula>Datos!C74="M3"</formula>
    </cfRule>
    <cfRule type="expression" priority="957" dxfId="7">
      <formula>Datos!C74="M4"</formula>
    </cfRule>
    <cfRule type="expression" priority="958" dxfId="8">
      <formula>Datos!C74="D1"</formula>
    </cfRule>
    <cfRule type="expression" priority="959" dxfId="9">
      <formula>Datos!C74="D2"</formula>
    </cfRule>
    <cfRule type="expression" priority="960" dxfId="10">
      <formula>Datos!C74="D3"</formula>
    </cfRule>
    <cfRule type="expression" priority="961" dxfId="11">
      <formula>Datos!C74="D4"</formula>
    </cfRule>
    <cfRule type="expression" priority="962" dxfId="12">
      <formula>Datos!C74="MIX"</formula>
    </cfRule>
  </conditionalFormatting>
  <conditionalFormatting sqref="P6">
    <cfRule type="expression" priority="963" dxfId="0">
      <formula>Datos!C75="C1"</formula>
    </cfRule>
    <cfRule type="expression" priority="964" dxfId="1">
      <formula>Datos!C75="C2"</formula>
    </cfRule>
    <cfRule type="expression" priority="965" dxfId="2">
      <formula>Datos!C75="C3"</formula>
    </cfRule>
    <cfRule type="expression" priority="966" dxfId="3">
      <formula>Datos!C75="C4"</formula>
    </cfRule>
    <cfRule type="expression" priority="967" dxfId="4">
      <formula>Datos!C75="M1"</formula>
    </cfRule>
    <cfRule type="expression" priority="968" dxfId="5">
      <formula>Datos!C75="M2"</formula>
    </cfRule>
    <cfRule type="expression" priority="969" dxfId="6">
      <formula>Datos!C75="M3"</formula>
    </cfRule>
    <cfRule type="expression" priority="970" dxfId="7">
      <formula>Datos!C75="M4"</formula>
    </cfRule>
    <cfRule type="expression" priority="971" dxfId="8">
      <formula>Datos!C75="D1"</formula>
    </cfRule>
    <cfRule type="expression" priority="972" dxfId="9">
      <formula>Datos!C75="D2"</formula>
    </cfRule>
    <cfRule type="expression" priority="973" dxfId="10">
      <formula>Datos!C75="D3"</formula>
    </cfRule>
    <cfRule type="expression" priority="974" dxfId="11">
      <formula>Datos!C75="D4"</formula>
    </cfRule>
    <cfRule type="expression" priority="975" dxfId="12">
      <formula>Datos!C75="MIX"</formula>
    </cfRule>
  </conditionalFormatting>
  <conditionalFormatting sqref="B7">
    <cfRule type="expression" priority="976" dxfId="0">
      <formula>Datos!C76="C1"</formula>
    </cfRule>
    <cfRule type="expression" priority="977" dxfId="1">
      <formula>Datos!C76="C2"</formula>
    </cfRule>
    <cfRule type="expression" priority="978" dxfId="2">
      <formula>Datos!C76="C3"</formula>
    </cfRule>
    <cfRule type="expression" priority="979" dxfId="3">
      <formula>Datos!C76="C4"</formula>
    </cfRule>
    <cfRule type="expression" priority="980" dxfId="4">
      <formula>Datos!C76="M1"</formula>
    </cfRule>
    <cfRule type="expression" priority="981" dxfId="5">
      <formula>Datos!C76="M2"</formula>
    </cfRule>
    <cfRule type="expression" priority="982" dxfId="6">
      <formula>Datos!C76="M3"</formula>
    </cfRule>
    <cfRule type="expression" priority="983" dxfId="7">
      <formula>Datos!C76="M4"</formula>
    </cfRule>
    <cfRule type="expression" priority="984" dxfId="8">
      <formula>Datos!C76="D1"</formula>
    </cfRule>
    <cfRule type="expression" priority="985" dxfId="9">
      <formula>Datos!C76="D2"</formula>
    </cfRule>
    <cfRule type="expression" priority="986" dxfId="10">
      <formula>Datos!C76="D3"</formula>
    </cfRule>
    <cfRule type="expression" priority="987" dxfId="11">
      <formula>Datos!C76="D4"</formula>
    </cfRule>
    <cfRule type="expression" priority="988" dxfId="12">
      <formula>Datos!C76="MIX"</formula>
    </cfRule>
  </conditionalFormatting>
  <conditionalFormatting sqref="C7">
    <cfRule type="expression" priority="989" dxfId="0">
      <formula>Datos!C77="C1"</formula>
    </cfRule>
    <cfRule type="expression" priority="990" dxfId="1">
      <formula>Datos!C77="C2"</formula>
    </cfRule>
    <cfRule type="expression" priority="991" dxfId="2">
      <formula>Datos!C77="C3"</formula>
    </cfRule>
    <cfRule type="expression" priority="992" dxfId="3">
      <formula>Datos!C77="C4"</formula>
    </cfRule>
    <cfRule type="expression" priority="993" dxfId="4">
      <formula>Datos!C77="M1"</formula>
    </cfRule>
    <cfRule type="expression" priority="994" dxfId="5">
      <formula>Datos!C77="M2"</formula>
    </cfRule>
    <cfRule type="expression" priority="995" dxfId="6">
      <formula>Datos!C77="M3"</formula>
    </cfRule>
    <cfRule type="expression" priority="996" dxfId="7">
      <formula>Datos!C77="M4"</formula>
    </cfRule>
    <cfRule type="expression" priority="997" dxfId="8">
      <formula>Datos!C77="D1"</formula>
    </cfRule>
    <cfRule type="expression" priority="998" dxfId="9">
      <formula>Datos!C77="D2"</formula>
    </cfRule>
    <cfRule type="expression" priority="999" dxfId="10">
      <formula>Datos!C77="D3"</formula>
    </cfRule>
    <cfRule type="expression" priority="1000" dxfId="11">
      <formula>Datos!C77="D4"</formula>
    </cfRule>
    <cfRule type="expression" priority="1001" dxfId="12">
      <formula>Datos!C77="MIX"</formula>
    </cfRule>
  </conditionalFormatting>
  <conditionalFormatting sqref="D7">
    <cfRule type="expression" priority="1002" dxfId="0">
      <formula>Datos!C78="C1"</formula>
    </cfRule>
    <cfRule type="expression" priority="1003" dxfId="1">
      <formula>Datos!C78="C2"</formula>
    </cfRule>
    <cfRule type="expression" priority="1004" dxfId="2">
      <formula>Datos!C78="C3"</formula>
    </cfRule>
    <cfRule type="expression" priority="1005" dxfId="3">
      <formula>Datos!C78="C4"</formula>
    </cfRule>
    <cfRule type="expression" priority="1006" dxfId="4">
      <formula>Datos!C78="M1"</formula>
    </cfRule>
    <cfRule type="expression" priority="1007" dxfId="5">
      <formula>Datos!C78="M2"</formula>
    </cfRule>
    <cfRule type="expression" priority="1008" dxfId="6">
      <formula>Datos!C78="M3"</formula>
    </cfRule>
    <cfRule type="expression" priority="1009" dxfId="7">
      <formula>Datos!C78="M4"</formula>
    </cfRule>
    <cfRule type="expression" priority="1010" dxfId="8">
      <formula>Datos!C78="D1"</formula>
    </cfRule>
    <cfRule type="expression" priority="1011" dxfId="9">
      <formula>Datos!C78="D2"</formula>
    </cfRule>
    <cfRule type="expression" priority="1012" dxfId="10">
      <formula>Datos!C78="D3"</formula>
    </cfRule>
    <cfRule type="expression" priority="1013" dxfId="11">
      <formula>Datos!C78="D4"</formula>
    </cfRule>
    <cfRule type="expression" priority="1014" dxfId="12">
      <formula>Datos!C78="MIX"</formula>
    </cfRule>
  </conditionalFormatting>
  <conditionalFormatting sqref="E7">
    <cfRule type="expression" priority="1015" dxfId="0">
      <formula>Datos!C79="C1"</formula>
    </cfRule>
    <cfRule type="expression" priority="1016" dxfId="1">
      <formula>Datos!C79="C2"</formula>
    </cfRule>
    <cfRule type="expression" priority="1017" dxfId="2">
      <formula>Datos!C79="C3"</formula>
    </cfRule>
    <cfRule type="expression" priority="1018" dxfId="3">
      <formula>Datos!C79="C4"</formula>
    </cfRule>
    <cfRule type="expression" priority="1019" dxfId="4">
      <formula>Datos!C79="M1"</formula>
    </cfRule>
    <cfRule type="expression" priority="1020" dxfId="5">
      <formula>Datos!C79="M2"</formula>
    </cfRule>
    <cfRule type="expression" priority="1021" dxfId="6">
      <formula>Datos!C79="M3"</formula>
    </cfRule>
    <cfRule type="expression" priority="1022" dxfId="7">
      <formula>Datos!C79="M4"</formula>
    </cfRule>
    <cfRule type="expression" priority="1023" dxfId="8">
      <formula>Datos!C79="D1"</formula>
    </cfRule>
    <cfRule type="expression" priority="1024" dxfId="9">
      <formula>Datos!C79="D2"</formula>
    </cfRule>
    <cfRule type="expression" priority="1025" dxfId="10">
      <formula>Datos!C79="D3"</formula>
    </cfRule>
    <cfRule type="expression" priority="1026" dxfId="11">
      <formula>Datos!C79="D4"</formula>
    </cfRule>
    <cfRule type="expression" priority="1027" dxfId="12">
      <formula>Datos!C79="MIX"</formula>
    </cfRule>
  </conditionalFormatting>
  <conditionalFormatting sqref="F7">
    <cfRule type="expression" priority="1028" dxfId="0">
      <formula>Datos!C80="C1"</formula>
    </cfRule>
    <cfRule type="expression" priority="1029" dxfId="1">
      <formula>Datos!C80="C2"</formula>
    </cfRule>
    <cfRule type="expression" priority="1030" dxfId="2">
      <formula>Datos!C80="C3"</formula>
    </cfRule>
    <cfRule type="expression" priority="1031" dxfId="3">
      <formula>Datos!C80="C4"</formula>
    </cfRule>
    <cfRule type="expression" priority="1032" dxfId="4">
      <formula>Datos!C80="M1"</formula>
    </cfRule>
    <cfRule type="expression" priority="1033" dxfId="5">
      <formula>Datos!C80="M2"</formula>
    </cfRule>
    <cfRule type="expression" priority="1034" dxfId="6">
      <formula>Datos!C80="M3"</formula>
    </cfRule>
    <cfRule type="expression" priority="1035" dxfId="7">
      <formula>Datos!C80="M4"</formula>
    </cfRule>
    <cfRule type="expression" priority="1036" dxfId="8">
      <formula>Datos!C80="D1"</formula>
    </cfRule>
    <cfRule type="expression" priority="1037" dxfId="9">
      <formula>Datos!C80="D2"</formula>
    </cfRule>
    <cfRule type="expression" priority="1038" dxfId="10">
      <formula>Datos!C80="D3"</formula>
    </cfRule>
    <cfRule type="expression" priority="1039" dxfId="11">
      <formula>Datos!C80="D4"</formula>
    </cfRule>
    <cfRule type="expression" priority="1040" dxfId="12">
      <formula>Datos!C80="MIX"</formula>
    </cfRule>
  </conditionalFormatting>
  <conditionalFormatting sqref="G7">
    <cfRule type="expression" priority="1041" dxfId="0">
      <formula>Datos!C81="C1"</formula>
    </cfRule>
    <cfRule type="expression" priority="1042" dxfId="1">
      <formula>Datos!C81="C2"</formula>
    </cfRule>
    <cfRule type="expression" priority="1043" dxfId="2">
      <formula>Datos!C81="C3"</formula>
    </cfRule>
    <cfRule type="expression" priority="1044" dxfId="3">
      <formula>Datos!C81="C4"</formula>
    </cfRule>
    <cfRule type="expression" priority="1045" dxfId="4">
      <formula>Datos!C81="M1"</formula>
    </cfRule>
    <cfRule type="expression" priority="1046" dxfId="5">
      <formula>Datos!C81="M2"</formula>
    </cfRule>
    <cfRule type="expression" priority="1047" dxfId="6">
      <formula>Datos!C81="M3"</formula>
    </cfRule>
    <cfRule type="expression" priority="1048" dxfId="7">
      <formula>Datos!C81="M4"</formula>
    </cfRule>
    <cfRule type="expression" priority="1049" dxfId="8">
      <formula>Datos!C81="D1"</formula>
    </cfRule>
    <cfRule type="expression" priority="1050" dxfId="9">
      <formula>Datos!C81="D2"</formula>
    </cfRule>
    <cfRule type="expression" priority="1051" dxfId="10">
      <formula>Datos!C81="D3"</formula>
    </cfRule>
    <cfRule type="expression" priority="1052" dxfId="11">
      <formula>Datos!C81="D4"</formula>
    </cfRule>
    <cfRule type="expression" priority="1053" dxfId="12">
      <formula>Datos!C81="MIX"</formula>
    </cfRule>
  </conditionalFormatting>
  <conditionalFormatting sqref="H7">
    <cfRule type="expression" priority="1054" dxfId="0">
      <formula>Datos!C82="C1"</formula>
    </cfRule>
    <cfRule type="expression" priority="1055" dxfId="1">
      <formula>Datos!C82="C2"</formula>
    </cfRule>
    <cfRule type="expression" priority="1056" dxfId="2">
      <formula>Datos!C82="C3"</formula>
    </cfRule>
    <cfRule type="expression" priority="1057" dxfId="3">
      <formula>Datos!C82="C4"</formula>
    </cfRule>
    <cfRule type="expression" priority="1058" dxfId="4">
      <formula>Datos!C82="M1"</formula>
    </cfRule>
    <cfRule type="expression" priority="1059" dxfId="5">
      <formula>Datos!C82="M2"</formula>
    </cfRule>
    <cfRule type="expression" priority="1060" dxfId="6">
      <formula>Datos!C82="M3"</formula>
    </cfRule>
    <cfRule type="expression" priority="1061" dxfId="7">
      <formula>Datos!C82="M4"</formula>
    </cfRule>
    <cfRule type="expression" priority="1062" dxfId="8">
      <formula>Datos!C82="D1"</formula>
    </cfRule>
    <cfRule type="expression" priority="1063" dxfId="9">
      <formula>Datos!C82="D2"</formula>
    </cfRule>
    <cfRule type="expression" priority="1064" dxfId="10">
      <formula>Datos!C82="D3"</formula>
    </cfRule>
    <cfRule type="expression" priority="1065" dxfId="11">
      <formula>Datos!C82="D4"</formula>
    </cfRule>
    <cfRule type="expression" priority="1066" dxfId="12">
      <formula>Datos!C82="MIX"</formula>
    </cfRule>
  </conditionalFormatting>
  <conditionalFormatting sqref="I7">
    <cfRule type="expression" priority="1067" dxfId="0">
      <formula>Datos!C83="C1"</formula>
    </cfRule>
    <cfRule type="expression" priority="1068" dxfId="1">
      <formula>Datos!C83="C2"</formula>
    </cfRule>
    <cfRule type="expression" priority="1069" dxfId="2">
      <formula>Datos!C83="C3"</formula>
    </cfRule>
    <cfRule type="expression" priority="1070" dxfId="3">
      <formula>Datos!C83="C4"</formula>
    </cfRule>
    <cfRule type="expression" priority="1071" dxfId="4">
      <formula>Datos!C83="M1"</formula>
    </cfRule>
    <cfRule type="expression" priority="1072" dxfId="5">
      <formula>Datos!C83="M2"</formula>
    </cfRule>
    <cfRule type="expression" priority="1073" dxfId="6">
      <formula>Datos!C83="M3"</formula>
    </cfRule>
    <cfRule type="expression" priority="1074" dxfId="7">
      <formula>Datos!C83="M4"</formula>
    </cfRule>
    <cfRule type="expression" priority="1075" dxfId="8">
      <formula>Datos!C83="D1"</formula>
    </cfRule>
    <cfRule type="expression" priority="1076" dxfId="9">
      <formula>Datos!C83="D2"</formula>
    </cfRule>
    <cfRule type="expression" priority="1077" dxfId="10">
      <formula>Datos!C83="D3"</formula>
    </cfRule>
    <cfRule type="expression" priority="1078" dxfId="11">
      <formula>Datos!C83="D4"</formula>
    </cfRule>
    <cfRule type="expression" priority="1079" dxfId="12">
      <formula>Datos!C83="MIX"</formula>
    </cfRule>
  </conditionalFormatting>
  <conditionalFormatting sqref="J7">
    <cfRule type="expression" priority="1080" dxfId="0">
      <formula>Datos!C84="C1"</formula>
    </cfRule>
    <cfRule type="expression" priority="1081" dxfId="1">
      <formula>Datos!C84="C2"</formula>
    </cfRule>
    <cfRule type="expression" priority="1082" dxfId="2">
      <formula>Datos!C84="C3"</formula>
    </cfRule>
    <cfRule type="expression" priority="1083" dxfId="3">
      <formula>Datos!C84="C4"</formula>
    </cfRule>
    <cfRule type="expression" priority="1084" dxfId="4">
      <formula>Datos!C84="M1"</formula>
    </cfRule>
    <cfRule type="expression" priority="1085" dxfId="5">
      <formula>Datos!C84="M2"</formula>
    </cfRule>
    <cfRule type="expression" priority="1086" dxfId="6">
      <formula>Datos!C84="M3"</formula>
    </cfRule>
    <cfRule type="expression" priority="1087" dxfId="7">
      <formula>Datos!C84="M4"</formula>
    </cfRule>
    <cfRule type="expression" priority="1088" dxfId="8">
      <formula>Datos!C84="D1"</formula>
    </cfRule>
    <cfRule type="expression" priority="1089" dxfId="9">
      <formula>Datos!C84="D2"</formula>
    </cfRule>
    <cfRule type="expression" priority="1090" dxfId="10">
      <formula>Datos!C84="D3"</formula>
    </cfRule>
    <cfRule type="expression" priority="1091" dxfId="11">
      <formula>Datos!C84="D4"</formula>
    </cfRule>
    <cfRule type="expression" priority="1092" dxfId="12">
      <formula>Datos!C84="MIX"</formula>
    </cfRule>
  </conditionalFormatting>
  <conditionalFormatting sqref="K7">
    <cfRule type="expression" priority="1093" dxfId="0">
      <formula>Datos!C85="C1"</formula>
    </cfRule>
    <cfRule type="expression" priority="1094" dxfId="1">
      <formula>Datos!C85="C2"</formula>
    </cfRule>
    <cfRule type="expression" priority="1095" dxfId="2">
      <formula>Datos!C85="C3"</formula>
    </cfRule>
    <cfRule type="expression" priority="1096" dxfId="3">
      <formula>Datos!C85="C4"</formula>
    </cfRule>
    <cfRule type="expression" priority="1097" dxfId="4">
      <formula>Datos!C85="M1"</formula>
    </cfRule>
    <cfRule type="expression" priority="1098" dxfId="5">
      <formula>Datos!C85="M2"</formula>
    </cfRule>
    <cfRule type="expression" priority="1099" dxfId="6">
      <formula>Datos!C85="M3"</formula>
    </cfRule>
    <cfRule type="expression" priority="1100" dxfId="7">
      <formula>Datos!C85="M4"</formula>
    </cfRule>
    <cfRule type="expression" priority="1101" dxfId="8">
      <formula>Datos!C85="D1"</formula>
    </cfRule>
    <cfRule type="expression" priority="1102" dxfId="9">
      <formula>Datos!C85="D2"</formula>
    </cfRule>
    <cfRule type="expression" priority="1103" dxfId="10">
      <formula>Datos!C85="D3"</formula>
    </cfRule>
    <cfRule type="expression" priority="1104" dxfId="11">
      <formula>Datos!C85="D4"</formula>
    </cfRule>
    <cfRule type="expression" priority="1105" dxfId="12">
      <formula>Datos!C85="MIX"</formula>
    </cfRule>
  </conditionalFormatting>
  <conditionalFormatting sqref="L7">
    <cfRule type="expression" priority="1106" dxfId="0">
      <formula>Datos!C86="C1"</formula>
    </cfRule>
    <cfRule type="expression" priority="1107" dxfId="1">
      <formula>Datos!C86="C2"</formula>
    </cfRule>
    <cfRule type="expression" priority="1108" dxfId="2">
      <formula>Datos!C86="C3"</formula>
    </cfRule>
    <cfRule type="expression" priority="1109" dxfId="3">
      <formula>Datos!C86="C4"</formula>
    </cfRule>
    <cfRule type="expression" priority="1110" dxfId="4">
      <formula>Datos!C86="M1"</formula>
    </cfRule>
    <cfRule type="expression" priority="1111" dxfId="5">
      <formula>Datos!C86="M2"</formula>
    </cfRule>
    <cfRule type="expression" priority="1112" dxfId="6">
      <formula>Datos!C86="M3"</formula>
    </cfRule>
    <cfRule type="expression" priority="1113" dxfId="7">
      <formula>Datos!C86="M4"</formula>
    </cfRule>
    <cfRule type="expression" priority="1114" dxfId="8">
      <formula>Datos!C86="D1"</formula>
    </cfRule>
    <cfRule type="expression" priority="1115" dxfId="9">
      <formula>Datos!C86="D2"</formula>
    </cfRule>
    <cfRule type="expression" priority="1116" dxfId="10">
      <formula>Datos!C86="D3"</formula>
    </cfRule>
    <cfRule type="expression" priority="1117" dxfId="11">
      <formula>Datos!C86="D4"</formula>
    </cfRule>
    <cfRule type="expression" priority="1118" dxfId="12">
      <formula>Datos!C86="MIX"</formula>
    </cfRule>
  </conditionalFormatting>
  <conditionalFormatting sqref="M7">
    <cfRule type="expression" priority="1119" dxfId="0">
      <formula>Datos!C87="C1"</formula>
    </cfRule>
    <cfRule type="expression" priority="1120" dxfId="1">
      <formula>Datos!C87="C2"</formula>
    </cfRule>
    <cfRule type="expression" priority="1121" dxfId="2">
      <formula>Datos!C87="C3"</formula>
    </cfRule>
    <cfRule type="expression" priority="1122" dxfId="3">
      <formula>Datos!C87="C4"</formula>
    </cfRule>
    <cfRule type="expression" priority="1123" dxfId="4">
      <formula>Datos!C87="M1"</formula>
    </cfRule>
    <cfRule type="expression" priority="1124" dxfId="5">
      <formula>Datos!C87="M2"</formula>
    </cfRule>
    <cfRule type="expression" priority="1125" dxfId="6">
      <formula>Datos!C87="M3"</formula>
    </cfRule>
    <cfRule type="expression" priority="1126" dxfId="7">
      <formula>Datos!C87="M4"</formula>
    </cfRule>
    <cfRule type="expression" priority="1127" dxfId="8">
      <formula>Datos!C87="D1"</formula>
    </cfRule>
    <cfRule type="expression" priority="1128" dxfId="9">
      <formula>Datos!C87="D2"</formula>
    </cfRule>
    <cfRule type="expression" priority="1129" dxfId="10">
      <formula>Datos!C87="D3"</formula>
    </cfRule>
    <cfRule type="expression" priority="1130" dxfId="11">
      <formula>Datos!C87="D4"</formula>
    </cfRule>
    <cfRule type="expression" priority="1131" dxfId="12">
      <formula>Datos!C87="MIX"</formula>
    </cfRule>
  </conditionalFormatting>
  <conditionalFormatting sqref="N7">
    <cfRule type="expression" priority="1132" dxfId="0">
      <formula>Datos!C88="C1"</formula>
    </cfRule>
    <cfRule type="expression" priority="1133" dxfId="1">
      <formula>Datos!C88="C2"</formula>
    </cfRule>
    <cfRule type="expression" priority="1134" dxfId="2">
      <formula>Datos!C88="C3"</formula>
    </cfRule>
    <cfRule type="expression" priority="1135" dxfId="3">
      <formula>Datos!C88="C4"</formula>
    </cfRule>
    <cfRule type="expression" priority="1136" dxfId="4">
      <formula>Datos!C88="M1"</formula>
    </cfRule>
    <cfRule type="expression" priority="1137" dxfId="5">
      <formula>Datos!C88="M2"</formula>
    </cfRule>
    <cfRule type="expression" priority="1138" dxfId="6">
      <formula>Datos!C88="M3"</formula>
    </cfRule>
    <cfRule type="expression" priority="1139" dxfId="7">
      <formula>Datos!C88="M4"</formula>
    </cfRule>
    <cfRule type="expression" priority="1140" dxfId="8">
      <formula>Datos!C88="D1"</formula>
    </cfRule>
    <cfRule type="expression" priority="1141" dxfId="9">
      <formula>Datos!C88="D2"</formula>
    </cfRule>
    <cfRule type="expression" priority="1142" dxfId="10">
      <formula>Datos!C88="D3"</formula>
    </cfRule>
    <cfRule type="expression" priority="1143" dxfId="11">
      <formula>Datos!C88="D4"</formula>
    </cfRule>
    <cfRule type="expression" priority="1144" dxfId="12">
      <formula>Datos!C88="MIX"</formula>
    </cfRule>
  </conditionalFormatting>
  <conditionalFormatting sqref="O7">
    <cfRule type="expression" priority="1145" dxfId="0">
      <formula>Datos!C89="C1"</formula>
    </cfRule>
    <cfRule type="expression" priority="1146" dxfId="1">
      <formula>Datos!C89="C2"</formula>
    </cfRule>
    <cfRule type="expression" priority="1147" dxfId="2">
      <formula>Datos!C89="C3"</formula>
    </cfRule>
    <cfRule type="expression" priority="1148" dxfId="3">
      <formula>Datos!C89="C4"</formula>
    </cfRule>
    <cfRule type="expression" priority="1149" dxfId="4">
      <formula>Datos!C89="M1"</formula>
    </cfRule>
    <cfRule type="expression" priority="1150" dxfId="5">
      <formula>Datos!C89="M2"</formula>
    </cfRule>
    <cfRule type="expression" priority="1151" dxfId="6">
      <formula>Datos!C89="M3"</formula>
    </cfRule>
    <cfRule type="expression" priority="1152" dxfId="7">
      <formula>Datos!C89="M4"</formula>
    </cfRule>
    <cfRule type="expression" priority="1153" dxfId="8">
      <formula>Datos!C89="D1"</formula>
    </cfRule>
    <cfRule type="expression" priority="1154" dxfId="9">
      <formula>Datos!C89="D2"</formula>
    </cfRule>
    <cfRule type="expression" priority="1155" dxfId="10">
      <formula>Datos!C89="D3"</formula>
    </cfRule>
    <cfRule type="expression" priority="1156" dxfId="11">
      <formula>Datos!C89="D4"</formula>
    </cfRule>
    <cfRule type="expression" priority="1157" dxfId="12">
      <formula>Datos!C89="MIX"</formula>
    </cfRule>
  </conditionalFormatting>
  <conditionalFormatting sqref="P7">
    <cfRule type="expression" priority="1158" dxfId="0">
      <formula>Datos!C90="C1"</formula>
    </cfRule>
    <cfRule type="expression" priority="1159" dxfId="1">
      <formula>Datos!C90="C2"</formula>
    </cfRule>
    <cfRule type="expression" priority="1160" dxfId="2">
      <formula>Datos!C90="C3"</formula>
    </cfRule>
    <cfRule type="expression" priority="1161" dxfId="3">
      <formula>Datos!C90="C4"</formula>
    </cfRule>
    <cfRule type="expression" priority="1162" dxfId="4">
      <formula>Datos!C90="M1"</formula>
    </cfRule>
    <cfRule type="expression" priority="1163" dxfId="5">
      <formula>Datos!C90="M2"</formula>
    </cfRule>
    <cfRule type="expression" priority="1164" dxfId="6">
      <formula>Datos!C90="M3"</formula>
    </cfRule>
    <cfRule type="expression" priority="1165" dxfId="7">
      <formula>Datos!C90="M4"</formula>
    </cfRule>
    <cfRule type="expression" priority="1166" dxfId="8">
      <formula>Datos!C90="D1"</formula>
    </cfRule>
    <cfRule type="expression" priority="1167" dxfId="9">
      <formula>Datos!C90="D2"</formula>
    </cfRule>
    <cfRule type="expression" priority="1168" dxfId="10">
      <formula>Datos!C90="D3"</formula>
    </cfRule>
    <cfRule type="expression" priority="1169" dxfId="11">
      <formula>Datos!C90="D4"</formula>
    </cfRule>
    <cfRule type="expression" priority="1170" dxfId="12">
      <formula>Datos!C90="MIX"</formula>
    </cfRule>
  </conditionalFormatting>
  <conditionalFormatting sqref="B10">
    <cfRule type="expression" priority="1171" dxfId="0">
      <formula>Datos!C91="C1"</formula>
    </cfRule>
    <cfRule type="expression" priority="1172" dxfId="1">
      <formula>Datos!C91="C2"</formula>
    </cfRule>
    <cfRule type="expression" priority="1173" dxfId="2">
      <formula>Datos!C91="C3"</formula>
    </cfRule>
    <cfRule type="expression" priority="1174" dxfId="3">
      <formula>Datos!C91="C4"</formula>
    </cfRule>
    <cfRule type="expression" priority="1175" dxfId="4">
      <formula>Datos!C91="M1"</formula>
    </cfRule>
    <cfRule type="expression" priority="1176" dxfId="5">
      <formula>Datos!C91="M2"</formula>
    </cfRule>
    <cfRule type="expression" priority="1177" dxfId="6">
      <formula>Datos!C91="M3"</formula>
    </cfRule>
    <cfRule type="expression" priority="1178" dxfId="7">
      <formula>Datos!C91="M4"</formula>
    </cfRule>
    <cfRule type="expression" priority="1179" dxfId="8">
      <formula>Datos!C91="D1"</formula>
    </cfRule>
    <cfRule type="expression" priority="1180" dxfId="9">
      <formula>Datos!C91="D2"</formula>
    </cfRule>
    <cfRule type="expression" priority="1181" dxfId="10">
      <formula>Datos!C91="D3"</formula>
    </cfRule>
    <cfRule type="expression" priority="1182" dxfId="11">
      <formula>Datos!C91="D4"</formula>
    </cfRule>
    <cfRule type="expression" priority="1183" dxfId="12">
      <formula>Datos!C91="MIX"</formula>
    </cfRule>
  </conditionalFormatting>
  <conditionalFormatting sqref="C10">
    <cfRule type="expression" priority="1184" dxfId="0">
      <formula>Datos!C92="C1"</formula>
    </cfRule>
    <cfRule type="expression" priority="1185" dxfId="1">
      <formula>Datos!C92="C2"</formula>
    </cfRule>
    <cfRule type="expression" priority="1186" dxfId="2">
      <formula>Datos!C92="C3"</formula>
    </cfRule>
    <cfRule type="expression" priority="1187" dxfId="3">
      <formula>Datos!C92="C4"</formula>
    </cfRule>
    <cfRule type="expression" priority="1188" dxfId="4">
      <formula>Datos!C92="M1"</formula>
    </cfRule>
    <cfRule type="expression" priority="1189" dxfId="5">
      <formula>Datos!C92="M2"</formula>
    </cfRule>
    <cfRule type="expression" priority="1190" dxfId="6">
      <formula>Datos!C92="M3"</formula>
    </cfRule>
    <cfRule type="expression" priority="1191" dxfId="7">
      <formula>Datos!C92="M4"</formula>
    </cfRule>
    <cfRule type="expression" priority="1192" dxfId="8">
      <formula>Datos!C92="D1"</formula>
    </cfRule>
    <cfRule type="expression" priority="1193" dxfId="9">
      <formula>Datos!C92="D2"</formula>
    </cfRule>
    <cfRule type="expression" priority="1194" dxfId="10">
      <formula>Datos!C92="D3"</formula>
    </cfRule>
    <cfRule type="expression" priority="1195" dxfId="11">
      <formula>Datos!C92="D4"</formula>
    </cfRule>
    <cfRule type="expression" priority="1196" dxfId="12">
      <formula>Datos!C92="MIX"</formula>
    </cfRule>
  </conditionalFormatting>
  <conditionalFormatting sqref="D10">
    <cfRule type="expression" priority="1197" dxfId="0">
      <formula>Datos!C93="C1"</formula>
    </cfRule>
    <cfRule type="expression" priority="1198" dxfId="1">
      <formula>Datos!C93="C2"</formula>
    </cfRule>
    <cfRule type="expression" priority="1199" dxfId="2">
      <formula>Datos!C93="C3"</formula>
    </cfRule>
    <cfRule type="expression" priority="1200" dxfId="3">
      <formula>Datos!C93="C4"</formula>
    </cfRule>
    <cfRule type="expression" priority="1201" dxfId="4">
      <formula>Datos!C93="M1"</formula>
    </cfRule>
    <cfRule type="expression" priority="1202" dxfId="5">
      <formula>Datos!C93="M2"</formula>
    </cfRule>
    <cfRule type="expression" priority="1203" dxfId="6">
      <formula>Datos!C93="M3"</formula>
    </cfRule>
    <cfRule type="expression" priority="1204" dxfId="7">
      <formula>Datos!C93="M4"</formula>
    </cfRule>
    <cfRule type="expression" priority="1205" dxfId="8">
      <formula>Datos!C93="D1"</formula>
    </cfRule>
    <cfRule type="expression" priority="1206" dxfId="9">
      <formula>Datos!C93="D2"</formula>
    </cfRule>
    <cfRule type="expression" priority="1207" dxfId="10">
      <formula>Datos!C93="D3"</formula>
    </cfRule>
    <cfRule type="expression" priority="1208" dxfId="11">
      <formula>Datos!C93="D4"</formula>
    </cfRule>
    <cfRule type="expression" priority="1209" dxfId="12">
      <formula>Datos!C93="MIX"</formula>
    </cfRule>
  </conditionalFormatting>
  <conditionalFormatting sqref="E10">
    <cfRule type="expression" priority="1210" dxfId="0">
      <formula>Datos!C94="C1"</formula>
    </cfRule>
    <cfRule type="expression" priority="1211" dxfId="1">
      <formula>Datos!C94="C2"</formula>
    </cfRule>
    <cfRule type="expression" priority="1212" dxfId="2">
      <formula>Datos!C94="C3"</formula>
    </cfRule>
    <cfRule type="expression" priority="1213" dxfId="3">
      <formula>Datos!C94="C4"</formula>
    </cfRule>
    <cfRule type="expression" priority="1214" dxfId="4">
      <formula>Datos!C94="M1"</formula>
    </cfRule>
    <cfRule type="expression" priority="1215" dxfId="5">
      <formula>Datos!C94="M2"</formula>
    </cfRule>
    <cfRule type="expression" priority="1216" dxfId="6">
      <formula>Datos!C94="M3"</formula>
    </cfRule>
    <cfRule type="expression" priority="1217" dxfId="7">
      <formula>Datos!C94="M4"</formula>
    </cfRule>
    <cfRule type="expression" priority="1218" dxfId="8">
      <formula>Datos!C94="D1"</formula>
    </cfRule>
    <cfRule type="expression" priority="1219" dxfId="9">
      <formula>Datos!C94="D2"</formula>
    </cfRule>
    <cfRule type="expression" priority="1220" dxfId="10">
      <formula>Datos!C94="D3"</formula>
    </cfRule>
    <cfRule type="expression" priority="1221" dxfId="11">
      <formula>Datos!C94="D4"</formula>
    </cfRule>
    <cfRule type="expression" priority="1222" dxfId="12">
      <formula>Datos!C94="MIX"</formula>
    </cfRule>
  </conditionalFormatting>
  <conditionalFormatting sqref="F10">
    <cfRule type="expression" priority="1223" dxfId="0">
      <formula>Datos!C95="C1"</formula>
    </cfRule>
    <cfRule type="expression" priority="1224" dxfId="1">
      <formula>Datos!C95="C2"</formula>
    </cfRule>
    <cfRule type="expression" priority="1225" dxfId="2">
      <formula>Datos!C95="C3"</formula>
    </cfRule>
    <cfRule type="expression" priority="1226" dxfId="3">
      <formula>Datos!C95="C4"</formula>
    </cfRule>
    <cfRule type="expression" priority="1227" dxfId="4">
      <formula>Datos!C95="M1"</formula>
    </cfRule>
    <cfRule type="expression" priority="1228" dxfId="5">
      <formula>Datos!C95="M2"</formula>
    </cfRule>
    <cfRule type="expression" priority="1229" dxfId="6">
      <formula>Datos!C95="M3"</formula>
    </cfRule>
    <cfRule type="expression" priority="1230" dxfId="7">
      <formula>Datos!C95="M4"</formula>
    </cfRule>
    <cfRule type="expression" priority="1231" dxfId="8">
      <formula>Datos!C95="D1"</formula>
    </cfRule>
    <cfRule type="expression" priority="1232" dxfId="9">
      <formula>Datos!C95="D2"</formula>
    </cfRule>
    <cfRule type="expression" priority="1233" dxfId="10">
      <formula>Datos!C95="D3"</formula>
    </cfRule>
    <cfRule type="expression" priority="1234" dxfId="11">
      <formula>Datos!C95="D4"</formula>
    </cfRule>
    <cfRule type="expression" priority="1235" dxfId="12">
      <formula>Datos!C95="MIX"</formula>
    </cfRule>
  </conditionalFormatting>
  <conditionalFormatting sqref="G10">
    <cfRule type="expression" priority="1236" dxfId="0">
      <formula>Datos!C96="C1"</formula>
    </cfRule>
    <cfRule type="expression" priority="1237" dxfId="1">
      <formula>Datos!C96="C2"</formula>
    </cfRule>
    <cfRule type="expression" priority="1238" dxfId="2">
      <formula>Datos!C96="C3"</formula>
    </cfRule>
    <cfRule type="expression" priority="1239" dxfId="3">
      <formula>Datos!C96="C4"</formula>
    </cfRule>
    <cfRule type="expression" priority="1240" dxfId="4">
      <formula>Datos!C96="M1"</formula>
    </cfRule>
    <cfRule type="expression" priority="1241" dxfId="5">
      <formula>Datos!C96="M2"</formula>
    </cfRule>
    <cfRule type="expression" priority="1242" dxfId="6">
      <formula>Datos!C96="M3"</formula>
    </cfRule>
    <cfRule type="expression" priority="1243" dxfId="7">
      <formula>Datos!C96="M4"</formula>
    </cfRule>
    <cfRule type="expression" priority="1244" dxfId="8">
      <formula>Datos!C96="D1"</formula>
    </cfRule>
    <cfRule type="expression" priority="1245" dxfId="9">
      <formula>Datos!C96="D2"</formula>
    </cfRule>
    <cfRule type="expression" priority="1246" dxfId="10">
      <formula>Datos!C96="D3"</formula>
    </cfRule>
    <cfRule type="expression" priority="1247" dxfId="11">
      <formula>Datos!C96="D4"</formula>
    </cfRule>
    <cfRule type="expression" priority="1248" dxfId="12">
      <formula>Datos!C96="MIX"</formula>
    </cfRule>
  </conditionalFormatting>
  <conditionalFormatting sqref="H10">
    <cfRule type="expression" priority="1249" dxfId="0">
      <formula>Datos!C97="C1"</formula>
    </cfRule>
    <cfRule type="expression" priority="1250" dxfId="1">
      <formula>Datos!C97="C2"</formula>
    </cfRule>
    <cfRule type="expression" priority="1251" dxfId="2">
      <formula>Datos!C97="C3"</formula>
    </cfRule>
    <cfRule type="expression" priority="1252" dxfId="3">
      <formula>Datos!C97="C4"</formula>
    </cfRule>
    <cfRule type="expression" priority="1253" dxfId="4">
      <formula>Datos!C97="M1"</formula>
    </cfRule>
    <cfRule type="expression" priority="1254" dxfId="5">
      <formula>Datos!C97="M2"</formula>
    </cfRule>
    <cfRule type="expression" priority="1255" dxfId="6">
      <formula>Datos!C97="M3"</formula>
    </cfRule>
    <cfRule type="expression" priority="1256" dxfId="7">
      <formula>Datos!C97="M4"</formula>
    </cfRule>
    <cfRule type="expression" priority="1257" dxfId="8">
      <formula>Datos!C97="D1"</formula>
    </cfRule>
    <cfRule type="expression" priority="1258" dxfId="9">
      <formula>Datos!C97="D2"</formula>
    </cfRule>
    <cfRule type="expression" priority="1259" dxfId="10">
      <formula>Datos!C97="D3"</formula>
    </cfRule>
    <cfRule type="expression" priority="1260" dxfId="11">
      <formula>Datos!C97="D4"</formula>
    </cfRule>
    <cfRule type="expression" priority="1261" dxfId="12">
      <formula>Datos!C97="MIX"</formula>
    </cfRule>
  </conditionalFormatting>
  <conditionalFormatting sqref="I10">
    <cfRule type="expression" priority="1262" dxfId="0">
      <formula>Datos!C98="C1"</formula>
    </cfRule>
    <cfRule type="expression" priority="1263" dxfId="1">
      <formula>Datos!C98="C2"</formula>
    </cfRule>
    <cfRule type="expression" priority="1264" dxfId="2">
      <formula>Datos!C98="C3"</formula>
    </cfRule>
    <cfRule type="expression" priority="1265" dxfId="3">
      <formula>Datos!C98="C4"</formula>
    </cfRule>
    <cfRule type="expression" priority="1266" dxfId="4">
      <formula>Datos!C98="M1"</formula>
    </cfRule>
    <cfRule type="expression" priority="1267" dxfId="5">
      <formula>Datos!C98="M2"</formula>
    </cfRule>
    <cfRule type="expression" priority="1268" dxfId="6">
      <formula>Datos!C98="M3"</formula>
    </cfRule>
    <cfRule type="expression" priority="1269" dxfId="7">
      <formula>Datos!C98="M4"</formula>
    </cfRule>
    <cfRule type="expression" priority="1270" dxfId="8">
      <formula>Datos!C98="D1"</formula>
    </cfRule>
    <cfRule type="expression" priority="1271" dxfId="9">
      <formula>Datos!C98="D2"</formula>
    </cfRule>
    <cfRule type="expression" priority="1272" dxfId="10">
      <formula>Datos!C98="D3"</formula>
    </cfRule>
    <cfRule type="expression" priority="1273" dxfId="11">
      <formula>Datos!C98="D4"</formula>
    </cfRule>
    <cfRule type="expression" priority="1274" dxfId="12">
      <formula>Datos!C98="MIX"</formula>
    </cfRule>
  </conditionalFormatting>
  <conditionalFormatting sqref="J10">
    <cfRule type="expression" priority="1275" dxfId="0">
      <formula>Datos!C99="C1"</formula>
    </cfRule>
    <cfRule type="expression" priority="1276" dxfId="1">
      <formula>Datos!C99="C2"</formula>
    </cfRule>
    <cfRule type="expression" priority="1277" dxfId="2">
      <formula>Datos!C99="C3"</formula>
    </cfRule>
    <cfRule type="expression" priority="1278" dxfId="3">
      <formula>Datos!C99="C4"</formula>
    </cfRule>
    <cfRule type="expression" priority="1279" dxfId="4">
      <formula>Datos!C99="M1"</formula>
    </cfRule>
    <cfRule type="expression" priority="1280" dxfId="5">
      <formula>Datos!C99="M2"</formula>
    </cfRule>
    <cfRule type="expression" priority="1281" dxfId="6">
      <formula>Datos!C99="M3"</formula>
    </cfRule>
    <cfRule type="expression" priority="1282" dxfId="7">
      <formula>Datos!C99="M4"</formula>
    </cfRule>
    <cfRule type="expression" priority="1283" dxfId="8">
      <formula>Datos!C99="D1"</formula>
    </cfRule>
    <cfRule type="expression" priority="1284" dxfId="9">
      <formula>Datos!C99="D2"</formula>
    </cfRule>
    <cfRule type="expression" priority="1285" dxfId="10">
      <formula>Datos!C99="D3"</formula>
    </cfRule>
    <cfRule type="expression" priority="1286" dxfId="11">
      <formula>Datos!C99="D4"</formula>
    </cfRule>
    <cfRule type="expression" priority="1287" dxfId="12">
      <formula>Datos!C99="MIX"</formula>
    </cfRule>
  </conditionalFormatting>
  <conditionalFormatting sqref="K10">
    <cfRule type="expression" priority="1288" dxfId="0">
      <formula>Datos!C100="C1"</formula>
    </cfRule>
    <cfRule type="expression" priority="1289" dxfId="1">
      <formula>Datos!C100="C2"</formula>
    </cfRule>
    <cfRule type="expression" priority="1290" dxfId="2">
      <formula>Datos!C100="C3"</formula>
    </cfRule>
    <cfRule type="expression" priority="1291" dxfId="3">
      <formula>Datos!C100="C4"</formula>
    </cfRule>
    <cfRule type="expression" priority="1292" dxfId="4">
      <formula>Datos!C100="M1"</formula>
    </cfRule>
    <cfRule type="expression" priority="1293" dxfId="5">
      <formula>Datos!C100="M2"</formula>
    </cfRule>
    <cfRule type="expression" priority="1294" dxfId="6">
      <formula>Datos!C100="M3"</formula>
    </cfRule>
    <cfRule type="expression" priority="1295" dxfId="7">
      <formula>Datos!C100="M4"</formula>
    </cfRule>
    <cfRule type="expression" priority="1296" dxfId="8">
      <formula>Datos!C100="D1"</formula>
    </cfRule>
    <cfRule type="expression" priority="1297" dxfId="9">
      <formula>Datos!C100="D2"</formula>
    </cfRule>
    <cfRule type="expression" priority="1298" dxfId="10">
      <formula>Datos!C100="D3"</formula>
    </cfRule>
    <cfRule type="expression" priority="1299" dxfId="11">
      <formula>Datos!C100="D4"</formula>
    </cfRule>
    <cfRule type="expression" priority="1300" dxfId="12">
      <formula>Datos!C100="MIX"</formula>
    </cfRule>
  </conditionalFormatting>
  <conditionalFormatting sqref="L10">
    <cfRule type="expression" priority="1301" dxfId="0">
      <formula>Datos!C101="C1"</formula>
    </cfRule>
    <cfRule type="expression" priority="1302" dxfId="1">
      <formula>Datos!C101="C2"</formula>
    </cfRule>
    <cfRule type="expression" priority="1303" dxfId="2">
      <formula>Datos!C101="C3"</formula>
    </cfRule>
    <cfRule type="expression" priority="1304" dxfId="3">
      <formula>Datos!C101="C4"</formula>
    </cfRule>
    <cfRule type="expression" priority="1305" dxfId="4">
      <formula>Datos!C101="M1"</formula>
    </cfRule>
    <cfRule type="expression" priority="1306" dxfId="5">
      <formula>Datos!C101="M2"</formula>
    </cfRule>
    <cfRule type="expression" priority="1307" dxfId="6">
      <formula>Datos!C101="M3"</formula>
    </cfRule>
    <cfRule type="expression" priority="1308" dxfId="7">
      <formula>Datos!C101="M4"</formula>
    </cfRule>
    <cfRule type="expression" priority="1309" dxfId="8">
      <formula>Datos!C101="D1"</formula>
    </cfRule>
    <cfRule type="expression" priority="1310" dxfId="9">
      <formula>Datos!C101="D2"</formula>
    </cfRule>
    <cfRule type="expression" priority="1311" dxfId="10">
      <formula>Datos!C101="D3"</formula>
    </cfRule>
    <cfRule type="expression" priority="1312" dxfId="11">
      <formula>Datos!C101="D4"</formula>
    </cfRule>
    <cfRule type="expression" priority="1313" dxfId="12">
      <formula>Datos!C101="MIX"</formula>
    </cfRule>
  </conditionalFormatting>
  <conditionalFormatting sqref="M10">
    <cfRule type="expression" priority="1314" dxfId="0">
      <formula>Datos!C102="C1"</formula>
    </cfRule>
    <cfRule type="expression" priority="1315" dxfId="1">
      <formula>Datos!C102="C2"</formula>
    </cfRule>
    <cfRule type="expression" priority="1316" dxfId="2">
      <formula>Datos!C102="C3"</formula>
    </cfRule>
    <cfRule type="expression" priority="1317" dxfId="3">
      <formula>Datos!C102="C4"</formula>
    </cfRule>
    <cfRule type="expression" priority="1318" dxfId="4">
      <formula>Datos!C102="M1"</formula>
    </cfRule>
    <cfRule type="expression" priority="1319" dxfId="5">
      <formula>Datos!C102="M2"</formula>
    </cfRule>
    <cfRule type="expression" priority="1320" dxfId="6">
      <formula>Datos!C102="M3"</formula>
    </cfRule>
    <cfRule type="expression" priority="1321" dxfId="7">
      <formula>Datos!C102="M4"</formula>
    </cfRule>
    <cfRule type="expression" priority="1322" dxfId="8">
      <formula>Datos!C102="D1"</formula>
    </cfRule>
    <cfRule type="expression" priority="1323" dxfId="9">
      <formula>Datos!C102="D2"</formula>
    </cfRule>
    <cfRule type="expression" priority="1324" dxfId="10">
      <formula>Datos!C102="D3"</formula>
    </cfRule>
    <cfRule type="expression" priority="1325" dxfId="11">
      <formula>Datos!C102="D4"</formula>
    </cfRule>
    <cfRule type="expression" priority="1326" dxfId="12">
      <formula>Datos!C102="MIX"</formula>
    </cfRule>
  </conditionalFormatting>
  <conditionalFormatting sqref="N10">
    <cfRule type="expression" priority="1327" dxfId="0">
      <formula>Datos!C103="C1"</formula>
    </cfRule>
    <cfRule type="expression" priority="1328" dxfId="1">
      <formula>Datos!C103="C2"</formula>
    </cfRule>
    <cfRule type="expression" priority="1329" dxfId="2">
      <formula>Datos!C103="C3"</formula>
    </cfRule>
    <cfRule type="expression" priority="1330" dxfId="3">
      <formula>Datos!C103="C4"</formula>
    </cfRule>
    <cfRule type="expression" priority="1331" dxfId="4">
      <formula>Datos!C103="M1"</formula>
    </cfRule>
    <cfRule type="expression" priority="1332" dxfId="5">
      <formula>Datos!C103="M2"</formula>
    </cfRule>
    <cfRule type="expression" priority="1333" dxfId="6">
      <formula>Datos!C103="M3"</formula>
    </cfRule>
    <cfRule type="expression" priority="1334" dxfId="7">
      <formula>Datos!C103="M4"</formula>
    </cfRule>
    <cfRule type="expression" priority="1335" dxfId="8">
      <formula>Datos!C103="D1"</formula>
    </cfRule>
    <cfRule type="expression" priority="1336" dxfId="9">
      <formula>Datos!C103="D2"</formula>
    </cfRule>
    <cfRule type="expression" priority="1337" dxfId="10">
      <formula>Datos!C103="D3"</formula>
    </cfRule>
    <cfRule type="expression" priority="1338" dxfId="11">
      <formula>Datos!C103="D4"</formula>
    </cfRule>
    <cfRule type="expression" priority="1339" dxfId="12">
      <formula>Datos!C103="MIX"</formula>
    </cfRule>
  </conditionalFormatting>
  <conditionalFormatting sqref="O10">
    <cfRule type="expression" priority="1340" dxfId="0">
      <formula>Datos!C104="C1"</formula>
    </cfRule>
    <cfRule type="expression" priority="1341" dxfId="1">
      <formula>Datos!C104="C2"</formula>
    </cfRule>
    <cfRule type="expression" priority="1342" dxfId="2">
      <formula>Datos!C104="C3"</formula>
    </cfRule>
    <cfRule type="expression" priority="1343" dxfId="3">
      <formula>Datos!C104="C4"</formula>
    </cfRule>
    <cfRule type="expression" priority="1344" dxfId="4">
      <formula>Datos!C104="M1"</formula>
    </cfRule>
    <cfRule type="expression" priority="1345" dxfId="5">
      <formula>Datos!C104="M2"</formula>
    </cfRule>
    <cfRule type="expression" priority="1346" dxfId="6">
      <formula>Datos!C104="M3"</formula>
    </cfRule>
    <cfRule type="expression" priority="1347" dxfId="7">
      <formula>Datos!C104="M4"</formula>
    </cfRule>
    <cfRule type="expression" priority="1348" dxfId="8">
      <formula>Datos!C104="D1"</formula>
    </cfRule>
    <cfRule type="expression" priority="1349" dxfId="9">
      <formula>Datos!C104="D2"</formula>
    </cfRule>
    <cfRule type="expression" priority="1350" dxfId="10">
      <formula>Datos!C104="D3"</formula>
    </cfRule>
    <cfRule type="expression" priority="1351" dxfId="11">
      <formula>Datos!C104="D4"</formula>
    </cfRule>
    <cfRule type="expression" priority="1352" dxfId="12">
      <formula>Datos!C104="MIX"</formula>
    </cfRule>
  </conditionalFormatting>
  <conditionalFormatting sqref="P10">
    <cfRule type="expression" priority="1353" dxfId="0">
      <formula>Datos!C105="C1"</formula>
    </cfRule>
    <cfRule type="expression" priority="1354" dxfId="1">
      <formula>Datos!C105="C2"</formula>
    </cfRule>
    <cfRule type="expression" priority="1355" dxfId="2">
      <formula>Datos!C105="C3"</formula>
    </cfRule>
    <cfRule type="expression" priority="1356" dxfId="3">
      <formula>Datos!C105="C4"</formula>
    </cfRule>
    <cfRule type="expression" priority="1357" dxfId="4">
      <formula>Datos!C105="M1"</formula>
    </cfRule>
    <cfRule type="expression" priority="1358" dxfId="5">
      <formula>Datos!C105="M2"</formula>
    </cfRule>
    <cfRule type="expression" priority="1359" dxfId="6">
      <formula>Datos!C105="M3"</formula>
    </cfRule>
    <cfRule type="expression" priority="1360" dxfId="7">
      <formula>Datos!C105="M4"</formula>
    </cfRule>
    <cfRule type="expression" priority="1361" dxfId="8">
      <formula>Datos!C105="D1"</formula>
    </cfRule>
    <cfRule type="expression" priority="1362" dxfId="9">
      <formula>Datos!C105="D2"</formula>
    </cfRule>
    <cfRule type="expression" priority="1363" dxfId="10">
      <formula>Datos!C105="D3"</formula>
    </cfRule>
    <cfRule type="expression" priority="1364" dxfId="11">
      <formula>Datos!C105="D4"</formula>
    </cfRule>
    <cfRule type="expression" priority="1365" dxfId="12">
      <formula>Datos!C105="MIX"</formula>
    </cfRule>
  </conditionalFormatting>
  <conditionalFormatting sqref="B11">
    <cfRule type="expression" priority="1366" dxfId="0">
      <formula>Datos!C106="C1"</formula>
    </cfRule>
    <cfRule type="expression" priority="1367" dxfId="1">
      <formula>Datos!C106="C2"</formula>
    </cfRule>
    <cfRule type="expression" priority="1368" dxfId="2">
      <formula>Datos!C106="C3"</formula>
    </cfRule>
    <cfRule type="expression" priority="1369" dxfId="3">
      <formula>Datos!C106="C4"</formula>
    </cfRule>
    <cfRule type="expression" priority="1370" dxfId="4">
      <formula>Datos!C106="M1"</formula>
    </cfRule>
    <cfRule type="expression" priority="1371" dxfId="5">
      <formula>Datos!C106="M2"</formula>
    </cfRule>
    <cfRule type="expression" priority="1372" dxfId="6">
      <formula>Datos!C106="M3"</formula>
    </cfRule>
    <cfRule type="expression" priority="1373" dxfId="7">
      <formula>Datos!C106="M4"</formula>
    </cfRule>
    <cfRule type="expression" priority="1374" dxfId="8">
      <formula>Datos!C106="D1"</formula>
    </cfRule>
    <cfRule type="expression" priority="1375" dxfId="9">
      <formula>Datos!C106="D2"</formula>
    </cfRule>
    <cfRule type="expression" priority="1376" dxfId="10">
      <formula>Datos!C106="D3"</formula>
    </cfRule>
    <cfRule type="expression" priority="1377" dxfId="11">
      <formula>Datos!C106="D4"</formula>
    </cfRule>
    <cfRule type="expression" priority="1378" dxfId="12">
      <formula>Datos!C106="MIX"</formula>
    </cfRule>
  </conditionalFormatting>
  <conditionalFormatting sqref="C11">
    <cfRule type="expression" priority="1379" dxfId="0">
      <formula>Datos!C107="C1"</formula>
    </cfRule>
    <cfRule type="expression" priority="1380" dxfId="1">
      <formula>Datos!C107="C2"</formula>
    </cfRule>
    <cfRule type="expression" priority="1381" dxfId="2">
      <formula>Datos!C107="C3"</formula>
    </cfRule>
    <cfRule type="expression" priority="1382" dxfId="3">
      <formula>Datos!C107="C4"</formula>
    </cfRule>
    <cfRule type="expression" priority="1383" dxfId="4">
      <formula>Datos!C107="M1"</formula>
    </cfRule>
    <cfRule type="expression" priority="1384" dxfId="5">
      <formula>Datos!C107="M2"</formula>
    </cfRule>
    <cfRule type="expression" priority="1385" dxfId="6">
      <formula>Datos!C107="M3"</formula>
    </cfRule>
    <cfRule type="expression" priority="1386" dxfId="7">
      <formula>Datos!C107="M4"</formula>
    </cfRule>
    <cfRule type="expression" priority="1387" dxfId="8">
      <formula>Datos!C107="D1"</formula>
    </cfRule>
    <cfRule type="expression" priority="1388" dxfId="9">
      <formula>Datos!C107="D2"</formula>
    </cfRule>
    <cfRule type="expression" priority="1389" dxfId="10">
      <formula>Datos!C107="D3"</formula>
    </cfRule>
    <cfRule type="expression" priority="1390" dxfId="11">
      <formula>Datos!C107="D4"</formula>
    </cfRule>
    <cfRule type="expression" priority="1391" dxfId="12">
      <formula>Datos!C107="MIX"</formula>
    </cfRule>
  </conditionalFormatting>
  <conditionalFormatting sqref="D11">
    <cfRule type="expression" priority="1392" dxfId="0">
      <formula>Datos!C108="C1"</formula>
    </cfRule>
    <cfRule type="expression" priority="1393" dxfId="1">
      <formula>Datos!C108="C2"</formula>
    </cfRule>
    <cfRule type="expression" priority="1394" dxfId="2">
      <formula>Datos!C108="C3"</formula>
    </cfRule>
    <cfRule type="expression" priority="1395" dxfId="3">
      <formula>Datos!C108="C4"</formula>
    </cfRule>
    <cfRule type="expression" priority="1396" dxfId="4">
      <formula>Datos!C108="M1"</formula>
    </cfRule>
    <cfRule type="expression" priority="1397" dxfId="5">
      <formula>Datos!C108="M2"</formula>
    </cfRule>
    <cfRule type="expression" priority="1398" dxfId="6">
      <formula>Datos!C108="M3"</formula>
    </cfRule>
    <cfRule type="expression" priority="1399" dxfId="7">
      <formula>Datos!C108="M4"</formula>
    </cfRule>
    <cfRule type="expression" priority="1400" dxfId="8">
      <formula>Datos!C108="D1"</formula>
    </cfRule>
    <cfRule type="expression" priority="1401" dxfId="9">
      <formula>Datos!C108="D2"</formula>
    </cfRule>
    <cfRule type="expression" priority="1402" dxfId="10">
      <formula>Datos!C108="D3"</formula>
    </cfRule>
    <cfRule type="expression" priority="1403" dxfId="11">
      <formula>Datos!C108="D4"</formula>
    </cfRule>
    <cfRule type="expression" priority="1404" dxfId="12">
      <formula>Datos!C108="MIX"</formula>
    </cfRule>
  </conditionalFormatting>
  <conditionalFormatting sqref="E11">
    <cfRule type="expression" priority="1405" dxfId="0">
      <formula>Datos!C109="C1"</formula>
    </cfRule>
    <cfRule type="expression" priority="1406" dxfId="1">
      <formula>Datos!C109="C2"</formula>
    </cfRule>
    <cfRule type="expression" priority="1407" dxfId="2">
      <formula>Datos!C109="C3"</formula>
    </cfRule>
    <cfRule type="expression" priority="1408" dxfId="3">
      <formula>Datos!C109="C4"</formula>
    </cfRule>
    <cfRule type="expression" priority="1409" dxfId="4">
      <formula>Datos!C109="M1"</formula>
    </cfRule>
    <cfRule type="expression" priority="1410" dxfId="5">
      <formula>Datos!C109="M2"</formula>
    </cfRule>
    <cfRule type="expression" priority="1411" dxfId="6">
      <formula>Datos!C109="M3"</formula>
    </cfRule>
    <cfRule type="expression" priority="1412" dxfId="7">
      <formula>Datos!C109="M4"</formula>
    </cfRule>
    <cfRule type="expression" priority="1413" dxfId="8">
      <formula>Datos!C109="D1"</formula>
    </cfRule>
    <cfRule type="expression" priority="1414" dxfId="9">
      <formula>Datos!C109="D2"</formula>
    </cfRule>
    <cfRule type="expression" priority="1415" dxfId="10">
      <formula>Datos!C109="D3"</formula>
    </cfRule>
    <cfRule type="expression" priority="1416" dxfId="11">
      <formula>Datos!C109="D4"</formula>
    </cfRule>
    <cfRule type="expression" priority="1417" dxfId="12">
      <formula>Datos!C109="MIX"</formula>
    </cfRule>
  </conditionalFormatting>
  <conditionalFormatting sqref="F11">
    <cfRule type="expression" priority="1418" dxfId="0">
      <formula>Datos!C110="C1"</formula>
    </cfRule>
    <cfRule type="expression" priority="1419" dxfId="1">
      <formula>Datos!C110="C2"</formula>
    </cfRule>
    <cfRule type="expression" priority="1420" dxfId="2">
      <formula>Datos!C110="C3"</formula>
    </cfRule>
    <cfRule type="expression" priority="1421" dxfId="3">
      <formula>Datos!C110="C4"</formula>
    </cfRule>
    <cfRule type="expression" priority="1422" dxfId="4">
      <formula>Datos!C110="M1"</formula>
    </cfRule>
    <cfRule type="expression" priority="1423" dxfId="5">
      <formula>Datos!C110="M2"</formula>
    </cfRule>
    <cfRule type="expression" priority="1424" dxfId="6">
      <formula>Datos!C110="M3"</formula>
    </cfRule>
    <cfRule type="expression" priority="1425" dxfId="7">
      <formula>Datos!C110="M4"</formula>
    </cfRule>
    <cfRule type="expression" priority="1426" dxfId="8">
      <formula>Datos!C110="D1"</formula>
    </cfRule>
    <cfRule type="expression" priority="1427" dxfId="9">
      <formula>Datos!C110="D2"</formula>
    </cfRule>
    <cfRule type="expression" priority="1428" dxfId="10">
      <formula>Datos!C110="D3"</formula>
    </cfRule>
    <cfRule type="expression" priority="1429" dxfId="11">
      <formula>Datos!C110="D4"</formula>
    </cfRule>
    <cfRule type="expression" priority="1430" dxfId="12">
      <formula>Datos!C110="MIX"</formula>
    </cfRule>
  </conditionalFormatting>
  <conditionalFormatting sqref="G11">
    <cfRule type="expression" priority="1431" dxfId="0">
      <formula>Datos!C111="C1"</formula>
    </cfRule>
    <cfRule type="expression" priority="1432" dxfId="1">
      <formula>Datos!C111="C2"</formula>
    </cfRule>
    <cfRule type="expression" priority="1433" dxfId="2">
      <formula>Datos!C111="C3"</formula>
    </cfRule>
    <cfRule type="expression" priority="1434" dxfId="3">
      <formula>Datos!C111="C4"</formula>
    </cfRule>
    <cfRule type="expression" priority="1435" dxfId="4">
      <formula>Datos!C111="M1"</formula>
    </cfRule>
    <cfRule type="expression" priority="1436" dxfId="5">
      <formula>Datos!C111="M2"</formula>
    </cfRule>
    <cfRule type="expression" priority="1437" dxfId="6">
      <formula>Datos!C111="M3"</formula>
    </cfRule>
    <cfRule type="expression" priority="1438" dxfId="7">
      <formula>Datos!C111="M4"</formula>
    </cfRule>
    <cfRule type="expression" priority="1439" dxfId="8">
      <formula>Datos!C111="D1"</formula>
    </cfRule>
    <cfRule type="expression" priority="1440" dxfId="9">
      <formula>Datos!C111="D2"</formula>
    </cfRule>
    <cfRule type="expression" priority="1441" dxfId="10">
      <formula>Datos!C111="D3"</formula>
    </cfRule>
    <cfRule type="expression" priority="1442" dxfId="11">
      <formula>Datos!C111="D4"</formula>
    </cfRule>
    <cfRule type="expression" priority="1443" dxfId="12">
      <formula>Datos!C111="MIX"</formula>
    </cfRule>
  </conditionalFormatting>
  <conditionalFormatting sqref="H11">
    <cfRule type="expression" priority="1444" dxfId="0">
      <formula>Datos!C112="C1"</formula>
    </cfRule>
    <cfRule type="expression" priority="1445" dxfId="1">
      <formula>Datos!C112="C2"</formula>
    </cfRule>
    <cfRule type="expression" priority="1446" dxfId="2">
      <formula>Datos!C112="C3"</formula>
    </cfRule>
    <cfRule type="expression" priority="1447" dxfId="3">
      <formula>Datos!C112="C4"</formula>
    </cfRule>
    <cfRule type="expression" priority="1448" dxfId="4">
      <formula>Datos!C112="M1"</formula>
    </cfRule>
    <cfRule type="expression" priority="1449" dxfId="5">
      <formula>Datos!C112="M2"</formula>
    </cfRule>
    <cfRule type="expression" priority="1450" dxfId="6">
      <formula>Datos!C112="M3"</formula>
    </cfRule>
    <cfRule type="expression" priority="1451" dxfId="7">
      <formula>Datos!C112="M4"</formula>
    </cfRule>
    <cfRule type="expression" priority="1452" dxfId="8">
      <formula>Datos!C112="D1"</formula>
    </cfRule>
    <cfRule type="expression" priority="1453" dxfId="9">
      <formula>Datos!C112="D2"</formula>
    </cfRule>
    <cfRule type="expression" priority="1454" dxfId="10">
      <formula>Datos!C112="D3"</formula>
    </cfRule>
    <cfRule type="expression" priority="1455" dxfId="11">
      <formula>Datos!C112="D4"</formula>
    </cfRule>
    <cfRule type="expression" priority="1456" dxfId="12">
      <formula>Datos!C112="MIX"</formula>
    </cfRule>
  </conditionalFormatting>
  <conditionalFormatting sqref="I11">
    <cfRule type="expression" priority="1457" dxfId="0">
      <formula>Datos!C113="C1"</formula>
    </cfRule>
    <cfRule type="expression" priority="1458" dxfId="1">
      <formula>Datos!C113="C2"</formula>
    </cfRule>
    <cfRule type="expression" priority="1459" dxfId="2">
      <formula>Datos!C113="C3"</formula>
    </cfRule>
    <cfRule type="expression" priority="1460" dxfId="3">
      <formula>Datos!C113="C4"</formula>
    </cfRule>
    <cfRule type="expression" priority="1461" dxfId="4">
      <formula>Datos!C113="M1"</formula>
    </cfRule>
    <cfRule type="expression" priority="1462" dxfId="5">
      <formula>Datos!C113="M2"</formula>
    </cfRule>
    <cfRule type="expression" priority="1463" dxfId="6">
      <formula>Datos!C113="M3"</formula>
    </cfRule>
    <cfRule type="expression" priority="1464" dxfId="7">
      <formula>Datos!C113="M4"</formula>
    </cfRule>
    <cfRule type="expression" priority="1465" dxfId="8">
      <formula>Datos!C113="D1"</formula>
    </cfRule>
    <cfRule type="expression" priority="1466" dxfId="9">
      <formula>Datos!C113="D2"</formula>
    </cfRule>
    <cfRule type="expression" priority="1467" dxfId="10">
      <formula>Datos!C113="D3"</formula>
    </cfRule>
    <cfRule type="expression" priority="1468" dxfId="11">
      <formula>Datos!C113="D4"</formula>
    </cfRule>
    <cfRule type="expression" priority="1469" dxfId="12">
      <formula>Datos!C113="MIX"</formula>
    </cfRule>
  </conditionalFormatting>
  <conditionalFormatting sqref="J11">
    <cfRule type="expression" priority="1470" dxfId="0">
      <formula>Datos!C114="C1"</formula>
    </cfRule>
    <cfRule type="expression" priority="1471" dxfId="1">
      <formula>Datos!C114="C2"</formula>
    </cfRule>
    <cfRule type="expression" priority="1472" dxfId="2">
      <formula>Datos!C114="C3"</formula>
    </cfRule>
    <cfRule type="expression" priority="1473" dxfId="3">
      <formula>Datos!C114="C4"</formula>
    </cfRule>
    <cfRule type="expression" priority="1474" dxfId="4">
      <formula>Datos!C114="M1"</formula>
    </cfRule>
    <cfRule type="expression" priority="1475" dxfId="5">
      <formula>Datos!C114="M2"</formula>
    </cfRule>
    <cfRule type="expression" priority="1476" dxfId="6">
      <formula>Datos!C114="M3"</formula>
    </cfRule>
    <cfRule type="expression" priority="1477" dxfId="7">
      <formula>Datos!C114="M4"</formula>
    </cfRule>
    <cfRule type="expression" priority="1478" dxfId="8">
      <formula>Datos!C114="D1"</formula>
    </cfRule>
    <cfRule type="expression" priority="1479" dxfId="9">
      <formula>Datos!C114="D2"</formula>
    </cfRule>
    <cfRule type="expression" priority="1480" dxfId="10">
      <formula>Datos!C114="D3"</formula>
    </cfRule>
    <cfRule type="expression" priority="1481" dxfId="11">
      <formula>Datos!C114="D4"</formula>
    </cfRule>
    <cfRule type="expression" priority="1482" dxfId="12">
      <formula>Datos!C114="MIX"</formula>
    </cfRule>
  </conditionalFormatting>
  <conditionalFormatting sqref="K11">
    <cfRule type="expression" priority="1483" dxfId="0">
      <formula>Datos!C115="C1"</formula>
    </cfRule>
    <cfRule type="expression" priority="1484" dxfId="1">
      <formula>Datos!C115="C2"</formula>
    </cfRule>
    <cfRule type="expression" priority="1485" dxfId="2">
      <formula>Datos!C115="C3"</formula>
    </cfRule>
    <cfRule type="expression" priority="1486" dxfId="3">
      <formula>Datos!C115="C4"</formula>
    </cfRule>
    <cfRule type="expression" priority="1487" dxfId="4">
      <formula>Datos!C115="M1"</formula>
    </cfRule>
    <cfRule type="expression" priority="1488" dxfId="5">
      <formula>Datos!C115="M2"</formula>
    </cfRule>
    <cfRule type="expression" priority="1489" dxfId="6">
      <formula>Datos!C115="M3"</formula>
    </cfRule>
    <cfRule type="expression" priority="1490" dxfId="7">
      <formula>Datos!C115="M4"</formula>
    </cfRule>
    <cfRule type="expression" priority="1491" dxfId="8">
      <formula>Datos!C115="D1"</formula>
    </cfRule>
    <cfRule type="expression" priority="1492" dxfId="9">
      <formula>Datos!C115="D2"</formula>
    </cfRule>
    <cfRule type="expression" priority="1493" dxfId="10">
      <formula>Datos!C115="D3"</formula>
    </cfRule>
    <cfRule type="expression" priority="1494" dxfId="11">
      <formula>Datos!C115="D4"</formula>
    </cfRule>
    <cfRule type="expression" priority="1495" dxfId="12">
      <formula>Datos!C115="MIX"</formula>
    </cfRule>
  </conditionalFormatting>
  <conditionalFormatting sqref="L11">
    <cfRule type="expression" priority="1496" dxfId="0">
      <formula>Datos!C116="C1"</formula>
    </cfRule>
    <cfRule type="expression" priority="1497" dxfId="1">
      <formula>Datos!C116="C2"</formula>
    </cfRule>
    <cfRule type="expression" priority="1498" dxfId="2">
      <formula>Datos!C116="C3"</formula>
    </cfRule>
    <cfRule type="expression" priority="1499" dxfId="3">
      <formula>Datos!C116="C4"</formula>
    </cfRule>
    <cfRule type="expression" priority="1500" dxfId="4">
      <formula>Datos!C116="M1"</formula>
    </cfRule>
    <cfRule type="expression" priority="1501" dxfId="5">
      <formula>Datos!C116="M2"</formula>
    </cfRule>
    <cfRule type="expression" priority="1502" dxfId="6">
      <formula>Datos!C116="M3"</formula>
    </cfRule>
    <cfRule type="expression" priority="1503" dxfId="7">
      <formula>Datos!C116="M4"</formula>
    </cfRule>
    <cfRule type="expression" priority="1504" dxfId="8">
      <formula>Datos!C116="D1"</formula>
    </cfRule>
    <cfRule type="expression" priority="1505" dxfId="9">
      <formula>Datos!C116="D2"</formula>
    </cfRule>
    <cfRule type="expression" priority="1506" dxfId="10">
      <formula>Datos!C116="D3"</formula>
    </cfRule>
    <cfRule type="expression" priority="1507" dxfId="11">
      <formula>Datos!C116="D4"</formula>
    </cfRule>
    <cfRule type="expression" priority="1508" dxfId="12">
      <formula>Datos!C116="MIX"</formula>
    </cfRule>
  </conditionalFormatting>
  <conditionalFormatting sqref="M11">
    <cfRule type="expression" priority="1509" dxfId="0">
      <formula>Datos!C117="C1"</formula>
    </cfRule>
    <cfRule type="expression" priority="1510" dxfId="1">
      <formula>Datos!C117="C2"</formula>
    </cfRule>
    <cfRule type="expression" priority="1511" dxfId="2">
      <formula>Datos!C117="C3"</formula>
    </cfRule>
    <cfRule type="expression" priority="1512" dxfId="3">
      <formula>Datos!C117="C4"</formula>
    </cfRule>
    <cfRule type="expression" priority="1513" dxfId="4">
      <formula>Datos!C117="M1"</formula>
    </cfRule>
    <cfRule type="expression" priority="1514" dxfId="5">
      <formula>Datos!C117="M2"</formula>
    </cfRule>
    <cfRule type="expression" priority="1515" dxfId="6">
      <formula>Datos!C117="M3"</formula>
    </cfRule>
    <cfRule type="expression" priority="1516" dxfId="7">
      <formula>Datos!C117="M4"</formula>
    </cfRule>
    <cfRule type="expression" priority="1517" dxfId="8">
      <formula>Datos!C117="D1"</formula>
    </cfRule>
    <cfRule type="expression" priority="1518" dxfId="9">
      <formula>Datos!C117="D2"</formula>
    </cfRule>
    <cfRule type="expression" priority="1519" dxfId="10">
      <formula>Datos!C117="D3"</formula>
    </cfRule>
    <cfRule type="expression" priority="1520" dxfId="11">
      <formula>Datos!C117="D4"</formula>
    </cfRule>
    <cfRule type="expression" priority="1521" dxfId="12">
      <formula>Datos!C117="MIX"</formula>
    </cfRule>
  </conditionalFormatting>
  <conditionalFormatting sqref="N11">
    <cfRule type="expression" priority="1522" dxfId="0">
      <formula>Datos!C118="C1"</formula>
    </cfRule>
    <cfRule type="expression" priority="1523" dxfId="1">
      <formula>Datos!C118="C2"</formula>
    </cfRule>
    <cfRule type="expression" priority="1524" dxfId="2">
      <formula>Datos!C118="C3"</formula>
    </cfRule>
    <cfRule type="expression" priority="1525" dxfId="3">
      <formula>Datos!C118="C4"</formula>
    </cfRule>
    <cfRule type="expression" priority="1526" dxfId="4">
      <formula>Datos!C118="M1"</formula>
    </cfRule>
    <cfRule type="expression" priority="1527" dxfId="5">
      <formula>Datos!C118="M2"</formula>
    </cfRule>
    <cfRule type="expression" priority="1528" dxfId="6">
      <formula>Datos!C118="M3"</formula>
    </cfRule>
    <cfRule type="expression" priority="1529" dxfId="7">
      <formula>Datos!C118="M4"</formula>
    </cfRule>
    <cfRule type="expression" priority="1530" dxfId="8">
      <formula>Datos!C118="D1"</formula>
    </cfRule>
    <cfRule type="expression" priority="1531" dxfId="9">
      <formula>Datos!C118="D2"</formula>
    </cfRule>
    <cfRule type="expression" priority="1532" dxfId="10">
      <formula>Datos!C118="D3"</formula>
    </cfRule>
    <cfRule type="expression" priority="1533" dxfId="11">
      <formula>Datos!C118="D4"</formula>
    </cfRule>
    <cfRule type="expression" priority="1534" dxfId="12">
      <formula>Datos!C118="MIX"</formula>
    </cfRule>
  </conditionalFormatting>
  <conditionalFormatting sqref="O11">
    <cfRule type="expression" priority="1535" dxfId="0">
      <formula>Datos!C119="C1"</formula>
    </cfRule>
    <cfRule type="expression" priority="1536" dxfId="1">
      <formula>Datos!C119="C2"</formula>
    </cfRule>
    <cfRule type="expression" priority="1537" dxfId="2">
      <formula>Datos!C119="C3"</formula>
    </cfRule>
    <cfRule type="expression" priority="1538" dxfId="3">
      <formula>Datos!C119="C4"</formula>
    </cfRule>
    <cfRule type="expression" priority="1539" dxfId="4">
      <formula>Datos!C119="M1"</formula>
    </cfRule>
    <cfRule type="expression" priority="1540" dxfId="5">
      <formula>Datos!C119="M2"</formula>
    </cfRule>
    <cfRule type="expression" priority="1541" dxfId="6">
      <formula>Datos!C119="M3"</formula>
    </cfRule>
    <cfRule type="expression" priority="1542" dxfId="7">
      <formula>Datos!C119="M4"</formula>
    </cfRule>
    <cfRule type="expression" priority="1543" dxfId="8">
      <formula>Datos!C119="D1"</formula>
    </cfRule>
    <cfRule type="expression" priority="1544" dxfId="9">
      <formula>Datos!C119="D2"</formula>
    </cfRule>
    <cfRule type="expression" priority="1545" dxfId="10">
      <formula>Datos!C119="D3"</formula>
    </cfRule>
    <cfRule type="expression" priority="1546" dxfId="11">
      <formula>Datos!C119="D4"</formula>
    </cfRule>
    <cfRule type="expression" priority="1547" dxfId="12">
      <formula>Datos!C119="MIX"</formula>
    </cfRule>
  </conditionalFormatting>
  <conditionalFormatting sqref="P11">
    <cfRule type="expression" priority="1548" dxfId="0">
      <formula>Datos!C120="C1"</formula>
    </cfRule>
    <cfRule type="expression" priority="1549" dxfId="1">
      <formula>Datos!C120="C2"</formula>
    </cfRule>
    <cfRule type="expression" priority="1550" dxfId="2">
      <formula>Datos!C120="C3"</formula>
    </cfRule>
    <cfRule type="expression" priority="1551" dxfId="3">
      <formula>Datos!C120="C4"</formula>
    </cfRule>
    <cfRule type="expression" priority="1552" dxfId="4">
      <formula>Datos!C120="M1"</formula>
    </cfRule>
    <cfRule type="expression" priority="1553" dxfId="5">
      <formula>Datos!C120="M2"</formula>
    </cfRule>
    <cfRule type="expression" priority="1554" dxfId="6">
      <formula>Datos!C120="M3"</formula>
    </cfRule>
    <cfRule type="expression" priority="1555" dxfId="7">
      <formula>Datos!C120="M4"</formula>
    </cfRule>
    <cfRule type="expression" priority="1556" dxfId="8">
      <formula>Datos!C120="D1"</formula>
    </cfRule>
    <cfRule type="expression" priority="1557" dxfId="9">
      <formula>Datos!C120="D2"</formula>
    </cfRule>
    <cfRule type="expression" priority="1558" dxfId="10">
      <formula>Datos!C120="D3"</formula>
    </cfRule>
    <cfRule type="expression" priority="1559" dxfId="11">
      <formula>Datos!C120="D4"</formula>
    </cfRule>
    <cfRule type="expression" priority="1560" dxfId="12">
      <formula>Datos!C120="MIX"</formula>
    </cfRule>
  </conditionalFormatting>
  <conditionalFormatting sqref="B12">
    <cfRule type="expression" priority="1561" dxfId="0">
      <formula>Datos!C121="C1"</formula>
    </cfRule>
    <cfRule type="expression" priority="1562" dxfId="1">
      <formula>Datos!C121="C2"</formula>
    </cfRule>
    <cfRule type="expression" priority="1563" dxfId="2">
      <formula>Datos!C121="C3"</formula>
    </cfRule>
    <cfRule type="expression" priority="1564" dxfId="3">
      <formula>Datos!C121="C4"</formula>
    </cfRule>
    <cfRule type="expression" priority="1565" dxfId="4">
      <formula>Datos!C121="M1"</formula>
    </cfRule>
    <cfRule type="expression" priority="1566" dxfId="5">
      <formula>Datos!C121="M2"</formula>
    </cfRule>
    <cfRule type="expression" priority="1567" dxfId="6">
      <formula>Datos!C121="M3"</formula>
    </cfRule>
    <cfRule type="expression" priority="1568" dxfId="7">
      <formula>Datos!C121="M4"</formula>
    </cfRule>
    <cfRule type="expression" priority="1569" dxfId="8">
      <formula>Datos!C121="D1"</formula>
    </cfRule>
    <cfRule type="expression" priority="1570" dxfId="9">
      <formula>Datos!C121="D2"</formula>
    </cfRule>
    <cfRule type="expression" priority="1571" dxfId="10">
      <formula>Datos!C121="D3"</formula>
    </cfRule>
    <cfRule type="expression" priority="1572" dxfId="11">
      <formula>Datos!C121="D4"</formula>
    </cfRule>
    <cfRule type="expression" priority="1573" dxfId="12">
      <formula>Datos!C121="MIX"</formula>
    </cfRule>
  </conditionalFormatting>
  <conditionalFormatting sqref="C12">
    <cfRule type="expression" priority="1574" dxfId="0">
      <formula>Datos!C122="C1"</formula>
    </cfRule>
    <cfRule type="expression" priority="1575" dxfId="1">
      <formula>Datos!C122="C2"</formula>
    </cfRule>
    <cfRule type="expression" priority="1576" dxfId="2">
      <formula>Datos!C122="C3"</formula>
    </cfRule>
    <cfRule type="expression" priority="1577" dxfId="3">
      <formula>Datos!C122="C4"</formula>
    </cfRule>
    <cfRule type="expression" priority="1578" dxfId="4">
      <formula>Datos!C122="M1"</formula>
    </cfRule>
    <cfRule type="expression" priority="1579" dxfId="5">
      <formula>Datos!C122="M2"</formula>
    </cfRule>
    <cfRule type="expression" priority="1580" dxfId="6">
      <formula>Datos!C122="M3"</formula>
    </cfRule>
    <cfRule type="expression" priority="1581" dxfId="7">
      <formula>Datos!C122="M4"</formula>
    </cfRule>
    <cfRule type="expression" priority="1582" dxfId="8">
      <formula>Datos!C122="D1"</formula>
    </cfRule>
    <cfRule type="expression" priority="1583" dxfId="9">
      <formula>Datos!C122="D2"</formula>
    </cfRule>
    <cfRule type="expression" priority="1584" dxfId="10">
      <formula>Datos!C122="D3"</formula>
    </cfRule>
    <cfRule type="expression" priority="1585" dxfId="11">
      <formula>Datos!C122="D4"</formula>
    </cfRule>
    <cfRule type="expression" priority="1586" dxfId="12">
      <formula>Datos!C122="MIX"</formula>
    </cfRule>
  </conditionalFormatting>
  <conditionalFormatting sqref="D12">
    <cfRule type="expression" priority="1587" dxfId="0">
      <formula>Datos!C123="C1"</formula>
    </cfRule>
    <cfRule type="expression" priority="1588" dxfId="1">
      <formula>Datos!C123="C2"</formula>
    </cfRule>
    <cfRule type="expression" priority="1589" dxfId="2">
      <formula>Datos!C123="C3"</formula>
    </cfRule>
    <cfRule type="expression" priority="1590" dxfId="3">
      <formula>Datos!C123="C4"</formula>
    </cfRule>
    <cfRule type="expression" priority="1591" dxfId="4">
      <formula>Datos!C123="M1"</formula>
    </cfRule>
    <cfRule type="expression" priority="1592" dxfId="5">
      <formula>Datos!C123="M2"</formula>
    </cfRule>
    <cfRule type="expression" priority="1593" dxfId="6">
      <formula>Datos!C123="M3"</formula>
    </cfRule>
    <cfRule type="expression" priority="1594" dxfId="7">
      <formula>Datos!C123="M4"</formula>
    </cfRule>
    <cfRule type="expression" priority="1595" dxfId="8">
      <formula>Datos!C123="D1"</formula>
    </cfRule>
    <cfRule type="expression" priority="1596" dxfId="9">
      <formula>Datos!C123="D2"</formula>
    </cfRule>
    <cfRule type="expression" priority="1597" dxfId="10">
      <formula>Datos!C123="D3"</formula>
    </cfRule>
    <cfRule type="expression" priority="1598" dxfId="11">
      <formula>Datos!C123="D4"</formula>
    </cfRule>
    <cfRule type="expression" priority="1599" dxfId="12">
      <formula>Datos!C123="MIX"</formula>
    </cfRule>
  </conditionalFormatting>
  <conditionalFormatting sqref="E12">
    <cfRule type="expression" priority="1600" dxfId="0">
      <formula>Datos!C124="C1"</formula>
    </cfRule>
    <cfRule type="expression" priority="1601" dxfId="1">
      <formula>Datos!C124="C2"</formula>
    </cfRule>
    <cfRule type="expression" priority="1602" dxfId="2">
      <formula>Datos!C124="C3"</formula>
    </cfRule>
    <cfRule type="expression" priority="1603" dxfId="3">
      <formula>Datos!C124="C4"</formula>
    </cfRule>
    <cfRule type="expression" priority="1604" dxfId="4">
      <formula>Datos!C124="M1"</formula>
    </cfRule>
    <cfRule type="expression" priority="1605" dxfId="5">
      <formula>Datos!C124="M2"</formula>
    </cfRule>
    <cfRule type="expression" priority="1606" dxfId="6">
      <formula>Datos!C124="M3"</formula>
    </cfRule>
    <cfRule type="expression" priority="1607" dxfId="7">
      <formula>Datos!C124="M4"</formula>
    </cfRule>
    <cfRule type="expression" priority="1608" dxfId="8">
      <formula>Datos!C124="D1"</formula>
    </cfRule>
    <cfRule type="expression" priority="1609" dxfId="9">
      <formula>Datos!C124="D2"</formula>
    </cfRule>
    <cfRule type="expression" priority="1610" dxfId="10">
      <formula>Datos!C124="D3"</formula>
    </cfRule>
    <cfRule type="expression" priority="1611" dxfId="11">
      <formula>Datos!C124="D4"</formula>
    </cfRule>
    <cfRule type="expression" priority="1612" dxfId="12">
      <formula>Datos!C124="MIX"</formula>
    </cfRule>
  </conditionalFormatting>
  <conditionalFormatting sqref="F12">
    <cfRule type="expression" priority="1613" dxfId="0">
      <formula>Datos!C125="C1"</formula>
    </cfRule>
    <cfRule type="expression" priority="1614" dxfId="1">
      <formula>Datos!C125="C2"</formula>
    </cfRule>
    <cfRule type="expression" priority="1615" dxfId="2">
      <formula>Datos!C125="C3"</formula>
    </cfRule>
    <cfRule type="expression" priority="1616" dxfId="3">
      <formula>Datos!C125="C4"</formula>
    </cfRule>
    <cfRule type="expression" priority="1617" dxfId="4">
      <formula>Datos!C125="M1"</formula>
    </cfRule>
    <cfRule type="expression" priority="1618" dxfId="5">
      <formula>Datos!C125="M2"</formula>
    </cfRule>
    <cfRule type="expression" priority="1619" dxfId="6">
      <formula>Datos!C125="M3"</formula>
    </cfRule>
    <cfRule type="expression" priority="1620" dxfId="7">
      <formula>Datos!C125="M4"</formula>
    </cfRule>
    <cfRule type="expression" priority="1621" dxfId="8">
      <formula>Datos!C125="D1"</formula>
    </cfRule>
    <cfRule type="expression" priority="1622" dxfId="9">
      <formula>Datos!C125="D2"</formula>
    </cfRule>
    <cfRule type="expression" priority="1623" dxfId="10">
      <formula>Datos!C125="D3"</formula>
    </cfRule>
    <cfRule type="expression" priority="1624" dxfId="11">
      <formula>Datos!C125="D4"</formula>
    </cfRule>
    <cfRule type="expression" priority="1625" dxfId="12">
      <formula>Datos!C125="MIX"</formula>
    </cfRule>
  </conditionalFormatting>
  <conditionalFormatting sqref="G12">
    <cfRule type="expression" priority="1626" dxfId="0">
      <formula>Datos!C126="C1"</formula>
    </cfRule>
    <cfRule type="expression" priority="1627" dxfId="1">
      <formula>Datos!C126="C2"</formula>
    </cfRule>
    <cfRule type="expression" priority="1628" dxfId="2">
      <formula>Datos!C126="C3"</formula>
    </cfRule>
    <cfRule type="expression" priority="1629" dxfId="3">
      <formula>Datos!C126="C4"</formula>
    </cfRule>
    <cfRule type="expression" priority="1630" dxfId="4">
      <formula>Datos!C126="M1"</formula>
    </cfRule>
    <cfRule type="expression" priority="1631" dxfId="5">
      <formula>Datos!C126="M2"</formula>
    </cfRule>
    <cfRule type="expression" priority="1632" dxfId="6">
      <formula>Datos!C126="M3"</formula>
    </cfRule>
    <cfRule type="expression" priority="1633" dxfId="7">
      <formula>Datos!C126="M4"</formula>
    </cfRule>
    <cfRule type="expression" priority="1634" dxfId="8">
      <formula>Datos!C126="D1"</formula>
    </cfRule>
    <cfRule type="expression" priority="1635" dxfId="9">
      <formula>Datos!C126="D2"</formula>
    </cfRule>
    <cfRule type="expression" priority="1636" dxfId="10">
      <formula>Datos!C126="D3"</formula>
    </cfRule>
    <cfRule type="expression" priority="1637" dxfId="11">
      <formula>Datos!C126="D4"</formula>
    </cfRule>
    <cfRule type="expression" priority="1638" dxfId="12">
      <formula>Datos!C126="MIX"</formula>
    </cfRule>
  </conditionalFormatting>
  <conditionalFormatting sqref="H12">
    <cfRule type="expression" priority="1639" dxfId="0">
      <formula>Datos!C127="C1"</formula>
    </cfRule>
    <cfRule type="expression" priority="1640" dxfId="1">
      <formula>Datos!C127="C2"</formula>
    </cfRule>
    <cfRule type="expression" priority="1641" dxfId="2">
      <formula>Datos!C127="C3"</formula>
    </cfRule>
    <cfRule type="expression" priority="1642" dxfId="3">
      <formula>Datos!C127="C4"</formula>
    </cfRule>
    <cfRule type="expression" priority="1643" dxfId="4">
      <formula>Datos!C127="M1"</formula>
    </cfRule>
    <cfRule type="expression" priority="1644" dxfId="5">
      <formula>Datos!C127="M2"</formula>
    </cfRule>
    <cfRule type="expression" priority="1645" dxfId="6">
      <formula>Datos!C127="M3"</formula>
    </cfRule>
    <cfRule type="expression" priority="1646" dxfId="7">
      <formula>Datos!C127="M4"</formula>
    </cfRule>
    <cfRule type="expression" priority="1647" dxfId="8">
      <formula>Datos!C127="D1"</formula>
    </cfRule>
    <cfRule type="expression" priority="1648" dxfId="9">
      <formula>Datos!C127="D2"</formula>
    </cfRule>
    <cfRule type="expression" priority="1649" dxfId="10">
      <formula>Datos!C127="D3"</formula>
    </cfRule>
    <cfRule type="expression" priority="1650" dxfId="11">
      <formula>Datos!C127="D4"</formula>
    </cfRule>
    <cfRule type="expression" priority="1651" dxfId="12">
      <formula>Datos!C127="MIX"</formula>
    </cfRule>
  </conditionalFormatting>
  <conditionalFormatting sqref="I12">
    <cfRule type="expression" priority="1652" dxfId="0">
      <formula>Datos!C128="C1"</formula>
    </cfRule>
    <cfRule type="expression" priority="1653" dxfId="1">
      <formula>Datos!C128="C2"</formula>
    </cfRule>
    <cfRule type="expression" priority="1654" dxfId="2">
      <formula>Datos!C128="C3"</formula>
    </cfRule>
    <cfRule type="expression" priority="1655" dxfId="3">
      <formula>Datos!C128="C4"</formula>
    </cfRule>
    <cfRule type="expression" priority="1656" dxfId="4">
      <formula>Datos!C128="M1"</formula>
    </cfRule>
    <cfRule type="expression" priority="1657" dxfId="5">
      <formula>Datos!C128="M2"</formula>
    </cfRule>
    <cfRule type="expression" priority="1658" dxfId="6">
      <formula>Datos!C128="M3"</formula>
    </cfRule>
    <cfRule type="expression" priority="1659" dxfId="7">
      <formula>Datos!C128="M4"</formula>
    </cfRule>
    <cfRule type="expression" priority="1660" dxfId="8">
      <formula>Datos!C128="D1"</formula>
    </cfRule>
    <cfRule type="expression" priority="1661" dxfId="9">
      <formula>Datos!C128="D2"</formula>
    </cfRule>
    <cfRule type="expression" priority="1662" dxfId="10">
      <formula>Datos!C128="D3"</formula>
    </cfRule>
    <cfRule type="expression" priority="1663" dxfId="11">
      <formula>Datos!C128="D4"</formula>
    </cfRule>
    <cfRule type="expression" priority="1664" dxfId="12">
      <formula>Datos!C128="MIX"</formula>
    </cfRule>
  </conditionalFormatting>
  <conditionalFormatting sqref="J12">
    <cfRule type="expression" priority="1665" dxfId="0">
      <formula>Datos!C129="C1"</formula>
    </cfRule>
    <cfRule type="expression" priority="1666" dxfId="1">
      <formula>Datos!C129="C2"</formula>
    </cfRule>
    <cfRule type="expression" priority="1667" dxfId="2">
      <formula>Datos!C129="C3"</formula>
    </cfRule>
    <cfRule type="expression" priority="1668" dxfId="3">
      <formula>Datos!C129="C4"</formula>
    </cfRule>
    <cfRule type="expression" priority="1669" dxfId="4">
      <formula>Datos!C129="M1"</formula>
    </cfRule>
    <cfRule type="expression" priority="1670" dxfId="5">
      <formula>Datos!C129="M2"</formula>
    </cfRule>
    <cfRule type="expression" priority="1671" dxfId="6">
      <formula>Datos!C129="M3"</formula>
    </cfRule>
    <cfRule type="expression" priority="1672" dxfId="7">
      <formula>Datos!C129="M4"</formula>
    </cfRule>
    <cfRule type="expression" priority="1673" dxfId="8">
      <formula>Datos!C129="D1"</formula>
    </cfRule>
    <cfRule type="expression" priority="1674" dxfId="9">
      <formula>Datos!C129="D2"</formula>
    </cfRule>
    <cfRule type="expression" priority="1675" dxfId="10">
      <formula>Datos!C129="D3"</formula>
    </cfRule>
    <cfRule type="expression" priority="1676" dxfId="11">
      <formula>Datos!C129="D4"</formula>
    </cfRule>
    <cfRule type="expression" priority="1677" dxfId="12">
      <formula>Datos!C129="MIX"</formula>
    </cfRule>
  </conditionalFormatting>
  <conditionalFormatting sqref="K12">
    <cfRule type="expression" priority="1678" dxfId="0">
      <formula>Datos!C130="C1"</formula>
    </cfRule>
    <cfRule type="expression" priority="1679" dxfId="1">
      <formula>Datos!C130="C2"</formula>
    </cfRule>
    <cfRule type="expression" priority="1680" dxfId="2">
      <formula>Datos!C130="C3"</formula>
    </cfRule>
    <cfRule type="expression" priority="1681" dxfId="3">
      <formula>Datos!C130="C4"</formula>
    </cfRule>
    <cfRule type="expression" priority="1682" dxfId="4">
      <formula>Datos!C130="M1"</formula>
    </cfRule>
    <cfRule type="expression" priority="1683" dxfId="5">
      <formula>Datos!C130="M2"</formula>
    </cfRule>
    <cfRule type="expression" priority="1684" dxfId="6">
      <formula>Datos!C130="M3"</formula>
    </cfRule>
    <cfRule type="expression" priority="1685" dxfId="7">
      <formula>Datos!C130="M4"</formula>
    </cfRule>
    <cfRule type="expression" priority="1686" dxfId="8">
      <formula>Datos!C130="D1"</formula>
    </cfRule>
    <cfRule type="expression" priority="1687" dxfId="9">
      <formula>Datos!C130="D2"</formula>
    </cfRule>
    <cfRule type="expression" priority="1688" dxfId="10">
      <formula>Datos!C130="D3"</formula>
    </cfRule>
    <cfRule type="expression" priority="1689" dxfId="11">
      <formula>Datos!C130="D4"</formula>
    </cfRule>
    <cfRule type="expression" priority="1690" dxfId="12">
      <formula>Datos!C130="MIX"</formula>
    </cfRule>
  </conditionalFormatting>
  <conditionalFormatting sqref="L12">
    <cfRule type="expression" priority="1691" dxfId="0">
      <formula>Datos!C131="C1"</formula>
    </cfRule>
    <cfRule type="expression" priority="1692" dxfId="1">
      <formula>Datos!C131="C2"</formula>
    </cfRule>
    <cfRule type="expression" priority="1693" dxfId="2">
      <formula>Datos!C131="C3"</formula>
    </cfRule>
    <cfRule type="expression" priority="1694" dxfId="3">
      <formula>Datos!C131="C4"</formula>
    </cfRule>
    <cfRule type="expression" priority="1695" dxfId="4">
      <formula>Datos!C131="M1"</formula>
    </cfRule>
    <cfRule type="expression" priority="1696" dxfId="5">
      <formula>Datos!C131="M2"</formula>
    </cfRule>
    <cfRule type="expression" priority="1697" dxfId="6">
      <formula>Datos!C131="M3"</formula>
    </cfRule>
    <cfRule type="expression" priority="1698" dxfId="7">
      <formula>Datos!C131="M4"</formula>
    </cfRule>
    <cfRule type="expression" priority="1699" dxfId="8">
      <formula>Datos!C131="D1"</formula>
    </cfRule>
    <cfRule type="expression" priority="1700" dxfId="9">
      <formula>Datos!C131="D2"</formula>
    </cfRule>
    <cfRule type="expression" priority="1701" dxfId="10">
      <formula>Datos!C131="D3"</formula>
    </cfRule>
    <cfRule type="expression" priority="1702" dxfId="11">
      <formula>Datos!C131="D4"</formula>
    </cfRule>
    <cfRule type="expression" priority="1703" dxfId="12">
      <formula>Datos!C131="MIX"</formula>
    </cfRule>
  </conditionalFormatting>
  <conditionalFormatting sqref="M12">
    <cfRule type="expression" priority="1704" dxfId="0">
      <formula>Datos!C132="C1"</formula>
    </cfRule>
    <cfRule type="expression" priority="1705" dxfId="1">
      <formula>Datos!C132="C2"</formula>
    </cfRule>
    <cfRule type="expression" priority="1706" dxfId="2">
      <formula>Datos!C132="C3"</formula>
    </cfRule>
    <cfRule type="expression" priority="1707" dxfId="3">
      <formula>Datos!C132="C4"</formula>
    </cfRule>
    <cfRule type="expression" priority="1708" dxfId="4">
      <formula>Datos!C132="M1"</formula>
    </cfRule>
    <cfRule type="expression" priority="1709" dxfId="5">
      <formula>Datos!C132="M2"</formula>
    </cfRule>
    <cfRule type="expression" priority="1710" dxfId="6">
      <formula>Datos!C132="M3"</formula>
    </cfRule>
    <cfRule type="expression" priority="1711" dxfId="7">
      <formula>Datos!C132="M4"</formula>
    </cfRule>
    <cfRule type="expression" priority="1712" dxfId="8">
      <formula>Datos!C132="D1"</formula>
    </cfRule>
    <cfRule type="expression" priority="1713" dxfId="9">
      <formula>Datos!C132="D2"</formula>
    </cfRule>
    <cfRule type="expression" priority="1714" dxfId="10">
      <formula>Datos!C132="D3"</formula>
    </cfRule>
    <cfRule type="expression" priority="1715" dxfId="11">
      <formula>Datos!C132="D4"</formula>
    </cfRule>
    <cfRule type="expression" priority="1716" dxfId="12">
      <formula>Datos!C132="MIX"</formula>
    </cfRule>
  </conditionalFormatting>
  <conditionalFormatting sqref="N12">
    <cfRule type="expression" priority="1717" dxfId="0">
      <formula>Datos!C133="C1"</formula>
    </cfRule>
    <cfRule type="expression" priority="1718" dxfId="1">
      <formula>Datos!C133="C2"</formula>
    </cfRule>
    <cfRule type="expression" priority="1719" dxfId="2">
      <formula>Datos!C133="C3"</formula>
    </cfRule>
    <cfRule type="expression" priority="1720" dxfId="3">
      <formula>Datos!C133="C4"</formula>
    </cfRule>
    <cfRule type="expression" priority="1721" dxfId="4">
      <formula>Datos!C133="M1"</formula>
    </cfRule>
    <cfRule type="expression" priority="1722" dxfId="5">
      <formula>Datos!C133="M2"</formula>
    </cfRule>
    <cfRule type="expression" priority="1723" dxfId="6">
      <formula>Datos!C133="M3"</formula>
    </cfRule>
    <cfRule type="expression" priority="1724" dxfId="7">
      <formula>Datos!C133="M4"</formula>
    </cfRule>
    <cfRule type="expression" priority="1725" dxfId="8">
      <formula>Datos!C133="D1"</formula>
    </cfRule>
    <cfRule type="expression" priority="1726" dxfId="9">
      <formula>Datos!C133="D2"</formula>
    </cfRule>
    <cfRule type="expression" priority="1727" dxfId="10">
      <formula>Datos!C133="D3"</formula>
    </cfRule>
    <cfRule type="expression" priority="1728" dxfId="11">
      <formula>Datos!C133="D4"</formula>
    </cfRule>
    <cfRule type="expression" priority="1729" dxfId="12">
      <formula>Datos!C133="MIX"</formula>
    </cfRule>
  </conditionalFormatting>
  <conditionalFormatting sqref="O12">
    <cfRule type="expression" priority="1730" dxfId="0">
      <formula>Datos!C134="C1"</formula>
    </cfRule>
    <cfRule type="expression" priority="1731" dxfId="1">
      <formula>Datos!C134="C2"</formula>
    </cfRule>
    <cfRule type="expression" priority="1732" dxfId="2">
      <formula>Datos!C134="C3"</formula>
    </cfRule>
    <cfRule type="expression" priority="1733" dxfId="3">
      <formula>Datos!C134="C4"</formula>
    </cfRule>
    <cfRule type="expression" priority="1734" dxfId="4">
      <formula>Datos!C134="M1"</formula>
    </cfRule>
    <cfRule type="expression" priority="1735" dxfId="5">
      <formula>Datos!C134="M2"</formula>
    </cfRule>
    <cfRule type="expression" priority="1736" dxfId="6">
      <formula>Datos!C134="M3"</formula>
    </cfRule>
    <cfRule type="expression" priority="1737" dxfId="7">
      <formula>Datos!C134="M4"</formula>
    </cfRule>
    <cfRule type="expression" priority="1738" dxfId="8">
      <formula>Datos!C134="D1"</formula>
    </cfRule>
    <cfRule type="expression" priority="1739" dxfId="9">
      <formula>Datos!C134="D2"</formula>
    </cfRule>
    <cfRule type="expression" priority="1740" dxfId="10">
      <formula>Datos!C134="D3"</formula>
    </cfRule>
    <cfRule type="expression" priority="1741" dxfId="11">
      <formula>Datos!C134="D4"</formula>
    </cfRule>
    <cfRule type="expression" priority="1742" dxfId="12">
      <formula>Datos!C134="MIX"</formula>
    </cfRule>
  </conditionalFormatting>
  <conditionalFormatting sqref="P12">
    <cfRule type="expression" priority="1743" dxfId="0">
      <formula>Datos!C135="C1"</formula>
    </cfRule>
    <cfRule type="expression" priority="1744" dxfId="1">
      <formula>Datos!C135="C2"</formula>
    </cfRule>
    <cfRule type="expression" priority="1745" dxfId="2">
      <formula>Datos!C135="C3"</formula>
    </cfRule>
    <cfRule type="expression" priority="1746" dxfId="3">
      <formula>Datos!C135="C4"</formula>
    </cfRule>
    <cfRule type="expression" priority="1747" dxfId="4">
      <formula>Datos!C135="M1"</formula>
    </cfRule>
    <cfRule type="expression" priority="1748" dxfId="5">
      <formula>Datos!C135="M2"</formula>
    </cfRule>
    <cfRule type="expression" priority="1749" dxfId="6">
      <formula>Datos!C135="M3"</formula>
    </cfRule>
    <cfRule type="expression" priority="1750" dxfId="7">
      <formula>Datos!C135="M4"</formula>
    </cfRule>
    <cfRule type="expression" priority="1751" dxfId="8">
      <formula>Datos!C135="D1"</formula>
    </cfRule>
    <cfRule type="expression" priority="1752" dxfId="9">
      <formula>Datos!C135="D2"</formula>
    </cfRule>
    <cfRule type="expression" priority="1753" dxfId="10">
      <formula>Datos!C135="D3"</formula>
    </cfRule>
    <cfRule type="expression" priority="1754" dxfId="11">
      <formula>Datos!C135="D4"</formula>
    </cfRule>
    <cfRule type="expression" priority="1755" dxfId="12">
      <formula>Datos!C135="MIX"</formula>
    </cfRule>
  </conditionalFormatting>
  <conditionalFormatting sqref="B13">
    <cfRule type="expression" priority="1756" dxfId="0">
      <formula>Datos!C136="C1"</formula>
    </cfRule>
    <cfRule type="expression" priority="1757" dxfId="1">
      <formula>Datos!C136="C2"</formula>
    </cfRule>
    <cfRule type="expression" priority="1758" dxfId="2">
      <formula>Datos!C136="C3"</formula>
    </cfRule>
    <cfRule type="expression" priority="1759" dxfId="3">
      <formula>Datos!C136="C4"</formula>
    </cfRule>
    <cfRule type="expression" priority="1760" dxfId="4">
      <formula>Datos!C136="M1"</formula>
    </cfRule>
    <cfRule type="expression" priority="1761" dxfId="5">
      <formula>Datos!C136="M2"</formula>
    </cfRule>
    <cfRule type="expression" priority="1762" dxfId="6">
      <formula>Datos!C136="M3"</formula>
    </cfRule>
    <cfRule type="expression" priority="1763" dxfId="7">
      <formula>Datos!C136="M4"</formula>
    </cfRule>
    <cfRule type="expression" priority="1764" dxfId="8">
      <formula>Datos!C136="D1"</formula>
    </cfRule>
    <cfRule type="expression" priority="1765" dxfId="9">
      <formula>Datos!C136="D2"</formula>
    </cfRule>
    <cfRule type="expression" priority="1766" dxfId="10">
      <formula>Datos!C136="D3"</formula>
    </cfRule>
    <cfRule type="expression" priority="1767" dxfId="11">
      <formula>Datos!C136="D4"</formula>
    </cfRule>
    <cfRule type="expression" priority="1768" dxfId="12">
      <formula>Datos!C136="MIX"</formula>
    </cfRule>
  </conditionalFormatting>
  <conditionalFormatting sqref="C13">
    <cfRule type="expression" priority="1769" dxfId="0">
      <formula>Datos!C137="C1"</formula>
    </cfRule>
    <cfRule type="expression" priority="1770" dxfId="1">
      <formula>Datos!C137="C2"</formula>
    </cfRule>
    <cfRule type="expression" priority="1771" dxfId="2">
      <formula>Datos!C137="C3"</formula>
    </cfRule>
    <cfRule type="expression" priority="1772" dxfId="3">
      <formula>Datos!C137="C4"</formula>
    </cfRule>
    <cfRule type="expression" priority="1773" dxfId="4">
      <formula>Datos!C137="M1"</formula>
    </cfRule>
    <cfRule type="expression" priority="1774" dxfId="5">
      <formula>Datos!C137="M2"</formula>
    </cfRule>
    <cfRule type="expression" priority="1775" dxfId="6">
      <formula>Datos!C137="M3"</formula>
    </cfRule>
    <cfRule type="expression" priority="1776" dxfId="7">
      <formula>Datos!C137="M4"</formula>
    </cfRule>
    <cfRule type="expression" priority="1777" dxfId="8">
      <formula>Datos!C137="D1"</formula>
    </cfRule>
    <cfRule type="expression" priority="1778" dxfId="9">
      <formula>Datos!C137="D2"</formula>
    </cfRule>
    <cfRule type="expression" priority="1779" dxfId="10">
      <formula>Datos!C137="D3"</formula>
    </cfRule>
    <cfRule type="expression" priority="1780" dxfId="11">
      <formula>Datos!C137="D4"</formula>
    </cfRule>
    <cfRule type="expression" priority="1781" dxfId="12">
      <formula>Datos!C137="MIX"</formula>
    </cfRule>
  </conditionalFormatting>
  <conditionalFormatting sqref="D13">
    <cfRule type="expression" priority="1782" dxfId="0">
      <formula>Datos!C138="C1"</formula>
    </cfRule>
    <cfRule type="expression" priority="1783" dxfId="1">
      <formula>Datos!C138="C2"</formula>
    </cfRule>
    <cfRule type="expression" priority="1784" dxfId="2">
      <formula>Datos!C138="C3"</formula>
    </cfRule>
    <cfRule type="expression" priority="1785" dxfId="3">
      <formula>Datos!C138="C4"</formula>
    </cfRule>
    <cfRule type="expression" priority="1786" dxfId="4">
      <formula>Datos!C138="M1"</formula>
    </cfRule>
    <cfRule type="expression" priority="1787" dxfId="5">
      <formula>Datos!C138="M2"</formula>
    </cfRule>
    <cfRule type="expression" priority="1788" dxfId="6">
      <formula>Datos!C138="M3"</formula>
    </cfRule>
    <cfRule type="expression" priority="1789" dxfId="7">
      <formula>Datos!C138="M4"</formula>
    </cfRule>
    <cfRule type="expression" priority="1790" dxfId="8">
      <formula>Datos!C138="D1"</formula>
    </cfRule>
    <cfRule type="expression" priority="1791" dxfId="9">
      <formula>Datos!C138="D2"</formula>
    </cfRule>
    <cfRule type="expression" priority="1792" dxfId="10">
      <formula>Datos!C138="D3"</formula>
    </cfRule>
    <cfRule type="expression" priority="1793" dxfId="11">
      <formula>Datos!C138="D4"</formula>
    </cfRule>
    <cfRule type="expression" priority="1794" dxfId="12">
      <formula>Datos!C138="MIX"</formula>
    </cfRule>
  </conditionalFormatting>
  <conditionalFormatting sqref="E13">
    <cfRule type="expression" priority="1795" dxfId="0">
      <formula>Datos!C139="C1"</formula>
    </cfRule>
    <cfRule type="expression" priority="1796" dxfId="1">
      <formula>Datos!C139="C2"</formula>
    </cfRule>
    <cfRule type="expression" priority="1797" dxfId="2">
      <formula>Datos!C139="C3"</formula>
    </cfRule>
    <cfRule type="expression" priority="1798" dxfId="3">
      <formula>Datos!C139="C4"</formula>
    </cfRule>
    <cfRule type="expression" priority="1799" dxfId="4">
      <formula>Datos!C139="M1"</formula>
    </cfRule>
    <cfRule type="expression" priority="1800" dxfId="5">
      <formula>Datos!C139="M2"</formula>
    </cfRule>
    <cfRule type="expression" priority="1801" dxfId="6">
      <formula>Datos!C139="M3"</formula>
    </cfRule>
    <cfRule type="expression" priority="1802" dxfId="7">
      <formula>Datos!C139="M4"</formula>
    </cfRule>
    <cfRule type="expression" priority="1803" dxfId="8">
      <formula>Datos!C139="D1"</formula>
    </cfRule>
    <cfRule type="expression" priority="1804" dxfId="9">
      <formula>Datos!C139="D2"</formula>
    </cfRule>
    <cfRule type="expression" priority="1805" dxfId="10">
      <formula>Datos!C139="D3"</formula>
    </cfRule>
    <cfRule type="expression" priority="1806" dxfId="11">
      <formula>Datos!C139="D4"</formula>
    </cfRule>
    <cfRule type="expression" priority="1807" dxfId="12">
      <formula>Datos!C139="MIX"</formula>
    </cfRule>
  </conditionalFormatting>
  <conditionalFormatting sqref="F13">
    <cfRule type="expression" priority="1808" dxfId="0">
      <formula>Datos!C140="C1"</formula>
    </cfRule>
    <cfRule type="expression" priority="1809" dxfId="1">
      <formula>Datos!C140="C2"</formula>
    </cfRule>
    <cfRule type="expression" priority="1810" dxfId="2">
      <formula>Datos!C140="C3"</formula>
    </cfRule>
    <cfRule type="expression" priority="1811" dxfId="3">
      <formula>Datos!C140="C4"</formula>
    </cfRule>
    <cfRule type="expression" priority="1812" dxfId="4">
      <formula>Datos!C140="M1"</formula>
    </cfRule>
    <cfRule type="expression" priority="1813" dxfId="5">
      <formula>Datos!C140="M2"</formula>
    </cfRule>
    <cfRule type="expression" priority="1814" dxfId="6">
      <formula>Datos!C140="M3"</formula>
    </cfRule>
    <cfRule type="expression" priority="1815" dxfId="7">
      <formula>Datos!C140="M4"</formula>
    </cfRule>
    <cfRule type="expression" priority="1816" dxfId="8">
      <formula>Datos!C140="D1"</formula>
    </cfRule>
    <cfRule type="expression" priority="1817" dxfId="9">
      <formula>Datos!C140="D2"</formula>
    </cfRule>
    <cfRule type="expression" priority="1818" dxfId="10">
      <formula>Datos!C140="D3"</formula>
    </cfRule>
    <cfRule type="expression" priority="1819" dxfId="11">
      <formula>Datos!C140="D4"</formula>
    </cfRule>
    <cfRule type="expression" priority="1820" dxfId="12">
      <formula>Datos!C140="MIX"</formula>
    </cfRule>
  </conditionalFormatting>
  <conditionalFormatting sqref="G13">
    <cfRule type="expression" priority="1821" dxfId="0">
      <formula>Datos!C141="C1"</formula>
    </cfRule>
    <cfRule type="expression" priority="1822" dxfId="1">
      <formula>Datos!C141="C2"</formula>
    </cfRule>
    <cfRule type="expression" priority="1823" dxfId="2">
      <formula>Datos!C141="C3"</formula>
    </cfRule>
    <cfRule type="expression" priority="1824" dxfId="3">
      <formula>Datos!C141="C4"</formula>
    </cfRule>
    <cfRule type="expression" priority="1825" dxfId="4">
      <formula>Datos!C141="M1"</formula>
    </cfRule>
    <cfRule type="expression" priority="1826" dxfId="5">
      <formula>Datos!C141="M2"</formula>
    </cfRule>
    <cfRule type="expression" priority="1827" dxfId="6">
      <formula>Datos!C141="M3"</formula>
    </cfRule>
    <cfRule type="expression" priority="1828" dxfId="7">
      <formula>Datos!C141="M4"</formula>
    </cfRule>
    <cfRule type="expression" priority="1829" dxfId="8">
      <formula>Datos!C141="D1"</formula>
    </cfRule>
    <cfRule type="expression" priority="1830" dxfId="9">
      <formula>Datos!C141="D2"</formula>
    </cfRule>
    <cfRule type="expression" priority="1831" dxfId="10">
      <formula>Datos!C141="D3"</formula>
    </cfRule>
    <cfRule type="expression" priority="1832" dxfId="11">
      <formula>Datos!C141="D4"</formula>
    </cfRule>
    <cfRule type="expression" priority="1833" dxfId="12">
      <formula>Datos!C141="MIX"</formula>
    </cfRule>
  </conditionalFormatting>
  <conditionalFormatting sqref="H13">
    <cfRule type="expression" priority="1834" dxfId="0">
      <formula>Datos!C142="C1"</formula>
    </cfRule>
    <cfRule type="expression" priority="1835" dxfId="1">
      <formula>Datos!C142="C2"</formula>
    </cfRule>
    <cfRule type="expression" priority="1836" dxfId="2">
      <formula>Datos!C142="C3"</formula>
    </cfRule>
    <cfRule type="expression" priority="1837" dxfId="3">
      <formula>Datos!C142="C4"</formula>
    </cfRule>
    <cfRule type="expression" priority="1838" dxfId="4">
      <formula>Datos!C142="M1"</formula>
    </cfRule>
    <cfRule type="expression" priority="1839" dxfId="5">
      <formula>Datos!C142="M2"</formula>
    </cfRule>
    <cfRule type="expression" priority="1840" dxfId="6">
      <formula>Datos!C142="M3"</formula>
    </cfRule>
    <cfRule type="expression" priority="1841" dxfId="7">
      <formula>Datos!C142="M4"</formula>
    </cfRule>
    <cfRule type="expression" priority="1842" dxfId="8">
      <formula>Datos!C142="D1"</formula>
    </cfRule>
    <cfRule type="expression" priority="1843" dxfId="9">
      <formula>Datos!C142="D2"</formula>
    </cfRule>
    <cfRule type="expression" priority="1844" dxfId="10">
      <formula>Datos!C142="D3"</formula>
    </cfRule>
    <cfRule type="expression" priority="1845" dxfId="11">
      <formula>Datos!C142="D4"</formula>
    </cfRule>
    <cfRule type="expression" priority="1846" dxfId="12">
      <formula>Datos!C142="MIX"</formula>
    </cfRule>
  </conditionalFormatting>
  <conditionalFormatting sqref="I13">
    <cfRule type="expression" priority="1847" dxfId="0">
      <formula>Datos!C143="C1"</formula>
    </cfRule>
    <cfRule type="expression" priority="1848" dxfId="1">
      <formula>Datos!C143="C2"</formula>
    </cfRule>
    <cfRule type="expression" priority="1849" dxfId="2">
      <formula>Datos!C143="C3"</formula>
    </cfRule>
    <cfRule type="expression" priority="1850" dxfId="3">
      <formula>Datos!C143="C4"</formula>
    </cfRule>
    <cfRule type="expression" priority="1851" dxfId="4">
      <formula>Datos!C143="M1"</formula>
    </cfRule>
    <cfRule type="expression" priority="1852" dxfId="5">
      <formula>Datos!C143="M2"</formula>
    </cfRule>
    <cfRule type="expression" priority="1853" dxfId="6">
      <formula>Datos!C143="M3"</formula>
    </cfRule>
    <cfRule type="expression" priority="1854" dxfId="7">
      <formula>Datos!C143="M4"</formula>
    </cfRule>
    <cfRule type="expression" priority="1855" dxfId="8">
      <formula>Datos!C143="D1"</formula>
    </cfRule>
    <cfRule type="expression" priority="1856" dxfId="9">
      <formula>Datos!C143="D2"</formula>
    </cfRule>
    <cfRule type="expression" priority="1857" dxfId="10">
      <formula>Datos!C143="D3"</formula>
    </cfRule>
    <cfRule type="expression" priority="1858" dxfId="11">
      <formula>Datos!C143="D4"</formula>
    </cfRule>
    <cfRule type="expression" priority="1859" dxfId="12">
      <formula>Datos!C143="MIX"</formula>
    </cfRule>
  </conditionalFormatting>
  <conditionalFormatting sqref="J13">
    <cfRule type="expression" priority="1860" dxfId="0">
      <formula>Datos!C144="C1"</formula>
    </cfRule>
    <cfRule type="expression" priority="1861" dxfId="1">
      <formula>Datos!C144="C2"</formula>
    </cfRule>
    <cfRule type="expression" priority="1862" dxfId="2">
      <formula>Datos!C144="C3"</formula>
    </cfRule>
    <cfRule type="expression" priority="1863" dxfId="3">
      <formula>Datos!C144="C4"</formula>
    </cfRule>
    <cfRule type="expression" priority="1864" dxfId="4">
      <formula>Datos!C144="M1"</formula>
    </cfRule>
    <cfRule type="expression" priority="1865" dxfId="5">
      <formula>Datos!C144="M2"</formula>
    </cfRule>
    <cfRule type="expression" priority="1866" dxfId="6">
      <formula>Datos!C144="M3"</formula>
    </cfRule>
    <cfRule type="expression" priority="1867" dxfId="7">
      <formula>Datos!C144="M4"</formula>
    </cfRule>
    <cfRule type="expression" priority="1868" dxfId="8">
      <formula>Datos!C144="D1"</formula>
    </cfRule>
    <cfRule type="expression" priority="1869" dxfId="9">
      <formula>Datos!C144="D2"</formula>
    </cfRule>
    <cfRule type="expression" priority="1870" dxfId="10">
      <formula>Datos!C144="D3"</formula>
    </cfRule>
    <cfRule type="expression" priority="1871" dxfId="11">
      <formula>Datos!C144="D4"</formula>
    </cfRule>
    <cfRule type="expression" priority="1872" dxfId="12">
      <formula>Datos!C144="MIX"</formula>
    </cfRule>
  </conditionalFormatting>
  <conditionalFormatting sqref="K13">
    <cfRule type="expression" priority="1873" dxfId="0">
      <formula>Datos!C145="C1"</formula>
    </cfRule>
    <cfRule type="expression" priority="1874" dxfId="1">
      <formula>Datos!C145="C2"</formula>
    </cfRule>
    <cfRule type="expression" priority="1875" dxfId="2">
      <formula>Datos!C145="C3"</formula>
    </cfRule>
    <cfRule type="expression" priority="1876" dxfId="3">
      <formula>Datos!C145="C4"</formula>
    </cfRule>
    <cfRule type="expression" priority="1877" dxfId="4">
      <formula>Datos!C145="M1"</formula>
    </cfRule>
    <cfRule type="expression" priority="1878" dxfId="5">
      <formula>Datos!C145="M2"</formula>
    </cfRule>
    <cfRule type="expression" priority="1879" dxfId="6">
      <formula>Datos!C145="M3"</formula>
    </cfRule>
    <cfRule type="expression" priority="1880" dxfId="7">
      <formula>Datos!C145="M4"</formula>
    </cfRule>
    <cfRule type="expression" priority="1881" dxfId="8">
      <formula>Datos!C145="D1"</formula>
    </cfRule>
    <cfRule type="expression" priority="1882" dxfId="9">
      <formula>Datos!C145="D2"</formula>
    </cfRule>
    <cfRule type="expression" priority="1883" dxfId="10">
      <formula>Datos!C145="D3"</formula>
    </cfRule>
    <cfRule type="expression" priority="1884" dxfId="11">
      <formula>Datos!C145="D4"</formula>
    </cfRule>
    <cfRule type="expression" priority="1885" dxfId="12">
      <formula>Datos!C145="MIX"</formula>
    </cfRule>
  </conditionalFormatting>
  <conditionalFormatting sqref="L13">
    <cfRule type="expression" priority="1886" dxfId="0">
      <formula>Datos!C146="C1"</formula>
    </cfRule>
    <cfRule type="expression" priority="1887" dxfId="1">
      <formula>Datos!C146="C2"</formula>
    </cfRule>
    <cfRule type="expression" priority="1888" dxfId="2">
      <formula>Datos!C146="C3"</formula>
    </cfRule>
    <cfRule type="expression" priority="1889" dxfId="3">
      <formula>Datos!C146="C4"</formula>
    </cfRule>
    <cfRule type="expression" priority="1890" dxfId="4">
      <formula>Datos!C146="M1"</formula>
    </cfRule>
    <cfRule type="expression" priority="1891" dxfId="5">
      <formula>Datos!C146="M2"</formula>
    </cfRule>
    <cfRule type="expression" priority="1892" dxfId="6">
      <formula>Datos!C146="M3"</formula>
    </cfRule>
    <cfRule type="expression" priority="1893" dxfId="7">
      <formula>Datos!C146="M4"</formula>
    </cfRule>
    <cfRule type="expression" priority="1894" dxfId="8">
      <formula>Datos!C146="D1"</formula>
    </cfRule>
    <cfRule type="expression" priority="1895" dxfId="9">
      <formula>Datos!C146="D2"</formula>
    </cfRule>
    <cfRule type="expression" priority="1896" dxfId="10">
      <formula>Datos!C146="D3"</formula>
    </cfRule>
    <cfRule type="expression" priority="1897" dxfId="11">
      <formula>Datos!C146="D4"</formula>
    </cfRule>
    <cfRule type="expression" priority="1898" dxfId="12">
      <formula>Datos!C146="MIX"</formula>
    </cfRule>
  </conditionalFormatting>
  <conditionalFormatting sqref="M13">
    <cfRule type="expression" priority="1899" dxfId="0">
      <formula>Datos!C147="C1"</formula>
    </cfRule>
    <cfRule type="expression" priority="1900" dxfId="1">
      <formula>Datos!C147="C2"</formula>
    </cfRule>
    <cfRule type="expression" priority="1901" dxfId="2">
      <formula>Datos!C147="C3"</formula>
    </cfRule>
    <cfRule type="expression" priority="1902" dxfId="3">
      <formula>Datos!C147="C4"</formula>
    </cfRule>
    <cfRule type="expression" priority="1903" dxfId="4">
      <formula>Datos!C147="M1"</formula>
    </cfRule>
    <cfRule type="expression" priority="1904" dxfId="5">
      <formula>Datos!C147="M2"</formula>
    </cfRule>
    <cfRule type="expression" priority="1905" dxfId="6">
      <formula>Datos!C147="M3"</formula>
    </cfRule>
    <cfRule type="expression" priority="1906" dxfId="7">
      <formula>Datos!C147="M4"</formula>
    </cfRule>
    <cfRule type="expression" priority="1907" dxfId="8">
      <formula>Datos!C147="D1"</formula>
    </cfRule>
    <cfRule type="expression" priority="1908" dxfId="9">
      <formula>Datos!C147="D2"</formula>
    </cfRule>
    <cfRule type="expression" priority="1909" dxfId="10">
      <formula>Datos!C147="D3"</formula>
    </cfRule>
    <cfRule type="expression" priority="1910" dxfId="11">
      <formula>Datos!C147="D4"</formula>
    </cfRule>
    <cfRule type="expression" priority="1911" dxfId="12">
      <formula>Datos!C147="MIX"</formula>
    </cfRule>
  </conditionalFormatting>
  <conditionalFormatting sqref="N13">
    <cfRule type="expression" priority="1912" dxfId="0">
      <formula>Datos!C148="C1"</formula>
    </cfRule>
    <cfRule type="expression" priority="1913" dxfId="1">
      <formula>Datos!C148="C2"</formula>
    </cfRule>
    <cfRule type="expression" priority="1914" dxfId="2">
      <formula>Datos!C148="C3"</formula>
    </cfRule>
    <cfRule type="expression" priority="1915" dxfId="3">
      <formula>Datos!C148="C4"</formula>
    </cfRule>
    <cfRule type="expression" priority="1916" dxfId="4">
      <formula>Datos!C148="M1"</formula>
    </cfRule>
    <cfRule type="expression" priority="1917" dxfId="5">
      <formula>Datos!C148="M2"</formula>
    </cfRule>
    <cfRule type="expression" priority="1918" dxfId="6">
      <formula>Datos!C148="M3"</formula>
    </cfRule>
    <cfRule type="expression" priority="1919" dxfId="7">
      <formula>Datos!C148="M4"</formula>
    </cfRule>
    <cfRule type="expression" priority="1920" dxfId="8">
      <formula>Datos!C148="D1"</formula>
    </cfRule>
    <cfRule type="expression" priority="1921" dxfId="9">
      <formula>Datos!C148="D2"</formula>
    </cfRule>
    <cfRule type="expression" priority="1922" dxfId="10">
      <formula>Datos!C148="D3"</formula>
    </cfRule>
    <cfRule type="expression" priority="1923" dxfId="11">
      <formula>Datos!C148="D4"</formula>
    </cfRule>
    <cfRule type="expression" priority="1924" dxfId="12">
      <formula>Datos!C148="MIX"</formula>
    </cfRule>
  </conditionalFormatting>
  <conditionalFormatting sqref="O13">
    <cfRule type="expression" priority="1925" dxfId="0">
      <formula>Datos!C149="C1"</formula>
    </cfRule>
    <cfRule type="expression" priority="1926" dxfId="1">
      <formula>Datos!C149="C2"</formula>
    </cfRule>
    <cfRule type="expression" priority="1927" dxfId="2">
      <formula>Datos!C149="C3"</formula>
    </cfRule>
    <cfRule type="expression" priority="1928" dxfId="3">
      <formula>Datos!C149="C4"</formula>
    </cfRule>
    <cfRule type="expression" priority="1929" dxfId="4">
      <formula>Datos!C149="M1"</formula>
    </cfRule>
    <cfRule type="expression" priority="1930" dxfId="5">
      <formula>Datos!C149="M2"</formula>
    </cfRule>
    <cfRule type="expression" priority="1931" dxfId="6">
      <formula>Datos!C149="M3"</formula>
    </cfRule>
    <cfRule type="expression" priority="1932" dxfId="7">
      <formula>Datos!C149="M4"</formula>
    </cfRule>
    <cfRule type="expression" priority="1933" dxfId="8">
      <formula>Datos!C149="D1"</formula>
    </cfRule>
    <cfRule type="expression" priority="1934" dxfId="9">
      <formula>Datos!C149="D2"</formula>
    </cfRule>
    <cfRule type="expression" priority="1935" dxfId="10">
      <formula>Datos!C149="D3"</formula>
    </cfRule>
    <cfRule type="expression" priority="1936" dxfId="11">
      <formula>Datos!C149="D4"</formula>
    </cfRule>
    <cfRule type="expression" priority="1937" dxfId="12">
      <formula>Datos!C149="MIX"</formula>
    </cfRule>
  </conditionalFormatting>
  <conditionalFormatting sqref="P13">
    <cfRule type="expression" priority="1938" dxfId="0">
      <formula>Datos!C150="C1"</formula>
    </cfRule>
    <cfRule type="expression" priority="1939" dxfId="1">
      <formula>Datos!C150="C2"</formula>
    </cfRule>
    <cfRule type="expression" priority="1940" dxfId="2">
      <formula>Datos!C150="C3"</formula>
    </cfRule>
    <cfRule type="expression" priority="1941" dxfId="3">
      <formula>Datos!C150="C4"</formula>
    </cfRule>
    <cfRule type="expression" priority="1942" dxfId="4">
      <formula>Datos!C150="M1"</formula>
    </cfRule>
    <cfRule type="expression" priority="1943" dxfId="5">
      <formula>Datos!C150="M2"</formula>
    </cfRule>
    <cfRule type="expression" priority="1944" dxfId="6">
      <formula>Datos!C150="M3"</formula>
    </cfRule>
    <cfRule type="expression" priority="1945" dxfId="7">
      <formula>Datos!C150="M4"</formula>
    </cfRule>
    <cfRule type="expression" priority="1946" dxfId="8">
      <formula>Datos!C150="D1"</formula>
    </cfRule>
    <cfRule type="expression" priority="1947" dxfId="9">
      <formula>Datos!C150="D2"</formula>
    </cfRule>
    <cfRule type="expression" priority="1948" dxfId="10">
      <formula>Datos!C150="D3"</formula>
    </cfRule>
    <cfRule type="expression" priority="1949" dxfId="11">
      <formula>Datos!C150="D4"</formula>
    </cfRule>
    <cfRule type="expression" priority="1950" dxfId="12">
      <formula>Datos!C150="MIX"</formula>
    </cfRule>
  </conditionalFormatting>
  <conditionalFormatting sqref="B14">
    <cfRule type="expression" priority="1951" dxfId="0">
      <formula>Datos!C151="C1"</formula>
    </cfRule>
    <cfRule type="expression" priority="1952" dxfId="1">
      <formula>Datos!C151="C2"</formula>
    </cfRule>
    <cfRule type="expression" priority="1953" dxfId="2">
      <formula>Datos!C151="C3"</formula>
    </cfRule>
    <cfRule type="expression" priority="1954" dxfId="3">
      <formula>Datos!C151="C4"</formula>
    </cfRule>
    <cfRule type="expression" priority="1955" dxfId="4">
      <formula>Datos!C151="M1"</formula>
    </cfRule>
    <cfRule type="expression" priority="1956" dxfId="5">
      <formula>Datos!C151="M2"</formula>
    </cfRule>
    <cfRule type="expression" priority="1957" dxfId="6">
      <formula>Datos!C151="M3"</formula>
    </cfRule>
    <cfRule type="expression" priority="1958" dxfId="7">
      <formula>Datos!C151="M4"</formula>
    </cfRule>
    <cfRule type="expression" priority="1959" dxfId="8">
      <formula>Datos!C151="D1"</formula>
    </cfRule>
    <cfRule type="expression" priority="1960" dxfId="9">
      <formula>Datos!C151="D2"</formula>
    </cfRule>
    <cfRule type="expression" priority="1961" dxfId="10">
      <formula>Datos!C151="D3"</formula>
    </cfRule>
    <cfRule type="expression" priority="1962" dxfId="11">
      <formula>Datos!C151="D4"</formula>
    </cfRule>
    <cfRule type="expression" priority="1963" dxfId="12">
      <formula>Datos!C151="MIX"</formula>
    </cfRule>
  </conditionalFormatting>
  <conditionalFormatting sqref="C14">
    <cfRule type="expression" priority="1964" dxfId="0">
      <formula>Datos!C152="C1"</formula>
    </cfRule>
    <cfRule type="expression" priority="1965" dxfId="1">
      <formula>Datos!C152="C2"</formula>
    </cfRule>
    <cfRule type="expression" priority="1966" dxfId="2">
      <formula>Datos!C152="C3"</formula>
    </cfRule>
    <cfRule type="expression" priority="1967" dxfId="3">
      <formula>Datos!C152="C4"</formula>
    </cfRule>
    <cfRule type="expression" priority="1968" dxfId="4">
      <formula>Datos!C152="M1"</formula>
    </cfRule>
    <cfRule type="expression" priority="1969" dxfId="5">
      <formula>Datos!C152="M2"</formula>
    </cfRule>
    <cfRule type="expression" priority="1970" dxfId="6">
      <formula>Datos!C152="M3"</formula>
    </cfRule>
    <cfRule type="expression" priority="1971" dxfId="7">
      <formula>Datos!C152="M4"</formula>
    </cfRule>
    <cfRule type="expression" priority="1972" dxfId="8">
      <formula>Datos!C152="D1"</formula>
    </cfRule>
    <cfRule type="expression" priority="1973" dxfId="9">
      <formula>Datos!C152="D2"</formula>
    </cfRule>
    <cfRule type="expression" priority="1974" dxfId="10">
      <formula>Datos!C152="D3"</formula>
    </cfRule>
    <cfRule type="expression" priority="1975" dxfId="11">
      <formula>Datos!C152="D4"</formula>
    </cfRule>
    <cfRule type="expression" priority="1976" dxfId="12">
      <formula>Datos!C152="MIX"</formula>
    </cfRule>
  </conditionalFormatting>
  <conditionalFormatting sqref="D14">
    <cfRule type="expression" priority="1977" dxfId="0">
      <formula>Datos!C153="C1"</formula>
    </cfRule>
    <cfRule type="expression" priority="1978" dxfId="1">
      <formula>Datos!C153="C2"</formula>
    </cfRule>
    <cfRule type="expression" priority="1979" dxfId="2">
      <formula>Datos!C153="C3"</formula>
    </cfRule>
    <cfRule type="expression" priority="1980" dxfId="3">
      <formula>Datos!C153="C4"</formula>
    </cfRule>
    <cfRule type="expression" priority="1981" dxfId="4">
      <formula>Datos!C153="M1"</formula>
    </cfRule>
    <cfRule type="expression" priority="1982" dxfId="5">
      <formula>Datos!C153="M2"</formula>
    </cfRule>
    <cfRule type="expression" priority="1983" dxfId="6">
      <formula>Datos!C153="M3"</formula>
    </cfRule>
    <cfRule type="expression" priority="1984" dxfId="7">
      <formula>Datos!C153="M4"</formula>
    </cfRule>
    <cfRule type="expression" priority="1985" dxfId="8">
      <formula>Datos!C153="D1"</formula>
    </cfRule>
    <cfRule type="expression" priority="1986" dxfId="9">
      <formula>Datos!C153="D2"</formula>
    </cfRule>
    <cfRule type="expression" priority="1987" dxfId="10">
      <formula>Datos!C153="D3"</formula>
    </cfRule>
    <cfRule type="expression" priority="1988" dxfId="11">
      <formula>Datos!C153="D4"</formula>
    </cfRule>
    <cfRule type="expression" priority="1989" dxfId="12">
      <formula>Datos!C153="MIX"</formula>
    </cfRule>
  </conditionalFormatting>
  <conditionalFormatting sqref="E14">
    <cfRule type="expression" priority="1990" dxfId="0">
      <formula>Datos!C154="C1"</formula>
    </cfRule>
    <cfRule type="expression" priority="1991" dxfId="1">
      <formula>Datos!C154="C2"</formula>
    </cfRule>
    <cfRule type="expression" priority="1992" dxfId="2">
      <formula>Datos!C154="C3"</formula>
    </cfRule>
    <cfRule type="expression" priority="1993" dxfId="3">
      <formula>Datos!C154="C4"</formula>
    </cfRule>
    <cfRule type="expression" priority="1994" dxfId="4">
      <formula>Datos!C154="M1"</formula>
    </cfRule>
    <cfRule type="expression" priority="1995" dxfId="5">
      <formula>Datos!C154="M2"</formula>
    </cfRule>
    <cfRule type="expression" priority="1996" dxfId="6">
      <formula>Datos!C154="M3"</formula>
    </cfRule>
    <cfRule type="expression" priority="1997" dxfId="7">
      <formula>Datos!C154="M4"</formula>
    </cfRule>
    <cfRule type="expression" priority="1998" dxfId="8">
      <formula>Datos!C154="D1"</formula>
    </cfRule>
    <cfRule type="expression" priority="1999" dxfId="9">
      <formula>Datos!C154="D2"</formula>
    </cfRule>
    <cfRule type="expression" priority="2000" dxfId="10">
      <formula>Datos!C154="D3"</formula>
    </cfRule>
    <cfRule type="expression" priority="2001" dxfId="11">
      <formula>Datos!C154="D4"</formula>
    </cfRule>
    <cfRule type="expression" priority="2002" dxfId="12">
      <formula>Datos!C154="MIX"</formula>
    </cfRule>
  </conditionalFormatting>
  <conditionalFormatting sqref="F14">
    <cfRule type="expression" priority="2003" dxfId="0">
      <formula>Datos!C155="C1"</formula>
    </cfRule>
    <cfRule type="expression" priority="2004" dxfId="1">
      <formula>Datos!C155="C2"</formula>
    </cfRule>
    <cfRule type="expression" priority="2005" dxfId="2">
      <formula>Datos!C155="C3"</formula>
    </cfRule>
    <cfRule type="expression" priority="2006" dxfId="3">
      <formula>Datos!C155="C4"</formula>
    </cfRule>
    <cfRule type="expression" priority="2007" dxfId="4">
      <formula>Datos!C155="M1"</formula>
    </cfRule>
    <cfRule type="expression" priority="2008" dxfId="5">
      <formula>Datos!C155="M2"</formula>
    </cfRule>
    <cfRule type="expression" priority="2009" dxfId="6">
      <formula>Datos!C155="M3"</formula>
    </cfRule>
    <cfRule type="expression" priority="2010" dxfId="7">
      <formula>Datos!C155="M4"</formula>
    </cfRule>
    <cfRule type="expression" priority="2011" dxfId="8">
      <formula>Datos!C155="D1"</formula>
    </cfRule>
    <cfRule type="expression" priority="2012" dxfId="9">
      <formula>Datos!C155="D2"</formula>
    </cfRule>
    <cfRule type="expression" priority="2013" dxfId="10">
      <formula>Datos!C155="D3"</formula>
    </cfRule>
    <cfRule type="expression" priority="2014" dxfId="11">
      <formula>Datos!C155="D4"</formula>
    </cfRule>
    <cfRule type="expression" priority="2015" dxfId="12">
      <formula>Datos!C155="MIX"</formula>
    </cfRule>
  </conditionalFormatting>
  <conditionalFormatting sqref="G14">
    <cfRule type="expression" priority="2016" dxfId="0">
      <formula>Datos!C156="C1"</formula>
    </cfRule>
    <cfRule type="expression" priority="2017" dxfId="1">
      <formula>Datos!C156="C2"</formula>
    </cfRule>
    <cfRule type="expression" priority="2018" dxfId="2">
      <formula>Datos!C156="C3"</formula>
    </cfRule>
    <cfRule type="expression" priority="2019" dxfId="3">
      <formula>Datos!C156="C4"</formula>
    </cfRule>
    <cfRule type="expression" priority="2020" dxfId="4">
      <formula>Datos!C156="M1"</formula>
    </cfRule>
    <cfRule type="expression" priority="2021" dxfId="5">
      <formula>Datos!C156="M2"</formula>
    </cfRule>
    <cfRule type="expression" priority="2022" dxfId="6">
      <formula>Datos!C156="M3"</formula>
    </cfRule>
    <cfRule type="expression" priority="2023" dxfId="7">
      <formula>Datos!C156="M4"</formula>
    </cfRule>
    <cfRule type="expression" priority="2024" dxfId="8">
      <formula>Datos!C156="D1"</formula>
    </cfRule>
    <cfRule type="expression" priority="2025" dxfId="9">
      <formula>Datos!C156="D2"</formula>
    </cfRule>
    <cfRule type="expression" priority="2026" dxfId="10">
      <formula>Datos!C156="D3"</formula>
    </cfRule>
    <cfRule type="expression" priority="2027" dxfId="11">
      <formula>Datos!C156="D4"</formula>
    </cfRule>
    <cfRule type="expression" priority="2028" dxfId="12">
      <formula>Datos!C156="MIX"</formula>
    </cfRule>
  </conditionalFormatting>
  <conditionalFormatting sqref="H14">
    <cfRule type="expression" priority="2029" dxfId="0">
      <formula>Datos!C157="C1"</formula>
    </cfRule>
    <cfRule type="expression" priority="2030" dxfId="1">
      <formula>Datos!C157="C2"</formula>
    </cfRule>
    <cfRule type="expression" priority="2031" dxfId="2">
      <formula>Datos!C157="C3"</formula>
    </cfRule>
    <cfRule type="expression" priority="2032" dxfId="3">
      <formula>Datos!C157="C4"</formula>
    </cfRule>
    <cfRule type="expression" priority="2033" dxfId="4">
      <formula>Datos!C157="M1"</formula>
    </cfRule>
    <cfRule type="expression" priority="2034" dxfId="5">
      <formula>Datos!C157="M2"</formula>
    </cfRule>
    <cfRule type="expression" priority="2035" dxfId="6">
      <formula>Datos!C157="M3"</formula>
    </cfRule>
    <cfRule type="expression" priority="2036" dxfId="7">
      <formula>Datos!C157="M4"</formula>
    </cfRule>
    <cfRule type="expression" priority="2037" dxfId="8">
      <formula>Datos!C157="D1"</formula>
    </cfRule>
    <cfRule type="expression" priority="2038" dxfId="9">
      <formula>Datos!C157="D2"</formula>
    </cfRule>
    <cfRule type="expression" priority="2039" dxfId="10">
      <formula>Datos!C157="D3"</formula>
    </cfRule>
    <cfRule type="expression" priority="2040" dxfId="11">
      <formula>Datos!C157="D4"</formula>
    </cfRule>
    <cfRule type="expression" priority="2041" dxfId="12">
      <formula>Datos!C157="MIX"</formula>
    </cfRule>
  </conditionalFormatting>
  <conditionalFormatting sqref="I14">
    <cfRule type="expression" priority="2042" dxfId="0">
      <formula>Datos!C158="C1"</formula>
    </cfRule>
    <cfRule type="expression" priority="2043" dxfId="1">
      <formula>Datos!C158="C2"</formula>
    </cfRule>
    <cfRule type="expression" priority="2044" dxfId="2">
      <formula>Datos!C158="C3"</formula>
    </cfRule>
    <cfRule type="expression" priority="2045" dxfId="3">
      <formula>Datos!C158="C4"</formula>
    </cfRule>
    <cfRule type="expression" priority="2046" dxfId="4">
      <formula>Datos!C158="M1"</formula>
    </cfRule>
    <cfRule type="expression" priority="2047" dxfId="5">
      <formula>Datos!C158="M2"</formula>
    </cfRule>
    <cfRule type="expression" priority="2048" dxfId="6">
      <formula>Datos!C158="M3"</formula>
    </cfRule>
    <cfRule type="expression" priority="2049" dxfId="7">
      <formula>Datos!C158="M4"</formula>
    </cfRule>
    <cfRule type="expression" priority="2050" dxfId="8">
      <formula>Datos!C158="D1"</formula>
    </cfRule>
    <cfRule type="expression" priority="2051" dxfId="9">
      <formula>Datos!C158="D2"</formula>
    </cfRule>
    <cfRule type="expression" priority="2052" dxfId="10">
      <formula>Datos!C158="D3"</formula>
    </cfRule>
    <cfRule type="expression" priority="2053" dxfId="11">
      <formula>Datos!C158="D4"</formula>
    </cfRule>
    <cfRule type="expression" priority="2054" dxfId="12">
      <formula>Datos!C158="MIX"</formula>
    </cfRule>
  </conditionalFormatting>
  <conditionalFormatting sqref="J14">
    <cfRule type="expression" priority="2055" dxfId="0">
      <formula>Datos!C159="C1"</formula>
    </cfRule>
    <cfRule type="expression" priority="2056" dxfId="1">
      <formula>Datos!C159="C2"</formula>
    </cfRule>
    <cfRule type="expression" priority="2057" dxfId="2">
      <formula>Datos!C159="C3"</formula>
    </cfRule>
    <cfRule type="expression" priority="2058" dxfId="3">
      <formula>Datos!C159="C4"</formula>
    </cfRule>
    <cfRule type="expression" priority="2059" dxfId="4">
      <formula>Datos!C159="M1"</formula>
    </cfRule>
    <cfRule type="expression" priority="2060" dxfId="5">
      <formula>Datos!C159="M2"</formula>
    </cfRule>
    <cfRule type="expression" priority="2061" dxfId="6">
      <formula>Datos!C159="M3"</formula>
    </cfRule>
    <cfRule type="expression" priority="2062" dxfId="7">
      <formula>Datos!C159="M4"</formula>
    </cfRule>
    <cfRule type="expression" priority="2063" dxfId="8">
      <formula>Datos!C159="D1"</formula>
    </cfRule>
    <cfRule type="expression" priority="2064" dxfId="9">
      <formula>Datos!C159="D2"</formula>
    </cfRule>
    <cfRule type="expression" priority="2065" dxfId="10">
      <formula>Datos!C159="D3"</formula>
    </cfRule>
    <cfRule type="expression" priority="2066" dxfId="11">
      <formula>Datos!C159="D4"</formula>
    </cfRule>
    <cfRule type="expression" priority="2067" dxfId="12">
      <formula>Datos!C159="MIX"</formula>
    </cfRule>
  </conditionalFormatting>
  <conditionalFormatting sqref="K14">
    <cfRule type="expression" priority="2068" dxfId="0">
      <formula>Datos!C160="C1"</formula>
    </cfRule>
    <cfRule type="expression" priority="2069" dxfId="1">
      <formula>Datos!C160="C2"</formula>
    </cfRule>
    <cfRule type="expression" priority="2070" dxfId="2">
      <formula>Datos!C160="C3"</formula>
    </cfRule>
    <cfRule type="expression" priority="2071" dxfId="3">
      <formula>Datos!C160="C4"</formula>
    </cfRule>
    <cfRule type="expression" priority="2072" dxfId="4">
      <formula>Datos!C160="M1"</formula>
    </cfRule>
    <cfRule type="expression" priority="2073" dxfId="5">
      <formula>Datos!C160="M2"</formula>
    </cfRule>
    <cfRule type="expression" priority="2074" dxfId="6">
      <formula>Datos!C160="M3"</formula>
    </cfRule>
    <cfRule type="expression" priority="2075" dxfId="7">
      <formula>Datos!C160="M4"</formula>
    </cfRule>
    <cfRule type="expression" priority="2076" dxfId="8">
      <formula>Datos!C160="D1"</formula>
    </cfRule>
    <cfRule type="expression" priority="2077" dxfId="9">
      <formula>Datos!C160="D2"</formula>
    </cfRule>
    <cfRule type="expression" priority="2078" dxfId="10">
      <formula>Datos!C160="D3"</formula>
    </cfRule>
    <cfRule type="expression" priority="2079" dxfId="11">
      <formula>Datos!C160="D4"</formula>
    </cfRule>
    <cfRule type="expression" priority="2080" dxfId="12">
      <formula>Datos!C160="MIX"</formula>
    </cfRule>
  </conditionalFormatting>
  <conditionalFormatting sqref="L14">
    <cfRule type="expression" priority="2081" dxfId="0">
      <formula>Datos!C161="C1"</formula>
    </cfRule>
    <cfRule type="expression" priority="2082" dxfId="1">
      <formula>Datos!C161="C2"</formula>
    </cfRule>
    <cfRule type="expression" priority="2083" dxfId="2">
      <formula>Datos!C161="C3"</formula>
    </cfRule>
    <cfRule type="expression" priority="2084" dxfId="3">
      <formula>Datos!C161="C4"</formula>
    </cfRule>
    <cfRule type="expression" priority="2085" dxfId="4">
      <formula>Datos!C161="M1"</formula>
    </cfRule>
    <cfRule type="expression" priority="2086" dxfId="5">
      <formula>Datos!C161="M2"</formula>
    </cfRule>
    <cfRule type="expression" priority="2087" dxfId="6">
      <formula>Datos!C161="M3"</formula>
    </cfRule>
    <cfRule type="expression" priority="2088" dxfId="7">
      <formula>Datos!C161="M4"</formula>
    </cfRule>
    <cfRule type="expression" priority="2089" dxfId="8">
      <formula>Datos!C161="D1"</formula>
    </cfRule>
    <cfRule type="expression" priority="2090" dxfId="9">
      <formula>Datos!C161="D2"</formula>
    </cfRule>
    <cfRule type="expression" priority="2091" dxfId="10">
      <formula>Datos!C161="D3"</formula>
    </cfRule>
    <cfRule type="expression" priority="2092" dxfId="11">
      <formula>Datos!C161="D4"</formula>
    </cfRule>
    <cfRule type="expression" priority="2093" dxfId="12">
      <formula>Datos!C161="MIX"</formula>
    </cfRule>
  </conditionalFormatting>
  <conditionalFormatting sqref="M14">
    <cfRule type="expression" priority="2094" dxfId="0">
      <formula>Datos!C162="C1"</formula>
    </cfRule>
    <cfRule type="expression" priority="2095" dxfId="1">
      <formula>Datos!C162="C2"</formula>
    </cfRule>
    <cfRule type="expression" priority="2096" dxfId="2">
      <formula>Datos!C162="C3"</formula>
    </cfRule>
    <cfRule type="expression" priority="2097" dxfId="3">
      <formula>Datos!C162="C4"</formula>
    </cfRule>
    <cfRule type="expression" priority="2098" dxfId="4">
      <formula>Datos!C162="M1"</formula>
    </cfRule>
    <cfRule type="expression" priority="2099" dxfId="5">
      <formula>Datos!C162="M2"</formula>
    </cfRule>
    <cfRule type="expression" priority="2100" dxfId="6">
      <formula>Datos!C162="M3"</formula>
    </cfRule>
    <cfRule type="expression" priority="2101" dxfId="7">
      <formula>Datos!C162="M4"</formula>
    </cfRule>
    <cfRule type="expression" priority="2102" dxfId="8">
      <formula>Datos!C162="D1"</formula>
    </cfRule>
    <cfRule type="expression" priority="2103" dxfId="9">
      <formula>Datos!C162="D2"</formula>
    </cfRule>
    <cfRule type="expression" priority="2104" dxfId="10">
      <formula>Datos!C162="D3"</formula>
    </cfRule>
    <cfRule type="expression" priority="2105" dxfId="11">
      <formula>Datos!C162="D4"</formula>
    </cfRule>
    <cfRule type="expression" priority="2106" dxfId="12">
      <formula>Datos!C162="MIX"</formula>
    </cfRule>
  </conditionalFormatting>
  <conditionalFormatting sqref="N14">
    <cfRule type="expression" priority="2107" dxfId="0">
      <formula>Datos!C163="C1"</formula>
    </cfRule>
    <cfRule type="expression" priority="2108" dxfId="1">
      <formula>Datos!C163="C2"</formula>
    </cfRule>
    <cfRule type="expression" priority="2109" dxfId="2">
      <formula>Datos!C163="C3"</formula>
    </cfRule>
    <cfRule type="expression" priority="2110" dxfId="3">
      <formula>Datos!C163="C4"</formula>
    </cfRule>
    <cfRule type="expression" priority="2111" dxfId="4">
      <formula>Datos!C163="M1"</formula>
    </cfRule>
    <cfRule type="expression" priority="2112" dxfId="5">
      <formula>Datos!C163="M2"</formula>
    </cfRule>
    <cfRule type="expression" priority="2113" dxfId="6">
      <formula>Datos!C163="M3"</formula>
    </cfRule>
    <cfRule type="expression" priority="2114" dxfId="7">
      <formula>Datos!C163="M4"</formula>
    </cfRule>
    <cfRule type="expression" priority="2115" dxfId="8">
      <formula>Datos!C163="D1"</formula>
    </cfRule>
    <cfRule type="expression" priority="2116" dxfId="9">
      <formula>Datos!C163="D2"</formula>
    </cfRule>
    <cfRule type="expression" priority="2117" dxfId="10">
      <formula>Datos!C163="D3"</formula>
    </cfRule>
    <cfRule type="expression" priority="2118" dxfId="11">
      <formula>Datos!C163="D4"</formula>
    </cfRule>
    <cfRule type="expression" priority="2119" dxfId="12">
      <formula>Datos!C163="MIX"</formula>
    </cfRule>
  </conditionalFormatting>
  <conditionalFormatting sqref="O14">
    <cfRule type="expression" priority="2120" dxfId="0">
      <formula>Datos!C164="C1"</formula>
    </cfRule>
    <cfRule type="expression" priority="2121" dxfId="1">
      <formula>Datos!C164="C2"</formula>
    </cfRule>
    <cfRule type="expression" priority="2122" dxfId="2">
      <formula>Datos!C164="C3"</formula>
    </cfRule>
    <cfRule type="expression" priority="2123" dxfId="3">
      <formula>Datos!C164="C4"</formula>
    </cfRule>
    <cfRule type="expression" priority="2124" dxfId="4">
      <formula>Datos!C164="M1"</formula>
    </cfRule>
    <cfRule type="expression" priority="2125" dxfId="5">
      <formula>Datos!C164="M2"</formula>
    </cfRule>
    <cfRule type="expression" priority="2126" dxfId="6">
      <formula>Datos!C164="M3"</formula>
    </cfRule>
    <cfRule type="expression" priority="2127" dxfId="7">
      <formula>Datos!C164="M4"</formula>
    </cfRule>
    <cfRule type="expression" priority="2128" dxfId="8">
      <formula>Datos!C164="D1"</formula>
    </cfRule>
    <cfRule type="expression" priority="2129" dxfId="9">
      <formula>Datos!C164="D2"</formula>
    </cfRule>
    <cfRule type="expression" priority="2130" dxfId="10">
      <formula>Datos!C164="D3"</formula>
    </cfRule>
    <cfRule type="expression" priority="2131" dxfId="11">
      <formula>Datos!C164="D4"</formula>
    </cfRule>
    <cfRule type="expression" priority="2132" dxfId="12">
      <formula>Datos!C164="MIX"</formula>
    </cfRule>
  </conditionalFormatting>
  <conditionalFormatting sqref="P14">
    <cfRule type="expression" priority="2133" dxfId="0">
      <formula>Datos!C165="C1"</formula>
    </cfRule>
    <cfRule type="expression" priority="2134" dxfId="1">
      <formula>Datos!C165="C2"</formula>
    </cfRule>
    <cfRule type="expression" priority="2135" dxfId="2">
      <formula>Datos!C165="C3"</formula>
    </cfRule>
    <cfRule type="expression" priority="2136" dxfId="3">
      <formula>Datos!C165="C4"</formula>
    </cfRule>
    <cfRule type="expression" priority="2137" dxfId="4">
      <formula>Datos!C165="M1"</formula>
    </cfRule>
    <cfRule type="expression" priority="2138" dxfId="5">
      <formula>Datos!C165="M2"</formula>
    </cfRule>
    <cfRule type="expression" priority="2139" dxfId="6">
      <formula>Datos!C165="M3"</formula>
    </cfRule>
    <cfRule type="expression" priority="2140" dxfId="7">
      <formula>Datos!C165="M4"</formula>
    </cfRule>
    <cfRule type="expression" priority="2141" dxfId="8">
      <formula>Datos!C165="D1"</formula>
    </cfRule>
    <cfRule type="expression" priority="2142" dxfId="9">
      <formula>Datos!C165="D2"</formula>
    </cfRule>
    <cfRule type="expression" priority="2143" dxfId="10">
      <formula>Datos!C165="D3"</formula>
    </cfRule>
    <cfRule type="expression" priority="2144" dxfId="11">
      <formula>Datos!C165="D4"</formula>
    </cfRule>
    <cfRule type="expression" priority="2145" dxfId="12">
      <formula>Datos!C165="MIX"</formula>
    </cfRule>
  </conditionalFormatting>
  <conditionalFormatting sqref="B15">
    <cfRule type="expression" priority="2146" dxfId="0">
      <formula>Datos!C166="C1"</formula>
    </cfRule>
    <cfRule type="expression" priority="2147" dxfId="1">
      <formula>Datos!C166="C2"</formula>
    </cfRule>
    <cfRule type="expression" priority="2148" dxfId="2">
      <formula>Datos!C166="C3"</formula>
    </cfRule>
    <cfRule type="expression" priority="2149" dxfId="3">
      <formula>Datos!C166="C4"</formula>
    </cfRule>
    <cfRule type="expression" priority="2150" dxfId="4">
      <formula>Datos!C166="M1"</formula>
    </cfRule>
    <cfRule type="expression" priority="2151" dxfId="5">
      <formula>Datos!C166="M2"</formula>
    </cfRule>
    <cfRule type="expression" priority="2152" dxfId="6">
      <formula>Datos!C166="M3"</formula>
    </cfRule>
    <cfRule type="expression" priority="2153" dxfId="7">
      <formula>Datos!C166="M4"</formula>
    </cfRule>
    <cfRule type="expression" priority="2154" dxfId="8">
      <formula>Datos!C166="D1"</formula>
    </cfRule>
    <cfRule type="expression" priority="2155" dxfId="9">
      <formula>Datos!C166="D2"</formula>
    </cfRule>
    <cfRule type="expression" priority="2156" dxfId="10">
      <formula>Datos!C166="D3"</formula>
    </cfRule>
    <cfRule type="expression" priority="2157" dxfId="11">
      <formula>Datos!C166="D4"</formula>
    </cfRule>
    <cfRule type="expression" priority="2158" dxfId="12">
      <formula>Datos!C166="MIX"</formula>
    </cfRule>
  </conditionalFormatting>
  <conditionalFormatting sqref="C15">
    <cfRule type="expression" priority="2159" dxfId="0">
      <formula>Datos!C167="C1"</formula>
    </cfRule>
    <cfRule type="expression" priority="2160" dxfId="1">
      <formula>Datos!C167="C2"</formula>
    </cfRule>
    <cfRule type="expression" priority="2161" dxfId="2">
      <formula>Datos!C167="C3"</formula>
    </cfRule>
    <cfRule type="expression" priority="2162" dxfId="3">
      <formula>Datos!C167="C4"</formula>
    </cfRule>
    <cfRule type="expression" priority="2163" dxfId="4">
      <formula>Datos!C167="M1"</formula>
    </cfRule>
    <cfRule type="expression" priority="2164" dxfId="5">
      <formula>Datos!C167="M2"</formula>
    </cfRule>
    <cfRule type="expression" priority="2165" dxfId="6">
      <formula>Datos!C167="M3"</formula>
    </cfRule>
    <cfRule type="expression" priority="2166" dxfId="7">
      <formula>Datos!C167="M4"</formula>
    </cfRule>
    <cfRule type="expression" priority="2167" dxfId="8">
      <formula>Datos!C167="D1"</formula>
    </cfRule>
    <cfRule type="expression" priority="2168" dxfId="9">
      <formula>Datos!C167="D2"</formula>
    </cfRule>
    <cfRule type="expression" priority="2169" dxfId="10">
      <formula>Datos!C167="D3"</formula>
    </cfRule>
    <cfRule type="expression" priority="2170" dxfId="11">
      <formula>Datos!C167="D4"</formula>
    </cfRule>
    <cfRule type="expression" priority="2171" dxfId="12">
      <formula>Datos!C167="MIX"</formula>
    </cfRule>
  </conditionalFormatting>
  <conditionalFormatting sqref="D15">
    <cfRule type="expression" priority="2172" dxfId="0">
      <formula>Datos!C168="C1"</formula>
    </cfRule>
    <cfRule type="expression" priority="2173" dxfId="1">
      <formula>Datos!C168="C2"</formula>
    </cfRule>
    <cfRule type="expression" priority="2174" dxfId="2">
      <formula>Datos!C168="C3"</formula>
    </cfRule>
    <cfRule type="expression" priority="2175" dxfId="3">
      <formula>Datos!C168="C4"</formula>
    </cfRule>
    <cfRule type="expression" priority="2176" dxfId="4">
      <formula>Datos!C168="M1"</formula>
    </cfRule>
    <cfRule type="expression" priority="2177" dxfId="5">
      <formula>Datos!C168="M2"</formula>
    </cfRule>
    <cfRule type="expression" priority="2178" dxfId="6">
      <formula>Datos!C168="M3"</formula>
    </cfRule>
    <cfRule type="expression" priority="2179" dxfId="7">
      <formula>Datos!C168="M4"</formula>
    </cfRule>
    <cfRule type="expression" priority="2180" dxfId="8">
      <formula>Datos!C168="D1"</formula>
    </cfRule>
    <cfRule type="expression" priority="2181" dxfId="9">
      <formula>Datos!C168="D2"</formula>
    </cfRule>
    <cfRule type="expression" priority="2182" dxfId="10">
      <formula>Datos!C168="D3"</formula>
    </cfRule>
    <cfRule type="expression" priority="2183" dxfId="11">
      <formula>Datos!C168="D4"</formula>
    </cfRule>
    <cfRule type="expression" priority="2184" dxfId="12">
      <formula>Datos!C168="MIX"</formula>
    </cfRule>
  </conditionalFormatting>
  <conditionalFormatting sqref="E15">
    <cfRule type="expression" priority="2185" dxfId="0">
      <formula>Datos!C169="C1"</formula>
    </cfRule>
    <cfRule type="expression" priority="2186" dxfId="1">
      <formula>Datos!C169="C2"</formula>
    </cfRule>
    <cfRule type="expression" priority="2187" dxfId="2">
      <formula>Datos!C169="C3"</formula>
    </cfRule>
    <cfRule type="expression" priority="2188" dxfId="3">
      <formula>Datos!C169="C4"</formula>
    </cfRule>
    <cfRule type="expression" priority="2189" dxfId="4">
      <formula>Datos!C169="M1"</formula>
    </cfRule>
    <cfRule type="expression" priority="2190" dxfId="5">
      <formula>Datos!C169="M2"</formula>
    </cfRule>
    <cfRule type="expression" priority="2191" dxfId="6">
      <formula>Datos!C169="M3"</formula>
    </cfRule>
    <cfRule type="expression" priority="2192" dxfId="7">
      <formula>Datos!C169="M4"</formula>
    </cfRule>
    <cfRule type="expression" priority="2193" dxfId="8">
      <formula>Datos!C169="D1"</formula>
    </cfRule>
    <cfRule type="expression" priority="2194" dxfId="9">
      <formula>Datos!C169="D2"</formula>
    </cfRule>
    <cfRule type="expression" priority="2195" dxfId="10">
      <formula>Datos!C169="D3"</formula>
    </cfRule>
    <cfRule type="expression" priority="2196" dxfId="11">
      <formula>Datos!C169="D4"</formula>
    </cfRule>
    <cfRule type="expression" priority="2197" dxfId="12">
      <formula>Datos!C169="MIX"</formula>
    </cfRule>
  </conditionalFormatting>
  <conditionalFormatting sqref="F15">
    <cfRule type="expression" priority="2198" dxfId="0">
      <formula>Datos!C170="C1"</formula>
    </cfRule>
    <cfRule type="expression" priority="2199" dxfId="1">
      <formula>Datos!C170="C2"</formula>
    </cfRule>
    <cfRule type="expression" priority="2200" dxfId="2">
      <formula>Datos!C170="C3"</formula>
    </cfRule>
    <cfRule type="expression" priority="2201" dxfId="3">
      <formula>Datos!C170="C4"</formula>
    </cfRule>
    <cfRule type="expression" priority="2202" dxfId="4">
      <formula>Datos!C170="M1"</formula>
    </cfRule>
    <cfRule type="expression" priority="2203" dxfId="5">
      <formula>Datos!C170="M2"</formula>
    </cfRule>
    <cfRule type="expression" priority="2204" dxfId="6">
      <formula>Datos!C170="M3"</formula>
    </cfRule>
    <cfRule type="expression" priority="2205" dxfId="7">
      <formula>Datos!C170="M4"</formula>
    </cfRule>
    <cfRule type="expression" priority="2206" dxfId="8">
      <formula>Datos!C170="D1"</formula>
    </cfRule>
    <cfRule type="expression" priority="2207" dxfId="9">
      <formula>Datos!C170="D2"</formula>
    </cfRule>
    <cfRule type="expression" priority="2208" dxfId="10">
      <formula>Datos!C170="D3"</formula>
    </cfRule>
    <cfRule type="expression" priority="2209" dxfId="11">
      <formula>Datos!C170="D4"</formula>
    </cfRule>
    <cfRule type="expression" priority="2210" dxfId="12">
      <formula>Datos!C170="MIX"</formula>
    </cfRule>
  </conditionalFormatting>
  <conditionalFormatting sqref="G15">
    <cfRule type="expression" priority="2211" dxfId="0">
      <formula>Datos!C171="C1"</formula>
    </cfRule>
    <cfRule type="expression" priority="2212" dxfId="1">
      <formula>Datos!C171="C2"</formula>
    </cfRule>
    <cfRule type="expression" priority="2213" dxfId="2">
      <formula>Datos!C171="C3"</formula>
    </cfRule>
    <cfRule type="expression" priority="2214" dxfId="3">
      <formula>Datos!C171="C4"</formula>
    </cfRule>
    <cfRule type="expression" priority="2215" dxfId="4">
      <formula>Datos!C171="M1"</formula>
    </cfRule>
    <cfRule type="expression" priority="2216" dxfId="5">
      <formula>Datos!C171="M2"</formula>
    </cfRule>
    <cfRule type="expression" priority="2217" dxfId="6">
      <formula>Datos!C171="M3"</formula>
    </cfRule>
    <cfRule type="expression" priority="2218" dxfId="7">
      <formula>Datos!C171="M4"</formula>
    </cfRule>
    <cfRule type="expression" priority="2219" dxfId="8">
      <formula>Datos!C171="D1"</formula>
    </cfRule>
    <cfRule type="expression" priority="2220" dxfId="9">
      <formula>Datos!C171="D2"</formula>
    </cfRule>
    <cfRule type="expression" priority="2221" dxfId="10">
      <formula>Datos!C171="D3"</formula>
    </cfRule>
    <cfRule type="expression" priority="2222" dxfId="11">
      <formula>Datos!C171="D4"</formula>
    </cfRule>
    <cfRule type="expression" priority="2223" dxfId="12">
      <formula>Datos!C171="MIX"</formula>
    </cfRule>
  </conditionalFormatting>
  <conditionalFormatting sqref="H15">
    <cfRule type="expression" priority="2224" dxfId="0">
      <formula>Datos!C172="C1"</formula>
    </cfRule>
    <cfRule type="expression" priority="2225" dxfId="1">
      <formula>Datos!C172="C2"</formula>
    </cfRule>
    <cfRule type="expression" priority="2226" dxfId="2">
      <formula>Datos!C172="C3"</formula>
    </cfRule>
    <cfRule type="expression" priority="2227" dxfId="3">
      <formula>Datos!C172="C4"</formula>
    </cfRule>
    <cfRule type="expression" priority="2228" dxfId="4">
      <formula>Datos!C172="M1"</formula>
    </cfRule>
    <cfRule type="expression" priority="2229" dxfId="5">
      <formula>Datos!C172="M2"</formula>
    </cfRule>
    <cfRule type="expression" priority="2230" dxfId="6">
      <formula>Datos!C172="M3"</formula>
    </cfRule>
    <cfRule type="expression" priority="2231" dxfId="7">
      <formula>Datos!C172="M4"</formula>
    </cfRule>
    <cfRule type="expression" priority="2232" dxfId="8">
      <formula>Datos!C172="D1"</formula>
    </cfRule>
    <cfRule type="expression" priority="2233" dxfId="9">
      <formula>Datos!C172="D2"</formula>
    </cfRule>
    <cfRule type="expression" priority="2234" dxfId="10">
      <formula>Datos!C172="D3"</formula>
    </cfRule>
    <cfRule type="expression" priority="2235" dxfId="11">
      <formula>Datos!C172="D4"</formula>
    </cfRule>
    <cfRule type="expression" priority="2236" dxfId="12">
      <formula>Datos!C172="MIX"</formula>
    </cfRule>
  </conditionalFormatting>
  <conditionalFormatting sqref="I15">
    <cfRule type="expression" priority="2237" dxfId="0">
      <formula>Datos!C173="C1"</formula>
    </cfRule>
    <cfRule type="expression" priority="2238" dxfId="1">
      <formula>Datos!C173="C2"</formula>
    </cfRule>
    <cfRule type="expression" priority="2239" dxfId="2">
      <formula>Datos!C173="C3"</formula>
    </cfRule>
    <cfRule type="expression" priority="2240" dxfId="3">
      <formula>Datos!C173="C4"</formula>
    </cfRule>
    <cfRule type="expression" priority="2241" dxfId="4">
      <formula>Datos!C173="M1"</formula>
    </cfRule>
    <cfRule type="expression" priority="2242" dxfId="5">
      <formula>Datos!C173="M2"</formula>
    </cfRule>
    <cfRule type="expression" priority="2243" dxfId="6">
      <formula>Datos!C173="M3"</formula>
    </cfRule>
    <cfRule type="expression" priority="2244" dxfId="7">
      <formula>Datos!C173="M4"</formula>
    </cfRule>
    <cfRule type="expression" priority="2245" dxfId="8">
      <formula>Datos!C173="D1"</formula>
    </cfRule>
    <cfRule type="expression" priority="2246" dxfId="9">
      <formula>Datos!C173="D2"</formula>
    </cfRule>
    <cfRule type="expression" priority="2247" dxfId="10">
      <formula>Datos!C173="D3"</formula>
    </cfRule>
    <cfRule type="expression" priority="2248" dxfId="11">
      <formula>Datos!C173="D4"</formula>
    </cfRule>
    <cfRule type="expression" priority="2249" dxfId="12">
      <formula>Datos!C173="MIX"</formula>
    </cfRule>
  </conditionalFormatting>
  <conditionalFormatting sqref="J15">
    <cfRule type="expression" priority="2250" dxfId="0">
      <formula>Datos!C174="C1"</formula>
    </cfRule>
    <cfRule type="expression" priority="2251" dxfId="1">
      <formula>Datos!C174="C2"</formula>
    </cfRule>
    <cfRule type="expression" priority="2252" dxfId="2">
      <formula>Datos!C174="C3"</formula>
    </cfRule>
    <cfRule type="expression" priority="2253" dxfId="3">
      <formula>Datos!C174="C4"</formula>
    </cfRule>
    <cfRule type="expression" priority="2254" dxfId="4">
      <formula>Datos!C174="M1"</formula>
    </cfRule>
    <cfRule type="expression" priority="2255" dxfId="5">
      <formula>Datos!C174="M2"</formula>
    </cfRule>
    <cfRule type="expression" priority="2256" dxfId="6">
      <formula>Datos!C174="M3"</formula>
    </cfRule>
    <cfRule type="expression" priority="2257" dxfId="7">
      <formula>Datos!C174="M4"</formula>
    </cfRule>
    <cfRule type="expression" priority="2258" dxfId="8">
      <formula>Datos!C174="D1"</formula>
    </cfRule>
    <cfRule type="expression" priority="2259" dxfId="9">
      <formula>Datos!C174="D2"</formula>
    </cfRule>
    <cfRule type="expression" priority="2260" dxfId="10">
      <formula>Datos!C174="D3"</formula>
    </cfRule>
    <cfRule type="expression" priority="2261" dxfId="11">
      <formula>Datos!C174="D4"</formula>
    </cfRule>
    <cfRule type="expression" priority="2262" dxfId="12">
      <formula>Datos!C174="MIX"</formula>
    </cfRule>
  </conditionalFormatting>
  <conditionalFormatting sqref="K15">
    <cfRule type="expression" priority="2263" dxfId="0">
      <formula>Datos!C175="C1"</formula>
    </cfRule>
    <cfRule type="expression" priority="2264" dxfId="1">
      <formula>Datos!C175="C2"</formula>
    </cfRule>
    <cfRule type="expression" priority="2265" dxfId="2">
      <formula>Datos!C175="C3"</formula>
    </cfRule>
    <cfRule type="expression" priority="2266" dxfId="3">
      <formula>Datos!C175="C4"</formula>
    </cfRule>
    <cfRule type="expression" priority="2267" dxfId="4">
      <formula>Datos!C175="M1"</formula>
    </cfRule>
    <cfRule type="expression" priority="2268" dxfId="5">
      <formula>Datos!C175="M2"</formula>
    </cfRule>
    <cfRule type="expression" priority="2269" dxfId="6">
      <formula>Datos!C175="M3"</formula>
    </cfRule>
    <cfRule type="expression" priority="2270" dxfId="7">
      <formula>Datos!C175="M4"</formula>
    </cfRule>
    <cfRule type="expression" priority="2271" dxfId="8">
      <formula>Datos!C175="D1"</formula>
    </cfRule>
    <cfRule type="expression" priority="2272" dxfId="9">
      <formula>Datos!C175="D2"</formula>
    </cfRule>
    <cfRule type="expression" priority="2273" dxfId="10">
      <formula>Datos!C175="D3"</formula>
    </cfRule>
    <cfRule type="expression" priority="2274" dxfId="11">
      <formula>Datos!C175="D4"</formula>
    </cfRule>
    <cfRule type="expression" priority="2275" dxfId="12">
      <formula>Datos!C175="MIX"</formula>
    </cfRule>
  </conditionalFormatting>
  <conditionalFormatting sqref="L15">
    <cfRule type="expression" priority="2276" dxfId="0">
      <formula>Datos!C176="C1"</formula>
    </cfRule>
    <cfRule type="expression" priority="2277" dxfId="1">
      <formula>Datos!C176="C2"</formula>
    </cfRule>
    <cfRule type="expression" priority="2278" dxfId="2">
      <formula>Datos!C176="C3"</formula>
    </cfRule>
    <cfRule type="expression" priority="2279" dxfId="3">
      <formula>Datos!C176="C4"</formula>
    </cfRule>
    <cfRule type="expression" priority="2280" dxfId="4">
      <formula>Datos!C176="M1"</formula>
    </cfRule>
    <cfRule type="expression" priority="2281" dxfId="5">
      <formula>Datos!C176="M2"</formula>
    </cfRule>
    <cfRule type="expression" priority="2282" dxfId="6">
      <formula>Datos!C176="M3"</formula>
    </cfRule>
    <cfRule type="expression" priority="2283" dxfId="7">
      <formula>Datos!C176="M4"</formula>
    </cfRule>
    <cfRule type="expression" priority="2284" dxfId="8">
      <formula>Datos!C176="D1"</formula>
    </cfRule>
    <cfRule type="expression" priority="2285" dxfId="9">
      <formula>Datos!C176="D2"</formula>
    </cfRule>
    <cfRule type="expression" priority="2286" dxfId="10">
      <formula>Datos!C176="D3"</formula>
    </cfRule>
    <cfRule type="expression" priority="2287" dxfId="11">
      <formula>Datos!C176="D4"</formula>
    </cfRule>
    <cfRule type="expression" priority="2288" dxfId="12">
      <formula>Datos!C176="MIX"</formula>
    </cfRule>
  </conditionalFormatting>
  <conditionalFormatting sqref="M15">
    <cfRule type="expression" priority="2289" dxfId="0">
      <formula>Datos!C177="C1"</formula>
    </cfRule>
    <cfRule type="expression" priority="2290" dxfId="1">
      <formula>Datos!C177="C2"</formula>
    </cfRule>
    <cfRule type="expression" priority="2291" dxfId="2">
      <formula>Datos!C177="C3"</formula>
    </cfRule>
    <cfRule type="expression" priority="2292" dxfId="3">
      <formula>Datos!C177="C4"</formula>
    </cfRule>
    <cfRule type="expression" priority="2293" dxfId="4">
      <formula>Datos!C177="M1"</formula>
    </cfRule>
    <cfRule type="expression" priority="2294" dxfId="5">
      <formula>Datos!C177="M2"</formula>
    </cfRule>
    <cfRule type="expression" priority="2295" dxfId="6">
      <formula>Datos!C177="M3"</formula>
    </cfRule>
    <cfRule type="expression" priority="2296" dxfId="7">
      <formula>Datos!C177="M4"</formula>
    </cfRule>
    <cfRule type="expression" priority="2297" dxfId="8">
      <formula>Datos!C177="D1"</formula>
    </cfRule>
    <cfRule type="expression" priority="2298" dxfId="9">
      <formula>Datos!C177="D2"</formula>
    </cfRule>
    <cfRule type="expression" priority="2299" dxfId="10">
      <formula>Datos!C177="D3"</formula>
    </cfRule>
    <cfRule type="expression" priority="2300" dxfId="11">
      <formula>Datos!C177="D4"</formula>
    </cfRule>
    <cfRule type="expression" priority="2301" dxfId="12">
      <formula>Datos!C177="MIX"</formula>
    </cfRule>
  </conditionalFormatting>
  <conditionalFormatting sqref="N15">
    <cfRule type="expression" priority="2302" dxfId="0">
      <formula>Datos!C178="C1"</formula>
    </cfRule>
    <cfRule type="expression" priority="2303" dxfId="1">
      <formula>Datos!C178="C2"</formula>
    </cfRule>
    <cfRule type="expression" priority="2304" dxfId="2">
      <formula>Datos!C178="C3"</formula>
    </cfRule>
    <cfRule type="expression" priority="2305" dxfId="3">
      <formula>Datos!C178="C4"</formula>
    </cfRule>
    <cfRule type="expression" priority="2306" dxfId="4">
      <formula>Datos!C178="M1"</formula>
    </cfRule>
    <cfRule type="expression" priority="2307" dxfId="5">
      <formula>Datos!C178="M2"</formula>
    </cfRule>
    <cfRule type="expression" priority="2308" dxfId="6">
      <formula>Datos!C178="M3"</formula>
    </cfRule>
    <cfRule type="expression" priority="2309" dxfId="7">
      <formula>Datos!C178="M4"</formula>
    </cfRule>
    <cfRule type="expression" priority="2310" dxfId="8">
      <formula>Datos!C178="D1"</formula>
    </cfRule>
    <cfRule type="expression" priority="2311" dxfId="9">
      <formula>Datos!C178="D2"</formula>
    </cfRule>
    <cfRule type="expression" priority="2312" dxfId="10">
      <formula>Datos!C178="D3"</formula>
    </cfRule>
    <cfRule type="expression" priority="2313" dxfId="11">
      <formula>Datos!C178="D4"</formula>
    </cfRule>
    <cfRule type="expression" priority="2314" dxfId="12">
      <formula>Datos!C178="MIX"</formula>
    </cfRule>
  </conditionalFormatting>
  <conditionalFormatting sqref="O15">
    <cfRule type="expression" priority="2315" dxfId="0">
      <formula>Datos!C179="C1"</formula>
    </cfRule>
    <cfRule type="expression" priority="2316" dxfId="1">
      <formula>Datos!C179="C2"</formula>
    </cfRule>
    <cfRule type="expression" priority="2317" dxfId="2">
      <formula>Datos!C179="C3"</formula>
    </cfRule>
    <cfRule type="expression" priority="2318" dxfId="3">
      <formula>Datos!C179="C4"</formula>
    </cfRule>
    <cfRule type="expression" priority="2319" dxfId="4">
      <formula>Datos!C179="M1"</formula>
    </cfRule>
    <cfRule type="expression" priority="2320" dxfId="5">
      <formula>Datos!C179="M2"</formula>
    </cfRule>
    <cfRule type="expression" priority="2321" dxfId="6">
      <formula>Datos!C179="M3"</formula>
    </cfRule>
    <cfRule type="expression" priority="2322" dxfId="7">
      <formula>Datos!C179="M4"</formula>
    </cfRule>
    <cfRule type="expression" priority="2323" dxfId="8">
      <formula>Datos!C179="D1"</formula>
    </cfRule>
    <cfRule type="expression" priority="2324" dxfId="9">
      <formula>Datos!C179="D2"</formula>
    </cfRule>
    <cfRule type="expression" priority="2325" dxfId="10">
      <formula>Datos!C179="D3"</formula>
    </cfRule>
    <cfRule type="expression" priority="2326" dxfId="11">
      <formula>Datos!C179="D4"</formula>
    </cfRule>
    <cfRule type="expression" priority="2327" dxfId="12">
      <formula>Datos!C179="MIX"</formula>
    </cfRule>
  </conditionalFormatting>
  <conditionalFormatting sqref="P15">
    <cfRule type="expression" priority="2328" dxfId="0">
      <formula>Datos!C180="C1"</formula>
    </cfRule>
    <cfRule type="expression" priority="2329" dxfId="1">
      <formula>Datos!C180="C2"</formula>
    </cfRule>
    <cfRule type="expression" priority="2330" dxfId="2">
      <formula>Datos!C180="C3"</formula>
    </cfRule>
    <cfRule type="expression" priority="2331" dxfId="3">
      <formula>Datos!C180="C4"</formula>
    </cfRule>
    <cfRule type="expression" priority="2332" dxfId="4">
      <formula>Datos!C180="M1"</formula>
    </cfRule>
    <cfRule type="expression" priority="2333" dxfId="5">
      <formula>Datos!C180="M2"</formula>
    </cfRule>
    <cfRule type="expression" priority="2334" dxfId="6">
      <formula>Datos!C180="M3"</formula>
    </cfRule>
    <cfRule type="expression" priority="2335" dxfId="7">
      <formula>Datos!C180="M4"</formula>
    </cfRule>
    <cfRule type="expression" priority="2336" dxfId="8">
      <formula>Datos!C180="D1"</formula>
    </cfRule>
    <cfRule type="expression" priority="2337" dxfId="9">
      <formula>Datos!C180="D2"</formula>
    </cfRule>
    <cfRule type="expression" priority="2338" dxfId="10">
      <formula>Datos!C180="D3"</formula>
    </cfRule>
    <cfRule type="expression" priority="2339" dxfId="11">
      <formula>Datos!C180="D4"</formula>
    </cfRule>
    <cfRule type="expression" priority="2340" dxfId="12">
      <formula>Datos!C180="MIX"</formula>
    </cfRule>
  </conditionalFormatting>
  <conditionalFormatting sqref="B18">
    <cfRule type="expression" priority="2341" dxfId="0">
      <formula>Datos!C181="C1"</formula>
    </cfRule>
    <cfRule type="expression" priority="2342" dxfId="1">
      <formula>Datos!C181="C2"</formula>
    </cfRule>
    <cfRule type="expression" priority="2343" dxfId="2">
      <formula>Datos!C181="C3"</formula>
    </cfRule>
    <cfRule type="expression" priority="2344" dxfId="3">
      <formula>Datos!C181="C4"</formula>
    </cfRule>
    <cfRule type="expression" priority="2345" dxfId="4">
      <formula>Datos!C181="M1"</formula>
    </cfRule>
    <cfRule type="expression" priority="2346" dxfId="5">
      <formula>Datos!C181="M2"</formula>
    </cfRule>
    <cfRule type="expression" priority="2347" dxfId="6">
      <formula>Datos!C181="M3"</formula>
    </cfRule>
    <cfRule type="expression" priority="2348" dxfId="7">
      <formula>Datos!C181="M4"</formula>
    </cfRule>
    <cfRule type="expression" priority="2349" dxfId="8">
      <formula>Datos!C181="D1"</formula>
    </cfRule>
    <cfRule type="expression" priority="2350" dxfId="9">
      <formula>Datos!C181="D2"</formula>
    </cfRule>
    <cfRule type="expression" priority="2351" dxfId="10">
      <formula>Datos!C181="D3"</formula>
    </cfRule>
    <cfRule type="expression" priority="2352" dxfId="11">
      <formula>Datos!C181="D4"</formula>
    </cfRule>
    <cfRule type="expression" priority="2353" dxfId="12">
      <formula>Datos!C181="MIX"</formula>
    </cfRule>
  </conditionalFormatting>
  <conditionalFormatting sqref="C18">
    <cfRule type="expression" priority="2354" dxfId="0">
      <formula>Datos!C182="C1"</formula>
    </cfRule>
    <cfRule type="expression" priority="2355" dxfId="1">
      <formula>Datos!C182="C2"</formula>
    </cfRule>
    <cfRule type="expression" priority="2356" dxfId="2">
      <formula>Datos!C182="C3"</formula>
    </cfRule>
    <cfRule type="expression" priority="2357" dxfId="3">
      <formula>Datos!C182="C4"</formula>
    </cfRule>
    <cfRule type="expression" priority="2358" dxfId="4">
      <formula>Datos!C182="M1"</formula>
    </cfRule>
    <cfRule type="expression" priority="2359" dxfId="5">
      <formula>Datos!C182="M2"</formula>
    </cfRule>
    <cfRule type="expression" priority="2360" dxfId="6">
      <formula>Datos!C182="M3"</formula>
    </cfRule>
    <cfRule type="expression" priority="2361" dxfId="7">
      <formula>Datos!C182="M4"</formula>
    </cfRule>
    <cfRule type="expression" priority="2362" dxfId="8">
      <formula>Datos!C182="D1"</formula>
    </cfRule>
    <cfRule type="expression" priority="2363" dxfId="9">
      <formula>Datos!C182="D2"</formula>
    </cfRule>
    <cfRule type="expression" priority="2364" dxfId="10">
      <formula>Datos!C182="D3"</formula>
    </cfRule>
    <cfRule type="expression" priority="2365" dxfId="11">
      <formula>Datos!C182="D4"</formula>
    </cfRule>
    <cfRule type="expression" priority="2366" dxfId="12">
      <formula>Datos!C182="MIX"</formula>
    </cfRule>
  </conditionalFormatting>
  <conditionalFormatting sqref="D18">
    <cfRule type="expression" priority="2367" dxfId="0">
      <formula>Datos!C183="C1"</formula>
    </cfRule>
    <cfRule type="expression" priority="2368" dxfId="1">
      <formula>Datos!C183="C2"</formula>
    </cfRule>
    <cfRule type="expression" priority="2369" dxfId="2">
      <formula>Datos!C183="C3"</formula>
    </cfRule>
    <cfRule type="expression" priority="2370" dxfId="3">
      <formula>Datos!C183="C4"</formula>
    </cfRule>
    <cfRule type="expression" priority="2371" dxfId="4">
      <formula>Datos!C183="M1"</formula>
    </cfRule>
    <cfRule type="expression" priority="2372" dxfId="5">
      <formula>Datos!C183="M2"</formula>
    </cfRule>
    <cfRule type="expression" priority="2373" dxfId="6">
      <formula>Datos!C183="M3"</formula>
    </cfRule>
    <cfRule type="expression" priority="2374" dxfId="7">
      <formula>Datos!C183="M4"</formula>
    </cfRule>
    <cfRule type="expression" priority="2375" dxfId="8">
      <formula>Datos!C183="D1"</formula>
    </cfRule>
    <cfRule type="expression" priority="2376" dxfId="9">
      <formula>Datos!C183="D2"</formula>
    </cfRule>
    <cfRule type="expression" priority="2377" dxfId="10">
      <formula>Datos!C183="D3"</formula>
    </cfRule>
    <cfRule type="expression" priority="2378" dxfId="11">
      <formula>Datos!C183="D4"</formula>
    </cfRule>
    <cfRule type="expression" priority="2379" dxfId="12">
      <formula>Datos!C183="MIX"</formula>
    </cfRule>
  </conditionalFormatting>
  <conditionalFormatting sqref="E18">
    <cfRule type="expression" priority="2380" dxfId="0">
      <formula>Datos!C184="C1"</formula>
    </cfRule>
    <cfRule type="expression" priority="2381" dxfId="1">
      <formula>Datos!C184="C2"</formula>
    </cfRule>
    <cfRule type="expression" priority="2382" dxfId="2">
      <formula>Datos!C184="C3"</formula>
    </cfRule>
    <cfRule type="expression" priority="2383" dxfId="3">
      <formula>Datos!C184="C4"</formula>
    </cfRule>
    <cfRule type="expression" priority="2384" dxfId="4">
      <formula>Datos!C184="M1"</formula>
    </cfRule>
    <cfRule type="expression" priority="2385" dxfId="5">
      <formula>Datos!C184="M2"</formula>
    </cfRule>
    <cfRule type="expression" priority="2386" dxfId="6">
      <formula>Datos!C184="M3"</formula>
    </cfRule>
    <cfRule type="expression" priority="2387" dxfId="7">
      <formula>Datos!C184="M4"</formula>
    </cfRule>
    <cfRule type="expression" priority="2388" dxfId="8">
      <formula>Datos!C184="D1"</formula>
    </cfRule>
    <cfRule type="expression" priority="2389" dxfId="9">
      <formula>Datos!C184="D2"</formula>
    </cfRule>
    <cfRule type="expression" priority="2390" dxfId="10">
      <formula>Datos!C184="D3"</formula>
    </cfRule>
    <cfRule type="expression" priority="2391" dxfId="11">
      <formula>Datos!C184="D4"</formula>
    </cfRule>
    <cfRule type="expression" priority="2392" dxfId="12">
      <formula>Datos!C184="MIX"</formula>
    </cfRule>
  </conditionalFormatting>
  <conditionalFormatting sqref="F18">
    <cfRule type="expression" priority="2393" dxfId="0">
      <formula>Datos!C185="C1"</formula>
    </cfRule>
    <cfRule type="expression" priority="2394" dxfId="1">
      <formula>Datos!C185="C2"</formula>
    </cfRule>
    <cfRule type="expression" priority="2395" dxfId="2">
      <formula>Datos!C185="C3"</formula>
    </cfRule>
    <cfRule type="expression" priority="2396" dxfId="3">
      <formula>Datos!C185="C4"</formula>
    </cfRule>
    <cfRule type="expression" priority="2397" dxfId="4">
      <formula>Datos!C185="M1"</formula>
    </cfRule>
    <cfRule type="expression" priority="2398" dxfId="5">
      <formula>Datos!C185="M2"</formula>
    </cfRule>
    <cfRule type="expression" priority="2399" dxfId="6">
      <formula>Datos!C185="M3"</formula>
    </cfRule>
    <cfRule type="expression" priority="2400" dxfId="7">
      <formula>Datos!C185="M4"</formula>
    </cfRule>
    <cfRule type="expression" priority="2401" dxfId="8">
      <formula>Datos!C185="D1"</formula>
    </cfRule>
    <cfRule type="expression" priority="2402" dxfId="9">
      <formula>Datos!C185="D2"</formula>
    </cfRule>
    <cfRule type="expression" priority="2403" dxfId="10">
      <formula>Datos!C185="D3"</formula>
    </cfRule>
    <cfRule type="expression" priority="2404" dxfId="11">
      <formula>Datos!C185="D4"</formula>
    </cfRule>
    <cfRule type="expression" priority="2405" dxfId="12">
      <formula>Datos!C185="MIX"</formula>
    </cfRule>
  </conditionalFormatting>
  <conditionalFormatting sqref="G18">
    <cfRule type="expression" priority="2406" dxfId="0">
      <formula>Datos!C186="C1"</formula>
    </cfRule>
    <cfRule type="expression" priority="2407" dxfId="1">
      <formula>Datos!C186="C2"</formula>
    </cfRule>
    <cfRule type="expression" priority="2408" dxfId="2">
      <formula>Datos!C186="C3"</formula>
    </cfRule>
    <cfRule type="expression" priority="2409" dxfId="3">
      <formula>Datos!C186="C4"</formula>
    </cfRule>
    <cfRule type="expression" priority="2410" dxfId="4">
      <formula>Datos!C186="M1"</formula>
    </cfRule>
    <cfRule type="expression" priority="2411" dxfId="5">
      <formula>Datos!C186="M2"</formula>
    </cfRule>
    <cfRule type="expression" priority="2412" dxfId="6">
      <formula>Datos!C186="M3"</formula>
    </cfRule>
    <cfRule type="expression" priority="2413" dxfId="7">
      <formula>Datos!C186="M4"</formula>
    </cfRule>
    <cfRule type="expression" priority="2414" dxfId="8">
      <formula>Datos!C186="D1"</formula>
    </cfRule>
    <cfRule type="expression" priority="2415" dxfId="9">
      <formula>Datos!C186="D2"</formula>
    </cfRule>
    <cfRule type="expression" priority="2416" dxfId="10">
      <formula>Datos!C186="D3"</formula>
    </cfRule>
    <cfRule type="expression" priority="2417" dxfId="11">
      <formula>Datos!C186="D4"</formula>
    </cfRule>
    <cfRule type="expression" priority="2418" dxfId="12">
      <formula>Datos!C186="MIX"</formula>
    </cfRule>
  </conditionalFormatting>
  <conditionalFormatting sqref="H18">
    <cfRule type="expression" priority="2419" dxfId="0">
      <formula>Datos!C187="C1"</formula>
    </cfRule>
    <cfRule type="expression" priority="2420" dxfId="1">
      <formula>Datos!C187="C2"</formula>
    </cfRule>
    <cfRule type="expression" priority="2421" dxfId="2">
      <formula>Datos!C187="C3"</formula>
    </cfRule>
    <cfRule type="expression" priority="2422" dxfId="3">
      <formula>Datos!C187="C4"</formula>
    </cfRule>
    <cfRule type="expression" priority="2423" dxfId="4">
      <formula>Datos!C187="M1"</formula>
    </cfRule>
    <cfRule type="expression" priority="2424" dxfId="5">
      <formula>Datos!C187="M2"</formula>
    </cfRule>
    <cfRule type="expression" priority="2425" dxfId="6">
      <formula>Datos!C187="M3"</formula>
    </cfRule>
    <cfRule type="expression" priority="2426" dxfId="7">
      <formula>Datos!C187="M4"</formula>
    </cfRule>
    <cfRule type="expression" priority="2427" dxfId="8">
      <formula>Datos!C187="D1"</formula>
    </cfRule>
    <cfRule type="expression" priority="2428" dxfId="9">
      <formula>Datos!C187="D2"</formula>
    </cfRule>
    <cfRule type="expression" priority="2429" dxfId="10">
      <formula>Datos!C187="D3"</formula>
    </cfRule>
    <cfRule type="expression" priority="2430" dxfId="11">
      <formula>Datos!C187="D4"</formula>
    </cfRule>
    <cfRule type="expression" priority="2431" dxfId="12">
      <formula>Datos!C187="MIX"</formula>
    </cfRule>
  </conditionalFormatting>
  <conditionalFormatting sqref="I18">
    <cfRule type="expression" priority="2432" dxfId="0">
      <formula>Datos!C188="C1"</formula>
    </cfRule>
    <cfRule type="expression" priority="2433" dxfId="1">
      <formula>Datos!C188="C2"</formula>
    </cfRule>
    <cfRule type="expression" priority="2434" dxfId="2">
      <formula>Datos!C188="C3"</formula>
    </cfRule>
    <cfRule type="expression" priority="2435" dxfId="3">
      <formula>Datos!C188="C4"</formula>
    </cfRule>
    <cfRule type="expression" priority="2436" dxfId="4">
      <formula>Datos!C188="M1"</formula>
    </cfRule>
    <cfRule type="expression" priority="2437" dxfId="5">
      <formula>Datos!C188="M2"</formula>
    </cfRule>
    <cfRule type="expression" priority="2438" dxfId="6">
      <formula>Datos!C188="M3"</formula>
    </cfRule>
    <cfRule type="expression" priority="2439" dxfId="7">
      <formula>Datos!C188="M4"</formula>
    </cfRule>
    <cfRule type="expression" priority="2440" dxfId="8">
      <formula>Datos!C188="D1"</formula>
    </cfRule>
    <cfRule type="expression" priority="2441" dxfId="9">
      <formula>Datos!C188="D2"</formula>
    </cfRule>
    <cfRule type="expression" priority="2442" dxfId="10">
      <formula>Datos!C188="D3"</formula>
    </cfRule>
    <cfRule type="expression" priority="2443" dxfId="11">
      <formula>Datos!C188="D4"</formula>
    </cfRule>
    <cfRule type="expression" priority="2444" dxfId="12">
      <formula>Datos!C188="MIX"</formula>
    </cfRule>
  </conditionalFormatting>
  <conditionalFormatting sqref="J18">
    <cfRule type="expression" priority="2445" dxfId="0">
      <formula>Datos!C189="C1"</formula>
    </cfRule>
    <cfRule type="expression" priority="2446" dxfId="1">
      <formula>Datos!C189="C2"</formula>
    </cfRule>
    <cfRule type="expression" priority="2447" dxfId="2">
      <formula>Datos!C189="C3"</formula>
    </cfRule>
    <cfRule type="expression" priority="2448" dxfId="3">
      <formula>Datos!C189="C4"</formula>
    </cfRule>
    <cfRule type="expression" priority="2449" dxfId="4">
      <formula>Datos!C189="M1"</formula>
    </cfRule>
    <cfRule type="expression" priority="2450" dxfId="5">
      <formula>Datos!C189="M2"</formula>
    </cfRule>
    <cfRule type="expression" priority="2451" dxfId="6">
      <formula>Datos!C189="M3"</formula>
    </cfRule>
    <cfRule type="expression" priority="2452" dxfId="7">
      <formula>Datos!C189="M4"</formula>
    </cfRule>
    <cfRule type="expression" priority="2453" dxfId="8">
      <formula>Datos!C189="D1"</formula>
    </cfRule>
    <cfRule type="expression" priority="2454" dxfId="9">
      <formula>Datos!C189="D2"</formula>
    </cfRule>
    <cfRule type="expression" priority="2455" dxfId="10">
      <formula>Datos!C189="D3"</formula>
    </cfRule>
    <cfRule type="expression" priority="2456" dxfId="11">
      <formula>Datos!C189="D4"</formula>
    </cfRule>
    <cfRule type="expression" priority="2457" dxfId="12">
      <formula>Datos!C189="MIX"</formula>
    </cfRule>
  </conditionalFormatting>
  <conditionalFormatting sqref="K18">
    <cfRule type="expression" priority="2458" dxfId="0">
      <formula>Datos!C190="C1"</formula>
    </cfRule>
    <cfRule type="expression" priority="2459" dxfId="1">
      <formula>Datos!C190="C2"</formula>
    </cfRule>
    <cfRule type="expression" priority="2460" dxfId="2">
      <formula>Datos!C190="C3"</formula>
    </cfRule>
    <cfRule type="expression" priority="2461" dxfId="3">
      <formula>Datos!C190="C4"</formula>
    </cfRule>
    <cfRule type="expression" priority="2462" dxfId="4">
      <formula>Datos!C190="M1"</formula>
    </cfRule>
    <cfRule type="expression" priority="2463" dxfId="5">
      <formula>Datos!C190="M2"</formula>
    </cfRule>
    <cfRule type="expression" priority="2464" dxfId="6">
      <formula>Datos!C190="M3"</formula>
    </cfRule>
    <cfRule type="expression" priority="2465" dxfId="7">
      <formula>Datos!C190="M4"</formula>
    </cfRule>
    <cfRule type="expression" priority="2466" dxfId="8">
      <formula>Datos!C190="D1"</formula>
    </cfRule>
    <cfRule type="expression" priority="2467" dxfId="9">
      <formula>Datos!C190="D2"</formula>
    </cfRule>
    <cfRule type="expression" priority="2468" dxfId="10">
      <formula>Datos!C190="D3"</formula>
    </cfRule>
    <cfRule type="expression" priority="2469" dxfId="11">
      <formula>Datos!C190="D4"</formula>
    </cfRule>
    <cfRule type="expression" priority="2470" dxfId="12">
      <formula>Datos!C190="MIX"</formula>
    </cfRule>
  </conditionalFormatting>
  <conditionalFormatting sqref="L18">
    <cfRule type="expression" priority="2471" dxfId="0">
      <formula>Datos!C191="C1"</formula>
    </cfRule>
    <cfRule type="expression" priority="2472" dxfId="1">
      <formula>Datos!C191="C2"</formula>
    </cfRule>
    <cfRule type="expression" priority="2473" dxfId="2">
      <formula>Datos!C191="C3"</formula>
    </cfRule>
    <cfRule type="expression" priority="2474" dxfId="3">
      <formula>Datos!C191="C4"</formula>
    </cfRule>
    <cfRule type="expression" priority="2475" dxfId="4">
      <formula>Datos!C191="M1"</formula>
    </cfRule>
    <cfRule type="expression" priority="2476" dxfId="5">
      <formula>Datos!C191="M2"</formula>
    </cfRule>
    <cfRule type="expression" priority="2477" dxfId="6">
      <formula>Datos!C191="M3"</formula>
    </cfRule>
    <cfRule type="expression" priority="2478" dxfId="7">
      <formula>Datos!C191="M4"</formula>
    </cfRule>
    <cfRule type="expression" priority="2479" dxfId="8">
      <formula>Datos!C191="D1"</formula>
    </cfRule>
    <cfRule type="expression" priority="2480" dxfId="9">
      <formula>Datos!C191="D2"</formula>
    </cfRule>
    <cfRule type="expression" priority="2481" dxfId="10">
      <formula>Datos!C191="D3"</formula>
    </cfRule>
    <cfRule type="expression" priority="2482" dxfId="11">
      <formula>Datos!C191="D4"</formula>
    </cfRule>
    <cfRule type="expression" priority="2483" dxfId="12">
      <formula>Datos!C191="MIX"</formula>
    </cfRule>
  </conditionalFormatting>
  <conditionalFormatting sqref="M18">
    <cfRule type="expression" priority="2484" dxfId="0">
      <formula>Datos!C192="C1"</formula>
    </cfRule>
    <cfRule type="expression" priority="2485" dxfId="1">
      <formula>Datos!C192="C2"</formula>
    </cfRule>
    <cfRule type="expression" priority="2486" dxfId="2">
      <formula>Datos!C192="C3"</formula>
    </cfRule>
    <cfRule type="expression" priority="2487" dxfId="3">
      <formula>Datos!C192="C4"</formula>
    </cfRule>
    <cfRule type="expression" priority="2488" dxfId="4">
      <formula>Datos!C192="M1"</formula>
    </cfRule>
    <cfRule type="expression" priority="2489" dxfId="5">
      <formula>Datos!C192="M2"</formula>
    </cfRule>
    <cfRule type="expression" priority="2490" dxfId="6">
      <formula>Datos!C192="M3"</formula>
    </cfRule>
    <cfRule type="expression" priority="2491" dxfId="7">
      <formula>Datos!C192="M4"</formula>
    </cfRule>
    <cfRule type="expression" priority="2492" dxfId="8">
      <formula>Datos!C192="D1"</formula>
    </cfRule>
    <cfRule type="expression" priority="2493" dxfId="9">
      <formula>Datos!C192="D2"</formula>
    </cfRule>
    <cfRule type="expression" priority="2494" dxfId="10">
      <formula>Datos!C192="D3"</formula>
    </cfRule>
    <cfRule type="expression" priority="2495" dxfId="11">
      <formula>Datos!C192="D4"</formula>
    </cfRule>
    <cfRule type="expression" priority="2496" dxfId="12">
      <formula>Datos!C192="MIX"</formula>
    </cfRule>
  </conditionalFormatting>
  <conditionalFormatting sqref="N18">
    <cfRule type="expression" priority="2497" dxfId="0">
      <formula>Datos!C193="C1"</formula>
    </cfRule>
    <cfRule type="expression" priority="2498" dxfId="1">
      <formula>Datos!C193="C2"</formula>
    </cfRule>
    <cfRule type="expression" priority="2499" dxfId="2">
      <formula>Datos!C193="C3"</formula>
    </cfRule>
    <cfRule type="expression" priority="2500" dxfId="3">
      <formula>Datos!C193="C4"</formula>
    </cfRule>
    <cfRule type="expression" priority="2501" dxfId="4">
      <formula>Datos!C193="M1"</formula>
    </cfRule>
    <cfRule type="expression" priority="2502" dxfId="5">
      <formula>Datos!C193="M2"</formula>
    </cfRule>
    <cfRule type="expression" priority="2503" dxfId="6">
      <formula>Datos!C193="M3"</formula>
    </cfRule>
    <cfRule type="expression" priority="2504" dxfId="7">
      <formula>Datos!C193="M4"</formula>
    </cfRule>
    <cfRule type="expression" priority="2505" dxfId="8">
      <formula>Datos!C193="D1"</formula>
    </cfRule>
    <cfRule type="expression" priority="2506" dxfId="9">
      <formula>Datos!C193="D2"</formula>
    </cfRule>
    <cfRule type="expression" priority="2507" dxfId="10">
      <formula>Datos!C193="D3"</formula>
    </cfRule>
    <cfRule type="expression" priority="2508" dxfId="11">
      <formula>Datos!C193="D4"</formula>
    </cfRule>
    <cfRule type="expression" priority="2509" dxfId="12">
      <formula>Datos!C193="MIX"</formula>
    </cfRule>
  </conditionalFormatting>
  <conditionalFormatting sqref="O18">
    <cfRule type="expression" priority="2510" dxfId="0">
      <formula>Datos!C194="C1"</formula>
    </cfRule>
    <cfRule type="expression" priority="2511" dxfId="1">
      <formula>Datos!C194="C2"</formula>
    </cfRule>
    <cfRule type="expression" priority="2512" dxfId="2">
      <formula>Datos!C194="C3"</formula>
    </cfRule>
    <cfRule type="expression" priority="2513" dxfId="3">
      <formula>Datos!C194="C4"</formula>
    </cfRule>
    <cfRule type="expression" priority="2514" dxfId="4">
      <formula>Datos!C194="M1"</formula>
    </cfRule>
    <cfRule type="expression" priority="2515" dxfId="5">
      <formula>Datos!C194="M2"</formula>
    </cfRule>
    <cfRule type="expression" priority="2516" dxfId="6">
      <formula>Datos!C194="M3"</formula>
    </cfRule>
    <cfRule type="expression" priority="2517" dxfId="7">
      <formula>Datos!C194="M4"</formula>
    </cfRule>
    <cfRule type="expression" priority="2518" dxfId="8">
      <formula>Datos!C194="D1"</formula>
    </cfRule>
    <cfRule type="expression" priority="2519" dxfId="9">
      <formula>Datos!C194="D2"</formula>
    </cfRule>
    <cfRule type="expression" priority="2520" dxfId="10">
      <formula>Datos!C194="D3"</formula>
    </cfRule>
    <cfRule type="expression" priority="2521" dxfId="11">
      <formula>Datos!C194="D4"</formula>
    </cfRule>
    <cfRule type="expression" priority="2522" dxfId="12">
      <formula>Datos!C194="MIX"</formula>
    </cfRule>
  </conditionalFormatting>
  <conditionalFormatting sqref="P18">
    <cfRule type="expression" priority="2523" dxfId="0">
      <formula>Datos!C195="C1"</formula>
    </cfRule>
    <cfRule type="expression" priority="2524" dxfId="1">
      <formula>Datos!C195="C2"</formula>
    </cfRule>
    <cfRule type="expression" priority="2525" dxfId="2">
      <formula>Datos!C195="C3"</formula>
    </cfRule>
    <cfRule type="expression" priority="2526" dxfId="3">
      <formula>Datos!C195="C4"</formula>
    </cfRule>
    <cfRule type="expression" priority="2527" dxfId="4">
      <formula>Datos!C195="M1"</formula>
    </cfRule>
    <cfRule type="expression" priority="2528" dxfId="5">
      <formula>Datos!C195="M2"</formula>
    </cfRule>
    <cfRule type="expression" priority="2529" dxfId="6">
      <formula>Datos!C195="M3"</formula>
    </cfRule>
    <cfRule type="expression" priority="2530" dxfId="7">
      <formula>Datos!C195="M4"</formula>
    </cfRule>
    <cfRule type="expression" priority="2531" dxfId="8">
      <formula>Datos!C195="D1"</formula>
    </cfRule>
    <cfRule type="expression" priority="2532" dxfId="9">
      <formula>Datos!C195="D2"</formula>
    </cfRule>
    <cfRule type="expression" priority="2533" dxfId="10">
      <formula>Datos!C195="D3"</formula>
    </cfRule>
    <cfRule type="expression" priority="2534" dxfId="11">
      <formula>Datos!C195="D4"</formula>
    </cfRule>
    <cfRule type="expression" priority="2535" dxfId="12">
      <formula>Datos!C195="MIX"</formula>
    </cfRule>
  </conditionalFormatting>
  <conditionalFormatting sqref="B19">
    <cfRule type="expression" priority="2536" dxfId="0">
      <formula>Datos!C196="C1"</formula>
    </cfRule>
    <cfRule type="expression" priority="2537" dxfId="1">
      <formula>Datos!C196="C2"</formula>
    </cfRule>
    <cfRule type="expression" priority="2538" dxfId="2">
      <formula>Datos!C196="C3"</formula>
    </cfRule>
    <cfRule type="expression" priority="2539" dxfId="3">
      <formula>Datos!C196="C4"</formula>
    </cfRule>
    <cfRule type="expression" priority="2540" dxfId="4">
      <formula>Datos!C196="M1"</formula>
    </cfRule>
    <cfRule type="expression" priority="2541" dxfId="5">
      <formula>Datos!C196="M2"</formula>
    </cfRule>
    <cfRule type="expression" priority="2542" dxfId="6">
      <formula>Datos!C196="M3"</formula>
    </cfRule>
    <cfRule type="expression" priority="2543" dxfId="7">
      <formula>Datos!C196="M4"</formula>
    </cfRule>
    <cfRule type="expression" priority="2544" dxfId="8">
      <formula>Datos!C196="D1"</formula>
    </cfRule>
    <cfRule type="expression" priority="2545" dxfId="9">
      <formula>Datos!C196="D2"</formula>
    </cfRule>
    <cfRule type="expression" priority="2546" dxfId="10">
      <formula>Datos!C196="D3"</formula>
    </cfRule>
    <cfRule type="expression" priority="2547" dxfId="11">
      <formula>Datos!C196="D4"</formula>
    </cfRule>
    <cfRule type="expression" priority="2548" dxfId="12">
      <formula>Datos!C196="MIX"</formula>
    </cfRule>
  </conditionalFormatting>
  <conditionalFormatting sqref="C19">
    <cfRule type="expression" priority="2549" dxfId="0">
      <formula>Datos!C197="C1"</formula>
    </cfRule>
    <cfRule type="expression" priority="2550" dxfId="1">
      <formula>Datos!C197="C2"</formula>
    </cfRule>
    <cfRule type="expression" priority="2551" dxfId="2">
      <formula>Datos!C197="C3"</formula>
    </cfRule>
    <cfRule type="expression" priority="2552" dxfId="3">
      <formula>Datos!C197="C4"</formula>
    </cfRule>
    <cfRule type="expression" priority="2553" dxfId="4">
      <formula>Datos!C197="M1"</formula>
    </cfRule>
    <cfRule type="expression" priority="2554" dxfId="5">
      <formula>Datos!C197="M2"</formula>
    </cfRule>
    <cfRule type="expression" priority="2555" dxfId="6">
      <formula>Datos!C197="M3"</formula>
    </cfRule>
    <cfRule type="expression" priority="2556" dxfId="7">
      <formula>Datos!C197="M4"</formula>
    </cfRule>
    <cfRule type="expression" priority="2557" dxfId="8">
      <formula>Datos!C197="D1"</formula>
    </cfRule>
    <cfRule type="expression" priority="2558" dxfId="9">
      <formula>Datos!C197="D2"</formula>
    </cfRule>
    <cfRule type="expression" priority="2559" dxfId="10">
      <formula>Datos!C197="D3"</formula>
    </cfRule>
    <cfRule type="expression" priority="2560" dxfId="11">
      <formula>Datos!C197="D4"</formula>
    </cfRule>
    <cfRule type="expression" priority="2561" dxfId="12">
      <formula>Datos!C197="MIX"</formula>
    </cfRule>
  </conditionalFormatting>
  <conditionalFormatting sqref="D19">
    <cfRule type="expression" priority="2562" dxfId="0">
      <formula>Datos!C198="C1"</formula>
    </cfRule>
    <cfRule type="expression" priority="2563" dxfId="1">
      <formula>Datos!C198="C2"</formula>
    </cfRule>
    <cfRule type="expression" priority="2564" dxfId="2">
      <formula>Datos!C198="C3"</formula>
    </cfRule>
    <cfRule type="expression" priority="2565" dxfId="3">
      <formula>Datos!C198="C4"</formula>
    </cfRule>
    <cfRule type="expression" priority="2566" dxfId="4">
      <formula>Datos!C198="M1"</formula>
    </cfRule>
    <cfRule type="expression" priority="2567" dxfId="5">
      <formula>Datos!C198="M2"</formula>
    </cfRule>
    <cfRule type="expression" priority="2568" dxfId="6">
      <formula>Datos!C198="M3"</formula>
    </cfRule>
    <cfRule type="expression" priority="2569" dxfId="7">
      <formula>Datos!C198="M4"</formula>
    </cfRule>
    <cfRule type="expression" priority="2570" dxfId="8">
      <formula>Datos!C198="D1"</formula>
    </cfRule>
    <cfRule type="expression" priority="2571" dxfId="9">
      <formula>Datos!C198="D2"</formula>
    </cfRule>
    <cfRule type="expression" priority="2572" dxfId="10">
      <formula>Datos!C198="D3"</formula>
    </cfRule>
    <cfRule type="expression" priority="2573" dxfId="11">
      <formula>Datos!C198="D4"</formula>
    </cfRule>
    <cfRule type="expression" priority="2574" dxfId="12">
      <formula>Datos!C198="MIX"</formula>
    </cfRule>
  </conditionalFormatting>
  <conditionalFormatting sqref="E19">
    <cfRule type="expression" priority="2575" dxfId="0">
      <formula>Datos!C199="C1"</formula>
    </cfRule>
    <cfRule type="expression" priority="2576" dxfId="1">
      <formula>Datos!C199="C2"</formula>
    </cfRule>
    <cfRule type="expression" priority="2577" dxfId="2">
      <formula>Datos!C199="C3"</formula>
    </cfRule>
    <cfRule type="expression" priority="2578" dxfId="3">
      <formula>Datos!C199="C4"</formula>
    </cfRule>
    <cfRule type="expression" priority="2579" dxfId="4">
      <formula>Datos!C199="M1"</formula>
    </cfRule>
    <cfRule type="expression" priority="2580" dxfId="5">
      <formula>Datos!C199="M2"</formula>
    </cfRule>
    <cfRule type="expression" priority="2581" dxfId="6">
      <formula>Datos!C199="M3"</formula>
    </cfRule>
    <cfRule type="expression" priority="2582" dxfId="7">
      <formula>Datos!C199="M4"</formula>
    </cfRule>
    <cfRule type="expression" priority="2583" dxfId="8">
      <formula>Datos!C199="D1"</formula>
    </cfRule>
    <cfRule type="expression" priority="2584" dxfId="9">
      <formula>Datos!C199="D2"</formula>
    </cfRule>
    <cfRule type="expression" priority="2585" dxfId="10">
      <formula>Datos!C199="D3"</formula>
    </cfRule>
    <cfRule type="expression" priority="2586" dxfId="11">
      <formula>Datos!C199="D4"</formula>
    </cfRule>
    <cfRule type="expression" priority="2587" dxfId="12">
      <formula>Datos!C199="MIX"</formula>
    </cfRule>
  </conditionalFormatting>
  <conditionalFormatting sqref="F19">
    <cfRule type="expression" priority="2588" dxfId="0">
      <formula>Datos!C200="C1"</formula>
    </cfRule>
    <cfRule type="expression" priority="2589" dxfId="1">
      <formula>Datos!C200="C2"</formula>
    </cfRule>
    <cfRule type="expression" priority="2590" dxfId="2">
      <formula>Datos!C200="C3"</formula>
    </cfRule>
    <cfRule type="expression" priority="2591" dxfId="3">
      <formula>Datos!C200="C4"</formula>
    </cfRule>
    <cfRule type="expression" priority="2592" dxfId="4">
      <formula>Datos!C200="M1"</formula>
    </cfRule>
    <cfRule type="expression" priority="2593" dxfId="5">
      <formula>Datos!C200="M2"</formula>
    </cfRule>
    <cfRule type="expression" priority="2594" dxfId="6">
      <formula>Datos!C200="M3"</formula>
    </cfRule>
    <cfRule type="expression" priority="2595" dxfId="7">
      <formula>Datos!C200="M4"</formula>
    </cfRule>
    <cfRule type="expression" priority="2596" dxfId="8">
      <formula>Datos!C200="D1"</formula>
    </cfRule>
    <cfRule type="expression" priority="2597" dxfId="9">
      <formula>Datos!C200="D2"</formula>
    </cfRule>
    <cfRule type="expression" priority="2598" dxfId="10">
      <formula>Datos!C200="D3"</formula>
    </cfRule>
    <cfRule type="expression" priority="2599" dxfId="11">
      <formula>Datos!C200="D4"</formula>
    </cfRule>
    <cfRule type="expression" priority="2600" dxfId="12">
      <formula>Datos!C200="MIX"</formula>
    </cfRule>
  </conditionalFormatting>
  <conditionalFormatting sqref="G19">
    <cfRule type="expression" priority="2601" dxfId="0">
      <formula>Datos!C201="C1"</formula>
    </cfRule>
    <cfRule type="expression" priority="2602" dxfId="1">
      <formula>Datos!C201="C2"</formula>
    </cfRule>
    <cfRule type="expression" priority="2603" dxfId="2">
      <formula>Datos!C201="C3"</formula>
    </cfRule>
    <cfRule type="expression" priority="2604" dxfId="3">
      <formula>Datos!C201="C4"</formula>
    </cfRule>
    <cfRule type="expression" priority="2605" dxfId="4">
      <formula>Datos!C201="M1"</formula>
    </cfRule>
    <cfRule type="expression" priority="2606" dxfId="5">
      <formula>Datos!C201="M2"</formula>
    </cfRule>
    <cfRule type="expression" priority="2607" dxfId="6">
      <formula>Datos!C201="M3"</formula>
    </cfRule>
    <cfRule type="expression" priority="2608" dxfId="7">
      <formula>Datos!C201="M4"</formula>
    </cfRule>
    <cfRule type="expression" priority="2609" dxfId="8">
      <formula>Datos!C201="D1"</formula>
    </cfRule>
    <cfRule type="expression" priority="2610" dxfId="9">
      <formula>Datos!C201="D2"</formula>
    </cfRule>
    <cfRule type="expression" priority="2611" dxfId="10">
      <formula>Datos!C201="D3"</formula>
    </cfRule>
    <cfRule type="expression" priority="2612" dxfId="11">
      <formula>Datos!C201="D4"</formula>
    </cfRule>
    <cfRule type="expression" priority="2613" dxfId="12">
      <formula>Datos!C201="MIX"</formula>
    </cfRule>
  </conditionalFormatting>
  <conditionalFormatting sqref="H19">
    <cfRule type="expression" priority="2614" dxfId="0">
      <formula>Datos!C202="C1"</formula>
    </cfRule>
    <cfRule type="expression" priority="2615" dxfId="1">
      <formula>Datos!C202="C2"</formula>
    </cfRule>
    <cfRule type="expression" priority="2616" dxfId="2">
      <formula>Datos!C202="C3"</formula>
    </cfRule>
    <cfRule type="expression" priority="2617" dxfId="3">
      <formula>Datos!C202="C4"</formula>
    </cfRule>
    <cfRule type="expression" priority="2618" dxfId="4">
      <formula>Datos!C202="M1"</formula>
    </cfRule>
    <cfRule type="expression" priority="2619" dxfId="5">
      <formula>Datos!C202="M2"</formula>
    </cfRule>
    <cfRule type="expression" priority="2620" dxfId="6">
      <formula>Datos!C202="M3"</formula>
    </cfRule>
    <cfRule type="expression" priority="2621" dxfId="7">
      <formula>Datos!C202="M4"</formula>
    </cfRule>
    <cfRule type="expression" priority="2622" dxfId="8">
      <formula>Datos!C202="D1"</formula>
    </cfRule>
    <cfRule type="expression" priority="2623" dxfId="9">
      <formula>Datos!C202="D2"</formula>
    </cfRule>
    <cfRule type="expression" priority="2624" dxfId="10">
      <formula>Datos!C202="D3"</formula>
    </cfRule>
    <cfRule type="expression" priority="2625" dxfId="11">
      <formula>Datos!C202="D4"</formula>
    </cfRule>
    <cfRule type="expression" priority="2626" dxfId="12">
      <formula>Datos!C202="MIX"</formula>
    </cfRule>
  </conditionalFormatting>
  <conditionalFormatting sqref="I19">
    <cfRule type="expression" priority="2627" dxfId="0">
      <formula>Datos!C203="C1"</formula>
    </cfRule>
    <cfRule type="expression" priority="2628" dxfId="1">
      <formula>Datos!C203="C2"</formula>
    </cfRule>
    <cfRule type="expression" priority="2629" dxfId="2">
      <formula>Datos!C203="C3"</formula>
    </cfRule>
    <cfRule type="expression" priority="2630" dxfId="3">
      <formula>Datos!C203="C4"</formula>
    </cfRule>
    <cfRule type="expression" priority="2631" dxfId="4">
      <formula>Datos!C203="M1"</formula>
    </cfRule>
    <cfRule type="expression" priority="2632" dxfId="5">
      <formula>Datos!C203="M2"</formula>
    </cfRule>
    <cfRule type="expression" priority="2633" dxfId="6">
      <formula>Datos!C203="M3"</formula>
    </cfRule>
    <cfRule type="expression" priority="2634" dxfId="7">
      <formula>Datos!C203="M4"</formula>
    </cfRule>
    <cfRule type="expression" priority="2635" dxfId="8">
      <formula>Datos!C203="D1"</formula>
    </cfRule>
    <cfRule type="expression" priority="2636" dxfId="9">
      <formula>Datos!C203="D2"</formula>
    </cfRule>
    <cfRule type="expression" priority="2637" dxfId="10">
      <formula>Datos!C203="D3"</formula>
    </cfRule>
    <cfRule type="expression" priority="2638" dxfId="11">
      <formula>Datos!C203="D4"</formula>
    </cfRule>
    <cfRule type="expression" priority="2639" dxfId="12">
      <formula>Datos!C203="MIX"</formula>
    </cfRule>
  </conditionalFormatting>
  <conditionalFormatting sqref="J19">
    <cfRule type="expression" priority="2640" dxfId="0">
      <formula>Datos!C204="C1"</formula>
    </cfRule>
    <cfRule type="expression" priority="2641" dxfId="1">
      <formula>Datos!C204="C2"</formula>
    </cfRule>
    <cfRule type="expression" priority="2642" dxfId="2">
      <formula>Datos!C204="C3"</formula>
    </cfRule>
    <cfRule type="expression" priority="2643" dxfId="3">
      <formula>Datos!C204="C4"</formula>
    </cfRule>
    <cfRule type="expression" priority="2644" dxfId="4">
      <formula>Datos!C204="M1"</formula>
    </cfRule>
    <cfRule type="expression" priority="2645" dxfId="5">
      <formula>Datos!C204="M2"</formula>
    </cfRule>
    <cfRule type="expression" priority="2646" dxfId="6">
      <formula>Datos!C204="M3"</formula>
    </cfRule>
    <cfRule type="expression" priority="2647" dxfId="7">
      <formula>Datos!C204="M4"</formula>
    </cfRule>
    <cfRule type="expression" priority="2648" dxfId="8">
      <formula>Datos!C204="D1"</formula>
    </cfRule>
    <cfRule type="expression" priority="2649" dxfId="9">
      <formula>Datos!C204="D2"</formula>
    </cfRule>
    <cfRule type="expression" priority="2650" dxfId="10">
      <formula>Datos!C204="D3"</formula>
    </cfRule>
    <cfRule type="expression" priority="2651" dxfId="11">
      <formula>Datos!C204="D4"</formula>
    </cfRule>
    <cfRule type="expression" priority="2652" dxfId="12">
      <formula>Datos!C204="MIX"</formula>
    </cfRule>
  </conditionalFormatting>
  <conditionalFormatting sqref="K19">
    <cfRule type="expression" priority="2653" dxfId="0">
      <formula>Datos!C205="C1"</formula>
    </cfRule>
    <cfRule type="expression" priority="2654" dxfId="1">
      <formula>Datos!C205="C2"</formula>
    </cfRule>
    <cfRule type="expression" priority="2655" dxfId="2">
      <formula>Datos!C205="C3"</formula>
    </cfRule>
    <cfRule type="expression" priority="2656" dxfId="3">
      <formula>Datos!C205="C4"</formula>
    </cfRule>
    <cfRule type="expression" priority="2657" dxfId="4">
      <formula>Datos!C205="M1"</formula>
    </cfRule>
    <cfRule type="expression" priority="2658" dxfId="5">
      <formula>Datos!C205="M2"</formula>
    </cfRule>
    <cfRule type="expression" priority="2659" dxfId="6">
      <formula>Datos!C205="M3"</formula>
    </cfRule>
    <cfRule type="expression" priority="2660" dxfId="7">
      <formula>Datos!C205="M4"</formula>
    </cfRule>
    <cfRule type="expression" priority="2661" dxfId="8">
      <formula>Datos!C205="D1"</formula>
    </cfRule>
    <cfRule type="expression" priority="2662" dxfId="9">
      <formula>Datos!C205="D2"</formula>
    </cfRule>
    <cfRule type="expression" priority="2663" dxfId="10">
      <formula>Datos!C205="D3"</formula>
    </cfRule>
    <cfRule type="expression" priority="2664" dxfId="11">
      <formula>Datos!C205="D4"</formula>
    </cfRule>
    <cfRule type="expression" priority="2665" dxfId="12">
      <formula>Datos!C205="MIX"</formula>
    </cfRule>
  </conditionalFormatting>
  <conditionalFormatting sqref="L19">
    <cfRule type="expression" priority="2666" dxfId="0">
      <formula>Datos!C206="C1"</formula>
    </cfRule>
    <cfRule type="expression" priority="2667" dxfId="1">
      <formula>Datos!C206="C2"</formula>
    </cfRule>
    <cfRule type="expression" priority="2668" dxfId="2">
      <formula>Datos!C206="C3"</formula>
    </cfRule>
    <cfRule type="expression" priority="2669" dxfId="3">
      <formula>Datos!C206="C4"</formula>
    </cfRule>
    <cfRule type="expression" priority="2670" dxfId="4">
      <formula>Datos!C206="M1"</formula>
    </cfRule>
    <cfRule type="expression" priority="2671" dxfId="5">
      <formula>Datos!C206="M2"</formula>
    </cfRule>
    <cfRule type="expression" priority="2672" dxfId="6">
      <formula>Datos!C206="M3"</formula>
    </cfRule>
    <cfRule type="expression" priority="2673" dxfId="7">
      <formula>Datos!C206="M4"</formula>
    </cfRule>
    <cfRule type="expression" priority="2674" dxfId="8">
      <formula>Datos!C206="D1"</formula>
    </cfRule>
    <cfRule type="expression" priority="2675" dxfId="9">
      <formula>Datos!C206="D2"</formula>
    </cfRule>
    <cfRule type="expression" priority="2676" dxfId="10">
      <formula>Datos!C206="D3"</formula>
    </cfRule>
    <cfRule type="expression" priority="2677" dxfId="11">
      <formula>Datos!C206="D4"</formula>
    </cfRule>
    <cfRule type="expression" priority="2678" dxfId="12">
      <formula>Datos!C206="MIX"</formula>
    </cfRule>
  </conditionalFormatting>
  <conditionalFormatting sqref="M19">
    <cfRule type="expression" priority="2679" dxfId="0">
      <formula>Datos!C207="C1"</formula>
    </cfRule>
    <cfRule type="expression" priority="2680" dxfId="1">
      <formula>Datos!C207="C2"</formula>
    </cfRule>
    <cfRule type="expression" priority="2681" dxfId="2">
      <formula>Datos!C207="C3"</formula>
    </cfRule>
    <cfRule type="expression" priority="2682" dxfId="3">
      <formula>Datos!C207="C4"</formula>
    </cfRule>
    <cfRule type="expression" priority="2683" dxfId="4">
      <formula>Datos!C207="M1"</formula>
    </cfRule>
    <cfRule type="expression" priority="2684" dxfId="5">
      <formula>Datos!C207="M2"</formula>
    </cfRule>
    <cfRule type="expression" priority="2685" dxfId="6">
      <formula>Datos!C207="M3"</formula>
    </cfRule>
    <cfRule type="expression" priority="2686" dxfId="7">
      <formula>Datos!C207="M4"</formula>
    </cfRule>
    <cfRule type="expression" priority="2687" dxfId="8">
      <formula>Datos!C207="D1"</formula>
    </cfRule>
    <cfRule type="expression" priority="2688" dxfId="9">
      <formula>Datos!C207="D2"</formula>
    </cfRule>
    <cfRule type="expression" priority="2689" dxfId="10">
      <formula>Datos!C207="D3"</formula>
    </cfRule>
    <cfRule type="expression" priority="2690" dxfId="11">
      <formula>Datos!C207="D4"</formula>
    </cfRule>
    <cfRule type="expression" priority="2691" dxfId="12">
      <formula>Datos!C207="MIX"</formula>
    </cfRule>
  </conditionalFormatting>
  <conditionalFormatting sqref="N19">
    <cfRule type="expression" priority="2692" dxfId="0">
      <formula>Datos!C208="C1"</formula>
    </cfRule>
    <cfRule type="expression" priority="2693" dxfId="1">
      <formula>Datos!C208="C2"</formula>
    </cfRule>
    <cfRule type="expression" priority="2694" dxfId="2">
      <formula>Datos!C208="C3"</formula>
    </cfRule>
    <cfRule type="expression" priority="2695" dxfId="3">
      <formula>Datos!C208="C4"</formula>
    </cfRule>
    <cfRule type="expression" priority="2696" dxfId="4">
      <formula>Datos!C208="M1"</formula>
    </cfRule>
    <cfRule type="expression" priority="2697" dxfId="5">
      <formula>Datos!C208="M2"</formula>
    </cfRule>
    <cfRule type="expression" priority="2698" dxfId="6">
      <formula>Datos!C208="M3"</formula>
    </cfRule>
    <cfRule type="expression" priority="2699" dxfId="7">
      <formula>Datos!C208="M4"</formula>
    </cfRule>
    <cfRule type="expression" priority="2700" dxfId="8">
      <formula>Datos!C208="D1"</formula>
    </cfRule>
    <cfRule type="expression" priority="2701" dxfId="9">
      <formula>Datos!C208="D2"</formula>
    </cfRule>
    <cfRule type="expression" priority="2702" dxfId="10">
      <formula>Datos!C208="D3"</formula>
    </cfRule>
    <cfRule type="expression" priority="2703" dxfId="11">
      <formula>Datos!C208="D4"</formula>
    </cfRule>
    <cfRule type="expression" priority="2704" dxfId="12">
      <formula>Datos!C208="MIX"</formula>
    </cfRule>
  </conditionalFormatting>
  <conditionalFormatting sqref="O19">
    <cfRule type="expression" priority="2705" dxfId="0">
      <formula>Datos!C209="C1"</formula>
    </cfRule>
    <cfRule type="expression" priority="2706" dxfId="1">
      <formula>Datos!C209="C2"</formula>
    </cfRule>
    <cfRule type="expression" priority="2707" dxfId="2">
      <formula>Datos!C209="C3"</formula>
    </cfRule>
    <cfRule type="expression" priority="2708" dxfId="3">
      <formula>Datos!C209="C4"</formula>
    </cfRule>
    <cfRule type="expression" priority="2709" dxfId="4">
      <formula>Datos!C209="M1"</formula>
    </cfRule>
    <cfRule type="expression" priority="2710" dxfId="5">
      <formula>Datos!C209="M2"</formula>
    </cfRule>
    <cfRule type="expression" priority="2711" dxfId="6">
      <formula>Datos!C209="M3"</formula>
    </cfRule>
    <cfRule type="expression" priority="2712" dxfId="7">
      <formula>Datos!C209="M4"</formula>
    </cfRule>
    <cfRule type="expression" priority="2713" dxfId="8">
      <formula>Datos!C209="D1"</formula>
    </cfRule>
    <cfRule type="expression" priority="2714" dxfId="9">
      <formula>Datos!C209="D2"</formula>
    </cfRule>
    <cfRule type="expression" priority="2715" dxfId="10">
      <formula>Datos!C209="D3"</formula>
    </cfRule>
    <cfRule type="expression" priority="2716" dxfId="11">
      <formula>Datos!C209="D4"</formula>
    </cfRule>
    <cfRule type="expression" priority="2717" dxfId="12">
      <formula>Datos!C209="MIX"</formula>
    </cfRule>
  </conditionalFormatting>
  <conditionalFormatting sqref="P19">
    <cfRule type="expression" priority="2718" dxfId="0">
      <formula>Datos!C210="C1"</formula>
    </cfRule>
    <cfRule type="expression" priority="2719" dxfId="1">
      <formula>Datos!C210="C2"</formula>
    </cfRule>
    <cfRule type="expression" priority="2720" dxfId="2">
      <formula>Datos!C210="C3"</formula>
    </cfRule>
    <cfRule type="expression" priority="2721" dxfId="3">
      <formula>Datos!C210="C4"</formula>
    </cfRule>
    <cfRule type="expression" priority="2722" dxfId="4">
      <formula>Datos!C210="M1"</formula>
    </cfRule>
    <cfRule type="expression" priority="2723" dxfId="5">
      <formula>Datos!C210="M2"</formula>
    </cfRule>
    <cfRule type="expression" priority="2724" dxfId="6">
      <formula>Datos!C210="M3"</formula>
    </cfRule>
    <cfRule type="expression" priority="2725" dxfId="7">
      <formula>Datos!C210="M4"</formula>
    </cfRule>
    <cfRule type="expression" priority="2726" dxfId="8">
      <formula>Datos!C210="D1"</formula>
    </cfRule>
    <cfRule type="expression" priority="2727" dxfId="9">
      <formula>Datos!C210="D2"</formula>
    </cfRule>
    <cfRule type="expression" priority="2728" dxfId="10">
      <formula>Datos!C210="D3"</formula>
    </cfRule>
    <cfRule type="expression" priority="2729" dxfId="11">
      <formula>Datos!C210="D4"</formula>
    </cfRule>
    <cfRule type="expression" priority="2730" dxfId="12">
      <formula>Datos!C210="MIX"</formula>
    </cfRule>
  </conditionalFormatting>
  <conditionalFormatting sqref="B20">
    <cfRule type="expression" priority="2731" dxfId="0">
      <formula>Datos!C211="C1"</formula>
    </cfRule>
    <cfRule type="expression" priority="2732" dxfId="1">
      <formula>Datos!C211="C2"</formula>
    </cfRule>
    <cfRule type="expression" priority="2733" dxfId="2">
      <formula>Datos!C211="C3"</formula>
    </cfRule>
    <cfRule type="expression" priority="2734" dxfId="3">
      <formula>Datos!C211="C4"</formula>
    </cfRule>
    <cfRule type="expression" priority="2735" dxfId="4">
      <formula>Datos!C211="M1"</formula>
    </cfRule>
    <cfRule type="expression" priority="2736" dxfId="5">
      <formula>Datos!C211="M2"</formula>
    </cfRule>
    <cfRule type="expression" priority="2737" dxfId="6">
      <formula>Datos!C211="M3"</formula>
    </cfRule>
    <cfRule type="expression" priority="2738" dxfId="7">
      <formula>Datos!C211="M4"</formula>
    </cfRule>
    <cfRule type="expression" priority="2739" dxfId="8">
      <formula>Datos!C211="D1"</formula>
    </cfRule>
    <cfRule type="expression" priority="2740" dxfId="9">
      <formula>Datos!C211="D2"</formula>
    </cfRule>
    <cfRule type="expression" priority="2741" dxfId="10">
      <formula>Datos!C211="D3"</formula>
    </cfRule>
    <cfRule type="expression" priority="2742" dxfId="11">
      <formula>Datos!C211="D4"</formula>
    </cfRule>
    <cfRule type="expression" priority="2743" dxfId="12">
      <formula>Datos!C211="MIX"</formula>
    </cfRule>
  </conditionalFormatting>
  <conditionalFormatting sqref="C20">
    <cfRule type="expression" priority="2744" dxfId="0">
      <formula>Datos!C212="C1"</formula>
    </cfRule>
    <cfRule type="expression" priority="2745" dxfId="1">
      <formula>Datos!C212="C2"</formula>
    </cfRule>
    <cfRule type="expression" priority="2746" dxfId="2">
      <formula>Datos!C212="C3"</formula>
    </cfRule>
    <cfRule type="expression" priority="2747" dxfId="3">
      <formula>Datos!C212="C4"</formula>
    </cfRule>
    <cfRule type="expression" priority="2748" dxfId="4">
      <formula>Datos!C212="M1"</formula>
    </cfRule>
    <cfRule type="expression" priority="2749" dxfId="5">
      <formula>Datos!C212="M2"</formula>
    </cfRule>
    <cfRule type="expression" priority="2750" dxfId="6">
      <formula>Datos!C212="M3"</formula>
    </cfRule>
    <cfRule type="expression" priority="2751" dxfId="7">
      <formula>Datos!C212="M4"</formula>
    </cfRule>
    <cfRule type="expression" priority="2752" dxfId="8">
      <formula>Datos!C212="D1"</formula>
    </cfRule>
    <cfRule type="expression" priority="2753" dxfId="9">
      <formula>Datos!C212="D2"</formula>
    </cfRule>
    <cfRule type="expression" priority="2754" dxfId="10">
      <formula>Datos!C212="D3"</formula>
    </cfRule>
    <cfRule type="expression" priority="2755" dxfId="11">
      <formula>Datos!C212="D4"</formula>
    </cfRule>
    <cfRule type="expression" priority="2756" dxfId="12">
      <formula>Datos!C212="MIX"</formula>
    </cfRule>
  </conditionalFormatting>
  <conditionalFormatting sqref="D20">
    <cfRule type="expression" priority="2757" dxfId="0">
      <formula>Datos!C213="C1"</formula>
    </cfRule>
    <cfRule type="expression" priority="2758" dxfId="1">
      <formula>Datos!C213="C2"</formula>
    </cfRule>
    <cfRule type="expression" priority="2759" dxfId="2">
      <formula>Datos!C213="C3"</formula>
    </cfRule>
    <cfRule type="expression" priority="2760" dxfId="3">
      <formula>Datos!C213="C4"</formula>
    </cfRule>
    <cfRule type="expression" priority="2761" dxfId="4">
      <formula>Datos!C213="M1"</formula>
    </cfRule>
    <cfRule type="expression" priority="2762" dxfId="5">
      <formula>Datos!C213="M2"</formula>
    </cfRule>
    <cfRule type="expression" priority="2763" dxfId="6">
      <formula>Datos!C213="M3"</formula>
    </cfRule>
    <cfRule type="expression" priority="2764" dxfId="7">
      <formula>Datos!C213="M4"</formula>
    </cfRule>
    <cfRule type="expression" priority="2765" dxfId="8">
      <formula>Datos!C213="D1"</formula>
    </cfRule>
    <cfRule type="expression" priority="2766" dxfId="9">
      <formula>Datos!C213="D2"</formula>
    </cfRule>
    <cfRule type="expression" priority="2767" dxfId="10">
      <formula>Datos!C213="D3"</formula>
    </cfRule>
    <cfRule type="expression" priority="2768" dxfId="11">
      <formula>Datos!C213="D4"</formula>
    </cfRule>
    <cfRule type="expression" priority="2769" dxfId="12">
      <formula>Datos!C213="MIX"</formula>
    </cfRule>
  </conditionalFormatting>
  <conditionalFormatting sqref="E20">
    <cfRule type="expression" priority="2770" dxfId="0">
      <formula>Datos!C214="C1"</formula>
    </cfRule>
    <cfRule type="expression" priority="2771" dxfId="1">
      <formula>Datos!C214="C2"</formula>
    </cfRule>
    <cfRule type="expression" priority="2772" dxfId="2">
      <formula>Datos!C214="C3"</formula>
    </cfRule>
    <cfRule type="expression" priority="2773" dxfId="3">
      <formula>Datos!C214="C4"</formula>
    </cfRule>
    <cfRule type="expression" priority="2774" dxfId="4">
      <formula>Datos!C214="M1"</formula>
    </cfRule>
    <cfRule type="expression" priority="2775" dxfId="5">
      <formula>Datos!C214="M2"</formula>
    </cfRule>
    <cfRule type="expression" priority="2776" dxfId="6">
      <formula>Datos!C214="M3"</formula>
    </cfRule>
    <cfRule type="expression" priority="2777" dxfId="7">
      <formula>Datos!C214="M4"</formula>
    </cfRule>
    <cfRule type="expression" priority="2778" dxfId="8">
      <formula>Datos!C214="D1"</formula>
    </cfRule>
    <cfRule type="expression" priority="2779" dxfId="9">
      <formula>Datos!C214="D2"</formula>
    </cfRule>
    <cfRule type="expression" priority="2780" dxfId="10">
      <formula>Datos!C214="D3"</formula>
    </cfRule>
    <cfRule type="expression" priority="2781" dxfId="11">
      <formula>Datos!C214="D4"</formula>
    </cfRule>
    <cfRule type="expression" priority="2782" dxfId="12">
      <formula>Datos!C214="MIX"</formula>
    </cfRule>
  </conditionalFormatting>
  <conditionalFormatting sqref="F20">
    <cfRule type="expression" priority="2783" dxfId="0">
      <formula>Datos!C215="C1"</formula>
    </cfRule>
    <cfRule type="expression" priority="2784" dxfId="1">
      <formula>Datos!C215="C2"</formula>
    </cfRule>
    <cfRule type="expression" priority="2785" dxfId="2">
      <formula>Datos!C215="C3"</formula>
    </cfRule>
    <cfRule type="expression" priority="2786" dxfId="3">
      <formula>Datos!C215="C4"</formula>
    </cfRule>
    <cfRule type="expression" priority="2787" dxfId="4">
      <formula>Datos!C215="M1"</formula>
    </cfRule>
    <cfRule type="expression" priority="2788" dxfId="5">
      <formula>Datos!C215="M2"</formula>
    </cfRule>
    <cfRule type="expression" priority="2789" dxfId="6">
      <formula>Datos!C215="M3"</formula>
    </cfRule>
    <cfRule type="expression" priority="2790" dxfId="7">
      <formula>Datos!C215="M4"</formula>
    </cfRule>
    <cfRule type="expression" priority="2791" dxfId="8">
      <formula>Datos!C215="D1"</formula>
    </cfRule>
    <cfRule type="expression" priority="2792" dxfId="9">
      <formula>Datos!C215="D2"</formula>
    </cfRule>
    <cfRule type="expression" priority="2793" dxfId="10">
      <formula>Datos!C215="D3"</formula>
    </cfRule>
    <cfRule type="expression" priority="2794" dxfId="11">
      <formula>Datos!C215="D4"</formula>
    </cfRule>
    <cfRule type="expression" priority="2795" dxfId="12">
      <formula>Datos!C215="MIX"</formula>
    </cfRule>
  </conditionalFormatting>
  <conditionalFormatting sqref="G20">
    <cfRule type="expression" priority="2796" dxfId="0">
      <formula>Datos!C216="C1"</formula>
    </cfRule>
    <cfRule type="expression" priority="2797" dxfId="1">
      <formula>Datos!C216="C2"</formula>
    </cfRule>
    <cfRule type="expression" priority="2798" dxfId="2">
      <formula>Datos!C216="C3"</formula>
    </cfRule>
    <cfRule type="expression" priority="2799" dxfId="3">
      <formula>Datos!C216="C4"</formula>
    </cfRule>
    <cfRule type="expression" priority="2800" dxfId="4">
      <formula>Datos!C216="M1"</formula>
    </cfRule>
    <cfRule type="expression" priority="2801" dxfId="5">
      <formula>Datos!C216="M2"</formula>
    </cfRule>
    <cfRule type="expression" priority="2802" dxfId="6">
      <formula>Datos!C216="M3"</formula>
    </cfRule>
    <cfRule type="expression" priority="2803" dxfId="7">
      <formula>Datos!C216="M4"</formula>
    </cfRule>
    <cfRule type="expression" priority="2804" dxfId="8">
      <formula>Datos!C216="D1"</formula>
    </cfRule>
    <cfRule type="expression" priority="2805" dxfId="9">
      <formula>Datos!C216="D2"</formula>
    </cfRule>
    <cfRule type="expression" priority="2806" dxfId="10">
      <formula>Datos!C216="D3"</formula>
    </cfRule>
    <cfRule type="expression" priority="2807" dxfId="11">
      <formula>Datos!C216="D4"</formula>
    </cfRule>
    <cfRule type="expression" priority="2808" dxfId="12">
      <formula>Datos!C216="MIX"</formula>
    </cfRule>
  </conditionalFormatting>
  <conditionalFormatting sqref="H20">
    <cfRule type="expression" priority="2809" dxfId="0">
      <formula>Datos!C217="C1"</formula>
    </cfRule>
    <cfRule type="expression" priority="2810" dxfId="1">
      <formula>Datos!C217="C2"</formula>
    </cfRule>
    <cfRule type="expression" priority="2811" dxfId="2">
      <formula>Datos!C217="C3"</formula>
    </cfRule>
    <cfRule type="expression" priority="2812" dxfId="3">
      <formula>Datos!C217="C4"</formula>
    </cfRule>
    <cfRule type="expression" priority="2813" dxfId="4">
      <formula>Datos!C217="M1"</formula>
    </cfRule>
    <cfRule type="expression" priority="2814" dxfId="5">
      <formula>Datos!C217="M2"</formula>
    </cfRule>
    <cfRule type="expression" priority="2815" dxfId="6">
      <formula>Datos!C217="M3"</formula>
    </cfRule>
    <cfRule type="expression" priority="2816" dxfId="7">
      <formula>Datos!C217="M4"</formula>
    </cfRule>
    <cfRule type="expression" priority="2817" dxfId="8">
      <formula>Datos!C217="D1"</formula>
    </cfRule>
    <cfRule type="expression" priority="2818" dxfId="9">
      <formula>Datos!C217="D2"</formula>
    </cfRule>
    <cfRule type="expression" priority="2819" dxfId="10">
      <formula>Datos!C217="D3"</formula>
    </cfRule>
    <cfRule type="expression" priority="2820" dxfId="11">
      <formula>Datos!C217="D4"</formula>
    </cfRule>
    <cfRule type="expression" priority="2821" dxfId="12">
      <formula>Datos!C217="MIX"</formula>
    </cfRule>
  </conditionalFormatting>
  <conditionalFormatting sqref="I20">
    <cfRule type="expression" priority="2822" dxfId="0">
      <formula>Datos!C218="C1"</formula>
    </cfRule>
    <cfRule type="expression" priority="2823" dxfId="1">
      <formula>Datos!C218="C2"</formula>
    </cfRule>
    <cfRule type="expression" priority="2824" dxfId="2">
      <formula>Datos!C218="C3"</formula>
    </cfRule>
    <cfRule type="expression" priority="2825" dxfId="3">
      <formula>Datos!C218="C4"</formula>
    </cfRule>
    <cfRule type="expression" priority="2826" dxfId="4">
      <formula>Datos!C218="M1"</formula>
    </cfRule>
    <cfRule type="expression" priority="2827" dxfId="5">
      <formula>Datos!C218="M2"</formula>
    </cfRule>
    <cfRule type="expression" priority="2828" dxfId="6">
      <formula>Datos!C218="M3"</formula>
    </cfRule>
    <cfRule type="expression" priority="2829" dxfId="7">
      <formula>Datos!C218="M4"</formula>
    </cfRule>
    <cfRule type="expression" priority="2830" dxfId="8">
      <formula>Datos!C218="D1"</formula>
    </cfRule>
    <cfRule type="expression" priority="2831" dxfId="9">
      <formula>Datos!C218="D2"</formula>
    </cfRule>
    <cfRule type="expression" priority="2832" dxfId="10">
      <formula>Datos!C218="D3"</formula>
    </cfRule>
    <cfRule type="expression" priority="2833" dxfId="11">
      <formula>Datos!C218="D4"</formula>
    </cfRule>
    <cfRule type="expression" priority="2834" dxfId="12">
      <formula>Datos!C218="MIX"</formula>
    </cfRule>
  </conditionalFormatting>
  <conditionalFormatting sqref="J20">
    <cfRule type="expression" priority="2835" dxfId="0">
      <formula>Datos!C219="C1"</formula>
    </cfRule>
    <cfRule type="expression" priority="2836" dxfId="1">
      <formula>Datos!C219="C2"</formula>
    </cfRule>
    <cfRule type="expression" priority="2837" dxfId="2">
      <formula>Datos!C219="C3"</formula>
    </cfRule>
    <cfRule type="expression" priority="2838" dxfId="3">
      <formula>Datos!C219="C4"</formula>
    </cfRule>
    <cfRule type="expression" priority="2839" dxfId="4">
      <formula>Datos!C219="M1"</formula>
    </cfRule>
    <cfRule type="expression" priority="2840" dxfId="5">
      <formula>Datos!C219="M2"</formula>
    </cfRule>
    <cfRule type="expression" priority="2841" dxfId="6">
      <formula>Datos!C219="M3"</formula>
    </cfRule>
    <cfRule type="expression" priority="2842" dxfId="7">
      <formula>Datos!C219="M4"</formula>
    </cfRule>
    <cfRule type="expression" priority="2843" dxfId="8">
      <formula>Datos!C219="D1"</formula>
    </cfRule>
    <cfRule type="expression" priority="2844" dxfId="9">
      <formula>Datos!C219="D2"</formula>
    </cfRule>
    <cfRule type="expression" priority="2845" dxfId="10">
      <formula>Datos!C219="D3"</formula>
    </cfRule>
    <cfRule type="expression" priority="2846" dxfId="11">
      <formula>Datos!C219="D4"</formula>
    </cfRule>
    <cfRule type="expression" priority="2847" dxfId="12">
      <formula>Datos!C219="MIX"</formula>
    </cfRule>
  </conditionalFormatting>
  <conditionalFormatting sqref="K20">
    <cfRule type="expression" priority="2848" dxfId="0">
      <formula>Datos!C220="C1"</formula>
    </cfRule>
    <cfRule type="expression" priority="2849" dxfId="1">
      <formula>Datos!C220="C2"</formula>
    </cfRule>
    <cfRule type="expression" priority="2850" dxfId="2">
      <formula>Datos!C220="C3"</formula>
    </cfRule>
    <cfRule type="expression" priority="2851" dxfId="3">
      <formula>Datos!C220="C4"</formula>
    </cfRule>
    <cfRule type="expression" priority="2852" dxfId="4">
      <formula>Datos!C220="M1"</formula>
    </cfRule>
    <cfRule type="expression" priority="2853" dxfId="5">
      <formula>Datos!C220="M2"</formula>
    </cfRule>
    <cfRule type="expression" priority="2854" dxfId="6">
      <formula>Datos!C220="M3"</formula>
    </cfRule>
    <cfRule type="expression" priority="2855" dxfId="7">
      <formula>Datos!C220="M4"</formula>
    </cfRule>
    <cfRule type="expression" priority="2856" dxfId="8">
      <formula>Datos!C220="D1"</formula>
    </cfRule>
    <cfRule type="expression" priority="2857" dxfId="9">
      <formula>Datos!C220="D2"</formula>
    </cfRule>
    <cfRule type="expression" priority="2858" dxfId="10">
      <formula>Datos!C220="D3"</formula>
    </cfRule>
    <cfRule type="expression" priority="2859" dxfId="11">
      <formula>Datos!C220="D4"</formula>
    </cfRule>
    <cfRule type="expression" priority="2860" dxfId="12">
      <formula>Datos!C220="MIX"</formula>
    </cfRule>
  </conditionalFormatting>
  <conditionalFormatting sqref="L20">
    <cfRule type="expression" priority="2861" dxfId="0">
      <formula>Datos!C221="C1"</formula>
    </cfRule>
    <cfRule type="expression" priority="2862" dxfId="1">
      <formula>Datos!C221="C2"</formula>
    </cfRule>
    <cfRule type="expression" priority="2863" dxfId="2">
      <formula>Datos!C221="C3"</formula>
    </cfRule>
    <cfRule type="expression" priority="2864" dxfId="3">
      <formula>Datos!C221="C4"</formula>
    </cfRule>
    <cfRule type="expression" priority="2865" dxfId="4">
      <formula>Datos!C221="M1"</formula>
    </cfRule>
    <cfRule type="expression" priority="2866" dxfId="5">
      <formula>Datos!C221="M2"</formula>
    </cfRule>
    <cfRule type="expression" priority="2867" dxfId="6">
      <formula>Datos!C221="M3"</formula>
    </cfRule>
    <cfRule type="expression" priority="2868" dxfId="7">
      <formula>Datos!C221="M4"</formula>
    </cfRule>
    <cfRule type="expression" priority="2869" dxfId="8">
      <formula>Datos!C221="D1"</formula>
    </cfRule>
    <cfRule type="expression" priority="2870" dxfId="9">
      <formula>Datos!C221="D2"</formula>
    </cfRule>
    <cfRule type="expression" priority="2871" dxfId="10">
      <formula>Datos!C221="D3"</formula>
    </cfRule>
    <cfRule type="expression" priority="2872" dxfId="11">
      <formula>Datos!C221="D4"</formula>
    </cfRule>
    <cfRule type="expression" priority="2873" dxfId="12">
      <formula>Datos!C221="MIX"</formula>
    </cfRule>
  </conditionalFormatting>
  <conditionalFormatting sqref="M20">
    <cfRule type="expression" priority="2874" dxfId="0">
      <formula>Datos!C222="C1"</formula>
    </cfRule>
    <cfRule type="expression" priority="2875" dxfId="1">
      <formula>Datos!C222="C2"</formula>
    </cfRule>
    <cfRule type="expression" priority="2876" dxfId="2">
      <formula>Datos!C222="C3"</formula>
    </cfRule>
    <cfRule type="expression" priority="2877" dxfId="3">
      <formula>Datos!C222="C4"</formula>
    </cfRule>
    <cfRule type="expression" priority="2878" dxfId="4">
      <formula>Datos!C222="M1"</formula>
    </cfRule>
    <cfRule type="expression" priority="2879" dxfId="5">
      <formula>Datos!C222="M2"</formula>
    </cfRule>
    <cfRule type="expression" priority="2880" dxfId="6">
      <formula>Datos!C222="M3"</formula>
    </cfRule>
    <cfRule type="expression" priority="2881" dxfId="7">
      <formula>Datos!C222="M4"</formula>
    </cfRule>
    <cfRule type="expression" priority="2882" dxfId="8">
      <formula>Datos!C222="D1"</formula>
    </cfRule>
    <cfRule type="expression" priority="2883" dxfId="9">
      <formula>Datos!C222="D2"</formula>
    </cfRule>
    <cfRule type="expression" priority="2884" dxfId="10">
      <formula>Datos!C222="D3"</formula>
    </cfRule>
    <cfRule type="expression" priority="2885" dxfId="11">
      <formula>Datos!C222="D4"</formula>
    </cfRule>
    <cfRule type="expression" priority="2886" dxfId="12">
      <formula>Datos!C222="MIX"</formula>
    </cfRule>
  </conditionalFormatting>
  <conditionalFormatting sqref="N20">
    <cfRule type="expression" priority="2887" dxfId="0">
      <formula>Datos!C223="C1"</formula>
    </cfRule>
    <cfRule type="expression" priority="2888" dxfId="1">
      <formula>Datos!C223="C2"</formula>
    </cfRule>
    <cfRule type="expression" priority="2889" dxfId="2">
      <formula>Datos!C223="C3"</formula>
    </cfRule>
    <cfRule type="expression" priority="2890" dxfId="3">
      <formula>Datos!C223="C4"</formula>
    </cfRule>
    <cfRule type="expression" priority="2891" dxfId="4">
      <formula>Datos!C223="M1"</formula>
    </cfRule>
    <cfRule type="expression" priority="2892" dxfId="5">
      <formula>Datos!C223="M2"</formula>
    </cfRule>
    <cfRule type="expression" priority="2893" dxfId="6">
      <formula>Datos!C223="M3"</formula>
    </cfRule>
    <cfRule type="expression" priority="2894" dxfId="7">
      <formula>Datos!C223="M4"</formula>
    </cfRule>
    <cfRule type="expression" priority="2895" dxfId="8">
      <formula>Datos!C223="D1"</formula>
    </cfRule>
    <cfRule type="expression" priority="2896" dxfId="9">
      <formula>Datos!C223="D2"</formula>
    </cfRule>
    <cfRule type="expression" priority="2897" dxfId="10">
      <formula>Datos!C223="D3"</formula>
    </cfRule>
    <cfRule type="expression" priority="2898" dxfId="11">
      <formula>Datos!C223="D4"</formula>
    </cfRule>
    <cfRule type="expression" priority="2899" dxfId="12">
      <formula>Datos!C223="MIX"</formula>
    </cfRule>
  </conditionalFormatting>
  <conditionalFormatting sqref="O20">
    <cfRule type="expression" priority="2900" dxfId="0">
      <formula>Datos!C224="C1"</formula>
    </cfRule>
    <cfRule type="expression" priority="2901" dxfId="1">
      <formula>Datos!C224="C2"</formula>
    </cfRule>
    <cfRule type="expression" priority="2902" dxfId="2">
      <formula>Datos!C224="C3"</formula>
    </cfRule>
    <cfRule type="expression" priority="2903" dxfId="3">
      <formula>Datos!C224="C4"</formula>
    </cfRule>
    <cfRule type="expression" priority="2904" dxfId="4">
      <formula>Datos!C224="M1"</formula>
    </cfRule>
    <cfRule type="expression" priority="2905" dxfId="5">
      <formula>Datos!C224="M2"</formula>
    </cfRule>
    <cfRule type="expression" priority="2906" dxfId="6">
      <formula>Datos!C224="M3"</formula>
    </cfRule>
    <cfRule type="expression" priority="2907" dxfId="7">
      <formula>Datos!C224="M4"</formula>
    </cfRule>
    <cfRule type="expression" priority="2908" dxfId="8">
      <formula>Datos!C224="D1"</formula>
    </cfRule>
    <cfRule type="expression" priority="2909" dxfId="9">
      <formula>Datos!C224="D2"</formula>
    </cfRule>
    <cfRule type="expression" priority="2910" dxfId="10">
      <formula>Datos!C224="D3"</formula>
    </cfRule>
    <cfRule type="expression" priority="2911" dxfId="11">
      <formula>Datos!C224="D4"</formula>
    </cfRule>
    <cfRule type="expression" priority="2912" dxfId="12">
      <formula>Datos!C224="MIX"</formula>
    </cfRule>
  </conditionalFormatting>
  <conditionalFormatting sqref="P20">
    <cfRule type="expression" priority="2913" dxfId="0">
      <formula>Datos!C225="C1"</formula>
    </cfRule>
    <cfRule type="expression" priority="2914" dxfId="1">
      <formula>Datos!C225="C2"</formula>
    </cfRule>
    <cfRule type="expression" priority="2915" dxfId="2">
      <formula>Datos!C225="C3"</formula>
    </cfRule>
    <cfRule type="expression" priority="2916" dxfId="3">
      <formula>Datos!C225="C4"</formula>
    </cfRule>
    <cfRule type="expression" priority="2917" dxfId="4">
      <formula>Datos!C225="M1"</formula>
    </cfRule>
    <cfRule type="expression" priority="2918" dxfId="5">
      <formula>Datos!C225="M2"</formula>
    </cfRule>
    <cfRule type="expression" priority="2919" dxfId="6">
      <formula>Datos!C225="M3"</formula>
    </cfRule>
    <cfRule type="expression" priority="2920" dxfId="7">
      <formula>Datos!C225="M4"</formula>
    </cfRule>
    <cfRule type="expression" priority="2921" dxfId="8">
      <formula>Datos!C225="D1"</formula>
    </cfRule>
    <cfRule type="expression" priority="2922" dxfId="9">
      <formula>Datos!C225="D2"</formula>
    </cfRule>
    <cfRule type="expression" priority="2923" dxfId="10">
      <formula>Datos!C225="D3"</formula>
    </cfRule>
    <cfRule type="expression" priority="2924" dxfId="11">
      <formula>Datos!C225="D4"</formula>
    </cfRule>
    <cfRule type="expression" priority="2925" dxfId="12">
      <formula>Datos!C225="MIX"</formula>
    </cfRule>
  </conditionalFormatting>
  <conditionalFormatting sqref="B21">
    <cfRule type="expression" priority="2926" dxfId="0">
      <formula>Datos!C226="C1"</formula>
    </cfRule>
    <cfRule type="expression" priority="2927" dxfId="1">
      <formula>Datos!C226="C2"</formula>
    </cfRule>
    <cfRule type="expression" priority="2928" dxfId="2">
      <formula>Datos!C226="C3"</formula>
    </cfRule>
    <cfRule type="expression" priority="2929" dxfId="3">
      <formula>Datos!C226="C4"</formula>
    </cfRule>
    <cfRule type="expression" priority="2930" dxfId="4">
      <formula>Datos!C226="M1"</formula>
    </cfRule>
    <cfRule type="expression" priority="2931" dxfId="5">
      <formula>Datos!C226="M2"</formula>
    </cfRule>
    <cfRule type="expression" priority="2932" dxfId="6">
      <formula>Datos!C226="M3"</formula>
    </cfRule>
    <cfRule type="expression" priority="2933" dxfId="7">
      <formula>Datos!C226="M4"</formula>
    </cfRule>
    <cfRule type="expression" priority="2934" dxfId="8">
      <formula>Datos!C226="D1"</formula>
    </cfRule>
    <cfRule type="expression" priority="2935" dxfId="9">
      <formula>Datos!C226="D2"</formula>
    </cfRule>
    <cfRule type="expression" priority="2936" dxfId="10">
      <formula>Datos!C226="D3"</formula>
    </cfRule>
    <cfRule type="expression" priority="2937" dxfId="11">
      <formula>Datos!C226="D4"</formula>
    </cfRule>
    <cfRule type="expression" priority="2938" dxfId="12">
      <formula>Datos!C226="MIX"</formula>
    </cfRule>
  </conditionalFormatting>
  <conditionalFormatting sqref="C21">
    <cfRule type="expression" priority="2939" dxfId="0">
      <formula>Datos!C227="C1"</formula>
    </cfRule>
    <cfRule type="expression" priority="2940" dxfId="1">
      <formula>Datos!C227="C2"</formula>
    </cfRule>
    <cfRule type="expression" priority="2941" dxfId="2">
      <formula>Datos!C227="C3"</formula>
    </cfRule>
    <cfRule type="expression" priority="2942" dxfId="3">
      <formula>Datos!C227="C4"</formula>
    </cfRule>
    <cfRule type="expression" priority="2943" dxfId="4">
      <formula>Datos!C227="M1"</formula>
    </cfRule>
    <cfRule type="expression" priority="2944" dxfId="5">
      <formula>Datos!C227="M2"</formula>
    </cfRule>
    <cfRule type="expression" priority="2945" dxfId="6">
      <formula>Datos!C227="M3"</formula>
    </cfRule>
    <cfRule type="expression" priority="2946" dxfId="7">
      <formula>Datos!C227="M4"</formula>
    </cfRule>
    <cfRule type="expression" priority="2947" dxfId="8">
      <formula>Datos!C227="D1"</formula>
    </cfRule>
    <cfRule type="expression" priority="2948" dxfId="9">
      <formula>Datos!C227="D2"</formula>
    </cfRule>
    <cfRule type="expression" priority="2949" dxfId="10">
      <formula>Datos!C227="D3"</formula>
    </cfRule>
    <cfRule type="expression" priority="2950" dxfId="11">
      <formula>Datos!C227="D4"</formula>
    </cfRule>
    <cfRule type="expression" priority="2951" dxfId="12">
      <formula>Datos!C227="MIX"</formula>
    </cfRule>
  </conditionalFormatting>
  <conditionalFormatting sqref="D21">
    <cfRule type="expression" priority="2952" dxfId="0">
      <formula>Datos!C228="C1"</formula>
    </cfRule>
    <cfRule type="expression" priority="2953" dxfId="1">
      <formula>Datos!C228="C2"</formula>
    </cfRule>
    <cfRule type="expression" priority="2954" dxfId="2">
      <formula>Datos!C228="C3"</formula>
    </cfRule>
    <cfRule type="expression" priority="2955" dxfId="3">
      <formula>Datos!C228="C4"</formula>
    </cfRule>
    <cfRule type="expression" priority="2956" dxfId="4">
      <formula>Datos!C228="M1"</formula>
    </cfRule>
    <cfRule type="expression" priority="2957" dxfId="5">
      <formula>Datos!C228="M2"</formula>
    </cfRule>
    <cfRule type="expression" priority="2958" dxfId="6">
      <formula>Datos!C228="M3"</formula>
    </cfRule>
    <cfRule type="expression" priority="2959" dxfId="7">
      <formula>Datos!C228="M4"</formula>
    </cfRule>
    <cfRule type="expression" priority="2960" dxfId="8">
      <formula>Datos!C228="D1"</formula>
    </cfRule>
    <cfRule type="expression" priority="2961" dxfId="9">
      <formula>Datos!C228="D2"</formula>
    </cfRule>
    <cfRule type="expression" priority="2962" dxfId="10">
      <formula>Datos!C228="D3"</formula>
    </cfRule>
    <cfRule type="expression" priority="2963" dxfId="11">
      <formula>Datos!C228="D4"</formula>
    </cfRule>
    <cfRule type="expression" priority="2964" dxfId="12">
      <formula>Datos!C228="MIX"</formula>
    </cfRule>
  </conditionalFormatting>
  <conditionalFormatting sqref="E21">
    <cfRule type="expression" priority="2965" dxfId="0">
      <formula>Datos!C229="C1"</formula>
    </cfRule>
    <cfRule type="expression" priority="2966" dxfId="1">
      <formula>Datos!C229="C2"</formula>
    </cfRule>
    <cfRule type="expression" priority="2967" dxfId="2">
      <formula>Datos!C229="C3"</formula>
    </cfRule>
    <cfRule type="expression" priority="2968" dxfId="3">
      <formula>Datos!C229="C4"</formula>
    </cfRule>
    <cfRule type="expression" priority="2969" dxfId="4">
      <formula>Datos!C229="M1"</formula>
    </cfRule>
    <cfRule type="expression" priority="2970" dxfId="5">
      <formula>Datos!C229="M2"</formula>
    </cfRule>
    <cfRule type="expression" priority="2971" dxfId="6">
      <formula>Datos!C229="M3"</formula>
    </cfRule>
    <cfRule type="expression" priority="2972" dxfId="7">
      <formula>Datos!C229="M4"</formula>
    </cfRule>
    <cfRule type="expression" priority="2973" dxfId="8">
      <formula>Datos!C229="D1"</formula>
    </cfRule>
    <cfRule type="expression" priority="2974" dxfId="9">
      <formula>Datos!C229="D2"</formula>
    </cfRule>
    <cfRule type="expression" priority="2975" dxfId="10">
      <formula>Datos!C229="D3"</formula>
    </cfRule>
    <cfRule type="expression" priority="2976" dxfId="11">
      <formula>Datos!C229="D4"</formula>
    </cfRule>
    <cfRule type="expression" priority="2977" dxfId="12">
      <formula>Datos!C229="MIX"</formula>
    </cfRule>
  </conditionalFormatting>
  <conditionalFormatting sqref="F21">
    <cfRule type="expression" priority="2978" dxfId="0">
      <formula>Datos!C230="C1"</formula>
    </cfRule>
    <cfRule type="expression" priority="2979" dxfId="1">
      <formula>Datos!C230="C2"</formula>
    </cfRule>
    <cfRule type="expression" priority="2980" dxfId="2">
      <formula>Datos!C230="C3"</formula>
    </cfRule>
    <cfRule type="expression" priority="2981" dxfId="3">
      <formula>Datos!C230="C4"</formula>
    </cfRule>
    <cfRule type="expression" priority="2982" dxfId="4">
      <formula>Datos!C230="M1"</formula>
    </cfRule>
    <cfRule type="expression" priority="2983" dxfId="5">
      <formula>Datos!C230="M2"</formula>
    </cfRule>
    <cfRule type="expression" priority="2984" dxfId="6">
      <formula>Datos!C230="M3"</formula>
    </cfRule>
    <cfRule type="expression" priority="2985" dxfId="7">
      <formula>Datos!C230="M4"</formula>
    </cfRule>
    <cfRule type="expression" priority="2986" dxfId="8">
      <formula>Datos!C230="D1"</formula>
    </cfRule>
    <cfRule type="expression" priority="2987" dxfId="9">
      <formula>Datos!C230="D2"</formula>
    </cfRule>
    <cfRule type="expression" priority="2988" dxfId="10">
      <formula>Datos!C230="D3"</formula>
    </cfRule>
    <cfRule type="expression" priority="2989" dxfId="11">
      <formula>Datos!C230="D4"</formula>
    </cfRule>
    <cfRule type="expression" priority="2990" dxfId="12">
      <formula>Datos!C230="MIX"</formula>
    </cfRule>
  </conditionalFormatting>
  <conditionalFormatting sqref="G21">
    <cfRule type="expression" priority="2991" dxfId="0">
      <formula>Datos!C231="C1"</formula>
    </cfRule>
    <cfRule type="expression" priority="2992" dxfId="1">
      <formula>Datos!C231="C2"</formula>
    </cfRule>
    <cfRule type="expression" priority="2993" dxfId="2">
      <formula>Datos!C231="C3"</formula>
    </cfRule>
    <cfRule type="expression" priority="2994" dxfId="3">
      <formula>Datos!C231="C4"</formula>
    </cfRule>
    <cfRule type="expression" priority="2995" dxfId="4">
      <formula>Datos!C231="M1"</formula>
    </cfRule>
    <cfRule type="expression" priority="2996" dxfId="5">
      <formula>Datos!C231="M2"</formula>
    </cfRule>
    <cfRule type="expression" priority="2997" dxfId="6">
      <formula>Datos!C231="M3"</formula>
    </cfRule>
    <cfRule type="expression" priority="2998" dxfId="7">
      <formula>Datos!C231="M4"</formula>
    </cfRule>
    <cfRule type="expression" priority="2999" dxfId="8">
      <formula>Datos!C231="D1"</formula>
    </cfRule>
    <cfRule type="expression" priority="3000" dxfId="9">
      <formula>Datos!C231="D2"</formula>
    </cfRule>
    <cfRule type="expression" priority="3001" dxfId="10">
      <formula>Datos!C231="D3"</formula>
    </cfRule>
    <cfRule type="expression" priority="3002" dxfId="11">
      <formula>Datos!C231="D4"</formula>
    </cfRule>
    <cfRule type="expression" priority="3003" dxfId="12">
      <formula>Datos!C231="MIX"</formula>
    </cfRule>
  </conditionalFormatting>
  <conditionalFormatting sqref="H21">
    <cfRule type="expression" priority="3004" dxfId="0">
      <formula>Datos!C232="C1"</formula>
    </cfRule>
    <cfRule type="expression" priority="3005" dxfId="1">
      <formula>Datos!C232="C2"</formula>
    </cfRule>
    <cfRule type="expression" priority="3006" dxfId="2">
      <formula>Datos!C232="C3"</formula>
    </cfRule>
    <cfRule type="expression" priority="3007" dxfId="3">
      <formula>Datos!C232="C4"</formula>
    </cfRule>
    <cfRule type="expression" priority="3008" dxfId="4">
      <formula>Datos!C232="M1"</formula>
    </cfRule>
    <cfRule type="expression" priority="3009" dxfId="5">
      <formula>Datos!C232="M2"</formula>
    </cfRule>
    <cfRule type="expression" priority="3010" dxfId="6">
      <formula>Datos!C232="M3"</formula>
    </cfRule>
    <cfRule type="expression" priority="3011" dxfId="7">
      <formula>Datos!C232="M4"</formula>
    </cfRule>
    <cfRule type="expression" priority="3012" dxfId="8">
      <formula>Datos!C232="D1"</formula>
    </cfRule>
    <cfRule type="expression" priority="3013" dxfId="9">
      <formula>Datos!C232="D2"</formula>
    </cfRule>
    <cfRule type="expression" priority="3014" dxfId="10">
      <formula>Datos!C232="D3"</formula>
    </cfRule>
    <cfRule type="expression" priority="3015" dxfId="11">
      <formula>Datos!C232="D4"</formula>
    </cfRule>
    <cfRule type="expression" priority="3016" dxfId="12">
      <formula>Datos!C232="MIX"</formula>
    </cfRule>
  </conditionalFormatting>
  <conditionalFormatting sqref="I21">
    <cfRule type="expression" priority="3017" dxfId="0">
      <formula>Datos!C233="C1"</formula>
    </cfRule>
    <cfRule type="expression" priority="3018" dxfId="1">
      <formula>Datos!C233="C2"</formula>
    </cfRule>
    <cfRule type="expression" priority="3019" dxfId="2">
      <formula>Datos!C233="C3"</formula>
    </cfRule>
    <cfRule type="expression" priority="3020" dxfId="3">
      <formula>Datos!C233="C4"</formula>
    </cfRule>
    <cfRule type="expression" priority="3021" dxfId="4">
      <formula>Datos!C233="M1"</formula>
    </cfRule>
    <cfRule type="expression" priority="3022" dxfId="5">
      <formula>Datos!C233="M2"</formula>
    </cfRule>
    <cfRule type="expression" priority="3023" dxfId="6">
      <formula>Datos!C233="M3"</formula>
    </cfRule>
    <cfRule type="expression" priority="3024" dxfId="7">
      <formula>Datos!C233="M4"</formula>
    </cfRule>
    <cfRule type="expression" priority="3025" dxfId="8">
      <formula>Datos!C233="D1"</formula>
    </cfRule>
    <cfRule type="expression" priority="3026" dxfId="9">
      <formula>Datos!C233="D2"</formula>
    </cfRule>
    <cfRule type="expression" priority="3027" dxfId="10">
      <formula>Datos!C233="D3"</formula>
    </cfRule>
    <cfRule type="expression" priority="3028" dxfId="11">
      <formula>Datos!C233="D4"</formula>
    </cfRule>
    <cfRule type="expression" priority="3029" dxfId="12">
      <formula>Datos!C233="MIX"</formula>
    </cfRule>
  </conditionalFormatting>
  <conditionalFormatting sqref="J21">
    <cfRule type="expression" priority="3030" dxfId="0">
      <formula>Datos!C234="C1"</formula>
    </cfRule>
    <cfRule type="expression" priority="3031" dxfId="1">
      <formula>Datos!C234="C2"</formula>
    </cfRule>
    <cfRule type="expression" priority="3032" dxfId="2">
      <formula>Datos!C234="C3"</formula>
    </cfRule>
    <cfRule type="expression" priority="3033" dxfId="3">
      <formula>Datos!C234="C4"</formula>
    </cfRule>
    <cfRule type="expression" priority="3034" dxfId="4">
      <formula>Datos!C234="M1"</formula>
    </cfRule>
    <cfRule type="expression" priority="3035" dxfId="5">
      <formula>Datos!C234="M2"</formula>
    </cfRule>
    <cfRule type="expression" priority="3036" dxfId="6">
      <formula>Datos!C234="M3"</formula>
    </cfRule>
    <cfRule type="expression" priority="3037" dxfId="7">
      <formula>Datos!C234="M4"</formula>
    </cfRule>
    <cfRule type="expression" priority="3038" dxfId="8">
      <formula>Datos!C234="D1"</formula>
    </cfRule>
    <cfRule type="expression" priority="3039" dxfId="9">
      <formula>Datos!C234="D2"</formula>
    </cfRule>
    <cfRule type="expression" priority="3040" dxfId="10">
      <formula>Datos!C234="D3"</formula>
    </cfRule>
    <cfRule type="expression" priority="3041" dxfId="11">
      <formula>Datos!C234="D4"</formula>
    </cfRule>
    <cfRule type="expression" priority="3042" dxfId="12">
      <formula>Datos!C234="MIX"</formula>
    </cfRule>
  </conditionalFormatting>
  <conditionalFormatting sqref="K21">
    <cfRule type="expression" priority="3043" dxfId="0">
      <formula>Datos!C235="C1"</formula>
    </cfRule>
    <cfRule type="expression" priority="3044" dxfId="1">
      <formula>Datos!C235="C2"</formula>
    </cfRule>
    <cfRule type="expression" priority="3045" dxfId="2">
      <formula>Datos!C235="C3"</formula>
    </cfRule>
    <cfRule type="expression" priority="3046" dxfId="3">
      <formula>Datos!C235="C4"</formula>
    </cfRule>
    <cfRule type="expression" priority="3047" dxfId="4">
      <formula>Datos!C235="M1"</formula>
    </cfRule>
    <cfRule type="expression" priority="3048" dxfId="5">
      <formula>Datos!C235="M2"</formula>
    </cfRule>
    <cfRule type="expression" priority="3049" dxfId="6">
      <formula>Datos!C235="M3"</formula>
    </cfRule>
    <cfRule type="expression" priority="3050" dxfId="7">
      <formula>Datos!C235="M4"</formula>
    </cfRule>
    <cfRule type="expression" priority="3051" dxfId="8">
      <formula>Datos!C235="D1"</formula>
    </cfRule>
    <cfRule type="expression" priority="3052" dxfId="9">
      <formula>Datos!C235="D2"</formula>
    </cfRule>
    <cfRule type="expression" priority="3053" dxfId="10">
      <formula>Datos!C235="D3"</formula>
    </cfRule>
    <cfRule type="expression" priority="3054" dxfId="11">
      <formula>Datos!C235="D4"</formula>
    </cfRule>
    <cfRule type="expression" priority="3055" dxfId="12">
      <formula>Datos!C235="MIX"</formula>
    </cfRule>
  </conditionalFormatting>
  <conditionalFormatting sqref="L21">
    <cfRule type="expression" priority="3056" dxfId="0">
      <formula>Datos!C236="C1"</formula>
    </cfRule>
    <cfRule type="expression" priority="3057" dxfId="1">
      <formula>Datos!C236="C2"</formula>
    </cfRule>
    <cfRule type="expression" priority="3058" dxfId="2">
      <formula>Datos!C236="C3"</formula>
    </cfRule>
    <cfRule type="expression" priority="3059" dxfId="3">
      <formula>Datos!C236="C4"</formula>
    </cfRule>
    <cfRule type="expression" priority="3060" dxfId="4">
      <formula>Datos!C236="M1"</formula>
    </cfRule>
    <cfRule type="expression" priority="3061" dxfId="5">
      <formula>Datos!C236="M2"</formula>
    </cfRule>
    <cfRule type="expression" priority="3062" dxfId="6">
      <formula>Datos!C236="M3"</formula>
    </cfRule>
    <cfRule type="expression" priority="3063" dxfId="7">
      <formula>Datos!C236="M4"</formula>
    </cfRule>
    <cfRule type="expression" priority="3064" dxfId="8">
      <formula>Datos!C236="D1"</formula>
    </cfRule>
    <cfRule type="expression" priority="3065" dxfId="9">
      <formula>Datos!C236="D2"</formula>
    </cfRule>
    <cfRule type="expression" priority="3066" dxfId="10">
      <formula>Datos!C236="D3"</formula>
    </cfRule>
    <cfRule type="expression" priority="3067" dxfId="11">
      <formula>Datos!C236="D4"</formula>
    </cfRule>
    <cfRule type="expression" priority="3068" dxfId="12">
      <formula>Datos!C236="MIX"</formula>
    </cfRule>
  </conditionalFormatting>
  <conditionalFormatting sqref="M21">
    <cfRule type="expression" priority="3069" dxfId="0">
      <formula>Datos!C237="C1"</formula>
    </cfRule>
    <cfRule type="expression" priority="3070" dxfId="1">
      <formula>Datos!C237="C2"</formula>
    </cfRule>
    <cfRule type="expression" priority="3071" dxfId="2">
      <formula>Datos!C237="C3"</formula>
    </cfRule>
    <cfRule type="expression" priority="3072" dxfId="3">
      <formula>Datos!C237="C4"</formula>
    </cfRule>
    <cfRule type="expression" priority="3073" dxfId="4">
      <formula>Datos!C237="M1"</formula>
    </cfRule>
    <cfRule type="expression" priority="3074" dxfId="5">
      <formula>Datos!C237="M2"</formula>
    </cfRule>
    <cfRule type="expression" priority="3075" dxfId="6">
      <formula>Datos!C237="M3"</formula>
    </cfRule>
    <cfRule type="expression" priority="3076" dxfId="7">
      <formula>Datos!C237="M4"</formula>
    </cfRule>
    <cfRule type="expression" priority="3077" dxfId="8">
      <formula>Datos!C237="D1"</formula>
    </cfRule>
    <cfRule type="expression" priority="3078" dxfId="9">
      <formula>Datos!C237="D2"</formula>
    </cfRule>
    <cfRule type="expression" priority="3079" dxfId="10">
      <formula>Datos!C237="D3"</formula>
    </cfRule>
    <cfRule type="expression" priority="3080" dxfId="11">
      <formula>Datos!C237="D4"</formula>
    </cfRule>
    <cfRule type="expression" priority="3081" dxfId="12">
      <formula>Datos!C237="MIX"</formula>
    </cfRule>
  </conditionalFormatting>
  <conditionalFormatting sqref="N21">
    <cfRule type="expression" priority="3082" dxfId="0">
      <formula>Datos!C238="C1"</formula>
    </cfRule>
    <cfRule type="expression" priority="3083" dxfId="1">
      <formula>Datos!C238="C2"</formula>
    </cfRule>
    <cfRule type="expression" priority="3084" dxfId="2">
      <formula>Datos!C238="C3"</formula>
    </cfRule>
    <cfRule type="expression" priority="3085" dxfId="3">
      <formula>Datos!C238="C4"</formula>
    </cfRule>
    <cfRule type="expression" priority="3086" dxfId="4">
      <formula>Datos!C238="M1"</formula>
    </cfRule>
    <cfRule type="expression" priority="3087" dxfId="5">
      <formula>Datos!C238="M2"</formula>
    </cfRule>
    <cfRule type="expression" priority="3088" dxfId="6">
      <formula>Datos!C238="M3"</formula>
    </cfRule>
    <cfRule type="expression" priority="3089" dxfId="7">
      <formula>Datos!C238="M4"</formula>
    </cfRule>
    <cfRule type="expression" priority="3090" dxfId="8">
      <formula>Datos!C238="D1"</formula>
    </cfRule>
    <cfRule type="expression" priority="3091" dxfId="9">
      <formula>Datos!C238="D2"</formula>
    </cfRule>
    <cfRule type="expression" priority="3092" dxfId="10">
      <formula>Datos!C238="D3"</formula>
    </cfRule>
    <cfRule type="expression" priority="3093" dxfId="11">
      <formula>Datos!C238="D4"</formula>
    </cfRule>
    <cfRule type="expression" priority="3094" dxfId="12">
      <formula>Datos!C238="MIX"</formula>
    </cfRule>
  </conditionalFormatting>
  <conditionalFormatting sqref="O21">
    <cfRule type="expression" priority="3095" dxfId="0">
      <formula>Datos!C239="C1"</formula>
    </cfRule>
    <cfRule type="expression" priority="3096" dxfId="1">
      <formula>Datos!C239="C2"</formula>
    </cfRule>
    <cfRule type="expression" priority="3097" dxfId="2">
      <formula>Datos!C239="C3"</formula>
    </cfRule>
    <cfRule type="expression" priority="3098" dxfId="3">
      <formula>Datos!C239="C4"</formula>
    </cfRule>
    <cfRule type="expression" priority="3099" dxfId="4">
      <formula>Datos!C239="M1"</formula>
    </cfRule>
    <cfRule type="expression" priority="3100" dxfId="5">
      <formula>Datos!C239="M2"</formula>
    </cfRule>
    <cfRule type="expression" priority="3101" dxfId="6">
      <formula>Datos!C239="M3"</formula>
    </cfRule>
    <cfRule type="expression" priority="3102" dxfId="7">
      <formula>Datos!C239="M4"</formula>
    </cfRule>
    <cfRule type="expression" priority="3103" dxfId="8">
      <formula>Datos!C239="D1"</formula>
    </cfRule>
    <cfRule type="expression" priority="3104" dxfId="9">
      <formula>Datos!C239="D2"</formula>
    </cfRule>
    <cfRule type="expression" priority="3105" dxfId="10">
      <formula>Datos!C239="D3"</formula>
    </cfRule>
    <cfRule type="expression" priority="3106" dxfId="11">
      <formula>Datos!C239="D4"</formula>
    </cfRule>
    <cfRule type="expression" priority="3107" dxfId="12">
      <formula>Datos!C239="MIX"</formula>
    </cfRule>
  </conditionalFormatting>
  <conditionalFormatting sqref="P21">
    <cfRule type="expression" priority="3108" dxfId="0">
      <formula>Datos!C240="C1"</formula>
    </cfRule>
    <cfRule type="expression" priority="3109" dxfId="1">
      <formula>Datos!C240="C2"</formula>
    </cfRule>
    <cfRule type="expression" priority="3110" dxfId="2">
      <formula>Datos!C240="C3"</formula>
    </cfRule>
    <cfRule type="expression" priority="3111" dxfId="3">
      <formula>Datos!C240="C4"</formula>
    </cfRule>
    <cfRule type="expression" priority="3112" dxfId="4">
      <formula>Datos!C240="M1"</formula>
    </cfRule>
    <cfRule type="expression" priority="3113" dxfId="5">
      <formula>Datos!C240="M2"</formula>
    </cfRule>
    <cfRule type="expression" priority="3114" dxfId="6">
      <formula>Datos!C240="M3"</formula>
    </cfRule>
    <cfRule type="expression" priority="3115" dxfId="7">
      <formula>Datos!C240="M4"</formula>
    </cfRule>
    <cfRule type="expression" priority="3116" dxfId="8">
      <formula>Datos!C240="D1"</formula>
    </cfRule>
    <cfRule type="expression" priority="3117" dxfId="9">
      <formula>Datos!C240="D2"</formula>
    </cfRule>
    <cfRule type="expression" priority="3118" dxfId="10">
      <formula>Datos!C240="D3"</formula>
    </cfRule>
    <cfRule type="expression" priority="3119" dxfId="11">
      <formula>Datos!C240="D4"</formula>
    </cfRule>
    <cfRule type="expression" priority="3120" dxfId="12">
      <formula>Datos!C240="MIX"</formula>
    </cfRule>
  </conditionalFormatting>
  <conditionalFormatting sqref="B22">
    <cfRule type="expression" priority="3121" dxfId="0">
      <formula>Datos!C241="C1"</formula>
    </cfRule>
    <cfRule type="expression" priority="3122" dxfId="1">
      <formula>Datos!C241="C2"</formula>
    </cfRule>
    <cfRule type="expression" priority="3123" dxfId="2">
      <formula>Datos!C241="C3"</formula>
    </cfRule>
    <cfRule type="expression" priority="3124" dxfId="3">
      <formula>Datos!C241="C4"</formula>
    </cfRule>
    <cfRule type="expression" priority="3125" dxfId="4">
      <formula>Datos!C241="M1"</formula>
    </cfRule>
    <cfRule type="expression" priority="3126" dxfId="5">
      <formula>Datos!C241="M2"</formula>
    </cfRule>
    <cfRule type="expression" priority="3127" dxfId="6">
      <formula>Datos!C241="M3"</formula>
    </cfRule>
    <cfRule type="expression" priority="3128" dxfId="7">
      <formula>Datos!C241="M4"</formula>
    </cfRule>
    <cfRule type="expression" priority="3129" dxfId="8">
      <formula>Datos!C241="D1"</formula>
    </cfRule>
    <cfRule type="expression" priority="3130" dxfId="9">
      <formula>Datos!C241="D2"</formula>
    </cfRule>
    <cfRule type="expression" priority="3131" dxfId="10">
      <formula>Datos!C241="D3"</formula>
    </cfRule>
    <cfRule type="expression" priority="3132" dxfId="11">
      <formula>Datos!C241="D4"</formula>
    </cfRule>
    <cfRule type="expression" priority="3133" dxfId="12">
      <formula>Datos!C241="MIX"</formula>
    </cfRule>
  </conditionalFormatting>
  <conditionalFormatting sqref="C22">
    <cfRule type="expression" priority="3134" dxfId="0">
      <formula>Datos!C242="C1"</formula>
    </cfRule>
    <cfRule type="expression" priority="3135" dxfId="1">
      <formula>Datos!C242="C2"</formula>
    </cfRule>
    <cfRule type="expression" priority="3136" dxfId="2">
      <formula>Datos!C242="C3"</formula>
    </cfRule>
    <cfRule type="expression" priority="3137" dxfId="3">
      <formula>Datos!C242="C4"</formula>
    </cfRule>
    <cfRule type="expression" priority="3138" dxfId="4">
      <formula>Datos!C242="M1"</formula>
    </cfRule>
    <cfRule type="expression" priority="3139" dxfId="5">
      <formula>Datos!C242="M2"</formula>
    </cfRule>
    <cfRule type="expression" priority="3140" dxfId="6">
      <formula>Datos!C242="M3"</formula>
    </cfRule>
    <cfRule type="expression" priority="3141" dxfId="7">
      <formula>Datos!C242="M4"</formula>
    </cfRule>
    <cfRule type="expression" priority="3142" dxfId="8">
      <formula>Datos!C242="D1"</formula>
    </cfRule>
    <cfRule type="expression" priority="3143" dxfId="9">
      <formula>Datos!C242="D2"</formula>
    </cfRule>
    <cfRule type="expression" priority="3144" dxfId="10">
      <formula>Datos!C242="D3"</formula>
    </cfRule>
    <cfRule type="expression" priority="3145" dxfId="11">
      <formula>Datos!C242="D4"</formula>
    </cfRule>
    <cfRule type="expression" priority="3146" dxfId="12">
      <formula>Datos!C242="MIX"</formula>
    </cfRule>
  </conditionalFormatting>
  <conditionalFormatting sqref="D22">
    <cfRule type="expression" priority="3147" dxfId="0">
      <formula>Datos!C243="C1"</formula>
    </cfRule>
    <cfRule type="expression" priority="3148" dxfId="1">
      <formula>Datos!C243="C2"</formula>
    </cfRule>
    <cfRule type="expression" priority="3149" dxfId="2">
      <formula>Datos!C243="C3"</formula>
    </cfRule>
    <cfRule type="expression" priority="3150" dxfId="3">
      <formula>Datos!C243="C4"</formula>
    </cfRule>
    <cfRule type="expression" priority="3151" dxfId="4">
      <formula>Datos!C243="M1"</formula>
    </cfRule>
    <cfRule type="expression" priority="3152" dxfId="5">
      <formula>Datos!C243="M2"</formula>
    </cfRule>
    <cfRule type="expression" priority="3153" dxfId="6">
      <formula>Datos!C243="M3"</formula>
    </cfRule>
    <cfRule type="expression" priority="3154" dxfId="7">
      <formula>Datos!C243="M4"</formula>
    </cfRule>
    <cfRule type="expression" priority="3155" dxfId="8">
      <formula>Datos!C243="D1"</formula>
    </cfRule>
    <cfRule type="expression" priority="3156" dxfId="9">
      <formula>Datos!C243="D2"</formula>
    </cfRule>
    <cfRule type="expression" priority="3157" dxfId="10">
      <formula>Datos!C243="D3"</formula>
    </cfRule>
    <cfRule type="expression" priority="3158" dxfId="11">
      <formula>Datos!C243="D4"</formula>
    </cfRule>
    <cfRule type="expression" priority="3159" dxfId="12">
      <formula>Datos!C243="MIX"</formula>
    </cfRule>
  </conditionalFormatting>
  <conditionalFormatting sqref="E22">
    <cfRule type="expression" priority="3160" dxfId="0">
      <formula>Datos!C244="C1"</formula>
    </cfRule>
    <cfRule type="expression" priority="3161" dxfId="1">
      <formula>Datos!C244="C2"</formula>
    </cfRule>
    <cfRule type="expression" priority="3162" dxfId="2">
      <formula>Datos!C244="C3"</formula>
    </cfRule>
    <cfRule type="expression" priority="3163" dxfId="3">
      <formula>Datos!C244="C4"</formula>
    </cfRule>
    <cfRule type="expression" priority="3164" dxfId="4">
      <formula>Datos!C244="M1"</formula>
    </cfRule>
    <cfRule type="expression" priority="3165" dxfId="5">
      <formula>Datos!C244="M2"</formula>
    </cfRule>
    <cfRule type="expression" priority="3166" dxfId="6">
      <formula>Datos!C244="M3"</formula>
    </cfRule>
    <cfRule type="expression" priority="3167" dxfId="7">
      <formula>Datos!C244="M4"</formula>
    </cfRule>
    <cfRule type="expression" priority="3168" dxfId="8">
      <formula>Datos!C244="D1"</formula>
    </cfRule>
    <cfRule type="expression" priority="3169" dxfId="9">
      <formula>Datos!C244="D2"</formula>
    </cfRule>
    <cfRule type="expression" priority="3170" dxfId="10">
      <formula>Datos!C244="D3"</formula>
    </cfRule>
    <cfRule type="expression" priority="3171" dxfId="11">
      <formula>Datos!C244="D4"</formula>
    </cfRule>
    <cfRule type="expression" priority="3172" dxfId="12">
      <formula>Datos!C244="MIX"</formula>
    </cfRule>
  </conditionalFormatting>
  <conditionalFormatting sqref="F22">
    <cfRule type="expression" priority="3173" dxfId="0">
      <formula>Datos!C245="C1"</formula>
    </cfRule>
    <cfRule type="expression" priority="3174" dxfId="1">
      <formula>Datos!C245="C2"</formula>
    </cfRule>
    <cfRule type="expression" priority="3175" dxfId="2">
      <formula>Datos!C245="C3"</formula>
    </cfRule>
    <cfRule type="expression" priority="3176" dxfId="3">
      <formula>Datos!C245="C4"</formula>
    </cfRule>
    <cfRule type="expression" priority="3177" dxfId="4">
      <formula>Datos!C245="M1"</formula>
    </cfRule>
    <cfRule type="expression" priority="3178" dxfId="5">
      <formula>Datos!C245="M2"</formula>
    </cfRule>
    <cfRule type="expression" priority="3179" dxfId="6">
      <formula>Datos!C245="M3"</formula>
    </cfRule>
    <cfRule type="expression" priority="3180" dxfId="7">
      <formula>Datos!C245="M4"</formula>
    </cfRule>
    <cfRule type="expression" priority="3181" dxfId="8">
      <formula>Datos!C245="D1"</formula>
    </cfRule>
    <cfRule type="expression" priority="3182" dxfId="9">
      <formula>Datos!C245="D2"</formula>
    </cfRule>
    <cfRule type="expression" priority="3183" dxfId="10">
      <formula>Datos!C245="D3"</formula>
    </cfRule>
    <cfRule type="expression" priority="3184" dxfId="11">
      <formula>Datos!C245="D4"</formula>
    </cfRule>
    <cfRule type="expression" priority="3185" dxfId="12">
      <formula>Datos!C245="MIX"</formula>
    </cfRule>
  </conditionalFormatting>
  <conditionalFormatting sqref="G22">
    <cfRule type="expression" priority="3186" dxfId="0">
      <formula>Datos!C246="C1"</formula>
    </cfRule>
    <cfRule type="expression" priority="3187" dxfId="1">
      <formula>Datos!C246="C2"</formula>
    </cfRule>
    <cfRule type="expression" priority="3188" dxfId="2">
      <formula>Datos!C246="C3"</formula>
    </cfRule>
    <cfRule type="expression" priority="3189" dxfId="3">
      <formula>Datos!C246="C4"</formula>
    </cfRule>
    <cfRule type="expression" priority="3190" dxfId="4">
      <formula>Datos!C246="M1"</formula>
    </cfRule>
    <cfRule type="expression" priority="3191" dxfId="5">
      <formula>Datos!C246="M2"</formula>
    </cfRule>
    <cfRule type="expression" priority="3192" dxfId="6">
      <formula>Datos!C246="M3"</formula>
    </cfRule>
    <cfRule type="expression" priority="3193" dxfId="7">
      <formula>Datos!C246="M4"</formula>
    </cfRule>
    <cfRule type="expression" priority="3194" dxfId="8">
      <formula>Datos!C246="D1"</formula>
    </cfRule>
    <cfRule type="expression" priority="3195" dxfId="9">
      <formula>Datos!C246="D2"</formula>
    </cfRule>
    <cfRule type="expression" priority="3196" dxfId="10">
      <formula>Datos!C246="D3"</formula>
    </cfRule>
    <cfRule type="expression" priority="3197" dxfId="11">
      <formula>Datos!C246="D4"</formula>
    </cfRule>
    <cfRule type="expression" priority="3198" dxfId="12">
      <formula>Datos!C246="MIX"</formula>
    </cfRule>
  </conditionalFormatting>
  <conditionalFormatting sqref="H22">
    <cfRule type="expression" priority="3199" dxfId="0">
      <formula>Datos!C247="C1"</formula>
    </cfRule>
    <cfRule type="expression" priority="3200" dxfId="1">
      <formula>Datos!C247="C2"</formula>
    </cfRule>
    <cfRule type="expression" priority="3201" dxfId="2">
      <formula>Datos!C247="C3"</formula>
    </cfRule>
    <cfRule type="expression" priority="3202" dxfId="3">
      <formula>Datos!C247="C4"</formula>
    </cfRule>
    <cfRule type="expression" priority="3203" dxfId="4">
      <formula>Datos!C247="M1"</formula>
    </cfRule>
    <cfRule type="expression" priority="3204" dxfId="5">
      <formula>Datos!C247="M2"</formula>
    </cfRule>
    <cfRule type="expression" priority="3205" dxfId="6">
      <formula>Datos!C247="M3"</formula>
    </cfRule>
    <cfRule type="expression" priority="3206" dxfId="7">
      <formula>Datos!C247="M4"</formula>
    </cfRule>
    <cfRule type="expression" priority="3207" dxfId="8">
      <formula>Datos!C247="D1"</formula>
    </cfRule>
    <cfRule type="expression" priority="3208" dxfId="9">
      <formula>Datos!C247="D2"</formula>
    </cfRule>
    <cfRule type="expression" priority="3209" dxfId="10">
      <formula>Datos!C247="D3"</formula>
    </cfRule>
    <cfRule type="expression" priority="3210" dxfId="11">
      <formula>Datos!C247="D4"</formula>
    </cfRule>
    <cfRule type="expression" priority="3211" dxfId="12">
      <formula>Datos!C247="MIX"</formula>
    </cfRule>
  </conditionalFormatting>
  <conditionalFormatting sqref="I22">
    <cfRule type="expression" priority="3212" dxfId="0">
      <formula>Datos!C248="C1"</formula>
    </cfRule>
    <cfRule type="expression" priority="3213" dxfId="1">
      <formula>Datos!C248="C2"</formula>
    </cfRule>
    <cfRule type="expression" priority="3214" dxfId="2">
      <formula>Datos!C248="C3"</formula>
    </cfRule>
    <cfRule type="expression" priority="3215" dxfId="3">
      <formula>Datos!C248="C4"</formula>
    </cfRule>
    <cfRule type="expression" priority="3216" dxfId="4">
      <formula>Datos!C248="M1"</formula>
    </cfRule>
    <cfRule type="expression" priority="3217" dxfId="5">
      <formula>Datos!C248="M2"</formula>
    </cfRule>
    <cfRule type="expression" priority="3218" dxfId="6">
      <formula>Datos!C248="M3"</formula>
    </cfRule>
    <cfRule type="expression" priority="3219" dxfId="7">
      <formula>Datos!C248="M4"</formula>
    </cfRule>
    <cfRule type="expression" priority="3220" dxfId="8">
      <formula>Datos!C248="D1"</formula>
    </cfRule>
    <cfRule type="expression" priority="3221" dxfId="9">
      <formula>Datos!C248="D2"</formula>
    </cfRule>
    <cfRule type="expression" priority="3222" dxfId="10">
      <formula>Datos!C248="D3"</formula>
    </cfRule>
    <cfRule type="expression" priority="3223" dxfId="11">
      <formula>Datos!C248="D4"</formula>
    </cfRule>
    <cfRule type="expression" priority="3224" dxfId="12">
      <formula>Datos!C248="MIX"</formula>
    </cfRule>
  </conditionalFormatting>
  <conditionalFormatting sqref="J22">
    <cfRule type="expression" priority="3225" dxfId="0">
      <formula>Datos!C249="C1"</formula>
    </cfRule>
    <cfRule type="expression" priority="3226" dxfId="1">
      <formula>Datos!C249="C2"</formula>
    </cfRule>
    <cfRule type="expression" priority="3227" dxfId="2">
      <formula>Datos!C249="C3"</formula>
    </cfRule>
    <cfRule type="expression" priority="3228" dxfId="3">
      <formula>Datos!C249="C4"</formula>
    </cfRule>
    <cfRule type="expression" priority="3229" dxfId="4">
      <formula>Datos!C249="M1"</formula>
    </cfRule>
    <cfRule type="expression" priority="3230" dxfId="5">
      <formula>Datos!C249="M2"</formula>
    </cfRule>
    <cfRule type="expression" priority="3231" dxfId="6">
      <formula>Datos!C249="M3"</formula>
    </cfRule>
    <cfRule type="expression" priority="3232" dxfId="7">
      <formula>Datos!C249="M4"</formula>
    </cfRule>
    <cfRule type="expression" priority="3233" dxfId="8">
      <formula>Datos!C249="D1"</formula>
    </cfRule>
    <cfRule type="expression" priority="3234" dxfId="9">
      <formula>Datos!C249="D2"</formula>
    </cfRule>
    <cfRule type="expression" priority="3235" dxfId="10">
      <formula>Datos!C249="D3"</formula>
    </cfRule>
    <cfRule type="expression" priority="3236" dxfId="11">
      <formula>Datos!C249="D4"</formula>
    </cfRule>
    <cfRule type="expression" priority="3237" dxfId="12">
      <formula>Datos!C249="MIX"</formula>
    </cfRule>
  </conditionalFormatting>
  <conditionalFormatting sqref="K22">
    <cfRule type="expression" priority="3238" dxfId="0">
      <formula>Datos!C250="C1"</formula>
    </cfRule>
    <cfRule type="expression" priority="3239" dxfId="1">
      <formula>Datos!C250="C2"</formula>
    </cfRule>
    <cfRule type="expression" priority="3240" dxfId="2">
      <formula>Datos!C250="C3"</formula>
    </cfRule>
    <cfRule type="expression" priority="3241" dxfId="3">
      <formula>Datos!C250="C4"</formula>
    </cfRule>
    <cfRule type="expression" priority="3242" dxfId="4">
      <formula>Datos!C250="M1"</formula>
    </cfRule>
    <cfRule type="expression" priority="3243" dxfId="5">
      <formula>Datos!C250="M2"</formula>
    </cfRule>
    <cfRule type="expression" priority="3244" dxfId="6">
      <formula>Datos!C250="M3"</formula>
    </cfRule>
    <cfRule type="expression" priority="3245" dxfId="7">
      <formula>Datos!C250="M4"</formula>
    </cfRule>
    <cfRule type="expression" priority="3246" dxfId="8">
      <formula>Datos!C250="D1"</formula>
    </cfRule>
    <cfRule type="expression" priority="3247" dxfId="9">
      <formula>Datos!C250="D2"</formula>
    </cfRule>
    <cfRule type="expression" priority="3248" dxfId="10">
      <formula>Datos!C250="D3"</formula>
    </cfRule>
    <cfRule type="expression" priority="3249" dxfId="11">
      <formula>Datos!C250="D4"</formula>
    </cfRule>
    <cfRule type="expression" priority="3250" dxfId="12">
      <formula>Datos!C250="MIX"</formula>
    </cfRule>
  </conditionalFormatting>
  <conditionalFormatting sqref="L22">
    <cfRule type="expression" priority="3251" dxfId="0">
      <formula>Datos!C251="C1"</formula>
    </cfRule>
    <cfRule type="expression" priority="3252" dxfId="1">
      <formula>Datos!C251="C2"</formula>
    </cfRule>
    <cfRule type="expression" priority="3253" dxfId="2">
      <formula>Datos!C251="C3"</formula>
    </cfRule>
    <cfRule type="expression" priority="3254" dxfId="3">
      <formula>Datos!C251="C4"</formula>
    </cfRule>
    <cfRule type="expression" priority="3255" dxfId="4">
      <formula>Datos!C251="M1"</formula>
    </cfRule>
    <cfRule type="expression" priority="3256" dxfId="5">
      <formula>Datos!C251="M2"</formula>
    </cfRule>
    <cfRule type="expression" priority="3257" dxfId="6">
      <formula>Datos!C251="M3"</formula>
    </cfRule>
    <cfRule type="expression" priority="3258" dxfId="7">
      <formula>Datos!C251="M4"</formula>
    </cfRule>
    <cfRule type="expression" priority="3259" dxfId="8">
      <formula>Datos!C251="D1"</formula>
    </cfRule>
    <cfRule type="expression" priority="3260" dxfId="9">
      <formula>Datos!C251="D2"</formula>
    </cfRule>
    <cfRule type="expression" priority="3261" dxfId="10">
      <formula>Datos!C251="D3"</formula>
    </cfRule>
    <cfRule type="expression" priority="3262" dxfId="11">
      <formula>Datos!C251="D4"</formula>
    </cfRule>
    <cfRule type="expression" priority="3263" dxfId="12">
      <formula>Datos!C251="MIX"</formula>
    </cfRule>
  </conditionalFormatting>
  <conditionalFormatting sqref="M22">
    <cfRule type="expression" priority="3264" dxfId="0">
      <formula>Datos!C252="C1"</formula>
    </cfRule>
    <cfRule type="expression" priority="3265" dxfId="1">
      <formula>Datos!C252="C2"</formula>
    </cfRule>
    <cfRule type="expression" priority="3266" dxfId="2">
      <formula>Datos!C252="C3"</formula>
    </cfRule>
    <cfRule type="expression" priority="3267" dxfId="3">
      <formula>Datos!C252="C4"</formula>
    </cfRule>
    <cfRule type="expression" priority="3268" dxfId="4">
      <formula>Datos!C252="M1"</formula>
    </cfRule>
    <cfRule type="expression" priority="3269" dxfId="5">
      <formula>Datos!C252="M2"</formula>
    </cfRule>
    <cfRule type="expression" priority="3270" dxfId="6">
      <formula>Datos!C252="M3"</formula>
    </cfRule>
    <cfRule type="expression" priority="3271" dxfId="7">
      <formula>Datos!C252="M4"</formula>
    </cfRule>
    <cfRule type="expression" priority="3272" dxfId="8">
      <formula>Datos!C252="D1"</formula>
    </cfRule>
    <cfRule type="expression" priority="3273" dxfId="9">
      <formula>Datos!C252="D2"</formula>
    </cfRule>
    <cfRule type="expression" priority="3274" dxfId="10">
      <formula>Datos!C252="D3"</formula>
    </cfRule>
    <cfRule type="expression" priority="3275" dxfId="11">
      <formula>Datos!C252="D4"</formula>
    </cfRule>
    <cfRule type="expression" priority="3276" dxfId="12">
      <formula>Datos!C252="MIX"</formula>
    </cfRule>
  </conditionalFormatting>
  <conditionalFormatting sqref="N22">
    <cfRule type="expression" priority="3277" dxfId="0">
      <formula>Datos!C253="C1"</formula>
    </cfRule>
    <cfRule type="expression" priority="3278" dxfId="1">
      <formula>Datos!C253="C2"</formula>
    </cfRule>
    <cfRule type="expression" priority="3279" dxfId="2">
      <formula>Datos!C253="C3"</formula>
    </cfRule>
    <cfRule type="expression" priority="3280" dxfId="3">
      <formula>Datos!C253="C4"</formula>
    </cfRule>
    <cfRule type="expression" priority="3281" dxfId="4">
      <formula>Datos!C253="M1"</formula>
    </cfRule>
    <cfRule type="expression" priority="3282" dxfId="5">
      <formula>Datos!C253="M2"</formula>
    </cfRule>
    <cfRule type="expression" priority="3283" dxfId="6">
      <formula>Datos!C253="M3"</formula>
    </cfRule>
    <cfRule type="expression" priority="3284" dxfId="7">
      <formula>Datos!C253="M4"</formula>
    </cfRule>
    <cfRule type="expression" priority="3285" dxfId="8">
      <formula>Datos!C253="D1"</formula>
    </cfRule>
    <cfRule type="expression" priority="3286" dxfId="9">
      <formula>Datos!C253="D2"</formula>
    </cfRule>
    <cfRule type="expression" priority="3287" dxfId="10">
      <formula>Datos!C253="D3"</formula>
    </cfRule>
    <cfRule type="expression" priority="3288" dxfId="11">
      <formula>Datos!C253="D4"</formula>
    </cfRule>
    <cfRule type="expression" priority="3289" dxfId="12">
      <formula>Datos!C253="MIX"</formula>
    </cfRule>
  </conditionalFormatting>
  <conditionalFormatting sqref="O22">
    <cfRule type="expression" priority="3290" dxfId="0">
      <formula>Datos!C254="C1"</formula>
    </cfRule>
    <cfRule type="expression" priority="3291" dxfId="1">
      <formula>Datos!C254="C2"</formula>
    </cfRule>
    <cfRule type="expression" priority="3292" dxfId="2">
      <formula>Datos!C254="C3"</formula>
    </cfRule>
    <cfRule type="expression" priority="3293" dxfId="3">
      <formula>Datos!C254="C4"</formula>
    </cfRule>
    <cfRule type="expression" priority="3294" dxfId="4">
      <formula>Datos!C254="M1"</formula>
    </cfRule>
    <cfRule type="expression" priority="3295" dxfId="5">
      <formula>Datos!C254="M2"</formula>
    </cfRule>
    <cfRule type="expression" priority="3296" dxfId="6">
      <formula>Datos!C254="M3"</formula>
    </cfRule>
    <cfRule type="expression" priority="3297" dxfId="7">
      <formula>Datos!C254="M4"</formula>
    </cfRule>
    <cfRule type="expression" priority="3298" dxfId="8">
      <formula>Datos!C254="D1"</formula>
    </cfRule>
    <cfRule type="expression" priority="3299" dxfId="9">
      <formula>Datos!C254="D2"</formula>
    </cfRule>
    <cfRule type="expression" priority="3300" dxfId="10">
      <formula>Datos!C254="D3"</formula>
    </cfRule>
    <cfRule type="expression" priority="3301" dxfId="11">
      <formula>Datos!C254="D4"</formula>
    </cfRule>
    <cfRule type="expression" priority="3302" dxfId="12">
      <formula>Datos!C254="MIX"</formula>
    </cfRule>
  </conditionalFormatting>
  <conditionalFormatting sqref="P22">
    <cfRule type="expression" priority="3303" dxfId="0">
      <formula>Datos!C255="C1"</formula>
    </cfRule>
    <cfRule type="expression" priority="3304" dxfId="1">
      <formula>Datos!C255="C2"</formula>
    </cfRule>
    <cfRule type="expression" priority="3305" dxfId="2">
      <formula>Datos!C255="C3"</formula>
    </cfRule>
    <cfRule type="expression" priority="3306" dxfId="3">
      <formula>Datos!C255="C4"</formula>
    </cfRule>
    <cfRule type="expression" priority="3307" dxfId="4">
      <formula>Datos!C255="M1"</formula>
    </cfRule>
    <cfRule type="expression" priority="3308" dxfId="5">
      <formula>Datos!C255="M2"</formula>
    </cfRule>
    <cfRule type="expression" priority="3309" dxfId="6">
      <formula>Datos!C255="M3"</formula>
    </cfRule>
    <cfRule type="expression" priority="3310" dxfId="7">
      <formula>Datos!C255="M4"</formula>
    </cfRule>
    <cfRule type="expression" priority="3311" dxfId="8">
      <formula>Datos!C255="D1"</formula>
    </cfRule>
    <cfRule type="expression" priority="3312" dxfId="9">
      <formula>Datos!C255="D2"</formula>
    </cfRule>
    <cfRule type="expression" priority="3313" dxfId="10">
      <formula>Datos!C255="D3"</formula>
    </cfRule>
    <cfRule type="expression" priority="3314" dxfId="11">
      <formula>Datos!C255="D4"</formula>
    </cfRule>
    <cfRule type="expression" priority="3315" dxfId="12">
      <formula>Datos!C255="MIX"</formula>
    </cfRule>
  </conditionalFormatting>
  <conditionalFormatting sqref="B23">
    <cfRule type="expression" priority="3316" dxfId="0">
      <formula>Datos!C256="C1"</formula>
    </cfRule>
    <cfRule type="expression" priority="3317" dxfId="1">
      <formula>Datos!C256="C2"</formula>
    </cfRule>
    <cfRule type="expression" priority="3318" dxfId="2">
      <formula>Datos!C256="C3"</formula>
    </cfRule>
    <cfRule type="expression" priority="3319" dxfId="3">
      <formula>Datos!C256="C4"</formula>
    </cfRule>
    <cfRule type="expression" priority="3320" dxfId="4">
      <formula>Datos!C256="M1"</formula>
    </cfRule>
    <cfRule type="expression" priority="3321" dxfId="5">
      <formula>Datos!C256="M2"</formula>
    </cfRule>
    <cfRule type="expression" priority="3322" dxfId="6">
      <formula>Datos!C256="M3"</formula>
    </cfRule>
    <cfRule type="expression" priority="3323" dxfId="7">
      <formula>Datos!C256="M4"</formula>
    </cfRule>
    <cfRule type="expression" priority="3324" dxfId="8">
      <formula>Datos!C256="D1"</formula>
    </cfRule>
    <cfRule type="expression" priority="3325" dxfId="9">
      <formula>Datos!C256="D2"</formula>
    </cfRule>
    <cfRule type="expression" priority="3326" dxfId="10">
      <formula>Datos!C256="D3"</formula>
    </cfRule>
    <cfRule type="expression" priority="3327" dxfId="11">
      <formula>Datos!C256="D4"</formula>
    </cfRule>
    <cfRule type="expression" priority="3328" dxfId="12">
      <formula>Datos!C256="MIX"</formula>
    </cfRule>
  </conditionalFormatting>
  <conditionalFormatting sqref="C23">
    <cfRule type="expression" priority="3329" dxfId="0">
      <formula>Datos!C257="C1"</formula>
    </cfRule>
    <cfRule type="expression" priority="3330" dxfId="1">
      <formula>Datos!C257="C2"</formula>
    </cfRule>
    <cfRule type="expression" priority="3331" dxfId="2">
      <formula>Datos!C257="C3"</formula>
    </cfRule>
    <cfRule type="expression" priority="3332" dxfId="3">
      <formula>Datos!C257="C4"</formula>
    </cfRule>
    <cfRule type="expression" priority="3333" dxfId="4">
      <formula>Datos!C257="M1"</formula>
    </cfRule>
    <cfRule type="expression" priority="3334" dxfId="5">
      <formula>Datos!C257="M2"</formula>
    </cfRule>
    <cfRule type="expression" priority="3335" dxfId="6">
      <formula>Datos!C257="M3"</formula>
    </cfRule>
    <cfRule type="expression" priority="3336" dxfId="7">
      <formula>Datos!C257="M4"</formula>
    </cfRule>
    <cfRule type="expression" priority="3337" dxfId="8">
      <formula>Datos!C257="D1"</formula>
    </cfRule>
    <cfRule type="expression" priority="3338" dxfId="9">
      <formula>Datos!C257="D2"</formula>
    </cfRule>
    <cfRule type="expression" priority="3339" dxfId="10">
      <formula>Datos!C257="D3"</formula>
    </cfRule>
    <cfRule type="expression" priority="3340" dxfId="11">
      <formula>Datos!C257="D4"</formula>
    </cfRule>
    <cfRule type="expression" priority="3341" dxfId="12">
      <formula>Datos!C257="MIX"</formula>
    </cfRule>
  </conditionalFormatting>
  <conditionalFormatting sqref="D23">
    <cfRule type="expression" priority="3342" dxfId="0">
      <formula>Datos!C258="C1"</formula>
    </cfRule>
    <cfRule type="expression" priority="3343" dxfId="1">
      <formula>Datos!C258="C2"</formula>
    </cfRule>
    <cfRule type="expression" priority="3344" dxfId="2">
      <formula>Datos!C258="C3"</formula>
    </cfRule>
    <cfRule type="expression" priority="3345" dxfId="3">
      <formula>Datos!C258="C4"</formula>
    </cfRule>
    <cfRule type="expression" priority="3346" dxfId="4">
      <formula>Datos!C258="M1"</formula>
    </cfRule>
    <cfRule type="expression" priority="3347" dxfId="5">
      <formula>Datos!C258="M2"</formula>
    </cfRule>
    <cfRule type="expression" priority="3348" dxfId="6">
      <formula>Datos!C258="M3"</formula>
    </cfRule>
    <cfRule type="expression" priority="3349" dxfId="7">
      <formula>Datos!C258="M4"</formula>
    </cfRule>
    <cfRule type="expression" priority="3350" dxfId="8">
      <formula>Datos!C258="D1"</formula>
    </cfRule>
    <cfRule type="expression" priority="3351" dxfId="9">
      <formula>Datos!C258="D2"</formula>
    </cfRule>
    <cfRule type="expression" priority="3352" dxfId="10">
      <formula>Datos!C258="D3"</formula>
    </cfRule>
    <cfRule type="expression" priority="3353" dxfId="11">
      <formula>Datos!C258="D4"</formula>
    </cfRule>
    <cfRule type="expression" priority="3354" dxfId="12">
      <formula>Datos!C258="MIX"</formula>
    </cfRule>
  </conditionalFormatting>
  <conditionalFormatting sqref="E23">
    <cfRule type="expression" priority="3355" dxfId="0">
      <formula>Datos!C259="C1"</formula>
    </cfRule>
    <cfRule type="expression" priority="3356" dxfId="1">
      <formula>Datos!C259="C2"</formula>
    </cfRule>
    <cfRule type="expression" priority="3357" dxfId="2">
      <formula>Datos!C259="C3"</formula>
    </cfRule>
    <cfRule type="expression" priority="3358" dxfId="3">
      <formula>Datos!C259="C4"</formula>
    </cfRule>
    <cfRule type="expression" priority="3359" dxfId="4">
      <formula>Datos!C259="M1"</formula>
    </cfRule>
    <cfRule type="expression" priority="3360" dxfId="5">
      <formula>Datos!C259="M2"</formula>
    </cfRule>
    <cfRule type="expression" priority="3361" dxfId="6">
      <formula>Datos!C259="M3"</formula>
    </cfRule>
    <cfRule type="expression" priority="3362" dxfId="7">
      <formula>Datos!C259="M4"</formula>
    </cfRule>
    <cfRule type="expression" priority="3363" dxfId="8">
      <formula>Datos!C259="D1"</formula>
    </cfRule>
    <cfRule type="expression" priority="3364" dxfId="9">
      <formula>Datos!C259="D2"</formula>
    </cfRule>
    <cfRule type="expression" priority="3365" dxfId="10">
      <formula>Datos!C259="D3"</formula>
    </cfRule>
    <cfRule type="expression" priority="3366" dxfId="11">
      <formula>Datos!C259="D4"</formula>
    </cfRule>
    <cfRule type="expression" priority="3367" dxfId="12">
      <formula>Datos!C259="MIX"</formula>
    </cfRule>
  </conditionalFormatting>
  <conditionalFormatting sqref="F23">
    <cfRule type="expression" priority="3368" dxfId="0">
      <formula>Datos!C260="C1"</formula>
    </cfRule>
    <cfRule type="expression" priority="3369" dxfId="1">
      <formula>Datos!C260="C2"</formula>
    </cfRule>
    <cfRule type="expression" priority="3370" dxfId="2">
      <formula>Datos!C260="C3"</formula>
    </cfRule>
    <cfRule type="expression" priority="3371" dxfId="3">
      <formula>Datos!C260="C4"</formula>
    </cfRule>
    <cfRule type="expression" priority="3372" dxfId="4">
      <formula>Datos!C260="M1"</formula>
    </cfRule>
    <cfRule type="expression" priority="3373" dxfId="5">
      <formula>Datos!C260="M2"</formula>
    </cfRule>
    <cfRule type="expression" priority="3374" dxfId="6">
      <formula>Datos!C260="M3"</formula>
    </cfRule>
    <cfRule type="expression" priority="3375" dxfId="7">
      <formula>Datos!C260="M4"</formula>
    </cfRule>
    <cfRule type="expression" priority="3376" dxfId="8">
      <formula>Datos!C260="D1"</formula>
    </cfRule>
    <cfRule type="expression" priority="3377" dxfId="9">
      <formula>Datos!C260="D2"</formula>
    </cfRule>
    <cfRule type="expression" priority="3378" dxfId="10">
      <formula>Datos!C260="D3"</formula>
    </cfRule>
    <cfRule type="expression" priority="3379" dxfId="11">
      <formula>Datos!C260="D4"</formula>
    </cfRule>
    <cfRule type="expression" priority="3380" dxfId="12">
      <formula>Datos!C260="MIX"</formula>
    </cfRule>
  </conditionalFormatting>
  <conditionalFormatting sqref="G23">
    <cfRule type="expression" priority="3381" dxfId="0">
      <formula>Datos!C261="C1"</formula>
    </cfRule>
    <cfRule type="expression" priority="3382" dxfId="1">
      <formula>Datos!C261="C2"</formula>
    </cfRule>
    <cfRule type="expression" priority="3383" dxfId="2">
      <formula>Datos!C261="C3"</formula>
    </cfRule>
    <cfRule type="expression" priority="3384" dxfId="3">
      <formula>Datos!C261="C4"</formula>
    </cfRule>
    <cfRule type="expression" priority="3385" dxfId="4">
      <formula>Datos!C261="M1"</formula>
    </cfRule>
    <cfRule type="expression" priority="3386" dxfId="5">
      <formula>Datos!C261="M2"</formula>
    </cfRule>
    <cfRule type="expression" priority="3387" dxfId="6">
      <formula>Datos!C261="M3"</formula>
    </cfRule>
    <cfRule type="expression" priority="3388" dxfId="7">
      <formula>Datos!C261="M4"</formula>
    </cfRule>
    <cfRule type="expression" priority="3389" dxfId="8">
      <formula>Datos!C261="D1"</formula>
    </cfRule>
    <cfRule type="expression" priority="3390" dxfId="9">
      <formula>Datos!C261="D2"</formula>
    </cfRule>
    <cfRule type="expression" priority="3391" dxfId="10">
      <formula>Datos!C261="D3"</formula>
    </cfRule>
    <cfRule type="expression" priority="3392" dxfId="11">
      <formula>Datos!C261="D4"</formula>
    </cfRule>
    <cfRule type="expression" priority="3393" dxfId="12">
      <formula>Datos!C261="MIX"</formula>
    </cfRule>
  </conditionalFormatting>
  <conditionalFormatting sqref="H23">
    <cfRule type="expression" priority="3394" dxfId="0">
      <formula>Datos!C262="C1"</formula>
    </cfRule>
    <cfRule type="expression" priority="3395" dxfId="1">
      <formula>Datos!C262="C2"</formula>
    </cfRule>
    <cfRule type="expression" priority="3396" dxfId="2">
      <formula>Datos!C262="C3"</formula>
    </cfRule>
    <cfRule type="expression" priority="3397" dxfId="3">
      <formula>Datos!C262="C4"</formula>
    </cfRule>
    <cfRule type="expression" priority="3398" dxfId="4">
      <formula>Datos!C262="M1"</formula>
    </cfRule>
    <cfRule type="expression" priority="3399" dxfId="5">
      <formula>Datos!C262="M2"</formula>
    </cfRule>
    <cfRule type="expression" priority="3400" dxfId="6">
      <formula>Datos!C262="M3"</formula>
    </cfRule>
    <cfRule type="expression" priority="3401" dxfId="7">
      <formula>Datos!C262="M4"</formula>
    </cfRule>
    <cfRule type="expression" priority="3402" dxfId="8">
      <formula>Datos!C262="D1"</formula>
    </cfRule>
    <cfRule type="expression" priority="3403" dxfId="9">
      <formula>Datos!C262="D2"</formula>
    </cfRule>
    <cfRule type="expression" priority="3404" dxfId="10">
      <formula>Datos!C262="D3"</formula>
    </cfRule>
    <cfRule type="expression" priority="3405" dxfId="11">
      <formula>Datos!C262="D4"</formula>
    </cfRule>
    <cfRule type="expression" priority="3406" dxfId="12">
      <formula>Datos!C262="MIX"</formula>
    </cfRule>
  </conditionalFormatting>
  <conditionalFormatting sqref="I23">
    <cfRule type="expression" priority="3407" dxfId="0">
      <formula>Datos!C263="C1"</formula>
    </cfRule>
    <cfRule type="expression" priority="3408" dxfId="1">
      <formula>Datos!C263="C2"</formula>
    </cfRule>
    <cfRule type="expression" priority="3409" dxfId="2">
      <formula>Datos!C263="C3"</formula>
    </cfRule>
    <cfRule type="expression" priority="3410" dxfId="3">
      <formula>Datos!C263="C4"</formula>
    </cfRule>
    <cfRule type="expression" priority="3411" dxfId="4">
      <formula>Datos!C263="M1"</formula>
    </cfRule>
    <cfRule type="expression" priority="3412" dxfId="5">
      <formula>Datos!C263="M2"</formula>
    </cfRule>
    <cfRule type="expression" priority="3413" dxfId="6">
      <formula>Datos!C263="M3"</formula>
    </cfRule>
    <cfRule type="expression" priority="3414" dxfId="7">
      <formula>Datos!C263="M4"</formula>
    </cfRule>
    <cfRule type="expression" priority="3415" dxfId="8">
      <formula>Datos!C263="D1"</formula>
    </cfRule>
    <cfRule type="expression" priority="3416" dxfId="9">
      <formula>Datos!C263="D2"</formula>
    </cfRule>
    <cfRule type="expression" priority="3417" dxfId="10">
      <formula>Datos!C263="D3"</formula>
    </cfRule>
    <cfRule type="expression" priority="3418" dxfId="11">
      <formula>Datos!C263="D4"</formula>
    </cfRule>
    <cfRule type="expression" priority="3419" dxfId="12">
      <formula>Datos!C263="MIX"</formula>
    </cfRule>
  </conditionalFormatting>
  <conditionalFormatting sqref="J23">
    <cfRule type="expression" priority="3420" dxfId="0">
      <formula>Datos!C264="C1"</formula>
    </cfRule>
    <cfRule type="expression" priority="3421" dxfId="1">
      <formula>Datos!C264="C2"</formula>
    </cfRule>
    <cfRule type="expression" priority="3422" dxfId="2">
      <formula>Datos!C264="C3"</formula>
    </cfRule>
    <cfRule type="expression" priority="3423" dxfId="3">
      <formula>Datos!C264="C4"</formula>
    </cfRule>
    <cfRule type="expression" priority="3424" dxfId="4">
      <formula>Datos!C264="M1"</formula>
    </cfRule>
    <cfRule type="expression" priority="3425" dxfId="5">
      <formula>Datos!C264="M2"</formula>
    </cfRule>
    <cfRule type="expression" priority="3426" dxfId="6">
      <formula>Datos!C264="M3"</formula>
    </cfRule>
    <cfRule type="expression" priority="3427" dxfId="7">
      <formula>Datos!C264="M4"</formula>
    </cfRule>
    <cfRule type="expression" priority="3428" dxfId="8">
      <formula>Datos!C264="D1"</formula>
    </cfRule>
    <cfRule type="expression" priority="3429" dxfId="9">
      <formula>Datos!C264="D2"</formula>
    </cfRule>
    <cfRule type="expression" priority="3430" dxfId="10">
      <formula>Datos!C264="D3"</formula>
    </cfRule>
    <cfRule type="expression" priority="3431" dxfId="11">
      <formula>Datos!C264="D4"</formula>
    </cfRule>
    <cfRule type="expression" priority="3432" dxfId="12">
      <formula>Datos!C264="MIX"</formula>
    </cfRule>
  </conditionalFormatting>
  <conditionalFormatting sqref="K23">
    <cfRule type="expression" priority="3433" dxfId="0">
      <formula>Datos!C265="C1"</formula>
    </cfRule>
    <cfRule type="expression" priority="3434" dxfId="1">
      <formula>Datos!C265="C2"</formula>
    </cfRule>
    <cfRule type="expression" priority="3435" dxfId="2">
      <formula>Datos!C265="C3"</formula>
    </cfRule>
    <cfRule type="expression" priority="3436" dxfId="3">
      <formula>Datos!C265="C4"</formula>
    </cfRule>
    <cfRule type="expression" priority="3437" dxfId="4">
      <formula>Datos!C265="M1"</formula>
    </cfRule>
    <cfRule type="expression" priority="3438" dxfId="5">
      <formula>Datos!C265="M2"</formula>
    </cfRule>
    <cfRule type="expression" priority="3439" dxfId="6">
      <formula>Datos!C265="M3"</formula>
    </cfRule>
    <cfRule type="expression" priority="3440" dxfId="7">
      <formula>Datos!C265="M4"</formula>
    </cfRule>
    <cfRule type="expression" priority="3441" dxfId="8">
      <formula>Datos!C265="D1"</formula>
    </cfRule>
    <cfRule type="expression" priority="3442" dxfId="9">
      <formula>Datos!C265="D2"</formula>
    </cfRule>
    <cfRule type="expression" priority="3443" dxfId="10">
      <formula>Datos!C265="D3"</formula>
    </cfRule>
    <cfRule type="expression" priority="3444" dxfId="11">
      <formula>Datos!C265="D4"</formula>
    </cfRule>
    <cfRule type="expression" priority="3445" dxfId="12">
      <formula>Datos!C265="MIX"</formula>
    </cfRule>
  </conditionalFormatting>
  <conditionalFormatting sqref="L23">
    <cfRule type="expression" priority="3446" dxfId="0">
      <formula>Datos!C266="C1"</formula>
    </cfRule>
    <cfRule type="expression" priority="3447" dxfId="1">
      <formula>Datos!C266="C2"</formula>
    </cfRule>
    <cfRule type="expression" priority="3448" dxfId="2">
      <formula>Datos!C266="C3"</formula>
    </cfRule>
    <cfRule type="expression" priority="3449" dxfId="3">
      <formula>Datos!C266="C4"</formula>
    </cfRule>
    <cfRule type="expression" priority="3450" dxfId="4">
      <formula>Datos!C266="M1"</formula>
    </cfRule>
    <cfRule type="expression" priority="3451" dxfId="5">
      <formula>Datos!C266="M2"</formula>
    </cfRule>
    <cfRule type="expression" priority="3452" dxfId="6">
      <formula>Datos!C266="M3"</formula>
    </cfRule>
    <cfRule type="expression" priority="3453" dxfId="7">
      <formula>Datos!C266="M4"</formula>
    </cfRule>
    <cfRule type="expression" priority="3454" dxfId="8">
      <formula>Datos!C266="D1"</formula>
    </cfRule>
    <cfRule type="expression" priority="3455" dxfId="9">
      <formula>Datos!C266="D2"</formula>
    </cfRule>
    <cfRule type="expression" priority="3456" dxfId="10">
      <formula>Datos!C266="D3"</formula>
    </cfRule>
    <cfRule type="expression" priority="3457" dxfId="11">
      <formula>Datos!C266="D4"</formula>
    </cfRule>
    <cfRule type="expression" priority="3458" dxfId="12">
      <formula>Datos!C266="MIX"</formula>
    </cfRule>
  </conditionalFormatting>
  <conditionalFormatting sqref="M23">
    <cfRule type="expression" priority="3459" dxfId="0">
      <formula>Datos!C267="C1"</formula>
    </cfRule>
    <cfRule type="expression" priority="3460" dxfId="1">
      <formula>Datos!C267="C2"</formula>
    </cfRule>
    <cfRule type="expression" priority="3461" dxfId="2">
      <formula>Datos!C267="C3"</formula>
    </cfRule>
    <cfRule type="expression" priority="3462" dxfId="3">
      <formula>Datos!C267="C4"</formula>
    </cfRule>
    <cfRule type="expression" priority="3463" dxfId="4">
      <formula>Datos!C267="M1"</formula>
    </cfRule>
    <cfRule type="expression" priority="3464" dxfId="5">
      <formula>Datos!C267="M2"</formula>
    </cfRule>
    <cfRule type="expression" priority="3465" dxfId="6">
      <formula>Datos!C267="M3"</formula>
    </cfRule>
    <cfRule type="expression" priority="3466" dxfId="7">
      <formula>Datos!C267="M4"</formula>
    </cfRule>
    <cfRule type="expression" priority="3467" dxfId="8">
      <formula>Datos!C267="D1"</formula>
    </cfRule>
    <cfRule type="expression" priority="3468" dxfId="9">
      <formula>Datos!C267="D2"</formula>
    </cfRule>
    <cfRule type="expression" priority="3469" dxfId="10">
      <formula>Datos!C267="D3"</formula>
    </cfRule>
    <cfRule type="expression" priority="3470" dxfId="11">
      <formula>Datos!C267="D4"</formula>
    </cfRule>
    <cfRule type="expression" priority="3471" dxfId="12">
      <formula>Datos!C267="MIX"</formula>
    </cfRule>
  </conditionalFormatting>
  <conditionalFormatting sqref="N23">
    <cfRule type="expression" priority="3472" dxfId="0">
      <formula>Datos!C268="C1"</formula>
    </cfRule>
    <cfRule type="expression" priority="3473" dxfId="1">
      <formula>Datos!C268="C2"</formula>
    </cfRule>
    <cfRule type="expression" priority="3474" dxfId="2">
      <formula>Datos!C268="C3"</formula>
    </cfRule>
    <cfRule type="expression" priority="3475" dxfId="3">
      <formula>Datos!C268="C4"</formula>
    </cfRule>
    <cfRule type="expression" priority="3476" dxfId="4">
      <formula>Datos!C268="M1"</formula>
    </cfRule>
    <cfRule type="expression" priority="3477" dxfId="5">
      <formula>Datos!C268="M2"</formula>
    </cfRule>
    <cfRule type="expression" priority="3478" dxfId="6">
      <formula>Datos!C268="M3"</formula>
    </cfRule>
    <cfRule type="expression" priority="3479" dxfId="7">
      <formula>Datos!C268="M4"</formula>
    </cfRule>
    <cfRule type="expression" priority="3480" dxfId="8">
      <formula>Datos!C268="D1"</formula>
    </cfRule>
    <cfRule type="expression" priority="3481" dxfId="9">
      <formula>Datos!C268="D2"</formula>
    </cfRule>
    <cfRule type="expression" priority="3482" dxfId="10">
      <formula>Datos!C268="D3"</formula>
    </cfRule>
    <cfRule type="expression" priority="3483" dxfId="11">
      <formula>Datos!C268="D4"</formula>
    </cfRule>
    <cfRule type="expression" priority="3484" dxfId="12">
      <formula>Datos!C268="MIX"</formula>
    </cfRule>
  </conditionalFormatting>
  <conditionalFormatting sqref="O23">
    <cfRule type="expression" priority="3485" dxfId="0">
      <formula>Datos!C269="C1"</formula>
    </cfRule>
    <cfRule type="expression" priority="3486" dxfId="1">
      <formula>Datos!C269="C2"</formula>
    </cfRule>
    <cfRule type="expression" priority="3487" dxfId="2">
      <formula>Datos!C269="C3"</formula>
    </cfRule>
    <cfRule type="expression" priority="3488" dxfId="3">
      <formula>Datos!C269="C4"</formula>
    </cfRule>
    <cfRule type="expression" priority="3489" dxfId="4">
      <formula>Datos!C269="M1"</formula>
    </cfRule>
    <cfRule type="expression" priority="3490" dxfId="5">
      <formula>Datos!C269="M2"</formula>
    </cfRule>
    <cfRule type="expression" priority="3491" dxfId="6">
      <formula>Datos!C269="M3"</formula>
    </cfRule>
    <cfRule type="expression" priority="3492" dxfId="7">
      <formula>Datos!C269="M4"</formula>
    </cfRule>
    <cfRule type="expression" priority="3493" dxfId="8">
      <formula>Datos!C269="D1"</formula>
    </cfRule>
    <cfRule type="expression" priority="3494" dxfId="9">
      <formula>Datos!C269="D2"</formula>
    </cfRule>
    <cfRule type="expression" priority="3495" dxfId="10">
      <formula>Datos!C269="D3"</formula>
    </cfRule>
    <cfRule type="expression" priority="3496" dxfId="11">
      <formula>Datos!C269="D4"</formula>
    </cfRule>
    <cfRule type="expression" priority="3497" dxfId="12">
      <formula>Datos!C269="MIX"</formula>
    </cfRule>
  </conditionalFormatting>
  <conditionalFormatting sqref="P23">
    <cfRule type="expression" priority="3498" dxfId="0">
      <formula>Datos!C270="C1"</formula>
    </cfRule>
    <cfRule type="expression" priority="3499" dxfId="1">
      <formula>Datos!C270="C2"</formula>
    </cfRule>
    <cfRule type="expression" priority="3500" dxfId="2">
      <formula>Datos!C270="C3"</formula>
    </cfRule>
    <cfRule type="expression" priority="3501" dxfId="3">
      <formula>Datos!C270="C4"</formula>
    </cfRule>
    <cfRule type="expression" priority="3502" dxfId="4">
      <formula>Datos!C270="M1"</formula>
    </cfRule>
    <cfRule type="expression" priority="3503" dxfId="5">
      <formula>Datos!C270="M2"</formula>
    </cfRule>
    <cfRule type="expression" priority="3504" dxfId="6">
      <formula>Datos!C270="M3"</formula>
    </cfRule>
    <cfRule type="expression" priority="3505" dxfId="7">
      <formula>Datos!C270="M4"</formula>
    </cfRule>
    <cfRule type="expression" priority="3506" dxfId="8">
      <formula>Datos!C270="D1"</formula>
    </cfRule>
    <cfRule type="expression" priority="3507" dxfId="9">
      <formula>Datos!C270="D2"</formula>
    </cfRule>
    <cfRule type="expression" priority="3508" dxfId="10">
      <formula>Datos!C270="D3"</formula>
    </cfRule>
    <cfRule type="expression" priority="3509" dxfId="11">
      <formula>Datos!C270="D4"</formula>
    </cfRule>
    <cfRule type="expression" priority="3510" dxfId="12">
      <formula>Datos!C270="MIX"</formula>
    </cfRule>
  </conditionalFormatting>
  <conditionalFormatting sqref="B26">
    <cfRule type="expression" priority="3511" dxfId="0">
      <formula>Datos!C271="C1"</formula>
    </cfRule>
    <cfRule type="expression" priority="3512" dxfId="1">
      <formula>Datos!C271="C2"</formula>
    </cfRule>
    <cfRule type="expression" priority="3513" dxfId="2">
      <formula>Datos!C271="C3"</formula>
    </cfRule>
    <cfRule type="expression" priority="3514" dxfId="3">
      <formula>Datos!C271="C4"</formula>
    </cfRule>
    <cfRule type="expression" priority="3515" dxfId="4">
      <formula>Datos!C271="M1"</formula>
    </cfRule>
    <cfRule type="expression" priority="3516" dxfId="5">
      <formula>Datos!C271="M2"</formula>
    </cfRule>
    <cfRule type="expression" priority="3517" dxfId="6">
      <formula>Datos!C271="M3"</formula>
    </cfRule>
    <cfRule type="expression" priority="3518" dxfId="7">
      <formula>Datos!C271="M4"</formula>
    </cfRule>
    <cfRule type="expression" priority="3519" dxfId="8">
      <formula>Datos!C271="D1"</formula>
    </cfRule>
    <cfRule type="expression" priority="3520" dxfId="9">
      <formula>Datos!C271="D2"</formula>
    </cfRule>
    <cfRule type="expression" priority="3521" dxfId="10">
      <formula>Datos!C271="D3"</formula>
    </cfRule>
    <cfRule type="expression" priority="3522" dxfId="11">
      <formula>Datos!C271="D4"</formula>
    </cfRule>
    <cfRule type="expression" priority="3523" dxfId="12">
      <formula>Datos!C271="MIX"</formula>
    </cfRule>
  </conditionalFormatting>
  <conditionalFormatting sqref="C26">
    <cfRule type="expression" priority="3524" dxfId="0">
      <formula>Datos!C272="C1"</formula>
    </cfRule>
    <cfRule type="expression" priority="3525" dxfId="1">
      <formula>Datos!C272="C2"</formula>
    </cfRule>
    <cfRule type="expression" priority="3526" dxfId="2">
      <formula>Datos!C272="C3"</formula>
    </cfRule>
    <cfRule type="expression" priority="3527" dxfId="3">
      <formula>Datos!C272="C4"</formula>
    </cfRule>
    <cfRule type="expression" priority="3528" dxfId="4">
      <formula>Datos!C272="M1"</formula>
    </cfRule>
    <cfRule type="expression" priority="3529" dxfId="5">
      <formula>Datos!C272="M2"</formula>
    </cfRule>
    <cfRule type="expression" priority="3530" dxfId="6">
      <formula>Datos!C272="M3"</formula>
    </cfRule>
    <cfRule type="expression" priority="3531" dxfId="7">
      <formula>Datos!C272="M4"</formula>
    </cfRule>
    <cfRule type="expression" priority="3532" dxfId="8">
      <formula>Datos!C272="D1"</formula>
    </cfRule>
    <cfRule type="expression" priority="3533" dxfId="9">
      <formula>Datos!C272="D2"</formula>
    </cfRule>
    <cfRule type="expression" priority="3534" dxfId="10">
      <formula>Datos!C272="D3"</formula>
    </cfRule>
    <cfRule type="expression" priority="3535" dxfId="11">
      <formula>Datos!C272="D4"</formula>
    </cfRule>
    <cfRule type="expression" priority="3536" dxfId="12">
      <formula>Datos!C272="MIX"</formula>
    </cfRule>
  </conditionalFormatting>
  <conditionalFormatting sqref="D26">
    <cfRule type="expression" priority="3537" dxfId="0">
      <formula>Datos!C273="C1"</formula>
    </cfRule>
    <cfRule type="expression" priority="3538" dxfId="1">
      <formula>Datos!C273="C2"</formula>
    </cfRule>
    <cfRule type="expression" priority="3539" dxfId="2">
      <formula>Datos!C273="C3"</formula>
    </cfRule>
    <cfRule type="expression" priority="3540" dxfId="3">
      <formula>Datos!C273="C4"</formula>
    </cfRule>
    <cfRule type="expression" priority="3541" dxfId="4">
      <formula>Datos!C273="M1"</formula>
    </cfRule>
    <cfRule type="expression" priority="3542" dxfId="5">
      <formula>Datos!C273="M2"</formula>
    </cfRule>
    <cfRule type="expression" priority="3543" dxfId="6">
      <formula>Datos!C273="M3"</formula>
    </cfRule>
    <cfRule type="expression" priority="3544" dxfId="7">
      <formula>Datos!C273="M4"</formula>
    </cfRule>
    <cfRule type="expression" priority="3545" dxfId="8">
      <formula>Datos!C273="D1"</formula>
    </cfRule>
    <cfRule type="expression" priority="3546" dxfId="9">
      <formula>Datos!C273="D2"</formula>
    </cfRule>
    <cfRule type="expression" priority="3547" dxfId="10">
      <formula>Datos!C273="D3"</formula>
    </cfRule>
    <cfRule type="expression" priority="3548" dxfId="11">
      <formula>Datos!C273="D4"</formula>
    </cfRule>
    <cfRule type="expression" priority="3549" dxfId="12">
      <formula>Datos!C273="MIX"</formula>
    </cfRule>
  </conditionalFormatting>
  <conditionalFormatting sqref="E26">
    <cfRule type="expression" priority="3550" dxfId="0">
      <formula>Datos!C274="C1"</formula>
    </cfRule>
    <cfRule type="expression" priority="3551" dxfId="1">
      <formula>Datos!C274="C2"</formula>
    </cfRule>
    <cfRule type="expression" priority="3552" dxfId="2">
      <formula>Datos!C274="C3"</formula>
    </cfRule>
    <cfRule type="expression" priority="3553" dxfId="3">
      <formula>Datos!C274="C4"</formula>
    </cfRule>
    <cfRule type="expression" priority="3554" dxfId="4">
      <formula>Datos!C274="M1"</formula>
    </cfRule>
    <cfRule type="expression" priority="3555" dxfId="5">
      <formula>Datos!C274="M2"</formula>
    </cfRule>
    <cfRule type="expression" priority="3556" dxfId="6">
      <formula>Datos!C274="M3"</formula>
    </cfRule>
    <cfRule type="expression" priority="3557" dxfId="7">
      <formula>Datos!C274="M4"</formula>
    </cfRule>
    <cfRule type="expression" priority="3558" dxfId="8">
      <formula>Datos!C274="D1"</formula>
    </cfRule>
    <cfRule type="expression" priority="3559" dxfId="9">
      <formula>Datos!C274="D2"</formula>
    </cfRule>
    <cfRule type="expression" priority="3560" dxfId="10">
      <formula>Datos!C274="D3"</formula>
    </cfRule>
    <cfRule type="expression" priority="3561" dxfId="11">
      <formula>Datos!C274="D4"</formula>
    </cfRule>
    <cfRule type="expression" priority="3562" dxfId="12">
      <formula>Datos!C274="MIX"</formula>
    </cfRule>
  </conditionalFormatting>
  <conditionalFormatting sqref="F26">
    <cfRule type="expression" priority="3563" dxfId="0">
      <formula>Datos!C275="C1"</formula>
    </cfRule>
    <cfRule type="expression" priority="3564" dxfId="1">
      <formula>Datos!C275="C2"</formula>
    </cfRule>
    <cfRule type="expression" priority="3565" dxfId="2">
      <formula>Datos!C275="C3"</formula>
    </cfRule>
    <cfRule type="expression" priority="3566" dxfId="3">
      <formula>Datos!C275="C4"</formula>
    </cfRule>
    <cfRule type="expression" priority="3567" dxfId="4">
      <formula>Datos!C275="M1"</formula>
    </cfRule>
    <cfRule type="expression" priority="3568" dxfId="5">
      <formula>Datos!C275="M2"</formula>
    </cfRule>
    <cfRule type="expression" priority="3569" dxfId="6">
      <formula>Datos!C275="M3"</formula>
    </cfRule>
    <cfRule type="expression" priority="3570" dxfId="7">
      <formula>Datos!C275="M4"</formula>
    </cfRule>
    <cfRule type="expression" priority="3571" dxfId="8">
      <formula>Datos!C275="D1"</formula>
    </cfRule>
    <cfRule type="expression" priority="3572" dxfId="9">
      <formula>Datos!C275="D2"</formula>
    </cfRule>
    <cfRule type="expression" priority="3573" dxfId="10">
      <formula>Datos!C275="D3"</formula>
    </cfRule>
    <cfRule type="expression" priority="3574" dxfId="11">
      <formula>Datos!C275="D4"</formula>
    </cfRule>
    <cfRule type="expression" priority="3575" dxfId="12">
      <formula>Datos!C275="MIX"</formula>
    </cfRule>
  </conditionalFormatting>
  <conditionalFormatting sqref="G26">
    <cfRule type="expression" priority="3576" dxfId="0">
      <formula>Datos!C276="C1"</formula>
    </cfRule>
    <cfRule type="expression" priority="3577" dxfId="1">
      <formula>Datos!C276="C2"</formula>
    </cfRule>
    <cfRule type="expression" priority="3578" dxfId="2">
      <formula>Datos!C276="C3"</formula>
    </cfRule>
    <cfRule type="expression" priority="3579" dxfId="3">
      <formula>Datos!C276="C4"</formula>
    </cfRule>
    <cfRule type="expression" priority="3580" dxfId="4">
      <formula>Datos!C276="M1"</formula>
    </cfRule>
    <cfRule type="expression" priority="3581" dxfId="5">
      <formula>Datos!C276="M2"</formula>
    </cfRule>
    <cfRule type="expression" priority="3582" dxfId="6">
      <formula>Datos!C276="M3"</formula>
    </cfRule>
    <cfRule type="expression" priority="3583" dxfId="7">
      <formula>Datos!C276="M4"</formula>
    </cfRule>
    <cfRule type="expression" priority="3584" dxfId="8">
      <formula>Datos!C276="D1"</formula>
    </cfRule>
    <cfRule type="expression" priority="3585" dxfId="9">
      <formula>Datos!C276="D2"</formula>
    </cfRule>
    <cfRule type="expression" priority="3586" dxfId="10">
      <formula>Datos!C276="D3"</formula>
    </cfRule>
    <cfRule type="expression" priority="3587" dxfId="11">
      <formula>Datos!C276="D4"</formula>
    </cfRule>
    <cfRule type="expression" priority="3588" dxfId="12">
      <formula>Datos!C276="MIX"</formula>
    </cfRule>
  </conditionalFormatting>
  <conditionalFormatting sqref="H26">
    <cfRule type="expression" priority="3589" dxfId="0">
      <formula>Datos!C277="C1"</formula>
    </cfRule>
    <cfRule type="expression" priority="3590" dxfId="1">
      <formula>Datos!C277="C2"</formula>
    </cfRule>
    <cfRule type="expression" priority="3591" dxfId="2">
      <formula>Datos!C277="C3"</formula>
    </cfRule>
    <cfRule type="expression" priority="3592" dxfId="3">
      <formula>Datos!C277="C4"</formula>
    </cfRule>
    <cfRule type="expression" priority="3593" dxfId="4">
      <formula>Datos!C277="M1"</formula>
    </cfRule>
    <cfRule type="expression" priority="3594" dxfId="5">
      <formula>Datos!C277="M2"</formula>
    </cfRule>
    <cfRule type="expression" priority="3595" dxfId="6">
      <formula>Datos!C277="M3"</formula>
    </cfRule>
    <cfRule type="expression" priority="3596" dxfId="7">
      <formula>Datos!C277="M4"</formula>
    </cfRule>
    <cfRule type="expression" priority="3597" dxfId="8">
      <formula>Datos!C277="D1"</formula>
    </cfRule>
    <cfRule type="expression" priority="3598" dxfId="9">
      <formula>Datos!C277="D2"</formula>
    </cfRule>
    <cfRule type="expression" priority="3599" dxfId="10">
      <formula>Datos!C277="D3"</formula>
    </cfRule>
    <cfRule type="expression" priority="3600" dxfId="11">
      <formula>Datos!C277="D4"</formula>
    </cfRule>
    <cfRule type="expression" priority="3601" dxfId="12">
      <formula>Datos!C277="MIX"</formula>
    </cfRule>
  </conditionalFormatting>
  <conditionalFormatting sqref="I26">
    <cfRule type="expression" priority="3602" dxfId="0">
      <formula>Datos!C278="C1"</formula>
    </cfRule>
    <cfRule type="expression" priority="3603" dxfId="1">
      <formula>Datos!C278="C2"</formula>
    </cfRule>
    <cfRule type="expression" priority="3604" dxfId="2">
      <formula>Datos!C278="C3"</formula>
    </cfRule>
    <cfRule type="expression" priority="3605" dxfId="3">
      <formula>Datos!C278="C4"</formula>
    </cfRule>
    <cfRule type="expression" priority="3606" dxfId="4">
      <formula>Datos!C278="M1"</formula>
    </cfRule>
    <cfRule type="expression" priority="3607" dxfId="5">
      <formula>Datos!C278="M2"</formula>
    </cfRule>
    <cfRule type="expression" priority="3608" dxfId="6">
      <formula>Datos!C278="M3"</formula>
    </cfRule>
    <cfRule type="expression" priority="3609" dxfId="7">
      <formula>Datos!C278="M4"</formula>
    </cfRule>
    <cfRule type="expression" priority="3610" dxfId="8">
      <formula>Datos!C278="D1"</formula>
    </cfRule>
    <cfRule type="expression" priority="3611" dxfId="9">
      <formula>Datos!C278="D2"</formula>
    </cfRule>
    <cfRule type="expression" priority="3612" dxfId="10">
      <formula>Datos!C278="D3"</formula>
    </cfRule>
    <cfRule type="expression" priority="3613" dxfId="11">
      <formula>Datos!C278="D4"</formula>
    </cfRule>
    <cfRule type="expression" priority="3614" dxfId="12">
      <formula>Datos!C278="MIX"</formula>
    </cfRule>
  </conditionalFormatting>
  <conditionalFormatting sqref="J26">
    <cfRule type="expression" priority="3615" dxfId="0">
      <formula>Datos!C279="C1"</formula>
    </cfRule>
    <cfRule type="expression" priority="3616" dxfId="1">
      <formula>Datos!C279="C2"</formula>
    </cfRule>
    <cfRule type="expression" priority="3617" dxfId="2">
      <formula>Datos!C279="C3"</formula>
    </cfRule>
    <cfRule type="expression" priority="3618" dxfId="3">
      <formula>Datos!C279="C4"</formula>
    </cfRule>
    <cfRule type="expression" priority="3619" dxfId="4">
      <formula>Datos!C279="M1"</formula>
    </cfRule>
    <cfRule type="expression" priority="3620" dxfId="5">
      <formula>Datos!C279="M2"</formula>
    </cfRule>
    <cfRule type="expression" priority="3621" dxfId="6">
      <formula>Datos!C279="M3"</formula>
    </cfRule>
    <cfRule type="expression" priority="3622" dxfId="7">
      <formula>Datos!C279="M4"</formula>
    </cfRule>
    <cfRule type="expression" priority="3623" dxfId="8">
      <formula>Datos!C279="D1"</formula>
    </cfRule>
    <cfRule type="expression" priority="3624" dxfId="9">
      <formula>Datos!C279="D2"</formula>
    </cfRule>
    <cfRule type="expression" priority="3625" dxfId="10">
      <formula>Datos!C279="D3"</formula>
    </cfRule>
    <cfRule type="expression" priority="3626" dxfId="11">
      <formula>Datos!C279="D4"</formula>
    </cfRule>
    <cfRule type="expression" priority="3627" dxfId="12">
      <formula>Datos!C279="MIX"</formula>
    </cfRule>
  </conditionalFormatting>
  <conditionalFormatting sqref="K26">
    <cfRule type="expression" priority="3628" dxfId="0">
      <formula>Datos!C280="C1"</formula>
    </cfRule>
    <cfRule type="expression" priority="3629" dxfId="1">
      <formula>Datos!C280="C2"</formula>
    </cfRule>
    <cfRule type="expression" priority="3630" dxfId="2">
      <formula>Datos!C280="C3"</formula>
    </cfRule>
    <cfRule type="expression" priority="3631" dxfId="3">
      <formula>Datos!C280="C4"</formula>
    </cfRule>
    <cfRule type="expression" priority="3632" dxfId="4">
      <formula>Datos!C280="M1"</formula>
    </cfRule>
    <cfRule type="expression" priority="3633" dxfId="5">
      <formula>Datos!C280="M2"</formula>
    </cfRule>
    <cfRule type="expression" priority="3634" dxfId="6">
      <formula>Datos!C280="M3"</formula>
    </cfRule>
    <cfRule type="expression" priority="3635" dxfId="7">
      <formula>Datos!C280="M4"</formula>
    </cfRule>
    <cfRule type="expression" priority="3636" dxfId="8">
      <formula>Datos!C280="D1"</formula>
    </cfRule>
    <cfRule type="expression" priority="3637" dxfId="9">
      <formula>Datos!C280="D2"</formula>
    </cfRule>
    <cfRule type="expression" priority="3638" dxfId="10">
      <formula>Datos!C280="D3"</formula>
    </cfRule>
    <cfRule type="expression" priority="3639" dxfId="11">
      <formula>Datos!C280="D4"</formula>
    </cfRule>
    <cfRule type="expression" priority="3640" dxfId="12">
      <formula>Datos!C280="MIX"</formula>
    </cfRule>
  </conditionalFormatting>
  <conditionalFormatting sqref="L26">
    <cfRule type="expression" priority="3641" dxfId="0">
      <formula>Datos!C281="C1"</formula>
    </cfRule>
    <cfRule type="expression" priority="3642" dxfId="1">
      <formula>Datos!C281="C2"</formula>
    </cfRule>
    <cfRule type="expression" priority="3643" dxfId="2">
      <formula>Datos!C281="C3"</formula>
    </cfRule>
    <cfRule type="expression" priority="3644" dxfId="3">
      <formula>Datos!C281="C4"</formula>
    </cfRule>
    <cfRule type="expression" priority="3645" dxfId="4">
      <formula>Datos!C281="M1"</formula>
    </cfRule>
    <cfRule type="expression" priority="3646" dxfId="5">
      <formula>Datos!C281="M2"</formula>
    </cfRule>
    <cfRule type="expression" priority="3647" dxfId="6">
      <formula>Datos!C281="M3"</formula>
    </cfRule>
    <cfRule type="expression" priority="3648" dxfId="7">
      <formula>Datos!C281="M4"</formula>
    </cfRule>
    <cfRule type="expression" priority="3649" dxfId="8">
      <formula>Datos!C281="D1"</formula>
    </cfRule>
    <cfRule type="expression" priority="3650" dxfId="9">
      <formula>Datos!C281="D2"</formula>
    </cfRule>
    <cfRule type="expression" priority="3651" dxfId="10">
      <formula>Datos!C281="D3"</formula>
    </cfRule>
    <cfRule type="expression" priority="3652" dxfId="11">
      <formula>Datos!C281="D4"</formula>
    </cfRule>
    <cfRule type="expression" priority="3653" dxfId="12">
      <formula>Datos!C281="MIX"</formula>
    </cfRule>
  </conditionalFormatting>
  <conditionalFormatting sqref="M26">
    <cfRule type="expression" priority="3654" dxfId="0">
      <formula>Datos!C282="C1"</formula>
    </cfRule>
    <cfRule type="expression" priority="3655" dxfId="1">
      <formula>Datos!C282="C2"</formula>
    </cfRule>
    <cfRule type="expression" priority="3656" dxfId="2">
      <formula>Datos!C282="C3"</formula>
    </cfRule>
    <cfRule type="expression" priority="3657" dxfId="3">
      <formula>Datos!C282="C4"</formula>
    </cfRule>
    <cfRule type="expression" priority="3658" dxfId="4">
      <formula>Datos!C282="M1"</formula>
    </cfRule>
    <cfRule type="expression" priority="3659" dxfId="5">
      <formula>Datos!C282="M2"</formula>
    </cfRule>
    <cfRule type="expression" priority="3660" dxfId="6">
      <formula>Datos!C282="M3"</formula>
    </cfRule>
    <cfRule type="expression" priority="3661" dxfId="7">
      <formula>Datos!C282="M4"</formula>
    </cfRule>
    <cfRule type="expression" priority="3662" dxfId="8">
      <formula>Datos!C282="D1"</formula>
    </cfRule>
    <cfRule type="expression" priority="3663" dxfId="9">
      <formula>Datos!C282="D2"</formula>
    </cfRule>
    <cfRule type="expression" priority="3664" dxfId="10">
      <formula>Datos!C282="D3"</formula>
    </cfRule>
    <cfRule type="expression" priority="3665" dxfId="11">
      <formula>Datos!C282="D4"</formula>
    </cfRule>
    <cfRule type="expression" priority="3666" dxfId="12">
      <formula>Datos!C282="MIX"</formula>
    </cfRule>
  </conditionalFormatting>
  <conditionalFormatting sqref="N26">
    <cfRule type="expression" priority="3667" dxfId="0">
      <formula>Datos!C283="C1"</formula>
    </cfRule>
    <cfRule type="expression" priority="3668" dxfId="1">
      <formula>Datos!C283="C2"</formula>
    </cfRule>
    <cfRule type="expression" priority="3669" dxfId="2">
      <formula>Datos!C283="C3"</formula>
    </cfRule>
    <cfRule type="expression" priority="3670" dxfId="3">
      <formula>Datos!C283="C4"</formula>
    </cfRule>
    <cfRule type="expression" priority="3671" dxfId="4">
      <formula>Datos!C283="M1"</formula>
    </cfRule>
    <cfRule type="expression" priority="3672" dxfId="5">
      <formula>Datos!C283="M2"</formula>
    </cfRule>
    <cfRule type="expression" priority="3673" dxfId="6">
      <formula>Datos!C283="M3"</formula>
    </cfRule>
    <cfRule type="expression" priority="3674" dxfId="7">
      <formula>Datos!C283="M4"</formula>
    </cfRule>
    <cfRule type="expression" priority="3675" dxfId="8">
      <formula>Datos!C283="D1"</formula>
    </cfRule>
    <cfRule type="expression" priority="3676" dxfId="9">
      <formula>Datos!C283="D2"</formula>
    </cfRule>
    <cfRule type="expression" priority="3677" dxfId="10">
      <formula>Datos!C283="D3"</formula>
    </cfRule>
    <cfRule type="expression" priority="3678" dxfId="11">
      <formula>Datos!C283="D4"</formula>
    </cfRule>
    <cfRule type="expression" priority="3679" dxfId="12">
      <formula>Datos!C283="MIX"</formula>
    </cfRule>
  </conditionalFormatting>
  <conditionalFormatting sqref="O26">
    <cfRule type="expression" priority="3680" dxfId="0">
      <formula>Datos!C284="C1"</formula>
    </cfRule>
    <cfRule type="expression" priority="3681" dxfId="1">
      <formula>Datos!C284="C2"</formula>
    </cfRule>
    <cfRule type="expression" priority="3682" dxfId="2">
      <formula>Datos!C284="C3"</formula>
    </cfRule>
    <cfRule type="expression" priority="3683" dxfId="3">
      <formula>Datos!C284="C4"</formula>
    </cfRule>
    <cfRule type="expression" priority="3684" dxfId="4">
      <formula>Datos!C284="M1"</formula>
    </cfRule>
    <cfRule type="expression" priority="3685" dxfId="5">
      <formula>Datos!C284="M2"</formula>
    </cfRule>
    <cfRule type="expression" priority="3686" dxfId="6">
      <formula>Datos!C284="M3"</formula>
    </cfRule>
    <cfRule type="expression" priority="3687" dxfId="7">
      <formula>Datos!C284="M4"</formula>
    </cfRule>
    <cfRule type="expression" priority="3688" dxfId="8">
      <formula>Datos!C284="D1"</formula>
    </cfRule>
    <cfRule type="expression" priority="3689" dxfId="9">
      <formula>Datos!C284="D2"</formula>
    </cfRule>
    <cfRule type="expression" priority="3690" dxfId="10">
      <formula>Datos!C284="D3"</formula>
    </cfRule>
    <cfRule type="expression" priority="3691" dxfId="11">
      <formula>Datos!C284="D4"</formula>
    </cfRule>
    <cfRule type="expression" priority="3692" dxfId="12">
      <formula>Datos!C284="MIX"</formula>
    </cfRule>
  </conditionalFormatting>
  <conditionalFormatting sqref="P26">
    <cfRule type="expression" priority="3693" dxfId="0">
      <formula>Datos!C285="C1"</formula>
    </cfRule>
    <cfRule type="expression" priority="3694" dxfId="1">
      <formula>Datos!C285="C2"</formula>
    </cfRule>
    <cfRule type="expression" priority="3695" dxfId="2">
      <formula>Datos!C285="C3"</formula>
    </cfRule>
    <cfRule type="expression" priority="3696" dxfId="3">
      <formula>Datos!C285="C4"</formula>
    </cfRule>
    <cfRule type="expression" priority="3697" dxfId="4">
      <formula>Datos!C285="M1"</formula>
    </cfRule>
    <cfRule type="expression" priority="3698" dxfId="5">
      <formula>Datos!C285="M2"</formula>
    </cfRule>
    <cfRule type="expression" priority="3699" dxfId="6">
      <formula>Datos!C285="M3"</formula>
    </cfRule>
    <cfRule type="expression" priority="3700" dxfId="7">
      <formula>Datos!C285="M4"</formula>
    </cfRule>
    <cfRule type="expression" priority="3701" dxfId="8">
      <formula>Datos!C285="D1"</formula>
    </cfRule>
    <cfRule type="expression" priority="3702" dxfId="9">
      <formula>Datos!C285="D2"</formula>
    </cfRule>
    <cfRule type="expression" priority="3703" dxfId="10">
      <formula>Datos!C285="D3"</formula>
    </cfRule>
    <cfRule type="expression" priority="3704" dxfId="11">
      <formula>Datos!C285="D4"</formula>
    </cfRule>
    <cfRule type="expression" priority="3705" dxfId="12">
      <formula>Datos!C285="MIX"</formula>
    </cfRule>
  </conditionalFormatting>
  <conditionalFormatting sqref="B27">
    <cfRule type="expression" priority="3706" dxfId="0">
      <formula>Datos!C286="C1"</formula>
    </cfRule>
    <cfRule type="expression" priority="3707" dxfId="1">
      <formula>Datos!C286="C2"</formula>
    </cfRule>
    <cfRule type="expression" priority="3708" dxfId="2">
      <formula>Datos!C286="C3"</formula>
    </cfRule>
    <cfRule type="expression" priority="3709" dxfId="3">
      <formula>Datos!C286="C4"</formula>
    </cfRule>
    <cfRule type="expression" priority="3710" dxfId="4">
      <formula>Datos!C286="M1"</formula>
    </cfRule>
    <cfRule type="expression" priority="3711" dxfId="5">
      <formula>Datos!C286="M2"</formula>
    </cfRule>
    <cfRule type="expression" priority="3712" dxfId="6">
      <formula>Datos!C286="M3"</formula>
    </cfRule>
    <cfRule type="expression" priority="3713" dxfId="7">
      <formula>Datos!C286="M4"</formula>
    </cfRule>
    <cfRule type="expression" priority="3714" dxfId="8">
      <formula>Datos!C286="D1"</formula>
    </cfRule>
    <cfRule type="expression" priority="3715" dxfId="9">
      <formula>Datos!C286="D2"</formula>
    </cfRule>
    <cfRule type="expression" priority="3716" dxfId="10">
      <formula>Datos!C286="D3"</formula>
    </cfRule>
    <cfRule type="expression" priority="3717" dxfId="11">
      <formula>Datos!C286="D4"</formula>
    </cfRule>
    <cfRule type="expression" priority="3718" dxfId="12">
      <formula>Datos!C286="MIX"</formula>
    </cfRule>
  </conditionalFormatting>
  <conditionalFormatting sqref="C27">
    <cfRule type="expression" priority="3719" dxfId="0">
      <formula>Datos!C287="C1"</formula>
    </cfRule>
    <cfRule type="expression" priority="3720" dxfId="1">
      <formula>Datos!C287="C2"</formula>
    </cfRule>
    <cfRule type="expression" priority="3721" dxfId="2">
      <formula>Datos!C287="C3"</formula>
    </cfRule>
    <cfRule type="expression" priority="3722" dxfId="3">
      <formula>Datos!C287="C4"</formula>
    </cfRule>
    <cfRule type="expression" priority="3723" dxfId="4">
      <formula>Datos!C287="M1"</formula>
    </cfRule>
    <cfRule type="expression" priority="3724" dxfId="5">
      <formula>Datos!C287="M2"</formula>
    </cfRule>
    <cfRule type="expression" priority="3725" dxfId="6">
      <formula>Datos!C287="M3"</formula>
    </cfRule>
    <cfRule type="expression" priority="3726" dxfId="7">
      <formula>Datos!C287="M4"</formula>
    </cfRule>
    <cfRule type="expression" priority="3727" dxfId="8">
      <formula>Datos!C287="D1"</formula>
    </cfRule>
    <cfRule type="expression" priority="3728" dxfId="9">
      <formula>Datos!C287="D2"</formula>
    </cfRule>
    <cfRule type="expression" priority="3729" dxfId="10">
      <formula>Datos!C287="D3"</formula>
    </cfRule>
    <cfRule type="expression" priority="3730" dxfId="11">
      <formula>Datos!C287="D4"</formula>
    </cfRule>
    <cfRule type="expression" priority="3731" dxfId="12">
      <formula>Datos!C287="MIX"</formula>
    </cfRule>
  </conditionalFormatting>
  <conditionalFormatting sqref="D27">
    <cfRule type="expression" priority="3732" dxfId="0">
      <formula>Datos!C288="C1"</formula>
    </cfRule>
    <cfRule type="expression" priority="3733" dxfId="1">
      <formula>Datos!C288="C2"</formula>
    </cfRule>
    <cfRule type="expression" priority="3734" dxfId="2">
      <formula>Datos!C288="C3"</formula>
    </cfRule>
    <cfRule type="expression" priority="3735" dxfId="3">
      <formula>Datos!C288="C4"</formula>
    </cfRule>
    <cfRule type="expression" priority="3736" dxfId="4">
      <formula>Datos!C288="M1"</formula>
    </cfRule>
    <cfRule type="expression" priority="3737" dxfId="5">
      <formula>Datos!C288="M2"</formula>
    </cfRule>
    <cfRule type="expression" priority="3738" dxfId="6">
      <formula>Datos!C288="M3"</formula>
    </cfRule>
    <cfRule type="expression" priority="3739" dxfId="7">
      <formula>Datos!C288="M4"</formula>
    </cfRule>
    <cfRule type="expression" priority="3740" dxfId="8">
      <formula>Datos!C288="D1"</formula>
    </cfRule>
    <cfRule type="expression" priority="3741" dxfId="9">
      <formula>Datos!C288="D2"</formula>
    </cfRule>
    <cfRule type="expression" priority="3742" dxfId="10">
      <formula>Datos!C288="D3"</formula>
    </cfRule>
    <cfRule type="expression" priority="3743" dxfId="11">
      <formula>Datos!C288="D4"</formula>
    </cfRule>
    <cfRule type="expression" priority="3744" dxfId="12">
      <formula>Datos!C288="MIX"</formula>
    </cfRule>
  </conditionalFormatting>
  <conditionalFormatting sqref="E27">
    <cfRule type="expression" priority="3745" dxfId="0">
      <formula>Datos!C289="C1"</formula>
    </cfRule>
    <cfRule type="expression" priority="3746" dxfId="1">
      <formula>Datos!C289="C2"</formula>
    </cfRule>
    <cfRule type="expression" priority="3747" dxfId="2">
      <formula>Datos!C289="C3"</formula>
    </cfRule>
    <cfRule type="expression" priority="3748" dxfId="3">
      <formula>Datos!C289="C4"</formula>
    </cfRule>
    <cfRule type="expression" priority="3749" dxfId="4">
      <formula>Datos!C289="M1"</formula>
    </cfRule>
    <cfRule type="expression" priority="3750" dxfId="5">
      <formula>Datos!C289="M2"</formula>
    </cfRule>
    <cfRule type="expression" priority="3751" dxfId="6">
      <formula>Datos!C289="M3"</formula>
    </cfRule>
    <cfRule type="expression" priority="3752" dxfId="7">
      <formula>Datos!C289="M4"</formula>
    </cfRule>
    <cfRule type="expression" priority="3753" dxfId="8">
      <formula>Datos!C289="D1"</formula>
    </cfRule>
    <cfRule type="expression" priority="3754" dxfId="9">
      <formula>Datos!C289="D2"</formula>
    </cfRule>
    <cfRule type="expression" priority="3755" dxfId="10">
      <formula>Datos!C289="D3"</formula>
    </cfRule>
    <cfRule type="expression" priority="3756" dxfId="11">
      <formula>Datos!C289="D4"</formula>
    </cfRule>
    <cfRule type="expression" priority="3757" dxfId="12">
      <formula>Datos!C289="MIX"</formula>
    </cfRule>
  </conditionalFormatting>
  <conditionalFormatting sqref="F27">
    <cfRule type="expression" priority="3758" dxfId="0">
      <formula>Datos!C290="C1"</formula>
    </cfRule>
    <cfRule type="expression" priority="3759" dxfId="1">
      <formula>Datos!C290="C2"</formula>
    </cfRule>
    <cfRule type="expression" priority="3760" dxfId="2">
      <formula>Datos!C290="C3"</formula>
    </cfRule>
    <cfRule type="expression" priority="3761" dxfId="3">
      <formula>Datos!C290="C4"</formula>
    </cfRule>
    <cfRule type="expression" priority="3762" dxfId="4">
      <formula>Datos!C290="M1"</formula>
    </cfRule>
    <cfRule type="expression" priority="3763" dxfId="5">
      <formula>Datos!C290="M2"</formula>
    </cfRule>
    <cfRule type="expression" priority="3764" dxfId="6">
      <formula>Datos!C290="M3"</formula>
    </cfRule>
    <cfRule type="expression" priority="3765" dxfId="7">
      <formula>Datos!C290="M4"</formula>
    </cfRule>
    <cfRule type="expression" priority="3766" dxfId="8">
      <formula>Datos!C290="D1"</formula>
    </cfRule>
    <cfRule type="expression" priority="3767" dxfId="9">
      <formula>Datos!C290="D2"</formula>
    </cfRule>
    <cfRule type="expression" priority="3768" dxfId="10">
      <formula>Datos!C290="D3"</formula>
    </cfRule>
    <cfRule type="expression" priority="3769" dxfId="11">
      <formula>Datos!C290="D4"</formula>
    </cfRule>
    <cfRule type="expression" priority="3770" dxfId="12">
      <formula>Datos!C290="MIX"</formula>
    </cfRule>
  </conditionalFormatting>
  <conditionalFormatting sqref="G27">
    <cfRule type="expression" priority="3771" dxfId="0">
      <formula>Datos!C291="C1"</formula>
    </cfRule>
    <cfRule type="expression" priority="3772" dxfId="1">
      <formula>Datos!C291="C2"</formula>
    </cfRule>
    <cfRule type="expression" priority="3773" dxfId="2">
      <formula>Datos!C291="C3"</formula>
    </cfRule>
    <cfRule type="expression" priority="3774" dxfId="3">
      <formula>Datos!C291="C4"</formula>
    </cfRule>
    <cfRule type="expression" priority="3775" dxfId="4">
      <formula>Datos!C291="M1"</formula>
    </cfRule>
    <cfRule type="expression" priority="3776" dxfId="5">
      <formula>Datos!C291="M2"</formula>
    </cfRule>
    <cfRule type="expression" priority="3777" dxfId="6">
      <formula>Datos!C291="M3"</formula>
    </cfRule>
    <cfRule type="expression" priority="3778" dxfId="7">
      <formula>Datos!C291="M4"</formula>
    </cfRule>
    <cfRule type="expression" priority="3779" dxfId="8">
      <formula>Datos!C291="D1"</formula>
    </cfRule>
    <cfRule type="expression" priority="3780" dxfId="9">
      <formula>Datos!C291="D2"</formula>
    </cfRule>
    <cfRule type="expression" priority="3781" dxfId="10">
      <formula>Datos!C291="D3"</formula>
    </cfRule>
    <cfRule type="expression" priority="3782" dxfId="11">
      <formula>Datos!C291="D4"</formula>
    </cfRule>
    <cfRule type="expression" priority="3783" dxfId="12">
      <formula>Datos!C291="MIX"</formula>
    </cfRule>
  </conditionalFormatting>
  <conditionalFormatting sqref="H27">
    <cfRule type="expression" priority="3784" dxfId="0">
      <formula>Datos!C292="C1"</formula>
    </cfRule>
    <cfRule type="expression" priority="3785" dxfId="1">
      <formula>Datos!C292="C2"</formula>
    </cfRule>
    <cfRule type="expression" priority="3786" dxfId="2">
      <formula>Datos!C292="C3"</formula>
    </cfRule>
    <cfRule type="expression" priority="3787" dxfId="3">
      <formula>Datos!C292="C4"</formula>
    </cfRule>
    <cfRule type="expression" priority="3788" dxfId="4">
      <formula>Datos!C292="M1"</formula>
    </cfRule>
    <cfRule type="expression" priority="3789" dxfId="5">
      <formula>Datos!C292="M2"</formula>
    </cfRule>
    <cfRule type="expression" priority="3790" dxfId="6">
      <formula>Datos!C292="M3"</formula>
    </cfRule>
    <cfRule type="expression" priority="3791" dxfId="7">
      <formula>Datos!C292="M4"</formula>
    </cfRule>
    <cfRule type="expression" priority="3792" dxfId="8">
      <formula>Datos!C292="D1"</formula>
    </cfRule>
    <cfRule type="expression" priority="3793" dxfId="9">
      <formula>Datos!C292="D2"</formula>
    </cfRule>
    <cfRule type="expression" priority="3794" dxfId="10">
      <formula>Datos!C292="D3"</formula>
    </cfRule>
    <cfRule type="expression" priority="3795" dxfId="11">
      <formula>Datos!C292="D4"</formula>
    </cfRule>
    <cfRule type="expression" priority="3796" dxfId="12">
      <formula>Datos!C292="MIX"</formula>
    </cfRule>
  </conditionalFormatting>
  <conditionalFormatting sqref="I27">
    <cfRule type="expression" priority="3797" dxfId="0">
      <formula>Datos!C293="C1"</formula>
    </cfRule>
    <cfRule type="expression" priority="3798" dxfId="1">
      <formula>Datos!C293="C2"</formula>
    </cfRule>
    <cfRule type="expression" priority="3799" dxfId="2">
      <formula>Datos!C293="C3"</formula>
    </cfRule>
    <cfRule type="expression" priority="3800" dxfId="3">
      <formula>Datos!C293="C4"</formula>
    </cfRule>
    <cfRule type="expression" priority="3801" dxfId="4">
      <formula>Datos!C293="M1"</formula>
    </cfRule>
    <cfRule type="expression" priority="3802" dxfId="5">
      <formula>Datos!C293="M2"</formula>
    </cfRule>
    <cfRule type="expression" priority="3803" dxfId="6">
      <formula>Datos!C293="M3"</formula>
    </cfRule>
    <cfRule type="expression" priority="3804" dxfId="7">
      <formula>Datos!C293="M4"</formula>
    </cfRule>
    <cfRule type="expression" priority="3805" dxfId="8">
      <formula>Datos!C293="D1"</formula>
    </cfRule>
    <cfRule type="expression" priority="3806" dxfId="9">
      <formula>Datos!C293="D2"</formula>
    </cfRule>
    <cfRule type="expression" priority="3807" dxfId="10">
      <formula>Datos!C293="D3"</formula>
    </cfRule>
    <cfRule type="expression" priority="3808" dxfId="11">
      <formula>Datos!C293="D4"</formula>
    </cfRule>
    <cfRule type="expression" priority="3809" dxfId="12">
      <formula>Datos!C293="MIX"</formula>
    </cfRule>
  </conditionalFormatting>
  <conditionalFormatting sqref="J27">
    <cfRule type="expression" priority="3810" dxfId="0">
      <formula>Datos!C294="C1"</formula>
    </cfRule>
    <cfRule type="expression" priority="3811" dxfId="1">
      <formula>Datos!C294="C2"</formula>
    </cfRule>
    <cfRule type="expression" priority="3812" dxfId="2">
      <formula>Datos!C294="C3"</formula>
    </cfRule>
    <cfRule type="expression" priority="3813" dxfId="3">
      <formula>Datos!C294="C4"</formula>
    </cfRule>
    <cfRule type="expression" priority="3814" dxfId="4">
      <formula>Datos!C294="M1"</formula>
    </cfRule>
    <cfRule type="expression" priority="3815" dxfId="5">
      <formula>Datos!C294="M2"</formula>
    </cfRule>
    <cfRule type="expression" priority="3816" dxfId="6">
      <formula>Datos!C294="M3"</formula>
    </cfRule>
    <cfRule type="expression" priority="3817" dxfId="7">
      <formula>Datos!C294="M4"</formula>
    </cfRule>
    <cfRule type="expression" priority="3818" dxfId="8">
      <formula>Datos!C294="D1"</formula>
    </cfRule>
    <cfRule type="expression" priority="3819" dxfId="9">
      <formula>Datos!C294="D2"</formula>
    </cfRule>
    <cfRule type="expression" priority="3820" dxfId="10">
      <formula>Datos!C294="D3"</formula>
    </cfRule>
    <cfRule type="expression" priority="3821" dxfId="11">
      <formula>Datos!C294="D4"</formula>
    </cfRule>
    <cfRule type="expression" priority="3822" dxfId="12">
      <formula>Datos!C294="MIX"</formula>
    </cfRule>
  </conditionalFormatting>
  <conditionalFormatting sqref="K27">
    <cfRule type="expression" priority="3823" dxfId="0">
      <formula>Datos!C295="C1"</formula>
    </cfRule>
    <cfRule type="expression" priority="3824" dxfId="1">
      <formula>Datos!C295="C2"</formula>
    </cfRule>
    <cfRule type="expression" priority="3825" dxfId="2">
      <formula>Datos!C295="C3"</formula>
    </cfRule>
    <cfRule type="expression" priority="3826" dxfId="3">
      <formula>Datos!C295="C4"</formula>
    </cfRule>
    <cfRule type="expression" priority="3827" dxfId="4">
      <formula>Datos!C295="M1"</formula>
    </cfRule>
    <cfRule type="expression" priority="3828" dxfId="5">
      <formula>Datos!C295="M2"</formula>
    </cfRule>
    <cfRule type="expression" priority="3829" dxfId="6">
      <formula>Datos!C295="M3"</formula>
    </cfRule>
    <cfRule type="expression" priority="3830" dxfId="7">
      <formula>Datos!C295="M4"</formula>
    </cfRule>
    <cfRule type="expression" priority="3831" dxfId="8">
      <formula>Datos!C295="D1"</formula>
    </cfRule>
    <cfRule type="expression" priority="3832" dxfId="9">
      <formula>Datos!C295="D2"</formula>
    </cfRule>
    <cfRule type="expression" priority="3833" dxfId="10">
      <formula>Datos!C295="D3"</formula>
    </cfRule>
    <cfRule type="expression" priority="3834" dxfId="11">
      <formula>Datos!C295="D4"</formula>
    </cfRule>
    <cfRule type="expression" priority="3835" dxfId="12">
      <formula>Datos!C295="MIX"</formula>
    </cfRule>
  </conditionalFormatting>
  <conditionalFormatting sqref="L27">
    <cfRule type="expression" priority="3836" dxfId="0">
      <formula>Datos!C296="C1"</formula>
    </cfRule>
    <cfRule type="expression" priority="3837" dxfId="1">
      <formula>Datos!C296="C2"</formula>
    </cfRule>
    <cfRule type="expression" priority="3838" dxfId="2">
      <formula>Datos!C296="C3"</formula>
    </cfRule>
    <cfRule type="expression" priority="3839" dxfId="3">
      <formula>Datos!C296="C4"</formula>
    </cfRule>
    <cfRule type="expression" priority="3840" dxfId="4">
      <formula>Datos!C296="M1"</formula>
    </cfRule>
    <cfRule type="expression" priority="3841" dxfId="5">
      <formula>Datos!C296="M2"</formula>
    </cfRule>
    <cfRule type="expression" priority="3842" dxfId="6">
      <formula>Datos!C296="M3"</formula>
    </cfRule>
    <cfRule type="expression" priority="3843" dxfId="7">
      <formula>Datos!C296="M4"</formula>
    </cfRule>
    <cfRule type="expression" priority="3844" dxfId="8">
      <formula>Datos!C296="D1"</formula>
    </cfRule>
    <cfRule type="expression" priority="3845" dxfId="9">
      <formula>Datos!C296="D2"</formula>
    </cfRule>
    <cfRule type="expression" priority="3846" dxfId="10">
      <formula>Datos!C296="D3"</formula>
    </cfRule>
    <cfRule type="expression" priority="3847" dxfId="11">
      <formula>Datos!C296="D4"</formula>
    </cfRule>
    <cfRule type="expression" priority="3848" dxfId="12">
      <formula>Datos!C296="MIX"</formula>
    </cfRule>
  </conditionalFormatting>
  <conditionalFormatting sqref="M27">
    <cfRule type="expression" priority="3849" dxfId="0">
      <formula>Datos!C297="C1"</formula>
    </cfRule>
    <cfRule type="expression" priority="3850" dxfId="1">
      <formula>Datos!C297="C2"</formula>
    </cfRule>
    <cfRule type="expression" priority="3851" dxfId="2">
      <formula>Datos!C297="C3"</formula>
    </cfRule>
    <cfRule type="expression" priority="3852" dxfId="3">
      <formula>Datos!C297="C4"</formula>
    </cfRule>
    <cfRule type="expression" priority="3853" dxfId="4">
      <formula>Datos!C297="M1"</formula>
    </cfRule>
    <cfRule type="expression" priority="3854" dxfId="5">
      <formula>Datos!C297="M2"</formula>
    </cfRule>
    <cfRule type="expression" priority="3855" dxfId="6">
      <formula>Datos!C297="M3"</formula>
    </cfRule>
    <cfRule type="expression" priority="3856" dxfId="7">
      <formula>Datos!C297="M4"</formula>
    </cfRule>
    <cfRule type="expression" priority="3857" dxfId="8">
      <formula>Datos!C297="D1"</formula>
    </cfRule>
    <cfRule type="expression" priority="3858" dxfId="9">
      <formula>Datos!C297="D2"</formula>
    </cfRule>
    <cfRule type="expression" priority="3859" dxfId="10">
      <formula>Datos!C297="D3"</formula>
    </cfRule>
    <cfRule type="expression" priority="3860" dxfId="11">
      <formula>Datos!C297="D4"</formula>
    </cfRule>
    <cfRule type="expression" priority="3861" dxfId="12">
      <formula>Datos!C297="MIX"</formula>
    </cfRule>
  </conditionalFormatting>
  <conditionalFormatting sqref="N27">
    <cfRule type="expression" priority="3862" dxfId="0">
      <formula>Datos!C298="C1"</formula>
    </cfRule>
    <cfRule type="expression" priority="3863" dxfId="1">
      <formula>Datos!C298="C2"</formula>
    </cfRule>
    <cfRule type="expression" priority="3864" dxfId="2">
      <formula>Datos!C298="C3"</formula>
    </cfRule>
    <cfRule type="expression" priority="3865" dxfId="3">
      <formula>Datos!C298="C4"</formula>
    </cfRule>
    <cfRule type="expression" priority="3866" dxfId="4">
      <formula>Datos!C298="M1"</formula>
    </cfRule>
    <cfRule type="expression" priority="3867" dxfId="5">
      <formula>Datos!C298="M2"</formula>
    </cfRule>
    <cfRule type="expression" priority="3868" dxfId="6">
      <formula>Datos!C298="M3"</formula>
    </cfRule>
    <cfRule type="expression" priority="3869" dxfId="7">
      <formula>Datos!C298="M4"</formula>
    </cfRule>
    <cfRule type="expression" priority="3870" dxfId="8">
      <formula>Datos!C298="D1"</formula>
    </cfRule>
    <cfRule type="expression" priority="3871" dxfId="9">
      <formula>Datos!C298="D2"</formula>
    </cfRule>
    <cfRule type="expression" priority="3872" dxfId="10">
      <formula>Datos!C298="D3"</formula>
    </cfRule>
    <cfRule type="expression" priority="3873" dxfId="11">
      <formula>Datos!C298="D4"</formula>
    </cfRule>
    <cfRule type="expression" priority="3874" dxfId="12">
      <formula>Datos!C298="MIX"</formula>
    </cfRule>
  </conditionalFormatting>
  <conditionalFormatting sqref="O27">
    <cfRule type="expression" priority="3875" dxfId="0">
      <formula>Datos!C299="C1"</formula>
    </cfRule>
    <cfRule type="expression" priority="3876" dxfId="1">
      <formula>Datos!C299="C2"</formula>
    </cfRule>
    <cfRule type="expression" priority="3877" dxfId="2">
      <formula>Datos!C299="C3"</formula>
    </cfRule>
    <cfRule type="expression" priority="3878" dxfId="3">
      <formula>Datos!C299="C4"</formula>
    </cfRule>
    <cfRule type="expression" priority="3879" dxfId="4">
      <formula>Datos!C299="M1"</formula>
    </cfRule>
    <cfRule type="expression" priority="3880" dxfId="5">
      <formula>Datos!C299="M2"</formula>
    </cfRule>
    <cfRule type="expression" priority="3881" dxfId="6">
      <formula>Datos!C299="M3"</formula>
    </cfRule>
    <cfRule type="expression" priority="3882" dxfId="7">
      <formula>Datos!C299="M4"</formula>
    </cfRule>
    <cfRule type="expression" priority="3883" dxfId="8">
      <formula>Datos!C299="D1"</formula>
    </cfRule>
    <cfRule type="expression" priority="3884" dxfId="9">
      <formula>Datos!C299="D2"</formula>
    </cfRule>
    <cfRule type="expression" priority="3885" dxfId="10">
      <formula>Datos!C299="D3"</formula>
    </cfRule>
    <cfRule type="expression" priority="3886" dxfId="11">
      <formula>Datos!C299="D4"</formula>
    </cfRule>
    <cfRule type="expression" priority="3887" dxfId="12">
      <formula>Datos!C299="MIX"</formula>
    </cfRule>
  </conditionalFormatting>
  <conditionalFormatting sqref="P27">
    <cfRule type="expression" priority="3888" dxfId="0">
      <formula>Datos!C300="C1"</formula>
    </cfRule>
    <cfRule type="expression" priority="3889" dxfId="1">
      <formula>Datos!C300="C2"</formula>
    </cfRule>
    <cfRule type="expression" priority="3890" dxfId="2">
      <formula>Datos!C300="C3"</formula>
    </cfRule>
    <cfRule type="expression" priority="3891" dxfId="3">
      <formula>Datos!C300="C4"</formula>
    </cfRule>
    <cfRule type="expression" priority="3892" dxfId="4">
      <formula>Datos!C300="M1"</formula>
    </cfRule>
    <cfRule type="expression" priority="3893" dxfId="5">
      <formula>Datos!C300="M2"</formula>
    </cfRule>
    <cfRule type="expression" priority="3894" dxfId="6">
      <formula>Datos!C300="M3"</formula>
    </cfRule>
    <cfRule type="expression" priority="3895" dxfId="7">
      <formula>Datos!C300="M4"</formula>
    </cfRule>
    <cfRule type="expression" priority="3896" dxfId="8">
      <formula>Datos!C300="D1"</formula>
    </cfRule>
    <cfRule type="expression" priority="3897" dxfId="9">
      <formula>Datos!C300="D2"</formula>
    </cfRule>
    <cfRule type="expression" priority="3898" dxfId="10">
      <formula>Datos!C300="D3"</formula>
    </cfRule>
    <cfRule type="expression" priority="3899" dxfId="11">
      <formula>Datos!C300="D4"</formula>
    </cfRule>
    <cfRule type="expression" priority="3900" dxfId="12">
      <formula>Datos!C300="MIX"</formula>
    </cfRule>
  </conditionalFormatting>
  <conditionalFormatting sqref="B28">
    <cfRule type="expression" priority="3901" dxfId="0">
      <formula>Datos!C301="C1"</formula>
    </cfRule>
    <cfRule type="expression" priority="3902" dxfId="1">
      <formula>Datos!C301="C2"</formula>
    </cfRule>
    <cfRule type="expression" priority="3903" dxfId="2">
      <formula>Datos!C301="C3"</formula>
    </cfRule>
    <cfRule type="expression" priority="3904" dxfId="3">
      <formula>Datos!C301="C4"</formula>
    </cfRule>
    <cfRule type="expression" priority="3905" dxfId="4">
      <formula>Datos!C301="M1"</formula>
    </cfRule>
    <cfRule type="expression" priority="3906" dxfId="5">
      <formula>Datos!C301="M2"</formula>
    </cfRule>
    <cfRule type="expression" priority="3907" dxfId="6">
      <formula>Datos!C301="M3"</formula>
    </cfRule>
    <cfRule type="expression" priority="3908" dxfId="7">
      <formula>Datos!C301="M4"</formula>
    </cfRule>
    <cfRule type="expression" priority="3909" dxfId="8">
      <formula>Datos!C301="D1"</formula>
    </cfRule>
    <cfRule type="expression" priority="3910" dxfId="9">
      <formula>Datos!C301="D2"</formula>
    </cfRule>
    <cfRule type="expression" priority="3911" dxfId="10">
      <formula>Datos!C301="D3"</formula>
    </cfRule>
    <cfRule type="expression" priority="3912" dxfId="11">
      <formula>Datos!C301="D4"</formula>
    </cfRule>
    <cfRule type="expression" priority="3913" dxfId="12">
      <formula>Datos!C301="MIX"</formula>
    </cfRule>
  </conditionalFormatting>
  <conditionalFormatting sqref="C28">
    <cfRule type="expression" priority="3914" dxfId="0">
      <formula>Datos!C302="C1"</formula>
    </cfRule>
    <cfRule type="expression" priority="3915" dxfId="1">
      <formula>Datos!C302="C2"</formula>
    </cfRule>
    <cfRule type="expression" priority="3916" dxfId="2">
      <formula>Datos!C302="C3"</formula>
    </cfRule>
    <cfRule type="expression" priority="3917" dxfId="3">
      <formula>Datos!C302="C4"</formula>
    </cfRule>
    <cfRule type="expression" priority="3918" dxfId="4">
      <formula>Datos!C302="M1"</formula>
    </cfRule>
    <cfRule type="expression" priority="3919" dxfId="5">
      <formula>Datos!C302="M2"</formula>
    </cfRule>
    <cfRule type="expression" priority="3920" dxfId="6">
      <formula>Datos!C302="M3"</formula>
    </cfRule>
    <cfRule type="expression" priority="3921" dxfId="7">
      <formula>Datos!C302="M4"</formula>
    </cfRule>
    <cfRule type="expression" priority="3922" dxfId="8">
      <formula>Datos!C302="D1"</formula>
    </cfRule>
    <cfRule type="expression" priority="3923" dxfId="9">
      <formula>Datos!C302="D2"</formula>
    </cfRule>
    <cfRule type="expression" priority="3924" dxfId="10">
      <formula>Datos!C302="D3"</formula>
    </cfRule>
    <cfRule type="expression" priority="3925" dxfId="11">
      <formula>Datos!C302="D4"</formula>
    </cfRule>
    <cfRule type="expression" priority="3926" dxfId="12">
      <formula>Datos!C302="MIX"</formula>
    </cfRule>
  </conditionalFormatting>
  <conditionalFormatting sqref="D28">
    <cfRule type="expression" priority="3927" dxfId="0">
      <formula>Datos!C303="C1"</formula>
    </cfRule>
    <cfRule type="expression" priority="3928" dxfId="1">
      <formula>Datos!C303="C2"</formula>
    </cfRule>
    <cfRule type="expression" priority="3929" dxfId="2">
      <formula>Datos!C303="C3"</formula>
    </cfRule>
    <cfRule type="expression" priority="3930" dxfId="3">
      <formula>Datos!C303="C4"</formula>
    </cfRule>
    <cfRule type="expression" priority="3931" dxfId="4">
      <formula>Datos!C303="M1"</formula>
    </cfRule>
    <cfRule type="expression" priority="3932" dxfId="5">
      <formula>Datos!C303="M2"</formula>
    </cfRule>
    <cfRule type="expression" priority="3933" dxfId="6">
      <formula>Datos!C303="M3"</formula>
    </cfRule>
    <cfRule type="expression" priority="3934" dxfId="7">
      <formula>Datos!C303="M4"</formula>
    </cfRule>
    <cfRule type="expression" priority="3935" dxfId="8">
      <formula>Datos!C303="D1"</formula>
    </cfRule>
    <cfRule type="expression" priority="3936" dxfId="9">
      <formula>Datos!C303="D2"</formula>
    </cfRule>
    <cfRule type="expression" priority="3937" dxfId="10">
      <formula>Datos!C303="D3"</formula>
    </cfRule>
    <cfRule type="expression" priority="3938" dxfId="11">
      <formula>Datos!C303="D4"</formula>
    </cfRule>
    <cfRule type="expression" priority="3939" dxfId="12">
      <formula>Datos!C303="MIX"</formula>
    </cfRule>
  </conditionalFormatting>
  <conditionalFormatting sqref="E28">
    <cfRule type="expression" priority="3940" dxfId="0">
      <formula>Datos!C304="C1"</formula>
    </cfRule>
    <cfRule type="expression" priority="3941" dxfId="1">
      <formula>Datos!C304="C2"</formula>
    </cfRule>
    <cfRule type="expression" priority="3942" dxfId="2">
      <formula>Datos!C304="C3"</formula>
    </cfRule>
    <cfRule type="expression" priority="3943" dxfId="3">
      <formula>Datos!C304="C4"</formula>
    </cfRule>
    <cfRule type="expression" priority="3944" dxfId="4">
      <formula>Datos!C304="M1"</formula>
    </cfRule>
    <cfRule type="expression" priority="3945" dxfId="5">
      <formula>Datos!C304="M2"</formula>
    </cfRule>
    <cfRule type="expression" priority="3946" dxfId="6">
      <formula>Datos!C304="M3"</formula>
    </cfRule>
    <cfRule type="expression" priority="3947" dxfId="7">
      <formula>Datos!C304="M4"</formula>
    </cfRule>
    <cfRule type="expression" priority="3948" dxfId="8">
      <formula>Datos!C304="D1"</formula>
    </cfRule>
    <cfRule type="expression" priority="3949" dxfId="9">
      <formula>Datos!C304="D2"</formula>
    </cfRule>
    <cfRule type="expression" priority="3950" dxfId="10">
      <formula>Datos!C304="D3"</formula>
    </cfRule>
    <cfRule type="expression" priority="3951" dxfId="11">
      <formula>Datos!C304="D4"</formula>
    </cfRule>
    <cfRule type="expression" priority="3952" dxfId="12">
      <formula>Datos!C304="MIX"</formula>
    </cfRule>
  </conditionalFormatting>
  <conditionalFormatting sqref="F28">
    <cfRule type="expression" priority="3953" dxfId="0">
      <formula>Datos!C305="C1"</formula>
    </cfRule>
    <cfRule type="expression" priority="3954" dxfId="1">
      <formula>Datos!C305="C2"</formula>
    </cfRule>
    <cfRule type="expression" priority="3955" dxfId="2">
      <formula>Datos!C305="C3"</formula>
    </cfRule>
    <cfRule type="expression" priority="3956" dxfId="3">
      <formula>Datos!C305="C4"</formula>
    </cfRule>
    <cfRule type="expression" priority="3957" dxfId="4">
      <formula>Datos!C305="M1"</formula>
    </cfRule>
    <cfRule type="expression" priority="3958" dxfId="5">
      <formula>Datos!C305="M2"</formula>
    </cfRule>
    <cfRule type="expression" priority="3959" dxfId="6">
      <formula>Datos!C305="M3"</formula>
    </cfRule>
    <cfRule type="expression" priority="3960" dxfId="7">
      <formula>Datos!C305="M4"</formula>
    </cfRule>
    <cfRule type="expression" priority="3961" dxfId="8">
      <formula>Datos!C305="D1"</formula>
    </cfRule>
    <cfRule type="expression" priority="3962" dxfId="9">
      <formula>Datos!C305="D2"</formula>
    </cfRule>
    <cfRule type="expression" priority="3963" dxfId="10">
      <formula>Datos!C305="D3"</formula>
    </cfRule>
    <cfRule type="expression" priority="3964" dxfId="11">
      <formula>Datos!C305="D4"</formula>
    </cfRule>
    <cfRule type="expression" priority="3965" dxfId="12">
      <formula>Datos!C305="MIX"</formula>
    </cfRule>
  </conditionalFormatting>
  <conditionalFormatting sqref="G28">
    <cfRule type="expression" priority="3966" dxfId="0">
      <formula>Datos!C306="C1"</formula>
    </cfRule>
    <cfRule type="expression" priority="3967" dxfId="1">
      <formula>Datos!C306="C2"</formula>
    </cfRule>
    <cfRule type="expression" priority="3968" dxfId="2">
      <formula>Datos!C306="C3"</formula>
    </cfRule>
    <cfRule type="expression" priority="3969" dxfId="3">
      <formula>Datos!C306="C4"</formula>
    </cfRule>
    <cfRule type="expression" priority="3970" dxfId="4">
      <formula>Datos!C306="M1"</formula>
    </cfRule>
    <cfRule type="expression" priority="3971" dxfId="5">
      <formula>Datos!C306="M2"</formula>
    </cfRule>
    <cfRule type="expression" priority="3972" dxfId="6">
      <formula>Datos!C306="M3"</formula>
    </cfRule>
    <cfRule type="expression" priority="3973" dxfId="7">
      <formula>Datos!C306="M4"</formula>
    </cfRule>
    <cfRule type="expression" priority="3974" dxfId="8">
      <formula>Datos!C306="D1"</formula>
    </cfRule>
    <cfRule type="expression" priority="3975" dxfId="9">
      <formula>Datos!C306="D2"</formula>
    </cfRule>
    <cfRule type="expression" priority="3976" dxfId="10">
      <formula>Datos!C306="D3"</formula>
    </cfRule>
    <cfRule type="expression" priority="3977" dxfId="11">
      <formula>Datos!C306="D4"</formula>
    </cfRule>
    <cfRule type="expression" priority="3978" dxfId="12">
      <formula>Datos!C306="MIX"</formula>
    </cfRule>
  </conditionalFormatting>
  <conditionalFormatting sqref="H28">
    <cfRule type="expression" priority="3979" dxfId="0">
      <formula>Datos!C307="C1"</formula>
    </cfRule>
    <cfRule type="expression" priority="3980" dxfId="1">
      <formula>Datos!C307="C2"</formula>
    </cfRule>
    <cfRule type="expression" priority="3981" dxfId="2">
      <formula>Datos!C307="C3"</formula>
    </cfRule>
    <cfRule type="expression" priority="3982" dxfId="3">
      <formula>Datos!C307="C4"</formula>
    </cfRule>
    <cfRule type="expression" priority="3983" dxfId="4">
      <formula>Datos!C307="M1"</formula>
    </cfRule>
    <cfRule type="expression" priority="3984" dxfId="5">
      <formula>Datos!C307="M2"</formula>
    </cfRule>
    <cfRule type="expression" priority="3985" dxfId="6">
      <formula>Datos!C307="M3"</formula>
    </cfRule>
    <cfRule type="expression" priority="3986" dxfId="7">
      <formula>Datos!C307="M4"</formula>
    </cfRule>
    <cfRule type="expression" priority="3987" dxfId="8">
      <formula>Datos!C307="D1"</formula>
    </cfRule>
    <cfRule type="expression" priority="3988" dxfId="9">
      <formula>Datos!C307="D2"</formula>
    </cfRule>
    <cfRule type="expression" priority="3989" dxfId="10">
      <formula>Datos!C307="D3"</formula>
    </cfRule>
    <cfRule type="expression" priority="3990" dxfId="11">
      <formula>Datos!C307="D4"</formula>
    </cfRule>
    <cfRule type="expression" priority="3991" dxfId="12">
      <formula>Datos!C307="MIX"</formula>
    </cfRule>
  </conditionalFormatting>
  <conditionalFormatting sqref="I28">
    <cfRule type="expression" priority="3992" dxfId="0">
      <formula>Datos!C308="C1"</formula>
    </cfRule>
    <cfRule type="expression" priority="3993" dxfId="1">
      <formula>Datos!C308="C2"</formula>
    </cfRule>
    <cfRule type="expression" priority="3994" dxfId="2">
      <formula>Datos!C308="C3"</formula>
    </cfRule>
    <cfRule type="expression" priority="3995" dxfId="3">
      <formula>Datos!C308="C4"</formula>
    </cfRule>
    <cfRule type="expression" priority="3996" dxfId="4">
      <formula>Datos!C308="M1"</formula>
    </cfRule>
    <cfRule type="expression" priority="3997" dxfId="5">
      <formula>Datos!C308="M2"</formula>
    </cfRule>
    <cfRule type="expression" priority="3998" dxfId="6">
      <formula>Datos!C308="M3"</formula>
    </cfRule>
    <cfRule type="expression" priority="3999" dxfId="7">
      <formula>Datos!C308="M4"</formula>
    </cfRule>
    <cfRule type="expression" priority="4000" dxfId="8">
      <formula>Datos!C308="D1"</formula>
    </cfRule>
    <cfRule type="expression" priority="4001" dxfId="9">
      <formula>Datos!C308="D2"</formula>
    </cfRule>
    <cfRule type="expression" priority="4002" dxfId="10">
      <formula>Datos!C308="D3"</formula>
    </cfRule>
    <cfRule type="expression" priority="4003" dxfId="11">
      <formula>Datos!C308="D4"</formula>
    </cfRule>
    <cfRule type="expression" priority="4004" dxfId="12">
      <formula>Datos!C308="MIX"</formula>
    </cfRule>
  </conditionalFormatting>
  <conditionalFormatting sqref="J28">
    <cfRule type="expression" priority="4005" dxfId="0">
      <formula>Datos!C309="C1"</formula>
    </cfRule>
    <cfRule type="expression" priority="4006" dxfId="1">
      <formula>Datos!C309="C2"</formula>
    </cfRule>
    <cfRule type="expression" priority="4007" dxfId="2">
      <formula>Datos!C309="C3"</formula>
    </cfRule>
    <cfRule type="expression" priority="4008" dxfId="3">
      <formula>Datos!C309="C4"</formula>
    </cfRule>
    <cfRule type="expression" priority="4009" dxfId="4">
      <formula>Datos!C309="M1"</formula>
    </cfRule>
    <cfRule type="expression" priority="4010" dxfId="5">
      <formula>Datos!C309="M2"</formula>
    </cfRule>
    <cfRule type="expression" priority="4011" dxfId="6">
      <formula>Datos!C309="M3"</formula>
    </cfRule>
    <cfRule type="expression" priority="4012" dxfId="7">
      <formula>Datos!C309="M4"</formula>
    </cfRule>
    <cfRule type="expression" priority="4013" dxfId="8">
      <formula>Datos!C309="D1"</formula>
    </cfRule>
    <cfRule type="expression" priority="4014" dxfId="9">
      <formula>Datos!C309="D2"</formula>
    </cfRule>
    <cfRule type="expression" priority="4015" dxfId="10">
      <formula>Datos!C309="D3"</formula>
    </cfRule>
    <cfRule type="expression" priority="4016" dxfId="11">
      <formula>Datos!C309="D4"</formula>
    </cfRule>
    <cfRule type="expression" priority="4017" dxfId="12">
      <formula>Datos!C309="MIX"</formula>
    </cfRule>
  </conditionalFormatting>
  <conditionalFormatting sqref="K28">
    <cfRule type="expression" priority="4018" dxfId="0">
      <formula>Datos!C310="C1"</formula>
    </cfRule>
    <cfRule type="expression" priority="4019" dxfId="1">
      <formula>Datos!C310="C2"</formula>
    </cfRule>
    <cfRule type="expression" priority="4020" dxfId="2">
      <formula>Datos!C310="C3"</formula>
    </cfRule>
    <cfRule type="expression" priority="4021" dxfId="3">
      <formula>Datos!C310="C4"</formula>
    </cfRule>
    <cfRule type="expression" priority="4022" dxfId="4">
      <formula>Datos!C310="M1"</formula>
    </cfRule>
    <cfRule type="expression" priority="4023" dxfId="5">
      <formula>Datos!C310="M2"</formula>
    </cfRule>
    <cfRule type="expression" priority="4024" dxfId="6">
      <formula>Datos!C310="M3"</formula>
    </cfRule>
    <cfRule type="expression" priority="4025" dxfId="7">
      <formula>Datos!C310="M4"</formula>
    </cfRule>
    <cfRule type="expression" priority="4026" dxfId="8">
      <formula>Datos!C310="D1"</formula>
    </cfRule>
    <cfRule type="expression" priority="4027" dxfId="9">
      <formula>Datos!C310="D2"</formula>
    </cfRule>
    <cfRule type="expression" priority="4028" dxfId="10">
      <formula>Datos!C310="D3"</formula>
    </cfRule>
    <cfRule type="expression" priority="4029" dxfId="11">
      <formula>Datos!C310="D4"</formula>
    </cfRule>
    <cfRule type="expression" priority="4030" dxfId="12">
      <formula>Datos!C310="MIX"</formula>
    </cfRule>
  </conditionalFormatting>
  <conditionalFormatting sqref="L28">
    <cfRule type="expression" priority="4031" dxfId="0">
      <formula>Datos!C311="C1"</formula>
    </cfRule>
    <cfRule type="expression" priority="4032" dxfId="1">
      <formula>Datos!C311="C2"</formula>
    </cfRule>
    <cfRule type="expression" priority="4033" dxfId="2">
      <formula>Datos!C311="C3"</formula>
    </cfRule>
    <cfRule type="expression" priority="4034" dxfId="3">
      <formula>Datos!C311="C4"</formula>
    </cfRule>
    <cfRule type="expression" priority="4035" dxfId="4">
      <formula>Datos!C311="M1"</formula>
    </cfRule>
    <cfRule type="expression" priority="4036" dxfId="5">
      <formula>Datos!C311="M2"</formula>
    </cfRule>
    <cfRule type="expression" priority="4037" dxfId="6">
      <formula>Datos!C311="M3"</formula>
    </cfRule>
    <cfRule type="expression" priority="4038" dxfId="7">
      <formula>Datos!C311="M4"</formula>
    </cfRule>
    <cfRule type="expression" priority="4039" dxfId="8">
      <formula>Datos!C311="D1"</formula>
    </cfRule>
    <cfRule type="expression" priority="4040" dxfId="9">
      <formula>Datos!C311="D2"</formula>
    </cfRule>
    <cfRule type="expression" priority="4041" dxfId="10">
      <formula>Datos!C311="D3"</formula>
    </cfRule>
    <cfRule type="expression" priority="4042" dxfId="11">
      <formula>Datos!C311="D4"</formula>
    </cfRule>
    <cfRule type="expression" priority="4043" dxfId="12">
      <formula>Datos!C311="MIX"</formula>
    </cfRule>
  </conditionalFormatting>
  <conditionalFormatting sqref="M28">
    <cfRule type="expression" priority="4044" dxfId="0">
      <formula>Datos!C312="C1"</formula>
    </cfRule>
    <cfRule type="expression" priority="4045" dxfId="1">
      <formula>Datos!C312="C2"</formula>
    </cfRule>
    <cfRule type="expression" priority="4046" dxfId="2">
      <formula>Datos!C312="C3"</formula>
    </cfRule>
    <cfRule type="expression" priority="4047" dxfId="3">
      <formula>Datos!C312="C4"</formula>
    </cfRule>
    <cfRule type="expression" priority="4048" dxfId="4">
      <formula>Datos!C312="M1"</formula>
    </cfRule>
    <cfRule type="expression" priority="4049" dxfId="5">
      <formula>Datos!C312="M2"</formula>
    </cfRule>
    <cfRule type="expression" priority="4050" dxfId="6">
      <formula>Datos!C312="M3"</formula>
    </cfRule>
    <cfRule type="expression" priority="4051" dxfId="7">
      <formula>Datos!C312="M4"</formula>
    </cfRule>
    <cfRule type="expression" priority="4052" dxfId="8">
      <formula>Datos!C312="D1"</formula>
    </cfRule>
    <cfRule type="expression" priority="4053" dxfId="9">
      <formula>Datos!C312="D2"</formula>
    </cfRule>
    <cfRule type="expression" priority="4054" dxfId="10">
      <formula>Datos!C312="D3"</formula>
    </cfRule>
    <cfRule type="expression" priority="4055" dxfId="11">
      <formula>Datos!C312="D4"</formula>
    </cfRule>
    <cfRule type="expression" priority="4056" dxfId="12">
      <formula>Datos!C312="MIX"</formula>
    </cfRule>
  </conditionalFormatting>
  <conditionalFormatting sqref="N28">
    <cfRule type="expression" priority="4057" dxfId="0">
      <formula>Datos!C313="C1"</formula>
    </cfRule>
    <cfRule type="expression" priority="4058" dxfId="1">
      <formula>Datos!C313="C2"</formula>
    </cfRule>
    <cfRule type="expression" priority="4059" dxfId="2">
      <formula>Datos!C313="C3"</formula>
    </cfRule>
    <cfRule type="expression" priority="4060" dxfId="3">
      <formula>Datos!C313="C4"</formula>
    </cfRule>
    <cfRule type="expression" priority="4061" dxfId="4">
      <formula>Datos!C313="M1"</formula>
    </cfRule>
    <cfRule type="expression" priority="4062" dxfId="5">
      <formula>Datos!C313="M2"</formula>
    </cfRule>
    <cfRule type="expression" priority="4063" dxfId="6">
      <formula>Datos!C313="M3"</formula>
    </cfRule>
    <cfRule type="expression" priority="4064" dxfId="7">
      <formula>Datos!C313="M4"</formula>
    </cfRule>
    <cfRule type="expression" priority="4065" dxfId="8">
      <formula>Datos!C313="D1"</formula>
    </cfRule>
    <cfRule type="expression" priority="4066" dxfId="9">
      <formula>Datos!C313="D2"</formula>
    </cfRule>
    <cfRule type="expression" priority="4067" dxfId="10">
      <formula>Datos!C313="D3"</formula>
    </cfRule>
    <cfRule type="expression" priority="4068" dxfId="11">
      <formula>Datos!C313="D4"</formula>
    </cfRule>
    <cfRule type="expression" priority="4069" dxfId="12">
      <formula>Datos!C313="MIX"</formula>
    </cfRule>
  </conditionalFormatting>
  <conditionalFormatting sqref="O28">
    <cfRule type="expression" priority="4070" dxfId="0">
      <formula>Datos!C314="C1"</formula>
    </cfRule>
    <cfRule type="expression" priority="4071" dxfId="1">
      <formula>Datos!C314="C2"</formula>
    </cfRule>
    <cfRule type="expression" priority="4072" dxfId="2">
      <formula>Datos!C314="C3"</formula>
    </cfRule>
    <cfRule type="expression" priority="4073" dxfId="3">
      <formula>Datos!C314="C4"</formula>
    </cfRule>
    <cfRule type="expression" priority="4074" dxfId="4">
      <formula>Datos!C314="M1"</formula>
    </cfRule>
    <cfRule type="expression" priority="4075" dxfId="5">
      <formula>Datos!C314="M2"</formula>
    </cfRule>
    <cfRule type="expression" priority="4076" dxfId="6">
      <formula>Datos!C314="M3"</formula>
    </cfRule>
    <cfRule type="expression" priority="4077" dxfId="7">
      <formula>Datos!C314="M4"</formula>
    </cfRule>
    <cfRule type="expression" priority="4078" dxfId="8">
      <formula>Datos!C314="D1"</formula>
    </cfRule>
    <cfRule type="expression" priority="4079" dxfId="9">
      <formula>Datos!C314="D2"</formula>
    </cfRule>
    <cfRule type="expression" priority="4080" dxfId="10">
      <formula>Datos!C314="D3"</formula>
    </cfRule>
    <cfRule type="expression" priority="4081" dxfId="11">
      <formula>Datos!C314="D4"</formula>
    </cfRule>
    <cfRule type="expression" priority="4082" dxfId="12">
      <formula>Datos!C314="MIX"</formula>
    </cfRule>
  </conditionalFormatting>
  <conditionalFormatting sqref="P28">
    <cfRule type="expression" priority="4083" dxfId="0">
      <formula>Datos!C315="C1"</formula>
    </cfRule>
    <cfRule type="expression" priority="4084" dxfId="1">
      <formula>Datos!C315="C2"</formula>
    </cfRule>
    <cfRule type="expression" priority="4085" dxfId="2">
      <formula>Datos!C315="C3"</formula>
    </cfRule>
    <cfRule type="expression" priority="4086" dxfId="3">
      <formula>Datos!C315="C4"</formula>
    </cfRule>
    <cfRule type="expression" priority="4087" dxfId="4">
      <formula>Datos!C315="M1"</formula>
    </cfRule>
    <cfRule type="expression" priority="4088" dxfId="5">
      <formula>Datos!C315="M2"</formula>
    </cfRule>
    <cfRule type="expression" priority="4089" dxfId="6">
      <formula>Datos!C315="M3"</formula>
    </cfRule>
    <cfRule type="expression" priority="4090" dxfId="7">
      <formula>Datos!C315="M4"</formula>
    </cfRule>
    <cfRule type="expression" priority="4091" dxfId="8">
      <formula>Datos!C315="D1"</formula>
    </cfRule>
    <cfRule type="expression" priority="4092" dxfId="9">
      <formula>Datos!C315="D2"</formula>
    </cfRule>
    <cfRule type="expression" priority="4093" dxfId="10">
      <formula>Datos!C315="D3"</formula>
    </cfRule>
    <cfRule type="expression" priority="4094" dxfId="11">
      <formula>Datos!C315="D4"</formula>
    </cfRule>
    <cfRule type="expression" priority="4095" dxfId="12">
      <formula>Datos!C315="MIX"</formula>
    </cfRule>
  </conditionalFormatting>
  <conditionalFormatting sqref="B29">
    <cfRule type="expression" priority="4096" dxfId="0">
      <formula>Datos!C316="C1"</formula>
    </cfRule>
    <cfRule type="expression" priority="4097" dxfId="1">
      <formula>Datos!C316="C2"</formula>
    </cfRule>
    <cfRule type="expression" priority="4098" dxfId="2">
      <formula>Datos!C316="C3"</formula>
    </cfRule>
    <cfRule type="expression" priority="4099" dxfId="3">
      <formula>Datos!C316="C4"</formula>
    </cfRule>
    <cfRule type="expression" priority="4100" dxfId="4">
      <formula>Datos!C316="M1"</formula>
    </cfRule>
    <cfRule type="expression" priority="4101" dxfId="5">
      <formula>Datos!C316="M2"</formula>
    </cfRule>
    <cfRule type="expression" priority="4102" dxfId="6">
      <formula>Datos!C316="M3"</formula>
    </cfRule>
    <cfRule type="expression" priority="4103" dxfId="7">
      <formula>Datos!C316="M4"</formula>
    </cfRule>
    <cfRule type="expression" priority="4104" dxfId="8">
      <formula>Datos!C316="D1"</formula>
    </cfRule>
    <cfRule type="expression" priority="4105" dxfId="9">
      <formula>Datos!C316="D2"</formula>
    </cfRule>
    <cfRule type="expression" priority="4106" dxfId="10">
      <formula>Datos!C316="D3"</formula>
    </cfRule>
    <cfRule type="expression" priority="4107" dxfId="11">
      <formula>Datos!C316="D4"</formula>
    </cfRule>
    <cfRule type="expression" priority="4108" dxfId="12">
      <formula>Datos!C316="MIX"</formula>
    </cfRule>
  </conditionalFormatting>
  <conditionalFormatting sqref="C29">
    <cfRule type="expression" priority="4109" dxfId="0">
      <formula>Datos!C317="C1"</formula>
    </cfRule>
    <cfRule type="expression" priority="4110" dxfId="1">
      <formula>Datos!C317="C2"</formula>
    </cfRule>
    <cfRule type="expression" priority="4111" dxfId="2">
      <formula>Datos!C317="C3"</formula>
    </cfRule>
    <cfRule type="expression" priority="4112" dxfId="3">
      <formula>Datos!C317="C4"</formula>
    </cfRule>
    <cfRule type="expression" priority="4113" dxfId="4">
      <formula>Datos!C317="M1"</formula>
    </cfRule>
    <cfRule type="expression" priority="4114" dxfId="5">
      <formula>Datos!C317="M2"</formula>
    </cfRule>
    <cfRule type="expression" priority="4115" dxfId="6">
      <formula>Datos!C317="M3"</formula>
    </cfRule>
    <cfRule type="expression" priority="4116" dxfId="7">
      <formula>Datos!C317="M4"</formula>
    </cfRule>
    <cfRule type="expression" priority="4117" dxfId="8">
      <formula>Datos!C317="D1"</formula>
    </cfRule>
    <cfRule type="expression" priority="4118" dxfId="9">
      <formula>Datos!C317="D2"</formula>
    </cfRule>
    <cfRule type="expression" priority="4119" dxfId="10">
      <formula>Datos!C317="D3"</formula>
    </cfRule>
    <cfRule type="expression" priority="4120" dxfId="11">
      <formula>Datos!C317="D4"</formula>
    </cfRule>
    <cfRule type="expression" priority="4121" dxfId="12">
      <formula>Datos!C317="MIX"</formula>
    </cfRule>
  </conditionalFormatting>
  <conditionalFormatting sqref="D29">
    <cfRule type="expression" priority="4122" dxfId="0">
      <formula>Datos!C318="C1"</formula>
    </cfRule>
    <cfRule type="expression" priority="4123" dxfId="1">
      <formula>Datos!C318="C2"</formula>
    </cfRule>
    <cfRule type="expression" priority="4124" dxfId="2">
      <formula>Datos!C318="C3"</formula>
    </cfRule>
    <cfRule type="expression" priority="4125" dxfId="3">
      <formula>Datos!C318="C4"</formula>
    </cfRule>
    <cfRule type="expression" priority="4126" dxfId="4">
      <formula>Datos!C318="M1"</formula>
    </cfRule>
    <cfRule type="expression" priority="4127" dxfId="5">
      <formula>Datos!C318="M2"</formula>
    </cfRule>
    <cfRule type="expression" priority="4128" dxfId="6">
      <formula>Datos!C318="M3"</formula>
    </cfRule>
    <cfRule type="expression" priority="4129" dxfId="7">
      <formula>Datos!C318="M4"</formula>
    </cfRule>
    <cfRule type="expression" priority="4130" dxfId="8">
      <formula>Datos!C318="D1"</formula>
    </cfRule>
    <cfRule type="expression" priority="4131" dxfId="9">
      <formula>Datos!C318="D2"</formula>
    </cfRule>
    <cfRule type="expression" priority="4132" dxfId="10">
      <formula>Datos!C318="D3"</formula>
    </cfRule>
    <cfRule type="expression" priority="4133" dxfId="11">
      <formula>Datos!C318="D4"</formula>
    </cfRule>
    <cfRule type="expression" priority="4134" dxfId="12">
      <formula>Datos!C318="MIX"</formula>
    </cfRule>
  </conditionalFormatting>
  <conditionalFormatting sqref="E29">
    <cfRule type="expression" priority="4135" dxfId="0">
      <formula>Datos!C319="C1"</formula>
    </cfRule>
    <cfRule type="expression" priority="4136" dxfId="1">
      <formula>Datos!C319="C2"</formula>
    </cfRule>
    <cfRule type="expression" priority="4137" dxfId="2">
      <formula>Datos!C319="C3"</formula>
    </cfRule>
    <cfRule type="expression" priority="4138" dxfId="3">
      <formula>Datos!C319="C4"</formula>
    </cfRule>
    <cfRule type="expression" priority="4139" dxfId="4">
      <formula>Datos!C319="M1"</formula>
    </cfRule>
    <cfRule type="expression" priority="4140" dxfId="5">
      <formula>Datos!C319="M2"</formula>
    </cfRule>
    <cfRule type="expression" priority="4141" dxfId="6">
      <formula>Datos!C319="M3"</formula>
    </cfRule>
    <cfRule type="expression" priority="4142" dxfId="7">
      <formula>Datos!C319="M4"</formula>
    </cfRule>
    <cfRule type="expression" priority="4143" dxfId="8">
      <formula>Datos!C319="D1"</formula>
    </cfRule>
    <cfRule type="expression" priority="4144" dxfId="9">
      <formula>Datos!C319="D2"</formula>
    </cfRule>
    <cfRule type="expression" priority="4145" dxfId="10">
      <formula>Datos!C319="D3"</formula>
    </cfRule>
    <cfRule type="expression" priority="4146" dxfId="11">
      <formula>Datos!C319="D4"</formula>
    </cfRule>
    <cfRule type="expression" priority="4147" dxfId="12">
      <formula>Datos!C319="MIX"</formula>
    </cfRule>
  </conditionalFormatting>
  <conditionalFormatting sqref="F29">
    <cfRule type="expression" priority="4148" dxfId="0">
      <formula>Datos!C320="C1"</formula>
    </cfRule>
    <cfRule type="expression" priority="4149" dxfId="1">
      <formula>Datos!C320="C2"</formula>
    </cfRule>
    <cfRule type="expression" priority="4150" dxfId="2">
      <formula>Datos!C320="C3"</formula>
    </cfRule>
    <cfRule type="expression" priority="4151" dxfId="3">
      <formula>Datos!C320="C4"</formula>
    </cfRule>
    <cfRule type="expression" priority="4152" dxfId="4">
      <formula>Datos!C320="M1"</formula>
    </cfRule>
    <cfRule type="expression" priority="4153" dxfId="5">
      <formula>Datos!C320="M2"</formula>
    </cfRule>
    <cfRule type="expression" priority="4154" dxfId="6">
      <formula>Datos!C320="M3"</formula>
    </cfRule>
    <cfRule type="expression" priority="4155" dxfId="7">
      <formula>Datos!C320="M4"</formula>
    </cfRule>
    <cfRule type="expression" priority="4156" dxfId="8">
      <formula>Datos!C320="D1"</formula>
    </cfRule>
    <cfRule type="expression" priority="4157" dxfId="9">
      <formula>Datos!C320="D2"</formula>
    </cfRule>
    <cfRule type="expression" priority="4158" dxfId="10">
      <formula>Datos!C320="D3"</formula>
    </cfRule>
    <cfRule type="expression" priority="4159" dxfId="11">
      <formula>Datos!C320="D4"</formula>
    </cfRule>
    <cfRule type="expression" priority="4160" dxfId="12">
      <formula>Datos!C320="MIX"</formula>
    </cfRule>
  </conditionalFormatting>
  <conditionalFormatting sqref="G29">
    <cfRule type="expression" priority="4161" dxfId="0">
      <formula>Datos!C321="C1"</formula>
    </cfRule>
    <cfRule type="expression" priority="4162" dxfId="1">
      <formula>Datos!C321="C2"</formula>
    </cfRule>
    <cfRule type="expression" priority="4163" dxfId="2">
      <formula>Datos!C321="C3"</formula>
    </cfRule>
    <cfRule type="expression" priority="4164" dxfId="3">
      <formula>Datos!C321="C4"</formula>
    </cfRule>
    <cfRule type="expression" priority="4165" dxfId="4">
      <formula>Datos!C321="M1"</formula>
    </cfRule>
    <cfRule type="expression" priority="4166" dxfId="5">
      <formula>Datos!C321="M2"</formula>
    </cfRule>
    <cfRule type="expression" priority="4167" dxfId="6">
      <formula>Datos!C321="M3"</formula>
    </cfRule>
    <cfRule type="expression" priority="4168" dxfId="7">
      <formula>Datos!C321="M4"</formula>
    </cfRule>
    <cfRule type="expression" priority="4169" dxfId="8">
      <formula>Datos!C321="D1"</formula>
    </cfRule>
    <cfRule type="expression" priority="4170" dxfId="9">
      <formula>Datos!C321="D2"</formula>
    </cfRule>
    <cfRule type="expression" priority="4171" dxfId="10">
      <formula>Datos!C321="D3"</formula>
    </cfRule>
    <cfRule type="expression" priority="4172" dxfId="11">
      <formula>Datos!C321="D4"</formula>
    </cfRule>
    <cfRule type="expression" priority="4173" dxfId="12">
      <formula>Datos!C321="MIX"</formula>
    </cfRule>
  </conditionalFormatting>
  <conditionalFormatting sqref="H29">
    <cfRule type="expression" priority="4174" dxfId="0">
      <formula>Datos!C322="C1"</formula>
    </cfRule>
    <cfRule type="expression" priority="4175" dxfId="1">
      <formula>Datos!C322="C2"</formula>
    </cfRule>
    <cfRule type="expression" priority="4176" dxfId="2">
      <formula>Datos!C322="C3"</formula>
    </cfRule>
    <cfRule type="expression" priority="4177" dxfId="3">
      <formula>Datos!C322="C4"</formula>
    </cfRule>
    <cfRule type="expression" priority="4178" dxfId="4">
      <formula>Datos!C322="M1"</formula>
    </cfRule>
    <cfRule type="expression" priority="4179" dxfId="5">
      <formula>Datos!C322="M2"</formula>
    </cfRule>
    <cfRule type="expression" priority="4180" dxfId="6">
      <formula>Datos!C322="M3"</formula>
    </cfRule>
    <cfRule type="expression" priority="4181" dxfId="7">
      <formula>Datos!C322="M4"</formula>
    </cfRule>
    <cfRule type="expression" priority="4182" dxfId="8">
      <formula>Datos!C322="D1"</formula>
    </cfRule>
    <cfRule type="expression" priority="4183" dxfId="9">
      <formula>Datos!C322="D2"</formula>
    </cfRule>
    <cfRule type="expression" priority="4184" dxfId="10">
      <formula>Datos!C322="D3"</formula>
    </cfRule>
    <cfRule type="expression" priority="4185" dxfId="11">
      <formula>Datos!C322="D4"</formula>
    </cfRule>
    <cfRule type="expression" priority="4186" dxfId="12">
      <formula>Datos!C322="MIX"</formula>
    </cfRule>
  </conditionalFormatting>
  <conditionalFormatting sqref="I29">
    <cfRule type="expression" priority="4187" dxfId="0">
      <formula>Datos!C323="C1"</formula>
    </cfRule>
    <cfRule type="expression" priority="4188" dxfId="1">
      <formula>Datos!C323="C2"</formula>
    </cfRule>
    <cfRule type="expression" priority="4189" dxfId="2">
      <formula>Datos!C323="C3"</formula>
    </cfRule>
    <cfRule type="expression" priority="4190" dxfId="3">
      <formula>Datos!C323="C4"</formula>
    </cfRule>
    <cfRule type="expression" priority="4191" dxfId="4">
      <formula>Datos!C323="M1"</formula>
    </cfRule>
    <cfRule type="expression" priority="4192" dxfId="5">
      <formula>Datos!C323="M2"</formula>
    </cfRule>
    <cfRule type="expression" priority="4193" dxfId="6">
      <formula>Datos!C323="M3"</formula>
    </cfRule>
    <cfRule type="expression" priority="4194" dxfId="7">
      <formula>Datos!C323="M4"</formula>
    </cfRule>
    <cfRule type="expression" priority="4195" dxfId="8">
      <formula>Datos!C323="D1"</formula>
    </cfRule>
    <cfRule type="expression" priority="4196" dxfId="9">
      <formula>Datos!C323="D2"</formula>
    </cfRule>
    <cfRule type="expression" priority="4197" dxfId="10">
      <formula>Datos!C323="D3"</formula>
    </cfRule>
    <cfRule type="expression" priority="4198" dxfId="11">
      <formula>Datos!C323="D4"</formula>
    </cfRule>
    <cfRule type="expression" priority="4199" dxfId="12">
      <formula>Datos!C323="MIX"</formula>
    </cfRule>
  </conditionalFormatting>
  <conditionalFormatting sqref="J29">
    <cfRule type="expression" priority="4200" dxfId="0">
      <formula>Datos!C324="C1"</formula>
    </cfRule>
    <cfRule type="expression" priority="4201" dxfId="1">
      <formula>Datos!C324="C2"</formula>
    </cfRule>
    <cfRule type="expression" priority="4202" dxfId="2">
      <formula>Datos!C324="C3"</formula>
    </cfRule>
    <cfRule type="expression" priority="4203" dxfId="3">
      <formula>Datos!C324="C4"</formula>
    </cfRule>
    <cfRule type="expression" priority="4204" dxfId="4">
      <formula>Datos!C324="M1"</formula>
    </cfRule>
    <cfRule type="expression" priority="4205" dxfId="5">
      <formula>Datos!C324="M2"</formula>
    </cfRule>
    <cfRule type="expression" priority="4206" dxfId="6">
      <formula>Datos!C324="M3"</formula>
    </cfRule>
    <cfRule type="expression" priority="4207" dxfId="7">
      <formula>Datos!C324="M4"</formula>
    </cfRule>
    <cfRule type="expression" priority="4208" dxfId="8">
      <formula>Datos!C324="D1"</formula>
    </cfRule>
    <cfRule type="expression" priority="4209" dxfId="9">
      <formula>Datos!C324="D2"</formula>
    </cfRule>
    <cfRule type="expression" priority="4210" dxfId="10">
      <formula>Datos!C324="D3"</formula>
    </cfRule>
    <cfRule type="expression" priority="4211" dxfId="11">
      <formula>Datos!C324="D4"</formula>
    </cfRule>
    <cfRule type="expression" priority="4212" dxfId="12">
      <formula>Datos!C324="MIX"</formula>
    </cfRule>
  </conditionalFormatting>
  <conditionalFormatting sqref="K29">
    <cfRule type="expression" priority="4213" dxfId="0">
      <formula>Datos!C325="C1"</formula>
    </cfRule>
    <cfRule type="expression" priority="4214" dxfId="1">
      <formula>Datos!C325="C2"</formula>
    </cfRule>
    <cfRule type="expression" priority="4215" dxfId="2">
      <formula>Datos!C325="C3"</formula>
    </cfRule>
    <cfRule type="expression" priority="4216" dxfId="3">
      <formula>Datos!C325="C4"</formula>
    </cfRule>
    <cfRule type="expression" priority="4217" dxfId="4">
      <formula>Datos!C325="M1"</formula>
    </cfRule>
    <cfRule type="expression" priority="4218" dxfId="5">
      <formula>Datos!C325="M2"</formula>
    </cfRule>
    <cfRule type="expression" priority="4219" dxfId="6">
      <formula>Datos!C325="M3"</formula>
    </cfRule>
    <cfRule type="expression" priority="4220" dxfId="7">
      <formula>Datos!C325="M4"</formula>
    </cfRule>
    <cfRule type="expression" priority="4221" dxfId="8">
      <formula>Datos!C325="D1"</formula>
    </cfRule>
    <cfRule type="expression" priority="4222" dxfId="9">
      <formula>Datos!C325="D2"</formula>
    </cfRule>
    <cfRule type="expression" priority="4223" dxfId="10">
      <formula>Datos!C325="D3"</formula>
    </cfRule>
    <cfRule type="expression" priority="4224" dxfId="11">
      <formula>Datos!C325="D4"</formula>
    </cfRule>
    <cfRule type="expression" priority="4225" dxfId="12">
      <formula>Datos!C325="MIX"</formula>
    </cfRule>
  </conditionalFormatting>
  <conditionalFormatting sqref="L29">
    <cfRule type="expression" priority="4226" dxfId="0">
      <formula>Datos!C326="C1"</formula>
    </cfRule>
    <cfRule type="expression" priority="4227" dxfId="1">
      <formula>Datos!C326="C2"</formula>
    </cfRule>
    <cfRule type="expression" priority="4228" dxfId="2">
      <formula>Datos!C326="C3"</formula>
    </cfRule>
    <cfRule type="expression" priority="4229" dxfId="3">
      <formula>Datos!C326="C4"</formula>
    </cfRule>
    <cfRule type="expression" priority="4230" dxfId="4">
      <formula>Datos!C326="M1"</formula>
    </cfRule>
    <cfRule type="expression" priority="4231" dxfId="5">
      <formula>Datos!C326="M2"</formula>
    </cfRule>
    <cfRule type="expression" priority="4232" dxfId="6">
      <formula>Datos!C326="M3"</formula>
    </cfRule>
    <cfRule type="expression" priority="4233" dxfId="7">
      <formula>Datos!C326="M4"</formula>
    </cfRule>
    <cfRule type="expression" priority="4234" dxfId="8">
      <formula>Datos!C326="D1"</formula>
    </cfRule>
    <cfRule type="expression" priority="4235" dxfId="9">
      <formula>Datos!C326="D2"</formula>
    </cfRule>
    <cfRule type="expression" priority="4236" dxfId="10">
      <formula>Datos!C326="D3"</formula>
    </cfRule>
    <cfRule type="expression" priority="4237" dxfId="11">
      <formula>Datos!C326="D4"</formula>
    </cfRule>
    <cfRule type="expression" priority="4238" dxfId="12">
      <formula>Datos!C326="MIX"</formula>
    </cfRule>
  </conditionalFormatting>
  <conditionalFormatting sqref="M29">
    <cfRule type="expression" priority="4239" dxfId="0">
      <formula>Datos!C327="C1"</formula>
    </cfRule>
    <cfRule type="expression" priority="4240" dxfId="1">
      <formula>Datos!C327="C2"</formula>
    </cfRule>
    <cfRule type="expression" priority="4241" dxfId="2">
      <formula>Datos!C327="C3"</formula>
    </cfRule>
    <cfRule type="expression" priority="4242" dxfId="3">
      <formula>Datos!C327="C4"</formula>
    </cfRule>
    <cfRule type="expression" priority="4243" dxfId="4">
      <formula>Datos!C327="M1"</formula>
    </cfRule>
    <cfRule type="expression" priority="4244" dxfId="5">
      <formula>Datos!C327="M2"</formula>
    </cfRule>
    <cfRule type="expression" priority="4245" dxfId="6">
      <formula>Datos!C327="M3"</formula>
    </cfRule>
    <cfRule type="expression" priority="4246" dxfId="7">
      <formula>Datos!C327="M4"</formula>
    </cfRule>
    <cfRule type="expression" priority="4247" dxfId="8">
      <formula>Datos!C327="D1"</formula>
    </cfRule>
    <cfRule type="expression" priority="4248" dxfId="9">
      <formula>Datos!C327="D2"</formula>
    </cfRule>
    <cfRule type="expression" priority="4249" dxfId="10">
      <formula>Datos!C327="D3"</formula>
    </cfRule>
    <cfRule type="expression" priority="4250" dxfId="11">
      <formula>Datos!C327="D4"</formula>
    </cfRule>
    <cfRule type="expression" priority="4251" dxfId="12">
      <formula>Datos!C327="MIX"</formula>
    </cfRule>
  </conditionalFormatting>
  <conditionalFormatting sqref="N29">
    <cfRule type="expression" priority="4252" dxfId="0">
      <formula>Datos!C328="C1"</formula>
    </cfRule>
    <cfRule type="expression" priority="4253" dxfId="1">
      <formula>Datos!C328="C2"</formula>
    </cfRule>
    <cfRule type="expression" priority="4254" dxfId="2">
      <formula>Datos!C328="C3"</formula>
    </cfRule>
    <cfRule type="expression" priority="4255" dxfId="3">
      <formula>Datos!C328="C4"</formula>
    </cfRule>
    <cfRule type="expression" priority="4256" dxfId="4">
      <formula>Datos!C328="M1"</formula>
    </cfRule>
    <cfRule type="expression" priority="4257" dxfId="5">
      <formula>Datos!C328="M2"</formula>
    </cfRule>
    <cfRule type="expression" priority="4258" dxfId="6">
      <formula>Datos!C328="M3"</formula>
    </cfRule>
    <cfRule type="expression" priority="4259" dxfId="7">
      <formula>Datos!C328="M4"</formula>
    </cfRule>
    <cfRule type="expression" priority="4260" dxfId="8">
      <formula>Datos!C328="D1"</formula>
    </cfRule>
    <cfRule type="expression" priority="4261" dxfId="9">
      <formula>Datos!C328="D2"</formula>
    </cfRule>
    <cfRule type="expression" priority="4262" dxfId="10">
      <formula>Datos!C328="D3"</formula>
    </cfRule>
    <cfRule type="expression" priority="4263" dxfId="11">
      <formula>Datos!C328="D4"</formula>
    </cfRule>
    <cfRule type="expression" priority="4264" dxfId="12">
      <formula>Datos!C328="MIX"</formula>
    </cfRule>
  </conditionalFormatting>
  <conditionalFormatting sqref="O29">
    <cfRule type="expression" priority="4265" dxfId="0">
      <formula>Datos!C329="C1"</formula>
    </cfRule>
    <cfRule type="expression" priority="4266" dxfId="1">
      <formula>Datos!C329="C2"</formula>
    </cfRule>
    <cfRule type="expression" priority="4267" dxfId="2">
      <formula>Datos!C329="C3"</formula>
    </cfRule>
    <cfRule type="expression" priority="4268" dxfId="3">
      <formula>Datos!C329="C4"</formula>
    </cfRule>
    <cfRule type="expression" priority="4269" dxfId="4">
      <formula>Datos!C329="M1"</formula>
    </cfRule>
    <cfRule type="expression" priority="4270" dxfId="5">
      <formula>Datos!C329="M2"</formula>
    </cfRule>
    <cfRule type="expression" priority="4271" dxfId="6">
      <formula>Datos!C329="M3"</formula>
    </cfRule>
    <cfRule type="expression" priority="4272" dxfId="7">
      <formula>Datos!C329="M4"</formula>
    </cfRule>
    <cfRule type="expression" priority="4273" dxfId="8">
      <formula>Datos!C329="D1"</formula>
    </cfRule>
    <cfRule type="expression" priority="4274" dxfId="9">
      <formula>Datos!C329="D2"</formula>
    </cfRule>
    <cfRule type="expression" priority="4275" dxfId="10">
      <formula>Datos!C329="D3"</formula>
    </cfRule>
    <cfRule type="expression" priority="4276" dxfId="11">
      <formula>Datos!C329="D4"</formula>
    </cfRule>
    <cfRule type="expression" priority="4277" dxfId="12">
      <formula>Datos!C329="MIX"</formula>
    </cfRule>
  </conditionalFormatting>
  <conditionalFormatting sqref="P29">
    <cfRule type="expression" priority="4278" dxfId="0">
      <formula>Datos!C330="C1"</formula>
    </cfRule>
    <cfRule type="expression" priority="4279" dxfId="1">
      <formula>Datos!C330="C2"</formula>
    </cfRule>
    <cfRule type="expression" priority="4280" dxfId="2">
      <formula>Datos!C330="C3"</formula>
    </cfRule>
    <cfRule type="expression" priority="4281" dxfId="3">
      <formula>Datos!C330="C4"</formula>
    </cfRule>
    <cfRule type="expression" priority="4282" dxfId="4">
      <formula>Datos!C330="M1"</formula>
    </cfRule>
    <cfRule type="expression" priority="4283" dxfId="5">
      <formula>Datos!C330="M2"</formula>
    </cfRule>
    <cfRule type="expression" priority="4284" dxfId="6">
      <formula>Datos!C330="M3"</formula>
    </cfRule>
    <cfRule type="expression" priority="4285" dxfId="7">
      <formula>Datos!C330="M4"</formula>
    </cfRule>
    <cfRule type="expression" priority="4286" dxfId="8">
      <formula>Datos!C330="D1"</formula>
    </cfRule>
    <cfRule type="expression" priority="4287" dxfId="9">
      <formula>Datos!C330="D2"</formula>
    </cfRule>
    <cfRule type="expression" priority="4288" dxfId="10">
      <formula>Datos!C330="D3"</formula>
    </cfRule>
    <cfRule type="expression" priority="4289" dxfId="11">
      <formula>Datos!C330="D4"</formula>
    </cfRule>
    <cfRule type="expression" priority="4290" dxfId="12">
      <formula>Datos!C330="MIX"</formula>
    </cfRule>
  </conditionalFormatting>
  <conditionalFormatting sqref="B30">
    <cfRule type="expression" priority="4291" dxfId="0">
      <formula>Datos!C331="C1"</formula>
    </cfRule>
    <cfRule type="expression" priority="4292" dxfId="1">
      <formula>Datos!C331="C2"</formula>
    </cfRule>
    <cfRule type="expression" priority="4293" dxfId="2">
      <formula>Datos!C331="C3"</formula>
    </cfRule>
    <cfRule type="expression" priority="4294" dxfId="3">
      <formula>Datos!C331="C4"</formula>
    </cfRule>
    <cfRule type="expression" priority="4295" dxfId="4">
      <formula>Datos!C331="M1"</formula>
    </cfRule>
    <cfRule type="expression" priority="4296" dxfId="5">
      <formula>Datos!C331="M2"</formula>
    </cfRule>
    <cfRule type="expression" priority="4297" dxfId="6">
      <formula>Datos!C331="M3"</formula>
    </cfRule>
    <cfRule type="expression" priority="4298" dxfId="7">
      <formula>Datos!C331="M4"</formula>
    </cfRule>
    <cfRule type="expression" priority="4299" dxfId="8">
      <formula>Datos!C331="D1"</formula>
    </cfRule>
    <cfRule type="expression" priority="4300" dxfId="9">
      <formula>Datos!C331="D2"</formula>
    </cfRule>
    <cfRule type="expression" priority="4301" dxfId="10">
      <formula>Datos!C331="D3"</formula>
    </cfRule>
    <cfRule type="expression" priority="4302" dxfId="11">
      <formula>Datos!C331="D4"</formula>
    </cfRule>
    <cfRule type="expression" priority="4303" dxfId="12">
      <formula>Datos!C331="MIX"</formula>
    </cfRule>
  </conditionalFormatting>
  <conditionalFormatting sqref="C30">
    <cfRule type="expression" priority="4304" dxfId="0">
      <formula>Datos!C332="C1"</formula>
    </cfRule>
    <cfRule type="expression" priority="4305" dxfId="1">
      <formula>Datos!C332="C2"</formula>
    </cfRule>
    <cfRule type="expression" priority="4306" dxfId="2">
      <formula>Datos!C332="C3"</formula>
    </cfRule>
    <cfRule type="expression" priority="4307" dxfId="3">
      <formula>Datos!C332="C4"</formula>
    </cfRule>
    <cfRule type="expression" priority="4308" dxfId="4">
      <formula>Datos!C332="M1"</formula>
    </cfRule>
    <cfRule type="expression" priority="4309" dxfId="5">
      <formula>Datos!C332="M2"</formula>
    </cfRule>
    <cfRule type="expression" priority="4310" dxfId="6">
      <formula>Datos!C332="M3"</formula>
    </cfRule>
    <cfRule type="expression" priority="4311" dxfId="7">
      <formula>Datos!C332="M4"</formula>
    </cfRule>
    <cfRule type="expression" priority="4312" dxfId="8">
      <formula>Datos!C332="D1"</formula>
    </cfRule>
    <cfRule type="expression" priority="4313" dxfId="9">
      <formula>Datos!C332="D2"</formula>
    </cfRule>
    <cfRule type="expression" priority="4314" dxfId="10">
      <formula>Datos!C332="D3"</formula>
    </cfRule>
    <cfRule type="expression" priority="4315" dxfId="11">
      <formula>Datos!C332="D4"</formula>
    </cfRule>
    <cfRule type="expression" priority="4316" dxfId="12">
      <formula>Datos!C332="MIX"</formula>
    </cfRule>
  </conditionalFormatting>
  <conditionalFormatting sqref="D30">
    <cfRule type="expression" priority="4317" dxfId="0">
      <formula>Datos!C333="C1"</formula>
    </cfRule>
    <cfRule type="expression" priority="4318" dxfId="1">
      <formula>Datos!C333="C2"</formula>
    </cfRule>
    <cfRule type="expression" priority="4319" dxfId="2">
      <formula>Datos!C333="C3"</formula>
    </cfRule>
    <cfRule type="expression" priority="4320" dxfId="3">
      <formula>Datos!C333="C4"</formula>
    </cfRule>
    <cfRule type="expression" priority="4321" dxfId="4">
      <formula>Datos!C333="M1"</formula>
    </cfRule>
    <cfRule type="expression" priority="4322" dxfId="5">
      <formula>Datos!C333="M2"</formula>
    </cfRule>
    <cfRule type="expression" priority="4323" dxfId="6">
      <formula>Datos!C333="M3"</formula>
    </cfRule>
    <cfRule type="expression" priority="4324" dxfId="7">
      <formula>Datos!C333="M4"</formula>
    </cfRule>
    <cfRule type="expression" priority="4325" dxfId="8">
      <formula>Datos!C333="D1"</formula>
    </cfRule>
    <cfRule type="expression" priority="4326" dxfId="9">
      <formula>Datos!C333="D2"</formula>
    </cfRule>
    <cfRule type="expression" priority="4327" dxfId="10">
      <formula>Datos!C333="D3"</formula>
    </cfRule>
    <cfRule type="expression" priority="4328" dxfId="11">
      <formula>Datos!C333="D4"</formula>
    </cfRule>
    <cfRule type="expression" priority="4329" dxfId="12">
      <formula>Datos!C333="MIX"</formula>
    </cfRule>
  </conditionalFormatting>
  <conditionalFormatting sqref="E30">
    <cfRule type="expression" priority="4330" dxfId="0">
      <formula>Datos!C334="C1"</formula>
    </cfRule>
    <cfRule type="expression" priority="4331" dxfId="1">
      <formula>Datos!C334="C2"</formula>
    </cfRule>
    <cfRule type="expression" priority="4332" dxfId="2">
      <formula>Datos!C334="C3"</formula>
    </cfRule>
    <cfRule type="expression" priority="4333" dxfId="3">
      <formula>Datos!C334="C4"</formula>
    </cfRule>
    <cfRule type="expression" priority="4334" dxfId="4">
      <formula>Datos!C334="M1"</formula>
    </cfRule>
    <cfRule type="expression" priority="4335" dxfId="5">
      <formula>Datos!C334="M2"</formula>
    </cfRule>
    <cfRule type="expression" priority="4336" dxfId="6">
      <formula>Datos!C334="M3"</formula>
    </cfRule>
    <cfRule type="expression" priority="4337" dxfId="7">
      <formula>Datos!C334="M4"</formula>
    </cfRule>
    <cfRule type="expression" priority="4338" dxfId="8">
      <formula>Datos!C334="D1"</formula>
    </cfRule>
    <cfRule type="expression" priority="4339" dxfId="9">
      <formula>Datos!C334="D2"</formula>
    </cfRule>
    <cfRule type="expression" priority="4340" dxfId="10">
      <formula>Datos!C334="D3"</formula>
    </cfRule>
    <cfRule type="expression" priority="4341" dxfId="11">
      <formula>Datos!C334="D4"</formula>
    </cfRule>
    <cfRule type="expression" priority="4342" dxfId="12">
      <formula>Datos!C334="MIX"</formula>
    </cfRule>
  </conditionalFormatting>
  <conditionalFormatting sqref="F30">
    <cfRule type="expression" priority="4343" dxfId="0">
      <formula>Datos!C335="C1"</formula>
    </cfRule>
    <cfRule type="expression" priority="4344" dxfId="1">
      <formula>Datos!C335="C2"</formula>
    </cfRule>
    <cfRule type="expression" priority="4345" dxfId="2">
      <formula>Datos!C335="C3"</formula>
    </cfRule>
    <cfRule type="expression" priority="4346" dxfId="3">
      <formula>Datos!C335="C4"</formula>
    </cfRule>
    <cfRule type="expression" priority="4347" dxfId="4">
      <formula>Datos!C335="M1"</formula>
    </cfRule>
    <cfRule type="expression" priority="4348" dxfId="5">
      <formula>Datos!C335="M2"</formula>
    </cfRule>
    <cfRule type="expression" priority="4349" dxfId="6">
      <formula>Datos!C335="M3"</formula>
    </cfRule>
    <cfRule type="expression" priority="4350" dxfId="7">
      <formula>Datos!C335="M4"</formula>
    </cfRule>
    <cfRule type="expression" priority="4351" dxfId="8">
      <formula>Datos!C335="D1"</formula>
    </cfRule>
    <cfRule type="expression" priority="4352" dxfId="9">
      <formula>Datos!C335="D2"</formula>
    </cfRule>
    <cfRule type="expression" priority="4353" dxfId="10">
      <formula>Datos!C335="D3"</formula>
    </cfRule>
    <cfRule type="expression" priority="4354" dxfId="11">
      <formula>Datos!C335="D4"</formula>
    </cfRule>
    <cfRule type="expression" priority="4355" dxfId="12">
      <formula>Datos!C335="MIX"</formula>
    </cfRule>
  </conditionalFormatting>
  <conditionalFormatting sqref="G30">
    <cfRule type="expression" priority="4356" dxfId="0">
      <formula>Datos!C336="C1"</formula>
    </cfRule>
    <cfRule type="expression" priority="4357" dxfId="1">
      <formula>Datos!C336="C2"</formula>
    </cfRule>
    <cfRule type="expression" priority="4358" dxfId="2">
      <formula>Datos!C336="C3"</formula>
    </cfRule>
    <cfRule type="expression" priority="4359" dxfId="3">
      <formula>Datos!C336="C4"</formula>
    </cfRule>
    <cfRule type="expression" priority="4360" dxfId="4">
      <formula>Datos!C336="M1"</formula>
    </cfRule>
    <cfRule type="expression" priority="4361" dxfId="5">
      <formula>Datos!C336="M2"</formula>
    </cfRule>
    <cfRule type="expression" priority="4362" dxfId="6">
      <formula>Datos!C336="M3"</formula>
    </cfRule>
    <cfRule type="expression" priority="4363" dxfId="7">
      <formula>Datos!C336="M4"</formula>
    </cfRule>
    <cfRule type="expression" priority="4364" dxfId="8">
      <formula>Datos!C336="D1"</formula>
    </cfRule>
    <cfRule type="expression" priority="4365" dxfId="9">
      <formula>Datos!C336="D2"</formula>
    </cfRule>
    <cfRule type="expression" priority="4366" dxfId="10">
      <formula>Datos!C336="D3"</formula>
    </cfRule>
    <cfRule type="expression" priority="4367" dxfId="11">
      <formula>Datos!C336="D4"</formula>
    </cfRule>
    <cfRule type="expression" priority="4368" dxfId="12">
      <formula>Datos!C336="MIX"</formula>
    </cfRule>
  </conditionalFormatting>
  <conditionalFormatting sqref="H30">
    <cfRule type="expression" priority="4369" dxfId="0">
      <formula>Datos!C337="C1"</formula>
    </cfRule>
    <cfRule type="expression" priority="4370" dxfId="1">
      <formula>Datos!C337="C2"</formula>
    </cfRule>
    <cfRule type="expression" priority="4371" dxfId="2">
      <formula>Datos!C337="C3"</formula>
    </cfRule>
    <cfRule type="expression" priority="4372" dxfId="3">
      <formula>Datos!C337="C4"</formula>
    </cfRule>
    <cfRule type="expression" priority="4373" dxfId="4">
      <formula>Datos!C337="M1"</formula>
    </cfRule>
    <cfRule type="expression" priority="4374" dxfId="5">
      <formula>Datos!C337="M2"</formula>
    </cfRule>
    <cfRule type="expression" priority="4375" dxfId="6">
      <formula>Datos!C337="M3"</formula>
    </cfRule>
    <cfRule type="expression" priority="4376" dxfId="7">
      <formula>Datos!C337="M4"</formula>
    </cfRule>
    <cfRule type="expression" priority="4377" dxfId="8">
      <formula>Datos!C337="D1"</formula>
    </cfRule>
    <cfRule type="expression" priority="4378" dxfId="9">
      <formula>Datos!C337="D2"</formula>
    </cfRule>
    <cfRule type="expression" priority="4379" dxfId="10">
      <formula>Datos!C337="D3"</formula>
    </cfRule>
    <cfRule type="expression" priority="4380" dxfId="11">
      <formula>Datos!C337="D4"</formula>
    </cfRule>
    <cfRule type="expression" priority="4381" dxfId="12">
      <formula>Datos!C337="MIX"</formula>
    </cfRule>
  </conditionalFormatting>
  <conditionalFormatting sqref="I30">
    <cfRule type="expression" priority="4382" dxfId="0">
      <formula>Datos!C338="C1"</formula>
    </cfRule>
    <cfRule type="expression" priority="4383" dxfId="1">
      <formula>Datos!C338="C2"</formula>
    </cfRule>
    <cfRule type="expression" priority="4384" dxfId="2">
      <formula>Datos!C338="C3"</formula>
    </cfRule>
    <cfRule type="expression" priority="4385" dxfId="3">
      <formula>Datos!C338="C4"</formula>
    </cfRule>
    <cfRule type="expression" priority="4386" dxfId="4">
      <formula>Datos!C338="M1"</formula>
    </cfRule>
    <cfRule type="expression" priority="4387" dxfId="5">
      <formula>Datos!C338="M2"</formula>
    </cfRule>
    <cfRule type="expression" priority="4388" dxfId="6">
      <formula>Datos!C338="M3"</formula>
    </cfRule>
    <cfRule type="expression" priority="4389" dxfId="7">
      <formula>Datos!C338="M4"</formula>
    </cfRule>
    <cfRule type="expression" priority="4390" dxfId="8">
      <formula>Datos!C338="D1"</formula>
    </cfRule>
    <cfRule type="expression" priority="4391" dxfId="9">
      <formula>Datos!C338="D2"</formula>
    </cfRule>
    <cfRule type="expression" priority="4392" dxfId="10">
      <formula>Datos!C338="D3"</formula>
    </cfRule>
    <cfRule type="expression" priority="4393" dxfId="11">
      <formula>Datos!C338="D4"</formula>
    </cfRule>
    <cfRule type="expression" priority="4394" dxfId="12">
      <formula>Datos!C338="MIX"</formula>
    </cfRule>
  </conditionalFormatting>
  <conditionalFormatting sqref="J30">
    <cfRule type="expression" priority="4395" dxfId="0">
      <formula>Datos!C339="C1"</formula>
    </cfRule>
    <cfRule type="expression" priority="4396" dxfId="1">
      <formula>Datos!C339="C2"</formula>
    </cfRule>
    <cfRule type="expression" priority="4397" dxfId="2">
      <formula>Datos!C339="C3"</formula>
    </cfRule>
    <cfRule type="expression" priority="4398" dxfId="3">
      <formula>Datos!C339="C4"</formula>
    </cfRule>
    <cfRule type="expression" priority="4399" dxfId="4">
      <formula>Datos!C339="M1"</formula>
    </cfRule>
    <cfRule type="expression" priority="4400" dxfId="5">
      <formula>Datos!C339="M2"</formula>
    </cfRule>
    <cfRule type="expression" priority="4401" dxfId="6">
      <formula>Datos!C339="M3"</formula>
    </cfRule>
    <cfRule type="expression" priority="4402" dxfId="7">
      <formula>Datos!C339="M4"</formula>
    </cfRule>
    <cfRule type="expression" priority="4403" dxfId="8">
      <formula>Datos!C339="D1"</formula>
    </cfRule>
    <cfRule type="expression" priority="4404" dxfId="9">
      <formula>Datos!C339="D2"</formula>
    </cfRule>
    <cfRule type="expression" priority="4405" dxfId="10">
      <formula>Datos!C339="D3"</formula>
    </cfRule>
    <cfRule type="expression" priority="4406" dxfId="11">
      <formula>Datos!C339="D4"</formula>
    </cfRule>
    <cfRule type="expression" priority="4407" dxfId="12">
      <formula>Datos!C339="MIX"</formula>
    </cfRule>
  </conditionalFormatting>
  <conditionalFormatting sqref="K30">
    <cfRule type="expression" priority="4408" dxfId="0">
      <formula>Datos!C340="C1"</formula>
    </cfRule>
    <cfRule type="expression" priority="4409" dxfId="1">
      <formula>Datos!C340="C2"</formula>
    </cfRule>
    <cfRule type="expression" priority="4410" dxfId="2">
      <formula>Datos!C340="C3"</formula>
    </cfRule>
    <cfRule type="expression" priority="4411" dxfId="3">
      <formula>Datos!C340="C4"</formula>
    </cfRule>
    <cfRule type="expression" priority="4412" dxfId="4">
      <formula>Datos!C340="M1"</formula>
    </cfRule>
    <cfRule type="expression" priority="4413" dxfId="5">
      <formula>Datos!C340="M2"</formula>
    </cfRule>
    <cfRule type="expression" priority="4414" dxfId="6">
      <formula>Datos!C340="M3"</formula>
    </cfRule>
    <cfRule type="expression" priority="4415" dxfId="7">
      <formula>Datos!C340="M4"</formula>
    </cfRule>
    <cfRule type="expression" priority="4416" dxfId="8">
      <formula>Datos!C340="D1"</formula>
    </cfRule>
    <cfRule type="expression" priority="4417" dxfId="9">
      <formula>Datos!C340="D2"</formula>
    </cfRule>
    <cfRule type="expression" priority="4418" dxfId="10">
      <formula>Datos!C340="D3"</formula>
    </cfRule>
    <cfRule type="expression" priority="4419" dxfId="11">
      <formula>Datos!C340="D4"</formula>
    </cfRule>
    <cfRule type="expression" priority="4420" dxfId="12">
      <formula>Datos!C340="MIX"</formula>
    </cfRule>
  </conditionalFormatting>
  <conditionalFormatting sqref="L30">
    <cfRule type="expression" priority="4421" dxfId="0">
      <formula>Datos!C341="C1"</formula>
    </cfRule>
    <cfRule type="expression" priority="4422" dxfId="1">
      <formula>Datos!C341="C2"</formula>
    </cfRule>
    <cfRule type="expression" priority="4423" dxfId="2">
      <formula>Datos!C341="C3"</formula>
    </cfRule>
    <cfRule type="expression" priority="4424" dxfId="3">
      <formula>Datos!C341="C4"</formula>
    </cfRule>
    <cfRule type="expression" priority="4425" dxfId="4">
      <formula>Datos!C341="M1"</formula>
    </cfRule>
    <cfRule type="expression" priority="4426" dxfId="5">
      <formula>Datos!C341="M2"</formula>
    </cfRule>
    <cfRule type="expression" priority="4427" dxfId="6">
      <formula>Datos!C341="M3"</formula>
    </cfRule>
    <cfRule type="expression" priority="4428" dxfId="7">
      <formula>Datos!C341="M4"</formula>
    </cfRule>
    <cfRule type="expression" priority="4429" dxfId="8">
      <formula>Datos!C341="D1"</formula>
    </cfRule>
    <cfRule type="expression" priority="4430" dxfId="9">
      <formula>Datos!C341="D2"</formula>
    </cfRule>
    <cfRule type="expression" priority="4431" dxfId="10">
      <formula>Datos!C341="D3"</formula>
    </cfRule>
    <cfRule type="expression" priority="4432" dxfId="11">
      <formula>Datos!C341="D4"</formula>
    </cfRule>
    <cfRule type="expression" priority="4433" dxfId="12">
      <formula>Datos!C341="MIX"</formula>
    </cfRule>
  </conditionalFormatting>
  <conditionalFormatting sqref="M30">
    <cfRule type="expression" priority="4434" dxfId="0">
      <formula>Datos!C342="C1"</formula>
    </cfRule>
    <cfRule type="expression" priority="4435" dxfId="1">
      <formula>Datos!C342="C2"</formula>
    </cfRule>
    <cfRule type="expression" priority="4436" dxfId="2">
      <formula>Datos!C342="C3"</formula>
    </cfRule>
    <cfRule type="expression" priority="4437" dxfId="3">
      <formula>Datos!C342="C4"</formula>
    </cfRule>
    <cfRule type="expression" priority="4438" dxfId="4">
      <formula>Datos!C342="M1"</formula>
    </cfRule>
    <cfRule type="expression" priority="4439" dxfId="5">
      <formula>Datos!C342="M2"</formula>
    </cfRule>
    <cfRule type="expression" priority="4440" dxfId="6">
      <formula>Datos!C342="M3"</formula>
    </cfRule>
    <cfRule type="expression" priority="4441" dxfId="7">
      <formula>Datos!C342="M4"</formula>
    </cfRule>
    <cfRule type="expression" priority="4442" dxfId="8">
      <formula>Datos!C342="D1"</formula>
    </cfRule>
    <cfRule type="expression" priority="4443" dxfId="9">
      <formula>Datos!C342="D2"</formula>
    </cfRule>
    <cfRule type="expression" priority="4444" dxfId="10">
      <formula>Datos!C342="D3"</formula>
    </cfRule>
    <cfRule type="expression" priority="4445" dxfId="11">
      <formula>Datos!C342="D4"</formula>
    </cfRule>
    <cfRule type="expression" priority="4446" dxfId="12">
      <formula>Datos!C342="MIX"</formula>
    </cfRule>
  </conditionalFormatting>
  <conditionalFormatting sqref="N30">
    <cfRule type="expression" priority="4447" dxfId="0">
      <formula>Datos!C343="C1"</formula>
    </cfRule>
    <cfRule type="expression" priority="4448" dxfId="1">
      <formula>Datos!C343="C2"</formula>
    </cfRule>
    <cfRule type="expression" priority="4449" dxfId="2">
      <formula>Datos!C343="C3"</formula>
    </cfRule>
    <cfRule type="expression" priority="4450" dxfId="3">
      <formula>Datos!C343="C4"</formula>
    </cfRule>
    <cfRule type="expression" priority="4451" dxfId="4">
      <formula>Datos!C343="M1"</formula>
    </cfRule>
    <cfRule type="expression" priority="4452" dxfId="5">
      <formula>Datos!C343="M2"</formula>
    </cfRule>
    <cfRule type="expression" priority="4453" dxfId="6">
      <formula>Datos!C343="M3"</formula>
    </cfRule>
    <cfRule type="expression" priority="4454" dxfId="7">
      <formula>Datos!C343="M4"</formula>
    </cfRule>
    <cfRule type="expression" priority="4455" dxfId="8">
      <formula>Datos!C343="D1"</formula>
    </cfRule>
    <cfRule type="expression" priority="4456" dxfId="9">
      <formula>Datos!C343="D2"</formula>
    </cfRule>
    <cfRule type="expression" priority="4457" dxfId="10">
      <formula>Datos!C343="D3"</formula>
    </cfRule>
    <cfRule type="expression" priority="4458" dxfId="11">
      <formula>Datos!C343="D4"</formula>
    </cfRule>
    <cfRule type="expression" priority="4459" dxfId="12">
      <formula>Datos!C343="MIX"</formula>
    </cfRule>
  </conditionalFormatting>
  <conditionalFormatting sqref="O30">
    <cfRule type="expression" priority="4460" dxfId="0">
      <formula>Datos!C344="C1"</formula>
    </cfRule>
    <cfRule type="expression" priority="4461" dxfId="1">
      <formula>Datos!C344="C2"</formula>
    </cfRule>
    <cfRule type="expression" priority="4462" dxfId="2">
      <formula>Datos!C344="C3"</formula>
    </cfRule>
    <cfRule type="expression" priority="4463" dxfId="3">
      <formula>Datos!C344="C4"</formula>
    </cfRule>
    <cfRule type="expression" priority="4464" dxfId="4">
      <formula>Datos!C344="M1"</formula>
    </cfRule>
    <cfRule type="expression" priority="4465" dxfId="5">
      <formula>Datos!C344="M2"</formula>
    </cfRule>
    <cfRule type="expression" priority="4466" dxfId="6">
      <formula>Datos!C344="M3"</formula>
    </cfRule>
    <cfRule type="expression" priority="4467" dxfId="7">
      <formula>Datos!C344="M4"</formula>
    </cfRule>
    <cfRule type="expression" priority="4468" dxfId="8">
      <formula>Datos!C344="D1"</formula>
    </cfRule>
    <cfRule type="expression" priority="4469" dxfId="9">
      <formula>Datos!C344="D2"</formula>
    </cfRule>
    <cfRule type="expression" priority="4470" dxfId="10">
      <formula>Datos!C344="D3"</formula>
    </cfRule>
    <cfRule type="expression" priority="4471" dxfId="11">
      <formula>Datos!C344="D4"</formula>
    </cfRule>
    <cfRule type="expression" priority="4472" dxfId="12">
      <formula>Datos!C344="MIX"</formula>
    </cfRule>
  </conditionalFormatting>
  <conditionalFormatting sqref="P30">
    <cfRule type="expression" priority="4473" dxfId="0">
      <formula>Datos!C345="C1"</formula>
    </cfRule>
    <cfRule type="expression" priority="4474" dxfId="1">
      <formula>Datos!C345="C2"</formula>
    </cfRule>
    <cfRule type="expression" priority="4475" dxfId="2">
      <formula>Datos!C345="C3"</formula>
    </cfRule>
    <cfRule type="expression" priority="4476" dxfId="3">
      <formula>Datos!C345="C4"</formula>
    </cfRule>
    <cfRule type="expression" priority="4477" dxfId="4">
      <formula>Datos!C345="M1"</formula>
    </cfRule>
    <cfRule type="expression" priority="4478" dxfId="5">
      <formula>Datos!C345="M2"</formula>
    </cfRule>
    <cfRule type="expression" priority="4479" dxfId="6">
      <formula>Datos!C345="M3"</formula>
    </cfRule>
    <cfRule type="expression" priority="4480" dxfId="7">
      <formula>Datos!C345="M4"</formula>
    </cfRule>
    <cfRule type="expression" priority="4481" dxfId="8">
      <formula>Datos!C345="D1"</formula>
    </cfRule>
    <cfRule type="expression" priority="4482" dxfId="9">
      <formula>Datos!C345="D2"</formula>
    </cfRule>
    <cfRule type="expression" priority="4483" dxfId="10">
      <formula>Datos!C345="D3"</formula>
    </cfRule>
    <cfRule type="expression" priority="4484" dxfId="11">
      <formula>Datos!C345="D4"</formula>
    </cfRule>
    <cfRule type="expression" priority="4485" dxfId="12">
      <formula>Datos!C345="MIX"</formula>
    </cfRule>
  </conditionalFormatting>
  <conditionalFormatting sqref="B31">
    <cfRule type="expression" priority="4486" dxfId="0">
      <formula>Datos!C346="C1"</formula>
    </cfRule>
    <cfRule type="expression" priority="4487" dxfId="1">
      <formula>Datos!C346="C2"</formula>
    </cfRule>
    <cfRule type="expression" priority="4488" dxfId="2">
      <formula>Datos!C346="C3"</formula>
    </cfRule>
    <cfRule type="expression" priority="4489" dxfId="3">
      <formula>Datos!C346="C4"</formula>
    </cfRule>
    <cfRule type="expression" priority="4490" dxfId="4">
      <formula>Datos!C346="M1"</formula>
    </cfRule>
    <cfRule type="expression" priority="4491" dxfId="5">
      <formula>Datos!C346="M2"</formula>
    </cfRule>
    <cfRule type="expression" priority="4492" dxfId="6">
      <formula>Datos!C346="M3"</formula>
    </cfRule>
    <cfRule type="expression" priority="4493" dxfId="7">
      <formula>Datos!C346="M4"</formula>
    </cfRule>
    <cfRule type="expression" priority="4494" dxfId="8">
      <formula>Datos!C346="D1"</formula>
    </cfRule>
    <cfRule type="expression" priority="4495" dxfId="9">
      <formula>Datos!C346="D2"</formula>
    </cfRule>
    <cfRule type="expression" priority="4496" dxfId="10">
      <formula>Datos!C346="D3"</formula>
    </cfRule>
    <cfRule type="expression" priority="4497" dxfId="11">
      <formula>Datos!C346="D4"</formula>
    </cfRule>
    <cfRule type="expression" priority="4498" dxfId="12">
      <formula>Datos!C346="MIX"</formula>
    </cfRule>
  </conditionalFormatting>
  <conditionalFormatting sqref="C31">
    <cfRule type="expression" priority="4499" dxfId="0">
      <formula>Datos!C347="C1"</formula>
    </cfRule>
    <cfRule type="expression" priority="4500" dxfId="1">
      <formula>Datos!C347="C2"</formula>
    </cfRule>
    <cfRule type="expression" priority="4501" dxfId="2">
      <formula>Datos!C347="C3"</formula>
    </cfRule>
    <cfRule type="expression" priority="4502" dxfId="3">
      <formula>Datos!C347="C4"</formula>
    </cfRule>
    <cfRule type="expression" priority="4503" dxfId="4">
      <formula>Datos!C347="M1"</formula>
    </cfRule>
    <cfRule type="expression" priority="4504" dxfId="5">
      <formula>Datos!C347="M2"</formula>
    </cfRule>
    <cfRule type="expression" priority="4505" dxfId="6">
      <formula>Datos!C347="M3"</formula>
    </cfRule>
    <cfRule type="expression" priority="4506" dxfId="7">
      <formula>Datos!C347="M4"</formula>
    </cfRule>
    <cfRule type="expression" priority="4507" dxfId="8">
      <formula>Datos!C347="D1"</formula>
    </cfRule>
    <cfRule type="expression" priority="4508" dxfId="9">
      <formula>Datos!C347="D2"</formula>
    </cfRule>
    <cfRule type="expression" priority="4509" dxfId="10">
      <formula>Datos!C347="D3"</formula>
    </cfRule>
    <cfRule type="expression" priority="4510" dxfId="11">
      <formula>Datos!C347="D4"</formula>
    </cfRule>
    <cfRule type="expression" priority="4511" dxfId="12">
      <formula>Datos!C347="MIX"</formula>
    </cfRule>
  </conditionalFormatting>
  <conditionalFormatting sqref="D31">
    <cfRule type="expression" priority="4512" dxfId="0">
      <formula>Datos!C348="C1"</formula>
    </cfRule>
    <cfRule type="expression" priority="4513" dxfId="1">
      <formula>Datos!C348="C2"</formula>
    </cfRule>
    <cfRule type="expression" priority="4514" dxfId="2">
      <formula>Datos!C348="C3"</formula>
    </cfRule>
    <cfRule type="expression" priority="4515" dxfId="3">
      <formula>Datos!C348="C4"</formula>
    </cfRule>
    <cfRule type="expression" priority="4516" dxfId="4">
      <formula>Datos!C348="M1"</formula>
    </cfRule>
    <cfRule type="expression" priority="4517" dxfId="5">
      <formula>Datos!C348="M2"</formula>
    </cfRule>
    <cfRule type="expression" priority="4518" dxfId="6">
      <formula>Datos!C348="M3"</formula>
    </cfRule>
    <cfRule type="expression" priority="4519" dxfId="7">
      <formula>Datos!C348="M4"</formula>
    </cfRule>
    <cfRule type="expression" priority="4520" dxfId="8">
      <formula>Datos!C348="D1"</formula>
    </cfRule>
    <cfRule type="expression" priority="4521" dxfId="9">
      <formula>Datos!C348="D2"</formula>
    </cfRule>
    <cfRule type="expression" priority="4522" dxfId="10">
      <formula>Datos!C348="D3"</formula>
    </cfRule>
    <cfRule type="expression" priority="4523" dxfId="11">
      <formula>Datos!C348="D4"</formula>
    </cfRule>
    <cfRule type="expression" priority="4524" dxfId="12">
      <formula>Datos!C348="MIX"</formula>
    </cfRule>
  </conditionalFormatting>
  <conditionalFormatting sqref="E31">
    <cfRule type="expression" priority="4525" dxfId="0">
      <formula>Datos!C349="C1"</formula>
    </cfRule>
    <cfRule type="expression" priority="4526" dxfId="1">
      <formula>Datos!C349="C2"</formula>
    </cfRule>
    <cfRule type="expression" priority="4527" dxfId="2">
      <formula>Datos!C349="C3"</formula>
    </cfRule>
    <cfRule type="expression" priority="4528" dxfId="3">
      <formula>Datos!C349="C4"</formula>
    </cfRule>
    <cfRule type="expression" priority="4529" dxfId="4">
      <formula>Datos!C349="M1"</formula>
    </cfRule>
    <cfRule type="expression" priority="4530" dxfId="5">
      <formula>Datos!C349="M2"</formula>
    </cfRule>
    <cfRule type="expression" priority="4531" dxfId="6">
      <formula>Datos!C349="M3"</formula>
    </cfRule>
    <cfRule type="expression" priority="4532" dxfId="7">
      <formula>Datos!C349="M4"</formula>
    </cfRule>
    <cfRule type="expression" priority="4533" dxfId="8">
      <formula>Datos!C349="D1"</formula>
    </cfRule>
    <cfRule type="expression" priority="4534" dxfId="9">
      <formula>Datos!C349="D2"</formula>
    </cfRule>
    <cfRule type="expression" priority="4535" dxfId="10">
      <formula>Datos!C349="D3"</formula>
    </cfRule>
    <cfRule type="expression" priority="4536" dxfId="11">
      <formula>Datos!C349="D4"</formula>
    </cfRule>
    <cfRule type="expression" priority="4537" dxfId="12">
      <formula>Datos!C349="MIX"</formula>
    </cfRule>
  </conditionalFormatting>
  <conditionalFormatting sqref="F31">
    <cfRule type="expression" priority="4538" dxfId="0">
      <formula>Datos!C350="C1"</formula>
    </cfRule>
    <cfRule type="expression" priority="4539" dxfId="1">
      <formula>Datos!C350="C2"</formula>
    </cfRule>
    <cfRule type="expression" priority="4540" dxfId="2">
      <formula>Datos!C350="C3"</formula>
    </cfRule>
    <cfRule type="expression" priority="4541" dxfId="3">
      <formula>Datos!C350="C4"</formula>
    </cfRule>
    <cfRule type="expression" priority="4542" dxfId="4">
      <formula>Datos!C350="M1"</formula>
    </cfRule>
    <cfRule type="expression" priority="4543" dxfId="5">
      <formula>Datos!C350="M2"</formula>
    </cfRule>
    <cfRule type="expression" priority="4544" dxfId="6">
      <formula>Datos!C350="M3"</formula>
    </cfRule>
    <cfRule type="expression" priority="4545" dxfId="7">
      <formula>Datos!C350="M4"</formula>
    </cfRule>
    <cfRule type="expression" priority="4546" dxfId="8">
      <formula>Datos!C350="D1"</formula>
    </cfRule>
    <cfRule type="expression" priority="4547" dxfId="9">
      <formula>Datos!C350="D2"</formula>
    </cfRule>
    <cfRule type="expression" priority="4548" dxfId="10">
      <formula>Datos!C350="D3"</formula>
    </cfRule>
    <cfRule type="expression" priority="4549" dxfId="11">
      <formula>Datos!C350="D4"</formula>
    </cfRule>
    <cfRule type="expression" priority="4550" dxfId="12">
      <formula>Datos!C350="MIX"</formula>
    </cfRule>
  </conditionalFormatting>
  <conditionalFormatting sqref="G31">
    <cfRule type="expression" priority="4551" dxfId="0">
      <formula>Datos!C351="C1"</formula>
    </cfRule>
    <cfRule type="expression" priority="4552" dxfId="1">
      <formula>Datos!C351="C2"</formula>
    </cfRule>
    <cfRule type="expression" priority="4553" dxfId="2">
      <formula>Datos!C351="C3"</formula>
    </cfRule>
    <cfRule type="expression" priority="4554" dxfId="3">
      <formula>Datos!C351="C4"</formula>
    </cfRule>
    <cfRule type="expression" priority="4555" dxfId="4">
      <formula>Datos!C351="M1"</formula>
    </cfRule>
    <cfRule type="expression" priority="4556" dxfId="5">
      <formula>Datos!C351="M2"</formula>
    </cfRule>
    <cfRule type="expression" priority="4557" dxfId="6">
      <formula>Datos!C351="M3"</formula>
    </cfRule>
    <cfRule type="expression" priority="4558" dxfId="7">
      <formula>Datos!C351="M4"</formula>
    </cfRule>
    <cfRule type="expression" priority="4559" dxfId="8">
      <formula>Datos!C351="D1"</formula>
    </cfRule>
    <cfRule type="expression" priority="4560" dxfId="9">
      <formula>Datos!C351="D2"</formula>
    </cfRule>
    <cfRule type="expression" priority="4561" dxfId="10">
      <formula>Datos!C351="D3"</formula>
    </cfRule>
    <cfRule type="expression" priority="4562" dxfId="11">
      <formula>Datos!C351="D4"</formula>
    </cfRule>
    <cfRule type="expression" priority="4563" dxfId="12">
      <formula>Datos!C351="MIX"</formula>
    </cfRule>
  </conditionalFormatting>
  <conditionalFormatting sqref="H31">
    <cfRule type="expression" priority="4564" dxfId="0">
      <formula>Datos!C352="C1"</formula>
    </cfRule>
    <cfRule type="expression" priority="4565" dxfId="1">
      <formula>Datos!C352="C2"</formula>
    </cfRule>
    <cfRule type="expression" priority="4566" dxfId="2">
      <formula>Datos!C352="C3"</formula>
    </cfRule>
    <cfRule type="expression" priority="4567" dxfId="3">
      <formula>Datos!C352="C4"</formula>
    </cfRule>
    <cfRule type="expression" priority="4568" dxfId="4">
      <formula>Datos!C352="M1"</formula>
    </cfRule>
    <cfRule type="expression" priority="4569" dxfId="5">
      <formula>Datos!C352="M2"</formula>
    </cfRule>
    <cfRule type="expression" priority="4570" dxfId="6">
      <formula>Datos!C352="M3"</formula>
    </cfRule>
    <cfRule type="expression" priority="4571" dxfId="7">
      <formula>Datos!C352="M4"</formula>
    </cfRule>
    <cfRule type="expression" priority="4572" dxfId="8">
      <formula>Datos!C352="D1"</formula>
    </cfRule>
    <cfRule type="expression" priority="4573" dxfId="9">
      <formula>Datos!C352="D2"</formula>
    </cfRule>
    <cfRule type="expression" priority="4574" dxfId="10">
      <formula>Datos!C352="D3"</formula>
    </cfRule>
    <cfRule type="expression" priority="4575" dxfId="11">
      <formula>Datos!C352="D4"</formula>
    </cfRule>
    <cfRule type="expression" priority="4576" dxfId="12">
      <formula>Datos!C352="MIX"</formula>
    </cfRule>
  </conditionalFormatting>
  <conditionalFormatting sqref="I31">
    <cfRule type="expression" priority="4577" dxfId="0">
      <formula>Datos!C353="C1"</formula>
    </cfRule>
    <cfRule type="expression" priority="4578" dxfId="1">
      <formula>Datos!C353="C2"</formula>
    </cfRule>
    <cfRule type="expression" priority="4579" dxfId="2">
      <formula>Datos!C353="C3"</formula>
    </cfRule>
    <cfRule type="expression" priority="4580" dxfId="3">
      <formula>Datos!C353="C4"</formula>
    </cfRule>
    <cfRule type="expression" priority="4581" dxfId="4">
      <formula>Datos!C353="M1"</formula>
    </cfRule>
    <cfRule type="expression" priority="4582" dxfId="5">
      <formula>Datos!C353="M2"</formula>
    </cfRule>
    <cfRule type="expression" priority="4583" dxfId="6">
      <formula>Datos!C353="M3"</formula>
    </cfRule>
    <cfRule type="expression" priority="4584" dxfId="7">
      <formula>Datos!C353="M4"</formula>
    </cfRule>
    <cfRule type="expression" priority="4585" dxfId="8">
      <formula>Datos!C353="D1"</formula>
    </cfRule>
    <cfRule type="expression" priority="4586" dxfId="9">
      <formula>Datos!C353="D2"</formula>
    </cfRule>
    <cfRule type="expression" priority="4587" dxfId="10">
      <formula>Datos!C353="D3"</formula>
    </cfRule>
    <cfRule type="expression" priority="4588" dxfId="11">
      <formula>Datos!C353="D4"</formula>
    </cfRule>
    <cfRule type="expression" priority="4589" dxfId="12">
      <formula>Datos!C353="MIX"</formula>
    </cfRule>
  </conditionalFormatting>
  <conditionalFormatting sqref="J31">
    <cfRule type="expression" priority="4590" dxfId="0">
      <formula>Datos!C354="C1"</formula>
    </cfRule>
    <cfRule type="expression" priority="4591" dxfId="1">
      <formula>Datos!C354="C2"</formula>
    </cfRule>
    <cfRule type="expression" priority="4592" dxfId="2">
      <formula>Datos!C354="C3"</formula>
    </cfRule>
    <cfRule type="expression" priority="4593" dxfId="3">
      <formula>Datos!C354="C4"</formula>
    </cfRule>
    <cfRule type="expression" priority="4594" dxfId="4">
      <formula>Datos!C354="M1"</formula>
    </cfRule>
    <cfRule type="expression" priority="4595" dxfId="5">
      <formula>Datos!C354="M2"</formula>
    </cfRule>
    <cfRule type="expression" priority="4596" dxfId="6">
      <formula>Datos!C354="M3"</formula>
    </cfRule>
    <cfRule type="expression" priority="4597" dxfId="7">
      <formula>Datos!C354="M4"</formula>
    </cfRule>
    <cfRule type="expression" priority="4598" dxfId="8">
      <formula>Datos!C354="D1"</formula>
    </cfRule>
    <cfRule type="expression" priority="4599" dxfId="9">
      <formula>Datos!C354="D2"</formula>
    </cfRule>
    <cfRule type="expression" priority="4600" dxfId="10">
      <formula>Datos!C354="D3"</formula>
    </cfRule>
    <cfRule type="expression" priority="4601" dxfId="11">
      <formula>Datos!C354="D4"</formula>
    </cfRule>
    <cfRule type="expression" priority="4602" dxfId="12">
      <formula>Datos!C354="MIX"</formula>
    </cfRule>
  </conditionalFormatting>
  <conditionalFormatting sqref="K31">
    <cfRule type="expression" priority="4603" dxfId="0">
      <formula>Datos!C355="C1"</formula>
    </cfRule>
    <cfRule type="expression" priority="4604" dxfId="1">
      <formula>Datos!C355="C2"</formula>
    </cfRule>
    <cfRule type="expression" priority="4605" dxfId="2">
      <formula>Datos!C355="C3"</formula>
    </cfRule>
    <cfRule type="expression" priority="4606" dxfId="3">
      <formula>Datos!C355="C4"</formula>
    </cfRule>
    <cfRule type="expression" priority="4607" dxfId="4">
      <formula>Datos!C355="M1"</formula>
    </cfRule>
    <cfRule type="expression" priority="4608" dxfId="5">
      <formula>Datos!C355="M2"</formula>
    </cfRule>
    <cfRule type="expression" priority="4609" dxfId="6">
      <formula>Datos!C355="M3"</formula>
    </cfRule>
    <cfRule type="expression" priority="4610" dxfId="7">
      <formula>Datos!C355="M4"</formula>
    </cfRule>
    <cfRule type="expression" priority="4611" dxfId="8">
      <formula>Datos!C355="D1"</formula>
    </cfRule>
    <cfRule type="expression" priority="4612" dxfId="9">
      <formula>Datos!C355="D2"</formula>
    </cfRule>
    <cfRule type="expression" priority="4613" dxfId="10">
      <formula>Datos!C355="D3"</formula>
    </cfRule>
    <cfRule type="expression" priority="4614" dxfId="11">
      <formula>Datos!C355="D4"</formula>
    </cfRule>
    <cfRule type="expression" priority="4615" dxfId="12">
      <formula>Datos!C355="MIX"</formula>
    </cfRule>
  </conditionalFormatting>
  <conditionalFormatting sqref="L31">
    <cfRule type="expression" priority="4616" dxfId="0">
      <formula>Datos!C356="C1"</formula>
    </cfRule>
    <cfRule type="expression" priority="4617" dxfId="1">
      <formula>Datos!C356="C2"</formula>
    </cfRule>
    <cfRule type="expression" priority="4618" dxfId="2">
      <formula>Datos!C356="C3"</formula>
    </cfRule>
    <cfRule type="expression" priority="4619" dxfId="3">
      <formula>Datos!C356="C4"</formula>
    </cfRule>
    <cfRule type="expression" priority="4620" dxfId="4">
      <formula>Datos!C356="M1"</formula>
    </cfRule>
    <cfRule type="expression" priority="4621" dxfId="5">
      <formula>Datos!C356="M2"</formula>
    </cfRule>
    <cfRule type="expression" priority="4622" dxfId="6">
      <formula>Datos!C356="M3"</formula>
    </cfRule>
    <cfRule type="expression" priority="4623" dxfId="7">
      <formula>Datos!C356="M4"</formula>
    </cfRule>
    <cfRule type="expression" priority="4624" dxfId="8">
      <formula>Datos!C356="D1"</formula>
    </cfRule>
    <cfRule type="expression" priority="4625" dxfId="9">
      <formula>Datos!C356="D2"</formula>
    </cfRule>
    <cfRule type="expression" priority="4626" dxfId="10">
      <formula>Datos!C356="D3"</formula>
    </cfRule>
    <cfRule type="expression" priority="4627" dxfId="11">
      <formula>Datos!C356="D4"</formula>
    </cfRule>
    <cfRule type="expression" priority="4628" dxfId="12">
      <formula>Datos!C356="MIX"</formula>
    </cfRule>
  </conditionalFormatting>
  <conditionalFormatting sqref="M31">
    <cfRule type="expression" priority="4629" dxfId="0">
      <formula>Datos!C357="C1"</formula>
    </cfRule>
    <cfRule type="expression" priority="4630" dxfId="1">
      <formula>Datos!C357="C2"</formula>
    </cfRule>
    <cfRule type="expression" priority="4631" dxfId="2">
      <formula>Datos!C357="C3"</formula>
    </cfRule>
    <cfRule type="expression" priority="4632" dxfId="3">
      <formula>Datos!C357="C4"</formula>
    </cfRule>
    <cfRule type="expression" priority="4633" dxfId="4">
      <formula>Datos!C357="M1"</formula>
    </cfRule>
    <cfRule type="expression" priority="4634" dxfId="5">
      <formula>Datos!C357="M2"</formula>
    </cfRule>
    <cfRule type="expression" priority="4635" dxfId="6">
      <formula>Datos!C357="M3"</formula>
    </cfRule>
    <cfRule type="expression" priority="4636" dxfId="7">
      <formula>Datos!C357="M4"</formula>
    </cfRule>
    <cfRule type="expression" priority="4637" dxfId="8">
      <formula>Datos!C357="D1"</formula>
    </cfRule>
    <cfRule type="expression" priority="4638" dxfId="9">
      <formula>Datos!C357="D2"</formula>
    </cfRule>
    <cfRule type="expression" priority="4639" dxfId="10">
      <formula>Datos!C357="D3"</formula>
    </cfRule>
    <cfRule type="expression" priority="4640" dxfId="11">
      <formula>Datos!C357="D4"</formula>
    </cfRule>
    <cfRule type="expression" priority="4641" dxfId="12">
      <formula>Datos!C357="MIX"</formula>
    </cfRule>
  </conditionalFormatting>
  <conditionalFormatting sqref="N31">
    <cfRule type="expression" priority="4642" dxfId="0">
      <formula>Datos!C358="C1"</formula>
    </cfRule>
    <cfRule type="expression" priority="4643" dxfId="1">
      <formula>Datos!C358="C2"</formula>
    </cfRule>
    <cfRule type="expression" priority="4644" dxfId="2">
      <formula>Datos!C358="C3"</formula>
    </cfRule>
    <cfRule type="expression" priority="4645" dxfId="3">
      <formula>Datos!C358="C4"</formula>
    </cfRule>
    <cfRule type="expression" priority="4646" dxfId="4">
      <formula>Datos!C358="M1"</formula>
    </cfRule>
    <cfRule type="expression" priority="4647" dxfId="5">
      <formula>Datos!C358="M2"</formula>
    </cfRule>
    <cfRule type="expression" priority="4648" dxfId="6">
      <formula>Datos!C358="M3"</formula>
    </cfRule>
    <cfRule type="expression" priority="4649" dxfId="7">
      <formula>Datos!C358="M4"</formula>
    </cfRule>
    <cfRule type="expression" priority="4650" dxfId="8">
      <formula>Datos!C358="D1"</formula>
    </cfRule>
    <cfRule type="expression" priority="4651" dxfId="9">
      <formula>Datos!C358="D2"</formula>
    </cfRule>
    <cfRule type="expression" priority="4652" dxfId="10">
      <formula>Datos!C358="D3"</formula>
    </cfRule>
    <cfRule type="expression" priority="4653" dxfId="11">
      <formula>Datos!C358="D4"</formula>
    </cfRule>
    <cfRule type="expression" priority="4654" dxfId="12">
      <formula>Datos!C358="MIX"</formula>
    </cfRule>
  </conditionalFormatting>
  <conditionalFormatting sqref="O31">
    <cfRule type="expression" priority="4655" dxfId="0">
      <formula>Datos!C359="C1"</formula>
    </cfRule>
    <cfRule type="expression" priority="4656" dxfId="1">
      <formula>Datos!C359="C2"</formula>
    </cfRule>
    <cfRule type="expression" priority="4657" dxfId="2">
      <formula>Datos!C359="C3"</formula>
    </cfRule>
    <cfRule type="expression" priority="4658" dxfId="3">
      <formula>Datos!C359="C4"</formula>
    </cfRule>
    <cfRule type="expression" priority="4659" dxfId="4">
      <formula>Datos!C359="M1"</formula>
    </cfRule>
    <cfRule type="expression" priority="4660" dxfId="5">
      <formula>Datos!C359="M2"</formula>
    </cfRule>
    <cfRule type="expression" priority="4661" dxfId="6">
      <formula>Datos!C359="M3"</formula>
    </cfRule>
    <cfRule type="expression" priority="4662" dxfId="7">
      <formula>Datos!C359="M4"</formula>
    </cfRule>
    <cfRule type="expression" priority="4663" dxfId="8">
      <formula>Datos!C359="D1"</formula>
    </cfRule>
    <cfRule type="expression" priority="4664" dxfId="9">
      <formula>Datos!C359="D2"</formula>
    </cfRule>
    <cfRule type="expression" priority="4665" dxfId="10">
      <formula>Datos!C359="D3"</formula>
    </cfRule>
    <cfRule type="expression" priority="4666" dxfId="11">
      <formula>Datos!C359="D4"</formula>
    </cfRule>
    <cfRule type="expression" priority="4667" dxfId="12">
      <formula>Datos!C359="MIX"</formula>
    </cfRule>
  </conditionalFormatting>
  <conditionalFormatting sqref="P31">
    <cfRule type="expression" priority="4668" dxfId="0">
      <formula>Datos!C360="C1"</formula>
    </cfRule>
    <cfRule type="expression" priority="4669" dxfId="1">
      <formula>Datos!C360="C2"</formula>
    </cfRule>
    <cfRule type="expression" priority="4670" dxfId="2">
      <formula>Datos!C360="C3"</formula>
    </cfRule>
    <cfRule type="expression" priority="4671" dxfId="3">
      <formula>Datos!C360="C4"</formula>
    </cfRule>
    <cfRule type="expression" priority="4672" dxfId="4">
      <formula>Datos!C360="M1"</formula>
    </cfRule>
    <cfRule type="expression" priority="4673" dxfId="5">
      <formula>Datos!C360="M2"</formula>
    </cfRule>
    <cfRule type="expression" priority="4674" dxfId="6">
      <formula>Datos!C360="M3"</formula>
    </cfRule>
    <cfRule type="expression" priority="4675" dxfId="7">
      <formula>Datos!C360="M4"</formula>
    </cfRule>
    <cfRule type="expression" priority="4676" dxfId="8">
      <formula>Datos!C360="D1"</formula>
    </cfRule>
    <cfRule type="expression" priority="4677" dxfId="9">
      <formula>Datos!C360="D2"</formula>
    </cfRule>
    <cfRule type="expression" priority="4678" dxfId="10">
      <formula>Datos!C360="D3"</formula>
    </cfRule>
    <cfRule type="expression" priority="4679" dxfId="11">
      <formula>Datos!C360="D4"</formula>
    </cfRule>
    <cfRule type="expression" priority="4680" dxfId="12">
      <formula>Datos!C360="MIX"</formula>
    </cfRule>
  </conditionalFormatting>
  <conditionalFormatting sqref="B34">
    <cfRule type="expression" priority="4681" dxfId="0">
      <formula>Datos!C361="C1"</formula>
    </cfRule>
    <cfRule type="expression" priority="4682" dxfId="1">
      <formula>Datos!C361="C2"</formula>
    </cfRule>
    <cfRule type="expression" priority="4683" dxfId="2">
      <formula>Datos!C361="C3"</formula>
    </cfRule>
    <cfRule type="expression" priority="4684" dxfId="3">
      <formula>Datos!C361="C4"</formula>
    </cfRule>
    <cfRule type="expression" priority="4685" dxfId="4">
      <formula>Datos!C361="M1"</formula>
    </cfRule>
    <cfRule type="expression" priority="4686" dxfId="5">
      <formula>Datos!C361="M2"</formula>
    </cfRule>
    <cfRule type="expression" priority="4687" dxfId="6">
      <formula>Datos!C361="M3"</formula>
    </cfRule>
    <cfRule type="expression" priority="4688" dxfId="7">
      <formula>Datos!C361="M4"</formula>
    </cfRule>
    <cfRule type="expression" priority="4689" dxfId="8">
      <formula>Datos!C361="D1"</formula>
    </cfRule>
    <cfRule type="expression" priority="4690" dxfId="9">
      <formula>Datos!C361="D2"</formula>
    </cfRule>
    <cfRule type="expression" priority="4691" dxfId="10">
      <formula>Datos!C361="D3"</formula>
    </cfRule>
    <cfRule type="expression" priority="4692" dxfId="11">
      <formula>Datos!C361="D4"</formula>
    </cfRule>
    <cfRule type="expression" priority="4693" dxfId="12">
      <formula>Datos!C361="MIX"</formula>
    </cfRule>
  </conditionalFormatting>
  <conditionalFormatting sqref="C34">
    <cfRule type="expression" priority="4694" dxfId="0">
      <formula>Datos!C362="C1"</formula>
    </cfRule>
    <cfRule type="expression" priority="4695" dxfId="1">
      <formula>Datos!C362="C2"</formula>
    </cfRule>
    <cfRule type="expression" priority="4696" dxfId="2">
      <formula>Datos!C362="C3"</formula>
    </cfRule>
    <cfRule type="expression" priority="4697" dxfId="3">
      <formula>Datos!C362="C4"</formula>
    </cfRule>
    <cfRule type="expression" priority="4698" dxfId="4">
      <formula>Datos!C362="M1"</formula>
    </cfRule>
    <cfRule type="expression" priority="4699" dxfId="5">
      <formula>Datos!C362="M2"</formula>
    </cfRule>
    <cfRule type="expression" priority="4700" dxfId="6">
      <formula>Datos!C362="M3"</formula>
    </cfRule>
    <cfRule type="expression" priority="4701" dxfId="7">
      <formula>Datos!C362="M4"</formula>
    </cfRule>
    <cfRule type="expression" priority="4702" dxfId="8">
      <formula>Datos!C362="D1"</formula>
    </cfRule>
    <cfRule type="expression" priority="4703" dxfId="9">
      <formula>Datos!C362="D2"</formula>
    </cfRule>
    <cfRule type="expression" priority="4704" dxfId="10">
      <formula>Datos!C362="D3"</formula>
    </cfRule>
    <cfRule type="expression" priority="4705" dxfId="11">
      <formula>Datos!C362="D4"</formula>
    </cfRule>
    <cfRule type="expression" priority="4706" dxfId="12">
      <formula>Datos!C362="MIX"</formula>
    </cfRule>
  </conditionalFormatting>
  <conditionalFormatting sqref="D34">
    <cfRule type="expression" priority="4707" dxfId="0">
      <formula>Datos!C363="C1"</formula>
    </cfRule>
    <cfRule type="expression" priority="4708" dxfId="1">
      <formula>Datos!C363="C2"</formula>
    </cfRule>
    <cfRule type="expression" priority="4709" dxfId="2">
      <formula>Datos!C363="C3"</formula>
    </cfRule>
    <cfRule type="expression" priority="4710" dxfId="3">
      <formula>Datos!C363="C4"</formula>
    </cfRule>
    <cfRule type="expression" priority="4711" dxfId="4">
      <formula>Datos!C363="M1"</formula>
    </cfRule>
    <cfRule type="expression" priority="4712" dxfId="5">
      <formula>Datos!C363="M2"</formula>
    </cfRule>
    <cfRule type="expression" priority="4713" dxfId="6">
      <formula>Datos!C363="M3"</formula>
    </cfRule>
    <cfRule type="expression" priority="4714" dxfId="7">
      <formula>Datos!C363="M4"</formula>
    </cfRule>
    <cfRule type="expression" priority="4715" dxfId="8">
      <formula>Datos!C363="D1"</formula>
    </cfRule>
    <cfRule type="expression" priority="4716" dxfId="9">
      <formula>Datos!C363="D2"</formula>
    </cfRule>
    <cfRule type="expression" priority="4717" dxfId="10">
      <formula>Datos!C363="D3"</formula>
    </cfRule>
    <cfRule type="expression" priority="4718" dxfId="11">
      <formula>Datos!C363="D4"</formula>
    </cfRule>
    <cfRule type="expression" priority="4719" dxfId="12">
      <formula>Datos!C363="MIX"</formula>
    </cfRule>
  </conditionalFormatting>
  <conditionalFormatting sqref="E34">
    <cfRule type="expression" priority="4720" dxfId="0">
      <formula>Datos!C364="C1"</formula>
    </cfRule>
    <cfRule type="expression" priority="4721" dxfId="1">
      <formula>Datos!C364="C2"</formula>
    </cfRule>
    <cfRule type="expression" priority="4722" dxfId="2">
      <formula>Datos!C364="C3"</formula>
    </cfRule>
    <cfRule type="expression" priority="4723" dxfId="3">
      <formula>Datos!C364="C4"</formula>
    </cfRule>
    <cfRule type="expression" priority="4724" dxfId="4">
      <formula>Datos!C364="M1"</formula>
    </cfRule>
    <cfRule type="expression" priority="4725" dxfId="5">
      <formula>Datos!C364="M2"</formula>
    </cfRule>
    <cfRule type="expression" priority="4726" dxfId="6">
      <formula>Datos!C364="M3"</formula>
    </cfRule>
    <cfRule type="expression" priority="4727" dxfId="7">
      <formula>Datos!C364="M4"</formula>
    </cfRule>
    <cfRule type="expression" priority="4728" dxfId="8">
      <formula>Datos!C364="D1"</formula>
    </cfRule>
    <cfRule type="expression" priority="4729" dxfId="9">
      <formula>Datos!C364="D2"</formula>
    </cfRule>
    <cfRule type="expression" priority="4730" dxfId="10">
      <formula>Datos!C364="D3"</formula>
    </cfRule>
    <cfRule type="expression" priority="4731" dxfId="11">
      <formula>Datos!C364="D4"</formula>
    </cfRule>
    <cfRule type="expression" priority="4732" dxfId="12">
      <formula>Datos!C364="MIX"</formula>
    </cfRule>
  </conditionalFormatting>
  <conditionalFormatting sqref="F34">
    <cfRule type="expression" priority="4733" dxfId="0">
      <formula>Datos!C365="C1"</formula>
    </cfRule>
    <cfRule type="expression" priority="4734" dxfId="1">
      <formula>Datos!C365="C2"</formula>
    </cfRule>
    <cfRule type="expression" priority="4735" dxfId="2">
      <formula>Datos!C365="C3"</formula>
    </cfRule>
    <cfRule type="expression" priority="4736" dxfId="3">
      <formula>Datos!C365="C4"</formula>
    </cfRule>
    <cfRule type="expression" priority="4737" dxfId="4">
      <formula>Datos!C365="M1"</formula>
    </cfRule>
    <cfRule type="expression" priority="4738" dxfId="5">
      <formula>Datos!C365="M2"</formula>
    </cfRule>
    <cfRule type="expression" priority="4739" dxfId="6">
      <formula>Datos!C365="M3"</formula>
    </cfRule>
    <cfRule type="expression" priority="4740" dxfId="7">
      <formula>Datos!C365="M4"</formula>
    </cfRule>
    <cfRule type="expression" priority="4741" dxfId="8">
      <formula>Datos!C365="D1"</formula>
    </cfRule>
    <cfRule type="expression" priority="4742" dxfId="9">
      <formula>Datos!C365="D2"</formula>
    </cfRule>
    <cfRule type="expression" priority="4743" dxfId="10">
      <formula>Datos!C365="D3"</formula>
    </cfRule>
    <cfRule type="expression" priority="4744" dxfId="11">
      <formula>Datos!C365="D4"</formula>
    </cfRule>
    <cfRule type="expression" priority="4745" dxfId="12">
      <formula>Datos!C365="MIX"</formula>
    </cfRule>
  </conditionalFormatting>
  <conditionalFormatting sqref="G34">
    <cfRule type="expression" priority="4746" dxfId="0">
      <formula>Datos!C366="C1"</formula>
    </cfRule>
    <cfRule type="expression" priority="4747" dxfId="1">
      <formula>Datos!C366="C2"</formula>
    </cfRule>
    <cfRule type="expression" priority="4748" dxfId="2">
      <formula>Datos!C366="C3"</formula>
    </cfRule>
    <cfRule type="expression" priority="4749" dxfId="3">
      <formula>Datos!C366="C4"</formula>
    </cfRule>
    <cfRule type="expression" priority="4750" dxfId="4">
      <formula>Datos!C366="M1"</formula>
    </cfRule>
    <cfRule type="expression" priority="4751" dxfId="5">
      <formula>Datos!C366="M2"</formula>
    </cfRule>
    <cfRule type="expression" priority="4752" dxfId="6">
      <formula>Datos!C366="M3"</formula>
    </cfRule>
    <cfRule type="expression" priority="4753" dxfId="7">
      <formula>Datos!C366="M4"</formula>
    </cfRule>
    <cfRule type="expression" priority="4754" dxfId="8">
      <formula>Datos!C366="D1"</formula>
    </cfRule>
    <cfRule type="expression" priority="4755" dxfId="9">
      <formula>Datos!C366="D2"</formula>
    </cfRule>
    <cfRule type="expression" priority="4756" dxfId="10">
      <formula>Datos!C366="D3"</formula>
    </cfRule>
    <cfRule type="expression" priority="4757" dxfId="11">
      <formula>Datos!C366="D4"</formula>
    </cfRule>
    <cfRule type="expression" priority="4758" dxfId="12">
      <formula>Datos!C366="MIX"</formula>
    </cfRule>
  </conditionalFormatting>
  <conditionalFormatting sqref="H34">
    <cfRule type="expression" priority="4759" dxfId="0">
      <formula>Datos!C367="C1"</formula>
    </cfRule>
    <cfRule type="expression" priority="4760" dxfId="1">
      <formula>Datos!C367="C2"</formula>
    </cfRule>
    <cfRule type="expression" priority="4761" dxfId="2">
      <formula>Datos!C367="C3"</formula>
    </cfRule>
    <cfRule type="expression" priority="4762" dxfId="3">
      <formula>Datos!C367="C4"</formula>
    </cfRule>
    <cfRule type="expression" priority="4763" dxfId="4">
      <formula>Datos!C367="M1"</formula>
    </cfRule>
    <cfRule type="expression" priority="4764" dxfId="5">
      <formula>Datos!C367="M2"</formula>
    </cfRule>
    <cfRule type="expression" priority="4765" dxfId="6">
      <formula>Datos!C367="M3"</formula>
    </cfRule>
    <cfRule type="expression" priority="4766" dxfId="7">
      <formula>Datos!C367="M4"</formula>
    </cfRule>
    <cfRule type="expression" priority="4767" dxfId="8">
      <formula>Datos!C367="D1"</formula>
    </cfRule>
    <cfRule type="expression" priority="4768" dxfId="9">
      <formula>Datos!C367="D2"</formula>
    </cfRule>
    <cfRule type="expression" priority="4769" dxfId="10">
      <formula>Datos!C367="D3"</formula>
    </cfRule>
    <cfRule type="expression" priority="4770" dxfId="11">
      <formula>Datos!C367="D4"</formula>
    </cfRule>
    <cfRule type="expression" priority="4771" dxfId="12">
      <formula>Datos!C367="MIX"</formula>
    </cfRule>
  </conditionalFormatting>
  <conditionalFormatting sqref="I34">
    <cfRule type="expression" priority="4772" dxfId="0">
      <formula>Datos!C368="C1"</formula>
    </cfRule>
    <cfRule type="expression" priority="4773" dxfId="1">
      <formula>Datos!C368="C2"</formula>
    </cfRule>
    <cfRule type="expression" priority="4774" dxfId="2">
      <formula>Datos!C368="C3"</formula>
    </cfRule>
    <cfRule type="expression" priority="4775" dxfId="3">
      <formula>Datos!C368="C4"</formula>
    </cfRule>
    <cfRule type="expression" priority="4776" dxfId="4">
      <formula>Datos!C368="M1"</formula>
    </cfRule>
    <cfRule type="expression" priority="4777" dxfId="5">
      <formula>Datos!C368="M2"</formula>
    </cfRule>
    <cfRule type="expression" priority="4778" dxfId="6">
      <formula>Datos!C368="M3"</formula>
    </cfRule>
    <cfRule type="expression" priority="4779" dxfId="7">
      <formula>Datos!C368="M4"</formula>
    </cfRule>
    <cfRule type="expression" priority="4780" dxfId="8">
      <formula>Datos!C368="D1"</formula>
    </cfRule>
    <cfRule type="expression" priority="4781" dxfId="9">
      <formula>Datos!C368="D2"</formula>
    </cfRule>
    <cfRule type="expression" priority="4782" dxfId="10">
      <formula>Datos!C368="D3"</formula>
    </cfRule>
    <cfRule type="expression" priority="4783" dxfId="11">
      <formula>Datos!C368="D4"</formula>
    </cfRule>
    <cfRule type="expression" priority="4784" dxfId="12">
      <formula>Datos!C368="MIX"</formula>
    </cfRule>
  </conditionalFormatting>
  <conditionalFormatting sqref="J34">
    <cfRule type="expression" priority="4785" dxfId="0">
      <formula>Datos!C369="C1"</formula>
    </cfRule>
    <cfRule type="expression" priority="4786" dxfId="1">
      <formula>Datos!C369="C2"</formula>
    </cfRule>
    <cfRule type="expression" priority="4787" dxfId="2">
      <formula>Datos!C369="C3"</formula>
    </cfRule>
    <cfRule type="expression" priority="4788" dxfId="3">
      <formula>Datos!C369="C4"</formula>
    </cfRule>
    <cfRule type="expression" priority="4789" dxfId="4">
      <formula>Datos!C369="M1"</formula>
    </cfRule>
    <cfRule type="expression" priority="4790" dxfId="5">
      <formula>Datos!C369="M2"</formula>
    </cfRule>
    <cfRule type="expression" priority="4791" dxfId="6">
      <formula>Datos!C369="M3"</formula>
    </cfRule>
    <cfRule type="expression" priority="4792" dxfId="7">
      <formula>Datos!C369="M4"</formula>
    </cfRule>
    <cfRule type="expression" priority="4793" dxfId="8">
      <formula>Datos!C369="D1"</formula>
    </cfRule>
    <cfRule type="expression" priority="4794" dxfId="9">
      <formula>Datos!C369="D2"</formula>
    </cfRule>
    <cfRule type="expression" priority="4795" dxfId="10">
      <formula>Datos!C369="D3"</formula>
    </cfRule>
    <cfRule type="expression" priority="4796" dxfId="11">
      <formula>Datos!C369="D4"</formula>
    </cfRule>
    <cfRule type="expression" priority="4797" dxfId="12">
      <formula>Datos!C369="MIX"</formula>
    </cfRule>
  </conditionalFormatting>
  <conditionalFormatting sqref="K34">
    <cfRule type="expression" priority="4798" dxfId="0">
      <formula>Datos!C370="C1"</formula>
    </cfRule>
    <cfRule type="expression" priority="4799" dxfId="1">
      <formula>Datos!C370="C2"</formula>
    </cfRule>
    <cfRule type="expression" priority="4800" dxfId="2">
      <formula>Datos!C370="C3"</formula>
    </cfRule>
    <cfRule type="expression" priority="4801" dxfId="3">
      <formula>Datos!C370="C4"</formula>
    </cfRule>
    <cfRule type="expression" priority="4802" dxfId="4">
      <formula>Datos!C370="M1"</formula>
    </cfRule>
    <cfRule type="expression" priority="4803" dxfId="5">
      <formula>Datos!C370="M2"</formula>
    </cfRule>
    <cfRule type="expression" priority="4804" dxfId="6">
      <formula>Datos!C370="M3"</formula>
    </cfRule>
    <cfRule type="expression" priority="4805" dxfId="7">
      <formula>Datos!C370="M4"</formula>
    </cfRule>
    <cfRule type="expression" priority="4806" dxfId="8">
      <formula>Datos!C370="D1"</formula>
    </cfRule>
    <cfRule type="expression" priority="4807" dxfId="9">
      <formula>Datos!C370="D2"</formula>
    </cfRule>
    <cfRule type="expression" priority="4808" dxfId="10">
      <formula>Datos!C370="D3"</formula>
    </cfRule>
    <cfRule type="expression" priority="4809" dxfId="11">
      <formula>Datos!C370="D4"</formula>
    </cfRule>
    <cfRule type="expression" priority="4810" dxfId="12">
      <formula>Datos!C370="MIX"</formula>
    </cfRule>
  </conditionalFormatting>
  <conditionalFormatting sqref="L34">
    <cfRule type="expression" priority="4811" dxfId="0">
      <formula>Datos!C371="C1"</formula>
    </cfRule>
    <cfRule type="expression" priority="4812" dxfId="1">
      <formula>Datos!C371="C2"</formula>
    </cfRule>
    <cfRule type="expression" priority="4813" dxfId="2">
      <formula>Datos!C371="C3"</formula>
    </cfRule>
    <cfRule type="expression" priority="4814" dxfId="3">
      <formula>Datos!C371="C4"</formula>
    </cfRule>
    <cfRule type="expression" priority="4815" dxfId="4">
      <formula>Datos!C371="M1"</formula>
    </cfRule>
    <cfRule type="expression" priority="4816" dxfId="5">
      <formula>Datos!C371="M2"</formula>
    </cfRule>
    <cfRule type="expression" priority="4817" dxfId="6">
      <formula>Datos!C371="M3"</formula>
    </cfRule>
    <cfRule type="expression" priority="4818" dxfId="7">
      <formula>Datos!C371="M4"</formula>
    </cfRule>
    <cfRule type="expression" priority="4819" dxfId="8">
      <formula>Datos!C371="D1"</formula>
    </cfRule>
    <cfRule type="expression" priority="4820" dxfId="9">
      <formula>Datos!C371="D2"</formula>
    </cfRule>
    <cfRule type="expression" priority="4821" dxfId="10">
      <formula>Datos!C371="D3"</formula>
    </cfRule>
    <cfRule type="expression" priority="4822" dxfId="11">
      <formula>Datos!C371="D4"</formula>
    </cfRule>
    <cfRule type="expression" priority="4823" dxfId="12">
      <formula>Datos!C371="MIX"</formula>
    </cfRule>
  </conditionalFormatting>
  <conditionalFormatting sqref="M34">
    <cfRule type="expression" priority="4824" dxfId="0">
      <formula>Datos!C372="C1"</formula>
    </cfRule>
    <cfRule type="expression" priority="4825" dxfId="1">
      <formula>Datos!C372="C2"</formula>
    </cfRule>
    <cfRule type="expression" priority="4826" dxfId="2">
      <formula>Datos!C372="C3"</formula>
    </cfRule>
    <cfRule type="expression" priority="4827" dxfId="3">
      <formula>Datos!C372="C4"</formula>
    </cfRule>
    <cfRule type="expression" priority="4828" dxfId="4">
      <formula>Datos!C372="M1"</formula>
    </cfRule>
    <cfRule type="expression" priority="4829" dxfId="5">
      <formula>Datos!C372="M2"</formula>
    </cfRule>
    <cfRule type="expression" priority="4830" dxfId="6">
      <formula>Datos!C372="M3"</formula>
    </cfRule>
    <cfRule type="expression" priority="4831" dxfId="7">
      <formula>Datos!C372="M4"</formula>
    </cfRule>
    <cfRule type="expression" priority="4832" dxfId="8">
      <formula>Datos!C372="D1"</formula>
    </cfRule>
    <cfRule type="expression" priority="4833" dxfId="9">
      <formula>Datos!C372="D2"</formula>
    </cfRule>
    <cfRule type="expression" priority="4834" dxfId="10">
      <formula>Datos!C372="D3"</formula>
    </cfRule>
    <cfRule type="expression" priority="4835" dxfId="11">
      <formula>Datos!C372="D4"</formula>
    </cfRule>
    <cfRule type="expression" priority="4836" dxfId="12">
      <formula>Datos!C372="MIX"</formula>
    </cfRule>
  </conditionalFormatting>
  <conditionalFormatting sqref="N34">
    <cfRule type="expression" priority="4837" dxfId="0">
      <formula>Datos!C373="C1"</formula>
    </cfRule>
    <cfRule type="expression" priority="4838" dxfId="1">
      <formula>Datos!C373="C2"</formula>
    </cfRule>
    <cfRule type="expression" priority="4839" dxfId="2">
      <formula>Datos!C373="C3"</formula>
    </cfRule>
    <cfRule type="expression" priority="4840" dxfId="3">
      <formula>Datos!C373="C4"</formula>
    </cfRule>
    <cfRule type="expression" priority="4841" dxfId="4">
      <formula>Datos!C373="M1"</formula>
    </cfRule>
    <cfRule type="expression" priority="4842" dxfId="5">
      <formula>Datos!C373="M2"</formula>
    </cfRule>
    <cfRule type="expression" priority="4843" dxfId="6">
      <formula>Datos!C373="M3"</formula>
    </cfRule>
    <cfRule type="expression" priority="4844" dxfId="7">
      <formula>Datos!C373="M4"</formula>
    </cfRule>
    <cfRule type="expression" priority="4845" dxfId="8">
      <formula>Datos!C373="D1"</formula>
    </cfRule>
    <cfRule type="expression" priority="4846" dxfId="9">
      <formula>Datos!C373="D2"</formula>
    </cfRule>
    <cfRule type="expression" priority="4847" dxfId="10">
      <formula>Datos!C373="D3"</formula>
    </cfRule>
    <cfRule type="expression" priority="4848" dxfId="11">
      <formula>Datos!C373="D4"</formula>
    </cfRule>
    <cfRule type="expression" priority="4849" dxfId="12">
      <formula>Datos!C373="MIX"</formula>
    </cfRule>
  </conditionalFormatting>
  <conditionalFormatting sqref="O34">
    <cfRule type="expression" priority="4850" dxfId="0">
      <formula>Datos!C374="C1"</formula>
    </cfRule>
    <cfRule type="expression" priority="4851" dxfId="1">
      <formula>Datos!C374="C2"</formula>
    </cfRule>
    <cfRule type="expression" priority="4852" dxfId="2">
      <formula>Datos!C374="C3"</formula>
    </cfRule>
    <cfRule type="expression" priority="4853" dxfId="3">
      <formula>Datos!C374="C4"</formula>
    </cfRule>
    <cfRule type="expression" priority="4854" dxfId="4">
      <formula>Datos!C374="M1"</formula>
    </cfRule>
    <cfRule type="expression" priority="4855" dxfId="5">
      <formula>Datos!C374="M2"</formula>
    </cfRule>
    <cfRule type="expression" priority="4856" dxfId="6">
      <formula>Datos!C374="M3"</formula>
    </cfRule>
    <cfRule type="expression" priority="4857" dxfId="7">
      <formula>Datos!C374="M4"</formula>
    </cfRule>
    <cfRule type="expression" priority="4858" dxfId="8">
      <formula>Datos!C374="D1"</formula>
    </cfRule>
    <cfRule type="expression" priority="4859" dxfId="9">
      <formula>Datos!C374="D2"</formula>
    </cfRule>
    <cfRule type="expression" priority="4860" dxfId="10">
      <formula>Datos!C374="D3"</formula>
    </cfRule>
    <cfRule type="expression" priority="4861" dxfId="11">
      <formula>Datos!C374="D4"</formula>
    </cfRule>
    <cfRule type="expression" priority="4862" dxfId="12">
      <formula>Datos!C374="MIX"</formula>
    </cfRule>
  </conditionalFormatting>
  <conditionalFormatting sqref="P34">
    <cfRule type="expression" priority="4863" dxfId="0">
      <formula>Datos!C375="C1"</formula>
    </cfRule>
    <cfRule type="expression" priority="4864" dxfId="1">
      <formula>Datos!C375="C2"</formula>
    </cfRule>
    <cfRule type="expression" priority="4865" dxfId="2">
      <formula>Datos!C375="C3"</formula>
    </cfRule>
    <cfRule type="expression" priority="4866" dxfId="3">
      <formula>Datos!C375="C4"</formula>
    </cfRule>
    <cfRule type="expression" priority="4867" dxfId="4">
      <formula>Datos!C375="M1"</formula>
    </cfRule>
    <cfRule type="expression" priority="4868" dxfId="5">
      <formula>Datos!C375="M2"</formula>
    </cfRule>
    <cfRule type="expression" priority="4869" dxfId="6">
      <formula>Datos!C375="M3"</formula>
    </cfRule>
    <cfRule type="expression" priority="4870" dxfId="7">
      <formula>Datos!C375="M4"</formula>
    </cfRule>
    <cfRule type="expression" priority="4871" dxfId="8">
      <formula>Datos!C375="D1"</formula>
    </cfRule>
    <cfRule type="expression" priority="4872" dxfId="9">
      <formula>Datos!C375="D2"</formula>
    </cfRule>
    <cfRule type="expression" priority="4873" dxfId="10">
      <formula>Datos!C375="D3"</formula>
    </cfRule>
    <cfRule type="expression" priority="4874" dxfId="11">
      <formula>Datos!C375="D4"</formula>
    </cfRule>
    <cfRule type="expression" priority="4875" dxfId="12">
      <formula>Datos!C375="MIX"</formula>
    </cfRule>
  </conditionalFormatting>
  <conditionalFormatting sqref="B35">
    <cfRule type="expression" priority="4876" dxfId="0">
      <formula>Datos!C376="C1"</formula>
    </cfRule>
    <cfRule type="expression" priority="4877" dxfId="1">
      <formula>Datos!C376="C2"</formula>
    </cfRule>
    <cfRule type="expression" priority="4878" dxfId="2">
      <formula>Datos!C376="C3"</formula>
    </cfRule>
    <cfRule type="expression" priority="4879" dxfId="3">
      <formula>Datos!C376="C4"</formula>
    </cfRule>
    <cfRule type="expression" priority="4880" dxfId="4">
      <formula>Datos!C376="M1"</formula>
    </cfRule>
    <cfRule type="expression" priority="4881" dxfId="5">
      <formula>Datos!C376="M2"</formula>
    </cfRule>
    <cfRule type="expression" priority="4882" dxfId="6">
      <formula>Datos!C376="M3"</formula>
    </cfRule>
    <cfRule type="expression" priority="4883" dxfId="7">
      <formula>Datos!C376="M4"</formula>
    </cfRule>
    <cfRule type="expression" priority="4884" dxfId="8">
      <formula>Datos!C376="D1"</formula>
    </cfRule>
    <cfRule type="expression" priority="4885" dxfId="9">
      <formula>Datos!C376="D2"</formula>
    </cfRule>
    <cfRule type="expression" priority="4886" dxfId="10">
      <formula>Datos!C376="D3"</formula>
    </cfRule>
    <cfRule type="expression" priority="4887" dxfId="11">
      <formula>Datos!C376="D4"</formula>
    </cfRule>
    <cfRule type="expression" priority="4888" dxfId="12">
      <formula>Datos!C376="MIX"</formula>
    </cfRule>
  </conditionalFormatting>
  <conditionalFormatting sqref="C35">
    <cfRule type="expression" priority="4889" dxfId="0">
      <formula>Datos!C377="C1"</formula>
    </cfRule>
    <cfRule type="expression" priority="4890" dxfId="1">
      <formula>Datos!C377="C2"</formula>
    </cfRule>
    <cfRule type="expression" priority="4891" dxfId="2">
      <formula>Datos!C377="C3"</formula>
    </cfRule>
    <cfRule type="expression" priority="4892" dxfId="3">
      <formula>Datos!C377="C4"</formula>
    </cfRule>
    <cfRule type="expression" priority="4893" dxfId="4">
      <formula>Datos!C377="M1"</formula>
    </cfRule>
    <cfRule type="expression" priority="4894" dxfId="5">
      <formula>Datos!C377="M2"</formula>
    </cfRule>
    <cfRule type="expression" priority="4895" dxfId="6">
      <formula>Datos!C377="M3"</formula>
    </cfRule>
    <cfRule type="expression" priority="4896" dxfId="7">
      <formula>Datos!C377="M4"</formula>
    </cfRule>
    <cfRule type="expression" priority="4897" dxfId="8">
      <formula>Datos!C377="D1"</formula>
    </cfRule>
    <cfRule type="expression" priority="4898" dxfId="9">
      <formula>Datos!C377="D2"</formula>
    </cfRule>
    <cfRule type="expression" priority="4899" dxfId="10">
      <formula>Datos!C377="D3"</formula>
    </cfRule>
    <cfRule type="expression" priority="4900" dxfId="11">
      <formula>Datos!C377="D4"</formula>
    </cfRule>
    <cfRule type="expression" priority="4901" dxfId="12">
      <formula>Datos!C377="MIX"</formula>
    </cfRule>
  </conditionalFormatting>
  <conditionalFormatting sqref="D35">
    <cfRule type="expression" priority="4902" dxfId="0">
      <formula>Datos!C378="C1"</formula>
    </cfRule>
    <cfRule type="expression" priority="4903" dxfId="1">
      <formula>Datos!C378="C2"</formula>
    </cfRule>
    <cfRule type="expression" priority="4904" dxfId="2">
      <formula>Datos!C378="C3"</formula>
    </cfRule>
    <cfRule type="expression" priority="4905" dxfId="3">
      <formula>Datos!C378="C4"</formula>
    </cfRule>
    <cfRule type="expression" priority="4906" dxfId="4">
      <formula>Datos!C378="M1"</formula>
    </cfRule>
    <cfRule type="expression" priority="4907" dxfId="5">
      <formula>Datos!C378="M2"</formula>
    </cfRule>
    <cfRule type="expression" priority="4908" dxfId="6">
      <formula>Datos!C378="M3"</formula>
    </cfRule>
    <cfRule type="expression" priority="4909" dxfId="7">
      <formula>Datos!C378="M4"</formula>
    </cfRule>
    <cfRule type="expression" priority="4910" dxfId="8">
      <formula>Datos!C378="D1"</formula>
    </cfRule>
    <cfRule type="expression" priority="4911" dxfId="9">
      <formula>Datos!C378="D2"</formula>
    </cfRule>
    <cfRule type="expression" priority="4912" dxfId="10">
      <formula>Datos!C378="D3"</formula>
    </cfRule>
    <cfRule type="expression" priority="4913" dxfId="11">
      <formula>Datos!C378="D4"</formula>
    </cfRule>
    <cfRule type="expression" priority="4914" dxfId="12">
      <formula>Datos!C378="MIX"</formula>
    </cfRule>
  </conditionalFormatting>
  <conditionalFormatting sqref="E35">
    <cfRule type="expression" priority="4915" dxfId="0">
      <formula>Datos!C379="C1"</formula>
    </cfRule>
    <cfRule type="expression" priority="4916" dxfId="1">
      <formula>Datos!C379="C2"</formula>
    </cfRule>
    <cfRule type="expression" priority="4917" dxfId="2">
      <formula>Datos!C379="C3"</formula>
    </cfRule>
    <cfRule type="expression" priority="4918" dxfId="3">
      <formula>Datos!C379="C4"</formula>
    </cfRule>
    <cfRule type="expression" priority="4919" dxfId="4">
      <formula>Datos!C379="M1"</formula>
    </cfRule>
    <cfRule type="expression" priority="4920" dxfId="5">
      <formula>Datos!C379="M2"</formula>
    </cfRule>
    <cfRule type="expression" priority="4921" dxfId="6">
      <formula>Datos!C379="M3"</formula>
    </cfRule>
    <cfRule type="expression" priority="4922" dxfId="7">
      <formula>Datos!C379="M4"</formula>
    </cfRule>
    <cfRule type="expression" priority="4923" dxfId="8">
      <formula>Datos!C379="D1"</formula>
    </cfRule>
    <cfRule type="expression" priority="4924" dxfId="9">
      <formula>Datos!C379="D2"</formula>
    </cfRule>
    <cfRule type="expression" priority="4925" dxfId="10">
      <formula>Datos!C379="D3"</formula>
    </cfRule>
    <cfRule type="expression" priority="4926" dxfId="11">
      <formula>Datos!C379="D4"</formula>
    </cfRule>
    <cfRule type="expression" priority="4927" dxfId="12">
      <formula>Datos!C379="MIX"</formula>
    </cfRule>
  </conditionalFormatting>
  <conditionalFormatting sqref="F35">
    <cfRule type="expression" priority="4928" dxfId="0">
      <formula>Datos!C380="C1"</formula>
    </cfRule>
    <cfRule type="expression" priority="4929" dxfId="1">
      <formula>Datos!C380="C2"</formula>
    </cfRule>
    <cfRule type="expression" priority="4930" dxfId="2">
      <formula>Datos!C380="C3"</formula>
    </cfRule>
    <cfRule type="expression" priority="4931" dxfId="3">
      <formula>Datos!C380="C4"</formula>
    </cfRule>
    <cfRule type="expression" priority="4932" dxfId="4">
      <formula>Datos!C380="M1"</formula>
    </cfRule>
    <cfRule type="expression" priority="4933" dxfId="5">
      <formula>Datos!C380="M2"</formula>
    </cfRule>
    <cfRule type="expression" priority="4934" dxfId="6">
      <formula>Datos!C380="M3"</formula>
    </cfRule>
    <cfRule type="expression" priority="4935" dxfId="7">
      <formula>Datos!C380="M4"</formula>
    </cfRule>
    <cfRule type="expression" priority="4936" dxfId="8">
      <formula>Datos!C380="D1"</formula>
    </cfRule>
    <cfRule type="expression" priority="4937" dxfId="9">
      <formula>Datos!C380="D2"</formula>
    </cfRule>
    <cfRule type="expression" priority="4938" dxfId="10">
      <formula>Datos!C380="D3"</formula>
    </cfRule>
    <cfRule type="expression" priority="4939" dxfId="11">
      <formula>Datos!C380="D4"</formula>
    </cfRule>
    <cfRule type="expression" priority="4940" dxfId="12">
      <formula>Datos!C380="MIX"</formula>
    </cfRule>
  </conditionalFormatting>
  <conditionalFormatting sqref="G35">
    <cfRule type="expression" priority="4941" dxfId="0">
      <formula>Datos!C381="C1"</formula>
    </cfRule>
    <cfRule type="expression" priority="4942" dxfId="1">
      <formula>Datos!C381="C2"</formula>
    </cfRule>
    <cfRule type="expression" priority="4943" dxfId="2">
      <formula>Datos!C381="C3"</formula>
    </cfRule>
    <cfRule type="expression" priority="4944" dxfId="3">
      <formula>Datos!C381="C4"</formula>
    </cfRule>
    <cfRule type="expression" priority="4945" dxfId="4">
      <formula>Datos!C381="M1"</formula>
    </cfRule>
    <cfRule type="expression" priority="4946" dxfId="5">
      <formula>Datos!C381="M2"</formula>
    </cfRule>
    <cfRule type="expression" priority="4947" dxfId="6">
      <formula>Datos!C381="M3"</formula>
    </cfRule>
    <cfRule type="expression" priority="4948" dxfId="7">
      <formula>Datos!C381="M4"</formula>
    </cfRule>
    <cfRule type="expression" priority="4949" dxfId="8">
      <formula>Datos!C381="D1"</formula>
    </cfRule>
    <cfRule type="expression" priority="4950" dxfId="9">
      <formula>Datos!C381="D2"</formula>
    </cfRule>
    <cfRule type="expression" priority="4951" dxfId="10">
      <formula>Datos!C381="D3"</formula>
    </cfRule>
    <cfRule type="expression" priority="4952" dxfId="11">
      <formula>Datos!C381="D4"</formula>
    </cfRule>
    <cfRule type="expression" priority="4953" dxfId="12">
      <formula>Datos!C381="MIX"</formula>
    </cfRule>
  </conditionalFormatting>
  <conditionalFormatting sqref="H35">
    <cfRule type="expression" priority="4954" dxfId="0">
      <formula>Datos!C382="C1"</formula>
    </cfRule>
    <cfRule type="expression" priority="4955" dxfId="1">
      <formula>Datos!C382="C2"</formula>
    </cfRule>
    <cfRule type="expression" priority="4956" dxfId="2">
      <formula>Datos!C382="C3"</formula>
    </cfRule>
    <cfRule type="expression" priority="4957" dxfId="3">
      <formula>Datos!C382="C4"</formula>
    </cfRule>
    <cfRule type="expression" priority="4958" dxfId="4">
      <formula>Datos!C382="M1"</formula>
    </cfRule>
    <cfRule type="expression" priority="4959" dxfId="5">
      <formula>Datos!C382="M2"</formula>
    </cfRule>
    <cfRule type="expression" priority="4960" dxfId="6">
      <formula>Datos!C382="M3"</formula>
    </cfRule>
    <cfRule type="expression" priority="4961" dxfId="7">
      <formula>Datos!C382="M4"</formula>
    </cfRule>
    <cfRule type="expression" priority="4962" dxfId="8">
      <formula>Datos!C382="D1"</formula>
    </cfRule>
    <cfRule type="expression" priority="4963" dxfId="9">
      <formula>Datos!C382="D2"</formula>
    </cfRule>
    <cfRule type="expression" priority="4964" dxfId="10">
      <formula>Datos!C382="D3"</formula>
    </cfRule>
    <cfRule type="expression" priority="4965" dxfId="11">
      <formula>Datos!C382="D4"</formula>
    </cfRule>
    <cfRule type="expression" priority="4966" dxfId="12">
      <formula>Datos!C382="MIX"</formula>
    </cfRule>
  </conditionalFormatting>
  <conditionalFormatting sqref="I35">
    <cfRule type="expression" priority="4967" dxfId="0">
      <formula>Datos!C383="C1"</formula>
    </cfRule>
    <cfRule type="expression" priority="4968" dxfId="1">
      <formula>Datos!C383="C2"</formula>
    </cfRule>
    <cfRule type="expression" priority="4969" dxfId="2">
      <formula>Datos!C383="C3"</formula>
    </cfRule>
    <cfRule type="expression" priority="4970" dxfId="3">
      <formula>Datos!C383="C4"</formula>
    </cfRule>
    <cfRule type="expression" priority="4971" dxfId="4">
      <formula>Datos!C383="M1"</formula>
    </cfRule>
    <cfRule type="expression" priority="4972" dxfId="5">
      <formula>Datos!C383="M2"</formula>
    </cfRule>
    <cfRule type="expression" priority="4973" dxfId="6">
      <formula>Datos!C383="M3"</formula>
    </cfRule>
    <cfRule type="expression" priority="4974" dxfId="7">
      <formula>Datos!C383="M4"</formula>
    </cfRule>
    <cfRule type="expression" priority="4975" dxfId="8">
      <formula>Datos!C383="D1"</formula>
    </cfRule>
    <cfRule type="expression" priority="4976" dxfId="9">
      <formula>Datos!C383="D2"</formula>
    </cfRule>
    <cfRule type="expression" priority="4977" dxfId="10">
      <formula>Datos!C383="D3"</formula>
    </cfRule>
    <cfRule type="expression" priority="4978" dxfId="11">
      <formula>Datos!C383="D4"</formula>
    </cfRule>
    <cfRule type="expression" priority="4979" dxfId="12">
      <formula>Datos!C383="MIX"</formula>
    </cfRule>
  </conditionalFormatting>
  <conditionalFormatting sqref="J35">
    <cfRule type="expression" priority="4980" dxfId="0">
      <formula>Datos!C384="C1"</formula>
    </cfRule>
    <cfRule type="expression" priority="4981" dxfId="1">
      <formula>Datos!C384="C2"</formula>
    </cfRule>
    <cfRule type="expression" priority="4982" dxfId="2">
      <formula>Datos!C384="C3"</formula>
    </cfRule>
    <cfRule type="expression" priority="4983" dxfId="3">
      <formula>Datos!C384="C4"</formula>
    </cfRule>
    <cfRule type="expression" priority="4984" dxfId="4">
      <formula>Datos!C384="M1"</formula>
    </cfRule>
    <cfRule type="expression" priority="4985" dxfId="5">
      <formula>Datos!C384="M2"</formula>
    </cfRule>
    <cfRule type="expression" priority="4986" dxfId="6">
      <formula>Datos!C384="M3"</formula>
    </cfRule>
    <cfRule type="expression" priority="4987" dxfId="7">
      <formula>Datos!C384="M4"</formula>
    </cfRule>
    <cfRule type="expression" priority="4988" dxfId="8">
      <formula>Datos!C384="D1"</formula>
    </cfRule>
    <cfRule type="expression" priority="4989" dxfId="9">
      <formula>Datos!C384="D2"</formula>
    </cfRule>
    <cfRule type="expression" priority="4990" dxfId="10">
      <formula>Datos!C384="D3"</formula>
    </cfRule>
    <cfRule type="expression" priority="4991" dxfId="11">
      <formula>Datos!C384="D4"</formula>
    </cfRule>
    <cfRule type="expression" priority="4992" dxfId="12">
      <formula>Datos!C384="MIX"</formula>
    </cfRule>
  </conditionalFormatting>
  <conditionalFormatting sqref="K35">
    <cfRule type="expression" priority="4993" dxfId="0">
      <formula>Datos!C385="C1"</formula>
    </cfRule>
    <cfRule type="expression" priority="4994" dxfId="1">
      <formula>Datos!C385="C2"</formula>
    </cfRule>
    <cfRule type="expression" priority="4995" dxfId="2">
      <formula>Datos!C385="C3"</formula>
    </cfRule>
    <cfRule type="expression" priority="4996" dxfId="3">
      <formula>Datos!C385="C4"</formula>
    </cfRule>
    <cfRule type="expression" priority="4997" dxfId="4">
      <formula>Datos!C385="M1"</formula>
    </cfRule>
    <cfRule type="expression" priority="4998" dxfId="5">
      <formula>Datos!C385="M2"</formula>
    </cfRule>
    <cfRule type="expression" priority="4999" dxfId="6">
      <formula>Datos!C385="M3"</formula>
    </cfRule>
    <cfRule type="expression" priority="5000" dxfId="7">
      <formula>Datos!C385="M4"</formula>
    </cfRule>
    <cfRule type="expression" priority="5001" dxfId="8">
      <formula>Datos!C385="D1"</formula>
    </cfRule>
    <cfRule type="expression" priority="5002" dxfId="9">
      <formula>Datos!C385="D2"</formula>
    </cfRule>
    <cfRule type="expression" priority="5003" dxfId="10">
      <formula>Datos!C385="D3"</formula>
    </cfRule>
    <cfRule type="expression" priority="5004" dxfId="11">
      <formula>Datos!C385="D4"</formula>
    </cfRule>
    <cfRule type="expression" priority="5005" dxfId="12">
      <formula>Datos!C385="MIX"</formula>
    </cfRule>
  </conditionalFormatting>
  <conditionalFormatting sqref="L35">
    <cfRule type="expression" priority="5006" dxfId="0">
      <formula>Datos!C386="C1"</formula>
    </cfRule>
    <cfRule type="expression" priority="5007" dxfId="1">
      <formula>Datos!C386="C2"</formula>
    </cfRule>
    <cfRule type="expression" priority="5008" dxfId="2">
      <formula>Datos!C386="C3"</formula>
    </cfRule>
    <cfRule type="expression" priority="5009" dxfId="3">
      <formula>Datos!C386="C4"</formula>
    </cfRule>
    <cfRule type="expression" priority="5010" dxfId="4">
      <formula>Datos!C386="M1"</formula>
    </cfRule>
    <cfRule type="expression" priority="5011" dxfId="5">
      <formula>Datos!C386="M2"</formula>
    </cfRule>
    <cfRule type="expression" priority="5012" dxfId="6">
      <formula>Datos!C386="M3"</formula>
    </cfRule>
    <cfRule type="expression" priority="5013" dxfId="7">
      <formula>Datos!C386="M4"</formula>
    </cfRule>
    <cfRule type="expression" priority="5014" dxfId="8">
      <formula>Datos!C386="D1"</formula>
    </cfRule>
    <cfRule type="expression" priority="5015" dxfId="9">
      <formula>Datos!C386="D2"</formula>
    </cfRule>
    <cfRule type="expression" priority="5016" dxfId="10">
      <formula>Datos!C386="D3"</formula>
    </cfRule>
    <cfRule type="expression" priority="5017" dxfId="11">
      <formula>Datos!C386="D4"</formula>
    </cfRule>
    <cfRule type="expression" priority="5018" dxfId="12">
      <formula>Datos!C386="MIX"</formula>
    </cfRule>
  </conditionalFormatting>
  <conditionalFormatting sqref="M35">
    <cfRule type="expression" priority="5019" dxfId="0">
      <formula>Datos!C387="C1"</formula>
    </cfRule>
    <cfRule type="expression" priority="5020" dxfId="1">
      <formula>Datos!C387="C2"</formula>
    </cfRule>
    <cfRule type="expression" priority="5021" dxfId="2">
      <formula>Datos!C387="C3"</formula>
    </cfRule>
    <cfRule type="expression" priority="5022" dxfId="3">
      <formula>Datos!C387="C4"</formula>
    </cfRule>
    <cfRule type="expression" priority="5023" dxfId="4">
      <formula>Datos!C387="M1"</formula>
    </cfRule>
    <cfRule type="expression" priority="5024" dxfId="5">
      <formula>Datos!C387="M2"</formula>
    </cfRule>
    <cfRule type="expression" priority="5025" dxfId="6">
      <formula>Datos!C387="M3"</formula>
    </cfRule>
    <cfRule type="expression" priority="5026" dxfId="7">
      <formula>Datos!C387="M4"</formula>
    </cfRule>
    <cfRule type="expression" priority="5027" dxfId="8">
      <formula>Datos!C387="D1"</formula>
    </cfRule>
    <cfRule type="expression" priority="5028" dxfId="9">
      <formula>Datos!C387="D2"</formula>
    </cfRule>
    <cfRule type="expression" priority="5029" dxfId="10">
      <formula>Datos!C387="D3"</formula>
    </cfRule>
    <cfRule type="expression" priority="5030" dxfId="11">
      <formula>Datos!C387="D4"</formula>
    </cfRule>
    <cfRule type="expression" priority="5031" dxfId="12">
      <formula>Datos!C387="MIX"</formula>
    </cfRule>
  </conditionalFormatting>
  <conditionalFormatting sqref="N35">
    <cfRule type="expression" priority="5032" dxfId="0">
      <formula>Datos!C388="C1"</formula>
    </cfRule>
    <cfRule type="expression" priority="5033" dxfId="1">
      <formula>Datos!C388="C2"</formula>
    </cfRule>
    <cfRule type="expression" priority="5034" dxfId="2">
      <formula>Datos!C388="C3"</formula>
    </cfRule>
    <cfRule type="expression" priority="5035" dxfId="3">
      <formula>Datos!C388="C4"</formula>
    </cfRule>
    <cfRule type="expression" priority="5036" dxfId="4">
      <formula>Datos!C388="M1"</formula>
    </cfRule>
    <cfRule type="expression" priority="5037" dxfId="5">
      <formula>Datos!C388="M2"</formula>
    </cfRule>
    <cfRule type="expression" priority="5038" dxfId="6">
      <formula>Datos!C388="M3"</formula>
    </cfRule>
    <cfRule type="expression" priority="5039" dxfId="7">
      <formula>Datos!C388="M4"</formula>
    </cfRule>
    <cfRule type="expression" priority="5040" dxfId="8">
      <formula>Datos!C388="D1"</formula>
    </cfRule>
    <cfRule type="expression" priority="5041" dxfId="9">
      <formula>Datos!C388="D2"</formula>
    </cfRule>
    <cfRule type="expression" priority="5042" dxfId="10">
      <formula>Datos!C388="D3"</formula>
    </cfRule>
    <cfRule type="expression" priority="5043" dxfId="11">
      <formula>Datos!C388="D4"</formula>
    </cfRule>
    <cfRule type="expression" priority="5044" dxfId="12">
      <formula>Datos!C388="MIX"</formula>
    </cfRule>
  </conditionalFormatting>
  <conditionalFormatting sqref="O35">
    <cfRule type="expression" priority="5045" dxfId="0">
      <formula>Datos!C389="C1"</formula>
    </cfRule>
    <cfRule type="expression" priority="5046" dxfId="1">
      <formula>Datos!C389="C2"</formula>
    </cfRule>
    <cfRule type="expression" priority="5047" dxfId="2">
      <formula>Datos!C389="C3"</formula>
    </cfRule>
    <cfRule type="expression" priority="5048" dxfId="3">
      <formula>Datos!C389="C4"</formula>
    </cfRule>
    <cfRule type="expression" priority="5049" dxfId="4">
      <formula>Datos!C389="M1"</formula>
    </cfRule>
    <cfRule type="expression" priority="5050" dxfId="5">
      <formula>Datos!C389="M2"</formula>
    </cfRule>
    <cfRule type="expression" priority="5051" dxfId="6">
      <formula>Datos!C389="M3"</formula>
    </cfRule>
    <cfRule type="expression" priority="5052" dxfId="7">
      <formula>Datos!C389="M4"</formula>
    </cfRule>
    <cfRule type="expression" priority="5053" dxfId="8">
      <formula>Datos!C389="D1"</formula>
    </cfRule>
    <cfRule type="expression" priority="5054" dxfId="9">
      <formula>Datos!C389="D2"</formula>
    </cfRule>
    <cfRule type="expression" priority="5055" dxfId="10">
      <formula>Datos!C389="D3"</formula>
    </cfRule>
    <cfRule type="expression" priority="5056" dxfId="11">
      <formula>Datos!C389="D4"</formula>
    </cfRule>
    <cfRule type="expression" priority="5057" dxfId="12">
      <formula>Datos!C389="MIX"</formula>
    </cfRule>
  </conditionalFormatting>
  <conditionalFormatting sqref="P35">
    <cfRule type="expression" priority="5058" dxfId="0">
      <formula>Datos!C390="C1"</formula>
    </cfRule>
    <cfRule type="expression" priority="5059" dxfId="1">
      <formula>Datos!C390="C2"</formula>
    </cfRule>
    <cfRule type="expression" priority="5060" dxfId="2">
      <formula>Datos!C390="C3"</formula>
    </cfRule>
    <cfRule type="expression" priority="5061" dxfId="3">
      <formula>Datos!C390="C4"</formula>
    </cfRule>
    <cfRule type="expression" priority="5062" dxfId="4">
      <formula>Datos!C390="M1"</formula>
    </cfRule>
    <cfRule type="expression" priority="5063" dxfId="5">
      <formula>Datos!C390="M2"</formula>
    </cfRule>
    <cfRule type="expression" priority="5064" dxfId="6">
      <formula>Datos!C390="M3"</formula>
    </cfRule>
    <cfRule type="expression" priority="5065" dxfId="7">
      <formula>Datos!C390="M4"</formula>
    </cfRule>
    <cfRule type="expression" priority="5066" dxfId="8">
      <formula>Datos!C390="D1"</formula>
    </cfRule>
    <cfRule type="expression" priority="5067" dxfId="9">
      <formula>Datos!C390="D2"</formula>
    </cfRule>
    <cfRule type="expression" priority="5068" dxfId="10">
      <formula>Datos!C390="D3"</formula>
    </cfRule>
    <cfRule type="expression" priority="5069" dxfId="11">
      <formula>Datos!C390="D4"</formula>
    </cfRule>
    <cfRule type="expression" priority="5070" dxfId="12">
      <formula>Datos!C390="MIX"</formula>
    </cfRule>
  </conditionalFormatting>
  <conditionalFormatting sqref="B36">
    <cfRule type="expression" priority="5071" dxfId="0">
      <formula>Datos!C391="C1"</formula>
    </cfRule>
    <cfRule type="expression" priority="5072" dxfId="1">
      <formula>Datos!C391="C2"</formula>
    </cfRule>
    <cfRule type="expression" priority="5073" dxfId="2">
      <formula>Datos!C391="C3"</formula>
    </cfRule>
    <cfRule type="expression" priority="5074" dxfId="3">
      <formula>Datos!C391="C4"</formula>
    </cfRule>
    <cfRule type="expression" priority="5075" dxfId="4">
      <formula>Datos!C391="M1"</formula>
    </cfRule>
    <cfRule type="expression" priority="5076" dxfId="5">
      <formula>Datos!C391="M2"</formula>
    </cfRule>
    <cfRule type="expression" priority="5077" dxfId="6">
      <formula>Datos!C391="M3"</formula>
    </cfRule>
    <cfRule type="expression" priority="5078" dxfId="7">
      <formula>Datos!C391="M4"</formula>
    </cfRule>
    <cfRule type="expression" priority="5079" dxfId="8">
      <formula>Datos!C391="D1"</formula>
    </cfRule>
    <cfRule type="expression" priority="5080" dxfId="9">
      <formula>Datos!C391="D2"</formula>
    </cfRule>
    <cfRule type="expression" priority="5081" dxfId="10">
      <formula>Datos!C391="D3"</formula>
    </cfRule>
    <cfRule type="expression" priority="5082" dxfId="11">
      <formula>Datos!C391="D4"</formula>
    </cfRule>
    <cfRule type="expression" priority="5083" dxfId="12">
      <formula>Datos!C391="MIX"</formula>
    </cfRule>
  </conditionalFormatting>
  <conditionalFormatting sqref="C36">
    <cfRule type="expression" priority="5084" dxfId="0">
      <formula>Datos!C392="C1"</formula>
    </cfRule>
    <cfRule type="expression" priority="5085" dxfId="1">
      <formula>Datos!C392="C2"</formula>
    </cfRule>
    <cfRule type="expression" priority="5086" dxfId="2">
      <formula>Datos!C392="C3"</formula>
    </cfRule>
    <cfRule type="expression" priority="5087" dxfId="3">
      <formula>Datos!C392="C4"</formula>
    </cfRule>
    <cfRule type="expression" priority="5088" dxfId="4">
      <formula>Datos!C392="M1"</formula>
    </cfRule>
    <cfRule type="expression" priority="5089" dxfId="5">
      <formula>Datos!C392="M2"</formula>
    </cfRule>
    <cfRule type="expression" priority="5090" dxfId="6">
      <formula>Datos!C392="M3"</formula>
    </cfRule>
    <cfRule type="expression" priority="5091" dxfId="7">
      <formula>Datos!C392="M4"</formula>
    </cfRule>
    <cfRule type="expression" priority="5092" dxfId="8">
      <formula>Datos!C392="D1"</formula>
    </cfRule>
    <cfRule type="expression" priority="5093" dxfId="9">
      <formula>Datos!C392="D2"</formula>
    </cfRule>
    <cfRule type="expression" priority="5094" dxfId="10">
      <formula>Datos!C392="D3"</formula>
    </cfRule>
    <cfRule type="expression" priority="5095" dxfId="11">
      <formula>Datos!C392="D4"</formula>
    </cfRule>
    <cfRule type="expression" priority="5096" dxfId="12">
      <formula>Datos!C392="MIX"</formula>
    </cfRule>
  </conditionalFormatting>
  <conditionalFormatting sqref="D36">
    <cfRule type="expression" priority="5097" dxfId="0">
      <formula>Datos!C393="C1"</formula>
    </cfRule>
    <cfRule type="expression" priority="5098" dxfId="1">
      <formula>Datos!C393="C2"</formula>
    </cfRule>
    <cfRule type="expression" priority="5099" dxfId="2">
      <formula>Datos!C393="C3"</formula>
    </cfRule>
    <cfRule type="expression" priority="5100" dxfId="3">
      <formula>Datos!C393="C4"</formula>
    </cfRule>
    <cfRule type="expression" priority="5101" dxfId="4">
      <formula>Datos!C393="M1"</formula>
    </cfRule>
    <cfRule type="expression" priority="5102" dxfId="5">
      <formula>Datos!C393="M2"</formula>
    </cfRule>
    <cfRule type="expression" priority="5103" dxfId="6">
      <formula>Datos!C393="M3"</formula>
    </cfRule>
    <cfRule type="expression" priority="5104" dxfId="7">
      <formula>Datos!C393="M4"</formula>
    </cfRule>
    <cfRule type="expression" priority="5105" dxfId="8">
      <formula>Datos!C393="D1"</formula>
    </cfRule>
    <cfRule type="expression" priority="5106" dxfId="9">
      <formula>Datos!C393="D2"</formula>
    </cfRule>
    <cfRule type="expression" priority="5107" dxfId="10">
      <formula>Datos!C393="D3"</formula>
    </cfRule>
    <cfRule type="expression" priority="5108" dxfId="11">
      <formula>Datos!C393="D4"</formula>
    </cfRule>
    <cfRule type="expression" priority="5109" dxfId="12">
      <formula>Datos!C393="MIX"</formula>
    </cfRule>
  </conditionalFormatting>
  <conditionalFormatting sqref="E36">
    <cfRule type="expression" priority="5110" dxfId="0">
      <formula>Datos!C394="C1"</formula>
    </cfRule>
    <cfRule type="expression" priority="5111" dxfId="1">
      <formula>Datos!C394="C2"</formula>
    </cfRule>
    <cfRule type="expression" priority="5112" dxfId="2">
      <formula>Datos!C394="C3"</formula>
    </cfRule>
    <cfRule type="expression" priority="5113" dxfId="3">
      <formula>Datos!C394="C4"</formula>
    </cfRule>
    <cfRule type="expression" priority="5114" dxfId="4">
      <formula>Datos!C394="M1"</formula>
    </cfRule>
    <cfRule type="expression" priority="5115" dxfId="5">
      <formula>Datos!C394="M2"</formula>
    </cfRule>
    <cfRule type="expression" priority="5116" dxfId="6">
      <formula>Datos!C394="M3"</formula>
    </cfRule>
    <cfRule type="expression" priority="5117" dxfId="7">
      <formula>Datos!C394="M4"</formula>
    </cfRule>
    <cfRule type="expression" priority="5118" dxfId="8">
      <formula>Datos!C394="D1"</formula>
    </cfRule>
    <cfRule type="expression" priority="5119" dxfId="9">
      <formula>Datos!C394="D2"</formula>
    </cfRule>
    <cfRule type="expression" priority="5120" dxfId="10">
      <formula>Datos!C394="D3"</formula>
    </cfRule>
    <cfRule type="expression" priority="5121" dxfId="11">
      <formula>Datos!C394="D4"</formula>
    </cfRule>
    <cfRule type="expression" priority="5122" dxfId="12">
      <formula>Datos!C394="MIX"</formula>
    </cfRule>
  </conditionalFormatting>
  <conditionalFormatting sqref="F36">
    <cfRule type="expression" priority="5123" dxfId="0">
      <formula>Datos!C395="C1"</formula>
    </cfRule>
    <cfRule type="expression" priority="5124" dxfId="1">
      <formula>Datos!C395="C2"</formula>
    </cfRule>
    <cfRule type="expression" priority="5125" dxfId="2">
      <formula>Datos!C395="C3"</formula>
    </cfRule>
    <cfRule type="expression" priority="5126" dxfId="3">
      <formula>Datos!C395="C4"</formula>
    </cfRule>
    <cfRule type="expression" priority="5127" dxfId="4">
      <formula>Datos!C395="M1"</formula>
    </cfRule>
    <cfRule type="expression" priority="5128" dxfId="5">
      <formula>Datos!C395="M2"</formula>
    </cfRule>
    <cfRule type="expression" priority="5129" dxfId="6">
      <formula>Datos!C395="M3"</formula>
    </cfRule>
    <cfRule type="expression" priority="5130" dxfId="7">
      <formula>Datos!C395="M4"</formula>
    </cfRule>
    <cfRule type="expression" priority="5131" dxfId="8">
      <formula>Datos!C395="D1"</formula>
    </cfRule>
    <cfRule type="expression" priority="5132" dxfId="9">
      <formula>Datos!C395="D2"</formula>
    </cfRule>
    <cfRule type="expression" priority="5133" dxfId="10">
      <formula>Datos!C395="D3"</formula>
    </cfRule>
    <cfRule type="expression" priority="5134" dxfId="11">
      <formula>Datos!C395="D4"</formula>
    </cfRule>
    <cfRule type="expression" priority="5135" dxfId="12">
      <formula>Datos!C395="MIX"</formula>
    </cfRule>
  </conditionalFormatting>
  <conditionalFormatting sqref="G36">
    <cfRule type="expression" priority="5136" dxfId="0">
      <formula>Datos!C396="C1"</formula>
    </cfRule>
    <cfRule type="expression" priority="5137" dxfId="1">
      <formula>Datos!C396="C2"</formula>
    </cfRule>
    <cfRule type="expression" priority="5138" dxfId="2">
      <formula>Datos!C396="C3"</formula>
    </cfRule>
    <cfRule type="expression" priority="5139" dxfId="3">
      <formula>Datos!C396="C4"</formula>
    </cfRule>
    <cfRule type="expression" priority="5140" dxfId="4">
      <formula>Datos!C396="M1"</formula>
    </cfRule>
    <cfRule type="expression" priority="5141" dxfId="5">
      <formula>Datos!C396="M2"</formula>
    </cfRule>
    <cfRule type="expression" priority="5142" dxfId="6">
      <formula>Datos!C396="M3"</formula>
    </cfRule>
    <cfRule type="expression" priority="5143" dxfId="7">
      <formula>Datos!C396="M4"</formula>
    </cfRule>
    <cfRule type="expression" priority="5144" dxfId="8">
      <formula>Datos!C396="D1"</formula>
    </cfRule>
    <cfRule type="expression" priority="5145" dxfId="9">
      <formula>Datos!C396="D2"</formula>
    </cfRule>
    <cfRule type="expression" priority="5146" dxfId="10">
      <formula>Datos!C396="D3"</formula>
    </cfRule>
    <cfRule type="expression" priority="5147" dxfId="11">
      <formula>Datos!C396="D4"</formula>
    </cfRule>
    <cfRule type="expression" priority="5148" dxfId="12">
      <formula>Datos!C396="MIX"</formula>
    </cfRule>
  </conditionalFormatting>
  <conditionalFormatting sqref="H36">
    <cfRule type="expression" priority="5149" dxfId="0">
      <formula>Datos!C397="C1"</formula>
    </cfRule>
    <cfRule type="expression" priority="5150" dxfId="1">
      <formula>Datos!C397="C2"</formula>
    </cfRule>
    <cfRule type="expression" priority="5151" dxfId="2">
      <formula>Datos!C397="C3"</formula>
    </cfRule>
    <cfRule type="expression" priority="5152" dxfId="3">
      <formula>Datos!C397="C4"</formula>
    </cfRule>
    <cfRule type="expression" priority="5153" dxfId="4">
      <formula>Datos!C397="M1"</formula>
    </cfRule>
    <cfRule type="expression" priority="5154" dxfId="5">
      <formula>Datos!C397="M2"</formula>
    </cfRule>
    <cfRule type="expression" priority="5155" dxfId="6">
      <formula>Datos!C397="M3"</formula>
    </cfRule>
    <cfRule type="expression" priority="5156" dxfId="7">
      <formula>Datos!C397="M4"</formula>
    </cfRule>
    <cfRule type="expression" priority="5157" dxfId="8">
      <formula>Datos!C397="D1"</formula>
    </cfRule>
    <cfRule type="expression" priority="5158" dxfId="9">
      <formula>Datos!C397="D2"</formula>
    </cfRule>
    <cfRule type="expression" priority="5159" dxfId="10">
      <formula>Datos!C397="D3"</formula>
    </cfRule>
    <cfRule type="expression" priority="5160" dxfId="11">
      <formula>Datos!C397="D4"</formula>
    </cfRule>
    <cfRule type="expression" priority="5161" dxfId="12">
      <formula>Datos!C397="MIX"</formula>
    </cfRule>
  </conditionalFormatting>
  <conditionalFormatting sqref="I36">
    <cfRule type="expression" priority="5162" dxfId="0">
      <formula>Datos!C398="C1"</formula>
    </cfRule>
    <cfRule type="expression" priority="5163" dxfId="1">
      <formula>Datos!C398="C2"</formula>
    </cfRule>
    <cfRule type="expression" priority="5164" dxfId="2">
      <formula>Datos!C398="C3"</formula>
    </cfRule>
    <cfRule type="expression" priority="5165" dxfId="3">
      <formula>Datos!C398="C4"</formula>
    </cfRule>
    <cfRule type="expression" priority="5166" dxfId="4">
      <formula>Datos!C398="M1"</formula>
    </cfRule>
    <cfRule type="expression" priority="5167" dxfId="5">
      <formula>Datos!C398="M2"</formula>
    </cfRule>
    <cfRule type="expression" priority="5168" dxfId="6">
      <formula>Datos!C398="M3"</formula>
    </cfRule>
    <cfRule type="expression" priority="5169" dxfId="7">
      <formula>Datos!C398="M4"</formula>
    </cfRule>
    <cfRule type="expression" priority="5170" dxfId="8">
      <formula>Datos!C398="D1"</formula>
    </cfRule>
    <cfRule type="expression" priority="5171" dxfId="9">
      <formula>Datos!C398="D2"</formula>
    </cfRule>
    <cfRule type="expression" priority="5172" dxfId="10">
      <formula>Datos!C398="D3"</formula>
    </cfRule>
    <cfRule type="expression" priority="5173" dxfId="11">
      <formula>Datos!C398="D4"</formula>
    </cfRule>
    <cfRule type="expression" priority="5174" dxfId="12">
      <formula>Datos!C398="MIX"</formula>
    </cfRule>
  </conditionalFormatting>
  <conditionalFormatting sqref="J36">
    <cfRule type="expression" priority="5175" dxfId="0">
      <formula>Datos!C399="C1"</formula>
    </cfRule>
    <cfRule type="expression" priority="5176" dxfId="1">
      <formula>Datos!C399="C2"</formula>
    </cfRule>
    <cfRule type="expression" priority="5177" dxfId="2">
      <formula>Datos!C399="C3"</formula>
    </cfRule>
    <cfRule type="expression" priority="5178" dxfId="3">
      <formula>Datos!C399="C4"</formula>
    </cfRule>
    <cfRule type="expression" priority="5179" dxfId="4">
      <formula>Datos!C399="M1"</formula>
    </cfRule>
    <cfRule type="expression" priority="5180" dxfId="5">
      <formula>Datos!C399="M2"</formula>
    </cfRule>
    <cfRule type="expression" priority="5181" dxfId="6">
      <formula>Datos!C399="M3"</formula>
    </cfRule>
    <cfRule type="expression" priority="5182" dxfId="7">
      <formula>Datos!C399="M4"</formula>
    </cfRule>
    <cfRule type="expression" priority="5183" dxfId="8">
      <formula>Datos!C399="D1"</formula>
    </cfRule>
    <cfRule type="expression" priority="5184" dxfId="9">
      <formula>Datos!C399="D2"</formula>
    </cfRule>
    <cfRule type="expression" priority="5185" dxfId="10">
      <formula>Datos!C399="D3"</formula>
    </cfRule>
    <cfRule type="expression" priority="5186" dxfId="11">
      <formula>Datos!C399="D4"</formula>
    </cfRule>
    <cfRule type="expression" priority="5187" dxfId="12">
      <formula>Datos!C399="MIX"</formula>
    </cfRule>
  </conditionalFormatting>
  <conditionalFormatting sqref="K36">
    <cfRule type="expression" priority="5188" dxfId="0">
      <formula>Datos!C400="C1"</formula>
    </cfRule>
    <cfRule type="expression" priority="5189" dxfId="1">
      <formula>Datos!C400="C2"</formula>
    </cfRule>
    <cfRule type="expression" priority="5190" dxfId="2">
      <formula>Datos!C400="C3"</formula>
    </cfRule>
    <cfRule type="expression" priority="5191" dxfId="3">
      <formula>Datos!C400="C4"</formula>
    </cfRule>
    <cfRule type="expression" priority="5192" dxfId="4">
      <formula>Datos!C400="M1"</formula>
    </cfRule>
    <cfRule type="expression" priority="5193" dxfId="5">
      <formula>Datos!C400="M2"</formula>
    </cfRule>
    <cfRule type="expression" priority="5194" dxfId="6">
      <formula>Datos!C400="M3"</formula>
    </cfRule>
    <cfRule type="expression" priority="5195" dxfId="7">
      <formula>Datos!C400="M4"</formula>
    </cfRule>
    <cfRule type="expression" priority="5196" dxfId="8">
      <formula>Datos!C400="D1"</formula>
    </cfRule>
    <cfRule type="expression" priority="5197" dxfId="9">
      <formula>Datos!C400="D2"</formula>
    </cfRule>
    <cfRule type="expression" priority="5198" dxfId="10">
      <formula>Datos!C400="D3"</formula>
    </cfRule>
    <cfRule type="expression" priority="5199" dxfId="11">
      <formula>Datos!C400="D4"</formula>
    </cfRule>
    <cfRule type="expression" priority="5200" dxfId="12">
      <formula>Datos!C400="MIX"</formula>
    </cfRule>
  </conditionalFormatting>
  <conditionalFormatting sqref="L36">
    <cfRule type="expression" priority="5201" dxfId="0">
      <formula>Datos!C401="C1"</formula>
    </cfRule>
    <cfRule type="expression" priority="5202" dxfId="1">
      <formula>Datos!C401="C2"</formula>
    </cfRule>
    <cfRule type="expression" priority="5203" dxfId="2">
      <formula>Datos!C401="C3"</formula>
    </cfRule>
    <cfRule type="expression" priority="5204" dxfId="3">
      <formula>Datos!C401="C4"</formula>
    </cfRule>
    <cfRule type="expression" priority="5205" dxfId="4">
      <formula>Datos!C401="M1"</formula>
    </cfRule>
    <cfRule type="expression" priority="5206" dxfId="5">
      <formula>Datos!C401="M2"</formula>
    </cfRule>
    <cfRule type="expression" priority="5207" dxfId="6">
      <formula>Datos!C401="M3"</formula>
    </cfRule>
    <cfRule type="expression" priority="5208" dxfId="7">
      <formula>Datos!C401="M4"</formula>
    </cfRule>
    <cfRule type="expression" priority="5209" dxfId="8">
      <formula>Datos!C401="D1"</formula>
    </cfRule>
    <cfRule type="expression" priority="5210" dxfId="9">
      <formula>Datos!C401="D2"</formula>
    </cfRule>
    <cfRule type="expression" priority="5211" dxfId="10">
      <formula>Datos!C401="D3"</formula>
    </cfRule>
    <cfRule type="expression" priority="5212" dxfId="11">
      <formula>Datos!C401="D4"</formula>
    </cfRule>
    <cfRule type="expression" priority="5213" dxfId="12">
      <formula>Datos!C401="MIX"</formula>
    </cfRule>
  </conditionalFormatting>
  <conditionalFormatting sqref="M36">
    <cfRule type="expression" priority="5214" dxfId="0">
      <formula>Datos!C402="C1"</formula>
    </cfRule>
    <cfRule type="expression" priority="5215" dxfId="1">
      <formula>Datos!C402="C2"</formula>
    </cfRule>
    <cfRule type="expression" priority="5216" dxfId="2">
      <formula>Datos!C402="C3"</formula>
    </cfRule>
    <cfRule type="expression" priority="5217" dxfId="3">
      <formula>Datos!C402="C4"</formula>
    </cfRule>
    <cfRule type="expression" priority="5218" dxfId="4">
      <formula>Datos!C402="M1"</formula>
    </cfRule>
    <cfRule type="expression" priority="5219" dxfId="5">
      <formula>Datos!C402="M2"</formula>
    </cfRule>
    <cfRule type="expression" priority="5220" dxfId="6">
      <formula>Datos!C402="M3"</formula>
    </cfRule>
    <cfRule type="expression" priority="5221" dxfId="7">
      <formula>Datos!C402="M4"</formula>
    </cfRule>
    <cfRule type="expression" priority="5222" dxfId="8">
      <formula>Datos!C402="D1"</formula>
    </cfRule>
    <cfRule type="expression" priority="5223" dxfId="9">
      <formula>Datos!C402="D2"</formula>
    </cfRule>
    <cfRule type="expression" priority="5224" dxfId="10">
      <formula>Datos!C402="D3"</formula>
    </cfRule>
    <cfRule type="expression" priority="5225" dxfId="11">
      <formula>Datos!C402="D4"</formula>
    </cfRule>
    <cfRule type="expression" priority="5226" dxfId="12">
      <formula>Datos!C402="MIX"</formula>
    </cfRule>
  </conditionalFormatting>
  <conditionalFormatting sqref="N36">
    <cfRule type="expression" priority="5227" dxfId="0">
      <formula>Datos!C403="C1"</formula>
    </cfRule>
    <cfRule type="expression" priority="5228" dxfId="1">
      <formula>Datos!C403="C2"</formula>
    </cfRule>
    <cfRule type="expression" priority="5229" dxfId="2">
      <formula>Datos!C403="C3"</formula>
    </cfRule>
    <cfRule type="expression" priority="5230" dxfId="3">
      <formula>Datos!C403="C4"</formula>
    </cfRule>
    <cfRule type="expression" priority="5231" dxfId="4">
      <formula>Datos!C403="M1"</formula>
    </cfRule>
    <cfRule type="expression" priority="5232" dxfId="5">
      <formula>Datos!C403="M2"</formula>
    </cfRule>
    <cfRule type="expression" priority="5233" dxfId="6">
      <formula>Datos!C403="M3"</formula>
    </cfRule>
    <cfRule type="expression" priority="5234" dxfId="7">
      <formula>Datos!C403="M4"</formula>
    </cfRule>
    <cfRule type="expression" priority="5235" dxfId="8">
      <formula>Datos!C403="D1"</formula>
    </cfRule>
    <cfRule type="expression" priority="5236" dxfId="9">
      <formula>Datos!C403="D2"</formula>
    </cfRule>
    <cfRule type="expression" priority="5237" dxfId="10">
      <formula>Datos!C403="D3"</formula>
    </cfRule>
    <cfRule type="expression" priority="5238" dxfId="11">
      <formula>Datos!C403="D4"</formula>
    </cfRule>
    <cfRule type="expression" priority="5239" dxfId="12">
      <formula>Datos!C403="MIX"</formula>
    </cfRule>
  </conditionalFormatting>
  <conditionalFormatting sqref="O36">
    <cfRule type="expression" priority="5240" dxfId="0">
      <formula>Datos!C404="C1"</formula>
    </cfRule>
    <cfRule type="expression" priority="5241" dxfId="1">
      <formula>Datos!C404="C2"</formula>
    </cfRule>
    <cfRule type="expression" priority="5242" dxfId="2">
      <formula>Datos!C404="C3"</formula>
    </cfRule>
    <cfRule type="expression" priority="5243" dxfId="3">
      <formula>Datos!C404="C4"</formula>
    </cfRule>
    <cfRule type="expression" priority="5244" dxfId="4">
      <formula>Datos!C404="M1"</formula>
    </cfRule>
    <cfRule type="expression" priority="5245" dxfId="5">
      <formula>Datos!C404="M2"</formula>
    </cfRule>
    <cfRule type="expression" priority="5246" dxfId="6">
      <formula>Datos!C404="M3"</formula>
    </cfRule>
    <cfRule type="expression" priority="5247" dxfId="7">
      <formula>Datos!C404="M4"</formula>
    </cfRule>
    <cfRule type="expression" priority="5248" dxfId="8">
      <formula>Datos!C404="D1"</formula>
    </cfRule>
    <cfRule type="expression" priority="5249" dxfId="9">
      <formula>Datos!C404="D2"</formula>
    </cfRule>
    <cfRule type="expression" priority="5250" dxfId="10">
      <formula>Datos!C404="D3"</formula>
    </cfRule>
    <cfRule type="expression" priority="5251" dxfId="11">
      <formula>Datos!C404="D4"</formula>
    </cfRule>
    <cfRule type="expression" priority="5252" dxfId="12">
      <formula>Datos!C404="MIX"</formula>
    </cfRule>
  </conditionalFormatting>
  <conditionalFormatting sqref="P36">
    <cfRule type="expression" priority="5253" dxfId="0">
      <formula>Datos!C405="C1"</formula>
    </cfRule>
    <cfRule type="expression" priority="5254" dxfId="1">
      <formula>Datos!C405="C2"</formula>
    </cfRule>
    <cfRule type="expression" priority="5255" dxfId="2">
      <formula>Datos!C405="C3"</formula>
    </cfRule>
    <cfRule type="expression" priority="5256" dxfId="3">
      <formula>Datos!C405="C4"</formula>
    </cfRule>
    <cfRule type="expression" priority="5257" dxfId="4">
      <formula>Datos!C405="M1"</formula>
    </cfRule>
    <cfRule type="expression" priority="5258" dxfId="5">
      <formula>Datos!C405="M2"</formula>
    </cfRule>
    <cfRule type="expression" priority="5259" dxfId="6">
      <formula>Datos!C405="M3"</formula>
    </cfRule>
    <cfRule type="expression" priority="5260" dxfId="7">
      <formula>Datos!C405="M4"</formula>
    </cfRule>
    <cfRule type="expression" priority="5261" dxfId="8">
      <formula>Datos!C405="D1"</formula>
    </cfRule>
    <cfRule type="expression" priority="5262" dxfId="9">
      <formula>Datos!C405="D2"</formula>
    </cfRule>
    <cfRule type="expression" priority="5263" dxfId="10">
      <formula>Datos!C405="D3"</formula>
    </cfRule>
    <cfRule type="expression" priority="5264" dxfId="11">
      <formula>Datos!C405="D4"</formula>
    </cfRule>
    <cfRule type="expression" priority="5265" dxfId="12">
      <formula>Datos!C405="MIX"</formula>
    </cfRule>
  </conditionalFormatting>
  <conditionalFormatting sqref="B37">
    <cfRule type="expression" priority="5266" dxfId="0">
      <formula>Datos!C406="C1"</formula>
    </cfRule>
    <cfRule type="expression" priority="5267" dxfId="1">
      <formula>Datos!C406="C2"</formula>
    </cfRule>
    <cfRule type="expression" priority="5268" dxfId="2">
      <formula>Datos!C406="C3"</formula>
    </cfRule>
    <cfRule type="expression" priority="5269" dxfId="3">
      <formula>Datos!C406="C4"</formula>
    </cfRule>
    <cfRule type="expression" priority="5270" dxfId="4">
      <formula>Datos!C406="M1"</formula>
    </cfRule>
    <cfRule type="expression" priority="5271" dxfId="5">
      <formula>Datos!C406="M2"</formula>
    </cfRule>
    <cfRule type="expression" priority="5272" dxfId="6">
      <formula>Datos!C406="M3"</formula>
    </cfRule>
    <cfRule type="expression" priority="5273" dxfId="7">
      <formula>Datos!C406="M4"</formula>
    </cfRule>
    <cfRule type="expression" priority="5274" dxfId="8">
      <formula>Datos!C406="D1"</formula>
    </cfRule>
    <cfRule type="expression" priority="5275" dxfId="9">
      <formula>Datos!C406="D2"</formula>
    </cfRule>
    <cfRule type="expression" priority="5276" dxfId="10">
      <formula>Datos!C406="D3"</formula>
    </cfRule>
    <cfRule type="expression" priority="5277" dxfId="11">
      <formula>Datos!C406="D4"</formula>
    </cfRule>
    <cfRule type="expression" priority="5278" dxfId="12">
      <formula>Datos!C406="MIX"</formula>
    </cfRule>
  </conditionalFormatting>
  <conditionalFormatting sqref="C37">
    <cfRule type="expression" priority="5279" dxfId="0">
      <formula>Datos!C407="C1"</formula>
    </cfRule>
    <cfRule type="expression" priority="5280" dxfId="1">
      <formula>Datos!C407="C2"</formula>
    </cfRule>
    <cfRule type="expression" priority="5281" dxfId="2">
      <formula>Datos!C407="C3"</formula>
    </cfRule>
    <cfRule type="expression" priority="5282" dxfId="3">
      <formula>Datos!C407="C4"</formula>
    </cfRule>
    <cfRule type="expression" priority="5283" dxfId="4">
      <formula>Datos!C407="M1"</formula>
    </cfRule>
    <cfRule type="expression" priority="5284" dxfId="5">
      <formula>Datos!C407="M2"</formula>
    </cfRule>
    <cfRule type="expression" priority="5285" dxfId="6">
      <formula>Datos!C407="M3"</formula>
    </cfRule>
    <cfRule type="expression" priority="5286" dxfId="7">
      <formula>Datos!C407="M4"</formula>
    </cfRule>
    <cfRule type="expression" priority="5287" dxfId="8">
      <formula>Datos!C407="D1"</formula>
    </cfRule>
    <cfRule type="expression" priority="5288" dxfId="9">
      <formula>Datos!C407="D2"</formula>
    </cfRule>
    <cfRule type="expression" priority="5289" dxfId="10">
      <formula>Datos!C407="D3"</formula>
    </cfRule>
    <cfRule type="expression" priority="5290" dxfId="11">
      <formula>Datos!C407="D4"</formula>
    </cfRule>
    <cfRule type="expression" priority="5291" dxfId="12">
      <formula>Datos!C407="MIX"</formula>
    </cfRule>
  </conditionalFormatting>
  <conditionalFormatting sqref="D37">
    <cfRule type="expression" priority="5292" dxfId="0">
      <formula>Datos!C408="C1"</formula>
    </cfRule>
    <cfRule type="expression" priority="5293" dxfId="1">
      <formula>Datos!C408="C2"</formula>
    </cfRule>
    <cfRule type="expression" priority="5294" dxfId="2">
      <formula>Datos!C408="C3"</formula>
    </cfRule>
    <cfRule type="expression" priority="5295" dxfId="3">
      <formula>Datos!C408="C4"</formula>
    </cfRule>
    <cfRule type="expression" priority="5296" dxfId="4">
      <formula>Datos!C408="M1"</formula>
    </cfRule>
    <cfRule type="expression" priority="5297" dxfId="5">
      <formula>Datos!C408="M2"</formula>
    </cfRule>
    <cfRule type="expression" priority="5298" dxfId="6">
      <formula>Datos!C408="M3"</formula>
    </cfRule>
    <cfRule type="expression" priority="5299" dxfId="7">
      <formula>Datos!C408="M4"</formula>
    </cfRule>
    <cfRule type="expression" priority="5300" dxfId="8">
      <formula>Datos!C408="D1"</formula>
    </cfRule>
    <cfRule type="expression" priority="5301" dxfId="9">
      <formula>Datos!C408="D2"</formula>
    </cfRule>
    <cfRule type="expression" priority="5302" dxfId="10">
      <formula>Datos!C408="D3"</formula>
    </cfRule>
    <cfRule type="expression" priority="5303" dxfId="11">
      <formula>Datos!C408="D4"</formula>
    </cfRule>
    <cfRule type="expression" priority="5304" dxfId="12">
      <formula>Datos!C408="MIX"</formula>
    </cfRule>
  </conditionalFormatting>
  <conditionalFormatting sqref="E37">
    <cfRule type="expression" priority="5305" dxfId="0">
      <formula>Datos!C409="C1"</formula>
    </cfRule>
    <cfRule type="expression" priority="5306" dxfId="1">
      <formula>Datos!C409="C2"</formula>
    </cfRule>
    <cfRule type="expression" priority="5307" dxfId="2">
      <formula>Datos!C409="C3"</formula>
    </cfRule>
    <cfRule type="expression" priority="5308" dxfId="3">
      <formula>Datos!C409="C4"</formula>
    </cfRule>
    <cfRule type="expression" priority="5309" dxfId="4">
      <formula>Datos!C409="M1"</formula>
    </cfRule>
    <cfRule type="expression" priority="5310" dxfId="5">
      <formula>Datos!C409="M2"</formula>
    </cfRule>
    <cfRule type="expression" priority="5311" dxfId="6">
      <formula>Datos!C409="M3"</formula>
    </cfRule>
    <cfRule type="expression" priority="5312" dxfId="7">
      <formula>Datos!C409="M4"</formula>
    </cfRule>
    <cfRule type="expression" priority="5313" dxfId="8">
      <formula>Datos!C409="D1"</formula>
    </cfRule>
    <cfRule type="expression" priority="5314" dxfId="9">
      <formula>Datos!C409="D2"</formula>
    </cfRule>
    <cfRule type="expression" priority="5315" dxfId="10">
      <formula>Datos!C409="D3"</formula>
    </cfRule>
    <cfRule type="expression" priority="5316" dxfId="11">
      <formula>Datos!C409="D4"</formula>
    </cfRule>
    <cfRule type="expression" priority="5317" dxfId="12">
      <formula>Datos!C409="MIX"</formula>
    </cfRule>
  </conditionalFormatting>
  <conditionalFormatting sqref="F37">
    <cfRule type="expression" priority="5318" dxfId="0">
      <formula>Datos!C410="C1"</formula>
    </cfRule>
    <cfRule type="expression" priority="5319" dxfId="1">
      <formula>Datos!C410="C2"</formula>
    </cfRule>
    <cfRule type="expression" priority="5320" dxfId="2">
      <formula>Datos!C410="C3"</formula>
    </cfRule>
    <cfRule type="expression" priority="5321" dxfId="3">
      <formula>Datos!C410="C4"</formula>
    </cfRule>
    <cfRule type="expression" priority="5322" dxfId="4">
      <formula>Datos!C410="M1"</formula>
    </cfRule>
    <cfRule type="expression" priority="5323" dxfId="5">
      <formula>Datos!C410="M2"</formula>
    </cfRule>
    <cfRule type="expression" priority="5324" dxfId="6">
      <formula>Datos!C410="M3"</formula>
    </cfRule>
    <cfRule type="expression" priority="5325" dxfId="7">
      <formula>Datos!C410="M4"</formula>
    </cfRule>
    <cfRule type="expression" priority="5326" dxfId="8">
      <formula>Datos!C410="D1"</formula>
    </cfRule>
    <cfRule type="expression" priority="5327" dxfId="9">
      <formula>Datos!C410="D2"</formula>
    </cfRule>
    <cfRule type="expression" priority="5328" dxfId="10">
      <formula>Datos!C410="D3"</formula>
    </cfRule>
    <cfRule type="expression" priority="5329" dxfId="11">
      <formula>Datos!C410="D4"</formula>
    </cfRule>
    <cfRule type="expression" priority="5330" dxfId="12">
      <formula>Datos!C410="MIX"</formula>
    </cfRule>
  </conditionalFormatting>
  <conditionalFormatting sqref="G37">
    <cfRule type="expression" priority="5331" dxfId="0">
      <formula>Datos!C411="C1"</formula>
    </cfRule>
    <cfRule type="expression" priority="5332" dxfId="1">
      <formula>Datos!C411="C2"</formula>
    </cfRule>
    <cfRule type="expression" priority="5333" dxfId="2">
      <formula>Datos!C411="C3"</formula>
    </cfRule>
    <cfRule type="expression" priority="5334" dxfId="3">
      <formula>Datos!C411="C4"</formula>
    </cfRule>
    <cfRule type="expression" priority="5335" dxfId="4">
      <formula>Datos!C411="M1"</formula>
    </cfRule>
    <cfRule type="expression" priority="5336" dxfId="5">
      <formula>Datos!C411="M2"</formula>
    </cfRule>
    <cfRule type="expression" priority="5337" dxfId="6">
      <formula>Datos!C411="M3"</formula>
    </cfRule>
    <cfRule type="expression" priority="5338" dxfId="7">
      <formula>Datos!C411="M4"</formula>
    </cfRule>
    <cfRule type="expression" priority="5339" dxfId="8">
      <formula>Datos!C411="D1"</formula>
    </cfRule>
    <cfRule type="expression" priority="5340" dxfId="9">
      <formula>Datos!C411="D2"</formula>
    </cfRule>
    <cfRule type="expression" priority="5341" dxfId="10">
      <formula>Datos!C411="D3"</formula>
    </cfRule>
    <cfRule type="expression" priority="5342" dxfId="11">
      <formula>Datos!C411="D4"</formula>
    </cfRule>
    <cfRule type="expression" priority="5343" dxfId="12">
      <formula>Datos!C411="MIX"</formula>
    </cfRule>
  </conditionalFormatting>
  <conditionalFormatting sqref="H37">
    <cfRule type="expression" priority="5344" dxfId="0">
      <formula>Datos!C412="C1"</formula>
    </cfRule>
    <cfRule type="expression" priority="5345" dxfId="1">
      <formula>Datos!C412="C2"</formula>
    </cfRule>
    <cfRule type="expression" priority="5346" dxfId="2">
      <formula>Datos!C412="C3"</formula>
    </cfRule>
    <cfRule type="expression" priority="5347" dxfId="3">
      <formula>Datos!C412="C4"</formula>
    </cfRule>
    <cfRule type="expression" priority="5348" dxfId="4">
      <formula>Datos!C412="M1"</formula>
    </cfRule>
    <cfRule type="expression" priority="5349" dxfId="5">
      <formula>Datos!C412="M2"</formula>
    </cfRule>
    <cfRule type="expression" priority="5350" dxfId="6">
      <formula>Datos!C412="M3"</formula>
    </cfRule>
    <cfRule type="expression" priority="5351" dxfId="7">
      <formula>Datos!C412="M4"</formula>
    </cfRule>
    <cfRule type="expression" priority="5352" dxfId="8">
      <formula>Datos!C412="D1"</formula>
    </cfRule>
    <cfRule type="expression" priority="5353" dxfId="9">
      <formula>Datos!C412="D2"</formula>
    </cfRule>
    <cfRule type="expression" priority="5354" dxfId="10">
      <formula>Datos!C412="D3"</formula>
    </cfRule>
    <cfRule type="expression" priority="5355" dxfId="11">
      <formula>Datos!C412="D4"</formula>
    </cfRule>
    <cfRule type="expression" priority="5356" dxfId="12">
      <formula>Datos!C412="MIX"</formula>
    </cfRule>
  </conditionalFormatting>
  <conditionalFormatting sqref="I37">
    <cfRule type="expression" priority="5357" dxfId="0">
      <formula>Datos!C413="C1"</formula>
    </cfRule>
    <cfRule type="expression" priority="5358" dxfId="1">
      <formula>Datos!C413="C2"</formula>
    </cfRule>
    <cfRule type="expression" priority="5359" dxfId="2">
      <formula>Datos!C413="C3"</formula>
    </cfRule>
    <cfRule type="expression" priority="5360" dxfId="3">
      <formula>Datos!C413="C4"</formula>
    </cfRule>
    <cfRule type="expression" priority="5361" dxfId="4">
      <formula>Datos!C413="M1"</formula>
    </cfRule>
    <cfRule type="expression" priority="5362" dxfId="5">
      <formula>Datos!C413="M2"</formula>
    </cfRule>
    <cfRule type="expression" priority="5363" dxfId="6">
      <formula>Datos!C413="M3"</formula>
    </cfRule>
    <cfRule type="expression" priority="5364" dxfId="7">
      <formula>Datos!C413="M4"</formula>
    </cfRule>
    <cfRule type="expression" priority="5365" dxfId="8">
      <formula>Datos!C413="D1"</formula>
    </cfRule>
    <cfRule type="expression" priority="5366" dxfId="9">
      <formula>Datos!C413="D2"</formula>
    </cfRule>
    <cfRule type="expression" priority="5367" dxfId="10">
      <formula>Datos!C413="D3"</formula>
    </cfRule>
    <cfRule type="expression" priority="5368" dxfId="11">
      <formula>Datos!C413="D4"</formula>
    </cfRule>
    <cfRule type="expression" priority="5369" dxfId="12">
      <formula>Datos!C413="MIX"</formula>
    </cfRule>
  </conditionalFormatting>
  <conditionalFormatting sqref="J37">
    <cfRule type="expression" priority="5370" dxfId="0">
      <formula>Datos!C414="C1"</formula>
    </cfRule>
    <cfRule type="expression" priority="5371" dxfId="1">
      <formula>Datos!C414="C2"</formula>
    </cfRule>
    <cfRule type="expression" priority="5372" dxfId="2">
      <formula>Datos!C414="C3"</formula>
    </cfRule>
    <cfRule type="expression" priority="5373" dxfId="3">
      <formula>Datos!C414="C4"</formula>
    </cfRule>
    <cfRule type="expression" priority="5374" dxfId="4">
      <formula>Datos!C414="M1"</formula>
    </cfRule>
    <cfRule type="expression" priority="5375" dxfId="5">
      <formula>Datos!C414="M2"</formula>
    </cfRule>
    <cfRule type="expression" priority="5376" dxfId="6">
      <formula>Datos!C414="M3"</formula>
    </cfRule>
    <cfRule type="expression" priority="5377" dxfId="7">
      <formula>Datos!C414="M4"</formula>
    </cfRule>
    <cfRule type="expression" priority="5378" dxfId="8">
      <formula>Datos!C414="D1"</formula>
    </cfRule>
    <cfRule type="expression" priority="5379" dxfId="9">
      <formula>Datos!C414="D2"</formula>
    </cfRule>
    <cfRule type="expression" priority="5380" dxfId="10">
      <formula>Datos!C414="D3"</formula>
    </cfRule>
    <cfRule type="expression" priority="5381" dxfId="11">
      <formula>Datos!C414="D4"</formula>
    </cfRule>
    <cfRule type="expression" priority="5382" dxfId="12">
      <formula>Datos!C414="MIX"</formula>
    </cfRule>
  </conditionalFormatting>
  <conditionalFormatting sqref="K37">
    <cfRule type="expression" priority="5383" dxfId="0">
      <formula>Datos!C415="C1"</formula>
    </cfRule>
    <cfRule type="expression" priority="5384" dxfId="1">
      <formula>Datos!C415="C2"</formula>
    </cfRule>
    <cfRule type="expression" priority="5385" dxfId="2">
      <formula>Datos!C415="C3"</formula>
    </cfRule>
    <cfRule type="expression" priority="5386" dxfId="3">
      <formula>Datos!C415="C4"</formula>
    </cfRule>
    <cfRule type="expression" priority="5387" dxfId="4">
      <formula>Datos!C415="M1"</formula>
    </cfRule>
    <cfRule type="expression" priority="5388" dxfId="5">
      <formula>Datos!C415="M2"</formula>
    </cfRule>
    <cfRule type="expression" priority="5389" dxfId="6">
      <formula>Datos!C415="M3"</formula>
    </cfRule>
    <cfRule type="expression" priority="5390" dxfId="7">
      <formula>Datos!C415="M4"</formula>
    </cfRule>
    <cfRule type="expression" priority="5391" dxfId="8">
      <formula>Datos!C415="D1"</formula>
    </cfRule>
    <cfRule type="expression" priority="5392" dxfId="9">
      <formula>Datos!C415="D2"</formula>
    </cfRule>
    <cfRule type="expression" priority="5393" dxfId="10">
      <formula>Datos!C415="D3"</formula>
    </cfRule>
    <cfRule type="expression" priority="5394" dxfId="11">
      <formula>Datos!C415="D4"</formula>
    </cfRule>
    <cfRule type="expression" priority="5395" dxfId="12">
      <formula>Datos!C415="MIX"</formula>
    </cfRule>
  </conditionalFormatting>
  <conditionalFormatting sqref="L37">
    <cfRule type="expression" priority="5396" dxfId="0">
      <formula>Datos!C416="C1"</formula>
    </cfRule>
    <cfRule type="expression" priority="5397" dxfId="1">
      <formula>Datos!C416="C2"</formula>
    </cfRule>
    <cfRule type="expression" priority="5398" dxfId="2">
      <formula>Datos!C416="C3"</formula>
    </cfRule>
    <cfRule type="expression" priority="5399" dxfId="3">
      <formula>Datos!C416="C4"</formula>
    </cfRule>
    <cfRule type="expression" priority="5400" dxfId="4">
      <formula>Datos!C416="M1"</formula>
    </cfRule>
    <cfRule type="expression" priority="5401" dxfId="5">
      <formula>Datos!C416="M2"</formula>
    </cfRule>
    <cfRule type="expression" priority="5402" dxfId="6">
      <formula>Datos!C416="M3"</formula>
    </cfRule>
    <cfRule type="expression" priority="5403" dxfId="7">
      <formula>Datos!C416="M4"</formula>
    </cfRule>
    <cfRule type="expression" priority="5404" dxfId="8">
      <formula>Datos!C416="D1"</formula>
    </cfRule>
    <cfRule type="expression" priority="5405" dxfId="9">
      <formula>Datos!C416="D2"</formula>
    </cfRule>
    <cfRule type="expression" priority="5406" dxfId="10">
      <formula>Datos!C416="D3"</formula>
    </cfRule>
    <cfRule type="expression" priority="5407" dxfId="11">
      <formula>Datos!C416="D4"</formula>
    </cfRule>
    <cfRule type="expression" priority="5408" dxfId="12">
      <formula>Datos!C416="MIX"</formula>
    </cfRule>
  </conditionalFormatting>
  <conditionalFormatting sqref="M37">
    <cfRule type="expression" priority="5409" dxfId="0">
      <formula>Datos!C417="C1"</formula>
    </cfRule>
    <cfRule type="expression" priority="5410" dxfId="1">
      <formula>Datos!C417="C2"</formula>
    </cfRule>
    <cfRule type="expression" priority="5411" dxfId="2">
      <formula>Datos!C417="C3"</formula>
    </cfRule>
    <cfRule type="expression" priority="5412" dxfId="3">
      <formula>Datos!C417="C4"</formula>
    </cfRule>
    <cfRule type="expression" priority="5413" dxfId="4">
      <formula>Datos!C417="M1"</formula>
    </cfRule>
    <cfRule type="expression" priority="5414" dxfId="5">
      <formula>Datos!C417="M2"</formula>
    </cfRule>
    <cfRule type="expression" priority="5415" dxfId="6">
      <formula>Datos!C417="M3"</formula>
    </cfRule>
    <cfRule type="expression" priority="5416" dxfId="7">
      <formula>Datos!C417="M4"</formula>
    </cfRule>
    <cfRule type="expression" priority="5417" dxfId="8">
      <formula>Datos!C417="D1"</formula>
    </cfRule>
    <cfRule type="expression" priority="5418" dxfId="9">
      <formula>Datos!C417="D2"</formula>
    </cfRule>
    <cfRule type="expression" priority="5419" dxfId="10">
      <formula>Datos!C417="D3"</formula>
    </cfRule>
    <cfRule type="expression" priority="5420" dxfId="11">
      <formula>Datos!C417="D4"</formula>
    </cfRule>
    <cfRule type="expression" priority="5421" dxfId="12">
      <formula>Datos!C417="MIX"</formula>
    </cfRule>
  </conditionalFormatting>
  <conditionalFormatting sqref="N37">
    <cfRule type="expression" priority="5422" dxfId="0">
      <formula>Datos!C418="C1"</formula>
    </cfRule>
    <cfRule type="expression" priority="5423" dxfId="1">
      <formula>Datos!C418="C2"</formula>
    </cfRule>
    <cfRule type="expression" priority="5424" dxfId="2">
      <formula>Datos!C418="C3"</formula>
    </cfRule>
    <cfRule type="expression" priority="5425" dxfId="3">
      <formula>Datos!C418="C4"</formula>
    </cfRule>
    <cfRule type="expression" priority="5426" dxfId="4">
      <formula>Datos!C418="M1"</formula>
    </cfRule>
    <cfRule type="expression" priority="5427" dxfId="5">
      <formula>Datos!C418="M2"</formula>
    </cfRule>
    <cfRule type="expression" priority="5428" dxfId="6">
      <formula>Datos!C418="M3"</formula>
    </cfRule>
    <cfRule type="expression" priority="5429" dxfId="7">
      <formula>Datos!C418="M4"</formula>
    </cfRule>
    <cfRule type="expression" priority="5430" dxfId="8">
      <formula>Datos!C418="D1"</formula>
    </cfRule>
    <cfRule type="expression" priority="5431" dxfId="9">
      <formula>Datos!C418="D2"</formula>
    </cfRule>
    <cfRule type="expression" priority="5432" dxfId="10">
      <formula>Datos!C418="D3"</formula>
    </cfRule>
    <cfRule type="expression" priority="5433" dxfId="11">
      <formula>Datos!C418="D4"</formula>
    </cfRule>
    <cfRule type="expression" priority="5434" dxfId="12">
      <formula>Datos!C418="MIX"</formula>
    </cfRule>
  </conditionalFormatting>
  <conditionalFormatting sqref="O37">
    <cfRule type="expression" priority="5435" dxfId="0">
      <formula>Datos!C419="C1"</formula>
    </cfRule>
    <cfRule type="expression" priority="5436" dxfId="1">
      <formula>Datos!C419="C2"</formula>
    </cfRule>
    <cfRule type="expression" priority="5437" dxfId="2">
      <formula>Datos!C419="C3"</formula>
    </cfRule>
    <cfRule type="expression" priority="5438" dxfId="3">
      <formula>Datos!C419="C4"</formula>
    </cfRule>
    <cfRule type="expression" priority="5439" dxfId="4">
      <formula>Datos!C419="M1"</formula>
    </cfRule>
    <cfRule type="expression" priority="5440" dxfId="5">
      <formula>Datos!C419="M2"</formula>
    </cfRule>
    <cfRule type="expression" priority="5441" dxfId="6">
      <formula>Datos!C419="M3"</formula>
    </cfRule>
    <cfRule type="expression" priority="5442" dxfId="7">
      <formula>Datos!C419="M4"</formula>
    </cfRule>
    <cfRule type="expression" priority="5443" dxfId="8">
      <formula>Datos!C419="D1"</formula>
    </cfRule>
    <cfRule type="expression" priority="5444" dxfId="9">
      <formula>Datos!C419="D2"</formula>
    </cfRule>
    <cfRule type="expression" priority="5445" dxfId="10">
      <formula>Datos!C419="D3"</formula>
    </cfRule>
    <cfRule type="expression" priority="5446" dxfId="11">
      <formula>Datos!C419="D4"</formula>
    </cfRule>
    <cfRule type="expression" priority="5447" dxfId="12">
      <formula>Datos!C419="MIX"</formula>
    </cfRule>
  </conditionalFormatting>
  <conditionalFormatting sqref="P37">
    <cfRule type="expression" priority="5448" dxfId="0">
      <formula>Datos!C420="C1"</formula>
    </cfRule>
    <cfRule type="expression" priority="5449" dxfId="1">
      <formula>Datos!C420="C2"</formula>
    </cfRule>
    <cfRule type="expression" priority="5450" dxfId="2">
      <formula>Datos!C420="C3"</formula>
    </cfRule>
    <cfRule type="expression" priority="5451" dxfId="3">
      <formula>Datos!C420="C4"</formula>
    </cfRule>
    <cfRule type="expression" priority="5452" dxfId="4">
      <formula>Datos!C420="M1"</formula>
    </cfRule>
    <cfRule type="expression" priority="5453" dxfId="5">
      <formula>Datos!C420="M2"</formula>
    </cfRule>
    <cfRule type="expression" priority="5454" dxfId="6">
      <formula>Datos!C420="M3"</formula>
    </cfRule>
    <cfRule type="expression" priority="5455" dxfId="7">
      <formula>Datos!C420="M4"</formula>
    </cfRule>
    <cfRule type="expression" priority="5456" dxfId="8">
      <formula>Datos!C420="D1"</formula>
    </cfRule>
    <cfRule type="expression" priority="5457" dxfId="9">
      <formula>Datos!C420="D2"</formula>
    </cfRule>
    <cfRule type="expression" priority="5458" dxfId="10">
      <formula>Datos!C420="D3"</formula>
    </cfRule>
    <cfRule type="expression" priority="5459" dxfId="11">
      <formula>Datos!C420="D4"</formula>
    </cfRule>
    <cfRule type="expression" priority="5460" dxfId="12">
      <formula>Datos!C420="MIX"</formula>
    </cfRule>
  </conditionalFormatting>
  <conditionalFormatting sqref="B38">
    <cfRule type="expression" priority="5461" dxfId="0">
      <formula>Datos!C421="C1"</formula>
    </cfRule>
    <cfRule type="expression" priority="5462" dxfId="1">
      <formula>Datos!C421="C2"</formula>
    </cfRule>
    <cfRule type="expression" priority="5463" dxfId="2">
      <formula>Datos!C421="C3"</formula>
    </cfRule>
    <cfRule type="expression" priority="5464" dxfId="3">
      <formula>Datos!C421="C4"</formula>
    </cfRule>
    <cfRule type="expression" priority="5465" dxfId="4">
      <formula>Datos!C421="M1"</formula>
    </cfRule>
    <cfRule type="expression" priority="5466" dxfId="5">
      <formula>Datos!C421="M2"</formula>
    </cfRule>
    <cfRule type="expression" priority="5467" dxfId="6">
      <formula>Datos!C421="M3"</formula>
    </cfRule>
    <cfRule type="expression" priority="5468" dxfId="7">
      <formula>Datos!C421="M4"</formula>
    </cfRule>
    <cfRule type="expression" priority="5469" dxfId="8">
      <formula>Datos!C421="D1"</formula>
    </cfRule>
    <cfRule type="expression" priority="5470" dxfId="9">
      <formula>Datos!C421="D2"</formula>
    </cfRule>
    <cfRule type="expression" priority="5471" dxfId="10">
      <formula>Datos!C421="D3"</formula>
    </cfRule>
    <cfRule type="expression" priority="5472" dxfId="11">
      <formula>Datos!C421="D4"</formula>
    </cfRule>
    <cfRule type="expression" priority="5473" dxfId="12">
      <formula>Datos!C421="MIX"</formula>
    </cfRule>
  </conditionalFormatting>
  <conditionalFormatting sqref="C38">
    <cfRule type="expression" priority="5474" dxfId="0">
      <formula>Datos!C422="C1"</formula>
    </cfRule>
    <cfRule type="expression" priority="5475" dxfId="1">
      <formula>Datos!C422="C2"</formula>
    </cfRule>
    <cfRule type="expression" priority="5476" dxfId="2">
      <formula>Datos!C422="C3"</formula>
    </cfRule>
    <cfRule type="expression" priority="5477" dxfId="3">
      <formula>Datos!C422="C4"</formula>
    </cfRule>
    <cfRule type="expression" priority="5478" dxfId="4">
      <formula>Datos!C422="M1"</formula>
    </cfRule>
    <cfRule type="expression" priority="5479" dxfId="5">
      <formula>Datos!C422="M2"</formula>
    </cfRule>
    <cfRule type="expression" priority="5480" dxfId="6">
      <formula>Datos!C422="M3"</formula>
    </cfRule>
    <cfRule type="expression" priority="5481" dxfId="7">
      <formula>Datos!C422="M4"</formula>
    </cfRule>
    <cfRule type="expression" priority="5482" dxfId="8">
      <formula>Datos!C422="D1"</formula>
    </cfRule>
    <cfRule type="expression" priority="5483" dxfId="9">
      <formula>Datos!C422="D2"</formula>
    </cfRule>
    <cfRule type="expression" priority="5484" dxfId="10">
      <formula>Datos!C422="D3"</formula>
    </cfRule>
    <cfRule type="expression" priority="5485" dxfId="11">
      <formula>Datos!C422="D4"</formula>
    </cfRule>
    <cfRule type="expression" priority="5486" dxfId="12">
      <formula>Datos!C422="MIX"</formula>
    </cfRule>
  </conditionalFormatting>
  <conditionalFormatting sqref="D38">
    <cfRule type="expression" priority="5487" dxfId="0">
      <formula>Datos!C423="C1"</formula>
    </cfRule>
    <cfRule type="expression" priority="5488" dxfId="1">
      <formula>Datos!C423="C2"</formula>
    </cfRule>
    <cfRule type="expression" priority="5489" dxfId="2">
      <formula>Datos!C423="C3"</formula>
    </cfRule>
    <cfRule type="expression" priority="5490" dxfId="3">
      <formula>Datos!C423="C4"</formula>
    </cfRule>
    <cfRule type="expression" priority="5491" dxfId="4">
      <formula>Datos!C423="M1"</formula>
    </cfRule>
    <cfRule type="expression" priority="5492" dxfId="5">
      <formula>Datos!C423="M2"</formula>
    </cfRule>
    <cfRule type="expression" priority="5493" dxfId="6">
      <formula>Datos!C423="M3"</formula>
    </cfRule>
    <cfRule type="expression" priority="5494" dxfId="7">
      <formula>Datos!C423="M4"</formula>
    </cfRule>
    <cfRule type="expression" priority="5495" dxfId="8">
      <formula>Datos!C423="D1"</formula>
    </cfRule>
    <cfRule type="expression" priority="5496" dxfId="9">
      <formula>Datos!C423="D2"</formula>
    </cfRule>
    <cfRule type="expression" priority="5497" dxfId="10">
      <formula>Datos!C423="D3"</formula>
    </cfRule>
    <cfRule type="expression" priority="5498" dxfId="11">
      <formula>Datos!C423="D4"</formula>
    </cfRule>
    <cfRule type="expression" priority="5499" dxfId="12">
      <formula>Datos!C423="MIX"</formula>
    </cfRule>
  </conditionalFormatting>
  <conditionalFormatting sqref="E38">
    <cfRule type="expression" priority="5500" dxfId="0">
      <formula>Datos!C424="C1"</formula>
    </cfRule>
    <cfRule type="expression" priority="5501" dxfId="1">
      <formula>Datos!C424="C2"</formula>
    </cfRule>
    <cfRule type="expression" priority="5502" dxfId="2">
      <formula>Datos!C424="C3"</formula>
    </cfRule>
    <cfRule type="expression" priority="5503" dxfId="3">
      <formula>Datos!C424="C4"</formula>
    </cfRule>
    <cfRule type="expression" priority="5504" dxfId="4">
      <formula>Datos!C424="M1"</formula>
    </cfRule>
    <cfRule type="expression" priority="5505" dxfId="5">
      <formula>Datos!C424="M2"</formula>
    </cfRule>
    <cfRule type="expression" priority="5506" dxfId="6">
      <formula>Datos!C424="M3"</formula>
    </cfRule>
    <cfRule type="expression" priority="5507" dxfId="7">
      <formula>Datos!C424="M4"</formula>
    </cfRule>
    <cfRule type="expression" priority="5508" dxfId="8">
      <formula>Datos!C424="D1"</formula>
    </cfRule>
    <cfRule type="expression" priority="5509" dxfId="9">
      <formula>Datos!C424="D2"</formula>
    </cfRule>
    <cfRule type="expression" priority="5510" dxfId="10">
      <formula>Datos!C424="D3"</formula>
    </cfRule>
    <cfRule type="expression" priority="5511" dxfId="11">
      <formula>Datos!C424="D4"</formula>
    </cfRule>
    <cfRule type="expression" priority="5512" dxfId="12">
      <formula>Datos!C424="MIX"</formula>
    </cfRule>
  </conditionalFormatting>
  <conditionalFormatting sqref="F38">
    <cfRule type="expression" priority="5513" dxfId="0">
      <formula>Datos!C425="C1"</formula>
    </cfRule>
    <cfRule type="expression" priority="5514" dxfId="1">
      <formula>Datos!C425="C2"</formula>
    </cfRule>
    <cfRule type="expression" priority="5515" dxfId="2">
      <formula>Datos!C425="C3"</formula>
    </cfRule>
    <cfRule type="expression" priority="5516" dxfId="3">
      <formula>Datos!C425="C4"</formula>
    </cfRule>
    <cfRule type="expression" priority="5517" dxfId="4">
      <formula>Datos!C425="M1"</formula>
    </cfRule>
    <cfRule type="expression" priority="5518" dxfId="5">
      <formula>Datos!C425="M2"</formula>
    </cfRule>
    <cfRule type="expression" priority="5519" dxfId="6">
      <formula>Datos!C425="M3"</formula>
    </cfRule>
    <cfRule type="expression" priority="5520" dxfId="7">
      <formula>Datos!C425="M4"</formula>
    </cfRule>
    <cfRule type="expression" priority="5521" dxfId="8">
      <formula>Datos!C425="D1"</formula>
    </cfRule>
    <cfRule type="expression" priority="5522" dxfId="9">
      <formula>Datos!C425="D2"</formula>
    </cfRule>
    <cfRule type="expression" priority="5523" dxfId="10">
      <formula>Datos!C425="D3"</formula>
    </cfRule>
    <cfRule type="expression" priority="5524" dxfId="11">
      <formula>Datos!C425="D4"</formula>
    </cfRule>
    <cfRule type="expression" priority="5525" dxfId="12">
      <formula>Datos!C425="MIX"</formula>
    </cfRule>
  </conditionalFormatting>
  <conditionalFormatting sqref="G38">
    <cfRule type="expression" priority="5526" dxfId="0">
      <formula>Datos!C426="C1"</formula>
    </cfRule>
    <cfRule type="expression" priority="5527" dxfId="1">
      <formula>Datos!C426="C2"</formula>
    </cfRule>
    <cfRule type="expression" priority="5528" dxfId="2">
      <formula>Datos!C426="C3"</formula>
    </cfRule>
    <cfRule type="expression" priority="5529" dxfId="3">
      <formula>Datos!C426="C4"</formula>
    </cfRule>
    <cfRule type="expression" priority="5530" dxfId="4">
      <formula>Datos!C426="M1"</formula>
    </cfRule>
    <cfRule type="expression" priority="5531" dxfId="5">
      <formula>Datos!C426="M2"</formula>
    </cfRule>
    <cfRule type="expression" priority="5532" dxfId="6">
      <formula>Datos!C426="M3"</formula>
    </cfRule>
    <cfRule type="expression" priority="5533" dxfId="7">
      <formula>Datos!C426="M4"</formula>
    </cfRule>
    <cfRule type="expression" priority="5534" dxfId="8">
      <formula>Datos!C426="D1"</formula>
    </cfRule>
    <cfRule type="expression" priority="5535" dxfId="9">
      <formula>Datos!C426="D2"</formula>
    </cfRule>
    <cfRule type="expression" priority="5536" dxfId="10">
      <formula>Datos!C426="D3"</formula>
    </cfRule>
    <cfRule type="expression" priority="5537" dxfId="11">
      <formula>Datos!C426="D4"</formula>
    </cfRule>
    <cfRule type="expression" priority="5538" dxfId="12">
      <formula>Datos!C426="MIX"</formula>
    </cfRule>
  </conditionalFormatting>
  <conditionalFormatting sqref="H38">
    <cfRule type="expression" priority="5539" dxfId="0">
      <formula>Datos!C427="C1"</formula>
    </cfRule>
    <cfRule type="expression" priority="5540" dxfId="1">
      <formula>Datos!C427="C2"</formula>
    </cfRule>
    <cfRule type="expression" priority="5541" dxfId="2">
      <formula>Datos!C427="C3"</formula>
    </cfRule>
    <cfRule type="expression" priority="5542" dxfId="3">
      <formula>Datos!C427="C4"</formula>
    </cfRule>
    <cfRule type="expression" priority="5543" dxfId="4">
      <formula>Datos!C427="M1"</formula>
    </cfRule>
    <cfRule type="expression" priority="5544" dxfId="5">
      <formula>Datos!C427="M2"</formula>
    </cfRule>
    <cfRule type="expression" priority="5545" dxfId="6">
      <formula>Datos!C427="M3"</formula>
    </cfRule>
    <cfRule type="expression" priority="5546" dxfId="7">
      <formula>Datos!C427="M4"</formula>
    </cfRule>
    <cfRule type="expression" priority="5547" dxfId="8">
      <formula>Datos!C427="D1"</formula>
    </cfRule>
    <cfRule type="expression" priority="5548" dxfId="9">
      <formula>Datos!C427="D2"</formula>
    </cfRule>
    <cfRule type="expression" priority="5549" dxfId="10">
      <formula>Datos!C427="D3"</formula>
    </cfRule>
    <cfRule type="expression" priority="5550" dxfId="11">
      <formula>Datos!C427="D4"</formula>
    </cfRule>
    <cfRule type="expression" priority="5551" dxfId="12">
      <formula>Datos!C427="MIX"</formula>
    </cfRule>
  </conditionalFormatting>
  <conditionalFormatting sqref="I38">
    <cfRule type="expression" priority="5552" dxfId="0">
      <formula>Datos!C428="C1"</formula>
    </cfRule>
    <cfRule type="expression" priority="5553" dxfId="1">
      <formula>Datos!C428="C2"</formula>
    </cfRule>
    <cfRule type="expression" priority="5554" dxfId="2">
      <formula>Datos!C428="C3"</formula>
    </cfRule>
    <cfRule type="expression" priority="5555" dxfId="3">
      <formula>Datos!C428="C4"</formula>
    </cfRule>
    <cfRule type="expression" priority="5556" dxfId="4">
      <formula>Datos!C428="M1"</formula>
    </cfRule>
    <cfRule type="expression" priority="5557" dxfId="5">
      <formula>Datos!C428="M2"</formula>
    </cfRule>
    <cfRule type="expression" priority="5558" dxfId="6">
      <formula>Datos!C428="M3"</formula>
    </cfRule>
    <cfRule type="expression" priority="5559" dxfId="7">
      <formula>Datos!C428="M4"</formula>
    </cfRule>
    <cfRule type="expression" priority="5560" dxfId="8">
      <formula>Datos!C428="D1"</formula>
    </cfRule>
    <cfRule type="expression" priority="5561" dxfId="9">
      <formula>Datos!C428="D2"</formula>
    </cfRule>
    <cfRule type="expression" priority="5562" dxfId="10">
      <formula>Datos!C428="D3"</formula>
    </cfRule>
    <cfRule type="expression" priority="5563" dxfId="11">
      <formula>Datos!C428="D4"</formula>
    </cfRule>
    <cfRule type="expression" priority="5564" dxfId="12">
      <formula>Datos!C428="MIX"</formula>
    </cfRule>
  </conditionalFormatting>
  <conditionalFormatting sqref="J38">
    <cfRule type="expression" priority="5565" dxfId="0">
      <formula>Datos!C429="C1"</formula>
    </cfRule>
    <cfRule type="expression" priority="5566" dxfId="1">
      <formula>Datos!C429="C2"</formula>
    </cfRule>
    <cfRule type="expression" priority="5567" dxfId="2">
      <formula>Datos!C429="C3"</formula>
    </cfRule>
    <cfRule type="expression" priority="5568" dxfId="3">
      <formula>Datos!C429="C4"</formula>
    </cfRule>
    <cfRule type="expression" priority="5569" dxfId="4">
      <formula>Datos!C429="M1"</formula>
    </cfRule>
    <cfRule type="expression" priority="5570" dxfId="5">
      <formula>Datos!C429="M2"</formula>
    </cfRule>
    <cfRule type="expression" priority="5571" dxfId="6">
      <formula>Datos!C429="M3"</formula>
    </cfRule>
    <cfRule type="expression" priority="5572" dxfId="7">
      <formula>Datos!C429="M4"</formula>
    </cfRule>
    <cfRule type="expression" priority="5573" dxfId="8">
      <formula>Datos!C429="D1"</formula>
    </cfRule>
    <cfRule type="expression" priority="5574" dxfId="9">
      <formula>Datos!C429="D2"</formula>
    </cfRule>
    <cfRule type="expression" priority="5575" dxfId="10">
      <formula>Datos!C429="D3"</formula>
    </cfRule>
    <cfRule type="expression" priority="5576" dxfId="11">
      <formula>Datos!C429="D4"</formula>
    </cfRule>
    <cfRule type="expression" priority="5577" dxfId="12">
      <formula>Datos!C429="MIX"</formula>
    </cfRule>
  </conditionalFormatting>
  <conditionalFormatting sqref="K38">
    <cfRule type="expression" priority="5578" dxfId="0">
      <formula>Datos!C430="C1"</formula>
    </cfRule>
    <cfRule type="expression" priority="5579" dxfId="1">
      <formula>Datos!C430="C2"</formula>
    </cfRule>
    <cfRule type="expression" priority="5580" dxfId="2">
      <formula>Datos!C430="C3"</formula>
    </cfRule>
    <cfRule type="expression" priority="5581" dxfId="3">
      <formula>Datos!C430="C4"</formula>
    </cfRule>
    <cfRule type="expression" priority="5582" dxfId="4">
      <formula>Datos!C430="M1"</formula>
    </cfRule>
    <cfRule type="expression" priority="5583" dxfId="5">
      <formula>Datos!C430="M2"</formula>
    </cfRule>
    <cfRule type="expression" priority="5584" dxfId="6">
      <formula>Datos!C430="M3"</formula>
    </cfRule>
    <cfRule type="expression" priority="5585" dxfId="7">
      <formula>Datos!C430="M4"</formula>
    </cfRule>
    <cfRule type="expression" priority="5586" dxfId="8">
      <formula>Datos!C430="D1"</formula>
    </cfRule>
    <cfRule type="expression" priority="5587" dxfId="9">
      <formula>Datos!C430="D2"</formula>
    </cfRule>
    <cfRule type="expression" priority="5588" dxfId="10">
      <formula>Datos!C430="D3"</formula>
    </cfRule>
    <cfRule type="expression" priority="5589" dxfId="11">
      <formula>Datos!C430="D4"</formula>
    </cfRule>
    <cfRule type="expression" priority="5590" dxfId="12">
      <formula>Datos!C430="MIX"</formula>
    </cfRule>
  </conditionalFormatting>
  <conditionalFormatting sqref="L38">
    <cfRule type="expression" priority="5591" dxfId="0">
      <formula>Datos!C431="C1"</formula>
    </cfRule>
    <cfRule type="expression" priority="5592" dxfId="1">
      <formula>Datos!C431="C2"</formula>
    </cfRule>
    <cfRule type="expression" priority="5593" dxfId="2">
      <formula>Datos!C431="C3"</formula>
    </cfRule>
    <cfRule type="expression" priority="5594" dxfId="3">
      <formula>Datos!C431="C4"</formula>
    </cfRule>
    <cfRule type="expression" priority="5595" dxfId="4">
      <formula>Datos!C431="M1"</formula>
    </cfRule>
    <cfRule type="expression" priority="5596" dxfId="5">
      <formula>Datos!C431="M2"</formula>
    </cfRule>
    <cfRule type="expression" priority="5597" dxfId="6">
      <formula>Datos!C431="M3"</formula>
    </cfRule>
    <cfRule type="expression" priority="5598" dxfId="7">
      <formula>Datos!C431="M4"</formula>
    </cfRule>
    <cfRule type="expression" priority="5599" dxfId="8">
      <formula>Datos!C431="D1"</formula>
    </cfRule>
    <cfRule type="expression" priority="5600" dxfId="9">
      <formula>Datos!C431="D2"</formula>
    </cfRule>
    <cfRule type="expression" priority="5601" dxfId="10">
      <formula>Datos!C431="D3"</formula>
    </cfRule>
    <cfRule type="expression" priority="5602" dxfId="11">
      <formula>Datos!C431="D4"</formula>
    </cfRule>
    <cfRule type="expression" priority="5603" dxfId="12">
      <formula>Datos!C431="MIX"</formula>
    </cfRule>
  </conditionalFormatting>
  <conditionalFormatting sqref="M38">
    <cfRule type="expression" priority="5604" dxfId="0">
      <formula>Datos!C432="C1"</formula>
    </cfRule>
    <cfRule type="expression" priority="5605" dxfId="1">
      <formula>Datos!C432="C2"</formula>
    </cfRule>
    <cfRule type="expression" priority="5606" dxfId="2">
      <formula>Datos!C432="C3"</formula>
    </cfRule>
    <cfRule type="expression" priority="5607" dxfId="3">
      <formula>Datos!C432="C4"</formula>
    </cfRule>
    <cfRule type="expression" priority="5608" dxfId="4">
      <formula>Datos!C432="M1"</formula>
    </cfRule>
    <cfRule type="expression" priority="5609" dxfId="5">
      <formula>Datos!C432="M2"</formula>
    </cfRule>
    <cfRule type="expression" priority="5610" dxfId="6">
      <formula>Datos!C432="M3"</formula>
    </cfRule>
    <cfRule type="expression" priority="5611" dxfId="7">
      <formula>Datos!C432="M4"</formula>
    </cfRule>
    <cfRule type="expression" priority="5612" dxfId="8">
      <formula>Datos!C432="D1"</formula>
    </cfRule>
    <cfRule type="expression" priority="5613" dxfId="9">
      <formula>Datos!C432="D2"</formula>
    </cfRule>
    <cfRule type="expression" priority="5614" dxfId="10">
      <formula>Datos!C432="D3"</formula>
    </cfRule>
    <cfRule type="expression" priority="5615" dxfId="11">
      <formula>Datos!C432="D4"</formula>
    </cfRule>
    <cfRule type="expression" priority="5616" dxfId="12">
      <formula>Datos!C432="MIX"</formula>
    </cfRule>
  </conditionalFormatting>
  <conditionalFormatting sqref="N38">
    <cfRule type="expression" priority="5617" dxfId="0">
      <formula>Datos!C433="C1"</formula>
    </cfRule>
    <cfRule type="expression" priority="5618" dxfId="1">
      <formula>Datos!C433="C2"</formula>
    </cfRule>
    <cfRule type="expression" priority="5619" dxfId="2">
      <formula>Datos!C433="C3"</formula>
    </cfRule>
    <cfRule type="expression" priority="5620" dxfId="3">
      <formula>Datos!C433="C4"</formula>
    </cfRule>
    <cfRule type="expression" priority="5621" dxfId="4">
      <formula>Datos!C433="M1"</formula>
    </cfRule>
    <cfRule type="expression" priority="5622" dxfId="5">
      <formula>Datos!C433="M2"</formula>
    </cfRule>
    <cfRule type="expression" priority="5623" dxfId="6">
      <formula>Datos!C433="M3"</formula>
    </cfRule>
    <cfRule type="expression" priority="5624" dxfId="7">
      <formula>Datos!C433="M4"</formula>
    </cfRule>
    <cfRule type="expression" priority="5625" dxfId="8">
      <formula>Datos!C433="D1"</formula>
    </cfRule>
    <cfRule type="expression" priority="5626" dxfId="9">
      <formula>Datos!C433="D2"</formula>
    </cfRule>
    <cfRule type="expression" priority="5627" dxfId="10">
      <formula>Datos!C433="D3"</formula>
    </cfRule>
    <cfRule type="expression" priority="5628" dxfId="11">
      <formula>Datos!C433="D4"</formula>
    </cfRule>
    <cfRule type="expression" priority="5629" dxfId="12">
      <formula>Datos!C433="MIX"</formula>
    </cfRule>
  </conditionalFormatting>
  <conditionalFormatting sqref="O38">
    <cfRule type="expression" priority="5630" dxfId="0">
      <formula>Datos!C434="C1"</formula>
    </cfRule>
    <cfRule type="expression" priority="5631" dxfId="1">
      <formula>Datos!C434="C2"</formula>
    </cfRule>
    <cfRule type="expression" priority="5632" dxfId="2">
      <formula>Datos!C434="C3"</formula>
    </cfRule>
    <cfRule type="expression" priority="5633" dxfId="3">
      <formula>Datos!C434="C4"</formula>
    </cfRule>
    <cfRule type="expression" priority="5634" dxfId="4">
      <formula>Datos!C434="M1"</formula>
    </cfRule>
    <cfRule type="expression" priority="5635" dxfId="5">
      <formula>Datos!C434="M2"</formula>
    </cfRule>
    <cfRule type="expression" priority="5636" dxfId="6">
      <formula>Datos!C434="M3"</formula>
    </cfRule>
    <cfRule type="expression" priority="5637" dxfId="7">
      <formula>Datos!C434="M4"</formula>
    </cfRule>
    <cfRule type="expression" priority="5638" dxfId="8">
      <formula>Datos!C434="D1"</formula>
    </cfRule>
    <cfRule type="expression" priority="5639" dxfId="9">
      <formula>Datos!C434="D2"</formula>
    </cfRule>
    <cfRule type="expression" priority="5640" dxfId="10">
      <formula>Datos!C434="D3"</formula>
    </cfRule>
    <cfRule type="expression" priority="5641" dxfId="11">
      <formula>Datos!C434="D4"</formula>
    </cfRule>
    <cfRule type="expression" priority="5642" dxfId="12">
      <formula>Datos!C434="MIX"</formula>
    </cfRule>
  </conditionalFormatting>
  <conditionalFormatting sqref="P38">
    <cfRule type="expression" priority="5643" dxfId="0">
      <formula>Datos!C435="C1"</formula>
    </cfRule>
    <cfRule type="expression" priority="5644" dxfId="1">
      <formula>Datos!C435="C2"</formula>
    </cfRule>
    <cfRule type="expression" priority="5645" dxfId="2">
      <formula>Datos!C435="C3"</formula>
    </cfRule>
    <cfRule type="expression" priority="5646" dxfId="3">
      <formula>Datos!C435="C4"</formula>
    </cfRule>
    <cfRule type="expression" priority="5647" dxfId="4">
      <formula>Datos!C435="M1"</formula>
    </cfRule>
    <cfRule type="expression" priority="5648" dxfId="5">
      <formula>Datos!C435="M2"</formula>
    </cfRule>
    <cfRule type="expression" priority="5649" dxfId="6">
      <formula>Datos!C435="M3"</formula>
    </cfRule>
    <cfRule type="expression" priority="5650" dxfId="7">
      <formula>Datos!C435="M4"</formula>
    </cfRule>
    <cfRule type="expression" priority="5651" dxfId="8">
      <formula>Datos!C435="D1"</formula>
    </cfRule>
    <cfRule type="expression" priority="5652" dxfId="9">
      <formula>Datos!C435="D2"</formula>
    </cfRule>
    <cfRule type="expression" priority="5653" dxfId="10">
      <formula>Datos!C435="D3"</formula>
    </cfRule>
    <cfRule type="expression" priority="5654" dxfId="11">
      <formula>Datos!C435="D4"</formula>
    </cfRule>
    <cfRule type="expression" priority="5655" dxfId="12">
      <formula>Datos!C435="MIX"</formula>
    </cfRule>
  </conditionalFormatting>
  <conditionalFormatting sqref="B39">
    <cfRule type="expression" priority="5656" dxfId="0">
      <formula>Datos!C436="C1"</formula>
    </cfRule>
    <cfRule type="expression" priority="5657" dxfId="1">
      <formula>Datos!C436="C2"</formula>
    </cfRule>
    <cfRule type="expression" priority="5658" dxfId="2">
      <formula>Datos!C436="C3"</formula>
    </cfRule>
    <cfRule type="expression" priority="5659" dxfId="3">
      <formula>Datos!C436="C4"</formula>
    </cfRule>
    <cfRule type="expression" priority="5660" dxfId="4">
      <formula>Datos!C436="M1"</formula>
    </cfRule>
    <cfRule type="expression" priority="5661" dxfId="5">
      <formula>Datos!C436="M2"</formula>
    </cfRule>
    <cfRule type="expression" priority="5662" dxfId="6">
      <formula>Datos!C436="M3"</formula>
    </cfRule>
    <cfRule type="expression" priority="5663" dxfId="7">
      <formula>Datos!C436="M4"</formula>
    </cfRule>
    <cfRule type="expression" priority="5664" dxfId="8">
      <formula>Datos!C436="D1"</formula>
    </cfRule>
    <cfRule type="expression" priority="5665" dxfId="9">
      <formula>Datos!C436="D2"</formula>
    </cfRule>
    <cfRule type="expression" priority="5666" dxfId="10">
      <formula>Datos!C436="D3"</formula>
    </cfRule>
    <cfRule type="expression" priority="5667" dxfId="11">
      <formula>Datos!C436="D4"</formula>
    </cfRule>
    <cfRule type="expression" priority="5668" dxfId="12">
      <formula>Datos!C436="MIX"</formula>
    </cfRule>
  </conditionalFormatting>
  <conditionalFormatting sqref="C39">
    <cfRule type="expression" priority="5669" dxfId="0">
      <formula>Datos!C437="C1"</formula>
    </cfRule>
    <cfRule type="expression" priority="5670" dxfId="1">
      <formula>Datos!C437="C2"</formula>
    </cfRule>
    <cfRule type="expression" priority="5671" dxfId="2">
      <formula>Datos!C437="C3"</formula>
    </cfRule>
    <cfRule type="expression" priority="5672" dxfId="3">
      <formula>Datos!C437="C4"</formula>
    </cfRule>
    <cfRule type="expression" priority="5673" dxfId="4">
      <formula>Datos!C437="M1"</formula>
    </cfRule>
    <cfRule type="expression" priority="5674" dxfId="5">
      <formula>Datos!C437="M2"</formula>
    </cfRule>
    <cfRule type="expression" priority="5675" dxfId="6">
      <formula>Datos!C437="M3"</formula>
    </cfRule>
    <cfRule type="expression" priority="5676" dxfId="7">
      <formula>Datos!C437="M4"</formula>
    </cfRule>
    <cfRule type="expression" priority="5677" dxfId="8">
      <formula>Datos!C437="D1"</formula>
    </cfRule>
    <cfRule type="expression" priority="5678" dxfId="9">
      <formula>Datos!C437="D2"</formula>
    </cfRule>
    <cfRule type="expression" priority="5679" dxfId="10">
      <formula>Datos!C437="D3"</formula>
    </cfRule>
    <cfRule type="expression" priority="5680" dxfId="11">
      <formula>Datos!C437="D4"</formula>
    </cfRule>
    <cfRule type="expression" priority="5681" dxfId="12">
      <formula>Datos!C437="MIX"</formula>
    </cfRule>
  </conditionalFormatting>
  <conditionalFormatting sqref="D39">
    <cfRule type="expression" priority="5682" dxfId="0">
      <formula>Datos!C438="C1"</formula>
    </cfRule>
    <cfRule type="expression" priority="5683" dxfId="1">
      <formula>Datos!C438="C2"</formula>
    </cfRule>
    <cfRule type="expression" priority="5684" dxfId="2">
      <formula>Datos!C438="C3"</formula>
    </cfRule>
    <cfRule type="expression" priority="5685" dxfId="3">
      <formula>Datos!C438="C4"</formula>
    </cfRule>
    <cfRule type="expression" priority="5686" dxfId="4">
      <formula>Datos!C438="M1"</formula>
    </cfRule>
    <cfRule type="expression" priority="5687" dxfId="5">
      <formula>Datos!C438="M2"</formula>
    </cfRule>
    <cfRule type="expression" priority="5688" dxfId="6">
      <formula>Datos!C438="M3"</formula>
    </cfRule>
    <cfRule type="expression" priority="5689" dxfId="7">
      <formula>Datos!C438="M4"</formula>
    </cfRule>
    <cfRule type="expression" priority="5690" dxfId="8">
      <formula>Datos!C438="D1"</formula>
    </cfRule>
    <cfRule type="expression" priority="5691" dxfId="9">
      <formula>Datos!C438="D2"</formula>
    </cfRule>
    <cfRule type="expression" priority="5692" dxfId="10">
      <formula>Datos!C438="D3"</formula>
    </cfRule>
    <cfRule type="expression" priority="5693" dxfId="11">
      <formula>Datos!C438="D4"</formula>
    </cfRule>
    <cfRule type="expression" priority="5694" dxfId="12">
      <formula>Datos!C438="MIX"</formula>
    </cfRule>
  </conditionalFormatting>
  <conditionalFormatting sqref="E39">
    <cfRule type="expression" priority="5695" dxfId="0">
      <formula>Datos!C439="C1"</formula>
    </cfRule>
    <cfRule type="expression" priority="5696" dxfId="1">
      <formula>Datos!C439="C2"</formula>
    </cfRule>
    <cfRule type="expression" priority="5697" dxfId="2">
      <formula>Datos!C439="C3"</formula>
    </cfRule>
    <cfRule type="expression" priority="5698" dxfId="3">
      <formula>Datos!C439="C4"</formula>
    </cfRule>
    <cfRule type="expression" priority="5699" dxfId="4">
      <formula>Datos!C439="M1"</formula>
    </cfRule>
    <cfRule type="expression" priority="5700" dxfId="5">
      <formula>Datos!C439="M2"</formula>
    </cfRule>
    <cfRule type="expression" priority="5701" dxfId="6">
      <formula>Datos!C439="M3"</formula>
    </cfRule>
    <cfRule type="expression" priority="5702" dxfId="7">
      <formula>Datos!C439="M4"</formula>
    </cfRule>
    <cfRule type="expression" priority="5703" dxfId="8">
      <formula>Datos!C439="D1"</formula>
    </cfRule>
    <cfRule type="expression" priority="5704" dxfId="9">
      <formula>Datos!C439="D2"</formula>
    </cfRule>
    <cfRule type="expression" priority="5705" dxfId="10">
      <formula>Datos!C439="D3"</formula>
    </cfRule>
    <cfRule type="expression" priority="5706" dxfId="11">
      <formula>Datos!C439="D4"</formula>
    </cfRule>
    <cfRule type="expression" priority="5707" dxfId="12">
      <formula>Datos!C439="MIX"</formula>
    </cfRule>
  </conditionalFormatting>
  <conditionalFormatting sqref="F39">
    <cfRule type="expression" priority="5708" dxfId="0">
      <formula>Datos!C440="C1"</formula>
    </cfRule>
    <cfRule type="expression" priority="5709" dxfId="1">
      <formula>Datos!C440="C2"</formula>
    </cfRule>
    <cfRule type="expression" priority="5710" dxfId="2">
      <formula>Datos!C440="C3"</formula>
    </cfRule>
    <cfRule type="expression" priority="5711" dxfId="3">
      <formula>Datos!C440="C4"</formula>
    </cfRule>
    <cfRule type="expression" priority="5712" dxfId="4">
      <formula>Datos!C440="M1"</formula>
    </cfRule>
    <cfRule type="expression" priority="5713" dxfId="5">
      <formula>Datos!C440="M2"</formula>
    </cfRule>
    <cfRule type="expression" priority="5714" dxfId="6">
      <formula>Datos!C440="M3"</formula>
    </cfRule>
    <cfRule type="expression" priority="5715" dxfId="7">
      <formula>Datos!C440="M4"</formula>
    </cfRule>
    <cfRule type="expression" priority="5716" dxfId="8">
      <formula>Datos!C440="D1"</formula>
    </cfRule>
    <cfRule type="expression" priority="5717" dxfId="9">
      <formula>Datos!C440="D2"</formula>
    </cfRule>
    <cfRule type="expression" priority="5718" dxfId="10">
      <formula>Datos!C440="D3"</formula>
    </cfRule>
    <cfRule type="expression" priority="5719" dxfId="11">
      <formula>Datos!C440="D4"</formula>
    </cfRule>
    <cfRule type="expression" priority="5720" dxfId="12">
      <formula>Datos!C440="MIX"</formula>
    </cfRule>
  </conditionalFormatting>
  <conditionalFormatting sqref="G39">
    <cfRule type="expression" priority="5721" dxfId="0">
      <formula>Datos!C441="C1"</formula>
    </cfRule>
    <cfRule type="expression" priority="5722" dxfId="1">
      <formula>Datos!C441="C2"</formula>
    </cfRule>
    <cfRule type="expression" priority="5723" dxfId="2">
      <formula>Datos!C441="C3"</formula>
    </cfRule>
    <cfRule type="expression" priority="5724" dxfId="3">
      <formula>Datos!C441="C4"</formula>
    </cfRule>
    <cfRule type="expression" priority="5725" dxfId="4">
      <formula>Datos!C441="M1"</formula>
    </cfRule>
    <cfRule type="expression" priority="5726" dxfId="5">
      <formula>Datos!C441="M2"</formula>
    </cfRule>
    <cfRule type="expression" priority="5727" dxfId="6">
      <formula>Datos!C441="M3"</formula>
    </cfRule>
    <cfRule type="expression" priority="5728" dxfId="7">
      <formula>Datos!C441="M4"</formula>
    </cfRule>
    <cfRule type="expression" priority="5729" dxfId="8">
      <formula>Datos!C441="D1"</formula>
    </cfRule>
    <cfRule type="expression" priority="5730" dxfId="9">
      <formula>Datos!C441="D2"</formula>
    </cfRule>
    <cfRule type="expression" priority="5731" dxfId="10">
      <formula>Datos!C441="D3"</formula>
    </cfRule>
    <cfRule type="expression" priority="5732" dxfId="11">
      <formula>Datos!C441="D4"</formula>
    </cfRule>
    <cfRule type="expression" priority="5733" dxfId="12">
      <formula>Datos!C441="MIX"</formula>
    </cfRule>
  </conditionalFormatting>
  <conditionalFormatting sqref="H39">
    <cfRule type="expression" priority="5734" dxfId="0">
      <formula>Datos!C442="C1"</formula>
    </cfRule>
    <cfRule type="expression" priority="5735" dxfId="1">
      <formula>Datos!C442="C2"</formula>
    </cfRule>
    <cfRule type="expression" priority="5736" dxfId="2">
      <formula>Datos!C442="C3"</formula>
    </cfRule>
    <cfRule type="expression" priority="5737" dxfId="3">
      <formula>Datos!C442="C4"</formula>
    </cfRule>
    <cfRule type="expression" priority="5738" dxfId="4">
      <formula>Datos!C442="M1"</formula>
    </cfRule>
    <cfRule type="expression" priority="5739" dxfId="5">
      <formula>Datos!C442="M2"</formula>
    </cfRule>
    <cfRule type="expression" priority="5740" dxfId="6">
      <formula>Datos!C442="M3"</formula>
    </cfRule>
    <cfRule type="expression" priority="5741" dxfId="7">
      <formula>Datos!C442="M4"</formula>
    </cfRule>
    <cfRule type="expression" priority="5742" dxfId="8">
      <formula>Datos!C442="D1"</formula>
    </cfRule>
    <cfRule type="expression" priority="5743" dxfId="9">
      <formula>Datos!C442="D2"</formula>
    </cfRule>
    <cfRule type="expression" priority="5744" dxfId="10">
      <formula>Datos!C442="D3"</formula>
    </cfRule>
    <cfRule type="expression" priority="5745" dxfId="11">
      <formula>Datos!C442="D4"</formula>
    </cfRule>
    <cfRule type="expression" priority="5746" dxfId="12">
      <formula>Datos!C442="MIX"</formula>
    </cfRule>
  </conditionalFormatting>
  <conditionalFormatting sqref="I39">
    <cfRule type="expression" priority="5747" dxfId="0">
      <formula>Datos!C443="C1"</formula>
    </cfRule>
    <cfRule type="expression" priority="5748" dxfId="1">
      <formula>Datos!C443="C2"</formula>
    </cfRule>
    <cfRule type="expression" priority="5749" dxfId="2">
      <formula>Datos!C443="C3"</formula>
    </cfRule>
    <cfRule type="expression" priority="5750" dxfId="3">
      <formula>Datos!C443="C4"</formula>
    </cfRule>
    <cfRule type="expression" priority="5751" dxfId="4">
      <formula>Datos!C443="M1"</formula>
    </cfRule>
    <cfRule type="expression" priority="5752" dxfId="5">
      <formula>Datos!C443="M2"</formula>
    </cfRule>
    <cfRule type="expression" priority="5753" dxfId="6">
      <formula>Datos!C443="M3"</formula>
    </cfRule>
    <cfRule type="expression" priority="5754" dxfId="7">
      <formula>Datos!C443="M4"</formula>
    </cfRule>
    <cfRule type="expression" priority="5755" dxfId="8">
      <formula>Datos!C443="D1"</formula>
    </cfRule>
    <cfRule type="expression" priority="5756" dxfId="9">
      <formula>Datos!C443="D2"</formula>
    </cfRule>
    <cfRule type="expression" priority="5757" dxfId="10">
      <formula>Datos!C443="D3"</formula>
    </cfRule>
    <cfRule type="expression" priority="5758" dxfId="11">
      <formula>Datos!C443="D4"</formula>
    </cfRule>
    <cfRule type="expression" priority="5759" dxfId="12">
      <formula>Datos!C443="MIX"</formula>
    </cfRule>
  </conditionalFormatting>
  <conditionalFormatting sqref="J39">
    <cfRule type="expression" priority="5760" dxfId="0">
      <formula>Datos!C444="C1"</formula>
    </cfRule>
    <cfRule type="expression" priority="5761" dxfId="1">
      <formula>Datos!C444="C2"</formula>
    </cfRule>
    <cfRule type="expression" priority="5762" dxfId="2">
      <formula>Datos!C444="C3"</formula>
    </cfRule>
    <cfRule type="expression" priority="5763" dxfId="3">
      <formula>Datos!C444="C4"</formula>
    </cfRule>
    <cfRule type="expression" priority="5764" dxfId="4">
      <formula>Datos!C444="M1"</formula>
    </cfRule>
    <cfRule type="expression" priority="5765" dxfId="5">
      <formula>Datos!C444="M2"</formula>
    </cfRule>
    <cfRule type="expression" priority="5766" dxfId="6">
      <formula>Datos!C444="M3"</formula>
    </cfRule>
    <cfRule type="expression" priority="5767" dxfId="7">
      <formula>Datos!C444="M4"</formula>
    </cfRule>
    <cfRule type="expression" priority="5768" dxfId="8">
      <formula>Datos!C444="D1"</formula>
    </cfRule>
    <cfRule type="expression" priority="5769" dxfId="9">
      <formula>Datos!C444="D2"</formula>
    </cfRule>
    <cfRule type="expression" priority="5770" dxfId="10">
      <formula>Datos!C444="D3"</formula>
    </cfRule>
    <cfRule type="expression" priority="5771" dxfId="11">
      <formula>Datos!C444="D4"</formula>
    </cfRule>
    <cfRule type="expression" priority="5772" dxfId="12">
      <formula>Datos!C444="MIX"</formula>
    </cfRule>
  </conditionalFormatting>
  <conditionalFormatting sqref="K39">
    <cfRule type="expression" priority="5773" dxfId="0">
      <formula>Datos!C445="C1"</formula>
    </cfRule>
    <cfRule type="expression" priority="5774" dxfId="1">
      <formula>Datos!C445="C2"</formula>
    </cfRule>
    <cfRule type="expression" priority="5775" dxfId="2">
      <formula>Datos!C445="C3"</formula>
    </cfRule>
    <cfRule type="expression" priority="5776" dxfId="3">
      <formula>Datos!C445="C4"</formula>
    </cfRule>
    <cfRule type="expression" priority="5777" dxfId="4">
      <formula>Datos!C445="M1"</formula>
    </cfRule>
    <cfRule type="expression" priority="5778" dxfId="5">
      <formula>Datos!C445="M2"</formula>
    </cfRule>
    <cfRule type="expression" priority="5779" dxfId="6">
      <formula>Datos!C445="M3"</formula>
    </cfRule>
    <cfRule type="expression" priority="5780" dxfId="7">
      <formula>Datos!C445="M4"</formula>
    </cfRule>
    <cfRule type="expression" priority="5781" dxfId="8">
      <formula>Datos!C445="D1"</formula>
    </cfRule>
    <cfRule type="expression" priority="5782" dxfId="9">
      <formula>Datos!C445="D2"</formula>
    </cfRule>
    <cfRule type="expression" priority="5783" dxfId="10">
      <formula>Datos!C445="D3"</formula>
    </cfRule>
    <cfRule type="expression" priority="5784" dxfId="11">
      <formula>Datos!C445="D4"</formula>
    </cfRule>
    <cfRule type="expression" priority="5785" dxfId="12">
      <formula>Datos!C445="MIX"</formula>
    </cfRule>
  </conditionalFormatting>
  <conditionalFormatting sqref="L39">
    <cfRule type="expression" priority="5786" dxfId="0">
      <formula>Datos!C446="C1"</formula>
    </cfRule>
    <cfRule type="expression" priority="5787" dxfId="1">
      <formula>Datos!C446="C2"</formula>
    </cfRule>
    <cfRule type="expression" priority="5788" dxfId="2">
      <formula>Datos!C446="C3"</formula>
    </cfRule>
    <cfRule type="expression" priority="5789" dxfId="3">
      <formula>Datos!C446="C4"</formula>
    </cfRule>
    <cfRule type="expression" priority="5790" dxfId="4">
      <formula>Datos!C446="M1"</formula>
    </cfRule>
    <cfRule type="expression" priority="5791" dxfId="5">
      <formula>Datos!C446="M2"</formula>
    </cfRule>
    <cfRule type="expression" priority="5792" dxfId="6">
      <formula>Datos!C446="M3"</formula>
    </cfRule>
    <cfRule type="expression" priority="5793" dxfId="7">
      <formula>Datos!C446="M4"</formula>
    </cfRule>
    <cfRule type="expression" priority="5794" dxfId="8">
      <formula>Datos!C446="D1"</formula>
    </cfRule>
    <cfRule type="expression" priority="5795" dxfId="9">
      <formula>Datos!C446="D2"</formula>
    </cfRule>
    <cfRule type="expression" priority="5796" dxfId="10">
      <formula>Datos!C446="D3"</formula>
    </cfRule>
    <cfRule type="expression" priority="5797" dxfId="11">
      <formula>Datos!C446="D4"</formula>
    </cfRule>
    <cfRule type="expression" priority="5798" dxfId="12">
      <formula>Datos!C446="MIX"</formula>
    </cfRule>
  </conditionalFormatting>
  <conditionalFormatting sqref="M39">
    <cfRule type="expression" priority="5799" dxfId="0">
      <formula>Datos!C447="C1"</formula>
    </cfRule>
    <cfRule type="expression" priority="5800" dxfId="1">
      <formula>Datos!C447="C2"</formula>
    </cfRule>
    <cfRule type="expression" priority="5801" dxfId="2">
      <formula>Datos!C447="C3"</formula>
    </cfRule>
    <cfRule type="expression" priority="5802" dxfId="3">
      <formula>Datos!C447="C4"</formula>
    </cfRule>
    <cfRule type="expression" priority="5803" dxfId="4">
      <formula>Datos!C447="M1"</formula>
    </cfRule>
    <cfRule type="expression" priority="5804" dxfId="5">
      <formula>Datos!C447="M2"</formula>
    </cfRule>
    <cfRule type="expression" priority="5805" dxfId="6">
      <formula>Datos!C447="M3"</formula>
    </cfRule>
    <cfRule type="expression" priority="5806" dxfId="7">
      <formula>Datos!C447="M4"</formula>
    </cfRule>
    <cfRule type="expression" priority="5807" dxfId="8">
      <formula>Datos!C447="D1"</formula>
    </cfRule>
    <cfRule type="expression" priority="5808" dxfId="9">
      <formula>Datos!C447="D2"</formula>
    </cfRule>
    <cfRule type="expression" priority="5809" dxfId="10">
      <formula>Datos!C447="D3"</formula>
    </cfRule>
    <cfRule type="expression" priority="5810" dxfId="11">
      <formula>Datos!C447="D4"</formula>
    </cfRule>
    <cfRule type="expression" priority="5811" dxfId="12">
      <formula>Datos!C447="MIX"</formula>
    </cfRule>
  </conditionalFormatting>
  <conditionalFormatting sqref="N39">
    <cfRule type="expression" priority="5812" dxfId="0">
      <formula>Datos!C448="C1"</formula>
    </cfRule>
    <cfRule type="expression" priority="5813" dxfId="1">
      <formula>Datos!C448="C2"</formula>
    </cfRule>
    <cfRule type="expression" priority="5814" dxfId="2">
      <formula>Datos!C448="C3"</formula>
    </cfRule>
    <cfRule type="expression" priority="5815" dxfId="3">
      <formula>Datos!C448="C4"</formula>
    </cfRule>
    <cfRule type="expression" priority="5816" dxfId="4">
      <formula>Datos!C448="M1"</formula>
    </cfRule>
    <cfRule type="expression" priority="5817" dxfId="5">
      <formula>Datos!C448="M2"</formula>
    </cfRule>
    <cfRule type="expression" priority="5818" dxfId="6">
      <formula>Datos!C448="M3"</formula>
    </cfRule>
    <cfRule type="expression" priority="5819" dxfId="7">
      <formula>Datos!C448="M4"</formula>
    </cfRule>
    <cfRule type="expression" priority="5820" dxfId="8">
      <formula>Datos!C448="D1"</formula>
    </cfRule>
    <cfRule type="expression" priority="5821" dxfId="9">
      <formula>Datos!C448="D2"</formula>
    </cfRule>
    <cfRule type="expression" priority="5822" dxfId="10">
      <formula>Datos!C448="D3"</formula>
    </cfRule>
    <cfRule type="expression" priority="5823" dxfId="11">
      <formula>Datos!C448="D4"</formula>
    </cfRule>
    <cfRule type="expression" priority="5824" dxfId="12">
      <formula>Datos!C448="MIX"</formula>
    </cfRule>
  </conditionalFormatting>
  <conditionalFormatting sqref="O39">
    <cfRule type="expression" priority="5825" dxfId="0">
      <formula>Datos!C449="C1"</formula>
    </cfRule>
    <cfRule type="expression" priority="5826" dxfId="1">
      <formula>Datos!C449="C2"</formula>
    </cfRule>
    <cfRule type="expression" priority="5827" dxfId="2">
      <formula>Datos!C449="C3"</formula>
    </cfRule>
    <cfRule type="expression" priority="5828" dxfId="3">
      <formula>Datos!C449="C4"</formula>
    </cfRule>
    <cfRule type="expression" priority="5829" dxfId="4">
      <formula>Datos!C449="M1"</formula>
    </cfRule>
    <cfRule type="expression" priority="5830" dxfId="5">
      <formula>Datos!C449="M2"</formula>
    </cfRule>
    <cfRule type="expression" priority="5831" dxfId="6">
      <formula>Datos!C449="M3"</formula>
    </cfRule>
    <cfRule type="expression" priority="5832" dxfId="7">
      <formula>Datos!C449="M4"</formula>
    </cfRule>
    <cfRule type="expression" priority="5833" dxfId="8">
      <formula>Datos!C449="D1"</formula>
    </cfRule>
    <cfRule type="expression" priority="5834" dxfId="9">
      <formula>Datos!C449="D2"</formula>
    </cfRule>
    <cfRule type="expression" priority="5835" dxfId="10">
      <formula>Datos!C449="D3"</formula>
    </cfRule>
    <cfRule type="expression" priority="5836" dxfId="11">
      <formula>Datos!C449="D4"</formula>
    </cfRule>
    <cfRule type="expression" priority="5837" dxfId="12">
      <formula>Datos!C449="MIX"</formula>
    </cfRule>
  </conditionalFormatting>
  <conditionalFormatting sqref="P39">
    <cfRule type="expression" priority="5838" dxfId="0">
      <formula>Datos!C450="C1"</formula>
    </cfRule>
    <cfRule type="expression" priority="5839" dxfId="1">
      <formula>Datos!C450="C2"</formula>
    </cfRule>
    <cfRule type="expression" priority="5840" dxfId="2">
      <formula>Datos!C450="C3"</formula>
    </cfRule>
    <cfRule type="expression" priority="5841" dxfId="3">
      <formula>Datos!C450="C4"</formula>
    </cfRule>
    <cfRule type="expression" priority="5842" dxfId="4">
      <formula>Datos!C450="M1"</formula>
    </cfRule>
    <cfRule type="expression" priority="5843" dxfId="5">
      <formula>Datos!C450="M2"</formula>
    </cfRule>
    <cfRule type="expression" priority="5844" dxfId="6">
      <formula>Datos!C450="M3"</formula>
    </cfRule>
    <cfRule type="expression" priority="5845" dxfId="7">
      <formula>Datos!C450="M4"</formula>
    </cfRule>
    <cfRule type="expression" priority="5846" dxfId="8">
      <formula>Datos!C450="D1"</formula>
    </cfRule>
    <cfRule type="expression" priority="5847" dxfId="9">
      <formula>Datos!C450="D2"</formula>
    </cfRule>
    <cfRule type="expression" priority="5848" dxfId="10">
      <formula>Datos!C450="D3"</formula>
    </cfRule>
    <cfRule type="expression" priority="5849" dxfId="11">
      <formula>Datos!C450="D4"</formula>
    </cfRule>
    <cfRule type="expression" priority="5850" dxfId="12">
      <formula>Datos!C450="MIX"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 1</t>
        </is>
      </c>
      <c r="C1">
        <f>IF((IF((COUNTIF('C111'!B5,"Aula 1")+COUNTIF('C112'!B5,"Aula 1")+COUNTIF('C113'!B5,"Aula 1")+COUNTIF('C121'!B5,"Aula 1")+COUNTIF('C122'!B5,"Aula 1"))&gt;0,1,0)+IF((COUNTIF('C211'!B5,"Aula 1")+COUNTIF('C212'!B5,"Aula 1"))&gt;0,1,0)+IF((COUNTIF('C311'!B5,"Aula 1")+COUNTIF('C312'!B5,"Aula 1"))&gt;0,1,0)+IF((COUNTIF('C411'!B5,"Aula 1")+COUNTIF('C412'!B5,"Aula 1"))&gt;0,1,0)+IF((COUNTIF('M111'!B5,"Aula 1")+COUNTIF('M112'!B5,"Aula 1"))&gt;0,1,0)+IF((COUNTIF('M211'!B5,"Aula 1")+COUNTIF('M212'!B5,"Aula 1"))&gt;0,1,0)+IF((COUNTIF('M311'!B5,"Aula 1"))&gt;0,1,0)+IF((COUNTIF('M411'!B5,"Aula 1"))&gt;0,1,0)+IF((COUNTIF('D111'!B5,"Aula 1")+COUNTIF('D112'!B5,"Aula 1"))&gt;0,1,0)+IF((COUNTIF('D211'!B5,"Aula 1"))&gt;0,1,0)+IF((COUNTIF('D311'!B5,"Aula 1"))&gt;0,1,0)+IF((COUNTIF('D411'!B5,"Aula 1"))&gt;0,1,0))=0,"",IF((IF((COUNTIF('C111'!B5,"Aula 1")+COUNTIF('C112'!B5,"Aula 1")+COUNTIF('C113'!B5,"Aula 1")+COUNTIF('C121'!B5,"Aula 1")+COUNTIF('C122'!B5,"Aula 1"))&gt;0,1,0)+IF((COUNTIF('C211'!B5,"Aula 1")+COUNTIF('C212'!B5,"Aula 1"))&gt;0,1,0)+IF((COUNTIF('C311'!B5,"Aula 1")+COUNTIF('C312'!B5,"Aula 1"))&gt;0,1,0)+IF((COUNTIF('C411'!B5,"Aula 1")+COUNTIF('C412'!B5,"Aula 1"))&gt;0,1,0)+IF((COUNTIF('M111'!B5,"Aula 1")+COUNTIF('M112'!B5,"Aula 1"))&gt;0,1,0)+IF((COUNTIF('M211'!B5,"Aula 1")+COUNTIF('M212'!B5,"Aula 1"))&gt;0,1,0)+IF((COUNTIF('M311'!B5,"Aula 1"))&gt;0,1,0)+IF((COUNTIF('M411'!B5,"Aula 1"))&gt;0,1,0)+IF((COUNTIF('D111'!B5,"Aula 1")+COUNTIF('D112'!B5,"Aula 1"))&gt;0,1,0)+IF((COUNTIF('D211'!B5,"Aula 1"))&gt;0,1,0)+IF((COUNTIF('D311'!B5,"Aula 1"))&gt;0,1,0)+IF((COUNTIF('D411'!B5,"Aula 1"))&gt;0,1,0))=1,IF((COUNTIF('C111'!B5,"Aula 1")+COUNTIF('C112'!B5,"Aula 1")+COUNTIF('C113'!B5,"Aula 1")+COUNTIF('C121'!B5,"Aula 1")+COUNTIF('C122'!B5,"Aula 1"))&gt;0,"C1",IF((COUNTIF('C211'!B5,"Aula 1")+COUNTIF('C212'!B5,"Aula 1"))&gt;0,"C2",IF((COUNTIF('C311'!B5,"Aula 1")+COUNTIF('C312'!B5,"Aula 1"))&gt;0,"C3",IF((COUNTIF('C411'!B5,"Aula 1")+COUNTIF('C412'!B5,"Aula 1"))&gt;0,"C4",IF((COUNTIF('M111'!B5,"Aula 1")+COUNTIF('M112'!B5,"Aula 1"))&gt;0,"M1",IF((COUNTIF('M211'!B5,"Aula 1")+COUNTIF('M212'!B5,"Aula 1"))&gt;0,"M2",IF((COUNTIF('M311'!B5,"Aula 1"))&gt;0,"M3",IF((COUNTIF('M411'!B5,"Aula 1"))&gt;0,"M4",IF((COUNTIF('D111'!B5,"Aula 1")+COUNTIF('D112'!B5,"Aula 1"))&gt;0,"D1",IF((COUNTIF('D211'!B5,"Aula 1"))&gt;0,"D2",IF((COUNTIF('D311'!B5,"Aula 1"))&gt;0,"D3",IF((COUNTIF('D411'!B5,"Aula 1"))&gt;0,"D4","")))))))))))),"MIX"))</f>
        <v/>
      </c>
    </row>
    <row r="2">
      <c r="A2" t="inlineStr">
        <is>
          <t>Aula 2</t>
        </is>
      </c>
      <c r="C2">
        <f>IF((IF((COUNTIF('C111'!B5,"Aula 2")+COUNTIF('C112'!B5,"Aula 2")+COUNTIF('C113'!B5,"Aula 2")+COUNTIF('C121'!B5,"Aula 2")+COUNTIF('C122'!B5,"Aula 2"))&gt;0,1,0)+IF((COUNTIF('C211'!B5,"Aula 2")+COUNTIF('C212'!B5,"Aula 2"))&gt;0,1,0)+IF((COUNTIF('C311'!B5,"Aula 2")+COUNTIF('C312'!B5,"Aula 2"))&gt;0,1,0)+IF((COUNTIF('C411'!B5,"Aula 2")+COUNTIF('C412'!B5,"Aula 2"))&gt;0,1,0)+IF((COUNTIF('M111'!B5,"Aula 2")+COUNTIF('M112'!B5,"Aula 2"))&gt;0,1,0)+IF((COUNTIF('M211'!B5,"Aula 2")+COUNTIF('M212'!B5,"Aula 2"))&gt;0,1,0)+IF((COUNTIF('M311'!B5,"Aula 2"))&gt;0,1,0)+IF((COUNTIF('M411'!B5,"Aula 2"))&gt;0,1,0)+IF((COUNTIF('D111'!B5,"Aula 2")+COUNTIF('D112'!B5,"Aula 2"))&gt;0,1,0)+IF((COUNTIF('D211'!B5,"Aula 2"))&gt;0,1,0)+IF((COUNTIF('D311'!B5,"Aula 2"))&gt;0,1,0)+IF((COUNTIF('D411'!B5,"Aula 2"))&gt;0,1,0))=0,"",IF((IF((COUNTIF('C111'!B5,"Aula 2")+COUNTIF('C112'!B5,"Aula 2")+COUNTIF('C113'!B5,"Aula 2")+COUNTIF('C121'!B5,"Aula 2")+COUNTIF('C122'!B5,"Aula 2"))&gt;0,1,0)+IF((COUNTIF('C211'!B5,"Aula 2")+COUNTIF('C212'!B5,"Aula 2"))&gt;0,1,0)+IF((COUNTIF('C311'!B5,"Aula 2")+COUNTIF('C312'!B5,"Aula 2"))&gt;0,1,0)+IF((COUNTIF('C411'!B5,"Aula 2")+COUNTIF('C412'!B5,"Aula 2"))&gt;0,1,0)+IF((COUNTIF('M111'!B5,"Aula 2")+COUNTIF('M112'!B5,"Aula 2"))&gt;0,1,0)+IF((COUNTIF('M211'!B5,"Aula 2")+COUNTIF('M212'!B5,"Aula 2"))&gt;0,1,0)+IF((COUNTIF('M311'!B5,"Aula 2"))&gt;0,1,0)+IF((COUNTIF('M411'!B5,"Aula 2"))&gt;0,1,0)+IF((COUNTIF('D111'!B5,"Aula 2")+COUNTIF('D112'!B5,"Aula 2"))&gt;0,1,0)+IF((COUNTIF('D211'!B5,"Aula 2"))&gt;0,1,0)+IF((COUNTIF('D311'!B5,"Aula 2"))&gt;0,1,0)+IF((COUNTIF('D411'!B5,"Aula 2"))&gt;0,1,0))=1,IF((COUNTIF('C111'!B5,"Aula 2")+COUNTIF('C112'!B5,"Aula 2")+COUNTIF('C113'!B5,"Aula 2")+COUNTIF('C121'!B5,"Aula 2")+COUNTIF('C122'!B5,"Aula 2"))&gt;0,"C1",IF((COUNTIF('C211'!B5,"Aula 2")+COUNTIF('C212'!B5,"Aula 2"))&gt;0,"C2",IF((COUNTIF('C311'!B5,"Aula 2")+COUNTIF('C312'!B5,"Aula 2"))&gt;0,"C3",IF((COUNTIF('C411'!B5,"Aula 2")+COUNTIF('C412'!B5,"Aula 2"))&gt;0,"C4",IF((COUNTIF('M111'!B5,"Aula 2")+COUNTIF('M112'!B5,"Aula 2"))&gt;0,"M1",IF((COUNTIF('M211'!B5,"Aula 2")+COUNTIF('M212'!B5,"Aula 2"))&gt;0,"M2",IF((COUNTIF('M311'!B5,"Aula 2"))&gt;0,"M3",IF((COUNTIF('M411'!B5,"Aula 2"))&gt;0,"M4",IF((COUNTIF('D111'!B5,"Aula 2")+COUNTIF('D112'!B5,"Aula 2"))&gt;0,"D1",IF((COUNTIF('D211'!B5,"Aula 2"))&gt;0,"D2",IF((COUNTIF('D311'!B5,"Aula 2"))&gt;0,"D3",IF((COUNTIF('D411'!B5,"Aula 2"))&gt;0,"D4","")))))))))))),"MIX"))</f>
        <v/>
      </c>
    </row>
    <row r="3">
      <c r="A3" t="inlineStr">
        <is>
          <t>Aula 3</t>
        </is>
      </c>
      <c r="C3">
        <f>IF((IF((COUNTIF('C111'!B5,"Aula 3")+COUNTIF('C112'!B5,"Aula 3")+COUNTIF('C113'!B5,"Aula 3")+COUNTIF('C121'!B5,"Aula 3")+COUNTIF('C122'!B5,"Aula 3"))&gt;0,1,0)+IF((COUNTIF('C211'!B5,"Aula 3")+COUNTIF('C212'!B5,"Aula 3"))&gt;0,1,0)+IF((COUNTIF('C311'!B5,"Aula 3")+COUNTIF('C312'!B5,"Aula 3"))&gt;0,1,0)+IF((COUNTIF('C411'!B5,"Aula 3")+COUNTIF('C412'!B5,"Aula 3"))&gt;0,1,0)+IF((COUNTIF('M111'!B5,"Aula 3")+COUNTIF('M112'!B5,"Aula 3"))&gt;0,1,0)+IF((COUNTIF('M211'!B5,"Aula 3")+COUNTIF('M212'!B5,"Aula 3"))&gt;0,1,0)+IF((COUNTIF('M311'!B5,"Aula 3"))&gt;0,1,0)+IF((COUNTIF('M411'!B5,"Aula 3"))&gt;0,1,0)+IF((COUNTIF('D111'!B5,"Aula 3")+COUNTIF('D112'!B5,"Aula 3"))&gt;0,1,0)+IF((COUNTIF('D211'!B5,"Aula 3"))&gt;0,1,0)+IF((COUNTIF('D311'!B5,"Aula 3"))&gt;0,1,0)+IF((COUNTIF('D411'!B5,"Aula 3"))&gt;0,1,0))=0,"",IF((IF((COUNTIF('C111'!B5,"Aula 3")+COUNTIF('C112'!B5,"Aula 3")+COUNTIF('C113'!B5,"Aula 3")+COUNTIF('C121'!B5,"Aula 3")+COUNTIF('C122'!B5,"Aula 3"))&gt;0,1,0)+IF((COUNTIF('C211'!B5,"Aula 3")+COUNTIF('C212'!B5,"Aula 3"))&gt;0,1,0)+IF((COUNTIF('C311'!B5,"Aula 3")+COUNTIF('C312'!B5,"Aula 3"))&gt;0,1,0)+IF((COUNTIF('C411'!B5,"Aula 3")+COUNTIF('C412'!B5,"Aula 3"))&gt;0,1,0)+IF((COUNTIF('M111'!B5,"Aula 3")+COUNTIF('M112'!B5,"Aula 3"))&gt;0,1,0)+IF((COUNTIF('M211'!B5,"Aula 3")+COUNTIF('M212'!B5,"Aula 3"))&gt;0,1,0)+IF((COUNTIF('M311'!B5,"Aula 3"))&gt;0,1,0)+IF((COUNTIF('M411'!B5,"Aula 3"))&gt;0,1,0)+IF((COUNTIF('D111'!B5,"Aula 3")+COUNTIF('D112'!B5,"Aula 3"))&gt;0,1,0)+IF((COUNTIF('D211'!B5,"Aula 3"))&gt;0,1,0)+IF((COUNTIF('D311'!B5,"Aula 3"))&gt;0,1,0)+IF((COUNTIF('D411'!B5,"Aula 3"))&gt;0,1,0))=1,IF((COUNTIF('C111'!B5,"Aula 3")+COUNTIF('C112'!B5,"Aula 3")+COUNTIF('C113'!B5,"Aula 3")+COUNTIF('C121'!B5,"Aula 3")+COUNTIF('C122'!B5,"Aula 3"))&gt;0,"C1",IF((COUNTIF('C211'!B5,"Aula 3")+COUNTIF('C212'!B5,"Aula 3"))&gt;0,"C2",IF((COUNTIF('C311'!B5,"Aula 3")+COUNTIF('C312'!B5,"Aula 3"))&gt;0,"C3",IF((COUNTIF('C411'!B5,"Aula 3")+COUNTIF('C412'!B5,"Aula 3"))&gt;0,"C4",IF((COUNTIF('M111'!B5,"Aula 3")+COUNTIF('M112'!B5,"Aula 3"))&gt;0,"M1",IF((COUNTIF('M211'!B5,"Aula 3")+COUNTIF('M212'!B5,"Aula 3"))&gt;0,"M2",IF((COUNTIF('M311'!B5,"Aula 3"))&gt;0,"M3",IF((COUNTIF('M411'!B5,"Aula 3"))&gt;0,"M4",IF((COUNTIF('D111'!B5,"Aula 3")+COUNTIF('D112'!B5,"Aula 3"))&gt;0,"D1",IF((COUNTIF('D211'!B5,"Aula 3"))&gt;0,"D2",IF((COUNTIF('D311'!B5,"Aula 3"))&gt;0,"D3",IF((COUNTIF('D411'!B5,"Aula 3"))&gt;0,"D4","")))))))))))),"MIX"))</f>
        <v/>
      </c>
    </row>
    <row r="4">
      <c r="A4" t="inlineStr">
        <is>
          <t>Aula 4</t>
        </is>
      </c>
      <c r="C4">
        <f>IF((IF((COUNTIF('C111'!B5,"Aula 4")+COUNTIF('C112'!B5,"Aula 4")+COUNTIF('C113'!B5,"Aula 4")+COUNTIF('C121'!B5,"Aula 4")+COUNTIF('C122'!B5,"Aula 4"))&gt;0,1,0)+IF((COUNTIF('C211'!B5,"Aula 4")+COUNTIF('C212'!B5,"Aula 4"))&gt;0,1,0)+IF((COUNTIF('C311'!B5,"Aula 4")+COUNTIF('C312'!B5,"Aula 4"))&gt;0,1,0)+IF((COUNTIF('C411'!B5,"Aula 4")+COUNTIF('C412'!B5,"Aula 4"))&gt;0,1,0)+IF((COUNTIF('M111'!B5,"Aula 4")+COUNTIF('M112'!B5,"Aula 4"))&gt;0,1,0)+IF((COUNTIF('M211'!B5,"Aula 4")+COUNTIF('M212'!B5,"Aula 4"))&gt;0,1,0)+IF((COUNTIF('M311'!B5,"Aula 4"))&gt;0,1,0)+IF((COUNTIF('M411'!B5,"Aula 4"))&gt;0,1,0)+IF((COUNTIF('D111'!B5,"Aula 4")+COUNTIF('D112'!B5,"Aula 4"))&gt;0,1,0)+IF((COUNTIF('D211'!B5,"Aula 4"))&gt;0,1,0)+IF((COUNTIF('D311'!B5,"Aula 4"))&gt;0,1,0)+IF((COUNTIF('D411'!B5,"Aula 4"))&gt;0,1,0))=0,"",IF((IF((COUNTIF('C111'!B5,"Aula 4")+COUNTIF('C112'!B5,"Aula 4")+COUNTIF('C113'!B5,"Aula 4")+COUNTIF('C121'!B5,"Aula 4")+COUNTIF('C122'!B5,"Aula 4"))&gt;0,1,0)+IF((COUNTIF('C211'!B5,"Aula 4")+COUNTIF('C212'!B5,"Aula 4"))&gt;0,1,0)+IF((COUNTIF('C311'!B5,"Aula 4")+COUNTIF('C312'!B5,"Aula 4"))&gt;0,1,0)+IF((COUNTIF('C411'!B5,"Aula 4")+COUNTIF('C412'!B5,"Aula 4"))&gt;0,1,0)+IF((COUNTIF('M111'!B5,"Aula 4")+COUNTIF('M112'!B5,"Aula 4"))&gt;0,1,0)+IF((COUNTIF('M211'!B5,"Aula 4")+COUNTIF('M212'!B5,"Aula 4"))&gt;0,1,0)+IF((COUNTIF('M311'!B5,"Aula 4"))&gt;0,1,0)+IF((COUNTIF('M411'!B5,"Aula 4"))&gt;0,1,0)+IF((COUNTIF('D111'!B5,"Aula 4")+COUNTIF('D112'!B5,"Aula 4"))&gt;0,1,0)+IF((COUNTIF('D211'!B5,"Aula 4"))&gt;0,1,0)+IF((COUNTIF('D311'!B5,"Aula 4"))&gt;0,1,0)+IF((COUNTIF('D411'!B5,"Aula 4"))&gt;0,1,0))=1,IF((COUNTIF('C111'!B5,"Aula 4")+COUNTIF('C112'!B5,"Aula 4")+COUNTIF('C113'!B5,"Aula 4")+COUNTIF('C121'!B5,"Aula 4")+COUNTIF('C122'!B5,"Aula 4"))&gt;0,"C1",IF((COUNTIF('C211'!B5,"Aula 4")+COUNTIF('C212'!B5,"Aula 4"))&gt;0,"C2",IF((COUNTIF('C311'!B5,"Aula 4")+COUNTIF('C312'!B5,"Aula 4"))&gt;0,"C3",IF((COUNTIF('C411'!B5,"Aula 4")+COUNTIF('C412'!B5,"Aula 4"))&gt;0,"C4",IF((COUNTIF('M111'!B5,"Aula 4")+COUNTIF('M112'!B5,"Aula 4"))&gt;0,"M1",IF((COUNTIF('M211'!B5,"Aula 4")+COUNTIF('M212'!B5,"Aula 4"))&gt;0,"M2",IF((COUNTIF('M311'!B5,"Aula 4"))&gt;0,"M3",IF((COUNTIF('M411'!B5,"Aula 4"))&gt;0,"M4",IF((COUNTIF('D111'!B5,"Aula 4")+COUNTIF('D112'!B5,"Aula 4"))&gt;0,"D1",IF((COUNTIF('D211'!B5,"Aula 4"))&gt;0,"D2",IF((COUNTIF('D311'!B5,"Aula 4"))&gt;0,"D3",IF((COUNTIF('D411'!B5,"Aula 4"))&gt;0,"D4","")))))))))))),"MIX"))</f>
        <v/>
      </c>
    </row>
    <row r="5">
      <c r="A5" t="inlineStr">
        <is>
          <t>Aula 5</t>
        </is>
      </c>
      <c r="C5">
        <f>IF((IF((COUNTIF('C111'!B5,"Aula 5")+COUNTIF('C112'!B5,"Aula 5")+COUNTIF('C113'!B5,"Aula 5")+COUNTIF('C121'!B5,"Aula 5")+COUNTIF('C122'!B5,"Aula 5"))&gt;0,1,0)+IF((COUNTIF('C211'!B5,"Aula 5")+COUNTIF('C212'!B5,"Aula 5"))&gt;0,1,0)+IF((COUNTIF('C311'!B5,"Aula 5")+COUNTIF('C312'!B5,"Aula 5"))&gt;0,1,0)+IF((COUNTIF('C411'!B5,"Aula 5")+COUNTIF('C412'!B5,"Aula 5"))&gt;0,1,0)+IF((COUNTIF('M111'!B5,"Aula 5")+COUNTIF('M112'!B5,"Aula 5"))&gt;0,1,0)+IF((COUNTIF('M211'!B5,"Aula 5")+COUNTIF('M212'!B5,"Aula 5"))&gt;0,1,0)+IF((COUNTIF('M311'!B5,"Aula 5"))&gt;0,1,0)+IF((COUNTIF('M411'!B5,"Aula 5"))&gt;0,1,0)+IF((COUNTIF('D111'!B5,"Aula 5")+COUNTIF('D112'!B5,"Aula 5"))&gt;0,1,0)+IF((COUNTIF('D211'!B5,"Aula 5"))&gt;0,1,0)+IF((COUNTIF('D311'!B5,"Aula 5"))&gt;0,1,0)+IF((COUNTIF('D411'!B5,"Aula 5"))&gt;0,1,0))=0,"",IF((IF((COUNTIF('C111'!B5,"Aula 5")+COUNTIF('C112'!B5,"Aula 5")+COUNTIF('C113'!B5,"Aula 5")+COUNTIF('C121'!B5,"Aula 5")+COUNTIF('C122'!B5,"Aula 5"))&gt;0,1,0)+IF((COUNTIF('C211'!B5,"Aula 5")+COUNTIF('C212'!B5,"Aula 5"))&gt;0,1,0)+IF((COUNTIF('C311'!B5,"Aula 5")+COUNTIF('C312'!B5,"Aula 5"))&gt;0,1,0)+IF((COUNTIF('C411'!B5,"Aula 5")+COUNTIF('C412'!B5,"Aula 5"))&gt;0,1,0)+IF((COUNTIF('M111'!B5,"Aula 5")+COUNTIF('M112'!B5,"Aula 5"))&gt;0,1,0)+IF((COUNTIF('M211'!B5,"Aula 5")+COUNTIF('M212'!B5,"Aula 5"))&gt;0,1,0)+IF((COUNTIF('M311'!B5,"Aula 5"))&gt;0,1,0)+IF((COUNTIF('M411'!B5,"Aula 5"))&gt;0,1,0)+IF((COUNTIF('D111'!B5,"Aula 5")+COUNTIF('D112'!B5,"Aula 5"))&gt;0,1,0)+IF((COUNTIF('D211'!B5,"Aula 5"))&gt;0,1,0)+IF((COUNTIF('D311'!B5,"Aula 5"))&gt;0,1,0)+IF((COUNTIF('D411'!B5,"Aula 5"))&gt;0,1,0))=1,IF((COUNTIF('C111'!B5,"Aula 5")+COUNTIF('C112'!B5,"Aula 5")+COUNTIF('C113'!B5,"Aula 5")+COUNTIF('C121'!B5,"Aula 5")+COUNTIF('C122'!B5,"Aula 5"))&gt;0,"C1",IF((COUNTIF('C211'!B5,"Aula 5")+COUNTIF('C212'!B5,"Aula 5"))&gt;0,"C2",IF((COUNTIF('C311'!B5,"Aula 5")+COUNTIF('C312'!B5,"Aula 5"))&gt;0,"C3",IF((COUNTIF('C411'!B5,"Aula 5")+COUNTIF('C412'!B5,"Aula 5"))&gt;0,"C4",IF((COUNTIF('M111'!B5,"Aula 5")+COUNTIF('M112'!B5,"Aula 5"))&gt;0,"M1",IF((COUNTIF('M211'!B5,"Aula 5")+COUNTIF('M212'!B5,"Aula 5"))&gt;0,"M2",IF((COUNTIF('M311'!B5,"Aula 5"))&gt;0,"M3",IF((COUNTIF('M411'!B5,"Aula 5"))&gt;0,"M4",IF((COUNTIF('D111'!B5,"Aula 5")+COUNTIF('D112'!B5,"Aula 5"))&gt;0,"D1",IF((COUNTIF('D211'!B5,"Aula 5"))&gt;0,"D2",IF((COUNTIF('D311'!B5,"Aula 5"))&gt;0,"D3",IF((COUNTIF('D411'!B5,"Aula 5"))&gt;0,"D4","")))))))))))),"MIX"))</f>
        <v/>
      </c>
    </row>
    <row r="6">
      <c r="A6" t="inlineStr">
        <is>
          <t>Aula 6</t>
        </is>
      </c>
      <c r="C6">
        <f>IF((IF((COUNTIF('C111'!B5,"Aula 6")+COUNTIF('C112'!B5,"Aula 6")+COUNTIF('C113'!B5,"Aula 6")+COUNTIF('C121'!B5,"Aula 6")+COUNTIF('C122'!B5,"Aula 6"))&gt;0,1,0)+IF((COUNTIF('C211'!B5,"Aula 6")+COUNTIF('C212'!B5,"Aula 6"))&gt;0,1,0)+IF((COUNTIF('C311'!B5,"Aula 6")+COUNTIF('C312'!B5,"Aula 6"))&gt;0,1,0)+IF((COUNTIF('C411'!B5,"Aula 6")+COUNTIF('C412'!B5,"Aula 6"))&gt;0,1,0)+IF((COUNTIF('M111'!B5,"Aula 6")+COUNTIF('M112'!B5,"Aula 6"))&gt;0,1,0)+IF((COUNTIF('M211'!B5,"Aula 6")+COUNTIF('M212'!B5,"Aula 6"))&gt;0,1,0)+IF((COUNTIF('M311'!B5,"Aula 6"))&gt;0,1,0)+IF((COUNTIF('M411'!B5,"Aula 6"))&gt;0,1,0)+IF((COUNTIF('D111'!B5,"Aula 6")+COUNTIF('D112'!B5,"Aula 6"))&gt;0,1,0)+IF((COUNTIF('D211'!B5,"Aula 6"))&gt;0,1,0)+IF((COUNTIF('D311'!B5,"Aula 6"))&gt;0,1,0)+IF((COUNTIF('D411'!B5,"Aula 6"))&gt;0,1,0))=0,"",IF((IF((COUNTIF('C111'!B5,"Aula 6")+COUNTIF('C112'!B5,"Aula 6")+COUNTIF('C113'!B5,"Aula 6")+COUNTIF('C121'!B5,"Aula 6")+COUNTIF('C122'!B5,"Aula 6"))&gt;0,1,0)+IF((COUNTIF('C211'!B5,"Aula 6")+COUNTIF('C212'!B5,"Aula 6"))&gt;0,1,0)+IF((COUNTIF('C311'!B5,"Aula 6")+COUNTIF('C312'!B5,"Aula 6"))&gt;0,1,0)+IF((COUNTIF('C411'!B5,"Aula 6")+COUNTIF('C412'!B5,"Aula 6"))&gt;0,1,0)+IF((COUNTIF('M111'!B5,"Aula 6")+COUNTIF('M112'!B5,"Aula 6"))&gt;0,1,0)+IF((COUNTIF('M211'!B5,"Aula 6")+COUNTIF('M212'!B5,"Aula 6"))&gt;0,1,0)+IF((COUNTIF('M311'!B5,"Aula 6"))&gt;0,1,0)+IF((COUNTIF('M411'!B5,"Aula 6"))&gt;0,1,0)+IF((COUNTIF('D111'!B5,"Aula 6")+COUNTIF('D112'!B5,"Aula 6"))&gt;0,1,0)+IF((COUNTIF('D211'!B5,"Aula 6"))&gt;0,1,0)+IF((COUNTIF('D311'!B5,"Aula 6"))&gt;0,1,0)+IF((COUNTIF('D411'!B5,"Aula 6"))&gt;0,1,0))=1,IF((COUNTIF('C111'!B5,"Aula 6")+COUNTIF('C112'!B5,"Aula 6")+COUNTIF('C113'!B5,"Aula 6")+COUNTIF('C121'!B5,"Aula 6")+COUNTIF('C122'!B5,"Aula 6"))&gt;0,"C1",IF((COUNTIF('C211'!B5,"Aula 6")+COUNTIF('C212'!B5,"Aula 6"))&gt;0,"C2",IF((COUNTIF('C311'!B5,"Aula 6")+COUNTIF('C312'!B5,"Aula 6"))&gt;0,"C3",IF((COUNTIF('C411'!B5,"Aula 6")+COUNTIF('C412'!B5,"Aula 6"))&gt;0,"C4",IF((COUNTIF('M111'!B5,"Aula 6")+COUNTIF('M112'!B5,"Aula 6"))&gt;0,"M1",IF((COUNTIF('M211'!B5,"Aula 6")+COUNTIF('M212'!B5,"Aula 6"))&gt;0,"M2",IF((COUNTIF('M311'!B5,"Aula 6"))&gt;0,"M3",IF((COUNTIF('M411'!B5,"Aula 6"))&gt;0,"M4",IF((COUNTIF('D111'!B5,"Aula 6")+COUNTIF('D112'!B5,"Aula 6"))&gt;0,"D1",IF((COUNTIF('D211'!B5,"Aula 6"))&gt;0,"D2",IF((COUNTIF('D311'!B5,"Aula 6"))&gt;0,"D3",IF((COUNTIF('D411'!B5,"Aula 6"))&gt;0,"D4","")))))))))))),"MIX"))</f>
        <v/>
      </c>
    </row>
    <row r="7">
      <c r="A7" t="inlineStr">
        <is>
          <t>Aula 7</t>
        </is>
      </c>
      <c r="C7">
        <f>IF((IF((COUNTIF('C111'!B5,"Aula 7")+COUNTIF('C112'!B5,"Aula 7")+COUNTIF('C113'!B5,"Aula 7")+COUNTIF('C121'!B5,"Aula 7")+COUNTIF('C122'!B5,"Aula 7"))&gt;0,1,0)+IF((COUNTIF('C211'!B5,"Aula 7")+COUNTIF('C212'!B5,"Aula 7"))&gt;0,1,0)+IF((COUNTIF('C311'!B5,"Aula 7")+COUNTIF('C312'!B5,"Aula 7"))&gt;0,1,0)+IF((COUNTIF('C411'!B5,"Aula 7")+COUNTIF('C412'!B5,"Aula 7"))&gt;0,1,0)+IF((COUNTIF('M111'!B5,"Aula 7")+COUNTIF('M112'!B5,"Aula 7"))&gt;0,1,0)+IF((COUNTIF('M211'!B5,"Aula 7")+COUNTIF('M212'!B5,"Aula 7"))&gt;0,1,0)+IF((COUNTIF('M311'!B5,"Aula 7"))&gt;0,1,0)+IF((COUNTIF('M411'!B5,"Aula 7"))&gt;0,1,0)+IF((COUNTIF('D111'!B5,"Aula 7")+COUNTIF('D112'!B5,"Aula 7"))&gt;0,1,0)+IF((COUNTIF('D211'!B5,"Aula 7"))&gt;0,1,0)+IF((COUNTIF('D311'!B5,"Aula 7"))&gt;0,1,0)+IF((COUNTIF('D411'!B5,"Aula 7"))&gt;0,1,0))=0,"",IF((IF((COUNTIF('C111'!B5,"Aula 7")+COUNTIF('C112'!B5,"Aula 7")+COUNTIF('C113'!B5,"Aula 7")+COUNTIF('C121'!B5,"Aula 7")+COUNTIF('C122'!B5,"Aula 7"))&gt;0,1,0)+IF((COUNTIF('C211'!B5,"Aula 7")+COUNTIF('C212'!B5,"Aula 7"))&gt;0,1,0)+IF((COUNTIF('C311'!B5,"Aula 7")+COUNTIF('C312'!B5,"Aula 7"))&gt;0,1,0)+IF((COUNTIF('C411'!B5,"Aula 7")+COUNTIF('C412'!B5,"Aula 7"))&gt;0,1,0)+IF((COUNTIF('M111'!B5,"Aula 7")+COUNTIF('M112'!B5,"Aula 7"))&gt;0,1,0)+IF((COUNTIF('M211'!B5,"Aula 7")+COUNTIF('M212'!B5,"Aula 7"))&gt;0,1,0)+IF((COUNTIF('M311'!B5,"Aula 7"))&gt;0,1,0)+IF((COUNTIF('M411'!B5,"Aula 7"))&gt;0,1,0)+IF((COUNTIF('D111'!B5,"Aula 7")+COUNTIF('D112'!B5,"Aula 7"))&gt;0,1,0)+IF((COUNTIF('D211'!B5,"Aula 7"))&gt;0,1,0)+IF((COUNTIF('D311'!B5,"Aula 7"))&gt;0,1,0)+IF((COUNTIF('D411'!B5,"Aula 7"))&gt;0,1,0))=1,IF((COUNTIF('C111'!B5,"Aula 7")+COUNTIF('C112'!B5,"Aula 7")+COUNTIF('C113'!B5,"Aula 7")+COUNTIF('C121'!B5,"Aula 7")+COUNTIF('C122'!B5,"Aula 7"))&gt;0,"C1",IF((COUNTIF('C211'!B5,"Aula 7")+COUNTIF('C212'!B5,"Aula 7"))&gt;0,"C2",IF((COUNTIF('C311'!B5,"Aula 7")+COUNTIF('C312'!B5,"Aula 7"))&gt;0,"C3",IF((COUNTIF('C411'!B5,"Aula 7")+COUNTIF('C412'!B5,"Aula 7"))&gt;0,"C4",IF((COUNTIF('M111'!B5,"Aula 7")+COUNTIF('M112'!B5,"Aula 7"))&gt;0,"M1",IF((COUNTIF('M211'!B5,"Aula 7")+COUNTIF('M212'!B5,"Aula 7"))&gt;0,"M2",IF((COUNTIF('M311'!B5,"Aula 7"))&gt;0,"M3",IF((COUNTIF('M411'!B5,"Aula 7"))&gt;0,"M4",IF((COUNTIF('D111'!B5,"Aula 7")+COUNTIF('D112'!B5,"Aula 7"))&gt;0,"D1",IF((COUNTIF('D211'!B5,"Aula 7"))&gt;0,"D2",IF((COUNTIF('D311'!B5,"Aula 7"))&gt;0,"D3",IF((COUNTIF('D411'!B5,"Aula 7"))&gt;0,"D4","")))))))))))),"MIX"))</f>
        <v/>
      </c>
    </row>
    <row r="8">
      <c r="A8" t="inlineStr">
        <is>
          <t>Aula 8</t>
        </is>
      </c>
      <c r="C8">
        <f>IF((IF((COUNTIF('C111'!B5,"Aula 8")+COUNTIF('C112'!B5,"Aula 8")+COUNTIF('C113'!B5,"Aula 8")+COUNTIF('C121'!B5,"Aula 8")+COUNTIF('C122'!B5,"Aula 8"))&gt;0,1,0)+IF((COUNTIF('C211'!B5,"Aula 8")+COUNTIF('C212'!B5,"Aula 8"))&gt;0,1,0)+IF((COUNTIF('C311'!B5,"Aula 8")+COUNTIF('C312'!B5,"Aula 8"))&gt;0,1,0)+IF((COUNTIF('C411'!B5,"Aula 8")+COUNTIF('C412'!B5,"Aula 8"))&gt;0,1,0)+IF((COUNTIF('M111'!B5,"Aula 8")+COUNTIF('M112'!B5,"Aula 8"))&gt;0,1,0)+IF((COUNTIF('M211'!B5,"Aula 8")+COUNTIF('M212'!B5,"Aula 8"))&gt;0,1,0)+IF((COUNTIF('M311'!B5,"Aula 8"))&gt;0,1,0)+IF((COUNTIF('M411'!B5,"Aula 8"))&gt;0,1,0)+IF((COUNTIF('D111'!B5,"Aula 8")+COUNTIF('D112'!B5,"Aula 8"))&gt;0,1,0)+IF((COUNTIF('D211'!B5,"Aula 8"))&gt;0,1,0)+IF((COUNTIF('D311'!B5,"Aula 8"))&gt;0,1,0)+IF((COUNTIF('D411'!B5,"Aula 8"))&gt;0,1,0))=0,"",IF((IF((COUNTIF('C111'!B5,"Aula 8")+COUNTIF('C112'!B5,"Aula 8")+COUNTIF('C113'!B5,"Aula 8")+COUNTIF('C121'!B5,"Aula 8")+COUNTIF('C122'!B5,"Aula 8"))&gt;0,1,0)+IF((COUNTIF('C211'!B5,"Aula 8")+COUNTIF('C212'!B5,"Aula 8"))&gt;0,1,0)+IF((COUNTIF('C311'!B5,"Aula 8")+COUNTIF('C312'!B5,"Aula 8"))&gt;0,1,0)+IF((COUNTIF('C411'!B5,"Aula 8")+COUNTIF('C412'!B5,"Aula 8"))&gt;0,1,0)+IF((COUNTIF('M111'!B5,"Aula 8")+COUNTIF('M112'!B5,"Aula 8"))&gt;0,1,0)+IF((COUNTIF('M211'!B5,"Aula 8")+COUNTIF('M212'!B5,"Aula 8"))&gt;0,1,0)+IF((COUNTIF('M311'!B5,"Aula 8"))&gt;0,1,0)+IF((COUNTIF('M411'!B5,"Aula 8"))&gt;0,1,0)+IF((COUNTIF('D111'!B5,"Aula 8")+COUNTIF('D112'!B5,"Aula 8"))&gt;0,1,0)+IF((COUNTIF('D211'!B5,"Aula 8"))&gt;0,1,0)+IF((COUNTIF('D311'!B5,"Aula 8"))&gt;0,1,0)+IF((COUNTIF('D411'!B5,"Aula 8"))&gt;0,1,0))=1,IF((COUNTIF('C111'!B5,"Aula 8")+COUNTIF('C112'!B5,"Aula 8")+COUNTIF('C113'!B5,"Aula 8")+COUNTIF('C121'!B5,"Aula 8")+COUNTIF('C122'!B5,"Aula 8"))&gt;0,"C1",IF((COUNTIF('C211'!B5,"Aula 8")+COUNTIF('C212'!B5,"Aula 8"))&gt;0,"C2",IF((COUNTIF('C311'!B5,"Aula 8")+COUNTIF('C312'!B5,"Aula 8"))&gt;0,"C3",IF((COUNTIF('C411'!B5,"Aula 8")+COUNTIF('C412'!B5,"Aula 8"))&gt;0,"C4",IF((COUNTIF('M111'!B5,"Aula 8")+COUNTIF('M112'!B5,"Aula 8"))&gt;0,"M1",IF((COUNTIF('M211'!B5,"Aula 8")+COUNTIF('M212'!B5,"Aula 8"))&gt;0,"M2",IF((COUNTIF('M311'!B5,"Aula 8"))&gt;0,"M3",IF((COUNTIF('M411'!B5,"Aula 8"))&gt;0,"M4",IF((COUNTIF('D111'!B5,"Aula 8")+COUNTIF('D112'!B5,"Aula 8"))&gt;0,"D1",IF((COUNTIF('D211'!B5,"Aula 8"))&gt;0,"D2",IF((COUNTIF('D311'!B5,"Aula 8"))&gt;0,"D3",IF((COUNTIF('D411'!B5,"Aula 8"))&gt;0,"D4","")))))))))))),"MIX"))</f>
        <v/>
      </c>
    </row>
    <row r="9">
      <c r="A9" t="inlineStr">
        <is>
          <t>Aula 9</t>
        </is>
      </c>
      <c r="C9">
        <f>IF((IF((COUNTIF('C111'!B5,"Aula 9")+COUNTIF('C112'!B5,"Aula 9")+COUNTIF('C113'!B5,"Aula 9")+COUNTIF('C121'!B5,"Aula 9")+COUNTIF('C122'!B5,"Aula 9"))&gt;0,1,0)+IF((COUNTIF('C211'!B5,"Aula 9")+COUNTIF('C212'!B5,"Aula 9"))&gt;0,1,0)+IF((COUNTIF('C311'!B5,"Aula 9")+COUNTIF('C312'!B5,"Aula 9"))&gt;0,1,0)+IF((COUNTIF('C411'!B5,"Aula 9")+COUNTIF('C412'!B5,"Aula 9"))&gt;0,1,0)+IF((COUNTIF('M111'!B5,"Aula 9")+COUNTIF('M112'!B5,"Aula 9"))&gt;0,1,0)+IF((COUNTIF('M211'!B5,"Aula 9")+COUNTIF('M212'!B5,"Aula 9"))&gt;0,1,0)+IF((COUNTIF('M311'!B5,"Aula 9"))&gt;0,1,0)+IF((COUNTIF('M411'!B5,"Aula 9"))&gt;0,1,0)+IF((COUNTIF('D111'!B5,"Aula 9")+COUNTIF('D112'!B5,"Aula 9"))&gt;0,1,0)+IF((COUNTIF('D211'!B5,"Aula 9"))&gt;0,1,0)+IF((COUNTIF('D311'!B5,"Aula 9"))&gt;0,1,0)+IF((COUNTIF('D411'!B5,"Aula 9"))&gt;0,1,0))=0,"",IF((IF((COUNTIF('C111'!B5,"Aula 9")+COUNTIF('C112'!B5,"Aula 9")+COUNTIF('C113'!B5,"Aula 9")+COUNTIF('C121'!B5,"Aula 9")+COUNTIF('C122'!B5,"Aula 9"))&gt;0,1,0)+IF((COUNTIF('C211'!B5,"Aula 9")+COUNTIF('C212'!B5,"Aula 9"))&gt;0,1,0)+IF((COUNTIF('C311'!B5,"Aula 9")+COUNTIF('C312'!B5,"Aula 9"))&gt;0,1,0)+IF((COUNTIF('C411'!B5,"Aula 9")+COUNTIF('C412'!B5,"Aula 9"))&gt;0,1,0)+IF((COUNTIF('M111'!B5,"Aula 9")+COUNTIF('M112'!B5,"Aula 9"))&gt;0,1,0)+IF((COUNTIF('M211'!B5,"Aula 9")+COUNTIF('M212'!B5,"Aula 9"))&gt;0,1,0)+IF((COUNTIF('M311'!B5,"Aula 9"))&gt;0,1,0)+IF((COUNTIF('M411'!B5,"Aula 9"))&gt;0,1,0)+IF((COUNTIF('D111'!B5,"Aula 9")+COUNTIF('D112'!B5,"Aula 9"))&gt;0,1,0)+IF((COUNTIF('D211'!B5,"Aula 9"))&gt;0,1,0)+IF((COUNTIF('D311'!B5,"Aula 9"))&gt;0,1,0)+IF((COUNTIF('D411'!B5,"Aula 9"))&gt;0,1,0))=1,IF((COUNTIF('C111'!B5,"Aula 9")+COUNTIF('C112'!B5,"Aula 9")+COUNTIF('C113'!B5,"Aula 9")+COUNTIF('C121'!B5,"Aula 9")+COUNTIF('C122'!B5,"Aula 9"))&gt;0,"C1",IF((COUNTIF('C211'!B5,"Aula 9")+COUNTIF('C212'!B5,"Aula 9"))&gt;0,"C2",IF((COUNTIF('C311'!B5,"Aula 9")+COUNTIF('C312'!B5,"Aula 9"))&gt;0,"C3",IF((COUNTIF('C411'!B5,"Aula 9")+COUNTIF('C412'!B5,"Aula 9"))&gt;0,"C4",IF((COUNTIF('M111'!B5,"Aula 9")+COUNTIF('M112'!B5,"Aula 9"))&gt;0,"M1",IF((COUNTIF('M211'!B5,"Aula 9")+COUNTIF('M212'!B5,"Aula 9"))&gt;0,"M2",IF((COUNTIF('M311'!B5,"Aula 9"))&gt;0,"M3",IF((COUNTIF('M411'!B5,"Aula 9"))&gt;0,"M4",IF((COUNTIF('D111'!B5,"Aula 9")+COUNTIF('D112'!B5,"Aula 9"))&gt;0,"D1",IF((COUNTIF('D211'!B5,"Aula 9"))&gt;0,"D2",IF((COUNTIF('D311'!B5,"Aula 9"))&gt;0,"D3",IF((COUNTIF('D411'!B5,"Aula 9"))&gt;0,"D4","")))))))))))),"MIX"))</f>
        <v/>
      </c>
    </row>
    <row r="10">
      <c r="A10" t="inlineStr">
        <is>
          <t>Aula 10</t>
        </is>
      </c>
      <c r="C10">
        <f>IF((IF((COUNTIF('C111'!B5,"Aula 10")+COUNTIF('C112'!B5,"Aula 10")+COUNTIF('C113'!B5,"Aula 10")+COUNTIF('C121'!B5,"Aula 10")+COUNTIF('C122'!B5,"Aula 10"))&gt;0,1,0)+IF((COUNTIF('C211'!B5,"Aula 10")+COUNTIF('C212'!B5,"Aula 10"))&gt;0,1,0)+IF((COUNTIF('C311'!B5,"Aula 10")+COUNTIF('C312'!B5,"Aula 10"))&gt;0,1,0)+IF((COUNTIF('C411'!B5,"Aula 10")+COUNTIF('C412'!B5,"Aula 10"))&gt;0,1,0)+IF((COUNTIF('M111'!B5,"Aula 10")+COUNTIF('M112'!B5,"Aula 10"))&gt;0,1,0)+IF((COUNTIF('M211'!B5,"Aula 10")+COUNTIF('M212'!B5,"Aula 10"))&gt;0,1,0)+IF((COUNTIF('M311'!B5,"Aula 10"))&gt;0,1,0)+IF((COUNTIF('M411'!B5,"Aula 10"))&gt;0,1,0)+IF((COUNTIF('D111'!B5,"Aula 10")+COUNTIF('D112'!B5,"Aula 10"))&gt;0,1,0)+IF((COUNTIF('D211'!B5,"Aula 10"))&gt;0,1,0)+IF((COUNTIF('D311'!B5,"Aula 10"))&gt;0,1,0)+IF((COUNTIF('D411'!B5,"Aula 10"))&gt;0,1,0))=0,"",IF((IF((COUNTIF('C111'!B5,"Aula 10")+COUNTIF('C112'!B5,"Aula 10")+COUNTIF('C113'!B5,"Aula 10")+COUNTIF('C121'!B5,"Aula 10")+COUNTIF('C122'!B5,"Aula 10"))&gt;0,1,0)+IF((COUNTIF('C211'!B5,"Aula 10")+COUNTIF('C212'!B5,"Aula 10"))&gt;0,1,0)+IF((COUNTIF('C311'!B5,"Aula 10")+COUNTIF('C312'!B5,"Aula 10"))&gt;0,1,0)+IF((COUNTIF('C411'!B5,"Aula 10")+COUNTIF('C412'!B5,"Aula 10"))&gt;0,1,0)+IF((COUNTIF('M111'!B5,"Aula 10")+COUNTIF('M112'!B5,"Aula 10"))&gt;0,1,0)+IF((COUNTIF('M211'!B5,"Aula 10")+COUNTIF('M212'!B5,"Aula 10"))&gt;0,1,0)+IF((COUNTIF('M311'!B5,"Aula 10"))&gt;0,1,0)+IF((COUNTIF('M411'!B5,"Aula 10"))&gt;0,1,0)+IF((COUNTIF('D111'!B5,"Aula 10")+COUNTIF('D112'!B5,"Aula 10"))&gt;0,1,0)+IF((COUNTIF('D211'!B5,"Aula 10"))&gt;0,1,0)+IF((COUNTIF('D311'!B5,"Aula 10"))&gt;0,1,0)+IF((COUNTIF('D411'!B5,"Aula 10"))&gt;0,1,0))=1,IF((COUNTIF('C111'!B5,"Aula 10")+COUNTIF('C112'!B5,"Aula 10")+COUNTIF('C113'!B5,"Aula 10")+COUNTIF('C121'!B5,"Aula 10")+COUNTIF('C122'!B5,"Aula 10"))&gt;0,"C1",IF((COUNTIF('C211'!B5,"Aula 10")+COUNTIF('C212'!B5,"Aula 10"))&gt;0,"C2",IF((COUNTIF('C311'!B5,"Aula 10")+COUNTIF('C312'!B5,"Aula 10"))&gt;0,"C3",IF((COUNTIF('C411'!B5,"Aula 10")+COUNTIF('C412'!B5,"Aula 10"))&gt;0,"C4",IF((COUNTIF('M111'!B5,"Aula 10")+COUNTIF('M112'!B5,"Aula 10"))&gt;0,"M1",IF((COUNTIF('M211'!B5,"Aula 10")+COUNTIF('M212'!B5,"Aula 10"))&gt;0,"M2",IF((COUNTIF('M311'!B5,"Aula 10"))&gt;0,"M3",IF((COUNTIF('M411'!B5,"Aula 10"))&gt;0,"M4",IF((COUNTIF('D111'!B5,"Aula 10")+COUNTIF('D112'!B5,"Aula 10"))&gt;0,"D1",IF((COUNTIF('D211'!B5,"Aula 10"))&gt;0,"D2",IF((COUNTIF('D311'!B5,"Aula 10"))&gt;0,"D3",IF((COUNTIF('D411'!B5,"Aula 10"))&gt;0,"D4","")))))))))))),"MIX"))</f>
        <v/>
      </c>
    </row>
    <row r="11">
      <c r="A11" t="inlineStr">
        <is>
          <t>Aula 11</t>
        </is>
      </c>
      <c r="C11">
        <f>IF((IF((COUNTIF('C111'!B5,"Aula 11")+COUNTIF('C112'!B5,"Aula 11")+COUNTIF('C113'!B5,"Aula 11")+COUNTIF('C121'!B5,"Aula 11")+COUNTIF('C122'!B5,"Aula 11"))&gt;0,1,0)+IF((COUNTIF('C211'!B5,"Aula 11")+COUNTIF('C212'!B5,"Aula 11"))&gt;0,1,0)+IF((COUNTIF('C311'!B5,"Aula 11")+COUNTIF('C312'!B5,"Aula 11"))&gt;0,1,0)+IF((COUNTIF('C411'!B5,"Aula 11")+COUNTIF('C412'!B5,"Aula 11"))&gt;0,1,0)+IF((COUNTIF('M111'!B5,"Aula 11")+COUNTIF('M112'!B5,"Aula 11"))&gt;0,1,0)+IF((COUNTIF('M211'!B5,"Aula 11")+COUNTIF('M212'!B5,"Aula 11"))&gt;0,1,0)+IF((COUNTIF('M311'!B5,"Aula 11"))&gt;0,1,0)+IF((COUNTIF('M411'!B5,"Aula 11"))&gt;0,1,0)+IF((COUNTIF('D111'!B5,"Aula 11")+COUNTIF('D112'!B5,"Aula 11"))&gt;0,1,0)+IF((COUNTIF('D211'!B5,"Aula 11"))&gt;0,1,0)+IF((COUNTIF('D311'!B5,"Aula 11"))&gt;0,1,0)+IF((COUNTIF('D411'!B5,"Aula 11"))&gt;0,1,0))=0,"",IF((IF((COUNTIF('C111'!B5,"Aula 11")+COUNTIF('C112'!B5,"Aula 11")+COUNTIF('C113'!B5,"Aula 11")+COUNTIF('C121'!B5,"Aula 11")+COUNTIF('C122'!B5,"Aula 11"))&gt;0,1,0)+IF((COUNTIF('C211'!B5,"Aula 11")+COUNTIF('C212'!B5,"Aula 11"))&gt;0,1,0)+IF((COUNTIF('C311'!B5,"Aula 11")+COUNTIF('C312'!B5,"Aula 11"))&gt;0,1,0)+IF((COUNTIF('C411'!B5,"Aula 11")+COUNTIF('C412'!B5,"Aula 11"))&gt;0,1,0)+IF((COUNTIF('M111'!B5,"Aula 11")+COUNTIF('M112'!B5,"Aula 11"))&gt;0,1,0)+IF((COUNTIF('M211'!B5,"Aula 11")+COUNTIF('M212'!B5,"Aula 11"))&gt;0,1,0)+IF((COUNTIF('M311'!B5,"Aula 11"))&gt;0,1,0)+IF((COUNTIF('M411'!B5,"Aula 11"))&gt;0,1,0)+IF((COUNTIF('D111'!B5,"Aula 11")+COUNTIF('D112'!B5,"Aula 11"))&gt;0,1,0)+IF((COUNTIF('D211'!B5,"Aula 11"))&gt;0,1,0)+IF((COUNTIF('D311'!B5,"Aula 11"))&gt;0,1,0)+IF((COUNTIF('D411'!B5,"Aula 11"))&gt;0,1,0))=1,IF((COUNTIF('C111'!B5,"Aula 11")+COUNTIF('C112'!B5,"Aula 11")+COUNTIF('C113'!B5,"Aula 11")+COUNTIF('C121'!B5,"Aula 11")+COUNTIF('C122'!B5,"Aula 11"))&gt;0,"C1",IF((COUNTIF('C211'!B5,"Aula 11")+COUNTIF('C212'!B5,"Aula 11"))&gt;0,"C2",IF((COUNTIF('C311'!B5,"Aula 11")+COUNTIF('C312'!B5,"Aula 11"))&gt;0,"C3",IF((COUNTIF('C411'!B5,"Aula 11")+COUNTIF('C412'!B5,"Aula 11"))&gt;0,"C4",IF((COUNTIF('M111'!B5,"Aula 11")+COUNTIF('M112'!B5,"Aula 11"))&gt;0,"M1",IF((COUNTIF('M211'!B5,"Aula 11")+COUNTIF('M212'!B5,"Aula 11"))&gt;0,"M2",IF((COUNTIF('M311'!B5,"Aula 11"))&gt;0,"M3",IF((COUNTIF('M411'!B5,"Aula 11"))&gt;0,"M4",IF((COUNTIF('D111'!B5,"Aula 11")+COUNTIF('D112'!B5,"Aula 11"))&gt;0,"D1",IF((COUNTIF('D211'!B5,"Aula 11"))&gt;0,"D2",IF((COUNTIF('D311'!B5,"Aula 11"))&gt;0,"D3",IF((COUNTIF('D411'!B5,"Aula 11"))&gt;0,"D4","")))))))))))),"MIX"))</f>
        <v/>
      </c>
    </row>
    <row r="12">
      <c r="A12" t="inlineStr">
        <is>
          <t>Aula 12</t>
        </is>
      </c>
      <c r="C12">
        <f>IF((IF((COUNTIF('C111'!B5,"Aula 12")+COUNTIF('C112'!B5,"Aula 12")+COUNTIF('C113'!B5,"Aula 12")+COUNTIF('C121'!B5,"Aula 12")+COUNTIF('C122'!B5,"Aula 12"))&gt;0,1,0)+IF((COUNTIF('C211'!B5,"Aula 12")+COUNTIF('C212'!B5,"Aula 12"))&gt;0,1,0)+IF((COUNTIF('C311'!B5,"Aula 12")+COUNTIF('C312'!B5,"Aula 12"))&gt;0,1,0)+IF((COUNTIF('C411'!B5,"Aula 12")+COUNTIF('C412'!B5,"Aula 12"))&gt;0,1,0)+IF((COUNTIF('M111'!B5,"Aula 12")+COUNTIF('M112'!B5,"Aula 12"))&gt;0,1,0)+IF((COUNTIF('M211'!B5,"Aula 12")+COUNTIF('M212'!B5,"Aula 12"))&gt;0,1,0)+IF((COUNTIF('M311'!B5,"Aula 12"))&gt;0,1,0)+IF((COUNTIF('M411'!B5,"Aula 12"))&gt;0,1,0)+IF((COUNTIF('D111'!B5,"Aula 12")+COUNTIF('D112'!B5,"Aula 12"))&gt;0,1,0)+IF((COUNTIF('D211'!B5,"Aula 12"))&gt;0,1,0)+IF((COUNTIF('D311'!B5,"Aula 12"))&gt;0,1,0)+IF((COUNTIF('D411'!B5,"Aula 12"))&gt;0,1,0))=0,"",IF((IF((COUNTIF('C111'!B5,"Aula 12")+COUNTIF('C112'!B5,"Aula 12")+COUNTIF('C113'!B5,"Aula 12")+COUNTIF('C121'!B5,"Aula 12")+COUNTIF('C122'!B5,"Aula 12"))&gt;0,1,0)+IF((COUNTIF('C211'!B5,"Aula 12")+COUNTIF('C212'!B5,"Aula 12"))&gt;0,1,0)+IF((COUNTIF('C311'!B5,"Aula 12")+COUNTIF('C312'!B5,"Aula 12"))&gt;0,1,0)+IF((COUNTIF('C411'!B5,"Aula 12")+COUNTIF('C412'!B5,"Aula 12"))&gt;0,1,0)+IF((COUNTIF('M111'!B5,"Aula 12")+COUNTIF('M112'!B5,"Aula 12"))&gt;0,1,0)+IF((COUNTIF('M211'!B5,"Aula 12")+COUNTIF('M212'!B5,"Aula 12"))&gt;0,1,0)+IF((COUNTIF('M311'!B5,"Aula 12"))&gt;0,1,0)+IF((COUNTIF('M411'!B5,"Aula 12"))&gt;0,1,0)+IF((COUNTIF('D111'!B5,"Aula 12")+COUNTIF('D112'!B5,"Aula 12"))&gt;0,1,0)+IF((COUNTIF('D211'!B5,"Aula 12"))&gt;0,1,0)+IF((COUNTIF('D311'!B5,"Aula 12"))&gt;0,1,0)+IF((COUNTIF('D411'!B5,"Aula 12"))&gt;0,1,0))=1,IF((COUNTIF('C111'!B5,"Aula 12")+COUNTIF('C112'!B5,"Aula 12")+COUNTIF('C113'!B5,"Aula 12")+COUNTIF('C121'!B5,"Aula 12")+COUNTIF('C122'!B5,"Aula 12"))&gt;0,"C1",IF((COUNTIF('C211'!B5,"Aula 12")+COUNTIF('C212'!B5,"Aula 12"))&gt;0,"C2",IF((COUNTIF('C311'!B5,"Aula 12")+COUNTIF('C312'!B5,"Aula 12"))&gt;0,"C3",IF((COUNTIF('C411'!B5,"Aula 12")+COUNTIF('C412'!B5,"Aula 12"))&gt;0,"C4",IF((COUNTIF('M111'!B5,"Aula 12")+COUNTIF('M112'!B5,"Aula 12"))&gt;0,"M1",IF((COUNTIF('M211'!B5,"Aula 12")+COUNTIF('M212'!B5,"Aula 12"))&gt;0,"M2",IF((COUNTIF('M311'!B5,"Aula 12"))&gt;0,"M3",IF((COUNTIF('M411'!B5,"Aula 12"))&gt;0,"M4",IF((COUNTIF('D111'!B5,"Aula 12")+COUNTIF('D112'!B5,"Aula 12"))&gt;0,"D1",IF((COUNTIF('D211'!B5,"Aula 12"))&gt;0,"D2",IF((COUNTIF('D311'!B5,"Aula 12"))&gt;0,"D3",IF((COUNTIF('D411'!B5,"Aula 12"))&gt;0,"D4","")))))))))))),"MIX"))</f>
        <v/>
      </c>
    </row>
    <row r="13">
      <c r="A13" t="inlineStr">
        <is>
          <t>Lab 1</t>
        </is>
      </c>
      <c r="C13">
        <f>IF((IF((COUNTIF('C111'!B5,"Lab 1")+COUNTIF('C112'!B5,"Lab 1")+COUNTIF('C113'!B5,"Lab 1")+COUNTIF('C121'!B5,"Lab 1")+COUNTIF('C122'!B5,"Lab 1"))&gt;0,1,0)+IF((COUNTIF('C211'!B5,"Lab 1")+COUNTIF('C212'!B5,"Lab 1"))&gt;0,1,0)+IF((COUNTIF('C311'!B5,"Lab 1")+COUNTIF('C312'!B5,"Lab 1"))&gt;0,1,0)+IF((COUNTIF('C411'!B5,"Lab 1")+COUNTIF('C412'!B5,"Lab 1"))&gt;0,1,0)+IF((COUNTIF('M111'!B5,"Lab 1")+COUNTIF('M112'!B5,"Lab 1"))&gt;0,1,0)+IF((COUNTIF('M211'!B5,"Lab 1")+COUNTIF('M212'!B5,"Lab 1"))&gt;0,1,0)+IF((COUNTIF('M311'!B5,"Lab 1"))&gt;0,1,0)+IF((COUNTIF('M411'!B5,"Lab 1"))&gt;0,1,0)+IF((COUNTIF('D111'!B5,"Lab 1")+COUNTIF('D112'!B5,"Lab 1"))&gt;0,1,0)+IF((COUNTIF('D211'!B5,"Lab 1"))&gt;0,1,0)+IF((COUNTIF('D311'!B5,"Lab 1"))&gt;0,1,0)+IF((COUNTIF('D411'!B5,"Lab 1"))&gt;0,1,0))=0,"",IF((IF((COUNTIF('C111'!B5,"Lab 1")+COUNTIF('C112'!B5,"Lab 1")+COUNTIF('C113'!B5,"Lab 1")+COUNTIF('C121'!B5,"Lab 1")+COUNTIF('C122'!B5,"Lab 1"))&gt;0,1,0)+IF((COUNTIF('C211'!B5,"Lab 1")+COUNTIF('C212'!B5,"Lab 1"))&gt;0,1,0)+IF((COUNTIF('C311'!B5,"Lab 1")+COUNTIF('C312'!B5,"Lab 1"))&gt;0,1,0)+IF((COUNTIF('C411'!B5,"Lab 1")+COUNTIF('C412'!B5,"Lab 1"))&gt;0,1,0)+IF((COUNTIF('M111'!B5,"Lab 1")+COUNTIF('M112'!B5,"Lab 1"))&gt;0,1,0)+IF((COUNTIF('M211'!B5,"Lab 1")+COUNTIF('M212'!B5,"Lab 1"))&gt;0,1,0)+IF((COUNTIF('M311'!B5,"Lab 1"))&gt;0,1,0)+IF((COUNTIF('M411'!B5,"Lab 1"))&gt;0,1,0)+IF((COUNTIF('D111'!B5,"Lab 1")+COUNTIF('D112'!B5,"Lab 1"))&gt;0,1,0)+IF((COUNTIF('D211'!B5,"Lab 1"))&gt;0,1,0)+IF((COUNTIF('D311'!B5,"Lab 1"))&gt;0,1,0)+IF((COUNTIF('D411'!B5,"Lab 1"))&gt;0,1,0))=1,IF((COUNTIF('C111'!B5,"Lab 1")+COUNTIF('C112'!B5,"Lab 1")+COUNTIF('C113'!B5,"Lab 1")+COUNTIF('C121'!B5,"Lab 1")+COUNTIF('C122'!B5,"Lab 1"))&gt;0,"C1",IF((COUNTIF('C211'!B5,"Lab 1")+COUNTIF('C212'!B5,"Lab 1"))&gt;0,"C2",IF((COUNTIF('C311'!B5,"Lab 1")+COUNTIF('C312'!B5,"Lab 1"))&gt;0,"C3",IF((COUNTIF('C411'!B5,"Lab 1")+COUNTIF('C412'!B5,"Lab 1"))&gt;0,"C4",IF((COUNTIF('M111'!B5,"Lab 1")+COUNTIF('M112'!B5,"Lab 1"))&gt;0,"M1",IF((COUNTIF('M211'!B5,"Lab 1")+COUNTIF('M212'!B5,"Lab 1"))&gt;0,"M2",IF((COUNTIF('M311'!B5,"Lab 1"))&gt;0,"M3",IF((COUNTIF('M411'!B5,"Lab 1"))&gt;0,"M4",IF((COUNTIF('D111'!B5,"Lab 1")+COUNTIF('D112'!B5,"Lab 1"))&gt;0,"D1",IF((COUNTIF('D211'!B5,"Lab 1"))&gt;0,"D2",IF((COUNTIF('D311'!B5,"Lab 1"))&gt;0,"D3",IF((COUNTIF('D411'!B5,"Lab 1"))&gt;0,"D4","")))))))))))),"MIX"))</f>
        <v/>
      </c>
    </row>
    <row r="14">
      <c r="A14" t="inlineStr">
        <is>
          <t>Lab 2</t>
        </is>
      </c>
      <c r="C14">
        <f>IF((IF((COUNTIF('C111'!B5,"Lab 2")+COUNTIF('C112'!B5,"Lab 2")+COUNTIF('C113'!B5,"Lab 2")+COUNTIF('C121'!B5,"Lab 2")+COUNTIF('C122'!B5,"Lab 2"))&gt;0,1,0)+IF((COUNTIF('C211'!B5,"Lab 2")+COUNTIF('C212'!B5,"Lab 2"))&gt;0,1,0)+IF((COUNTIF('C311'!B5,"Lab 2")+COUNTIF('C312'!B5,"Lab 2"))&gt;0,1,0)+IF((COUNTIF('C411'!B5,"Lab 2")+COUNTIF('C412'!B5,"Lab 2"))&gt;0,1,0)+IF((COUNTIF('M111'!B5,"Lab 2")+COUNTIF('M112'!B5,"Lab 2"))&gt;0,1,0)+IF((COUNTIF('M211'!B5,"Lab 2")+COUNTIF('M212'!B5,"Lab 2"))&gt;0,1,0)+IF((COUNTIF('M311'!B5,"Lab 2"))&gt;0,1,0)+IF((COUNTIF('M411'!B5,"Lab 2"))&gt;0,1,0)+IF((COUNTIF('D111'!B5,"Lab 2")+COUNTIF('D112'!B5,"Lab 2"))&gt;0,1,0)+IF((COUNTIF('D211'!B5,"Lab 2"))&gt;0,1,0)+IF((COUNTIF('D311'!B5,"Lab 2"))&gt;0,1,0)+IF((COUNTIF('D411'!B5,"Lab 2"))&gt;0,1,0))=0,"",IF((IF((COUNTIF('C111'!B5,"Lab 2")+COUNTIF('C112'!B5,"Lab 2")+COUNTIF('C113'!B5,"Lab 2")+COUNTIF('C121'!B5,"Lab 2")+COUNTIF('C122'!B5,"Lab 2"))&gt;0,1,0)+IF((COUNTIF('C211'!B5,"Lab 2")+COUNTIF('C212'!B5,"Lab 2"))&gt;0,1,0)+IF((COUNTIF('C311'!B5,"Lab 2")+COUNTIF('C312'!B5,"Lab 2"))&gt;0,1,0)+IF((COUNTIF('C411'!B5,"Lab 2")+COUNTIF('C412'!B5,"Lab 2"))&gt;0,1,0)+IF((COUNTIF('M111'!B5,"Lab 2")+COUNTIF('M112'!B5,"Lab 2"))&gt;0,1,0)+IF((COUNTIF('M211'!B5,"Lab 2")+COUNTIF('M212'!B5,"Lab 2"))&gt;0,1,0)+IF((COUNTIF('M311'!B5,"Lab 2"))&gt;0,1,0)+IF((COUNTIF('M411'!B5,"Lab 2"))&gt;0,1,0)+IF((COUNTIF('D111'!B5,"Lab 2")+COUNTIF('D112'!B5,"Lab 2"))&gt;0,1,0)+IF((COUNTIF('D211'!B5,"Lab 2"))&gt;0,1,0)+IF((COUNTIF('D311'!B5,"Lab 2"))&gt;0,1,0)+IF((COUNTIF('D411'!B5,"Lab 2"))&gt;0,1,0))=1,IF((COUNTIF('C111'!B5,"Lab 2")+COUNTIF('C112'!B5,"Lab 2")+COUNTIF('C113'!B5,"Lab 2")+COUNTIF('C121'!B5,"Lab 2")+COUNTIF('C122'!B5,"Lab 2"))&gt;0,"C1",IF((COUNTIF('C211'!B5,"Lab 2")+COUNTIF('C212'!B5,"Lab 2"))&gt;0,"C2",IF((COUNTIF('C311'!B5,"Lab 2")+COUNTIF('C312'!B5,"Lab 2"))&gt;0,"C3",IF((COUNTIF('C411'!B5,"Lab 2")+COUNTIF('C412'!B5,"Lab 2"))&gt;0,"C4",IF((COUNTIF('M111'!B5,"Lab 2")+COUNTIF('M112'!B5,"Lab 2"))&gt;0,"M1",IF((COUNTIF('M211'!B5,"Lab 2")+COUNTIF('M212'!B5,"Lab 2"))&gt;0,"M2",IF((COUNTIF('M311'!B5,"Lab 2"))&gt;0,"M3",IF((COUNTIF('M411'!B5,"Lab 2"))&gt;0,"M4",IF((COUNTIF('D111'!B5,"Lab 2")+COUNTIF('D112'!B5,"Lab 2"))&gt;0,"D1",IF((COUNTIF('D211'!B5,"Lab 2"))&gt;0,"D2",IF((COUNTIF('D311'!B5,"Lab 2"))&gt;0,"D3",IF((COUNTIF('D411'!B5,"Lab 2"))&gt;0,"D4","")))))))))))),"MIX"))</f>
        <v/>
      </c>
    </row>
    <row r="15">
      <c r="A15" t="inlineStr">
        <is>
          <t>Salón</t>
        </is>
      </c>
      <c r="C15">
        <f>IF((IF((COUNTIF('C111'!B5,"Salón")+COUNTIF('C112'!B5,"Salón")+COUNTIF('C113'!B5,"Salón")+COUNTIF('C121'!B5,"Salón")+COUNTIF('C122'!B5,"Salón"))&gt;0,1,0)+IF((COUNTIF('C211'!B5,"Salón")+COUNTIF('C212'!B5,"Salón"))&gt;0,1,0)+IF((COUNTIF('C311'!B5,"Salón")+COUNTIF('C312'!B5,"Salón"))&gt;0,1,0)+IF((COUNTIF('C411'!B5,"Salón")+COUNTIF('C412'!B5,"Salón"))&gt;0,1,0)+IF((COUNTIF('M111'!B5,"Salón")+COUNTIF('M112'!B5,"Salón"))&gt;0,1,0)+IF((COUNTIF('M211'!B5,"Salón")+COUNTIF('M212'!B5,"Salón"))&gt;0,1,0)+IF((COUNTIF('M311'!B5,"Salón"))&gt;0,1,0)+IF((COUNTIF('M411'!B5,"Salón"))&gt;0,1,0)+IF((COUNTIF('D111'!B5,"Salón")+COUNTIF('D112'!B5,"Salón"))&gt;0,1,0)+IF((COUNTIF('D211'!B5,"Salón"))&gt;0,1,0)+IF((COUNTIF('D311'!B5,"Salón"))&gt;0,1,0)+IF((COUNTIF('D411'!B5,"Salón"))&gt;0,1,0))=0,"",IF((IF((COUNTIF('C111'!B5,"Salón")+COUNTIF('C112'!B5,"Salón")+COUNTIF('C113'!B5,"Salón")+COUNTIF('C121'!B5,"Salón")+COUNTIF('C122'!B5,"Salón"))&gt;0,1,0)+IF((COUNTIF('C211'!B5,"Salón")+COUNTIF('C212'!B5,"Salón"))&gt;0,1,0)+IF((COUNTIF('C311'!B5,"Salón")+COUNTIF('C312'!B5,"Salón"))&gt;0,1,0)+IF((COUNTIF('C411'!B5,"Salón")+COUNTIF('C412'!B5,"Salón"))&gt;0,1,0)+IF((COUNTIF('M111'!B5,"Salón")+COUNTIF('M112'!B5,"Salón"))&gt;0,1,0)+IF((COUNTIF('M211'!B5,"Salón")+COUNTIF('M212'!B5,"Salón"))&gt;0,1,0)+IF((COUNTIF('M311'!B5,"Salón"))&gt;0,1,0)+IF((COUNTIF('M411'!B5,"Salón"))&gt;0,1,0)+IF((COUNTIF('D111'!B5,"Salón")+COUNTIF('D112'!B5,"Salón"))&gt;0,1,0)+IF((COUNTIF('D211'!B5,"Salón"))&gt;0,1,0)+IF((COUNTIF('D311'!B5,"Salón"))&gt;0,1,0)+IF((COUNTIF('D411'!B5,"Salón"))&gt;0,1,0))=1,IF((COUNTIF('C111'!B5,"Salón")+COUNTIF('C112'!B5,"Salón")+COUNTIF('C113'!B5,"Salón")+COUNTIF('C121'!B5,"Salón")+COUNTIF('C122'!B5,"Salón"))&gt;0,"C1",IF((COUNTIF('C211'!B5,"Salón")+COUNTIF('C212'!B5,"Salón"))&gt;0,"C2",IF((COUNTIF('C311'!B5,"Salón")+COUNTIF('C312'!B5,"Salón"))&gt;0,"C3",IF((COUNTIF('C411'!B5,"Salón")+COUNTIF('C412'!B5,"Salón"))&gt;0,"C4",IF((COUNTIF('M111'!B5,"Salón")+COUNTIF('M112'!B5,"Salón"))&gt;0,"M1",IF((COUNTIF('M211'!B5,"Salón")+COUNTIF('M212'!B5,"Salón"))&gt;0,"M2",IF((COUNTIF('M311'!B5,"Salón"))&gt;0,"M3",IF((COUNTIF('M411'!B5,"Salón"))&gt;0,"M4",IF((COUNTIF('D111'!B5,"Salón")+COUNTIF('D112'!B5,"Salón"))&gt;0,"D1",IF((COUNTIF('D211'!B5,"Salón"))&gt;0,"D2",IF((COUNTIF('D311'!B5,"Salón"))&gt;0,"D3",IF((COUNTIF('D411'!B5,"Salón"))&gt;0,"D4","")))))))))))),"MIX"))</f>
        <v/>
      </c>
    </row>
    <row r="16">
      <c r="C16">
        <f>IF((IF((COUNTIF('C111'!B7,"Aula 1")+COUNTIF('C112'!B7,"Aula 1")+COUNTIF('C113'!B7,"Aula 1")+COUNTIF('C121'!B7,"Aula 1")+COUNTIF('C122'!B7,"Aula 1"))&gt;0,1,0)+IF((COUNTIF('C211'!B7,"Aula 1")+COUNTIF('C212'!B7,"Aula 1"))&gt;0,1,0)+IF((COUNTIF('C311'!B7,"Aula 1")+COUNTIF('C312'!B7,"Aula 1"))&gt;0,1,0)+IF((COUNTIF('C411'!B7,"Aula 1")+COUNTIF('C412'!B7,"Aula 1"))&gt;0,1,0)+IF((COUNTIF('M111'!B7,"Aula 1")+COUNTIF('M112'!B7,"Aula 1"))&gt;0,1,0)+IF((COUNTIF('M211'!B7,"Aula 1")+COUNTIF('M212'!B7,"Aula 1"))&gt;0,1,0)+IF((COUNTIF('M311'!B7,"Aula 1"))&gt;0,1,0)+IF((COUNTIF('M411'!B7,"Aula 1"))&gt;0,1,0)+IF((COUNTIF('D111'!B7,"Aula 1")+COUNTIF('D112'!B7,"Aula 1"))&gt;0,1,0)+IF((COUNTIF('D211'!B7,"Aula 1"))&gt;0,1,0)+IF((COUNTIF('D311'!B7,"Aula 1"))&gt;0,1,0)+IF((COUNTIF('D411'!B7,"Aula 1"))&gt;0,1,0))=0,"",IF((IF((COUNTIF('C111'!B7,"Aula 1")+COUNTIF('C112'!B7,"Aula 1")+COUNTIF('C113'!B7,"Aula 1")+COUNTIF('C121'!B7,"Aula 1")+COUNTIF('C122'!B7,"Aula 1"))&gt;0,1,0)+IF((COUNTIF('C211'!B7,"Aula 1")+COUNTIF('C212'!B7,"Aula 1"))&gt;0,1,0)+IF((COUNTIF('C311'!B7,"Aula 1")+COUNTIF('C312'!B7,"Aula 1"))&gt;0,1,0)+IF((COUNTIF('C411'!B7,"Aula 1")+COUNTIF('C412'!B7,"Aula 1"))&gt;0,1,0)+IF((COUNTIF('M111'!B7,"Aula 1")+COUNTIF('M112'!B7,"Aula 1"))&gt;0,1,0)+IF((COUNTIF('M211'!B7,"Aula 1")+COUNTIF('M212'!B7,"Aula 1"))&gt;0,1,0)+IF((COUNTIF('M311'!B7,"Aula 1"))&gt;0,1,0)+IF((COUNTIF('M411'!B7,"Aula 1"))&gt;0,1,0)+IF((COUNTIF('D111'!B7,"Aula 1")+COUNTIF('D112'!B7,"Aula 1"))&gt;0,1,0)+IF((COUNTIF('D211'!B7,"Aula 1"))&gt;0,1,0)+IF((COUNTIF('D311'!B7,"Aula 1"))&gt;0,1,0)+IF((COUNTIF('D411'!B7,"Aula 1"))&gt;0,1,0))=1,IF((COUNTIF('C111'!B7,"Aula 1")+COUNTIF('C112'!B7,"Aula 1")+COUNTIF('C113'!B7,"Aula 1")+COUNTIF('C121'!B7,"Aula 1")+COUNTIF('C122'!B7,"Aula 1"))&gt;0,"C1",IF((COUNTIF('C211'!B7,"Aula 1")+COUNTIF('C212'!B7,"Aula 1"))&gt;0,"C2",IF((COUNTIF('C311'!B7,"Aula 1")+COUNTIF('C312'!B7,"Aula 1"))&gt;0,"C3",IF((COUNTIF('C411'!B7,"Aula 1")+COUNTIF('C412'!B7,"Aula 1"))&gt;0,"C4",IF((COUNTIF('M111'!B7,"Aula 1")+COUNTIF('M112'!B7,"Aula 1"))&gt;0,"M1",IF((COUNTIF('M211'!B7,"Aula 1")+COUNTIF('M212'!B7,"Aula 1"))&gt;0,"M2",IF((COUNTIF('M311'!B7,"Aula 1"))&gt;0,"M3",IF((COUNTIF('M411'!B7,"Aula 1"))&gt;0,"M4",IF((COUNTIF('D111'!B7,"Aula 1")+COUNTIF('D112'!B7,"Aula 1"))&gt;0,"D1",IF((COUNTIF('D211'!B7,"Aula 1"))&gt;0,"D2",IF((COUNTIF('D311'!B7,"Aula 1"))&gt;0,"D3",IF((COUNTIF('D411'!B7,"Aula 1"))&gt;0,"D4","")))))))))))),"MIX"))</f>
        <v/>
      </c>
    </row>
    <row r="17">
      <c r="C17">
        <f>IF((IF((COUNTIF('C111'!B7,"Aula 2")+COUNTIF('C112'!B7,"Aula 2")+COUNTIF('C113'!B7,"Aula 2")+COUNTIF('C121'!B7,"Aula 2")+COUNTIF('C122'!B7,"Aula 2"))&gt;0,1,0)+IF((COUNTIF('C211'!B7,"Aula 2")+COUNTIF('C212'!B7,"Aula 2"))&gt;0,1,0)+IF((COUNTIF('C311'!B7,"Aula 2")+COUNTIF('C312'!B7,"Aula 2"))&gt;0,1,0)+IF((COUNTIF('C411'!B7,"Aula 2")+COUNTIF('C412'!B7,"Aula 2"))&gt;0,1,0)+IF((COUNTIF('M111'!B7,"Aula 2")+COUNTIF('M112'!B7,"Aula 2"))&gt;0,1,0)+IF((COUNTIF('M211'!B7,"Aula 2")+COUNTIF('M212'!B7,"Aula 2"))&gt;0,1,0)+IF((COUNTIF('M311'!B7,"Aula 2"))&gt;0,1,0)+IF((COUNTIF('M411'!B7,"Aula 2"))&gt;0,1,0)+IF((COUNTIF('D111'!B7,"Aula 2")+COUNTIF('D112'!B7,"Aula 2"))&gt;0,1,0)+IF((COUNTIF('D211'!B7,"Aula 2"))&gt;0,1,0)+IF((COUNTIF('D311'!B7,"Aula 2"))&gt;0,1,0)+IF((COUNTIF('D411'!B7,"Aula 2"))&gt;0,1,0))=0,"",IF((IF((COUNTIF('C111'!B7,"Aula 2")+COUNTIF('C112'!B7,"Aula 2")+COUNTIF('C113'!B7,"Aula 2")+COUNTIF('C121'!B7,"Aula 2")+COUNTIF('C122'!B7,"Aula 2"))&gt;0,1,0)+IF((COUNTIF('C211'!B7,"Aula 2")+COUNTIF('C212'!B7,"Aula 2"))&gt;0,1,0)+IF((COUNTIF('C311'!B7,"Aula 2")+COUNTIF('C312'!B7,"Aula 2"))&gt;0,1,0)+IF((COUNTIF('C411'!B7,"Aula 2")+COUNTIF('C412'!B7,"Aula 2"))&gt;0,1,0)+IF((COUNTIF('M111'!B7,"Aula 2")+COUNTIF('M112'!B7,"Aula 2"))&gt;0,1,0)+IF((COUNTIF('M211'!B7,"Aula 2")+COUNTIF('M212'!B7,"Aula 2"))&gt;0,1,0)+IF((COUNTIF('M311'!B7,"Aula 2"))&gt;0,1,0)+IF((COUNTIF('M411'!B7,"Aula 2"))&gt;0,1,0)+IF((COUNTIF('D111'!B7,"Aula 2")+COUNTIF('D112'!B7,"Aula 2"))&gt;0,1,0)+IF((COUNTIF('D211'!B7,"Aula 2"))&gt;0,1,0)+IF((COUNTIF('D311'!B7,"Aula 2"))&gt;0,1,0)+IF((COUNTIF('D411'!B7,"Aula 2"))&gt;0,1,0))=1,IF((COUNTIF('C111'!B7,"Aula 2")+COUNTIF('C112'!B7,"Aula 2")+COUNTIF('C113'!B7,"Aula 2")+COUNTIF('C121'!B7,"Aula 2")+COUNTIF('C122'!B7,"Aula 2"))&gt;0,"C1",IF((COUNTIF('C211'!B7,"Aula 2")+COUNTIF('C212'!B7,"Aula 2"))&gt;0,"C2",IF((COUNTIF('C311'!B7,"Aula 2")+COUNTIF('C312'!B7,"Aula 2"))&gt;0,"C3",IF((COUNTIF('C411'!B7,"Aula 2")+COUNTIF('C412'!B7,"Aula 2"))&gt;0,"C4",IF((COUNTIF('M111'!B7,"Aula 2")+COUNTIF('M112'!B7,"Aula 2"))&gt;0,"M1",IF((COUNTIF('M211'!B7,"Aula 2")+COUNTIF('M212'!B7,"Aula 2"))&gt;0,"M2",IF((COUNTIF('M311'!B7,"Aula 2"))&gt;0,"M3",IF((COUNTIF('M411'!B7,"Aula 2"))&gt;0,"M4",IF((COUNTIF('D111'!B7,"Aula 2")+COUNTIF('D112'!B7,"Aula 2"))&gt;0,"D1",IF((COUNTIF('D211'!B7,"Aula 2"))&gt;0,"D2",IF((COUNTIF('D311'!B7,"Aula 2"))&gt;0,"D3",IF((COUNTIF('D411'!B7,"Aula 2"))&gt;0,"D4","")))))))))))),"MIX"))</f>
        <v/>
      </c>
    </row>
    <row r="18">
      <c r="C18">
        <f>IF((IF((COUNTIF('C111'!B7,"Aula 3")+COUNTIF('C112'!B7,"Aula 3")+COUNTIF('C113'!B7,"Aula 3")+COUNTIF('C121'!B7,"Aula 3")+COUNTIF('C122'!B7,"Aula 3"))&gt;0,1,0)+IF((COUNTIF('C211'!B7,"Aula 3")+COUNTIF('C212'!B7,"Aula 3"))&gt;0,1,0)+IF((COUNTIF('C311'!B7,"Aula 3")+COUNTIF('C312'!B7,"Aula 3"))&gt;0,1,0)+IF((COUNTIF('C411'!B7,"Aula 3")+COUNTIF('C412'!B7,"Aula 3"))&gt;0,1,0)+IF((COUNTIF('M111'!B7,"Aula 3")+COUNTIF('M112'!B7,"Aula 3"))&gt;0,1,0)+IF((COUNTIF('M211'!B7,"Aula 3")+COUNTIF('M212'!B7,"Aula 3"))&gt;0,1,0)+IF((COUNTIF('M311'!B7,"Aula 3"))&gt;0,1,0)+IF((COUNTIF('M411'!B7,"Aula 3"))&gt;0,1,0)+IF((COUNTIF('D111'!B7,"Aula 3")+COUNTIF('D112'!B7,"Aula 3"))&gt;0,1,0)+IF((COUNTIF('D211'!B7,"Aula 3"))&gt;0,1,0)+IF((COUNTIF('D311'!B7,"Aula 3"))&gt;0,1,0)+IF((COUNTIF('D411'!B7,"Aula 3"))&gt;0,1,0))=0,"",IF((IF((COUNTIF('C111'!B7,"Aula 3")+COUNTIF('C112'!B7,"Aula 3")+COUNTIF('C113'!B7,"Aula 3")+COUNTIF('C121'!B7,"Aula 3")+COUNTIF('C122'!B7,"Aula 3"))&gt;0,1,0)+IF((COUNTIF('C211'!B7,"Aula 3")+COUNTIF('C212'!B7,"Aula 3"))&gt;0,1,0)+IF((COUNTIF('C311'!B7,"Aula 3")+COUNTIF('C312'!B7,"Aula 3"))&gt;0,1,0)+IF((COUNTIF('C411'!B7,"Aula 3")+COUNTIF('C412'!B7,"Aula 3"))&gt;0,1,0)+IF((COUNTIF('M111'!B7,"Aula 3")+COUNTIF('M112'!B7,"Aula 3"))&gt;0,1,0)+IF((COUNTIF('M211'!B7,"Aula 3")+COUNTIF('M212'!B7,"Aula 3"))&gt;0,1,0)+IF((COUNTIF('M311'!B7,"Aula 3"))&gt;0,1,0)+IF((COUNTIF('M411'!B7,"Aula 3"))&gt;0,1,0)+IF((COUNTIF('D111'!B7,"Aula 3")+COUNTIF('D112'!B7,"Aula 3"))&gt;0,1,0)+IF((COUNTIF('D211'!B7,"Aula 3"))&gt;0,1,0)+IF((COUNTIF('D311'!B7,"Aula 3"))&gt;0,1,0)+IF((COUNTIF('D411'!B7,"Aula 3"))&gt;0,1,0))=1,IF((COUNTIF('C111'!B7,"Aula 3")+COUNTIF('C112'!B7,"Aula 3")+COUNTIF('C113'!B7,"Aula 3")+COUNTIF('C121'!B7,"Aula 3")+COUNTIF('C122'!B7,"Aula 3"))&gt;0,"C1",IF((COUNTIF('C211'!B7,"Aula 3")+COUNTIF('C212'!B7,"Aula 3"))&gt;0,"C2",IF((COUNTIF('C311'!B7,"Aula 3")+COUNTIF('C312'!B7,"Aula 3"))&gt;0,"C3",IF((COUNTIF('C411'!B7,"Aula 3")+COUNTIF('C412'!B7,"Aula 3"))&gt;0,"C4",IF((COUNTIF('M111'!B7,"Aula 3")+COUNTIF('M112'!B7,"Aula 3"))&gt;0,"M1",IF((COUNTIF('M211'!B7,"Aula 3")+COUNTIF('M212'!B7,"Aula 3"))&gt;0,"M2",IF((COUNTIF('M311'!B7,"Aula 3"))&gt;0,"M3",IF((COUNTIF('M411'!B7,"Aula 3"))&gt;0,"M4",IF((COUNTIF('D111'!B7,"Aula 3")+COUNTIF('D112'!B7,"Aula 3"))&gt;0,"D1",IF((COUNTIF('D211'!B7,"Aula 3"))&gt;0,"D2",IF((COUNTIF('D311'!B7,"Aula 3"))&gt;0,"D3",IF((COUNTIF('D411'!B7,"Aula 3"))&gt;0,"D4","")))))))))))),"MIX"))</f>
        <v/>
      </c>
    </row>
    <row r="19">
      <c r="C19">
        <f>IF((IF((COUNTIF('C111'!B7,"Aula 4")+COUNTIF('C112'!B7,"Aula 4")+COUNTIF('C113'!B7,"Aula 4")+COUNTIF('C121'!B7,"Aula 4")+COUNTIF('C122'!B7,"Aula 4"))&gt;0,1,0)+IF((COUNTIF('C211'!B7,"Aula 4")+COUNTIF('C212'!B7,"Aula 4"))&gt;0,1,0)+IF((COUNTIF('C311'!B7,"Aula 4")+COUNTIF('C312'!B7,"Aula 4"))&gt;0,1,0)+IF((COUNTIF('C411'!B7,"Aula 4")+COUNTIF('C412'!B7,"Aula 4"))&gt;0,1,0)+IF((COUNTIF('M111'!B7,"Aula 4")+COUNTIF('M112'!B7,"Aula 4"))&gt;0,1,0)+IF((COUNTIF('M211'!B7,"Aula 4")+COUNTIF('M212'!B7,"Aula 4"))&gt;0,1,0)+IF((COUNTIF('M311'!B7,"Aula 4"))&gt;0,1,0)+IF((COUNTIF('M411'!B7,"Aula 4"))&gt;0,1,0)+IF((COUNTIF('D111'!B7,"Aula 4")+COUNTIF('D112'!B7,"Aula 4"))&gt;0,1,0)+IF((COUNTIF('D211'!B7,"Aula 4"))&gt;0,1,0)+IF((COUNTIF('D311'!B7,"Aula 4"))&gt;0,1,0)+IF((COUNTIF('D411'!B7,"Aula 4"))&gt;0,1,0))=0,"",IF((IF((COUNTIF('C111'!B7,"Aula 4")+COUNTIF('C112'!B7,"Aula 4")+COUNTIF('C113'!B7,"Aula 4")+COUNTIF('C121'!B7,"Aula 4")+COUNTIF('C122'!B7,"Aula 4"))&gt;0,1,0)+IF((COUNTIF('C211'!B7,"Aula 4")+COUNTIF('C212'!B7,"Aula 4"))&gt;0,1,0)+IF((COUNTIF('C311'!B7,"Aula 4")+COUNTIF('C312'!B7,"Aula 4"))&gt;0,1,0)+IF((COUNTIF('C411'!B7,"Aula 4")+COUNTIF('C412'!B7,"Aula 4"))&gt;0,1,0)+IF((COUNTIF('M111'!B7,"Aula 4")+COUNTIF('M112'!B7,"Aula 4"))&gt;0,1,0)+IF((COUNTIF('M211'!B7,"Aula 4")+COUNTIF('M212'!B7,"Aula 4"))&gt;0,1,0)+IF((COUNTIF('M311'!B7,"Aula 4"))&gt;0,1,0)+IF((COUNTIF('M411'!B7,"Aula 4"))&gt;0,1,0)+IF((COUNTIF('D111'!B7,"Aula 4")+COUNTIF('D112'!B7,"Aula 4"))&gt;0,1,0)+IF((COUNTIF('D211'!B7,"Aula 4"))&gt;0,1,0)+IF((COUNTIF('D311'!B7,"Aula 4"))&gt;0,1,0)+IF((COUNTIF('D411'!B7,"Aula 4"))&gt;0,1,0))=1,IF((COUNTIF('C111'!B7,"Aula 4")+COUNTIF('C112'!B7,"Aula 4")+COUNTIF('C113'!B7,"Aula 4")+COUNTIF('C121'!B7,"Aula 4")+COUNTIF('C122'!B7,"Aula 4"))&gt;0,"C1",IF((COUNTIF('C211'!B7,"Aula 4")+COUNTIF('C212'!B7,"Aula 4"))&gt;0,"C2",IF((COUNTIF('C311'!B7,"Aula 4")+COUNTIF('C312'!B7,"Aula 4"))&gt;0,"C3",IF((COUNTIF('C411'!B7,"Aula 4")+COUNTIF('C412'!B7,"Aula 4"))&gt;0,"C4",IF((COUNTIF('M111'!B7,"Aula 4")+COUNTIF('M112'!B7,"Aula 4"))&gt;0,"M1",IF((COUNTIF('M211'!B7,"Aula 4")+COUNTIF('M212'!B7,"Aula 4"))&gt;0,"M2",IF((COUNTIF('M311'!B7,"Aula 4"))&gt;0,"M3",IF((COUNTIF('M411'!B7,"Aula 4"))&gt;0,"M4",IF((COUNTIF('D111'!B7,"Aula 4")+COUNTIF('D112'!B7,"Aula 4"))&gt;0,"D1",IF((COUNTIF('D211'!B7,"Aula 4"))&gt;0,"D2",IF((COUNTIF('D311'!B7,"Aula 4"))&gt;0,"D3",IF((COUNTIF('D411'!B7,"Aula 4"))&gt;0,"D4","")))))))))))),"MIX"))</f>
        <v/>
      </c>
    </row>
    <row r="20">
      <c r="C20">
        <f>IF((IF((COUNTIF('C111'!B7,"Aula 5")+COUNTIF('C112'!B7,"Aula 5")+COUNTIF('C113'!B7,"Aula 5")+COUNTIF('C121'!B7,"Aula 5")+COUNTIF('C122'!B7,"Aula 5"))&gt;0,1,0)+IF((COUNTIF('C211'!B7,"Aula 5")+COUNTIF('C212'!B7,"Aula 5"))&gt;0,1,0)+IF((COUNTIF('C311'!B7,"Aula 5")+COUNTIF('C312'!B7,"Aula 5"))&gt;0,1,0)+IF((COUNTIF('C411'!B7,"Aula 5")+COUNTIF('C412'!B7,"Aula 5"))&gt;0,1,0)+IF((COUNTIF('M111'!B7,"Aula 5")+COUNTIF('M112'!B7,"Aula 5"))&gt;0,1,0)+IF((COUNTIF('M211'!B7,"Aula 5")+COUNTIF('M212'!B7,"Aula 5"))&gt;0,1,0)+IF((COUNTIF('M311'!B7,"Aula 5"))&gt;0,1,0)+IF((COUNTIF('M411'!B7,"Aula 5"))&gt;0,1,0)+IF((COUNTIF('D111'!B7,"Aula 5")+COUNTIF('D112'!B7,"Aula 5"))&gt;0,1,0)+IF((COUNTIF('D211'!B7,"Aula 5"))&gt;0,1,0)+IF((COUNTIF('D311'!B7,"Aula 5"))&gt;0,1,0)+IF((COUNTIF('D411'!B7,"Aula 5"))&gt;0,1,0))=0,"",IF((IF((COUNTIF('C111'!B7,"Aula 5")+COUNTIF('C112'!B7,"Aula 5")+COUNTIF('C113'!B7,"Aula 5")+COUNTIF('C121'!B7,"Aula 5")+COUNTIF('C122'!B7,"Aula 5"))&gt;0,1,0)+IF((COUNTIF('C211'!B7,"Aula 5")+COUNTIF('C212'!B7,"Aula 5"))&gt;0,1,0)+IF((COUNTIF('C311'!B7,"Aula 5")+COUNTIF('C312'!B7,"Aula 5"))&gt;0,1,0)+IF((COUNTIF('C411'!B7,"Aula 5")+COUNTIF('C412'!B7,"Aula 5"))&gt;0,1,0)+IF((COUNTIF('M111'!B7,"Aula 5")+COUNTIF('M112'!B7,"Aula 5"))&gt;0,1,0)+IF((COUNTIF('M211'!B7,"Aula 5")+COUNTIF('M212'!B7,"Aula 5"))&gt;0,1,0)+IF((COUNTIF('M311'!B7,"Aula 5"))&gt;0,1,0)+IF((COUNTIF('M411'!B7,"Aula 5"))&gt;0,1,0)+IF((COUNTIF('D111'!B7,"Aula 5")+COUNTIF('D112'!B7,"Aula 5"))&gt;0,1,0)+IF((COUNTIF('D211'!B7,"Aula 5"))&gt;0,1,0)+IF((COUNTIF('D311'!B7,"Aula 5"))&gt;0,1,0)+IF((COUNTIF('D411'!B7,"Aula 5"))&gt;0,1,0))=1,IF((COUNTIF('C111'!B7,"Aula 5")+COUNTIF('C112'!B7,"Aula 5")+COUNTIF('C113'!B7,"Aula 5")+COUNTIF('C121'!B7,"Aula 5")+COUNTIF('C122'!B7,"Aula 5"))&gt;0,"C1",IF((COUNTIF('C211'!B7,"Aula 5")+COUNTIF('C212'!B7,"Aula 5"))&gt;0,"C2",IF((COUNTIF('C311'!B7,"Aula 5")+COUNTIF('C312'!B7,"Aula 5"))&gt;0,"C3",IF((COUNTIF('C411'!B7,"Aula 5")+COUNTIF('C412'!B7,"Aula 5"))&gt;0,"C4",IF((COUNTIF('M111'!B7,"Aula 5")+COUNTIF('M112'!B7,"Aula 5"))&gt;0,"M1",IF((COUNTIF('M211'!B7,"Aula 5")+COUNTIF('M212'!B7,"Aula 5"))&gt;0,"M2",IF((COUNTIF('M311'!B7,"Aula 5"))&gt;0,"M3",IF((COUNTIF('M411'!B7,"Aula 5"))&gt;0,"M4",IF((COUNTIF('D111'!B7,"Aula 5")+COUNTIF('D112'!B7,"Aula 5"))&gt;0,"D1",IF((COUNTIF('D211'!B7,"Aula 5"))&gt;0,"D2",IF((COUNTIF('D311'!B7,"Aula 5"))&gt;0,"D3",IF((COUNTIF('D411'!B7,"Aula 5"))&gt;0,"D4","")))))))))))),"MIX"))</f>
        <v/>
      </c>
    </row>
    <row r="21">
      <c r="C21">
        <f>IF((IF((COUNTIF('C111'!B7,"Aula 6")+COUNTIF('C112'!B7,"Aula 6")+COUNTIF('C113'!B7,"Aula 6")+COUNTIF('C121'!B7,"Aula 6")+COUNTIF('C122'!B7,"Aula 6"))&gt;0,1,0)+IF((COUNTIF('C211'!B7,"Aula 6")+COUNTIF('C212'!B7,"Aula 6"))&gt;0,1,0)+IF((COUNTIF('C311'!B7,"Aula 6")+COUNTIF('C312'!B7,"Aula 6"))&gt;0,1,0)+IF((COUNTIF('C411'!B7,"Aula 6")+COUNTIF('C412'!B7,"Aula 6"))&gt;0,1,0)+IF((COUNTIF('M111'!B7,"Aula 6")+COUNTIF('M112'!B7,"Aula 6"))&gt;0,1,0)+IF((COUNTIF('M211'!B7,"Aula 6")+COUNTIF('M212'!B7,"Aula 6"))&gt;0,1,0)+IF((COUNTIF('M311'!B7,"Aula 6"))&gt;0,1,0)+IF((COUNTIF('M411'!B7,"Aula 6"))&gt;0,1,0)+IF((COUNTIF('D111'!B7,"Aula 6")+COUNTIF('D112'!B7,"Aula 6"))&gt;0,1,0)+IF((COUNTIF('D211'!B7,"Aula 6"))&gt;0,1,0)+IF((COUNTIF('D311'!B7,"Aula 6"))&gt;0,1,0)+IF((COUNTIF('D411'!B7,"Aula 6"))&gt;0,1,0))=0,"",IF((IF((COUNTIF('C111'!B7,"Aula 6")+COUNTIF('C112'!B7,"Aula 6")+COUNTIF('C113'!B7,"Aula 6")+COUNTIF('C121'!B7,"Aula 6")+COUNTIF('C122'!B7,"Aula 6"))&gt;0,1,0)+IF((COUNTIF('C211'!B7,"Aula 6")+COUNTIF('C212'!B7,"Aula 6"))&gt;0,1,0)+IF((COUNTIF('C311'!B7,"Aula 6")+COUNTIF('C312'!B7,"Aula 6"))&gt;0,1,0)+IF((COUNTIF('C411'!B7,"Aula 6")+COUNTIF('C412'!B7,"Aula 6"))&gt;0,1,0)+IF((COUNTIF('M111'!B7,"Aula 6")+COUNTIF('M112'!B7,"Aula 6"))&gt;0,1,0)+IF((COUNTIF('M211'!B7,"Aula 6")+COUNTIF('M212'!B7,"Aula 6"))&gt;0,1,0)+IF((COUNTIF('M311'!B7,"Aula 6"))&gt;0,1,0)+IF((COUNTIF('M411'!B7,"Aula 6"))&gt;0,1,0)+IF((COUNTIF('D111'!B7,"Aula 6")+COUNTIF('D112'!B7,"Aula 6"))&gt;0,1,0)+IF((COUNTIF('D211'!B7,"Aula 6"))&gt;0,1,0)+IF((COUNTIF('D311'!B7,"Aula 6"))&gt;0,1,0)+IF((COUNTIF('D411'!B7,"Aula 6"))&gt;0,1,0))=1,IF((COUNTIF('C111'!B7,"Aula 6")+COUNTIF('C112'!B7,"Aula 6")+COUNTIF('C113'!B7,"Aula 6")+COUNTIF('C121'!B7,"Aula 6")+COUNTIF('C122'!B7,"Aula 6"))&gt;0,"C1",IF((COUNTIF('C211'!B7,"Aula 6")+COUNTIF('C212'!B7,"Aula 6"))&gt;0,"C2",IF((COUNTIF('C311'!B7,"Aula 6")+COUNTIF('C312'!B7,"Aula 6"))&gt;0,"C3",IF((COUNTIF('C411'!B7,"Aula 6")+COUNTIF('C412'!B7,"Aula 6"))&gt;0,"C4",IF((COUNTIF('M111'!B7,"Aula 6")+COUNTIF('M112'!B7,"Aula 6"))&gt;0,"M1",IF((COUNTIF('M211'!B7,"Aula 6")+COUNTIF('M212'!B7,"Aula 6"))&gt;0,"M2",IF((COUNTIF('M311'!B7,"Aula 6"))&gt;0,"M3",IF((COUNTIF('M411'!B7,"Aula 6"))&gt;0,"M4",IF((COUNTIF('D111'!B7,"Aula 6")+COUNTIF('D112'!B7,"Aula 6"))&gt;0,"D1",IF((COUNTIF('D211'!B7,"Aula 6"))&gt;0,"D2",IF((COUNTIF('D311'!B7,"Aula 6"))&gt;0,"D3",IF((COUNTIF('D411'!B7,"Aula 6"))&gt;0,"D4","")))))))))))),"MIX"))</f>
        <v/>
      </c>
    </row>
    <row r="22">
      <c r="C22">
        <f>IF((IF((COUNTIF('C111'!B7,"Aula 7")+COUNTIF('C112'!B7,"Aula 7")+COUNTIF('C113'!B7,"Aula 7")+COUNTIF('C121'!B7,"Aula 7")+COUNTIF('C122'!B7,"Aula 7"))&gt;0,1,0)+IF((COUNTIF('C211'!B7,"Aula 7")+COUNTIF('C212'!B7,"Aula 7"))&gt;0,1,0)+IF((COUNTIF('C311'!B7,"Aula 7")+COUNTIF('C312'!B7,"Aula 7"))&gt;0,1,0)+IF((COUNTIF('C411'!B7,"Aula 7")+COUNTIF('C412'!B7,"Aula 7"))&gt;0,1,0)+IF((COUNTIF('M111'!B7,"Aula 7")+COUNTIF('M112'!B7,"Aula 7"))&gt;0,1,0)+IF((COUNTIF('M211'!B7,"Aula 7")+COUNTIF('M212'!B7,"Aula 7"))&gt;0,1,0)+IF((COUNTIF('M311'!B7,"Aula 7"))&gt;0,1,0)+IF((COUNTIF('M411'!B7,"Aula 7"))&gt;0,1,0)+IF((COUNTIF('D111'!B7,"Aula 7")+COUNTIF('D112'!B7,"Aula 7"))&gt;0,1,0)+IF((COUNTIF('D211'!B7,"Aula 7"))&gt;0,1,0)+IF((COUNTIF('D311'!B7,"Aula 7"))&gt;0,1,0)+IF((COUNTIF('D411'!B7,"Aula 7"))&gt;0,1,0))=0,"",IF((IF((COUNTIF('C111'!B7,"Aula 7")+COUNTIF('C112'!B7,"Aula 7")+COUNTIF('C113'!B7,"Aula 7")+COUNTIF('C121'!B7,"Aula 7")+COUNTIF('C122'!B7,"Aula 7"))&gt;0,1,0)+IF((COUNTIF('C211'!B7,"Aula 7")+COUNTIF('C212'!B7,"Aula 7"))&gt;0,1,0)+IF((COUNTIF('C311'!B7,"Aula 7")+COUNTIF('C312'!B7,"Aula 7"))&gt;0,1,0)+IF((COUNTIF('C411'!B7,"Aula 7")+COUNTIF('C412'!B7,"Aula 7"))&gt;0,1,0)+IF((COUNTIF('M111'!B7,"Aula 7")+COUNTIF('M112'!B7,"Aula 7"))&gt;0,1,0)+IF((COUNTIF('M211'!B7,"Aula 7")+COUNTIF('M212'!B7,"Aula 7"))&gt;0,1,0)+IF((COUNTIF('M311'!B7,"Aula 7"))&gt;0,1,0)+IF((COUNTIF('M411'!B7,"Aula 7"))&gt;0,1,0)+IF((COUNTIF('D111'!B7,"Aula 7")+COUNTIF('D112'!B7,"Aula 7"))&gt;0,1,0)+IF((COUNTIF('D211'!B7,"Aula 7"))&gt;0,1,0)+IF((COUNTIF('D311'!B7,"Aula 7"))&gt;0,1,0)+IF((COUNTIF('D411'!B7,"Aula 7"))&gt;0,1,0))=1,IF((COUNTIF('C111'!B7,"Aula 7")+COUNTIF('C112'!B7,"Aula 7")+COUNTIF('C113'!B7,"Aula 7")+COUNTIF('C121'!B7,"Aula 7")+COUNTIF('C122'!B7,"Aula 7"))&gt;0,"C1",IF((COUNTIF('C211'!B7,"Aula 7")+COUNTIF('C212'!B7,"Aula 7"))&gt;0,"C2",IF((COUNTIF('C311'!B7,"Aula 7")+COUNTIF('C312'!B7,"Aula 7"))&gt;0,"C3",IF((COUNTIF('C411'!B7,"Aula 7")+COUNTIF('C412'!B7,"Aula 7"))&gt;0,"C4",IF((COUNTIF('M111'!B7,"Aula 7")+COUNTIF('M112'!B7,"Aula 7"))&gt;0,"M1",IF((COUNTIF('M211'!B7,"Aula 7")+COUNTIF('M212'!B7,"Aula 7"))&gt;0,"M2",IF((COUNTIF('M311'!B7,"Aula 7"))&gt;0,"M3",IF((COUNTIF('M411'!B7,"Aula 7"))&gt;0,"M4",IF((COUNTIF('D111'!B7,"Aula 7")+COUNTIF('D112'!B7,"Aula 7"))&gt;0,"D1",IF((COUNTIF('D211'!B7,"Aula 7"))&gt;0,"D2",IF((COUNTIF('D311'!B7,"Aula 7"))&gt;0,"D3",IF((COUNTIF('D411'!B7,"Aula 7"))&gt;0,"D4","")))))))))))),"MIX"))</f>
        <v/>
      </c>
    </row>
    <row r="23">
      <c r="C23">
        <f>IF((IF((COUNTIF('C111'!B7,"Aula 8")+COUNTIF('C112'!B7,"Aula 8")+COUNTIF('C113'!B7,"Aula 8")+COUNTIF('C121'!B7,"Aula 8")+COUNTIF('C122'!B7,"Aula 8"))&gt;0,1,0)+IF((COUNTIF('C211'!B7,"Aula 8")+COUNTIF('C212'!B7,"Aula 8"))&gt;0,1,0)+IF((COUNTIF('C311'!B7,"Aula 8")+COUNTIF('C312'!B7,"Aula 8"))&gt;0,1,0)+IF((COUNTIF('C411'!B7,"Aula 8")+COUNTIF('C412'!B7,"Aula 8"))&gt;0,1,0)+IF((COUNTIF('M111'!B7,"Aula 8")+COUNTIF('M112'!B7,"Aula 8"))&gt;0,1,0)+IF((COUNTIF('M211'!B7,"Aula 8")+COUNTIF('M212'!B7,"Aula 8"))&gt;0,1,0)+IF((COUNTIF('M311'!B7,"Aula 8"))&gt;0,1,0)+IF((COUNTIF('M411'!B7,"Aula 8"))&gt;0,1,0)+IF((COUNTIF('D111'!B7,"Aula 8")+COUNTIF('D112'!B7,"Aula 8"))&gt;0,1,0)+IF((COUNTIF('D211'!B7,"Aula 8"))&gt;0,1,0)+IF((COUNTIF('D311'!B7,"Aula 8"))&gt;0,1,0)+IF((COUNTIF('D411'!B7,"Aula 8"))&gt;0,1,0))=0,"",IF((IF((COUNTIF('C111'!B7,"Aula 8")+COUNTIF('C112'!B7,"Aula 8")+COUNTIF('C113'!B7,"Aula 8")+COUNTIF('C121'!B7,"Aula 8")+COUNTIF('C122'!B7,"Aula 8"))&gt;0,1,0)+IF((COUNTIF('C211'!B7,"Aula 8")+COUNTIF('C212'!B7,"Aula 8"))&gt;0,1,0)+IF((COUNTIF('C311'!B7,"Aula 8")+COUNTIF('C312'!B7,"Aula 8"))&gt;0,1,0)+IF((COUNTIF('C411'!B7,"Aula 8")+COUNTIF('C412'!B7,"Aula 8"))&gt;0,1,0)+IF((COUNTIF('M111'!B7,"Aula 8")+COUNTIF('M112'!B7,"Aula 8"))&gt;0,1,0)+IF((COUNTIF('M211'!B7,"Aula 8")+COUNTIF('M212'!B7,"Aula 8"))&gt;0,1,0)+IF((COUNTIF('M311'!B7,"Aula 8"))&gt;0,1,0)+IF((COUNTIF('M411'!B7,"Aula 8"))&gt;0,1,0)+IF((COUNTIF('D111'!B7,"Aula 8")+COUNTIF('D112'!B7,"Aula 8"))&gt;0,1,0)+IF((COUNTIF('D211'!B7,"Aula 8"))&gt;0,1,0)+IF((COUNTIF('D311'!B7,"Aula 8"))&gt;0,1,0)+IF((COUNTIF('D411'!B7,"Aula 8"))&gt;0,1,0))=1,IF((COUNTIF('C111'!B7,"Aula 8")+COUNTIF('C112'!B7,"Aula 8")+COUNTIF('C113'!B7,"Aula 8")+COUNTIF('C121'!B7,"Aula 8")+COUNTIF('C122'!B7,"Aula 8"))&gt;0,"C1",IF((COUNTIF('C211'!B7,"Aula 8")+COUNTIF('C212'!B7,"Aula 8"))&gt;0,"C2",IF((COUNTIF('C311'!B7,"Aula 8")+COUNTIF('C312'!B7,"Aula 8"))&gt;0,"C3",IF((COUNTIF('C411'!B7,"Aula 8")+COUNTIF('C412'!B7,"Aula 8"))&gt;0,"C4",IF((COUNTIF('M111'!B7,"Aula 8")+COUNTIF('M112'!B7,"Aula 8"))&gt;0,"M1",IF((COUNTIF('M211'!B7,"Aula 8")+COUNTIF('M212'!B7,"Aula 8"))&gt;0,"M2",IF((COUNTIF('M311'!B7,"Aula 8"))&gt;0,"M3",IF((COUNTIF('M411'!B7,"Aula 8"))&gt;0,"M4",IF((COUNTIF('D111'!B7,"Aula 8")+COUNTIF('D112'!B7,"Aula 8"))&gt;0,"D1",IF((COUNTIF('D211'!B7,"Aula 8"))&gt;0,"D2",IF((COUNTIF('D311'!B7,"Aula 8"))&gt;0,"D3",IF((COUNTIF('D411'!B7,"Aula 8"))&gt;0,"D4","")))))))))))),"MIX"))</f>
        <v/>
      </c>
    </row>
    <row r="24">
      <c r="C24">
        <f>IF((IF((COUNTIF('C111'!B7,"Aula 9")+COUNTIF('C112'!B7,"Aula 9")+COUNTIF('C113'!B7,"Aula 9")+COUNTIF('C121'!B7,"Aula 9")+COUNTIF('C122'!B7,"Aula 9"))&gt;0,1,0)+IF((COUNTIF('C211'!B7,"Aula 9")+COUNTIF('C212'!B7,"Aula 9"))&gt;0,1,0)+IF((COUNTIF('C311'!B7,"Aula 9")+COUNTIF('C312'!B7,"Aula 9"))&gt;0,1,0)+IF((COUNTIF('C411'!B7,"Aula 9")+COUNTIF('C412'!B7,"Aula 9"))&gt;0,1,0)+IF((COUNTIF('M111'!B7,"Aula 9")+COUNTIF('M112'!B7,"Aula 9"))&gt;0,1,0)+IF((COUNTIF('M211'!B7,"Aula 9")+COUNTIF('M212'!B7,"Aula 9"))&gt;0,1,0)+IF((COUNTIF('M311'!B7,"Aula 9"))&gt;0,1,0)+IF((COUNTIF('M411'!B7,"Aula 9"))&gt;0,1,0)+IF((COUNTIF('D111'!B7,"Aula 9")+COUNTIF('D112'!B7,"Aula 9"))&gt;0,1,0)+IF((COUNTIF('D211'!B7,"Aula 9"))&gt;0,1,0)+IF((COUNTIF('D311'!B7,"Aula 9"))&gt;0,1,0)+IF((COUNTIF('D411'!B7,"Aula 9"))&gt;0,1,0))=0,"",IF((IF((COUNTIF('C111'!B7,"Aula 9")+COUNTIF('C112'!B7,"Aula 9")+COUNTIF('C113'!B7,"Aula 9")+COUNTIF('C121'!B7,"Aula 9")+COUNTIF('C122'!B7,"Aula 9"))&gt;0,1,0)+IF((COUNTIF('C211'!B7,"Aula 9")+COUNTIF('C212'!B7,"Aula 9"))&gt;0,1,0)+IF((COUNTIF('C311'!B7,"Aula 9")+COUNTIF('C312'!B7,"Aula 9"))&gt;0,1,0)+IF((COUNTIF('C411'!B7,"Aula 9")+COUNTIF('C412'!B7,"Aula 9"))&gt;0,1,0)+IF((COUNTIF('M111'!B7,"Aula 9")+COUNTIF('M112'!B7,"Aula 9"))&gt;0,1,0)+IF((COUNTIF('M211'!B7,"Aula 9")+COUNTIF('M212'!B7,"Aula 9"))&gt;0,1,0)+IF((COUNTIF('M311'!B7,"Aula 9"))&gt;0,1,0)+IF((COUNTIF('M411'!B7,"Aula 9"))&gt;0,1,0)+IF((COUNTIF('D111'!B7,"Aula 9")+COUNTIF('D112'!B7,"Aula 9"))&gt;0,1,0)+IF((COUNTIF('D211'!B7,"Aula 9"))&gt;0,1,0)+IF((COUNTIF('D311'!B7,"Aula 9"))&gt;0,1,0)+IF((COUNTIF('D411'!B7,"Aula 9"))&gt;0,1,0))=1,IF((COUNTIF('C111'!B7,"Aula 9")+COUNTIF('C112'!B7,"Aula 9")+COUNTIF('C113'!B7,"Aula 9")+COUNTIF('C121'!B7,"Aula 9")+COUNTIF('C122'!B7,"Aula 9"))&gt;0,"C1",IF((COUNTIF('C211'!B7,"Aula 9")+COUNTIF('C212'!B7,"Aula 9"))&gt;0,"C2",IF((COUNTIF('C311'!B7,"Aula 9")+COUNTIF('C312'!B7,"Aula 9"))&gt;0,"C3",IF((COUNTIF('C411'!B7,"Aula 9")+COUNTIF('C412'!B7,"Aula 9"))&gt;0,"C4",IF((COUNTIF('M111'!B7,"Aula 9")+COUNTIF('M112'!B7,"Aula 9"))&gt;0,"M1",IF((COUNTIF('M211'!B7,"Aula 9")+COUNTIF('M212'!B7,"Aula 9"))&gt;0,"M2",IF((COUNTIF('M311'!B7,"Aula 9"))&gt;0,"M3",IF((COUNTIF('M411'!B7,"Aula 9"))&gt;0,"M4",IF((COUNTIF('D111'!B7,"Aula 9")+COUNTIF('D112'!B7,"Aula 9"))&gt;0,"D1",IF((COUNTIF('D211'!B7,"Aula 9"))&gt;0,"D2",IF((COUNTIF('D311'!B7,"Aula 9"))&gt;0,"D3",IF((COUNTIF('D411'!B7,"Aula 9"))&gt;0,"D4","")))))))))))),"MIX"))</f>
        <v/>
      </c>
    </row>
    <row r="25">
      <c r="C25">
        <f>IF((IF((COUNTIF('C111'!B7,"Aula 10")+COUNTIF('C112'!B7,"Aula 10")+COUNTIF('C113'!B7,"Aula 10")+COUNTIF('C121'!B7,"Aula 10")+COUNTIF('C122'!B7,"Aula 10"))&gt;0,1,0)+IF((COUNTIF('C211'!B7,"Aula 10")+COUNTIF('C212'!B7,"Aula 10"))&gt;0,1,0)+IF((COUNTIF('C311'!B7,"Aula 10")+COUNTIF('C312'!B7,"Aula 10"))&gt;0,1,0)+IF((COUNTIF('C411'!B7,"Aula 10")+COUNTIF('C412'!B7,"Aula 10"))&gt;0,1,0)+IF((COUNTIF('M111'!B7,"Aula 10")+COUNTIF('M112'!B7,"Aula 10"))&gt;0,1,0)+IF((COUNTIF('M211'!B7,"Aula 10")+COUNTIF('M212'!B7,"Aula 10"))&gt;0,1,0)+IF((COUNTIF('M311'!B7,"Aula 10"))&gt;0,1,0)+IF((COUNTIF('M411'!B7,"Aula 10"))&gt;0,1,0)+IF((COUNTIF('D111'!B7,"Aula 10")+COUNTIF('D112'!B7,"Aula 10"))&gt;0,1,0)+IF((COUNTIF('D211'!B7,"Aula 10"))&gt;0,1,0)+IF((COUNTIF('D311'!B7,"Aula 10"))&gt;0,1,0)+IF((COUNTIF('D411'!B7,"Aula 10"))&gt;0,1,0))=0,"",IF((IF((COUNTIF('C111'!B7,"Aula 10")+COUNTIF('C112'!B7,"Aula 10")+COUNTIF('C113'!B7,"Aula 10")+COUNTIF('C121'!B7,"Aula 10")+COUNTIF('C122'!B7,"Aula 10"))&gt;0,1,0)+IF((COUNTIF('C211'!B7,"Aula 10")+COUNTIF('C212'!B7,"Aula 10"))&gt;0,1,0)+IF((COUNTIF('C311'!B7,"Aula 10")+COUNTIF('C312'!B7,"Aula 10"))&gt;0,1,0)+IF((COUNTIF('C411'!B7,"Aula 10")+COUNTIF('C412'!B7,"Aula 10"))&gt;0,1,0)+IF((COUNTIF('M111'!B7,"Aula 10")+COUNTIF('M112'!B7,"Aula 10"))&gt;0,1,0)+IF((COUNTIF('M211'!B7,"Aula 10")+COUNTIF('M212'!B7,"Aula 10"))&gt;0,1,0)+IF((COUNTIF('M311'!B7,"Aula 10"))&gt;0,1,0)+IF((COUNTIF('M411'!B7,"Aula 10"))&gt;0,1,0)+IF((COUNTIF('D111'!B7,"Aula 10")+COUNTIF('D112'!B7,"Aula 10"))&gt;0,1,0)+IF((COUNTIF('D211'!B7,"Aula 10"))&gt;0,1,0)+IF((COUNTIF('D311'!B7,"Aula 10"))&gt;0,1,0)+IF((COUNTIF('D411'!B7,"Aula 10"))&gt;0,1,0))=1,IF((COUNTIF('C111'!B7,"Aula 10")+COUNTIF('C112'!B7,"Aula 10")+COUNTIF('C113'!B7,"Aula 10")+COUNTIF('C121'!B7,"Aula 10")+COUNTIF('C122'!B7,"Aula 10"))&gt;0,"C1",IF((COUNTIF('C211'!B7,"Aula 10")+COUNTIF('C212'!B7,"Aula 10"))&gt;0,"C2",IF((COUNTIF('C311'!B7,"Aula 10")+COUNTIF('C312'!B7,"Aula 10"))&gt;0,"C3",IF((COUNTIF('C411'!B7,"Aula 10")+COUNTIF('C412'!B7,"Aula 10"))&gt;0,"C4",IF((COUNTIF('M111'!B7,"Aula 10")+COUNTIF('M112'!B7,"Aula 10"))&gt;0,"M1",IF((COUNTIF('M211'!B7,"Aula 10")+COUNTIF('M212'!B7,"Aula 10"))&gt;0,"M2",IF((COUNTIF('M311'!B7,"Aula 10"))&gt;0,"M3",IF((COUNTIF('M411'!B7,"Aula 10"))&gt;0,"M4",IF((COUNTIF('D111'!B7,"Aula 10")+COUNTIF('D112'!B7,"Aula 10"))&gt;0,"D1",IF((COUNTIF('D211'!B7,"Aula 10"))&gt;0,"D2",IF((COUNTIF('D311'!B7,"Aula 10"))&gt;0,"D3",IF((COUNTIF('D411'!B7,"Aula 10"))&gt;0,"D4","")))))))))))),"MIX"))</f>
        <v/>
      </c>
    </row>
    <row r="26">
      <c r="C26">
        <f>IF((IF((COUNTIF('C111'!B7,"Aula 11")+COUNTIF('C112'!B7,"Aula 11")+COUNTIF('C113'!B7,"Aula 11")+COUNTIF('C121'!B7,"Aula 11")+COUNTIF('C122'!B7,"Aula 11"))&gt;0,1,0)+IF((COUNTIF('C211'!B7,"Aula 11")+COUNTIF('C212'!B7,"Aula 11"))&gt;0,1,0)+IF((COUNTIF('C311'!B7,"Aula 11")+COUNTIF('C312'!B7,"Aula 11"))&gt;0,1,0)+IF((COUNTIF('C411'!B7,"Aula 11")+COUNTIF('C412'!B7,"Aula 11"))&gt;0,1,0)+IF((COUNTIF('M111'!B7,"Aula 11")+COUNTIF('M112'!B7,"Aula 11"))&gt;0,1,0)+IF((COUNTIF('M211'!B7,"Aula 11")+COUNTIF('M212'!B7,"Aula 11"))&gt;0,1,0)+IF((COUNTIF('M311'!B7,"Aula 11"))&gt;0,1,0)+IF((COUNTIF('M411'!B7,"Aula 11"))&gt;0,1,0)+IF((COUNTIF('D111'!B7,"Aula 11")+COUNTIF('D112'!B7,"Aula 11"))&gt;0,1,0)+IF((COUNTIF('D211'!B7,"Aula 11"))&gt;0,1,0)+IF((COUNTIF('D311'!B7,"Aula 11"))&gt;0,1,0)+IF((COUNTIF('D411'!B7,"Aula 11"))&gt;0,1,0))=0,"",IF((IF((COUNTIF('C111'!B7,"Aula 11")+COUNTIF('C112'!B7,"Aula 11")+COUNTIF('C113'!B7,"Aula 11")+COUNTIF('C121'!B7,"Aula 11")+COUNTIF('C122'!B7,"Aula 11"))&gt;0,1,0)+IF((COUNTIF('C211'!B7,"Aula 11")+COUNTIF('C212'!B7,"Aula 11"))&gt;0,1,0)+IF((COUNTIF('C311'!B7,"Aula 11")+COUNTIF('C312'!B7,"Aula 11"))&gt;0,1,0)+IF((COUNTIF('C411'!B7,"Aula 11")+COUNTIF('C412'!B7,"Aula 11"))&gt;0,1,0)+IF((COUNTIF('M111'!B7,"Aula 11")+COUNTIF('M112'!B7,"Aula 11"))&gt;0,1,0)+IF((COUNTIF('M211'!B7,"Aula 11")+COUNTIF('M212'!B7,"Aula 11"))&gt;0,1,0)+IF((COUNTIF('M311'!B7,"Aula 11"))&gt;0,1,0)+IF((COUNTIF('M411'!B7,"Aula 11"))&gt;0,1,0)+IF((COUNTIF('D111'!B7,"Aula 11")+COUNTIF('D112'!B7,"Aula 11"))&gt;0,1,0)+IF((COUNTIF('D211'!B7,"Aula 11"))&gt;0,1,0)+IF((COUNTIF('D311'!B7,"Aula 11"))&gt;0,1,0)+IF((COUNTIF('D411'!B7,"Aula 11"))&gt;0,1,0))=1,IF((COUNTIF('C111'!B7,"Aula 11")+COUNTIF('C112'!B7,"Aula 11")+COUNTIF('C113'!B7,"Aula 11")+COUNTIF('C121'!B7,"Aula 11")+COUNTIF('C122'!B7,"Aula 11"))&gt;0,"C1",IF((COUNTIF('C211'!B7,"Aula 11")+COUNTIF('C212'!B7,"Aula 11"))&gt;0,"C2",IF((COUNTIF('C311'!B7,"Aula 11")+COUNTIF('C312'!B7,"Aula 11"))&gt;0,"C3",IF((COUNTIF('C411'!B7,"Aula 11")+COUNTIF('C412'!B7,"Aula 11"))&gt;0,"C4",IF((COUNTIF('M111'!B7,"Aula 11")+COUNTIF('M112'!B7,"Aula 11"))&gt;0,"M1",IF((COUNTIF('M211'!B7,"Aula 11")+COUNTIF('M212'!B7,"Aula 11"))&gt;0,"M2",IF((COUNTIF('M311'!B7,"Aula 11"))&gt;0,"M3",IF((COUNTIF('M411'!B7,"Aula 11"))&gt;0,"M4",IF((COUNTIF('D111'!B7,"Aula 11")+COUNTIF('D112'!B7,"Aula 11"))&gt;0,"D1",IF((COUNTIF('D211'!B7,"Aula 11"))&gt;0,"D2",IF((COUNTIF('D311'!B7,"Aula 11"))&gt;0,"D3",IF((COUNTIF('D411'!B7,"Aula 11"))&gt;0,"D4","")))))))))))),"MIX"))</f>
        <v/>
      </c>
    </row>
    <row r="27">
      <c r="C27">
        <f>IF((IF((COUNTIF('C111'!B7,"Aula 12")+COUNTIF('C112'!B7,"Aula 12")+COUNTIF('C113'!B7,"Aula 12")+COUNTIF('C121'!B7,"Aula 12")+COUNTIF('C122'!B7,"Aula 12"))&gt;0,1,0)+IF((COUNTIF('C211'!B7,"Aula 12")+COUNTIF('C212'!B7,"Aula 12"))&gt;0,1,0)+IF((COUNTIF('C311'!B7,"Aula 12")+COUNTIF('C312'!B7,"Aula 12"))&gt;0,1,0)+IF((COUNTIF('C411'!B7,"Aula 12")+COUNTIF('C412'!B7,"Aula 12"))&gt;0,1,0)+IF((COUNTIF('M111'!B7,"Aula 12")+COUNTIF('M112'!B7,"Aula 12"))&gt;0,1,0)+IF((COUNTIF('M211'!B7,"Aula 12")+COUNTIF('M212'!B7,"Aula 12"))&gt;0,1,0)+IF((COUNTIF('M311'!B7,"Aula 12"))&gt;0,1,0)+IF((COUNTIF('M411'!B7,"Aula 12"))&gt;0,1,0)+IF((COUNTIF('D111'!B7,"Aula 12")+COUNTIF('D112'!B7,"Aula 12"))&gt;0,1,0)+IF((COUNTIF('D211'!B7,"Aula 12"))&gt;0,1,0)+IF((COUNTIF('D311'!B7,"Aula 12"))&gt;0,1,0)+IF((COUNTIF('D411'!B7,"Aula 12"))&gt;0,1,0))=0,"",IF((IF((COUNTIF('C111'!B7,"Aula 12")+COUNTIF('C112'!B7,"Aula 12")+COUNTIF('C113'!B7,"Aula 12")+COUNTIF('C121'!B7,"Aula 12")+COUNTIF('C122'!B7,"Aula 12"))&gt;0,1,0)+IF((COUNTIF('C211'!B7,"Aula 12")+COUNTIF('C212'!B7,"Aula 12"))&gt;0,1,0)+IF((COUNTIF('C311'!B7,"Aula 12")+COUNTIF('C312'!B7,"Aula 12"))&gt;0,1,0)+IF((COUNTIF('C411'!B7,"Aula 12")+COUNTIF('C412'!B7,"Aula 12"))&gt;0,1,0)+IF((COUNTIF('M111'!B7,"Aula 12")+COUNTIF('M112'!B7,"Aula 12"))&gt;0,1,0)+IF((COUNTIF('M211'!B7,"Aula 12")+COUNTIF('M212'!B7,"Aula 12"))&gt;0,1,0)+IF((COUNTIF('M311'!B7,"Aula 12"))&gt;0,1,0)+IF((COUNTIF('M411'!B7,"Aula 12"))&gt;0,1,0)+IF((COUNTIF('D111'!B7,"Aula 12")+COUNTIF('D112'!B7,"Aula 12"))&gt;0,1,0)+IF((COUNTIF('D211'!B7,"Aula 12"))&gt;0,1,0)+IF((COUNTIF('D311'!B7,"Aula 12"))&gt;0,1,0)+IF((COUNTIF('D411'!B7,"Aula 12"))&gt;0,1,0))=1,IF((COUNTIF('C111'!B7,"Aula 12")+COUNTIF('C112'!B7,"Aula 12")+COUNTIF('C113'!B7,"Aula 12")+COUNTIF('C121'!B7,"Aula 12")+COUNTIF('C122'!B7,"Aula 12"))&gt;0,"C1",IF((COUNTIF('C211'!B7,"Aula 12")+COUNTIF('C212'!B7,"Aula 12"))&gt;0,"C2",IF((COUNTIF('C311'!B7,"Aula 12")+COUNTIF('C312'!B7,"Aula 12"))&gt;0,"C3",IF((COUNTIF('C411'!B7,"Aula 12")+COUNTIF('C412'!B7,"Aula 12"))&gt;0,"C4",IF((COUNTIF('M111'!B7,"Aula 12")+COUNTIF('M112'!B7,"Aula 12"))&gt;0,"M1",IF((COUNTIF('M211'!B7,"Aula 12")+COUNTIF('M212'!B7,"Aula 12"))&gt;0,"M2",IF((COUNTIF('M311'!B7,"Aula 12"))&gt;0,"M3",IF((COUNTIF('M411'!B7,"Aula 12"))&gt;0,"M4",IF((COUNTIF('D111'!B7,"Aula 12")+COUNTIF('D112'!B7,"Aula 12"))&gt;0,"D1",IF((COUNTIF('D211'!B7,"Aula 12"))&gt;0,"D2",IF((COUNTIF('D311'!B7,"Aula 12"))&gt;0,"D3",IF((COUNTIF('D411'!B7,"Aula 12"))&gt;0,"D4","")))))))))))),"MIX"))</f>
        <v/>
      </c>
    </row>
    <row r="28">
      <c r="C28">
        <f>IF((IF((COUNTIF('C111'!B7,"Lab 1")+COUNTIF('C112'!B7,"Lab 1")+COUNTIF('C113'!B7,"Lab 1")+COUNTIF('C121'!B7,"Lab 1")+COUNTIF('C122'!B7,"Lab 1"))&gt;0,1,0)+IF((COUNTIF('C211'!B7,"Lab 1")+COUNTIF('C212'!B7,"Lab 1"))&gt;0,1,0)+IF((COUNTIF('C311'!B7,"Lab 1")+COUNTIF('C312'!B7,"Lab 1"))&gt;0,1,0)+IF((COUNTIF('C411'!B7,"Lab 1")+COUNTIF('C412'!B7,"Lab 1"))&gt;0,1,0)+IF((COUNTIF('M111'!B7,"Lab 1")+COUNTIF('M112'!B7,"Lab 1"))&gt;0,1,0)+IF((COUNTIF('M211'!B7,"Lab 1")+COUNTIF('M212'!B7,"Lab 1"))&gt;0,1,0)+IF((COUNTIF('M311'!B7,"Lab 1"))&gt;0,1,0)+IF((COUNTIF('M411'!B7,"Lab 1"))&gt;0,1,0)+IF((COUNTIF('D111'!B7,"Lab 1")+COUNTIF('D112'!B7,"Lab 1"))&gt;0,1,0)+IF((COUNTIF('D211'!B7,"Lab 1"))&gt;0,1,0)+IF((COUNTIF('D311'!B7,"Lab 1"))&gt;0,1,0)+IF((COUNTIF('D411'!B7,"Lab 1"))&gt;0,1,0))=0,"",IF((IF((COUNTIF('C111'!B7,"Lab 1")+COUNTIF('C112'!B7,"Lab 1")+COUNTIF('C113'!B7,"Lab 1")+COUNTIF('C121'!B7,"Lab 1")+COUNTIF('C122'!B7,"Lab 1"))&gt;0,1,0)+IF((COUNTIF('C211'!B7,"Lab 1")+COUNTIF('C212'!B7,"Lab 1"))&gt;0,1,0)+IF((COUNTIF('C311'!B7,"Lab 1")+COUNTIF('C312'!B7,"Lab 1"))&gt;0,1,0)+IF((COUNTIF('C411'!B7,"Lab 1")+COUNTIF('C412'!B7,"Lab 1"))&gt;0,1,0)+IF((COUNTIF('M111'!B7,"Lab 1")+COUNTIF('M112'!B7,"Lab 1"))&gt;0,1,0)+IF((COUNTIF('M211'!B7,"Lab 1")+COUNTIF('M212'!B7,"Lab 1"))&gt;0,1,0)+IF((COUNTIF('M311'!B7,"Lab 1"))&gt;0,1,0)+IF((COUNTIF('M411'!B7,"Lab 1"))&gt;0,1,0)+IF((COUNTIF('D111'!B7,"Lab 1")+COUNTIF('D112'!B7,"Lab 1"))&gt;0,1,0)+IF((COUNTIF('D211'!B7,"Lab 1"))&gt;0,1,0)+IF((COUNTIF('D311'!B7,"Lab 1"))&gt;0,1,0)+IF((COUNTIF('D411'!B7,"Lab 1"))&gt;0,1,0))=1,IF((COUNTIF('C111'!B7,"Lab 1")+COUNTIF('C112'!B7,"Lab 1")+COUNTIF('C113'!B7,"Lab 1")+COUNTIF('C121'!B7,"Lab 1")+COUNTIF('C122'!B7,"Lab 1"))&gt;0,"C1",IF((COUNTIF('C211'!B7,"Lab 1")+COUNTIF('C212'!B7,"Lab 1"))&gt;0,"C2",IF((COUNTIF('C311'!B7,"Lab 1")+COUNTIF('C312'!B7,"Lab 1"))&gt;0,"C3",IF((COUNTIF('C411'!B7,"Lab 1")+COUNTIF('C412'!B7,"Lab 1"))&gt;0,"C4",IF((COUNTIF('M111'!B7,"Lab 1")+COUNTIF('M112'!B7,"Lab 1"))&gt;0,"M1",IF((COUNTIF('M211'!B7,"Lab 1")+COUNTIF('M212'!B7,"Lab 1"))&gt;0,"M2",IF((COUNTIF('M311'!B7,"Lab 1"))&gt;0,"M3",IF((COUNTIF('M411'!B7,"Lab 1"))&gt;0,"M4",IF((COUNTIF('D111'!B7,"Lab 1")+COUNTIF('D112'!B7,"Lab 1"))&gt;0,"D1",IF((COUNTIF('D211'!B7,"Lab 1"))&gt;0,"D2",IF((COUNTIF('D311'!B7,"Lab 1"))&gt;0,"D3",IF((COUNTIF('D411'!B7,"Lab 1"))&gt;0,"D4","")))))))))))),"MIX"))</f>
        <v/>
      </c>
    </row>
    <row r="29">
      <c r="C29">
        <f>IF((IF((COUNTIF('C111'!B7,"Lab 2")+COUNTIF('C112'!B7,"Lab 2")+COUNTIF('C113'!B7,"Lab 2")+COUNTIF('C121'!B7,"Lab 2")+COUNTIF('C122'!B7,"Lab 2"))&gt;0,1,0)+IF((COUNTIF('C211'!B7,"Lab 2")+COUNTIF('C212'!B7,"Lab 2"))&gt;0,1,0)+IF((COUNTIF('C311'!B7,"Lab 2")+COUNTIF('C312'!B7,"Lab 2"))&gt;0,1,0)+IF((COUNTIF('C411'!B7,"Lab 2")+COUNTIF('C412'!B7,"Lab 2"))&gt;0,1,0)+IF((COUNTIF('M111'!B7,"Lab 2")+COUNTIF('M112'!B7,"Lab 2"))&gt;0,1,0)+IF((COUNTIF('M211'!B7,"Lab 2")+COUNTIF('M212'!B7,"Lab 2"))&gt;0,1,0)+IF((COUNTIF('M311'!B7,"Lab 2"))&gt;0,1,0)+IF((COUNTIF('M411'!B7,"Lab 2"))&gt;0,1,0)+IF((COUNTIF('D111'!B7,"Lab 2")+COUNTIF('D112'!B7,"Lab 2"))&gt;0,1,0)+IF((COUNTIF('D211'!B7,"Lab 2"))&gt;0,1,0)+IF((COUNTIF('D311'!B7,"Lab 2"))&gt;0,1,0)+IF((COUNTIF('D411'!B7,"Lab 2"))&gt;0,1,0))=0,"",IF((IF((COUNTIF('C111'!B7,"Lab 2")+COUNTIF('C112'!B7,"Lab 2")+COUNTIF('C113'!B7,"Lab 2")+COUNTIF('C121'!B7,"Lab 2")+COUNTIF('C122'!B7,"Lab 2"))&gt;0,1,0)+IF((COUNTIF('C211'!B7,"Lab 2")+COUNTIF('C212'!B7,"Lab 2"))&gt;0,1,0)+IF((COUNTIF('C311'!B7,"Lab 2")+COUNTIF('C312'!B7,"Lab 2"))&gt;0,1,0)+IF((COUNTIF('C411'!B7,"Lab 2")+COUNTIF('C412'!B7,"Lab 2"))&gt;0,1,0)+IF((COUNTIF('M111'!B7,"Lab 2")+COUNTIF('M112'!B7,"Lab 2"))&gt;0,1,0)+IF((COUNTIF('M211'!B7,"Lab 2")+COUNTIF('M212'!B7,"Lab 2"))&gt;0,1,0)+IF((COUNTIF('M311'!B7,"Lab 2"))&gt;0,1,0)+IF((COUNTIF('M411'!B7,"Lab 2"))&gt;0,1,0)+IF((COUNTIF('D111'!B7,"Lab 2")+COUNTIF('D112'!B7,"Lab 2"))&gt;0,1,0)+IF((COUNTIF('D211'!B7,"Lab 2"))&gt;0,1,0)+IF((COUNTIF('D311'!B7,"Lab 2"))&gt;0,1,0)+IF((COUNTIF('D411'!B7,"Lab 2"))&gt;0,1,0))=1,IF((COUNTIF('C111'!B7,"Lab 2")+COUNTIF('C112'!B7,"Lab 2")+COUNTIF('C113'!B7,"Lab 2")+COUNTIF('C121'!B7,"Lab 2")+COUNTIF('C122'!B7,"Lab 2"))&gt;0,"C1",IF((COUNTIF('C211'!B7,"Lab 2")+COUNTIF('C212'!B7,"Lab 2"))&gt;0,"C2",IF((COUNTIF('C311'!B7,"Lab 2")+COUNTIF('C312'!B7,"Lab 2"))&gt;0,"C3",IF((COUNTIF('C411'!B7,"Lab 2")+COUNTIF('C412'!B7,"Lab 2"))&gt;0,"C4",IF((COUNTIF('M111'!B7,"Lab 2")+COUNTIF('M112'!B7,"Lab 2"))&gt;0,"M1",IF((COUNTIF('M211'!B7,"Lab 2")+COUNTIF('M212'!B7,"Lab 2"))&gt;0,"M2",IF((COUNTIF('M311'!B7,"Lab 2"))&gt;0,"M3",IF((COUNTIF('M411'!B7,"Lab 2"))&gt;0,"M4",IF((COUNTIF('D111'!B7,"Lab 2")+COUNTIF('D112'!B7,"Lab 2"))&gt;0,"D1",IF((COUNTIF('D211'!B7,"Lab 2"))&gt;0,"D2",IF((COUNTIF('D311'!B7,"Lab 2"))&gt;0,"D3",IF((COUNTIF('D411'!B7,"Lab 2"))&gt;0,"D4","")))))))))))),"MIX"))</f>
        <v/>
      </c>
    </row>
    <row r="30">
      <c r="C30">
        <f>IF((IF((COUNTIF('C111'!B7,"Salón")+COUNTIF('C112'!B7,"Salón")+COUNTIF('C113'!B7,"Salón")+COUNTIF('C121'!B7,"Salón")+COUNTIF('C122'!B7,"Salón"))&gt;0,1,0)+IF((COUNTIF('C211'!B7,"Salón")+COUNTIF('C212'!B7,"Salón"))&gt;0,1,0)+IF((COUNTIF('C311'!B7,"Salón")+COUNTIF('C312'!B7,"Salón"))&gt;0,1,0)+IF((COUNTIF('C411'!B7,"Salón")+COUNTIF('C412'!B7,"Salón"))&gt;0,1,0)+IF((COUNTIF('M111'!B7,"Salón")+COUNTIF('M112'!B7,"Salón"))&gt;0,1,0)+IF((COUNTIF('M211'!B7,"Salón")+COUNTIF('M212'!B7,"Salón"))&gt;0,1,0)+IF((COUNTIF('M311'!B7,"Salón"))&gt;0,1,0)+IF((COUNTIF('M411'!B7,"Salón"))&gt;0,1,0)+IF((COUNTIF('D111'!B7,"Salón")+COUNTIF('D112'!B7,"Salón"))&gt;0,1,0)+IF((COUNTIF('D211'!B7,"Salón"))&gt;0,1,0)+IF((COUNTIF('D311'!B7,"Salón"))&gt;0,1,0)+IF((COUNTIF('D411'!B7,"Salón"))&gt;0,1,0))=0,"",IF((IF((COUNTIF('C111'!B7,"Salón")+COUNTIF('C112'!B7,"Salón")+COUNTIF('C113'!B7,"Salón")+COUNTIF('C121'!B7,"Salón")+COUNTIF('C122'!B7,"Salón"))&gt;0,1,0)+IF((COUNTIF('C211'!B7,"Salón")+COUNTIF('C212'!B7,"Salón"))&gt;0,1,0)+IF((COUNTIF('C311'!B7,"Salón")+COUNTIF('C312'!B7,"Salón"))&gt;0,1,0)+IF((COUNTIF('C411'!B7,"Salón")+COUNTIF('C412'!B7,"Salón"))&gt;0,1,0)+IF((COUNTIF('M111'!B7,"Salón")+COUNTIF('M112'!B7,"Salón"))&gt;0,1,0)+IF((COUNTIF('M211'!B7,"Salón")+COUNTIF('M212'!B7,"Salón"))&gt;0,1,0)+IF((COUNTIF('M311'!B7,"Salón"))&gt;0,1,0)+IF((COUNTIF('M411'!B7,"Salón"))&gt;0,1,0)+IF((COUNTIF('D111'!B7,"Salón")+COUNTIF('D112'!B7,"Salón"))&gt;0,1,0)+IF((COUNTIF('D211'!B7,"Salón"))&gt;0,1,0)+IF((COUNTIF('D311'!B7,"Salón"))&gt;0,1,0)+IF((COUNTIF('D411'!B7,"Salón"))&gt;0,1,0))=1,IF((COUNTIF('C111'!B7,"Salón")+COUNTIF('C112'!B7,"Salón")+COUNTIF('C113'!B7,"Salón")+COUNTIF('C121'!B7,"Salón")+COUNTIF('C122'!B7,"Salón"))&gt;0,"C1",IF((COUNTIF('C211'!B7,"Salón")+COUNTIF('C212'!B7,"Salón"))&gt;0,"C2",IF((COUNTIF('C311'!B7,"Salón")+COUNTIF('C312'!B7,"Salón"))&gt;0,"C3",IF((COUNTIF('C411'!B7,"Salón")+COUNTIF('C412'!B7,"Salón"))&gt;0,"C4",IF((COUNTIF('M111'!B7,"Salón")+COUNTIF('M112'!B7,"Salón"))&gt;0,"M1",IF((COUNTIF('M211'!B7,"Salón")+COUNTIF('M212'!B7,"Salón"))&gt;0,"M2",IF((COUNTIF('M311'!B7,"Salón"))&gt;0,"M3",IF((COUNTIF('M411'!B7,"Salón"))&gt;0,"M4",IF((COUNTIF('D111'!B7,"Salón")+COUNTIF('D112'!B7,"Salón"))&gt;0,"D1",IF((COUNTIF('D211'!B7,"Salón"))&gt;0,"D2",IF((COUNTIF('D311'!B7,"Salón"))&gt;0,"D3",IF((COUNTIF('D411'!B7,"Salón"))&gt;0,"D4","")))))))))))),"MIX"))</f>
        <v/>
      </c>
    </row>
    <row r="31">
      <c r="C31">
        <f>IF((IF((COUNTIF('C111'!B9,"Aula 1")+COUNTIF('C112'!B9,"Aula 1")+COUNTIF('C113'!B9,"Aula 1")+COUNTIF('C121'!B9,"Aula 1")+COUNTIF('C122'!B9,"Aula 1"))&gt;0,1,0)+IF((COUNTIF('C211'!B9,"Aula 1")+COUNTIF('C212'!B9,"Aula 1"))&gt;0,1,0)+IF((COUNTIF('C311'!B9,"Aula 1")+COUNTIF('C312'!B9,"Aula 1"))&gt;0,1,0)+IF((COUNTIF('C411'!B9,"Aula 1")+COUNTIF('C412'!B9,"Aula 1"))&gt;0,1,0)+IF((COUNTIF('M111'!B9,"Aula 1")+COUNTIF('M112'!B9,"Aula 1"))&gt;0,1,0)+IF((COUNTIF('M211'!B9,"Aula 1")+COUNTIF('M212'!B9,"Aula 1"))&gt;0,1,0)+IF((COUNTIF('M311'!B9,"Aula 1"))&gt;0,1,0)+IF((COUNTIF('M411'!B9,"Aula 1"))&gt;0,1,0)+IF((COUNTIF('D111'!B9,"Aula 1")+COUNTIF('D112'!B9,"Aula 1"))&gt;0,1,0)+IF((COUNTIF('D211'!B9,"Aula 1"))&gt;0,1,0)+IF((COUNTIF('D311'!B9,"Aula 1"))&gt;0,1,0)+IF((COUNTIF('D411'!B9,"Aula 1"))&gt;0,1,0))=0,"",IF((IF((COUNTIF('C111'!B9,"Aula 1")+COUNTIF('C112'!B9,"Aula 1")+COUNTIF('C113'!B9,"Aula 1")+COUNTIF('C121'!B9,"Aula 1")+COUNTIF('C122'!B9,"Aula 1"))&gt;0,1,0)+IF((COUNTIF('C211'!B9,"Aula 1")+COUNTIF('C212'!B9,"Aula 1"))&gt;0,1,0)+IF((COUNTIF('C311'!B9,"Aula 1")+COUNTIF('C312'!B9,"Aula 1"))&gt;0,1,0)+IF((COUNTIF('C411'!B9,"Aula 1")+COUNTIF('C412'!B9,"Aula 1"))&gt;0,1,0)+IF((COUNTIF('M111'!B9,"Aula 1")+COUNTIF('M112'!B9,"Aula 1"))&gt;0,1,0)+IF((COUNTIF('M211'!B9,"Aula 1")+COUNTIF('M212'!B9,"Aula 1"))&gt;0,1,0)+IF((COUNTIF('M311'!B9,"Aula 1"))&gt;0,1,0)+IF((COUNTIF('M411'!B9,"Aula 1"))&gt;0,1,0)+IF((COUNTIF('D111'!B9,"Aula 1")+COUNTIF('D112'!B9,"Aula 1"))&gt;0,1,0)+IF((COUNTIF('D211'!B9,"Aula 1"))&gt;0,1,0)+IF((COUNTIF('D311'!B9,"Aula 1"))&gt;0,1,0)+IF((COUNTIF('D411'!B9,"Aula 1"))&gt;0,1,0))=1,IF((COUNTIF('C111'!B9,"Aula 1")+COUNTIF('C112'!B9,"Aula 1")+COUNTIF('C113'!B9,"Aula 1")+COUNTIF('C121'!B9,"Aula 1")+COUNTIF('C122'!B9,"Aula 1"))&gt;0,"C1",IF((COUNTIF('C211'!B9,"Aula 1")+COUNTIF('C212'!B9,"Aula 1"))&gt;0,"C2",IF((COUNTIF('C311'!B9,"Aula 1")+COUNTIF('C312'!B9,"Aula 1"))&gt;0,"C3",IF((COUNTIF('C411'!B9,"Aula 1")+COUNTIF('C412'!B9,"Aula 1"))&gt;0,"C4",IF((COUNTIF('M111'!B9,"Aula 1")+COUNTIF('M112'!B9,"Aula 1"))&gt;0,"M1",IF((COUNTIF('M211'!B9,"Aula 1")+COUNTIF('M212'!B9,"Aula 1"))&gt;0,"M2",IF((COUNTIF('M311'!B9,"Aula 1"))&gt;0,"M3",IF((COUNTIF('M411'!B9,"Aula 1"))&gt;0,"M4",IF((COUNTIF('D111'!B9,"Aula 1")+COUNTIF('D112'!B9,"Aula 1"))&gt;0,"D1",IF((COUNTIF('D211'!B9,"Aula 1"))&gt;0,"D2",IF((COUNTIF('D311'!B9,"Aula 1"))&gt;0,"D3",IF((COUNTIF('D411'!B9,"Aula 1"))&gt;0,"D4","")))))))))))),"MIX"))</f>
        <v/>
      </c>
    </row>
    <row r="32">
      <c r="C32">
        <f>IF((IF((COUNTIF('C111'!B9,"Aula 2")+COUNTIF('C112'!B9,"Aula 2")+COUNTIF('C113'!B9,"Aula 2")+COUNTIF('C121'!B9,"Aula 2")+COUNTIF('C122'!B9,"Aula 2"))&gt;0,1,0)+IF((COUNTIF('C211'!B9,"Aula 2")+COUNTIF('C212'!B9,"Aula 2"))&gt;0,1,0)+IF((COUNTIF('C311'!B9,"Aula 2")+COUNTIF('C312'!B9,"Aula 2"))&gt;0,1,0)+IF((COUNTIF('C411'!B9,"Aula 2")+COUNTIF('C412'!B9,"Aula 2"))&gt;0,1,0)+IF((COUNTIF('M111'!B9,"Aula 2")+COUNTIF('M112'!B9,"Aula 2"))&gt;0,1,0)+IF((COUNTIF('M211'!B9,"Aula 2")+COUNTIF('M212'!B9,"Aula 2"))&gt;0,1,0)+IF((COUNTIF('M311'!B9,"Aula 2"))&gt;0,1,0)+IF((COUNTIF('M411'!B9,"Aula 2"))&gt;0,1,0)+IF((COUNTIF('D111'!B9,"Aula 2")+COUNTIF('D112'!B9,"Aula 2"))&gt;0,1,0)+IF((COUNTIF('D211'!B9,"Aula 2"))&gt;0,1,0)+IF((COUNTIF('D311'!B9,"Aula 2"))&gt;0,1,0)+IF((COUNTIF('D411'!B9,"Aula 2"))&gt;0,1,0))=0,"",IF((IF((COUNTIF('C111'!B9,"Aula 2")+COUNTIF('C112'!B9,"Aula 2")+COUNTIF('C113'!B9,"Aula 2")+COUNTIF('C121'!B9,"Aula 2")+COUNTIF('C122'!B9,"Aula 2"))&gt;0,1,0)+IF((COUNTIF('C211'!B9,"Aula 2")+COUNTIF('C212'!B9,"Aula 2"))&gt;0,1,0)+IF((COUNTIF('C311'!B9,"Aula 2")+COUNTIF('C312'!B9,"Aula 2"))&gt;0,1,0)+IF((COUNTIF('C411'!B9,"Aula 2")+COUNTIF('C412'!B9,"Aula 2"))&gt;0,1,0)+IF((COUNTIF('M111'!B9,"Aula 2")+COUNTIF('M112'!B9,"Aula 2"))&gt;0,1,0)+IF((COUNTIF('M211'!B9,"Aula 2")+COUNTIF('M212'!B9,"Aula 2"))&gt;0,1,0)+IF((COUNTIF('M311'!B9,"Aula 2"))&gt;0,1,0)+IF((COUNTIF('M411'!B9,"Aula 2"))&gt;0,1,0)+IF((COUNTIF('D111'!B9,"Aula 2")+COUNTIF('D112'!B9,"Aula 2"))&gt;0,1,0)+IF((COUNTIF('D211'!B9,"Aula 2"))&gt;0,1,0)+IF((COUNTIF('D311'!B9,"Aula 2"))&gt;0,1,0)+IF((COUNTIF('D411'!B9,"Aula 2"))&gt;0,1,0))=1,IF((COUNTIF('C111'!B9,"Aula 2")+COUNTIF('C112'!B9,"Aula 2")+COUNTIF('C113'!B9,"Aula 2")+COUNTIF('C121'!B9,"Aula 2")+COUNTIF('C122'!B9,"Aula 2"))&gt;0,"C1",IF((COUNTIF('C211'!B9,"Aula 2")+COUNTIF('C212'!B9,"Aula 2"))&gt;0,"C2",IF((COUNTIF('C311'!B9,"Aula 2")+COUNTIF('C312'!B9,"Aula 2"))&gt;0,"C3",IF((COUNTIF('C411'!B9,"Aula 2")+COUNTIF('C412'!B9,"Aula 2"))&gt;0,"C4",IF((COUNTIF('M111'!B9,"Aula 2")+COUNTIF('M112'!B9,"Aula 2"))&gt;0,"M1",IF((COUNTIF('M211'!B9,"Aula 2")+COUNTIF('M212'!B9,"Aula 2"))&gt;0,"M2",IF((COUNTIF('M311'!B9,"Aula 2"))&gt;0,"M3",IF((COUNTIF('M411'!B9,"Aula 2"))&gt;0,"M4",IF((COUNTIF('D111'!B9,"Aula 2")+COUNTIF('D112'!B9,"Aula 2"))&gt;0,"D1",IF((COUNTIF('D211'!B9,"Aula 2"))&gt;0,"D2",IF((COUNTIF('D311'!B9,"Aula 2"))&gt;0,"D3",IF((COUNTIF('D411'!B9,"Aula 2"))&gt;0,"D4","")))))))))))),"MIX"))</f>
        <v/>
      </c>
    </row>
    <row r="33">
      <c r="C33">
        <f>IF((IF((COUNTIF('C111'!B9,"Aula 3")+COUNTIF('C112'!B9,"Aula 3")+COUNTIF('C113'!B9,"Aula 3")+COUNTIF('C121'!B9,"Aula 3")+COUNTIF('C122'!B9,"Aula 3"))&gt;0,1,0)+IF((COUNTIF('C211'!B9,"Aula 3")+COUNTIF('C212'!B9,"Aula 3"))&gt;0,1,0)+IF((COUNTIF('C311'!B9,"Aula 3")+COUNTIF('C312'!B9,"Aula 3"))&gt;0,1,0)+IF((COUNTIF('C411'!B9,"Aula 3")+COUNTIF('C412'!B9,"Aula 3"))&gt;0,1,0)+IF((COUNTIF('M111'!B9,"Aula 3")+COUNTIF('M112'!B9,"Aula 3"))&gt;0,1,0)+IF((COUNTIF('M211'!B9,"Aula 3")+COUNTIF('M212'!B9,"Aula 3"))&gt;0,1,0)+IF((COUNTIF('M311'!B9,"Aula 3"))&gt;0,1,0)+IF((COUNTIF('M411'!B9,"Aula 3"))&gt;0,1,0)+IF((COUNTIF('D111'!B9,"Aula 3")+COUNTIF('D112'!B9,"Aula 3"))&gt;0,1,0)+IF((COUNTIF('D211'!B9,"Aula 3"))&gt;0,1,0)+IF((COUNTIF('D311'!B9,"Aula 3"))&gt;0,1,0)+IF((COUNTIF('D411'!B9,"Aula 3"))&gt;0,1,0))=0,"",IF((IF((COUNTIF('C111'!B9,"Aula 3")+COUNTIF('C112'!B9,"Aula 3")+COUNTIF('C113'!B9,"Aula 3")+COUNTIF('C121'!B9,"Aula 3")+COUNTIF('C122'!B9,"Aula 3"))&gt;0,1,0)+IF((COUNTIF('C211'!B9,"Aula 3")+COUNTIF('C212'!B9,"Aula 3"))&gt;0,1,0)+IF((COUNTIF('C311'!B9,"Aula 3")+COUNTIF('C312'!B9,"Aula 3"))&gt;0,1,0)+IF((COUNTIF('C411'!B9,"Aula 3")+COUNTIF('C412'!B9,"Aula 3"))&gt;0,1,0)+IF((COUNTIF('M111'!B9,"Aula 3")+COUNTIF('M112'!B9,"Aula 3"))&gt;0,1,0)+IF((COUNTIF('M211'!B9,"Aula 3")+COUNTIF('M212'!B9,"Aula 3"))&gt;0,1,0)+IF((COUNTIF('M311'!B9,"Aula 3"))&gt;0,1,0)+IF((COUNTIF('M411'!B9,"Aula 3"))&gt;0,1,0)+IF((COUNTIF('D111'!B9,"Aula 3")+COUNTIF('D112'!B9,"Aula 3"))&gt;0,1,0)+IF((COUNTIF('D211'!B9,"Aula 3"))&gt;0,1,0)+IF((COUNTIF('D311'!B9,"Aula 3"))&gt;0,1,0)+IF((COUNTIF('D411'!B9,"Aula 3"))&gt;0,1,0))=1,IF((COUNTIF('C111'!B9,"Aula 3")+COUNTIF('C112'!B9,"Aula 3")+COUNTIF('C113'!B9,"Aula 3")+COUNTIF('C121'!B9,"Aula 3")+COUNTIF('C122'!B9,"Aula 3"))&gt;0,"C1",IF((COUNTIF('C211'!B9,"Aula 3")+COUNTIF('C212'!B9,"Aula 3"))&gt;0,"C2",IF((COUNTIF('C311'!B9,"Aula 3")+COUNTIF('C312'!B9,"Aula 3"))&gt;0,"C3",IF((COUNTIF('C411'!B9,"Aula 3")+COUNTIF('C412'!B9,"Aula 3"))&gt;0,"C4",IF((COUNTIF('M111'!B9,"Aula 3")+COUNTIF('M112'!B9,"Aula 3"))&gt;0,"M1",IF((COUNTIF('M211'!B9,"Aula 3")+COUNTIF('M212'!B9,"Aula 3"))&gt;0,"M2",IF((COUNTIF('M311'!B9,"Aula 3"))&gt;0,"M3",IF((COUNTIF('M411'!B9,"Aula 3"))&gt;0,"M4",IF((COUNTIF('D111'!B9,"Aula 3")+COUNTIF('D112'!B9,"Aula 3"))&gt;0,"D1",IF((COUNTIF('D211'!B9,"Aula 3"))&gt;0,"D2",IF((COUNTIF('D311'!B9,"Aula 3"))&gt;0,"D3",IF((COUNTIF('D411'!B9,"Aula 3"))&gt;0,"D4","")))))))))))),"MIX"))</f>
        <v/>
      </c>
    </row>
    <row r="34">
      <c r="C34">
        <f>IF((IF((COUNTIF('C111'!B9,"Aula 4")+COUNTIF('C112'!B9,"Aula 4")+COUNTIF('C113'!B9,"Aula 4")+COUNTIF('C121'!B9,"Aula 4")+COUNTIF('C122'!B9,"Aula 4"))&gt;0,1,0)+IF((COUNTIF('C211'!B9,"Aula 4")+COUNTIF('C212'!B9,"Aula 4"))&gt;0,1,0)+IF((COUNTIF('C311'!B9,"Aula 4")+COUNTIF('C312'!B9,"Aula 4"))&gt;0,1,0)+IF((COUNTIF('C411'!B9,"Aula 4")+COUNTIF('C412'!B9,"Aula 4"))&gt;0,1,0)+IF((COUNTIF('M111'!B9,"Aula 4")+COUNTIF('M112'!B9,"Aula 4"))&gt;0,1,0)+IF((COUNTIF('M211'!B9,"Aula 4")+COUNTIF('M212'!B9,"Aula 4"))&gt;0,1,0)+IF((COUNTIF('M311'!B9,"Aula 4"))&gt;0,1,0)+IF((COUNTIF('M411'!B9,"Aula 4"))&gt;0,1,0)+IF((COUNTIF('D111'!B9,"Aula 4")+COUNTIF('D112'!B9,"Aula 4"))&gt;0,1,0)+IF((COUNTIF('D211'!B9,"Aula 4"))&gt;0,1,0)+IF((COUNTIF('D311'!B9,"Aula 4"))&gt;0,1,0)+IF((COUNTIF('D411'!B9,"Aula 4"))&gt;0,1,0))=0,"",IF((IF((COUNTIF('C111'!B9,"Aula 4")+COUNTIF('C112'!B9,"Aula 4")+COUNTIF('C113'!B9,"Aula 4")+COUNTIF('C121'!B9,"Aula 4")+COUNTIF('C122'!B9,"Aula 4"))&gt;0,1,0)+IF((COUNTIF('C211'!B9,"Aula 4")+COUNTIF('C212'!B9,"Aula 4"))&gt;0,1,0)+IF((COUNTIF('C311'!B9,"Aula 4")+COUNTIF('C312'!B9,"Aula 4"))&gt;0,1,0)+IF((COUNTIF('C411'!B9,"Aula 4")+COUNTIF('C412'!B9,"Aula 4"))&gt;0,1,0)+IF((COUNTIF('M111'!B9,"Aula 4")+COUNTIF('M112'!B9,"Aula 4"))&gt;0,1,0)+IF((COUNTIF('M211'!B9,"Aula 4")+COUNTIF('M212'!B9,"Aula 4"))&gt;0,1,0)+IF((COUNTIF('M311'!B9,"Aula 4"))&gt;0,1,0)+IF((COUNTIF('M411'!B9,"Aula 4"))&gt;0,1,0)+IF((COUNTIF('D111'!B9,"Aula 4")+COUNTIF('D112'!B9,"Aula 4"))&gt;0,1,0)+IF((COUNTIF('D211'!B9,"Aula 4"))&gt;0,1,0)+IF((COUNTIF('D311'!B9,"Aula 4"))&gt;0,1,0)+IF((COUNTIF('D411'!B9,"Aula 4"))&gt;0,1,0))=1,IF((COUNTIF('C111'!B9,"Aula 4")+COUNTIF('C112'!B9,"Aula 4")+COUNTIF('C113'!B9,"Aula 4")+COUNTIF('C121'!B9,"Aula 4")+COUNTIF('C122'!B9,"Aula 4"))&gt;0,"C1",IF((COUNTIF('C211'!B9,"Aula 4")+COUNTIF('C212'!B9,"Aula 4"))&gt;0,"C2",IF((COUNTIF('C311'!B9,"Aula 4")+COUNTIF('C312'!B9,"Aula 4"))&gt;0,"C3",IF((COUNTIF('C411'!B9,"Aula 4")+COUNTIF('C412'!B9,"Aula 4"))&gt;0,"C4",IF((COUNTIF('M111'!B9,"Aula 4")+COUNTIF('M112'!B9,"Aula 4"))&gt;0,"M1",IF((COUNTIF('M211'!B9,"Aula 4")+COUNTIF('M212'!B9,"Aula 4"))&gt;0,"M2",IF((COUNTIF('M311'!B9,"Aula 4"))&gt;0,"M3",IF((COUNTIF('M411'!B9,"Aula 4"))&gt;0,"M4",IF((COUNTIF('D111'!B9,"Aula 4")+COUNTIF('D112'!B9,"Aula 4"))&gt;0,"D1",IF((COUNTIF('D211'!B9,"Aula 4"))&gt;0,"D2",IF((COUNTIF('D311'!B9,"Aula 4"))&gt;0,"D3",IF((COUNTIF('D411'!B9,"Aula 4"))&gt;0,"D4","")))))))))))),"MIX"))</f>
        <v/>
      </c>
    </row>
    <row r="35">
      <c r="C35">
        <f>IF((IF((COUNTIF('C111'!B9,"Aula 5")+COUNTIF('C112'!B9,"Aula 5")+COUNTIF('C113'!B9,"Aula 5")+COUNTIF('C121'!B9,"Aula 5")+COUNTIF('C122'!B9,"Aula 5"))&gt;0,1,0)+IF((COUNTIF('C211'!B9,"Aula 5")+COUNTIF('C212'!B9,"Aula 5"))&gt;0,1,0)+IF((COUNTIF('C311'!B9,"Aula 5")+COUNTIF('C312'!B9,"Aula 5"))&gt;0,1,0)+IF((COUNTIF('C411'!B9,"Aula 5")+COUNTIF('C412'!B9,"Aula 5"))&gt;0,1,0)+IF((COUNTIF('M111'!B9,"Aula 5")+COUNTIF('M112'!B9,"Aula 5"))&gt;0,1,0)+IF((COUNTIF('M211'!B9,"Aula 5")+COUNTIF('M212'!B9,"Aula 5"))&gt;0,1,0)+IF((COUNTIF('M311'!B9,"Aula 5"))&gt;0,1,0)+IF((COUNTIF('M411'!B9,"Aula 5"))&gt;0,1,0)+IF((COUNTIF('D111'!B9,"Aula 5")+COUNTIF('D112'!B9,"Aula 5"))&gt;0,1,0)+IF((COUNTIF('D211'!B9,"Aula 5"))&gt;0,1,0)+IF((COUNTIF('D311'!B9,"Aula 5"))&gt;0,1,0)+IF((COUNTIF('D411'!B9,"Aula 5"))&gt;0,1,0))=0,"",IF((IF((COUNTIF('C111'!B9,"Aula 5")+COUNTIF('C112'!B9,"Aula 5")+COUNTIF('C113'!B9,"Aula 5")+COUNTIF('C121'!B9,"Aula 5")+COUNTIF('C122'!B9,"Aula 5"))&gt;0,1,0)+IF((COUNTIF('C211'!B9,"Aula 5")+COUNTIF('C212'!B9,"Aula 5"))&gt;0,1,0)+IF((COUNTIF('C311'!B9,"Aula 5")+COUNTIF('C312'!B9,"Aula 5"))&gt;0,1,0)+IF((COUNTIF('C411'!B9,"Aula 5")+COUNTIF('C412'!B9,"Aula 5"))&gt;0,1,0)+IF((COUNTIF('M111'!B9,"Aula 5")+COUNTIF('M112'!B9,"Aula 5"))&gt;0,1,0)+IF((COUNTIF('M211'!B9,"Aula 5")+COUNTIF('M212'!B9,"Aula 5"))&gt;0,1,0)+IF((COUNTIF('M311'!B9,"Aula 5"))&gt;0,1,0)+IF((COUNTIF('M411'!B9,"Aula 5"))&gt;0,1,0)+IF((COUNTIF('D111'!B9,"Aula 5")+COUNTIF('D112'!B9,"Aula 5"))&gt;0,1,0)+IF((COUNTIF('D211'!B9,"Aula 5"))&gt;0,1,0)+IF((COUNTIF('D311'!B9,"Aula 5"))&gt;0,1,0)+IF((COUNTIF('D411'!B9,"Aula 5"))&gt;0,1,0))=1,IF((COUNTIF('C111'!B9,"Aula 5")+COUNTIF('C112'!B9,"Aula 5")+COUNTIF('C113'!B9,"Aula 5")+COUNTIF('C121'!B9,"Aula 5")+COUNTIF('C122'!B9,"Aula 5"))&gt;0,"C1",IF((COUNTIF('C211'!B9,"Aula 5")+COUNTIF('C212'!B9,"Aula 5"))&gt;0,"C2",IF((COUNTIF('C311'!B9,"Aula 5")+COUNTIF('C312'!B9,"Aula 5"))&gt;0,"C3",IF((COUNTIF('C411'!B9,"Aula 5")+COUNTIF('C412'!B9,"Aula 5"))&gt;0,"C4",IF((COUNTIF('M111'!B9,"Aula 5")+COUNTIF('M112'!B9,"Aula 5"))&gt;0,"M1",IF((COUNTIF('M211'!B9,"Aula 5")+COUNTIF('M212'!B9,"Aula 5"))&gt;0,"M2",IF((COUNTIF('M311'!B9,"Aula 5"))&gt;0,"M3",IF((COUNTIF('M411'!B9,"Aula 5"))&gt;0,"M4",IF((COUNTIF('D111'!B9,"Aula 5")+COUNTIF('D112'!B9,"Aula 5"))&gt;0,"D1",IF((COUNTIF('D211'!B9,"Aula 5"))&gt;0,"D2",IF((COUNTIF('D311'!B9,"Aula 5"))&gt;0,"D3",IF((COUNTIF('D411'!B9,"Aula 5"))&gt;0,"D4","")))))))))))),"MIX"))</f>
        <v/>
      </c>
    </row>
    <row r="36">
      <c r="C36">
        <f>IF((IF((COUNTIF('C111'!B9,"Aula 6")+COUNTIF('C112'!B9,"Aula 6")+COUNTIF('C113'!B9,"Aula 6")+COUNTIF('C121'!B9,"Aula 6")+COUNTIF('C122'!B9,"Aula 6"))&gt;0,1,0)+IF((COUNTIF('C211'!B9,"Aula 6")+COUNTIF('C212'!B9,"Aula 6"))&gt;0,1,0)+IF((COUNTIF('C311'!B9,"Aula 6")+COUNTIF('C312'!B9,"Aula 6"))&gt;0,1,0)+IF((COUNTIF('C411'!B9,"Aula 6")+COUNTIF('C412'!B9,"Aula 6"))&gt;0,1,0)+IF((COUNTIF('M111'!B9,"Aula 6")+COUNTIF('M112'!B9,"Aula 6"))&gt;0,1,0)+IF((COUNTIF('M211'!B9,"Aula 6")+COUNTIF('M212'!B9,"Aula 6"))&gt;0,1,0)+IF((COUNTIF('M311'!B9,"Aula 6"))&gt;0,1,0)+IF((COUNTIF('M411'!B9,"Aula 6"))&gt;0,1,0)+IF((COUNTIF('D111'!B9,"Aula 6")+COUNTIF('D112'!B9,"Aula 6"))&gt;0,1,0)+IF((COUNTIF('D211'!B9,"Aula 6"))&gt;0,1,0)+IF((COUNTIF('D311'!B9,"Aula 6"))&gt;0,1,0)+IF((COUNTIF('D411'!B9,"Aula 6"))&gt;0,1,0))=0,"",IF((IF((COUNTIF('C111'!B9,"Aula 6")+COUNTIF('C112'!B9,"Aula 6")+COUNTIF('C113'!B9,"Aula 6")+COUNTIF('C121'!B9,"Aula 6")+COUNTIF('C122'!B9,"Aula 6"))&gt;0,1,0)+IF((COUNTIF('C211'!B9,"Aula 6")+COUNTIF('C212'!B9,"Aula 6"))&gt;0,1,0)+IF((COUNTIF('C311'!B9,"Aula 6")+COUNTIF('C312'!B9,"Aula 6"))&gt;0,1,0)+IF((COUNTIF('C411'!B9,"Aula 6")+COUNTIF('C412'!B9,"Aula 6"))&gt;0,1,0)+IF((COUNTIF('M111'!B9,"Aula 6")+COUNTIF('M112'!B9,"Aula 6"))&gt;0,1,0)+IF((COUNTIF('M211'!B9,"Aula 6")+COUNTIF('M212'!B9,"Aula 6"))&gt;0,1,0)+IF((COUNTIF('M311'!B9,"Aula 6"))&gt;0,1,0)+IF((COUNTIF('M411'!B9,"Aula 6"))&gt;0,1,0)+IF((COUNTIF('D111'!B9,"Aula 6")+COUNTIF('D112'!B9,"Aula 6"))&gt;0,1,0)+IF((COUNTIF('D211'!B9,"Aula 6"))&gt;0,1,0)+IF((COUNTIF('D311'!B9,"Aula 6"))&gt;0,1,0)+IF((COUNTIF('D411'!B9,"Aula 6"))&gt;0,1,0))=1,IF((COUNTIF('C111'!B9,"Aula 6")+COUNTIF('C112'!B9,"Aula 6")+COUNTIF('C113'!B9,"Aula 6")+COUNTIF('C121'!B9,"Aula 6")+COUNTIF('C122'!B9,"Aula 6"))&gt;0,"C1",IF((COUNTIF('C211'!B9,"Aula 6")+COUNTIF('C212'!B9,"Aula 6"))&gt;0,"C2",IF((COUNTIF('C311'!B9,"Aula 6")+COUNTIF('C312'!B9,"Aula 6"))&gt;0,"C3",IF((COUNTIF('C411'!B9,"Aula 6")+COUNTIF('C412'!B9,"Aula 6"))&gt;0,"C4",IF((COUNTIF('M111'!B9,"Aula 6")+COUNTIF('M112'!B9,"Aula 6"))&gt;0,"M1",IF((COUNTIF('M211'!B9,"Aula 6")+COUNTIF('M212'!B9,"Aula 6"))&gt;0,"M2",IF((COUNTIF('M311'!B9,"Aula 6"))&gt;0,"M3",IF((COUNTIF('M411'!B9,"Aula 6"))&gt;0,"M4",IF((COUNTIF('D111'!B9,"Aula 6")+COUNTIF('D112'!B9,"Aula 6"))&gt;0,"D1",IF((COUNTIF('D211'!B9,"Aula 6"))&gt;0,"D2",IF((COUNTIF('D311'!B9,"Aula 6"))&gt;0,"D3",IF((COUNTIF('D411'!B9,"Aula 6"))&gt;0,"D4","")))))))))))),"MIX"))</f>
        <v/>
      </c>
    </row>
    <row r="37">
      <c r="C37">
        <f>IF((IF((COUNTIF('C111'!B9,"Aula 7")+COUNTIF('C112'!B9,"Aula 7")+COUNTIF('C113'!B9,"Aula 7")+COUNTIF('C121'!B9,"Aula 7")+COUNTIF('C122'!B9,"Aula 7"))&gt;0,1,0)+IF((COUNTIF('C211'!B9,"Aula 7")+COUNTIF('C212'!B9,"Aula 7"))&gt;0,1,0)+IF((COUNTIF('C311'!B9,"Aula 7")+COUNTIF('C312'!B9,"Aula 7"))&gt;0,1,0)+IF((COUNTIF('C411'!B9,"Aula 7")+COUNTIF('C412'!B9,"Aula 7"))&gt;0,1,0)+IF((COUNTIF('M111'!B9,"Aula 7")+COUNTIF('M112'!B9,"Aula 7"))&gt;0,1,0)+IF((COUNTIF('M211'!B9,"Aula 7")+COUNTIF('M212'!B9,"Aula 7"))&gt;0,1,0)+IF((COUNTIF('M311'!B9,"Aula 7"))&gt;0,1,0)+IF((COUNTIF('M411'!B9,"Aula 7"))&gt;0,1,0)+IF((COUNTIF('D111'!B9,"Aula 7")+COUNTIF('D112'!B9,"Aula 7"))&gt;0,1,0)+IF((COUNTIF('D211'!B9,"Aula 7"))&gt;0,1,0)+IF((COUNTIF('D311'!B9,"Aula 7"))&gt;0,1,0)+IF((COUNTIF('D411'!B9,"Aula 7"))&gt;0,1,0))=0,"",IF((IF((COUNTIF('C111'!B9,"Aula 7")+COUNTIF('C112'!B9,"Aula 7")+COUNTIF('C113'!B9,"Aula 7")+COUNTIF('C121'!B9,"Aula 7")+COUNTIF('C122'!B9,"Aula 7"))&gt;0,1,0)+IF((COUNTIF('C211'!B9,"Aula 7")+COUNTIF('C212'!B9,"Aula 7"))&gt;0,1,0)+IF((COUNTIF('C311'!B9,"Aula 7")+COUNTIF('C312'!B9,"Aula 7"))&gt;0,1,0)+IF((COUNTIF('C411'!B9,"Aula 7")+COUNTIF('C412'!B9,"Aula 7"))&gt;0,1,0)+IF((COUNTIF('M111'!B9,"Aula 7")+COUNTIF('M112'!B9,"Aula 7"))&gt;0,1,0)+IF((COUNTIF('M211'!B9,"Aula 7")+COUNTIF('M212'!B9,"Aula 7"))&gt;0,1,0)+IF((COUNTIF('M311'!B9,"Aula 7"))&gt;0,1,0)+IF((COUNTIF('M411'!B9,"Aula 7"))&gt;0,1,0)+IF((COUNTIF('D111'!B9,"Aula 7")+COUNTIF('D112'!B9,"Aula 7"))&gt;0,1,0)+IF((COUNTIF('D211'!B9,"Aula 7"))&gt;0,1,0)+IF((COUNTIF('D311'!B9,"Aula 7"))&gt;0,1,0)+IF((COUNTIF('D411'!B9,"Aula 7"))&gt;0,1,0))=1,IF((COUNTIF('C111'!B9,"Aula 7")+COUNTIF('C112'!B9,"Aula 7")+COUNTIF('C113'!B9,"Aula 7")+COUNTIF('C121'!B9,"Aula 7")+COUNTIF('C122'!B9,"Aula 7"))&gt;0,"C1",IF((COUNTIF('C211'!B9,"Aula 7")+COUNTIF('C212'!B9,"Aula 7"))&gt;0,"C2",IF((COUNTIF('C311'!B9,"Aula 7")+COUNTIF('C312'!B9,"Aula 7"))&gt;0,"C3",IF((COUNTIF('C411'!B9,"Aula 7")+COUNTIF('C412'!B9,"Aula 7"))&gt;0,"C4",IF((COUNTIF('M111'!B9,"Aula 7")+COUNTIF('M112'!B9,"Aula 7"))&gt;0,"M1",IF((COUNTIF('M211'!B9,"Aula 7")+COUNTIF('M212'!B9,"Aula 7"))&gt;0,"M2",IF((COUNTIF('M311'!B9,"Aula 7"))&gt;0,"M3",IF((COUNTIF('M411'!B9,"Aula 7"))&gt;0,"M4",IF((COUNTIF('D111'!B9,"Aula 7")+COUNTIF('D112'!B9,"Aula 7"))&gt;0,"D1",IF((COUNTIF('D211'!B9,"Aula 7"))&gt;0,"D2",IF((COUNTIF('D311'!B9,"Aula 7"))&gt;0,"D3",IF((COUNTIF('D411'!B9,"Aula 7"))&gt;0,"D4","")))))))))))),"MIX"))</f>
        <v/>
      </c>
    </row>
    <row r="38">
      <c r="C38">
        <f>IF((IF((COUNTIF('C111'!B9,"Aula 8")+COUNTIF('C112'!B9,"Aula 8")+COUNTIF('C113'!B9,"Aula 8")+COUNTIF('C121'!B9,"Aula 8")+COUNTIF('C122'!B9,"Aula 8"))&gt;0,1,0)+IF((COUNTIF('C211'!B9,"Aula 8")+COUNTIF('C212'!B9,"Aula 8"))&gt;0,1,0)+IF((COUNTIF('C311'!B9,"Aula 8")+COUNTIF('C312'!B9,"Aula 8"))&gt;0,1,0)+IF((COUNTIF('C411'!B9,"Aula 8")+COUNTIF('C412'!B9,"Aula 8"))&gt;0,1,0)+IF((COUNTIF('M111'!B9,"Aula 8")+COUNTIF('M112'!B9,"Aula 8"))&gt;0,1,0)+IF((COUNTIF('M211'!B9,"Aula 8")+COUNTIF('M212'!B9,"Aula 8"))&gt;0,1,0)+IF((COUNTIF('M311'!B9,"Aula 8"))&gt;0,1,0)+IF((COUNTIF('M411'!B9,"Aula 8"))&gt;0,1,0)+IF((COUNTIF('D111'!B9,"Aula 8")+COUNTIF('D112'!B9,"Aula 8"))&gt;0,1,0)+IF((COUNTIF('D211'!B9,"Aula 8"))&gt;0,1,0)+IF((COUNTIF('D311'!B9,"Aula 8"))&gt;0,1,0)+IF((COUNTIF('D411'!B9,"Aula 8"))&gt;0,1,0))=0,"",IF((IF((COUNTIF('C111'!B9,"Aula 8")+COUNTIF('C112'!B9,"Aula 8")+COUNTIF('C113'!B9,"Aula 8")+COUNTIF('C121'!B9,"Aula 8")+COUNTIF('C122'!B9,"Aula 8"))&gt;0,1,0)+IF((COUNTIF('C211'!B9,"Aula 8")+COUNTIF('C212'!B9,"Aula 8"))&gt;0,1,0)+IF((COUNTIF('C311'!B9,"Aula 8")+COUNTIF('C312'!B9,"Aula 8"))&gt;0,1,0)+IF((COUNTIF('C411'!B9,"Aula 8")+COUNTIF('C412'!B9,"Aula 8"))&gt;0,1,0)+IF((COUNTIF('M111'!B9,"Aula 8")+COUNTIF('M112'!B9,"Aula 8"))&gt;0,1,0)+IF((COUNTIF('M211'!B9,"Aula 8")+COUNTIF('M212'!B9,"Aula 8"))&gt;0,1,0)+IF((COUNTIF('M311'!B9,"Aula 8"))&gt;0,1,0)+IF((COUNTIF('M411'!B9,"Aula 8"))&gt;0,1,0)+IF((COUNTIF('D111'!B9,"Aula 8")+COUNTIF('D112'!B9,"Aula 8"))&gt;0,1,0)+IF((COUNTIF('D211'!B9,"Aula 8"))&gt;0,1,0)+IF((COUNTIF('D311'!B9,"Aula 8"))&gt;0,1,0)+IF((COUNTIF('D411'!B9,"Aula 8"))&gt;0,1,0))=1,IF((COUNTIF('C111'!B9,"Aula 8")+COUNTIF('C112'!B9,"Aula 8")+COUNTIF('C113'!B9,"Aula 8")+COUNTIF('C121'!B9,"Aula 8")+COUNTIF('C122'!B9,"Aula 8"))&gt;0,"C1",IF((COUNTIF('C211'!B9,"Aula 8")+COUNTIF('C212'!B9,"Aula 8"))&gt;0,"C2",IF((COUNTIF('C311'!B9,"Aula 8")+COUNTIF('C312'!B9,"Aula 8"))&gt;0,"C3",IF((COUNTIF('C411'!B9,"Aula 8")+COUNTIF('C412'!B9,"Aula 8"))&gt;0,"C4",IF((COUNTIF('M111'!B9,"Aula 8")+COUNTIF('M112'!B9,"Aula 8"))&gt;0,"M1",IF((COUNTIF('M211'!B9,"Aula 8")+COUNTIF('M212'!B9,"Aula 8"))&gt;0,"M2",IF((COUNTIF('M311'!B9,"Aula 8"))&gt;0,"M3",IF((COUNTIF('M411'!B9,"Aula 8"))&gt;0,"M4",IF((COUNTIF('D111'!B9,"Aula 8")+COUNTIF('D112'!B9,"Aula 8"))&gt;0,"D1",IF((COUNTIF('D211'!B9,"Aula 8"))&gt;0,"D2",IF((COUNTIF('D311'!B9,"Aula 8"))&gt;0,"D3",IF((COUNTIF('D411'!B9,"Aula 8"))&gt;0,"D4","")))))))))))),"MIX"))</f>
        <v/>
      </c>
    </row>
    <row r="39">
      <c r="C39">
        <f>IF((IF((COUNTIF('C111'!B9,"Aula 9")+COUNTIF('C112'!B9,"Aula 9")+COUNTIF('C113'!B9,"Aula 9")+COUNTIF('C121'!B9,"Aula 9")+COUNTIF('C122'!B9,"Aula 9"))&gt;0,1,0)+IF((COUNTIF('C211'!B9,"Aula 9")+COUNTIF('C212'!B9,"Aula 9"))&gt;0,1,0)+IF((COUNTIF('C311'!B9,"Aula 9")+COUNTIF('C312'!B9,"Aula 9"))&gt;0,1,0)+IF((COUNTIF('C411'!B9,"Aula 9")+COUNTIF('C412'!B9,"Aula 9"))&gt;0,1,0)+IF((COUNTIF('M111'!B9,"Aula 9")+COUNTIF('M112'!B9,"Aula 9"))&gt;0,1,0)+IF((COUNTIF('M211'!B9,"Aula 9")+COUNTIF('M212'!B9,"Aula 9"))&gt;0,1,0)+IF((COUNTIF('M311'!B9,"Aula 9"))&gt;0,1,0)+IF((COUNTIF('M411'!B9,"Aula 9"))&gt;0,1,0)+IF((COUNTIF('D111'!B9,"Aula 9")+COUNTIF('D112'!B9,"Aula 9"))&gt;0,1,0)+IF((COUNTIF('D211'!B9,"Aula 9"))&gt;0,1,0)+IF((COUNTIF('D311'!B9,"Aula 9"))&gt;0,1,0)+IF((COUNTIF('D411'!B9,"Aula 9"))&gt;0,1,0))=0,"",IF((IF((COUNTIF('C111'!B9,"Aula 9")+COUNTIF('C112'!B9,"Aula 9")+COUNTIF('C113'!B9,"Aula 9")+COUNTIF('C121'!B9,"Aula 9")+COUNTIF('C122'!B9,"Aula 9"))&gt;0,1,0)+IF((COUNTIF('C211'!B9,"Aula 9")+COUNTIF('C212'!B9,"Aula 9"))&gt;0,1,0)+IF((COUNTIF('C311'!B9,"Aula 9")+COUNTIF('C312'!B9,"Aula 9"))&gt;0,1,0)+IF((COUNTIF('C411'!B9,"Aula 9")+COUNTIF('C412'!B9,"Aula 9"))&gt;0,1,0)+IF((COUNTIF('M111'!B9,"Aula 9")+COUNTIF('M112'!B9,"Aula 9"))&gt;0,1,0)+IF((COUNTIF('M211'!B9,"Aula 9")+COUNTIF('M212'!B9,"Aula 9"))&gt;0,1,0)+IF((COUNTIF('M311'!B9,"Aula 9"))&gt;0,1,0)+IF((COUNTIF('M411'!B9,"Aula 9"))&gt;0,1,0)+IF((COUNTIF('D111'!B9,"Aula 9")+COUNTIF('D112'!B9,"Aula 9"))&gt;0,1,0)+IF((COUNTIF('D211'!B9,"Aula 9"))&gt;0,1,0)+IF((COUNTIF('D311'!B9,"Aula 9"))&gt;0,1,0)+IF((COUNTIF('D411'!B9,"Aula 9"))&gt;0,1,0))=1,IF((COUNTIF('C111'!B9,"Aula 9")+COUNTIF('C112'!B9,"Aula 9")+COUNTIF('C113'!B9,"Aula 9")+COUNTIF('C121'!B9,"Aula 9")+COUNTIF('C122'!B9,"Aula 9"))&gt;0,"C1",IF((COUNTIF('C211'!B9,"Aula 9")+COUNTIF('C212'!B9,"Aula 9"))&gt;0,"C2",IF((COUNTIF('C311'!B9,"Aula 9")+COUNTIF('C312'!B9,"Aula 9"))&gt;0,"C3",IF((COUNTIF('C411'!B9,"Aula 9")+COUNTIF('C412'!B9,"Aula 9"))&gt;0,"C4",IF((COUNTIF('M111'!B9,"Aula 9")+COUNTIF('M112'!B9,"Aula 9"))&gt;0,"M1",IF((COUNTIF('M211'!B9,"Aula 9")+COUNTIF('M212'!B9,"Aula 9"))&gt;0,"M2",IF((COUNTIF('M311'!B9,"Aula 9"))&gt;0,"M3",IF((COUNTIF('M411'!B9,"Aula 9"))&gt;0,"M4",IF((COUNTIF('D111'!B9,"Aula 9")+COUNTIF('D112'!B9,"Aula 9"))&gt;0,"D1",IF((COUNTIF('D211'!B9,"Aula 9"))&gt;0,"D2",IF((COUNTIF('D311'!B9,"Aula 9"))&gt;0,"D3",IF((COUNTIF('D411'!B9,"Aula 9"))&gt;0,"D4","")))))))))))),"MIX"))</f>
        <v/>
      </c>
    </row>
    <row r="40">
      <c r="C40">
        <f>IF((IF((COUNTIF('C111'!B9,"Aula 10")+COUNTIF('C112'!B9,"Aula 10")+COUNTIF('C113'!B9,"Aula 10")+COUNTIF('C121'!B9,"Aula 10")+COUNTIF('C122'!B9,"Aula 10"))&gt;0,1,0)+IF((COUNTIF('C211'!B9,"Aula 10")+COUNTIF('C212'!B9,"Aula 10"))&gt;0,1,0)+IF((COUNTIF('C311'!B9,"Aula 10")+COUNTIF('C312'!B9,"Aula 10"))&gt;0,1,0)+IF((COUNTIF('C411'!B9,"Aula 10")+COUNTIF('C412'!B9,"Aula 10"))&gt;0,1,0)+IF((COUNTIF('M111'!B9,"Aula 10")+COUNTIF('M112'!B9,"Aula 10"))&gt;0,1,0)+IF((COUNTIF('M211'!B9,"Aula 10")+COUNTIF('M212'!B9,"Aula 10"))&gt;0,1,0)+IF((COUNTIF('M311'!B9,"Aula 10"))&gt;0,1,0)+IF((COUNTIF('M411'!B9,"Aula 10"))&gt;0,1,0)+IF((COUNTIF('D111'!B9,"Aula 10")+COUNTIF('D112'!B9,"Aula 10"))&gt;0,1,0)+IF((COUNTIF('D211'!B9,"Aula 10"))&gt;0,1,0)+IF((COUNTIF('D311'!B9,"Aula 10"))&gt;0,1,0)+IF((COUNTIF('D411'!B9,"Aula 10"))&gt;0,1,0))=0,"",IF((IF((COUNTIF('C111'!B9,"Aula 10")+COUNTIF('C112'!B9,"Aula 10")+COUNTIF('C113'!B9,"Aula 10")+COUNTIF('C121'!B9,"Aula 10")+COUNTIF('C122'!B9,"Aula 10"))&gt;0,1,0)+IF((COUNTIF('C211'!B9,"Aula 10")+COUNTIF('C212'!B9,"Aula 10"))&gt;0,1,0)+IF((COUNTIF('C311'!B9,"Aula 10")+COUNTIF('C312'!B9,"Aula 10"))&gt;0,1,0)+IF((COUNTIF('C411'!B9,"Aula 10")+COUNTIF('C412'!B9,"Aula 10"))&gt;0,1,0)+IF((COUNTIF('M111'!B9,"Aula 10")+COUNTIF('M112'!B9,"Aula 10"))&gt;0,1,0)+IF((COUNTIF('M211'!B9,"Aula 10")+COUNTIF('M212'!B9,"Aula 10"))&gt;0,1,0)+IF((COUNTIF('M311'!B9,"Aula 10"))&gt;0,1,0)+IF((COUNTIF('M411'!B9,"Aula 10"))&gt;0,1,0)+IF((COUNTIF('D111'!B9,"Aula 10")+COUNTIF('D112'!B9,"Aula 10"))&gt;0,1,0)+IF((COUNTIF('D211'!B9,"Aula 10"))&gt;0,1,0)+IF((COUNTIF('D311'!B9,"Aula 10"))&gt;0,1,0)+IF((COUNTIF('D411'!B9,"Aula 10"))&gt;0,1,0))=1,IF((COUNTIF('C111'!B9,"Aula 10")+COUNTIF('C112'!B9,"Aula 10")+COUNTIF('C113'!B9,"Aula 10")+COUNTIF('C121'!B9,"Aula 10")+COUNTIF('C122'!B9,"Aula 10"))&gt;0,"C1",IF((COUNTIF('C211'!B9,"Aula 10")+COUNTIF('C212'!B9,"Aula 10"))&gt;0,"C2",IF((COUNTIF('C311'!B9,"Aula 10")+COUNTIF('C312'!B9,"Aula 10"))&gt;0,"C3",IF((COUNTIF('C411'!B9,"Aula 10")+COUNTIF('C412'!B9,"Aula 10"))&gt;0,"C4",IF((COUNTIF('M111'!B9,"Aula 10")+COUNTIF('M112'!B9,"Aula 10"))&gt;0,"M1",IF((COUNTIF('M211'!B9,"Aula 10")+COUNTIF('M212'!B9,"Aula 10"))&gt;0,"M2",IF((COUNTIF('M311'!B9,"Aula 10"))&gt;0,"M3",IF((COUNTIF('M411'!B9,"Aula 10"))&gt;0,"M4",IF((COUNTIF('D111'!B9,"Aula 10")+COUNTIF('D112'!B9,"Aula 10"))&gt;0,"D1",IF((COUNTIF('D211'!B9,"Aula 10"))&gt;0,"D2",IF((COUNTIF('D311'!B9,"Aula 10"))&gt;0,"D3",IF((COUNTIF('D411'!B9,"Aula 10"))&gt;0,"D4","")))))))))))),"MIX"))</f>
        <v/>
      </c>
    </row>
    <row r="41">
      <c r="C41">
        <f>IF((IF((COUNTIF('C111'!B9,"Aula 11")+COUNTIF('C112'!B9,"Aula 11")+COUNTIF('C113'!B9,"Aula 11")+COUNTIF('C121'!B9,"Aula 11")+COUNTIF('C122'!B9,"Aula 11"))&gt;0,1,0)+IF((COUNTIF('C211'!B9,"Aula 11")+COUNTIF('C212'!B9,"Aula 11"))&gt;0,1,0)+IF((COUNTIF('C311'!B9,"Aula 11")+COUNTIF('C312'!B9,"Aula 11"))&gt;0,1,0)+IF((COUNTIF('C411'!B9,"Aula 11")+COUNTIF('C412'!B9,"Aula 11"))&gt;0,1,0)+IF((COUNTIF('M111'!B9,"Aula 11")+COUNTIF('M112'!B9,"Aula 11"))&gt;0,1,0)+IF((COUNTIF('M211'!B9,"Aula 11")+COUNTIF('M212'!B9,"Aula 11"))&gt;0,1,0)+IF((COUNTIF('M311'!B9,"Aula 11"))&gt;0,1,0)+IF((COUNTIF('M411'!B9,"Aula 11"))&gt;0,1,0)+IF((COUNTIF('D111'!B9,"Aula 11")+COUNTIF('D112'!B9,"Aula 11"))&gt;0,1,0)+IF((COUNTIF('D211'!B9,"Aula 11"))&gt;0,1,0)+IF((COUNTIF('D311'!B9,"Aula 11"))&gt;0,1,0)+IF((COUNTIF('D411'!B9,"Aula 11"))&gt;0,1,0))=0,"",IF((IF((COUNTIF('C111'!B9,"Aula 11")+COUNTIF('C112'!B9,"Aula 11")+COUNTIF('C113'!B9,"Aula 11")+COUNTIF('C121'!B9,"Aula 11")+COUNTIF('C122'!B9,"Aula 11"))&gt;0,1,0)+IF((COUNTIF('C211'!B9,"Aula 11")+COUNTIF('C212'!B9,"Aula 11"))&gt;0,1,0)+IF((COUNTIF('C311'!B9,"Aula 11")+COUNTIF('C312'!B9,"Aula 11"))&gt;0,1,0)+IF((COUNTIF('C411'!B9,"Aula 11")+COUNTIF('C412'!B9,"Aula 11"))&gt;0,1,0)+IF((COUNTIF('M111'!B9,"Aula 11")+COUNTIF('M112'!B9,"Aula 11"))&gt;0,1,0)+IF((COUNTIF('M211'!B9,"Aula 11")+COUNTIF('M212'!B9,"Aula 11"))&gt;0,1,0)+IF((COUNTIF('M311'!B9,"Aula 11"))&gt;0,1,0)+IF((COUNTIF('M411'!B9,"Aula 11"))&gt;0,1,0)+IF((COUNTIF('D111'!B9,"Aula 11")+COUNTIF('D112'!B9,"Aula 11"))&gt;0,1,0)+IF((COUNTIF('D211'!B9,"Aula 11"))&gt;0,1,0)+IF((COUNTIF('D311'!B9,"Aula 11"))&gt;0,1,0)+IF((COUNTIF('D411'!B9,"Aula 11"))&gt;0,1,0))=1,IF((COUNTIF('C111'!B9,"Aula 11")+COUNTIF('C112'!B9,"Aula 11")+COUNTIF('C113'!B9,"Aula 11")+COUNTIF('C121'!B9,"Aula 11")+COUNTIF('C122'!B9,"Aula 11"))&gt;0,"C1",IF((COUNTIF('C211'!B9,"Aula 11")+COUNTIF('C212'!B9,"Aula 11"))&gt;0,"C2",IF((COUNTIF('C311'!B9,"Aula 11")+COUNTIF('C312'!B9,"Aula 11"))&gt;0,"C3",IF((COUNTIF('C411'!B9,"Aula 11")+COUNTIF('C412'!B9,"Aula 11"))&gt;0,"C4",IF((COUNTIF('M111'!B9,"Aula 11")+COUNTIF('M112'!B9,"Aula 11"))&gt;0,"M1",IF((COUNTIF('M211'!B9,"Aula 11")+COUNTIF('M212'!B9,"Aula 11"))&gt;0,"M2",IF((COUNTIF('M311'!B9,"Aula 11"))&gt;0,"M3",IF((COUNTIF('M411'!B9,"Aula 11"))&gt;0,"M4",IF((COUNTIF('D111'!B9,"Aula 11")+COUNTIF('D112'!B9,"Aula 11"))&gt;0,"D1",IF((COUNTIF('D211'!B9,"Aula 11"))&gt;0,"D2",IF((COUNTIF('D311'!B9,"Aula 11"))&gt;0,"D3",IF((COUNTIF('D411'!B9,"Aula 11"))&gt;0,"D4","")))))))))))),"MIX"))</f>
        <v/>
      </c>
    </row>
    <row r="42">
      <c r="C42">
        <f>IF((IF((COUNTIF('C111'!B9,"Aula 12")+COUNTIF('C112'!B9,"Aula 12")+COUNTIF('C113'!B9,"Aula 12")+COUNTIF('C121'!B9,"Aula 12")+COUNTIF('C122'!B9,"Aula 12"))&gt;0,1,0)+IF((COUNTIF('C211'!B9,"Aula 12")+COUNTIF('C212'!B9,"Aula 12"))&gt;0,1,0)+IF((COUNTIF('C311'!B9,"Aula 12")+COUNTIF('C312'!B9,"Aula 12"))&gt;0,1,0)+IF((COUNTIF('C411'!B9,"Aula 12")+COUNTIF('C412'!B9,"Aula 12"))&gt;0,1,0)+IF((COUNTIF('M111'!B9,"Aula 12")+COUNTIF('M112'!B9,"Aula 12"))&gt;0,1,0)+IF((COUNTIF('M211'!B9,"Aula 12")+COUNTIF('M212'!B9,"Aula 12"))&gt;0,1,0)+IF((COUNTIF('M311'!B9,"Aula 12"))&gt;0,1,0)+IF((COUNTIF('M411'!B9,"Aula 12"))&gt;0,1,0)+IF((COUNTIF('D111'!B9,"Aula 12")+COUNTIF('D112'!B9,"Aula 12"))&gt;0,1,0)+IF((COUNTIF('D211'!B9,"Aula 12"))&gt;0,1,0)+IF((COUNTIF('D311'!B9,"Aula 12"))&gt;0,1,0)+IF((COUNTIF('D411'!B9,"Aula 12"))&gt;0,1,0))=0,"",IF((IF((COUNTIF('C111'!B9,"Aula 12")+COUNTIF('C112'!B9,"Aula 12")+COUNTIF('C113'!B9,"Aula 12")+COUNTIF('C121'!B9,"Aula 12")+COUNTIF('C122'!B9,"Aula 12"))&gt;0,1,0)+IF((COUNTIF('C211'!B9,"Aula 12")+COUNTIF('C212'!B9,"Aula 12"))&gt;0,1,0)+IF((COUNTIF('C311'!B9,"Aula 12")+COUNTIF('C312'!B9,"Aula 12"))&gt;0,1,0)+IF((COUNTIF('C411'!B9,"Aula 12")+COUNTIF('C412'!B9,"Aula 12"))&gt;0,1,0)+IF((COUNTIF('M111'!B9,"Aula 12")+COUNTIF('M112'!B9,"Aula 12"))&gt;0,1,0)+IF((COUNTIF('M211'!B9,"Aula 12")+COUNTIF('M212'!B9,"Aula 12"))&gt;0,1,0)+IF((COUNTIF('M311'!B9,"Aula 12"))&gt;0,1,0)+IF((COUNTIF('M411'!B9,"Aula 12"))&gt;0,1,0)+IF((COUNTIF('D111'!B9,"Aula 12")+COUNTIF('D112'!B9,"Aula 12"))&gt;0,1,0)+IF((COUNTIF('D211'!B9,"Aula 12"))&gt;0,1,0)+IF((COUNTIF('D311'!B9,"Aula 12"))&gt;0,1,0)+IF((COUNTIF('D411'!B9,"Aula 12"))&gt;0,1,0))=1,IF((COUNTIF('C111'!B9,"Aula 12")+COUNTIF('C112'!B9,"Aula 12")+COUNTIF('C113'!B9,"Aula 12")+COUNTIF('C121'!B9,"Aula 12")+COUNTIF('C122'!B9,"Aula 12"))&gt;0,"C1",IF((COUNTIF('C211'!B9,"Aula 12")+COUNTIF('C212'!B9,"Aula 12"))&gt;0,"C2",IF((COUNTIF('C311'!B9,"Aula 12")+COUNTIF('C312'!B9,"Aula 12"))&gt;0,"C3",IF((COUNTIF('C411'!B9,"Aula 12")+COUNTIF('C412'!B9,"Aula 12"))&gt;0,"C4",IF((COUNTIF('M111'!B9,"Aula 12")+COUNTIF('M112'!B9,"Aula 12"))&gt;0,"M1",IF((COUNTIF('M211'!B9,"Aula 12")+COUNTIF('M212'!B9,"Aula 12"))&gt;0,"M2",IF((COUNTIF('M311'!B9,"Aula 12"))&gt;0,"M3",IF((COUNTIF('M411'!B9,"Aula 12"))&gt;0,"M4",IF((COUNTIF('D111'!B9,"Aula 12")+COUNTIF('D112'!B9,"Aula 12"))&gt;0,"D1",IF((COUNTIF('D211'!B9,"Aula 12"))&gt;0,"D2",IF((COUNTIF('D311'!B9,"Aula 12"))&gt;0,"D3",IF((COUNTIF('D411'!B9,"Aula 12"))&gt;0,"D4","")))))))))))),"MIX"))</f>
        <v/>
      </c>
    </row>
    <row r="43">
      <c r="C43">
        <f>IF((IF((COUNTIF('C111'!B9,"Lab 1")+COUNTIF('C112'!B9,"Lab 1")+COUNTIF('C113'!B9,"Lab 1")+COUNTIF('C121'!B9,"Lab 1")+COUNTIF('C122'!B9,"Lab 1"))&gt;0,1,0)+IF((COUNTIF('C211'!B9,"Lab 1")+COUNTIF('C212'!B9,"Lab 1"))&gt;0,1,0)+IF((COUNTIF('C311'!B9,"Lab 1")+COUNTIF('C312'!B9,"Lab 1"))&gt;0,1,0)+IF((COUNTIF('C411'!B9,"Lab 1")+COUNTIF('C412'!B9,"Lab 1"))&gt;0,1,0)+IF((COUNTIF('M111'!B9,"Lab 1")+COUNTIF('M112'!B9,"Lab 1"))&gt;0,1,0)+IF((COUNTIF('M211'!B9,"Lab 1")+COUNTIF('M212'!B9,"Lab 1"))&gt;0,1,0)+IF((COUNTIF('M311'!B9,"Lab 1"))&gt;0,1,0)+IF((COUNTIF('M411'!B9,"Lab 1"))&gt;0,1,0)+IF((COUNTIF('D111'!B9,"Lab 1")+COUNTIF('D112'!B9,"Lab 1"))&gt;0,1,0)+IF((COUNTIF('D211'!B9,"Lab 1"))&gt;0,1,0)+IF((COUNTIF('D311'!B9,"Lab 1"))&gt;0,1,0)+IF((COUNTIF('D411'!B9,"Lab 1"))&gt;0,1,0))=0,"",IF((IF((COUNTIF('C111'!B9,"Lab 1")+COUNTIF('C112'!B9,"Lab 1")+COUNTIF('C113'!B9,"Lab 1")+COUNTIF('C121'!B9,"Lab 1")+COUNTIF('C122'!B9,"Lab 1"))&gt;0,1,0)+IF((COUNTIF('C211'!B9,"Lab 1")+COUNTIF('C212'!B9,"Lab 1"))&gt;0,1,0)+IF((COUNTIF('C311'!B9,"Lab 1")+COUNTIF('C312'!B9,"Lab 1"))&gt;0,1,0)+IF((COUNTIF('C411'!B9,"Lab 1")+COUNTIF('C412'!B9,"Lab 1"))&gt;0,1,0)+IF((COUNTIF('M111'!B9,"Lab 1")+COUNTIF('M112'!B9,"Lab 1"))&gt;0,1,0)+IF((COUNTIF('M211'!B9,"Lab 1")+COUNTIF('M212'!B9,"Lab 1"))&gt;0,1,0)+IF((COUNTIF('M311'!B9,"Lab 1"))&gt;0,1,0)+IF((COUNTIF('M411'!B9,"Lab 1"))&gt;0,1,0)+IF((COUNTIF('D111'!B9,"Lab 1")+COUNTIF('D112'!B9,"Lab 1"))&gt;0,1,0)+IF((COUNTIF('D211'!B9,"Lab 1"))&gt;0,1,0)+IF((COUNTIF('D311'!B9,"Lab 1"))&gt;0,1,0)+IF((COUNTIF('D411'!B9,"Lab 1"))&gt;0,1,0))=1,IF((COUNTIF('C111'!B9,"Lab 1")+COUNTIF('C112'!B9,"Lab 1")+COUNTIF('C113'!B9,"Lab 1")+COUNTIF('C121'!B9,"Lab 1")+COUNTIF('C122'!B9,"Lab 1"))&gt;0,"C1",IF((COUNTIF('C211'!B9,"Lab 1")+COUNTIF('C212'!B9,"Lab 1"))&gt;0,"C2",IF((COUNTIF('C311'!B9,"Lab 1")+COUNTIF('C312'!B9,"Lab 1"))&gt;0,"C3",IF((COUNTIF('C411'!B9,"Lab 1")+COUNTIF('C412'!B9,"Lab 1"))&gt;0,"C4",IF((COUNTIF('M111'!B9,"Lab 1")+COUNTIF('M112'!B9,"Lab 1"))&gt;0,"M1",IF((COUNTIF('M211'!B9,"Lab 1")+COUNTIF('M212'!B9,"Lab 1"))&gt;0,"M2",IF((COUNTIF('M311'!B9,"Lab 1"))&gt;0,"M3",IF((COUNTIF('M411'!B9,"Lab 1"))&gt;0,"M4",IF((COUNTIF('D111'!B9,"Lab 1")+COUNTIF('D112'!B9,"Lab 1"))&gt;0,"D1",IF((COUNTIF('D211'!B9,"Lab 1"))&gt;0,"D2",IF((COUNTIF('D311'!B9,"Lab 1"))&gt;0,"D3",IF((COUNTIF('D411'!B9,"Lab 1"))&gt;0,"D4","")))))))))))),"MIX"))</f>
        <v/>
      </c>
    </row>
    <row r="44">
      <c r="C44">
        <f>IF((IF((COUNTIF('C111'!B9,"Lab 2")+COUNTIF('C112'!B9,"Lab 2")+COUNTIF('C113'!B9,"Lab 2")+COUNTIF('C121'!B9,"Lab 2")+COUNTIF('C122'!B9,"Lab 2"))&gt;0,1,0)+IF((COUNTIF('C211'!B9,"Lab 2")+COUNTIF('C212'!B9,"Lab 2"))&gt;0,1,0)+IF((COUNTIF('C311'!B9,"Lab 2")+COUNTIF('C312'!B9,"Lab 2"))&gt;0,1,0)+IF((COUNTIF('C411'!B9,"Lab 2")+COUNTIF('C412'!B9,"Lab 2"))&gt;0,1,0)+IF((COUNTIF('M111'!B9,"Lab 2")+COUNTIF('M112'!B9,"Lab 2"))&gt;0,1,0)+IF((COUNTIF('M211'!B9,"Lab 2")+COUNTIF('M212'!B9,"Lab 2"))&gt;0,1,0)+IF((COUNTIF('M311'!B9,"Lab 2"))&gt;0,1,0)+IF((COUNTIF('M411'!B9,"Lab 2"))&gt;0,1,0)+IF((COUNTIF('D111'!B9,"Lab 2")+COUNTIF('D112'!B9,"Lab 2"))&gt;0,1,0)+IF((COUNTIF('D211'!B9,"Lab 2"))&gt;0,1,0)+IF((COUNTIF('D311'!B9,"Lab 2"))&gt;0,1,0)+IF((COUNTIF('D411'!B9,"Lab 2"))&gt;0,1,0))=0,"",IF((IF((COUNTIF('C111'!B9,"Lab 2")+COUNTIF('C112'!B9,"Lab 2")+COUNTIF('C113'!B9,"Lab 2")+COUNTIF('C121'!B9,"Lab 2")+COUNTIF('C122'!B9,"Lab 2"))&gt;0,1,0)+IF((COUNTIF('C211'!B9,"Lab 2")+COUNTIF('C212'!B9,"Lab 2"))&gt;0,1,0)+IF((COUNTIF('C311'!B9,"Lab 2")+COUNTIF('C312'!B9,"Lab 2"))&gt;0,1,0)+IF((COUNTIF('C411'!B9,"Lab 2")+COUNTIF('C412'!B9,"Lab 2"))&gt;0,1,0)+IF((COUNTIF('M111'!B9,"Lab 2")+COUNTIF('M112'!B9,"Lab 2"))&gt;0,1,0)+IF((COUNTIF('M211'!B9,"Lab 2")+COUNTIF('M212'!B9,"Lab 2"))&gt;0,1,0)+IF((COUNTIF('M311'!B9,"Lab 2"))&gt;0,1,0)+IF((COUNTIF('M411'!B9,"Lab 2"))&gt;0,1,0)+IF((COUNTIF('D111'!B9,"Lab 2")+COUNTIF('D112'!B9,"Lab 2"))&gt;0,1,0)+IF((COUNTIF('D211'!B9,"Lab 2"))&gt;0,1,0)+IF((COUNTIF('D311'!B9,"Lab 2"))&gt;0,1,0)+IF((COUNTIF('D411'!B9,"Lab 2"))&gt;0,1,0))=1,IF((COUNTIF('C111'!B9,"Lab 2")+COUNTIF('C112'!B9,"Lab 2")+COUNTIF('C113'!B9,"Lab 2")+COUNTIF('C121'!B9,"Lab 2")+COUNTIF('C122'!B9,"Lab 2"))&gt;0,"C1",IF((COUNTIF('C211'!B9,"Lab 2")+COUNTIF('C212'!B9,"Lab 2"))&gt;0,"C2",IF((COUNTIF('C311'!B9,"Lab 2")+COUNTIF('C312'!B9,"Lab 2"))&gt;0,"C3",IF((COUNTIF('C411'!B9,"Lab 2")+COUNTIF('C412'!B9,"Lab 2"))&gt;0,"C4",IF((COUNTIF('M111'!B9,"Lab 2")+COUNTIF('M112'!B9,"Lab 2"))&gt;0,"M1",IF((COUNTIF('M211'!B9,"Lab 2")+COUNTIF('M212'!B9,"Lab 2"))&gt;0,"M2",IF((COUNTIF('M311'!B9,"Lab 2"))&gt;0,"M3",IF((COUNTIF('M411'!B9,"Lab 2"))&gt;0,"M4",IF((COUNTIF('D111'!B9,"Lab 2")+COUNTIF('D112'!B9,"Lab 2"))&gt;0,"D1",IF((COUNTIF('D211'!B9,"Lab 2"))&gt;0,"D2",IF((COUNTIF('D311'!B9,"Lab 2"))&gt;0,"D3",IF((COUNTIF('D411'!B9,"Lab 2"))&gt;0,"D4","")))))))))))),"MIX"))</f>
        <v/>
      </c>
    </row>
    <row r="45">
      <c r="C45">
        <f>IF((IF((COUNTIF('C111'!B9,"Salón")+COUNTIF('C112'!B9,"Salón")+COUNTIF('C113'!B9,"Salón")+COUNTIF('C121'!B9,"Salón")+COUNTIF('C122'!B9,"Salón"))&gt;0,1,0)+IF((COUNTIF('C211'!B9,"Salón")+COUNTIF('C212'!B9,"Salón"))&gt;0,1,0)+IF((COUNTIF('C311'!B9,"Salón")+COUNTIF('C312'!B9,"Salón"))&gt;0,1,0)+IF((COUNTIF('C411'!B9,"Salón")+COUNTIF('C412'!B9,"Salón"))&gt;0,1,0)+IF((COUNTIF('M111'!B9,"Salón")+COUNTIF('M112'!B9,"Salón"))&gt;0,1,0)+IF((COUNTIF('M211'!B9,"Salón")+COUNTIF('M212'!B9,"Salón"))&gt;0,1,0)+IF((COUNTIF('M311'!B9,"Salón"))&gt;0,1,0)+IF((COUNTIF('M411'!B9,"Salón"))&gt;0,1,0)+IF((COUNTIF('D111'!B9,"Salón")+COUNTIF('D112'!B9,"Salón"))&gt;0,1,0)+IF((COUNTIF('D211'!B9,"Salón"))&gt;0,1,0)+IF((COUNTIF('D311'!B9,"Salón"))&gt;0,1,0)+IF((COUNTIF('D411'!B9,"Salón"))&gt;0,1,0))=0,"",IF((IF((COUNTIF('C111'!B9,"Salón")+COUNTIF('C112'!B9,"Salón")+COUNTIF('C113'!B9,"Salón")+COUNTIF('C121'!B9,"Salón")+COUNTIF('C122'!B9,"Salón"))&gt;0,1,0)+IF((COUNTIF('C211'!B9,"Salón")+COUNTIF('C212'!B9,"Salón"))&gt;0,1,0)+IF((COUNTIF('C311'!B9,"Salón")+COUNTIF('C312'!B9,"Salón"))&gt;0,1,0)+IF((COUNTIF('C411'!B9,"Salón")+COUNTIF('C412'!B9,"Salón"))&gt;0,1,0)+IF((COUNTIF('M111'!B9,"Salón")+COUNTIF('M112'!B9,"Salón"))&gt;0,1,0)+IF((COUNTIF('M211'!B9,"Salón")+COUNTIF('M212'!B9,"Salón"))&gt;0,1,0)+IF((COUNTIF('M311'!B9,"Salón"))&gt;0,1,0)+IF((COUNTIF('M411'!B9,"Salón"))&gt;0,1,0)+IF((COUNTIF('D111'!B9,"Salón")+COUNTIF('D112'!B9,"Salón"))&gt;0,1,0)+IF((COUNTIF('D211'!B9,"Salón"))&gt;0,1,0)+IF((COUNTIF('D311'!B9,"Salón"))&gt;0,1,0)+IF((COUNTIF('D411'!B9,"Salón"))&gt;0,1,0))=1,IF((COUNTIF('C111'!B9,"Salón")+COUNTIF('C112'!B9,"Salón")+COUNTIF('C113'!B9,"Salón")+COUNTIF('C121'!B9,"Salón")+COUNTIF('C122'!B9,"Salón"))&gt;0,"C1",IF((COUNTIF('C211'!B9,"Salón")+COUNTIF('C212'!B9,"Salón"))&gt;0,"C2",IF((COUNTIF('C311'!B9,"Salón")+COUNTIF('C312'!B9,"Salón"))&gt;0,"C3",IF((COUNTIF('C411'!B9,"Salón")+COUNTIF('C412'!B9,"Salón"))&gt;0,"C4",IF((COUNTIF('M111'!B9,"Salón")+COUNTIF('M112'!B9,"Salón"))&gt;0,"M1",IF((COUNTIF('M211'!B9,"Salón")+COUNTIF('M212'!B9,"Salón"))&gt;0,"M2",IF((COUNTIF('M311'!B9,"Salón"))&gt;0,"M3",IF((COUNTIF('M411'!B9,"Salón"))&gt;0,"M4",IF((COUNTIF('D111'!B9,"Salón")+COUNTIF('D112'!B9,"Salón"))&gt;0,"D1",IF((COUNTIF('D211'!B9,"Salón"))&gt;0,"D2",IF((COUNTIF('D311'!B9,"Salón"))&gt;0,"D3",IF((COUNTIF('D411'!B9,"Salón"))&gt;0,"D4","")))))))))))),"MIX"))</f>
        <v/>
      </c>
    </row>
    <row r="46">
      <c r="C46">
        <f>IF((IF((COUNTIF('C111'!B11,"Aula 1")+COUNTIF('C112'!B11,"Aula 1")+COUNTIF('C113'!B11,"Aula 1")+COUNTIF('C121'!B11,"Aula 1")+COUNTIF('C122'!B11,"Aula 1"))&gt;0,1,0)+IF((COUNTIF('C211'!B11,"Aula 1")+COUNTIF('C212'!B11,"Aula 1"))&gt;0,1,0)+IF((COUNTIF('C311'!B11,"Aula 1")+COUNTIF('C312'!B11,"Aula 1"))&gt;0,1,0)+IF((COUNTIF('C411'!B11,"Aula 1")+COUNTIF('C412'!B11,"Aula 1"))&gt;0,1,0)+IF((COUNTIF('M111'!B11,"Aula 1")+COUNTIF('M112'!B11,"Aula 1"))&gt;0,1,0)+IF((COUNTIF('M211'!B11,"Aula 1")+COUNTIF('M212'!B11,"Aula 1"))&gt;0,1,0)+IF((COUNTIF('M311'!B11,"Aula 1"))&gt;0,1,0)+IF((COUNTIF('M411'!B11,"Aula 1"))&gt;0,1,0)+IF((COUNTIF('D111'!B11,"Aula 1")+COUNTIF('D112'!B11,"Aula 1"))&gt;0,1,0)+IF((COUNTIF('D211'!B11,"Aula 1"))&gt;0,1,0)+IF((COUNTIF('D311'!B11,"Aula 1"))&gt;0,1,0)+IF((COUNTIF('D411'!B11,"Aula 1"))&gt;0,1,0))=0,"",IF((IF((COUNTIF('C111'!B11,"Aula 1")+COUNTIF('C112'!B11,"Aula 1")+COUNTIF('C113'!B11,"Aula 1")+COUNTIF('C121'!B11,"Aula 1")+COUNTIF('C122'!B11,"Aula 1"))&gt;0,1,0)+IF((COUNTIF('C211'!B11,"Aula 1")+COUNTIF('C212'!B11,"Aula 1"))&gt;0,1,0)+IF((COUNTIF('C311'!B11,"Aula 1")+COUNTIF('C312'!B11,"Aula 1"))&gt;0,1,0)+IF((COUNTIF('C411'!B11,"Aula 1")+COUNTIF('C412'!B11,"Aula 1"))&gt;0,1,0)+IF((COUNTIF('M111'!B11,"Aula 1")+COUNTIF('M112'!B11,"Aula 1"))&gt;0,1,0)+IF((COUNTIF('M211'!B11,"Aula 1")+COUNTIF('M212'!B11,"Aula 1"))&gt;0,1,0)+IF((COUNTIF('M311'!B11,"Aula 1"))&gt;0,1,0)+IF((COUNTIF('M411'!B11,"Aula 1"))&gt;0,1,0)+IF((COUNTIF('D111'!B11,"Aula 1")+COUNTIF('D112'!B11,"Aula 1"))&gt;0,1,0)+IF((COUNTIF('D211'!B11,"Aula 1"))&gt;0,1,0)+IF((COUNTIF('D311'!B11,"Aula 1"))&gt;0,1,0)+IF((COUNTIF('D411'!B11,"Aula 1"))&gt;0,1,0))=1,IF((COUNTIF('C111'!B11,"Aula 1")+COUNTIF('C112'!B11,"Aula 1")+COUNTIF('C113'!B11,"Aula 1")+COUNTIF('C121'!B11,"Aula 1")+COUNTIF('C122'!B11,"Aula 1"))&gt;0,"C1",IF((COUNTIF('C211'!B11,"Aula 1")+COUNTIF('C212'!B11,"Aula 1"))&gt;0,"C2",IF((COUNTIF('C311'!B11,"Aula 1")+COUNTIF('C312'!B11,"Aula 1"))&gt;0,"C3",IF((COUNTIF('C411'!B11,"Aula 1")+COUNTIF('C412'!B11,"Aula 1"))&gt;0,"C4",IF((COUNTIF('M111'!B11,"Aula 1")+COUNTIF('M112'!B11,"Aula 1"))&gt;0,"M1",IF((COUNTIF('M211'!B11,"Aula 1")+COUNTIF('M212'!B11,"Aula 1"))&gt;0,"M2",IF((COUNTIF('M311'!B11,"Aula 1"))&gt;0,"M3",IF((COUNTIF('M411'!B11,"Aula 1"))&gt;0,"M4",IF((COUNTIF('D111'!B11,"Aula 1")+COUNTIF('D112'!B11,"Aula 1"))&gt;0,"D1",IF((COUNTIF('D211'!B11,"Aula 1"))&gt;0,"D2",IF((COUNTIF('D311'!B11,"Aula 1"))&gt;0,"D3",IF((COUNTIF('D411'!B11,"Aula 1"))&gt;0,"D4","")))))))))))),"MIX"))</f>
        <v/>
      </c>
    </row>
    <row r="47">
      <c r="C47">
        <f>IF((IF((COUNTIF('C111'!B11,"Aula 2")+COUNTIF('C112'!B11,"Aula 2")+COUNTIF('C113'!B11,"Aula 2")+COUNTIF('C121'!B11,"Aula 2")+COUNTIF('C122'!B11,"Aula 2"))&gt;0,1,0)+IF((COUNTIF('C211'!B11,"Aula 2")+COUNTIF('C212'!B11,"Aula 2"))&gt;0,1,0)+IF((COUNTIF('C311'!B11,"Aula 2")+COUNTIF('C312'!B11,"Aula 2"))&gt;0,1,0)+IF((COUNTIF('C411'!B11,"Aula 2")+COUNTIF('C412'!B11,"Aula 2"))&gt;0,1,0)+IF((COUNTIF('M111'!B11,"Aula 2")+COUNTIF('M112'!B11,"Aula 2"))&gt;0,1,0)+IF((COUNTIF('M211'!B11,"Aula 2")+COUNTIF('M212'!B11,"Aula 2"))&gt;0,1,0)+IF((COUNTIF('M311'!B11,"Aula 2"))&gt;0,1,0)+IF((COUNTIF('M411'!B11,"Aula 2"))&gt;0,1,0)+IF((COUNTIF('D111'!B11,"Aula 2")+COUNTIF('D112'!B11,"Aula 2"))&gt;0,1,0)+IF((COUNTIF('D211'!B11,"Aula 2"))&gt;0,1,0)+IF((COUNTIF('D311'!B11,"Aula 2"))&gt;0,1,0)+IF((COUNTIF('D411'!B11,"Aula 2"))&gt;0,1,0))=0,"",IF((IF((COUNTIF('C111'!B11,"Aula 2")+COUNTIF('C112'!B11,"Aula 2")+COUNTIF('C113'!B11,"Aula 2")+COUNTIF('C121'!B11,"Aula 2")+COUNTIF('C122'!B11,"Aula 2"))&gt;0,1,0)+IF((COUNTIF('C211'!B11,"Aula 2")+COUNTIF('C212'!B11,"Aula 2"))&gt;0,1,0)+IF((COUNTIF('C311'!B11,"Aula 2")+COUNTIF('C312'!B11,"Aula 2"))&gt;0,1,0)+IF((COUNTIF('C411'!B11,"Aula 2")+COUNTIF('C412'!B11,"Aula 2"))&gt;0,1,0)+IF((COUNTIF('M111'!B11,"Aula 2")+COUNTIF('M112'!B11,"Aula 2"))&gt;0,1,0)+IF((COUNTIF('M211'!B11,"Aula 2")+COUNTIF('M212'!B11,"Aula 2"))&gt;0,1,0)+IF((COUNTIF('M311'!B11,"Aula 2"))&gt;0,1,0)+IF((COUNTIF('M411'!B11,"Aula 2"))&gt;0,1,0)+IF((COUNTIF('D111'!B11,"Aula 2")+COUNTIF('D112'!B11,"Aula 2"))&gt;0,1,0)+IF((COUNTIF('D211'!B11,"Aula 2"))&gt;0,1,0)+IF((COUNTIF('D311'!B11,"Aula 2"))&gt;0,1,0)+IF((COUNTIF('D411'!B11,"Aula 2"))&gt;0,1,0))=1,IF((COUNTIF('C111'!B11,"Aula 2")+COUNTIF('C112'!B11,"Aula 2")+COUNTIF('C113'!B11,"Aula 2")+COUNTIF('C121'!B11,"Aula 2")+COUNTIF('C122'!B11,"Aula 2"))&gt;0,"C1",IF((COUNTIF('C211'!B11,"Aula 2")+COUNTIF('C212'!B11,"Aula 2"))&gt;0,"C2",IF((COUNTIF('C311'!B11,"Aula 2")+COUNTIF('C312'!B11,"Aula 2"))&gt;0,"C3",IF((COUNTIF('C411'!B11,"Aula 2")+COUNTIF('C412'!B11,"Aula 2"))&gt;0,"C4",IF((COUNTIF('M111'!B11,"Aula 2")+COUNTIF('M112'!B11,"Aula 2"))&gt;0,"M1",IF((COUNTIF('M211'!B11,"Aula 2")+COUNTIF('M212'!B11,"Aula 2"))&gt;0,"M2",IF((COUNTIF('M311'!B11,"Aula 2"))&gt;0,"M3",IF((COUNTIF('M411'!B11,"Aula 2"))&gt;0,"M4",IF((COUNTIF('D111'!B11,"Aula 2")+COUNTIF('D112'!B11,"Aula 2"))&gt;0,"D1",IF((COUNTIF('D211'!B11,"Aula 2"))&gt;0,"D2",IF((COUNTIF('D311'!B11,"Aula 2"))&gt;0,"D3",IF((COUNTIF('D411'!B11,"Aula 2"))&gt;0,"D4","")))))))))))),"MIX"))</f>
        <v/>
      </c>
    </row>
    <row r="48">
      <c r="C48">
        <f>IF((IF((COUNTIF('C111'!B11,"Aula 3")+COUNTIF('C112'!B11,"Aula 3")+COUNTIF('C113'!B11,"Aula 3")+COUNTIF('C121'!B11,"Aula 3")+COUNTIF('C122'!B11,"Aula 3"))&gt;0,1,0)+IF((COUNTIF('C211'!B11,"Aula 3")+COUNTIF('C212'!B11,"Aula 3"))&gt;0,1,0)+IF((COUNTIF('C311'!B11,"Aula 3")+COUNTIF('C312'!B11,"Aula 3"))&gt;0,1,0)+IF((COUNTIF('C411'!B11,"Aula 3")+COUNTIF('C412'!B11,"Aula 3"))&gt;0,1,0)+IF((COUNTIF('M111'!B11,"Aula 3")+COUNTIF('M112'!B11,"Aula 3"))&gt;0,1,0)+IF((COUNTIF('M211'!B11,"Aula 3")+COUNTIF('M212'!B11,"Aula 3"))&gt;0,1,0)+IF((COUNTIF('M311'!B11,"Aula 3"))&gt;0,1,0)+IF((COUNTIF('M411'!B11,"Aula 3"))&gt;0,1,0)+IF((COUNTIF('D111'!B11,"Aula 3")+COUNTIF('D112'!B11,"Aula 3"))&gt;0,1,0)+IF((COUNTIF('D211'!B11,"Aula 3"))&gt;0,1,0)+IF((COUNTIF('D311'!B11,"Aula 3"))&gt;0,1,0)+IF((COUNTIF('D411'!B11,"Aula 3"))&gt;0,1,0))=0,"",IF((IF((COUNTIF('C111'!B11,"Aula 3")+COUNTIF('C112'!B11,"Aula 3")+COUNTIF('C113'!B11,"Aula 3")+COUNTIF('C121'!B11,"Aula 3")+COUNTIF('C122'!B11,"Aula 3"))&gt;0,1,0)+IF((COUNTIF('C211'!B11,"Aula 3")+COUNTIF('C212'!B11,"Aula 3"))&gt;0,1,0)+IF((COUNTIF('C311'!B11,"Aula 3")+COUNTIF('C312'!B11,"Aula 3"))&gt;0,1,0)+IF((COUNTIF('C411'!B11,"Aula 3")+COUNTIF('C412'!B11,"Aula 3"))&gt;0,1,0)+IF((COUNTIF('M111'!B11,"Aula 3")+COUNTIF('M112'!B11,"Aula 3"))&gt;0,1,0)+IF((COUNTIF('M211'!B11,"Aula 3")+COUNTIF('M212'!B11,"Aula 3"))&gt;0,1,0)+IF((COUNTIF('M311'!B11,"Aula 3"))&gt;0,1,0)+IF((COUNTIF('M411'!B11,"Aula 3"))&gt;0,1,0)+IF((COUNTIF('D111'!B11,"Aula 3")+COUNTIF('D112'!B11,"Aula 3"))&gt;0,1,0)+IF((COUNTIF('D211'!B11,"Aula 3"))&gt;0,1,0)+IF((COUNTIF('D311'!B11,"Aula 3"))&gt;0,1,0)+IF((COUNTIF('D411'!B11,"Aula 3"))&gt;0,1,0))=1,IF((COUNTIF('C111'!B11,"Aula 3")+COUNTIF('C112'!B11,"Aula 3")+COUNTIF('C113'!B11,"Aula 3")+COUNTIF('C121'!B11,"Aula 3")+COUNTIF('C122'!B11,"Aula 3"))&gt;0,"C1",IF((COUNTIF('C211'!B11,"Aula 3")+COUNTIF('C212'!B11,"Aula 3"))&gt;0,"C2",IF((COUNTIF('C311'!B11,"Aula 3")+COUNTIF('C312'!B11,"Aula 3"))&gt;0,"C3",IF((COUNTIF('C411'!B11,"Aula 3")+COUNTIF('C412'!B11,"Aula 3"))&gt;0,"C4",IF((COUNTIF('M111'!B11,"Aula 3")+COUNTIF('M112'!B11,"Aula 3"))&gt;0,"M1",IF((COUNTIF('M211'!B11,"Aula 3")+COUNTIF('M212'!B11,"Aula 3"))&gt;0,"M2",IF((COUNTIF('M311'!B11,"Aula 3"))&gt;0,"M3",IF((COUNTIF('M411'!B11,"Aula 3"))&gt;0,"M4",IF((COUNTIF('D111'!B11,"Aula 3")+COUNTIF('D112'!B11,"Aula 3"))&gt;0,"D1",IF((COUNTIF('D211'!B11,"Aula 3"))&gt;0,"D2",IF((COUNTIF('D311'!B11,"Aula 3"))&gt;0,"D3",IF((COUNTIF('D411'!B11,"Aula 3"))&gt;0,"D4","")))))))))))),"MIX"))</f>
        <v/>
      </c>
    </row>
    <row r="49">
      <c r="C49">
        <f>IF((IF((COUNTIF('C111'!B11,"Aula 4")+COUNTIF('C112'!B11,"Aula 4")+COUNTIF('C113'!B11,"Aula 4")+COUNTIF('C121'!B11,"Aula 4")+COUNTIF('C122'!B11,"Aula 4"))&gt;0,1,0)+IF((COUNTIF('C211'!B11,"Aula 4")+COUNTIF('C212'!B11,"Aula 4"))&gt;0,1,0)+IF((COUNTIF('C311'!B11,"Aula 4")+COUNTIF('C312'!B11,"Aula 4"))&gt;0,1,0)+IF((COUNTIF('C411'!B11,"Aula 4")+COUNTIF('C412'!B11,"Aula 4"))&gt;0,1,0)+IF((COUNTIF('M111'!B11,"Aula 4")+COUNTIF('M112'!B11,"Aula 4"))&gt;0,1,0)+IF((COUNTIF('M211'!B11,"Aula 4")+COUNTIF('M212'!B11,"Aula 4"))&gt;0,1,0)+IF((COUNTIF('M311'!B11,"Aula 4"))&gt;0,1,0)+IF((COUNTIF('M411'!B11,"Aula 4"))&gt;0,1,0)+IF((COUNTIF('D111'!B11,"Aula 4")+COUNTIF('D112'!B11,"Aula 4"))&gt;0,1,0)+IF((COUNTIF('D211'!B11,"Aula 4"))&gt;0,1,0)+IF((COUNTIF('D311'!B11,"Aula 4"))&gt;0,1,0)+IF((COUNTIF('D411'!B11,"Aula 4"))&gt;0,1,0))=0,"",IF((IF((COUNTIF('C111'!B11,"Aula 4")+COUNTIF('C112'!B11,"Aula 4")+COUNTIF('C113'!B11,"Aula 4")+COUNTIF('C121'!B11,"Aula 4")+COUNTIF('C122'!B11,"Aula 4"))&gt;0,1,0)+IF((COUNTIF('C211'!B11,"Aula 4")+COUNTIF('C212'!B11,"Aula 4"))&gt;0,1,0)+IF((COUNTIF('C311'!B11,"Aula 4")+COUNTIF('C312'!B11,"Aula 4"))&gt;0,1,0)+IF((COUNTIF('C411'!B11,"Aula 4")+COUNTIF('C412'!B11,"Aula 4"))&gt;0,1,0)+IF((COUNTIF('M111'!B11,"Aula 4")+COUNTIF('M112'!B11,"Aula 4"))&gt;0,1,0)+IF((COUNTIF('M211'!B11,"Aula 4")+COUNTIF('M212'!B11,"Aula 4"))&gt;0,1,0)+IF((COUNTIF('M311'!B11,"Aula 4"))&gt;0,1,0)+IF((COUNTIF('M411'!B11,"Aula 4"))&gt;0,1,0)+IF((COUNTIF('D111'!B11,"Aula 4")+COUNTIF('D112'!B11,"Aula 4"))&gt;0,1,0)+IF((COUNTIF('D211'!B11,"Aula 4"))&gt;0,1,0)+IF((COUNTIF('D311'!B11,"Aula 4"))&gt;0,1,0)+IF((COUNTIF('D411'!B11,"Aula 4"))&gt;0,1,0))=1,IF((COUNTIF('C111'!B11,"Aula 4")+COUNTIF('C112'!B11,"Aula 4")+COUNTIF('C113'!B11,"Aula 4")+COUNTIF('C121'!B11,"Aula 4")+COUNTIF('C122'!B11,"Aula 4"))&gt;0,"C1",IF((COUNTIF('C211'!B11,"Aula 4")+COUNTIF('C212'!B11,"Aula 4"))&gt;0,"C2",IF((COUNTIF('C311'!B11,"Aula 4")+COUNTIF('C312'!B11,"Aula 4"))&gt;0,"C3",IF((COUNTIF('C411'!B11,"Aula 4")+COUNTIF('C412'!B11,"Aula 4"))&gt;0,"C4",IF((COUNTIF('M111'!B11,"Aula 4")+COUNTIF('M112'!B11,"Aula 4"))&gt;0,"M1",IF((COUNTIF('M211'!B11,"Aula 4")+COUNTIF('M212'!B11,"Aula 4"))&gt;0,"M2",IF((COUNTIF('M311'!B11,"Aula 4"))&gt;0,"M3",IF((COUNTIF('M411'!B11,"Aula 4"))&gt;0,"M4",IF((COUNTIF('D111'!B11,"Aula 4")+COUNTIF('D112'!B11,"Aula 4"))&gt;0,"D1",IF((COUNTIF('D211'!B11,"Aula 4"))&gt;0,"D2",IF((COUNTIF('D311'!B11,"Aula 4"))&gt;0,"D3",IF((COUNTIF('D411'!B11,"Aula 4"))&gt;0,"D4","")))))))))))),"MIX"))</f>
        <v/>
      </c>
    </row>
    <row r="50">
      <c r="C50">
        <f>IF((IF((COUNTIF('C111'!B11,"Aula 5")+COUNTIF('C112'!B11,"Aula 5")+COUNTIF('C113'!B11,"Aula 5")+COUNTIF('C121'!B11,"Aula 5")+COUNTIF('C122'!B11,"Aula 5"))&gt;0,1,0)+IF((COUNTIF('C211'!B11,"Aula 5")+COUNTIF('C212'!B11,"Aula 5"))&gt;0,1,0)+IF((COUNTIF('C311'!B11,"Aula 5")+COUNTIF('C312'!B11,"Aula 5"))&gt;0,1,0)+IF((COUNTIF('C411'!B11,"Aula 5")+COUNTIF('C412'!B11,"Aula 5"))&gt;0,1,0)+IF((COUNTIF('M111'!B11,"Aula 5")+COUNTIF('M112'!B11,"Aula 5"))&gt;0,1,0)+IF((COUNTIF('M211'!B11,"Aula 5")+COUNTIF('M212'!B11,"Aula 5"))&gt;0,1,0)+IF((COUNTIF('M311'!B11,"Aula 5"))&gt;0,1,0)+IF((COUNTIF('M411'!B11,"Aula 5"))&gt;0,1,0)+IF((COUNTIF('D111'!B11,"Aula 5")+COUNTIF('D112'!B11,"Aula 5"))&gt;0,1,0)+IF((COUNTIF('D211'!B11,"Aula 5"))&gt;0,1,0)+IF((COUNTIF('D311'!B11,"Aula 5"))&gt;0,1,0)+IF((COUNTIF('D411'!B11,"Aula 5"))&gt;0,1,0))=0,"",IF((IF((COUNTIF('C111'!B11,"Aula 5")+COUNTIF('C112'!B11,"Aula 5")+COUNTIF('C113'!B11,"Aula 5")+COUNTIF('C121'!B11,"Aula 5")+COUNTIF('C122'!B11,"Aula 5"))&gt;0,1,0)+IF((COUNTIF('C211'!B11,"Aula 5")+COUNTIF('C212'!B11,"Aula 5"))&gt;0,1,0)+IF((COUNTIF('C311'!B11,"Aula 5")+COUNTIF('C312'!B11,"Aula 5"))&gt;0,1,0)+IF((COUNTIF('C411'!B11,"Aula 5")+COUNTIF('C412'!B11,"Aula 5"))&gt;0,1,0)+IF((COUNTIF('M111'!B11,"Aula 5")+COUNTIF('M112'!B11,"Aula 5"))&gt;0,1,0)+IF((COUNTIF('M211'!B11,"Aula 5")+COUNTIF('M212'!B11,"Aula 5"))&gt;0,1,0)+IF((COUNTIF('M311'!B11,"Aula 5"))&gt;0,1,0)+IF((COUNTIF('M411'!B11,"Aula 5"))&gt;0,1,0)+IF((COUNTIF('D111'!B11,"Aula 5")+COUNTIF('D112'!B11,"Aula 5"))&gt;0,1,0)+IF((COUNTIF('D211'!B11,"Aula 5"))&gt;0,1,0)+IF((COUNTIF('D311'!B11,"Aula 5"))&gt;0,1,0)+IF((COUNTIF('D411'!B11,"Aula 5"))&gt;0,1,0))=1,IF((COUNTIF('C111'!B11,"Aula 5")+COUNTIF('C112'!B11,"Aula 5")+COUNTIF('C113'!B11,"Aula 5")+COUNTIF('C121'!B11,"Aula 5")+COUNTIF('C122'!B11,"Aula 5"))&gt;0,"C1",IF((COUNTIF('C211'!B11,"Aula 5")+COUNTIF('C212'!B11,"Aula 5"))&gt;0,"C2",IF((COUNTIF('C311'!B11,"Aula 5")+COUNTIF('C312'!B11,"Aula 5"))&gt;0,"C3",IF((COUNTIF('C411'!B11,"Aula 5")+COUNTIF('C412'!B11,"Aula 5"))&gt;0,"C4",IF((COUNTIF('M111'!B11,"Aula 5")+COUNTIF('M112'!B11,"Aula 5"))&gt;0,"M1",IF((COUNTIF('M211'!B11,"Aula 5")+COUNTIF('M212'!B11,"Aula 5"))&gt;0,"M2",IF((COUNTIF('M311'!B11,"Aula 5"))&gt;0,"M3",IF((COUNTIF('M411'!B11,"Aula 5"))&gt;0,"M4",IF((COUNTIF('D111'!B11,"Aula 5")+COUNTIF('D112'!B11,"Aula 5"))&gt;0,"D1",IF((COUNTIF('D211'!B11,"Aula 5"))&gt;0,"D2",IF((COUNTIF('D311'!B11,"Aula 5"))&gt;0,"D3",IF((COUNTIF('D411'!B11,"Aula 5"))&gt;0,"D4","")))))))))))),"MIX"))</f>
        <v/>
      </c>
    </row>
    <row r="51">
      <c r="C51">
        <f>IF((IF((COUNTIF('C111'!B11,"Aula 6")+COUNTIF('C112'!B11,"Aula 6")+COUNTIF('C113'!B11,"Aula 6")+COUNTIF('C121'!B11,"Aula 6")+COUNTIF('C122'!B11,"Aula 6"))&gt;0,1,0)+IF((COUNTIF('C211'!B11,"Aula 6")+COUNTIF('C212'!B11,"Aula 6"))&gt;0,1,0)+IF((COUNTIF('C311'!B11,"Aula 6")+COUNTIF('C312'!B11,"Aula 6"))&gt;0,1,0)+IF((COUNTIF('C411'!B11,"Aula 6")+COUNTIF('C412'!B11,"Aula 6"))&gt;0,1,0)+IF((COUNTIF('M111'!B11,"Aula 6")+COUNTIF('M112'!B11,"Aula 6"))&gt;0,1,0)+IF((COUNTIF('M211'!B11,"Aula 6")+COUNTIF('M212'!B11,"Aula 6"))&gt;0,1,0)+IF((COUNTIF('M311'!B11,"Aula 6"))&gt;0,1,0)+IF((COUNTIF('M411'!B11,"Aula 6"))&gt;0,1,0)+IF((COUNTIF('D111'!B11,"Aula 6")+COUNTIF('D112'!B11,"Aula 6"))&gt;0,1,0)+IF((COUNTIF('D211'!B11,"Aula 6"))&gt;0,1,0)+IF((COUNTIF('D311'!B11,"Aula 6"))&gt;0,1,0)+IF((COUNTIF('D411'!B11,"Aula 6"))&gt;0,1,0))=0,"",IF((IF((COUNTIF('C111'!B11,"Aula 6")+COUNTIF('C112'!B11,"Aula 6")+COUNTIF('C113'!B11,"Aula 6")+COUNTIF('C121'!B11,"Aula 6")+COUNTIF('C122'!B11,"Aula 6"))&gt;0,1,0)+IF((COUNTIF('C211'!B11,"Aula 6")+COUNTIF('C212'!B11,"Aula 6"))&gt;0,1,0)+IF((COUNTIF('C311'!B11,"Aula 6")+COUNTIF('C312'!B11,"Aula 6"))&gt;0,1,0)+IF((COUNTIF('C411'!B11,"Aula 6")+COUNTIF('C412'!B11,"Aula 6"))&gt;0,1,0)+IF((COUNTIF('M111'!B11,"Aula 6")+COUNTIF('M112'!B11,"Aula 6"))&gt;0,1,0)+IF((COUNTIF('M211'!B11,"Aula 6")+COUNTIF('M212'!B11,"Aula 6"))&gt;0,1,0)+IF((COUNTIF('M311'!B11,"Aula 6"))&gt;0,1,0)+IF((COUNTIF('M411'!B11,"Aula 6"))&gt;0,1,0)+IF((COUNTIF('D111'!B11,"Aula 6")+COUNTIF('D112'!B11,"Aula 6"))&gt;0,1,0)+IF((COUNTIF('D211'!B11,"Aula 6"))&gt;0,1,0)+IF((COUNTIF('D311'!B11,"Aula 6"))&gt;0,1,0)+IF((COUNTIF('D411'!B11,"Aula 6"))&gt;0,1,0))=1,IF((COUNTIF('C111'!B11,"Aula 6")+COUNTIF('C112'!B11,"Aula 6")+COUNTIF('C113'!B11,"Aula 6")+COUNTIF('C121'!B11,"Aula 6")+COUNTIF('C122'!B11,"Aula 6"))&gt;0,"C1",IF((COUNTIF('C211'!B11,"Aula 6")+COUNTIF('C212'!B11,"Aula 6"))&gt;0,"C2",IF((COUNTIF('C311'!B11,"Aula 6")+COUNTIF('C312'!B11,"Aula 6"))&gt;0,"C3",IF((COUNTIF('C411'!B11,"Aula 6")+COUNTIF('C412'!B11,"Aula 6"))&gt;0,"C4",IF((COUNTIF('M111'!B11,"Aula 6")+COUNTIF('M112'!B11,"Aula 6"))&gt;0,"M1",IF((COUNTIF('M211'!B11,"Aula 6")+COUNTIF('M212'!B11,"Aula 6"))&gt;0,"M2",IF((COUNTIF('M311'!B11,"Aula 6"))&gt;0,"M3",IF((COUNTIF('M411'!B11,"Aula 6"))&gt;0,"M4",IF((COUNTIF('D111'!B11,"Aula 6")+COUNTIF('D112'!B11,"Aula 6"))&gt;0,"D1",IF((COUNTIF('D211'!B11,"Aula 6"))&gt;0,"D2",IF((COUNTIF('D311'!B11,"Aula 6"))&gt;0,"D3",IF((COUNTIF('D411'!B11,"Aula 6"))&gt;0,"D4","")))))))))))),"MIX"))</f>
        <v/>
      </c>
    </row>
    <row r="52">
      <c r="C52">
        <f>IF((IF((COUNTIF('C111'!B11,"Aula 7")+COUNTIF('C112'!B11,"Aula 7")+COUNTIF('C113'!B11,"Aula 7")+COUNTIF('C121'!B11,"Aula 7")+COUNTIF('C122'!B11,"Aula 7"))&gt;0,1,0)+IF((COUNTIF('C211'!B11,"Aula 7")+COUNTIF('C212'!B11,"Aula 7"))&gt;0,1,0)+IF((COUNTIF('C311'!B11,"Aula 7")+COUNTIF('C312'!B11,"Aula 7"))&gt;0,1,0)+IF((COUNTIF('C411'!B11,"Aula 7")+COUNTIF('C412'!B11,"Aula 7"))&gt;0,1,0)+IF((COUNTIF('M111'!B11,"Aula 7")+COUNTIF('M112'!B11,"Aula 7"))&gt;0,1,0)+IF((COUNTIF('M211'!B11,"Aula 7")+COUNTIF('M212'!B11,"Aula 7"))&gt;0,1,0)+IF((COUNTIF('M311'!B11,"Aula 7"))&gt;0,1,0)+IF((COUNTIF('M411'!B11,"Aula 7"))&gt;0,1,0)+IF((COUNTIF('D111'!B11,"Aula 7")+COUNTIF('D112'!B11,"Aula 7"))&gt;0,1,0)+IF((COUNTIF('D211'!B11,"Aula 7"))&gt;0,1,0)+IF((COUNTIF('D311'!B11,"Aula 7"))&gt;0,1,0)+IF((COUNTIF('D411'!B11,"Aula 7"))&gt;0,1,0))=0,"",IF((IF((COUNTIF('C111'!B11,"Aula 7")+COUNTIF('C112'!B11,"Aula 7")+COUNTIF('C113'!B11,"Aula 7")+COUNTIF('C121'!B11,"Aula 7")+COUNTIF('C122'!B11,"Aula 7"))&gt;0,1,0)+IF((COUNTIF('C211'!B11,"Aula 7")+COUNTIF('C212'!B11,"Aula 7"))&gt;0,1,0)+IF((COUNTIF('C311'!B11,"Aula 7")+COUNTIF('C312'!B11,"Aula 7"))&gt;0,1,0)+IF((COUNTIF('C411'!B11,"Aula 7")+COUNTIF('C412'!B11,"Aula 7"))&gt;0,1,0)+IF((COUNTIF('M111'!B11,"Aula 7")+COUNTIF('M112'!B11,"Aula 7"))&gt;0,1,0)+IF((COUNTIF('M211'!B11,"Aula 7")+COUNTIF('M212'!B11,"Aula 7"))&gt;0,1,0)+IF((COUNTIF('M311'!B11,"Aula 7"))&gt;0,1,0)+IF((COUNTIF('M411'!B11,"Aula 7"))&gt;0,1,0)+IF((COUNTIF('D111'!B11,"Aula 7")+COUNTIF('D112'!B11,"Aula 7"))&gt;0,1,0)+IF((COUNTIF('D211'!B11,"Aula 7"))&gt;0,1,0)+IF((COUNTIF('D311'!B11,"Aula 7"))&gt;0,1,0)+IF((COUNTIF('D411'!B11,"Aula 7"))&gt;0,1,0))=1,IF((COUNTIF('C111'!B11,"Aula 7")+COUNTIF('C112'!B11,"Aula 7")+COUNTIF('C113'!B11,"Aula 7")+COUNTIF('C121'!B11,"Aula 7")+COUNTIF('C122'!B11,"Aula 7"))&gt;0,"C1",IF((COUNTIF('C211'!B11,"Aula 7")+COUNTIF('C212'!B11,"Aula 7"))&gt;0,"C2",IF((COUNTIF('C311'!B11,"Aula 7")+COUNTIF('C312'!B11,"Aula 7"))&gt;0,"C3",IF((COUNTIF('C411'!B11,"Aula 7")+COUNTIF('C412'!B11,"Aula 7"))&gt;0,"C4",IF((COUNTIF('M111'!B11,"Aula 7")+COUNTIF('M112'!B11,"Aula 7"))&gt;0,"M1",IF((COUNTIF('M211'!B11,"Aula 7")+COUNTIF('M212'!B11,"Aula 7"))&gt;0,"M2",IF((COUNTIF('M311'!B11,"Aula 7"))&gt;0,"M3",IF((COUNTIF('M411'!B11,"Aula 7"))&gt;0,"M4",IF((COUNTIF('D111'!B11,"Aula 7")+COUNTIF('D112'!B11,"Aula 7"))&gt;0,"D1",IF((COUNTIF('D211'!B11,"Aula 7"))&gt;0,"D2",IF((COUNTIF('D311'!B11,"Aula 7"))&gt;0,"D3",IF((COUNTIF('D411'!B11,"Aula 7"))&gt;0,"D4","")))))))))))),"MIX"))</f>
        <v/>
      </c>
    </row>
    <row r="53">
      <c r="C53">
        <f>IF((IF((COUNTIF('C111'!B11,"Aula 8")+COUNTIF('C112'!B11,"Aula 8")+COUNTIF('C113'!B11,"Aula 8")+COUNTIF('C121'!B11,"Aula 8")+COUNTIF('C122'!B11,"Aula 8"))&gt;0,1,0)+IF((COUNTIF('C211'!B11,"Aula 8")+COUNTIF('C212'!B11,"Aula 8"))&gt;0,1,0)+IF((COUNTIF('C311'!B11,"Aula 8")+COUNTIF('C312'!B11,"Aula 8"))&gt;0,1,0)+IF((COUNTIF('C411'!B11,"Aula 8")+COUNTIF('C412'!B11,"Aula 8"))&gt;0,1,0)+IF((COUNTIF('M111'!B11,"Aula 8")+COUNTIF('M112'!B11,"Aula 8"))&gt;0,1,0)+IF((COUNTIF('M211'!B11,"Aula 8")+COUNTIF('M212'!B11,"Aula 8"))&gt;0,1,0)+IF((COUNTIF('M311'!B11,"Aula 8"))&gt;0,1,0)+IF((COUNTIF('M411'!B11,"Aula 8"))&gt;0,1,0)+IF((COUNTIF('D111'!B11,"Aula 8")+COUNTIF('D112'!B11,"Aula 8"))&gt;0,1,0)+IF((COUNTIF('D211'!B11,"Aula 8"))&gt;0,1,0)+IF((COUNTIF('D311'!B11,"Aula 8"))&gt;0,1,0)+IF((COUNTIF('D411'!B11,"Aula 8"))&gt;0,1,0))=0,"",IF((IF((COUNTIF('C111'!B11,"Aula 8")+COUNTIF('C112'!B11,"Aula 8")+COUNTIF('C113'!B11,"Aula 8")+COUNTIF('C121'!B11,"Aula 8")+COUNTIF('C122'!B11,"Aula 8"))&gt;0,1,0)+IF((COUNTIF('C211'!B11,"Aula 8")+COUNTIF('C212'!B11,"Aula 8"))&gt;0,1,0)+IF((COUNTIF('C311'!B11,"Aula 8")+COUNTIF('C312'!B11,"Aula 8"))&gt;0,1,0)+IF((COUNTIF('C411'!B11,"Aula 8")+COUNTIF('C412'!B11,"Aula 8"))&gt;0,1,0)+IF((COUNTIF('M111'!B11,"Aula 8")+COUNTIF('M112'!B11,"Aula 8"))&gt;0,1,0)+IF((COUNTIF('M211'!B11,"Aula 8")+COUNTIF('M212'!B11,"Aula 8"))&gt;0,1,0)+IF((COUNTIF('M311'!B11,"Aula 8"))&gt;0,1,0)+IF((COUNTIF('M411'!B11,"Aula 8"))&gt;0,1,0)+IF((COUNTIF('D111'!B11,"Aula 8")+COUNTIF('D112'!B11,"Aula 8"))&gt;0,1,0)+IF((COUNTIF('D211'!B11,"Aula 8"))&gt;0,1,0)+IF((COUNTIF('D311'!B11,"Aula 8"))&gt;0,1,0)+IF((COUNTIF('D411'!B11,"Aula 8"))&gt;0,1,0))=1,IF((COUNTIF('C111'!B11,"Aula 8")+COUNTIF('C112'!B11,"Aula 8")+COUNTIF('C113'!B11,"Aula 8")+COUNTIF('C121'!B11,"Aula 8")+COUNTIF('C122'!B11,"Aula 8"))&gt;0,"C1",IF((COUNTIF('C211'!B11,"Aula 8")+COUNTIF('C212'!B11,"Aula 8"))&gt;0,"C2",IF((COUNTIF('C311'!B11,"Aula 8")+COUNTIF('C312'!B11,"Aula 8"))&gt;0,"C3",IF((COUNTIF('C411'!B11,"Aula 8")+COUNTIF('C412'!B11,"Aula 8"))&gt;0,"C4",IF((COUNTIF('M111'!B11,"Aula 8")+COUNTIF('M112'!B11,"Aula 8"))&gt;0,"M1",IF((COUNTIF('M211'!B11,"Aula 8")+COUNTIF('M212'!B11,"Aula 8"))&gt;0,"M2",IF((COUNTIF('M311'!B11,"Aula 8"))&gt;0,"M3",IF((COUNTIF('M411'!B11,"Aula 8"))&gt;0,"M4",IF((COUNTIF('D111'!B11,"Aula 8")+COUNTIF('D112'!B11,"Aula 8"))&gt;0,"D1",IF((COUNTIF('D211'!B11,"Aula 8"))&gt;0,"D2",IF((COUNTIF('D311'!B11,"Aula 8"))&gt;0,"D3",IF((COUNTIF('D411'!B11,"Aula 8"))&gt;0,"D4","")))))))))))),"MIX"))</f>
        <v/>
      </c>
    </row>
    <row r="54">
      <c r="C54">
        <f>IF((IF((COUNTIF('C111'!B11,"Aula 9")+COUNTIF('C112'!B11,"Aula 9")+COUNTIF('C113'!B11,"Aula 9")+COUNTIF('C121'!B11,"Aula 9")+COUNTIF('C122'!B11,"Aula 9"))&gt;0,1,0)+IF((COUNTIF('C211'!B11,"Aula 9")+COUNTIF('C212'!B11,"Aula 9"))&gt;0,1,0)+IF((COUNTIF('C311'!B11,"Aula 9")+COUNTIF('C312'!B11,"Aula 9"))&gt;0,1,0)+IF((COUNTIF('C411'!B11,"Aula 9")+COUNTIF('C412'!B11,"Aula 9"))&gt;0,1,0)+IF((COUNTIF('M111'!B11,"Aula 9")+COUNTIF('M112'!B11,"Aula 9"))&gt;0,1,0)+IF((COUNTIF('M211'!B11,"Aula 9")+COUNTIF('M212'!B11,"Aula 9"))&gt;0,1,0)+IF((COUNTIF('M311'!B11,"Aula 9"))&gt;0,1,0)+IF((COUNTIF('M411'!B11,"Aula 9"))&gt;0,1,0)+IF((COUNTIF('D111'!B11,"Aula 9")+COUNTIF('D112'!B11,"Aula 9"))&gt;0,1,0)+IF((COUNTIF('D211'!B11,"Aula 9"))&gt;0,1,0)+IF((COUNTIF('D311'!B11,"Aula 9"))&gt;0,1,0)+IF((COUNTIF('D411'!B11,"Aula 9"))&gt;0,1,0))=0,"",IF((IF((COUNTIF('C111'!B11,"Aula 9")+COUNTIF('C112'!B11,"Aula 9")+COUNTIF('C113'!B11,"Aula 9")+COUNTIF('C121'!B11,"Aula 9")+COUNTIF('C122'!B11,"Aula 9"))&gt;0,1,0)+IF((COUNTIF('C211'!B11,"Aula 9")+COUNTIF('C212'!B11,"Aula 9"))&gt;0,1,0)+IF((COUNTIF('C311'!B11,"Aula 9")+COUNTIF('C312'!B11,"Aula 9"))&gt;0,1,0)+IF((COUNTIF('C411'!B11,"Aula 9")+COUNTIF('C412'!B11,"Aula 9"))&gt;0,1,0)+IF((COUNTIF('M111'!B11,"Aula 9")+COUNTIF('M112'!B11,"Aula 9"))&gt;0,1,0)+IF((COUNTIF('M211'!B11,"Aula 9")+COUNTIF('M212'!B11,"Aula 9"))&gt;0,1,0)+IF((COUNTIF('M311'!B11,"Aula 9"))&gt;0,1,0)+IF((COUNTIF('M411'!B11,"Aula 9"))&gt;0,1,0)+IF((COUNTIF('D111'!B11,"Aula 9")+COUNTIF('D112'!B11,"Aula 9"))&gt;0,1,0)+IF((COUNTIF('D211'!B11,"Aula 9"))&gt;0,1,0)+IF((COUNTIF('D311'!B11,"Aula 9"))&gt;0,1,0)+IF((COUNTIF('D411'!B11,"Aula 9"))&gt;0,1,0))=1,IF((COUNTIF('C111'!B11,"Aula 9")+COUNTIF('C112'!B11,"Aula 9")+COUNTIF('C113'!B11,"Aula 9")+COUNTIF('C121'!B11,"Aula 9")+COUNTIF('C122'!B11,"Aula 9"))&gt;0,"C1",IF((COUNTIF('C211'!B11,"Aula 9")+COUNTIF('C212'!B11,"Aula 9"))&gt;0,"C2",IF((COUNTIF('C311'!B11,"Aula 9")+COUNTIF('C312'!B11,"Aula 9"))&gt;0,"C3",IF((COUNTIF('C411'!B11,"Aula 9")+COUNTIF('C412'!B11,"Aula 9"))&gt;0,"C4",IF((COUNTIF('M111'!B11,"Aula 9")+COUNTIF('M112'!B11,"Aula 9"))&gt;0,"M1",IF((COUNTIF('M211'!B11,"Aula 9")+COUNTIF('M212'!B11,"Aula 9"))&gt;0,"M2",IF((COUNTIF('M311'!B11,"Aula 9"))&gt;0,"M3",IF((COUNTIF('M411'!B11,"Aula 9"))&gt;0,"M4",IF((COUNTIF('D111'!B11,"Aula 9")+COUNTIF('D112'!B11,"Aula 9"))&gt;0,"D1",IF((COUNTIF('D211'!B11,"Aula 9"))&gt;0,"D2",IF((COUNTIF('D311'!B11,"Aula 9"))&gt;0,"D3",IF((COUNTIF('D411'!B11,"Aula 9"))&gt;0,"D4","")))))))))))),"MIX"))</f>
        <v/>
      </c>
    </row>
    <row r="55">
      <c r="C55">
        <f>IF((IF((COUNTIF('C111'!B11,"Aula 10")+COUNTIF('C112'!B11,"Aula 10")+COUNTIF('C113'!B11,"Aula 10")+COUNTIF('C121'!B11,"Aula 10")+COUNTIF('C122'!B11,"Aula 10"))&gt;0,1,0)+IF((COUNTIF('C211'!B11,"Aula 10")+COUNTIF('C212'!B11,"Aula 10"))&gt;0,1,0)+IF((COUNTIF('C311'!B11,"Aula 10")+COUNTIF('C312'!B11,"Aula 10"))&gt;0,1,0)+IF((COUNTIF('C411'!B11,"Aula 10")+COUNTIF('C412'!B11,"Aula 10"))&gt;0,1,0)+IF((COUNTIF('M111'!B11,"Aula 10")+COUNTIF('M112'!B11,"Aula 10"))&gt;0,1,0)+IF((COUNTIF('M211'!B11,"Aula 10")+COUNTIF('M212'!B11,"Aula 10"))&gt;0,1,0)+IF((COUNTIF('M311'!B11,"Aula 10"))&gt;0,1,0)+IF((COUNTIF('M411'!B11,"Aula 10"))&gt;0,1,0)+IF((COUNTIF('D111'!B11,"Aula 10")+COUNTIF('D112'!B11,"Aula 10"))&gt;0,1,0)+IF((COUNTIF('D211'!B11,"Aula 10"))&gt;0,1,0)+IF((COUNTIF('D311'!B11,"Aula 10"))&gt;0,1,0)+IF((COUNTIF('D411'!B11,"Aula 10"))&gt;0,1,0))=0,"",IF((IF((COUNTIF('C111'!B11,"Aula 10")+COUNTIF('C112'!B11,"Aula 10")+COUNTIF('C113'!B11,"Aula 10")+COUNTIF('C121'!B11,"Aula 10")+COUNTIF('C122'!B11,"Aula 10"))&gt;0,1,0)+IF((COUNTIF('C211'!B11,"Aula 10")+COUNTIF('C212'!B11,"Aula 10"))&gt;0,1,0)+IF((COUNTIF('C311'!B11,"Aula 10")+COUNTIF('C312'!B11,"Aula 10"))&gt;0,1,0)+IF((COUNTIF('C411'!B11,"Aula 10")+COUNTIF('C412'!B11,"Aula 10"))&gt;0,1,0)+IF((COUNTIF('M111'!B11,"Aula 10")+COUNTIF('M112'!B11,"Aula 10"))&gt;0,1,0)+IF((COUNTIF('M211'!B11,"Aula 10")+COUNTIF('M212'!B11,"Aula 10"))&gt;0,1,0)+IF((COUNTIF('M311'!B11,"Aula 10"))&gt;0,1,0)+IF((COUNTIF('M411'!B11,"Aula 10"))&gt;0,1,0)+IF((COUNTIF('D111'!B11,"Aula 10")+COUNTIF('D112'!B11,"Aula 10"))&gt;0,1,0)+IF((COUNTIF('D211'!B11,"Aula 10"))&gt;0,1,0)+IF((COUNTIF('D311'!B11,"Aula 10"))&gt;0,1,0)+IF((COUNTIF('D411'!B11,"Aula 10"))&gt;0,1,0))=1,IF((COUNTIF('C111'!B11,"Aula 10")+COUNTIF('C112'!B11,"Aula 10")+COUNTIF('C113'!B11,"Aula 10")+COUNTIF('C121'!B11,"Aula 10")+COUNTIF('C122'!B11,"Aula 10"))&gt;0,"C1",IF((COUNTIF('C211'!B11,"Aula 10")+COUNTIF('C212'!B11,"Aula 10"))&gt;0,"C2",IF((COUNTIF('C311'!B11,"Aula 10")+COUNTIF('C312'!B11,"Aula 10"))&gt;0,"C3",IF((COUNTIF('C411'!B11,"Aula 10")+COUNTIF('C412'!B11,"Aula 10"))&gt;0,"C4",IF((COUNTIF('M111'!B11,"Aula 10")+COUNTIF('M112'!B11,"Aula 10"))&gt;0,"M1",IF((COUNTIF('M211'!B11,"Aula 10")+COUNTIF('M212'!B11,"Aula 10"))&gt;0,"M2",IF((COUNTIF('M311'!B11,"Aula 10"))&gt;0,"M3",IF((COUNTIF('M411'!B11,"Aula 10"))&gt;0,"M4",IF((COUNTIF('D111'!B11,"Aula 10")+COUNTIF('D112'!B11,"Aula 10"))&gt;0,"D1",IF((COUNTIF('D211'!B11,"Aula 10"))&gt;0,"D2",IF((COUNTIF('D311'!B11,"Aula 10"))&gt;0,"D3",IF((COUNTIF('D411'!B11,"Aula 10"))&gt;0,"D4","")))))))))))),"MIX"))</f>
        <v/>
      </c>
    </row>
    <row r="56">
      <c r="C56">
        <f>IF((IF((COUNTIF('C111'!B11,"Aula 11")+COUNTIF('C112'!B11,"Aula 11")+COUNTIF('C113'!B11,"Aula 11")+COUNTIF('C121'!B11,"Aula 11")+COUNTIF('C122'!B11,"Aula 11"))&gt;0,1,0)+IF((COUNTIF('C211'!B11,"Aula 11")+COUNTIF('C212'!B11,"Aula 11"))&gt;0,1,0)+IF((COUNTIF('C311'!B11,"Aula 11")+COUNTIF('C312'!B11,"Aula 11"))&gt;0,1,0)+IF((COUNTIF('C411'!B11,"Aula 11")+COUNTIF('C412'!B11,"Aula 11"))&gt;0,1,0)+IF((COUNTIF('M111'!B11,"Aula 11")+COUNTIF('M112'!B11,"Aula 11"))&gt;0,1,0)+IF((COUNTIF('M211'!B11,"Aula 11")+COUNTIF('M212'!B11,"Aula 11"))&gt;0,1,0)+IF((COUNTIF('M311'!B11,"Aula 11"))&gt;0,1,0)+IF((COUNTIF('M411'!B11,"Aula 11"))&gt;0,1,0)+IF((COUNTIF('D111'!B11,"Aula 11")+COUNTIF('D112'!B11,"Aula 11"))&gt;0,1,0)+IF((COUNTIF('D211'!B11,"Aula 11"))&gt;0,1,0)+IF((COUNTIF('D311'!B11,"Aula 11"))&gt;0,1,0)+IF((COUNTIF('D411'!B11,"Aula 11"))&gt;0,1,0))=0,"",IF((IF((COUNTIF('C111'!B11,"Aula 11")+COUNTIF('C112'!B11,"Aula 11")+COUNTIF('C113'!B11,"Aula 11")+COUNTIF('C121'!B11,"Aula 11")+COUNTIF('C122'!B11,"Aula 11"))&gt;0,1,0)+IF((COUNTIF('C211'!B11,"Aula 11")+COUNTIF('C212'!B11,"Aula 11"))&gt;0,1,0)+IF((COUNTIF('C311'!B11,"Aula 11")+COUNTIF('C312'!B11,"Aula 11"))&gt;0,1,0)+IF((COUNTIF('C411'!B11,"Aula 11")+COUNTIF('C412'!B11,"Aula 11"))&gt;0,1,0)+IF((COUNTIF('M111'!B11,"Aula 11")+COUNTIF('M112'!B11,"Aula 11"))&gt;0,1,0)+IF((COUNTIF('M211'!B11,"Aula 11")+COUNTIF('M212'!B11,"Aula 11"))&gt;0,1,0)+IF((COUNTIF('M311'!B11,"Aula 11"))&gt;0,1,0)+IF((COUNTIF('M411'!B11,"Aula 11"))&gt;0,1,0)+IF((COUNTIF('D111'!B11,"Aula 11")+COUNTIF('D112'!B11,"Aula 11"))&gt;0,1,0)+IF((COUNTIF('D211'!B11,"Aula 11"))&gt;0,1,0)+IF((COUNTIF('D311'!B11,"Aula 11"))&gt;0,1,0)+IF((COUNTIF('D411'!B11,"Aula 11"))&gt;0,1,0))=1,IF((COUNTIF('C111'!B11,"Aula 11")+COUNTIF('C112'!B11,"Aula 11")+COUNTIF('C113'!B11,"Aula 11")+COUNTIF('C121'!B11,"Aula 11")+COUNTIF('C122'!B11,"Aula 11"))&gt;0,"C1",IF((COUNTIF('C211'!B11,"Aula 11")+COUNTIF('C212'!B11,"Aula 11"))&gt;0,"C2",IF((COUNTIF('C311'!B11,"Aula 11")+COUNTIF('C312'!B11,"Aula 11"))&gt;0,"C3",IF((COUNTIF('C411'!B11,"Aula 11")+COUNTIF('C412'!B11,"Aula 11"))&gt;0,"C4",IF((COUNTIF('M111'!B11,"Aula 11")+COUNTIF('M112'!B11,"Aula 11"))&gt;0,"M1",IF((COUNTIF('M211'!B11,"Aula 11")+COUNTIF('M212'!B11,"Aula 11"))&gt;0,"M2",IF((COUNTIF('M311'!B11,"Aula 11"))&gt;0,"M3",IF((COUNTIF('M411'!B11,"Aula 11"))&gt;0,"M4",IF((COUNTIF('D111'!B11,"Aula 11")+COUNTIF('D112'!B11,"Aula 11"))&gt;0,"D1",IF((COUNTIF('D211'!B11,"Aula 11"))&gt;0,"D2",IF((COUNTIF('D311'!B11,"Aula 11"))&gt;0,"D3",IF((COUNTIF('D411'!B11,"Aula 11"))&gt;0,"D4","")))))))))))),"MIX"))</f>
        <v/>
      </c>
    </row>
    <row r="57">
      <c r="C57">
        <f>IF((IF((COUNTIF('C111'!B11,"Aula 12")+COUNTIF('C112'!B11,"Aula 12")+COUNTIF('C113'!B11,"Aula 12")+COUNTIF('C121'!B11,"Aula 12")+COUNTIF('C122'!B11,"Aula 12"))&gt;0,1,0)+IF((COUNTIF('C211'!B11,"Aula 12")+COUNTIF('C212'!B11,"Aula 12"))&gt;0,1,0)+IF((COUNTIF('C311'!B11,"Aula 12")+COUNTIF('C312'!B11,"Aula 12"))&gt;0,1,0)+IF((COUNTIF('C411'!B11,"Aula 12")+COUNTIF('C412'!B11,"Aula 12"))&gt;0,1,0)+IF((COUNTIF('M111'!B11,"Aula 12")+COUNTIF('M112'!B11,"Aula 12"))&gt;0,1,0)+IF((COUNTIF('M211'!B11,"Aula 12")+COUNTIF('M212'!B11,"Aula 12"))&gt;0,1,0)+IF((COUNTIF('M311'!B11,"Aula 12"))&gt;0,1,0)+IF((COUNTIF('M411'!B11,"Aula 12"))&gt;0,1,0)+IF((COUNTIF('D111'!B11,"Aula 12")+COUNTIF('D112'!B11,"Aula 12"))&gt;0,1,0)+IF((COUNTIF('D211'!B11,"Aula 12"))&gt;0,1,0)+IF((COUNTIF('D311'!B11,"Aula 12"))&gt;0,1,0)+IF((COUNTIF('D411'!B11,"Aula 12"))&gt;0,1,0))=0,"",IF((IF((COUNTIF('C111'!B11,"Aula 12")+COUNTIF('C112'!B11,"Aula 12")+COUNTIF('C113'!B11,"Aula 12")+COUNTIF('C121'!B11,"Aula 12")+COUNTIF('C122'!B11,"Aula 12"))&gt;0,1,0)+IF((COUNTIF('C211'!B11,"Aula 12")+COUNTIF('C212'!B11,"Aula 12"))&gt;0,1,0)+IF((COUNTIF('C311'!B11,"Aula 12")+COUNTIF('C312'!B11,"Aula 12"))&gt;0,1,0)+IF((COUNTIF('C411'!B11,"Aula 12")+COUNTIF('C412'!B11,"Aula 12"))&gt;0,1,0)+IF((COUNTIF('M111'!B11,"Aula 12")+COUNTIF('M112'!B11,"Aula 12"))&gt;0,1,0)+IF((COUNTIF('M211'!B11,"Aula 12")+COUNTIF('M212'!B11,"Aula 12"))&gt;0,1,0)+IF((COUNTIF('M311'!B11,"Aula 12"))&gt;0,1,0)+IF((COUNTIF('M411'!B11,"Aula 12"))&gt;0,1,0)+IF((COUNTIF('D111'!B11,"Aula 12")+COUNTIF('D112'!B11,"Aula 12"))&gt;0,1,0)+IF((COUNTIF('D211'!B11,"Aula 12"))&gt;0,1,0)+IF((COUNTIF('D311'!B11,"Aula 12"))&gt;0,1,0)+IF((COUNTIF('D411'!B11,"Aula 12"))&gt;0,1,0))=1,IF((COUNTIF('C111'!B11,"Aula 12")+COUNTIF('C112'!B11,"Aula 12")+COUNTIF('C113'!B11,"Aula 12")+COUNTIF('C121'!B11,"Aula 12")+COUNTIF('C122'!B11,"Aula 12"))&gt;0,"C1",IF((COUNTIF('C211'!B11,"Aula 12")+COUNTIF('C212'!B11,"Aula 12"))&gt;0,"C2",IF((COUNTIF('C311'!B11,"Aula 12")+COUNTIF('C312'!B11,"Aula 12"))&gt;0,"C3",IF((COUNTIF('C411'!B11,"Aula 12")+COUNTIF('C412'!B11,"Aula 12"))&gt;0,"C4",IF((COUNTIF('M111'!B11,"Aula 12")+COUNTIF('M112'!B11,"Aula 12"))&gt;0,"M1",IF((COUNTIF('M211'!B11,"Aula 12")+COUNTIF('M212'!B11,"Aula 12"))&gt;0,"M2",IF((COUNTIF('M311'!B11,"Aula 12"))&gt;0,"M3",IF((COUNTIF('M411'!B11,"Aula 12"))&gt;0,"M4",IF((COUNTIF('D111'!B11,"Aula 12")+COUNTIF('D112'!B11,"Aula 12"))&gt;0,"D1",IF((COUNTIF('D211'!B11,"Aula 12"))&gt;0,"D2",IF((COUNTIF('D311'!B11,"Aula 12"))&gt;0,"D3",IF((COUNTIF('D411'!B11,"Aula 12"))&gt;0,"D4","")))))))))))),"MIX"))</f>
        <v/>
      </c>
    </row>
    <row r="58">
      <c r="C58">
        <f>IF((IF((COUNTIF('C111'!B11,"Lab 1")+COUNTIF('C112'!B11,"Lab 1")+COUNTIF('C113'!B11,"Lab 1")+COUNTIF('C121'!B11,"Lab 1")+COUNTIF('C122'!B11,"Lab 1"))&gt;0,1,0)+IF((COUNTIF('C211'!B11,"Lab 1")+COUNTIF('C212'!B11,"Lab 1"))&gt;0,1,0)+IF((COUNTIF('C311'!B11,"Lab 1")+COUNTIF('C312'!B11,"Lab 1"))&gt;0,1,0)+IF((COUNTIF('C411'!B11,"Lab 1")+COUNTIF('C412'!B11,"Lab 1"))&gt;0,1,0)+IF((COUNTIF('M111'!B11,"Lab 1")+COUNTIF('M112'!B11,"Lab 1"))&gt;0,1,0)+IF((COUNTIF('M211'!B11,"Lab 1")+COUNTIF('M212'!B11,"Lab 1"))&gt;0,1,0)+IF((COUNTIF('M311'!B11,"Lab 1"))&gt;0,1,0)+IF((COUNTIF('M411'!B11,"Lab 1"))&gt;0,1,0)+IF((COUNTIF('D111'!B11,"Lab 1")+COUNTIF('D112'!B11,"Lab 1"))&gt;0,1,0)+IF((COUNTIF('D211'!B11,"Lab 1"))&gt;0,1,0)+IF((COUNTIF('D311'!B11,"Lab 1"))&gt;0,1,0)+IF((COUNTIF('D411'!B11,"Lab 1"))&gt;0,1,0))=0,"",IF((IF((COUNTIF('C111'!B11,"Lab 1")+COUNTIF('C112'!B11,"Lab 1")+COUNTIF('C113'!B11,"Lab 1")+COUNTIF('C121'!B11,"Lab 1")+COUNTIF('C122'!B11,"Lab 1"))&gt;0,1,0)+IF((COUNTIF('C211'!B11,"Lab 1")+COUNTIF('C212'!B11,"Lab 1"))&gt;0,1,0)+IF((COUNTIF('C311'!B11,"Lab 1")+COUNTIF('C312'!B11,"Lab 1"))&gt;0,1,0)+IF((COUNTIF('C411'!B11,"Lab 1")+COUNTIF('C412'!B11,"Lab 1"))&gt;0,1,0)+IF((COUNTIF('M111'!B11,"Lab 1")+COUNTIF('M112'!B11,"Lab 1"))&gt;0,1,0)+IF((COUNTIF('M211'!B11,"Lab 1")+COUNTIF('M212'!B11,"Lab 1"))&gt;0,1,0)+IF((COUNTIF('M311'!B11,"Lab 1"))&gt;0,1,0)+IF((COUNTIF('M411'!B11,"Lab 1"))&gt;0,1,0)+IF((COUNTIF('D111'!B11,"Lab 1")+COUNTIF('D112'!B11,"Lab 1"))&gt;0,1,0)+IF((COUNTIF('D211'!B11,"Lab 1"))&gt;0,1,0)+IF((COUNTIF('D311'!B11,"Lab 1"))&gt;0,1,0)+IF((COUNTIF('D411'!B11,"Lab 1"))&gt;0,1,0))=1,IF((COUNTIF('C111'!B11,"Lab 1")+COUNTIF('C112'!B11,"Lab 1")+COUNTIF('C113'!B11,"Lab 1")+COUNTIF('C121'!B11,"Lab 1")+COUNTIF('C122'!B11,"Lab 1"))&gt;0,"C1",IF((COUNTIF('C211'!B11,"Lab 1")+COUNTIF('C212'!B11,"Lab 1"))&gt;0,"C2",IF((COUNTIF('C311'!B11,"Lab 1")+COUNTIF('C312'!B11,"Lab 1"))&gt;0,"C3",IF((COUNTIF('C411'!B11,"Lab 1")+COUNTIF('C412'!B11,"Lab 1"))&gt;0,"C4",IF((COUNTIF('M111'!B11,"Lab 1")+COUNTIF('M112'!B11,"Lab 1"))&gt;0,"M1",IF((COUNTIF('M211'!B11,"Lab 1")+COUNTIF('M212'!B11,"Lab 1"))&gt;0,"M2",IF((COUNTIF('M311'!B11,"Lab 1"))&gt;0,"M3",IF((COUNTIF('M411'!B11,"Lab 1"))&gt;0,"M4",IF((COUNTIF('D111'!B11,"Lab 1")+COUNTIF('D112'!B11,"Lab 1"))&gt;0,"D1",IF((COUNTIF('D211'!B11,"Lab 1"))&gt;0,"D2",IF((COUNTIF('D311'!B11,"Lab 1"))&gt;0,"D3",IF((COUNTIF('D411'!B11,"Lab 1"))&gt;0,"D4","")))))))))))),"MIX"))</f>
        <v/>
      </c>
    </row>
    <row r="59">
      <c r="C59">
        <f>IF((IF((COUNTIF('C111'!B11,"Lab 2")+COUNTIF('C112'!B11,"Lab 2")+COUNTIF('C113'!B11,"Lab 2")+COUNTIF('C121'!B11,"Lab 2")+COUNTIF('C122'!B11,"Lab 2"))&gt;0,1,0)+IF((COUNTIF('C211'!B11,"Lab 2")+COUNTIF('C212'!B11,"Lab 2"))&gt;0,1,0)+IF((COUNTIF('C311'!B11,"Lab 2")+COUNTIF('C312'!B11,"Lab 2"))&gt;0,1,0)+IF((COUNTIF('C411'!B11,"Lab 2")+COUNTIF('C412'!B11,"Lab 2"))&gt;0,1,0)+IF((COUNTIF('M111'!B11,"Lab 2")+COUNTIF('M112'!B11,"Lab 2"))&gt;0,1,0)+IF((COUNTIF('M211'!B11,"Lab 2")+COUNTIF('M212'!B11,"Lab 2"))&gt;0,1,0)+IF((COUNTIF('M311'!B11,"Lab 2"))&gt;0,1,0)+IF((COUNTIF('M411'!B11,"Lab 2"))&gt;0,1,0)+IF((COUNTIF('D111'!B11,"Lab 2")+COUNTIF('D112'!B11,"Lab 2"))&gt;0,1,0)+IF((COUNTIF('D211'!B11,"Lab 2"))&gt;0,1,0)+IF((COUNTIF('D311'!B11,"Lab 2"))&gt;0,1,0)+IF((COUNTIF('D411'!B11,"Lab 2"))&gt;0,1,0))=0,"",IF((IF((COUNTIF('C111'!B11,"Lab 2")+COUNTIF('C112'!B11,"Lab 2")+COUNTIF('C113'!B11,"Lab 2")+COUNTIF('C121'!B11,"Lab 2")+COUNTIF('C122'!B11,"Lab 2"))&gt;0,1,0)+IF((COUNTIF('C211'!B11,"Lab 2")+COUNTIF('C212'!B11,"Lab 2"))&gt;0,1,0)+IF((COUNTIF('C311'!B11,"Lab 2")+COUNTIF('C312'!B11,"Lab 2"))&gt;0,1,0)+IF((COUNTIF('C411'!B11,"Lab 2")+COUNTIF('C412'!B11,"Lab 2"))&gt;0,1,0)+IF((COUNTIF('M111'!B11,"Lab 2")+COUNTIF('M112'!B11,"Lab 2"))&gt;0,1,0)+IF((COUNTIF('M211'!B11,"Lab 2")+COUNTIF('M212'!B11,"Lab 2"))&gt;0,1,0)+IF((COUNTIF('M311'!B11,"Lab 2"))&gt;0,1,0)+IF((COUNTIF('M411'!B11,"Lab 2"))&gt;0,1,0)+IF((COUNTIF('D111'!B11,"Lab 2")+COUNTIF('D112'!B11,"Lab 2"))&gt;0,1,0)+IF((COUNTIF('D211'!B11,"Lab 2"))&gt;0,1,0)+IF((COUNTIF('D311'!B11,"Lab 2"))&gt;0,1,0)+IF((COUNTIF('D411'!B11,"Lab 2"))&gt;0,1,0))=1,IF((COUNTIF('C111'!B11,"Lab 2")+COUNTIF('C112'!B11,"Lab 2")+COUNTIF('C113'!B11,"Lab 2")+COUNTIF('C121'!B11,"Lab 2")+COUNTIF('C122'!B11,"Lab 2"))&gt;0,"C1",IF((COUNTIF('C211'!B11,"Lab 2")+COUNTIF('C212'!B11,"Lab 2"))&gt;0,"C2",IF((COUNTIF('C311'!B11,"Lab 2")+COUNTIF('C312'!B11,"Lab 2"))&gt;0,"C3",IF((COUNTIF('C411'!B11,"Lab 2")+COUNTIF('C412'!B11,"Lab 2"))&gt;0,"C4",IF((COUNTIF('M111'!B11,"Lab 2")+COUNTIF('M112'!B11,"Lab 2"))&gt;0,"M1",IF((COUNTIF('M211'!B11,"Lab 2")+COUNTIF('M212'!B11,"Lab 2"))&gt;0,"M2",IF((COUNTIF('M311'!B11,"Lab 2"))&gt;0,"M3",IF((COUNTIF('M411'!B11,"Lab 2"))&gt;0,"M4",IF((COUNTIF('D111'!B11,"Lab 2")+COUNTIF('D112'!B11,"Lab 2"))&gt;0,"D1",IF((COUNTIF('D211'!B11,"Lab 2"))&gt;0,"D2",IF((COUNTIF('D311'!B11,"Lab 2"))&gt;0,"D3",IF((COUNTIF('D411'!B11,"Lab 2"))&gt;0,"D4","")))))))))))),"MIX"))</f>
        <v/>
      </c>
    </row>
    <row r="60">
      <c r="C60">
        <f>IF((IF((COUNTIF('C111'!B11,"Salón")+COUNTIF('C112'!B11,"Salón")+COUNTIF('C113'!B11,"Salón")+COUNTIF('C121'!B11,"Salón")+COUNTIF('C122'!B11,"Salón"))&gt;0,1,0)+IF((COUNTIF('C211'!B11,"Salón")+COUNTIF('C212'!B11,"Salón"))&gt;0,1,0)+IF((COUNTIF('C311'!B11,"Salón")+COUNTIF('C312'!B11,"Salón"))&gt;0,1,0)+IF((COUNTIF('C411'!B11,"Salón")+COUNTIF('C412'!B11,"Salón"))&gt;0,1,0)+IF((COUNTIF('M111'!B11,"Salón")+COUNTIF('M112'!B11,"Salón"))&gt;0,1,0)+IF((COUNTIF('M211'!B11,"Salón")+COUNTIF('M212'!B11,"Salón"))&gt;0,1,0)+IF((COUNTIF('M311'!B11,"Salón"))&gt;0,1,0)+IF((COUNTIF('M411'!B11,"Salón"))&gt;0,1,0)+IF((COUNTIF('D111'!B11,"Salón")+COUNTIF('D112'!B11,"Salón"))&gt;0,1,0)+IF((COUNTIF('D211'!B11,"Salón"))&gt;0,1,0)+IF((COUNTIF('D311'!B11,"Salón"))&gt;0,1,0)+IF((COUNTIF('D411'!B11,"Salón"))&gt;0,1,0))=0,"",IF((IF((COUNTIF('C111'!B11,"Salón")+COUNTIF('C112'!B11,"Salón")+COUNTIF('C113'!B11,"Salón")+COUNTIF('C121'!B11,"Salón")+COUNTIF('C122'!B11,"Salón"))&gt;0,1,0)+IF((COUNTIF('C211'!B11,"Salón")+COUNTIF('C212'!B11,"Salón"))&gt;0,1,0)+IF((COUNTIF('C311'!B11,"Salón")+COUNTIF('C312'!B11,"Salón"))&gt;0,1,0)+IF((COUNTIF('C411'!B11,"Salón")+COUNTIF('C412'!B11,"Salón"))&gt;0,1,0)+IF((COUNTIF('M111'!B11,"Salón")+COUNTIF('M112'!B11,"Salón"))&gt;0,1,0)+IF((COUNTIF('M211'!B11,"Salón")+COUNTIF('M212'!B11,"Salón"))&gt;0,1,0)+IF((COUNTIF('M311'!B11,"Salón"))&gt;0,1,0)+IF((COUNTIF('M411'!B11,"Salón"))&gt;0,1,0)+IF((COUNTIF('D111'!B11,"Salón")+COUNTIF('D112'!B11,"Salón"))&gt;0,1,0)+IF((COUNTIF('D211'!B11,"Salón"))&gt;0,1,0)+IF((COUNTIF('D311'!B11,"Salón"))&gt;0,1,0)+IF((COUNTIF('D411'!B11,"Salón"))&gt;0,1,0))=1,IF((COUNTIF('C111'!B11,"Salón")+COUNTIF('C112'!B11,"Salón")+COUNTIF('C113'!B11,"Salón")+COUNTIF('C121'!B11,"Salón")+COUNTIF('C122'!B11,"Salón"))&gt;0,"C1",IF((COUNTIF('C211'!B11,"Salón")+COUNTIF('C212'!B11,"Salón"))&gt;0,"C2",IF((COUNTIF('C311'!B11,"Salón")+COUNTIF('C312'!B11,"Salón"))&gt;0,"C3",IF((COUNTIF('C411'!B11,"Salón")+COUNTIF('C412'!B11,"Salón"))&gt;0,"C4",IF((COUNTIF('M111'!B11,"Salón")+COUNTIF('M112'!B11,"Salón"))&gt;0,"M1",IF((COUNTIF('M211'!B11,"Salón")+COUNTIF('M212'!B11,"Salón"))&gt;0,"M2",IF((COUNTIF('M311'!B11,"Salón"))&gt;0,"M3",IF((COUNTIF('M411'!B11,"Salón"))&gt;0,"M4",IF((COUNTIF('D111'!B11,"Salón")+COUNTIF('D112'!B11,"Salón"))&gt;0,"D1",IF((COUNTIF('D211'!B11,"Salón"))&gt;0,"D2",IF((COUNTIF('D311'!B11,"Salón"))&gt;0,"D3",IF((COUNTIF('D411'!B11,"Salón"))&gt;0,"D4","")))))))))))),"MIX"))</f>
        <v/>
      </c>
    </row>
    <row r="61">
      <c r="C61">
        <f>IF((IF((COUNTIF('C111'!B13,"Aula 1")+COUNTIF('C112'!B13,"Aula 1")+COUNTIF('C113'!B13,"Aula 1")+COUNTIF('C121'!B13,"Aula 1")+COUNTIF('C122'!B13,"Aula 1"))&gt;0,1,0)+IF((COUNTIF('C211'!B13,"Aula 1")+COUNTIF('C212'!B13,"Aula 1"))&gt;0,1,0)+IF((COUNTIF('C311'!B13,"Aula 1")+COUNTIF('C312'!B13,"Aula 1"))&gt;0,1,0)+IF((COUNTIF('C411'!B13,"Aula 1")+COUNTIF('C412'!B13,"Aula 1"))&gt;0,1,0)+IF((COUNTIF('M111'!B13,"Aula 1")+COUNTIF('M112'!B13,"Aula 1"))&gt;0,1,0)+IF((COUNTIF('M211'!B13,"Aula 1")+COUNTIF('M212'!B13,"Aula 1"))&gt;0,1,0)+IF((COUNTIF('M311'!B13,"Aula 1"))&gt;0,1,0)+IF((COUNTIF('M411'!B13,"Aula 1"))&gt;0,1,0)+IF((COUNTIF('D111'!B13,"Aula 1")+COUNTIF('D112'!B13,"Aula 1"))&gt;0,1,0)+IF((COUNTIF('D211'!B13,"Aula 1"))&gt;0,1,0)+IF((COUNTIF('D311'!B13,"Aula 1"))&gt;0,1,0)+IF((COUNTIF('D411'!B13,"Aula 1"))&gt;0,1,0))=0,"",IF((IF((COUNTIF('C111'!B13,"Aula 1")+COUNTIF('C112'!B13,"Aula 1")+COUNTIF('C113'!B13,"Aula 1")+COUNTIF('C121'!B13,"Aula 1")+COUNTIF('C122'!B13,"Aula 1"))&gt;0,1,0)+IF((COUNTIF('C211'!B13,"Aula 1")+COUNTIF('C212'!B13,"Aula 1"))&gt;0,1,0)+IF((COUNTIF('C311'!B13,"Aula 1")+COUNTIF('C312'!B13,"Aula 1"))&gt;0,1,0)+IF((COUNTIF('C411'!B13,"Aula 1")+COUNTIF('C412'!B13,"Aula 1"))&gt;0,1,0)+IF((COUNTIF('M111'!B13,"Aula 1")+COUNTIF('M112'!B13,"Aula 1"))&gt;0,1,0)+IF((COUNTIF('M211'!B13,"Aula 1")+COUNTIF('M212'!B13,"Aula 1"))&gt;0,1,0)+IF((COUNTIF('M311'!B13,"Aula 1"))&gt;0,1,0)+IF((COUNTIF('M411'!B13,"Aula 1"))&gt;0,1,0)+IF((COUNTIF('D111'!B13,"Aula 1")+COUNTIF('D112'!B13,"Aula 1"))&gt;0,1,0)+IF((COUNTIF('D211'!B13,"Aula 1"))&gt;0,1,0)+IF((COUNTIF('D311'!B13,"Aula 1"))&gt;0,1,0)+IF((COUNTIF('D411'!B13,"Aula 1"))&gt;0,1,0))=1,IF((COUNTIF('C111'!B13,"Aula 1")+COUNTIF('C112'!B13,"Aula 1")+COUNTIF('C113'!B13,"Aula 1")+COUNTIF('C121'!B13,"Aula 1")+COUNTIF('C122'!B13,"Aula 1"))&gt;0,"C1",IF((COUNTIF('C211'!B13,"Aula 1")+COUNTIF('C212'!B13,"Aula 1"))&gt;0,"C2",IF((COUNTIF('C311'!B13,"Aula 1")+COUNTIF('C312'!B13,"Aula 1"))&gt;0,"C3",IF((COUNTIF('C411'!B13,"Aula 1")+COUNTIF('C412'!B13,"Aula 1"))&gt;0,"C4",IF((COUNTIF('M111'!B13,"Aula 1")+COUNTIF('M112'!B13,"Aula 1"))&gt;0,"M1",IF((COUNTIF('M211'!B13,"Aula 1")+COUNTIF('M212'!B13,"Aula 1"))&gt;0,"M2",IF((COUNTIF('M311'!B13,"Aula 1"))&gt;0,"M3",IF((COUNTIF('M411'!B13,"Aula 1"))&gt;0,"M4",IF((COUNTIF('D111'!B13,"Aula 1")+COUNTIF('D112'!B13,"Aula 1"))&gt;0,"D1",IF((COUNTIF('D211'!B13,"Aula 1"))&gt;0,"D2",IF((COUNTIF('D311'!B13,"Aula 1"))&gt;0,"D3",IF((COUNTIF('D411'!B13,"Aula 1"))&gt;0,"D4","")))))))))))),"MIX"))</f>
        <v/>
      </c>
    </row>
    <row r="62">
      <c r="C62">
        <f>IF((IF((COUNTIF('C111'!B13,"Aula 2")+COUNTIF('C112'!B13,"Aula 2")+COUNTIF('C113'!B13,"Aula 2")+COUNTIF('C121'!B13,"Aula 2")+COUNTIF('C122'!B13,"Aula 2"))&gt;0,1,0)+IF((COUNTIF('C211'!B13,"Aula 2")+COUNTIF('C212'!B13,"Aula 2"))&gt;0,1,0)+IF((COUNTIF('C311'!B13,"Aula 2")+COUNTIF('C312'!B13,"Aula 2"))&gt;0,1,0)+IF((COUNTIF('C411'!B13,"Aula 2")+COUNTIF('C412'!B13,"Aula 2"))&gt;0,1,0)+IF((COUNTIF('M111'!B13,"Aula 2")+COUNTIF('M112'!B13,"Aula 2"))&gt;0,1,0)+IF((COUNTIF('M211'!B13,"Aula 2")+COUNTIF('M212'!B13,"Aula 2"))&gt;0,1,0)+IF((COUNTIF('M311'!B13,"Aula 2"))&gt;0,1,0)+IF((COUNTIF('M411'!B13,"Aula 2"))&gt;0,1,0)+IF((COUNTIF('D111'!B13,"Aula 2")+COUNTIF('D112'!B13,"Aula 2"))&gt;0,1,0)+IF((COUNTIF('D211'!B13,"Aula 2"))&gt;0,1,0)+IF((COUNTIF('D311'!B13,"Aula 2"))&gt;0,1,0)+IF((COUNTIF('D411'!B13,"Aula 2"))&gt;0,1,0))=0,"",IF((IF((COUNTIF('C111'!B13,"Aula 2")+COUNTIF('C112'!B13,"Aula 2")+COUNTIF('C113'!B13,"Aula 2")+COUNTIF('C121'!B13,"Aula 2")+COUNTIF('C122'!B13,"Aula 2"))&gt;0,1,0)+IF((COUNTIF('C211'!B13,"Aula 2")+COUNTIF('C212'!B13,"Aula 2"))&gt;0,1,0)+IF((COUNTIF('C311'!B13,"Aula 2")+COUNTIF('C312'!B13,"Aula 2"))&gt;0,1,0)+IF((COUNTIF('C411'!B13,"Aula 2")+COUNTIF('C412'!B13,"Aula 2"))&gt;0,1,0)+IF((COUNTIF('M111'!B13,"Aula 2")+COUNTIF('M112'!B13,"Aula 2"))&gt;0,1,0)+IF((COUNTIF('M211'!B13,"Aula 2")+COUNTIF('M212'!B13,"Aula 2"))&gt;0,1,0)+IF((COUNTIF('M311'!B13,"Aula 2"))&gt;0,1,0)+IF((COUNTIF('M411'!B13,"Aula 2"))&gt;0,1,0)+IF((COUNTIF('D111'!B13,"Aula 2")+COUNTIF('D112'!B13,"Aula 2"))&gt;0,1,0)+IF((COUNTIF('D211'!B13,"Aula 2"))&gt;0,1,0)+IF((COUNTIF('D311'!B13,"Aula 2"))&gt;0,1,0)+IF((COUNTIF('D411'!B13,"Aula 2"))&gt;0,1,0))=1,IF((COUNTIF('C111'!B13,"Aula 2")+COUNTIF('C112'!B13,"Aula 2")+COUNTIF('C113'!B13,"Aula 2")+COUNTIF('C121'!B13,"Aula 2")+COUNTIF('C122'!B13,"Aula 2"))&gt;0,"C1",IF((COUNTIF('C211'!B13,"Aula 2")+COUNTIF('C212'!B13,"Aula 2"))&gt;0,"C2",IF((COUNTIF('C311'!B13,"Aula 2")+COUNTIF('C312'!B13,"Aula 2"))&gt;0,"C3",IF((COUNTIF('C411'!B13,"Aula 2")+COUNTIF('C412'!B13,"Aula 2"))&gt;0,"C4",IF((COUNTIF('M111'!B13,"Aula 2")+COUNTIF('M112'!B13,"Aula 2"))&gt;0,"M1",IF((COUNTIF('M211'!B13,"Aula 2")+COUNTIF('M212'!B13,"Aula 2"))&gt;0,"M2",IF((COUNTIF('M311'!B13,"Aula 2"))&gt;0,"M3",IF((COUNTIF('M411'!B13,"Aula 2"))&gt;0,"M4",IF((COUNTIF('D111'!B13,"Aula 2")+COUNTIF('D112'!B13,"Aula 2"))&gt;0,"D1",IF((COUNTIF('D211'!B13,"Aula 2"))&gt;0,"D2",IF((COUNTIF('D311'!B13,"Aula 2"))&gt;0,"D3",IF((COUNTIF('D411'!B13,"Aula 2"))&gt;0,"D4","")))))))))))),"MIX"))</f>
        <v/>
      </c>
    </row>
    <row r="63">
      <c r="C63">
        <f>IF((IF((COUNTIF('C111'!B13,"Aula 3")+COUNTIF('C112'!B13,"Aula 3")+COUNTIF('C113'!B13,"Aula 3")+COUNTIF('C121'!B13,"Aula 3")+COUNTIF('C122'!B13,"Aula 3"))&gt;0,1,0)+IF((COUNTIF('C211'!B13,"Aula 3")+COUNTIF('C212'!B13,"Aula 3"))&gt;0,1,0)+IF((COUNTIF('C311'!B13,"Aula 3")+COUNTIF('C312'!B13,"Aula 3"))&gt;0,1,0)+IF((COUNTIF('C411'!B13,"Aula 3")+COUNTIF('C412'!B13,"Aula 3"))&gt;0,1,0)+IF((COUNTIF('M111'!B13,"Aula 3")+COUNTIF('M112'!B13,"Aula 3"))&gt;0,1,0)+IF((COUNTIF('M211'!B13,"Aula 3")+COUNTIF('M212'!B13,"Aula 3"))&gt;0,1,0)+IF((COUNTIF('M311'!B13,"Aula 3"))&gt;0,1,0)+IF((COUNTIF('M411'!B13,"Aula 3"))&gt;0,1,0)+IF((COUNTIF('D111'!B13,"Aula 3")+COUNTIF('D112'!B13,"Aula 3"))&gt;0,1,0)+IF((COUNTIF('D211'!B13,"Aula 3"))&gt;0,1,0)+IF((COUNTIF('D311'!B13,"Aula 3"))&gt;0,1,0)+IF((COUNTIF('D411'!B13,"Aula 3"))&gt;0,1,0))=0,"",IF((IF((COUNTIF('C111'!B13,"Aula 3")+COUNTIF('C112'!B13,"Aula 3")+COUNTIF('C113'!B13,"Aula 3")+COUNTIF('C121'!B13,"Aula 3")+COUNTIF('C122'!B13,"Aula 3"))&gt;0,1,0)+IF((COUNTIF('C211'!B13,"Aula 3")+COUNTIF('C212'!B13,"Aula 3"))&gt;0,1,0)+IF((COUNTIF('C311'!B13,"Aula 3")+COUNTIF('C312'!B13,"Aula 3"))&gt;0,1,0)+IF((COUNTIF('C411'!B13,"Aula 3")+COUNTIF('C412'!B13,"Aula 3"))&gt;0,1,0)+IF((COUNTIF('M111'!B13,"Aula 3")+COUNTIF('M112'!B13,"Aula 3"))&gt;0,1,0)+IF((COUNTIF('M211'!B13,"Aula 3")+COUNTIF('M212'!B13,"Aula 3"))&gt;0,1,0)+IF((COUNTIF('M311'!B13,"Aula 3"))&gt;0,1,0)+IF((COUNTIF('M411'!B13,"Aula 3"))&gt;0,1,0)+IF((COUNTIF('D111'!B13,"Aula 3")+COUNTIF('D112'!B13,"Aula 3"))&gt;0,1,0)+IF((COUNTIF('D211'!B13,"Aula 3"))&gt;0,1,0)+IF((COUNTIF('D311'!B13,"Aula 3"))&gt;0,1,0)+IF((COUNTIF('D411'!B13,"Aula 3"))&gt;0,1,0))=1,IF((COUNTIF('C111'!B13,"Aula 3")+COUNTIF('C112'!B13,"Aula 3")+COUNTIF('C113'!B13,"Aula 3")+COUNTIF('C121'!B13,"Aula 3")+COUNTIF('C122'!B13,"Aula 3"))&gt;0,"C1",IF((COUNTIF('C211'!B13,"Aula 3")+COUNTIF('C212'!B13,"Aula 3"))&gt;0,"C2",IF((COUNTIF('C311'!B13,"Aula 3")+COUNTIF('C312'!B13,"Aula 3"))&gt;0,"C3",IF((COUNTIF('C411'!B13,"Aula 3")+COUNTIF('C412'!B13,"Aula 3"))&gt;0,"C4",IF((COUNTIF('M111'!B13,"Aula 3")+COUNTIF('M112'!B13,"Aula 3"))&gt;0,"M1",IF((COUNTIF('M211'!B13,"Aula 3")+COUNTIF('M212'!B13,"Aula 3"))&gt;0,"M2",IF((COUNTIF('M311'!B13,"Aula 3"))&gt;0,"M3",IF((COUNTIF('M411'!B13,"Aula 3"))&gt;0,"M4",IF((COUNTIF('D111'!B13,"Aula 3")+COUNTIF('D112'!B13,"Aula 3"))&gt;0,"D1",IF((COUNTIF('D211'!B13,"Aula 3"))&gt;0,"D2",IF((COUNTIF('D311'!B13,"Aula 3"))&gt;0,"D3",IF((COUNTIF('D411'!B13,"Aula 3"))&gt;0,"D4","")))))))))))),"MIX"))</f>
        <v/>
      </c>
    </row>
    <row r="64">
      <c r="C64">
        <f>IF((IF((COUNTIF('C111'!B13,"Aula 4")+COUNTIF('C112'!B13,"Aula 4")+COUNTIF('C113'!B13,"Aula 4")+COUNTIF('C121'!B13,"Aula 4")+COUNTIF('C122'!B13,"Aula 4"))&gt;0,1,0)+IF((COUNTIF('C211'!B13,"Aula 4")+COUNTIF('C212'!B13,"Aula 4"))&gt;0,1,0)+IF((COUNTIF('C311'!B13,"Aula 4")+COUNTIF('C312'!B13,"Aula 4"))&gt;0,1,0)+IF((COUNTIF('C411'!B13,"Aula 4")+COUNTIF('C412'!B13,"Aula 4"))&gt;0,1,0)+IF((COUNTIF('M111'!B13,"Aula 4")+COUNTIF('M112'!B13,"Aula 4"))&gt;0,1,0)+IF((COUNTIF('M211'!B13,"Aula 4")+COUNTIF('M212'!B13,"Aula 4"))&gt;0,1,0)+IF((COUNTIF('M311'!B13,"Aula 4"))&gt;0,1,0)+IF((COUNTIF('M411'!B13,"Aula 4"))&gt;0,1,0)+IF((COUNTIF('D111'!B13,"Aula 4")+COUNTIF('D112'!B13,"Aula 4"))&gt;0,1,0)+IF((COUNTIF('D211'!B13,"Aula 4"))&gt;0,1,0)+IF((COUNTIF('D311'!B13,"Aula 4"))&gt;0,1,0)+IF((COUNTIF('D411'!B13,"Aula 4"))&gt;0,1,0))=0,"",IF((IF((COUNTIF('C111'!B13,"Aula 4")+COUNTIF('C112'!B13,"Aula 4")+COUNTIF('C113'!B13,"Aula 4")+COUNTIF('C121'!B13,"Aula 4")+COUNTIF('C122'!B13,"Aula 4"))&gt;0,1,0)+IF((COUNTIF('C211'!B13,"Aula 4")+COUNTIF('C212'!B13,"Aula 4"))&gt;0,1,0)+IF((COUNTIF('C311'!B13,"Aula 4")+COUNTIF('C312'!B13,"Aula 4"))&gt;0,1,0)+IF((COUNTIF('C411'!B13,"Aula 4")+COUNTIF('C412'!B13,"Aula 4"))&gt;0,1,0)+IF((COUNTIF('M111'!B13,"Aula 4")+COUNTIF('M112'!B13,"Aula 4"))&gt;0,1,0)+IF((COUNTIF('M211'!B13,"Aula 4")+COUNTIF('M212'!B13,"Aula 4"))&gt;0,1,0)+IF((COUNTIF('M311'!B13,"Aula 4"))&gt;0,1,0)+IF((COUNTIF('M411'!B13,"Aula 4"))&gt;0,1,0)+IF((COUNTIF('D111'!B13,"Aula 4")+COUNTIF('D112'!B13,"Aula 4"))&gt;0,1,0)+IF((COUNTIF('D211'!B13,"Aula 4"))&gt;0,1,0)+IF((COUNTIF('D311'!B13,"Aula 4"))&gt;0,1,0)+IF((COUNTIF('D411'!B13,"Aula 4"))&gt;0,1,0))=1,IF((COUNTIF('C111'!B13,"Aula 4")+COUNTIF('C112'!B13,"Aula 4")+COUNTIF('C113'!B13,"Aula 4")+COUNTIF('C121'!B13,"Aula 4")+COUNTIF('C122'!B13,"Aula 4"))&gt;0,"C1",IF((COUNTIF('C211'!B13,"Aula 4")+COUNTIF('C212'!B13,"Aula 4"))&gt;0,"C2",IF((COUNTIF('C311'!B13,"Aula 4")+COUNTIF('C312'!B13,"Aula 4"))&gt;0,"C3",IF((COUNTIF('C411'!B13,"Aula 4")+COUNTIF('C412'!B13,"Aula 4"))&gt;0,"C4",IF((COUNTIF('M111'!B13,"Aula 4")+COUNTIF('M112'!B13,"Aula 4"))&gt;0,"M1",IF((COUNTIF('M211'!B13,"Aula 4")+COUNTIF('M212'!B13,"Aula 4"))&gt;0,"M2",IF((COUNTIF('M311'!B13,"Aula 4"))&gt;0,"M3",IF((COUNTIF('M411'!B13,"Aula 4"))&gt;0,"M4",IF((COUNTIF('D111'!B13,"Aula 4")+COUNTIF('D112'!B13,"Aula 4"))&gt;0,"D1",IF((COUNTIF('D211'!B13,"Aula 4"))&gt;0,"D2",IF((COUNTIF('D311'!B13,"Aula 4"))&gt;0,"D3",IF((COUNTIF('D411'!B13,"Aula 4"))&gt;0,"D4","")))))))))))),"MIX"))</f>
        <v/>
      </c>
    </row>
    <row r="65">
      <c r="C65">
        <f>IF((IF((COUNTIF('C111'!B13,"Aula 5")+COUNTIF('C112'!B13,"Aula 5")+COUNTIF('C113'!B13,"Aula 5")+COUNTIF('C121'!B13,"Aula 5")+COUNTIF('C122'!B13,"Aula 5"))&gt;0,1,0)+IF((COUNTIF('C211'!B13,"Aula 5")+COUNTIF('C212'!B13,"Aula 5"))&gt;0,1,0)+IF((COUNTIF('C311'!B13,"Aula 5")+COUNTIF('C312'!B13,"Aula 5"))&gt;0,1,0)+IF((COUNTIF('C411'!B13,"Aula 5")+COUNTIF('C412'!B13,"Aula 5"))&gt;0,1,0)+IF((COUNTIF('M111'!B13,"Aula 5")+COUNTIF('M112'!B13,"Aula 5"))&gt;0,1,0)+IF((COUNTIF('M211'!B13,"Aula 5")+COUNTIF('M212'!B13,"Aula 5"))&gt;0,1,0)+IF((COUNTIF('M311'!B13,"Aula 5"))&gt;0,1,0)+IF((COUNTIF('M411'!B13,"Aula 5"))&gt;0,1,0)+IF((COUNTIF('D111'!B13,"Aula 5")+COUNTIF('D112'!B13,"Aula 5"))&gt;0,1,0)+IF((COUNTIF('D211'!B13,"Aula 5"))&gt;0,1,0)+IF((COUNTIF('D311'!B13,"Aula 5"))&gt;0,1,0)+IF((COUNTIF('D411'!B13,"Aula 5"))&gt;0,1,0))=0,"",IF((IF((COUNTIF('C111'!B13,"Aula 5")+COUNTIF('C112'!B13,"Aula 5")+COUNTIF('C113'!B13,"Aula 5")+COUNTIF('C121'!B13,"Aula 5")+COUNTIF('C122'!B13,"Aula 5"))&gt;0,1,0)+IF((COUNTIF('C211'!B13,"Aula 5")+COUNTIF('C212'!B13,"Aula 5"))&gt;0,1,0)+IF((COUNTIF('C311'!B13,"Aula 5")+COUNTIF('C312'!B13,"Aula 5"))&gt;0,1,0)+IF((COUNTIF('C411'!B13,"Aula 5")+COUNTIF('C412'!B13,"Aula 5"))&gt;0,1,0)+IF((COUNTIF('M111'!B13,"Aula 5")+COUNTIF('M112'!B13,"Aula 5"))&gt;0,1,0)+IF((COUNTIF('M211'!B13,"Aula 5")+COUNTIF('M212'!B13,"Aula 5"))&gt;0,1,0)+IF((COUNTIF('M311'!B13,"Aula 5"))&gt;0,1,0)+IF((COUNTIF('M411'!B13,"Aula 5"))&gt;0,1,0)+IF((COUNTIF('D111'!B13,"Aula 5")+COUNTIF('D112'!B13,"Aula 5"))&gt;0,1,0)+IF((COUNTIF('D211'!B13,"Aula 5"))&gt;0,1,0)+IF((COUNTIF('D311'!B13,"Aula 5"))&gt;0,1,0)+IF((COUNTIF('D411'!B13,"Aula 5"))&gt;0,1,0))=1,IF((COUNTIF('C111'!B13,"Aula 5")+COUNTIF('C112'!B13,"Aula 5")+COUNTIF('C113'!B13,"Aula 5")+COUNTIF('C121'!B13,"Aula 5")+COUNTIF('C122'!B13,"Aula 5"))&gt;0,"C1",IF((COUNTIF('C211'!B13,"Aula 5")+COUNTIF('C212'!B13,"Aula 5"))&gt;0,"C2",IF((COUNTIF('C311'!B13,"Aula 5")+COUNTIF('C312'!B13,"Aula 5"))&gt;0,"C3",IF((COUNTIF('C411'!B13,"Aula 5")+COUNTIF('C412'!B13,"Aula 5"))&gt;0,"C4",IF((COUNTIF('M111'!B13,"Aula 5")+COUNTIF('M112'!B13,"Aula 5"))&gt;0,"M1",IF((COUNTIF('M211'!B13,"Aula 5")+COUNTIF('M212'!B13,"Aula 5"))&gt;0,"M2",IF((COUNTIF('M311'!B13,"Aula 5"))&gt;0,"M3",IF((COUNTIF('M411'!B13,"Aula 5"))&gt;0,"M4",IF((COUNTIF('D111'!B13,"Aula 5")+COUNTIF('D112'!B13,"Aula 5"))&gt;0,"D1",IF((COUNTIF('D211'!B13,"Aula 5"))&gt;0,"D2",IF((COUNTIF('D311'!B13,"Aula 5"))&gt;0,"D3",IF((COUNTIF('D411'!B13,"Aula 5"))&gt;0,"D4","")))))))))))),"MIX"))</f>
        <v/>
      </c>
    </row>
    <row r="66">
      <c r="C66">
        <f>IF((IF((COUNTIF('C111'!B13,"Aula 6")+COUNTIF('C112'!B13,"Aula 6")+COUNTIF('C113'!B13,"Aula 6")+COUNTIF('C121'!B13,"Aula 6")+COUNTIF('C122'!B13,"Aula 6"))&gt;0,1,0)+IF((COUNTIF('C211'!B13,"Aula 6")+COUNTIF('C212'!B13,"Aula 6"))&gt;0,1,0)+IF((COUNTIF('C311'!B13,"Aula 6")+COUNTIF('C312'!B13,"Aula 6"))&gt;0,1,0)+IF((COUNTIF('C411'!B13,"Aula 6")+COUNTIF('C412'!B13,"Aula 6"))&gt;0,1,0)+IF((COUNTIF('M111'!B13,"Aula 6")+COUNTIF('M112'!B13,"Aula 6"))&gt;0,1,0)+IF((COUNTIF('M211'!B13,"Aula 6")+COUNTIF('M212'!B13,"Aula 6"))&gt;0,1,0)+IF((COUNTIF('M311'!B13,"Aula 6"))&gt;0,1,0)+IF((COUNTIF('M411'!B13,"Aula 6"))&gt;0,1,0)+IF((COUNTIF('D111'!B13,"Aula 6")+COUNTIF('D112'!B13,"Aula 6"))&gt;0,1,0)+IF((COUNTIF('D211'!B13,"Aula 6"))&gt;0,1,0)+IF((COUNTIF('D311'!B13,"Aula 6"))&gt;0,1,0)+IF((COUNTIF('D411'!B13,"Aula 6"))&gt;0,1,0))=0,"",IF((IF((COUNTIF('C111'!B13,"Aula 6")+COUNTIF('C112'!B13,"Aula 6")+COUNTIF('C113'!B13,"Aula 6")+COUNTIF('C121'!B13,"Aula 6")+COUNTIF('C122'!B13,"Aula 6"))&gt;0,1,0)+IF((COUNTIF('C211'!B13,"Aula 6")+COUNTIF('C212'!B13,"Aula 6"))&gt;0,1,0)+IF((COUNTIF('C311'!B13,"Aula 6")+COUNTIF('C312'!B13,"Aula 6"))&gt;0,1,0)+IF((COUNTIF('C411'!B13,"Aula 6")+COUNTIF('C412'!B13,"Aula 6"))&gt;0,1,0)+IF((COUNTIF('M111'!B13,"Aula 6")+COUNTIF('M112'!B13,"Aula 6"))&gt;0,1,0)+IF((COUNTIF('M211'!B13,"Aula 6")+COUNTIF('M212'!B13,"Aula 6"))&gt;0,1,0)+IF((COUNTIF('M311'!B13,"Aula 6"))&gt;0,1,0)+IF((COUNTIF('M411'!B13,"Aula 6"))&gt;0,1,0)+IF((COUNTIF('D111'!B13,"Aula 6")+COUNTIF('D112'!B13,"Aula 6"))&gt;0,1,0)+IF((COUNTIF('D211'!B13,"Aula 6"))&gt;0,1,0)+IF((COUNTIF('D311'!B13,"Aula 6"))&gt;0,1,0)+IF((COUNTIF('D411'!B13,"Aula 6"))&gt;0,1,0))=1,IF((COUNTIF('C111'!B13,"Aula 6")+COUNTIF('C112'!B13,"Aula 6")+COUNTIF('C113'!B13,"Aula 6")+COUNTIF('C121'!B13,"Aula 6")+COUNTIF('C122'!B13,"Aula 6"))&gt;0,"C1",IF((COUNTIF('C211'!B13,"Aula 6")+COUNTIF('C212'!B13,"Aula 6"))&gt;0,"C2",IF((COUNTIF('C311'!B13,"Aula 6")+COUNTIF('C312'!B13,"Aula 6"))&gt;0,"C3",IF((COUNTIF('C411'!B13,"Aula 6")+COUNTIF('C412'!B13,"Aula 6"))&gt;0,"C4",IF((COUNTIF('M111'!B13,"Aula 6")+COUNTIF('M112'!B13,"Aula 6"))&gt;0,"M1",IF((COUNTIF('M211'!B13,"Aula 6")+COUNTIF('M212'!B13,"Aula 6"))&gt;0,"M2",IF((COUNTIF('M311'!B13,"Aula 6"))&gt;0,"M3",IF((COUNTIF('M411'!B13,"Aula 6"))&gt;0,"M4",IF((COUNTIF('D111'!B13,"Aula 6")+COUNTIF('D112'!B13,"Aula 6"))&gt;0,"D1",IF((COUNTIF('D211'!B13,"Aula 6"))&gt;0,"D2",IF((COUNTIF('D311'!B13,"Aula 6"))&gt;0,"D3",IF((COUNTIF('D411'!B13,"Aula 6"))&gt;0,"D4","")))))))))))),"MIX"))</f>
        <v/>
      </c>
    </row>
    <row r="67">
      <c r="C67">
        <f>IF((IF((COUNTIF('C111'!B13,"Aula 7")+COUNTIF('C112'!B13,"Aula 7")+COUNTIF('C113'!B13,"Aula 7")+COUNTIF('C121'!B13,"Aula 7")+COUNTIF('C122'!B13,"Aula 7"))&gt;0,1,0)+IF((COUNTIF('C211'!B13,"Aula 7")+COUNTIF('C212'!B13,"Aula 7"))&gt;0,1,0)+IF((COUNTIF('C311'!B13,"Aula 7")+COUNTIF('C312'!B13,"Aula 7"))&gt;0,1,0)+IF((COUNTIF('C411'!B13,"Aula 7")+COUNTIF('C412'!B13,"Aula 7"))&gt;0,1,0)+IF((COUNTIF('M111'!B13,"Aula 7")+COUNTIF('M112'!B13,"Aula 7"))&gt;0,1,0)+IF((COUNTIF('M211'!B13,"Aula 7")+COUNTIF('M212'!B13,"Aula 7"))&gt;0,1,0)+IF((COUNTIF('M311'!B13,"Aula 7"))&gt;0,1,0)+IF((COUNTIF('M411'!B13,"Aula 7"))&gt;0,1,0)+IF((COUNTIF('D111'!B13,"Aula 7")+COUNTIF('D112'!B13,"Aula 7"))&gt;0,1,0)+IF((COUNTIF('D211'!B13,"Aula 7"))&gt;0,1,0)+IF((COUNTIF('D311'!B13,"Aula 7"))&gt;0,1,0)+IF((COUNTIF('D411'!B13,"Aula 7"))&gt;0,1,0))=0,"",IF((IF((COUNTIF('C111'!B13,"Aula 7")+COUNTIF('C112'!B13,"Aula 7")+COUNTIF('C113'!B13,"Aula 7")+COUNTIF('C121'!B13,"Aula 7")+COUNTIF('C122'!B13,"Aula 7"))&gt;0,1,0)+IF((COUNTIF('C211'!B13,"Aula 7")+COUNTIF('C212'!B13,"Aula 7"))&gt;0,1,0)+IF((COUNTIF('C311'!B13,"Aula 7")+COUNTIF('C312'!B13,"Aula 7"))&gt;0,1,0)+IF((COUNTIF('C411'!B13,"Aula 7")+COUNTIF('C412'!B13,"Aula 7"))&gt;0,1,0)+IF((COUNTIF('M111'!B13,"Aula 7")+COUNTIF('M112'!B13,"Aula 7"))&gt;0,1,0)+IF((COUNTIF('M211'!B13,"Aula 7")+COUNTIF('M212'!B13,"Aula 7"))&gt;0,1,0)+IF((COUNTIF('M311'!B13,"Aula 7"))&gt;0,1,0)+IF((COUNTIF('M411'!B13,"Aula 7"))&gt;0,1,0)+IF((COUNTIF('D111'!B13,"Aula 7")+COUNTIF('D112'!B13,"Aula 7"))&gt;0,1,0)+IF((COUNTIF('D211'!B13,"Aula 7"))&gt;0,1,0)+IF((COUNTIF('D311'!B13,"Aula 7"))&gt;0,1,0)+IF((COUNTIF('D411'!B13,"Aula 7"))&gt;0,1,0))=1,IF((COUNTIF('C111'!B13,"Aula 7")+COUNTIF('C112'!B13,"Aula 7")+COUNTIF('C113'!B13,"Aula 7")+COUNTIF('C121'!B13,"Aula 7")+COUNTIF('C122'!B13,"Aula 7"))&gt;0,"C1",IF((COUNTIF('C211'!B13,"Aula 7")+COUNTIF('C212'!B13,"Aula 7"))&gt;0,"C2",IF((COUNTIF('C311'!B13,"Aula 7")+COUNTIF('C312'!B13,"Aula 7"))&gt;0,"C3",IF((COUNTIF('C411'!B13,"Aula 7")+COUNTIF('C412'!B13,"Aula 7"))&gt;0,"C4",IF((COUNTIF('M111'!B13,"Aula 7")+COUNTIF('M112'!B13,"Aula 7"))&gt;0,"M1",IF((COUNTIF('M211'!B13,"Aula 7")+COUNTIF('M212'!B13,"Aula 7"))&gt;0,"M2",IF((COUNTIF('M311'!B13,"Aula 7"))&gt;0,"M3",IF((COUNTIF('M411'!B13,"Aula 7"))&gt;0,"M4",IF((COUNTIF('D111'!B13,"Aula 7")+COUNTIF('D112'!B13,"Aula 7"))&gt;0,"D1",IF((COUNTIF('D211'!B13,"Aula 7"))&gt;0,"D2",IF((COUNTIF('D311'!B13,"Aula 7"))&gt;0,"D3",IF((COUNTIF('D411'!B13,"Aula 7"))&gt;0,"D4","")))))))))))),"MIX"))</f>
        <v/>
      </c>
    </row>
    <row r="68">
      <c r="C68">
        <f>IF((IF((COUNTIF('C111'!B13,"Aula 8")+COUNTIF('C112'!B13,"Aula 8")+COUNTIF('C113'!B13,"Aula 8")+COUNTIF('C121'!B13,"Aula 8")+COUNTIF('C122'!B13,"Aula 8"))&gt;0,1,0)+IF((COUNTIF('C211'!B13,"Aula 8")+COUNTIF('C212'!B13,"Aula 8"))&gt;0,1,0)+IF((COUNTIF('C311'!B13,"Aula 8")+COUNTIF('C312'!B13,"Aula 8"))&gt;0,1,0)+IF((COUNTIF('C411'!B13,"Aula 8")+COUNTIF('C412'!B13,"Aula 8"))&gt;0,1,0)+IF((COUNTIF('M111'!B13,"Aula 8")+COUNTIF('M112'!B13,"Aula 8"))&gt;0,1,0)+IF((COUNTIF('M211'!B13,"Aula 8")+COUNTIF('M212'!B13,"Aula 8"))&gt;0,1,0)+IF((COUNTIF('M311'!B13,"Aula 8"))&gt;0,1,0)+IF((COUNTIF('M411'!B13,"Aula 8"))&gt;0,1,0)+IF((COUNTIF('D111'!B13,"Aula 8")+COUNTIF('D112'!B13,"Aula 8"))&gt;0,1,0)+IF((COUNTIF('D211'!B13,"Aula 8"))&gt;0,1,0)+IF((COUNTIF('D311'!B13,"Aula 8"))&gt;0,1,0)+IF((COUNTIF('D411'!B13,"Aula 8"))&gt;0,1,0))=0,"",IF((IF((COUNTIF('C111'!B13,"Aula 8")+COUNTIF('C112'!B13,"Aula 8")+COUNTIF('C113'!B13,"Aula 8")+COUNTIF('C121'!B13,"Aula 8")+COUNTIF('C122'!B13,"Aula 8"))&gt;0,1,0)+IF((COUNTIF('C211'!B13,"Aula 8")+COUNTIF('C212'!B13,"Aula 8"))&gt;0,1,0)+IF((COUNTIF('C311'!B13,"Aula 8")+COUNTIF('C312'!B13,"Aula 8"))&gt;0,1,0)+IF((COUNTIF('C411'!B13,"Aula 8")+COUNTIF('C412'!B13,"Aula 8"))&gt;0,1,0)+IF((COUNTIF('M111'!B13,"Aula 8")+COUNTIF('M112'!B13,"Aula 8"))&gt;0,1,0)+IF((COUNTIF('M211'!B13,"Aula 8")+COUNTIF('M212'!B13,"Aula 8"))&gt;0,1,0)+IF((COUNTIF('M311'!B13,"Aula 8"))&gt;0,1,0)+IF((COUNTIF('M411'!B13,"Aula 8"))&gt;0,1,0)+IF((COUNTIF('D111'!B13,"Aula 8")+COUNTIF('D112'!B13,"Aula 8"))&gt;0,1,0)+IF((COUNTIF('D211'!B13,"Aula 8"))&gt;0,1,0)+IF((COUNTIF('D311'!B13,"Aula 8"))&gt;0,1,0)+IF((COUNTIF('D411'!B13,"Aula 8"))&gt;0,1,0))=1,IF((COUNTIF('C111'!B13,"Aula 8")+COUNTIF('C112'!B13,"Aula 8")+COUNTIF('C113'!B13,"Aula 8")+COUNTIF('C121'!B13,"Aula 8")+COUNTIF('C122'!B13,"Aula 8"))&gt;0,"C1",IF((COUNTIF('C211'!B13,"Aula 8")+COUNTIF('C212'!B13,"Aula 8"))&gt;0,"C2",IF((COUNTIF('C311'!B13,"Aula 8")+COUNTIF('C312'!B13,"Aula 8"))&gt;0,"C3",IF((COUNTIF('C411'!B13,"Aula 8")+COUNTIF('C412'!B13,"Aula 8"))&gt;0,"C4",IF((COUNTIF('M111'!B13,"Aula 8")+COUNTIF('M112'!B13,"Aula 8"))&gt;0,"M1",IF((COUNTIF('M211'!B13,"Aula 8")+COUNTIF('M212'!B13,"Aula 8"))&gt;0,"M2",IF((COUNTIF('M311'!B13,"Aula 8"))&gt;0,"M3",IF((COUNTIF('M411'!B13,"Aula 8"))&gt;0,"M4",IF((COUNTIF('D111'!B13,"Aula 8")+COUNTIF('D112'!B13,"Aula 8"))&gt;0,"D1",IF((COUNTIF('D211'!B13,"Aula 8"))&gt;0,"D2",IF((COUNTIF('D311'!B13,"Aula 8"))&gt;0,"D3",IF((COUNTIF('D411'!B13,"Aula 8"))&gt;0,"D4","")))))))))))),"MIX"))</f>
        <v/>
      </c>
    </row>
    <row r="69">
      <c r="C69">
        <f>IF((IF((COUNTIF('C111'!B13,"Aula 9")+COUNTIF('C112'!B13,"Aula 9")+COUNTIF('C113'!B13,"Aula 9")+COUNTIF('C121'!B13,"Aula 9")+COUNTIF('C122'!B13,"Aula 9"))&gt;0,1,0)+IF((COUNTIF('C211'!B13,"Aula 9")+COUNTIF('C212'!B13,"Aula 9"))&gt;0,1,0)+IF((COUNTIF('C311'!B13,"Aula 9")+COUNTIF('C312'!B13,"Aula 9"))&gt;0,1,0)+IF((COUNTIF('C411'!B13,"Aula 9")+COUNTIF('C412'!B13,"Aula 9"))&gt;0,1,0)+IF((COUNTIF('M111'!B13,"Aula 9")+COUNTIF('M112'!B13,"Aula 9"))&gt;0,1,0)+IF((COUNTIF('M211'!B13,"Aula 9")+COUNTIF('M212'!B13,"Aula 9"))&gt;0,1,0)+IF((COUNTIF('M311'!B13,"Aula 9"))&gt;0,1,0)+IF((COUNTIF('M411'!B13,"Aula 9"))&gt;0,1,0)+IF((COUNTIF('D111'!B13,"Aula 9")+COUNTIF('D112'!B13,"Aula 9"))&gt;0,1,0)+IF((COUNTIF('D211'!B13,"Aula 9"))&gt;0,1,0)+IF((COUNTIF('D311'!B13,"Aula 9"))&gt;0,1,0)+IF((COUNTIF('D411'!B13,"Aula 9"))&gt;0,1,0))=0,"",IF((IF((COUNTIF('C111'!B13,"Aula 9")+COUNTIF('C112'!B13,"Aula 9")+COUNTIF('C113'!B13,"Aula 9")+COUNTIF('C121'!B13,"Aula 9")+COUNTIF('C122'!B13,"Aula 9"))&gt;0,1,0)+IF((COUNTIF('C211'!B13,"Aula 9")+COUNTIF('C212'!B13,"Aula 9"))&gt;0,1,0)+IF((COUNTIF('C311'!B13,"Aula 9")+COUNTIF('C312'!B13,"Aula 9"))&gt;0,1,0)+IF((COUNTIF('C411'!B13,"Aula 9")+COUNTIF('C412'!B13,"Aula 9"))&gt;0,1,0)+IF((COUNTIF('M111'!B13,"Aula 9")+COUNTIF('M112'!B13,"Aula 9"))&gt;0,1,0)+IF((COUNTIF('M211'!B13,"Aula 9")+COUNTIF('M212'!B13,"Aula 9"))&gt;0,1,0)+IF((COUNTIF('M311'!B13,"Aula 9"))&gt;0,1,0)+IF((COUNTIF('M411'!B13,"Aula 9"))&gt;0,1,0)+IF((COUNTIF('D111'!B13,"Aula 9")+COUNTIF('D112'!B13,"Aula 9"))&gt;0,1,0)+IF((COUNTIF('D211'!B13,"Aula 9"))&gt;0,1,0)+IF((COUNTIF('D311'!B13,"Aula 9"))&gt;0,1,0)+IF((COUNTIF('D411'!B13,"Aula 9"))&gt;0,1,0))=1,IF((COUNTIF('C111'!B13,"Aula 9")+COUNTIF('C112'!B13,"Aula 9")+COUNTIF('C113'!B13,"Aula 9")+COUNTIF('C121'!B13,"Aula 9")+COUNTIF('C122'!B13,"Aula 9"))&gt;0,"C1",IF((COUNTIF('C211'!B13,"Aula 9")+COUNTIF('C212'!B13,"Aula 9"))&gt;0,"C2",IF((COUNTIF('C311'!B13,"Aula 9")+COUNTIF('C312'!B13,"Aula 9"))&gt;0,"C3",IF((COUNTIF('C411'!B13,"Aula 9")+COUNTIF('C412'!B13,"Aula 9"))&gt;0,"C4",IF((COUNTIF('M111'!B13,"Aula 9")+COUNTIF('M112'!B13,"Aula 9"))&gt;0,"M1",IF((COUNTIF('M211'!B13,"Aula 9")+COUNTIF('M212'!B13,"Aula 9"))&gt;0,"M2",IF((COUNTIF('M311'!B13,"Aula 9"))&gt;0,"M3",IF((COUNTIF('M411'!B13,"Aula 9"))&gt;0,"M4",IF((COUNTIF('D111'!B13,"Aula 9")+COUNTIF('D112'!B13,"Aula 9"))&gt;0,"D1",IF((COUNTIF('D211'!B13,"Aula 9"))&gt;0,"D2",IF((COUNTIF('D311'!B13,"Aula 9"))&gt;0,"D3",IF((COUNTIF('D411'!B13,"Aula 9"))&gt;0,"D4","")))))))))))),"MIX"))</f>
        <v/>
      </c>
    </row>
    <row r="70">
      <c r="C70">
        <f>IF((IF((COUNTIF('C111'!B13,"Aula 10")+COUNTIF('C112'!B13,"Aula 10")+COUNTIF('C113'!B13,"Aula 10")+COUNTIF('C121'!B13,"Aula 10")+COUNTIF('C122'!B13,"Aula 10"))&gt;0,1,0)+IF((COUNTIF('C211'!B13,"Aula 10")+COUNTIF('C212'!B13,"Aula 10"))&gt;0,1,0)+IF((COUNTIF('C311'!B13,"Aula 10")+COUNTIF('C312'!B13,"Aula 10"))&gt;0,1,0)+IF((COUNTIF('C411'!B13,"Aula 10")+COUNTIF('C412'!B13,"Aula 10"))&gt;0,1,0)+IF((COUNTIF('M111'!B13,"Aula 10")+COUNTIF('M112'!B13,"Aula 10"))&gt;0,1,0)+IF((COUNTIF('M211'!B13,"Aula 10")+COUNTIF('M212'!B13,"Aula 10"))&gt;0,1,0)+IF((COUNTIF('M311'!B13,"Aula 10"))&gt;0,1,0)+IF((COUNTIF('M411'!B13,"Aula 10"))&gt;0,1,0)+IF((COUNTIF('D111'!B13,"Aula 10")+COUNTIF('D112'!B13,"Aula 10"))&gt;0,1,0)+IF((COUNTIF('D211'!B13,"Aula 10"))&gt;0,1,0)+IF((COUNTIF('D311'!B13,"Aula 10"))&gt;0,1,0)+IF((COUNTIF('D411'!B13,"Aula 10"))&gt;0,1,0))=0,"",IF((IF((COUNTIF('C111'!B13,"Aula 10")+COUNTIF('C112'!B13,"Aula 10")+COUNTIF('C113'!B13,"Aula 10")+COUNTIF('C121'!B13,"Aula 10")+COUNTIF('C122'!B13,"Aula 10"))&gt;0,1,0)+IF((COUNTIF('C211'!B13,"Aula 10")+COUNTIF('C212'!B13,"Aula 10"))&gt;0,1,0)+IF((COUNTIF('C311'!B13,"Aula 10")+COUNTIF('C312'!B13,"Aula 10"))&gt;0,1,0)+IF((COUNTIF('C411'!B13,"Aula 10")+COUNTIF('C412'!B13,"Aula 10"))&gt;0,1,0)+IF((COUNTIF('M111'!B13,"Aula 10")+COUNTIF('M112'!B13,"Aula 10"))&gt;0,1,0)+IF((COUNTIF('M211'!B13,"Aula 10")+COUNTIF('M212'!B13,"Aula 10"))&gt;0,1,0)+IF((COUNTIF('M311'!B13,"Aula 10"))&gt;0,1,0)+IF((COUNTIF('M411'!B13,"Aula 10"))&gt;0,1,0)+IF((COUNTIF('D111'!B13,"Aula 10")+COUNTIF('D112'!B13,"Aula 10"))&gt;0,1,0)+IF((COUNTIF('D211'!B13,"Aula 10"))&gt;0,1,0)+IF((COUNTIF('D311'!B13,"Aula 10"))&gt;0,1,0)+IF((COUNTIF('D411'!B13,"Aula 10"))&gt;0,1,0))=1,IF((COUNTIF('C111'!B13,"Aula 10")+COUNTIF('C112'!B13,"Aula 10")+COUNTIF('C113'!B13,"Aula 10")+COUNTIF('C121'!B13,"Aula 10")+COUNTIF('C122'!B13,"Aula 10"))&gt;0,"C1",IF((COUNTIF('C211'!B13,"Aula 10")+COUNTIF('C212'!B13,"Aula 10"))&gt;0,"C2",IF((COUNTIF('C311'!B13,"Aula 10")+COUNTIF('C312'!B13,"Aula 10"))&gt;0,"C3",IF((COUNTIF('C411'!B13,"Aula 10")+COUNTIF('C412'!B13,"Aula 10"))&gt;0,"C4",IF((COUNTIF('M111'!B13,"Aula 10")+COUNTIF('M112'!B13,"Aula 10"))&gt;0,"M1",IF((COUNTIF('M211'!B13,"Aula 10")+COUNTIF('M212'!B13,"Aula 10"))&gt;0,"M2",IF((COUNTIF('M311'!B13,"Aula 10"))&gt;0,"M3",IF((COUNTIF('M411'!B13,"Aula 10"))&gt;0,"M4",IF((COUNTIF('D111'!B13,"Aula 10")+COUNTIF('D112'!B13,"Aula 10"))&gt;0,"D1",IF((COUNTIF('D211'!B13,"Aula 10"))&gt;0,"D2",IF((COUNTIF('D311'!B13,"Aula 10"))&gt;0,"D3",IF((COUNTIF('D411'!B13,"Aula 10"))&gt;0,"D4","")))))))))))),"MIX"))</f>
        <v/>
      </c>
    </row>
    <row r="71">
      <c r="C71">
        <f>IF((IF((COUNTIF('C111'!B13,"Aula 11")+COUNTIF('C112'!B13,"Aula 11")+COUNTIF('C113'!B13,"Aula 11")+COUNTIF('C121'!B13,"Aula 11")+COUNTIF('C122'!B13,"Aula 11"))&gt;0,1,0)+IF((COUNTIF('C211'!B13,"Aula 11")+COUNTIF('C212'!B13,"Aula 11"))&gt;0,1,0)+IF((COUNTIF('C311'!B13,"Aula 11")+COUNTIF('C312'!B13,"Aula 11"))&gt;0,1,0)+IF((COUNTIF('C411'!B13,"Aula 11")+COUNTIF('C412'!B13,"Aula 11"))&gt;0,1,0)+IF((COUNTIF('M111'!B13,"Aula 11")+COUNTIF('M112'!B13,"Aula 11"))&gt;0,1,0)+IF((COUNTIF('M211'!B13,"Aula 11")+COUNTIF('M212'!B13,"Aula 11"))&gt;0,1,0)+IF((COUNTIF('M311'!B13,"Aula 11"))&gt;0,1,0)+IF((COUNTIF('M411'!B13,"Aula 11"))&gt;0,1,0)+IF((COUNTIF('D111'!B13,"Aula 11")+COUNTIF('D112'!B13,"Aula 11"))&gt;0,1,0)+IF((COUNTIF('D211'!B13,"Aula 11"))&gt;0,1,0)+IF((COUNTIF('D311'!B13,"Aula 11"))&gt;0,1,0)+IF((COUNTIF('D411'!B13,"Aula 11"))&gt;0,1,0))=0,"",IF((IF((COUNTIF('C111'!B13,"Aula 11")+COUNTIF('C112'!B13,"Aula 11")+COUNTIF('C113'!B13,"Aula 11")+COUNTIF('C121'!B13,"Aula 11")+COUNTIF('C122'!B13,"Aula 11"))&gt;0,1,0)+IF((COUNTIF('C211'!B13,"Aula 11")+COUNTIF('C212'!B13,"Aula 11"))&gt;0,1,0)+IF((COUNTIF('C311'!B13,"Aula 11")+COUNTIF('C312'!B13,"Aula 11"))&gt;0,1,0)+IF((COUNTIF('C411'!B13,"Aula 11")+COUNTIF('C412'!B13,"Aula 11"))&gt;0,1,0)+IF((COUNTIF('M111'!B13,"Aula 11")+COUNTIF('M112'!B13,"Aula 11"))&gt;0,1,0)+IF((COUNTIF('M211'!B13,"Aula 11")+COUNTIF('M212'!B13,"Aula 11"))&gt;0,1,0)+IF((COUNTIF('M311'!B13,"Aula 11"))&gt;0,1,0)+IF((COUNTIF('M411'!B13,"Aula 11"))&gt;0,1,0)+IF((COUNTIF('D111'!B13,"Aula 11")+COUNTIF('D112'!B13,"Aula 11"))&gt;0,1,0)+IF((COUNTIF('D211'!B13,"Aula 11"))&gt;0,1,0)+IF((COUNTIF('D311'!B13,"Aula 11"))&gt;0,1,0)+IF((COUNTIF('D411'!B13,"Aula 11"))&gt;0,1,0))=1,IF((COUNTIF('C111'!B13,"Aula 11")+COUNTIF('C112'!B13,"Aula 11")+COUNTIF('C113'!B13,"Aula 11")+COUNTIF('C121'!B13,"Aula 11")+COUNTIF('C122'!B13,"Aula 11"))&gt;0,"C1",IF((COUNTIF('C211'!B13,"Aula 11")+COUNTIF('C212'!B13,"Aula 11"))&gt;0,"C2",IF((COUNTIF('C311'!B13,"Aula 11")+COUNTIF('C312'!B13,"Aula 11"))&gt;0,"C3",IF((COUNTIF('C411'!B13,"Aula 11")+COUNTIF('C412'!B13,"Aula 11"))&gt;0,"C4",IF((COUNTIF('M111'!B13,"Aula 11")+COUNTIF('M112'!B13,"Aula 11"))&gt;0,"M1",IF((COUNTIF('M211'!B13,"Aula 11")+COUNTIF('M212'!B13,"Aula 11"))&gt;0,"M2",IF((COUNTIF('M311'!B13,"Aula 11"))&gt;0,"M3",IF((COUNTIF('M411'!B13,"Aula 11"))&gt;0,"M4",IF((COUNTIF('D111'!B13,"Aula 11")+COUNTIF('D112'!B13,"Aula 11"))&gt;0,"D1",IF((COUNTIF('D211'!B13,"Aula 11"))&gt;0,"D2",IF((COUNTIF('D311'!B13,"Aula 11"))&gt;0,"D3",IF((COUNTIF('D411'!B13,"Aula 11"))&gt;0,"D4","")))))))))))),"MIX"))</f>
        <v/>
      </c>
    </row>
    <row r="72">
      <c r="C72">
        <f>IF((IF((COUNTIF('C111'!B13,"Aula 12")+COUNTIF('C112'!B13,"Aula 12")+COUNTIF('C113'!B13,"Aula 12")+COUNTIF('C121'!B13,"Aula 12")+COUNTIF('C122'!B13,"Aula 12"))&gt;0,1,0)+IF((COUNTIF('C211'!B13,"Aula 12")+COUNTIF('C212'!B13,"Aula 12"))&gt;0,1,0)+IF((COUNTIF('C311'!B13,"Aula 12")+COUNTIF('C312'!B13,"Aula 12"))&gt;0,1,0)+IF((COUNTIF('C411'!B13,"Aula 12")+COUNTIF('C412'!B13,"Aula 12"))&gt;0,1,0)+IF((COUNTIF('M111'!B13,"Aula 12")+COUNTIF('M112'!B13,"Aula 12"))&gt;0,1,0)+IF((COUNTIF('M211'!B13,"Aula 12")+COUNTIF('M212'!B13,"Aula 12"))&gt;0,1,0)+IF((COUNTIF('M311'!B13,"Aula 12"))&gt;0,1,0)+IF((COUNTIF('M411'!B13,"Aula 12"))&gt;0,1,0)+IF((COUNTIF('D111'!B13,"Aula 12")+COUNTIF('D112'!B13,"Aula 12"))&gt;0,1,0)+IF((COUNTIF('D211'!B13,"Aula 12"))&gt;0,1,0)+IF((COUNTIF('D311'!B13,"Aula 12"))&gt;0,1,0)+IF((COUNTIF('D411'!B13,"Aula 12"))&gt;0,1,0))=0,"",IF((IF((COUNTIF('C111'!B13,"Aula 12")+COUNTIF('C112'!B13,"Aula 12")+COUNTIF('C113'!B13,"Aula 12")+COUNTIF('C121'!B13,"Aula 12")+COUNTIF('C122'!B13,"Aula 12"))&gt;0,1,0)+IF((COUNTIF('C211'!B13,"Aula 12")+COUNTIF('C212'!B13,"Aula 12"))&gt;0,1,0)+IF((COUNTIF('C311'!B13,"Aula 12")+COUNTIF('C312'!B13,"Aula 12"))&gt;0,1,0)+IF((COUNTIF('C411'!B13,"Aula 12")+COUNTIF('C412'!B13,"Aula 12"))&gt;0,1,0)+IF((COUNTIF('M111'!B13,"Aula 12")+COUNTIF('M112'!B13,"Aula 12"))&gt;0,1,0)+IF((COUNTIF('M211'!B13,"Aula 12")+COUNTIF('M212'!B13,"Aula 12"))&gt;0,1,0)+IF((COUNTIF('M311'!B13,"Aula 12"))&gt;0,1,0)+IF((COUNTIF('M411'!B13,"Aula 12"))&gt;0,1,0)+IF((COUNTIF('D111'!B13,"Aula 12")+COUNTIF('D112'!B13,"Aula 12"))&gt;0,1,0)+IF((COUNTIF('D211'!B13,"Aula 12"))&gt;0,1,0)+IF((COUNTIF('D311'!B13,"Aula 12"))&gt;0,1,0)+IF((COUNTIF('D411'!B13,"Aula 12"))&gt;0,1,0))=1,IF((COUNTIF('C111'!B13,"Aula 12")+COUNTIF('C112'!B13,"Aula 12")+COUNTIF('C113'!B13,"Aula 12")+COUNTIF('C121'!B13,"Aula 12")+COUNTIF('C122'!B13,"Aula 12"))&gt;0,"C1",IF((COUNTIF('C211'!B13,"Aula 12")+COUNTIF('C212'!B13,"Aula 12"))&gt;0,"C2",IF((COUNTIF('C311'!B13,"Aula 12")+COUNTIF('C312'!B13,"Aula 12"))&gt;0,"C3",IF((COUNTIF('C411'!B13,"Aula 12")+COUNTIF('C412'!B13,"Aula 12"))&gt;0,"C4",IF((COUNTIF('M111'!B13,"Aula 12")+COUNTIF('M112'!B13,"Aula 12"))&gt;0,"M1",IF((COUNTIF('M211'!B13,"Aula 12")+COUNTIF('M212'!B13,"Aula 12"))&gt;0,"M2",IF((COUNTIF('M311'!B13,"Aula 12"))&gt;0,"M3",IF((COUNTIF('M411'!B13,"Aula 12"))&gt;0,"M4",IF((COUNTIF('D111'!B13,"Aula 12")+COUNTIF('D112'!B13,"Aula 12"))&gt;0,"D1",IF((COUNTIF('D211'!B13,"Aula 12"))&gt;0,"D2",IF((COUNTIF('D311'!B13,"Aula 12"))&gt;0,"D3",IF((COUNTIF('D411'!B13,"Aula 12"))&gt;0,"D4","")))))))))))),"MIX"))</f>
        <v/>
      </c>
    </row>
    <row r="73">
      <c r="C73">
        <f>IF((IF((COUNTIF('C111'!B13,"Lab 1")+COUNTIF('C112'!B13,"Lab 1")+COUNTIF('C113'!B13,"Lab 1")+COUNTIF('C121'!B13,"Lab 1")+COUNTIF('C122'!B13,"Lab 1"))&gt;0,1,0)+IF((COUNTIF('C211'!B13,"Lab 1")+COUNTIF('C212'!B13,"Lab 1"))&gt;0,1,0)+IF((COUNTIF('C311'!B13,"Lab 1")+COUNTIF('C312'!B13,"Lab 1"))&gt;0,1,0)+IF((COUNTIF('C411'!B13,"Lab 1")+COUNTIF('C412'!B13,"Lab 1"))&gt;0,1,0)+IF((COUNTIF('M111'!B13,"Lab 1")+COUNTIF('M112'!B13,"Lab 1"))&gt;0,1,0)+IF((COUNTIF('M211'!B13,"Lab 1")+COUNTIF('M212'!B13,"Lab 1"))&gt;0,1,0)+IF((COUNTIF('M311'!B13,"Lab 1"))&gt;0,1,0)+IF((COUNTIF('M411'!B13,"Lab 1"))&gt;0,1,0)+IF((COUNTIF('D111'!B13,"Lab 1")+COUNTIF('D112'!B13,"Lab 1"))&gt;0,1,0)+IF((COUNTIF('D211'!B13,"Lab 1"))&gt;0,1,0)+IF((COUNTIF('D311'!B13,"Lab 1"))&gt;0,1,0)+IF((COUNTIF('D411'!B13,"Lab 1"))&gt;0,1,0))=0,"",IF((IF((COUNTIF('C111'!B13,"Lab 1")+COUNTIF('C112'!B13,"Lab 1")+COUNTIF('C113'!B13,"Lab 1")+COUNTIF('C121'!B13,"Lab 1")+COUNTIF('C122'!B13,"Lab 1"))&gt;0,1,0)+IF((COUNTIF('C211'!B13,"Lab 1")+COUNTIF('C212'!B13,"Lab 1"))&gt;0,1,0)+IF((COUNTIF('C311'!B13,"Lab 1")+COUNTIF('C312'!B13,"Lab 1"))&gt;0,1,0)+IF((COUNTIF('C411'!B13,"Lab 1")+COUNTIF('C412'!B13,"Lab 1"))&gt;0,1,0)+IF((COUNTIF('M111'!B13,"Lab 1")+COUNTIF('M112'!B13,"Lab 1"))&gt;0,1,0)+IF((COUNTIF('M211'!B13,"Lab 1")+COUNTIF('M212'!B13,"Lab 1"))&gt;0,1,0)+IF((COUNTIF('M311'!B13,"Lab 1"))&gt;0,1,0)+IF((COUNTIF('M411'!B13,"Lab 1"))&gt;0,1,0)+IF((COUNTIF('D111'!B13,"Lab 1")+COUNTIF('D112'!B13,"Lab 1"))&gt;0,1,0)+IF((COUNTIF('D211'!B13,"Lab 1"))&gt;0,1,0)+IF((COUNTIF('D311'!B13,"Lab 1"))&gt;0,1,0)+IF((COUNTIF('D411'!B13,"Lab 1"))&gt;0,1,0))=1,IF((COUNTIF('C111'!B13,"Lab 1")+COUNTIF('C112'!B13,"Lab 1")+COUNTIF('C113'!B13,"Lab 1")+COUNTIF('C121'!B13,"Lab 1")+COUNTIF('C122'!B13,"Lab 1"))&gt;0,"C1",IF((COUNTIF('C211'!B13,"Lab 1")+COUNTIF('C212'!B13,"Lab 1"))&gt;0,"C2",IF((COUNTIF('C311'!B13,"Lab 1")+COUNTIF('C312'!B13,"Lab 1"))&gt;0,"C3",IF((COUNTIF('C411'!B13,"Lab 1")+COUNTIF('C412'!B13,"Lab 1"))&gt;0,"C4",IF((COUNTIF('M111'!B13,"Lab 1")+COUNTIF('M112'!B13,"Lab 1"))&gt;0,"M1",IF((COUNTIF('M211'!B13,"Lab 1")+COUNTIF('M212'!B13,"Lab 1"))&gt;0,"M2",IF((COUNTIF('M311'!B13,"Lab 1"))&gt;0,"M3",IF((COUNTIF('M411'!B13,"Lab 1"))&gt;0,"M4",IF((COUNTIF('D111'!B13,"Lab 1")+COUNTIF('D112'!B13,"Lab 1"))&gt;0,"D1",IF((COUNTIF('D211'!B13,"Lab 1"))&gt;0,"D2",IF((COUNTIF('D311'!B13,"Lab 1"))&gt;0,"D3",IF((COUNTIF('D411'!B13,"Lab 1"))&gt;0,"D4","")))))))))))),"MIX"))</f>
        <v/>
      </c>
    </row>
    <row r="74">
      <c r="C74">
        <f>IF((IF((COUNTIF('C111'!B13,"Lab 2")+COUNTIF('C112'!B13,"Lab 2")+COUNTIF('C113'!B13,"Lab 2")+COUNTIF('C121'!B13,"Lab 2")+COUNTIF('C122'!B13,"Lab 2"))&gt;0,1,0)+IF((COUNTIF('C211'!B13,"Lab 2")+COUNTIF('C212'!B13,"Lab 2"))&gt;0,1,0)+IF((COUNTIF('C311'!B13,"Lab 2")+COUNTIF('C312'!B13,"Lab 2"))&gt;0,1,0)+IF((COUNTIF('C411'!B13,"Lab 2")+COUNTIF('C412'!B13,"Lab 2"))&gt;0,1,0)+IF((COUNTIF('M111'!B13,"Lab 2")+COUNTIF('M112'!B13,"Lab 2"))&gt;0,1,0)+IF((COUNTIF('M211'!B13,"Lab 2")+COUNTIF('M212'!B13,"Lab 2"))&gt;0,1,0)+IF((COUNTIF('M311'!B13,"Lab 2"))&gt;0,1,0)+IF((COUNTIF('M411'!B13,"Lab 2"))&gt;0,1,0)+IF((COUNTIF('D111'!B13,"Lab 2")+COUNTIF('D112'!B13,"Lab 2"))&gt;0,1,0)+IF((COUNTIF('D211'!B13,"Lab 2"))&gt;0,1,0)+IF((COUNTIF('D311'!B13,"Lab 2"))&gt;0,1,0)+IF((COUNTIF('D411'!B13,"Lab 2"))&gt;0,1,0))=0,"",IF((IF((COUNTIF('C111'!B13,"Lab 2")+COUNTIF('C112'!B13,"Lab 2")+COUNTIF('C113'!B13,"Lab 2")+COUNTIF('C121'!B13,"Lab 2")+COUNTIF('C122'!B13,"Lab 2"))&gt;0,1,0)+IF((COUNTIF('C211'!B13,"Lab 2")+COUNTIF('C212'!B13,"Lab 2"))&gt;0,1,0)+IF((COUNTIF('C311'!B13,"Lab 2")+COUNTIF('C312'!B13,"Lab 2"))&gt;0,1,0)+IF((COUNTIF('C411'!B13,"Lab 2")+COUNTIF('C412'!B13,"Lab 2"))&gt;0,1,0)+IF((COUNTIF('M111'!B13,"Lab 2")+COUNTIF('M112'!B13,"Lab 2"))&gt;0,1,0)+IF((COUNTIF('M211'!B13,"Lab 2")+COUNTIF('M212'!B13,"Lab 2"))&gt;0,1,0)+IF((COUNTIF('M311'!B13,"Lab 2"))&gt;0,1,0)+IF((COUNTIF('M411'!B13,"Lab 2"))&gt;0,1,0)+IF((COUNTIF('D111'!B13,"Lab 2")+COUNTIF('D112'!B13,"Lab 2"))&gt;0,1,0)+IF((COUNTIF('D211'!B13,"Lab 2"))&gt;0,1,0)+IF((COUNTIF('D311'!B13,"Lab 2"))&gt;0,1,0)+IF((COUNTIF('D411'!B13,"Lab 2"))&gt;0,1,0))=1,IF((COUNTIF('C111'!B13,"Lab 2")+COUNTIF('C112'!B13,"Lab 2")+COUNTIF('C113'!B13,"Lab 2")+COUNTIF('C121'!B13,"Lab 2")+COUNTIF('C122'!B13,"Lab 2"))&gt;0,"C1",IF((COUNTIF('C211'!B13,"Lab 2")+COUNTIF('C212'!B13,"Lab 2"))&gt;0,"C2",IF((COUNTIF('C311'!B13,"Lab 2")+COUNTIF('C312'!B13,"Lab 2"))&gt;0,"C3",IF((COUNTIF('C411'!B13,"Lab 2")+COUNTIF('C412'!B13,"Lab 2"))&gt;0,"C4",IF((COUNTIF('M111'!B13,"Lab 2")+COUNTIF('M112'!B13,"Lab 2"))&gt;0,"M1",IF((COUNTIF('M211'!B13,"Lab 2")+COUNTIF('M212'!B13,"Lab 2"))&gt;0,"M2",IF((COUNTIF('M311'!B13,"Lab 2"))&gt;0,"M3",IF((COUNTIF('M411'!B13,"Lab 2"))&gt;0,"M4",IF((COUNTIF('D111'!B13,"Lab 2")+COUNTIF('D112'!B13,"Lab 2"))&gt;0,"D1",IF((COUNTIF('D211'!B13,"Lab 2"))&gt;0,"D2",IF((COUNTIF('D311'!B13,"Lab 2"))&gt;0,"D3",IF((COUNTIF('D411'!B13,"Lab 2"))&gt;0,"D4","")))))))))))),"MIX"))</f>
        <v/>
      </c>
    </row>
    <row r="75">
      <c r="C75">
        <f>IF((IF((COUNTIF('C111'!B13,"Salón")+COUNTIF('C112'!B13,"Salón")+COUNTIF('C113'!B13,"Salón")+COUNTIF('C121'!B13,"Salón")+COUNTIF('C122'!B13,"Salón"))&gt;0,1,0)+IF((COUNTIF('C211'!B13,"Salón")+COUNTIF('C212'!B13,"Salón"))&gt;0,1,0)+IF((COUNTIF('C311'!B13,"Salón")+COUNTIF('C312'!B13,"Salón"))&gt;0,1,0)+IF((COUNTIF('C411'!B13,"Salón")+COUNTIF('C412'!B13,"Salón"))&gt;0,1,0)+IF((COUNTIF('M111'!B13,"Salón")+COUNTIF('M112'!B13,"Salón"))&gt;0,1,0)+IF((COUNTIF('M211'!B13,"Salón")+COUNTIF('M212'!B13,"Salón"))&gt;0,1,0)+IF((COUNTIF('M311'!B13,"Salón"))&gt;0,1,0)+IF((COUNTIF('M411'!B13,"Salón"))&gt;0,1,0)+IF((COUNTIF('D111'!B13,"Salón")+COUNTIF('D112'!B13,"Salón"))&gt;0,1,0)+IF((COUNTIF('D211'!B13,"Salón"))&gt;0,1,0)+IF((COUNTIF('D311'!B13,"Salón"))&gt;0,1,0)+IF((COUNTIF('D411'!B13,"Salón"))&gt;0,1,0))=0,"",IF((IF((COUNTIF('C111'!B13,"Salón")+COUNTIF('C112'!B13,"Salón")+COUNTIF('C113'!B13,"Salón")+COUNTIF('C121'!B13,"Salón")+COUNTIF('C122'!B13,"Salón"))&gt;0,1,0)+IF((COUNTIF('C211'!B13,"Salón")+COUNTIF('C212'!B13,"Salón"))&gt;0,1,0)+IF((COUNTIF('C311'!B13,"Salón")+COUNTIF('C312'!B13,"Salón"))&gt;0,1,0)+IF((COUNTIF('C411'!B13,"Salón")+COUNTIF('C412'!B13,"Salón"))&gt;0,1,0)+IF((COUNTIF('M111'!B13,"Salón")+COUNTIF('M112'!B13,"Salón"))&gt;0,1,0)+IF((COUNTIF('M211'!B13,"Salón")+COUNTIF('M212'!B13,"Salón"))&gt;0,1,0)+IF((COUNTIF('M311'!B13,"Salón"))&gt;0,1,0)+IF((COUNTIF('M411'!B13,"Salón"))&gt;0,1,0)+IF((COUNTIF('D111'!B13,"Salón")+COUNTIF('D112'!B13,"Salón"))&gt;0,1,0)+IF((COUNTIF('D211'!B13,"Salón"))&gt;0,1,0)+IF((COUNTIF('D311'!B13,"Salón"))&gt;0,1,0)+IF((COUNTIF('D411'!B13,"Salón"))&gt;0,1,0))=1,IF((COUNTIF('C111'!B13,"Salón")+COUNTIF('C112'!B13,"Salón")+COUNTIF('C113'!B13,"Salón")+COUNTIF('C121'!B13,"Salón")+COUNTIF('C122'!B13,"Salón"))&gt;0,"C1",IF((COUNTIF('C211'!B13,"Salón")+COUNTIF('C212'!B13,"Salón"))&gt;0,"C2",IF((COUNTIF('C311'!B13,"Salón")+COUNTIF('C312'!B13,"Salón"))&gt;0,"C3",IF((COUNTIF('C411'!B13,"Salón")+COUNTIF('C412'!B13,"Salón"))&gt;0,"C4",IF((COUNTIF('M111'!B13,"Salón")+COUNTIF('M112'!B13,"Salón"))&gt;0,"M1",IF((COUNTIF('M211'!B13,"Salón")+COUNTIF('M212'!B13,"Salón"))&gt;0,"M2",IF((COUNTIF('M311'!B13,"Salón"))&gt;0,"M3",IF((COUNTIF('M411'!B13,"Salón"))&gt;0,"M4",IF((COUNTIF('D111'!B13,"Salón")+COUNTIF('D112'!B13,"Salón"))&gt;0,"D1",IF((COUNTIF('D211'!B13,"Salón"))&gt;0,"D2",IF((COUNTIF('D311'!B13,"Salón"))&gt;0,"D3",IF((COUNTIF('D411'!B13,"Salón"))&gt;0,"D4","")))))))))))),"MIX"))</f>
        <v/>
      </c>
    </row>
    <row r="76">
      <c r="C76">
        <f>IF((IF((COUNTIF('C111'!B15,"Aula 1")+COUNTIF('C112'!B15,"Aula 1")+COUNTIF('C113'!B15,"Aula 1")+COUNTIF('C121'!B15,"Aula 1")+COUNTIF('C122'!B15,"Aula 1"))&gt;0,1,0)+IF((COUNTIF('C211'!B15,"Aula 1")+COUNTIF('C212'!B15,"Aula 1"))&gt;0,1,0)+IF((COUNTIF('C311'!B15,"Aula 1")+COUNTIF('C312'!B15,"Aula 1"))&gt;0,1,0)+IF((COUNTIF('C411'!B15,"Aula 1")+COUNTIF('C412'!B15,"Aula 1"))&gt;0,1,0)+IF((COUNTIF('M111'!B15,"Aula 1")+COUNTIF('M112'!B15,"Aula 1"))&gt;0,1,0)+IF((COUNTIF('M211'!B15,"Aula 1")+COUNTIF('M212'!B15,"Aula 1"))&gt;0,1,0)+IF((COUNTIF('M311'!B15,"Aula 1"))&gt;0,1,0)+IF((COUNTIF('M411'!B15,"Aula 1"))&gt;0,1,0)+IF((COUNTIF('D111'!B15,"Aula 1")+COUNTIF('D112'!B15,"Aula 1"))&gt;0,1,0)+IF((COUNTIF('D211'!B15,"Aula 1"))&gt;0,1,0)+IF((COUNTIF('D311'!B15,"Aula 1"))&gt;0,1,0)+IF((COUNTIF('D411'!B15,"Aula 1"))&gt;0,1,0))=0,"",IF((IF((COUNTIF('C111'!B15,"Aula 1")+COUNTIF('C112'!B15,"Aula 1")+COUNTIF('C113'!B15,"Aula 1")+COUNTIF('C121'!B15,"Aula 1")+COUNTIF('C122'!B15,"Aula 1"))&gt;0,1,0)+IF((COUNTIF('C211'!B15,"Aula 1")+COUNTIF('C212'!B15,"Aula 1"))&gt;0,1,0)+IF((COUNTIF('C311'!B15,"Aula 1")+COUNTIF('C312'!B15,"Aula 1"))&gt;0,1,0)+IF((COUNTIF('C411'!B15,"Aula 1")+COUNTIF('C412'!B15,"Aula 1"))&gt;0,1,0)+IF((COUNTIF('M111'!B15,"Aula 1")+COUNTIF('M112'!B15,"Aula 1"))&gt;0,1,0)+IF((COUNTIF('M211'!B15,"Aula 1")+COUNTIF('M212'!B15,"Aula 1"))&gt;0,1,0)+IF((COUNTIF('M311'!B15,"Aula 1"))&gt;0,1,0)+IF((COUNTIF('M411'!B15,"Aula 1"))&gt;0,1,0)+IF((COUNTIF('D111'!B15,"Aula 1")+COUNTIF('D112'!B15,"Aula 1"))&gt;0,1,0)+IF((COUNTIF('D211'!B15,"Aula 1"))&gt;0,1,0)+IF((COUNTIF('D311'!B15,"Aula 1"))&gt;0,1,0)+IF((COUNTIF('D411'!B15,"Aula 1"))&gt;0,1,0))=1,IF((COUNTIF('C111'!B15,"Aula 1")+COUNTIF('C112'!B15,"Aula 1")+COUNTIF('C113'!B15,"Aula 1")+COUNTIF('C121'!B15,"Aula 1")+COUNTIF('C122'!B15,"Aula 1"))&gt;0,"C1",IF((COUNTIF('C211'!B15,"Aula 1")+COUNTIF('C212'!B15,"Aula 1"))&gt;0,"C2",IF((COUNTIF('C311'!B15,"Aula 1")+COUNTIF('C312'!B15,"Aula 1"))&gt;0,"C3",IF((COUNTIF('C411'!B15,"Aula 1")+COUNTIF('C412'!B15,"Aula 1"))&gt;0,"C4",IF((COUNTIF('M111'!B15,"Aula 1")+COUNTIF('M112'!B15,"Aula 1"))&gt;0,"M1",IF((COUNTIF('M211'!B15,"Aula 1")+COUNTIF('M212'!B15,"Aula 1"))&gt;0,"M2",IF((COUNTIF('M311'!B15,"Aula 1"))&gt;0,"M3",IF((COUNTIF('M411'!B15,"Aula 1"))&gt;0,"M4",IF((COUNTIF('D111'!B15,"Aula 1")+COUNTIF('D112'!B15,"Aula 1"))&gt;0,"D1",IF((COUNTIF('D211'!B15,"Aula 1"))&gt;0,"D2",IF((COUNTIF('D311'!B15,"Aula 1"))&gt;0,"D3",IF((COUNTIF('D411'!B15,"Aula 1"))&gt;0,"D4","")))))))))))),"MIX"))</f>
        <v/>
      </c>
    </row>
    <row r="77">
      <c r="C77">
        <f>IF((IF((COUNTIF('C111'!B15,"Aula 2")+COUNTIF('C112'!B15,"Aula 2")+COUNTIF('C113'!B15,"Aula 2")+COUNTIF('C121'!B15,"Aula 2")+COUNTIF('C122'!B15,"Aula 2"))&gt;0,1,0)+IF((COUNTIF('C211'!B15,"Aula 2")+COUNTIF('C212'!B15,"Aula 2"))&gt;0,1,0)+IF((COUNTIF('C311'!B15,"Aula 2")+COUNTIF('C312'!B15,"Aula 2"))&gt;0,1,0)+IF((COUNTIF('C411'!B15,"Aula 2")+COUNTIF('C412'!B15,"Aula 2"))&gt;0,1,0)+IF((COUNTIF('M111'!B15,"Aula 2")+COUNTIF('M112'!B15,"Aula 2"))&gt;0,1,0)+IF((COUNTIF('M211'!B15,"Aula 2")+COUNTIF('M212'!B15,"Aula 2"))&gt;0,1,0)+IF((COUNTIF('M311'!B15,"Aula 2"))&gt;0,1,0)+IF((COUNTIF('M411'!B15,"Aula 2"))&gt;0,1,0)+IF((COUNTIF('D111'!B15,"Aula 2")+COUNTIF('D112'!B15,"Aula 2"))&gt;0,1,0)+IF((COUNTIF('D211'!B15,"Aula 2"))&gt;0,1,0)+IF((COUNTIF('D311'!B15,"Aula 2"))&gt;0,1,0)+IF((COUNTIF('D411'!B15,"Aula 2"))&gt;0,1,0))=0,"",IF((IF((COUNTIF('C111'!B15,"Aula 2")+COUNTIF('C112'!B15,"Aula 2")+COUNTIF('C113'!B15,"Aula 2")+COUNTIF('C121'!B15,"Aula 2")+COUNTIF('C122'!B15,"Aula 2"))&gt;0,1,0)+IF((COUNTIF('C211'!B15,"Aula 2")+COUNTIF('C212'!B15,"Aula 2"))&gt;0,1,0)+IF((COUNTIF('C311'!B15,"Aula 2")+COUNTIF('C312'!B15,"Aula 2"))&gt;0,1,0)+IF((COUNTIF('C411'!B15,"Aula 2")+COUNTIF('C412'!B15,"Aula 2"))&gt;0,1,0)+IF((COUNTIF('M111'!B15,"Aula 2")+COUNTIF('M112'!B15,"Aula 2"))&gt;0,1,0)+IF((COUNTIF('M211'!B15,"Aula 2")+COUNTIF('M212'!B15,"Aula 2"))&gt;0,1,0)+IF((COUNTIF('M311'!B15,"Aula 2"))&gt;0,1,0)+IF((COUNTIF('M411'!B15,"Aula 2"))&gt;0,1,0)+IF((COUNTIF('D111'!B15,"Aula 2")+COUNTIF('D112'!B15,"Aula 2"))&gt;0,1,0)+IF((COUNTIF('D211'!B15,"Aula 2"))&gt;0,1,0)+IF((COUNTIF('D311'!B15,"Aula 2"))&gt;0,1,0)+IF((COUNTIF('D411'!B15,"Aula 2"))&gt;0,1,0))=1,IF((COUNTIF('C111'!B15,"Aula 2")+COUNTIF('C112'!B15,"Aula 2")+COUNTIF('C113'!B15,"Aula 2")+COUNTIF('C121'!B15,"Aula 2")+COUNTIF('C122'!B15,"Aula 2"))&gt;0,"C1",IF((COUNTIF('C211'!B15,"Aula 2")+COUNTIF('C212'!B15,"Aula 2"))&gt;0,"C2",IF((COUNTIF('C311'!B15,"Aula 2")+COUNTIF('C312'!B15,"Aula 2"))&gt;0,"C3",IF((COUNTIF('C411'!B15,"Aula 2")+COUNTIF('C412'!B15,"Aula 2"))&gt;0,"C4",IF((COUNTIF('M111'!B15,"Aula 2")+COUNTIF('M112'!B15,"Aula 2"))&gt;0,"M1",IF((COUNTIF('M211'!B15,"Aula 2")+COUNTIF('M212'!B15,"Aula 2"))&gt;0,"M2",IF((COUNTIF('M311'!B15,"Aula 2"))&gt;0,"M3",IF((COUNTIF('M411'!B15,"Aula 2"))&gt;0,"M4",IF((COUNTIF('D111'!B15,"Aula 2")+COUNTIF('D112'!B15,"Aula 2"))&gt;0,"D1",IF((COUNTIF('D211'!B15,"Aula 2"))&gt;0,"D2",IF((COUNTIF('D311'!B15,"Aula 2"))&gt;0,"D3",IF((COUNTIF('D411'!B15,"Aula 2"))&gt;0,"D4","")))))))))))),"MIX"))</f>
        <v/>
      </c>
    </row>
    <row r="78">
      <c r="C78">
        <f>IF((IF((COUNTIF('C111'!B15,"Aula 3")+COUNTIF('C112'!B15,"Aula 3")+COUNTIF('C113'!B15,"Aula 3")+COUNTIF('C121'!B15,"Aula 3")+COUNTIF('C122'!B15,"Aula 3"))&gt;0,1,0)+IF((COUNTIF('C211'!B15,"Aula 3")+COUNTIF('C212'!B15,"Aula 3"))&gt;0,1,0)+IF((COUNTIF('C311'!B15,"Aula 3")+COUNTIF('C312'!B15,"Aula 3"))&gt;0,1,0)+IF((COUNTIF('C411'!B15,"Aula 3")+COUNTIF('C412'!B15,"Aula 3"))&gt;0,1,0)+IF((COUNTIF('M111'!B15,"Aula 3")+COUNTIF('M112'!B15,"Aula 3"))&gt;0,1,0)+IF((COUNTIF('M211'!B15,"Aula 3")+COUNTIF('M212'!B15,"Aula 3"))&gt;0,1,0)+IF((COUNTIF('M311'!B15,"Aula 3"))&gt;0,1,0)+IF((COUNTIF('M411'!B15,"Aula 3"))&gt;0,1,0)+IF((COUNTIF('D111'!B15,"Aula 3")+COUNTIF('D112'!B15,"Aula 3"))&gt;0,1,0)+IF((COUNTIF('D211'!B15,"Aula 3"))&gt;0,1,0)+IF((COUNTIF('D311'!B15,"Aula 3"))&gt;0,1,0)+IF((COUNTIF('D411'!B15,"Aula 3"))&gt;0,1,0))=0,"",IF((IF((COUNTIF('C111'!B15,"Aula 3")+COUNTIF('C112'!B15,"Aula 3")+COUNTIF('C113'!B15,"Aula 3")+COUNTIF('C121'!B15,"Aula 3")+COUNTIF('C122'!B15,"Aula 3"))&gt;0,1,0)+IF((COUNTIF('C211'!B15,"Aula 3")+COUNTIF('C212'!B15,"Aula 3"))&gt;0,1,0)+IF((COUNTIF('C311'!B15,"Aula 3")+COUNTIF('C312'!B15,"Aula 3"))&gt;0,1,0)+IF((COUNTIF('C411'!B15,"Aula 3")+COUNTIF('C412'!B15,"Aula 3"))&gt;0,1,0)+IF((COUNTIF('M111'!B15,"Aula 3")+COUNTIF('M112'!B15,"Aula 3"))&gt;0,1,0)+IF((COUNTIF('M211'!B15,"Aula 3")+COUNTIF('M212'!B15,"Aula 3"))&gt;0,1,0)+IF((COUNTIF('M311'!B15,"Aula 3"))&gt;0,1,0)+IF((COUNTIF('M411'!B15,"Aula 3"))&gt;0,1,0)+IF((COUNTIF('D111'!B15,"Aula 3")+COUNTIF('D112'!B15,"Aula 3"))&gt;0,1,0)+IF((COUNTIF('D211'!B15,"Aula 3"))&gt;0,1,0)+IF((COUNTIF('D311'!B15,"Aula 3"))&gt;0,1,0)+IF((COUNTIF('D411'!B15,"Aula 3"))&gt;0,1,0))=1,IF((COUNTIF('C111'!B15,"Aula 3")+COUNTIF('C112'!B15,"Aula 3")+COUNTIF('C113'!B15,"Aula 3")+COUNTIF('C121'!B15,"Aula 3")+COUNTIF('C122'!B15,"Aula 3"))&gt;0,"C1",IF((COUNTIF('C211'!B15,"Aula 3")+COUNTIF('C212'!B15,"Aula 3"))&gt;0,"C2",IF((COUNTIF('C311'!B15,"Aula 3")+COUNTIF('C312'!B15,"Aula 3"))&gt;0,"C3",IF((COUNTIF('C411'!B15,"Aula 3")+COUNTIF('C412'!B15,"Aula 3"))&gt;0,"C4",IF((COUNTIF('M111'!B15,"Aula 3")+COUNTIF('M112'!B15,"Aula 3"))&gt;0,"M1",IF((COUNTIF('M211'!B15,"Aula 3")+COUNTIF('M212'!B15,"Aula 3"))&gt;0,"M2",IF((COUNTIF('M311'!B15,"Aula 3"))&gt;0,"M3",IF((COUNTIF('M411'!B15,"Aula 3"))&gt;0,"M4",IF((COUNTIF('D111'!B15,"Aula 3")+COUNTIF('D112'!B15,"Aula 3"))&gt;0,"D1",IF((COUNTIF('D211'!B15,"Aula 3"))&gt;0,"D2",IF((COUNTIF('D311'!B15,"Aula 3"))&gt;0,"D3",IF((COUNTIF('D411'!B15,"Aula 3"))&gt;0,"D4","")))))))))))),"MIX"))</f>
        <v/>
      </c>
    </row>
    <row r="79">
      <c r="C79">
        <f>IF((IF((COUNTIF('C111'!B15,"Aula 4")+COUNTIF('C112'!B15,"Aula 4")+COUNTIF('C113'!B15,"Aula 4")+COUNTIF('C121'!B15,"Aula 4")+COUNTIF('C122'!B15,"Aula 4"))&gt;0,1,0)+IF((COUNTIF('C211'!B15,"Aula 4")+COUNTIF('C212'!B15,"Aula 4"))&gt;0,1,0)+IF((COUNTIF('C311'!B15,"Aula 4")+COUNTIF('C312'!B15,"Aula 4"))&gt;0,1,0)+IF((COUNTIF('C411'!B15,"Aula 4")+COUNTIF('C412'!B15,"Aula 4"))&gt;0,1,0)+IF((COUNTIF('M111'!B15,"Aula 4")+COUNTIF('M112'!B15,"Aula 4"))&gt;0,1,0)+IF((COUNTIF('M211'!B15,"Aula 4")+COUNTIF('M212'!B15,"Aula 4"))&gt;0,1,0)+IF((COUNTIF('M311'!B15,"Aula 4"))&gt;0,1,0)+IF((COUNTIF('M411'!B15,"Aula 4"))&gt;0,1,0)+IF((COUNTIF('D111'!B15,"Aula 4")+COUNTIF('D112'!B15,"Aula 4"))&gt;0,1,0)+IF((COUNTIF('D211'!B15,"Aula 4"))&gt;0,1,0)+IF((COUNTIF('D311'!B15,"Aula 4"))&gt;0,1,0)+IF((COUNTIF('D411'!B15,"Aula 4"))&gt;0,1,0))=0,"",IF((IF((COUNTIF('C111'!B15,"Aula 4")+COUNTIF('C112'!B15,"Aula 4")+COUNTIF('C113'!B15,"Aula 4")+COUNTIF('C121'!B15,"Aula 4")+COUNTIF('C122'!B15,"Aula 4"))&gt;0,1,0)+IF((COUNTIF('C211'!B15,"Aula 4")+COUNTIF('C212'!B15,"Aula 4"))&gt;0,1,0)+IF((COUNTIF('C311'!B15,"Aula 4")+COUNTIF('C312'!B15,"Aula 4"))&gt;0,1,0)+IF((COUNTIF('C411'!B15,"Aula 4")+COUNTIF('C412'!B15,"Aula 4"))&gt;0,1,0)+IF((COUNTIF('M111'!B15,"Aula 4")+COUNTIF('M112'!B15,"Aula 4"))&gt;0,1,0)+IF((COUNTIF('M211'!B15,"Aula 4")+COUNTIF('M212'!B15,"Aula 4"))&gt;0,1,0)+IF((COUNTIF('M311'!B15,"Aula 4"))&gt;0,1,0)+IF((COUNTIF('M411'!B15,"Aula 4"))&gt;0,1,0)+IF((COUNTIF('D111'!B15,"Aula 4")+COUNTIF('D112'!B15,"Aula 4"))&gt;0,1,0)+IF((COUNTIF('D211'!B15,"Aula 4"))&gt;0,1,0)+IF((COUNTIF('D311'!B15,"Aula 4"))&gt;0,1,0)+IF((COUNTIF('D411'!B15,"Aula 4"))&gt;0,1,0))=1,IF((COUNTIF('C111'!B15,"Aula 4")+COUNTIF('C112'!B15,"Aula 4")+COUNTIF('C113'!B15,"Aula 4")+COUNTIF('C121'!B15,"Aula 4")+COUNTIF('C122'!B15,"Aula 4"))&gt;0,"C1",IF((COUNTIF('C211'!B15,"Aula 4")+COUNTIF('C212'!B15,"Aula 4"))&gt;0,"C2",IF((COUNTIF('C311'!B15,"Aula 4")+COUNTIF('C312'!B15,"Aula 4"))&gt;0,"C3",IF((COUNTIF('C411'!B15,"Aula 4")+COUNTIF('C412'!B15,"Aula 4"))&gt;0,"C4",IF((COUNTIF('M111'!B15,"Aula 4")+COUNTIF('M112'!B15,"Aula 4"))&gt;0,"M1",IF((COUNTIF('M211'!B15,"Aula 4")+COUNTIF('M212'!B15,"Aula 4"))&gt;0,"M2",IF((COUNTIF('M311'!B15,"Aula 4"))&gt;0,"M3",IF((COUNTIF('M411'!B15,"Aula 4"))&gt;0,"M4",IF((COUNTIF('D111'!B15,"Aula 4")+COUNTIF('D112'!B15,"Aula 4"))&gt;0,"D1",IF((COUNTIF('D211'!B15,"Aula 4"))&gt;0,"D2",IF((COUNTIF('D311'!B15,"Aula 4"))&gt;0,"D3",IF((COUNTIF('D411'!B15,"Aula 4"))&gt;0,"D4","")))))))))))),"MIX"))</f>
        <v/>
      </c>
    </row>
    <row r="80">
      <c r="C80">
        <f>IF((IF((COUNTIF('C111'!B15,"Aula 5")+COUNTIF('C112'!B15,"Aula 5")+COUNTIF('C113'!B15,"Aula 5")+COUNTIF('C121'!B15,"Aula 5")+COUNTIF('C122'!B15,"Aula 5"))&gt;0,1,0)+IF((COUNTIF('C211'!B15,"Aula 5")+COUNTIF('C212'!B15,"Aula 5"))&gt;0,1,0)+IF((COUNTIF('C311'!B15,"Aula 5")+COUNTIF('C312'!B15,"Aula 5"))&gt;0,1,0)+IF((COUNTIF('C411'!B15,"Aula 5")+COUNTIF('C412'!B15,"Aula 5"))&gt;0,1,0)+IF((COUNTIF('M111'!B15,"Aula 5")+COUNTIF('M112'!B15,"Aula 5"))&gt;0,1,0)+IF((COUNTIF('M211'!B15,"Aula 5")+COUNTIF('M212'!B15,"Aula 5"))&gt;0,1,0)+IF((COUNTIF('M311'!B15,"Aula 5"))&gt;0,1,0)+IF((COUNTIF('M411'!B15,"Aula 5"))&gt;0,1,0)+IF((COUNTIF('D111'!B15,"Aula 5")+COUNTIF('D112'!B15,"Aula 5"))&gt;0,1,0)+IF((COUNTIF('D211'!B15,"Aula 5"))&gt;0,1,0)+IF((COUNTIF('D311'!B15,"Aula 5"))&gt;0,1,0)+IF((COUNTIF('D411'!B15,"Aula 5"))&gt;0,1,0))=0,"",IF((IF((COUNTIF('C111'!B15,"Aula 5")+COUNTIF('C112'!B15,"Aula 5")+COUNTIF('C113'!B15,"Aula 5")+COUNTIF('C121'!B15,"Aula 5")+COUNTIF('C122'!B15,"Aula 5"))&gt;0,1,0)+IF((COUNTIF('C211'!B15,"Aula 5")+COUNTIF('C212'!B15,"Aula 5"))&gt;0,1,0)+IF((COUNTIF('C311'!B15,"Aula 5")+COUNTIF('C312'!B15,"Aula 5"))&gt;0,1,0)+IF((COUNTIF('C411'!B15,"Aula 5")+COUNTIF('C412'!B15,"Aula 5"))&gt;0,1,0)+IF((COUNTIF('M111'!B15,"Aula 5")+COUNTIF('M112'!B15,"Aula 5"))&gt;0,1,0)+IF((COUNTIF('M211'!B15,"Aula 5")+COUNTIF('M212'!B15,"Aula 5"))&gt;0,1,0)+IF((COUNTIF('M311'!B15,"Aula 5"))&gt;0,1,0)+IF((COUNTIF('M411'!B15,"Aula 5"))&gt;0,1,0)+IF((COUNTIF('D111'!B15,"Aula 5")+COUNTIF('D112'!B15,"Aula 5"))&gt;0,1,0)+IF((COUNTIF('D211'!B15,"Aula 5"))&gt;0,1,0)+IF((COUNTIF('D311'!B15,"Aula 5"))&gt;0,1,0)+IF((COUNTIF('D411'!B15,"Aula 5"))&gt;0,1,0))=1,IF((COUNTIF('C111'!B15,"Aula 5")+COUNTIF('C112'!B15,"Aula 5")+COUNTIF('C113'!B15,"Aula 5")+COUNTIF('C121'!B15,"Aula 5")+COUNTIF('C122'!B15,"Aula 5"))&gt;0,"C1",IF((COUNTIF('C211'!B15,"Aula 5")+COUNTIF('C212'!B15,"Aula 5"))&gt;0,"C2",IF((COUNTIF('C311'!B15,"Aula 5")+COUNTIF('C312'!B15,"Aula 5"))&gt;0,"C3",IF((COUNTIF('C411'!B15,"Aula 5")+COUNTIF('C412'!B15,"Aula 5"))&gt;0,"C4",IF((COUNTIF('M111'!B15,"Aula 5")+COUNTIF('M112'!B15,"Aula 5"))&gt;0,"M1",IF((COUNTIF('M211'!B15,"Aula 5")+COUNTIF('M212'!B15,"Aula 5"))&gt;0,"M2",IF((COUNTIF('M311'!B15,"Aula 5"))&gt;0,"M3",IF((COUNTIF('M411'!B15,"Aula 5"))&gt;0,"M4",IF((COUNTIF('D111'!B15,"Aula 5")+COUNTIF('D112'!B15,"Aula 5"))&gt;0,"D1",IF((COUNTIF('D211'!B15,"Aula 5"))&gt;0,"D2",IF((COUNTIF('D311'!B15,"Aula 5"))&gt;0,"D3",IF((COUNTIF('D411'!B15,"Aula 5"))&gt;0,"D4","")))))))))))),"MIX"))</f>
        <v/>
      </c>
    </row>
    <row r="81">
      <c r="C81">
        <f>IF((IF((COUNTIF('C111'!B15,"Aula 6")+COUNTIF('C112'!B15,"Aula 6")+COUNTIF('C113'!B15,"Aula 6")+COUNTIF('C121'!B15,"Aula 6")+COUNTIF('C122'!B15,"Aula 6"))&gt;0,1,0)+IF((COUNTIF('C211'!B15,"Aula 6")+COUNTIF('C212'!B15,"Aula 6"))&gt;0,1,0)+IF((COUNTIF('C311'!B15,"Aula 6")+COUNTIF('C312'!B15,"Aula 6"))&gt;0,1,0)+IF((COUNTIF('C411'!B15,"Aula 6")+COUNTIF('C412'!B15,"Aula 6"))&gt;0,1,0)+IF((COUNTIF('M111'!B15,"Aula 6")+COUNTIF('M112'!B15,"Aula 6"))&gt;0,1,0)+IF((COUNTIF('M211'!B15,"Aula 6")+COUNTIF('M212'!B15,"Aula 6"))&gt;0,1,0)+IF((COUNTIF('M311'!B15,"Aula 6"))&gt;0,1,0)+IF((COUNTIF('M411'!B15,"Aula 6"))&gt;0,1,0)+IF((COUNTIF('D111'!B15,"Aula 6")+COUNTIF('D112'!B15,"Aula 6"))&gt;0,1,0)+IF((COUNTIF('D211'!B15,"Aula 6"))&gt;0,1,0)+IF((COUNTIF('D311'!B15,"Aula 6"))&gt;0,1,0)+IF((COUNTIF('D411'!B15,"Aula 6"))&gt;0,1,0))=0,"",IF((IF((COUNTIF('C111'!B15,"Aula 6")+COUNTIF('C112'!B15,"Aula 6")+COUNTIF('C113'!B15,"Aula 6")+COUNTIF('C121'!B15,"Aula 6")+COUNTIF('C122'!B15,"Aula 6"))&gt;0,1,0)+IF((COUNTIF('C211'!B15,"Aula 6")+COUNTIF('C212'!B15,"Aula 6"))&gt;0,1,0)+IF((COUNTIF('C311'!B15,"Aula 6")+COUNTIF('C312'!B15,"Aula 6"))&gt;0,1,0)+IF((COUNTIF('C411'!B15,"Aula 6")+COUNTIF('C412'!B15,"Aula 6"))&gt;0,1,0)+IF((COUNTIF('M111'!B15,"Aula 6")+COUNTIF('M112'!B15,"Aula 6"))&gt;0,1,0)+IF((COUNTIF('M211'!B15,"Aula 6")+COUNTIF('M212'!B15,"Aula 6"))&gt;0,1,0)+IF((COUNTIF('M311'!B15,"Aula 6"))&gt;0,1,0)+IF((COUNTIF('M411'!B15,"Aula 6"))&gt;0,1,0)+IF((COUNTIF('D111'!B15,"Aula 6")+COUNTIF('D112'!B15,"Aula 6"))&gt;0,1,0)+IF((COUNTIF('D211'!B15,"Aula 6"))&gt;0,1,0)+IF((COUNTIF('D311'!B15,"Aula 6"))&gt;0,1,0)+IF((COUNTIF('D411'!B15,"Aula 6"))&gt;0,1,0))=1,IF((COUNTIF('C111'!B15,"Aula 6")+COUNTIF('C112'!B15,"Aula 6")+COUNTIF('C113'!B15,"Aula 6")+COUNTIF('C121'!B15,"Aula 6")+COUNTIF('C122'!B15,"Aula 6"))&gt;0,"C1",IF((COUNTIF('C211'!B15,"Aula 6")+COUNTIF('C212'!B15,"Aula 6"))&gt;0,"C2",IF((COUNTIF('C311'!B15,"Aula 6")+COUNTIF('C312'!B15,"Aula 6"))&gt;0,"C3",IF((COUNTIF('C411'!B15,"Aula 6")+COUNTIF('C412'!B15,"Aula 6"))&gt;0,"C4",IF((COUNTIF('M111'!B15,"Aula 6")+COUNTIF('M112'!B15,"Aula 6"))&gt;0,"M1",IF((COUNTIF('M211'!B15,"Aula 6")+COUNTIF('M212'!B15,"Aula 6"))&gt;0,"M2",IF((COUNTIF('M311'!B15,"Aula 6"))&gt;0,"M3",IF((COUNTIF('M411'!B15,"Aula 6"))&gt;0,"M4",IF((COUNTIF('D111'!B15,"Aula 6")+COUNTIF('D112'!B15,"Aula 6"))&gt;0,"D1",IF((COUNTIF('D211'!B15,"Aula 6"))&gt;0,"D2",IF((COUNTIF('D311'!B15,"Aula 6"))&gt;0,"D3",IF((COUNTIF('D411'!B15,"Aula 6"))&gt;0,"D4","")))))))))))),"MIX"))</f>
        <v/>
      </c>
    </row>
    <row r="82">
      <c r="C82">
        <f>IF((IF((COUNTIF('C111'!B15,"Aula 7")+COUNTIF('C112'!B15,"Aula 7")+COUNTIF('C113'!B15,"Aula 7")+COUNTIF('C121'!B15,"Aula 7")+COUNTIF('C122'!B15,"Aula 7"))&gt;0,1,0)+IF((COUNTIF('C211'!B15,"Aula 7")+COUNTIF('C212'!B15,"Aula 7"))&gt;0,1,0)+IF((COUNTIF('C311'!B15,"Aula 7")+COUNTIF('C312'!B15,"Aula 7"))&gt;0,1,0)+IF((COUNTIF('C411'!B15,"Aula 7")+COUNTIF('C412'!B15,"Aula 7"))&gt;0,1,0)+IF((COUNTIF('M111'!B15,"Aula 7")+COUNTIF('M112'!B15,"Aula 7"))&gt;0,1,0)+IF((COUNTIF('M211'!B15,"Aula 7")+COUNTIF('M212'!B15,"Aula 7"))&gt;0,1,0)+IF((COUNTIF('M311'!B15,"Aula 7"))&gt;0,1,0)+IF((COUNTIF('M411'!B15,"Aula 7"))&gt;0,1,0)+IF((COUNTIF('D111'!B15,"Aula 7")+COUNTIF('D112'!B15,"Aula 7"))&gt;0,1,0)+IF((COUNTIF('D211'!B15,"Aula 7"))&gt;0,1,0)+IF((COUNTIF('D311'!B15,"Aula 7"))&gt;0,1,0)+IF((COUNTIF('D411'!B15,"Aula 7"))&gt;0,1,0))=0,"",IF((IF((COUNTIF('C111'!B15,"Aula 7")+COUNTIF('C112'!B15,"Aula 7")+COUNTIF('C113'!B15,"Aula 7")+COUNTIF('C121'!B15,"Aula 7")+COUNTIF('C122'!B15,"Aula 7"))&gt;0,1,0)+IF((COUNTIF('C211'!B15,"Aula 7")+COUNTIF('C212'!B15,"Aula 7"))&gt;0,1,0)+IF((COUNTIF('C311'!B15,"Aula 7")+COUNTIF('C312'!B15,"Aula 7"))&gt;0,1,0)+IF((COUNTIF('C411'!B15,"Aula 7")+COUNTIF('C412'!B15,"Aula 7"))&gt;0,1,0)+IF((COUNTIF('M111'!B15,"Aula 7")+COUNTIF('M112'!B15,"Aula 7"))&gt;0,1,0)+IF((COUNTIF('M211'!B15,"Aula 7")+COUNTIF('M212'!B15,"Aula 7"))&gt;0,1,0)+IF((COUNTIF('M311'!B15,"Aula 7"))&gt;0,1,0)+IF((COUNTIF('M411'!B15,"Aula 7"))&gt;0,1,0)+IF((COUNTIF('D111'!B15,"Aula 7")+COUNTIF('D112'!B15,"Aula 7"))&gt;0,1,0)+IF((COUNTIF('D211'!B15,"Aula 7"))&gt;0,1,0)+IF((COUNTIF('D311'!B15,"Aula 7"))&gt;0,1,0)+IF((COUNTIF('D411'!B15,"Aula 7"))&gt;0,1,0))=1,IF((COUNTIF('C111'!B15,"Aula 7")+COUNTIF('C112'!B15,"Aula 7")+COUNTIF('C113'!B15,"Aula 7")+COUNTIF('C121'!B15,"Aula 7")+COUNTIF('C122'!B15,"Aula 7"))&gt;0,"C1",IF((COUNTIF('C211'!B15,"Aula 7")+COUNTIF('C212'!B15,"Aula 7"))&gt;0,"C2",IF((COUNTIF('C311'!B15,"Aula 7")+COUNTIF('C312'!B15,"Aula 7"))&gt;0,"C3",IF((COUNTIF('C411'!B15,"Aula 7")+COUNTIF('C412'!B15,"Aula 7"))&gt;0,"C4",IF((COUNTIF('M111'!B15,"Aula 7")+COUNTIF('M112'!B15,"Aula 7"))&gt;0,"M1",IF((COUNTIF('M211'!B15,"Aula 7")+COUNTIF('M212'!B15,"Aula 7"))&gt;0,"M2",IF((COUNTIF('M311'!B15,"Aula 7"))&gt;0,"M3",IF((COUNTIF('M411'!B15,"Aula 7"))&gt;0,"M4",IF((COUNTIF('D111'!B15,"Aula 7")+COUNTIF('D112'!B15,"Aula 7"))&gt;0,"D1",IF((COUNTIF('D211'!B15,"Aula 7"))&gt;0,"D2",IF((COUNTIF('D311'!B15,"Aula 7"))&gt;0,"D3",IF((COUNTIF('D411'!B15,"Aula 7"))&gt;0,"D4","")))))))))))),"MIX"))</f>
        <v/>
      </c>
    </row>
    <row r="83">
      <c r="C83">
        <f>IF((IF((COUNTIF('C111'!B15,"Aula 8")+COUNTIF('C112'!B15,"Aula 8")+COUNTIF('C113'!B15,"Aula 8")+COUNTIF('C121'!B15,"Aula 8")+COUNTIF('C122'!B15,"Aula 8"))&gt;0,1,0)+IF((COUNTIF('C211'!B15,"Aula 8")+COUNTIF('C212'!B15,"Aula 8"))&gt;0,1,0)+IF((COUNTIF('C311'!B15,"Aula 8")+COUNTIF('C312'!B15,"Aula 8"))&gt;0,1,0)+IF((COUNTIF('C411'!B15,"Aula 8")+COUNTIF('C412'!B15,"Aula 8"))&gt;0,1,0)+IF((COUNTIF('M111'!B15,"Aula 8")+COUNTIF('M112'!B15,"Aula 8"))&gt;0,1,0)+IF((COUNTIF('M211'!B15,"Aula 8")+COUNTIF('M212'!B15,"Aula 8"))&gt;0,1,0)+IF((COUNTIF('M311'!B15,"Aula 8"))&gt;0,1,0)+IF((COUNTIF('M411'!B15,"Aula 8"))&gt;0,1,0)+IF((COUNTIF('D111'!B15,"Aula 8")+COUNTIF('D112'!B15,"Aula 8"))&gt;0,1,0)+IF((COUNTIF('D211'!B15,"Aula 8"))&gt;0,1,0)+IF((COUNTIF('D311'!B15,"Aula 8"))&gt;0,1,0)+IF((COUNTIF('D411'!B15,"Aula 8"))&gt;0,1,0))=0,"",IF((IF((COUNTIF('C111'!B15,"Aula 8")+COUNTIF('C112'!B15,"Aula 8")+COUNTIF('C113'!B15,"Aula 8")+COUNTIF('C121'!B15,"Aula 8")+COUNTIF('C122'!B15,"Aula 8"))&gt;0,1,0)+IF((COUNTIF('C211'!B15,"Aula 8")+COUNTIF('C212'!B15,"Aula 8"))&gt;0,1,0)+IF((COUNTIF('C311'!B15,"Aula 8")+COUNTIF('C312'!B15,"Aula 8"))&gt;0,1,0)+IF((COUNTIF('C411'!B15,"Aula 8")+COUNTIF('C412'!B15,"Aula 8"))&gt;0,1,0)+IF((COUNTIF('M111'!B15,"Aula 8")+COUNTIF('M112'!B15,"Aula 8"))&gt;0,1,0)+IF((COUNTIF('M211'!B15,"Aula 8")+COUNTIF('M212'!B15,"Aula 8"))&gt;0,1,0)+IF((COUNTIF('M311'!B15,"Aula 8"))&gt;0,1,0)+IF((COUNTIF('M411'!B15,"Aula 8"))&gt;0,1,0)+IF((COUNTIF('D111'!B15,"Aula 8")+COUNTIF('D112'!B15,"Aula 8"))&gt;0,1,0)+IF((COUNTIF('D211'!B15,"Aula 8"))&gt;0,1,0)+IF((COUNTIF('D311'!B15,"Aula 8"))&gt;0,1,0)+IF((COUNTIF('D411'!B15,"Aula 8"))&gt;0,1,0))=1,IF((COUNTIF('C111'!B15,"Aula 8")+COUNTIF('C112'!B15,"Aula 8")+COUNTIF('C113'!B15,"Aula 8")+COUNTIF('C121'!B15,"Aula 8")+COUNTIF('C122'!B15,"Aula 8"))&gt;0,"C1",IF((COUNTIF('C211'!B15,"Aula 8")+COUNTIF('C212'!B15,"Aula 8"))&gt;0,"C2",IF((COUNTIF('C311'!B15,"Aula 8")+COUNTIF('C312'!B15,"Aula 8"))&gt;0,"C3",IF((COUNTIF('C411'!B15,"Aula 8")+COUNTIF('C412'!B15,"Aula 8"))&gt;0,"C4",IF((COUNTIF('M111'!B15,"Aula 8")+COUNTIF('M112'!B15,"Aula 8"))&gt;0,"M1",IF((COUNTIF('M211'!B15,"Aula 8")+COUNTIF('M212'!B15,"Aula 8"))&gt;0,"M2",IF((COUNTIF('M311'!B15,"Aula 8"))&gt;0,"M3",IF((COUNTIF('M411'!B15,"Aula 8"))&gt;0,"M4",IF((COUNTIF('D111'!B15,"Aula 8")+COUNTIF('D112'!B15,"Aula 8"))&gt;0,"D1",IF((COUNTIF('D211'!B15,"Aula 8"))&gt;0,"D2",IF((COUNTIF('D311'!B15,"Aula 8"))&gt;0,"D3",IF((COUNTIF('D411'!B15,"Aula 8"))&gt;0,"D4","")))))))))))),"MIX"))</f>
        <v/>
      </c>
    </row>
    <row r="84">
      <c r="C84">
        <f>IF((IF((COUNTIF('C111'!B15,"Aula 9")+COUNTIF('C112'!B15,"Aula 9")+COUNTIF('C113'!B15,"Aula 9")+COUNTIF('C121'!B15,"Aula 9")+COUNTIF('C122'!B15,"Aula 9"))&gt;0,1,0)+IF((COUNTIF('C211'!B15,"Aula 9")+COUNTIF('C212'!B15,"Aula 9"))&gt;0,1,0)+IF((COUNTIF('C311'!B15,"Aula 9")+COUNTIF('C312'!B15,"Aula 9"))&gt;0,1,0)+IF((COUNTIF('C411'!B15,"Aula 9")+COUNTIF('C412'!B15,"Aula 9"))&gt;0,1,0)+IF((COUNTIF('M111'!B15,"Aula 9")+COUNTIF('M112'!B15,"Aula 9"))&gt;0,1,0)+IF((COUNTIF('M211'!B15,"Aula 9")+COUNTIF('M212'!B15,"Aula 9"))&gt;0,1,0)+IF((COUNTIF('M311'!B15,"Aula 9"))&gt;0,1,0)+IF((COUNTIF('M411'!B15,"Aula 9"))&gt;0,1,0)+IF((COUNTIF('D111'!B15,"Aula 9")+COUNTIF('D112'!B15,"Aula 9"))&gt;0,1,0)+IF((COUNTIF('D211'!B15,"Aula 9"))&gt;0,1,0)+IF((COUNTIF('D311'!B15,"Aula 9"))&gt;0,1,0)+IF((COUNTIF('D411'!B15,"Aula 9"))&gt;0,1,0))=0,"",IF((IF((COUNTIF('C111'!B15,"Aula 9")+COUNTIF('C112'!B15,"Aula 9")+COUNTIF('C113'!B15,"Aula 9")+COUNTIF('C121'!B15,"Aula 9")+COUNTIF('C122'!B15,"Aula 9"))&gt;0,1,0)+IF((COUNTIF('C211'!B15,"Aula 9")+COUNTIF('C212'!B15,"Aula 9"))&gt;0,1,0)+IF((COUNTIF('C311'!B15,"Aula 9")+COUNTIF('C312'!B15,"Aula 9"))&gt;0,1,0)+IF((COUNTIF('C411'!B15,"Aula 9")+COUNTIF('C412'!B15,"Aula 9"))&gt;0,1,0)+IF((COUNTIF('M111'!B15,"Aula 9")+COUNTIF('M112'!B15,"Aula 9"))&gt;0,1,0)+IF((COUNTIF('M211'!B15,"Aula 9")+COUNTIF('M212'!B15,"Aula 9"))&gt;0,1,0)+IF((COUNTIF('M311'!B15,"Aula 9"))&gt;0,1,0)+IF((COUNTIF('M411'!B15,"Aula 9"))&gt;0,1,0)+IF((COUNTIF('D111'!B15,"Aula 9")+COUNTIF('D112'!B15,"Aula 9"))&gt;0,1,0)+IF((COUNTIF('D211'!B15,"Aula 9"))&gt;0,1,0)+IF((COUNTIF('D311'!B15,"Aula 9"))&gt;0,1,0)+IF((COUNTIF('D411'!B15,"Aula 9"))&gt;0,1,0))=1,IF((COUNTIF('C111'!B15,"Aula 9")+COUNTIF('C112'!B15,"Aula 9")+COUNTIF('C113'!B15,"Aula 9")+COUNTIF('C121'!B15,"Aula 9")+COUNTIF('C122'!B15,"Aula 9"))&gt;0,"C1",IF((COUNTIF('C211'!B15,"Aula 9")+COUNTIF('C212'!B15,"Aula 9"))&gt;0,"C2",IF((COUNTIF('C311'!B15,"Aula 9")+COUNTIF('C312'!B15,"Aula 9"))&gt;0,"C3",IF((COUNTIF('C411'!B15,"Aula 9")+COUNTIF('C412'!B15,"Aula 9"))&gt;0,"C4",IF((COUNTIF('M111'!B15,"Aula 9")+COUNTIF('M112'!B15,"Aula 9"))&gt;0,"M1",IF((COUNTIF('M211'!B15,"Aula 9")+COUNTIF('M212'!B15,"Aula 9"))&gt;0,"M2",IF((COUNTIF('M311'!B15,"Aula 9"))&gt;0,"M3",IF((COUNTIF('M411'!B15,"Aula 9"))&gt;0,"M4",IF((COUNTIF('D111'!B15,"Aula 9")+COUNTIF('D112'!B15,"Aula 9"))&gt;0,"D1",IF((COUNTIF('D211'!B15,"Aula 9"))&gt;0,"D2",IF((COUNTIF('D311'!B15,"Aula 9"))&gt;0,"D3",IF((COUNTIF('D411'!B15,"Aula 9"))&gt;0,"D4","")))))))))))),"MIX"))</f>
        <v/>
      </c>
    </row>
    <row r="85">
      <c r="C85">
        <f>IF((IF((COUNTIF('C111'!B15,"Aula 10")+COUNTIF('C112'!B15,"Aula 10")+COUNTIF('C113'!B15,"Aula 10")+COUNTIF('C121'!B15,"Aula 10")+COUNTIF('C122'!B15,"Aula 10"))&gt;0,1,0)+IF((COUNTIF('C211'!B15,"Aula 10")+COUNTIF('C212'!B15,"Aula 10"))&gt;0,1,0)+IF((COUNTIF('C311'!B15,"Aula 10")+COUNTIF('C312'!B15,"Aula 10"))&gt;0,1,0)+IF((COUNTIF('C411'!B15,"Aula 10")+COUNTIF('C412'!B15,"Aula 10"))&gt;0,1,0)+IF((COUNTIF('M111'!B15,"Aula 10")+COUNTIF('M112'!B15,"Aula 10"))&gt;0,1,0)+IF((COUNTIF('M211'!B15,"Aula 10")+COUNTIF('M212'!B15,"Aula 10"))&gt;0,1,0)+IF((COUNTIF('M311'!B15,"Aula 10"))&gt;0,1,0)+IF((COUNTIF('M411'!B15,"Aula 10"))&gt;0,1,0)+IF((COUNTIF('D111'!B15,"Aula 10")+COUNTIF('D112'!B15,"Aula 10"))&gt;0,1,0)+IF((COUNTIF('D211'!B15,"Aula 10"))&gt;0,1,0)+IF((COUNTIF('D311'!B15,"Aula 10"))&gt;0,1,0)+IF((COUNTIF('D411'!B15,"Aula 10"))&gt;0,1,0))=0,"",IF((IF((COUNTIF('C111'!B15,"Aula 10")+COUNTIF('C112'!B15,"Aula 10")+COUNTIF('C113'!B15,"Aula 10")+COUNTIF('C121'!B15,"Aula 10")+COUNTIF('C122'!B15,"Aula 10"))&gt;0,1,0)+IF((COUNTIF('C211'!B15,"Aula 10")+COUNTIF('C212'!B15,"Aula 10"))&gt;0,1,0)+IF((COUNTIF('C311'!B15,"Aula 10")+COUNTIF('C312'!B15,"Aula 10"))&gt;0,1,0)+IF((COUNTIF('C411'!B15,"Aula 10")+COUNTIF('C412'!B15,"Aula 10"))&gt;0,1,0)+IF((COUNTIF('M111'!B15,"Aula 10")+COUNTIF('M112'!B15,"Aula 10"))&gt;0,1,0)+IF((COUNTIF('M211'!B15,"Aula 10")+COUNTIF('M212'!B15,"Aula 10"))&gt;0,1,0)+IF((COUNTIF('M311'!B15,"Aula 10"))&gt;0,1,0)+IF((COUNTIF('M411'!B15,"Aula 10"))&gt;0,1,0)+IF((COUNTIF('D111'!B15,"Aula 10")+COUNTIF('D112'!B15,"Aula 10"))&gt;0,1,0)+IF((COUNTIF('D211'!B15,"Aula 10"))&gt;0,1,0)+IF((COUNTIF('D311'!B15,"Aula 10"))&gt;0,1,0)+IF((COUNTIF('D411'!B15,"Aula 10"))&gt;0,1,0))=1,IF((COUNTIF('C111'!B15,"Aula 10")+COUNTIF('C112'!B15,"Aula 10")+COUNTIF('C113'!B15,"Aula 10")+COUNTIF('C121'!B15,"Aula 10")+COUNTIF('C122'!B15,"Aula 10"))&gt;0,"C1",IF((COUNTIF('C211'!B15,"Aula 10")+COUNTIF('C212'!B15,"Aula 10"))&gt;0,"C2",IF((COUNTIF('C311'!B15,"Aula 10")+COUNTIF('C312'!B15,"Aula 10"))&gt;0,"C3",IF((COUNTIF('C411'!B15,"Aula 10")+COUNTIF('C412'!B15,"Aula 10"))&gt;0,"C4",IF((COUNTIF('M111'!B15,"Aula 10")+COUNTIF('M112'!B15,"Aula 10"))&gt;0,"M1",IF((COUNTIF('M211'!B15,"Aula 10")+COUNTIF('M212'!B15,"Aula 10"))&gt;0,"M2",IF((COUNTIF('M311'!B15,"Aula 10"))&gt;0,"M3",IF((COUNTIF('M411'!B15,"Aula 10"))&gt;0,"M4",IF((COUNTIF('D111'!B15,"Aula 10")+COUNTIF('D112'!B15,"Aula 10"))&gt;0,"D1",IF((COUNTIF('D211'!B15,"Aula 10"))&gt;0,"D2",IF((COUNTIF('D311'!B15,"Aula 10"))&gt;0,"D3",IF((COUNTIF('D411'!B15,"Aula 10"))&gt;0,"D4","")))))))))))),"MIX"))</f>
        <v/>
      </c>
    </row>
    <row r="86">
      <c r="C86">
        <f>IF((IF((COUNTIF('C111'!B15,"Aula 11")+COUNTIF('C112'!B15,"Aula 11")+COUNTIF('C113'!B15,"Aula 11")+COUNTIF('C121'!B15,"Aula 11")+COUNTIF('C122'!B15,"Aula 11"))&gt;0,1,0)+IF((COUNTIF('C211'!B15,"Aula 11")+COUNTIF('C212'!B15,"Aula 11"))&gt;0,1,0)+IF((COUNTIF('C311'!B15,"Aula 11")+COUNTIF('C312'!B15,"Aula 11"))&gt;0,1,0)+IF((COUNTIF('C411'!B15,"Aula 11")+COUNTIF('C412'!B15,"Aula 11"))&gt;0,1,0)+IF((COUNTIF('M111'!B15,"Aula 11")+COUNTIF('M112'!B15,"Aula 11"))&gt;0,1,0)+IF((COUNTIF('M211'!B15,"Aula 11")+COUNTIF('M212'!B15,"Aula 11"))&gt;0,1,0)+IF((COUNTIF('M311'!B15,"Aula 11"))&gt;0,1,0)+IF((COUNTIF('M411'!B15,"Aula 11"))&gt;0,1,0)+IF((COUNTIF('D111'!B15,"Aula 11")+COUNTIF('D112'!B15,"Aula 11"))&gt;0,1,0)+IF((COUNTIF('D211'!B15,"Aula 11"))&gt;0,1,0)+IF((COUNTIF('D311'!B15,"Aula 11"))&gt;0,1,0)+IF((COUNTIF('D411'!B15,"Aula 11"))&gt;0,1,0))=0,"",IF((IF((COUNTIF('C111'!B15,"Aula 11")+COUNTIF('C112'!B15,"Aula 11")+COUNTIF('C113'!B15,"Aula 11")+COUNTIF('C121'!B15,"Aula 11")+COUNTIF('C122'!B15,"Aula 11"))&gt;0,1,0)+IF((COUNTIF('C211'!B15,"Aula 11")+COUNTIF('C212'!B15,"Aula 11"))&gt;0,1,0)+IF((COUNTIF('C311'!B15,"Aula 11")+COUNTIF('C312'!B15,"Aula 11"))&gt;0,1,0)+IF((COUNTIF('C411'!B15,"Aula 11")+COUNTIF('C412'!B15,"Aula 11"))&gt;0,1,0)+IF((COUNTIF('M111'!B15,"Aula 11")+COUNTIF('M112'!B15,"Aula 11"))&gt;0,1,0)+IF((COUNTIF('M211'!B15,"Aula 11")+COUNTIF('M212'!B15,"Aula 11"))&gt;0,1,0)+IF((COUNTIF('M311'!B15,"Aula 11"))&gt;0,1,0)+IF((COUNTIF('M411'!B15,"Aula 11"))&gt;0,1,0)+IF((COUNTIF('D111'!B15,"Aula 11")+COUNTIF('D112'!B15,"Aula 11"))&gt;0,1,0)+IF((COUNTIF('D211'!B15,"Aula 11"))&gt;0,1,0)+IF((COUNTIF('D311'!B15,"Aula 11"))&gt;0,1,0)+IF((COUNTIF('D411'!B15,"Aula 11"))&gt;0,1,0))=1,IF((COUNTIF('C111'!B15,"Aula 11")+COUNTIF('C112'!B15,"Aula 11")+COUNTIF('C113'!B15,"Aula 11")+COUNTIF('C121'!B15,"Aula 11")+COUNTIF('C122'!B15,"Aula 11"))&gt;0,"C1",IF((COUNTIF('C211'!B15,"Aula 11")+COUNTIF('C212'!B15,"Aula 11"))&gt;0,"C2",IF((COUNTIF('C311'!B15,"Aula 11")+COUNTIF('C312'!B15,"Aula 11"))&gt;0,"C3",IF((COUNTIF('C411'!B15,"Aula 11")+COUNTIF('C412'!B15,"Aula 11"))&gt;0,"C4",IF((COUNTIF('M111'!B15,"Aula 11")+COUNTIF('M112'!B15,"Aula 11"))&gt;0,"M1",IF((COUNTIF('M211'!B15,"Aula 11")+COUNTIF('M212'!B15,"Aula 11"))&gt;0,"M2",IF((COUNTIF('M311'!B15,"Aula 11"))&gt;0,"M3",IF((COUNTIF('M411'!B15,"Aula 11"))&gt;0,"M4",IF((COUNTIF('D111'!B15,"Aula 11")+COUNTIF('D112'!B15,"Aula 11"))&gt;0,"D1",IF((COUNTIF('D211'!B15,"Aula 11"))&gt;0,"D2",IF((COUNTIF('D311'!B15,"Aula 11"))&gt;0,"D3",IF((COUNTIF('D411'!B15,"Aula 11"))&gt;0,"D4","")))))))))))),"MIX"))</f>
        <v/>
      </c>
    </row>
    <row r="87">
      <c r="C87">
        <f>IF((IF((COUNTIF('C111'!B15,"Aula 12")+COUNTIF('C112'!B15,"Aula 12")+COUNTIF('C113'!B15,"Aula 12")+COUNTIF('C121'!B15,"Aula 12")+COUNTIF('C122'!B15,"Aula 12"))&gt;0,1,0)+IF((COUNTIF('C211'!B15,"Aula 12")+COUNTIF('C212'!B15,"Aula 12"))&gt;0,1,0)+IF((COUNTIF('C311'!B15,"Aula 12")+COUNTIF('C312'!B15,"Aula 12"))&gt;0,1,0)+IF((COUNTIF('C411'!B15,"Aula 12")+COUNTIF('C412'!B15,"Aula 12"))&gt;0,1,0)+IF((COUNTIF('M111'!B15,"Aula 12")+COUNTIF('M112'!B15,"Aula 12"))&gt;0,1,0)+IF((COUNTIF('M211'!B15,"Aula 12")+COUNTIF('M212'!B15,"Aula 12"))&gt;0,1,0)+IF((COUNTIF('M311'!B15,"Aula 12"))&gt;0,1,0)+IF((COUNTIF('M411'!B15,"Aula 12"))&gt;0,1,0)+IF((COUNTIF('D111'!B15,"Aula 12")+COUNTIF('D112'!B15,"Aula 12"))&gt;0,1,0)+IF((COUNTIF('D211'!B15,"Aula 12"))&gt;0,1,0)+IF((COUNTIF('D311'!B15,"Aula 12"))&gt;0,1,0)+IF((COUNTIF('D411'!B15,"Aula 12"))&gt;0,1,0))=0,"",IF((IF((COUNTIF('C111'!B15,"Aula 12")+COUNTIF('C112'!B15,"Aula 12")+COUNTIF('C113'!B15,"Aula 12")+COUNTIF('C121'!B15,"Aula 12")+COUNTIF('C122'!B15,"Aula 12"))&gt;0,1,0)+IF((COUNTIF('C211'!B15,"Aula 12")+COUNTIF('C212'!B15,"Aula 12"))&gt;0,1,0)+IF((COUNTIF('C311'!B15,"Aula 12")+COUNTIF('C312'!B15,"Aula 12"))&gt;0,1,0)+IF((COUNTIF('C411'!B15,"Aula 12")+COUNTIF('C412'!B15,"Aula 12"))&gt;0,1,0)+IF((COUNTIF('M111'!B15,"Aula 12")+COUNTIF('M112'!B15,"Aula 12"))&gt;0,1,0)+IF((COUNTIF('M211'!B15,"Aula 12")+COUNTIF('M212'!B15,"Aula 12"))&gt;0,1,0)+IF((COUNTIF('M311'!B15,"Aula 12"))&gt;0,1,0)+IF((COUNTIF('M411'!B15,"Aula 12"))&gt;0,1,0)+IF((COUNTIF('D111'!B15,"Aula 12")+COUNTIF('D112'!B15,"Aula 12"))&gt;0,1,0)+IF((COUNTIF('D211'!B15,"Aula 12"))&gt;0,1,0)+IF((COUNTIF('D311'!B15,"Aula 12"))&gt;0,1,0)+IF((COUNTIF('D411'!B15,"Aula 12"))&gt;0,1,0))=1,IF((COUNTIF('C111'!B15,"Aula 12")+COUNTIF('C112'!B15,"Aula 12")+COUNTIF('C113'!B15,"Aula 12")+COUNTIF('C121'!B15,"Aula 12")+COUNTIF('C122'!B15,"Aula 12"))&gt;0,"C1",IF((COUNTIF('C211'!B15,"Aula 12")+COUNTIF('C212'!B15,"Aula 12"))&gt;0,"C2",IF((COUNTIF('C311'!B15,"Aula 12")+COUNTIF('C312'!B15,"Aula 12"))&gt;0,"C3",IF((COUNTIF('C411'!B15,"Aula 12")+COUNTIF('C412'!B15,"Aula 12"))&gt;0,"C4",IF((COUNTIF('M111'!B15,"Aula 12")+COUNTIF('M112'!B15,"Aula 12"))&gt;0,"M1",IF((COUNTIF('M211'!B15,"Aula 12")+COUNTIF('M212'!B15,"Aula 12"))&gt;0,"M2",IF((COUNTIF('M311'!B15,"Aula 12"))&gt;0,"M3",IF((COUNTIF('M411'!B15,"Aula 12"))&gt;0,"M4",IF((COUNTIF('D111'!B15,"Aula 12")+COUNTIF('D112'!B15,"Aula 12"))&gt;0,"D1",IF((COUNTIF('D211'!B15,"Aula 12"))&gt;0,"D2",IF((COUNTIF('D311'!B15,"Aula 12"))&gt;0,"D3",IF((COUNTIF('D411'!B15,"Aula 12"))&gt;0,"D4","")))))))))))),"MIX"))</f>
        <v/>
      </c>
    </row>
    <row r="88">
      <c r="C88">
        <f>IF((IF((COUNTIF('C111'!B15,"Lab 1")+COUNTIF('C112'!B15,"Lab 1")+COUNTIF('C113'!B15,"Lab 1")+COUNTIF('C121'!B15,"Lab 1")+COUNTIF('C122'!B15,"Lab 1"))&gt;0,1,0)+IF((COUNTIF('C211'!B15,"Lab 1")+COUNTIF('C212'!B15,"Lab 1"))&gt;0,1,0)+IF((COUNTIF('C311'!B15,"Lab 1")+COUNTIF('C312'!B15,"Lab 1"))&gt;0,1,0)+IF((COUNTIF('C411'!B15,"Lab 1")+COUNTIF('C412'!B15,"Lab 1"))&gt;0,1,0)+IF((COUNTIF('M111'!B15,"Lab 1")+COUNTIF('M112'!B15,"Lab 1"))&gt;0,1,0)+IF((COUNTIF('M211'!B15,"Lab 1")+COUNTIF('M212'!B15,"Lab 1"))&gt;0,1,0)+IF((COUNTIF('M311'!B15,"Lab 1"))&gt;0,1,0)+IF((COUNTIF('M411'!B15,"Lab 1"))&gt;0,1,0)+IF((COUNTIF('D111'!B15,"Lab 1")+COUNTIF('D112'!B15,"Lab 1"))&gt;0,1,0)+IF((COUNTIF('D211'!B15,"Lab 1"))&gt;0,1,0)+IF((COUNTIF('D311'!B15,"Lab 1"))&gt;0,1,0)+IF((COUNTIF('D411'!B15,"Lab 1"))&gt;0,1,0))=0,"",IF((IF((COUNTIF('C111'!B15,"Lab 1")+COUNTIF('C112'!B15,"Lab 1")+COUNTIF('C113'!B15,"Lab 1")+COUNTIF('C121'!B15,"Lab 1")+COUNTIF('C122'!B15,"Lab 1"))&gt;0,1,0)+IF((COUNTIF('C211'!B15,"Lab 1")+COUNTIF('C212'!B15,"Lab 1"))&gt;0,1,0)+IF((COUNTIF('C311'!B15,"Lab 1")+COUNTIF('C312'!B15,"Lab 1"))&gt;0,1,0)+IF((COUNTIF('C411'!B15,"Lab 1")+COUNTIF('C412'!B15,"Lab 1"))&gt;0,1,0)+IF((COUNTIF('M111'!B15,"Lab 1")+COUNTIF('M112'!B15,"Lab 1"))&gt;0,1,0)+IF((COUNTIF('M211'!B15,"Lab 1")+COUNTIF('M212'!B15,"Lab 1"))&gt;0,1,0)+IF((COUNTIF('M311'!B15,"Lab 1"))&gt;0,1,0)+IF((COUNTIF('M411'!B15,"Lab 1"))&gt;0,1,0)+IF((COUNTIF('D111'!B15,"Lab 1")+COUNTIF('D112'!B15,"Lab 1"))&gt;0,1,0)+IF((COUNTIF('D211'!B15,"Lab 1"))&gt;0,1,0)+IF((COUNTIF('D311'!B15,"Lab 1"))&gt;0,1,0)+IF((COUNTIF('D411'!B15,"Lab 1"))&gt;0,1,0))=1,IF((COUNTIF('C111'!B15,"Lab 1")+COUNTIF('C112'!B15,"Lab 1")+COUNTIF('C113'!B15,"Lab 1")+COUNTIF('C121'!B15,"Lab 1")+COUNTIF('C122'!B15,"Lab 1"))&gt;0,"C1",IF((COUNTIF('C211'!B15,"Lab 1")+COUNTIF('C212'!B15,"Lab 1"))&gt;0,"C2",IF((COUNTIF('C311'!B15,"Lab 1")+COUNTIF('C312'!B15,"Lab 1"))&gt;0,"C3",IF((COUNTIF('C411'!B15,"Lab 1")+COUNTIF('C412'!B15,"Lab 1"))&gt;0,"C4",IF((COUNTIF('M111'!B15,"Lab 1")+COUNTIF('M112'!B15,"Lab 1"))&gt;0,"M1",IF((COUNTIF('M211'!B15,"Lab 1")+COUNTIF('M212'!B15,"Lab 1"))&gt;0,"M2",IF((COUNTIF('M311'!B15,"Lab 1"))&gt;0,"M3",IF((COUNTIF('M411'!B15,"Lab 1"))&gt;0,"M4",IF((COUNTIF('D111'!B15,"Lab 1")+COUNTIF('D112'!B15,"Lab 1"))&gt;0,"D1",IF((COUNTIF('D211'!B15,"Lab 1"))&gt;0,"D2",IF((COUNTIF('D311'!B15,"Lab 1"))&gt;0,"D3",IF((COUNTIF('D411'!B15,"Lab 1"))&gt;0,"D4","")))))))))))),"MIX"))</f>
        <v/>
      </c>
    </row>
    <row r="89">
      <c r="C89">
        <f>IF((IF((COUNTIF('C111'!B15,"Lab 2")+COUNTIF('C112'!B15,"Lab 2")+COUNTIF('C113'!B15,"Lab 2")+COUNTIF('C121'!B15,"Lab 2")+COUNTIF('C122'!B15,"Lab 2"))&gt;0,1,0)+IF((COUNTIF('C211'!B15,"Lab 2")+COUNTIF('C212'!B15,"Lab 2"))&gt;0,1,0)+IF((COUNTIF('C311'!B15,"Lab 2")+COUNTIF('C312'!B15,"Lab 2"))&gt;0,1,0)+IF((COUNTIF('C411'!B15,"Lab 2")+COUNTIF('C412'!B15,"Lab 2"))&gt;0,1,0)+IF((COUNTIF('M111'!B15,"Lab 2")+COUNTIF('M112'!B15,"Lab 2"))&gt;0,1,0)+IF((COUNTIF('M211'!B15,"Lab 2")+COUNTIF('M212'!B15,"Lab 2"))&gt;0,1,0)+IF((COUNTIF('M311'!B15,"Lab 2"))&gt;0,1,0)+IF((COUNTIF('M411'!B15,"Lab 2"))&gt;0,1,0)+IF((COUNTIF('D111'!B15,"Lab 2")+COUNTIF('D112'!B15,"Lab 2"))&gt;0,1,0)+IF((COUNTIF('D211'!B15,"Lab 2"))&gt;0,1,0)+IF((COUNTIF('D311'!B15,"Lab 2"))&gt;0,1,0)+IF((COUNTIF('D411'!B15,"Lab 2"))&gt;0,1,0))=0,"",IF((IF((COUNTIF('C111'!B15,"Lab 2")+COUNTIF('C112'!B15,"Lab 2")+COUNTIF('C113'!B15,"Lab 2")+COUNTIF('C121'!B15,"Lab 2")+COUNTIF('C122'!B15,"Lab 2"))&gt;0,1,0)+IF((COUNTIF('C211'!B15,"Lab 2")+COUNTIF('C212'!B15,"Lab 2"))&gt;0,1,0)+IF((COUNTIF('C311'!B15,"Lab 2")+COUNTIF('C312'!B15,"Lab 2"))&gt;0,1,0)+IF((COUNTIF('C411'!B15,"Lab 2")+COUNTIF('C412'!B15,"Lab 2"))&gt;0,1,0)+IF((COUNTIF('M111'!B15,"Lab 2")+COUNTIF('M112'!B15,"Lab 2"))&gt;0,1,0)+IF((COUNTIF('M211'!B15,"Lab 2")+COUNTIF('M212'!B15,"Lab 2"))&gt;0,1,0)+IF((COUNTIF('M311'!B15,"Lab 2"))&gt;0,1,0)+IF((COUNTIF('M411'!B15,"Lab 2"))&gt;0,1,0)+IF((COUNTIF('D111'!B15,"Lab 2")+COUNTIF('D112'!B15,"Lab 2"))&gt;0,1,0)+IF((COUNTIF('D211'!B15,"Lab 2"))&gt;0,1,0)+IF((COUNTIF('D311'!B15,"Lab 2"))&gt;0,1,0)+IF((COUNTIF('D411'!B15,"Lab 2"))&gt;0,1,0))=1,IF((COUNTIF('C111'!B15,"Lab 2")+COUNTIF('C112'!B15,"Lab 2")+COUNTIF('C113'!B15,"Lab 2")+COUNTIF('C121'!B15,"Lab 2")+COUNTIF('C122'!B15,"Lab 2"))&gt;0,"C1",IF((COUNTIF('C211'!B15,"Lab 2")+COUNTIF('C212'!B15,"Lab 2"))&gt;0,"C2",IF((COUNTIF('C311'!B15,"Lab 2")+COUNTIF('C312'!B15,"Lab 2"))&gt;0,"C3",IF((COUNTIF('C411'!B15,"Lab 2")+COUNTIF('C412'!B15,"Lab 2"))&gt;0,"C4",IF((COUNTIF('M111'!B15,"Lab 2")+COUNTIF('M112'!B15,"Lab 2"))&gt;0,"M1",IF((COUNTIF('M211'!B15,"Lab 2")+COUNTIF('M212'!B15,"Lab 2"))&gt;0,"M2",IF((COUNTIF('M311'!B15,"Lab 2"))&gt;0,"M3",IF((COUNTIF('M411'!B15,"Lab 2"))&gt;0,"M4",IF((COUNTIF('D111'!B15,"Lab 2")+COUNTIF('D112'!B15,"Lab 2"))&gt;0,"D1",IF((COUNTIF('D211'!B15,"Lab 2"))&gt;0,"D2",IF((COUNTIF('D311'!B15,"Lab 2"))&gt;0,"D3",IF((COUNTIF('D411'!B15,"Lab 2"))&gt;0,"D4","")))))))))))),"MIX"))</f>
        <v/>
      </c>
    </row>
    <row r="90">
      <c r="C90">
        <f>IF((IF((COUNTIF('C111'!B15,"Salón")+COUNTIF('C112'!B15,"Salón")+COUNTIF('C113'!B15,"Salón")+COUNTIF('C121'!B15,"Salón")+COUNTIF('C122'!B15,"Salón"))&gt;0,1,0)+IF((COUNTIF('C211'!B15,"Salón")+COUNTIF('C212'!B15,"Salón"))&gt;0,1,0)+IF((COUNTIF('C311'!B15,"Salón")+COUNTIF('C312'!B15,"Salón"))&gt;0,1,0)+IF((COUNTIF('C411'!B15,"Salón")+COUNTIF('C412'!B15,"Salón"))&gt;0,1,0)+IF((COUNTIF('M111'!B15,"Salón")+COUNTIF('M112'!B15,"Salón"))&gt;0,1,0)+IF((COUNTIF('M211'!B15,"Salón")+COUNTIF('M212'!B15,"Salón"))&gt;0,1,0)+IF((COUNTIF('M311'!B15,"Salón"))&gt;0,1,0)+IF((COUNTIF('M411'!B15,"Salón"))&gt;0,1,0)+IF((COUNTIF('D111'!B15,"Salón")+COUNTIF('D112'!B15,"Salón"))&gt;0,1,0)+IF((COUNTIF('D211'!B15,"Salón"))&gt;0,1,0)+IF((COUNTIF('D311'!B15,"Salón"))&gt;0,1,0)+IF((COUNTIF('D411'!B15,"Salón"))&gt;0,1,0))=0,"",IF((IF((COUNTIF('C111'!B15,"Salón")+COUNTIF('C112'!B15,"Salón")+COUNTIF('C113'!B15,"Salón")+COUNTIF('C121'!B15,"Salón")+COUNTIF('C122'!B15,"Salón"))&gt;0,1,0)+IF((COUNTIF('C211'!B15,"Salón")+COUNTIF('C212'!B15,"Salón"))&gt;0,1,0)+IF((COUNTIF('C311'!B15,"Salón")+COUNTIF('C312'!B15,"Salón"))&gt;0,1,0)+IF((COUNTIF('C411'!B15,"Salón")+COUNTIF('C412'!B15,"Salón"))&gt;0,1,0)+IF((COUNTIF('M111'!B15,"Salón")+COUNTIF('M112'!B15,"Salón"))&gt;0,1,0)+IF((COUNTIF('M211'!B15,"Salón")+COUNTIF('M212'!B15,"Salón"))&gt;0,1,0)+IF((COUNTIF('M311'!B15,"Salón"))&gt;0,1,0)+IF((COUNTIF('M411'!B15,"Salón"))&gt;0,1,0)+IF((COUNTIF('D111'!B15,"Salón")+COUNTIF('D112'!B15,"Salón"))&gt;0,1,0)+IF((COUNTIF('D211'!B15,"Salón"))&gt;0,1,0)+IF((COUNTIF('D311'!B15,"Salón"))&gt;0,1,0)+IF((COUNTIF('D411'!B15,"Salón"))&gt;0,1,0))=1,IF((COUNTIF('C111'!B15,"Salón")+COUNTIF('C112'!B15,"Salón")+COUNTIF('C113'!B15,"Salón")+COUNTIF('C121'!B15,"Salón")+COUNTIF('C122'!B15,"Salón"))&gt;0,"C1",IF((COUNTIF('C211'!B15,"Salón")+COUNTIF('C212'!B15,"Salón"))&gt;0,"C2",IF((COUNTIF('C311'!B15,"Salón")+COUNTIF('C312'!B15,"Salón"))&gt;0,"C3",IF((COUNTIF('C411'!B15,"Salón")+COUNTIF('C412'!B15,"Salón"))&gt;0,"C4",IF((COUNTIF('M111'!B15,"Salón")+COUNTIF('M112'!B15,"Salón"))&gt;0,"M1",IF((COUNTIF('M211'!B15,"Salón")+COUNTIF('M212'!B15,"Salón"))&gt;0,"M2",IF((COUNTIF('M311'!B15,"Salón"))&gt;0,"M3",IF((COUNTIF('M411'!B15,"Salón"))&gt;0,"M4",IF((COUNTIF('D111'!B15,"Salón")+COUNTIF('D112'!B15,"Salón"))&gt;0,"D1",IF((COUNTIF('D211'!B15,"Salón"))&gt;0,"D2",IF((COUNTIF('D311'!B15,"Salón"))&gt;0,"D3",IF((COUNTIF('D411'!B15,"Salón"))&gt;0,"D4","")))))))))))),"MIX"))</f>
        <v/>
      </c>
    </row>
    <row r="91">
      <c r="C91">
        <f>IF((IF((COUNTIF('C111'!C5,"Aula 1")+COUNTIF('C112'!C5,"Aula 1")+COUNTIF('C113'!C5,"Aula 1")+COUNTIF('C121'!C5,"Aula 1")+COUNTIF('C122'!C5,"Aula 1"))&gt;0,1,0)+IF((COUNTIF('C211'!C5,"Aula 1")+COUNTIF('C212'!C5,"Aula 1"))&gt;0,1,0)+IF((COUNTIF('C311'!C5,"Aula 1")+COUNTIF('C312'!C5,"Aula 1"))&gt;0,1,0)+IF((COUNTIF('C411'!C5,"Aula 1")+COUNTIF('C412'!C5,"Aula 1"))&gt;0,1,0)+IF((COUNTIF('M111'!C5,"Aula 1")+COUNTIF('M112'!C5,"Aula 1"))&gt;0,1,0)+IF((COUNTIF('M211'!C5,"Aula 1")+COUNTIF('M212'!C5,"Aula 1"))&gt;0,1,0)+IF((COUNTIF('M311'!C5,"Aula 1"))&gt;0,1,0)+IF((COUNTIF('M411'!C5,"Aula 1"))&gt;0,1,0)+IF((COUNTIF('D111'!C5,"Aula 1")+COUNTIF('D112'!C5,"Aula 1"))&gt;0,1,0)+IF((COUNTIF('D211'!C5,"Aula 1"))&gt;0,1,0)+IF((COUNTIF('D311'!C5,"Aula 1"))&gt;0,1,0)+IF((COUNTIF('D411'!C5,"Aula 1"))&gt;0,1,0))=0,"",IF((IF((COUNTIF('C111'!C5,"Aula 1")+COUNTIF('C112'!C5,"Aula 1")+COUNTIF('C113'!C5,"Aula 1")+COUNTIF('C121'!C5,"Aula 1")+COUNTIF('C122'!C5,"Aula 1"))&gt;0,1,0)+IF((COUNTIF('C211'!C5,"Aula 1")+COUNTIF('C212'!C5,"Aula 1"))&gt;0,1,0)+IF((COUNTIF('C311'!C5,"Aula 1")+COUNTIF('C312'!C5,"Aula 1"))&gt;0,1,0)+IF((COUNTIF('C411'!C5,"Aula 1")+COUNTIF('C412'!C5,"Aula 1"))&gt;0,1,0)+IF((COUNTIF('M111'!C5,"Aula 1")+COUNTIF('M112'!C5,"Aula 1"))&gt;0,1,0)+IF((COUNTIF('M211'!C5,"Aula 1")+COUNTIF('M212'!C5,"Aula 1"))&gt;0,1,0)+IF((COUNTIF('M311'!C5,"Aula 1"))&gt;0,1,0)+IF((COUNTIF('M411'!C5,"Aula 1"))&gt;0,1,0)+IF((COUNTIF('D111'!C5,"Aula 1")+COUNTIF('D112'!C5,"Aula 1"))&gt;0,1,0)+IF((COUNTIF('D211'!C5,"Aula 1"))&gt;0,1,0)+IF((COUNTIF('D311'!C5,"Aula 1"))&gt;0,1,0)+IF((COUNTIF('D411'!C5,"Aula 1"))&gt;0,1,0))=1,IF((COUNTIF('C111'!C5,"Aula 1")+COUNTIF('C112'!C5,"Aula 1")+COUNTIF('C113'!C5,"Aula 1")+COUNTIF('C121'!C5,"Aula 1")+COUNTIF('C122'!C5,"Aula 1"))&gt;0,"C1",IF((COUNTIF('C211'!C5,"Aula 1")+COUNTIF('C212'!C5,"Aula 1"))&gt;0,"C2",IF((COUNTIF('C311'!C5,"Aula 1")+COUNTIF('C312'!C5,"Aula 1"))&gt;0,"C3",IF((COUNTIF('C411'!C5,"Aula 1")+COUNTIF('C412'!C5,"Aula 1"))&gt;0,"C4",IF((COUNTIF('M111'!C5,"Aula 1")+COUNTIF('M112'!C5,"Aula 1"))&gt;0,"M1",IF((COUNTIF('M211'!C5,"Aula 1")+COUNTIF('M212'!C5,"Aula 1"))&gt;0,"M2",IF((COUNTIF('M311'!C5,"Aula 1"))&gt;0,"M3",IF((COUNTIF('M411'!C5,"Aula 1"))&gt;0,"M4",IF((COUNTIF('D111'!C5,"Aula 1")+COUNTIF('D112'!C5,"Aula 1"))&gt;0,"D1",IF((COUNTIF('D211'!C5,"Aula 1"))&gt;0,"D2",IF((COUNTIF('D311'!C5,"Aula 1"))&gt;0,"D3",IF((COUNTIF('D411'!C5,"Aula 1"))&gt;0,"D4","")))))))))))),"MIX"))</f>
        <v/>
      </c>
    </row>
    <row r="92">
      <c r="C92">
        <f>IF((IF((COUNTIF('C111'!C5,"Aula 2")+COUNTIF('C112'!C5,"Aula 2")+COUNTIF('C113'!C5,"Aula 2")+COUNTIF('C121'!C5,"Aula 2")+COUNTIF('C122'!C5,"Aula 2"))&gt;0,1,0)+IF((COUNTIF('C211'!C5,"Aula 2")+COUNTIF('C212'!C5,"Aula 2"))&gt;0,1,0)+IF((COUNTIF('C311'!C5,"Aula 2")+COUNTIF('C312'!C5,"Aula 2"))&gt;0,1,0)+IF((COUNTIF('C411'!C5,"Aula 2")+COUNTIF('C412'!C5,"Aula 2"))&gt;0,1,0)+IF((COUNTIF('M111'!C5,"Aula 2")+COUNTIF('M112'!C5,"Aula 2"))&gt;0,1,0)+IF((COUNTIF('M211'!C5,"Aula 2")+COUNTIF('M212'!C5,"Aula 2"))&gt;0,1,0)+IF((COUNTIF('M311'!C5,"Aula 2"))&gt;0,1,0)+IF((COUNTIF('M411'!C5,"Aula 2"))&gt;0,1,0)+IF((COUNTIF('D111'!C5,"Aula 2")+COUNTIF('D112'!C5,"Aula 2"))&gt;0,1,0)+IF((COUNTIF('D211'!C5,"Aula 2"))&gt;0,1,0)+IF((COUNTIF('D311'!C5,"Aula 2"))&gt;0,1,0)+IF((COUNTIF('D411'!C5,"Aula 2"))&gt;0,1,0))=0,"",IF((IF((COUNTIF('C111'!C5,"Aula 2")+COUNTIF('C112'!C5,"Aula 2")+COUNTIF('C113'!C5,"Aula 2")+COUNTIF('C121'!C5,"Aula 2")+COUNTIF('C122'!C5,"Aula 2"))&gt;0,1,0)+IF((COUNTIF('C211'!C5,"Aula 2")+COUNTIF('C212'!C5,"Aula 2"))&gt;0,1,0)+IF((COUNTIF('C311'!C5,"Aula 2")+COUNTIF('C312'!C5,"Aula 2"))&gt;0,1,0)+IF((COUNTIF('C411'!C5,"Aula 2")+COUNTIF('C412'!C5,"Aula 2"))&gt;0,1,0)+IF((COUNTIF('M111'!C5,"Aula 2")+COUNTIF('M112'!C5,"Aula 2"))&gt;0,1,0)+IF((COUNTIF('M211'!C5,"Aula 2")+COUNTIF('M212'!C5,"Aula 2"))&gt;0,1,0)+IF((COUNTIF('M311'!C5,"Aula 2"))&gt;0,1,0)+IF((COUNTIF('M411'!C5,"Aula 2"))&gt;0,1,0)+IF((COUNTIF('D111'!C5,"Aula 2")+COUNTIF('D112'!C5,"Aula 2"))&gt;0,1,0)+IF((COUNTIF('D211'!C5,"Aula 2"))&gt;0,1,0)+IF((COUNTIF('D311'!C5,"Aula 2"))&gt;0,1,0)+IF((COUNTIF('D411'!C5,"Aula 2"))&gt;0,1,0))=1,IF((COUNTIF('C111'!C5,"Aula 2")+COUNTIF('C112'!C5,"Aula 2")+COUNTIF('C113'!C5,"Aula 2")+COUNTIF('C121'!C5,"Aula 2")+COUNTIF('C122'!C5,"Aula 2"))&gt;0,"C1",IF((COUNTIF('C211'!C5,"Aula 2")+COUNTIF('C212'!C5,"Aula 2"))&gt;0,"C2",IF((COUNTIF('C311'!C5,"Aula 2")+COUNTIF('C312'!C5,"Aula 2"))&gt;0,"C3",IF((COUNTIF('C411'!C5,"Aula 2")+COUNTIF('C412'!C5,"Aula 2"))&gt;0,"C4",IF((COUNTIF('M111'!C5,"Aula 2")+COUNTIF('M112'!C5,"Aula 2"))&gt;0,"M1",IF((COUNTIF('M211'!C5,"Aula 2")+COUNTIF('M212'!C5,"Aula 2"))&gt;0,"M2",IF((COUNTIF('M311'!C5,"Aula 2"))&gt;0,"M3",IF((COUNTIF('M411'!C5,"Aula 2"))&gt;0,"M4",IF((COUNTIF('D111'!C5,"Aula 2")+COUNTIF('D112'!C5,"Aula 2"))&gt;0,"D1",IF((COUNTIF('D211'!C5,"Aula 2"))&gt;0,"D2",IF((COUNTIF('D311'!C5,"Aula 2"))&gt;0,"D3",IF((COUNTIF('D411'!C5,"Aula 2"))&gt;0,"D4","")))))))))))),"MIX"))</f>
        <v/>
      </c>
    </row>
    <row r="93">
      <c r="C93">
        <f>IF((IF((COUNTIF('C111'!C5,"Aula 3")+COUNTIF('C112'!C5,"Aula 3")+COUNTIF('C113'!C5,"Aula 3")+COUNTIF('C121'!C5,"Aula 3")+COUNTIF('C122'!C5,"Aula 3"))&gt;0,1,0)+IF((COUNTIF('C211'!C5,"Aula 3")+COUNTIF('C212'!C5,"Aula 3"))&gt;0,1,0)+IF((COUNTIF('C311'!C5,"Aula 3")+COUNTIF('C312'!C5,"Aula 3"))&gt;0,1,0)+IF((COUNTIF('C411'!C5,"Aula 3")+COUNTIF('C412'!C5,"Aula 3"))&gt;0,1,0)+IF((COUNTIF('M111'!C5,"Aula 3")+COUNTIF('M112'!C5,"Aula 3"))&gt;0,1,0)+IF((COUNTIF('M211'!C5,"Aula 3")+COUNTIF('M212'!C5,"Aula 3"))&gt;0,1,0)+IF((COUNTIF('M311'!C5,"Aula 3"))&gt;0,1,0)+IF((COUNTIF('M411'!C5,"Aula 3"))&gt;0,1,0)+IF((COUNTIF('D111'!C5,"Aula 3")+COUNTIF('D112'!C5,"Aula 3"))&gt;0,1,0)+IF((COUNTIF('D211'!C5,"Aula 3"))&gt;0,1,0)+IF((COUNTIF('D311'!C5,"Aula 3"))&gt;0,1,0)+IF((COUNTIF('D411'!C5,"Aula 3"))&gt;0,1,0))=0,"",IF((IF((COUNTIF('C111'!C5,"Aula 3")+COUNTIF('C112'!C5,"Aula 3")+COUNTIF('C113'!C5,"Aula 3")+COUNTIF('C121'!C5,"Aula 3")+COUNTIF('C122'!C5,"Aula 3"))&gt;0,1,0)+IF((COUNTIF('C211'!C5,"Aula 3")+COUNTIF('C212'!C5,"Aula 3"))&gt;0,1,0)+IF((COUNTIF('C311'!C5,"Aula 3")+COUNTIF('C312'!C5,"Aula 3"))&gt;0,1,0)+IF((COUNTIF('C411'!C5,"Aula 3")+COUNTIF('C412'!C5,"Aula 3"))&gt;0,1,0)+IF((COUNTIF('M111'!C5,"Aula 3")+COUNTIF('M112'!C5,"Aula 3"))&gt;0,1,0)+IF((COUNTIF('M211'!C5,"Aula 3")+COUNTIF('M212'!C5,"Aula 3"))&gt;0,1,0)+IF((COUNTIF('M311'!C5,"Aula 3"))&gt;0,1,0)+IF((COUNTIF('M411'!C5,"Aula 3"))&gt;0,1,0)+IF((COUNTIF('D111'!C5,"Aula 3")+COUNTIF('D112'!C5,"Aula 3"))&gt;0,1,0)+IF((COUNTIF('D211'!C5,"Aula 3"))&gt;0,1,0)+IF((COUNTIF('D311'!C5,"Aula 3"))&gt;0,1,0)+IF((COUNTIF('D411'!C5,"Aula 3"))&gt;0,1,0))=1,IF((COUNTIF('C111'!C5,"Aula 3")+COUNTIF('C112'!C5,"Aula 3")+COUNTIF('C113'!C5,"Aula 3")+COUNTIF('C121'!C5,"Aula 3")+COUNTIF('C122'!C5,"Aula 3"))&gt;0,"C1",IF((COUNTIF('C211'!C5,"Aula 3")+COUNTIF('C212'!C5,"Aula 3"))&gt;0,"C2",IF((COUNTIF('C311'!C5,"Aula 3")+COUNTIF('C312'!C5,"Aula 3"))&gt;0,"C3",IF((COUNTIF('C411'!C5,"Aula 3")+COUNTIF('C412'!C5,"Aula 3"))&gt;0,"C4",IF((COUNTIF('M111'!C5,"Aula 3")+COUNTIF('M112'!C5,"Aula 3"))&gt;0,"M1",IF((COUNTIF('M211'!C5,"Aula 3")+COUNTIF('M212'!C5,"Aula 3"))&gt;0,"M2",IF((COUNTIF('M311'!C5,"Aula 3"))&gt;0,"M3",IF((COUNTIF('M411'!C5,"Aula 3"))&gt;0,"M4",IF((COUNTIF('D111'!C5,"Aula 3")+COUNTIF('D112'!C5,"Aula 3"))&gt;0,"D1",IF((COUNTIF('D211'!C5,"Aula 3"))&gt;0,"D2",IF((COUNTIF('D311'!C5,"Aula 3"))&gt;0,"D3",IF((COUNTIF('D411'!C5,"Aula 3"))&gt;0,"D4","")))))))))))),"MIX"))</f>
        <v/>
      </c>
    </row>
    <row r="94">
      <c r="C94">
        <f>IF((IF((COUNTIF('C111'!C5,"Aula 4")+COUNTIF('C112'!C5,"Aula 4")+COUNTIF('C113'!C5,"Aula 4")+COUNTIF('C121'!C5,"Aula 4")+COUNTIF('C122'!C5,"Aula 4"))&gt;0,1,0)+IF((COUNTIF('C211'!C5,"Aula 4")+COUNTIF('C212'!C5,"Aula 4"))&gt;0,1,0)+IF((COUNTIF('C311'!C5,"Aula 4")+COUNTIF('C312'!C5,"Aula 4"))&gt;0,1,0)+IF((COUNTIF('C411'!C5,"Aula 4")+COUNTIF('C412'!C5,"Aula 4"))&gt;0,1,0)+IF((COUNTIF('M111'!C5,"Aula 4")+COUNTIF('M112'!C5,"Aula 4"))&gt;0,1,0)+IF((COUNTIF('M211'!C5,"Aula 4")+COUNTIF('M212'!C5,"Aula 4"))&gt;0,1,0)+IF((COUNTIF('M311'!C5,"Aula 4"))&gt;0,1,0)+IF((COUNTIF('M411'!C5,"Aula 4"))&gt;0,1,0)+IF((COUNTIF('D111'!C5,"Aula 4")+COUNTIF('D112'!C5,"Aula 4"))&gt;0,1,0)+IF((COUNTIF('D211'!C5,"Aula 4"))&gt;0,1,0)+IF((COUNTIF('D311'!C5,"Aula 4"))&gt;0,1,0)+IF((COUNTIF('D411'!C5,"Aula 4"))&gt;0,1,0))=0,"",IF((IF((COUNTIF('C111'!C5,"Aula 4")+COUNTIF('C112'!C5,"Aula 4")+COUNTIF('C113'!C5,"Aula 4")+COUNTIF('C121'!C5,"Aula 4")+COUNTIF('C122'!C5,"Aula 4"))&gt;0,1,0)+IF((COUNTIF('C211'!C5,"Aula 4")+COUNTIF('C212'!C5,"Aula 4"))&gt;0,1,0)+IF((COUNTIF('C311'!C5,"Aula 4")+COUNTIF('C312'!C5,"Aula 4"))&gt;0,1,0)+IF((COUNTIF('C411'!C5,"Aula 4")+COUNTIF('C412'!C5,"Aula 4"))&gt;0,1,0)+IF((COUNTIF('M111'!C5,"Aula 4")+COUNTIF('M112'!C5,"Aula 4"))&gt;0,1,0)+IF((COUNTIF('M211'!C5,"Aula 4")+COUNTIF('M212'!C5,"Aula 4"))&gt;0,1,0)+IF((COUNTIF('M311'!C5,"Aula 4"))&gt;0,1,0)+IF((COUNTIF('M411'!C5,"Aula 4"))&gt;0,1,0)+IF((COUNTIF('D111'!C5,"Aula 4")+COUNTIF('D112'!C5,"Aula 4"))&gt;0,1,0)+IF((COUNTIF('D211'!C5,"Aula 4"))&gt;0,1,0)+IF((COUNTIF('D311'!C5,"Aula 4"))&gt;0,1,0)+IF((COUNTIF('D411'!C5,"Aula 4"))&gt;0,1,0))=1,IF((COUNTIF('C111'!C5,"Aula 4")+COUNTIF('C112'!C5,"Aula 4")+COUNTIF('C113'!C5,"Aula 4")+COUNTIF('C121'!C5,"Aula 4")+COUNTIF('C122'!C5,"Aula 4"))&gt;0,"C1",IF((COUNTIF('C211'!C5,"Aula 4")+COUNTIF('C212'!C5,"Aula 4"))&gt;0,"C2",IF((COUNTIF('C311'!C5,"Aula 4")+COUNTIF('C312'!C5,"Aula 4"))&gt;0,"C3",IF((COUNTIF('C411'!C5,"Aula 4")+COUNTIF('C412'!C5,"Aula 4"))&gt;0,"C4",IF((COUNTIF('M111'!C5,"Aula 4")+COUNTIF('M112'!C5,"Aula 4"))&gt;0,"M1",IF((COUNTIF('M211'!C5,"Aula 4")+COUNTIF('M212'!C5,"Aula 4"))&gt;0,"M2",IF((COUNTIF('M311'!C5,"Aula 4"))&gt;0,"M3",IF((COUNTIF('M411'!C5,"Aula 4"))&gt;0,"M4",IF((COUNTIF('D111'!C5,"Aula 4")+COUNTIF('D112'!C5,"Aula 4"))&gt;0,"D1",IF((COUNTIF('D211'!C5,"Aula 4"))&gt;0,"D2",IF((COUNTIF('D311'!C5,"Aula 4"))&gt;0,"D3",IF((COUNTIF('D411'!C5,"Aula 4"))&gt;0,"D4","")))))))))))),"MIX"))</f>
        <v/>
      </c>
    </row>
    <row r="95">
      <c r="C95">
        <f>IF((IF((COUNTIF('C111'!C5,"Aula 5")+COUNTIF('C112'!C5,"Aula 5")+COUNTIF('C113'!C5,"Aula 5")+COUNTIF('C121'!C5,"Aula 5")+COUNTIF('C122'!C5,"Aula 5"))&gt;0,1,0)+IF((COUNTIF('C211'!C5,"Aula 5")+COUNTIF('C212'!C5,"Aula 5"))&gt;0,1,0)+IF((COUNTIF('C311'!C5,"Aula 5")+COUNTIF('C312'!C5,"Aula 5"))&gt;0,1,0)+IF((COUNTIF('C411'!C5,"Aula 5")+COUNTIF('C412'!C5,"Aula 5"))&gt;0,1,0)+IF((COUNTIF('M111'!C5,"Aula 5")+COUNTIF('M112'!C5,"Aula 5"))&gt;0,1,0)+IF((COUNTIF('M211'!C5,"Aula 5")+COUNTIF('M212'!C5,"Aula 5"))&gt;0,1,0)+IF((COUNTIF('M311'!C5,"Aula 5"))&gt;0,1,0)+IF((COUNTIF('M411'!C5,"Aula 5"))&gt;0,1,0)+IF((COUNTIF('D111'!C5,"Aula 5")+COUNTIF('D112'!C5,"Aula 5"))&gt;0,1,0)+IF((COUNTIF('D211'!C5,"Aula 5"))&gt;0,1,0)+IF((COUNTIF('D311'!C5,"Aula 5"))&gt;0,1,0)+IF((COUNTIF('D411'!C5,"Aula 5"))&gt;0,1,0))=0,"",IF((IF((COUNTIF('C111'!C5,"Aula 5")+COUNTIF('C112'!C5,"Aula 5")+COUNTIF('C113'!C5,"Aula 5")+COUNTIF('C121'!C5,"Aula 5")+COUNTIF('C122'!C5,"Aula 5"))&gt;0,1,0)+IF((COUNTIF('C211'!C5,"Aula 5")+COUNTIF('C212'!C5,"Aula 5"))&gt;0,1,0)+IF((COUNTIF('C311'!C5,"Aula 5")+COUNTIF('C312'!C5,"Aula 5"))&gt;0,1,0)+IF((COUNTIF('C411'!C5,"Aula 5")+COUNTIF('C412'!C5,"Aula 5"))&gt;0,1,0)+IF((COUNTIF('M111'!C5,"Aula 5")+COUNTIF('M112'!C5,"Aula 5"))&gt;0,1,0)+IF((COUNTIF('M211'!C5,"Aula 5")+COUNTIF('M212'!C5,"Aula 5"))&gt;0,1,0)+IF((COUNTIF('M311'!C5,"Aula 5"))&gt;0,1,0)+IF((COUNTIF('M411'!C5,"Aula 5"))&gt;0,1,0)+IF((COUNTIF('D111'!C5,"Aula 5")+COUNTIF('D112'!C5,"Aula 5"))&gt;0,1,0)+IF((COUNTIF('D211'!C5,"Aula 5"))&gt;0,1,0)+IF((COUNTIF('D311'!C5,"Aula 5"))&gt;0,1,0)+IF((COUNTIF('D411'!C5,"Aula 5"))&gt;0,1,0))=1,IF((COUNTIF('C111'!C5,"Aula 5")+COUNTIF('C112'!C5,"Aula 5")+COUNTIF('C113'!C5,"Aula 5")+COUNTIF('C121'!C5,"Aula 5")+COUNTIF('C122'!C5,"Aula 5"))&gt;0,"C1",IF((COUNTIF('C211'!C5,"Aula 5")+COUNTIF('C212'!C5,"Aula 5"))&gt;0,"C2",IF((COUNTIF('C311'!C5,"Aula 5")+COUNTIF('C312'!C5,"Aula 5"))&gt;0,"C3",IF((COUNTIF('C411'!C5,"Aula 5")+COUNTIF('C412'!C5,"Aula 5"))&gt;0,"C4",IF((COUNTIF('M111'!C5,"Aula 5")+COUNTIF('M112'!C5,"Aula 5"))&gt;0,"M1",IF((COUNTIF('M211'!C5,"Aula 5")+COUNTIF('M212'!C5,"Aula 5"))&gt;0,"M2",IF((COUNTIF('M311'!C5,"Aula 5"))&gt;0,"M3",IF((COUNTIF('M411'!C5,"Aula 5"))&gt;0,"M4",IF((COUNTIF('D111'!C5,"Aula 5")+COUNTIF('D112'!C5,"Aula 5"))&gt;0,"D1",IF((COUNTIF('D211'!C5,"Aula 5"))&gt;0,"D2",IF((COUNTIF('D311'!C5,"Aula 5"))&gt;0,"D3",IF((COUNTIF('D411'!C5,"Aula 5"))&gt;0,"D4","")))))))))))),"MIX"))</f>
        <v/>
      </c>
    </row>
    <row r="96">
      <c r="C96">
        <f>IF((IF((COUNTIF('C111'!C5,"Aula 6")+COUNTIF('C112'!C5,"Aula 6")+COUNTIF('C113'!C5,"Aula 6")+COUNTIF('C121'!C5,"Aula 6")+COUNTIF('C122'!C5,"Aula 6"))&gt;0,1,0)+IF((COUNTIF('C211'!C5,"Aula 6")+COUNTIF('C212'!C5,"Aula 6"))&gt;0,1,0)+IF((COUNTIF('C311'!C5,"Aula 6")+COUNTIF('C312'!C5,"Aula 6"))&gt;0,1,0)+IF((COUNTIF('C411'!C5,"Aula 6")+COUNTIF('C412'!C5,"Aula 6"))&gt;0,1,0)+IF((COUNTIF('M111'!C5,"Aula 6")+COUNTIF('M112'!C5,"Aula 6"))&gt;0,1,0)+IF((COUNTIF('M211'!C5,"Aula 6")+COUNTIF('M212'!C5,"Aula 6"))&gt;0,1,0)+IF((COUNTIF('M311'!C5,"Aula 6"))&gt;0,1,0)+IF((COUNTIF('M411'!C5,"Aula 6"))&gt;0,1,0)+IF((COUNTIF('D111'!C5,"Aula 6")+COUNTIF('D112'!C5,"Aula 6"))&gt;0,1,0)+IF((COUNTIF('D211'!C5,"Aula 6"))&gt;0,1,0)+IF((COUNTIF('D311'!C5,"Aula 6"))&gt;0,1,0)+IF((COUNTIF('D411'!C5,"Aula 6"))&gt;0,1,0))=0,"",IF((IF((COUNTIF('C111'!C5,"Aula 6")+COUNTIF('C112'!C5,"Aula 6")+COUNTIF('C113'!C5,"Aula 6")+COUNTIF('C121'!C5,"Aula 6")+COUNTIF('C122'!C5,"Aula 6"))&gt;0,1,0)+IF((COUNTIF('C211'!C5,"Aula 6")+COUNTIF('C212'!C5,"Aula 6"))&gt;0,1,0)+IF((COUNTIF('C311'!C5,"Aula 6")+COUNTIF('C312'!C5,"Aula 6"))&gt;0,1,0)+IF((COUNTIF('C411'!C5,"Aula 6")+COUNTIF('C412'!C5,"Aula 6"))&gt;0,1,0)+IF((COUNTIF('M111'!C5,"Aula 6")+COUNTIF('M112'!C5,"Aula 6"))&gt;0,1,0)+IF((COUNTIF('M211'!C5,"Aula 6")+COUNTIF('M212'!C5,"Aula 6"))&gt;0,1,0)+IF((COUNTIF('M311'!C5,"Aula 6"))&gt;0,1,0)+IF((COUNTIF('M411'!C5,"Aula 6"))&gt;0,1,0)+IF((COUNTIF('D111'!C5,"Aula 6")+COUNTIF('D112'!C5,"Aula 6"))&gt;0,1,0)+IF((COUNTIF('D211'!C5,"Aula 6"))&gt;0,1,0)+IF((COUNTIF('D311'!C5,"Aula 6"))&gt;0,1,0)+IF((COUNTIF('D411'!C5,"Aula 6"))&gt;0,1,0))=1,IF((COUNTIF('C111'!C5,"Aula 6")+COUNTIF('C112'!C5,"Aula 6")+COUNTIF('C113'!C5,"Aula 6")+COUNTIF('C121'!C5,"Aula 6")+COUNTIF('C122'!C5,"Aula 6"))&gt;0,"C1",IF((COUNTIF('C211'!C5,"Aula 6")+COUNTIF('C212'!C5,"Aula 6"))&gt;0,"C2",IF((COUNTIF('C311'!C5,"Aula 6")+COUNTIF('C312'!C5,"Aula 6"))&gt;0,"C3",IF((COUNTIF('C411'!C5,"Aula 6")+COUNTIF('C412'!C5,"Aula 6"))&gt;0,"C4",IF((COUNTIF('M111'!C5,"Aula 6")+COUNTIF('M112'!C5,"Aula 6"))&gt;0,"M1",IF((COUNTIF('M211'!C5,"Aula 6")+COUNTIF('M212'!C5,"Aula 6"))&gt;0,"M2",IF((COUNTIF('M311'!C5,"Aula 6"))&gt;0,"M3",IF((COUNTIF('M411'!C5,"Aula 6"))&gt;0,"M4",IF((COUNTIF('D111'!C5,"Aula 6")+COUNTIF('D112'!C5,"Aula 6"))&gt;0,"D1",IF((COUNTIF('D211'!C5,"Aula 6"))&gt;0,"D2",IF((COUNTIF('D311'!C5,"Aula 6"))&gt;0,"D3",IF((COUNTIF('D411'!C5,"Aula 6"))&gt;0,"D4","")))))))))))),"MIX"))</f>
        <v/>
      </c>
    </row>
    <row r="97">
      <c r="C97">
        <f>IF((IF((COUNTIF('C111'!C5,"Aula 7")+COUNTIF('C112'!C5,"Aula 7")+COUNTIF('C113'!C5,"Aula 7")+COUNTIF('C121'!C5,"Aula 7")+COUNTIF('C122'!C5,"Aula 7"))&gt;0,1,0)+IF((COUNTIF('C211'!C5,"Aula 7")+COUNTIF('C212'!C5,"Aula 7"))&gt;0,1,0)+IF((COUNTIF('C311'!C5,"Aula 7")+COUNTIF('C312'!C5,"Aula 7"))&gt;0,1,0)+IF((COUNTIF('C411'!C5,"Aula 7")+COUNTIF('C412'!C5,"Aula 7"))&gt;0,1,0)+IF((COUNTIF('M111'!C5,"Aula 7")+COUNTIF('M112'!C5,"Aula 7"))&gt;0,1,0)+IF((COUNTIF('M211'!C5,"Aula 7")+COUNTIF('M212'!C5,"Aula 7"))&gt;0,1,0)+IF((COUNTIF('M311'!C5,"Aula 7"))&gt;0,1,0)+IF((COUNTIF('M411'!C5,"Aula 7"))&gt;0,1,0)+IF((COUNTIF('D111'!C5,"Aula 7")+COUNTIF('D112'!C5,"Aula 7"))&gt;0,1,0)+IF((COUNTIF('D211'!C5,"Aula 7"))&gt;0,1,0)+IF((COUNTIF('D311'!C5,"Aula 7"))&gt;0,1,0)+IF((COUNTIF('D411'!C5,"Aula 7"))&gt;0,1,0))=0,"",IF((IF((COUNTIF('C111'!C5,"Aula 7")+COUNTIF('C112'!C5,"Aula 7")+COUNTIF('C113'!C5,"Aula 7")+COUNTIF('C121'!C5,"Aula 7")+COUNTIF('C122'!C5,"Aula 7"))&gt;0,1,0)+IF((COUNTIF('C211'!C5,"Aula 7")+COUNTIF('C212'!C5,"Aula 7"))&gt;0,1,0)+IF((COUNTIF('C311'!C5,"Aula 7")+COUNTIF('C312'!C5,"Aula 7"))&gt;0,1,0)+IF((COUNTIF('C411'!C5,"Aula 7")+COUNTIF('C412'!C5,"Aula 7"))&gt;0,1,0)+IF((COUNTIF('M111'!C5,"Aula 7")+COUNTIF('M112'!C5,"Aula 7"))&gt;0,1,0)+IF((COUNTIF('M211'!C5,"Aula 7")+COUNTIF('M212'!C5,"Aula 7"))&gt;0,1,0)+IF((COUNTIF('M311'!C5,"Aula 7"))&gt;0,1,0)+IF((COUNTIF('M411'!C5,"Aula 7"))&gt;0,1,0)+IF((COUNTIF('D111'!C5,"Aula 7")+COUNTIF('D112'!C5,"Aula 7"))&gt;0,1,0)+IF((COUNTIF('D211'!C5,"Aula 7"))&gt;0,1,0)+IF((COUNTIF('D311'!C5,"Aula 7"))&gt;0,1,0)+IF((COUNTIF('D411'!C5,"Aula 7"))&gt;0,1,0))=1,IF((COUNTIF('C111'!C5,"Aula 7")+COUNTIF('C112'!C5,"Aula 7")+COUNTIF('C113'!C5,"Aula 7")+COUNTIF('C121'!C5,"Aula 7")+COUNTIF('C122'!C5,"Aula 7"))&gt;0,"C1",IF((COUNTIF('C211'!C5,"Aula 7")+COUNTIF('C212'!C5,"Aula 7"))&gt;0,"C2",IF((COUNTIF('C311'!C5,"Aula 7")+COUNTIF('C312'!C5,"Aula 7"))&gt;0,"C3",IF((COUNTIF('C411'!C5,"Aula 7")+COUNTIF('C412'!C5,"Aula 7"))&gt;0,"C4",IF((COUNTIF('M111'!C5,"Aula 7")+COUNTIF('M112'!C5,"Aula 7"))&gt;0,"M1",IF((COUNTIF('M211'!C5,"Aula 7")+COUNTIF('M212'!C5,"Aula 7"))&gt;0,"M2",IF((COUNTIF('M311'!C5,"Aula 7"))&gt;0,"M3",IF((COUNTIF('M411'!C5,"Aula 7"))&gt;0,"M4",IF((COUNTIF('D111'!C5,"Aula 7")+COUNTIF('D112'!C5,"Aula 7"))&gt;0,"D1",IF((COUNTIF('D211'!C5,"Aula 7"))&gt;0,"D2",IF((COUNTIF('D311'!C5,"Aula 7"))&gt;0,"D3",IF((COUNTIF('D411'!C5,"Aula 7"))&gt;0,"D4","")))))))))))),"MIX"))</f>
        <v/>
      </c>
    </row>
    <row r="98">
      <c r="C98">
        <f>IF((IF((COUNTIF('C111'!C5,"Aula 8")+COUNTIF('C112'!C5,"Aula 8")+COUNTIF('C113'!C5,"Aula 8")+COUNTIF('C121'!C5,"Aula 8")+COUNTIF('C122'!C5,"Aula 8"))&gt;0,1,0)+IF((COUNTIF('C211'!C5,"Aula 8")+COUNTIF('C212'!C5,"Aula 8"))&gt;0,1,0)+IF((COUNTIF('C311'!C5,"Aula 8")+COUNTIF('C312'!C5,"Aula 8"))&gt;0,1,0)+IF((COUNTIF('C411'!C5,"Aula 8")+COUNTIF('C412'!C5,"Aula 8"))&gt;0,1,0)+IF((COUNTIF('M111'!C5,"Aula 8")+COUNTIF('M112'!C5,"Aula 8"))&gt;0,1,0)+IF((COUNTIF('M211'!C5,"Aula 8")+COUNTIF('M212'!C5,"Aula 8"))&gt;0,1,0)+IF((COUNTIF('M311'!C5,"Aula 8"))&gt;0,1,0)+IF((COUNTIF('M411'!C5,"Aula 8"))&gt;0,1,0)+IF((COUNTIF('D111'!C5,"Aula 8")+COUNTIF('D112'!C5,"Aula 8"))&gt;0,1,0)+IF((COUNTIF('D211'!C5,"Aula 8"))&gt;0,1,0)+IF((COUNTIF('D311'!C5,"Aula 8"))&gt;0,1,0)+IF((COUNTIF('D411'!C5,"Aula 8"))&gt;0,1,0))=0,"",IF((IF((COUNTIF('C111'!C5,"Aula 8")+COUNTIF('C112'!C5,"Aula 8")+COUNTIF('C113'!C5,"Aula 8")+COUNTIF('C121'!C5,"Aula 8")+COUNTIF('C122'!C5,"Aula 8"))&gt;0,1,0)+IF((COUNTIF('C211'!C5,"Aula 8")+COUNTIF('C212'!C5,"Aula 8"))&gt;0,1,0)+IF((COUNTIF('C311'!C5,"Aula 8")+COUNTIF('C312'!C5,"Aula 8"))&gt;0,1,0)+IF((COUNTIF('C411'!C5,"Aula 8")+COUNTIF('C412'!C5,"Aula 8"))&gt;0,1,0)+IF((COUNTIF('M111'!C5,"Aula 8")+COUNTIF('M112'!C5,"Aula 8"))&gt;0,1,0)+IF((COUNTIF('M211'!C5,"Aula 8")+COUNTIF('M212'!C5,"Aula 8"))&gt;0,1,0)+IF((COUNTIF('M311'!C5,"Aula 8"))&gt;0,1,0)+IF((COUNTIF('M411'!C5,"Aula 8"))&gt;0,1,0)+IF((COUNTIF('D111'!C5,"Aula 8")+COUNTIF('D112'!C5,"Aula 8"))&gt;0,1,0)+IF((COUNTIF('D211'!C5,"Aula 8"))&gt;0,1,0)+IF((COUNTIF('D311'!C5,"Aula 8"))&gt;0,1,0)+IF((COUNTIF('D411'!C5,"Aula 8"))&gt;0,1,0))=1,IF((COUNTIF('C111'!C5,"Aula 8")+COUNTIF('C112'!C5,"Aula 8")+COUNTIF('C113'!C5,"Aula 8")+COUNTIF('C121'!C5,"Aula 8")+COUNTIF('C122'!C5,"Aula 8"))&gt;0,"C1",IF((COUNTIF('C211'!C5,"Aula 8")+COUNTIF('C212'!C5,"Aula 8"))&gt;0,"C2",IF((COUNTIF('C311'!C5,"Aula 8")+COUNTIF('C312'!C5,"Aula 8"))&gt;0,"C3",IF((COUNTIF('C411'!C5,"Aula 8")+COUNTIF('C412'!C5,"Aula 8"))&gt;0,"C4",IF((COUNTIF('M111'!C5,"Aula 8")+COUNTIF('M112'!C5,"Aula 8"))&gt;0,"M1",IF((COUNTIF('M211'!C5,"Aula 8")+COUNTIF('M212'!C5,"Aula 8"))&gt;0,"M2",IF((COUNTIF('M311'!C5,"Aula 8"))&gt;0,"M3",IF((COUNTIF('M411'!C5,"Aula 8"))&gt;0,"M4",IF((COUNTIF('D111'!C5,"Aula 8")+COUNTIF('D112'!C5,"Aula 8"))&gt;0,"D1",IF((COUNTIF('D211'!C5,"Aula 8"))&gt;0,"D2",IF((COUNTIF('D311'!C5,"Aula 8"))&gt;0,"D3",IF((COUNTIF('D411'!C5,"Aula 8"))&gt;0,"D4","")))))))))))),"MIX"))</f>
        <v/>
      </c>
    </row>
    <row r="99">
      <c r="C99">
        <f>IF((IF((COUNTIF('C111'!C5,"Aula 9")+COUNTIF('C112'!C5,"Aula 9")+COUNTIF('C113'!C5,"Aula 9")+COUNTIF('C121'!C5,"Aula 9")+COUNTIF('C122'!C5,"Aula 9"))&gt;0,1,0)+IF((COUNTIF('C211'!C5,"Aula 9")+COUNTIF('C212'!C5,"Aula 9"))&gt;0,1,0)+IF((COUNTIF('C311'!C5,"Aula 9")+COUNTIF('C312'!C5,"Aula 9"))&gt;0,1,0)+IF((COUNTIF('C411'!C5,"Aula 9")+COUNTIF('C412'!C5,"Aula 9"))&gt;0,1,0)+IF((COUNTIF('M111'!C5,"Aula 9")+COUNTIF('M112'!C5,"Aula 9"))&gt;0,1,0)+IF((COUNTIF('M211'!C5,"Aula 9")+COUNTIF('M212'!C5,"Aula 9"))&gt;0,1,0)+IF((COUNTIF('M311'!C5,"Aula 9"))&gt;0,1,0)+IF((COUNTIF('M411'!C5,"Aula 9"))&gt;0,1,0)+IF((COUNTIF('D111'!C5,"Aula 9")+COUNTIF('D112'!C5,"Aula 9"))&gt;0,1,0)+IF((COUNTIF('D211'!C5,"Aula 9"))&gt;0,1,0)+IF((COUNTIF('D311'!C5,"Aula 9"))&gt;0,1,0)+IF((COUNTIF('D411'!C5,"Aula 9"))&gt;0,1,0))=0,"",IF((IF((COUNTIF('C111'!C5,"Aula 9")+COUNTIF('C112'!C5,"Aula 9")+COUNTIF('C113'!C5,"Aula 9")+COUNTIF('C121'!C5,"Aula 9")+COUNTIF('C122'!C5,"Aula 9"))&gt;0,1,0)+IF((COUNTIF('C211'!C5,"Aula 9")+COUNTIF('C212'!C5,"Aula 9"))&gt;0,1,0)+IF((COUNTIF('C311'!C5,"Aula 9")+COUNTIF('C312'!C5,"Aula 9"))&gt;0,1,0)+IF((COUNTIF('C411'!C5,"Aula 9")+COUNTIF('C412'!C5,"Aula 9"))&gt;0,1,0)+IF((COUNTIF('M111'!C5,"Aula 9")+COUNTIF('M112'!C5,"Aula 9"))&gt;0,1,0)+IF((COUNTIF('M211'!C5,"Aula 9")+COUNTIF('M212'!C5,"Aula 9"))&gt;0,1,0)+IF((COUNTIF('M311'!C5,"Aula 9"))&gt;0,1,0)+IF((COUNTIF('M411'!C5,"Aula 9"))&gt;0,1,0)+IF((COUNTIF('D111'!C5,"Aula 9")+COUNTIF('D112'!C5,"Aula 9"))&gt;0,1,0)+IF((COUNTIF('D211'!C5,"Aula 9"))&gt;0,1,0)+IF((COUNTIF('D311'!C5,"Aula 9"))&gt;0,1,0)+IF((COUNTIF('D411'!C5,"Aula 9"))&gt;0,1,0))=1,IF((COUNTIF('C111'!C5,"Aula 9")+COUNTIF('C112'!C5,"Aula 9")+COUNTIF('C113'!C5,"Aula 9")+COUNTIF('C121'!C5,"Aula 9")+COUNTIF('C122'!C5,"Aula 9"))&gt;0,"C1",IF((COUNTIF('C211'!C5,"Aula 9")+COUNTIF('C212'!C5,"Aula 9"))&gt;0,"C2",IF((COUNTIF('C311'!C5,"Aula 9")+COUNTIF('C312'!C5,"Aula 9"))&gt;0,"C3",IF((COUNTIF('C411'!C5,"Aula 9")+COUNTIF('C412'!C5,"Aula 9"))&gt;0,"C4",IF((COUNTIF('M111'!C5,"Aula 9")+COUNTIF('M112'!C5,"Aula 9"))&gt;0,"M1",IF((COUNTIF('M211'!C5,"Aula 9")+COUNTIF('M212'!C5,"Aula 9"))&gt;0,"M2",IF((COUNTIF('M311'!C5,"Aula 9"))&gt;0,"M3",IF((COUNTIF('M411'!C5,"Aula 9"))&gt;0,"M4",IF((COUNTIF('D111'!C5,"Aula 9")+COUNTIF('D112'!C5,"Aula 9"))&gt;0,"D1",IF((COUNTIF('D211'!C5,"Aula 9"))&gt;0,"D2",IF((COUNTIF('D311'!C5,"Aula 9"))&gt;0,"D3",IF((COUNTIF('D411'!C5,"Aula 9"))&gt;0,"D4","")))))))))))),"MIX"))</f>
        <v/>
      </c>
    </row>
    <row r="100">
      <c r="C100">
        <f>IF((IF((COUNTIF('C111'!C5,"Aula 10")+COUNTIF('C112'!C5,"Aula 10")+COUNTIF('C113'!C5,"Aula 10")+COUNTIF('C121'!C5,"Aula 10")+COUNTIF('C122'!C5,"Aula 10"))&gt;0,1,0)+IF((COUNTIF('C211'!C5,"Aula 10")+COUNTIF('C212'!C5,"Aula 10"))&gt;0,1,0)+IF((COUNTIF('C311'!C5,"Aula 10")+COUNTIF('C312'!C5,"Aula 10"))&gt;0,1,0)+IF((COUNTIF('C411'!C5,"Aula 10")+COUNTIF('C412'!C5,"Aula 10"))&gt;0,1,0)+IF((COUNTIF('M111'!C5,"Aula 10")+COUNTIF('M112'!C5,"Aula 10"))&gt;0,1,0)+IF((COUNTIF('M211'!C5,"Aula 10")+COUNTIF('M212'!C5,"Aula 10"))&gt;0,1,0)+IF((COUNTIF('M311'!C5,"Aula 10"))&gt;0,1,0)+IF((COUNTIF('M411'!C5,"Aula 10"))&gt;0,1,0)+IF((COUNTIF('D111'!C5,"Aula 10")+COUNTIF('D112'!C5,"Aula 10"))&gt;0,1,0)+IF((COUNTIF('D211'!C5,"Aula 10"))&gt;0,1,0)+IF((COUNTIF('D311'!C5,"Aula 10"))&gt;0,1,0)+IF((COUNTIF('D411'!C5,"Aula 10"))&gt;0,1,0))=0,"",IF((IF((COUNTIF('C111'!C5,"Aula 10")+COUNTIF('C112'!C5,"Aula 10")+COUNTIF('C113'!C5,"Aula 10")+COUNTIF('C121'!C5,"Aula 10")+COUNTIF('C122'!C5,"Aula 10"))&gt;0,1,0)+IF((COUNTIF('C211'!C5,"Aula 10")+COUNTIF('C212'!C5,"Aula 10"))&gt;0,1,0)+IF((COUNTIF('C311'!C5,"Aula 10")+COUNTIF('C312'!C5,"Aula 10"))&gt;0,1,0)+IF((COUNTIF('C411'!C5,"Aula 10")+COUNTIF('C412'!C5,"Aula 10"))&gt;0,1,0)+IF((COUNTIF('M111'!C5,"Aula 10")+COUNTIF('M112'!C5,"Aula 10"))&gt;0,1,0)+IF((COUNTIF('M211'!C5,"Aula 10")+COUNTIF('M212'!C5,"Aula 10"))&gt;0,1,0)+IF((COUNTIF('M311'!C5,"Aula 10"))&gt;0,1,0)+IF((COUNTIF('M411'!C5,"Aula 10"))&gt;0,1,0)+IF((COUNTIF('D111'!C5,"Aula 10")+COUNTIF('D112'!C5,"Aula 10"))&gt;0,1,0)+IF((COUNTIF('D211'!C5,"Aula 10"))&gt;0,1,0)+IF((COUNTIF('D311'!C5,"Aula 10"))&gt;0,1,0)+IF((COUNTIF('D411'!C5,"Aula 10"))&gt;0,1,0))=1,IF((COUNTIF('C111'!C5,"Aula 10")+COUNTIF('C112'!C5,"Aula 10")+COUNTIF('C113'!C5,"Aula 10")+COUNTIF('C121'!C5,"Aula 10")+COUNTIF('C122'!C5,"Aula 10"))&gt;0,"C1",IF((COUNTIF('C211'!C5,"Aula 10")+COUNTIF('C212'!C5,"Aula 10"))&gt;0,"C2",IF((COUNTIF('C311'!C5,"Aula 10")+COUNTIF('C312'!C5,"Aula 10"))&gt;0,"C3",IF((COUNTIF('C411'!C5,"Aula 10")+COUNTIF('C412'!C5,"Aula 10"))&gt;0,"C4",IF((COUNTIF('M111'!C5,"Aula 10")+COUNTIF('M112'!C5,"Aula 10"))&gt;0,"M1",IF((COUNTIF('M211'!C5,"Aula 10")+COUNTIF('M212'!C5,"Aula 10"))&gt;0,"M2",IF((COUNTIF('M311'!C5,"Aula 10"))&gt;0,"M3",IF((COUNTIF('M411'!C5,"Aula 10"))&gt;0,"M4",IF((COUNTIF('D111'!C5,"Aula 10")+COUNTIF('D112'!C5,"Aula 10"))&gt;0,"D1",IF((COUNTIF('D211'!C5,"Aula 10"))&gt;0,"D2",IF((COUNTIF('D311'!C5,"Aula 10"))&gt;0,"D3",IF((COUNTIF('D411'!C5,"Aula 10"))&gt;0,"D4","")))))))))))),"MIX"))</f>
        <v/>
      </c>
    </row>
    <row r="101">
      <c r="C101">
        <f>IF((IF((COUNTIF('C111'!C5,"Aula 11")+COUNTIF('C112'!C5,"Aula 11")+COUNTIF('C113'!C5,"Aula 11")+COUNTIF('C121'!C5,"Aula 11")+COUNTIF('C122'!C5,"Aula 11"))&gt;0,1,0)+IF((COUNTIF('C211'!C5,"Aula 11")+COUNTIF('C212'!C5,"Aula 11"))&gt;0,1,0)+IF((COUNTIF('C311'!C5,"Aula 11")+COUNTIF('C312'!C5,"Aula 11"))&gt;0,1,0)+IF((COUNTIF('C411'!C5,"Aula 11")+COUNTIF('C412'!C5,"Aula 11"))&gt;0,1,0)+IF((COUNTIF('M111'!C5,"Aula 11")+COUNTIF('M112'!C5,"Aula 11"))&gt;0,1,0)+IF((COUNTIF('M211'!C5,"Aula 11")+COUNTIF('M212'!C5,"Aula 11"))&gt;0,1,0)+IF((COUNTIF('M311'!C5,"Aula 11"))&gt;0,1,0)+IF((COUNTIF('M411'!C5,"Aula 11"))&gt;0,1,0)+IF((COUNTIF('D111'!C5,"Aula 11")+COUNTIF('D112'!C5,"Aula 11"))&gt;0,1,0)+IF((COUNTIF('D211'!C5,"Aula 11"))&gt;0,1,0)+IF((COUNTIF('D311'!C5,"Aula 11"))&gt;0,1,0)+IF((COUNTIF('D411'!C5,"Aula 11"))&gt;0,1,0))=0,"",IF((IF((COUNTIF('C111'!C5,"Aula 11")+COUNTIF('C112'!C5,"Aula 11")+COUNTIF('C113'!C5,"Aula 11")+COUNTIF('C121'!C5,"Aula 11")+COUNTIF('C122'!C5,"Aula 11"))&gt;0,1,0)+IF((COUNTIF('C211'!C5,"Aula 11")+COUNTIF('C212'!C5,"Aula 11"))&gt;0,1,0)+IF((COUNTIF('C311'!C5,"Aula 11")+COUNTIF('C312'!C5,"Aula 11"))&gt;0,1,0)+IF((COUNTIF('C411'!C5,"Aula 11")+COUNTIF('C412'!C5,"Aula 11"))&gt;0,1,0)+IF((COUNTIF('M111'!C5,"Aula 11")+COUNTIF('M112'!C5,"Aula 11"))&gt;0,1,0)+IF((COUNTIF('M211'!C5,"Aula 11")+COUNTIF('M212'!C5,"Aula 11"))&gt;0,1,0)+IF((COUNTIF('M311'!C5,"Aula 11"))&gt;0,1,0)+IF((COUNTIF('M411'!C5,"Aula 11"))&gt;0,1,0)+IF((COUNTIF('D111'!C5,"Aula 11")+COUNTIF('D112'!C5,"Aula 11"))&gt;0,1,0)+IF((COUNTIF('D211'!C5,"Aula 11"))&gt;0,1,0)+IF((COUNTIF('D311'!C5,"Aula 11"))&gt;0,1,0)+IF((COUNTIF('D411'!C5,"Aula 11"))&gt;0,1,0))=1,IF((COUNTIF('C111'!C5,"Aula 11")+COUNTIF('C112'!C5,"Aula 11")+COUNTIF('C113'!C5,"Aula 11")+COUNTIF('C121'!C5,"Aula 11")+COUNTIF('C122'!C5,"Aula 11"))&gt;0,"C1",IF((COUNTIF('C211'!C5,"Aula 11")+COUNTIF('C212'!C5,"Aula 11"))&gt;0,"C2",IF((COUNTIF('C311'!C5,"Aula 11")+COUNTIF('C312'!C5,"Aula 11"))&gt;0,"C3",IF((COUNTIF('C411'!C5,"Aula 11")+COUNTIF('C412'!C5,"Aula 11"))&gt;0,"C4",IF((COUNTIF('M111'!C5,"Aula 11")+COUNTIF('M112'!C5,"Aula 11"))&gt;0,"M1",IF((COUNTIF('M211'!C5,"Aula 11")+COUNTIF('M212'!C5,"Aula 11"))&gt;0,"M2",IF((COUNTIF('M311'!C5,"Aula 11"))&gt;0,"M3",IF((COUNTIF('M411'!C5,"Aula 11"))&gt;0,"M4",IF((COUNTIF('D111'!C5,"Aula 11")+COUNTIF('D112'!C5,"Aula 11"))&gt;0,"D1",IF((COUNTIF('D211'!C5,"Aula 11"))&gt;0,"D2",IF((COUNTIF('D311'!C5,"Aula 11"))&gt;0,"D3",IF((COUNTIF('D411'!C5,"Aula 11"))&gt;0,"D4","")))))))))))),"MIX"))</f>
        <v/>
      </c>
    </row>
    <row r="102">
      <c r="C102">
        <f>IF((IF((COUNTIF('C111'!C5,"Aula 12")+COUNTIF('C112'!C5,"Aula 12")+COUNTIF('C113'!C5,"Aula 12")+COUNTIF('C121'!C5,"Aula 12")+COUNTIF('C122'!C5,"Aula 12"))&gt;0,1,0)+IF((COUNTIF('C211'!C5,"Aula 12")+COUNTIF('C212'!C5,"Aula 12"))&gt;0,1,0)+IF((COUNTIF('C311'!C5,"Aula 12")+COUNTIF('C312'!C5,"Aula 12"))&gt;0,1,0)+IF((COUNTIF('C411'!C5,"Aula 12")+COUNTIF('C412'!C5,"Aula 12"))&gt;0,1,0)+IF((COUNTIF('M111'!C5,"Aula 12")+COUNTIF('M112'!C5,"Aula 12"))&gt;0,1,0)+IF((COUNTIF('M211'!C5,"Aula 12")+COUNTIF('M212'!C5,"Aula 12"))&gt;0,1,0)+IF((COUNTIF('M311'!C5,"Aula 12"))&gt;0,1,0)+IF((COUNTIF('M411'!C5,"Aula 12"))&gt;0,1,0)+IF((COUNTIF('D111'!C5,"Aula 12")+COUNTIF('D112'!C5,"Aula 12"))&gt;0,1,0)+IF((COUNTIF('D211'!C5,"Aula 12"))&gt;0,1,0)+IF((COUNTIF('D311'!C5,"Aula 12"))&gt;0,1,0)+IF((COUNTIF('D411'!C5,"Aula 12"))&gt;0,1,0))=0,"",IF((IF((COUNTIF('C111'!C5,"Aula 12")+COUNTIF('C112'!C5,"Aula 12")+COUNTIF('C113'!C5,"Aula 12")+COUNTIF('C121'!C5,"Aula 12")+COUNTIF('C122'!C5,"Aula 12"))&gt;0,1,0)+IF((COUNTIF('C211'!C5,"Aula 12")+COUNTIF('C212'!C5,"Aula 12"))&gt;0,1,0)+IF((COUNTIF('C311'!C5,"Aula 12")+COUNTIF('C312'!C5,"Aula 12"))&gt;0,1,0)+IF((COUNTIF('C411'!C5,"Aula 12")+COUNTIF('C412'!C5,"Aula 12"))&gt;0,1,0)+IF((COUNTIF('M111'!C5,"Aula 12")+COUNTIF('M112'!C5,"Aula 12"))&gt;0,1,0)+IF((COUNTIF('M211'!C5,"Aula 12")+COUNTIF('M212'!C5,"Aula 12"))&gt;0,1,0)+IF((COUNTIF('M311'!C5,"Aula 12"))&gt;0,1,0)+IF((COUNTIF('M411'!C5,"Aula 12"))&gt;0,1,0)+IF((COUNTIF('D111'!C5,"Aula 12")+COUNTIF('D112'!C5,"Aula 12"))&gt;0,1,0)+IF((COUNTIF('D211'!C5,"Aula 12"))&gt;0,1,0)+IF((COUNTIF('D311'!C5,"Aula 12"))&gt;0,1,0)+IF((COUNTIF('D411'!C5,"Aula 12"))&gt;0,1,0))=1,IF((COUNTIF('C111'!C5,"Aula 12")+COUNTIF('C112'!C5,"Aula 12")+COUNTIF('C113'!C5,"Aula 12")+COUNTIF('C121'!C5,"Aula 12")+COUNTIF('C122'!C5,"Aula 12"))&gt;0,"C1",IF((COUNTIF('C211'!C5,"Aula 12")+COUNTIF('C212'!C5,"Aula 12"))&gt;0,"C2",IF((COUNTIF('C311'!C5,"Aula 12")+COUNTIF('C312'!C5,"Aula 12"))&gt;0,"C3",IF((COUNTIF('C411'!C5,"Aula 12")+COUNTIF('C412'!C5,"Aula 12"))&gt;0,"C4",IF((COUNTIF('M111'!C5,"Aula 12")+COUNTIF('M112'!C5,"Aula 12"))&gt;0,"M1",IF((COUNTIF('M211'!C5,"Aula 12")+COUNTIF('M212'!C5,"Aula 12"))&gt;0,"M2",IF((COUNTIF('M311'!C5,"Aula 12"))&gt;0,"M3",IF((COUNTIF('M411'!C5,"Aula 12"))&gt;0,"M4",IF((COUNTIF('D111'!C5,"Aula 12")+COUNTIF('D112'!C5,"Aula 12"))&gt;0,"D1",IF((COUNTIF('D211'!C5,"Aula 12"))&gt;0,"D2",IF((COUNTIF('D311'!C5,"Aula 12"))&gt;0,"D3",IF((COUNTIF('D411'!C5,"Aula 12"))&gt;0,"D4","")))))))))))),"MIX"))</f>
        <v/>
      </c>
    </row>
    <row r="103">
      <c r="C103">
        <f>IF((IF((COUNTIF('C111'!C5,"Lab 1")+COUNTIF('C112'!C5,"Lab 1")+COUNTIF('C113'!C5,"Lab 1")+COUNTIF('C121'!C5,"Lab 1")+COUNTIF('C122'!C5,"Lab 1"))&gt;0,1,0)+IF((COUNTIF('C211'!C5,"Lab 1")+COUNTIF('C212'!C5,"Lab 1"))&gt;0,1,0)+IF((COUNTIF('C311'!C5,"Lab 1")+COUNTIF('C312'!C5,"Lab 1"))&gt;0,1,0)+IF((COUNTIF('C411'!C5,"Lab 1")+COUNTIF('C412'!C5,"Lab 1"))&gt;0,1,0)+IF((COUNTIF('M111'!C5,"Lab 1")+COUNTIF('M112'!C5,"Lab 1"))&gt;0,1,0)+IF((COUNTIF('M211'!C5,"Lab 1")+COUNTIF('M212'!C5,"Lab 1"))&gt;0,1,0)+IF((COUNTIF('M311'!C5,"Lab 1"))&gt;0,1,0)+IF((COUNTIF('M411'!C5,"Lab 1"))&gt;0,1,0)+IF((COUNTIF('D111'!C5,"Lab 1")+COUNTIF('D112'!C5,"Lab 1"))&gt;0,1,0)+IF((COUNTIF('D211'!C5,"Lab 1"))&gt;0,1,0)+IF((COUNTIF('D311'!C5,"Lab 1"))&gt;0,1,0)+IF((COUNTIF('D411'!C5,"Lab 1"))&gt;0,1,0))=0,"",IF((IF((COUNTIF('C111'!C5,"Lab 1")+COUNTIF('C112'!C5,"Lab 1")+COUNTIF('C113'!C5,"Lab 1")+COUNTIF('C121'!C5,"Lab 1")+COUNTIF('C122'!C5,"Lab 1"))&gt;0,1,0)+IF((COUNTIF('C211'!C5,"Lab 1")+COUNTIF('C212'!C5,"Lab 1"))&gt;0,1,0)+IF((COUNTIF('C311'!C5,"Lab 1")+COUNTIF('C312'!C5,"Lab 1"))&gt;0,1,0)+IF((COUNTIF('C411'!C5,"Lab 1")+COUNTIF('C412'!C5,"Lab 1"))&gt;0,1,0)+IF((COUNTIF('M111'!C5,"Lab 1")+COUNTIF('M112'!C5,"Lab 1"))&gt;0,1,0)+IF((COUNTIF('M211'!C5,"Lab 1")+COUNTIF('M212'!C5,"Lab 1"))&gt;0,1,0)+IF((COUNTIF('M311'!C5,"Lab 1"))&gt;0,1,0)+IF((COUNTIF('M411'!C5,"Lab 1"))&gt;0,1,0)+IF((COUNTIF('D111'!C5,"Lab 1")+COUNTIF('D112'!C5,"Lab 1"))&gt;0,1,0)+IF((COUNTIF('D211'!C5,"Lab 1"))&gt;0,1,0)+IF((COUNTIF('D311'!C5,"Lab 1"))&gt;0,1,0)+IF((COUNTIF('D411'!C5,"Lab 1"))&gt;0,1,0))=1,IF((COUNTIF('C111'!C5,"Lab 1")+COUNTIF('C112'!C5,"Lab 1")+COUNTIF('C113'!C5,"Lab 1")+COUNTIF('C121'!C5,"Lab 1")+COUNTIF('C122'!C5,"Lab 1"))&gt;0,"C1",IF((COUNTIF('C211'!C5,"Lab 1")+COUNTIF('C212'!C5,"Lab 1"))&gt;0,"C2",IF((COUNTIF('C311'!C5,"Lab 1")+COUNTIF('C312'!C5,"Lab 1"))&gt;0,"C3",IF((COUNTIF('C411'!C5,"Lab 1")+COUNTIF('C412'!C5,"Lab 1"))&gt;0,"C4",IF((COUNTIF('M111'!C5,"Lab 1")+COUNTIF('M112'!C5,"Lab 1"))&gt;0,"M1",IF((COUNTIF('M211'!C5,"Lab 1")+COUNTIF('M212'!C5,"Lab 1"))&gt;0,"M2",IF((COUNTIF('M311'!C5,"Lab 1"))&gt;0,"M3",IF((COUNTIF('M411'!C5,"Lab 1"))&gt;0,"M4",IF((COUNTIF('D111'!C5,"Lab 1")+COUNTIF('D112'!C5,"Lab 1"))&gt;0,"D1",IF((COUNTIF('D211'!C5,"Lab 1"))&gt;0,"D2",IF((COUNTIF('D311'!C5,"Lab 1"))&gt;0,"D3",IF((COUNTIF('D411'!C5,"Lab 1"))&gt;0,"D4","")))))))))))),"MIX"))</f>
        <v/>
      </c>
    </row>
    <row r="104">
      <c r="C104">
        <f>IF((IF((COUNTIF('C111'!C5,"Lab 2")+COUNTIF('C112'!C5,"Lab 2")+COUNTIF('C113'!C5,"Lab 2")+COUNTIF('C121'!C5,"Lab 2")+COUNTIF('C122'!C5,"Lab 2"))&gt;0,1,0)+IF((COUNTIF('C211'!C5,"Lab 2")+COUNTIF('C212'!C5,"Lab 2"))&gt;0,1,0)+IF((COUNTIF('C311'!C5,"Lab 2")+COUNTIF('C312'!C5,"Lab 2"))&gt;0,1,0)+IF((COUNTIF('C411'!C5,"Lab 2")+COUNTIF('C412'!C5,"Lab 2"))&gt;0,1,0)+IF((COUNTIF('M111'!C5,"Lab 2")+COUNTIF('M112'!C5,"Lab 2"))&gt;0,1,0)+IF((COUNTIF('M211'!C5,"Lab 2")+COUNTIF('M212'!C5,"Lab 2"))&gt;0,1,0)+IF((COUNTIF('M311'!C5,"Lab 2"))&gt;0,1,0)+IF((COUNTIF('M411'!C5,"Lab 2"))&gt;0,1,0)+IF((COUNTIF('D111'!C5,"Lab 2")+COUNTIF('D112'!C5,"Lab 2"))&gt;0,1,0)+IF((COUNTIF('D211'!C5,"Lab 2"))&gt;0,1,0)+IF((COUNTIF('D311'!C5,"Lab 2"))&gt;0,1,0)+IF((COUNTIF('D411'!C5,"Lab 2"))&gt;0,1,0))=0,"",IF((IF((COUNTIF('C111'!C5,"Lab 2")+COUNTIF('C112'!C5,"Lab 2")+COUNTIF('C113'!C5,"Lab 2")+COUNTIF('C121'!C5,"Lab 2")+COUNTIF('C122'!C5,"Lab 2"))&gt;0,1,0)+IF((COUNTIF('C211'!C5,"Lab 2")+COUNTIF('C212'!C5,"Lab 2"))&gt;0,1,0)+IF((COUNTIF('C311'!C5,"Lab 2")+COUNTIF('C312'!C5,"Lab 2"))&gt;0,1,0)+IF((COUNTIF('C411'!C5,"Lab 2")+COUNTIF('C412'!C5,"Lab 2"))&gt;0,1,0)+IF((COUNTIF('M111'!C5,"Lab 2")+COUNTIF('M112'!C5,"Lab 2"))&gt;0,1,0)+IF((COUNTIF('M211'!C5,"Lab 2")+COUNTIF('M212'!C5,"Lab 2"))&gt;0,1,0)+IF((COUNTIF('M311'!C5,"Lab 2"))&gt;0,1,0)+IF((COUNTIF('M411'!C5,"Lab 2"))&gt;0,1,0)+IF((COUNTIF('D111'!C5,"Lab 2")+COUNTIF('D112'!C5,"Lab 2"))&gt;0,1,0)+IF((COUNTIF('D211'!C5,"Lab 2"))&gt;0,1,0)+IF((COUNTIF('D311'!C5,"Lab 2"))&gt;0,1,0)+IF((COUNTIF('D411'!C5,"Lab 2"))&gt;0,1,0))=1,IF((COUNTIF('C111'!C5,"Lab 2")+COUNTIF('C112'!C5,"Lab 2")+COUNTIF('C113'!C5,"Lab 2")+COUNTIF('C121'!C5,"Lab 2")+COUNTIF('C122'!C5,"Lab 2"))&gt;0,"C1",IF((COUNTIF('C211'!C5,"Lab 2")+COUNTIF('C212'!C5,"Lab 2"))&gt;0,"C2",IF((COUNTIF('C311'!C5,"Lab 2")+COUNTIF('C312'!C5,"Lab 2"))&gt;0,"C3",IF((COUNTIF('C411'!C5,"Lab 2")+COUNTIF('C412'!C5,"Lab 2"))&gt;0,"C4",IF((COUNTIF('M111'!C5,"Lab 2")+COUNTIF('M112'!C5,"Lab 2"))&gt;0,"M1",IF((COUNTIF('M211'!C5,"Lab 2")+COUNTIF('M212'!C5,"Lab 2"))&gt;0,"M2",IF((COUNTIF('M311'!C5,"Lab 2"))&gt;0,"M3",IF((COUNTIF('M411'!C5,"Lab 2"))&gt;0,"M4",IF((COUNTIF('D111'!C5,"Lab 2")+COUNTIF('D112'!C5,"Lab 2"))&gt;0,"D1",IF((COUNTIF('D211'!C5,"Lab 2"))&gt;0,"D2",IF((COUNTIF('D311'!C5,"Lab 2"))&gt;0,"D3",IF((COUNTIF('D411'!C5,"Lab 2"))&gt;0,"D4","")))))))))))),"MIX"))</f>
        <v/>
      </c>
    </row>
    <row r="105">
      <c r="C105">
        <f>IF((IF((COUNTIF('C111'!C5,"Salón")+COUNTIF('C112'!C5,"Salón")+COUNTIF('C113'!C5,"Salón")+COUNTIF('C121'!C5,"Salón")+COUNTIF('C122'!C5,"Salón"))&gt;0,1,0)+IF((COUNTIF('C211'!C5,"Salón")+COUNTIF('C212'!C5,"Salón"))&gt;0,1,0)+IF((COUNTIF('C311'!C5,"Salón")+COUNTIF('C312'!C5,"Salón"))&gt;0,1,0)+IF((COUNTIF('C411'!C5,"Salón")+COUNTIF('C412'!C5,"Salón"))&gt;0,1,0)+IF((COUNTIF('M111'!C5,"Salón")+COUNTIF('M112'!C5,"Salón"))&gt;0,1,0)+IF((COUNTIF('M211'!C5,"Salón")+COUNTIF('M212'!C5,"Salón"))&gt;0,1,0)+IF((COUNTIF('M311'!C5,"Salón"))&gt;0,1,0)+IF((COUNTIF('M411'!C5,"Salón"))&gt;0,1,0)+IF((COUNTIF('D111'!C5,"Salón")+COUNTIF('D112'!C5,"Salón"))&gt;0,1,0)+IF((COUNTIF('D211'!C5,"Salón"))&gt;0,1,0)+IF((COUNTIF('D311'!C5,"Salón"))&gt;0,1,0)+IF((COUNTIF('D411'!C5,"Salón"))&gt;0,1,0))=0,"",IF((IF((COUNTIF('C111'!C5,"Salón")+COUNTIF('C112'!C5,"Salón")+COUNTIF('C113'!C5,"Salón")+COUNTIF('C121'!C5,"Salón")+COUNTIF('C122'!C5,"Salón"))&gt;0,1,0)+IF((COUNTIF('C211'!C5,"Salón")+COUNTIF('C212'!C5,"Salón"))&gt;0,1,0)+IF((COUNTIF('C311'!C5,"Salón")+COUNTIF('C312'!C5,"Salón"))&gt;0,1,0)+IF((COUNTIF('C411'!C5,"Salón")+COUNTIF('C412'!C5,"Salón"))&gt;0,1,0)+IF((COUNTIF('M111'!C5,"Salón")+COUNTIF('M112'!C5,"Salón"))&gt;0,1,0)+IF((COUNTIF('M211'!C5,"Salón")+COUNTIF('M212'!C5,"Salón"))&gt;0,1,0)+IF((COUNTIF('M311'!C5,"Salón"))&gt;0,1,0)+IF((COUNTIF('M411'!C5,"Salón"))&gt;0,1,0)+IF((COUNTIF('D111'!C5,"Salón")+COUNTIF('D112'!C5,"Salón"))&gt;0,1,0)+IF((COUNTIF('D211'!C5,"Salón"))&gt;0,1,0)+IF((COUNTIF('D311'!C5,"Salón"))&gt;0,1,0)+IF((COUNTIF('D411'!C5,"Salón"))&gt;0,1,0))=1,IF((COUNTIF('C111'!C5,"Salón")+COUNTIF('C112'!C5,"Salón")+COUNTIF('C113'!C5,"Salón")+COUNTIF('C121'!C5,"Salón")+COUNTIF('C122'!C5,"Salón"))&gt;0,"C1",IF((COUNTIF('C211'!C5,"Salón")+COUNTIF('C212'!C5,"Salón"))&gt;0,"C2",IF((COUNTIF('C311'!C5,"Salón")+COUNTIF('C312'!C5,"Salón"))&gt;0,"C3",IF((COUNTIF('C411'!C5,"Salón")+COUNTIF('C412'!C5,"Salón"))&gt;0,"C4",IF((COUNTIF('M111'!C5,"Salón")+COUNTIF('M112'!C5,"Salón"))&gt;0,"M1",IF((COUNTIF('M211'!C5,"Salón")+COUNTIF('M212'!C5,"Salón"))&gt;0,"M2",IF((COUNTIF('M311'!C5,"Salón"))&gt;0,"M3",IF((COUNTIF('M411'!C5,"Salón"))&gt;0,"M4",IF((COUNTIF('D111'!C5,"Salón")+COUNTIF('D112'!C5,"Salón"))&gt;0,"D1",IF((COUNTIF('D211'!C5,"Salón"))&gt;0,"D2",IF((COUNTIF('D311'!C5,"Salón"))&gt;0,"D3",IF((COUNTIF('D411'!C5,"Salón"))&gt;0,"D4","")))))))))))),"MIX"))</f>
        <v/>
      </c>
    </row>
    <row r="106">
      <c r="C106">
        <f>IF((IF((COUNTIF('C111'!C7,"Aula 1")+COUNTIF('C112'!C7,"Aula 1")+COUNTIF('C113'!C7,"Aula 1")+COUNTIF('C121'!C7,"Aula 1")+COUNTIF('C122'!C7,"Aula 1"))&gt;0,1,0)+IF((COUNTIF('C211'!C7,"Aula 1")+COUNTIF('C212'!C7,"Aula 1"))&gt;0,1,0)+IF((COUNTIF('C311'!C7,"Aula 1")+COUNTIF('C312'!C7,"Aula 1"))&gt;0,1,0)+IF((COUNTIF('C411'!C7,"Aula 1")+COUNTIF('C412'!C7,"Aula 1"))&gt;0,1,0)+IF((COUNTIF('M111'!C7,"Aula 1")+COUNTIF('M112'!C7,"Aula 1"))&gt;0,1,0)+IF((COUNTIF('M211'!C7,"Aula 1")+COUNTIF('M212'!C7,"Aula 1"))&gt;0,1,0)+IF((COUNTIF('M311'!C7,"Aula 1"))&gt;0,1,0)+IF((COUNTIF('M411'!C7,"Aula 1"))&gt;0,1,0)+IF((COUNTIF('D111'!C7,"Aula 1")+COUNTIF('D112'!C7,"Aula 1"))&gt;0,1,0)+IF((COUNTIF('D211'!C7,"Aula 1"))&gt;0,1,0)+IF((COUNTIF('D311'!C7,"Aula 1"))&gt;0,1,0)+IF((COUNTIF('D411'!C7,"Aula 1"))&gt;0,1,0))=0,"",IF((IF((COUNTIF('C111'!C7,"Aula 1")+COUNTIF('C112'!C7,"Aula 1")+COUNTIF('C113'!C7,"Aula 1")+COUNTIF('C121'!C7,"Aula 1")+COUNTIF('C122'!C7,"Aula 1"))&gt;0,1,0)+IF((COUNTIF('C211'!C7,"Aula 1")+COUNTIF('C212'!C7,"Aula 1"))&gt;0,1,0)+IF((COUNTIF('C311'!C7,"Aula 1")+COUNTIF('C312'!C7,"Aula 1"))&gt;0,1,0)+IF((COUNTIF('C411'!C7,"Aula 1")+COUNTIF('C412'!C7,"Aula 1"))&gt;0,1,0)+IF((COUNTIF('M111'!C7,"Aula 1")+COUNTIF('M112'!C7,"Aula 1"))&gt;0,1,0)+IF((COUNTIF('M211'!C7,"Aula 1")+COUNTIF('M212'!C7,"Aula 1"))&gt;0,1,0)+IF((COUNTIF('M311'!C7,"Aula 1"))&gt;0,1,0)+IF((COUNTIF('M411'!C7,"Aula 1"))&gt;0,1,0)+IF((COUNTIF('D111'!C7,"Aula 1")+COUNTIF('D112'!C7,"Aula 1"))&gt;0,1,0)+IF((COUNTIF('D211'!C7,"Aula 1"))&gt;0,1,0)+IF((COUNTIF('D311'!C7,"Aula 1"))&gt;0,1,0)+IF((COUNTIF('D411'!C7,"Aula 1"))&gt;0,1,0))=1,IF((COUNTIF('C111'!C7,"Aula 1")+COUNTIF('C112'!C7,"Aula 1")+COUNTIF('C113'!C7,"Aula 1")+COUNTIF('C121'!C7,"Aula 1")+COUNTIF('C122'!C7,"Aula 1"))&gt;0,"C1",IF((COUNTIF('C211'!C7,"Aula 1")+COUNTIF('C212'!C7,"Aula 1"))&gt;0,"C2",IF((COUNTIF('C311'!C7,"Aula 1")+COUNTIF('C312'!C7,"Aula 1"))&gt;0,"C3",IF((COUNTIF('C411'!C7,"Aula 1")+COUNTIF('C412'!C7,"Aula 1"))&gt;0,"C4",IF((COUNTIF('M111'!C7,"Aula 1")+COUNTIF('M112'!C7,"Aula 1"))&gt;0,"M1",IF((COUNTIF('M211'!C7,"Aula 1")+COUNTIF('M212'!C7,"Aula 1"))&gt;0,"M2",IF((COUNTIF('M311'!C7,"Aula 1"))&gt;0,"M3",IF((COUNTIF('M411'!C7,"Aula 1"))&gt;0,"M4",IF((COUNTIF('D111'!C7,"Aula 1")+COUNTIF('D112'!C7,"Aula 1"))&gt;0,"D1",IF((COUNTIF('D211'!C7,"Aula 1"))&gt;0,"D2",IF((COUNTIF('D311'!C7,"Aula 1"))&gt;0,"D3",IF((COUNTIF('D411'!C7,"Aula 1"))&gt;0,"D4","")))))))))))),"MIX"))</f>
        <v/>
      </c>
    </row>
    <row r="107">
      <c r="C107">
        <f>IF((IF((COUNTIF('C111'!C7,"Aula 2")+COUNTIF('C112'!C7,"Aula 2")+COUNTIF('C113'!C7,"Aula 2")+COUNTIF('C121'!C7,"Aula 2")+COUNTIF('C122'!C7,"Aula 2"))&gt;0,1,0)+IF((COUNTIF('C211'!C7,"Aula 2")+COUNTIF('C212'!C7,"Aula 2"))&gt;0,1,0)+IF((COUNTIF('C311'!C7,"Aula 2")+COUNTIF('C312'!C7,"Aula 2"))&gt;0,1,0)+IF((COUNTIF('C411'!C7,"Aula 2")+COUNTIF('C412'!C7,"Aula 2"))&gt;0,1,0)+IF((COUNTIF('M111'!C7,"Aula 2")+COUNTIF('M112'!C7,"Aula 2"))&gt;0,1,0)+IF((COUNTIF('M211'!C7,"Aula 2")+COUNTIF('M212'!C7,"Aula 2"))&gt;0,1,0)+IF((COUNTIF('M311'!C7,"Aula 2"))&gt;0,1,0)+IF((COUNTIF('M411'!C7,"Aula 2"))&gt;0,1,0)+IF((COUNTIF('D111'!C7,"Aula 2")+COUNTIF('D112'!C7,"Aula 2"))&gt;0,1,0)+IF((COUNTIF('D211'!C7,"Aula 2"))&gt;0,1,0)+IF((COUNTIF('D311'!C7,"Aula 2"))&gt;0,1,0)+IF((COUNTIF('D411'!C7,"Aula 2"))&gt;0,1,0))=0,"",IF((IF((COUNTIF('C111'!C7,"Aula 2")+COUNTIF('C112'!C7,"Aula 2")+COUNTIF('C113'!C7,"Aula 2")+COUNTIF('C121'!C7,"Aula 2")+COUNTIF('C122'!C7,"Aula 2"))&gt;0,1,0)+IF((COUNTIF('C211'!C7,"Aula 2")+COUNTIF('C212'!C7,"Aula 2"))&gt;0,1,0)+IF((COUNTIF('C311'!C7,"Aula 2")+COUNTIF('C312'!C7,"Aula 2"))&gt;0,1,0)+IF((COUNTIF('C411'!C7,"Aula 2")+COUNTIF('C412'!C7,"Aula 2"))&gt;0,1,0)+IF((COUNTIF('M111'!C7,"Aula 2")+COUNTIF('M112'!C7,"Aula 2"))&gt;0,1,0)+IF((COUNTIF('M211'!C7,"Aula 2")+COUNTIF('M212'!C7,"Aula 2"))&gt;0,1,0)+IF((COUNTIF('M311'!C7,"Aula 2"))&gt;0,1,0)+IF((COUNTIF('M411'!C7,"Aula 2"))&gt;0,1,0)+IF((COUNTIF('D111'!C7,"Aula 2")+COUNTIF('D112'!C7,"Aula 2"))&gt;0,1,0)+IF((COUNTIF('D211'!C7,"Aula 2"))&gt;0,1,0)+IF((COUNTIF('D311'!C7,"Aula 2"))&gt;0,1,0)+IF((COUNTIF('D411'!C7,"Aula 2"))&gt;0,1,0))=1,IF((COUNTIF('C111'!C7,"Aula 2")+COUNTIF('C112'!C7,"Aula 2")+COUNTIF('C113'!C7,"Aula 2")+COUNTIF('C121'!C7,"Aula 2")+COUNTIF('C122'!C7,"Aula 2"))&gt;0,"C1",IF((COUNTIF('C211'!C7,"Aula 2")+COUNTIF('C212'!C7,"Aula 2"))&gt;0,"C2",IF((COUNTIF('C311'!C7,"Aula 2")+COUNTIF('C312'!C7,"Aula 2"))&gt;0,"C3",IF((COUNTIF('C411'!C7,"Aula 2")+COUNTIF('C412'!C7,"Aula 2"))&gt;0,"C4",IF((COUNTIF('M111'!C7,"Aula 2")+COUNTIF('M112'!C7,"Aula 2"))&gt;0,"M1",IF((COUNTIF('M211'!C7,"Aula 2")+COUNTIF('M212'!C7,"Aula 2"))&gt;0,"M2",IF((COUNTIF('M311'!C7,"Aula 2"))&gt;0,"M3",IF((COUNTIF('M411'!C7,"Aula 2"))&gt;0,"M4",IF((COUNTIF('D111'!C7,"Aula 2")+COUNTIF('D112'!C7,"Aula 2"))&gt;0,"D1",IF((COUNTIF('D211'!C7,"Aula 2"))&gt;0,"D2",IF((COUNTIF('D311'!C7,"Aula 2"))&gt;0,"D3",IF((COUNTIF('D411'!C7,"Aula 2"))&gt;0,"D4","")))))))))))),"MIX"))</f>
        <v/>
      </c>
    </row>
    <row r="108">
      <c r="C108">
        <f>IF((IF((COUNTIF('C111'!C7,"Aula 3")+COUNTIF('C112'!C7,"Aula 3")+COUNTIF('C113'!C7,"Aula 3")+COUNTIF('C121'!C7,"Aula 3")+COUNTIF('C122'!C7,"Aula 3"))&gt;0,1,0)+IF((COUNTIF('C211'!C7,"Aula 3")+COUNTIF('C212'!C7,"Aula 3"))&gt;0,1,0)+IF((COUNTIF('C311'!C7,"Aula 3")+COUNTIF('C312'!C7,"Aula 3"))&gt;0,1,0)+IF((COUNTIF('C411'!C7,"Aula 3")+COUNTIF('C412'!C7,"Aula 3"))&gt;0,1,0)+IF((COUNTIF('M111'!C7,"Aula 3")+COUNTIF('M112'!C7,"Aula 3"))&gt;0,1,0)+IF((COUNTIF('M211'!C7,"Aula 3")+COUNTIF('M212'!C7,"Aula 3"))&gt;0,1,0)+IF((COUNTIF('M311'!C7,"Aula 3"))&gt;0,1,0)+IF((COUNTIF('M411'!C7,"Aula 3"))&gt;0,1,0)+IF((COUNTIF('D111'!C7,"Aula 3")+COUNTIF('D112'!C7,"Aula 3"))&gt;0,1,0)+IF((COUNTIF('D211'!C7,"Aula 3"))&gt;0,1,0)+IF((COUNTIF('D311'!C7,"Aula 3"))&gt;0,1,0)+IF((COUNTIF('D411'!C7,"Aula 3"))&gt;0,1,0))=0,"",IF((IF((COUNTIF('C111'!C7,"Aula 3")+COUNTIF('C112'!C7,"Aula 3")+COUNTIF('C113'!C7,"Aula 3")+COUNTIF('C121'!C7,"Aula 3")+COUNTIF('C122'!C7,"Aula 3"))&gt;0,1,0)+IF((COUNTIF('C211'!C7,"Aula 3")+COUNTIF('C212'!C7,"Aula 3"))&gt;0,1,0)+IF((COUNTIF('C311'!C7,"Aula 3")+COUNTIF('C312'!C7,"Aula 3"))&gt;0,1,0)+IF((COUNTIF('C411'!C7,"Aula 3")+COUNTIF('C412'!C7,"Aula 3"))&gt;0,1,0)+IF((COUNTIF('M111'!C7,"Aula 3")+COUNTIF('M112'!C7,"Aula 3"))&gt;0,1,0)+IF((COUNTIF('M211'!C7,"Aula 3")+COUNTIF('M212'!C7,"Aula 3"))&gt;0,1,0)+IF((COUNTIF('M311'!C7,"Aula 3"))&gt;0,1,0)+IF((COUNTIF('M411'!C7,"Aula 3"))&gt;0,1,0)+IF((COUNTIF('D111'!C7,"Aula 3")+COUNTIF('D112'!C7,"Aula 3"))&gt;0,1,0)+IF((COUNTIF('D211'!C7,"Aula 3"))&gt;0,1,0)+IF((COUNTIF('D311'!C7,"Aula 3"))&gt;0,1,0)+IF((COUNTIF('D411'!C7,"Aula 3"))&gt;0,1,0))=1,IF((COUNTIF('C111'!C7,"Aula 3")+COUNTIF('C112'!C7,"Aula 3")+COUNTIF('C113'!C7,"Aula 3")+COUNTIF('C121'!C7,"Aula 3")+COUNTIF('C122'!C7,"Aula 3"))&gt;0,"C1",IF((COUNTIF('C211'!C7,"Aula 3")+COUNTIF('C212'!C7,"Aula 3"))&gt;0,"C2",IF((COUNTIF('C311'!C7,"Aula 3")+COUNTIF('C312'!C7,"Aula 3"))&gt;0,"C3",IF((COUNTIF('C411'!C7,"Aula 3")+COUNTIF('C412'!C7,"Aula 3"))&gt;0,"C4",IF((COUNTIF('M111'!C7,"Aula 3")+COUNTIF('M112'!C7,"Aula 3"))&gt;0,"M1",IF((COUNTIF('M211'!C7,"Aula 3")+COUNTIF('M212'!C7,"Aula 3"))&gt;0,"M2",IF((COUNTIF('M311'!C7,"Aula 3"))&gt;0,"M3",IF((COUNTIF('M411'!C7,"Aula 3"))&gt;0,"M4",IF((COUNTIF('D111'!C7,"Aula 3")+COUNTIF('D112'!C7,"Aula 3"))&gt;0,"D1",IF((COUNTIF('D211'!C7,"Aula 3"))&gt;0,"D2",IF((COUNTIF('D311'!C7,"Aula 3"))&gt;0,"D3",IF((COUNTIF('D411'!C7,"Aula 3"))&gt;0,"D4","")))))))))))),"MIX"))</f>
        <v/>
      </c>
    </row>
    <row r="109">
      <c r="C109">
        <f>IF((IF((COUNTIF('C111'!C7,"Aula 4")+COUNTIF('C112'!C7,"Aula 4")+COUNTIF('C113'!C7,"Aula 4")+COUNTIF('C121'!C7,"Aula 4")+COUNTIF('C122'!C7,"Aula 4"))&gt;0,1,0)+IF((COUNTIF('C211'!C7,"Aula 4")+COUNTIF('C212'!C7,"Aula 4"))&gt;0,1,0)+IF((COUNTIF('C311'!C7,"Aula 4")+COUNTIF('C312'!C7,"Aula 4"))&gt;0,1,0)+IF((COUNTIF('C411'!C7,"Aula 4")+COUNTIF('C412'!C7,"Aula 4"))&gt;0,1,0)+IF((COUNTIF('M111'!C7,"Aula 4")+COUNTIF('M112'!C7,"Aula 4"))&gt;0,1,0)+IF((COUNTIF('M211'!C7,"Aula 4")+COUNTIF('M212'!C7,"Aula 4"))&gt;0,1,0)+IF((COUNTIF('M311'!C7,"Aula 4"))&gt;0,1,0)+IF((COUNTIF('M411'!C7,"Aula 4"))&gt;0,1,0)+IF((COUNTIF('D111'!C7,"Aula 4")+COUNTIF('D112'!C7,"Aula 4"))&gt;0,1,0)+IF((COUNTIF('D211'!C7,"Aula 4"))&gt;0,1,0)+IF((COUNTIF('D311'!C7,"Aula 4"))&gt;0,1,0)+IF((COUNTIF('D411'!C7,"Aula 4"))&gt;0,1,0))=0,"",IF((IF((COUNTIF('C111'!C7,"Aula 4")+COUNTIF('C112'!C7,"Aula 4")+COUNTIF('C113'!C7,"Aula 4")+COUNTIF('C121'!C7,"Aula 4")+COUNTIF('C122'!C7,"Aula 4"))&gt;0,1,0)+IF((COUNTIF('C211'!C7,"Aula 4")+COUNTIF('C212'!C7,"Aula 4"))&gt;0,1,0)+IF((COUNTIF('C311'!C7,"Aula 4")+COUNTIF('C312'!C7,"Aula 4"))&gt;0,1,0)+IF((COUNTIF('C411'!C7,"Aula 4")+COUNTIF('C412'!C7,"Aula 4"))&gt;0,1,0)+IF((COUNTIF('M111'!C7,"Aula 4")+COUNTIF('M112'!C7,"Aula 4"))&gt;0,1,0)+IF((COUNTIF('M211'!C7,"Aula 4")+COUNTIF('M212'!C7,"Aula 4"))&gt;0,1,0)+IF((COUNTIF('M311'!C7,"Aula 4"))&gt;0,1,0)+IF((COUNTIF('M411'!C7,"Aula 4"))&gt;0,1,0)+IF((COUNTIF('D111'!C7,"Aula 4")+COUNTIF('D112'!C7,"Aula 4"))&gt;0,1,0)+IF((COUNTIF('D211'!C7,"Aula 4"))&gt;0,1,0)+IF((COUNTIF('D311'!C7,"Aula 4"))&gt;0,1,0)+IF((COUNTIF('D411'!C7,"Aula 4"))&gt;0,1,0))=1,IF((COUNTIF('C111'!C7,"Aula 4")+COUNTIF('C112'!C7,"Aula 4")+COUNTIF('C113'!C7,"Aula 4")+COUNTIF('C121'!C7,"Aula 4")+COUNTIF('C122'!C7,"Aula 4"))&gt;0,"C1",IF((COUNTIF('C211'!C7,"Aula 4")+COUNTIF('C212'!C7,"Aula 4"))&gt;0,"C2",IF((COUNTIF('C311'!C7,"Aula 4")+COUNTIF('C312'!C7,"Aula 4"))&gt;0,"C3",IF((COUNTIF('C411'!C7,"Aula 4")+COUNTIF('C412'!C7,"Aula 4"))&gt;0,"C4",IF((COUNTIF('M111'!C7,"Aula 4")+COUNTIF('M112'!C7,"Aula 4"))&gt;0,"M1",IF((COUNTIF('M211'!C7,"Aula 4")+COUNTIF('M212'!C7,"Aula 4"))&gt;0,"M2",IF((COUNTIF('M311'!C7,"Aula 4"))&gt;0,"M3",IF((COUNTIF('M411'!C7,"Aula 4"))&gt;0,"M4",IF((COUNTIF('D111'!C7,"Aula 4")+COUNTIF('D112'!C7,"Aula 4"))&gt;0,"D1",IF((COUNTIF('D211'!C7,"Aula 4"))&gt;0,"D2",IF((COUNTIF('D311'!C7,"Aula 4"))&gt;0,"D3",IF((COUNTIF('D411'!C7,"Aula 4"))&gt;0,"D4","")))))))))))),"MIX"))</f>
        <v/>
      </c>
    </row>
    <row r="110">
      <c r="C110">
        <f>IF((IF((COUNTIF('C111'!C7,"Aula 5")+COUNTIF('C112'!C7,"Aula 5")+COUNTIF('C113'!C7,"Aula 5")+COUNTIF('C121'!C7,"Aula 5")+COUNTIF('C122'!C7,"Aula 5"))&gt;0,1,0)+IF((COUNTIF('C211'!C7,"Aula 5")+COUNTIF('C212'!C7,"Aula 5"))&gt;0,1,0)+IF((COUNTIF('C311'!C7,"Aula 5")+COUNTIF('C312'!C7,"Aula 5"))&gt;0,1,0)+IF((COUNTIF('C411'!C7,"Aula 5")+COUNTIF('C412'!C7,"Aula 5"))&gt;0,1,0)+IF((COUNTIF('M111'!C7,"Aula 5")+COUNTIF('M112'!C7,"Aula 5"))&gt;0,1,0)+IF((COUNTIF('M211'!C7,"Aula 5")+COUNTIF('M212'!C7,"Aula 5"))&gt;0,1,0)+IF((COUNTIF('M311'!C7,"Aula 5"))&gt;0,1,0)+IF((COUNTIF('M411'!C7,"Aula 5"))&gt;0,1,0)+IF((COUNTIF('D111'!C7,"Aula 5")+COUNTIF('D112'!C7,"Aula 5"))&gt;0,1,0)+IF((COUNTIF('D211'!C7,"Aula 5"))&gt;0,1,0)+IF((COUNTIF('D311'!C7,"Aula 5"))&gt;0,1,0)+IF((COUNTIF('D411'!C7,"Aula 5"))&gt;0,1,0))=0,"",IF((IF((COUNTIF('C111'!C7,"Aula 5")+COUNTIF('C112'!C7,"Aula 5")+COUNTIF('C113'!C7,"Aula 5")+COUNTIF('C121'!C7,"Aula 5")+COUNTIF('C122'!C7,"Aula 5"))&gt;0,1,0)+IF((COUNTIF('C211'!C7,"Aula 5")+COUNTIF('C212'!C7,"Aula 5"))&gt;0,1,0)+IF((COUNTIF('C311'!C7,"Aula 5")+COUNTIF('C312'!C7,"Aula 5"))&gt;0,1,0)+IF((COUNTIF('C411'!C7,"Aula 5")+COUNTIF('C412'!C7,"Aula 5"))&gt;0,1,0)+IF((COUNTIF('M111'!C7,"Aula 5")+COUNTIF('M112'!C7,"Aula 5"))&gt;0,1,0)+IF((COUNTIF('M211'!C7,"Aula 5")+COUNTIF('M212'!C7,"Aula 5"))&gt;0,1,0)+IF((COUNTIF('M311'!C7,"Aula 5"))&gt;0,1,0)+IF((COUNTIF('M411'!C7,"Aula 5"))&gt;0,1,0)+IF((COUNTIF('D111'!C7,"Aula 5")+COUNTIF('D112'!C7,"Aula 5"))&gt;0,1,0)+IF((COUNTIF('D211'!C7,"Aula 5"))&gt;0,1,0)+IF((COUNTIF('D311'!C7,"Aula 5"))&gt;0,1,0)+IF((COUNTIF('D411'!C7,"Aula 5"))&gt;0,1,0))=1,IF((COUNTIF('C111'!C7,"Aula 5")+COUNTIF('C112'!C7,"Aula 5")+COUNTIF('C113'!C7,"Aula 5")+COUNTIF('C121'!C7,"Aula 5")+COUNTIF('C122'!C7,"Aula 5"))&gt;0,"C1",IF((COUNTIF('C211'!C7,"Aula 5")+COUNTIF('C212'!C7,"Aula 5"))&gt;0,"C2",IF((COUNTIF('C311'!C7,"Aula 5")+COUNTIF('C312'!C7,"Aula 5"))&gt;0,"C3",IF((COUNTIF('C411'!C7,"Aula 5")+COUNTIF('C412'!C7,"Aula 5"))&gt;0,"C4",IF((COUNTIF('M111'!C7,"Aula 5")+COUNTIF('M112'!C7,"Aula 5"))&gt;0,"M1",IF((COUNTIF('M211'!C7,"Aula 5")+COUNTIF('M212'!C7,"Aula 5"))&gt;0,"M2",IF((COUNTIF('M311'!C7,"Aula 5"))&gt;0,"M3",IF((COUNTIF('M411'!C7,"Aula 5"))&gt;0,"M4",IF((COUNTIF('D111'!C7,"Aula 5")+COUNTIF('D112'!C7,"Aula 5"))&gt;0,"D1",IF((COUNTIF('D211'!C7,"Aula 5"))&gt;0,"D2",IF((COUNTIF('D311'!C7,"Aula 5"))&gt;0,"D3",IF((COUNTIF('D411'!C7,"Aula 5"))&gt;0,"D4","")))))))))))),"MIX"))</f>
        <v/>
      </c>
    </row>
    <row r="111">
      <c r="C111">
        <f>IF((IF((COUNTIF('C111'!C7,"Aula 6")+COUNTIF('C112'!C7,"Aula 6")+COUNTIF('C113'!C7,"Aula 6")+COUNTIF('C121'!C7,"Aula 6")+COUNTIF('C122'!C7,"Aula 6"))&gt;0,1,0)+IF((COUNTIF('C211'!C7,"Aula 6")+COUNTIF('C212'!C7,"Aula 6"))&gt;0,1,0)+IF((COUNTIF('C311'!C7,"Aula 6")+COUNTIF('C312'!C7,"Aula 6"))&gt;0,1,0)+IF((COUNTIF('C411'!C7,"Aula 6")+COUNTIF('C412'!C7,"Aula 6"))&gt;0,1,0)+IF((COUNTIF('M111'!C7,"Aula 6")+COUNTIF('M112'!C7,"Aula 6"))&gt;0,1,0)+IF((COUNTIF('M211'!C7,"Aula 6")+COUNTIF('M212'!C7,"Aula 6"))&gt;0,1,0)+IF((COUNTIF('M311'!C7,"Aula 6"))&gt;0,1,0)+IF((COUNTIF('M411'!C7,"Aula 6"))&gt;0,1,0)+IF((COUNTIF('D111'!C7,"Aula 6")+COUNTIF('D112'!C7,"Aula 6"))&gt;0,1,0)+IF((COUNTIF('D211'!C7,"Aula 6"))&gt;0,1,0)+IF((COUNTIF('D311'!C7,"Aula 6"))&gt;0,1,0)+IF((COUNTIF('D411'!C7,"Aula 6"))&gt;0,1,0))=0,"",IF((IF((COUNTIF('C111'!C7,"Aula 6")+COUNTIF('C112'!C7,"Aula 6")+COUNTIF('C113'!C7,"Aula 6")+COUNTIF('C121'!C7,"Aula 6")+COUNTIF('C122'!C7,"Aula 6"))&gt;0,1,0)+IF((COUNTIF('C211'!C7,"Aula 6")+COUNTIF('C212'!C7,"Aula 6"))&gt;0,1,0)+IF((COUNTIF('C311'!C7,"Aula 6")+COUNTIF('C312'!C7,"Aula 6"))&gt;0,1,0)+IF((COUNTIF('C411'!C7,"Aula 6")+COUNTIF('C412'!C7,"Aula 6"))&gt;0,1,0)+IF((COUNTIF('M111'!C7,"Aula 6")+COUNTIF('M112'!C7,"Aula 6"))&gt;0,1,0)+IF((COUNTIF('M211'!C7,"Aula 6")+COUNTIF('M212'!C7,"Aula 6"))&gt;0,1,0)+IF((COUNTIF('M311'!C7,"Aula 6"))&gt;0,1,0)+IF((COUNTIF('M411'!C7,"Aula 6"))&gt;0,1,0)+IF((COUNTIF('D111'!C7,"Aula 6")+COUNTIF('D112'!C7,"Aula 6"))&gt;0,1,0)+IF((COUNTIF('D211'!C7,"Aula 6"))&gt;0,1,0)+IF((COUNTIF('D311'!C7,"Aula 6"))&gt;0,1,0)+IF((COUNTIF('D411'!C7,"Aula 6"))&gt;0,1,0))=1,IF((COUNTIF('C111'!C7,"Aula 6")+COUNTIF('C112'!C7,"Aula 6")+COUNTIF('C113'!C7,"Aula 6")+COUNTIF('C121'!C7,"Aula 6")+COUNTIF('C122'!C7,"Aula 6"))&gt;0,"C1",IF((COUNTIF('C211'!C7,"Aula 6")+COUNTIF('C212'!C7,"Aula 6"))&gt;0,"C2",IF((COUNTIF('C311'!C7,"Aula 6")+COUNTIF('C312'!C7,"Aula 6"))&gt;0,"C3",IF((COUNTIF('C411'!C7,"Aula 6")+COUNTIF('C412'!C7,"Aula 6"))&gt;0,"C4",IF((COUNTIF('M111'!C7,"Aula 6")+COUNTIF('M112'!C7,"Aula 6"))&gt;0,"M1",IF((COUNTIF('M211'!C7,"Aula 6")+COUNTIF('M212'!C7,"Aula 6"))&gt;0,"M2",IF((COUNTIF('M311'!C7,"Aula 6"))&gt;0,"M3",IF((COUNTIF('M411'!C7,"Aula 6"))&gt;0,"M4",IF((COUNTIF('D111'!C7,"Aula 6")+COUNTIF('D112'!C7,"Aula 6"))&gt;0,"D1",IF((COUNTIF('D211'!C7,"Aula 6"))&gt;0,"D2",IF((COUNTIF('D311'!C7,"Aula 6"))&gt;0,"D3",IF((COUNTIF('D411'!C7,"Aula 6"))&gt;0,"D4","")))))))))))),"MIX"))</f>
        <v/>
      </c>
    </row>
    <row r="112">
      <c r="C112">
        <f>IF((IF((COUNTIF('C111'!C7,"Aula 7")+COUNTIF('C112'!C7,"Aula 7")+COUNTIF('C113'!C7,"Aula 7")+COUNTIF('C121'!C7,"Aula 7")+COUNTIF('C122'!C7,"Aula 7"))&gt;0,1,0)+IF((COUNTIF('C211'!C7,"Aula 7")+COUNTIF('C212'!C7,"Aula 7"))&gt;0,1,0)+IF((COUNTIF('C311'!C7,"Aula 7")+COUNTIF('C312'!C7,"Aula 7"))&gt;0,1,0)+IF((COUNTIF('C411'!C7,"Aula 7")+COUNTIF('C412'!C7,"Aula 7"))&gt;0,1,0)+IF((COUNTIF('M111'!C7,"Aula 7")+COUNTIF('M112'!C7,"Aula 7"))&gt;0,1,0)+IF((COUNTIF('M211'!C7,"Aula 7")+COUNTIF('M212'!C7,"Aula 7"))&gt;0,1,0)+IF((COUNTIF('M311'!C7,"Aula 7"))&gt;0,1,0)+IF((COUNTIF('M411'!C7,"Aula 7"))&gt;0,1,0)+IF((COUNTIF('D111'!C7,"Aula 7")+COUNTIF('D112'!C7,"Aula 7"))&gt;0,1,0)+IF((COUNTIF('D211'!C7,"Aula 7"))&gt;0,1,0)+IF((COUNTIF('D311'!C7,"Aula 7"))&gt;0,1,0)+IF((COUNTIF('D411'!C7,"Aula 7"))&gt;0,1,0))=0,"",IF((IF((COUNTIF('C111'!C7,"Aula 7")+COUNTIF('C112'!C7,"Aula 7")+COUNTIF('C113'!C7,"Aula 7")+COUNTIF('C121'!C7,"Aula 7")+COUNTIF('C122'!C7,"Aula 7"))&gt;0,1,0)+IF((COUNTIF('C211'!C7,"Aula 7")+COUNTIF('C212'!C7,"Aula 7"))&gt;0,1,0)+IF((COUNTIF('C311'!C7,"Aula 7")+COUNTIF('C312'!C7,"Aula 7"))&gt;0,1,0)+IF((COUNTIF('C411'!C7,"Aula 7")+COUNTIF('C412'!C7,"Aula 7"))&gt;0,1,0)+IF((COUNTIF('M111'!C7,"Aula 7")+COUNTIF('M112'!C7,"Aula 7"))&gt;0,1,0)+IF((COUNTIF('M211'!C7,"Aula 7")+COUNTIF('M212'!C7,"Aula 7"))&gt;0,1,0)+IF((COUNTIF('M311'!C7,"Aula 7"))&gt;0,1,0)+IF((COUNTIF('M411'!C7,"Aula 7"))&gt;0,1,0)+IF((COUNTIF('D111'!C7,"Aula 7")+COUNTIF('D112'!C7,"Aula 7"))&gt;0,1,0)+IF((COUNTIF('D211'!C7,"Aula 7"))&gt;0,1,0)+IF((COUNTIF('D311'!C7,"Aula 7"))&gt;0,1,0)+IF((COUNTIF('D411'!C7,"Aula 7"))&gt;0,1,0))=1,IF((COUNTIF('C111'!C7,"Aula 7")+COUNTIF('C112'!C7,"Aula 7")+COUNTIF('C113'!C7,"Aula 7")+COUNTIF('C121'!C7,"Aula 7")+COUNTIF('C122'!C7,"Aula 7"))&gt;0,"C1",IF((COUNTIF('C211'!C7,"Aula 7")+COUNTIF('C212'!C7,"Aula 7"))&gt;0,"C2",IF((COUNTIF('C311'!C7,"Aula 7")+COUNTIF('C312'!C7,"Aula 7"))&gt;0,"C3",IF((COUNTIF('C411'!C7,"Aula 7")+COUNTIF('C412'!C7,"Aula 7"))&gt;0,"C4",IF((COUNTIF('M111'!C7,"Aula 7")+COUNTIF('M112'!C7,"Aula 7"))&gt;0,"M1",IF((COUNTIF('M211'!C7,"Aula 7")+COUNTIF('M212'!C7,"Aula 7"))&gt;0,"M2",IF((COUNTIF('M311'!C7,"Aula 7"))&gt;0,"M3",IF((COUNTIF('M411'!C7,"Aula 7"))&gt;0,"M4",IF((COUNTIF('D111'!C7,"Aula 7")+COUNTIF('D112'!C7,"Aula 7"))&gt;0,"D1",IF((COUNTIF('D211'!C7,"Aula 7"))&gt;0,"D2",IF((COUNTIF('D311'!C7,"Aula 7"))&gt;0,"D3",IF((COUNTIF('D411'!C7,"Aula 7"))&gt;0,"D4","")))))))))))),"MIX"))</f>
        <v/>
      </c>
    </row>
    <row r="113">
      <c r="C113">
        <f>IF((IF((COUNTIF('C111'!C7,"Aula 8")+COUNTIF('C112'!C7,"Aula 8")+COUNTIF('C113'!C7,"Aula 8")+COUNTIF('C121'!C7,"Aula 8")+COUNTIF('C122'!C7,"Aula 8"))&gt;0,1,0)+IF((COUNTIF('C211'!C7,"Aula 8")+COUNTIF('C212'!C7,"Aula 8"))&gt;0,1,0)+IF((COUNTIF('C311'!C7,"Aula 8")+COUNTIF('C312'!C7,"Aula 8"))&gt;0,1,0)+IF((COUNTIF('C411'!C7,"Aula 8")+COUNTIF('C412'!C7,"Aula 8"))&gt;0,1,0)+IF((COUNTIF('M111'!C7,"Aula 8")+COUNTIF('M112'!C7,"Aula 8"))&gt;0,1,0)+IF((COUNTIF('M211'!C7,"Aula 8")+COUNTIF('M212'!C7,"Aula 8"))&gt;0,1,0)+IF((COUNTIF('M311'!C7,"Aula 8"))&gt;0,1,0)+IF((COUNTIF('M411'!C7,"Aula 8"))&gt;0,1,0)+IF((COUNTIF('D111'!C7,"Aula 8")+COUNTIF('D112'!C7,"Aula 8"))&gt;0,1,0)+IF((COUNTIF('D211'!C7,"Aula 8"))&gt;0,1,0)+IF((COUNTIF('D311'!C7,"Aula 8"))&gt;0,1,0)+IF((COUNTIF('D411'!C7,"Aula 8"))&gt;0,1,0))=0,"",IF((IF((COUNTIF('C111'!C7,"Aula 8")+COUNTIF('C112'!C7,"Aula 8")+COUNTIF('C113'!C7,"Aula 8")+COUNTIF('C121'!C7,"Aula 8")+COUNTIF('C122'!C7,"Aula 8"))&gt;0,1,0)+IF((COUNTIF('C211'!C7,"Aula 8")+COUNTIF('C212'!C7,"Aula 8"))&gt;0,1,0)+IF((COUNTIF('C311'!C7,"Aula 8")+COUNTIF('C312'!C7,"Aula 8"))&gt;0,1,0)+IF((COUNTIF('C411'!C7,"Aula 8")+COUNTIF('C412'!C7,"Aula 8"))&gt;0,1,0)+IF((COUNTIF('M111'!C7,"Aula 8")+COUNTIF('M112'!C7,"Aula 8"))&gt;0,1,0)+IF((COUNTIF('M211'!C7,"Aula 8")+COUNTIF('M212'!C7,"Aula 8"))&gt;0,1,0)+IF((COUNTIF('M311'!C7,"Aula 8"))&gt;0,1,0)+IF((COUNTIF('M411'!C7,"Aula 8"))&gt;0,1,0)+IF((COUNTIF('D111'!C7,"Aula 8")+COUNTIF('D112'!C7,"Aula 8"))&gt;0,1,0)+IF((COUNTIF('D211'!C7,"Aula 8"))&gt;0,1,0)+IF((COUNTIF('D311'!C7,"Aula 8"))&gt;0,1,0)+IF((COUNTIF('D411'!C7,"Aula 8"))&gt;0,1,0))=1,IF((COUNTIF('C111'!C7,"Aula 8")+COUNTIF('C112'!C7,"Aula 8")+COUNTIF('C113'!C7,"Aula 8")+COUNTIF('C121'!C7,"Aula 8")+COUNTIF('C122'!C7,"Aula 8"))&gt;0,"C1",IF((COUNTIF('C211'!C7,"Aula 8")+COUNTIF('C212'!C7,"Aula 8"))&gt;0,"C2",IF((COUNTIF('C311'!C7,"Aula 8")+COUNTIF('C312'!C7,"Aula 8"))&gt;0,"C3",IF((COUNTIF('C411'!C7,"Aula 8")+COUNTIF('C412'!C7,"Aula 8"))&gt;0,"C4",IF((COUNTIF('M111'!C7,"Aula 8")+COUNTIF('M112'!C7,"Aula 8"))&gt;0,"M1",IF((COUNTIF('M211'!C7,"Aula 8")+COUNTIF('M212'!C7,"Aula 8"))&gt;0,"M2",IF((COUNTIF('M311'!C7,"Aula 8"))&gt;0,"M3",IF((COUNTIF('M411'!C7,"Aula 8"))&gt;0,"M4",IF((COUNTIF('D111'!C7,"Aula 8")+COUNTIF('D112'!C7,"Aula 8"))&gt;0,"D1",IF((COUNTIF('D211'!C7,"Aula 8"))&gt;0,"D2",IF((COUNTIF('D311'!C7,"Aula 8"))&gt;0,"D3",IF((COUNTIF('D411'!C7,"Aula 8"))&gt;0,"D4","")))))))))))),"MIX"))</f>
        <v/>
      </c>
    </row>
    <row r="114">
      <c r="C114">
        <f>IF((IF((COUNTIF('C111'!C7,"Aula 9")+COUNTIF('C112'!C7,"Aula 9")+COUNTIF('C113'!C7,"Aula 9")+COUNTIF('C121'!C7,"Aula 9")+COUNTIF('C122'!C7,"Aula 9"))&gt;0,1,0)+IF((COUNTIF('C211'!C7,"Aula 9")+COUNTIF('C212'!C7,"Aula 9"))&gt;0,1,0)+IF((COUNTIF('C311'!C7,"Aula 9")+COUNTIF('C312'!C7,"Aula 9"))&gt;0,1,0)+IF((COUNTIF('C411'!C7,"Aula 9")+COUNTIF('C412'!C7,"Aula 9"))&gt;0,1,0)+IF((COUNTIF('M111'!C7,"Aula 9")+COUNTIF('M112'!C7,"Aula 9"))&gt;0,1,0)+IF((COUNTIF('M211'!C7,"Aula 9")+COUNTIF('M212'!C7,"Aula 9"))&gt;0,1,0)+IF((COUNTIF('M311'!C7,"Aula 9"))&gt;0,1,0)+IF((COUNTIF('M411'!C7,"Aula 9"))&gt;0,1,0)+IF((COUNTIF('D111'!C7,"Aula 9")+COUNTIF('D112'!C7,"Aula 9"))&gt;0,1,0)+IF((COUNTIF('D211'!C7,"Aula 9"))&gt;0,1,0)+IF((COUNTIF('D311'!C7,"Aula 9"))&gt;0,1,0)+IF((COUNTIF('D411'!C7,"Aula 9"))&gt;0,1,0))=0,"",IF((IF((COUNTIF('C111'!C7,"Aula 9")+COUNTIF('C112'!C7,"Aula 9")+COUNTIF('C113'!C7,"Aula 9")+COUNTIF('C121'!C7,"Aula 9")+COUNTIF('C122'!C7,"Aula 9"))&gt;0,1,0)+IF((COUNTIF('C211'!C7,"Aula 9")+COUNTIF('C212'!C7,"Aula 9"))&gt;0,1,0)+IF((COUNTIF('C311'!C7,"Aula 9")+COUNTIF('C312'!C7,"Aula 9"))&gt;0,1,0)+IF((COUNTIF('C411'!C7,"Aula 9")+COUNTIF('C412'!C7,"Aula 9"))&gt;0,1,0)+IF((COUNTIF('M111'!C7,"Aula 9")+COUNTIF('M112'!C7,"Aula 9"))&gt;0,1,0)+IF((COUNTIF('M211'!C7,"Aula 9")+COUNTIF('M212'!C7,"Aula 9"))&gt;0,1,0)+IF((COUNTIF('M311'!C7,"Aula 9"))&gt;0,1,0)+IF((COUNTIF('M411'!C7,"Aula 9"))&gt;0,1,0)+IF((COUNTIF('D111'!C7,"Aula 9")+COUNTIF('D112'!C7,"Aula 9"))&gt;0,1,0)+IF((COUNTIF('D211'!C7,"Aula 9"))&gt;0,1,0)+IF((COUNTIF('D311'!C7,"Aula 9"))&gt;0,1,0)+IF((COUNTIF('D411'!C7,"Aula 9"))&gt;0,1,0))=1,IF((COUNTIF('C111'!C7,"Aula 9")+COUNTIF('C112'!C7,"Aula 9")+COUNTIF('C113'!C7,"Aula 9")+COUNTIF('C121'!C7,"Aula 9")+COUNTIF('C122'!C7,"Aula 9"))&gt;0,"C1",IF((COUNTIF('C211'!C7,"Aula 9")+COUNTIF('C212'!C7,"Aula 9"))&gt;0,"C2",IF((COUNTIF('C311'!C7,"Aula 9")+COUNTIF('C312'!C7,"Aula 9"))&gt;0,"C3",IF((COUNTIF('C411'!C7,"Aula 9")+COUNTIF('C412'!C7,"Aula 9"))&gt;0,"C4",IF((COUNTIF('M111'!C7,"Aula 9")+COUNTIF('M112'!C7,"Aula 9"))&gt;0,"M1",IF((COUNTIF('M211'!C7,"Aula 9")+COUNTIF('M212'!C7,"Aula 9"))&gt;0,"M2",IF((COUNTIF('M311'!C7,"Aula 9"))&gt;0,"M3",IF((COUNTIF('M411'!C7,"Aula 9"))&gt;0,"M4",IF((COUNTIF('D111'!C7,"Aula 9")+COUNTIF('D112'!C7,"Aula 9"))&gt;0,"D1",IF((COUNTIF('D211'!C7,"Aula 9"))&gt;0,"D2",IF((COUNTIF('D311'!C7,"Aula 9"))&gt;0,"D3",IF((COUNTIF('D411'!C7,"Aula 9"))&gt;0,"D4","")))))))))))),"MIX"))</f>
        <v/>
      </c>
    </row>
    <row r="115">
      <c r="C115">
        <f>IF((IF((COUNTIF('C111'!C7,"Aula 10")+COUNTIF('C112'!C7,"Aula 10")+COUNTIF('C113'!C7,"Aula 10")+COUNTIF('C121'!C7,"Aula 10")+COUNTIF('C122'!C7,"Aula 10"))&gt;0,1,0)+IF((COUNTIF('C211'!C7,"Aula 10")+COUNTIF('C212'!C7,"Aula 10"))&gt;0,1,0)+IF((COUNTIF('C311'!C7,"Aula 10")+COUNTIF('C312'!C7,"Aula 10"))&gt;0,1,0)+IF((COUNTIF('C411'!C7,"Aula 10")+COUNTIF('C412'!C7,"Aula 10"))&gt;0,1,0)+IF((COUNTIF('M111'!C7,"Aula 10")+COUNTIF('M112'!C7,"Aula 10"))&gt;0,1,0)+IF((COUNTIF('M211'!C7,"Aula 10")+COUNTIF('M212'!C7,"Aula 10"))&gt;0,1,0)+IF((COUNTIF('M311'!C7,"Aula 10"))&gt;0,1,0)+IF((COUNTIF('M411'!C7,"Aula 10"))&gt;0,1,0)+IF((COUNTIF('D111'!C7,"Aula 10")+COUNTIF('D112'!C7,"Aula 10"))&gt;0,1,0)+IF((COUNTIF('D211'!C7,"Aula 10"))&gt;0,1,0)+IF((COUNTIF('D311'!C7,"Aula 10"))&gt;0,1,0)+IF((COUNTIF('D411'!C7,"Aula 10"))&gt;0,1,0))=0,"",IF((IF((COUNTIF('C111'!C7,"Aula 10")+COUNTIF('C112'!C7,"Aula 10")+COUNTIF('C113'!C7,"Aula 10")+COUNTIF('C121'!C7,"Aula 10")+COUNTIF('C122'!C7,"Aula 10"))&gt;0,1,0)+IF((COUNTIF('C211'!C7,"Aula 10")+COUNTIF('C212'!C7,"Aula 10"))&gt;0,1,0)+IF((COUNTIF('C311'!C7,"Aula 10")+COUNTIF('C312'!C7,"Aula 10"))&gt;0,1,0)+IF((COUNTIF('C411'!C7,"Aula 10")+COUNTIF('C412'!C7,"Aula 10"))&gt;0,1,0)+IF((COUNTIF('M111'!C7,"Aula 10")+COUNTIF('M112'!C7,"Aula 10"))&gt;0,1,0)+IF((COUNTIF('M211'!C7,"Aula 10")+COUNTIF('M212'!C7,"Aula 10"))&gt;0,1,0)+IF((COUNTIF('M311'!C7,"Aula 10"))&gt;0,1,0)+IF((COUNTIF('M411'!C7,"Aula 10"))&gt;0,1,0)+IF((COUNTIF('D111'!C7,"Aula 10")+COUNTIF('D112'!C7,"Aula 10"))&gt;0,1,0)+IF((COUNTIF('D211'!C7,"Aula 10"))&gt;0,1,0)+IF((COUNTIF('D311'!C7,"Aula 10"))&gt;0,1,0)+IF((COUNTIF('D411'!C7,"Aula 10"))&gt;0,1,0))=1,IF((COUNTIF('C111'!C7,"Aula 10")+COUNTIF('C112'!C7,"Aula 10")+COUNTIF('C113'!C7,"Aula 10")+COUNTIF('C121'!C7,"Aula 10")+COUNTIF('C122'!C7,"Aula 10"))&gt;0,"C1",IF((COUNTIF('C211'!C7,"Aula 10")+COUNTIF('C212'!C7,"Aula 10"))&gt;0,"C2",IF((COUNTIF('C311'!C7,"Aula 10")+COUNTIF('C312'!C7,"Aula 10"))&gt;0,"C3",IF((COUNTIF('C411'!C7,"Aula 10")+COUNTIF('C412'!C7,"Aula 10"))&gt;0,"C4",IF((COUNTIF('M111'!C7,"Aula 10")+COUNTIF('M112'!C7,"Aula 10"))&gt;0,"M1",IF((COUNTIF('M211'!C7,"Aula 10")+COUNTIF('M212'!C7,"Aula 10"))&gt;0,"M2",IF((COUNTIF('M311'!C7,"Aula 10"))&gt;0,"M3",IF((COUNTIF('M411'!C7,"Aula 10"))&gt;0,"M4",IF((COUNTIF('D111'!C7,"Aula 10")+COUNTIF('D112'!C7,"Aula 10"))&gt;0,"D1",IF((COUNTIF('D211'!C7,"Aula 10"))&gt;0,"D2",IF((COUNTIF('D311'!C7,"Aula 10"))&gt;0,"D3",IF((COUNTIF('D411'!C7,"Aula 10"))&gt;0,"D4","")))))))))))),"MIX"))</f>
        <v/>
      </c>
    </row>
    <row r="116">
      <c r="C116">
        <f>IF((IF((COUNTIF('C111'!C7,"Aula 11")+COUNTIF('C112'!C7,"Aula 11")+COUNTIF('C113'!C7,"Aula 11")+COUNTIF('C121'!C7,"Aula 11")+COUNTIF('C122'!C7,"Aula 11"))&gt;0,1,0)+IF((COUNTIF('C211'!C7,"Aula 11")+COUNTIF('C212'!C7,"Aula 11"))&gt;0,1,0)+IF((COUNTIF('C311'!C7,"Aula 11")+COUNTIF('C312'!C7,"Aula 11"))&gt;0,1,0)+IF((COUNTIF('C411'!C7,"Aula 11")+COUNTIF('C412'!C7,"Aula 11"))&gt;0,1,0)+IF((COUNTIF('M111'!C7,"Aula 11")+COUNTIF('M112'!C7,"Aula 11"))&gt;0,1,0)+IF((COUNTIF('M211'!C7,"Aula 11")+COUNTIF('M212'!C7,"Aula 11"))&gt;0,1,0)+IF((COUNTIF('M311'!C7,"Aula 11"))&gt;0,1,0)+IF((COUNTIF('M411'!C7,"Aula 11"))&gt;0,1,0)+IF((COUNTIF('D111'!C7,"Aula 11")+COUNTIF('D112'!C7,"Aula 11"))&gt;0,1,0)+IF((COUNTIF('D211'!C7,"Aula 11"))&gt;0,1,0)+IF((COUNTIF('D311'!C7,"Aula 11"))&gt;0,1,0)+IF((COUNTIF('D411'!C7,"Aula 11"))&gt;0,1,0))=0,"",IF((IF((COUNTIF('C111'!C7,"Aula 11")+COUNTIF('C112'!C7,"Aula 11")+COUNTIF('C113'!C7,"Aula 11")+COUNTIF('C121'!C7,"Aula 11")+COUNTIF('C122'!C7,"Aula 11"))&gt;0,1,0)+IF((COUNTIF('C211'!C7,"Aula 11")+COUNTIF('C212'!C7,"Aula 11"))&gt;0,1,0)+IF((COUNTIF('C311'!C7,"Aula 11")+COUNTIF('C312'!C7,"Aula 11"))&gt;0,1,0)+IF((COUNTIF('C411'!C7,"Aula 11")+COUNTIF('C412'!C7,"Aula 11"))&gt;0,1,0)+IF((COUNTIF('M111'!C7,"Aula 11")+COUNTIF('M112'!C7,"Aula 11"))&gt;0,1,0)+IF((COUNTIF('M211'!C7,"Aula 11")+COUNTIF('M212'!C7,"Aula 11"))&gt;0,1,0)+IF((COUNTIF('M311'!C7,"Aula 11"))&gt;0,1,0)+IF((COUNTIF('M411'!C7,"Aula 11"))&gt;0,1,0)+IF((COUNTIF('D111'!C7,"Aula 11")+COUNTIF('D112'!C7,"Aula 11"))&gt;0,1,0)+IF((COUNTIF('D211'!C7,"Aula 11"))&gt;0,1,0)+IF((COUNTIF('D311'!C7,"Aula 11"))&gt;0,1,0)+IF((COUNTIF('D411'!C7,"Aula 11"))&gt;0,1,0))=1,IF((COUNTIF('C111'!C7,"Aula 11")+COUNTIF('C112'!C7,"Aula 11")+COUNTIF('C113'!C7,"Aula 11")+COUNTIF('C121'!C7,"Aula 11")+COUNTIF('C122'!C7,"Aula 11"))&gt;0,"C1",IF((COUNTIF('C211'!C7,"Aula 11")+COUNTIF('C212'!C7,"Aula 11"))&gt;0,"C2",IF((COUNTIF('C311'!C7,"Aula 11")+COUNTIF('C312'!C7,"Aula 11"))&gt;0,"C3",IF((COUNTIF('C411'!C7,"Aula 11")+COUNTIF('C412'!C7,"Aula 11"))&gt;0,"C4",IF((COUNTIF('M111'!C7,"Aula 11")+COUNTIF('M112'!C7,"Aula 11"))&gt;0,"M1",IF((COUNTIF('M211'!C7,"Aula 11")+COUNTIF('M212'!C7,"Aula 11"))&gt;0,"M2",IF((COUNTIF('M311'!C7,"Aula 11"))&gt;0,"M3",IF((COUNTIF('M411'!C7,"Aula 11"))&gt;0,"M4",IF((COUNTIF('D111'!C7,"Aula 11")+COUNTIF('D112'!C7,"Aula 11"))&gt;0,"D1",IF((COUNTIF('D211'!C7,"Aula 11"))&gt;0,"D2",IF((COUNTIF('D311'!C7,"Aula 11"))&gt;0,"D3",IF((COUNTIF('D411'!C7,"Aula 11"))&gt;0,"D4","")))))))))))),"MIX"))</f>
        <v/>
      </c>
    </row>
    <row r="117">
      <c r="C117">
        <f>IF((IF((COUNTIF('C111'!C7,"Aula 12")+COUNTIF('C112'!C7,"Aula 12")+COUNTIF('C113'!C7,"Aula 12")+COUNTIF('C121'!C7,"Aula 12")+COUNTIF('C122'!C7,"Aula 12"))&gt;0,1,0)+IF((COUNTIF('C211'!C7,"Aula 12")+COUNTIF('C212'!C7,"Aula 12"))&gt;0,1,0)+IF((COUNTIF('C311'!C7,"Aula 12")+COUNTIF('C312'!C7,"Aula 12"))&gt;0,1,0)+IF((COUNTIF('C411'!C7,"Aula 12")+COUNTIF('C412'!C7,"Aula 12"))&gt;0,1,0)+IF((COUNTIF('M111'!C7,"Aula 12")+COUNTIF('M112'!C7,"Aula 12"))&gt;0,1,0)+IF((COUNTIF('M211'!C7,"Aula 12")+COUNTIF('M212'!C7,"Aula 12"))&gt;0,1,0)+IF((COUNTIF('M311'!C7,"Aula 12"))&gt;0,1,0)+IF((COUNTIF('M411'!C7,"Aula 12"))&gt;0,1,0)+IF((COUNTIF('D111'!C7,"Aula 12")+COUNTIF('D112'!C7,"Aula 12"))&gt;0,1,0)+IF((COUNTIF('D211'!C7,"Aula 12"))&gt;0,1,0)+IF((COUNTIF('D311'!C7,"Aula 12"))&gt;0,1,0)+IF((COUNTIF('D411'!C7,"Aula 12"))&gt;0,1,0))=0,"",IF((IF((COUNTIF('C111'!C7,"Aula 12")+COUNTIF('C112'!C7,"Aula 12")+COUNTIF('C113'!C7,"Aula 12")+COUNTIF('C121'!C7,"Aula 12")+COUNTIF('C122'!C7,"Aula 12"))&gt;0,1,0)+IF((COUNTIF('C211'!C7,"Aula 12")+COUNTIF('C212'!C7,"Aula 12"))&gt;0,1,0)+IF((COUNTIF('C311'!C7,"Aula 12")+COUNTIF('C312'!C7,"Aula 12"))&gt;0,1,0)+IF((COUNTIF('C411'!C7,"Aula 12")+COUNTIF('C412'!C7,"Aula 12"))&gt;0,1,0)+IF((COUNTIF('M111'!C7,"Aula 12")+COUNTIF('M112'!C7,"Aula 12"))&gt;0,1,0)+IF((COUNTIF('M211'!C7,"Aula 12")+COUNTIF('M212'!C7,"Aula 12"))&gt;0,1,0)+IF((COUNTIF('M311'!C7,"Aula 12"))&gt;0,1,0)+IF((COUNTIF('M411'!C7,"Aula 12"))&gt;0,1,0)+IF((COUNTIF('D111'!C7,"Aula 12")+COUNTIF('D112'!C7,"Aula 12"))&gt;0,1,0)+IF((COUNTIF('D211'!C7,"Aula 12"))&gt;0,1,0)+IF((COUNTIF('D311'!C7,"Aula 12"))&gt;0,1,0)+IF((COUNTIF('D411'!C7,"Aula 12"))&gt;0,1,0))=1,IF((COUNTIF('C111'!C7,"Aula 12")+COUNTIF('C112'!C7,"Aula 12")+COUNTIF('C113'!C7,"Aula 12")+COUNTIF('C121'!C7,"Aula 12")+COUNTIF('C122'!C7,"Aula 12"))&gt;0,"C1",IF((COUNTIF('C211'!C7,"Aula 12")+COUNTIF('C212'!C7,"Aula 12"))&gt;0,"C2",IF((COUNTIF('C311'!C7,"Aula 12")+COUNTIF('C312'!C7,"Aula 12"))&gt;0,"C3",IF((COUNTIF('C411'!C7,"Aula 12")+COUNTIF('C412'!C7,"Aula 12"))&gt;0,"C4",IF((COUNTIF('M111'!C7,"Aula 12")+COUNTIF('M112'!C7,"Aula 12"))&gt;0,"M1",IF((COUNTIF('M211'!C7,"Aula 12")+COUNTIF('M212'!C7,"Aula 12"))&gt;0,"M2",IF((COUNTIF('M311'!C7,"Aula 12"))&gt;0,"M3",IF((COUNTIF('M411'!C7,"Aula 12"))&gt;0,"M4",IF((COUNTIF('D111'!C7,"Aula 12")+COUNTIF('D112'!C7,"Aula 12"))&gt;0,"D1",IF((COUNTIF('D211'!C7,"Aula 12"))&gt;0,"D2",IF((COUNTIF('D311'!C7,"Aula 12"))&gt;0,"D3",IF((COUNTIF('D411'!C7,"Aula 12"))&gt;0,"D4","")))))))))))),"MIX"))</f>
        <v/>
      </c>
    </row>
    <row r="118">
      <c r="C118">
        <f>IF((IF((COUNTIF('C111'!C7,"Lab 1")+COUNTIF('C112'!C7,"Lab 1")+COUNTIF('C113'!C7,"Lab 1")+COUNTIF('C121'!C7,"Lab 1")+COUNTIF('C122'!C7,"Lab 1"))&gt;0,1,0)+IF((COUNTIF('C211'!C7,"Lab 1")+COUNTIF('C212'!C7,"Lab 1"))&gt;0,1,0)+IF((COUNTIF('C311'!C7,"Lab 1")+COUNTIF('C312'!C7,"Lab 1"))&gt;0,1,0)+IF((COUNTIF('C411'!C7,"Lab 1")+COUNTIF('C412'!C7,"Lab 1"))&gt;0,1,0)+IF((COUNTIF('M111'!C7,"Lab 1")+COUNTIF('M112'!C7,"Lab 1"))&gt;0,1,0)+IF((COUNTIF('M211'!C7,"Lab 1")+COUNTIF('M212'!C7,"Lab 1"))&gt;0,1,0)+IF((COUNTIF('M311'!C7,"Lab 1"))&gt;0,1,0)+IF((COUNTIF('M411'!C7,"Lab 1"))&gt;0,1,0)+IF((COUNTIF('D111'!C7,"Lab 1")+COUNTIF('D112'!C7,"Lab 1"))&gt;0,1,0)+IF((COUNTIF('D211'!C7,"Lab 1"))&gt;0,1,0)+IF((COUNTIF('D311'!C7,"Lab 1"))&gt;0,1,0)+IF((COUNTIF('D411'!C7,"Lab 1"))&gt;0,1,0))=0,"",IF((IF((COUNTIF('C111'!C7,"Lab 1")+COUNTIF('C112'!C7,"Lab 1")+COUNTIF('C113'!C7,"Lab 1")+COUNTIF('C121'!C7,"Lab 1")+COUNTIF('C122'!C7,"Lab 1"))&gt;0,1,0)+IF((COUNTIF('C211'!C7,"Lab 1")+COUNTIF('C212'!C7,"Lab 1"))&gt;0,1,0)+IF((COUNTIF('C311'!C7,"Lab 1")+COUNTIF('C312'!C7,"Lab 1"))&gt;0,1,0)+IF((COUNTIF('C411'!C7,"Lab 1")+COUNTIF('C412'!C7,"Lab 1"))&gt;0,1,0)+IF((COUNTIF('M111'!C7,"Lab 1")+COUNTIF('M112'!C7,"Lab 1"))&gt;0,1,0)+IF((COUNTIF('M211'!C7,"Lab 1")+COUNTIF('M212'!C7,"Lab 1"))&gt;0,1,0)+IF((COUNTIF('M311'!C7,"Lab 1"))&gt;0,1,0)+IF((COUNTIF('M411'!C7,"Lab 1"))&gt;0,1,0)+IF((COUNTIF('D111'!C7,"Lab 1")+COUNTIF('D112'!C7,"Lab 1"))&gt;0,1,0)+IF((COUNTIF('D211'!C7,"Lab 1"))&gt;0,1,0)+IF((COUNTIF('D311'!C7,"Lab 1"))&gt;0,1,0)+IF((COUNTIF('D411'!C7,"Lab 1"))&gt;0,1,0))=1,IF((COUNTIF('C111'!C7,"Lab 1")+COUNTIF('C112'!C7,"Lab 1")+COUNTIF('C113'!C7,"Lab 1")+COUNTIF('C121'!C7,"Lab 1")+COUNTIF('C122'!C7,"Lab 1"))&gt;0,"C1",IF((COUNTIF('C211'!C7,"Lab 1")+COUNTIF('C212'!C7,"Lab 1"))&gt;0,"C2",IF((COUNTIF('C311'!C7,"Lab 1")+COUNTIF('C312'!C7,"Lab 1"))&gt;0,"C3",IF((COUNTIF('C411'!C7,"Lab 1")+COUNTIF('C412'!C7,"Lab 1"))&gt;0,"C4",IF((COUNTIF('M111'!C7,"Lab 1")+COUNTIF('M112'!C7,"Lab 1"))&gt;0,"M1",IF((COUNTIF('M211'!C7,"Lab 1")+COUNTIF('M212'!C7,"Lab 1"))&gt;0,"M2",IF((COUNTIF('M311'!C7,"Lab 1"))&gt;0,"M3",IF((COUNTIF('M411'!C7,"Lab 1"))&gt;0,"M4",IF((COUNTIF('D111'!C7,"Lab 1")+COUNTIF('D112'!C7,"Lab 1"))&gt;0,"D1",IF((COUNTIF('D211'!C7,"Lab 1"))&gt;0,"D2",IF((COUNTIF('D311'!C7,"Lab 1"))&gt;0,"D3",IF((COUNTIF('D411'!C7,"Lab 1"))&gt;0,"D4","")))))))))))),"MIX"))</f>
        <v/>
      </c>
    </row>
    <row r="119">
      <c r="C119">
        <f>IF((IF((COUNTIF('C111'!C7,"Lab 2")+COUNTIF('C112'!C7,"Lab 2")+COUNTIF('C113'!C7,"Lab 2")+COUNTIF('C121'!C7,"Lab 2")+COUNTIF('C122'!C7,"Lab 2"))&gt;0,1,0)+IF((COUNTIF('C211'!C7,"Lab 2")+COUNTIF('C212'!C7,"Lab 2"))&gt;0,1,0)+IF((COUNTIF('C311'!C7,"Lab 2")+COUNTIF('C312'!C7,"Lab 2"))&gt;0,1,0)+IF((COUNTIF('C411'!C7,"Lab 2")+COUNTIF('C412'!C7,"Lab 2"))&gt;0,1,0)+IF((COUNTIF('M111'!C7,"Lab 2")+COUNTIF('M112'!C7,"Lab 2"))&gt;0,1,0)+IF((COUNTIF('M211'!C7,"Lab 2")+COUNTIF('M212'!C7,"Lab 2"))&gt;0,1,0)+IF((COUNTIF('M311'!C7,"Lab 2"))&gt;0,1,0)+IF((COUNTIF('M411'!C7,"Lab 2"))&gt;0,1,0)+IF((COUNTIF('D111'!C7,"Lab 2")+COUNTIF('D112'!C7,"Lab 2"))&gt;0,1,0)+IF((COUNTIF('D211'!C7,"Lab 2"))&gt;0,1,0)+IF((COUNTIF('D311'!C7,"Lab 2"))&gt;0,1,0)+IF((COUNTIF('D411'!C7,"Lab 2"))&gt;0,1,0))=0,"",IF((IF((COUNTIF('C111'!C7,"Lab 2")+COUNTIF('C112'!C7,"Lab 2")+COUNTIF('C113'!C7,"Lab 2")+COUNTIF('C121'!C7,"Lab 2")+COUNTIF('C122'!C7,"Lab 2"))&gt;0,1,0)+IF((COUNTIF('C211'!C7,"Lab 2")+COUNTIF('C212'!C7,"Lab 2"))&gt;0,1,0)+IF((COUNTIF('C311'!C7,"Lab 2")+COUNTIF('C312'!C7,"Lab 2"))&gt;0,1,0)+IF((COUNTIF('C411'!C7,"Lab 2")+COUNTIF('C412'!C7,"Lab 2"))&gt;0,1,0)+IF((COUNTIF('M111'!C7,"Lab 2")+COUNTIF('M112'!C7,"Lab 2"))&gt;0,1,0)+IF((COUNTIF('M211'!C7,"Lab 2")+COUNTIF('M212'!C7,"Lab 2"))&gt;0,1,0)+IF((COUNTIF('M311'!C7,"Lab 2"))&gt;0,1,0)+IF((COUNTIF('M411'!C7,"Lab 2"))&gt;0,1,0)+IF((COUNTIF('D111'!C7,"Lab 2")+COUNTIF('D112'!C7,"Lab 2"))&gt;0,1,0)+IF((COUNTIF('D211'!C7,"Lab 2"))&gt;0,1,0)+IF((COUNTIF('D311'!C7,"Lab 2"))&gt;0,1,0)+IF((COUNTIF('D411'!C7,"Lab 2"))&gt;0,1,0))=1,IF((COUNTIF('C111'!C7,"Lab 2")+COUNTIF('C112'!C7,"Lab 2")+COUNTIF('C113'!C7,"Lab 2")+COUNTIF('C121'!C7,"Lab 2")+COUNTIF('C122'!C7,"Lab 2"))&gt;0,"C1",IF((COUNTIF('C211'!C7,"Lab 2")+COUNTIF('C212'!C7,"Lab 2"))&gt;0,"C2",IF((COUNTIF('C311'!C7,"Lab 2")+COUNTIF('C312'!C7,"Lab 2"))&gt;0,"C3",IF((COUNTIF('C411'!C7,"Lab 2")+COUNTIF('C412'!C7,"Lab 2"))&gt;0,"C4",IF((COUNTIF('M111'!C7,"Lab 2")+COUNTIF('M112'!C7,"Lab 2"))&gt;0,"M1",IF((COUNTIF('M211'!C7,"Lab 2")+COUNTIF('M212'!C7,"Lab 2"))&gt;0,"M2",IF((COUNTIF('M311'!C7,"Lab 2"))&gt;0,"M3",IF((COUNTIF('M411'!C7,"Lab 2"))&gt;0,"M4",IF((COUNTIF('D111'!C7,"Lab 2")+COUNTIF('D112'!C7,"Lab 2"))&gt;0,"D1",IF((COUNTIF('D211'!C7,"Lab 2"))&gt;0,"D2",IF((COUNTIF('D311'!C7,"Lab 2"))&gt;0,"D3",IF((COUNTIF('D411'!C7,"Lab 2"))&gt;0,"D4","")))))))))))),"MIX"))</f>
        <v/>
      </c>
    </row>
    <row r="120">
      <c r="C120">
        <f>IF((IF((COUNTIF('C111'!C7,"Salón")+COUNTIF('C112'!C7,"Salón")+COUNTIF('C113'!C7,"Salón")+COUNTIF('C121'!C7,"Salón")+COUNTIF('C122'!C7,"Salón"))&gt;0,1,0)+IF((COUNTIF('C211'!C7,"Salón")+COUNTIF('C212'!C7,"Salón"))&gt;0,1,0)+IF((COUNTIF('C311'!C7,"Salón")+COUNTIF('C312'!C7,"Salón"))&gt;0,1,0)+IF((COUNTIF('C411'!C7,"Salón")+COUNTIF('C412'!C7,"Salón"))&gt;0,1,0)+IF((COUNTIF('M111'!C7,"Salón")+COUNTIF('M112'!C7,"Salón"))&gt;0,1,0)+IF((COUNTIF('M211'!C7,"Salón")+COUNTIF('M212'!C7,"Salón"))&gt;0,1,0)+IF((COUNTIF('M311'!C7,"Salón"))&gt;0,1,0)+IF((COUNTIF('M411'!C7,"Salón"))&gt;0,1,0)+IF((COUNTIF('D111'!C7,"Salón")+COUNTIF('D112'!C7,"Salón"))&gt;0,1,0)+IF((COUNTIF('D211'!C7,"Salón"))&gt;0,1,0)+IF((COUNTIF('D311'!C7,"Salón"))&gt;0,1,0)+IF((COUNTIF('D411'!C7,"Salón"))&gt;0,1,0))=0,"",IF((IF((COUNTIF('C111'!C7,"Salón")+COUNTIF('C112'!C7,"Salón")+COUNTIF('C113'!C7,"Salón")+COUNTIF('C121'!C7,"Salón")+COUNTIF('C122'!C7,"Salón"))&gt;0,1,0)+IF((COUNTIF('C211'!C7,"Salón")+COUNTIF('C212'!C7,"Salón"))&gt;0,1,0)+IF((COUNTIF('C311'!C7,"Salón")+COUNTIF('C312'!C7,"Salón"))&gt;0,1,0)+IF((COUNTIF('C411'!C7,"Salón")+COUNTIF('C412'!C7,"Salón"))&gt;0,1,0)+IF((COUNTIF('M111'!C7,"Salón")+COUNTIF('M112'!C7,"Salón"))&gt;0,1,0)+IF((COUNTIF('M211'!C7,"Salón")+COUNTIF('M212'!C7,"Salón"))&gt;0,1,0)+IF((COUNTIF('M311'!C7,"Salón"))&gt;0,1,0)+IF((COUNTIF('M411'!C7,"Salón"))&gt;0,1,0)+IF((COUNTIF('D111'!C7,"Salón")+COUNTIF('D112'!C7,"Salón"))&gt;0,1,0)+IF((COUNTIF('D211'!C7,"Salón"))&gt;0,1,0)+IF((COUNTIF('D311'!C7,"Salón"))&gt;0,1,0)+IF((COUNTIF('D411'!C7,"Salón"))&gt;0,1,0))=1,IF((COUNTIF('C111'!C7,"Salón")+COUNTIF('C112'!C7,"Salón")+COUNTIF('C113'!C7,"Salón")+COUNTIF('C121'!C7,"Salón")+COUNTIF('C122'!C7,"Salón"))&gt;0,"C1",IF((COUNTIF('C211'!C7,"Salón")+COUNTIF('C212'!C7,"Salón"))&gt;0,"C2",IF((COUNTIF('C311'!C7,"Salón")+COUNTIF('C312'!C7,"Salón"))&gt;0,"C3",IF((COUNTIF('C411'!C7,"Salón")+COUNTIF('C412'!C7,"Salón"))&gt;0,"C4",IF((COUNTIF('M111'!C7,"Salón")+COUNTIF('M112'!C7,"Salón"))&gt;0,"M1",IF((COUNTIF('M211'!C7,"Salón")+COUNTIF('M212'!C7,"Salón"))&gt;0,"M2",IF((COUNTIF('M311'!C7,"Salón"))&gt;0,"M3",IF((COUNTIF('M411'!C7,"Salón"))&gt;0,"M4",IF((COUNTIF('D111'!C7,"Salón")+COUNTIF('D112'!C7,"Salón"))&gt;0,"D1",IF((COUNTIF('D211'!C7,"Salón"))&gt;0,"D2",IF((COUNTIF('D311'!C7,"Salón"))&gt;0,"D3",IF((COUNTIF('D411'!C7,"Salón"))&gt;0,"D4","")))))))))))),"MIX"))</f>
        <v/>
      </c>
    </row>
    <row r="121">
      <c r="C121">
        <f>IF((IF((COUNTIF('C111'!C9,"Aula 1")+COUNTIF('C112'!C9,"Aula 1")+COUNTIF('C113'!C9,"Aula 1")+COUNTIF('C121'!C9,"Aula 1")+COUNTIF('C122'!C9,"Aula 1"))&gt;0,1,0)+IF((COUNTIF('C211'!C9,"Aula 1")+COUNTIF('C212'!C9,"Aula 1"))&gt;0,1,0)+IF((COUNTIF('C311'!C9,"Aula 1")+COUNTIF('C312'!C9,"Aula 1"))&gt;0,1,0)+IF((COUNTIF('C411'!C9,"Aula 1")+COUNTIF('C412'!C9,"Aula 1"))&gt;0,1,0)+IF((COUNTIF('M111'!C9,"Aula 1")+COUNTIF('M112'!C9,"Aula 1"))&gt;0,1,0)+IF((COUNTIF('M211'!C9,"Aula 1")+COUNTIF('M212'!C9,"Aula 1"))&gt;0,1,0)+IF((COUNTIF('M311'!C9,"Aula 1"))&gt;0,1,0)+IF((COUNTIF('M411'!C9,"Aula 1"))&gt;0,1,0)+IF((COUNTIF('D111'!C9,"Aula 1")+COUNTIF('D112'!C9,"Aula 1"))&gt;0,1,0)+IF((COUNTIF('D211'!C9,"Aula 1"))&gt;0,1,0)+IF((COUNTIF('D311'!C9,"Aula 1"))&gt;0,1,0)+IF((COUNTIF('D411'!C9,"Aula 1"))&gt;0,1,0))=0,"",IF((IF((COUNTIF('C111'!C9,"Aula 1")+COUNTIF('C112'!C9,"Aula 1")+COUNTIF('C113'!C9,"Aula 1")+COUNTIF('C121'!C9,"Aula 1")+COUNTIF('C122'!C9,"Aula 1"))&gt;0,1,0)+IF((COUNTIF('C211'!C9,"Aula 1")+COUNTIF('C212'!C9,"Aula 1"))&gt;0,1,0)+IF((COUNTIF('C311'!C9,"Aula 1")+COUNTIF('C312'!C9,"Aula 1"))&gt;0,1,0)+IF((COUNTIF('C411'!C9,"Aula 1")+COUNTIF('C412'!C9,"Aula 1"))&gt;0,1,0)+IF((COUNTIF('M111'!C9,"Aula 1")+COUNTIF('M112'!C9,"Aula 1"))&gt;0,1,0)+IF((COUNTIF('M211'!C9,"Aula 1")+COUNTIF('M212'!C9,"Aula 1"))&gt;0,1,0)+IF((COUNTIF('M311'!C9,"Aula 1"))&gt;0,1,0)+IF((COUNTIF('M411'!C9,"Aula 1"))&gt;0,1,0)+IF((COUNTIF('D111'!C9,"Aula 1")+COUNTIF('D112'!C9,"Aula 1"))&gt;0,1,0)+IF((COUNTIF('D211'!C9,"Aula 1"))&gt;0,1,0)+IF((COUNTIF('D311'!C9,"Aula 1"))&gt;0,1,0)+IF((COUNTIF('D411'!C9,"Aula 1"))&gt;0,1,0))=1,IF((COUNTIF('C111'!C9,"Aula 1")+COUNTIF('C112'!C9,"Aula 1")+COUNTIF('C113'!C9,"Aula 1")+COUNTIF('C121'!C9,"Aula 1")+COUNTIF('C122'!C9,"Aula 1"))&gt;0,"C1",IF((COUNTIF('C211'!C9,"Aula 1")+COUNTIF('C212'!C9,"Aula 1"))&gt;0,"C2",IF((COUNTIF('C311'!C9,"Aula 1")+COUNTIF('C312'!C9,"Aula 1"))&gt;0,"C3",IF((COUNTIF('C411'!C9,"Aula 1")+COUNTIF('C412'!C9,"Aula 1"))&gt;0,"C4",IF((COUNTIF('M111'!C9,"Aula 1")+COUNTIF('M112'!C9,"Aula 1"))&gt;0,"M1",IF((COUNTIF('M211'!C9,"Aula 1")+COUNTIF('M212'!C9,"Aula 1"))&gt;0,"M2",IF((COUNTIF('M311'!C9,"Aula 1"))&gt;0,"M3",IF((COUNTIF('M411'!C9,"Aula 1"))&gt;0,"M4",IF((COUNTIF('D111'!C9,"Aula 1")+COUNTIF('D112'!C9,"Aula 1"))&gt;0,"D1",IF((COUNTIF('D211'!C9,"Aula 1"))&gt;0,"D2",IF((COUNTIF('D311'!C9,"Aula 1"))&gt;0,"D3",IF((COUNTIF('D411'!C9,"Aula 1"))&gt;0,"D4","")))))))))))),"MIX"))</f>
        <v/>
      </c>
    </row>
    <row r="122">
      <c r="C122">
        <f>IF((IF((COUNTIF('C111'!C9,"Aula 2")+COUNTIF('C112'!C9,"Aula 2")+COUNTIF('C113'!C9,"Aula 2")+COUNTIF('C121'!C9,"Aula 2")+COUNTIF('C122'!C9,"Aula 2"))&gt;0,1,0)+IF((COUNTIF('C211'!C9,"Aula 2")+COUNTIF('C212'!C9,"Aula 2"))&gt;0,1,0)+IF((COUNTIF('C311'!C9,"Aula 2")+COUNTIF('C312'!C9,"Aula 2"))&gt;0,1,0)+IF((COUNTIF('C411'!C9,"Aula 2")+COUNTIF('C412'!C9,"Aula 2"))&gt;0,1,0)+IF((COUNTIF('M111'!C9,"Aula 2")+COUNTIF('M112'!C9,"Aula 2"))&gt;0,1,0)+IF((COUNTIF('M211'!C9,"Aula 2")+COUNTIF('M212'!C9,"Aula 2"))&gt;0,1,0)+IF((COUNTIF('M311'!C9,"Aula 2"))&gt;0,1,0)+IF((COUNTIF('M411'!C9,"Aula 2"))&gt;0,1,0)+IF((COUNTIF('D111'!C9,"Aula 2")+COUNTIF('D112'!C9,"Aula 2"))&gt;0,1,0)+IF((COUNTIF('D211'!C9,"Aula 2"))&gt;0,1,0)+IF((COUNTIF('D311'!C9,"Aula 2"))&gt;0,1,0)+IF((COUNTIF('D411'!C9,"Aula 2"))&gt;0,1,0))=0,"",IF((IF((COUNTIF('C111'!C9,"Aula 2")+COUNTIF('C112'!C9,"Aula 2")+COUNTIF('C113'!C9,"Aula 2")+COUNTIF('C121'!C9,"Aula 2")+COUNTIF('C122'!C9,"Aula 2"))&gt;0,1,0)+IF((COUNTIF('C211'!C9,"Aula 2")+COUNTIF('C212'!C9,"Aula 2"))&gt;0,1,0)+IF((COUNTIF('C311'!C9,"Aula 2")+COUNTIF('C312'!C9,"Aula 2"))&gt;0,1,0)+IF((COUNTIF('C411'!C9,"Aula 2")+COUNTIF('C412'!C9,"Aula 2"))&gt;0,1,0)+IF((COUNTIF('M111'!C9,"Aula 2")+COUNTIF('M112'!C9,"Aula 2"))&gt;0,1,0)+IF((COUNTIF('M211'!C9,"Aula 2")+COUNTIF('M212'!C9,"Aula 2"))&gt;0,1,0)+IF((COUNTIF('M311'!C9,"Aula 2"))&gt;0,1,0)+IF((COUNTIF('M411'!C9,"Aula 2"))&gt;0,1,0)+IF((COUNTIF('D111'!C9,"Aula 2")+COUNTIF('D112'!C9,"Aula 2"))&gt;0,1,0)+IF((COUNTIF('D211'!C9,"Aula 2"))&gt;0,1,0)+IF((COUNTIF('D311'!C9,"Aula 2"))&gt;0,1,0)+IF((COUNTIF('D411'!C9,"Aula 2"))&gt;0,1,0))=1,IF((COUNTIF('C111'!C9,"Aula 2")+COUNTIF('C112'!C9,"Aula 2")+COUNTIF('C113'!C9,"Aula 2")+COUNTIF('C121'!C9,"Aula 2")+COUNTIF('C122'!C9,"Aula 2"))&gt;0,"C1",IF((COUNTIF('C211'!C9,"Aula 2")+COUNTIF('C212'!C9,"Aula 2"))&gt;0,"C2",IF((COUNTIF('C311'!C9,"Aula 2")+COUNTIF('C312'!C9,"Aula 2"))&gt;0,"C3",IF((COUNTIF('C411'!C9,"Aula 2")+COUNTIF('C412'!C9,"Aula 2"))&gt;0,"C4",IF((COUNTIF('M111'!C9,"Aula 2")+COUNTIF('M112'!C9,"Aula 2"))&gt;0,"M1",IF((COUNTIF('M211'!C9,"Aula 2")+COUNTIF('M212'!C9,"Aula 2"))&gt;0,"M2",IF((COUNTIF('M311'!C9,"Aula 2"))&gt;0,"M3",IF((COUNTIF('M411'!C9,"Aula 2"))&gt;0,"M4",IF((COUNTIF('D111'!C9,"Aula 2")+COUNTIF('D112'!C9,"Aula 2"))&gt;0,"D1",IF((COUNTIF('D211'!C9,"Aula 2"))&gt;0,"D2",IF((COUNTIF('D311'!C9,"Aula 2"))&gt;0,"D3",IF((COUNTIF('D411'!C9,"Aula 2"))&gt;0,"D4","")))))))))))),"MIX"))</f>
        <v/>
      </c>
    </row>
    <row r="123">
      <c r="C123">
        <f>IF((IF((COUNTIF('C111'!C9,"Aula 3")+COUNTIF('C112'!C9,"Aula 3")+COUNTIF('C113'!C9,"Aula 3")+COUNTIF('C121'!C9,"Aula 3")+COUNTIF('C122'!C9,"Aula 3"))&gt;0,1,0)+IF((COUNTIF('C211'!C9,"Aula 3")+COUNTIF('C212'!C9,"Aula 3"))&gt;0,1,0)+IF((COUNTIF('C311'!C9,"Aula 3")+COUNTIF('C312'!C9,"Aula 3"))&gt;0,1,0)+IF((COUNTIF('C411'!C9,"Aula 3")+COUNTIF('C412'!C9,"Aula 3"))&gt;0,1,0)+IF((COUNTIF('M111'!C9,"Aula 3")+COUNTIF('M112'!C9,"Aula 3"))&gt;0,1,0)+IF((COUNTIF('M211'!C9,"Aula 3")+COUNTIF('M212'!C9,"Aula 3"))&gt;0,1,0)+IF((COUNTIF('M311'!C9,"Aula 3"))&gt;0,1,0)+IF((COUNTIF('M411'!C9,"Aula 3"))&gt;0,1,0)+IF((COUNTIF('D111'!C9,"Aula 3")+COUNTIF('D112'!C9,"Aula 3"))&gt;0,1,0)+IF((COUNTIF('D211'!C9,"Aula 3"))&gt;0,1,0)+IF((COUNTIF('D311'!C9,"Aula 3"))&gt;0,1,0)+IF((COUNTIF('D411'!C9,"Aula 3"))&gt;0,1,0))=0,"",IF((IF((COUNTIF('C111'!C9,"Aula 3")+COUNTIF('C112'!C9,"Aula 3")+COUNTIF('C113'!C9,"Aula 3")+COUNTIF('C121'!C9,"Aula 3")+COUNTIF('C122'!C9,"Aula 3"))&gt;0,1,0)+IF((COUNTIF('C211'!C9,"Aula 3")+COUNTIF('C212'!C9,"Aula 3"))&gt;0,1,0)+IF((COUNTIF('C311'!C9,"Aula 3")+COUNTIF('C312'!C9,"Aula 3"))&gt;0,1,0)+IF((COUNTIF('C411'!C9,"Aula 3")+COUNTIF('C412'!C9,"Aula 3"))&gt;0,1,0)+IF((COUNTIF('M111'!C9,"Aula 3")+COUNTIF('M112'!C9,"Aula 3"))&gt;0,1,0)+IF((COUNTIF('M211'!C9,"Aula 3")+COUNTIF('M212'!C9,"Aula 3"))&gt;0,1,0)+IF((COUNTIF('M311'!C9,"Aula 3"))&gt;0,1,0)+IF((COUNTIF('M411'!C9,"Aula 3"))&gt;0,1,0)+IF((COUNTIF('D111'!C9,"Aula 3")+COUNTIF('D112'!C9,"Aula 3"))&gt;0,1,0)+IF((COUNTIF('D211'!C9,"Aula 3"))&gt;0,1,0)+IF((COUNTIF('D311'!C9,"Aula 3"))&gt;0,1,0)+IF((COUNTIF('D411'!C9,"Aula 3"))&gt;0,1,0))=1,IF((COUNTIF('C111'!C9,"Aula 3")+COUNTIF('C112'!C9,"Aula 3")+COUNTIF('C113'!C9,"Aula 3")+COUNTIF('C121'!C9,"Aula 3")+COUNTIF('C122'!C9,"Aula 3"))&gt;0,"C1",IF((COUNTIF('C211'!C9,"Aula 3")+COUNTIF('C212'!C9,"Aula 3"))&gt;0,"C2",IF((COUNTIF('C311'!C9,"Aula 3")+COUNTIF('C312'!C9,"Aula 3"))&gt;0,"C3",IF((COUNTIF('C411'!C9,"Aula 3")+COUNTIF('C412'!C9,"Aula 3"))&gt;0,"C4",IF((COUNTIF('M111'!C9,"Aula 3")+COUNTIF('M112'!C9,"Aula 3"))&gt;0,"M1",IF((COUNTIF('M211'!C9,"Aula 3")+COUNTIF('M212'!C9,"Aula 3"))&gt;0,"M2",IF((COUNTIF('M311'!C9,"Aula 3"))&gt;0,"M3",IF((COUNTIF('M411'!C9,"Aula 3"))&gt;0,"M4",IF((COUNTIF('D111'!C9,"Aula 3")+COUNTIF('D112'!C9,"Aula 3"))&gt;0,"D1",IF((COUNTIF('D211'!C9,"Aula 3"))&gt;0,"D2",IF((COUNTIF('D311'!C9,"Aula 3"))&gt;0,"D3",IF((COUNTIF('D411'!C9,"Aula 3"))&gt;0,"D4","")))))))))))),"MIX"))</f>
        <v/>
      </c>
    </row>
    <row r="124">
      <c r="C124">
        <f>IF((IF((COUNTIF('C111'!C9,"Aula 4")+COUNTIF('C112'!C9,"Aula 4")+COUNTIF('C113'!C9,"Aula 4")+COUNTIF('C121'!C9,"Aula 4")+COUNTIF('C122'!C9,"Aula 4"))&gt;0,1,0)+IF((COUNTIF('C211'!C9,"Aula 4")+COUNTIF('C212'!C9,"Aula 4"))&gt;0,1,0)+IF((COUNTIF('C311'!C9,"Aula 4")+COUNTIF('C312'!C9,"Aula 4"))&gt;0,1,0)+IF((COUNTIF('C411'!C9,"Aula 4")+COUNTIF('C412'!C9,"Aula 4"))&gt;0,1,0)+IF((COUNTIF('M111'!C9,"Aula 4")+COUNTIF('M112'!C9,"Aula 4"))&gt;0,1,0)+IF((COUNTIF('M211'!C9,"Aula 4")+COUNTIF('M212'!C9,"Aula 4"))&gt;0,1,0)+IF((COUNTIF('M311'!C9,"Aula 4"))&gt;0,1,0)+IF((COUNTIF('M411'!C9,"Aula 4"))&gt;0,1,0)+IF((COUNTIF('D111'!C9,"Aula 4")+COUNTIF('D112'!C9,"Aula 4"))&gt;0,1,0)+IF((COUNTIF('D211'!C9,"Aula 4"))&gt;0,1,0)+IF((COUNTIF('D311'!C9,"Aula 4"))&gt;0,1,0)+IF((COUNTIF('D411'!C9,"Aula 4"))&gt;0,1,0))=0,"",IF((IF((COUNTIF('C111'!C9,"Aula 4")+COUNTIF('C112'!C9,"Aula 4")+COUNTIF('C113'!C9,"Aula 4")+COUNTIF('C121'!C9,"Aula 4")+COUNTIF('C122'!C9,"Aula 4"))&gt;0,1,0)+IF((COUNTIF('C211'!C9,"Aula 4")+COUNTIF('C212'!C9,"Aula 4"))&gt;0,1,0)+IF((COUNTIF('C311'!C9,"Aula 4")+COUNTIF('C312'!C9,"Aula 4"))&gt;0,1,0)+IF((COUNTIF('C411'!C9,"Aula 4")+COUNTIF('C412'!C9,"Aula 4"))&gt;0,1,0)+IF((COUNTIF('M111'!C9,"Aula 4")+COUNTIF('M112'!C9,"Aula 4"))&gt;0,1,0)+IF((COUNTIF('M211'!C9,"Aula 4")+COUNTIF('M212'!C9,"Aula 4"))&gt;0,1,0)+IF((COUNTIF('M311'!C9,"Aula 4"))&gt;0,1,0)+IF((COUNTIF('M411'!C9,"Aula 4"))&gt;0,1,0)+IF((COUNTIF('D111'!C9,"Aula 4")+COUNTIF('D112'!C9,"Aula 4"))&gt;0,1,0)+IF((COUNTIF('D211'!C9,"Aula 4"))&gt;0,1,0)+IF((COUNTIF('D311'!C9,"Aula 4"))&gt;0,1,0)+IF((COUNTIF('D411'!C9,"Aula 4"))&gt;0,1,0))=1,IF((COUNTIF('C111'!C9,"Aula 4")+COUNTIF('C112'!C9,"Aula 4")+COUNTIF('C113'!C9,"Aula 4")+COUNTIF('C121'!C9,"Aula 4")+COUNTIF('C122'!C9,"Aula 4"))&gt;0,"C1",IF((COUNTIF('C211'!C9,"Aula 4")+COUNTIF('C212'!C9,"Aula 4"))&gt;0,"C2",IF((COUNTIF('C311'!C9,"Aula 4")+COUNTIF('C312'!C9,"Aula 4"))&gt;0,"C3",IF((COUNTIF('C411'!C9,"Aula 4")+COUNTIF('C412'!C9,"Aula 4"))&gt;0,"C4",IF((COUNTIF('M111'!C9,"Aula 4")+COUNTIF('M112'!C9,"Aula 4"))&gt;0,"M1",IF((COUNTIF('M211'!C9,"Aula 4")+COUNTIF('M212'!C9,"Aula 4"))&gt;0,"M2",IF((COUNTIF('M311'!C9,"Aula 4"))&gt;0,"M3",IF((COUNTIF('M411'!C9,"Aula 4"))&gt;0,"M4",IF((COUNTIF('D111'!C9,"Aula 4")+COUNTIF('D112'!C9,"Aula 4"))&gt;0,"D1",IF((COUNTIF('D211'!C9,"Aula 4"))&gt;0,"D2",IF((COUNTIF('D311'!C9,"Aula 4"))&gt;0,"D3",IF((COUNTIF('D411'!C9,"Aula 4"))&gt;0,"D4","")))))))))))),"MIX"))</f>
        <v/>
      </c>
    </row>
    <row r="125">
      <c r="C125">
        <f>IF((IF((COUNTIF('C111'!C9,"Aula 5")+COUNTIF('C112'!C9,"Aula 5")+COUNTIF('C113'!C9,"Aula 5")+COUNTIF('C121'!C9,"Aula 5")+COUNTIF('C122'!C9,"Aula 5"))&gt;0,1,0)+IF((COUNTIF('C211'!C9,"Aula 5")+COUNTIF('C212'!C9,"Aula 5"))&gt;0,1,0)+IF((COUNTIF('C311'!C9,"Aula 5")+COUNTIF('C312'!C9,"Aula 5"))&gt;0,1,0)+IF((COUNTIF('C411'!C9,"Aula 5")+COUNTIF('C412'!C9,"Aula 5"))&gt;0,1,0)+IF((COUNTIF('M111'!C9,"Aula 5")+COUNTIF('M112'!C9,"Aula 5"))&gt;0,1,0)+IF((COUNTIF('M211'!C9,"Aula 5")+COUNTIF('M212'!C9,"Aula 5"))&gt;0,1,0)+IF((COUNTIF('M311'!C9,"Aula 5"))&gt;0,1,0)+IF((COUNTIF('M411'!C9,"Aula 5"))&gt;0,1,0)+IF((COUNTIF('D111'!C9,"Aula 5")+COUNTIF('D112'!C9,"Aula 5"))&gt;0,1,0)+IF((COUNTIF('D211'!C9,"Aula 5"))&gt;0,1,0)+IF((COUNTIF('D311'!C9,"Aula 5"))&gt;0,1,0)+IF((COUNTIF('D411'!C9,"Aula 5"))&gt;0,1,0))=0,"",IF((IF((COUNTIF('C111'!C9,"Aula 5")+COUNTIF('C112'!C9,"Aula 5")+COUNTIF('C113'!C9,"Aula 5")+COUNTIF('C121'!C9,"Aula 5")+COUNTIF('C122'!C9,"Aula 5"))&gt;0,1,0)+IF((COUNTIF('C211'!C9,"Aula 5")+COUNTIF('C212'!C9,"Aula 5"))&gt;0,1,0)+IF((COUNTIF('C311'!C9,"Aula 5")+COUNTIF('C312'!C9,"Aula 5"))&gt;0,1,0)+IF((COUNTIF('C411'!C9,"Aula 5")+COUNTIF('C412'!C9,"Aula 5"))&gt;0,1,0)+IF((COUNTIF('M111'!C9,"Aula 5")+COUNTIF('M112'!C9,"Aula 5"))&gt;0,1,0)+IF((COUNTIF('M211'!C9,"Aula 5")+COUNTIF('M212'!C9,"Aula 5"))&gt;0,1,0)+IF((COUNTIF('M311'!C9,"Aula 5"))&gt;0,1,0)+IF((COUNTIF('M411'!C9,"Aula 5"))&gt;0,1,0)+IF((COUNTIF('D111'!C9,"Aula 5")+COUNTIF('D112'!C9,"Aula 5"))&gt;0,1,0)+IF((COUNTIF('D211'!C9,"Aula 5"))&gt;0,1,0)+IF((COUNTIF('D311'!C9,"Aula 5"))&gt;0,1,0)+IF((COUNTIF('D411'!C9,"Aula 5"))&gt;0,1,0))=1,IF((COUNTIF('C111'!C9,"Aula 5")+COUNTIF('C112'!C9,"Aula 5")+COUNTIF('C113'!C9,"Aula 5")+COUNTIF('C121'!C9,"Aula 5")+COUNTIF('C122'!C9,"Aula 5"))&gt;0,"C1",IF((COUNTIF('C211'!C9,"Aula 5")+COUNTIF('C212'!C9,"Aula 5"))&gt;0,"C2",IF((COUNTIF('C311'!C9,"Aula 5")+COUNTIF('C312'!C9,"Aula 5"))&gt;0,"C3",IF((COUNTIF('C411'!C9,"Aula 5")+COUNTIF('C412'!C9,"Aula 5"))&gt;0,"C4",IF((COUNTIF('M111'!C9,"Aula 5")+COUNTIF('M112'!C9,"Aula 5"))&gt;0,"M1",IF((COUNTIF('M211'!C9,"Aula 5")+COUNTIF('M212'!C9,"Aula 5"))&gt;0,"M2",IF((COUNTIF('M311'!C9,"Aula 5"))&gt;0,"M3",IF((COUNTIF('M411'!C9,"Aula 5"))&gt;0,"M4",IF((COUNTIF('D111'!C9,"Aula 5")+COUNTIF('D112'!C9,"Aula 5"))&gt;0,"D1",IF((COUNTIF('D211'!C9,"Aula 5"))&gt;0,"D2",IF((COUNTIF('D311'!C9,"Aula 5"))&gt;0,"D3",IF((COUNTIF('D411'!C9,"Aula 5"))&gt;0,"D4","")))))))))))),"MIX"))</f>
        <v/>
      </c>
    </row>
    <row r="126">
      <c r="C126">
        <f>IF((IF((COUNTIF('C111'!C9,"Aula 6")+COUNTIF('C112'!C9,"Aula 6")+COUNTIF('C113'!C9,"Aula 6")+COUNTIF('C121'!C9,"Aula 6")+COUNTIF('C122'!C9,"Aula 6"))&gt;0,1,0)+IF((COUNTIF('C211'!C9,"Aula 6")+COUNTIF('C212'!C9,"Aula 6"))&gt;0,1,0)+IF((COUNTIF('C311'!C9,"Aula 6")+COUNTIF('C312'!C9,"Aula 6"))&gt;0,1,0)+IF((COUNTIF('C411'!C9,"Aula 6")+COUNTIF('C412'!C9,"Aula 6"))&gt;0,1,0)+IF((COUNTIF('M111'!C9,"Aula 6")+COUNTIF('M112'!C9,"Aula 6"))&gt;0,1,0)+IF((COUNTIF('M211'!C9,"Aula 6")+COUNTIF('M212'!C9,"Aula 6"))&gt;0,1,0)+IF((COUNTIF('M311'!C9,"Aula 6"))&gt;0,1,0)+IF((COUNTIF('M411'!C9,"Aula 6"))&gt;0,1,0)+IF((COUNTIF('D111'!C9,"Aula 6")+COUNTIF('D112'!C9,"Aula 6"))&gt;0,1,0)+IF((COUNTIF('D211'!C9,"Aula 6"))&gt;0,1,0)+IF((COUNTIF('D311'!C9,"Aula 6"))&gt;0,1,0)+IF((COUNTIF('D411'!C9,"Aula 6"))&gt;0,1,0))=0,"",IF((IF((COUNTIF('C111'!C9,"Aula 6")+COUNTIF('C112'!C9,"Aula 6")+COUNTIF('C113'!C9,"Aula 6")+COUNTIF('C121'!C9,"Aula 6")+COUNTIF('C122'!C9,"Aula 6"))&gt;0,1,0)+IF((COUNTIF('C211'!C9,"Aula 6")+COUNTIF('C212'!C9,"Aula 6"))&gt;0,1,0)+IF((COUNTIF('C311'!C9,"Aula 6")+COUNTIF('C312'!C9,"Aula 6"))&gt;0,1,0)+IF((COUNTIF('C411'!C9,"Aula 6")+COUNTIF('C412'!C9,"Aula 6"))&gt;0,1,0)+IF((COUNTIF('M111'!C9,"Aula 6")+COUNTIF('M112'!C9,"Aula 6"))&gt;0,1,0)+IF((COUNTIF('M211'!C9,"Aula 6")+COUNTIF('M212'!C9,"Aula 6"))&gt;0,1,0)+IF((COUNTIF('M311'!C9,"Aula 6"))&gt;0,1,0)+IF((COUNTIF('M411'!C9,"Aula 6"))&gt;0,1,0)+IF((COUNTIF('D111'!C9,"Aula 6")+COUNTIF('D112'!C9,"Aula 6"))&gt;0,1,0)+IF((COUNTIF('D211'!C9,"Aula 6"))&gt;0,1,0)+IF((COUNTIF('D311'!C9,"Aula 6"))&gt;0,1,0)+IF((COUNTIF('D411'!C9,"Aula 6"))&gt;0,1,0))=1,IF((COUNTIF('C111'!C9,"Aula 6")+COUNTIF('C112'!C9,"Aula 6")+COUNTIF('C113'!C9,"Aula 6")+COUNTIF('C121'!C9,"Aula 6")+COUNTIF('C122'!C9,"Aula 6"))&gt;0,"C1",IF((COUNTIF('C211'!C9,"Aula 6")+COUNTIF('C212'!C9,"Aula 6"))&gt;0,"C2",IF((COUNTIF('C311'!C9,"Aula 6")+COUNTIF('C312'!C9,"Aula 6"))&gt;0,"C3",IF((COUNTIF('C411'!C9,"Aula 6")+COUNTIF('C412'!C9,"Aula 6"))&gt;0,"C4",IF((COUNTIF('M111'!C9,"Aula 6")+COUNTIF('M112'!C9,"Aula 6"))&gt;0,"M1",IF((COUNTIF('M211'!C9,"Aula 6")+COUNTIF('M212'!C9,"Aula 6"))&gt;0,"M2",IF((COUNTIF('M311'!C9,"Aula 6"))&gt;0,"M3",IF((COUNTIF('M411'!C9,"Aula 6"))&gt;0,"M4",IF((COUNTIF('D111'!C9,"Aula 6")+COUNTIF('D112'!C9,"Aula 6"))&gt;0,"D1",IF((COUNTIF('D211'!C9,"Aula 6"))&gt;0,"D2",IF((COUNTIF('D311'!C9,"Aula 6"))&gt;0,"D3",IF((COUNTIF('D411'!C9,"Aula 6"))&gt;0,"D4","")))))))))))),"MIX"))</f>
        <v/>
      </c>
    </row>
    <row r="127">
      <c r="C127">
        <f>IF((IF((COUNTIF('C111'!C9,"Aula 7")+COUNTIF('C112'!C9,"Aula 7")+COUNTIF('C113'!C9,"Aula 7")+COUNTIF('C121'!C9,"Aula 7")+COUNTIF('C122'!C9,"Aula 7"))&gt;0,1,0)+IF((COUNTIF('C211'!C9,"Aula 7")+COUNTIF('C212'!C9,"Aula 7"))&gt;0,1,0)+IF((COUNTIF('C311'!C9,"Aula 7")+COUNTIF('C312'!C9,"Aula 7"))&gt;0,1,0)+IF((COUNTIF('C411'!C9,"Aula 7")+COUNTIF('C412'!C9,"Aula 7"))&gt;0,1,0)+IF((COUNTIF('M111'!C9,"Aula 7")+COUNTIF('M112'!C9,"Aula 7"))&gt;0,1,0)+IF((COUNTIF('M211'!C9,"Aula 7")+COUNTIF('M212'!C9,"Aula 7"))&gt;0,1,0)+IF((COUNTIF('M311'!C9,"Aula 7"))&gt;0,1,0)+IF((COUNTIF('M411'!C9,"Aula 7"))&gt;0,1,0)+IF((COUNTIF('D111'!C9,"Aula 7")+COUNTIF('D112'!C9,"Aula 7"))&gt;0,1,0)+IF((COUNTIF('D211'!C9,"Aula 7"))&gt;0,1,0)+IF((COUNTIF('D311'!C9,"Aula 7"))&gt;0,1,0)+IF((COUNTIF('D411'!C9,"Aula 7"))&gt;0,1,0))=0,"",IF((IF((COUNTIF('C111'!C9,"Aula 7")+COUNTIF('C112'!C9,"Aula 7")+COUNTIF('C113'!C9,"Aula 7")+COUNTIF('C121'!C9,"Aula 7")+COUNTIF('C122'!C9,"Aula 7"))&gt;0,1,0)+IF((COUNTIF('C211'!C9,"Aula 7")+COUNTIF('C212'!C9,"Aula 7"))&gt;0,1,0)+IF((COUNTIF('C311'!C9,"Aula 7")+COUNTIF('C312'!C9,"Aula 7"))&gt;0,1,0)+IF((COUNTIF('C411'!C9,"Aula 7")+COUNTIF('C412'!C9,"Aula 7"))&gt;0,1,0)+IF((COUNTIF('M111'!C9,"Aula 7")+COUNTIF('M112'!C9,"Aula 7"))&gt;0,1,0)+IF((COUNTIF('M211'!C9,"Aula 7")+COUNTIF('M212'!C9,"Aula 7"))&gt;0,1,0)+IF((COUNTIF('M311'!C9,"Aula 7"))&gt;0,1,0)+IF((COUNTIF('M411'!C9,"Aula 7"))&gt;0,1,0)+IF((COUNTIF('D111'!C9,"Aula 7")+COUNTIF('D112'!C9,"Aula 7"))&gt;0,1,0)+IF((COUNTIF('D211'!C9,"Aula 7"))&gt;0,1,0)+IF((COUNTIF('D311'!C9,"Aula 7"))&gt;0,1,0)+IF((COUNTIF('D411'!C9,"Aula 7"))&gt;0,1,0))=1,IF((COUNTIF('C111'!C9,"Aula 7")+COUNTIF('C112'!C9,"Aula 7")+COUNTIF('C113'!C9,"Aula 7")+COUNTIF('C121'!C9,"Aula 7")+COUNTIF('C122'!C9,"Aula 7"))&gt;0,"C1",IF((COUNTIF('C211'!C9,"Aula 7")+COUNTIF('C212'!C9,"Aula 7"))&gt;0,"C2",IF((COUNTIF('C311'!C9,"Aula 7")+COUNTIF('C312'!C9,"Aula 7"))&gt;0,"C3",IF((COUNTIF('C411'!C9,"Aula 7")+COUNTIF('C412'!C9,"Aula 7"))&gt;0,"C4",IF((COUNTIF('M111'!C9,"Aula 7")+COUNTIF('M112'!C9,"Aula 7"))&gt;0,"M1",IF((COUNTIF('M211'!C9,"Aula 7")+COUNTIF('M212'!C9,"Aula 7"))&gt;0,"M2",IF((COUNTIF('M311'!C9,"Aula 7"))&gt;0,"M3",IF((COUNTIF('M411'!C9,"Aula 7"))&gt;0,"M4",IF((COUNTIF('D111'!C9,"Aula 7")+COUNTIF('D112'!C9,"Aula 7"))&gt;0,"D1",IF((COUNTIF('D211'!C9,"Aula 7"))&gt;0,"D2",IF((COUNTIF('D311'!C9,"Aula 7"))&gt;0,"D3",IF((COUNTIF('D411'!C9,"Aula 7"))&gt;0,"D4","")))))))))))),"MIX"))</f>
        <v/>
      </c>
    </row>
    <row r="128">
      <c r="C128">
        <f>IF((IF((COUNTIF('C111'!C9,"Aula 8")+COUNTIF('C112'!C9,"Aula 8")+COUNTIF('C113'!C9,"Aula 8")+COUNTIF('C121'!C9,"Aula 8")+COUNTIF('C122'!C9,"Aula 8"))&gt;0,1,0)+IF((COUNTIF('C211'!C9,"Aula 8")+COUNTIF('C212'!C9,"Aula 8"))&gt;0,1,0)+IF((COUNTIF('C311'!C9,"Aula 8")+COUNTIF('C312'!C9,"Aula 8"))&gt;0,1,0)+IF((COUNTIF('C411'!C9,"Aula 8")+COUNTIF('C412'!C9,"Aula 8"))&gt;0,1,0)+IF((COUNTIF('M111'!C9,"Aula 8")+COUNTIF('M112'!C9,"Aula 8"))&gt;0,1,0)+IF((COUNTIF('M211'!C9,"Aula 8")+COUNTIF('M212'!C9,"Aula 8"))&gt;0,1,0)+IF((COUNTIF('M311'!C9,"Aula 8"))&gt;0,1,0)+IF((COUNTIF('M411'!C9,"Aula 8"))&gt;0,1,0)+IF((COUNTIF('D111'!C9,"Aula 8")+COUNTIF('D112'!C9,"Aula 8"))&gt;0,1,0)+IF((COUNTIF('D211'!C9,"Aula 8"))&gt;0,1,0)+IF((COUNTIF('D311'!C9,"Aula 8"))&gt;0,1,0)+IF((COUNTIF('D411'!C9,"Aula 8"))&gt;0,1,0))=0,"",IF((IF((COUNTIF('C111'!C9,"Aula 8")+COUNTIF('C112'!C9,"Aula 8")+COUNTIF('C113'!C9,"Aula 8")+COUNTIF('C121'!C9,"Aula 8")+COUNTIF('C122'!C9,"Aula 8"))&gt;0,1,0)+IF((COUNTIF('C211'!C9,"Aula 8")+COUNTIF('C212'!C9,"Aula 8"))&gt;0,1,0)+IF((COUNTIF('C311'!C9,"Aula 8")+COUNTIF('C312'!C9,"Aula 8"))&gt;0,1,0)+IF((COUNTIF('C411'!C9,"Aula 8")+COUNTIF('C412'!C9,"Aula 8"))&gt;0,1,0)+IF((COUNTIF('M111'!C9,"Aula 8")+COUNTIF('M112'!C9,"Aula 8"))&gt;0,1,0)+IF((COUNTIF('M211'!C9,"Aula 8")+COUNTIF('M212'!C9,"Aula 8"))&gt;0,1,0)+IF((COUNTIF('M311'!C9,"Aula 8"))&gt;0,1,0)+IF((COUNTIF('M411'!C9,"Aula 8"))&gt;0,1,0)+IF((COUNTIF('D111'!C9,"Aula 8")+COUNTIF('D112'!C9,"Aula 8"))&gt;0,1,0)+IF((COUNTIF('D211'!C9,"Aula 8"))&gt;0,1,0)+IF((COUNTIF('D311'!C9,"Aula 8"))&gt;0,1,0)+IF((COUNTIF('D411'!C9,"Aula 8"))&gt;0,1,0))=1,IF((COUNTIF('C111'!C9,"Aula 8")+COUNTIF('C112'!C9,"Aula 8")+COUNTIF('C113'!C9,"Aula 8")+COUNTIF('C121'!C9,"Aula 8")+COUNTIF('C122'!C9,"Aula 8"))&gt;0,"C1",IF((COUNTIF('C211'!C9,"Aula 8")+COUNTIF('C212'!C9,"Aula 8"))&gt;0,"C2",IF((COUNTIF('C311'!C9,"Aula 8")+COUNTIF('C312'!C9,"Aula 8"))&gt;0,"C3",IF((COUNTIF('C411'!C9,"Aula 8")+COUNTIF('C412'!C9,"Aula 8"))&gt;0,"C4",IF((COUNTIF('M111'!C9,"Aula 8")+COUNTIF('M112'!C9,"Aula 8"))&gt;0,"M1",IF((COUNTIF('M211'!C9,"Aula 8")+COUNTIF('M212'!C9,"Aula 8"))&gt;0,"M2",IF((COUNTIF('M311'!C9,"Aula 8"))&gt;0,"M3",IF((COUNTIF('M411'!C9,"Aula 8"))&gt;0,"M4",IF((COUNTIF('D111'!C9,"Aula 8")+COUNTIF('D112'!C9,"Aula 8"))&gt;0,"D1",IF((COUNTIF('D211'!C9,"Aula 8"))&gt;0,"D2",IF((COUNTIF('D311'!C9,"Aula 8"))&gt;0,"D3",IF((COUNTIF('D411'!C9,"Aula 8"))&gt;0,"D4","")))))))))))),"MIX"))</f>
        <v/>
      </c>
    </row>
    <row r="129">
      <c r="C129">
        <f>IF((IF((COUNTIF('C111'!C9,"Aula 9")+COUNTIF('C112'!C9,"Aula 9")+COUNTIF('C113'!C9,"Aula 9")+COUNTIF('C121'!C9,"Aula 9")+COUNTIF('C122'!C9,"Aula 9"))&gt;0,1,0)+IF((COUNTIF('C211'!C9,"Aula 9")+COUNTIF('C212'!C9,"Aula 9"))&gt;0,1,0)+IF((COUNTIF('C311'!C9,"Aula 9")+COUNTIF('C312'!C9,"Aula 9"))&gt;0,1,0)+IF((COUNTIF('C411'!C9,"Aula 9")+COUNTIF('C412'!C9,"Aula 9"))&gt;0,1,0)+IF((COUNTIF('M111'!C9,"Aula 9")+COUNTIF('M112'!C9,"Aula 9"))&gt;0,1,0)+IF((COUNTIF('M211'!C9,"Aula 9")+COUNTIF('M212'!C9,"Aula 9"))&gt;0,1,0)+IF((COUNTIF('M311'!C9,"Aula 9"))&gt;0,1,0)+IF((COUNTIF('M411'!C9,"Aula 9"))&gt;0,1,0)+IF((COUNTIF('D111'!C9,"Aula 9")+COUNTIF('D112'!C9,"Aula 9"))&gt;0,1,0)+IF((COUNTIF('D211'!C9,"Aula 9"))&gt;0,1,0)+IF((COUNTIF('D311'!C9,"Aula 9"))&gt;0,1,0)+IF((COUNTIF('D411'!C9,"Aula 9"))&gt;0,1,0))=0,"",IF((IF((COUNTIF('C111'!C9,"Aula 9")+COUNTIF('C112'!C9,"Aula 9")+COUNTIF('C113'!C9,"Aula 9")+COUNTIF('C121'!C9,"Aula 9")+COUNTIF('C122'!C9,"Aula 9"))&gt;0,1,0)+IF((COUNTIF('C211'!C9,"Aula 9")+COUNTIF('C212'!C9,"Aula 9"))&gt;0,1,0)+IF((COUNTIF('C311'!C9,"Aula 9")+COUNTIF('C312'!C9,"Aula 9"))&gt;0,1,0)+IF((COUNTIF('C411'!C9,"Aula 9")+COUNTIF('C412'!C9,"Aula 9"))&gt;0,1,0)+IF((COUNTIF('M111'!C9,"Aula 9")+COUNTIF('M112'!C9,"Aula 9"))&gt;0,1,0)+IF((COUNTIF('M211'!C9,"Aula 9")+COUNTIF('M212'!C9,"Aula 9"))&gt;0,1,0)+IF((COUNTIF('M311'!C9,"Aula 9"))&gt;0,1,0)+IF((COUNTIF('M411'!C9,"Aula 9"))&gt;0,1,0)+IF((COUNTIF('D111'!C9,"Aula 9")+COUNTIF('D112'!C9,"Aula 9"))&gt;0,1,0)+IF((COUNTIF('D211'!C9,"Aula 9"))&gt;0,1,0)+IF((COUNTIF('D311'!C9,"Aula 9"))&gt;0,1,0)+IF((COUNTIF('D411'!C9,"Aula 9"))&gt;0,1,0))=1,IF((COUNTIF('C111'!C9,"Aula 9")+COUNTIF('C112'!C9,"Aula 9")+COUNTIF('C113'!C9,"Aula 9")+COUNTIF('C121'!C9,"Aula 9")+COUNTIF('C122'!C9,"Aula 9"))&gt;0,"C1",IF((COUNTIF('C211'!C9,"Aula 9")+COUNTIF('C212'!C9,"Aula 9"))&gt;0,"C2",IF((COUNTIF('C311'!C9,"Aula 9")+COUNTIF('C312'!C9,"Aula 9"))&gt;0,"C3",IF((COUNTIF('C411'!C9,"Aula 9")+COUNTIF('C412'!C9,"Aula 9"))&gt;0,"C4",IF((COUNTIF('M111'!C9,"Aula 9")+COUNTIF('M112'!C9,"Aula 9"))&gt;0,"M1",IF((COUNTIF('M211'!C9,"Aula 9")+COUNTIF('M212'!C9,"Aula 9"))&gt;0,"M2",IF((COUNTIF('M311'!C9,"Aula 9"))&gt;0,"M3",IF((COUNTIF('M411'!C9,"Aula 9"))&gt;0,"M4",IF((COUNTIF('D111'!C9,"Aula 9")+COUNTIF('D112'!C9,"Aula 9"))&gt;0,"D1",IF((COUNTIF('D211'!C9,"Aula 9"))&gt;0,"D2",IF((COUNTIF('D311'!C9,"Aula 9"))&gt;0,"D3",IF((COUNTIF('D411'!C9,"Aula 9"))&gt;0,"D4","")))))))))))),"MIX"))</f>
        <v/>
      </c>
    </row>
    <row r="130">
      <c r="C130">
        <f>IF((IF((COUNTIF('C111'!C9,"Aula 10")+COUNTIF('C112'!C9,"Aula 10")+COUNTIF('C113'!C9,"Aula 10")+COUNTIF('C121'!C9,"Aula 10")+COUNTIF('C122'!C9,"Aula 10"))&gt;0,1,0)+IF((COUNTIF('C211'!C9,"Aula 10")+COUNTIF('C212'!C9,"Aula 10"))&gt;0,1,0)+IF((COUNTIF('C311'!C9,"Aula 10")+COUNTIF('C312'!C9,"Aula 10"))&gt;0,1,0)+IF((COUNTIF('C411'!C9,"Aula 10")+COUNTIF('C412'!C9,"Aula 10"))&gt;0,1,0)+IF((COUNTIF('M111'!C9,"Aula 10")+COUNTIF('M112'!C9,"Aula 10"))&gt;0,1,0)+IF((COUNTIF('M211'!C9,"Aula 10")+COUNTIF('M212'!C9,"Aula 10"))&gt;0,1,0)+IF((COUNTIF('M311'!C9,"Aula 10"))&gt;0,1,0)+IF((COUNTIF('M411'!C9,"Aula 10"))&gt;0,1,0)+IF((COUNTIF('D111'!C9,"Aula 10")+COUNTIF('D112'!C9,"Aula 10"))&gt;0,1,0)+IF((COUNTIF('D211'!C9,"Aula 10"))&gt;0,1,0)+IF((COUNTIF('D311'!C9,"Aula 10"))&gt;0,1,0)+IF((COUNTIF('D411'!C9,"Aula 10"))&gt;0,1,0))=0,"",IF((IF((COUNTIF('C111'!C9,"Aula 10")+COUNTIF('C112'!C9,"Aula 10")+COUNTIF('C113'!C9,"Aula 10")+COUNTIF('C121'!C9,"Aula 10")+COUNTIF('C122'!C9,"Aula 10"))&gt;0,1,0)+IF((COUNTIF('C211'!C9,"Aula 10")+COUNTIF('C212'!C9,"Aula 10"))&gt;0,1,0)+IF((COUNTIF('C311'!C9,"Aula 10")+COUNTIF('C312'!C9,"Aula 10"))&gt;0,1,0)+IF((COUNTIF('C411'!C9,"Aula 10")+COUNTIF('C412'!C9,"Aula 10"))&gt;0,1,0)+IF((COUNTIF('M111'!C9,"Aula 10")+COUNTIF('M112'!C9,"Aula 10"))&gt;0,1,0)+IF((COUNTIF('M211'!C9,"Aula 10")+COUNTIF('M212'!C9,"Aula 10"))&gt;0,1,0)+IF((COUNTIF('M311'!C9,"Aula 10"))&gt;0,1,0)+IF((COUNTIF('M411'!C9,"Aula 10"))&gt;0,1,0)+IF((COUNTIF('D111'!C9,"Aula 10")+COUNTIF('D112'!C9,"Aula 10"))&gt;0,1,0)+IF((COUNTIF('D211'!C9,"Aula 10"))&gt;0,1,0)+IF((COUNTIF('D311'!C9,"Aula 10"))&gt;0,1,0)+IF((COUNTIF('D411'!C9,"Aula 10"))&gt;0,1,0))=1,IF((COUNTIF('C111'!C9,"Aula 10")+COUNTIF('C112'!C9,"Aula 10")+COUNTIF('C113'!C9,"Aula 10")+COUNTIF('C121'!C9,"Aula 10")+COUNTIF('C122'!C9,"Aula 10"))&gt;0,"C1",IF((COUNTIF('C211'!C9,"Aula 10")+COUNTIF('C212'!C9,"Aula 10"))&gt;0,"C2",IF((COUNTIF('C311'!C9,"Aula 10")+COUNTIF('C312'!C9,"Aula 10"))&gt;0,"C3",IF((COUNTIF('C411'!C9,"Aula 10")+COUNTIF('C412'!C9,"Aula 10"))&gt;0,"C4",IF((COUNTIF('M111'!C9,"Aula 10")+COUNTIF('M112'!C9,"Aula 10"))&gt;0,"M1",IF((COUNTIF('M211'!C9,"Aula 10")+COUNTIF('M212'!C9,"Aula 10"))&gt;0,"M2",IF((COUNTIF('M311'!C9,"Aula 10"))&gt;0,"M3",IF((COUNTIF('M411'!C9,"Aula 10"))&gt;0,"M4",IF((COUNTIF('D111'!C9,"Aula 10")+COUNTIF('D112'!C9,"Aula 10"))&gt;0,"D1",IF((COUNTIF('D211'!C9,"Aula 10"))&gt;0,"D2",IF((COUNTIF('D311'!C9,"Aula 10"))&gt;0,"D3",IF((COUNTIF('D411'!C9,"Aula 10"))&gt;0,"D4","")))))))))))),"MIX"))</f>
        <v/>
      </c>
    </row>
    <row r="131">
      <c r="C131">
        <f>IF((IF((COUNTIF('C111'!C9,"Aula 11")+COUNTIF('C112'!C9,"Aula 11")+COUNTIF('C113'!C9,"Aula 11")+COUNTIF('C121'!C9,"Aula 11")+COUNTIF('C122'!C9,"Aula 11"))&gt;0,1,0)+IF((COUNTIF('C211'!C9,"Aula 11")+COUNTIF('C212'!C9,"Aula 11"))&gt;0,1,0)+IF((COUNTIF('C311'!C9,"Aula 11")+COUNTIF('C312'!C9,"Aula 11"))&gt;0,1,0)+IF((COUNTIF('C411'!C9,"Aula 11")+COUNTIF('C412'!C9,"Aula 11"))&gt;0,1,0)+IF((COUNTIF('M111'!C9,"Aula 11")+COUNTIF('M112'!C9,"Aula 11"))&gt;0,1,0)+IF((COUNTIF('M211'!C9,"Aula 11")+COUNTIF('M212'!C9,"Aula 11"))&gt;0,1,0)+IF((COUNTIF('M311'!C9,"Aula 11"))&gt;0,1,0)+IF((COUNTIF('M411'!C9,"Aula 11"))&gt;0,1,0)+IF((COUNTIF('D111'!C9,"Aula 11")+COUNTIF('D112'!C9,"Aula 11"))&gt;0,1,0)+IF((COUNTIF('D211'!C9,"Aula 11"))&gt;0,1,0)+IF((COUNTIF('D311'!C9,"Aula 11"))&gt;0,1,0)+IF((COUNTIF('D411'!C9,"Aula 11"))&gt;0,1,0))=0,"",IF((IF((COUNTIF('C111'!C9,"Aula 11")+COUNTIF('C112'!C9,"Aula 11")+COUNTIF('C113'!C9,"Aula 11")+COUNTIF('C121'!C9,"Aula 11")+COUNTIF('C122'!C9,"Aula 11"))&gt;0,1,0)+IF((COUNTIF('C211'!C9,"Aula 11")+COUNTIF('C212'!C9,"Aula 11"))&gt;0,1,0)+IF((COUNTIF('C311'!C9,"Aula 11")+COUNTIF('C312'!C9,"Aula 11"))&gt;0,1,0)+IF((COUNTIF('C411'!C9,"Aula 11")+COUNTIF('C412'!C9,"Aula 11"))&gt;0,1,0)+IF((COUNTIF('M111'!C9,"Aula 11")+COUNTIF('M112'!C9,"Aula 11"))&gt;0,1,0)+IF((COUNTIF('M211'!C9,"Aula 11")+COUNTIF('M212'!C9,"Aula 11"))&gt;0,1,0)+IF((COUNTIF('M311'!C9,"Aula 11"))&gt;0,1,0)+IF((COUNTIF('M411'!C9,"Aula 11"))&gt;0,1,0)+IF((COUNTIF('D111'!C9,"Aula 11")+COUNTIF('D112'!C9,"Aula 11"))&gt;0,1,0)+IF((COUNTIF('D211'!C9,"Aula 11"))&gt;0,1,0)+IF((COUNTIF('D311'!C9,"Aula 11"))&gt;0,1,0)+IF((COUNTIF('D411'!C9,"Aula 11"))&gt;0,1,0))=1,IF((COUNTIF('C111'!C9,"Aula 11")+COUNTIF('C112'!C9,"Aula 11")+COUNTIF('C113'!C9,"Aula 11")+COUNTIF('C121'!C9,"Aula 11")+COUNTIF('C122'!C9,"Aula 11"))&gt;0,"C1",IF((COUNTIF('C211'!C9,"Aula 11")+COUNTIF('C212'!C9,"Aula 11"))&gt;0,"C2",IF((COUNTIF('C311'!C9,"Aula 11")+COUNTIF('C312'!C9,"Aula 11"))&gt;0,"C3",IF((COUNTIF('C411'!C9,"Aula 11")+COUNTIF('C412'!C9,"Aula 11"))&gt;0,"C4",IF((COUNTIF('M111'!C9,"Aula 11")+COUNTIF('M112'!C9,"Aula 11"))&gt;0,"M1",IF((COUNTIF('M211'!C9,"Aula 11")+COUNTIF('M212'!C9,"Aula 11"))&gt;0,"M2",IF((COUNTIF('M311'!C9,"Aula 11"))&gt;0,"M3",IF((COUNTIF('M411'!C9,"Aula 11"))&gt;0,"M4",IF((COUNTIF('D111'!C9,"Aula 11")+COUNTIF('D112'!C9,"Aula 11"))&gt;0,"D1",IF((COUNTIF('D211'!C9,"Aula 11"))&gt;0,"D2",IF((COUNTIF('D311'!C9,"Aula 11"))&gt;0,"D3",IF((COUNTIF('D411'!C9,"Aula 11"))&gt;0,"D4","")))))))))))),"MIX"))</f>
        <v/>
      </c>
    </row>
    <row r="132">
      <c r="C132">
        <f>IF((IF((COUNTIF('C111'!C9,"Aula 12")+COUNTIF('C112'!C9,"Aula 12")+COUNTIF('C113'!C9,"Aula 12")+COUNTIF('C121'!C9,"Aula 12")+COUNTIF('C122'!C9,"Aula 12"))&gt;0,1,0)+IF((COUNTIF('C211'!C9,"Aula 12")+COUNTIF('C212'!C9,"Aula 12"))&gt;0,1,0)+IF((COUNTIF('C311'!C9,"Aula 12")+COUNTIF('C312'!C9,"Aula 12"))&gt;0,1,0)+IF((COUNTIF('C411'!C9,"Aula 12")+COUNTIF('C412'!C9,"Aula 12"))&gt;0,1,0)+IF((COUNTIF('M111'!C9,"Aula 12")+COUNTIF('M112'!C9,"Aula 12"))&gt;0,1,0)+IF((COUNTIF('M211'!C9,"Aula 12")+COUNTIF('M212'!C9,"Aula 12"))&gt;0,1,0)+IF((COUNTIF('M311'!C9,"Aula 12"))&gt;0,1,0)+IF((COUNTIF('M411'!C9,"Aula 12"))&gt;0,1,0)+IF((COUNTIF('D111'!C9,"Aula 12")+COUNTIF('D112'!C9,"Aula 12"))&gt;0,1,0)+IF((COUNTIF('D211'!C9,"Aula 12"))&gt;0,1,0)+IF((COUNTIF('D311'!C9,"Aula 12"))&gt;0,1,0)+IF((COUNTIF('D411'!C9,"Aula 12"))&gt;0,1,0))=0,"",IF((IF((COUNTIF('C111'!C9,"Aula 12")+COUNTIF('C112'!C9,"Aula 12")+COUNTIF('C113'!C9,"Aula 12")+COUNTIF('C121'!C9,"Aula 12")+COUNTIF('C122'!C9,"Aula 12"))&gt;0,1,0)+IF((COUNTIF('C211'!C9,"Aula 12")+COUNTIF('C212'!C9,"Aula 12"))&gt;0,1,0)+IF((COUNTIF('C311'!C9,"Aula 12")+COUNTIF('C312'!C9,"Aula 12"))&gt;0,1,0)+IF((COUNTIF('C411'!C9,"Aula 12")+COUNTIF('C412'!C9,"Aula 12"))&gt;0,1,0)+IF((COUNTIF('M111'!C9,"Aula 12")+COUNTIF('M112'!C9,"Aula 12"))&gt;0,1,0)+IF((COUNTIF('M211'!C9,"Aula 12")+COUNTIF('M212'!C9,"Aula 12"))&gt;0,1,0)+IF((COUNTIF('M311'!C9,"Aula 12"))&gt;0,1,0)+IF((COUNTIF('M411'!C9,"Aula 12"))&gt;0,1,0)+IF((COUNTIF('D111'!C9,"Aula 12")+COUNTIF('D112'!C9,"Aula 12"))&gt;0,1,0)+IF((COUNTIF('D211'!C9,"Aula 12"))&gt;0,1,0)+IF((COUNTIF('D311'!C9,"Aula 12"))&gt;0,1,0)+IF((COUNTIF('D411'!C9,"Aula 12"))&gt;0,1,0))=1,IF((COUNTIF('C111'!C9,"Aula 12")+COUNTIF('C112'!C9,"Aula 12")+COUNTIF('C113'!C9,"Aula 12")+COUNTIF('C121'!C9,"Aula 12")+COUNTIF('C122'!C9,"Aula 12"))&gt;0,"C1",IF((COUNTIF('C211'!C9,"Aula 12")+COUNTIF('C212'!C9,"Aula 12"))&gt;0,"C2",IF((COUNTIF('C311'!C9,"Aula 12")+COUNTIF('C312'!C9,"Aula 12"))&gt;0,"C3",IF((COUNTIF('C411'!C9,"Aula 12")+COUNTIF('C412'!C9,"Aula 12"))&gt;0,"C4",IF((COUNTIF('M111'!C9,"Aula 12")+COUNTIF('M112'!C9,"Aula 12"))&gt;0,"M1",IF((COUNTIF('M211'!C9,"Aula 12")+COUNTIF('M212'!C9,"Aula 12"))&gt;0,"M2",IF((COUNTIF('M311'!C9,"Aula 12"))&gt;0,"M3",IF((COUNTIF('M411'!C9,"Aula 12"))&gt;0,"M4",IF((COUNTIF('D111'!C9,"Aula 12")+COUNTIF('D112'!C9,"Aula 12"))&gt;0,"D1",IF((COUNTIF('D211'!C9,"Aula 12"))&gt;0,"D2",IF((COUNTIF('D311'!C9,"Aula 12"))&gt;0,"D3",IF((COUNTIF('D411'!C9,"Aula 12"))&gt;0,"D4","")))))))))))),"MIX"))</f>
        <v/>
      </c>
    </row>
    <row r="133">
      <c r="C133">
        <f>IF((IF((COUNTIF('C111'!C9,"Lab 1")+COUNTIF('C112'!C9,"Lab 1")+COUNTIF('C113'!C9,"Lab 1")+COUNTIF('C121'!C9,"Lab 1")+COUNTIF('C122'!C9,"Lab 1"))&gt;0,1,0)+IF((COUNTIF('C211'!C9,"Lab 1")+COUNTIF('C212'!C9,"Lab 1"))&gt;0,1,0)+IF((COUNTIF('C311'!C9,"Lab 1")+COUNTIF('C312'!C9,"Lab 1"))&gt;0,1,0)+IF((COUNTIF('C411'!C9,"Lab 1")+COUNTIF('C412'!C9,"Lab 1"))&gt;0,1,0)+IF((COUNTIF('M111'!C9,"Lab 1")+COUNTIF('M112'!C9,"Lab 1"))&gt;0,1,0)+IF((COUNTIF('M211'!C9,"Lab 1")+COUNTIF('M212'!C9,"Lab 1"))&gt;0,1,0)+IF((COUNTIF('M311'!C9,"Lab 1"))&gt;0,1,0)+IF((COUNTIF('M411'!C9,"Lab 1"))&gt;0,1,0)+IF((COUNTIF('D111'!C9,"Lab 1")+COUNTIF('D112'!C9,"Lab 1"))&gt;0,1,0)+IF((COUNTIF('D211'!C9,"Lab 1"))&gt;0,1,0)+IF((COUNTIF('D311'!C9,"Lab 1"))&gt;0,1,0)+IF((COUNTIF('D411'!C9,"Lab 1"))&gt;0,1,0))=0,"",IF((IF((COUNTIF('C111'!C9,"Lab 1")+COUNTIF('C112'!C9,"Lab 1")+COUNTIF('C113'!C9,"Lab 1")+COUNTIF('C121'!C9,"Lab 1")+COUNTIF('C122'!C9,"Lab 1"))&gt;0,1,0)+IF((COUNTIF('C211'!C9,"Lab 1")+COUNTIF('C212'!C9,"Lab 1"))&gt;0,1,0)+IF((COUNTIF('C311'!C9,"Lab 1")+COUNTIF('C312'!C9,"Lab 1"))&gt;0,1,0)+IF((COUNTIF('C411'!C9,"Lab 1")+COUNTIF('C412'!C9,"Lab 1"))&gt;0,1,0)+IF((COUNTIF('M111'!C9,"Lab 1")+COUNTIF('M112'!C9,"Lab 1"))&gt;0,1,0)+IF((COUNTIF('M211'!C9,"Lab 1")+COUNTIF('M212'!C9,"Lab 1"))&gt;0,1,0)+IF((COUNTIF('M311'!C9,"Lab 1"))&gt;0,1,0)+IF((COUNTIF('M411'!C9,"Lab 1"))&gt;0,1,0)+IF((COUNTIF('D111'!C9,"Lab 1")+COUNTIF('D112'!C9,"Lab 1"))&gt;0,1,0)+IF((COUNTIF('D211'!C9,"Lab 1"))&gt;0,1,0)+IF((COUNTIF('D311'!C9,"Lab 1"))&gt;0,1,0)+IF((COUNTIF('D411'!C9,"Lab 1"))&gt;0,1,0))=1,IF((COUNTIF('C111'!C9,"Lab 1")+COUNTIF('C112'!C9,"Lab 1")+COUNTIF('C113'!C9,"Lab 1")+COUNTIF('C121'!C9,"Lab 1")+COUNTIF('C122'!C9,"Lab 1"))&gt;0,"C1",IF((COUNTIF('C211'!C9,"Lab 1")+COUNTIF('C212'!C9,"Lab 1"))&gt;0,"C2",IF((COUNTIF('C311'!C9,"Lab 1")+COUNTIF('C312'!C9,"Lab 1"))&gt;0,"C3",IF((COUNTIF('C411'!C9,"Lab 1")+COUNTIF('C412'!C9,"Lab 1"))&gt;0,"C4",IF((COUNTIF('M111'!C9,"Lab 1")+COUNTIF('M112'!C9,"Lab 1"))&gt;0,"M1",IF((COUNTIF('M211'!C9,"Lab 1")+COUNTIF('M212'!C9,"Lab 1"))&gt;0,"M2",IF((COUNTIF('M311'!C9,"Lab 1"))&gt;0,"M3",IF((COUNTIF('M411'!C9,"Lab 1"))&gt;0,"M4",IF((COUNTIF('D111'!C9,"Lab 1")+COUNTIF('D112'!C9,"Lab 1"))&gt;0,"D1",IF((COUNTIF('D211'!C9,"Lab 1"))&gt;0,"D2",IF((COUNTIF('D311'!C9,"Lab 1"))&gt;0,"D3",IF((COUNTIF('D411'!C9,"Lab 1"))&gt;0,"D4","")))))))))))),"MIX"))</f>
        <v/>
      </c>
    </row>
    <row r="134">
      <c r="C134">
        <f>IF((IF((COUNTIF('C111'!C9,"Lab 2")+COUNTIF('C112'!C9,"Lab 2")+COUNTIF('C113'!C9,"Lab 2")+COUNTIF('C121'!C9,"Lab 2")+COUNTIF('C122'!C9,"Lab 2"))&gt;0,1,0)+IF((COUNTIF('C211'!C9,"Lab 2")+COUNTIF('C212'!C9,"Lab 2"))&gt;0,1,0)+IF((COUNTIF('C311'!C9,"Lab 2")+COUNTIF('C312'!C9,"Lab 2"))&gt;0,1,0)+IF((COUNTIF('C411'!C9,"Lab 2")+COUNTIF('C412'!C9,"Lab 2"))&gt;0,1,0)+IF((COUNTIF('M111'!C9,"Lab 2")+COUNTIF('M112'!C9,"Lab 2"))&gt;0,1,0)+IF((COUNTIF('M211'!C9,"Lab 2")+COUNTIF('M212'!C9,"Lab 2"))&gt;0,1,0)+IF((COUNTIF('M311'!C9,"Lab 2"))&gt;0,1,0)+IF((COUNTIF('M411'!C9,"Lab 2"))&gt;0,1,0)+IF((COUNTIF('D111'!C9,"Lab 2")+COUNTIF('D112'!C9,"Lab 2"))&gt;0,1,0)+IF((COUNTIF('D211'!C9,"Lab 2"))&gt;0,1,0)+IF((COUNTIF('D311'!C9,"Lab 2"))&gt;0,1,0)+IF((COUNTIF('D411'!C9,"Lab 2"))&gt;0,1,0))=0,"",IF((IF((COUNTIF('C111'!C9,"Lab 2")+COUNTIF('C112'!C9,"Lab 2")+COUNTIF('C113'!C9,"Lab 2")+COUNTIF('C121'!C9,"Lab 2")+COUNTIF('C122'!C9,"Lab 2"))&gt;0,1,0)+IF((COUNTIF('C211'!C9,"Lab 2")+COUNTIF('C212'!C9,"Lab 2"))&gt;0,1,0)+IF((COUNTIF('C311'!C9,"Lab 2")+COUNTIF('C312'!C9,"Lab 2"))&gt;0,1,0)+IF((COUNTIF('C411'!C9,"Lab 2")+COUNTIF('C412'!C9,"Lab 2"))&gt;0,1,0)+IF((COUNTIF('M111'!C9,"Lab 2")+COUNTIF('M112'!C9,"Lab 2"))&gt;0,1,0)+IF((COUNTIF('M211'!C9,"Lab 2")+COUNTIF('M212'!C9,"Lab 2"))&gt;0,1,0)+IF((COUNTIF('M311'!C9,"Lab 2"))&gt;0,1,0)+IF((COUNTIF('M411'!C9,"Lab 2"))&gt;0,1,0)+IF((COUNTIF('D111'!C9,"Lab 2")+COUNTIF('D112'!C9,"Lab 2"))&gt;0,1,0)+IF((COUNTIF('D211'!C9,"Lab 2"))&gt;0,1,0)+IF((COUNTIF('D311'!C9,"Lab 2"))&gt;0,1,0)+IF((COUNTIF('D411'!C9,"Lab 2"))&gt;0,1,0))=1,IF((COUNTIF('C111'!C9,"Lab 2")+COUNTIF('C112'!C9,"Lab 2")+COUNTIF('C113'!C9,"Lab 2")+COUNTIF('C121'!C9,"Lab 2")+COUNTIF('C122'!C9,"Lab 2"))&gt;0,"C1",IF((COUNTIF('C211'!C9,"Lab 2")+COUNTIF('C212'!C9,"Lab 2"))&gt;0,"C2",IF((COUNTIF('C311'!C9,"Lab 2")+COUNTIF('C312'!C9,"Lab 2"))&gt;0,"C3",IF((COUNTIF('C411'!C9,"Lab 2")+COUNTIF('C412'!C9,"Lab 2"))&gt;0,"C4",IF((COUNTIF('M111'!C9,"Lab 2")+COUNTIF('M112'!C9,"Lab 2"))&gt;0,"M1",IF((COUNTIF('M211'!C9,"Lab 2")+COUNTIF('M212'!C9,"Lab 2"))&gt;0,"M2",IF((COUNTIF('M311'!C9,"Lab 2"))&gt;0,"M3",IF((COUNTIF('M411'!C9,"Lab 2"))&gt;0,"M4",IF((COUNTIF('D111'!C9,"Lab 2")+COUNTIF('D112'!C9,"Lab 2"))&gt;0,"D1",IF((COUNTIF('D211'!C9,"Lab 2"))&gt;0,"D2",IF((COUNTIF('D311'!C9,"Lab 2"))&gt;0,"D3",IF((COUNTIF('D411'!C9,"Lab 2"))&gt;0,"D4","")))))))))))),"MIX"))</f>
        <v/>
      </c>
    </row>
    <row r="135">
      <c r="C135">
        <f>IF((IF((COUNTIF('C111'!C9,"Salón")+COUNTIF('C112'!C9,"Salón")+COUNTIF('C113'!C9,"Salón")+COUNTIF('C121'!C9,"Salón")+COUNTIF('C122'!C9,"Salón"))&gt;0,1,0)+IF((COUNTIF('C211'!C9,"Salón")+COUNTIF('C212'!C9,"Salón"))&gt;0,1,0)+IF((COUNTIF('C311'!C9,"Salón")+COUNTIF('C312'!C9,"Salón"))&gt;0,1,0)+IF((COUNTIF('C411'!C9,"Salón")+COUNTIF('C412'!C9,"Salón"))&gt;0,1,0)+IF((COUNTIF('M111'!C9,"Salón")+COUNTIF('M112'!C9,"Salón"))&gt;0,1,0)+IF((COUNTIF('M211'!C9,"Salón")+COUNTIF('M212'!C9,"Salón"))&gt;0,1,0)+IF((COUNTIF('M311'!C9,"Salón"))&gt;0,1,0)+IF((COUNTIF('M411'!C9,"Salón"))&gt;0,1,0)+IF((COUNTIF('D111'!C9,"Salón")+COUNTIF('D112'!C9,"Salón"))&gt;0,1,0)+IF((COUNTIF('D211'!C9,"Salón"))&gt;0,1,0)+IF((COUNTIF('D311'!C9,"Salón"))&gt;0,1,0)+IF((COUNTIF('D411'!C9,"Salón"))&gt;0,1,0))=0,"",IF((IF((COUNTIF('C111'!C9,"Salón")+COUNTIF('C112'!C9,"Salón")+COUNTIF('C113'!C9,"Salón")+COUNTIF('C121'!C9,"Salón")+COUNTIF('C122'!C9,"Salón"))&gt;0,1,0)+IF((COUNTIF('C211'!C9,"Salón")+COUNTIF('C212'!C9,"Salón"))&gt;0,1,0)+IF((COUNTIF('C311'!C9,"Salón")+COUNTIF('C312'!C9,"Salón"))&gt;0,1,0)+IF((COUNTIF('C411'!C9,"Salón")+COUNTIF('C412'!C9,"Salón"))&gt;0,1,0)+IF((COUNTIF('M111'!C9,"Salón")+COUNTIF('M112'!C9,"Salón"))&gt;0,1,0)+IF((COUNTIF('M211'!C9,"Salón")+COUNTIF('M212'!C9,"Salón"))&gt;0,1,0)+IF((COUNTIF('M311'!C9,"Salón"))&gt;0,1,0)+IF((COUNTIF('M411'!C9,"Salón"))&gt;0,1,0)+IF((COUNTIF('D111'!C9,"Salón")+COUNTIF('D112'!C9,"Salón"))&gt;0,1,0)+IF((COUNTIF('D211'!C9,"Salón"))&gt;0,1,0)+IF((COUNTIF('D311'!C9,"Salón"))&gt;0,1,0)+IF((COUNTIF('D411'!C9,"Salón"))&gt;0,1,0))=1,IF((COUNTIF('C111'!C9,"Salón")+COUNTIF('C112'!C9,"Salón")+COUNTIF('C113'!C9,"Salón")+COUNTIF('C121'!C9,"Salón")+COUNTIF('C122'!C9,"Salón"))&gt;0,"C1",IF((COUNTIF('C211'!C9,"Salón")+COUNTIF('C212'!C9,"Salón"))&gt;0,"C2",IF((COUNTIF('C311'!C9,"Salón")+COUNTIF('C312'!C9,"Salón"))&gt;0,"C3",IF((COUNTIF('C411'!C9,"Salón")+COUNTIF('C412'!C9,"Salón"))&gt;0,"C4",IF((COUNTIF('M111'!C9,"Salón")+COUNTIF('M112'!C9,"Salón"))&gt;0,"M1",IF((COUNTIF('M211'!C9,"Salón")+COUNTIF('M212'!C9,"Salón"))&gt;0,"M2",IF((COUNTIF('M311'!C9,"Salón"))&gt;0,"M3",IF((COUNTIF('M411'!C9,"Salón"))&gt;0,"M4",IF((COUNTIF('D111'!C9,"Salón")+COUNTIF('D112'!C9,"Salón"))&gt;0,"D1",IF((COUNTIF('D211'!C9,"Salón"))&gt;0,"D2",IF((COUNTIF('D311'!C9,"Salón"))&gt;0,"D3",IF((COUNTIF('D411'!C9,"Salón"))&gt;0,"D4","")))))))))))),"MIX"))</f>
        <v/>
      </c>
    </row>
    <row r="136">
      <c r="C136">
        <f>IF((IF((COUNTIF('C111'!C11,"Aula 1")+COUNTIF('C112'!C11,"Aula 1")+COUNTIF('C113'!C11,"Aula 1")+COUNTIF('C121'!C11,"Aula 1")+COUNTIF('C122'!C11,"Aula 1"))&gt;0,1,0)+IF((COUNTIF('C211'!C11,"Aula 1")+COUNTIF('C212'!C11,"Aula 1"))&gt;0,1,0)+IF((COUNTIF('C311'!C11,"Aula 1")+COUNTIF('C312'!C11,"Aula 1"))&gt;0,1,0)+IF((COUNTIF('C411'!C11,"Aula 1")+COUNTIF('C412'!C11,"Aula 1"))&gt;0,1,0)+IF((COUNTIF('M111'!C11,"Aula 1")+COUNTIF('M112'!C11,"Aula 1"))&gt;0,1,0)+IF((COUNTIF('M211'!C11,"Aula 1")+COUNTIF('M212'!C11,"Aula 1"))&gt;0,1,0)+IF((COUNTIF('M311'!C11,"Aula 1"))&gt;0,1,0)+IF((COUNTIF('M411'!C11,"Aula 1"))&gt;0,1,0)+IF((COUNTIF('D111'!C11,"Aula 1")+COUNTIF('D112'!C11,"Aula 1"))&gt;0,1,0)+IF((COUNTIF('D211'!C11,"Aula 1"))&gt;0,1,0)+IF((COUNTIF('D311'!C11,"Aula 1"))&gt;0,1,0)+IF((COUNTIF('D411'!C11,"Aula 1"))&gt;0,1,0))=0,"",IF((IF((COUNTIF('C111'!C11,"Aula 1")+COUNTIF('C112'!C11,"Aula 1")+COUNTIF('C113'!C11,"Aula 1")+COUNTIF('C121'!C11,"Aula 1")+COUNTIF('C122'!C11,"Aula 1"))&gt;0,1,0)+IF((COUNTIF('C211'!C11,"Aula 1")+COUNTIF('C212'!C11,"Aula 1"))&gt;0,1,0)+IF((COUNTIF('C311'!C11,"Aula 1")+COUNTIF('C312'!C11,"Aula 1"))&gt;0,1,0)+IF((COUNTIF('C411'!C11,"Aula 1")+COUNTIF('C412'!C11,"Aula 1"))&gt;0,1,0)+IF((COUNTIF('M111'!C11,"Aula 1")+COUNTIF('M112'!C11,"Aula 1"))&gt;0,1,0)+IF((COUNTIF('M211'!C11,"Aula 1")+COUNTIF('M212'!C11,"Aula 1"))&gt;0,1,0)+IF((COUNTIF('M311'!C11,"Aula 1"))&gt;0,1,0)+IF((COUNTIF('M411'!C11,"Aula 1"))&gt;0,1,0)+IF((COUNTIF('D111'!C11,"Aula 1")+COUNTIF('D112'!C11,"Aula 1"))&gt;0,1,0)+IF((COUNTIF('D211'!C11,"Aula 1"))&gt;0,1,0)+IF((COUNTIF('D311'!C11,"Aula 1"))&gt;0,1,0)+IF((COUNTIF('D411'!C11,"Aula 1"))&gt;0,1,0))=1,IF((COUNTIF('C111'!C11,"Aula 1")+COUNTIF('C112'!C11,"Aula 1")+COUNTIF('C113'!C11,"Aula 1")+COUNTIF('C121'!C11,"Aula 1")+COUNTIF('C122'!C11,"Aula 1"))&gt;0,"C1",IF((COUNTIF('C211'!C11,"Aula 1")+COUNTIF('C212'!C11,"Aula 1"))&gt;0,"C2",IF((COUNTIF('C311'!C11,"Aula 1")+COUNTIF('C312'!C11,"Aula 1"))&gt;0,"C3",IF((COUNTIF('C411'!C11,"Aula 1")+COUNTIF('C412'!C11,"Aula 1"))&gt;0,"C4",IF((COUNTIF('M111'!C11,"Aula 1")+COUNTIF('M112'!C11,"Aula 1"))&gt;0,"M1",IF((COUNTIF('M211'!C11,"Aula 1")+COUNTIF('M212'!C11,"Aula 1"))&gt;0,"M2",IF((COUNTIF('M311'!C11,"Aula 1"))&gt;0,"M3",IF((COUNTIF('M411'!C11,"Aula 1"))&gt;0,"M4",IF((COUNTIF('D111'!C11,"Aula 1")+COUNTIF('D112'!C11,"Aula 1"))&gt;0,"D1",IF((COUNTIF('D211'!C11,"Aula 1"))&gt;0,"D2",IF((COUNTIF('D311'!C11,"Aula 1"))&gt;0,"D3",IF((COUNTIF('D411'!C11,"Aula 1"))&gt;0,"D4","")))))))))))),"MIX"))</f>
        <v/>
      </c>
    </row>
    <row r="137">
      <c r="C137">
        <f>IF((IF((COUNTIF('C111'!C11,"Aula 2")+COUNTIF('C112'!C11,"Aula 2")+COUNTIF('C113'!C11,"Aula 2")+COUNTIF('C121'!C11,"Aula 2")+COUNTIF('C122'!C11,"Aula 2"))&gt;0,1,0)+IF((COUNTIF('C211'!C11,"Aula 2")+COUNTIF('C212'!C11,"Aula 2"))&gt;0,1,0)+IF((COUNTIF('C311'!C11,"Aula 2")+COUNTIF('C312'!C11,"Aula 2"))&gt;0,1,0)+IF((COUNTIF('C411'!C11,"Aula 2")+COUNTIF('C412'!C11,"Aula 2"))&gt;0,1,0)+IF((COUNTIF('M111'!C11,"Aula 2")+COUNTIF('M112'!C11,"Aula 2"))&gt;0,1,0)+IF((COUNTIF('M211'!C11,"Aula 2")+COUNTIF('M212'!C11,"Aula 2"))&gt;0,1,0)+IF((COUNTIF('M311'!C11,"Aula 2"))&gt;0,1,0)+IF((COUNTIF('M411'!C11,"Aula 2"))&gt;0,1,0)+IF((COUNTIF('D111'!C11,"Aula 2")+COUNTIF('D112'!C11,"Aula 2"))&gt;0,1,0)+IF((COUNTIF('D211'!C11,"Aula 2"))&gt;0,1,0)+IF((COUNTIF('D311'!C11,"Aula 2"))&gt;0,1,0)+IF((COUNTIF('D411'!C11,"Aula 2"))&gt;0,1,0))=0,"",IF((IF((COUNTIF('C111'!C11,"Aula 2")+COUNTIF('C112'!C11,"Aula 2")+COUNTIF('C113'!C11,"Aula 2")+COUNTIF('C121'!C11,"Aula 2")+COUNTIF('C122'!C11,"Aula 2"))&gt;0,1,0)+IF((COUNTIF('C211'!C11,"Aula 2")+COUNTIF('C212'!C11,"Aula 2"))&gt;0,1,0)+IF((COUNTIF('C311'!C11,"Aula 2")+COUNTIF('C312'!C11,"Aula 2"))&gt;0,1,0)+IF((COUNTIF('C411'!C11,"Aula 2")+COUNTIF('C412'!C11,"Aula 2"))&gt;0,1,0)+IF((COUNTIF('M111'!C11,"Aula 2")+COUNTIF('M112'!C11,"Aula 2"))&gt;0,1,0)+IF((COUNTIF('M211'!C11,"Aula 2")+COUNTIF('M212'!C11,"Aula 2"))&gt;0,1,0)+IF((COUNTIF('M311'!C11,"Aula 2"))&gt;0,1,0)+IF((COUNTIF('M411'!C11,"Aula 2"))&gt;0,1,0)+IF((COUNTIF('D111'!C11,"Aula 2")+COUNTIF('D112'!C11,"Aula 2"))&gt;0,1,0)+IF((COUNTIF('D211'!C11,"Aula 2"))&gt;0,1,0)+IF((COUNTIF('D311'!C11,"Aula 2"))&gt;0,1,0)+IF((COUNTIF('D411'!C11,"Aula 2"))&gt;0,1,0))=1,IF((COUNTIF('C111'!C11,"Aula 2")+COUNTIF('C112'!C11,"Aula 2")+COUNTIF('C113'!C11,"Aula 2")+COUNTIF('C121'!C11,"Aula 2")+COUNTIF('C122'!C11,"Aula 2"))&gt;0,"C1",IF((COUNTIF('C211'!C11,"Aula 2")+COUNTIF('C212'!C11,"Aula 2"))&gt;0,"C2",IF((COUNTIF('C311'!C11,"Aula 2")+COUNTIF('C312'!C11,"Aula 2"))&gt;0,"C3",IF((COUNTIF('C411'!C11,"Aula 2")+COUNTIF('C412'!C11,"Aula 2"))&gt;0,"C4",IF((COUNTIF('M111'!C11,"Aula 2")+COUNTIF('M112'!C11,"Aula 2"))&gt;0,"M1",IF((COUNTIF('M211'!C11,"Aula 2")+COUNTIF('M212'!C11,"Aula 2"))&gt;0,"M2",IF((COUNTIF('M311'!C11,"Aula 2"))&gt;0,"M3",IF((COUNTIF('M411'!C11,"Aula 2"))&gt;0,"M4",IF((COUNTIF('D111'!C11,"Aula 2")+COUNTIF('D112'!C11,"Aula 2"))&gt;0,"D1",IF((COUNTIF('D211'!C11,"Aula 2"))&gt;0,"D2",IF((COUNTIF('D311'!C11,"Aula 2"))&gt;0,"D3",IF((COUNTIF('D411'!C11,"Aula 2"))&gt;0,"D4","")))))))))))),"MIX"))</f>
        <v/>
      </c>
    </row>
    <row r="138">
      <c r="C138">
        <f>IF((IF((COUNTIF('C111'!C11,"Aula 3")+COUNTIF('C112'!C11,"Aula 3")+COUNTIF('C113'!C11,"Aula 3")+COUNTIF('C121'!C11,"Aula 3")+COUNTIF('C122'!C11,"Aula 3"))&gt;0,1,0)+IF((COUNTIF('C211'!C11,"Aula 3")+COUNTIF('C212'!C11,"Aula 3"))&gt;0,1,0)+IF((COUNTIF('C311'!C11,"Aula 3")+COUNTIF('C312'!C11,"Aula 3"))&gt;0,1,0)+IF((COUNTIF('C411'!C11,"Aula 3")+COUNTIF('C412'!C11,"Aula 3"))&gt;0,1,0)+IF((COUNTIF('M111'!C11,"Aula 3")+COUNTIF('M112'!C11,"Aula 3"))&gt;0,1,0)+IF((COUNTIF('M211'!C11,"Aula 3")+COUNTIF('M212'!C11,"Aula 3"))&gt;0,1,0)+IF((COUNTIF('M311'!C11,"Aula 3"))&gt;0,1,0)+IF((COUNTIF('M411'!C11,"Aula 3"))&gt;0,1,0)+IF((COUNTIF('D111'!C11,"Aula 3")+COUNTIF('D112'!C11,"Aula 3"))&gt;0,1,0)+IF((COUNTIF('D211'!C11,"Aula 3"))&gt;0,1,0)+IF((COUNTIF('D311'!C11,"Aula 3"))&gt;0,1,0)+IF((COUNTIF('D411'!C11,"Aula 3"))&gt;0,1,0))=0,"",IF((IF((COUNTIF('C111'!C11,"Aula 3")+COUNTIF('C112'!C11,"Aula 3")+COUNTIF('C113'!C11,"Aula 3")+COUNTIF('C121'!C11,"Aula 3")+COUNTIF('C122'!C11,"Aula 3"))&gt;0,1,0)+IF((COUNTIF('C211'!C11,"Aula 3")+COUNTIF('C212'!C11,"Aula 3"))&gt;0,1,0)+IF((COUNTIF('C311'!C11,"Aula 3")+COUNTIF('C312'!C11,"Aula 3"))&gt;0,1,0)+IF((COUNTIF('C411'!C11,"Aula 3")+COUNTIF('C412'!C11,"Aula 3"))&gt;0,1,0)+IF((COUNTIF('M111'!C11,"Aula 3")+COUNTIF('M112'!C11,"Aula 3"))&gt;0,1,0)+IF((COUNTIF('M211'!C11,"Aula 3")+COUNTIF('M212'!C11,"Aula 3"))&gt;0,1,0)+IF((COUNTIF('M311'!C11,"Aula 3"))&gt;0,1,0)+IF((COUNTIF('M411'!C11,"Aula 3"))&gt;0,1,0)+IF((COUNTIF('D111'!C11,"Aula 3")+COUNTIF('D112'!C11,"Aula 3"))&gt;0,1,0)+IF((COUNTIF('D211'!C11,"Aula 3"))&gt;0,1,0)+IF((COUNTIF('D311'!C11,"Aula 3"))&gt;0,1,0)+IF((COUNTIF('D411'!C11,"Aula 3"))&gt;0,1,0))=1,IF((COUNTIF('C111'!C11,"Aula 3")+COUNTIF('C112'!C11,"Aula 3")+COUNTIF('C113'!C11,"Aula 3")+COUNTIF('C121'!C11,"Aula 3")+COUNTIF('C122'!C11,"Aula 3"))&gt;0,"C1",IF((COUNTIF('C211'!C11,"Aula 3")+COUNTIF('C212'!C11,"Aula 3"))&gt;0,"C2",IF((COUNTIF('C311'!C11,"Aula 3")+COUNTIF('C312'!C11,"Aula 3"))&gt;0,"C3",IF((COUNTIF('C411'!C11,"Aula 3")+COUNTIF('C412'!C11,"Aula 3"))&gt;0,"C4",IF((COUNTIF('M111'!C11,"Aula 3")+COUNTIF('M112'!C11,"Aula 3"))&gt;0,"M1",IF((COUNTIF('M211'!C11,"Aula 3")+COUNTIF('M212'!C11,"Aula 3"))&gt;0,"M2",IF((COUNTIF('M311'!C11,"Aula 3"))&gt;0,"M3",IF((COUNTIF('M411'!C11,"Aula 3"))&gt;0,"M4",IF((COUNTIF('D111'!C11,"Aula 3")+COUNTIF('D112'!C11,"Aula 3"))&gt;0,"D1",IF((COUNTIF('D211'!C11,"Aula 3"))&gt;0,"D2",IF((COUNTIF('D311'!C11,"Aula 3"))&gt;0,"D3",IF((COUNTIF('D411'!C11,"Aula 3"))&gt;0,"D4","")))))))))))),"MIX"))</f>
        <v/>
      </c>
    </row>
    <row r="139">
      <c r="C139">
        <f>IF((IF((COUNTIF('C111'!C11,"Aula 4")+COUNTIF('C112'!C11,"Aula 4")+COUNTIF('C113'!C11,"Aula 4")+COUNTIF('C121'!C11,"Aula 4")+COUNTIF('C122'!C11,"Aula 4"))&gt;0,1,0)+IF((COUNTIF('C211'!C11,"Aula 4")+COUNTIF('C212'!C11,"Aula 4"))&gt;0,1,0)+IF((COUNTIF('C311'!C11,"Aula 4")+COUNTIF('C312'!C11,"Aula 4"))&gt;0,1,0)+IF((COUNTIF('C411'!C11,"Aula 4")+COUNTIF('C412'!C11,"Aula 4"))&gt;0,1,0)+IF((COUNTIF('M111'!C11,"Aula 4")+COUNTIF('M112'!C11,"Aula 4"))&gt;0,1,0)+IF((COUNTIF('M211'!C11,"Aula 4")+COUNTIF('M212'!C11,"Aula 4"))&gt;0,1,0)+IF((COUNTIF('M311'!C11,"Aula 4"))&gt;0,1,0)+IF((COUNTIF('M411'!C11,"Aula 4"))&gt;0,1,0)+IF((COUNTIF('D111'!C11,"Aula 4")+COUNTIF('D112'!C11,"Aula 4"))&gt;0,1,0)+IF((COUNTIF('D211'!C11,"Aula 4"))&gt;0,1,0)+IF((COUNTIF('D311'!C11,"Aula 4"))&gt;0,1,0)+IF((COUNTIF('D411'!C11,"Aula 4"))&gt;0,1,0))=0,"",IF((IF((COUNTIF('C111'!C11,"Aula 4")+COUNTIF('C112'!C11,"Aula 4")+COUNTIF('C113'!C11,"Aula 4")+COUNTIF('C121'!C11,"Aula 4")+COUNTIF('C122'!C11,"Aula 4"))&gt;0,1,0)+IF((COUNTIF('C211'!C11,"Aula 4")+COUNTIF('C212'!C11,"Aula 4"))&gt;0,1,0)+IF((COUNTIF('C311'!C11,"Aula 4")+COUNTIF('C312'!C11,"Aula 4"))&gt;0,1,0)+IF((COUNTIF('C411'!C11,"Aula 4")+COUNTIF('C412'!C11,"Aula 4"))&gt;0,1,0)+IF((COUNTIF('M111'!C11,"Aula 4")+COUNTIF('M112'!C11,"Aula 4"))&gt;0,1,0)+IF((COUNTIF('M211'!C11,"Aula 4")+COUNTIF('M212'!C11,"Aula 4"))&gt;0,1,0)+IF((COUNTIF('M311'!C11,"Aula 4"))&gt;0,1,0)+IF((COUNTIF('M411'!C11,"Aula 4"))&gt;0,1,0)+IF((COUNTIF('D111'!C11,"Aula 4")+COUNTIF('D112'!C11,"Aula 4"))&gt;0,1,0)+IF((COUNTIF('D211'!C11,"Aula 4"))&gt;0,1,0)+IF((COUNTIF('D311'!C11,"Aula 4"))&gt;0,1,0)+IF((COUNTIF('D411'!C11,"Aula 4"))&gt;0,1,0))=1,IF((COUNTIF('C111'!C11,"Aula 4")+COUNTIF('C112'!C11,"Aula 4")+COUNTIF('C113'!C11,"Aula 4")+COUNTIF('C121'!C11,"Aula 4")+COUNTIF('C122'!C11,"Aula 4"))&gt;0,"C1",IF((COUNTIF('C211'!C11,"Aula 4")+COUNTIF('C212'!C11,"Aula 4"))&gt;0,"C2",IF((COUNTIF('C311'!C11,"Aula 4")+COUNTIF('C312'!C11,"Aula 4"))&gt;0,"C3",IF((COUNTIF('C411'!C11,"Aula 4")+COUNTIF('C412'!C11,"Aula 4"))&gt;0,"C4",IF((COUNTIF('M111'!C11,"Aula 4")+COUNTIF('M112'!C11,"Aula 4"))&gt;0,"M1",IF((COUNTIF('M211'!C11,"Aula 4")+COUNTIF('M212'!C11,"Aula 4"))&gt;0,"M2",IF((COUNTIF('M311'!C11,"Aula 4"))&gt;0,"M3",IF((COUNTIF('M411'!C11,"Aula 4"))&gt;0,"M4",IF((COUNTIF('D111'!C11,"Aula 4")+COUNTIF('D112'!C11,"Aula 4"))&gt;0,"D1",IF((COUNTIF('D211'!C11,"Aula 4"))&gt;0,"D2",IF((COUNTIF('D311'!C11,"Aula 4"))&gt;0,"D3",IF((COUNTIF('D411'!C11,"Aula 4"))&gt;0,"D4","")))))))))))),"MIX"))</f>
        <v/>
      </c>
    </row>
    <row r="140">
      <c r="C140">
        <f>IF((IF((COUNTIF('C111'!C11,"Aula 5")+COUNTIF('C112'!C11,"Aula 5")+COUNTIF('C113'!C11,"Aula 5")+COUNTIF('C121'!C11,"Aula 5")+COUNTIF('C122'!C11,"Aula 5"))&gt;0,1,0)+IF((COUNTIF('C211'!C11,"Aula 5")+COUNTIF('C212'!C11,"Aula 5"))&gt;0,1,0)+IF((COUNTIF('C311'!C11,"Aula 5")+COUNTIF('C312'!C11,"Aula 5"))&gt;0,1,0)+IF((COUNTIF('C411'!C11,"Aula 5")+COUNTIF('C412'!C11,"Aula 5"))&gt;0,1,0)+IF((COUNTIF('M111'!C11,"Aula 5")+COUNTIF('M112'!C11,"Aula 5"))&gt;0,1,0)+IF((COUNTIF('M211'!C11,"Aula 5")+COUNTIF('M212'!C11,"Aula 5"))&gt;0,1,0)+IF((COUNTIF('M311'!C11,"Aula 5"))&gt;0,1,0)+IF((COUNTIF('M411'!C11,"Aula 5"))&gt;0,1,0)+IF((COUNTIF('D111'!C11,"Aula 5")+COUNTIF('D112'!C11,"Aula 5"))&gt;0,1,0)+IF((COUNTIF('D211'!C11,"Aula 5"))&gt;0,1,0)+IF((COUNTIF('D311'!C11,"Aula 5"))&gt;0,1,0)+IF((COUNTIF('D411'!C11,"Aula 5"))&gt;0,1,0))=0,"",IF((IF((COUNTIF('C111'!C11,"Aula 5")+COUNTIF('C112'!C11,"Aula 5")+COUNTIF('C113'!C11,"Aula 5")+COUNTIF('C121'!C11,"Aula 5")+COUNTIF('C122'!C11,"Aula 5"))&gt;0,1,0)+IF((COUNTIF('C211'!C11,"Aula 5")+COUNTIF('C212'!C11,"Aula 5"))&gt;0,1,0)+IF((COUNTIF('C311'!C11,"Aula 5")+COUNTIF('C312'!C11,"Aula 5"))&gt;0,1,0)+IF((COUNTIF('C411'!C11,"Aula 5")+COUNTIF('C412'!C11,"Aula 5"))&gt;0,1,0)+IF((COUNTIF('M111'!C11,"Aula 5")+COUNTIF('M112'!C11,"Aula 5"))&gt;0,1,0)+IF((COUNTIF('M211'!C11,"Aula 5")+COUNTIF('M212'!C11,"Aula 5"))&gt;0,1,0)+IF((COUNTIF('M311'!C11,"Aula 5"))&gt;0,1,0)+IF((COUNTIF('M411'!C11,"Aula 5"))&gt;0,1,0)+IF((COUNTIF('D111'!C11,"Aula 5")+COUNTIF('D112'!C11,"Aula 5"))&gt;0,1,0)+IF((COUNTIF('D211'!C11,"Aula 5"))&gt;0,1,0)+IF((COUNTIF('D311'!C11,"Aula 5"))&gt;0,1,0)+IF((COUNTIF('D411'!C11,"Aula 5"))&gt;0,1,0))=1,IF((COUNTIF('C111'!C11,"Aula 5")+COUNTIF('C112'!C11,"Aula 5")+COUNTIF('C113'!C11,"Aula 5")+COUNTIF('C121'!C11,"Aula 5")+COUNTIF('C122'!C11,"Aula 5"))&gt;0,"C1",IF((COUNTIF('C211'!C11,"Aula 5")+COUNTIF('C212'!C11,"Aula 5"))&gt;0,"C2",IF((COUNTIF('C311'!C11,"Aula 5")+COUNTIF('C312'!C11,"Aula 5"))&gt;0,"C3",IF((COUNTIF('C411'!C11,"Aula 5")+COUNTIF('C412'!C11,"Aula 5"))&gt;0,"C4",IF((COUNTIF('M111'!C11,"Aula 5")+COUNTIF('M112'!C11,"Aula 5"))&gt;0,"M1",IF((COUNTIF('M211'!C11,"Aula 5")+COUNTIF('M212'!C11,"Aula 5"))&gt;0,"M2",IF((COUNTIF('M311'!C11,"Aula 5"))&gt;0,"M3",IF((COUNTIF('M411'!C11,"Aula 5"))&gt;0,"M4",IF((COUNTIF('D111'!C11,"Aula 5")+COUNTIF('D112'!C11,"Aula 5"))&gt;0,"D1",IF((COUNTIF('D211'!C11,"Aula 5"))&gt;0,"D2",IF((COUNTIF('D311'!C11,"Aula 5"))&gt;0,"D3",IF((COUNTIF('D411'!C11,"Aula 5"))&gt;0,"D4","")))))))))))),"MIX"))</f>
        <v/>
      </c>
    </row>
    <row r="141">
      <c r="C141">
        <f>IF((IF((COUNTIF('C111'!C11,"Aula 6")+COUNTIF('C112'!C11,"Aula 6")+COUNTIF('C113'!C11,"Aula 6")+COUNTIF('C121'!C11,"Aula 6")+COUNTIF('C122'!C11,"Aula 6"))&gt;0,1,0)+IF((COUNTIF('C211'!C11,"Aula 6")+COUNTIF('C212'!C11,"Aula 6"))&gt;0,1,0)+IF((COUNTIF('C311'!C11,"Aula 6")+COUNTIF('C312'!C11,"Aula 6"))&gt;0,1,0)+IF((COUNTIF('C411'!C11,"Aula 6")+COUNTIF('C412'!C11,"Aula 6"))&gt;0,1,0)+IF((COUNTIF('M111'!C11,"Aula 6")+COUNTIF('M112'!C11,"Aula 6"))&gt;0,1,0)+IF((COUNTIF('M211'!C11,"Aula 6")+COUNTIF('M212'!C11,"Aula 6"))&gt;0,1,0)+IF((COUNTIF('M311'!C11,"Aula 6"))&gt;0,1,0)+IF((COUNTIF('M411'!C11,"Aula 6"))&gt;0,1,0)+IF((COUNTIF('D111'!C11,"Aula 6")+COUNTIF('D112'!C11,"Aula 6"))&gt;0,1,0)+IF((COUNTIF('D211'!C11,"Aula 6"))&gt;0,1,0)+IF((COUNTIF('D311'!C11,"Aula 6"))&gt;0,1,0)+IF((COUNTIF('D411'!C11,"Aula 6"))&gt;0,1,0))=0,"",IF((IF((COUNTIF('C111'!C11,"Aula 6")+COUNTIF('C112'!C11,"Aula 6")+COUNTIF('C113'!C11,"Aula 6")+COUNTIF('C121'!C11,"Aula 6")+COUNTIF('C122'!C11,"Aula 6"))&gt;0,1,0)+IF((COUNTIF('C211'!C11,"Aula 6")+COUNTIF('C212'!C11,"Aula 6"))&gt;0,1,0)+IF((COUNTIF('C311'!C11,"Aula 6")+COUNTIF('C312'!C11,"Aula 6"))&gt;0,1,0)+IF((COUNTIF('C411'!C11,"Aula 6")+COUNTIF('C412'!C11,"Aula 6"))&gt;0,1,0)+IF((COUNTIF('M111'!C11,"Aula 6")+COUNTIF('M112'!C11,"Aula 6"))&gt;0,1,0)+IF((COUNTIF('M211'!C11,"Aula 6")+COUNTIF('M212'!C11,"Aula 6"))&gt;0,1,0)+IF((COUNTIF('M311'!C11,"Aula 6"))&gt;0,1,0)+IF((COUNTIF('M411'!C11,"Aula 6"))&gt;0,1,0)+IF((COUNTIF('D111'!C11,"Aula 6")+COUNTIF('D112'!C11,"Aula 6"))&gt;0,1,0)+IF((COUNTIF('D211'!C11,"Aula 6"))&gt;0,1,0)+IF((COUNTIF('D311'!C11,"Aula 6"))&gt;0,1,0)+IF((COUNTIF('D411'!C11,"Aula 6"))&gt;0,1,0))=1,IF((COUNTIF('C111'!C11,"Aula 6")+COUNTIF('C112'!C11,"Aula 6")+COUNTIF('C113'!C11,"Aula 6")+COUNTIF('C121'!C11,"Aula 6")+COUNTIF('C122'!C11,"Aula 6"))&gt;0,"C1",IF((COUNTIF('C211'!C11,"Aula 6")+COUNTIF('C212'!C11,"Aula 6"))&gt;0,"C2",IF((COUNTIF('C311'!C11,"Aula 6")+COUNTIF('C312'!C11,"Aula 6"))&gt;0,"C3",IF((COUNTIF('C411'!C11,"Aula 6")+COUNTIF('C412'!C11,"Aula 6"))&gt;0,"C4",IF((COUNTIF('M111'!C11,"Aula 6")+COUNTIF('M112'!C11,"Aula 6"))&gt;0,"M1",IF((COUNTIF('M211'!C11,"Aula 6")+COUNTIF('M212'!C11,"Aula 6"))&gt;0,"M2",IF((COUNTIF('M311'!C11,"Aula 6"))&gt;0,"M3",IF((COUNTIF('M411'!C11,"Aula 6"))&gt;0,"M4",IF((COUNTIF('D111'!C11,"Aula 6")+COUNTIF('D112'!C11,"Aula 6"))&gt;0,"D1",IF((COUNTIF('D211'!C11,"Aula 6"))&gt;0,"D2",IF((COUNTIF('D311'!C11,"Aula 6"))&gt;0,"D3",IF((COUNTIF('D411'!C11,"Aula 6"))&gt;0,"D4","")))))))))))),"MIX"))</f>
        <v/>
      </c>
    </row>
    <row r="142">
      <c r="C142">
        <f>IF((IF((COUNTIF('C111'!C11,"Aula 7")+COUNTIF('C112'!C11,"Aula 7")+COUNTIF('C113'!C11,"Aula 7")+COUNTIF('C121'!C11,"Aula 7")+COUNTIF('C122'!C11,"Aula 7"))&gt;0,1,0)+IF((COUNTIF('C211'!C11,"Aula 7")+COUNTIF('C212'!C11,"Aula 7"))&gt;0,1,0)+IF((COUNTIF('C311'!C11,"Aula 7")+COUNTIF('C312'!C11,"Aula 7"))&gt;0,1,0)+IF((COUNTIF('C411'!C11,"Aula 7")+COUNTIF('C412'!C11,"Aula 7"))&gt;0,1,0)+IF((COUNTIF('M111'!C11,"Aula 7")+COUNTIF('M112'!C11,"Aula 7"))&gt;0,1,0)+IF((COUNTIF('M211'!C11,"Aula 7")+COUNTIF('M212'!C11,"Aula 7"))&gt;0,1,0)+IF((COUNTIF('M311'!C11,"Aula 7"))&gt;0,1,0)+IF((COUNTIF('M411'!C11,"Aula 7"))&gt;0,1,0)+IF((COUNTIF('D111'!C11,"Aula 7")+COUNTIF('D112'!C11,"Aula 7"))&gt;0,1,0)+IF((COUNTIF('D211'!C11,"Aula 7"))&gt;0,1,0)+IF((COUNTIF('D311'!C11,"Aula 7"))&gt;0,1,0)+IF((COUNTIF('D411'!C11,"Aula 7"))&gt;0,1,0))=0,"",IF((IF((COUNTIF('C111'!C11,"Aula 7")+COUNTIF('C112'!C11,"Aula 7")+COUNTIF('C113'!C11,"Aula 7")+COUNTIF('C121'!C11,"Aula 7")+COUNTIF('C122'!C11,"Aula 7"))&gt;0,1,0)+IF((COUNTIF('C211'!C11,"Aula 7")+COUNTIF('C212'!C11,"Aula 7"))&gt;0,1,0)+IF((COUNTIF('C311'!C11,"Aula 7")+COUNTIF('C312'!C11,"Aula 7"))&gt;0,1,0)+IF((COUNTIF('C411'!C11,"Aula 7")+COUNTIF('C412'!C11,"Aula 7"))&gt;0,1,0)+IF((COUNTIF('M111'!C11,"Aula 7")+COUNTIF('M112'!C11,"Aula 7"))&gt;0,1,0)+IF((COUNTIF('M211'!C11,"Aula 7")+COUNTIF('M212'!C11,"Aula 7"))&gt;0,1,0)+IF((COUNTIF('M311'!C11,"Aula 7"))&gt;0,1,0)+IF((COUNTIF('M411'!C11,"Aula 7"))&gt;0,1,0)+IF((COUNTIF('D111'!C11,"Aula 7")+COUNTIF('D112'!C11,"Aula 7"))&gt;0,1,0)+IF((COUNTIF('D211'!C11,"Aula 7"))&gt;0,1,0)+IF((COUNTIF('D311'!C11,"Aula 7"))&gt;0,1,0)+IF((COUNTIF('D411'!C11,"Aula 7"))&gt;0,1,0))=1,IF((COUNTIF('C111'!C11,"Aula 7")+COUNTIF('C112'!C11,"Aula 7")+COUNTIF('C113'!C11,"Aula 7")+COUNTIF('C121'!C11,"Aula 7")+COUNTIF('C122'!C11,"Aula 7"))&gt;0,"C1",IF((COUNTIF('C211'!C11,"Aula 7")+COUNTIF('C212'!C11,"Aula 7"))&gt;0,"C2",IF((COUNTIF('C311'!C11,"Aula 7")+COUNTIF('C312'!C11,"Aula 7"))&gt;0,"C3",IF((COUNTIF('C411'!C11,"Aula 7")+COUNTIF('C412'!C11,"Aula 7"))&gt;0,"C4",IF((COUNTIF('M111'!C11,"Aula 7")+COUNTIF('M112'!C11,"Aula 7"))&gt;0,"M1",IF((COUNTIF('M211'!C11,"Aula 7")+COUNTIF('M212'!C11,"Aula 7"))&gt;0,"M2",IF((COUNTIF('M311'!C11,"Aula 7"))&gt;0,"M3",IF((COUNTIF('M411'!C11,"Aula 7"))&gt;0,"M4",IF((COUNTIF('D111'!C11,"Aula 7")+COUNTIF('D112'!C11,"Aula 7"))&gt;0,"D1",IF((COUNTIF('D211'!C11,"Aula 7"))&gt;0,"D2",IF((COUNTIF('D311'!C11,"Aula 7"))&gt;0,"D3",IF((COUNTIF('D411'!C11,"Aula 7"))&gt;0,"D4","")))))))))))),"MIX"))</f>
        <v/>
      </c>
    </row>
    <row r="143">
      <c r="C143">
        <f>IF((IF((COUNTIF('C111'!C11,"Aula 8")+COUNTIF('C112'!C11,"Aula 8")+COUNTIF('C113'!C11,"Aula 8")+COUNTIF('C121'!C11,"Aula 8")+COUNTIF('C122'!C11,"Aula 8"))&gt;0,1,0)+IF((COUNTIF('C211'!C11,"Aula 8")+COUNTIF('C212'!C11,"Aula 8"))&gt;0,1,0)+IF((COUNTIF('C311'!C11,"Aula 8")+COUNTIF('C312'!C11,"Aula 8"))&gt;0,1,0)+IF((COUNTIF('C411'!C11,"Aula 8")+COUNTIF('C412'!C11,"Aula 8"))&gt;0,1,0)+IF((COUNTIF('M111'!C11,"Aula 8")+COUNTIF('M112'!C11,"Aula 8"))&gt;0,1,0)+IF((COUNTIF('M211'!C11,"Aula 8")+COUNTIF('M212'!C11,"Aula 8"))&gt;0,1,0)+IF((COUNTIF('M311'!C11,"Aula 8"))&gt;0,1,0)+IF((COUNTIF('M411'!C11,"Aula 8"))&gt;0,1,0)+IF((COUNTIF('D111'!C11,"Aula 8")+COUNTIF('D112'!C11,"Aula 8"))&gt;0,1,0)+IF((COUNTIF('D211'!C11,"Aula 8"))&gt;0,1,0)+IF((COUNTIF('D311'!C11,"Aula 8"))&gt;0,1,0)+IF((COUNTIF('D411'!C11,"Aula 8"))&gt;0,1,0))=0,"",IF((IF((COUNTIF('C111'!C11,"Aula 8")+COUNTIF('C112'!C11,"Aula 8")+COUNTIF('C113'!C11,"Aula 8")+COUNTIF('C121'!C11,"Aula 8")+COUNTIF('C122'!C11,"Aula 8"))&gt;0,1,0)+IF((COUNTIF('C211'!C11,"Aula 8")+COUNTIF('C212'!C11,"Aula 8"))&gt;0,1,0)+IF((COUNTIF('C311'!C11,"Aula 8")+COUNTIF('C312'!C11,"Aula 8"))&gt;0,1,0)+IF((COUNTIF('C411'!C11,"Aula 8")+COUNTIF('C412'!C11,"Aula 8"))&gt;0,1,0)+IF((COUNTIF('M111'!C11,"Aula 8")+COUNTIF('M112'!C11,"Aula 8"))&gt;0,1,0)+IF((COUNTIF('M211'!C11,"Aula 8")+COUNTIF('M212'!C11,"Aula 8"))&gt;0,1,0)+IF((COUNTIF('M311'!C11,"Aula 8"))&gt;0,1,0)+IF((COUNTIF('M411'!C11,"Aula 8"))&gt;0,1,0)+IF((COUNTIF('D111'!C11,"Aula 8")+COUNTIF('D112'!C11,"Aula 8"))&gt;0,1,0)+IF((COUNTIF('D211'!C11,"Aula 8"))&gt;0,1,0)+IF((COUNTIF('D311'!C11,"Aula 8"))&gt;0,1,0)+IF((COUNTIF('D411'!C11,"Aula 8"))&gt;0,1,0))=1,IF((COUNTIF('C111'!C11,"Aula 8")+COUNTIF('C112'!C11,"Aula 8")+COUNTIF('C113'!C11,"Aula 8")+COUNTIF('C121'!C11,"Aula 8")+COUNTIF('C122'!C11,"Aula 8"))&gt;0,"C1",IF((COUNTIF('C211'!C11,"Aula 8")+COUNTIF('C212'!C11,"Aula 8"))&gt;0,"C2",IF((COUNTIF('C311'!C11,"Aula 8")+COUNTIF('C312'!C11,"Aula 8"))&gt;0,"C3",IF((COUNTIF('C411'!C11,"Aula 8")+COUNTIF('C412'!C11,"Aula 8"))&gt;0,"C4",IF((COUNTIF('M111'!C11,"Aula 8")+COUNTIF('M112'!C11,"Aula 8"))&gt;0,"M1",IF((COUNTIF('M211'!C11,"Aula 8")+COUNTIF('M212'!C11,"Aula 8"))&gt;0,"M2",IF((COUNTIF('M311'!C11,"Aula 8"))&gt;0,"M3",IF((COUNTIF('M411'!C11,"Aula 8"))&gt;0,"M4",IF((COUNTIF('D111'!C11,"Aula 8")+COUNTIF('D112'!C11,"Aula 8"))&gt;0,"D1",IF((COUNTIF('D211'!C11,"Aula 8"))&gt;0,"D2",IF((COUNTIF('D311'!C11,"Aula 8"))&gt;0,"D3",IF((COUNTIF('D411'!C11,"Aula 8"))&gt;0,"D4","")))))))))))),"MIX"))</f>
        <v/>
      </c>
    </row>
    <row r="144">
      <c r="C144">
        <f>IF((IF((COUNTIF('C111'!C11,"Aula 9")+COUNTIF('C112'!C11,"Aula 9")+COUNTIF('C113'!C11,"Aula 9")+COUNTIF('C121'!C11,"Aula 9")+COUNTIF('C122'!C11,"Aula 9"))&gt;0,1,0)+IF((COUNTIF('C211'!C11,"Aula 9")+COUNTIF('C212'!C11,"Aula 9"))&gt;0,1,0)+IF((COUNTIF('C311'!C11,"Aula 9")+COUNTIF('C312'!C11,"Aula 9"))&gt;0,1,0)+IF((COUNTIF('C411'!C11,"Aula 9")+COUNTIF('C412'!C11,"Aula 9"))&gt;0,1,0)+IF((COUNTIF('M111'!C11,"Aula 9")+COUNTIF('M112'!C11,"Aula 9"))&gt;0,1,0)+IF((COUNTIF('M211'!C11,"Aula 9")+COUNTIF('M212'!C11,"Aula 9"))&gt;0,1,0)+IF((COUNTIF('M311'!C11,"Aula 9"))&gt;0,1,0)+IF((COUNTIF('M411'!C11,"Aula 9"))&gt;0,1,0)+IF((COUNTIF('D111'!C11,"Aula 9")+COUNTIF('D112'!C11,"Aula 9"))&gt;0,1,0)+IF((COUNTIF('D211'!C11,"Aula 9"))&gt;0,1,0)+IF((COUNTIF('D311'!C11,"Aula 9"))&gt;0,1,0)+IF((COUNTIF('D411'!C11,"Aula 9"))&gt;0,1,0))=0,"",IF((IF((COUNTIF('C111'!C11,"Aula 9")+COUNTIF('C112'!C11,"Aula 9")+COUNTIF('C113'!C11,"Aula 9")+COUNTIF('C121'!C11,"Aula 9")+COUNTIF('C122'!C11,"Aula 9"))&gt;0,1,0)+IF((COUNTIF('C211'!C11,"Aula 9")+COUNTIF('C212'!C11,"Aula 9"))&gt;0,1,0)+IF((COUNTIF('C311'!C11,"Aula 9")+COUNTIF('C312'!C11,"Aula 9"))&gt;0,1,0)+IF((COUNTIF('C411'!C11,"Aula 9")+COUNTIF('C412'!C11,"Aula 9"))&gt;0,1,0)+IF((COUNTIF('M111'!C11,"Aula 9")+COUNTIF('M112'!C11,"Aula 9"))&gt;0,1,0)+IF((COUNTIF('M211'!C11,"Aula 9")+COUNTIF('M212'!C11,"Aula 9"))&gt;0,1,0)+IF((COUNTIF('M311'!C11,"Aula 9"))&gt;0,1,0)+IF((COUNTIF('M411'!C11,"Aula 9"))&gt;0,1,0)+IF((COUNTIF('D111'!C11,"Aula 9")+COUNTIF('D112'!C11,"Aula 9"))&gt;0,1,0)+IF((COUNTIF('D211'!C11,"Aula 9"))&gt;0,1,0)+IF((COUNTIF('D311'!C11,"Aula 9"))&gt;0,1,0)+IF((COUNTIF('D411'!C11,"Aula 9"))&gt;0,1,0))=1,IF((COUNTIF('C111'!C11,"Aula 9")+COUNTIF('C112'!C11,"Aula 9")+COUNTIF('C113'!C11,"Aula 9")+COUNTIF('C121'!C11,"Aula 9")+COUNTIF('C122'!C11,"Aula 9"))&gt;0,"C1",IF((COUNTIF('C211'!C11,"Aula 9")+COUNTIF('C212'!C11,"Aula 9"))&gt;0,"C2",IF((COUNTIF('C311'!C11,"Aula 9")+COUNTIF('C312'!C11,"Aula 9"))&gt;0,"C3",IF((COUNTIF('C411'!C11,"Aula 9")+COUNTIF('C412'!C11,"Aula 9"))&gt;0,"C4",IF((COUNTIF('M111'!C11,"Aula 9")+COUNTIF('M112'!C11,"Aula 9"))&gt;0,"M1",IF((COUNTIF('M211'!C11,"Aula 9")+COUNTIF('M212'!C11,"Aula 9"))&gt;0,"M2",IF((COUNTIF('M311'!C11,"Aula 9"))&gt;0,"M3",IF((COUNTIF('M411'!C11,"Aula 9"))&gt;0,"M4",IF((COUNTIF('D111'!C11,"Aula 9")+COUNTIF('D112'!C11,"Aula 9"))&gt;0,"D1",IF((COUNTIF('D211'!C11,"Aula 9"))&gt;0,"D2",IF((COUNTIF('D311'!C11,"Aula 9"))&gt;0,"D3",IF((COUNTIF('D411'!C11,"Aula 9"))&gt;0,"D4","")))))))))))),"MIX"))</f>
        <v/>
      </c>
    </row>
    <row r="145">
      <c r="C145">
        <f>IF((IF((COUNTIF('C111'!C11,"Aula 10")+COUNTIF('C112'!C11,"Aula 10")+COUNTIF('C113'!C11,"Aula 10")+COUNTIF('C121'!C11,"Aula 10")+COUNTIF('C122'!C11,"Aula 10"))&gt;0,1,0)+IF((COUNTIF('C211'!C11,"Aula 10")+COUNTIF('C212'!C11,"Aula 10"))&gt;0,1,0)+IF((COUNTIF('C311'!C11,"Aula 10")+COUNTIF('C312'!C11,"Aula 10"))&gt;0,1,0)+IF((COUNTIF('C411'!C11,"Aula 10")+COUNTIF('C412'!C11,"Aula 10"))&gt;0,1,0)+IF((COUNTIF('M111'!C11,"Aula 10")+COUNTIF('M112'!C11,"Aula 10"))&gt;0,1,0)+IF((COUNTIF('M211'!C11,"Aula 10")+COUNTIF('M212'!C11,"Aula 10"))&gt;0,1,0)+IF((COUNTIF('M311'!C11,"Aula 10"))&gt;0,1,0)+IF((COUNTIF('M411'!C11,"Aula 10"))&gt;0,1,0)+IF((COUNTIF('D111'!C11,"Aula 10")+COUNTIF('D112'!C11,"Aula 10"))&gt;0,1,0)+IF((COUNTIF('D211'!C11,"Aula 10"))&gt;0,1,0)+IF((COUNTIF('D311'!C11,"Aula 10"))&gt;0,1,0)+IF((COUNTIF('D411'!C11,"Aula 10"))&gt;0,1,0))=0,"",IF((IF((COUNTIF('C111'!C11,"Aula 10")+COUNTIF('C112'!C11,"Aula 10")+COUNTIF('C113'!C11,"Aula 10")+COUNTIF('C121'!C11,"Aula 10")+COUNTIF('C122'!C11,"Aula 10"))&gt;0,1,0)+IF((COUNTIF('C211'!C11,"Aula 10")+COUNTIF('C212'!C11,"Aula 10"))&gt;0,1,0)+IF((COUNTIF('C311'!C11,"Aula 10")+COUNTIF('C312'!C11,"Aula 10"))&gt;0,1,0)+IF((COUNTIF('C411'!C11,"Aula 10")+COUNTIF('C412'!C11,"Aula 10"))&gt;0,1,0)+IF((COUNTIF('M111'!C11,"Aula 10")+COUNTIF('M112'!C11,"Aula 10"))&gt;0,1,0)+IF((COUNTIF('M211'!C11,"Aula 10")+COUNTIF('M212'!C11,"Aula 10"))&gt;0,1,0)+IF((COUNTIF('M311'!C11,"Aula 10"))&gt;0,1,0)+IF((COUNTIF('M411'!C11,"Aula 10"))&gt;0,1,0)+IF((COUNTIF('D111'!C11,"Aula 10")+COUNTIF('D112'!C11,"Aula 10"))&gt;0,1,0)+IF((COUNTIF('D211'!C11,"Aula 10"))&gt;0,1,0)+IF((COUNTIF('D311'!C11,"Aula 10"))&gt;0,1,0)+IF((COUNTIF('D411'!C11,"Aula 10"))&gt;0,1,0))=1,IF((COUNTIF('C111'!C11,"Aula 10")+COUNTIF('C112'!C11,"Aula 10")+COUNTIF('C113'!C11,"Aula 10")+COUNTIF('C121'!C11,"Aula 10")+COUNTIF('C122'!C11,"Aula 10"))&gt;0,"C1",IF((COUNTIF('C211'!C11,"Aula 10")+COUNTIF('C212'!C11,"Aula 10"))&gt;0,"C2",IF((COUNTIF('C311'!C11,"Aula 10")+COUNTIF('C312'!C11,"Aula 10"))&gt;0,"C3",IF((COUNTIF('C411'!C11,"Aula 10")+COUNTIF('C412'!C11,"Aula 10"))&gt;0,"C4",IF((COUNTIF('M111'!C11,"Aula 10")+COUNTIF('M112'!C11,"Aula 10"))&gt;0,"M1",IF((COUNTIF('M211'!C11,"Aula 10")+COUNTIF('M212'!C11,"Aula 10"))&gt;0,"M2",IF((COUNTIF('M311'!C11,"Aula 10"))&gt;0,"M3",IF((COUNTIF('M411'!C11,"Aula 10"))&gt;0,"M4",IF((COUNTIF('D111'!C11,"Aula 10")+COUNTIF('D112'!C11,"Aula 10"))&gt;0,"D1",IF((COUNTIF('D211'!C11,"Aula 10"))&gt;0,"D2",IF((COUNTIF('D311'!C11,"Aula 10"))&gt;0,"D3",IF((COUNTIF('D411'!C11,"Aula 10"))&gt;0,"D4","")))))))))))),"MIX"))</f>
        <v/>
      </c>
    </row>
    <row r="146">
      <c r="C146">
        <f>IF((IF((COUNTIF('C111'!C11,"Aula 11")+COUNTIF('C112'!C11,"Aula 11")+COUNTIF('C113'!C11,"Aula 11")+COUNTIF('C121'!C11,"Aula 11")+COUNTIF('C122'!C11,"Aula 11"))&gt;0,1,0)+IF((COUNTIF('C211'!C11,"Aula 11")+COUNTIF('C212'!C11,"Aula 11"))&gt;0,1,0)+IF((COUNTIF('C311'!C11,"Aula 11")+COUNTIF('C312'!C11,"Aula 11"))&gt;0,1,0)+IF((COUNTIF('C411'!C11,"Aula 11")+COUNTIF('C412'!C11,"Aula 11"))&gt;0,1,0)+IF((COUNTIF('M111'!C11,"Aula 11")+COUNTIF('M112'!C11,"Aula 11"))&gt;0,1,0)+IF((COUNTIF('M211'!C11,"Aula 11")+COUNTIF('M212'!C11,"Aula 11"))&gt;0,1,0)+IF((COUNTIF('M311'!C11,"Aula 11"))&gt;0,1,0)+IF((COUNTIF('M411'!C11,"Aula 11"))&gt;0,1,0)+IF((COUNTIF('D111'!C11,"Aula 11")+COUNTIF('D112'!C11,"Aula 11"))&gt;0,1,0)+IF((COUNTIF('D211'!C11,"Aula 11"))&gt;0,1,0)+IF((COUNTIF('D311'!C11,"Aula 11"))&gt;0,1,0)+IF((COUNTIF('D411'!C11,"Aula 11"))&gt;0,1,0))=0,"",IF((IF((COUNTIF('C111'!C11,"Aula 11")+COUNTIF('C112'!C11,"Aula 11")+COUNTIF('C113'!C11,"Aula 11")+COUNTIF('C121'!C11,"Aula 11")+COUNTIF('C122'!C11,"Aula 11"))&gt;0,1,0)+IF((COUNTIF('C211'!C11,"Aula 11")+COUNTIF('C212'!C11,"Aula 11"))&gt;0,1,0)+IF((COUNTIF('C311'!C11,"Aula 11")+COUNTIF('C312'!C11,"Aula 11"))&gt;0,1,0)+IF((COUNTIF('C411'!C11,"Aula 11")+COUNTIF('C412'!C11,"Aula 11"))&gt;0,1,0)+IF((COUNTIF('M111'!C11,"Aula 11")+COUNTIF('M112'!C11,"Aula 11"))&gt;0,1,0)+IF((COUNTIF('M211'!C11,"Aula 11")+COUNTIF('M212'!C11,"Aula 11"))&gt;0,1,0)+IF((COUNTIF('M311'!C11,"Aula 11"))&gt;0,1,0)+IF((COUNTIF('M411'!C11,"Aula 11"))&gt;0,1,0)+IF((COUNTIF('D111'!C11,"Aula 11")+COUNTIF('D112'!C11,"Aula 11"))&gt;0,1,0)+IF((COUNTIF('D211'!C11,"Aula 11"))&gt;0,1,0)+IF((COUNTIF('D311'!C11,"Aula 11"))&gt;0,1,0)+IF((COUNTIF('D411'!C11,"Aula 11"))&gt;0,1,0))=1,IF((COUNTIF('C111'!C11,"Aula 11")+COUNTIF('C112'!C11,"Aula 11")+COUNTIF('C113'!C11,"Aula 11")+COUNTIF('C121'!C11,"Aula 11")+COUNTIF('C122'!C11,"Aula 11"))&gt;0,"C1",IF((COUNTIF('C211'!C11,"Aula 11")+COUNTIF('C212'!C11,"Aula 11"))&gt;0,"C2",IF((COUNTIF('C311'!C11,"Aula 11")+COUNTIF('C312'!C11,"Aula 11"))&gt;0,"C3",IF((COUNTIF('C411'!C11,"Aula 11")+COUNTIF('C412'!C11,"Aula 11"))&gt;0,"C4",IF((COUNTIF('M111'!C11,"Aula 11")+COUNTIF('M112'!C11,"Aula 11"))&gt;0,"M1",IF((COUNTIF('M211'!C11,"Aula 11")+COUNTIF('M212'!C11,"Aula 11"))&gt;0,"M2",IF((COUNTIF('M311'!C11,"Aula 11"))&gt;0,"M3",IF((COUNTIF('M411'!C11,"Aula 11"))&gt;0,"M4",IF((COUNTIF('D111'!C11,"Aula 11")+COUNTIF('D112'!C11,"Aula 11"))&gt;0,"D1",IF((COUNTIF('D211'!C11,"Aula 11"))&gt;0,"D2",IF((COUNTIF('D311'!C11,"Aula 11"))&gt;0,"D3",IF((COUNTIF('D411'!C11,"Aula 11"))&gt;0,"D4","")))))))))))),"MIX"))</f>
        <v/>
      </c>
    </row>
    <row r="147">
      <c r="C147">
        <f>IF((IF((COUNTIF('C111'!C11,"Aula 12")+COUNTIF('C112'!C11,"Aula 12")+COUNTIF('C113'!C11,"Aula 12")+COUNTIF('C121'!C11,"Aula 12")+COUNTIF('C122'!C11,"Aula 12"))&gt;0,1,0)+IF((COUNTIF('C211'!C11,"Aula 12")+COUNTIF('C212'!C11,"Aula 12"))&gt;0,1,0)+IF((COUNTIF('C311'!C11,"Aula 12")+COUNTIF('C312'!C11,"Aula 12"))&gt;0,1,0)+IF((COUNTIF('C411'!C11,"Aula 12")+COUNTIF('C412'!C11,"Aula 12"))&gt;0,1,0)+IF((COUNTIF('M111'!C11,"Aula 12")+COUNTIF('M112'!C11,"Aula 12"))&gt;0,1,0)+IF((COUNTIF('M211'!C11,"Aula 12")+COUNTIF('M212'!C11,"Aula 12"))&gt;0,1,0)+IF((COUNTIF('M311'!C11,"Aula 12"))&gt;0,1,0)+IF((COUNTIF('M411'!C11,"Aula 12"))&gt;0,1,0)+IF((COUNTIF('D111'!C11,"Aula 12")+COUNTIF('D112'!C11,"Aula 12"))&gt;0,1,0)+IF((COUNTIF('D211'!C11,"Aula 12"))&gt;0,1,0)+IF((COUNTIF('D311'!C11,"Aula 12"))&gt;0,1,0)+IF((COUNTIF('D411'!C11,"Aula 12"))&gt;0,1,0))=0,"",IF((IF((COUNTIF('C111'!C11,"Aula 12")+COUNTIF('C112'!C11,"Aula 12")+COUNTIF('C113'!C11,"Aula 12")+COUNTIF('C121'!C11,"Aula 12")+COUNTIF('C122'!C11,"Aula 12"))&gt;0,1,0)+IF((COUNTIF('C211'!C11,"Aula 12")+COUNTIF('C212'!C11,"Aula 12"))&gt;0,1,0)+IF((COUNTIF('C311'!C11,"Aula 12")+COUNTIF('C312'!C11,"Aula 12"))&gt;0,1,0)+IF((COUNTIF('C411'!C11,"Aula 12")+COUNTIF('C412'!C11,"Aula 12"))&gt;0,1,0)+IF((COUNTIF('M111'!C11,"Aula 12")+COUNTIF('M112'!C11,"Aula 12"))&gt;0,1,0)+IF((COUNTIF('M211'!C11,"Aula 12")+COUNTIF('M212'!C11,"Aula 12"))&gt;0,1,0)+IF((COUNTIF('M311'!C11,"Aula 12"))&gt;0,1,0)+IF((COUNTIF('M411'!C11,"Aula 12"))&gt;0,1,0)+IF((COUNTIF('D111'!C11,"Aula 12")+COUNTIF('D112'!C11,"Aula 12"))&gt;0,1,0)+IF((COUNTIF('D211'!C11,"Aula 12"))&gt;0,1,0)+IF((COUNTIF('D311'!C11,"Aula 12"))&gt;0,1,0)+IF((COUNTIF('D411'!C11,"Aula 12"))&gt;0,1,0))=1,IF((COUNTIF('C111'!C11,"Aula 12")+COUNTIF('C112'!C11,"Aula 12")+COUNTIF('C113'!C11,"Aula 12")+COUNTIF('C121'!C11,"Aula 12")+COUNTIF('C122'!C11,"Aula 12"))&gt;0,"C1",IF((COUNTIF('C211'!C11,"Aula 12")+COUNTIF('C212'!C11,"Aula 12"))&gt;0,"C2",IF((COUNTIF('C311'!C11,"Aula 12")+COUNTIF('C312'!C11,"Aula 12"))&gt;0,"C3",IF((COUNTIF('C411'!C11,"Aula 12")+COUNTIF('C412'!C11,"Aula 12"))&gt;0,"C4",IF((COUNTIF('M111'!C11,"Aula 12")+COUNTIF('M112'!C11,"Aula 12"))&gt;0,"M1",IF((COUNTIF('M211'!C11,"Aula 12")+COUNTIF('M212'!C11,"Aula 12"))&gt;0,"M2",IF((COUNTIF('M311'!C11,"Aula 12"))&gt;0,"M3",IF((COUNTIF('M411'!C11,"Aula 12"))&gt;0,"M4",IF((COUNTIF('D111'!C11,"Aula 12")+COUNTIF('D112'!C11,"Aula 12"))&gt;0,"D1",IF((COUNTIF('D211'!C11,"Aula 12"))&gt;0,"D2",IF((COUNTIF('D311'!C11,"Aula 12"))&gt;0,"D3",IF((COUNTIF('D411'!C11,"Aula 12"))&gt;0,"D4","")))))))))))),"MIX"))</f>
        <v/>
      </c>
    </row>
    <row r="148">
      <c r="C148">
        <f>IF((IF((COUNTIF('C111'!C11,"Lab 1")+COUNTIF('C112'!C11,"Lab 1")+COUNTIF('C113'!C11,"Lab 1")+COUNTIF('C121'!C11,"Lab 1")+COUNTIF('C122'!C11,"Lab 1"))&gt;0,1,0)+IF((COUNTIF('C211'!C11,"Lab 1")+COUNTIF('C212'!C11,"Lab 1"))&gt;0,1,0)+IF((COUNTIF('C311'!C11,"Lab 1")+COUNTIF('C312'!C11,"Lab 1"))&gt;0,1,0)+IF((COUNTIF('C411'!C11,"Lab 1")+COUNTIF('C412'!C11,"Lab 1"))&gt;0,1,0)+IF((COUNTIF('M111'!C11,"Lab 1")+COUNTIF('M112'!C11,"Lab 1"))&gt;0,1,0)+IF((COUNTIF('M211'!C11,"Lab 1")+COUNTIF('M212'!C11,"Lab 1"))&gt;0,1,0)+IF((COUNTIF('M311'!C11,"Lab 1"))&gt;0,1,0)+IF((COUNTIF('M411'!C11,"Lab 1"))&gt;0,1,0)+IF((COUNTIF('D111'!C11,"Lab 1")+COUNTIF('D112'!C11,"Lab 1"))&gt;0,1,0)+IF((COUNTIF('D211'!C11,"Lab 1"))&gt;0,1,0)+IF((COUNTIF('D311'!C11,"Lab 1"))&gt;0,1,0)+IF((COUNTIF('D411'!C11,"Lab 1"))&gt;0,1,0))=0,"",IF((IF((COUNTIF('C111'!C11,"Lab 1")+COUNTIF('C112'!C11,"Lab 1")+COUNTIF('C113'!C11,"Lab 1")+COUNTIF('C121'!C11,"Lab 1")+COUNTIF('C122'!C11,"Lab 1"))&gt;0,1,0)+IF((COUNTIF('C211'!C11,"Lab 1")+COUNTIF('C212'!C11,"Lab 1"))&gt;0,1,0)+IF((COUNTIF('C311'!C11,"Lab 1")+COUNTIF('C312'!C11,"Lab 1"))&gt;0,1,0)+IF((COUNTIF('C411'!C11,"Lab 1")+COUNTIF('C412'!C11,"Lab 1"))&gt;0,1,0)+IF((COUNTIF('M111'!C11,"Lab 1")+COUNTIF('M112'!C11,"Lab 1"))&gt;0,1,0)+IF((COUNTIF('M211'!C11,"Lab 1")+COUNTIF('M212'!C11,"Lab 1"))&gt;0,1,0)+IF((COUNTIF('M311'!C11,"Lab 1"))&gt;0,1,0)+IF((COUNTIF('M411'!C11,"Lab 1"))&gt;0,1,0)+IF((COUNTIF('D111'!C11,"Lab 1")+COUNTIF('D112'!C11,"Lab 1"))&gt;0,1,0)+IF((COUNTIF('D211'!C11,"Lab 1"))&gt;0,1,0)+IF((COUNTIF('D311'!C11,"Lab 1"))&gt;0,1,0)+IF((COUNTIF('D411'!C11,"Lab 1"))&gt;0,1,0))=1,IF((COUNTIF('C111'!C11,"Lab 1")+COUNTIF('C112'!C11,"Lab 1")+COUNTIF('C113'!C11,"Lab 1")+COUNTIF('C121'!C11,"Lab 1")+COUNTIF('C122'!C11,"Lab 1"))&gt;0,"C1",IF((COUNTIF('C211'!C11,"Lab 1")+COUNTIF('C212'!C11,"Lab 1"))&gt;0,"C2",IF((COUNTIF('C311'!C11,"Lab 1")+COUNTIF('C312'!C11,"Lab 1"))&gt;0,"C3",IF((COUNTIF('C411'!C11,"Lab 1")+COUNTIF('C412'!C11,"Lab 1"))&gt;0,"C4",IF((COUNTIF('M111'!C11,"Lab 1")+COUNTIF('M112'!C11,"Lab 1"))&gt;0,"M1",IF((COUNTIF('M211'!C11,"Lab 1")+COUNTIF('M212'!C11,"Lab 1"))&gt;0,"M2",IF((COUNTIF('M311'!C11,"Lab 1"))&gt;0,"M3",IF((COUNTIF('M411'!C11,"Lab 1"))&gt;0,"M4",IF((COUNTIF('D111'!C11,"Lab 1")+COUNTIF('D112'!C11,"Lab 1"))&gt;0,"D1",IF((COUNTIF('D211'!C11,"Lab 1"))&gt;0,"D2",IF((COUNTIF('D311'!C11,"Lab 1"))&gt;0,"D3",IF((COUNTIF('D411'!C11,"Lab 1"))&gt;0,"D4","")))))))))))),"MIX"))</f>
        <v/>
      </c>
    </row>
    <row r="149">
      <c r="C149">
        <f>IF((IF((COUNTIF('C111'!C11,"Lab 2")+COUNTIF('C112'!C11,"Lab 2")+COUNTIF('C113'!C11,"Lab 2")+COUNTIF('C121'!C11,"Lab 2")+COUNTIF('C122'!C11,"Lab 2"))&gt;0,1,0)+IF((COUNTIF('C211'!C11,"Lab 2")+COUNTIF('C212'!C11,"Lab 2"))&gt;0,1,0)+IF((COUNTIF('C311'!C11,"Lab 2")+COUNTIF('C312'!C11,"Lab 2"))&gt;0,1,0)+IF((COUNTIF('C411'!C11,"Lab 2")+COUNTIF('C412'!C11,"Lab 2"))&gt;0,1,0)+IF((COUNTIF('M111'!C11,"Lab 2")+COUNTIF('M112'!C11,"Lab 2"))&gt;0,1,0)+IF((COUNTIF('M211'!C11,"Lab 2")+COUNTIF('M212'!C11,"Lab 2"))&gt;0,1,0)+IF((COUNTIF('M311'!C11,"Lab 2"))&gt;0,1,0)+IF((COUNTIF('M411'!C11,"Lab 2"))&gt;0,1,0)+IF((COUNTIF('D111'!C11,"Lab 2")+COUNTIF('D112'!C11,"Lab 2"))&gt;0,1,0)+IF((COUNTIF('D211'!C11,"Lab 2"))&gt;0,1,0)+IF((COUNTIF('D311'!C11,"Lab 2"))&gt;0,1,0)+IF((COUNTIF('D411'!C11,"Lab 2"))&gt;0,1,0))=0,"",IF((IF((COUNTIF('C111'!C11,"Lab 2")+COUNTIF('C112'!C11,"Lab 2")+COUNTIF('C113'!C11,"Lab 2")+COUNTIF('C121'!C11,"Lab 2")+COUNTIF('C122'!C11,"Lab 2"))&gt;0,1,0)+IF((COUNTIF('C211'!C11,"Lab 2")+COUNTIF('C212'!C11,"Lab 2"))&gt;0,1,0)+IF((COUNTIF('C311'!C11,"Lab 2")+COUNTIF('C312'!C11,"Lab 2"))&gt;0,1,0)+IF((COUNTIF('C411'!C11,"Lab 2")+COUNTIF('C412'!C11,"Lab 2"))&gt;0,1,0)+IF((COUNTIF('M111'!C11,"Lab 2")+COUNTIF('M112'!C11,"Lab 2"))&gt;0,1,0)+IF((COUNTIF('M211'!C11,"Lab 2")+COUNTIF('M212'!C11,"Lab 2"))&gt;0,1,0)+IF((COUNTIF('M311'!C11,"Lab 2"))&gt;0,1,0)+IF((COUNTIF('M411'!C11,"Lab 2"))&gt;0,1,0)+IF((COUNTIF('D111'!C11,"Lab 2")+COUNTIF('D112'!C11,"Lab 2"))&gt;0,1,0)+IF((COUNTIF('D211'!C11,"Lab 2"))&gt;0,1,0)+IF((COUNTIF('D311'!C11,"Lab 2"))&gt;0,1,0)+IF((COUNTIF('D411'!C11,"Lab 2"))&gt;0,1,0))=1,IF((COUNTIF('C111'!C11,"Lab 2")+COUNTIF('C112'!C11,"Lab 2")+COUNTIF('C113'!C11,"Lab 2")+COUNTIF('C121'!C11,"Lab 2")+COUNTIF('C122'!C11,"Lab 2"))&gt;0,"C1",IF((COUNTIF('C211'!C11,"Lab 2")+COUNTIF('C212'!C11,"Lab 2"))&gt;0,"C2",IF((COUNTIF('C311'!C11,"Lab 2")+COUNTIF('C312'!C11,"Lab 2"))&gt;0,"C3",IF((COUNTIF('C411'!C11,"Lab 2")+COUNTIF('C412'!C11,"Lab 2"))&gt;0,"C4",IF((COUNTIF('M111'!C11,"Lab 2")+COUNTIF('M112'!C11,"Lab 2"))&gt;0,"M1",IF((COUNTIF('M211'!C11,"Lab 2")+COUNTIF('M212'!C11,"Lab 2"))&gt;0,"M2",IF((COUNTIF('M311'!C11,"Lab 2"))&gt;0,"M3",IF((COUNTIF('M411'!C11,"Lab 2"))&gt;0,"M4",IF((COUNTIF('D111'!C11,"Lab 2")+COUNTIF('D112'!C11,"Lab 2"))&gt;0,"D1",IF((COUNTIF('D211'!C11,"Lab 2"))&gt;0,"D2",IF((COUNTIF('D311'!C11,"Lab 2"))&gt;0,"D3",IF((COUNTIF('D411'!C11,"Lab 2"))&gt;0,"D4","")))))))))))),"MIX"))</f>
        <v/>
      </c>
    </row>
    <row r="150">
      <c r="C150">
        <f>IF((IF((COUNTIF('C111'!C11,"Salón")+COUNTIF('C112'!C11,"Salón")+COUNTIF('C113'!C11,"Salón")+COUNTIF('C121'!C11,"Salón")+COUNTIF('C122'!C11,"Salón"))&gt;0,1,0)+IF((COUNTIF('C211'!C11,"Salón")+COUNTIF('C212'!C11,"Salón"))&gt;0,1,0)+IF((COUNTIF('C311'!C11,"Salón")+COUNTIF('C312'!C11,"Salón"))&gt;0,1,0)+IF((COUNTIF('C411'!C11,"Salón")+COUNTIF('C412'!C11,"Salón"))&gt;0,1,0)+IF((COUNTIF('M111'!C11,"Salón")+COUNTIF('M112'!C11,"Salón"))&gt;0,1,0)+IF((COUNTIF('M211'!C11,"Salón")+COUNTIF('M212'!C11,"Salón"))&gt;0,1,0)+IF((COUNTIF('M311'!C11,"Salón"))&gt;0,1,0)+IF((COUNTIF('M411'!C11,"Salón"))&gt;0,1,0)+IF((COUNTIF('D111'!C11,"Salón")+COUNTIF('D112'!C11,"Salón"))&gt;0,1,0)+IF((COUNTIF('D211'!C11,"Salón"))&gt;0,1,0)+IF((COUNTIF('D311'!C11,"Salón"))&gt;0,1,0)+IF((COUNTIF('D411'!C11,"Salón"))&gt;0,1,0))=0,"",IF((IF((COUNTIF('C111'!C11,"Salón")+COUNTIF('C112'!C11,"Salón")+COUNTIF('C113'!C11,"Salón")+COUNTIF('C121'!C11,"Salón")+COUNTIF('C122'!C11,"Salón"))&gt;0,1,0)+IF((COUNTIF('C211'!C11,"Salón")+COUNTIF('C212'!C11,"Salón"))&gt;0,1,0)+IF((COUNTIF('C311'!C11,"Salón")+COUNTIF('C312'!C11,"Salón"))&gt;0,1,0)+IF((COUNTIF('C411'!C11,"Salón")+COUNTIF('C412'!C11,"Salón"))&gt;0,1,0)+IF((COUNTIF('M111'!C11,"Salón")+COUNTIF('M112'!C11,"Salón"))&gt;0,1,0)+IF((COUNTIF('M211'!C11,"Salón")+COUNTIF('M212'!C11,"Salón"))&gt;0,1,0)+IF((COUNTIF('M311'!C11,"Salón"))&gt;0,1,0)+IF((COUNTIF('M411'!C11,"Salón"))&gt;0,1,0)+IF((COUNTIF('D111'!C11,"Salón")+COUNTIF('D112'!C11,"Salón"))&gt;0,1,0)+IF((COUNTIF('D211'!C11,"Salón"))&gt;0,1,0)+IF((COUNTIF('D311'!C11,"Salón"))&gt;0,1,0)+IF((COUNTIF('D411'!C11,"Salón"))&gt;0,1,0))=1,IF((COUNTIF('C111'!C11,"Salón")+COUNTIF('C112'!C11,"Salón")+COUNTIF('C113'!C11,"Salón")+COUNTIF('C121'!C11,"Salón")+COUNTIF('C122'!C11,"Salón"))&gt;0,"C1",IF((COUNTIF('C211'!C11,"Salón")+COUNTIF('C212'!C11,"Salón"))&gt;0,"C2",IF((COUNTIF('C311'!C11,"Salón")+COUNTIF('C312'!C11,"Salón"))&gt;0,"C3",IF((COUNTIF('C411'!C11,"Salón")+COUNTIF('C412'!C11,"Salón"))&gt;0,"C4",IF((COUNTIF('M111'!C11,"Salón")+COUNTIF('M112'!C11,"Salón"))&gt;0,"M1",IF((COUNTIF('M211'!C11,"Salón")+COUNTIF('M212'!C11,"Salón"))&gt;0,"M2",IF((COUNTIF('M311'!C11,"Salón"))&gt;0,"M3",IF((COUNTIF('M411'!C11,"Salón"))&gt;0,"M4",IF((COUNTIF('D111'!C11,"Salón")+COUNTIF('D112'!C11,"Salón"))&gt;0,"D1",IF((COUNTIF('D211'!C11,"Salón"))&gt;0,"D2",IF((COUNTIF('D311'!C11,"Salón"))&gt;0,"D3",IF((COUNTIF('D411'!C11,"Salón"))&gt;0,"D4","")))))))))))),"MIX"))</f>
        <v/>
      </c>
    </row>
    <row r="151">
      <c r="C151">
        <f>IF((IF((COUNTIF('C111'!C13,"Aula 1")+COUNTIF('C112'!C13,"Aula 1")+COUNTIF('C113'!C13,"Aula 1")+COUNTIF('C121'!C13,"Aula 1")+COUNTIF('C122'!C13,"Aula 1"))&gt;0,1,0)+IF((COUNTIF('C211'!C13,"Aula 1")+COUNTIF('C212'!C13,"Aula 1"))&gt;0,1,0)+IF((COUNTIF('C311'!C13,"Aula 1")+COUNTIF('C312'!C13,"Aula 1"))&gt;0,1,0)+IF((COUNTIF('C411'!C13,"Aula 1")+COUNTIF('C412'!C13,"Aula 1"))&gt;0,1,0)+IF((COUNTIF('M111'!C13,"Aula 1")+COUNTIF('M112'!C13,"Aula 1"))&gt;0,1,0)+IF((COUNTIF('M211'!C13,"Aula 1")+COUNTIF('M212'!C13,"Aula 1"))&gt;0,1,0)+IF((COUNTIF('M311'!C13,"Aula 1"))&gt;0,1,0)+IF((COUNTIF('M411'!C13,"Aula 1"))&gt;0,1,0)+IF((COUNTIF('D111'!C13,"Aula 1")+COUNTIF('D112'!C13,"Aula 1"))&gt;0,1,0)+IF((COUNTIF('D211'!C13,"Aula 1"))&gt;0,1,0)+IF((COUNTIF('D311'!C13,"Aula 1"))&gt;0,1,0)+IF((COUNTIF('D411'!C13,"Aula 1"))&gt;0,1,0))=0,"",IF((IF((COUNTIF('C111'!C13,"Aula 1")+COUNTIF('C112'!C13,"Aula 1")+COUNTIF('C113'!C13,"Aula 1")+COUNTIF('C121'!C13,"Aula 1")+COUNTIF('C122'!C13,"Aula 1"))&gt;0,1,0)+IF((COUNTIF('C211'!C13,"Aula 1")+COUNTIF('C212'!C13,"Aula 1"))&gt;0,1,0)+IF((COUNTIF('C311'!C13,"Aula 1")+COUNTIF('C312'!C13,"Aula 1"))&gt;0,1,0)+IF((COUNTIF('C411'!C13,"Aula 1")+COUNTIF('C412'!C13,"Aula 1"))&gt;0,1,0)+IF((COUNTIF('M111'!C13,"Aula 1")+COUNTIF('M112'!C13,"Aula 1"))&gt;0,1,0)+IF((COUNTIF('M211'!C13,"Aula 1")+COUNTIF('M212'!C13,"Aula 1"))&gt;0,1,0)+IF((COUNTIF('M311'!C13,"Aula 1"))&gt;0,1,0)+IF((COUNTIF('M411'!C13,"Aula 1"))&gt;0,1,0)+IF((COUNTIF('D111'!C13,"Aula 1")+COUNTIF('D112'!C13,"Aula 1"))&gt;0,1,0)+IF((COUNTIF('D211'!C13,"Aula 1"))&gt;0,1,0)+IF((COUNTIF('D311'!C13,"Aula 1"))&gt;0,1,0)+IF((COUNTIF('D411'!C13,"Aula 1"))&gt;0,1,0))=1,IF((COUNTIF('C111'!C13,"Aula 1")+COUNTIF('C112'!C13,"Aula 1")+COUNTIF('C113'!C13,"Aula 1")+COUNTIF('C121'!C13,"Aula 1")+COUNTIF('C122'!C13,"Aula 1"))&gt;0,"C1",IF((COUNTIF('C211'!C13,"Aula 1")+COUNTIF('C212'!C13,"Aula 1"))&gt;0,"C2",IF((COUNTIF('C311'!C13,"Aula 1")+COUNTIF('C312'!C13,"Aula 1"))&gt;0,"C3",IF((COUNTIF('C411'!C13,"Aula 1")+COUNTIF('C412'!C13,"Aula 1"))&gt;0,"C4",IF((COUNTIF('M111'!C13,"Aula 1")+COUNTIF('M112'!C13,"Aula 1"))&gt;0,"M1",IF((COUNTIF('M211'!C13,"Aula 1")+COUNTIF('M212'!C13,"Aula 1"))&gt;0,"M2",IF((COUNTIF('M311'!C13,"Aula 1"))&gt;0,"M3",IF((COUNTIF('M411'!C13,"Aula 1"))&gt;0,"M4",IF((COUNTIF('D111'!C13,"Aula 1")+COUNTIF('D112'!C13,"Aula 1"))&gt;0,"D1",IF((COUNTIF('D211'!C13,"Aula 1"))&gt;0,"D2",IF((COUNTIF('D311'!C13,"Aula 1"))&gt;0,"D3",IF((COUNTIF('D411'!C13,"Aula 1"))&gt;0,"D4","")))))))))))),"MIX"))</f>
        <v/>
      </c>
    </row>
    <row r="152">
      <c r="C152">
        <f>IF((IF((COUNTIF('C111'!C13,"Aula 2")+COUNTIF('C112'!C13,"Aula 2")+COUNTIF('C113'!C13,"Aula 2")+COUNTIF('C121'!C13,"Aula 2")+COUNTIF('C122'!C13,"Aula 2"))&gt;0,1,0)+IF((COUNTIF('C211'!C13,"Aula 2")+COUNTIF('C212'!C13,"Aula 2"))&gt;0,1,0)+IF((COUNTIF('C311'!C13,"Aula 2")+COUNTIF('C312'!C13,"Aula 2"))&gt;0,1,0)+IF((COUNTIF('C411'!C13,"Aula 2")+COUNTIF('C412'!C13,"Aula 2"))&gt;0,1,0)+IF((COUNTIF('M111'!C13,"Aula 2")+COUNTIF('M112'!C13,"Aula 2"))&gt;0,1,0)+IF((COUNTIF('M211'!C13,"Aula 2")+COUNTIF('M212'!C13,"Aula 2"))&gt;0,1,0)+IF((COUNTIF('M311'!C13,"Aula 2"))&gt;0,1,0)+IF((COUNTIF('M411'!C13,"Aula 2"))&gt;0,1,0)+IF((COUNTIF('D111'!C13,"Aula 2")+COUNTIF('D112'!C13,"Aula 2"))&gt;0,1,0)+IF((COUNTIF('D211'!C13,"Aula 2"))&gt;0,1,0)+IF((COUNTIF('D311'!C13,"Aula 2"))&gt;0,1,0)+IF((COUNTIF('D411'!C13,"Aula 2"))&gt;0,1,0))=0,"",IF((IF((COUNTIF('C111'!C13,"Aula 2")+COUNTIF('C112'!C13,"Aula 2")+COUNTIF('C113'!C13,"Aula 2")+COUNTIF('C121'!C13,"Aula 2")+COUNTIF('C122'!C13,"Aula 2"))&gt;0,1,0)+IF((COUNTIF('C211'!C13,"Aula 2")+COUNTIF('C212'!C13,"Aula 2"))&gt;0,1,0)+IF((COUNTIF('C311'!C13,"Aula 2")+COUNTIF('C312'!C13,"Aula 2"))&gt;0,1,0)+IF((COUNTIF('C411'!C13,"Aula 2")+COUNTIF('C412'!C13,"Aula 2"))&gt;0,1,0)+IF((COUNTIF('M111'!C13,"Aula 2")+COUNTIF('M112'!C13,"Aula 2"))&gt;0,1,0)+IF((COUNTIF('M211'!C13,"Aula 2")+COUNTIF('M212'!C13,"Aula 2"))&gt;0,1,0)+IF((COUNTIF('M311'!C13,"Aula 2"))&gt;0,1,0)+IF((COUNTIF('M411'!C13,"Aula 2"))&gt;0,1,0)+IF((COUNTIF('D111'!C13,"Aula 2")+COUNTIF('D112'!C13,"Aula 2"))&gt;0,1,0)+IF((COUNTIF('D211'!C13,"Aula 2"))&gt;0,1,0)+IF((COUNTIF('D311'!C13,"Aula 2"))&gt;0,1,0)+IF((COUNTIF('D411'!C13,"Aula 2"))&gt;0,1,0))=1,IF((COUNTIF('C111'!C13,"Aula 2")+COUNTIF('C112'!C13,"Aula 2")+COUNTIF('C113'!C13,"Aula 2")+COUNTIF('C121'!C13,"Aula 2")+COUNTIF('C122'!C13,"Aula 2"))&gt;0,"C1",IF((COUNTIF('C211'!C13,"Aula 2")+COUNTIF('C212'!C13,"Aula 2"))&gt;0,"C2",IF((COUNTIF('C311'!C13,"Aula 2")+COUNTIF('C312'!C13,"Aula 2"))&gt;0,"C3",IF((COUNTIF('C411'!C13,"Aula 2")+COUNTIF('C412'!C13,"Aula 2"))&gt;0,"C4",IF((COUNTIF('M111'!C13,"Aula 2")+COUNTIF('M112'!C13,"Aula 2"))&gt;0,"M1",IF((COUNTIF('M211'!C13,"Aula 2")+COUNTIF('M212'!C13,"Aula 2"))&gt;0,"M2",IF((COUNTIF('M311'!C13,"Aula 2"))&gt;0,"M3",IF((COUNTIF('M411'!C13,"Aula 2"))&gt;0,"M4",IF((COUNTIF('D111'!C13,"Aula 2")+COUNTIF('D112'!C13,"Aula 2"))&gt;0,"D1",IF((COUNTIF('D211'!C13,"Aula 2"))&gt;0,"D2",IF((COUNTIF('D311'!C13,"Aula 2"))&gt;0,"D3",IF((COUNTIF('D411'!C13,"Aula 2"))&gt;0,"D4","")))))))))))),"MIX"))</f>
        <v/>
      </c>
    </row>
    <row r="153">
      <c r="C153">
        <f>IF((IF((COUNTIF('C111'!C13,"Aula 3")+COUNTIF('C112'!C13,"Aula 3")+COUNTIF('C113'!C13,"Aula 3")+COUNTIF('C121'!C13,"Aula 3")+COUNTIF('C122'!C13,"Aula 3"))&gt;0,1,0)+IF((COUNTIF('C211'!C13,"Aula 3")+COUNTIF('C212'!C13,"Aula 3"))&gt;0,1,0)+IF((COUNTIF('C311'!C13,"Aula 3")+COUNTIF('C312'!C13,"Aula 3"))&gt;0,1,0)+IF((COUNTIF('C411'!C13,"Aula 3")+COUNTIF('C412'!C13,"Aula 3"))&gt;0,1,0)+IF((COUNTIF('M111'!C13,"Aula 3")+COUNTIF('M112'!C13,"Aula 3"))&gt;0,1,0)+IF((COUNTIF('M211'!C13,"Aula 3")+COUNTIF('M212'!C13,"Aula 3"))&gt;0,1,0)+IF((COUNTIF('M311'!C13,"Aula 3"))&gt;0,1,0)+IF((COUNTIF('M411'!C13,"Aula 3"))&gt;0,1,0)+IF((COUNTIF('D111'!C13,"Aula 3")+COUNTIF('D112'!C13,"Aula 3"))&gt;0,1,0)+IF((COUNTIF('D211'!C13,"Aula 3"))&gt;0,1,0)+IF((COUNTIF('D311'!C13,"Aula 3"))&gt;0,1,0)+IF((COUNTIF('D411'!C13,"Aula 3"))&gt;0,1,0))=0,"",IF((IF((COUNTIF('C111'!C13,"Aula 3")+COUNTIF('C112'!C13,"Aula 3")+COUNTIF('C113'!C13,"Aula 3")+COUNTIF('C121'!C13,"Aula 3")+COUNTIF('C122'!C13,"Aula 3"))&gt;0,1,0)+IF((COUNTIF('C211'!C13,"Aula 3")+COUNTIF('C212'!C13,"Aula 3"))&gt;0,1,0)+IF((COUNTIF('C311'!C13,"Aula 3")+COUNTIF('C312'!C13,"Aula 3"))&gt;0,1,0)+IF((COUNTIF('C411'!C13,"Aula 3")+COUNTIF('C412'!C13,"Aula 3"))&gt;0,1,0)+IF((COUNTIF('M111'!C13,"Aula 3")+COUNTIF('M112'!C13,"Aula 3"))&gt;0,1,0)+IF((COUNTIF('M211'!C13,"Aula 3")+COUNTIF('M212'!C13,"Aula 3"))&gt;0,1,0)+IF((COUNTIF('M311'!C13,"Aula 3"))&gt;0,1,0)+IF((COUNTIF('M411'!C13,"Aula 3"))&gt;0,1,0)+IF((COUNTIF('D111'!C13,"Aula 3")+COUNTIF('D112'!C13,"Aula 3"))&gt;0,1,0)+IF((COUNTIF('D211'!C13,"Aula 3"))&gt;0,1,0)+IF((COUNTIF('D311'!C13,"Aula 3"))&gt;0,1,0)+IF((COUNTIF('D411'!C13,"Aula 3"))&gt;0,1,0))=1,IF((COUNTIF('C111'!C13,"Aula 3")+COUNTIF('C112'!C13,"Aula 3")+COUNTIF('C113'!C13,"Aula 3")+COUNTIF('C121'!C13,"Aula 3")+COUNTIF('C122'!C13,"Aula 3"))&gt;0,"C1",IF((COUNTIF('C211'!C13,"Aula 3")+COUNTIF('C212'!C13,"Aula 3"))&gt;0,"C2",IF((COUNTIF('C311'!C13,"Aula 3")+COUNTIF('C312'!C13,"Aula 3"))&gt;0,"C3",IF((COUNTIF('C411'!C13,"Aula 3")+COUNTIF('C412'!C13,"Aula 3"))&gt;0,"C4",IF((COUNTIF('M111'!C13,"Aula 3")+COUNTIF('M112'!C13,"Aula 3"))&gt;0,"M1",IF((COUNTIF('M211'!C13,"Aula 3")+COUNTIF('M212'!C13,"Aula 3"))&gt;0,"M2",IF((COUNTIF('M311'!C13,"Aula 3"))&gt;0,"M3",IF((COUNTIF('M411'!C13,"Aula 3"))&gt;0,"M4",IF((COUNTIF('D111'!C13,"Aula 3")+COUNTIF('D112'!C13,"Aula 3"))&gt;0,"D1",IF((COUNTIF('D211'!C13,"Aula 3"))&gt;0,"D2",IF((COUNTIF('D311'!C13,"Aula 3"))&gt;0,"D3",IF((COUNTIF('D411'!C13,"Aula 3"))&gt;0,"D4","")))))))))))),"MIX"))</f>
        <v/>
      </c>
    </row>
    <row r="154">
      <c r="C154">
        <f>IF((IF((COUNTIF('C111'!C13,"Aula 4")+COUNTIF('C112'!C13,"Aula 4")+COUNTIF('C113'!C13,"Aula 4")+COUNTIF('C121'!C13,"Aula 4")+COUNTIF('C122'!C13,"Aula 4"))&gt;0,1,0)+IF((COUNTIF('C211'!C13,"Aula 4")+COUNTIF('C212'!C13,"Aula 4"))&gt;0,1,0)+IF((COUNTIF('C311'!C13,"Aula 4")+COUNTIF('C312'!C13,"Aula 4"))&gt;0,1,0)+IF((COUNTIF('C411'!C13,"Aula 4")+COUNTIF('C412'!C13,"Aula 4"))&gt;0,1,0)+IF((COUNTIF('M111'!C13,"Aula 4")+COUNTIF('M112'!C13,"Aula 4"))&gt;0,1,0)+IF((COUNTIF('M211'!C13,"Aula 4")+COUNTIF('M212'!C13,"Aula 4"))&gt;0,1,0)+IF((COUNTIF('M311'!C13,"Aula 4"))&gt;0,1,0)+IF((COUNTIF('M411'!C13,"Aula 4"))&gt;0,1,0)+IF((COUNTIF('D111'!C13,"Aula 4")+COUNTIF('D112'!C13,"Aula 4"))&gt;0,1,0)+IF((COUNTIF('D211'!C13,"Aula 4"))&gt;0,1,0)+IF((COUNTIF('D311'!C13,"Aula 4"))&gt;0,1,0)+IF((COUNTIF('D411'!C13,"Aula 4"))&gt;0,1,0))=0,"",IF((IF((COUNTIF('C111'!C13,"Aula 4")+COUNTIF('C112'!C13,"Aula 4")+COUNTIF('C113'!C13,"Aula 4")+COUNTIF('C121'!C13,"Aula 4")+COUNTIF('C122'!C13,"Aula 4"))&gt;0,1,0)+IF((COUNTIF('C211'!C13,"Aula 4")+COUNTIF('C212'!C13,"Aula 4"))&gt;0,1,0)+IF((COUNTIF('C311'!C13,"Aula 4")+COUNTIF('C312'!C13,"Aula 4"))&gt;0,1,0)+IF((COUNTIF('C411'!C13,"Aula 4")+COUNTIF('C412'!C13,"Aula 4"))&gt;0,1,0)+IF((COUNTIF('M111'!C13,"Aula 4")+COUNTIF('M112'!C13,"Aula 4"))&gt;0,1,0)+IF((COUNTIF('M211'!C13,"Aula 4")+COUNTIF('M212'!C13,"Aula 4"))&gt;0,1,0)+IF((COUNTIF('M311'!C13,"Aula 4"))&gt;0,1,0)+IF((COUNTIF('M411'!C13,"Aula 4"))&gt;0,1,0)+IF((COUNTIF('D111'!C13,"Aula 4")+COUNTIF('D112'!C13,"Aula 4"))&gt;0,1,0)+IF((COUNTIF('D211'!C13,"Aula 4"))&gt;0,1,0)+IF((COUNTIF('D311'!C13,"Aula 4"))&gt;0,1,0)+IF((COUNTIF('D411'!C13,"Aula 4"))&gt;0,1,0))=1,IF((COUNTIF('C111'!C13,"Aula 4")+COUNTIF('C112'!C13,"Aula 4")+COUNTIF('C113'!C13,"Aula 4")+COUNTIF('C121'!C13,"Aula 4")+COUNTIF('C122'!C13,"Aula 4"))&gt;0,"C1",IF((COUNTIF('C211'!C13,"Aula 4")+COUNTIF('C212'!C13,"Aula 4"))&gt;0,"C2",IF((COUNTIF('C311'!C13,"Aula 4")+COUNTIF('C312'!C13,"Aula 4"))&gt;0,"C3",IF((COUNTIF('C411'!C13,"Aula 4")+COUNTIF('C412'!C13,"Aula 4"))&gt;0,"C4",IF((COUNTIF('M111'!C13,"Aula 4")+COUNTIF('M112'!C13,"Aula 4"))&gt;0,"M1",IF((COUNTIF('M211'!C13,"Aula 4")+COUNTIF('M212'!C13,"Aula 4"))&gt;0,"M2",IF((COUNTIF('M311'!C13,"Aula 4"))&gt;0,"M3",IF((COUNTIF('M411'!C13,"Aula 4"))&gt;0,"M4",IF((COUNTIF('D111'!C13,"Aula 4")+COUNTIF('D112'!C13,"Aula 4"))&gt;0,"D1",IF((COUNTIF('D211'!C13,"Aula 4"))&gt;0,"D2",IF((COUNTIF('D311'!C13,"Aula 4"))&gt;0,"D3",IF((COUNTIF('D411'!C13,"Aula 4"))&gt;0,"D4","")))))))))))),"MIX"))</f>
        <v/>
      </c>
    </row>
    <row r="155">
      <c r="C155">
        <f>IF((IF((COUNTIF('C111'!C13,"Aula 5")+COUNTIF('C112'!C13,"Aula 5")+COUNTIF('C113'!C13,"Aula 5")+COUNTIF('C121'!C13,"Aula 5")+COUNTIF('C122'!C13,"Aula 5"))&gt;0,1,0)+IF((COUNTIF('C211'!C13,"Aula 5")+COUNTIF('C212'!C13,"Aula 5"))&gt;0,1,0)+IF((COUNTIF('C311'!C13,"Aula 5")+COUNTIF('C312'!C13,"Aula 5"))&gt;0,1,0)+IF((COUNTIF('C411'!C13,"Aula 5")+COUNTIF('C412'!C13,"Aula 5"))&gt;0,1,0)+IF((COUNTIF('M111'!C13,"Aula 5")+COUNTIF('M112'!C13,"Aula 5"))&gt;0,1,0)+IF((COUNTIF('M211'!C13,"Aula 5")+COUNTIF('M212'!C13,"Aula 5"))&gt;0,1,0)+IF((COUNTIF('M311'!C13,"Aula 5"))&gt;0,1,0)+IF((COUNTIF('M411'!C13,"Aula 5"))&gt;0,1,0)+IF((COUNTIF('D111'!C13,"Aula 5")+COUNTIF('D112'!C13,"Aula 5"))&gt;0,1,0)+IF((COUNTIF('D211'!C13,"Aula 5"))&gt;0,1,0)+IF((COUNTIF('D311'!C13,"Aula 5"))&gt;0,1,0)+IF((COUNTIF('D411'!C13,"Aula 5"))&gt;0,1,0))=0,"",IF((IF((COUNTIF('C111'!C13,"Aula 5")+COUNTIF('C112'!C13,"Aula 5")+COUNTIF('C113'!C13,"Aula 5")+COUNTIF('C121'!C13,"Aula 5")+COUNTIF('C122'!C13,"Aula 5"))&gt;0,1,0)+IF((COUNTIF('C211'!C13,"Aula 5")+COUNTIF('C212'!C13,"Aula 5"))&gt;0,1,0)+IF((COUNTIF('C311'!C13,"Aula 5")+COUNTIF('C312'!C13,"Aula 5"))&gt;0,1,0)+IF((COUNTIF('C411'!C13,"Aula 5")+COUNTIF('C412'!C13,"Aula 5"))&gt;0,1,0)+IF((COUNTIF('M111'!C13,"Aula 5")+COUNTIF('M112'!C13,"Aula 5"))&gt;0,1,0)+IF((COUNTIF('M211'!C13,"Aula 5")+COUNTIF('M212'!C13,"Aula 5"))&gt;0,1,0)+IF((COUNTIF('M311'!C13,"Aula 5"))&gt;0,1,0)+IF((COUNTIF('M411'!C13,"Aula 5"))&gt;0,1,0)+IF((COUNTIF('D111'!C13,"Aula 5")+COUNTIF('D112'!C13,"Aula 5"))&gt;0,1,0)+IF((COUNTIF('D211'!C13,"Aula 5"))&gt;0,1,0)+IF((COUNTIF('D311'!C13,"Aula 5"))&gt;0,1,0)+IF((COUNTIF('D411'!C13,"Aula 5"))&gt;0,1,0))=1,IF((COUNTIF('C111'!C13,"Aula 5")+COUNTIF('C112'!C13,"Aula 5")+COUNTIF('C113'!C13,"Aula 5")+COUNTIF('C121'!C13,"Aula 5")+COUNTIF('C122'!C13,"Aula 5"))&gt;0,"C1",IF((COUNTIF('C211'!C13,"Aula 5")+COUNTIF('C212'!C13,"Aula 5"))&gt;0,"C2",IF((COUNTIF('C311'!C13,"Aula 5")+COUNTIF('C312'!C13,"Aula 5"))&gt;0,"C3",IF((COUNTIF('C411'!C13,"Aula 5")+COUNTIF('C412'!C13,"Aula 5"))&gt;0,"C4",IF((COUNTIF('M111'!C13,"Aula 5")+COUNTIF('M112'!C13,"Aula 5"))&gt;0,"M1",IF((COUNTIF('M211'!C13,"Aula 5")+COUNTIF('M212'!C13,"Aula 5"))&gt;0,"M2",IF((COUNTIF('M311'!C13,"Aula 5"))&gt;0,"M3",IF((COUNTIF('M411'!C13,"Aula 5"))&gt;0,"M4",IF((COUNTIF('D111'!C13,"Aula 5")+COUNTIF('D112'!C13,"Aula 5"))&gt;0,"D1",IF((COUNTIF('D211'!C13,"Aula 5"))&gt;0,"D2",IF((COUNTIF('D311'!C13,"Aula 5"))&gt;0,"D3",IF((COUNTIF('D411'!C13,"Aula 5"))&gt;0,"D4","")))))))))))),"MIX"))</f>
        <v/>
      </c>
    </row>
    <row r="156">
      <c r="C156">
        <f>IF((IF((COUNTIF('C111'!C13,"Aula 6")+COUNTIF('C112'!C13,"Aula 6")+COUNTIF('C113'!C13,"Aula 6")+COUNTIF('C121'!C13,"Aula 6")+COUNTIF('C122'!C13,"Aula 6"))&gt;0,1,0)+IF((COUNTIF('C211'!C13,"Aula 6")+COUNTIF('C212'!C13,"Aula 6"))&gt;0,1,0)+IF((COUNTIF('C311'!C13,"Aula 6")+COUNTIF('C312'!C13,"Aula 6"))&gt;0,1,0)+IF((COUNTIF('C411'!C13,"Aula 6")+COUNTIF('C412'!C13,"Aula 6"))&gt;0,1,0)+IF((COUNTIF('M111'!C13,"Aula 6")+COUNTIF('M112'!C13,"Aula 6"))&gt;0,1,0)+IF((COUNTIF('M211'!C13,"Aula 6")+COUNTIF('M212'!C13,"Aula 6"))&gt;0,1,0)+IF((COUNTIF('M311'!C13,"Aula 6"))&gt;0,1,0)+IF((COUNTIF('M411'!C13,"Aula 6"))&gt;0,1,0)+IF((COUNTIF('D111'!C13,"Aula 6")+COUNTIF('D112'!C13,"Aula 6"))&gt;0,1,0)+IF((COUNTIF('D211'!C13,"Aula 6"))&gt;0,1,0)+IF((COUNTIF('D311'!C13,"Aula 6"))&gt;0,1,0)+IF((COUNTIF('D411'!C13,"Aula 6"))&gt;0,1,0))=0,"",IF((IF((COUNTIF('C111'!C13,"Aula 6")+COUNTIF('C112'!C13,"Aula 6")+COUNTIF('C113'!C13,"Aula 6")+COUNTIF('C121'!C13,"Aula 6")+COUNTIF('C122'!C13,"Aula 6"))&gt;0,1,0)+IF((COUNTIF('C211'!C13,"Aula 6")+COUNTIF('C212'!C13,"Aula 6"))&gt;0,1,0)+IF((COUNTIF('C311'!C13,"Aula 6")+COUNTIF('C312'!C13,"Aula 6"))&gt;0,1,0)+IF((COUNTIF('C411'!C13,"Aula 6")+COUNTIF('C412'!C13,"Aula 6"))&gt;0,1,0)+IF((COUNTIF('M111'!C13,"Aula 6")+COUNTIF('M112'!C13,"Aula 6"))&gt;0,1,0)+IF((COUNTIF('M211'!C13,"Aula 6")+COUNTIF('M212'!C13,"Aula 6"))&gt;0,1,0)+IF((COUNTIF('M311'!C13,"Aula 6"))&gt;0,1,0)+IF((COUNTIF('M411'!C13,"Aula 6"))&gt;0,1,0)+IF((COUNTIF('D111'!C13,"Aula 6")+COUNTIF('D112'!C13,"Aula 6"))&gt;0,1,0)+IF((COUNTIF('D211'!C13,"Aula 6"))&gt;0,1,0)+IF((COUNTIF('D311'!C13,"Aula 6"))&gt;0,1,0)+IF((COUNTIF('D411'!C13,"Aula 6"))&gt;0,1,0))=1,IF((COUNTIF('C111'!C13,"Aula 6")+COUNTIF('C112'!C13,"Aula 6")+COUNTIF('C113'!C13,"Aula 6")+COUNTIF('C121'!C13,"Aula 6")+COUNTIF('C122'!C13,"Aula 6"))&gt;0,"C1",IF((COUNTIF('C211'!C13,"Aula 6")+COUNTIF('C212'!C13,"Aula 6"))&gt;0,"C2",IF((COUNTIF('C311'!C13,"Aula 6")+COUNTIF('C312'!C13,"Aula 6"))&gt;0,"C3",IF((COUNTIF('C411'!C13,"Aula 6")+COUNTIF('C412'!C13,"Aula 6"))&gt;0,"C4",IF((COUNTIF('M111'!C13,"Aula 6")+COUNTIF('M112'!C13,"Aula 6"))&gt;0,"M1",IF((COUNTIF('M211'!C13,"Aula 6")+COUNTIF('M212'!C13,"Aula 6"))&gt;0,"M2",IF((COUNTIF('M311'!C13,"Aula 6"))&gt;0,"M3",IF((COUNTIF('M411'!C13,"Aula 6"))&gt;0,"M4",IF((COUNTIF('D111'!C13,"Aula 6")+COUNTIF('D112'!C13,"Aula 6"))&gt;0,"D1",IF((COUNTIF('D211'!C13,"Aula 6"))&gt;0,"D2",IF((COUNTIF('D311'!C13,"Aula 6"))&gt;0,"D3",IF((COUNTIF('D411'!C13,"Aula 6"))&gt;0,"D4","")))))))))))),"MIX"))</f>
        <v/>
      </c>
    </row>
    <row r="157">
      <c r="C157">
        <f>IF((IF((COUNTIF('C111'!C13,"Aula 7")+COUNTIF('C112'!C13,"Aula 7")+COUNTIF('C113'!C13,"Aula 7")+COUNTIF('C121'!C13,"Aula 7")+COUNTIF('C122'!C13,"Aula 7"))&gt;0,1,0)+IF((COUNTIF('C211'!C13,"Aula 7")+COUNTIF('C212'!C13,"Aula 7"))&gt;0,1,0)+IF((COUNTIF('C311'!C13,"Aula 7")+COUNTIF('C312'!C13,"Aula 7"))&gt;0,1,0)+IF((COUNTIF('C411'!C13,"Aula 7")+COUNTIF('C412'!C13,"Aula 7"))&gt;0,1,0)+IF((COUNTIF('M111'!C13,"Aula 7")+COUNTIF('M112'!C13,"Aula 7"))&gt;0,1,0)+IF((COUNTIF('M211'!C13,"Aula 7")+COUNTIF('M212'!C13,"Aula 7"))&gt;0,1,0)+IF((COUNTIF('M311'!C13,"Aula 7"))&gt;0,1,0)+IF((COUNTIF('M411'!C13,"Aula 7"))&gt;0,1,0)+IF((COUNTIF('D111'!C13,"Aula 7")+COUNTIF('D112'!C13,"Aula 7"))&gt;0,1,0)+IF((COUNTIF('D211'!C13,"Aula 7"))&gt;0,1,0)+IF((COUNTIF('D311'!C13,"Aula 7"))&gt;0,1,0)+IF((COUNTIF('D411'!C13,"Aula 7"))&gt;0,1,0))=0,"",IF((IF((COUNTIF('C111'!C13,"Aula 7")+COUNTIF('C112'!C13,"Aula 7")+COUNTIF('C113'!C13,"Aula 7")+COUNTIF('C121'!C13,"Aula 7")+COUNTIF('C122'!C13,"Aula 7"))&gt;0,1,0)+IF((COUNTIF('C211'!C13,"Aula 7")+COUNTIF('C212'!C13,"Aula 7"))&gt;0,1,0)+IF((COUNTIF('C311'!C13,"Aula 7")+COUNTIF('C312'!C13,"Aula 7"))&gt;0,1,0)+IF((COUNTIF('C411'!C13,"Aula 7")+COUNTIF('C412'!C13,"Aula 7"))&gt;0,1,0)+IF((COUNTIF('M111'!C13,"Aula 7")+COUNTIF('M112'!C13,"Aula 7"))&gt;0,1,0)+IF((COUNTIF('M211'!C13,"Aula 7")+COUNTIF('M212'!C13,"Aula 7"))&gt;0,1,0)+IF((COUNTIF('M311'!C13,"Aula 7"))&gt;0,1,0)+IF((COUNTIF('M411'!C13,"Aula 7"))&gt;0,1,0)+IF((COUNTIF('D111'!C13,"Aula 7")+COUNTIF('D112'!C13,"Aula 7"))&gt;0,1,0)+IF((COUNTIF('D211'!C13,"Aula 7"))&gt;0,1,0)+IF((COUNTIF('D311'!C13,"Aula 7"))&gt;0,1,0)+IF((COUNTIF('D411'!C13,"Aula 7"))&gt;0,1,0))=1,IF((COUNTIF('C111'!C13,"Aula 7")+COUNTIF('C112'!C13,"Aula 7")+COUNTIF('C113'!C13,"Aula 7")+COUNTIF('C121'!C13,"Aula 7")+COUNTIF('C122'!C13,"Aula 7"))&gt;0,"C1",IF((COUNTIF('C211'!C13,"Aula 7")+COUNTIF('C212'!C13,"Aula 7"))&gt;0,"C2",IF((COUNTIF('C311'!C13,"Aula 7")+COUNTIF('C312'!C13,"Aula 7"))&gt;0,"C3",IF((COUNTIF('C411'!C13,"Aula 7")+COUNTIF('C412'!C13,"Aula 7"))&gt;0,"C4",IF((COUNTIF('M111'!C13,"Aula 7")+COUNTIF('M112'!C13,"Aula 7"))&gt;0,"M1",IF((COUNTIF('M211'!C13,"Aula 7")+COUNTIF('M212'!C13,"Aula 7"))&gt;0,"M2",IF((COUNTIF('M311'!C13,"Aula 7"))&gt;0,"M3",IF((COUNTIF('M411'!C13,"Aula 7"))&gt;0,"M4",IF((COUNTIF('D111'!C13,"Aula 7")+COUNTIF('D112'!C13,"Aula 7"))&gt;0,"D1",IF((COUNTIF('D211'!C13,"Aula 7"))&gt;0,"D2",IF((COUNTIF('D311'!C13,"Aula 7"))&gt;0,"D3",IF((COUNTIF('D411'!C13,"Aula 7"))&gt;0,"D4","")))))))))))),"MIX"))</f>
        <v/>
      </c>
    </row>
    <row r="158">
      <c r="C158">
        <f>IF((IF((COUNTIF('C111'!C13,"Aula 8")+COUNTIF('C112'!C13,"Aula 8")+COUNTIF('C113'!C13,"Aula 8")+COUNTIF('C121'!C13,"Aula 8")+COUNTIF('C122'!C13,"Aula 8"))&gt;0,1,0)+IF((COUNTIF('C211'!C13,"Aula 8")+COUNTIF('C212'!C13,"Aula 8"))&gt;0,1,0)+IF((COUNTIF('C311'!C13,"Aula 8")+COUNTIF('C312'!C13,"Aula 8"))&gt;0,1,0)+IF((COUNTIF('C411'!C13,"Aula 8")+COUNTIF('C412'!C13,"Aula 8"))&gt;0,1,0)+IF((COUNTIF('M111'!C13,"Aula 8")+COUNTIF('M112'!C13,"Aula 8"))&gt;0,1,0)+IF((COUNTIF('M211'!C13,"Aula 8")+COUNTIF('M212'!C13,"Aula 8"))&gt;0,1,0)+IF((COUNTIF('M311'!C13,"Aula 8"))&gt;0,1,0)+IF((COUNTIF('M411'!C13,"Aula 8"))&gt;0,1,0)+IF((COUNTIF('D111'!C13,"Aula 8")+COUNTIF('D112'!C13,"Aula 8"))&gt;0,1,0)+IF((COUNTIF('D211'!C13,"Aula 8"))&gt;0,1,0)+IF((COUNTIF('D311'!C13,"Aula 8"))&gt;0,1,0)+IF((COUNTIF('D411'!C13,"Aula 8"))&gt;0,1,0))=0,"",IF((IF((COUNTIF('C111'!C13,"Aula 8")+COUNTIF('C112'!C13,"Aula 8")+COUNTIF('C113'!C13,"Aula 8")+COUNTIF('C121'!C13,"Aula 8")+COUNTIF('C122'!C13,"Aula 8"))&gt;0,1,0)+IF((COUNTIF('C211'!C13,"Aula 8")+COUNTIF('C212'!C13,"Aula 8"))&gt;0,1,0)+IF((COUNTIF('C311'!C13,"Aula 8")+COUNTIF('C312'!C13,"Aula 8"))&gt;0,1,0)+IF((COUNTIF('C411'!C13,"Aula 8")+COUNTIF('C412'!C13,"Aula 8"))&gt;0,1,0)+IF((COUNTIF('M111'!C13,"Aula 8")+COUNTIF('M112'!C13,"Aula 8"))&gt;0,1,0)+IF((COUNTIF('M211'!C13,"Aula 8")+COUNTIF('M212'!C13,"Aula 8"))&gt;0,1,0)+IF((COUNTIF('M311'!C13,"Aula 8"))&gt;0,1,0)+IF((COUNTIF('M411'!C13,"Aula 8"))&gt;0,1,0)+IF((COUNTIF('D111'!C13,"Aula 8")+COUNTIF('D112'!C13,"Aula 8"))&gt;0,1,0)+IF((COUNTIF('D211'!C13,"Aula 8"))&gt;0,1,0)+IF((COUNTIF('D311'!C13,"Aula 8"))&gt;0,1,0)+IF((COUNTIF('D411'!C13,"Aula 8"))&gt;0,1,0))=1,IF((COUNTIF('C111'!C13,"Aula 8")+COUNTIF('C112'!C13,"Aula 8")+COUNTIF('C113'!C13,"Aula 8")+COUNTIF('C121'!C13,"Aula 8")+COUNTIF('C122'!C13,"Aula 8"))&gt;0,"C1",IF((COUNTIF('C211'!C13,"Aula 8")+COUNTIF('C212'!C13,"Aula 8"))&gt;0,"C2",IF((COUNTIF('C311'!C13,"Aula 8")+COUNTIF('C312'!C13,"Aula 8"))&gt;0,"C3",IF((COUNTIF('C411'!C13,"Aula 8")+COUNTIF('C412'!C13,"Aula 8"))&gt;0,"C4",IF((COUNTIF('M111'!C13,"Aula 8")+COUNTIF('M112'!C13,"Aula 8"))&gt;0,"M1",IF((COUNTIF('M211'!C13,"Aula 8")+COUNTIF('M212'!C13,"Aula 8"))&gt;0,"M2",IF((COUNTIF('M311'!C13,"Aula 8"))&gt;0,"M3",IF((COUNTIF('M411'!C13,"Aula 8"))&gt;0,"M4",IF((COUNTIF('D111'!C13,"Aula 8")+COUNTIF('D112'!C13,"Aula 8"))&gt;0,"D1",IF((COUNTIF('D211'!C13,"Aula 8"))&gt;0,"D2",IF((COUNTIF('D311'!C13,"Aula 8"))&gt;0,"D3",IF((COUNTIF('D411'!C13,"Aula 8"))&gt;0,"D4","")))))))))))),"MIX"))</f>
        <v/>
      </c>
    </row>
    <row r="159">
      <c r="C159">
        <f>IF((IF((COUNTIF('C111'!C13,"Aula 9")+COUNTIF('C112'!C13,"Aula 9")+COUNTIF('C113'!C13,"Aula 9")+COUNTIF('C121'!C13,"Aula 9")+COUNTIF('C122'!C13,"Aula 9"))&gt;0,1,0)+IF((COUNTIF('C211'!C13,"Aula 9")+COUNTIF('C212'!C13,"Aula 9"))&gt;0,1,0)+IF((COUNTIF('C311'!C13,"Aula 9")+COUNTIF('C312'!C13,"Aula 9"))&gt;0,1,0)+IF((COUNTIF('C411'!C13,"Aula 9")+COUNTIF('C412'!C13,"Aula 9"))&gt;0,1,0)+IF((COUNTIF('M111'!C13,"Aula 9")+COUNTIF('M112'!C13,"Aula 9"))&gt;0,1,0)+IF((COUNTIF('M211'!C13,"Aula 9")+COUNTIF('M212'!C13,"Aula 9"))&gt;0,1,0)+IF((COUNTIF('M311'!C13,"Aula 9"))&gt;0,1,0)+IF((COUNTIF('M411'!C13,"Aula 9"))&gt;0,1,0)+IF((COUNTIF('D111'!C13,"Aula 9")+COUNTIF('D112'!C13,"Aula 9"))&gt;0,1,0)+IF((COUNTIF('D211'!C13,"Aula 9"))&gt;0,1,0)+IF((COUNTIF('D311'!C13,"Aula 9"))&gt;0,1,0)+IF((COUNTIF('D411'!C13,"Aula 9"))&gt;0,1,0))=0,"",IF((IF((COUNTIF('C111'!C13,"Aula 9")+COUNTIF('C112'!C13,"Aula 9")+COUNTIF('C113'!C13,"Aula 9")+COUNTIF('C121'!C13,"Aula 9")+COUNTIF('C122'!C13,"Aula 9"))&gt;0,1,0)+IF((COUNTIF('C211'!C13,"Aula 9")+COUNTIF('C212'!C13,"Aula 9"))&gt;0,1,0)+IF((COUNTIF('C311'!C13,"Aula 9")+COUNTIF('C312'!C13,"Aula 9"))&gt;0,1,0)+IF((COUNTIF('C411'!C13,"Aula 9")+COUNTIF('C412'!C13,"Aula 9"))&gt;0,1,0)+IF((COUNTIF('M111'!C13,"Aula 9")+COUNTIF('M112'!C13,"Aula 9"))&gt;0,1,0)+IF((COUNTIF('M211'!C13,"Aula 9")+COUNTIF('M212'!C13,"Aula 9"))&gt;0,1,0)+IF((COUNTIF('M311'!C13,"Aula 9"))&gt;0,1,0)+IF((COUNTIF('M411'!C13,"Aula 9"))&gt;0,1,0)+IF((COUNTIF('D111'!C13,"Aula 9")+COUNTIF('D112'!C13,"Aula 9"))&gt;0,1,0)+IF((COUNTIF('D211'!C13,"Aula 9"))&gt;0,1,0)+IF((COUNTIF('D311'!C13,"Aula 9"))&gt;0,1,0)+IF((COUNTIF('D411'!C13,"Aula 9"))&gt;0,1,0))=1,IF((COUNTIF('C111'!C13,"Aula 9")+COUNTIF('C112'!C13,"Aula 9")+COUNTIF('C113'!C13,"Aula 9")+COUNTIF('C121'!C13,"Aula 9")+COUNTIF('C122'!C13,"Aula 9"))&gt;0,"C1",IF((COUNTIF('C211'!C13,"Aula 9")+COUNTIF('C212'!C13,"Aula 9"))&gt;0,"C2",IF((COUNTIF('C311'!C13,"Aula 9")+COUNTIF('C312'!C13,"Aula 9"))&gt;0,"C3",IF((COUNTIF('C411'!C13,"Aula 9")+COUNTIF('C412'!C13,"Aula 9"))&gt;0,"C4",IF((COUNTIF('M111'!C13,"Aula 9")+COUNTIF('M112'!C13,"Aula 9"))&gt;0,"M1",IF((COUNTIF('M211'!C13,"Aula 9")+COUNTIF('M212'!C13,"Aula 9"))&gt;0,"M2",IF((COUNTIF('M311'!C13,"Aula 9"))&gt;0,"M3",IF((COUNTIF('M411'!C13,"Aula 9"))&gt;0,"M4",IF((COUNTIF('D111'!C13,"Aula 9")+COUNTIF('D112'!C13,"Aula 9"))&gt;0,"D1",IF((COUNTIF('D211'!C13,"Aula 9"))&gt;0,"D2",IF((COUNTIF('D311'!C13,"Aula 9"))&gt;0,"D3",IF((COUNTIF('D411'!C13,"Aula 9"))&gt;0,"D4","")))))))))))),"MIX"))</f>
        <v/>
      </c>
    </row>
    <row r="160">
      <c r="C160">
        <f>IF((IF((COUNTIF('C111'!C13,"Aula 10")+COUNTIF('C112'!C13,"Aula 10")+COUNTIF('C113'!C13,"Aula 10")+COUNTIF('C121'!C13,"Aula 10")+COUNTIF('C122'!C13,"Aula 10"))&gt;0,1,0)+IF((COUNTIF('C211'!C13,"Aula 10")+COUNTIF('C212'!C13,"Aula 10"))&gt;0,1,0)+IF((COUNTIF('C311'!C13,"Aula 10")+COUNTIF('C312'!C13,"Aula 10"))&gt;0,1,0)+IF((COUNTIF('C411'!C13,"Aula 10")+COUNTIF('C412'!C13,"Aula 10"))&gt;0,1,0)+IF((COUNTIF('M111'!C13,"Aula 10")+COUNTIF('M112'!C13,"Aula 10"))&gt;0,1,0)+IF((COUNTIF('M211'!C13,"Aula 10")+COUNTIF('M212'!C13,"Aula 10"))&gt;0,1,0)+IF((COUNTIF('M311'!C13,"Aula 10"))&gt;0,1,0)+IF((COUNTIF('M411'!C13,"Aula 10"))&gt;0,1,0)+IF((COUNTIF('D111'!C13,"Aula 10")+COUNTIF('D112'!C13,"Aula 10"))&gt;0,1,0)+IF((COUNTIF('D211'!C13,"Aula 10"))&gt;0,1,0)+IF((COUNTIF('D311'!C13,"Aula 10"))&gt;0,1,0)+IF((COUNTIF('D411'!C13,"Aula 10"))&gt;0,1,0))=0,"",IF((IF((COUNTIF('C111'!C13,"Aula 10")+COUNTIF('C112'!C13,"Aula 10")+COUNTIF('C113'!C13,"Aula 10")+COUNTIF('C121'!C13,"Aula 10")+COUNTIF('C122'!C13,"Aula 10"))&gt;0,1,0)+IF((COUNTIF('C211'!C13,"Aula 10")+COUNTIF('C212'!C13,"Aula 10"))&gt;0,1,0)+IF((COUNTIF('C311'!C13,"Aula 10")+COUNTIF('C312'!C13,"Aula 10"))&gt;0,1,0)+IF((COUNTIF('C411'!C13,"Aula 10")+COUNTIF('C412'!C13,"Aula 10"))&gt;0,1,0)+IF((COUNTIF('M111'!C13,"Aula 10")+COUNTIF('M112'!C13,"Aula 10"))&gt;0,1,0)+IF((COUNTIF('M211'!C13,"Aula 10")+COUNTIF('M212'!C13,"Aula 10"))&gt;0,1,0)+IF((COUNTIF('M311'!C13,"Aula 10"))&gt;0,1,0)+IF((COUNTIF('M411'!C13,"Aula 10"))&gt;0,1,0)+IF((COUNTIF('D111'!C13,"Aula 10")+COUNTIF('D112'!C13,"Aula 10"))&gt;0,1,0)+IF((COUNTIF('D211'!C13,"Aula 10"))&gt;0,1,0)+IF((COUNTIF('D311'!C13,"Aula 10"))&gt;0,1,0)+IF((COUNTIF('D411'!C13,"Aula 10"))&gt;0,1,0))=1,IF((COUNTIF('C111'!C13,"Aula 10")+COUNTIF('C112'!C13,"Aula 10")+COUNTIF('C113'!C13,"Aula 10")+COUNTIF('C121'!C13,"Aula 10")+COUNTIF('C122'!C13,"Aula 10"))&gt;0,"C1",IF((COUNTIF('C211'!C13,"Aula 10")+COUNTIF('C212'!C13,"Aula 10"))&gt;0,"C2",IF((COUNTIF('C311'!C13,"Aula 10")+COUNTIF('C312'!C13,"Aula 10"))&gt;0,"C3",IF((COUNTIF('C411'!C13,"Aula 10")+COUNTIF('C412'!C13,"Aula 10"))&gt;0,"C4",IF((COUNTIF('M111'!C13,"Aula 10")+COUNTIF('M112'!C13,"Aula 10"))&gt;0,"M1",IF((COUNTIF('M211'!C13,"Aula 10")+COUNTIF('M212'!C13,"Aula 10"))&gt;0,"M2",IF((COUNTIF('M311'!C13,"Aula 10"))&gt;0,"M3",IF((COUNTIF('M411'!C13,"Aula 10"))&gt;0,"M4",IF((COUNTIF('D111'!C13,"Aula 10")+COUNTIF('D112'!C13,"Aula 10"))&gt;0,"D1",IF((COUNTIF('D211'!C13,"Aula 10"))&gt;0,"D2",IF((COUNTIF('D311'!C13,"Aula 10"))&gt;0,"D3",IF((COUNTIF('D411'!C13,"Aula 10"))&gt;0,"D4","")))))))))))),"MIX"))</f>
        <v/>
      </c>
    </row>
    <row r="161">
      <c r="C161">
        <f>IF((IF((COUNTIF('C111'!C13,"Aula 11")+COUNTIF('C112'!C13,"Aula 11")+COUNTIF('C113'!C13,"Aula 11")+COUNTIF('C121'!C13,"Aula 11")+COUNTIF('C122'!C13,"Aula 11"))&gt;0,1,0)+IF((COUNTIF('C211'!C13,"Aula 11")+COUNTIF('C212'!C13,"Aula 11"))&gt;0,1,0)+IF((COUNTIF('C311'!C13,"Aula 11")+COUNTIF('C312'!C13,"Aula 11"))&gt;0,1,0)+IF((COUNTIF('C411'!C13,"Aula 11")+COUNTIF('C412'!C13,"Aula 11"))&gt;0,1,0)+IF((COUNTIF('M111'!C13,"Aula 11")+COUNTIF('M112'!C13,"Aula 11"))&gt;0,1,0)+IF((COUNTIF('M211'!C13,"Aula 11")+COUNTIF('M212'!C13,"Aula 11"))&gt;0,1,0)+IF((COUNTIF('M311'!C13,"Aula 11"))&gt;0,1,0)+IF((COUNTIF('M411'!C13,"Aula 11"))&gt;0,1,0)+IF((COUNTIF('D111'!C13,"Aula 11")+COUNTIF('D112'!C13,"Aula 11"))&gt;0,1,0)+IF((COUNTIF('D211'!C13,"Aula 11"))&gt;0,1,0)+IF((COUNTIF('D311'!C13,"Aula 11"))&gt;0,1,0)+IF((COUNTIF('D411'!C13,"Aula 11"))&gt;0,1,0))=0,"",IF((IF((COUNTIF('C111'!C13,"Aula 11")+COUNTIF('C112'!C13,"Aula 11")+COUNTIF('C113'!C13,"Aula 11")+COUNTIF('C121'!C13,"Aula 11")+COUNTIF('C122'!C13,"Aula 11"))&gt;0,1,0)+IF((COUNTIF('C211'!C13,"Aula 11")+COUNTIF('C212'!C13,"Aula 11"))&gt;0,1,0)+IF((COUNTIF('C311'!C13,"Aula 11")+COUNTIF('C312'!C13,"Aula 11"))&gt;0,1,0)+IF((COUNTIF('C411'!C13,"Aula 11")+COUNTIF('C412'!C13,"Aula 11"))&gt;0,1,0)+IF((COUNTIF('M111'!C13,"Aula 11")+COUNTIF('M112'!C13,"Aula 11"))&gt;0,1,0)+IF((COUNTIF('M211'!C13,"Aula 11")+COUNTIF('M212'!C13,"Aula 11"))&gt;0,1,0)+IF((COUNTIF('M311'!C13,"Aula 11"))&gt;0,1,0)+IF((COUNTIF('M411'!C13,"Aula 11"))&gt;0,1,0)+IF((COUNTIF('D111'!C13,"Aula 11")+COUNTIF('D112'!C13,"Aula 11"))&gt;0,1,0)+IF((COUNTIF('D211'!C13,"Aula 11"))&gt;0,1,0)+IF((COUNTIF('D311'!C13,"Aula 11"))&gt;0,1,0)+IF((COUNTIF('D411'!C13,"Aula 11"))&gt;0,1,0))=1,IF((COUNTIF('C111'!C13,"Aula 11")+COUNTIF('C112'!C13,"Aula 11")+COUNTIF('C113'!C13,"Aula 11")+COUNTIF('C121'!C13,"Aula 11")+COUNTIF('C122'!C13,"Aula 11"))&gt;0,"C1",IF((COUNTIF('C211'!C13,"Aula 11")+COUNTIF('C212'!C13,"Aula 11"))&gt;0,"C2",IF((COUNTIF('C311'!C13,"Aula 11")+COUNTIF('C312'!C13,"Aula 11"))&gt;0,"C3",IF((COUNTIF('C411'!C13,"Aula 11")+COUNTIF('C412'!C13,"Aula 11"))&gt;0,"C4",IF((COUNTIF('M111'!C13,"Aula 11")+COUNTIF('M112'!C13,"Aula 11"))&gt;0,"M1",IF((COUNTIF('M211'!C13,"Aula 11")+COUNTIF('M212'!C13,"Aula 11"))&gt;0,"M2",IF((COUNTIF('M311'!C13,"Aula 11"))&gt;0,"M3",IF((COUNTIF('M411'!C13,"Aula 11"))&gt;0,"M4",IF((COUNTIF('D111'!C13,"Aula 11")+COUNTIF('D112'!C13,"Aula 11"))&gt;0,"D1",IF((COUNTIF('D211'!C13,"Aula 11"))&gt;0,"D2",IF((COUNTIF('D311'!C13,"Aula 11"))&gt;0,"D3",IF((COUNTIF('D411'!C13,"Aula 11"))&gt;0,"D4","")))))))))))),"MIX"))</f>
        <v/>
      </c>
    </row>
    <row r="162">
      <c r="C162">
        <f>IF((IF((COUNTIF('C111'!C13,"Aula 12")+COUNTIF('C112'!C13,"Aula 12")+COUNTIF('C113'!C13,"Aula 12")+COUNTIF('C121'!C13,"Aula 12")+COUNTIF('C122'!C13,"Aula 12"))&gt;0,1,0)+IF((COUNTIF('C211'!C13,"Aula 12")+COUNTIF('C212'!C13,"Aula 12"))&gt;0,1,0)+IF((COUNTIF('C311'!C13,"Aula 12")+COUNTIF('C312'!C13,"Aula 12"))&gt;0,1,0)+IF((COUNTIF('C411'!C13,"Aula 12")+COUNTIF('C412'!C13,"Aula 12"))&gt;0,1,0)+IF((COUNTIF('M111'!C13,"Aula 12")+COUNTIF('M112'!C13,"Aula 12"))&gt;0,1,0)+IF((COUNTIF('M211'!C13,"Aula 12")+COUNTIF('M212'!C13,"Aula 12"))&gt;0,1,0)+IF((COUNTIF('M311'!C13,"Aula 12"))&gt;0,1,0)+IF((COUNTIF('M411'!C13,"Aula 12"))&gt;0,1,0)+IF((COUNTIF('D111'!C13,"Aula 12")+COUNTIF('D112'!C13,"Aula 12"))&gt;0,1,0)+IF((COUNTIF('D211'!C13,"Aula 12"))&gt;0,1,0)+IF((COUNTIF('D311'!C13,"Aula 12"))&gt;0,1,0)+IF((COUNTIF('D411'!C13,"Aula 12"))&gt;0,1,0))=0,"",IF((IF((COUNTIF('C111'!C13,"Aula 12")+COUNTIF('C112'!C13,"Aula 12")+COUNTIF('C113'!C13,"Aula 12")+COUNTIF('C121'!C13,"Aula 12")+COUNTIF('C122'!C13,"Aula 12"))&gt;0,1,0)+IF((COUNTIF('C211'!C13,"Aula 12")+COUNTIF('C212'!C13,"Aula 12"))&gt;0,1,0)+IF((COUNTIF('C311'!C13,"Aula 12")+COUNTIF('C312'!C13,"Aula 12"))&gt;0,1,0)+IF((COUNTIF('C411'!C13,"Aula 12")+COUNTIF('C412'!C13,"Aula 12"))&gt;0,1,0)+IF((COUNTIF('M111'!C13,"Aula 12")+COUNTIF('M112'!C13,"Aula 12"))&gt;0,1,0)+IF((COUNTIF('M211'!C13,"Aula 12")+COUNTIF('M212'!C13,"Aula 12"))&gt;0,1,0)+IF((COUNTIF('M311'!C13,"Aula 12"))&gt;0,1,0)+IF((COUNTIF('M411'!C13,"Aula 12"))&gt;0,1,0)+IF((COUNTIF('D111'!C13,"Aula 12")+COUNTIF('D112'!C13,"Aula 12"))&gt;0,1,0)+IF((COUNTIF('D211'!C13,"Aula 12"))&gt;0,1,0)+IF((COUNTIF('D311'!C13,"Aula 12"))&gt;0,1,0)+IF((COUNTIF('D411'!C13,"Aula 12"))&gt;0,1,0))=1,IF((COUNTIF('C111'!C13,"Aula 12")+COUNTIF('C112'!C13,"Aula 12")+COUNTIF('C113'!C13,"Aula 12")+COUNTIF('C121'!C13,"Aula 12")+COUNTIF('C122'!C13,"Aula 12"))&gt;0,"C1",IF((COUNTIF('C211'!C13,"Aula 12")+COUNTIF('C212'!C13,"Aula 12"))&gt;0,"C2",IF((COUNTIF('C311'!C13,"Aula 12")+COUNTIF('C312'!C13,"Aula 12"))&gt;0,"C3",IF((COUNTIF('C411'!C13,"Aula 12")+COUNTIF('C412'!C13,"Aula 12"))&gt;0,"C4",IF((COUNTIF('M111'!C13,"Aula 12")+COUNTIF('M112'!C13,"Aula 12"))&gt;0,"M1",IF((COUNTIF('M211'!C13,"Aula 12")+COUNTIF('M212'!C13,"Aula 12"))&gt;0,"M2",IF((COUNTIF('M311'!C13,"Aula 12"))&gt;0,"M3",IF((COUNTIF('M411'!C13,"Aula 12"))&gt;0,"M4",IF((COUNTIF('D111'!C13,"Aula 12")+COUNTIF('D112'!C13,"Aula 12"))&gt;0,"D1",IF((COUNTIF('D211'!C13,"Aula 12"))&gt;0,"D2",IF((COUNTIF('D311'!C13,"Aula 12"))&gt;0,"D3",IF((COUNTIF('D411'!C13,"Aula 12"))&gt;0,"D4","")))))))))))),"MIX"))</f>
        <v/>
      </c>
    </row>
    <row r="163">
      <c r="C163">
        <f>IF((IF((COUNTIF('C111'!C13,"Lab 1")+COUNTIF('C112'!C13,"Lab 1")+COUNTIF('C113'!C13,"Lab 1")+COUNTIF('C121'!C13,"Lab 1")+COUNTIF('C122'!C13,"Lab 1"))&gt;0,1,0)+IF((COUNTIF('C211'!C13,"Lab 1")+COUNTIF('C212'!C13,"Lab 1"))&gt;0,1,0)+IF((COUNTIF('C311'!C13,"Lab 1")+COUNTIF('C312'!C13,"Lab 1"))&gt;0,1,0)+IF((COUNTIF('C411'!C13,"Lab 1")+COUNTIF('C412'!C13,"Lab 1"))&gt;0,1,0)+IF((COUNTIF('M111'!C13,"Lab 1")+COUNTIF('M112'!C13,"Lab 1"))&gt;0,1,0)+IF((COUNTIF('M211'!C13,"Lab 1")+COUNTIF('M212'!C13,"Lab 1"))&gt;0,1,0)+IF((COUNTIF('M311'!C13,"Lab 1"))&gt;0,1,0)+IF((COUNTIF('M411'!C13,"Lab 1"))&gt;0,1,0)+IF((COUNTIF('D111'!C13,"Lab 1")+COUNTIF('D112'!C13,"Lab 1"))&gt;0,1,0)+IF((COUNTIF('D211'!C13,"Lab 1"))&gt;0,1,0)+IF((COUNTIF('D311'!C13,"Lab 1"))&gt;0,1,0)+IF((COUNTIF('D411'!C13,"Lab 1"))&gt;0,1,0))=0,"",IF((IF((COUNTIF('C111'!C13,"Lab 1")+COUNTIF('C112'!C13,"Lab 1")+COUNTIF('C113'!C13,"Lab 1")+COUNTIF('C121'!C13,"Lab 1")+COUNTIF('C122'!C13,"Lab 1"))&gt;0,1,0)+IF((COUNTIF('C211'!C13,"Lab 1")+COUNTIF('C212'!C13,"Lab 1"))&gt;0,1,0)+IF((COUNTIF('C311'!C13,"Lab 1")+COUNTIF('C312'!C13,"Lab 1"))&gt;0,1,0)+IF((COUNTIF('C411'!C13,"Lab 1")+COUNTIF('C412'!C13,"Lab 1"))&gt;0,1,0)+IF((COUNTIF('M111'!C13,"Lab 1")+COUNTIF('M112'!C13,"Lab 1"))&gt;0,1,0)+IF((COUNTIF('M211'!C13,"Lab 1")+COUNTIF('M212'!C13,"Lab 1"))&gt;0,1,0)+IF((COUNTIF('M311'!C13,"Lab 1"))&gt;0,1,0)+IF((COUNTIF('M411'!C13,"Lab 1"))&gt;0,1,0)+IF((COUNTIF('D111'!C13,"Lab 1")+COUNTIF('D112'!C13,"Lab 1"))&gt;0,1,0)+IF((COUNTIF('D211'!C13,"Lab 1"))&gt;0,1,0)+IF((COUNTIF('D311'!C13,"Lab 1"))&gt;0,1,0)+IF((COUNTIF('D411'!C13,"Lab 1"))&gt;0,1,0))=1,IF((COUNTIF('C111'!C13,"Lab 1")+COUNTIF('C112'!C13,"Lab 1")+COUNTIF('C113'!C13,"Lab 1")+COUNTIF('C121'!C13,"Lab 1")+COUNTIF('C122'!C13,"Lab 1"))&gt;0,"C1",IF((COUNTIF('C211'!C13,"Lab 1")+COUNTIF('C212'!C13,"Lab 1"))&gt;0,"C2",IF((COUNTIF('C311'!C13,"Lab 1")+COUNTIF('C312'!C13,"Lab 1"))&gt;0,"C3",IF((COUNTIF('C411'!C13,"Lab 1")+COUNTIF('C412'!C13,"Lab 1"))&gt;0,"C4",IF((COUNTIF('M111'!C13,"Lab 1")+COUNTIF('M112'!C13,"Lab 1"))&gt;0,"M1",IF((COUNTIF('M211'!C13,"Lab 1")+COUNTIF('M212'!C13,"Lab 1"))&gt;0,"M2",IF((COUNTIF('M311'!C13,"Lab 1"))&gt;0,"M3",IF((COUNTIF('M411'!C13,"Lab 1"))&gt;0,"M4",IF((COUNTIF('D111'!C13,"Lab 1")+COUNTIF('D112'!C13,"Lab 1"))&gt;0,"D1",IF((COUNTIF('D211'!C13,"Lab 1"))&gt;0,"D2",IF((COUNTIF('D311'!C13,"Lab 1"))&gt;0,"D3",IF((COUNTIF('D411'!C13,"Lab 1"))&gt;0,"D4","")))))))))))),"MIX"))</f>
        <v/>
      </c>
    </row>
    <row r="164">
      <c r="C164">
        <f>IF((IF((COUNTIF('C111'!C13,"Lab 2")+COUNTIF('C112'!C13,"Lab 2")+COUNTIF('C113'!C13,"Lab 2")+COUNTIF('C121'!C13,"Lab 2")+COUNTIF('C122'!C13,"Lab 2"))&gt;0,1,0)+IF((COUNTIF('C211'!C13,"Lab 2")+COUNTIF('C212'!C13,"Lab 2"))&gt;0,1,0)+IF((COUNTIF('C311'!C13,"Lab 2")+COUNTIF('C312'!C13,"Lab 2"))&gt;0,1,0)+IF((COUNTIF('C411'!C13,"Lab 2")+COUNTIF('C412'!C13,"Lab 2"))&gt;0,1,0)+IF((COUNTIF('M111'!C13,"Lab 2")+COUNTIF('M112'!C13,"Lab 2"))&gt;0,1,0)+IF((COUNTIF('M211'!C13,"Lab 2")+COUNTIF('M212'!C13,"Lab 2"))&gt;0,1,0)+IF((COUNTIF('M311'!C13,"Lab 2"))&gt;0,1,0)+IF((COUNTIF('M411'!C13,"Lab 2"))&gt;0,1,0)+IF((COUNTIF('D111'!C13,"Lab 2")+COUNTIF('D112'!C13,"Lab 2"))&gt;0,1,0)+IF((COUNTIF('D211'!C13,"Lab 2"))&gt;0,1,0)+IF((COUNTIF('D311'!C13,"Lab 2"))&gt;0,1,0)+IF((COUNTIF('D411'!C13,"Lab 2"))&gt;0,1,0))=0,"",IF((IF((COUNTIF('C111'!C13,"Lab 2")+COUNTIF('C112'!C13,"Lab 2")+COUNTIF('C113'!C13,"Lab 2")+COUNTIF('C121'!C13,"Lab 2")+COUNTIF('C122'!C13,"Lab 2"))&gt;0,1,0)+IF((COUNTIF('C211'!C13,"Lab 2")+COUNTIF('C212'!C13,"Lab 2"))&gt;0,1,0)+IF((COUNTIF('C311'!C13,"Lab 2")+COUNTIF('C312'!C13,"Lab 2"))&gt;0,1,0)+IF((COUNTIF('C411'!C13,"Lab 2")+COUNTIF('C412'!C13,"Lab 2"))&gt;0,1,0)+IF((COUNTIF('M111'!C13,"Lab 2")+COUNTIF('M112'!C13,"Lab 2"))&gt;0,1,0)+IF((COUNTIF('M211'!C13,"Lab 2")+COUNTIF('M212'!C13,"Lab 2"))&gt;0,1,0)+IF((COUNTIF('M311'!C13,"Lab 2"))&gt;0,1,0)+IF((COUNTIF('M411'!C13,"Lab 2"))&gt;0,1,0)+IF((COUNTIF('D111'!C13,"Lab 2")+COUNTIF('D112'!C13,"Lab 2"))&gt;0,1,0)+IF((COUNTIF('D211'!C13,"Lab 2"))&gt;0,1,0)+IF((COUNTIF('D311'!C13,"Lab 2"))&gt;0,1,0)+IF((COUNTIF('D411'!C13,"Lab 2"))&gt;0,1,0))=1,IF((COUNTIF('C111'!C13,"Lab 2")+COUNTIF('C112'!C13,"Lab 2")+COUNTIF('C113'!C13,"Lab 2")+COUNTIF('C121'!C13,"Lab 2")+COUNTIF('C122'!C13,"Lab 2"))&gt;0,"C1",IF((COUNTIF('C211'!C13,"Lab 2")+COUNTIF('C212'!C13,"Lab 2"))&gt;0,"C2",IF((COUNTIF('C311'!C13,"Lab 2")+COUNTIF('C312'!C13,"Lab 2"))&gt;0,"C3",IF((COUNTIF('C411'!C13,"Lab 2")+COUNTIF('C412'!C13,"Lab 2"))&gt;0,"C4",IF((COUNTIF('M111'!C13,"Lab 2")+COUNTIF('M112'!C13,"Lab 2"))&gt;0,"M1",IF((COUNTIF('M211'!C13,"Lab 2")+COUNTIF('M212'!C13,"Lab 2"))&gt;0,"M2",IF((COUNTIF('M311'!C13,"Lab 2"))&gt;0,"M3",IF((COUNTIF('M411'!C13,"Lab 2"))&gt;0,"M4",IF((COUNTIF('D111'!C13,"Lab 2")+COUNTIF('D112'!C13,"Lab 2"))&gt;0,"D1",IF((COUNTIF('D211'!C13,"Lab 2"))&gt;0,"D2",IF((COUNTIF('D311'!C13,"Lab 2"))&gt;0,"D3",IF((COUNTIF('D411'!C13,"Lab 2"))&gt;0,"D4","")))))))))))),"MIX"))</f>
        <v/>
      </c>
    </row>
    <row r="165">
      <c r="C165">
        <f>IF((IF((COUNTIF('C111'!C13,"Salón")+COUNTIF('C112'!C13,"Salón")+COUNTIF('C113'!C13,"Salón")+COUNTIF('C121'!C13,"Salón")+COUNTIF('C122'!C13,"Salón"))&gt;0,1,0)+IF((COUNTIF('C211'!C13,"Salón")+COUNTIF('C212'!C13,"Salón"))&gt;0,1,0)+IF((COUNTIF('C311'!C13,"Salón")+COUNTIF('C312'!C13,"Salón"))&gt;0,1,0)+IF((COUNTIF('C411'!C13,"Salón")+COUNTIF('C412'!C13,"Salón"))&gt;0,1,0)+IF((COUNTIF('M111'!C13,"Salón")+COUNTIF('M112'!C13,"Salón"))&gt;0,1,0)+IF((COUNTIF('M211'!C13,"Salón")+COUNTIF('M212'!C13,"Salón"))&gt;0,1,0)+IF((COUNTIF('M311'!C13,"Salón"))&gt;0,1,0)+IF((COUNTIF('M411'!C13,"Salón"))&gt;0,1,0)+IF((COUNTIF('D111'!C13,"Salón")+COUNTIF('D112'!C13,"Salón"))&gt;0,1,0)+IF((COUNTIF('D211'!C13,"Salón"))&gt;0,1,0)+IF((COUNTIF('D311'!C13,"Salón"))&gt;0,1,0)+IF((COUNTIF('D411'!C13,"Salón"))&gt;0,1,0))=0,"",IF((IF((COUNTIF('C111'!C13,"Salón")+COUNTIF('C112'!C13,"Salón")+COUNTIF('C113'!C13,"Salón")+COUNTIF('C121'!C13,"Salón")+COUNTIF('C122'!C13,"Salón"))&gt;0,1,0)+IF((COUNTIF('C211'!C13,"Salón")+COUNTIF('C212'!C13,"Salón"))&gt;0,1,0)+IF((COUNTIF('C311'!C13,"Salón")+COUNTIF('C312'!C13,"Salón"))&gt;0,1,0)+IF((COUNTIF('C411'!C13,"Salón")+COUNTIF('C412'!C13,"Salón"))&gt;0,1,0)+IF((COUNTIF('M111'!C13,"Salón")+COUNTIF('M112'!C13,"Salón"))&gt;0,1,0)+IF((COUNTIF('M211'!C13,"Salón")+COUNTIF('M212'!C13,"Salón"))&gt;0,1,0)+IF((COUNTIF('M311'!C13,"Salón"))&gt;0,1,0)+IF((COUNTIF('M411'!C13,"Salón"))&gt;0,1,0)+IF((COUNTIF('D111'!C13,"Salón")+COUNTIF('D112'!C13,"Salón"))&gt;0,1,0)+IF((COUNTIF('D211'!C13,"Salón"))&gt;0,1,0)+IF((COUNTIF('D311'!C13,"Salón"))&gt;0,1,0)+IF((COUNTIF('D411'!C13,"Salón"))&gt;0,1,0))=1,IF((COUNTIF('C111'!C13,"Salón")+COUNTIF('C112'!C13,"Salón")+COUNTIF('C113'!C13,"Salón")+COUNTIF('C121'!C13,"Salón")+COUNTIF('C122'!C13,"Salón"))&gt;0,"C1",IF((COUNTIF('C211'!C13,"Salón")+COUNTIF('C212'!C13,"Salón"))&gt;0,"C2",IF((COUNTIF('C311'!C13,"Salón")+COUNTIF('C312'!C13,"Salón"))&gt;0,"C3",IF((COUNTIF('C411'!C13,"Salón")+COUNTIF('C412'!C13,"Salón"))&gt;0,"C4",IF((COUNTIF('M111'!C13,"Salón")+COUNTIF('M112'!C13,"Salón"))&gt;0,"M1",IF((COUNTIF('M211'!C13,"Salón")+COUNTIF('M212'!C13,"Salón"))&gt;0,"M2",IF((COUNTIF('M311'!C13,"Salón"))&gt;0,"M3",IF((COUNTIF('M411'!C13,"Salón"))&gt;0,"M4",IF((COUNTIF('D111'!C13,"Salón")+COUNTIF('D112'!C13,"Salón"))&gt;0,"D1",IF((COUNTIF('D211'!C13,"Salón"))&gt;0,"D2",IF((COUNTIF('D311'!C13,"Salón"))&gt;0,"D3",IF((COUNTIF('D411'!C13,"Salón"))&gt;0,"D4","")))))))))))),"MIX"))</f>
        <v/>
      </c>
    </row>
    <row r="166">
      <c r="C166">
        <f>IF((IF((COUNTIF('C111'!C15,"Aula 1")+COUNTIF('C112'!C15,"Aula 1")+COUNTIF('C113'!C15,"Aula 1")+COUNTIF('C121'!C15,"Aula 1")+COUNTIF('C122'!C15,"Aula 1"))&gt;0,1,0)+IF((COUNTIF('C211'!C15,"Aula 1")+COUNTIF('C212'!C15,"Aula 1"))&gt;0,1,0)+IF((COUNTIF('C311'!C15,"Aula 1")+COUNTIF('C312'!C15,"Aula 1"))&gt;0,1,0)+IF((COUNTIF('C411'!C15,"Aula 1")+COUNTIF('C412'!C15,"Aula 1"))&gt;0,1,0)+IF((COUNTIF('M111'!C15,"Aula 1")+COUNTIF('M112'!C15,"Aula 1"))&gt;0,1,0)+IF((COUNTIF('M211'!C15,"Aula 1")+COUNTIF('M212'!C15,"Aula 1"))&gt;0,1,0)+IF((COUNTIF('M311'!C15,"Aula 1"))&gt;0,1,0)+IF((COUNTIF('M411'!C15,"Aula 1"))&gt;0,1,0)+IF((COUNTIF('D111'!C15,"Aula 1")+COUNTIF('D112'!C15,"Aula 1"))&gt;0,1,0)+IF((COUNTIF('D211'!C15,"Aula 1"))&gt;0,1,0)+IF((COUNTIF('D311'!C15,"Aula 1"))&gt;0,1,0)+IF((COUNTIF('D411'!C15,"Aula 1"))&gt;0,1,0))=0,"",IF((IF((COUNTIF('C111'!C15,"Aula 1")+COUNTIF('C112'!C15,"Aula 1")+COUNTIF('C113'!C15,"Aula 1")+COUNTIF('C121'!C15,"Aula 1")+COUNTIF('C122'!C15,"Aula 1"))&gt;0,1,0)+IF((COUNTIF('C211'!C15,"Aula 1")+COUNTIF('C212'!C15,"Aula 1"))&gt;0,1,0)+IF((COUNTIF('C311'!C15,"Aula 1")+COUNTIF('C312'!C15,"Aula 1"))&gt;0,1,0)+IF((COUNTIF('C411'!C15,"Aula 1")+COUNTIF('C412'!C15,"Aula 1"))&gt;0,1,0)+IF((COUNTIF('M111'!C15,"Aula 1")+COUNTIF('M112'!C15,"Aula 1"))&gt;0,1,0)+IF((COUNTIF('M211'!C15,"Aula 1")+COUNTIF('M212'!C15,"Aula 1"))&gt;0,1,0)+IF((COUNTIF('M311'!C15,"Aula 1"))&gt;0,1,0)+IF((COUNTIF('M411'!C15,"Aula 1"))&gt;0,1,0)+IF((COUNTIF('D111'!C15,"Aula 1")+COUNTIF('D112'!C15,"Aula 1"))&gt;0,1,0)+IF((COUNTIF('D211'!C15,"Aula 1"))&gt;0,1,0)+IF((COUNTIF('D311'!C15,"Aula 1"))&gt;0,1,0)+IF((COUNTIF('D411'!C15,"Aula 1"))&gt;0,1,0))=1,IF((COUNTIF('C111'!C15,"Aula 1")+COUNTIF('C112'!C15,"Aula 1")+COUNTIF('C113'!C15,"Aula 1")+COUNTIF('C121'!C15,"Aula 1")+COUNTIF('C122'!C15,"Aula 1"))&gt;0,"C1",IF((COUNTIF('C211'!C15,"Aula 1")+COUNTIF('C212'!C15,"Aula 1"))&gt;0,"C2",IF((COUNTIF('C311'!C15,"Aula 1")+COUNTIF('C312'!C15,"Aula 1"))&gt;0,"C3",IF((COUNTIF('C411'!C15,"Aula 1")+COUNTIF('C412'!C15,"Aula 1"))&gt;0,"C4",IF((COUNTIF('M111'!C15,"Aula 1")+COUNTIF('M112'!C15,"Aula 1"))&gt;0,"M1",IF((COUNTIF('M211'!C15,"Aula 1")+COUNTIF('M212'!C15,"Aula 1"))&gt;0,"M2",IF((COUNTIF('M311'!C15,"Aula 1"))&gt;0,"M3",IF((COUNTIF('M411'!C15,"Aula 1"))&gt;0,"M4",IF((COUNTIF('D111'!C15,"Aula 1")+COUNTIF('D112'!C15,"Aula 1"))&gt;0,"D1",IF((COUNTIF('D211'!C15,"Aula 1"))&gt;0,"D2",IF((COUNTIF('D311'!C15,"Aula 1"))&gt;0,"D3",IF((COUNTIF('D411'!C15,"Aula 1"))&gt;0,"D4","")))))))))))),"MIX"))</f>
        <v/>
      </c>
    </row>
    <row r="167">
      <c r="C167">
        <f>IF((IF((COUNTIF('C111'!C15,"Aula 2")+COUNTIF('C112'!C15,"Aula 2")+COUNTIF('C113'!C15,"Aula 2")+COUNTIF('C121'!C15,"Aula 2")+COUNTIF('C122'!C15,"Aula 2"))&gt;0,1,0)+IF((COUNTIF('C211'!C15,"Aula 2")+COUNTIF('C212'!C15,"Aula 2"))&gt;0,1,0)+IF((COUNTIF('C311'!C15,"Aula 2")+COUNTIF('C312'!C15,"Aula 2"))&gt;0,1,0)+IF((COUNTIF('C411'!C15,"Aula 2")+COUNTIF('C412'!C15,"Aula 2"))&gt;0,1,0)+IF((COUNTIF('M111'!C15,"Aula 2")+COUNTIF('M112'!C15,"Aula 2"))&gt;0,1,0)+IF((COUNTIF('M211'!C15,"Aula 2")+COUNTIF('M212'!C15,"Aula 2"))&gt;0,1,0)+IF((COUNTIF('M311'!C15,"Aula 2"))&gt;0,1,0)+IF((COUNTIF('M411'!C15,"Aula 2"))&gt;0,1,0)+IF((COUNTIF('D111'!C15,"Aula 2")+COUNTIF('D112'!C15,"Aula 2"))&gt;0,1,0)+IF((COUNTIF('D211'!C15,"Aula 2"))&gt;0,1,0)+IF((COUNTIF('D311'!C15,"Aula 2"))&gt;0,1,0)+IF((COUNTIF('D411'!C15,"Aula 2"))&gt;0,1,0))=0,"",IF((IF((COUNTIF('C111'!C15,"Aula 2")+COUNTIF('C112'!C15,"Aula 2")+COUNTIF('C113'!C15,"Aula 2")+COUNTIF('C121'!C15,"Aula 2")+COUNTIF('C122'!C15,"Aula 2"))&gt;0,1,0)+IF((COUNTIF('C211'!C15,"Aula 2")+COUNTIF('C212'!C15,"Aula 2"))&gt;0,1,0)+IF((COUNTIF('C311'!C15,"Aula 2")+COUNTIF('C312'!C15,"Aula 2"))&gt;0,1,0)+IF((COUNTIF('C411'!C15,"Aula 2")+COUNTIF('C412'!C15,"Aula 2"))&gt;0,1,0)+IF((COUNTIF('M111'!C15,"Aula 2")+COUNTIF('M112'!C15,"Aula 2"))&gt;0,1,0)+IF((COUNTIF('M211'!C15,"Aula 2")+COUNTIF('M212'!C15,"Aula 2"))&gt;0,1,0)+IF((COUNTIF('M311'!C15,"Aula 2"))&gt;0,1,0)+IF((COUNTIF('M411'!C15,"Aula 2"))&gt;0,1,0)+IF((COUNTIF('D111'!C15,"Aula 2")+COUNTIF('D112'!C15,"Aula 2"))&gt;0,1,0)+IF((COUNTIF('D211'!C15,"Aula 2"))&gt;0,1,0)+IF((COUNTIF('D311'!C15,"Aula 2"))&gt;0,1,0)+IF((COUNTIF('D411'!C15,"Aula 2"))&gt;0,1,0))=1,IF((COUNTIF('C111'!C15,"Aula 2")+COUNTIF('C112'!C15,"Aula 2")+COUNTIF('C113'!C15,"Aula 2")+COUNTIF('C121'!C15,"Aula 2")+COUNTIF('C122'!C15,"Aula 2"))&gt;0,"C1",IF((COUNTIF('C211'!C15,"Aula 2")+COUNTIF('C212'!C15,"Aula 2"))&gt;0,"C2",IF((COUNTIF('C311'!C15,"Aula 2")+COUNTIF('C312'!C15,"Aula 2"))&gt;0,"C3",IF((COUNTIF('C411'!C15,"Aula 2")+COUNTIF('C412'!C15,"Aula 2"))&gt;0,"C4",IF((COUNTIF('M111'!C15,"Aula 2")+COUNTIF('M112'!C15,"Aula 2"))&gt;0,"M1",IF((COUNTIF('M211'!C15,"Aula 2")+COUNTIF('M212'!C15,"Aula 2"))&gt;0,"M2",IF((COUNTIF('M311'!C15,"Aula 2"))&gt;0,"M3",IF((COUNTIF('M411'!C15,"Aula 2"))&gt;0,"M4",IF((COUNTIF('D111'!C15,"Aula 2")+COUNTIF('D112'!C15,"Aula 2"))&gt;0,"D1",IF((COUNTIF('D211'!C15,"Aula 2"))&gt;0,"D2",IF((COUNTIF('D311'!C15,"Aula 2"))&gt;0,"D3",IF((COUNTIF('D411'!C15,"Aula 2"))&gt;0,"D4","")))))))))))),"MIX"))</f>
        <v/>
      </c>
    </row>
    <row r="168">
      <c r="C168">
        <f>IF((IF((COUNTIF('C111'!C15,"Aula 3")+COUNTIF('C112'!C15,"Aula 3")+COUNTIF('C113'!C15,"Aula 3")+COUNTIF('C121'!C15,"Aula 3")+COUNTIF('C122'!C15,"Aula 3"))&gt;0,1,0)+IF((COUNTIF('C211'!C15,"Aula 3")+COUNTIF('C212'!C15,"Aula 3"))&gt;0,1,0)+IF((COUNTIF('C311'!C15,"Aula 3")+COUNTIF('C312'!C15,"Aula 3"))&gt;0,1,0)+IF((COUNTIF('C411'!C15,"Aula 3")+COUNTIF('C412'!C15,"Aula 3"))&gt;0,1,0)+IF((COUNTIF('M111'!C15,"Aula 3")+COUNTIF('M112'!C15,"Aula 3"))&gt;0,1,0)+IF((COUNTIF('M211'!C15,"Aula 3")+COUNTIF('M212'!C15,"Aula 3"))&gt;0,1,0)+IF((COUNTIF('M311'!C15,"Aula 3"))&gt;0,1,0)+IF((COUNTIF('M411'!C15,"Aula 3"))&gt;0,1,0)+IF((COUNTIF('D111'!C15,"Aula 3")+COUNTIF('D112'!C15,"Aula 3"))&gt;0,1,0)+IF((COUNTIF('D211'!C15,"Aula 3"))&gt;0,1,0)+IF((COUNTIF('D311'!C15,"Aula 3"))&gt;0,1,0)+IF((COUNTIF('D411'!C15,"Aula 3"))&gt;0,1,0))=0,"",IF((IF((COUNTIF('C111'!C15,"Aula 3")+COUNTIF('C112'!C15,"Aula 3")+COUNTIF('C113'!C15,"Aula 3")+COUNTIF('C121'!C15,"Aula 3")+COUNTIF('C122'!C15,"Aula 3"))&gt;0,1,0)+IF((COUNTIF('C211'!C15,"Aula 3")+COUNTIF('C212'!C15,"Aula 3"))&gt;0,1,0)+IF((COUNTIF('C311'!C15,"Aula 3")+COUNTIF('C312'!C15,"Aula 3"))&gt;0,1,0)+IF((COUNTIF('C411'!C15,"Aula 3")+COUNTIF('C412'!C15,"Aula 3"))&gt;0,1,0)+IF((COUNTIF('M111'!C15,"Aula 3")+COUNTIF('M112'!C15,"Aula 3"))&gt;0,1,0)+IF((COUNTIF('M211'!C15,"Aula 3")+COUNTIF('M212'!C15,"Aula 3"))&gt;0,1,0)+IF((COUNTIF('M311'!C15,"Aula 3"))&gt;0,1,0)+IF((COUNTIF('M411'!C15,"Aula 3"))&gt;0,1,0)+IF((COUNTIF('D111'!C15,"Aula 3")+COUNTIF('D112'!C15,"Aula 3"))&gt;0,1,0)+IF((COUNTIF('D211'!C15,"Aula 3"))&gt;0,1,0)+IF((COUNTIF('D311'!C15,"Aula 3"))&gt;0,1,0)+IF((COUNTIF('D411'!C15,"Aula 3"))&gt;0,1,0))=1,IF((COUNTIF('C111'!C15,"Aula 3")+COUNTIF('C112'!C15,"Aula 3")+COUNTIF('C113'!C15,"Aula 3")+COUNTIF('C121'!C15,"Aula 3")+COUNTIF('C122'!C15,"Aula 3"))&gt;0,"C1",IF((COUNTIF('C211'!C15,"Aula 3")+COUNTIF('C212'!C15,"Aula 3"))&gt;0,"C2",IF((COUNTIF('C311'!C15,"Aula 3")+COUNTIF('C312'!C15,"Aula 3"))&gt;0,"C3",IF((COUNTIF('C411'!C15,"Aula 3")+COUNTIF('C412'!C15,"Aula 3"))&gt;0,"C4",IF((COUNTIF('M111'!C15,"Aula 3")+COUNTIF('M112'!C15,"Aula 3"))&gt;0,"M1",IF((COUNTIF('M211'!C15,"Aula 3")+COUNTIF('M212'!C15,"Aula 3"))&gt;0,"M2",IF((COUNTIF('M311'!C15,"Aula 3"))&gt;0,"M3",IF((COUNTIF('M411'!C15,"Aula 3"))&gt;0,"M4",IF((COUNTIF('D111'!C15,"Aula 3")+COUNTIF('D112'!C15,"Aula 3"))&gt;0,"D1",IF((COUNTIF('D211'!C15,"Aula 3"))&gt;0,"D2",IF((COUNTIF('D311'!C15,"Aula 3"))&gt;0,"D3",IF((COUNTIF('D411'!C15,"Aula 3"))&gt;0,"D4","")))))))))))),"MIX"))</f>
        <v/>
      </c>
    </row>
    <row r="169">
      <c r="C169">
        <f>IF((IF((COUNTIF('C111'!C15,"Aula 4")+COUNTIF('C112'!C15,"Aula 4")+COUNTIF('C113'!C15,"Aula 4")+COUNTIF('C121'!C15,"Aula 4")+COUNTIF('C122'!C15,"Aula 4"))&gt;0,1,0)+IF((COUNTIF('C211'!C15,"Aula 4")+COUNTIF('C212'!C15,"Aula 4"))&gt;0,1,0)+IF((COUNTIF('C311'!C15,"Aula 4")+COUNTIF('C312'!C15,"Aula 4"))&gt;0,1,0)+IF((COUNTIF('C411'!C15,"Aula 4")+COUNTIF('C412'!C15,"Aula 4"))&gt;0,1,0)+IF((COUNTIF('M111'!C15,"Aula 4")+COUNTIF('M112'!C15,"Aula 4"))&gt;0,1,0)+IF((COUNTIF('M211'!C15,"Aula 4")+COUNTIF('M212'!C15,"Aula 4"))&gt;0,1,0)+IF((COUNTIF('M311'!C15,"Aula 4"))&gt;0,1,0)+IF((COUNTIF('M411'!C15,"Aula 4"))&gt;0,1,0)+IF((COUNTIF('D111'!C15,"Aula 4")+COUNTIF('D112'!C15,"Aula 4"))&gt;0,1,0)+IF((COUNTIF('D211'!C15,"Aula 4"))&gt;0,1,0)+IF((COUNTIF('D311'!C15,"Aula 4"))&gt;0,1,0)+IF((COUNTIF('D411'!C15,"Aula 4"))&gt;0,1,0))=0,"",IF((IF((COUNTIF('C111'!C15,"Aula 4")+COUNTIF('C112'!C15,"Aula 4")+COUNTIF('C113'!C15,"Aula 4")+COUNTIF('C121'!C15,"Aula 4")+COUNTIF('C122'!C15,"Aula 4"))&gt;0,1,0)+IF((COUNTIF('C211'!C15,"Aula 4")+COUNTIF('C212'!C15,"Aula 4"))&gt;0,1,0)+IF((COUNTIF('C311'!C15,"Aula 4")+COUNTIF('C312'!C15,"Aula 4"))&gt;0,1,0)+IF((COUNTIF('C411'!C15,"Aula 4")+COUNTIF('C412'!C15,"Aula 4"))&gt;0,1,0)+IF((COUNTIF('M111'!C15,"Aula 4")+COUNTIF('M112'!C15,"Aula 4"))&gt;0,1,0)+IF((COUNTIF('M211'!C15,"Aula 4")+COUNTIF('M212'!C15,"Aula 4"))&gt;0,1,0)+IF((COUNTIF('M311'!C15,"Aula 4"))&gt;0,1,0)+IF((COUNTIF('M411'!C15,"Aula 4"))&gt;0,1,0)+IF((COUNTIF('D111'!C15,"Aula 4")+COUNTIF('D112'!C15,"Aula 4"))&gt;0,1,0)+IF((COUNTIF('D211'!C15,"Aula 4"))&gt;0,1,0)+IF((COUNTIF('D311'!C15,"Aula 4"))&gt;0,1,0)+IF((COUNTIF('D411'!C15,"Aula 4"))&gt;0,1,0))=1,IF((COUNTIF('C111'!C15,"Aula 4")+COUNTIF('C112'!C15,"Aula 4")+COUNTIF('C113'!C15,"Aula 4")+COUNTIF('C121'!C15,"Aula 4")+COUNTIF('C122'!C15,"Aula 4"))&gt;0,"C1",IF((COUNTIF('C211'!C15,"Aula 4")+COUNTIF('C212'!C15,"Aula 4"))&gt;0,"C2",IF((COUNTIF('C311'!C15,"Aula 4")+COUNTIF('C312'!C15,"Aula 4"))&gt;0,"C3",IF((COUNTIF('C411'!C15,"Aula 4")+COUNTIF('C412'!C15,"Aula 4"))&gt;0,"C4",IF((COUNTIF('M111'!C15,"Aula 4")+COUNTIF('M112'!C15,"Aula 4"))&gt;0,"M1",IF((COUNTIF('M211'!C15,"Aula 4")+COUNTIF('M212'!C15,"Aula 4"))&gt;0,"M2",IF((COUNTIF('M311'!C15,"Aula 4"))&gt;0,"M3",IF((COUNTIF('M411'!C15,"Aula 4"))&gt;0,"M4",IF((COUNTIF('D111'!C15,"Aula 4")+COUNTIF('D112'!C15,"Aula 4"))&gt;0,"D1",IF((COUNTIF('D211'!C15,"Aula 4"))&gt;0,"D2",IF((COUNTIF('D311'!C15,"Aula 4"))&gt;0,"D3",IF((COUNTIF('D411'!C15,"Aula 4"))&gt;0,"D4","")))))))))))),"MIX"))</f>
        <v/>
      </c>
    </row>
    <row r="170">
      <c r="C170">
        <f>IF((IF((COUNTIF('C111'!C15,"Aula 5")+COUNTIF('C112'!C15,"Aula 5")+COUNTIF('C113'!C15,"Aula 5")+COUNTIF('C121'!C15,"Aula 5")+COUNTIF('C122'!C15,"Aula 5"))&gt;0,1,0)+IF((COUNTIF('C211'!C15,"Aula 5")+COUNTIF('C212'!C15,"Aula 5"))&gt;0,1,0)+IF((COUNTIF('C311'!C15,"Aula 5")+COUNTIF('C312'!C15,"Aula 5"))&gt;0,1,0)+IF((COUNTIF('C411'!C15,"Aula 5")+COUNTIF('C412'!C15,"Aula 5"))&gt;0,1,0)+IF((COUNTIF('M111'!C15,"Aula 5")+COUNTIF('M112'!C15,"Aula 5"))&gt;0,1,0)+IF((COUNTIF('M211'!C15,"Aula 5")+COUNTIF('M212'!C15,"Aula 5"))&gt;0,1,0)+IF((COUNTIF('M311'!C15,"Aula 5"))&gt;0,1,0)+IF((COUNTIF('M411'!C15,"Aula 5"))&gt;0,1,0)+IF((COUNTIF('D111'!C15,"Aula 5")+COUNTIF('D112'!C15,"Aula 5"))&gt;0,1,0)+IF((COUNTIF('D211'!C15,"Aula 5"))&gt;0,1,0)+IF((COUNTIF('D311'!C15,"Aula 5"))&gt;0,1,0)+IF((COUNTIF('D411'!C15,"Aula 5"))&gt;0,1,0))=0,"",IF((IF((COUNTIF('C111'!C15,"Aula 5")+COUNTIF('C112'!C15,"Aula 5")+COUNTIF('C113'!C15,"Aula 5")+COUNTIF('C121'!C15,"Aula 5")+COUNTIF('C122'!C15,"Aula 5"))&gt;0,1,0)+IF((COUNTIF('C211'!C15,"Aula 5")+COUNTIF('C212'!C15,"Aula 5"))&gt;0,1,0)+IF((COUNTIF('C311'!C15,"Aula 5")+COUNTIF('C312'!C15,"Aula 5"))&gt;0,1,0)+IF((COUNTIF('C411'!C15,"Aula 5")+COUNTIF('C412'!C15,"Aula 5"))&gt;0,1,0)+IF((COUNTIF('M111'!C15,"Aula 5")+COUNTIF('M112'!C15,"Aula 5"))&gt;0,1,0)+IF((COUNTIF('M211'!C15,"Aula 5")+COUNTIF('M212'!C15,"Aula 5"))&gt;0,1,0)+IF((COUNTIF('M311'!C15,"Aula 5"))&gt;0,1,0)+IF((COUNTIF('M411'!C15,"Aula 5"))&gt;0,1,0)+IF((COUNTIF('D111'!C15,"Aula 5")+COUNTIF('D112'!C15,"Aula 5"))&gt;0,1,0)+IF((COUNTIF('D211'!C15,"Aula 5"))&gt;0,1,0)+IF((COUNTIF('D311'!C15,"Aula 5"))&gt;0,1,0)+IF((COUNTIF('D411'!C15,"Aula 5"))&gt;0,1,0))=1,IF((COUNTIF('C111'!C15,"Aula 5")+COUNTIF('C112'!C15,"Aula 5")+COUNTIF('C113'!C15,"Aula 5")+COUNTIF('C121'!C15,"Aula 5")+COUNTIF('C122'!C15,"Aula 5"))&gt;0,"C1",IF((COUNTIF('C211'!C15,"Aula 5")+COUNTIF('C212'!C15,"Aula 5"))&gt;0,"C2",IF((COUNTIF('C311'!C15,"Aula 5")+COUNTIF('C312'!C15,"Aula 5"))&gt;0,"C3",IF((COUNTIF('C411'!C15,"Aula 5")+COUNTIF('C412'!C15,"Aula 5"))&gt;0,"C4",IF((COUNTIF('M111'!C15,"Aula 5")+COUNTIF('M112'!C15,"Aula 5"))&gt;0,"M1",IF((COUNTIF('M211'!C15,"Aula 5")+COUNTIF('M212'!C15,"Aula 5"))&gt;0,"M2",IF((COUNTIF('M311'!C15,"Aula 5"))&gt;0,"M3",IF((COUNTIF('M411'!C15,"Aula 5"))&gt;0,"M4",IF((COUNTIF('D111'!C15,"Aula 5")+COUNTIF('D112'!C15,"Aula 5"))&gt;0,"D1",IF((COUNTIF('D211'!C15,"Aula 5"))&gt;0,"D2",IF((COUNTIF('D311'!C15,"Aula 5"))&gt;0,"D3",IF((COUNTIF('D411'!C15,"Aula 5"))&gt;0,"D4","")))))))))))),"MIX"))</f>
        <v/>
      </c>
    </row>
    <row r="171">
      <c r="C171">
        <f>IF((IF((COUNTIF('C111'!C15,"Aula 6")+COUNTIF('C112'!C15,"Aula 6")+COUNTIF('C113'!C15,"Aula 6")+COUNTIF('C121'!C15,"Aula 6")+COUNTIF('C122'!C15,"Aula 6"))&gt;0,1,0)+IF((COUNTIF('C211'!C15,"Aula 6")+COUNTIF('C212'!C15,"Aula 6"))&gt;0,1,0)+IF((COUNTIF('C311'!C15,"Aula 6")+COUNTIF('C312'!C15,"Aula 6"))&gt;0,1,0)+IF((COUNTIF('C411'!C15,"Aula 6")+COUNTIF('C412'!C15,"Aula 6"))&gt;0,1,0)+IF((COUNTIF('M111'!C15,"Aula 6")+COUNTIF('M112'!C15,"Aula 6"))&gt;0,1,0)+IF((COUNTIF('M211'!C15,"Aula 6")+COUNTIF('M212'!C15,"Aula 6"))&gt;0,1,0)+IF((COUNTIF('M311'!C15,"Aula 6"))&gt;0,1,0)+IF((COUNTIF('M411'!C15,"Aula 6"))&gt;0,1,0)+IF((COUNTIF('D111'!C15,"Aula 6")+COUNTIF('D112'!C15,"Aula 6"))&gt;0,1,0)+IF((COUNTIF('D211'!C15,"Aula 6"))&gt;0,1,0)+IF((COUNTIF('D311'!C15,"Aula 6"))&gt;0,1,0)+IF((COUNTIF('D411'!C15,"Aula 6"))&gt;0,1,0))=0,"",IF((IF((COUNTIF('C111'!C15,"Aula 6")+COUNTIF('C112'!C15,"Aula 6")+COUNTIF('C113'!C15,"Aula 6")+COUNTIF('C121'!C15,"Aula 6")+COUNTIF('C122'!C15,"Aula 6"))&gt;0,1,0)+IF((COUNTIF('C211'!C15,"Aula 6")+COUNTIF('C212'!C15,"Aula 6"))&gt;0,1,0)+IF((COUNTIF('C311'!C15,"Aula 6")+COUNTIF('C312'!C15,"Aula 6"))&gt;0,1,0)+IF((COUNTIF('C411'!C15,"Aula 6")+COUNTIF('C412'!C15,"Aula 6"))&gt;0,1,0)+IF((COUNTIF('M111'!C15,"Aula 6")+COUNTIF('M112'!C15,"Aula 6"))&gt;0,1,0)+IF((COUNTIF('M211'!C15,"Aula 6")+COUNTIF('M212'!C15,"Aula 6"))&gt;0,1,0)+IF((COUNTIF('M311'!C15,"Aula 6"))&gt;0,1,0)+IF((COUNTIF('M411'!C15,"Aula 6"))&gt;0,1,0)+IF((COUNTIF('D111'!C15,"Aula 6")+COUNTIF('D112'!C15,"Aula 6"))&gt;0,1,0)+IF((COUNTIF('D211'!C15,"Aula 6"))&gt;0,1,0)+IF((COUNTIF('D311'!C15,"Aula 6"))&gt;0,1,0)+IF((COUNTIF('D411'!C15,"Aula 6"))&gt;0,1,0))=1,IF((COUNTIF('C111'!C15,"Aula 6")+COUNTIF('C112'!C15,"Aula 6")+COUNTIF('C113'!C15,"Aula 6")+COUNTIF('C121'!C15,"Aula 6")+COUNTIF('C122'!C15,"Aula 6"))&gt;0,"C1",IF((COUNTIF('C211'!C15,"Aula 6")+COUNTIF('C212'!C15,"Aula 6"))&gt;0,"C2",IF((COUNTIF('C311'!C15,"Aula 6")+COUNTIF('C312'!C15,"Aula 6"))&gt;0,"C3",IF((COUNTIF('C411'!C15,"Aula 6")+COUNTIF('C412'!C15,"Aula 6"))&gt;0,"C4",IF((COUNTIF('M111'!C15,"Aula 6")+COUNTIF('M112'!C15,"Aula 6"))&gt;0,"M1",IF((COUNTIF('M211'!C15,"Aula 6")+COUNTIF('M212'!C15,"Aula 6"))&gt;0,"M2",IF((COUNTIF('M311'!C15,"Aula 6"))&gt;0,"M3",IF((COUNTIF('M411'!C15,"Aula 6"))&gt;0,"M4",IF((COUNTIF('D111'!C15,"Aula 6")+COUNTIF('D112'!C15,"Aula 6"))&gt;0,"D1",IF((COUNTIF('D211'!C15,"Aula 6"))&gt;0,"D2",IF((COUNTIF('D311'!C15,"Aula 6"))&gt;0,"D3",IF((COUNTIF('D411'!C15,"Aula 6"))&gt;0,"D4","")))))))))))),"MIX"))</f>
        <v/>
      </c>
    </row>
    <row r="172">
      <c r="C172">
        <f>IF((IF((COUNTIF('C111'!C15,"Aula 7")+COUNTIF('C112'!C15,"Aula 7")+COUNTIF('C113'!C15,"Aula 7")+COUNTIF('C121'!C15,"Aula 7")+COUNTIF('C122'!C15,"Aula 7"))&gt;0,1,0)+IF((COUNTIF('C211'!C15,"Aula 7")+COUNTIF('C212'!C15,"Aula 7"))&gt;0,1,0)+IF((COUNTIF('C311'!C15,"Aula 7")+COUNTIF('C312'!C15,"Aula 7"))&gt;0,1,0)+IF((COUNTIF('C411'!C15,"Aula 7")+COUNTIF('C412'!C15,"Aula 7"))&gt;0,1,0)+IF((COUNTIF('M111'!C15,"Aula 7")+COUNTIF('M112'!C15,"Aula 7"))&gt;0,1,0)+IF((COUNTIF('M211'!C15,"Aula 7")+COUNTIF('M212'!C15,"Aula 7"))&gt;0,1,0)+IF((COUNTIF('M311'!C15,"Aula 7"))&gt;0,1,0)+IF((COUNTIF('M411'!C15,"Aula 7"))&gt;0,1,0)+IF((COUNTIF('D111'!C15,"Aula 7")+COUNTIF('D112'!C15,"Aula 7"))&gt;0,1,0)+IF((COUNTIF('D211'!C15,"Aula 7"))&gt;0,1,0)+IF((COUNTIF('D311'!C15,"Aula 7"))&gt;0,1,0)+IF((COUNTIF('D411'!C15,"Aula 7"))&gt;0,1,0))=0,"",IF((IF((COUNTIF('C111'!C15,"Aula 7")+COUNTIF('C112'!C15,"Aula 7")+COUNTIF('C113'!C15,"Aula 7")+COUNTIF('C121'!C15,"Aula 7")+COUNTIF('C122'!C15,"Aula 7"))&gt;0,1,0)+IF((COUNTIF('C211'!C15,"Aula 7")+COUNTIF('C212'!C15,"Aula 7"))&gt;0,1,0)+IF((COUNTIF('C311'!C15,"Aula 7")+COUNTIF('C312'!C15,"Aula 7"))&gt;0,1,0)+IF((COUNTIF('C411'!C15,"Aula 7")+COUNTIF('C412'!C15,"Aula 7"))&gt;0,1,0)+IF((COUNTIF('M111'!C15,"Aula 7")+COUNTIF('M112'!C15,"Aula 7"))&gt;0,1,0)+IF((COUNTIF('M211'!C15,"Aula 7")+COUNTIF('M212'!C15,"Aula 7"))&gt;0,1,0)+IF((COUNTIF('M311'!C15,"Aula 7"))&gt;0,1,0)+IF((COUNTIF('M411'!C15,"Aula 7"))&gt;0,1,0)+IF((COUNTIF('D111'!C15,"Aula 7")+COUNTIF('D112'!C15,"Aula 7"))&gt;0,1,0)+IF((COUNTIF('D211'!C15,"Aula 7"))&gt;0,1,0)+IF((COUNTIF('D311'!C15,"Aula 7"))&gt;0,1,0)+IF((COUNTIF('D411'!C15,"Aula 7"))&gt;0,1,0))=1,IF((COUNTIF('C111'!C15,"Aula 7")+COUNTIF('C112'!C15,"Aula 7")+COUNTIF('C113'!C15,"Aula 7")+COUNTIF('C121'!C15,"Aula 7")+COUNTIF('C122'!C15,"Aula 7"))&gt;0,"C1",IF((COUNTIF('C211'!C15,"Aula 7")+COUNTIF('C212'!C15,"Aula 7"))&gt;0,"C2",IF((COUNTIF('C311'!C15,"Aula 7")+COUNTIF('C312'!C15,"Aula 7"))&gt;0,"C3",IF((COUNTIF('C411'!C15,"Aula 7")+COUNTIF('C412'!C15,"Aula 7"))&gt;0,"C4",IF((COUNTIF('M111'!C15,"Aula 7")+COUNTIF('M112'!C15,"Aula 7"))&gt;0,"M1",IF((COUNTIF('M211'!C15,"Aula 7")+COUNTIF('M212'!C15,"Aula 7"))&gt;0,"M2",IF((COUNTIF('M311'!C15,"Aula 7"))&gt;0,"M3",IF((COUNTIF('M411'!C15,"Aula 7"))&gt;0,"M4",IF((COUNTIF('D111'!C15,"Aula 7")+COUNTIF('D112'!C15,"Aula 7"))&gt;0,"D1",IF((COUNTIF('D211'!C15,"Aula 7"))&gt;0,"D2",IF((COUNTIF('D311'!C15,"Aula 7"))&gt;0,"D3",IF((COUNTIF('D411'!C15,"Aula 7"))&gt;0,"D4","")))))))))))),"MIX"))</f>
        <v/>
      </c>
    </row>
    <row r="173">
      <c r="C173">
        <f>IF((IF((COUNTIF('C111'!C15,"Aula 8")+COUNTIF('C112'!C15,"Aula 8")+COUNTIF('C113'!C15,"Aula 8")+COUNTIF('C121'!C15,"Aula 8")+COUNTIF('C122'!C15,"Aula 8"))&gt;0,1,0)+IF((COUNTIF('C211'!C15,"Aula 8")+COUNTIF('C212'!C15,"Aula 8"))&gt;0,1,0)+IF((COUNTIF('C311'!C15,"Aula 8")+COUNTIF('C312'!C15,"Aula 8"))&gt;0,1,0)+IF((COUNTIF('C411'!C15,"Aula 8")+COUNTIF('C412'!C15,"Aula 8"))&gt;0,1,0)+IF((COUNTIF('M111'!C15,"Aula 8")+COUNTIF('M112'!C15,"Aula 8"))&gt;0,1,0)+IF((COUNTIF('M211'!C15,"Aula 8")+COUNTIF('M212'!C15,"Aula 8"))&gt;0,1,0)+IF((COUNTIF('M311'!C15,"Aula 8"))&gt;0,1,0)+IF((COUNTIF('M411'!C15,"Aula 8"))&gt;0,1,0)+IF((COUNTIF('D111'!C15,"Aula 8")+COUNTIF('D112'!C15,"Aula 8"))&gt;0,1,0)+IF((COUNTIF('D211'!C15,"Aula 8"))&gt;0,1,0)+IF((COUNTIF('D311'!C15,"Aula 8"))&gt;0,1,0)+IF((COUNTIF('D411'!C15,"Aula 8"))&gt;0,1,0))=0,"",IF((IF((COUNTIF('C111'!C15,"Aula 8")+COUNTIF('C112'!C15,"Aula 8")+COUNTIF('C113'!C15,"Aula 8")+COUNTIF('C121'!C15,"Aula 8")+COUNTIF('C122'!C15,"Aula 8"))&gt;0,1,0)+IF((COUNTIF('C211'!C15,"Aula 8")+COUNTIF('C212'!C15,"Aula 8"))&gt;0,1,0)+IF((COUNTIF('C311'!C15,"Aula 8")+COUNTIF('C312'!C15,"Aula 8"))&gt;0,1,0)+IF((COUNTIF('C411'!C15,"Aula 8")+COUNTIF('C412'!C15,"Aula 8"))&gt;0,1,0)+IF((COUNTIF('M111'!C15,"Aula 8")+COUNTIF('M112'!C15,"Aula 8"))&gt;0,1,0)+IF((COUNTIF('M211'!C15,"Aula 8")+COUNTIF('M212'!C15,"Aula 8"))&gt;0,1,0)+IF((COUNTIF('M311'!C15,"Aula 8"))&gt;0,1,0)+IF((COUNTIF('M411'!C15,"Aula 8"))&gt;0,1,0)+IF((COUNTIF('D111'!C15,"Aula 8")+COUNTIF('D112'!C15,"Aula 8"))&gt;0,1,0)+IF((COUNTIF('D211'!C15,"Aula 8"))&gt;0,1,0)+IF((COUNTIF('D311'!C15,"Aula 8"))&gt;0,1,0)+IF((COUNTIF('D411'!C15,"Aula 8"))&gt;0,1,0))=1,IF((COUNTIF('C111'!C15,"Aula 8")+COUNTIF('C112'!C15,"Aula 8")+COUNTIF('C113'!C15,"Aula 8")+COUNTIF('C121'!C15,"Aula 8")+COUNTIF('C122'!C15,"Aula 8"))&gt;0,"C1",IF((COUNTIF('C211'!C15,"Aula 8")+COUNTIF('C212'!C15,"Aula 8"))&gt;0,"C2",IF((COUNTIF('C311'!C15,"Aula 8")+COUNTIF('C312'!C15,"Aula 8"))&gt;0,"C3",IF((COUNTIF('C411'!C15,"Aula 8")+COUNTIF('C412'!C15,"Aula 8"))&gt;0,"C4",IF((COUNTIF('M111'!C15,"Aula 8")+COUNTIF('M112'!C15,"Aula 8"))&gt;0,"M1",IF((COUNTIF('M211'!C15,"Aula 8")+COUNTIF('M212'!C15,"Aula 8"))&gt;0,"M2",IF((COUNTIF('M311'!C15,"Aula 8"))&gt;0,"M3",IF((COUNTIF('M411'!C15,"Aula 8"))&gt;0,"M4",IF((COUNTIF('D111'!C15,"Aula 8")+COUNTIF('D112'!C15,"Aula 8"))&gt;0,"D1",IF((COUNTIF('D211'!C15,"Aula 8"))&gt;0,"D2",IF((COUNTIF('D311'!C15,"Aula 8"))&gt;0,"D3",IF((COUNTIF('D411'!C15,"Aula 8"))&gt;0,"D4","")))))))))))),"MIX"))</f>
        <v/>
      </c>
    </row>
    <row r="174">
      <c r="C174">
        <f>IF((IF((COUNTIF('C111'!C15,"Aula 9")+COUNTIF('C112'!C15,"Aula 9")+COUNTIF('C113'!C15,"Aula 9")+COUNTIF('C121'!C15,"Aula 9")+COUNTIF('C122'!C15,"Aula 9"))&gt;0,1,0)+IF((COUNTIF('C211'!C15,"Aula 9")+COUNTIF('C212'!C15,"Aula 9"))&gt;0,1,0)+IF((COUNTIF('C311'!C15,"Aula 9")+COUNTIF('C312'!C15,"Aula 9"))&gt;0,1,0)+IF((COUNTIF('C411'!C15,"Aula 9")+COUNTIF('C412'!C15,"Aula 9"))&gt;0,1,0)+IF((COUNTIF('M111'!C15,"Aula 9")+COUNTIF('M112'!C15,"Aula 9"))&gt;0,1,0)+IF((COUNTIF('M211'!C15,"Aula 9")+COUNTIF('M212'!C15,"Aula 9"))&gt;0,1,0)+IF((COUNTIF('M311'!C15,"Aula 9"))&gt;0,1,0)+IF((COUNTIF('M411'!C15,"Aula 9"))&gt;0,1,0)+IF((COUNTIF('D111'!C15,"Aula 9")+COUNTIF('D112'!C15,"Aula 9"))&gt;0,1,0)+IF((COUNTIF('D211'!C15,"Aula 9"))&gt;0,1,0)+IF((COUNTIF('D311'!C15,"Aula 9"))&gt;0,1,0)+IF((COUNTIF('D411'!C15,"Aula 9"))&gt;0,1,0))=0,"",IF((IF((COUNTIF('C111'!C15,"Aula 9")+COUNTIF('C112'!C15,"Aula 9")+COUNTIF('C113'!C15,"Aula 9")+COUNTIF('C121'!C15,"Aula 9")+COUNTIF('C122'!C15,"Aula 9"))&gt;0,1,0)+IF((COUNTIF('C211'!C15,"Aula 9")+COUNTIF('C212'!C15,"Aula 9"))&gt;0,1,0)+IF((COUNTIF('C311'!C15,"Aula 9")+COUNTIF('C312'!C15,"Aula 9"))&gt;0,1,0)+IF((COUNTIF('C411'!C15,"Aula 9")+COUNTIF('C412'!C15,"Aula 9"))&gt;0,1,0)+IF((COUNTIF('M111'!C15,"Aula 9")+COUNTIF('M112'!C15,"Aula 9"))&gt;0,1,0)+IF((COUNTIF('M211'!C15,"Aula 9")+COUNTIF('M212'!C15,"Aula 9"))&gt;0,1,0)+IF((COUNTIF('M311'!C15,"Aula 9"))&gt;0,1,0)+IF((COUNTIF('M411'!C15,"Aula 9"))&gt;0,1,0)+IF((COUNTIF('D111'!C15,"Aula 9")+COUNTIF('D112'!C15,"Aula 9"))&gt;0,1,0)+IF((COUNTIF('D211'!C15,"Aula 9"))&gt;0,1,0)+IF((COUNTIF('D311'!C15,"Aula 9"))&gt;0,1,0)+IF((COUNTIF('D411'!C15,"Aula 9"))&gt;0,1,0))=1,IF((COUNTIF('C111'!C15,"Aula 9")+COUNTIF('C112'!C15,"Aula 9")+COUNTIF('C113'!C15,"Aula 9")+COUNTIF('C121'!C15,"Aula 9")+COUNTIF('C122'!C15,"Aula 9"))&gt;0,"C1",IF((COUNTIF('C211'!C15,"Aula 9")+COUNTIF('C212'!C15,"Aula 9"))&gt;0,"C2",IF((COUNTIF('C311'!C15,"Aula 9")+COUNTIF('C312'!C15,"Aula 9"))&gt;0,"C3",IF((COUNTIF('C411'!C15,"Aula 9")+COUNTIF('C412'!C15,"Aula 9"))&gt;0,"C4",IF((COUNTIF('M111'!C15,"Aula 9")+COUNTIF('M112'!C15,"Aula 9"))&gt;0,"M1",IF((COUNTIF('M211'!C15,"Aula 9")+COUNTIF('M212'!C15,"Aula 9"))&gt;0,"M2",IF((COUNTIF('M311'!C15,"Aula 9"))&gt;0,"M3",IF((COUNTIF('M411'!C15,"Aula 9"))&gt;0,"M4",IF((COUNTIF('D111'!C15,"Aula 9")+COUNTIF('D112'!C15,"Aula 9"))&gt;0,"D1",IF((COUNTIF('D211'!C15,"Aula 9"))&gt;0,"D2",IF((COUNTIF('D311'!C15,"Aula 9"))&gt;0,"D3",IF((COUNTIF('D411'!C15,"Aula 9"))&gt;0,"D4","")))))))))))),"MIX"))</f>
        <v/>
      </c>
    </row>
    <row r="175">
      <c r="C175">
        <f>IF((IF((COUNTIF('C111'!C15,"Aula 10")+COUNTIF('C112'!C15,"Aula 10")+COUNTIF('C113'!C15,"Aula 10")+COUNTIF('C121'!C15,"Aula 10")+COUNTIF('C122'!C15,"Aula 10"))&gt;0,1,0)+IF((COUNTIF('C211'!C15,"Aula 10")+COUNTIF('C212'!C15,"Aula 10"))&gt;0,1,0)+IF((COUNTIF('C311'!C15,"Aula 10")+COUNTIF('C312'!C15,"Aula 10"))&gt;0,1,0)+IF((COUNTIF('C411'!C15,"Aula 10")+COUNTIF('C412'!C15,"Aula 10"))&gt;0,1,0)+IF((COUNTIF('M111'!C15,"Aula 10")+COUNTIF('M112'!C15,"Aula 10"))&gt;0,1,0)+IF((COUNTIF('M211'!C15,"Aula 10")+COUNTIF('M212'!C15,"Aula 10"))&gt;0,1,0)+IF((COUNTIF('M311'!C15,"Aula 10"))&gt;0,1,0)+IF((COUNTIF('M411'!C15,"Aula 10"))&gt;0,1,0)+IF((COUNTIF('D111'!C15,"Aula 10")+COUNTIF('D112'!C15,"Aula 10"))&gt;0,1,0)+IF((COUNTIF('D211'!C15,"Aula 10"))&gt;0,1,0)+IF((COUNTIF('D311'!C15,"Aula 10"))&gt;0,1,0)+IF((COUNTIF('D411'!C15,"Aula 10"))&gt;0,1,0))=0,"",IF((IF((COUNTIF('C111'!C15,"Aula 10")+COUNTIF('C112'!C15,"Aula 10")+COUNTIF('C113'!C15,"Aula 10")+COUNTIF('C121'!C15,"Aula 10")+COUNTIF('C122'!C15,"Aula 10"))&gt;0,1,0)+IF((COUNTIF('C211'!C15,"Aula 10")+COUNTIF('C212'!C15,"Aula 10"))&gt;0,1,0)+IF((COUNTIF('C311'!C15,"Aula 10")+COUNTIF('C312'!C15,"Aula 10"))&gt;0,1,0)+IF((COUNTIF('C411'!C15,"Aula 10")+COUNTIF('C412'!C15,"Aula 10"))&gt;0,1,0)+IF((COUNTIF('M111'!C15,"Aula 10")+COUNTIF('M112'!C15,"Aula 10"))&gt;0,1,0)+IF((COUNTIF('M211'!C15,"Aula 10")+COUNTIF('M212'!C15,"Aula 10"))&gt;0,1,0)+IF((COUNTIF('M311'!C15,"Aula 10"))&gt;0,1,0)+IF((COUNTIF('M411'!C15,"Aula 10"))&gt;0,1,0)+IF((COUNTIF('D111'!C15,"Aula 10")+COUNTIF('D112'!C15,"Aula 10"))&gt;0,1,0)+IF((COUNTIF('D211'!C15,"Aula 10"))&gt;0,1,0)+IF((COUNTIF('D311'!C15,"Aula 10"))&gt;0,1,0)+IF((COUNTIF('D411'!C15,"Aula 10"))&gt;0,1,0))=1,IF((COUNTIF('C111'!C15,"Aula 10")+COUNTIF('C112'!C15,"Aula 10")+COUNTIF('C113'!C15,"Aula 10")+COUNTIF('C121'!C15,"Aula 10")+COUNTIF('C122'!C15,"Aula 10"))&gt;0,"C1",IF((COUNTIF('C211'!C15,"Aula 10")+COUNTIF('C212'!C15,"Aula 10"))&gt;0,"C2",IF((COUNTIF('C311'!C15,"Aula 10")+COUNTIF('C312'!C15,"Aula 10"))&gt;0,"C3",IF((COUNTIF('C411'!C15,"Aula 10")+COUNTIF('C412'!C15,"Aula 10"))&gt;0,"C4",IF((COUNTIF('M111'!C15,"Aula 10")+COUNTIF('M112'!C15,"Aula 10"))&gt;0,"M1",IF((COUNTIF('M211'!C15,"Aula 10")+COUNTIF('M212'!C15,"Aula 10"))&gt;0,"M2",IF((COUNTIF('M311'!C15,"Aula 10"))&gt;0,"M3",IF((COUNTIF('M411'!C15,"Aula 10"))&gt;0,"M4",IF((COUNTIF('D111'!C15,"Aula 10")+COUNTIF('D112'!C15,"Aula 10"))&gt;0,"D1",IF((COUNTIF('D211'!C15,"Aula 10"))&gt;0,"D2",IF((COUNTIF('D311'!C15,"Aula 10"))&gt;0,"D3",IF((COUNTIF('D411'!C15,"Aula 10"))&gt;0,"D4","")))))))))))),"MIX"))</f>
        <v/>
      </c>
    </row>
    <row r="176">
      <c r="C176">
        <f>IF((IF((COUNTIF('C111'!C15,"Aula 11")+COUNTIF('C112'!C15,"Aula 11")+COUNTIF('C113'!C15,"Aula 11")+COUNTIF('C121'!C15,"Aula 11")+COUNTIF('C122'!C15,"Aula 11"))&gt;0,1,0)+IF((COUNTIF('C211'!C15,"Aula 11")+COUNTIF('C212'!C15,"Aula 11"))&gt;0,1,0)+IF((COUNTIF('C311'!C15,"Aula 11")+COUNTIF('C312'!C15,"Aula 11"))&gt;0,1,0)+IF((COUNTIF('C411'!C15,"Aula 11")+COUNTIF('C412'!C15,"Aula 11"))&gt;0,1,0)+IF((COUNTIF('M111'!C15,"Aula 11")+COUNTIF('M112'!C15,"Aula 11"))&gt;0,1,0)+IF((COUNTIF('M211'!C15,"Aula 11")+COUNTIF('M212'!C15,"Aula 11"))&gt;0,1,0)+IF((COUNTIF('M311'!C15,"Aula 11"))&gt;0,1,0)+IF((COUNTIF('M411'!C15,"Aula 11"))&gt;0,1,0)+IF((COUNTIF('D111'!C15,"Aula 11")+COUNTIF('D112'!C15,"Aula 11"))&gt;0,1,0)+IF((COUNTIF('D211'!C15,"Aula 11"))&gt;0,1,0)+IF((COUNTIF('D311'!C15,"Aula 11"))&gt;0,1,0)+IF((COUNTIF('D411'!C15,"Aula 11"))&gt;0,1,0))=0,"",IF((IF((COUNTIF('C111'!C15,"Aula 11")+COUNTIF('C112'!C15,"Aula 11")+COUNTIF('C113'!C15,"Aula 11")+COUNTIF('C121'!C15,"Aula 11")+COUNTIF('C122'!C15,"Aula 11"))&gt;0,1,0)+IF((COUNTIF('C211'!C15,"Aula 11")+COUNTIF('C212'!C15,"Aula 11"))&gt;0,1,0)+IF((COUNTIF('C311'!C15,"Aula 11")+COUNTIF('C312'!C15,"Aula 11"))&gt;0,1,0)+IF((COUNTIF('C411'!C15,"Aula 11")+COUNTIF('C412'!C15,"Aula 11"))&gt;0,1,0)+IF((COUNTIF('M111'!C15,"Aula 11")+COUNTIF('M112'!C15,"Aula 11"))&gt;0,1,0)+IF((COUNTIF('M211'!C15,"Aula 11")+COUNTIF('M212'!C15,"Aula 11"))&gt;0,1,0)+IF((COUNTIF('M311'!C15,"Aula 11"))&gt;0,1,0)+IF((COUNTIF('M411'!C15,"Aula 11"))&gt;0,1,0)+IF((COUNTIF('D111'!C15,"Aula 11")+COUNTIF('D112'!C15,"Aula 11"))&gt;0,1,0)+IF((COUNTIF('D211'!C15,"Aula 11"))&gt;0,1,0)+IF((COUNTIF('D311'!C15,"Aula 11"))&gt;0,1,0)+IF((COUNTIF('D411'!C15,"Aula 11"))&gt;0,1,0))=1,IF((COUNTIF('C111'!C15,"Aula 11")+COUNTIF('C112'!C15,"Aula 11")+COUNTIF('C113'!C15,"Aula 11")+COUNTIF('C121'!C15,"Aula 11")+COUNTIF('C122'!C15,"Aula 11"))&gt;0,"C1",IF((COUNTIF('C211'!C15,"Aula 11")+COUNTIF('C212'!C15,"Aula 11"))&gt;0,"C2",IF((COUNTIF('C311'!C15,"Aula 11")+COUNTIF('C312'!C15,"Aula 11"))&gt;0,"C3",IF((COUNTIF('C411'!C15,"Aula 11")+COUNTIF('C412'!C15,"Aula 11"))&gt;0,"C4",IF((COUNTIF('M111'!C15,"Aula 11")+COUNTIF('M112'!C15,"Aula 11"))&gt;0,"M1",IF((COUNTIF('M211'!C15,"Aula 11")+COUNTIF('M212'!C15,"Aula 11"))&gt;0,"M2",IF((COUNTIF('M311'!C15,"Aula 11"))&gt;0,"M3",IF((COUNTIF('M411'!C15,"Aula 11"))&gt;0,"M4",IF((COUNTIF('D111'!C15,"Aula 11")+COUNTIF('D112'!C15,"Aula 11"))&gt;0,"D1",IF((COUNTIF('D211'!C15,"Aula 11"))&gt;0,"D2",IF((COUNTIF('D311'!C15,"Aula 11"))&gt;0,"D3",IF((COUNTIF('D411'!C15,"Aula 11"))&gt;0,"D4","")))))))))))),"MIX"))</f>
        <v/>
      </c>
    </row>
    <row r="177">
      <c r="C177">
        <f>IF((IF((COUNTIF('C111'!C15,"Aula 12")+COUNTIF('C112'!C15,"Aula 12")+COUNTIF('C113'!C15,"Aula 12")+COUNTIF('C121'!C15,"Aula 12")+COUNTIF('C122'!C15,"Aula 12"))&gt;0,1,0)+IF((COUNTIF('C211'!C15,"Aula 12")+COUNTIF('C212'!C15,"Aula 12"))&gt;0,1,0)+IF((COUNTIF('C311'!C15,"Aula 12")+COUNTIF('C312'!C15,"Aula 12"))&gt;0,1,0)+IF((COUNTIF('C411'!C15,"Aula 12")+COUNTIF('C412'!C15,"Aula 12"))&gt;0,1,0)+IF((COUNTIF('M111'!C15,"Aula 12")+COUNTIF('M112'!C15,"Aula 12"))&gt;0,1,0)+IF((COUNTIF('M211'!C15,"Aula 12")+COUNTIF('M212'!C15,"Aula 12"))&gt;0,1,0)+IF((COUNTIF('M311'!C15,"Aula 12"))&gt;0,1,0)+IF((COUNTIF('M411'!C15,"Aula 12"))&gt;0,1,0)+IF((COUNTIF('D111'!C15,"Aula 12")+COUNTIF('D112'!C15,"Aula 12"))&gt;0,1,0)+IF((COUNTIF('D211'!C15,"Aula 12"))&gt;0,1,0)+IF((COUNTIF('D311'!C15,"Aula 12"))&gt;0,1,0)+IF((COUNTIF('D411'!C15,"Aula 12"))&gt;0,1,0))=0,"",IF((IF((COUNTIF('C111'!C15,"Aula 12")+COUNTIF('C112'!C15,"Aula 12")+COUNTIF('C113'!C15,"Aula 12")+COUNTIF('C121'!C15,"Aula 12")+COUNTIF('C122'!C15,"Aula 12"))&gt;0,1,0)+IF((COUNTIF('C211'!C15,"Aula 12")+COUNTIF('C212'!C15,"Aula 12"))&gt;0,1,0)+IF((COUNTIF('C311'!C15,"Aula 12")+COUNTIF('C312'!C15,"Aula 12"))&gt;0,1,0)+IF((COUNTIF('C411'!C15,"Aula 12")+COUNTIF('C412'!C15,"Aula 12"))&gt;0,1,0)+IF((COUNTIF('M111'!C15,"Aula 12")+COUNTIF('M112'!C15,"Aula 12"))&gt;0,1,0)+IF((COUNTIF('M211'!C15,"Aula 12")+COUNTIF('M212'!C15,"Aula 12"))&gt;0,1,0)+IF((COUNTIF('M311'!C15,"Aula 12"))&gt;0,1,0)+IF((COUNTIF('M411'!C15,"Aula 12"))&gt;0,1,0)+IF((COUNTIF('D111'!C15,"Aula 12")+COUNTIF('D112'!C15,"Aula 12"))&gt;0,1,0)+IF((COUNTIF('D211'!C15,"Aula 12"))&gt;0,1,0)+IF((COUNTIF('D311'!C15,"Aula 12"))&gt;0,1,0)+IF((COUNTIF('D411'!C15,"Aula 12"))&gt;0,1,0))=1,IF((COUNTIF('C111'!C15,"Aula 12")+COUNTIF('C112'!C15,"Aula 12")+COUNTIF('C113'!C15,"Aula 12")+COUNTIF('C121'!C15,"Aula 12")+COUNTIF('C122'!C15,"Aula 12"))&gt;0,"C1",IF((COUNTIF('C211'!C15,"Aula 12")+COUNTIF('C212'!C15,"Aula 12"))&gt;0,"C2",IF((COUNTIF('C311'!C15,"Aula 12")+COUNTIF('C312'!C15,"Aula 12"))&gt;0,"C3",IF((COUNTIF('C411'!C15,"Aula 12")+COUNTIF('C412'!C15,"Aula 12"))&gt;0,"C4",IF((COUNTIF('M111'!C15,"Aula 12")+COUNTIF('M112'!C15,"Aula 12"))&gt;0,"M1",IF((COUNTIF('M211'!C15,"Aula 12")+COUNTIF('M212'!C15,"Aula 12"))&gt;0,"M2",IF((COUNTIF('M311'!C15,"Aula 12"))&gt;0,"M3",IF((COUNTIF('M411'!C15,"Aula 12"))&gt;0,"M4",IF((COUNTIF('D111'!C15,"Aula 12")+COUNTIF('D112'!C15,"Aula 12"))&gt;0,"D1",IF((COUNTIF('D211'!C15,"Aula 12"))&gt;0,"D2",IF((COUNTIF('D311'!C15,"Aula 12"))&gt;0,"D3",IF((COUNTIF('D411'!C15,"Aula 12"))&gt;0,"D4","")))))))))))),"MIX"))</f>
        <v/>
      </c>
    </row>
    <row r="178">
      <c r="C178">
        <f>IF((IF((COUNTIF('C111'!C15,"Lab 1")+COUNTIF('C112'!C15,"Lab 1")+COUNTIF('C113'!C15,"Lab 1")+COUNTIF('C121'!C15,"Lab 1")+COUNTIF('C122'!C15,"Lab 1"))&gt;0,1,0)+IF((COUNTIF('C211'!C15,"Lab 1")+COUNTIF('C212'!C15,"Lab 1"))&gt;0,1,0)+IF((COUNTIF('C311'!C15,"Lab 1")+COUNTIF('C312'!C15,"Lab 1"))&gt;0,1,0)+IF((COUNTIF('C411'!C15,"Lab 1")+COUNTIF('C412'!C15,"Lab 1"))&gt;0,1,0)+IF((COUNTIF('M111'!C15,"Lab 1")+COUNTIF('M112'!C15,"Lab 1"))&gt;0,1,0)+IF((COUNTIF('M211'!C15,"Lab 1")+COUNTIF('M212'!C15,"Lab 1"))&gt;0,1,0)+IF((COUNTIF('M311'!C15,"Lab 1"))&gt;0,1,0)+IF((COUNTIF('M411'!C15,"Lab 1"))&gt;0,1,0)+IF((COUNTIF('D111'!C15,"Lab 1")+COUNTIF('D112'!C15,"Lab 1"))&gt;0,1,0)+IF((COUNTIF('D211'!C15,"Lab 1"))&gt;0,1,0)+IF((COUNTIF('D311'!C15,"Lab 1"))&gt;0,1,0)+IF((COUNTIF('D411'!C15,"Lab 1"))&gt;0,1,0))=0,"",IF((IF((COUNTIF('C111'!C15,"Lab 1")+COUNTIF('C112'!C15,"Lab 1")+COUNTIF('C113'!C15,"Lab 1")+COUNTIF('C121'!C15,"Lab 1")+COUNTIF('C122'!C15,"Lab 1"))&gt;0,1,0)+IF((COUNTIF('C211'!C15,"Lab 1")+COUNTIF('C212'!C15,"Lab 1"))&gt;0,1,0)+IF((COUNTIF('C311'!C15,"Lab 1")+COUNTIF('C312'!C15,"Lab 1"))&gt;0,1,0)+IF((COUNTIF('C411'!C15,"Lab 1")+COUNTIF('C412'!C15,"Lab 1"))&gt;0,1,0)+IF((COUNTIF('M111'!C15,"Lab 1")+COUNTIF('M112'!C15,"Lab 1"))&gt;0,1,0)+IF((COUNTIF('M211'!C15,"Lab 1")+COUNTIF('M212'!C15,"Lab 1"))&gt;0,1,0)+IF((COUNTIF('M311'!C15,"Lab 1"))&gt;0,1,0)+IF((COUNTIF('M411'!C15,"Lab 1"))&gt;0,1,0)+IF((COUNTIF('D111'!C15,"Lab 1")+COUNTIF('D112'!C15,"Lab 1"))&gt;0,1,0)+IF((COUNTIF('D211'!C15,"Lab 1"))&gt;0,1,0)+IF((COUNTIF('D311'!C15,"Lab 1"))&gt;0,1,0)+IF((COUNTIF('D411'!C15,"Lab 1"))&gt;0,1,0))=1,IF((COUNTIF('C111'!C15,"Lab 1")+COUNTIF('C112'!C15,"Lab 1")+COUNTIF('C113'!C15,"Lab 1")+COUNTIF('C121'!C15,"Lab 1")+COUNTIF('C122'!C15,"Lab 1"))&gt;0,"C1",IF((COUNTIF('C211'!C15,"Lab 1")+COUNTIF('C212'!C15,"Lab 1"))&gt;0,"C2",IF((COUNTIF('C311'!C15,"Lab 1")+COUNTIF('C312'!C15,"Lab 1"))&gt;0,"C3",IF((COUNTIF('C411'!C15,"Lab 1")+COUNTIF('C412'!C15,"Lab 1"))&gt;0,"C4",IF((COUNTIF('M111'!C15,"Lab 1")+COUNTIF('M112'!C15,"Lab 1"))&gt;0,"M1",IF((COUNTIF('M211'!C15,"Lab 1")+COUNTIF('M212'!C15,"Lab 1"))&gt;0,"M2",IF((COUNTIF('M311'!C15,"Lab 1"))&gt;0,"M3",IF((COUNTIF('M411'!C15,"Lab 1"))&gt;0,"M4",IF((COUNTIF('D111'!C15,"Lab 1")+COUNTIF('D112'!C15,"Lab 1"))&gt;0,"D1",IF((COUNTIF('D211'!C15,"Lab 1"))&gt;0,"D2",IF((COUNTIF('D311'!C15,"Lab 1"))&gt;0,"D3",IF((COUNTIF('D411'!C15,"Lab 1"))&gt;0,"D4","")))))))))))),"MIX"))</f>
        <v/>
      </c>
    </row>
    <row r="179">
      <c r="C179">
        <f>IF((IF((COUNTIF('C111'!C15,"Lab 2")+COUNTIF('C112'!C15,"Lab 2")+COUNTIF('C113'!C15,"Lab 2")+COUNTIF('C121'!C15,"Lab 2")+COUNTIF('C122'!C15,"Lab 2"))&gt;0,1,0)+IF((COUNTIF('C211'!C15,"Lab 2")+COUNTIF('C212'!C15,"Lab 2"))&gt;0,1,0)+IF((COUNTIF('C311'!C15,"Lab 2")+COUNTIF('C312'!C15,"Lab 2"))&gt;0,1,0)+IF((COUNTIF('C411'!C15,"Lab 2")+COUNTIF('C412'!C15,"Lab 2"))&gt;0,1,0)+IF((COUNTIF('M111'!C15,"Lab 2")+COUNTIF('M112'!C15,"Lab 2"))&gt;0,1,0)+IF((COUNTIF('M211'!C15,"Lab 2")+COUNTIF('M212'!C15,"Lab 2"))&gt;0,1,0)+IF((COUNTIF('M311'!C15,"Lab 2"))&gt;0,1,0)+IF((COUNTIF('M411'!C15,"Lab 2"))&gt;0,1,0)+IF((COUNTIF('D111'!C15,"Lab 2")+COUNTIF('D112'!C15,"Lab 2"))&gt;0,1,0)+IF((COUNTIF('D211'!C15,"Lab 2"))&gt;0,1,0)+IF((COUNTIF('D311'!C15,"Lab 2"))&gt;0,1,0)+IF((COUNTIF('D411'!C15,"Lab 2"))&gt;0,1,0))=0,"",IF((IF((COUNTIF('C111'!C15,"Lab 2")+COUNTIF('C112'!C15,"Lab 2")+COUNTIF('C113'!C15,"Lab 2")+COUNTIF('C121'!C15,"Lab 2")+COUNTIF('C122'!C15,"Lab 2"))&gt;0,1,0)+IF((COUNTIF('C211'!C15,"Lab 2")+COUNTIF('C212'!C15,"Lab 2"))&gt;0,1,0)+IF((COUNTIF('C311'!C15,"Lab 2")+COUNTIF('C312'!C15,"Lab 2"))&gt;0,1,0)+IF((COUNTIF('C411'!C15,"Lab 2")+COUNTIF('C412'!C15,"Lab 2"))&gt;0,1,0)+IF((COUNTIF('M111'!C15,"Lab 2")+COUNTIF('M112'!C15,"Lab 2"))&gt;0,1,0)+IF((COUNTIF('M211'!C15,"Lab 2")+COUNTIF('M212'!C15,"Lab 2"))&gt;0,1,0)+IF((COUNTIF('M311'!C15,"Lab 2"))&gt;0,1,0)+IF((COUNTIF('M411'!C15,"Lab 2"))&gt;0,1,0)+IF((COUNTIF('D111'!C15,"Lab 2")+COUNTIF('D112'!C15,"Lab 2"))&gt;0,1,0)+IF((COUNTIF('D211'!C15,"Lab 2"))&gt;0,1,0)+IF((COUNTIF('D311'!C15,"Lab 2"))&gt;0,1,0)+IF((COUNTIF('D411'!C15,"Lab 2"))&gt;0,1,0))=1,IF((COUNTIF('C111'!C15,"Lab 2")+COUNTIF('C112'!C15,"Lab 2")+COUNTIF('C113'!C15,"Lab 2")+COUNTIF('C121'!C15,"Lab 2")+COUNTIF('C122'!C15,"Lab 2"))&gt;0,"C1",IF((COUNTIF('C211'!C15,"Lab 2")+COUNTIF('C212'!C15,"Lab 2"))&gt;0,"C2",IF((COUNTIF('C311'!C15,"Lab 2")+COUNTIF('C312'!C15,"Lab 2"))&gt;0,"C3",IF((COUNTIF('C411'!C15,"Lab 2")+COUNTIF('C412'!C15,"Lab 2"))&gt;0,"C4",IF((COUNTIF('M111'!C15,"Lab 2")+COUNTIF('M112'!C15,"Lab 2"))&gt;0,"M1",IF((COUNTIF('M211'!C15,"Lab 2")+COUNTIF('M212'!C15,"Lab 2"))&gt;0,"M2",IF((COUNTIF('M311'!C15,"Lab 2"))&gt;0,"M3",IF((COUNTIF('M411'!C15,"Lab 2"))&gt;0,"M4",IF((COUNTIF('D111'!C15,"Lab 2")+COUNTIF('D112'!C15,"Lab 2"))&gt;0,"D1",IF((COUNTIF('D211'!C15,"Lab 2"))&gt;0,"D2",IF((COUNTIF('D311'!C15,"Lab 2"))&gt;0,"D3",IF((COUNTIF('D411'!C15,"Lab 2"))&gt;0,"D4","")))))))))))),"MIX"))</f>
        <v/>
      </c>
    </row>
    <row r="180">
      <c r="C180">
        <f>IF((IF((COUNTIF('C111'!C15,"Salón")+COUNTIF('C112'!C15,"Salón")+COUNTIF('C113'!C15,"Salón")+COUNTIF('C121'!C15,"Salón")+COUNTIF('C122'!C15,"Salón"))&gt;0,1,0)+IF((COUNTIF('C211'!C15,"Salón")+COUNTIF('C212'!C15,"Salón"))&gt;0,1,0)+IF((COUNTIF('C311'!C15,"Salón")+COUNTIF('C312'!C15,"Salón"))&gt;0,1,0)+IF((COUNTIF('C411'!C15,"Salón")+COUNTIF('C412'!C15,"Salón"))&gt;0,1,0)+IF((COUNTIF('M111'!C15,"Salón")+COUNTIF('M112'!C15,"Salón"))&gt;0,1,0)+IF((COUNTIF('M211'!C15,"Salón")+COUNTIF('M212'!C15,"Salón"))&gt;0,1,0)+IF((COUNTIF('M311'!C15,"Salón"))&gt;0,1,0)+IF((COUNTIF('M411'!C15,"Salón"))&gt;0,1,0)+IF((COUNTIF('D111'!C15,"Salón")+COUNTIF('D112'!C15,"Salón"))&gt;0,1,0)+IF((COUNTIF('D211'!C15,"Salón"))&gt;0,1,0)+IF((COUNTIF('D311'!C15,"Salón"))&gt;0,1,0)+IF((COUNTIF('D411'!C15,"Salón"))&gt;0,1,0))=0,"",IF((IF((COUNTIF('C111'!C15,"Salón")+COUNTIF('C112'!C15,"Salón")+COUNTIF('C113'!C15,"Salón")+COUNTIF('C121'!C15,"Salón")+COUNTIF('C122'!C15,"Salón"))&gt;0,1,0)+IF((COUNTIF('C211'!C15,"Salón")+COUNTIF('C212'!C15,"Salón"))&gt;0,1,0)+IF((COUNTIF('C311'!C15,"Salón")+COUNTIF('C312'!C15,"Salón"))&gt;0,1,0)+IF((COUNTIF('C411'!C15,"Salón")+COUNTIF('C412'!C15,"Salón"))&gt;0,1,0)+IF((COUNTIF('M111'!C15,"Salón")+COUNTIF('M112'!C15,"Salón"))&gt;0,1,0)+IF((COUNTIF('M211'!C15,"Salón")+COUNTIF('M212'!C15,"Salón"))&gt;0,1,0)+IF((COUNTIF('M311'!C15,"Salón"))&gt;0,1,0)+IF((COUNTIF('M411'!C15,"Salón"))&gt;0,1,0)+IF((COUNTIF('D111'!C15,"Salón")+COUNTIF('D112'!C15,"Salón"))&gt;0,1,0)+IF((COUNTIF('D211'!C15,"Salón"))&gt;0,1,0)+IF((COUNTIF('D311'!C15,"Salón"))&gt;0,1,0)+IF((COUNTIF('D411'!C15,"Salón"))&gt;0,1,0))=1,IF((COUNTIF('C111'!C15,"Salón")+COUNTIF('C112'!C15,"Salón")+COUNTIF('C113'!C15,"Salón")+COUNTIF('C121'!C15,"Salón")+COUNTIF('C122'!C15,"Salón"))&gt;0,"C1",IF((COUNTIF('C211'!C15,"Salón")+COUNTIF('C212'!C15,"Salón"))&gt;0,"C2",IF((COUNTIF('C311'!C15,"Salón")+COUNTIF('C312'!C15,"Salón"))&gt;0,"C3",IF((COUNTIF('C411'!C15,"Salón")+COUNTIF('C412'!C15,"Salón"))&gt;0,"C4",IF((COUNTIF('M111'!C15,"Salón")+COUNTIF('M112'!C15,"Salón"))&gt;0,"M1",IF((COUNTIF('M211'!C15,"Salón")+COUNTIF('M212'!C15,"Salón"))&gt;0,"M2",IF((COUNTIF('M311'!C15,"Salón"))&gt;0,"M3",IF((COUNTIF('M411'!C15,"Salón"))&gt;0,"M4",IF((COUNTIF('D111'!C15,"Salón")+COUNTIF('D112'!C15,"Salón"))&gt;0,"D1",IF((COUNTIF('D211'!C15,"Salón"))&gt;0,"D2",IF((COUNTIF('D311'!C15,"Salón"))&gt;0,"D3",IF((COUNTIF('D411'!C15,"Salón"))&gt;0,"D4","")))))))))))),"MIX"))</f>
        <v/>
      </c>
    </row>
    <row r="181">
      <c r="C181">
        <f>IF((IF((COUNTIF('C111'!D5,"Aula 1")+COUNTIF('C112'!D5,"Aula 1")+COUNTIF('C113'!D5,"Aula 1")+COUNTIF('C121'!D5,"Aula 1")+COUNTIF('C122'!D5,"Aula 1"))&gt;0,1,0)+IF((COUNTIF('C211'!D5,"Aula 1")+COUNTIF('C212'!D5,"Aula 1"))&gt;0,1,0)+IF((COUNTIF('C311'!D5,"Aula 1")+COUNTIF('C312'!D5,"Aula 1"))&gt;0,1,0)+IF((COUNTIF('C411'!D5,"Aula 1")+COUNTIF('C412'!D5,"Aula 1"))&gt;0,1,0)+IF((COUNTIF('M111'!D5,"Aula 1")+COUNTIF('M112'!D5,"Aula 1"))&gt;0,1,0)+IF((COUNTIF('M211'!D5,"Aula 1")+COUNTIF('M212'!D5,"Aula 1"))&gt;0,1,0)+IF((COUNTIF('M311'!D5,"Aula 1"))&gt;0,1,0)+IF((COUNTIF('M411'!D5,"Aula 1"))&gt;0,1,0)+IF((COUNTIF('D111'!D5,"Aula 1")+COUNTIF('D112'!D5,"Aula 1"))&gt;0,1,0)+IF((COUNTIF('D211'!D5,"Aula 1"))&gt;0,1,0)+IF((COUNTIF('D311'!D5,"Aula 1"))&gt;0,1,0)+IF((COUNTIF('D411'!D5,"Aula 1"))&gt;0,1,0))=0,"",IF((IF((COUNTIF('C111'!D5,"Aula 1")+COUNTIF('C112'!D5,"Aula 1")+COUNTIF('C113'!D5,"Aula 1")+COUNTIF('C121'!D5,"Aula 1")+COUNTIF('C122'!D5,"Aula 1"))&gt;0,1,0)+IF((COUNTIF('C211'!D5,"Aula 1")+COUNTIF('C212'!D5,"Aula 1"))&gt;0,1,0)+IF((COUNTIF('C311'!D5,"Aula 1")+COUNTIF('C312'!D5,"Aula 1"))&gt;0,1,0)+IF((COUNTIF('C411'!D5,"Aula 1")+COUNTIF('C412'!D5,"Aula 1"))&gt;0,1,0)+IF((COUNTIF('M111'!D5,"Aula 1")+COUNTIF('M112'!D5,"Aula 1"))&gt;0,1,0)+IF((COUNTIF('M211'!D5,"Aula 1")+COUNTIF('M212'!D5,"Aula 1"))&gt;0,1,0)+IF((COUNTIF('M311'!D5,"Aula 1"))&gt;0,1,0)+IF((COUNTIF('M411'!D5,"Aula 1"))&gt;0,1,0)+IF((COUNTIF('D111'!D5,"Aula 1")+COUNTIF('D112'!D5,"Aula 1"))&gt;0,1,0)+IF((COUNTIF('D211'!D5,"Aula 1"))&gt;0,1,0)+IF((COUNTIF('D311'!D5,"Aula 1"))&gt;0,1,0)+IF((COUNTIF('D411'!D5,"Aula 1"))&gt;0,1,0))=1,IF((COUNTIF('C111'!D5,"Aula 1")+COUNTIF('C112'!D5,"Aula 1")+COUNTIF('C113'!D5,"Aula 1")+COUNTIF('C121'!D5,"Aula 1")+COUNTIF('C122'!D5,"Aula 1"))&gt;0,"C1",IF((COUNTIF('C211'!D5,"Aula 1")+COUNTIF('C212'!D5,"Aula 1"))&gt;0,"C2",IF((COUNTIF('C311'!D5,"Aula 1")+COUNTIF('C312'!D5,"Aula 1"))&gt;0,"C3",IF((COUNTIF('C411'!D5,"Aula 1")+COUNTIF('C412'!D5,"Aula 1"))&gt;0,"C4",IF((COUNTIF('M111'!D5,"Aula 1")+COUNTIF('M112'!D5,"Aula 1"))&gt;0,"M1",IF((COUNTIF('M211'!D5,"Aula 1")+COUNTIF('M212'!D5,"Aula 1"))&gt;0,"M2",IF((COUNTIF('M311'!D5,"Aula 1"))&gt;0,"M3",IF((COUNTIF('M411'!D5,"Aula 1"))&gt;0,"M4",IF((COUNTIF('D111'!D5,"Aula 1")+COUNTIF('D112'!D5,"Aula 1"))&gt;0,"D1",IF((COUNTIF('D211'!D5,"Aula 1"))&gt;0,"D2",IF((COUNTIF('D311'!D5,"Aula 1"))&gt;0,"D3",IF((COUNTIF('D411'!D5,"Aula 1"))&gt;0,"D4","")))))))))))),"MIX"))</f>
        <v/>
      </c>
    </row>
    <row r="182">
      <c r="C182">
        <f>IF((IF((COUNTIF('C111'!D5,"Aula 2")+COUNTIF('C112'!D5,"Aula 2")+COUNTIF('C113'!D5,"Aula 2")+COUNTIF('C121'!D5,"Aula 2")+COUNTIF('C122'!D5,"Aula 2"))&gt;0,1,0)+IF((COUNTIF('C211'!D5,"Aula 2")+COUNTIF('C212'!D5,"Aula 2"))&gt;0,1,0)+IF((COUNTIF('C311'!D5,"Aula 2")+COUNTIF('C312'!D5,"Aula 2"))&gt;0,1,0)+IF((COUNTIF('C411'!D5,"Aula 2")+COUNTIF('C412'!D5,"Aula 2"))&gt;0,1,0)+IF((COUNTIF('M111'!D5,"Aula 2")+COUNTIF('M112'!D5,"Aula 2"))&gt;0,1,0)+IF((COUNTIF('M211'!D5,"Aula 2")+COUNTIF('M212'!D5,"Aula 2"))&gt;0,1,0)+IF((COUNTIF('M311'!D5,"Aula 2"))&gt;0,1,0)+IF((COUNTIF('M411'!D5,"Aula 2"))&gt;0,1,0)+IF((COUNTIF('D111'!D5,"Aula 2")+COUNTIF('D112'!D5,"Aula 2"))&gt;0,1,0)+IF((COUNTIF('D211'!D5,"Aula 2"))&gt;0,1,0)+IF((COUNTIF('D311'!D5,"Aula 2"))&gt;0,1,0)+IF((COUNTIF('D411'!D5,"Aula 2"))&gt;0,1,0))=0,"",IF((IF((COUNTIF('C111'!D5,"Aula 2")+COUNTIF('C112'!D5,"Aula 2")+COUNTIF('C113'!D5,"Aula 2")+COUNTIF('C121'!D5,"Aula 2")+COUNTIF('C122'!D5,"Aula 2"))&gt;0,1,0)+IF((COUNTIF('C211'!D5,"Aula 2")+COUNTIF('C212'!D5,"Aula 2"))&gt;0,1,0)+IF((COUNTIF('C311'!D5,"Aula 2")+COUNTIF('C312'!D5,"Aula 2"))&gt;0,1,0)+IF((COUNTIF('C411'!D5,"Aula 2")+COUNTIF('C412'!D5,"Aula 2"))&gt;0,1,0)+IF((COUNTIF('M111'!D5,"Aula 2")+COUNTIF('M112'!D5,"Aula 2"))&gt;0,1,0)+IF((COUNTIF('M211'!D5,"Aula 2")+COUNTIF('M212'!D5,"Aula 2"))&gt;0,1,0)+IF((COUNTIF('M311'!D5,"Aula 2"))&gt;0,1,0)+IF((COUNTIF('M411'!D5,"Aula 2"))&gt;0,1,0)+IF((COUNTIF('D111'!D5,"Aula 2")+COUNTIF('D112'!D5,"Aula 2"))&gt;0,1,0)+IF((COUNTIF('D211'!D5,"Aula 2"))&gt;0,1,0)+IF((COUNTIF('D311'!D5,"Aula 2"))&gt;0,1,0)+IF((COUNTIF('D411'!D5,"Aula 2"))&gt;0,1,0))=1,IF((COUNTIF('C111'!D5,"Aula 2")+COUNTIF('C112'!D5,"Aula 2")+COUNTIF('C113'!D5,"Aula 2")+COUNTIF('C121'!D5,"Aula 2")+COUNTIF('C122'!D5,"Aula 2"))&gt;0,"C1",IF((COUNTIF('C211'!D5,"Aula 2")+COUNTIF('C212'!D5,"Aula 2"))&gt;0,"C2",IF((COUNTIF('C311'!D5,"Aula 2")+COUNTIF('C312'!D5,"Aula 2"))&gt;0,"C3",IF((COUNTIF('C411'!D5,"Aula 2")+COUNTIF('C412'!D5,"Aula 2"))&gt;0,"C4",IF((COUNTIF('M111'!D5,"Aula 2")+COUNTIF('M112'!D5,"Aula 2"))&gt;0,"M1",IF((COUNTIF('M211'!D5,"Aula 2")+COUNTIF('M212'!D5,"Aula 2"))&gt;0,"M2",IF((COUNTIF('M311'!D5,"Aula 2"))&gt;0,"M3",IF((COUNTIF('M411'!D5,"Aula 2"))&gt;0,"M4",IF((COUNTIF('D111'!D5,"Aula 2")+COUNTIF('D112'!D5,"Aula 2"))&gt;0,"D1",IF((COUNTIF('D211'!D5,"Aula 2"))&gt;0,"D2",IF((COUNTIF('D311'!D5,"Aula 2"))&gt;0,"D3",IF((COUNTIF('D411'!D5,"Aula 2"))&gt;0,"D4","")))))))))))),"MIX"))</f>
        <v/>
      </c>
    </row>
    <row r="183">
      <c r="C183">
        <f>IF((IF((COUNTIF('C111'!D5,"Aula 3")+COUNTIF('C112'!D5,"Aula 3")+COUNTIF('C113'!D5,"Aula 3")+COUNTIF('C121'!D5,"Aula 3")+COUNTIF('C122'!D5,"Aula 3"))&gt;0,1,0)+IF((COUNTIF('C211'!D5,"Aula 3")+COUNTIF('C212'!D5,"Aula 3"))&gt;0,1,0)+IF((COUNTIF('C311'!D5,"Aula 3")+COUNTIF('C312'!D5,"Aula 3"))&gt;0,1,0)+IF((COUNTIF('C411'!D5,"Aula 3")+COUNTIF('C412'!D5,"Aula 3"))&gt;0,1,0)+IF((COUNTIF('M111'!D5,"Aula 3")+COUNTIF('M112'!D5,"Aula 3"))&gt;0,1,0)+IF((COUNTIF('M211'!D5,"Aula 3")+COUNTIF('M212'!D5,"Aula 3"))&gt;0,1,0)+IF((COUNTIF('M311'!D5,"Aula 3"))&gt;0,1,0)+IF((COUNTIF('M411'!D5,"Aula 3"))&gt;0,1,0)+IF((COUNTIF('D111'!D5,"Aula 3")+COUNTIF('D112'!D5,"Aula 3"))&gt;0,1,0)+IF((COUNTIF('D211'!D5,"Aula 3"))&gt;0,1,0)+IF((COUNTIF('D311'!D5,"Aula 3"))&gt;0,1,0)+IF((COUNTIF('D411'!D5,"Aula 3"))&gt;0,1,0))=0,"",IF((IF((COUNTIF('C111'!D5,"Aula 3")+COUNTIF('C112'!D5,"Aula 3")+COUNTIF('C113'!D5,"Aula 3")+COUNTIF('C121'!D5,"Aula 3")+COUNTIF('C122'!D5,"Aula 3"))&gt;0,1,0)+IF((COUNTIF('C211'!D5,"Aula 3")+COUNTIF('C212'!D5,"Aula 3"))&gt;0,1,0)+IF((COUNTIF('C311'!D5,"Aula 3")+COUNTIF('C312'!D5,"Aula 3"))&gt;0,1,0)+IF((COUNTIF('C411'!D5,"Aula 3")+COUNTIF('C412'!D5,"Aula 3"))&gt;0,1,0)+IF((COUNTIF('M111'!D5,"Aula 3")+COUNTIF('M112'!D5,"Aula 3"))&gt;0,1,0)+IF((COUNTIF('M211'!D5,"Aula 3")+COUNTIF('M212'!D5,"Aula 3"))&gt;0,1,0)+IF((COUNTIF('M311'!D5,"Aula 3"))&gt;0,1,0)+IF((COUNTIF('M411'!D5,"Aula 3"))&gt;0,1,0)+IF((COUNTIF('D111'!D5,"Aula 3")+COUNTIF('D112'!D5,"Aula 3"))&gt;0,1,0)+IF((COUNTIF('D211'!D5,"Aula 3"))&gt;0,1,0)+IF((COUNTIF('D311'!D5,"Aula 3"))&gt;0,1,0)+IF((COUNTIF('D411'!D5,"Aula 3"))&gt;0,1,0))=1,IF((COUNTIF('C111'!D5,"Aula 3")+COUNTIF('C112'!D5,"Aula 3")+COUNTIF('C113'!D5,"Aula 3")+COUNTIF('C121'!D5,"Aula 3")+COUNTIF('C122'!D5,"Aula 3"))&gt;0,"C1",IF((COUNTIF('C211'!D5,"Aula 3")+COUNTIF('C212'!D5,"Aula 3"))&gt;0,"C2",IF((COUNTIF('C311'!D5,"Aula 3")+COUNTIF('C312'!D5,"Aula 3"))&gt;0,"C3",IF((COUNTIF('C411'!D5,"Aula 3")+COUNTIF('C412'!D5,"Aula 3"))&gt;0,"C4",IF((COUNTIF('M111'!D5,"Aula 3")+COUNTIF('M112'!D5,"Aula 3"))&gt;0,"M1",IF((COUNTIF('M211'!D5,"Aula 3")+COUNTIF('M212'!D5,"Aula 3"))&gt;0,"M2",IF((COUNTIF('M311'!D5,"Aula 3"))&gt;0,"M3",IF((COUNTIF('M411'!D5,"Aula 3"))&gt;0,"M4",IF((COUNTIF('D111'!D5,"Aula 3")+COUNTIF('D112'!D5,"Aula 3"))&gt;0,"D1",IF((COUNTIF('D211'!D5,"Aula 3"))&gt;0,"D2",IF((COUNTIF('D311'!D5,"Aula 3"))&gt;0,"D3",IF((COUNTIF('D411'!D5,"Aula 3"))&gt;0,"D4","")))))))))))),"MIX"))</f>
        <v/>
      </c>
    </row>
    <row r="184">
      <c r="C184">
        <f>IF((IF((COUNTIF('C111'!D5,"Aula 4")+COUNTIF('C112'!D5,"Aula 4")+COUNTIF('C113'!D5,"Aula 4")+COUNTIF('C121'!D5,"Aula 4")+COUNTIF('C122'!D5,"Aula 4"))&gt;0,1,0)+IF((COUNTIF('C211'!D5,"Aula 4")+COUNTIF('C212'!D5,"Aula 4"))&gt;0,1,0)+IF((COUNTIF('C311'!D5,"Aula 4")+COUNTIF('C312'!D5,"Aula 4"))&gt;0,1,0)+IF((COUNTIF('C411'!D5,"Aula 4")+COUNTIF('C412'!D5,"Aula 4"))&gt;0,1,0)+IF((COUNTIF('M111'!D5,"Aula 4")+COUNTIF('M112'!D5,"Aula 4"))&gt;0,1,0)+IF((COUNTIF('M211'!D5,"Aula 4")+COUNTIF('M212'!D5,"Aula 4"))&gt;0,1,0)+IF((COUNTIF('M311'!D5,"Aula 4"))&gt;0,1,0)+IF((COUNTIF('M411'!D5,"Aula 4"))&gt;0,1,0)+IF((COUNTIF('D111'!D5,"Aula 4")+COUNTIF('D112'!D5,"Aula 4"))&gt;0,1,0)+IF((COUNTIF('D211'!D5,"Aula 4"))&gt;0,1,0)+IF((COUNTIF('D311'!D5,"Aula 4"))&gt;0,1,0)+IF((COUNTIF('D411'!D5,"Aula 4"))&gt;0,1,0))=0,"",IF((IF((COUNTIF('C111'!D5,"Aula 4")+COUNTIF('C112'!D5,"Aula 4")+COUNTIF('C113'!D5,"Aula 4")+COUNTIF('C121'!D5,"Aula 4")+COUNTIF('C122'!D5,"Aula 4"))&gt;0,1,0)+IF((COUNTIF('C211'!D5,"Aula 4")+COUNTIF('C212'!D5,"Aula 4"))&gt;0,1,0)+IF((COUNTIF('C311'!D5,"Aula 4")+COUNTIF('C312'!D5,"Aula 4"))&gt;0,1,0)+IF((COUNTIF('C411'!D5,"Aula 4")+COUNTIF('C412'!D5,"Aula 4"))&gt;0,1,0)+IF((COUNTIF('M111'!D5,"Aula 4")+COUNTIF('M112'!D5,"Aula 4"))&gt;0,1,0)+IF((COUNTIF('M211'!D5,"Aula 4")+COUNTIF('M212'!D5,"Aula 4"))&gt;0,1,0)+IF((COUNTIF('M311'!D5,"Aula 4"))&gt;0,1,0)+IF((COUNTIF('M411'!D5,"Aula 4"))&gt;0,1,0)+IF((COUNTIF('D111'!D5,"Aula 4")+COUNTIF('D112'!D5,"Aula 4"))&gt;0,1,0)+IF((COUNTIF('D211'!D5,"Aula 4"))&gt;0,1,0)+IF((COUNTIF('D311'!D5,"Aula 4"))&gt;0,1,0)+IF((COUNTIF('D411'!D5,"Aula 4"))&gt;0,1,0))=1,IF((COUNTIF('C111'!D5,"Aula 4")+COUNTIF('C112'!D5,"Aula 4")+COUNTIF('C113'!D5,"Aula 4")+COUNTIF('C121'!D5,"Aula 4")+COUNTIF('C122'!D5,"Aula 4"))&gt;0,"C1",IF((COUNTIF('C211'!D5,"Aula 4")+COUNTIF('C212'!D5,"Aula 4"))&gt;0,"C2",IF((COUNTIF('C311'!D5,"Aula 4")+COUNTIF('C312'!D5,"Aula 4"))&gt;0,"C3",IF((COUNTIF('C411'!D5,"Aula 4")+COUNTIF('C412'!D5,"Aula 4"))&gt;0,"C4",IF((COUNTIF('M111'!D5,"Aula 4")+COUNTIF('M112'!D5,"Aula 4"))&gt;0,"M1",IF((COUNTIF('M211'!D5,"Aula 4")+COUNTIF('M212'!D5,"Aula 4"))&gt;0,"M2",IF((COUNTIF('M311'!D5,"Aula 4"))&gt;0,"M3",IF((COUNTIF('M411'!D5,"Aula 4"))&gt;0,"M4",IF((COUNTIF('D111'!D5,"Aula 4")+COUNTIF('D112'!D5,"Aula 4"))&gt;0,"D1",IF((COUNTIF('D211'!D5,"Aula 4"))&gt;0,"D2",IF((COUNTIF('D311'!D5,"Aula 4"))&gt;0,"D3",IF((COUNTIF('D411'!D5,"Aula 4"))&gt;0,"D4","")))))))))))),"MIX"))</f>
        <v/>
      </c>
    </row>
    <row r="185">
      <c r="C185">
        <f>IF((IF((COUNTIF('C111'!D5,"Aula 5")+COUNTIF('C112'!D5,"Aula 5")+COUNTIF('C113'!D5,"Aula 5")+COUNTIF('C121'!D5,"Aula 5")+COUNTIF('C122'!D5,"Aula 5"))&gt;0,1,0)+IF((COUNTIF('C211'!D5,"Aula 5")+COUNTIF('C212'!D5,"Aula 5"))&gt;0,1,0)+IF((COUNTIF('C311'!D5,"Aula 5")+COUNTIF('C312'!D5,"Aula 5"))&gt;0,1,0)+IF((COUNTIF('C411'!D5,"Aula 5")+COUNTIF('C412'!D5,"Aula 5"))&gt;0,1,0)+IF((COUNTIF('M111'!D5,"Aula 5")+COUNTIF('M112'!D5,"Aula 5"))&gt;0,1,0)+IF((COUNTIF('M211'!D5,"Aula 5")+COUNTIF('M212'!D5,"Aula 5"))&gt;0,1,0)+IF((COUNTIF('M311'!D5,"Aula 5"))&gt;0,1,0)+IF((COUNTIF('M411'!D5,"Aula 5"))&gt;0,1,0)+IF((COUNTIF('D111'!D5,"Aula 5")+COUNTIF('D112'!D5,"Aula 5"))&gt;0,1,0)+IF((COUNTIF('D211'!D5,"Aula 5"))&gt;0,1,0)+IF((COUNTIF('D311'!D5,"Aula 5"))&gt;0,1,0)+IF((COUNTIF('D411'!D5,"Aula 5"))&gt;0,1,0))=0,"",IF((IF((COUNTIF('C111'!D5,"Aula 5")+COUNTIF('C112'!D5,"Aula 5")+COUNTIF('C113'!D5,"Aula 5")+COUNTIF('C121'!D5,"Aula 5")+COUNTIF('C122'!D5,"Aula 5"))&gt;0,1,0)+IF((COUNTIF('C211'!D5,"Aula 5")+COUNTIF('C212'!D5,"Aula 5"))&gt;0,1,0)+IF((COUNTIF('C311'!D5,"Aula 5")+COUNTIF('C312'!D5,"Aula 5"))&gt;0,1,0)+IF((COUNTIF('C411'!D5,"Aula 5")+COUNTIF('C412'!D5,"Aula 5"))&gt;0,1,0)+IF((COUNTIF('M111'!D5,"Aula 5")+COUNTIF('M112'!D5,"Aula 5"))&gt;0,1,0)+IF((COUNTIF('M211'!D5,"Aula 5")+COUNTIF('M212'!D5,"Aula 5"))&gt;0,1,0)+IF((COUNTIF('M311'!D5,"Aula 5"))&gt;0,1,0)+IF((COUNTIF('M411'!D5,"Aula 5"))&gt;0,1,0)+IF((COUNTIF('D111'!D5,"Aula 5")+COUNTIF('D112'!D5,"Aula 5"))&gt;0,1,0)+IF((COUNTIF('D211'!D5,"Aula 5"))&gt;0,1,0)+IF((COUNTIF('D311'!D5,"Aula 5"))&gt;0,1,0)+IF((COUNTIF('D411'!D5,"Aula 5"))&gt;0,1,0))=1,IF((COUNTIF('C111'!D5,"Aula 5")+COUNTIF('C112'!D5,"Aula 5")+COUNTIF('C113'!D5,"Aula 5")+COUNTIF('C121'!D5,"Aula 5")+COUNTIF('C122'!D5,"Aula 5"))&gt;0,"C1",IF((COUNTIF('C211'!D5,"Aula 5")+COUNTIF('C212'!D5,"Aula 5"))&gt;0,"C2",IF((COUNTIF('C311'!D5,"Aula 5")+COUNTIF('C312'!D5,"Aula 5"))&gt;0,"C3",IF((COUNTIF('C411'!D5,"Aula 5")+COUNTIF('C412'!D5,"Aula 5"))&gt;0,"C4",IF((COUNTIF('M111'!D5,"Aula 5")+COUNTIF('M112'!D5,"Aula 5"))&gt;0,"M1",IF((COUNTIF('M211'!D5,"Aula 5")+COUNTIF('M212'!D5,"Aula 5"))&gt;0,"M2",IF((COUNTIF('M311'!D5,"Aula 5"))&gt;0,"M3",IF((COUNTIF('M411'!D5,"Aula 5"))&gt;0,"M4",IF((COUNTIF('D111'!D5,"Aula 5")+COUNTIF('D112'!D5,"Aula 5"))&gt;0,"D1",IF((COUNTIF('D211'!D5,"Aula 5"))&gt;0,"D2",IF((COUNTIF('D311'!D5,"Aula 5"))&gt;0,"D3",IF((COUNTIF('D411'!D5,"Aula 5"))&gt;0,"D4","")))))))))))),"MIX"))</f>
        <v/>
      </c>
    </row>
    <row r="186">
      <c r="C186">
        <f>IF((IF((COUNTIF('C111'!D5,"Aula 6")+COUNTIF('C112'!D5,"Aula 6")+COUNTIF('C113'!D5,"Aula 6")+COUNTIF('C121'!D5,"Aula 6")+COUNTIF('C122'!D5,"Aula 6"))&gt;0,1,0)+IF((COUNTIF('C211'!D5,"Aula 6")+COUNTIF('C212'!D5,"Aula 6"))&gt;0,1,0)+IF((COUNTIF('C311'!D5,"Aula 6")+COUNTIF('C312'!D5,"Aula 6"))&gt;0,1,0)+IF((COUNTIF('C411'!D5,"Aula 6")+COUNTIF('C412'!D5,"Aula 6"))&gt;0,1,0)+IF((COUNTIF('M111'!D5,"Aula 6")+COUNTIF('M112'!D5,"Aula 6"))&gt;0,1,0)+IF((COUNTIF('M211'!D5,"Aula 6")+COUNTIF('M212'!D5,"Aula 6"))&gt;0,1,0)+IF((COUNTIF('M311'!D5,"Aula 6"))&gt;0,1,0)+IF((COUNTIF('M411'!D5,"Aula 6"))&gt;0,1,0)+IF((COUNTIF('D111'!D5,"Aula 6")+COUNTIF('D112'!D5,"Aula 6"))&gt;0,1,0)+IF((COUNTIF('D211'!D5,"Aula 6"))&gt;0,1,0)+IF((COUNTIF('D311'!D5,"Aula 6"))&gt;0,1,0)+IF((COUNTIF('D411'!D5,"Aula 6"))&gt;0,1,0))=0,"",IF((IF((COUNTIF('C111'!D5,"Aula 6")+COUNTIF('C112'!D5,"Aula 6")+COUNTIF('C113'!D5,"Aula 6")+COUNTIF('C121'!D5,"Aula 6")+COUNTIF('C122'!D5,"Aula 6"))&gt;0,1,0)+IF((COUNTIF('C211'!D5,"Aula 6")+COUNTIF('C212'!D5,"Aula 6"))&gt;0,1,0)+IF((COUNTIF('C311'!D5,"Aula 6")+COUNTIF('C312'!D5,"Aula 6"))&gt;0,1,0)+IF((COUNTIF('C411'!D5,"Aula 6")+COUNTIF('C412'!D5,"Aula 6"))&gt;0,1,0)+IF((COUNTIF('M111'!D5,"Aula 6")+COUNTIF('M112'!D5,"Aula 6"))&gt;0,1,0)+IF((COUNTIF('M211'!D5,"Aula 6")+COUNTIF('M212'!D5,"Aula 6"))&gt;0,1,0)+IF((COUNTIF('M311'!D5,"Aula 6"))&gt;0,1,0)+IF((COUNTIF('M411'!D5,"Aula 6"))&gt;0,1,0)+IF((COUNTIF('D111'!D5,"Aula 6")+COUNTIF('D112'!D5,"Aula 6"))&gt;0,1,0)+IF((COUNTIF('D211'!D5,"Aula 6"))&gt;0,1,0)+IF((COUNTIF('D311'!D5,"Aula 6"))&gt;0,1,0)+IF((COUNTIF('D411'!D5,"Aula 6"))&gt;0,1,0))=1,IF((COUNTIF('C111'!D5,"Aula 6")+COUNTIF('C112'!D5,"Aula 6")+COUNTIF('C113'!D5,"Aula 6")+COUNTIF('C121'!D5,"Aula 6")+COUNTIF('C122'!D5,"Aula 6"))&gt;0,"C1",IF((COUNTIF('C211'!D5,"Aula 6")+COUNTIF('C212'!D5,"Aula 6"))&gt;0,"C2",IF((COUNTIF('C311'!D5,"Aula 6")+COUNTIF('C312'!D5,"Aula 6"))&gt;0,"C3",IF((COUNTIF('C411'!D5,"Aula 6")+COUNTIF('C412'!D5,"Aula 6"))&gt;0,"C4",IF((COUNTIF('M111'!D5,"Aula 6")+COUNTIF('M112'!D5,"Aula 6"))&gt;0,"M1",IF((COUNTIF('M211'!D5,"Aula 6")+COUNTIF('M212'!D5,"Aula 6"))&gt;0,"M2",IF((COUNTIF('M311'!D5,"Aula 6"))&gt;0,"M3",IF((COUNTIF('M411'!D5,"Aula 6"))&gt;0,"M4",IF((COUNTIF('D111'!D5,"Aula 6")+COUNTIF('D112'!D5,"Aula 6"))&gt;0,"D1",IF((COUNTIF('D211'!D5,"Aula 6"))&gt;0,"D2",IF((COUNTIF('D311'!D5,"Aula 6"))&gt;0,"D3",IF((COUNTIF('D411'!D5,"Aula 6"))&gt;0,"D4","")))))))))))),"MIX"))</f>
        <v/>
      </c>
    </row>
    <row r="187">
      <c r="C187">
        <f>IF((IF((COUNTIF('C111'!D5,"Aula 7")+COUNTIF('C112'!D5,"Aula 7")+COUNTIF('C113'!D5,"Aula 7")+COUNTIF('C121'!D5,"Aula 7")+COUNTIF('C122'!D5,"Aula 7"))&gt;0,1,0)+IF((COUNTIF('C211'!D5,"Aula 7")+COUNTIF('C212'!D5,"Aula 7"))&gt;0,1,0)+IF((COUNTIF('C311'!D5,"Aula 7")+COUNTIF('C312'!D5,"Aula 7"))&gt;0,1,0)+IF((COUNTIF('C411'!D5,"Aula 7")+COUNTIF('C412'!D5,"Aula 7"))&gt;0,1,0)+IF((COUNTIF('M111'!D5,"Aula 7")+COUNTIF('M112'!D5,"Aula 7"))&gt;0,1,0)+IF((COUNTIF('M211'!D5,"Aula 7")+COUNTIF('M212'!D5,"Aula 7"))&gt;0,1,0)+IF((COUNTIF('M311'!D5,"Aula 7"))&gt;0,1,0)+IF((COUNTIF('M411'!D5,"Aula 7"))&gt;0,1,0)+IF((COUNTIF('D111'!D5,"Aula 7")+COUNTIF('D112'!D5,"Aula 7"))&gt;0,1,0)+IF((COUNTIF('D211'!D5,"Aula 7"))&gt;0,1,0)+IF((COUNTIF('D311'!D5,"Aula 7"))&gt;0,1,0)+IF((COUNTIF('D411'!D5,"Aula 7"))&gt;0,1,0))=0,"",IF((IF((COUNTIF('C111'!D5,"Aula 7")+COUNTIF('C112'!D5,"Aula 7")+COUNTIF('C113'!D5,"Aula 7")+COUNTIF('C121'!D5,"Aula 7")+COUNTIF('C122'!D5,"Aula 7"))&gt;0,1,0)+IF((COUNTIF('C211'!D5,"Aula 7")+COUNTIF('C212'!D5,"Aula 7"))&gt;0,1,0)+IF((COUNTIF('C311'!D5,"Aula 7")+COUNTIF('C312'!D5,"Aula 7"))&gt;0,1,0)+IF((COUNTIF('C411'!D5,"Aula 7")+COUNTIF('C412'!D5,"Aula 7"))&gt;0,1,0)+IF((COUNTIF('M111'!D5,"Aula 7")+COUNTIF('M112'!D5,"Aula 7"))&gt;0,1,0)+IF((COUNTIF('M211'!D5,"Aula 7")+COUNTIF('M212'!D5,"Aula 7"))&gt;0,1,0)+IF((COUNTIF('M311'!D5,"Aula 7"))&gt;0,1,0)+IF((COUNTIF('M411'!D5,"Aula 7"))&gt;0,1,0)+IF((COUNTIF('D111'!D5,"Aula 7")+COUNTIF('D112'!D5,"Aula 7"))&gt;0,1,0)+IF((COUNTIF('D211'!D5,"Aula 7"))&gt;0,1,0)+IF((COUNTIF('D311'!D5,"Aula 7"))&gt;0,1,0)+IF((COUNTIF('D411'!D5,"Aula 7"))&gt;0,1,0))=1,IF((COUNTIF('C111'!D5,"Aula 7")+COUNTIF('C112'!D5,"Aula 7")+COUNTIF('C113'!D5,"Aula 7")+COUNTIF('C121'!D5,"Aula 7")+COUNTIF('C122'!D5,"Aula 7"))&gt;0,"C1",IF((COUNTIF('C211'!D5,"Aula 7")+COUNTIF('C212'!D5,"Aula 7"))&gt;0,"C2",IF((COUNTIF('C311'!D5,"Aula 7")+COUNTIF('C312'!D5,"Aula 7"))&gt;0,"C3",IF((COUNTIF('C411'!D5,"Aula 7")+COUNTIF('C412'!D5,"Aula 7"))&gt;0,"C4",IF((COUNTIF('M111'!D5,"Aula 7")+COUNTIF('M112'!D5,"Aula 7"))&gt;0,"M1",IF((COUNTIF('M211'!D5,"Aula 7")+COUNTIF('M212'!D5,"Aula 7"))&gt;0,"M2",IF((COUNTIF('M311'!D5,"Aula 7"))&gt;0,"M3",IF((COUNTIF('M411'!D5,"Aula 7"))&gt;0,"M4",IF((COUNTIF('D111'!D5,"Aula 7")+COUNTIF('D112'!D5,"Aula 7"))&gt;0,"D1",IF((COUNTIF('D211'!D5,"Aula 7"))&gt;0,"D2",IF((COUNTIF('D311'!D5,"Aula 7"))&gt;0,"D3",IF((COUNTIF('D411'!D5,"Aula 7"))&gt;0,"D4","")))))))))))),"MIX"))</f>
        <v/>
      </c>
    </row>
    <row r="188">
      <c r="C188">
        <f>IF((IF((COUNTIF('C111'!D5,"Aula 8")+COUNTIF('C112'!D5,"Aula 8")+COUNTIF('C113'!D5,"Aula 8")+COUNTIF('C121'!D5,"Aula 8")+COUNTIF('C122'!D5,"Aula 8"))&gt;0,1,0)+IF((COUNTIF('C211'!D5,"Aula 8")+COUNTIF('C212'!D5,"Aula 8"))&gt;0,1,0)+IF((COUNTIF('C311'!D5,"Aula 8")+COUNTIF('C312'!D5,"Aula 8"))&gt;0,1,0)+IF((COUNTIF('C411'!D5,"Aula 8")+COUNTIF('C412'!D5,"Aula 8"))&gt;0,1,0)+IF((COUNTIF('M111'!D5,"Aula 8")+COUNTIF('M112'!D5,"Aula 8"))&gt;0,1,0)+IF((COUNTIF('M211'!D5,"Aula 8")+COUNTIF('M212'!D5,"Aula 8"))&gt;0,1,0)+IF((COUNTIF('M311'!D5,"Aula 8"))&gt;0,1,0)+IF((COUNTIF('M411'!D5,"Aula 8"))&gt;0,1,0)+IF((COUNTIF('D111'!D5,"Aula 8")+COUNTIF('D112'!D5,"Aula 8"))&gt;0,1,0)+IF((COUNTIF('D211'!D5,"Aula 8"))&gt;0,1,0)+IF((COUNTIF('D311'!D5,"Aula 8"))&gt;0,1,0)+IF((COUNTIF('D411'!D5,"Aula 8"))&gt;0,1,0))=0,"",IF((IF((COUNTIF('C111'!D5,"Aula 8")+COUNTIF('C112'!D5,"Aula 8")+COUNTIF('C113'!D5,"Aula 8")+COUNTIF('C121'!D5,"Aula 8")+COUNTIF('C122'!D5,"Aula 8"))&gt;0,1,0)+IF((COUNTIF('C211'!D5,"Aula 8")+COUNTIF('C212'!D5,"Aula 8"))&gt;0,1,0)+IF((COUNTIF('C311'!D5,"Aula 8")+COUNTIF('C312'!D5,"Aula 8"))&gt;0,1,0)+IF((COUNTIF('C411'!D5,"Aula 8")+COUNTIF('C412'!D5,"Aula 8"))&gt;0,1,0)+IF((COUNTIF('M111'!D5,"Aula 8")+COUNTIF('M112'!D5,"Aula 8"))&gt;0,1,0)+IF((COUNTIF('M211'!D5,"Aula 8")+COUNTIF('M212'!D5,"Aula 8"))&gt;0,1,0)+IF((COUNTIF('M311'!D5,"Aula 8"))&gt;0,1,0)+IF((COUNTIF('M411'!D5,"Aula 8"))&gt;0,1,0)+IF((COUNTIF('D111'!D5,"Aula 8")+COUNTIF('D112'!D5,"Aula 8"))&gt;0,1,0)+IF((COUNTIF('D211'!D5,"Aula 8"))&gt;0,1,0)+IF((COUNTIF('D311'!D5,"Aula 8"))&gt;0,1,0)+IF((COUNTIF('D411'!D5,"Aula 8"))&gt;0,1,0))=1,IF((COUNTIF('C111'!D5,"Aula 8")+COUNTIF('C112'!D5,"Aula 8")+COUNTIF('C113'!D5,"Aula 8")+COUNTIF('C121'!D5,"Aula 8")+COUNTIF('C122'!D5,"Aula 8"))&gt;0,"C1",IF((COUNTIF('C211'!D5,"Aula 8")+COUNTIF('C212'!D5,"Aula 8"))&gt;0,"C2",IF((COUNTIF('C311'!D5,"Aula 8")+COUNTIF('C312'!D5,"Aula 8"))&gt;0,"C3",IF((COUNTIF('C411'!D5,"Aula 8")+COUNTIF('C412'!D5,"Aula 8"))&gt;0,"C4",IF((COUNTIF('M111'!D5,"Aula 8")+COUNTIF('M112'!D5,"Aula 8"))&gt;0,"M1",IF((COUNTIF('M211'!D5,"Aula 8")+COUNTIF('M212'!D5,"Aula 8"))&gt;0,"M2",IF((COUNTIF('M311'!D5,"Aula 8"))&gt;0,"M3",IF((COUNTIF('M411'!D5,"Aula 8"))&gt;0,"M4",IF((COUNTIF('D111'!D5,"Aula 8")+COUNTIF('D112'!D5,"Aula 8"))&gt;0,"D1",IF((COUNTIF('D211'!D5,"Aula 8"))&gt;0,"D2",IF((COUNTIF('D311'!D5,"Aula 8"))&gt;0,"D3",IF((COUNTIF('D411'!D5,"Aula 8"))&gt;0,"D4","")))))))))))),"MIX"))</f>
        <v/>
      </c>
    </row>
    <row r="189">
      <c r="C189">
        <f>IF((IF((COUNTIF('C111'!D5,"Aula 9")+COUNTIF('C112'!D5,"Aula 9")+COUNTIF('C113'!D5,"Aula 9")+COUNTIF('C121'!D5,"Aula 9")+COUNTIF('C122'!D5,"Aula 9"))&gt;0,1,0)+IF((COUNTIF('C211'!D5,"Aula 9")+COUNTIF('C212'!D5,"Aula 9"))&gt;0,1,0)+IF((COUNTIF('C311'!D5,"Aula 9")+COUNTIF('C312'!D5,"Aula 9"))&gt;0,1,0)+IF((COUNTIF('C411'!D5,"Aula 9")+COUNTIF('C412'!D5,"Aula 9"))&gt;0,1,0)+IF((COUNTIF('M111'!D5,"Aula 9")+COUNTIF('M112'!D5,"Aula 9"))&gt;0,1,0)+IF((COUNTIF('M211'!D5,"Aula 9")+COUNTIF('M212'!D5,"Aula 9"))&gt;0,1,0)+IF((COUNTIF('M311'!D5,"Aula 9"))&gt;0,1,0)+IF((COUNTIF('M411'!D5,"Aula 9"))&gt;0,1,0)+IF((COUNTIF('D111'!D5,"Aula 9")+COUNTIF('D112'!D5,"Aula 9"))&gt;0,1,0)+IF((COUNTIF('D211'!D5,"Aula 9"))&gt;0,1,0)+IF((COUNTIF('D311'!D5,"Aula 9"))&gt;0,1,0)+IF((COUNTIF('D411'!D5,"Aula 9"))&gt;0,1,0))=0,"",IF((IF((COUNTIF('C111'!D5,"Aula 9")+COUNTIF('C112'!D5,"Aula 9")+COUNTIF('C113'!D5,"Aula 9")+COUNTIF('C121'!D5,"Aula 9")+COUNTIF('C122'!D5,"Aula 9"))&gt;0,1,0)+IF((COUNTIF('C211'!D5,"Aula 9")+COUNTIF('C212'!D5,"Aula 9"))&gt;0,1,0)+IF((COUNTIF('C311'!D5,"Aula 9")+COUNTIF('C312'!D5,"Aula 9"))&gt;0,1,0)+IF((COUNTIF('C411'!D5,"Aula 9")+COUNTIF('C412'!D5,"Aula 9"))&gt;0,1,0)+IF((COUNTIF('M111'!D5,"Aula 9")+COUNTIF('M112'!D5,"Aula 9"))&gt;0,1,0)+IF((COUNTIF('M211'!D5,"Aula 9")+COUNTIF('M212'!D5,"Aula 9"))&gt;0,1,0)+IF((COUNTIF('M311'!D5,"Aula 9"))&gt;0,1,0)+IF((COUNTIF('M411'!D5,"Aula 9"))&gt;0,1,0)+IF((COUNTIF('D111'!D5,"Aula 9")+COUNTIF('D112'!D5,"Aula 9"))&gt;0,1,0)+IF((COUNTIF('D211'!D5,"Aula 9"))&gt;0,1,0)+IF((COUNTIF('D311'!D5,"Aula 9"))&gt;0,1,0)+IF((COUNTIF('D411'!D5,"Aula 9"))&gt;0,1,0))=1,IF((COUNTIF('C111'!D5,"Aula 9")+COUNTIF('C112'!D5,"Aula 9")+COUNTIF('C113'!D5,"Aula 9")+COUNTIF('C121'!D5,"Aula 9")+COUNTIF('C122'!D5,"Aula 9"))&gt;0,"C1",IF((COUNTIF('C211'!D5,"Aula 9")+COUNTIF('C212'!D5,"Aula 9"))&gt;0,"C2",IF((COUNTIF('C311'!D5,"Aula 9")+COUNTIF('C312'!D5,"Aula 9"))&gt;0,"C3",IF((COUNTIF('C411'!D5,"Aula 9")+COUNTIF('C412'!D5,"Aula 9"))&gt;0,"C4",IF((COUNTIF('M111'!D5,"Aula 9")+COUNTIF('M112'!D5,"Aula 9"))&gt;0,"M1",IF((COUNTIF('M211'!D5,"Aula 9")+COUNTIF('M212'!D5,"Aula 9"))&gt;0,"M2",IF((COUNTIF('M311'!D5,"Aula 9"))&gt;0,"M3",IF((COUNTIF('M411'!D5,"Aula 9"))&gt;0,"M4",IF((COUNTIF('D111'!D5,"Aula 9")+COUNTIF('D112'!D5,"Aula 9"))&gt;0,"D1",IF((COUNTIF('D211'!D5,"Aula 9"))&gt;0,"D2",IF((COUNTIF('D311'!D5,"Aula 9"))&gt;0,"D3",IF((COUNTIF('D411'!D5,"Aula 9"))&gt;0,"D4","")))))))))))),"MIX"))</f>
        <v/>
      </c>
    </row>
    <row r="190">
      <c r="C190">
        <f>IF((IF((COUNTIF('C111'!D5,"Aula 10")+COUNTIF('C112'!D5,"Aula 10")+COUNTIF('C113'!D5,"Aula 10")+COUNTIF('C121'!D5,"Aula 10")+COUNTIF('C122'!D5,"Aula 10"))&gt;0,1,0)+IF((COUNTIF('C211'!D5,"Aula 10")+COUNTIF('C212'!D5,"Aula 10"))&gt;0,1,0)+IF((COUNTIF('C311'!D5,"Aula 10")+COUNTIF('C312'!D5,"Aula 10"))&gt;0,1,0)+IF((COUNTIF('C411'!D5,"Aula 10")+COUNTIF('C412'!D5,"Aula 10"))&gt;0,1,0)+IF((COUNTIF('M111'!D5,"Aula 10")+COUNTIF('M112'!D5,"Aula 10"))&gt;0,1,0)+IF((COUNTIF('M211'!D5,"Aula 10")+COUNTIF('M212'!D5,"Aula 10"))&gt;0,1,0)+IF((COUNTIF('M311'!D5,"Aula 10"))&gt;0,1,0)+IF((COUNTIF('M411'!D5,"Aula 10"))&gt;0,1,0)+IF((COUNTIF('D111'!D5,"Aula 10")+COUNTIF('D112'!D5,"Aula 10"))&gt;0,1,0)+IF((COUNTIF('D211'!D5,"Aula 10"))&gt;0,1,0)+IF((COUNTIF('D311'!D5,"Aula 10"))&gt;0,1,0)+IF((COUNTIF('D411'!D5,"Aula 10"))&gt;0,1,0))=0,"",IF((IF((COUNTIF('C111'!D5,"Aula 10")+COUNTIF('C112'!D5,"Aula 10")+COUNTIF('C113'!D5,"Aula 10")+COUNTIF('C121'!D5,"Aula 10")+COUNTIF('C122'!D5,"Aula 10"))&gt;0,1,0)+IF((COUNTIF('C211'!D5,"Aula 10")+COUNTIF('C212'!D5,"Aula 10"))&gt;0,1,0)+IF((COUNTIF('C311'!D5,"Aula 10")+COUNTIF('C312'!D5,"Aula 10"))&gt;0,1,0)+IF((COUNTIF('C411'!D5,"Aula 10")+COUNTIF('C412'!D5,"Aula 10"))&gt;0,1,0)+IF((COUNTIF('M111'!D5,"Aula 10")+COUNTIF('M112'!D5,"Aula 10"))&gt;0,1,0)+IF((COUNTIF('M211'!D5,"Aula 10")+COUNTIF('M212'!D5,"Aula 10"))&gt;0,1,0)+IF((COUNTIF('M311'!D5,"Aula 10"))&gt;0,1,0)+IF((COUNTIF('M411'!D5,"Aula 10"))&gt;0,1,0)+IF((COUNTIF('D111'!D5,"Aula 10")+COUNTIF('D112'!D5,"Aula 10"))&gt;0,1,0)+IF((COUNTIF('D211'!D5,"Aula 10"))&gt;0,1,0)+IF((COUNTIF('D311'!D5,"Aula 10"))&gt;0,1,0)+IF((COUNTIF('D411'!D5,"Aula 10"))&gt;0,1,0))=1,IF((COUNTIF('C111'!D5,"Aula 10")+COUNTIF('C112'!D5,"Aula 10")+COUNTIF('C113'!D5,"Aula 10")+COUNTIF('C121'!D5,"Aula 10")+COUNTIF('C122'!D5,"Aula 10"))&gt;0,"C1",IF((COUNTIF('C211'!D5,"Aula 10")+COUNTIF('C212'!D5,"Aula 10"))&gt;0,"C2",IF((COUNTIF('C311'!D5,"Aula 10")+COUNTIF('C312'!D5,"Aula 10"))&gt;0,"C3",IF((COUNTIF('C411'!D5,"Aula 10")+COUNTIF('C412'!D5,"Aula 10"))&gt;0,"C4",IF((COUNTIF('M111'!D5,"Aula 10")+COUNTIF('M112'!D5,"Aula 10"))&gt;0,"M1",IF((COUNTIF('M211'!D5,"Aula 10")+COUNTIF('M212'!D5,"Aula 10"))&gt;0,"M2",IF((COUNTIF('M311'!D5,"Aula 10"))&gt;0,"M3",IF((COUNTIF('M411'!D5,"Aula 10"))&gt;0,"M4",IF((COUNTIF('D111'!D5,"Aula 10")+COUNTIF('D112'!D5,"Aula 10"))&gt;0,"D1",IF((COUNTIF('D211'!D5,"Aula 10"))&gt;0,"D2",IF((COUNTIF('D311'!D5,"Aula 10"))&gt;0,"D3",IF((COUNTIF('D411'!D5,"Aula 10"))&gt;0,"D4","")))))))))))),"MIX"))</f>
        <v/>
      </c>
    </row>
    <row r="191">
      <c r="C191">
        <f>IF((IF((COUNTIF('C111'!D5,"Aula 11")+COUNTIF('C112'!D5,"Aula 11")+COUNTIF('C113'!D5,"Aula 11")+COUNTIF('C121'!D5,"Aula 11")+COUNTIF('C122'!D5,"Aula 11"))&gt;0,1,0)+IF((COUNTIF('C211'!D5,"Aula 11")+COUNTIF('C212'!D5,"Aula 11"))&gt;0,1,0)+IF((COUNTIF('C311'!D5,"Aula 11")+COUNTIF('C312'!D5,"Aula 11"))&gt;0,1,0)+IF((COUNTIF('C411'!D5,"Aula 11")+COUNTIF('C412'!D5,"Aula 11"))&gt;0,1,0)+IF((COUNTIF('M111'!D5,"Aula 11")+COUNTIF('M112'!D5,"Aula 11"))&gt;0,1,0)+IF((COUNTIF('M211'!D5,"Aula 11")+COUNTIF('M212'!D5,"Aula 11"))&gt;0,1,0)+IF((COUNTIF('M311'!D5,"Aula 11"))&gt;0,1,0)+IF((COUNTIF('M411'!D5,"Aula 11"))&gt;0,1,0)+IF((COUNTIF('D111'!D5,"Aula 11")+COUNTIF('D112'!D5,"Aula 11"))&gt;0,1,0)+IF((COUNTIF('D211'!D5,"Aula 11"))&gt;0,1,0)+IF((COUNTIF('D311'!D5,"Aula 11"))&gt;0,1,0)+IF((COUNTIF('D411'!D5,"Aula 11"))&gt;0,1,0))=0,"",IF((IF((COUNTIF('C111'!D5,"Aula 11")+COUNTIF('C112'!D5,"Aula 11")+COUNTIF('C113'!D5,"Aula 11")+COUNTIF('C121'!D5,"Aula 11")+COUNTIF('C122'!D5,"Aula 11"))&gt;0,1,0)+IF((COUNTIF('C211'!D5,"Aula 11")+COUNTIF('C212'!D5,"Aula 11"))&gt;0,1,0)+IF((COUNTIF('C311'!D5,"Aula 11")+COUNTIF('C312'!D5,"Aula 11"))&gt;0,1,0)+IF((COUNTIF('C411'!D5,"Aula 11")+COUNTIF('C412'!D5,"Aula 11"))&gt;0,1,0)+IF((COUNTIF('M111'!D5,"Aula 11")+COUNTIF('M112'!D5,"Aula 11"))&gt;0,1,0)+IF((COUNTIF('M211'!D5,"Aula 11")+COUNTIF('M212'!D5,"Aula 11"))&gt;0,1,0)+IF((COUNTIF('M311'!D5,"Aula 11"))&gt;0,1,0)+IF((COUNTIF('M411'!D5,"Aula 11"))&gt;0,1,0)+IF((COUNTIF('D111'!D5,"Aula 11")+COUNTIF('D112'!D5,"Aula 11"))&gt;0,1,0)+IF((COUNTIF('D211'!D5,"Aula 11"))&gt;0,1,0)+IF((COUNTIF('D311'!D5,"Aula 11"))&gt;0,1,0)+IF((COUNTIF('D411'!D5,"Aula 11"))&gt;0,1,0))=1,IF((COUNTIF('C111'!D5,"Aula 11")+COUNTIF('C112'!D5,"Aula 11")+COUNTIF('C113'!D5,"Aula 11")+COUNTIF('C121'!D5,"Aula 11")+COUNTIF('C122'!D5,"Aula 11"))&gt;0,"C1",IF((COUNTIF('C211'!D5,"Aula 11")+COUNTIF('C212'!D5,"Aula 11"))&gt;0,"C2",IF((COUNTIF('C311'!D5,"Aula 11")+COUNTIF('C312'!D5,"Aula 11"))&gt;0,"C3",IF((COUNTIF('C411'!D5,"Aula 11")+COUNTIF('C412'!D5,"Aula 11"))&gt;0,"C4",IF((COUNTIF('M111'!D5,"Aula 11")+COUNTIF('M112'!D5,"Aula 11"))&gt;0,"M1",IF((COUNTIF('M211'!D5,"Aula 11")+COUNTIF('M212'!D5,"Aula 11"))&gt;0,"M2",IF((COUNTIF('M311'!D5,"Aula 11"))&gt;0,"M3",IF((COUNTIF('M411'!D5,"Aula 11"))&gt;0,"M4",IF((COUNTIF('D111'!D5,"Aula 11")+COUNTIF('D112'!D5,"Aula 11"))&gt;0,"D1",IF((COUNTIF('D211'!D5,"Aula 11"))&gt;0,"D2",IF((COUNTIF('D311'!D5,"Aula 11"))&gt;0,"D3",IF((COUNTIF('D411'!D5,"Aula 11"))&gt;0,"D4","")))))))))))),"MIX"))</f>
        <v/>
      </c>
    </row>
    <row r="192">
      <c r="C192">
        <f>IF((IF((COUNTIF('C111'!D5,"Aula 12")+COUNTIF('C112'!D5,"Aula 12")+COUNTIF('C113'!D5,"Aula 12")+COUNTIF('C121'!D5,"Aula 12")+COUNTIF('C122'!D5,"Aula 12"))&gt;0,1,0)+IF((COUNTIF('C211'!D5,"Aula 12")+COUNTIF('C212'!D5,"Aula 12"))&gt;0,1,0)+IF((COUNTIF('C311'!D5,"Aula 12")+COUNTIF('C312'!D5,"Aula 12"))&gt;0,1,0)+IF((COUNTIF('C411'!D5,"Aula 12")+COUNTIF('C412'!D5,"Aula 12"))&gt;0,1,0)+IF((COUNTIF('M111'!D5,"Aula 12")+COUNTIF('M112'!D5,"Aula 12"))&gt;0,1,0)+IF((COUNTIF('M211'!D5,"Aula 12")+COUNTIF('M212'!D5,"Aula 12"))&gt;0,1,0)+IF((COUNTIF('M311'!D5,"Aula 12"))&gt;0,1,0)+IF((COUNTIF('M411'!D5,"Aula 12"))&gt;0,1,0)+IF((COUNTIF('D111'!D5,"Aula 12")+COUNTIF('D112'!D5,"Aula 12"))&gt;0,1,0)+IF((COUNTIF('D211'!D5,"Aula 12"))&gt;0,1,0)+IF((COUNTIF('D311'!D5,"Aula 12"))&gt;0,1,0)+IF((COUNTIF('D411'!D5,"Aula 12"))&gt;0,1,0))=0,"",IF((IF((COUNTIF('C111'!D5,"Aula 12")+COUNTIF('C112'!D5,"Aula 12")+COUNTIF('C113'!D5,"Aula 12")+COUNTIF('C121'!D5,"Aula 12")+COUNTIF('C122'!D5,"Aula 12"))&gt;0,1,0)+IF((COUNTIF('C211'!D5,"Aula 12")+COUNTIF('C212'!D5,"Aula 12"))&gt;0,1,0)+IF((COUNTIF('C311'!D5,"Aula 12")+COUNTIF('C312'!D5,"Aula 12"))&gt;0,1,0)+IF((COUNTIF('C411'!D5,"Aula 12")+COUNTIF('C412'!D5,"Aula 12"))&gt;0,1,0)+IF((COUNTIF('M111'!D5,"Aula 12")+COUNTIF('M112'!D5,"Aula 12"))&gt;0,1,0)+IF((COUNTIF('M211'!D5,"Aula 12")+COUNTIF('M212'!D5,"Aula 12"))&gt;0,1,0)+IF((COUNTIF('M311'!D5,"Aula 12"))&gt;0,1,0)+IF((COUNTIF('M411'!D5,"Aula 12"))&gt;0,1,0)+IF((COUNTIF('D111'!D5,"Aula 12")+COUNTIF('D112'!D5,"Aula 12"))&gt;0,1,0)+IF((COUNTIF('D211'!D5,"Aula 12"))&gt;0,1,0)+IF((COUNTIF('D311'!D5,"Aula 12"))&gt;0,1,0)+IF((COUNTIF('D411'!D5,"Aula 12"))&gt;0,1,0))=1,IF((COUNTIF('C111'!D5,"Aula 12")+COUNTIF('C112'!D5,"Aula 12")+COUNTIF('C113'!D5,"Aula 12")+COUNTIF('C121'!D5,"Aula 12")+COUNTIF('C122'!D5,"Aula 12"))&gt;0,"C1",IF((COUNTIF('C211'!D5,"Aula 12")+COUNTIF('C212'!D5,"Aula 12"))&gt;0,"C2",IF((COUNTIF('C311'!D5,"Aula 12")+COUNTIF('C312'!D5,"Aula 12"))&gt;0,"C3",IF((COUNTIF('C411'!D5,"Aula 12")+COUNTIF('C412'!D5,"Aula 12"))&gt;0,"C4",IF((COUNTIF('M111'!D5,"Aula 12")+COUNTIF('M112'!D5,"Aula 12"))&gt;0,"M1",IF((COUNTIF('M211'!D5,"Aula 12")+COUNTIF('M212'!D5,"Aula 12"))&gt;0,"M2",IF((COUNTIF('M311'!D5,"Aula 12"))&gt;0,"M3",IF((COUNTIF('M411'!D5,"Aula 12"))&gt;0,"M4",IF((COUNTIF('D111'!D5,"Aula 12")+COUNTIF('D112'!D5,"Aula 12"))&gt;0,"D1",IF((COUNTIF('D211'!D5,"Aula 12"))&gt;0,"D2",IF((COUNTIF('D311'!D5,"Aula 12"))&gt;0,"D3",IF((COUNTIF('D411'!D5,"Aula 12"))&gt;0,"D4","")))))))))))),"MIX"))</f>
        <v/>
      </c>
    </row>
    <row r="193">
      <c r="C193">
        <f>IF((IF((COUNTIF('C111'!D5,"Lab 1")+COUNTIF('C112'!D5,"Lab 1")+COUNTIF('C113'!D5,"Lab 1")+COUNTIF('C121'!D5,"Lab 1")+COUNTIF('C122'!D5,"Lab 1"))&gt;0,1,0)+IF((COUNTIF('C211'!D5,"Lab 1")+COUNTIF('C212'!D5,"Lab 1"))&gt;0,1,0)+IF((COUNTIF('C311'!D5,"Lab 1")+COUNTIF('C312'!D5,"Lab 1"))&gt;0,1,0)+IF((COUNTIF('C411'!D5,"Lab 1")+COUNTIF('C412'!D5,"Lab 1"))&gt;0,1,0)+IF((COUNTIF('M111'!D5,"Lab 1")+COUNTIF('M112'!D5,"Lab 1"))&gt;0,1,0)+IF((COUNTIF('M211'!D5,"Lab 1")+COUNTIF('M212'!D5,"Lab 1"))&gt;0,1,0)+IF((COUNTIF('M311'!D5,"Lab 1"))&gt;0,1,0)+IF((COUNTIF('M411'!D5,"Lab 1"))&gt;0,1,0)+IF((COUNTIF('D111'!D5,"Lab 1")+COUNTIF('D112'!D5,"Lab 1"))&gt;0,1,0)+IF((COUNTIF('D211'!D5,"Lab 1"))&gt;0,1,0)+IF((COUNTIF('D311'!D5,"Lab 1"))&gt;0,1,0)+IF((COUNTIF('D411'!D5,"Lab 1"))&gt;0,1,0))=0,"",IF((IF((COUNTIF('C111'!D5,"Lab 1")+COUNTIF('C112'!D5,"Lab 1")+COUNTIF('C113'!D5,"Lab 1")+COUNTIF('C121'!D5,"Lab 1")+COUNTIF('C122'!D5,"Lab 1"))&gt;0,1,0)+IF((COUNTIF('C211'!D5,"Lab 1")+COUNTIF('C212'!D5,"Lab 1"))&gt;0,1,0)+IF((COUNTIF('C311'!D5,"Lab 1")+COUNTIF('C312'!D5,"Lab 1"))&gt;0,1,0)+IF((COUNTIF('C411'!D5,"Lab 1")+COUNTIF('C412'!D5,"Lab 1"))&gt;0,1,0)+IF((COUNTIF('M111'!D5,"Lab 1")+COUNTIF('M112'!D5,"Lab 1"))&gt;0,1,0)+IF((COUNTIF('M211'!D5,"Lab 1")+COUNTIF('M212'!D5,"Lab 1"))&gt;0,1,0)+IF((COUNTIF('M311'!D5,"Lab 1"))&gt;0,1,0)+IF((COUNTIF('M411'!D5,"Lab 1"))&gt;0,1,0)+IF((COUNTIF('D111'!D5,"Lab 1")+COUNTIF('D112'!D5,"Lab 1"))&gt;0,1,0)+IF((COUNTIF('D211'!D5,"Lab 1"))&gt;0,1,0)+IF((COUNTIF('D311'!D5,"Lab 1"))&gt;0,1,0)+IF((COUNTIF('D411'!D5,"Lab 1"))&gt;0,1,0))=1,IF((COUNTIF('C111'!D5,"Lab 1")+COUNTIF('C112'!D5,"Lab 1")+COUNTIF('C113'!D5,"Lab 1")+COUNTIF('C121'!D5,"Lab 1")+COUNTIF('C122'!D5,"Lab 1"))&gt;0,"C1",IF((COUNTIF('C211'!D5,"Lab 1")+COUNTIF('C212'!D5,"Lab 1"))&gt;0,"C2",IF((COUNTIF('C311'!D5,"Lab 1")+COUNTIF('C312'!D5,"Lab 1"))&gt;0,"C3",IF((COUNTIF('C411'!D5,"Lab 1")+COUNTIF('C412'!D5,"Lab 1"))&gt;0,"C4",IF((COUNTIF('M111'!D5,"Lab 1")+COUNTIF('M112'!D5,"Lab 1"))&gt;0,"M1",IF((COUNTIF('M211'!D5,"Lab 1")+COUNTIF('M212'!D5,"Lab 1"))&gt;0,"M2",IF((COUNTIF('M311'!D5,"Lab 1"))&gt;0,"M3",IF((COUNTIF('M411'!D5,"Lab 1"))&gt;0,"M4",IF((COUNTIF('D111'!D5,"Lab 1")+COUNTIF('D112'!D5,"Lab 1"))&gt;0,"D1",IF((COUNTIF('D211'!D5,"Lab 1"))&gt;0,"D2",IF((COUNTIF('D311'!D5,"Lab 1"))&gt;0,"D3",IF((COUNTIF('D411'!D5,"Lab 1"))&gt;0,"D4","")))))))))))),"MIX"))</f>
        <v/>
      </c>
    </row>
    <row r="194">
      <c r="C194">
        <f>IF((IF((COUNTIF('C111'!D5,"Lab 2")+COUNTIF('C112'!D5,"Lab 2")+COUNTIF('C113'!D5,"Lab 2")+COUNTIF('C121'!D5,"Lab 2")+COUNTIF('C122'!D5,"Lab 2"))&gt;0,1,0)+IF((COUNTIF('C211'!D5,"Lab 2")+COUNTIF('C212'!D5,"Lab 2"))&gt;0,1,0)+IF((COUNTIF('C311'!D5,"Lab 2")+COUNTIF('C312'!D5,"Lab 2"))&gt;0,1,0)+IF((COUNTIF('C411'!D5,"Lab 2")+COUNTIF('C412'!D5,"Lab 2"))&gt;0,1,0)+IF((COUNTIF('M111'!D5,"Lab 2")+COUNTIF('M112'!D5,"Lab 2"))&gt;0,1,0)+IF((COUNTIF('M211'!D5,"Lab 2")+COUNTIF('M212'!D5,"Lab 2"))&gt;0,1,0)+IF((COUNTIF('M311'!D5,"Lab 2"))&gt;0,1,0)+IF((COUNTIF('M411'!D5,"Lab 2"))&gt;0,1,0)+IF((COUNTIF('D111'!D5,"Lab 2")+COUNTIF('D112'!D5,"Lab 2"))&gt;0,1,0)+IF((COUNTIF('D211'!D5,"Lab 2"))&gt;0,1,0)+IF((COUNTIF('D311'!D5,"Lab 2"))&gt;0,1,0)+IF((COUNTIF('D411'!D5,"Lab 2"))&gt;0,1,0))=0,"",IF((IF((COUNTIF('C111'!D5,"Lab 2")+COUNTIF('C112'!D5,"Lab 2")+COUNTIF('C113'!D5,"Lab 2")+COUNTIF('C121'!D5,"Lab 2")+COUNTIF('C122'!D5,"Lab 2"))&gt;0,1,0)+IF((COUNTIF('C211'!D5,"Lab 2")+COUNTIF('C212'!D5,"Lab 2"))&gt;0,1,0)+IF((COUNTIF('C311'!D5,"Lab 2")+COUNTIF('C312'!D5,"Lab 2"))&gt;0,1,0)+IF((COUNTIF('C411'!D5,"Lab 2")+COUNTIF('C412'!D5,"Lab 2"))&gt;0,1,0)+IF((COUNTIF('M111'!D5,"Lab 2")+COUNTIF('M112'!D5,"Lab 2"))&gt;0,1,0)+IF((COUNTIF('M211'!D5,"Lab 2")+COUNTIF('M212'!D5,"Lab 2"))&gt;0,1,0)+IF((COUNTIF('M311'!D5,"Lab 2"))&gt;0,1,0)+IF((COUNTIF('M411'!D5,"Lab 2"))&gt;0,1,0)+IF((COUNTIF('D111'!D5,"Lab 2")+COUNTIF('D112'!D5,"Lab 2"))&gt;0,1,0)+IF((COUNTIF('D211'!D5,"Lab 2"))&gt;0,1,0)+IF((COUNTIF('D311'!D5,"Lab 2"))&gt;0,1,0)+IF((COUNTIF('D411'!D5,"Lab 2"))&gt;0,1,0))=1,IF((COUNTIF('C111'!D5,"Lab 2")+COUNTIF('C112'!D5,"Lab 2")+COUNTIF('C113'!D5,"Lab 2")+COUNTIF('C121'!D5,"Lab 2")+COUNTIF('C122'!D5,"Lab 2"))&gt;0,"C1",IF((COUNTIF('C211'!D5,"Lab 2")+COUNTIF('C212'!D5,"Lab 2"))&gt;0,"C2",IF((COUNTIF('C311'!D5,"Lab 2")+COUNTIF('C312'!D5,"Lab 2"))&gt;0,"C3",IF((COUNTIF('C411'!D5,"Lab 2")+COUNTIF('C412'!D5,"Lab 2"))&gt;0,"C4",IF((COUNTIF('M111'!D5,"Lab 2")+COUNTIF('M112'!D5,"Lab 2"))&gt;0,"M1",IF((COUNTIF('M211'!D5,"Lab 2")+COUNTIF('M212'!D5,"Lab 2"))&gt;0,"M2",IF((COUNTIF('M311'!D5,"Lab 2"))&gt;0,"M3",IF((COUNTIF('M411'!D5,"Lab 2"))&gt;0,"M4",IF((COUNTIF('D111'!D5,"Lab 2")+COUNTIF('D112'!D5,"Lab 2"))&gt;0,"D1",IF((COUNTIF('D211'!D5,"Lab 2"))&gt;0,"D2",IF((COUNTIF('D311'!D5,"Lab 2"))&gt;0,"D3",IF((COUNTIF('D411'!D5,"Lab 2"))&gt;0,"D4","")))))))))))),"MIX"))</f>
        <v/>
      </c>
    </row>
    <row r="195">
      <c r="C195">
        <f>IF((IF((COUNTIF('C111'!D5,"Salón")+COUNTIF('C112'!D5,"Salón")+COUNTIF('C113'!D5,"Salón")+COUNTIF('C121'!D5,"Salón")+COUNTIF('C122'!D5,"Salón"))&gt;0,1,0)+IF((COUNTIF('C211'!D5,"Salón")+COUNTIF('C212'!D5,"Salón"))&gt;0,1,0)+IF((COUNTIF('C311'!D5,"Salón")+COUNTIF('C312'!D5,"Salón"))&gt;0,1,0)+IF((COUNTIF('C411'!D5,"Salón")+COUNTIF('C412'!D5,"Salón"))&gt;0,1,0)+IF((COUNTIF('M111'!D5,"Salón")+COUNTIF('M112'!D5,"Salón"))&gt;0,1,0)+IF((COUNTIF('M211'!D5,"Salón")+COUNTIF('M212'!D5,"Salón"))&gt;0,1,0)+IF((COUNTIF('M311'!D5,"Salón"))&gt;0,1,0)+IF((COUNTIF('M411'!D5,"Salón"))&gt;0,1,0)+IF((COUNTIF('D111'!D5,"Salón")+COUNTIF('D112'!D5,"Salón"))&gt;0,1,0)+IF((COUNTIF('D211'!D5,"Salón"))&gt;0,1,0)+IF((COUNTIF('D311'!D5,"Salón"))&gt;0,1,0)+IF((COUNTIF('D411'!D5,"Salón"))&gt;0,1,0))=0,"",IF((IF((COUNTIF('C111'!D5,"Salón")+COUNTIF('C112'!D5,"Salón")+COUNTIF('C113'!D5,"Salón")+COUNTIF('C121'!D5,"Salón")+COUNTIF('C122'!D5,"Salón"))&gt;0,1,0)+IF((COUNTIF('C211'!D5,"Salón")+COUNTIF('C212'!D5,"Salón"))&gt;0,1,0)+IF((COUNTIF('C311'!D5,"Salón")+COUNTIF('C312'!D5,"Salón"))&gt;0,1,0)+IF((COUNTIF('C411'!D5,"Salón")+COUNTIF('C412'!D5,"Salón"))&gt;0,1,0)+IF((COUNTIF('M111'!D5,"Salón")+COUNTIF('M112'!D5,"Salón"))&gt;0,1,0)+IF((COUNTIF('M211'!D5,"Salón")+COUNTIF('M212'!D5,"Salón"))&gt;0,1,0)+IF((COUNTIF('M311'!D5,"Salón"))&gt;0,1,0)+IF((COUNTIF('M411'!D5,"Salón"))&gt;0,1,0)+IF((COUNTIF('D111'!D5,"Salón")+COUNTIF('D112'!D5,"Salón"))&gt;0,1,0)+IF((COUNTIF('D211'!D5,"Salón"))&gt;0,1,0)+IF((COUNTIF('D311'!D5,"Salón"))&gt;0,1,0)+IF((COUNTIF('D411'!D5,"Salón"))&gt;0,1,0))=1,IF((COUNTIF('C111'!D5,"Salón")+COUNTIF('C112'!D5,"Salón")+COUNTIF('C113'!D5,"Salón")+COUNTIF('C121'!D5,"Salón")+COUNTIF('C122'!D5,"Salón"))&gt;0,"C1",IF((COUNTIF('C211'!D5,"Salón")+COUNTIF('C212'!D5,"Salón"))&gt;0,"C2",IF((COUNTIF('C311'!D5,"Salón")+COUNTIF('C312'!D5,"Salón"))&gt;0,"C3",IF((COUNTIF('C411'!D5,"Salón")+COUNTIF('C412'!D5,"Salón"))&gt;0,"C4",IF((COUNTIF('M111'!D5,"Salón")+COUNTIF('M112'!D5,"Salón"))&gt;0,"M1",IF((COUNTIF('M211'!D5,"Salón")+COUNTIF('M212'!D5,"Salón"))&gt;0,"M2",IF((COUNTIF('M311'!D5,"Salón"))&gt;0,"M3",IF((COUNTIF('M411'!D5,"Salón"))&gt;0,"M4",IF((COUNTIF('D111'!D5,"Salón")+COUNTIF('D112'!D5,"Salón"))&gt;0,"D1",IF((COUNTIF('D211'!D5,"Salón"))&gt;0,"D2",IF((COUNTIF('D311'!D5,"Salón"))&gt;0,"D3",IF((COUNTIF('D411'!D5,"Salón"))&gt;0,"D4","")))))))))))),"MIX"))</f>
        <v/>
      </c>
    </row>
    <row r="196">
      <c r="C196">
        <f>IF((IF((COUNTIF('C111'!D7,"Aula 1")+COUNTIF('C112'!D7,"Aula 1")+COUNTIF('C113'!D7,"Aula 1")+COUNTIF('C121'!D7,"Aula 1")+COUNTIF('C122'!D7,"Aula 1"))&gt;0,1,0)+IF((COUNTIF('C211'!D7,"Aula 1")+COUNTIF('C212'!D7,"Aula 1"))&gt;0,1,0)+IF((COUNTIF('C311'!D7,"Aula 1")+COUNTIF('C312'!D7,"Aula 1"))&gt;0,1,0)+IF((COUNTIF('C411'!D7,"Aula 1")+COUNTIF('C412'!D7,"Aula 1"))&gt;0,1,0)+IF((COUNTIF('M111'!D7,"Aula 1")+COUNTIF('M112'!D7,"Aula 1"))&gt;0,1,0)+IF((COUNTIF('M211'!D7,"Aula 1")+COUNTIF('M212'!D7,"Aula 1"))&gt;0,1,0)+IF((COUNTIF('M311'!D7,"Aula 1"))&gt;0,1,0)+IF((COUNTIF('M411'!D7,"Aula 1"))&gt;0,1,0)+IF((COUNTIF('D111'!D7,"Aula 1")+COUNTIF('D112'!D7,"Aula 1"))&gt;0,1,0)+IF((COUNTIF('D211'!D7,"Aula 1"))&gt;0,1,0)+IF((COUNTIF('D311'!D7,"Aula 1"))&gt;0,1,0)+IF((COUNTIF('D411'!D7,"Aula 1"))&gt;0,1,0))=0,"",IF((IF((COUNTIF('C111'!D7,"Aula 1")+COUNTIF('C112'!D7,"Aula 1")+COUNTIF('C113'!D7,"Aula 1")+COUNTIF('C121'!D7,"Aula 1")+COUNTIF('C122'!D7,"Aula 1"))&gt;0,1,0)+IF((COUNTIF('C211'!D7,"Aula 1")+COUNTIF('C212'!D7,"Aula 1"))&gt;0,1,0)+IF((COUNTIF('C311'!D7,"Aula 1")+COUNTIF('C312'!D7,"Aula 1"))&gt;0,1,0)+IF((COUNTIF('C411'!D7,"Aula 1")+COUNTIF('C412'!D7,"Aula 1"))&gt;0,1,0)+IF((COUNTIF('M111'!D7,"Aula 1")+COUNTIF('M112'!D7,"Aula 1"))&gt;0,1,0)+IF((COUNTIF('M211'!D7,"Aula 1")+COUNTIF('M212'!D7,"Aula 1"))&gt;0,1,0)+IF((COUNTIF('M311'!D7,"Aula 1"))&gt;0,1,0)+IF((COUNTIF('M411'!D7,"Aula 1"))&gt;0,1,0)+IF((COUNTIF('D111'!D7,"Aula 1")+COUNTIF('D112'!D7,"Aula 1"))&gt;0,1,0)+IF((COUNTIF('D211'!D7,"Aula 1"))&gt;0,1,0)+IF((COUNTIF('D311'!D7,"Aula 1"))&gt;0,1,0)+IF((COUNTIF('D411'!D7,"Aula 1"))&gt;0,1,0))=1,IF((COUNTIF('C111'!D7,"Aula 1")+COUNTIF('C112'!D7,"Aula 1")+COUNTIF('C113'!D7,"Aula 1")+COUNTIF('C121'!D7,"Aula 1")+COUNTIF('C122'!D7,"Aula 1"))&gt;0,"C1",IF((COUNTIF('C211'!D7,"Aula 1")+COUNTIF('C212'!D7,"Aula 1"))&gt;0,"C2",IF((COUNTIF('C311'!D7,"Aula 1")+COUNTIF('C312'!D7,"Aula 1"))&gt;0,"C3",IF((COUNTIF('C411'!D7,"Aula 1")+COUNTIF('C412'!D7,"Aula 1"))&gt;0,"C4",IF((COUNTIF('M111'!D7,"Aula 1")+COUNTIF('M112'!D7,"Aula 1"))&gt;0,"M1",IF((COUNTIF('M211'!D7,"Aula 1")+COUNTIF('M212'!D7,"Aula 1"))&gt;0,"M2",IF((COUNTIF('M311'!D7,"Aula 1"))&gt;0,"M3",IF((COUNTIF('M411'!D7,"Aula 1"))&gt;0,"M4",IF((COUNTIF('D111'!D7,"Aula 1")+COUNTIF('D112'!D7,"Aula 1"))&gt;0,"D1",IF((COUNTIF('D211'!D7,"Aula 1"))&gt;0,"D2",IF((COUNTIF('D311'!D7,"Aula 1"))&gt;0,"D3",IF((COUNTIF('D411'!D7,"Aula 1"))&gt;0,"D4","")))))))))))),"MIX"))</f>
        <v/>
      </c>
    </row>
    <row r="197">
      <c r="C197">
        <f>IF((IF((COUNTIF('C111'!D7,"Aula 2")+COUNTIF('C112'!D7,"Aula 2")+COUNTIF('C113'!D7,"Aula 2")+COUNTIF('C121'!D7,"Aula 2")+COUNTIF('C122'!D7,"Aula 2"))&gt;0,1,0)+IF((COUNTIF('C211'!D7,"Aula 2")+COUNTIF('C212'!D7,"Aula 2"))&gt;0,1,0)+IF((COUNTIF('C311'!D7,"Aula 2")+COUNTIF('C312'!D7,"Aula 2"))&gt;0,1,0)+IF((COUNTIF('C411'!D7,"Aula 2")+COUNTIF('C412'!D7,"Aula 2"))&gt;0,1,0)+IF((COUNTIF('M111'!D7,"Aula 2")+COUNTIF('M112'!D7,"Aula 2"))&gt;0,1,0)+IF((COUNTIF('M211'!D7,"Aula 2")+COUNTIF('M212'!D7,"Aula 2"))&gt;0,1,0)+IF((COUNTIF('M311'!D7,"Aula 2"))&gt;0,1,0)+IF((COUNTIF('M411'!D7,"Aula 2"))&gt;0,1,0)+IF((COUNTIF('D111'!D7,"Aula 2")+COUNTIF('D112'!D7,"Aula 2"))&gt;0,1,0)+IF((COUNTIF('D211'!D7,"Aula 2"))&gt;0,1,0)+IF((COUNTIF('D311'!D7,"Aula 2"))&gt;0,1,0)+IF((COUNTIF('D411'!D7,"Aula 2"))&gt;0,1,0))=0,"",IF((IF((COUNTIF('C111'!D7,"Aula 2")+COUNTIF('C112'!D7,"Aula 2")+COUNTIF('C113'!D7,"Aula 2")+COUNTIF('C121'!D7,"Aula 2")+COUNTIF('C122'!D7,"Aula 2"))&gt;0,1,0)+IF((COUNTIF('C211'!D7,"Aula 2")+COUNTIF('C212'!D7,"Aula 2"))&gt;0,1,0)+IF((COUNTIF('C311'!D7,"Aula 2")+COUNTIF('C312'!D7,"Aula 2"))&gt;0,1,0)+IF((COUNTIF('C411'!D7,"Aula 2")+COUNTIF('C412'!D7,"Aula 2"))&gt;0,1,0)+IF((COUNTIF('M111'!D7,"Aula 2")+COUNTIF('M112'!D7,"Aula 2"))&gt;0,1,0)+IF((COUNTIF('M211'!D7,"Aula 2")+COUNTIF('M212'!D7,"Aula 2"))&gt;0,1,0)+IF((COUNTIF('M311'!D7,"Aula 2"))&gt;0,1,0)+IF((COUNTIF('M411'!D7,"Aula 2"))&gt;0,1,0)+IF((COUNTIF('D111'!D7,"Aula 2")+COUNTIF('D112'!D7,"Aula 2"))&gt;0,1,0)+IF((COUNTIF('D211'!D7,"Aula 2"))&gt;0,1,0)+IF((COUNTIF('D311'!D7,"Aula 2"))&gt;0,1,0)+IF((COUNTIF('D411'!D7,"Aula 2"))&gt;0,1,0))=1,IF((COUNTIF('C111'!D7,"Aula 2")+COUNTIF('C112'!D7,"Aula 2")+COUNTIF('C113'!D7,"Aula 2")+COUNTIF('C121'!D7,"Aula 2")+COUNTIF('C122'!D7,"Aula 2"))&gt;0,"C1",IF((COUNTIF('C211'!D7,"Aula 2")+COUNTIF('C212'!D7,"Aula 2"))&gt;0,"C2",IF((COUNTIF('C311'!D7,"Aula 2")+COUNTIF('C312'!D7,"Aula 2"))&gt;0,"C3",IF((COUNTIF('C411'!D7,"Aula 2")+COUNTIF('C412'!D7,"Aula 2"))&gt;0,"C4",IF((COUNTIF('M111'!D7,"Aula 2")+COUNTIF('M112'!D7,"Aula 2"))&gt;0,"M1",IF((COUNTIF('M211'!D7,"Aula 2")+COUNTIF('M212'!D7,"Aula 2"))&gt;0,"M2",IF((COUNTIF('M311'!D7,"Aula 2"))&gt;0,"M3",IF((COUNTIF('M411'!D7,"Aula 2"))&gt;0,"M4",IF((COUNTIF('D111'!D7,"Aula 2")+COUNTIF('D112'!D7,"Aula 2"))&gt;0,"D1",IF((COUNTIF('D211'!D7,"Aula 2"))&gt;0,"D2",IF((COUNTIF('D311'!D7,"Aula 2"))&gt;0,"D3",IF((COUNTIF('D411'!D7,"Aula 2"))&gt;0,"D4","")))))))))))),"MIX"))</f>
        <v/>
      </c>
    </row>
    <row r="198">
      <c r="C198">
        <f>IF((IF((COUNTIF('C111'!D7,"Aula 3")+COUNTIF('C112'!D7,"Aula 3")+COUNTIF('C113'!D7,"Aula 3")+COUNTIF('C121'!D7,"Aula 3")+COUNTIF('C122'!D7,"Aula 3"))&gt;0,1,0)+IF((COUNTIF('C211'!D7,"Aula 3")+COUNTIF('C212'!D7,"Aula 3"))&gt;0,1,0)+IF((COUNTIF('C311'!D7,"Aula 3")+COUNTIF('C312'!D7,"Aula 3"))&gt;0,1,0)+IF((COUNTIF('C411'!D7,"Aula 3")+COUNTIF('C412'!D7,"Aula 3"))&gt;0,1,0)+IF((COUNTIF('M111'!D7,"Aula 3")+COUNTIF('M112'!D7,"Aula 3"))&gt;0,1,0)+IF((COUNTIF('M211'!D7,"Aula 3")+COUNTIF('M212'!D7,"Aula 3"))&gt;0,1,0)+IF((COUNTIF('M311'!D7,"Aula 3"))&gt;0,1,0)+IF((COUNTIF('M411'!D7,"Aula 3"))&gt;0,1,0)+IF((COUNTIF('D111'!D7,"Aula 3")+COUNTIF('D112'!D7,"Aula 3"))&gt;0,1,0)+IF((COUNTIF('D211'!D7,"Aula 3"))&gt;0,1,0)+IF((COUNTIF('D311'!D7,"Aula 3"))&gt;0,1,0)+IF((COUNTIF('D411'!D7,"Aula 3"))&gt;0,1,0))=0,"",IF((IF((COUNTIF('C111'!D7,"Aula 3")+COUNTIF('C112'!D7,"Aula 3")+COUNTIF('C113'!D7,"Aula 3")+COUNTIF('C121'!D7,"Aula 3")+COUNTIF('C122'!D7,"Aula 3"))&gt;0,1,0)+IF((COUNTIF('C211'!D7,"Aula 3")+COUNTIF('C212'!D7,"Aula 3"))&gt;0,1,0)+IF((COUNTIF('C311'!D7,"Aula 3")+COUNTIF('C312'!D7,"Aula 3"))&gt;0,1,0)+IF((COUNTIF('C411'!D7,"Aula 3")+COUNTIF('C412'!D7,"Aula 3"))&gt;0,1,0)+IF((COUNTIF('M111'!D7,"Aula 3")+COUNTIF('M112'!D7,"Aula 3"))&gt;0,1,0)+IF((COUNTIF('M211'!D7,"Aula 3")+COUNTIF('M212'!D7,"Aula 3"))&gt;0,1,0)+IF((COUNTIF('M311'!D7,"Aula 3"))&gt;0,1,0)+IF((COUNTIF('M411'!D7,"Aula 3"))&gt;0,1,0)+IF((COUNTIF('D111'!D7,"Aula 3")+COUNTIF('D112'!D7,"Aula 3"))&gt;0,1,0)+IF((COUNTIF('D211'!D7,"Aula 3"))&gt;0,1,0)+IF((COUNTIF('D311'!D7,"Aula 3"))&gt;0,1,0)+IF((COUNTIF('D411'!D7,"Aula 3"))&gt;0,1,0))=1,IF((COUNTIF('C111'!D7,"Aula 3")+COUNTIF('C112'!D7,"Aula 3")+COUNTIF('C113'!D7,"Aula 3")+COUNTIF('C121'!D7,"Aula 3")+COUNTIF('C122'!D7,"Aula 3"))&gt;0,"C1",IF((COUNTIF('C211'!D7,"Aula 3")+COUNTIF('C212'!D7,"Aula 3"))&gt;0,"C2",IF((COUNTIF('C311'!D7,"Aula 3")+COUNTIF('C312'!D7,"Aula 3"))&gt;0,"C3",IF((COUNTIF('C411'!D7,"Aula 3")+COUNTIF('C412'!D7,"Aula 3"))&gt;0,"C4",IF((COUNTIF('M111'!D7,"Aula 3")+COUNTIF('M112'!D7,"Aula 3"))&gt;0,"M1",IF((COUNTIF('M211'!D7,"Aula 3")+COUNTIF('M212'!D7,"Aula 3"))&gt;0,"M2",IF((COUNTIF('M311'!D7,"Aula 3"))&gt;0,"M3",IF((COUNTIF('M411'!D7,"Aula 3"))&gt;0,"M4",IF((COUNTIF('D111'!D7,"Aula 3")+COUNTIF('D112'!D7,"Aula 3"))&gt;0,"D1",IF((COUNTIF('D211'!D7,"Aula 3"))&gt;0,"D2",IF((COUNTIF('D311'!D7,"Aula 3"))&gt;0,"D3",IF((COUNTIF('D411'!D7,"Aula 3"))&gt;0,"D4","")))))))))))),"MIX"))</f>
        <v/>
      </c>
    </row>
    <row r="199">
      <c r="C199">
        <f>IF((IF((COUNTIF('C111'!D7,"Aula 4")+COUNTIF('C112'!D7,"Aula 4")+COUNTIF('C113'!D7,"Aula 4")+COUNTIF('C121'!D7,"Aula 4")+COUNTIF('C122'!D7,"Aula 4"))&gt;0,1,0)+IF((COUNTIF('C211'!D7,"Aula 4")+COUNTIF('C212'!D7,"Aula 4"))&gt;0,1,0)+IF((COUNTIF('C311'!D7,"Aula 4")+COUNTIF('C312'!D7,"Aula 4"))&gt;0,1,0)+IF((COUNTIF('C411'!D7,"Aula 4")+COUNTIF('C412'!D7,"Aula 4"))&gt;0,1,0)+IF((COUNTIF('M111'!D7,"Aula 4")+COUNTIF('M112'!D7,"Aula 4"))&gt;0,1,0)+IF((COUNTIF('M211'!D7,"Aula 4")+COUNTIF('M212'!D7,"Aula 4"))&gt;0,1,0)+IF((COUNTIF('M311'!D7,"Aula 4"))&gt;0,1,0)+IF((COUNTIF('M411'!D7,"Aula 4"))&gt;0,1,0)+IF((COUNTIF('D111'!D7,"Aula 4")+COUNTIF('D112'!D7,"Aula 4"))&gt;0,1,0)+IF((COUNTIF('D211'!D7,"Aula 4"))&gt;0,1,0)+IF((COUNTIF('D311'!D7,"Aula 4"))&gt;0,1,0)+IF((COUNTIF('D411'!D7,"Aula 4"))&gt;0,1,0))=0,"",IF((IF((COUNTIF('C111'!D7,"Aula 4")+COUNTIF('C112'!D7,"Aula 4")+COUNTIF('C113'!D7,"Aula 4")+COUNTIF('C121'!D7,"Aula 4")+COUNTIF('C122'!D7,"Aula 4"))&gt;0,1,0)+IF((COUNTIF('C211'!D7,"Aula 4")+COUNTIF('C212'!D7,"Aula 4"))&gt;0,1,0)+IF((COUNTIF('C311'!D7,"Aula 4")+COUNTIF('C312'!D7,"Aula 4"))&gt;0,1,0)+IF((COUNTIF('C411'!D7,"Aula 4")+COUNTIF('C412'!D7,"Aula 4"))&gt;0,1,0)+IF((COUNTIF('M111'!D7,"Aula 4")+COUNTIF('M112'!D7,"Aula 4"))&gt;0,1,0)+IF((COUNTIF('M211'!D7,"Aula 4")+COUNTIF('M212'!D7,"Aula 4"))&gt;0,1,0)+IF((COUNTIF('M311'!D7,"Aula 4"))&gt;0,1,0)+IF((COUNTIF('M411'!D7,"Aula 4"))&gt;0,1,0)+IF((COUNTIF('D111'!D7,"Aula 4")+COUNTIF('D112'!D7,"Aula 4"))&gt;0,1,0)+IF((COUNTIF('D211'!D7,"Aula 4"))&gt;0,1,0)+IF((COUNTIF('D311'!D7,"Aula 4"))&gt;0,1,0)+IF((COUNTIF('D411'!D7,"Aula 4"))&gt;0,1,0))=1,IF((COUNTIF('C111'!D7,"Aula 4")+COUNTIF('C112'!D7,"Aula 4")+COUNTIF('C113'!D7,"Aula 4")+COUNTIF('C121'!D7,"Aula 4")+COUNTIF('C122'!D7,"Aula 4"))&gt;0,"C1",IF((COUNTIF('C211'!D7,"Aula 4")+COUNTIF('C212'!D7,"Aula 4"))&gt;0,"C2",IF((COUNTIF('C311'!D7,"Aula 4")+COUNTIF('C312'!D7,"Aula 4"))&gt;0,"C3",IF((COUNTIF('C411'!D7,"Aula 4")+COUNTIF('C412'!D7,"Aula 4"))&gt;0,"C4",IF((COUNTIF('M111'!D7,"Aula 4")+COUNTIF('M112'!D7,"Aula 4"))&gt;0,"M1",IF((COUNTIF('M211'!D7,"Aula 4")+COUNTIF('M212'!D7,"Aula 4"))&gt;0,"M2",IF((COUNTIF('M311'!D7,"Aula 4"))&gt;0,"M3",IF((COUNTIF('M411'!D7,"Aula 4"))&gt;0,"M4",IF((COUNTIF('D111'!D7,"Aula 4")+COUNTIF('D112'!D7,"Aula 4"))&gt;0,"D1",IF((COUNTIF('D211'!D7,"Aula 4"))&gt;0,"D2",IF((COUNTIF('D311'!D7,"Aula 4"))&gt;0,"D3",IF((COUNTIF('D411'!D7,"Aula 4"))&gt;0,"D4","")))))))))))),"MIX"))</f>
        <v/>
      </c>
    </row>
    <row r="200">
      <c r="C200">
        <f>IF((IF((COUNTIF('C111'!D7,"Aula 5")+COUNTIF('C112'!D7,"Aula 5")+COUNTIF('C113'!D7,"Aula 5")+COUNTIF('C121'!D7,"Aula 5")+COUNTIF('C122'!D7,"Aula 5"))&gt;0,1,0)+IF((COUNTIF('C211'!D7,"Aula 5")+COUNTIF('C212'!D7,"Aula 5"))&gt;0,1,0)+IF((COUNTIF('C311'!D7,"Aula 5")+COUNTIF('C312'!D7,"Aula 5"))&gt;0,1,0)+IF((COUNTIF('C411'!D7,"Aula 5")+COUNTIF('C412'!D7,"Aula 5"))&gt;0,1,0)+IF((COUNTIF('M111'!D7,"Aula 5")+COUNTIF('M112'!D7,"Aula 5"))&gt;0,1,0)+IF((COUNTIF('M211'!D7,"Aula 5")+COUNTIF('M212'!D7,"Aula 5"))&gt;0,1,0)+IF((COUNTIF('M311'!D7,"Aula 5"))&gt;0,1,0)+IF((COUNTIF('M411'!D7,"Aula 5"))&gt;0,1,0)+IF((COUNTIF('D111'!D7,"Aula 5")+COUNTIF('D112'!D7,"Aula 5"))&gt;0,1,0)+IF((COUNTIF('D211'!D7,"Aula 5"))&gt;0,1,0)+IF((COUNTIF('D311'!D7,"Aula 5"))&gt;0,1,0)+IF((COUNTIF('D411'!D7,"Aula 5"))&gt;0,1,0))=0,"",IF((IF((COUNTIF('C111'!D7,"Aula 5")+COUNTIF('C112'!D7,"Aula 5")+COUNTIF('C113'!D7,"Aula 5")+COUNTIF('C121'!D7,"Aula 5")+COUNTIF('C122'!D7,"Aula 5"))&gt;0,1,0)+IF((COUNTIF('C211'!D7,"Aula 5")+COUNTIF('C212'!D7,"Aula 5"))&gt;0,1,0)+IF((COUNTIF('C311'!D7,"Aula 5")+COUNTIF('C312'!D7,"Aula 5"))&gt;0,1,0)+IF((COUNTIF('C411'!D7,"Aula 5")+COUNTIF('C412'!D7,"Aula 5"))&gt;0,1,0)+IF((COUNTIF('M111'!D7,"Aula 5")+COUNTIF('M112'!D7,"Aula 5"))&gt;0,1,0)+IF((COUNTIF('M211'!D7,"Aula 5")+COUNTIF('M212'!D7,"Aula 5"))&gt;0,1,0)+IF((COUNTIF('M311'!D7,"Aula 5"))&gt;0,1,0)+IF((COUNTIF('M411'!D7,"Aula 5"))&gt;0,1,0)+IF((COUNTIF('D111'!D7,"Aula 5")+COUNTIF('D112'!D7,"Aula 5"))&gt;0,1,0)+IF((COUNTIF('D211'!D7,"Aula 5"))&gt;0,1,0)+IF((COUNTIF('D311'!D7,"Aula 5"))&gt;0,1,0)+IF((COUNTIF('D411'!D7,"Aula 5"))&gt;0,1,0))=1,IF((COUNTIF('C111'!D7,"Aula 5")+COUNTIF('C112'!D7,"Aula 5")+COUNTIF('C113'!D7,"Aula 5")+COUNTIF('C121'!D7,"Aula 5")+COUNTIF('C122'!D7,"Aula 5"))&gt;0,"C1",IF((COUNTIF('C211'!D7,"Aula 5")+COUNTIF('C212'!D7,"Aula 5"))&gt;0,"C2",IF((COUNTIF('C311'!D7,"Aula 5")+COUNTIF('C312'!D7,"Aula 5"))&gt;0,"C3",IF((COUNTIF('C411'!D7,"Aula 5")+COUNTIF('C412'!D7,"Aula 5"))&gt;0,"C4",IF((COUNTIF('M111'!D7,"Aula 5")+COUNTIF('M112'!D7,"Aula 5"))&gt;0,"M1",IF((COUNTIF('M211'!D7,"Aula 5")+COUNTIF('M212'!D7,"Aula 5"))&gt;0,"M2",IF((COUNTIF('M311'!D7,"Aula 5"))&gt;0,"M3",IF((COUNTIF('M411'!D7,"Aula 5"))&gt;0,"M4",IF((COUNTIF('D111'!D7,"Aula 5")+COUNTIF('D112'!D7,"Aula 5"))&gt;0,"D1",IF((COUNTIF('D211'!D7,"Aula 5"))&gt;0,"D2",IF((COUNTIF('D311'!D7,"Aula 5"))&gt;0,"D3",IF((COUNTIF('D411'!D7,"Aula 5"))&gt;0,"D4","")))))))))))),"MIX"))</f>
        <v/>
      </c>
    </row>
    <row r="201">
      <c r="C201">
        <f>IF((IF((COUNTIF('C111'!D7,"Aula 6")+COUNTIF('C112'!D7,"Aula 6")+COUNTIF('C113'!D7,"Aula 6")+COUNTIF('C121'!D7,"Aula 6")+COUNTIF('C122'!D7,"Aula 6"))&gt;0,1,0)+IF((COUNTIF('C211'!D7,"Aula 6")+COUNTIF('C212'!D7,"Aula 6"))&gt;0,1,0)+IF((COUNTIF('C311'!D7,"Aula 6")+COUNTIF('C312'!D7,"Aula 6"))&gt;0,1,0)+IF((COUNTIF('C411'!D7,"Aula 6")+COUNTIF('C412'!D7,"Aula 6"))&gt;0,1,0)+IF((COUNTIF('M111'!D7,"Aula 6")+COUNTIF('M112'!D7,"Aula 6"))&gt;0,1,0)+IF((COUNTIF('M211'!D7,"Aula 6")+COUNTIF('M212'!D7,"Aula 6"))&gt;0,1,0)+IF((COUNTIF('M311'!D7,"Aula 6"))&gt;0,1,0)+IF((COUNTIF('M411'!D7,"Aula 6"))&gt;0,1,0)+IF((COUNTIF('D111'!D7,"Aula 6")+COUNTIF('D112'!D7,"Aula 6"))&gt;0,1,0)+IF((COUNTIF('D211'!D7,"Aula 6"))&gt;0,1,0)+IF((COUNTIF('D311'!D7,"Aula 6"))&gt;0,1,0)+IF((COUNTIF('D411'!D7,"Aula 6"))&gt;0,1,0))=0,"",IF((IF((COUNTIF('C111'!D7,"Aula 6")+COUNTIF('C112'!D7,"Aula 6")+COUNTIF('C113'!D7,"Aula 6")+COUNTIF('C121'!D7,"Aula 6")+COUNTIF('C122'!D7,"Aula 6"))&gt;0,1,0)+IF((COUNTIF('C211'!D7,"Aula 6")+COUNTIF('C212'!D7,"Aula 6"))&gt;0,1,0)+IF((COUNTIF('C311'!D7,"Aula 6")+COUNTIF('C312'!D7,"Aula 6"))&gt;0,1,0)+IF((COUNTIF('C411'!D7,"Aula 6")+COUNTIF('C412'!D7,"Aula 6"))&gt;0,1,0)+IF((COUNTIF('M111'!D7,"Aula 6")+COUNTIF('M112'!D7,"Aula 6"))&gt;0,1,0)+IF((COUNTIF('M211'!D7,"Aula 6")+COUNTIF('M212'!D7,"Aula 6"))&gt;0,1,0)+IF((COUNTIF('M311'!D7,"Aula 6"))&gt;0,1,0)+IF((COUNTIF('M411'!D7,"Aula 6"))&gt;0,1,0)+IF((COUNTIF('D111'!D7,"Aula 6")+COUNTIF('D112'!D7,"Aula 6"))&gt;0,1,0)+IF((COUNTIF('D211'!D7,"Aula 6"))&gt;0,1,0)+IF((COUNTIF('D311'!D7,"Aula 6"))&gt;0,1,0)+IF((COUNTIF('D411'!D7,"Aula 6"))&gt;0,1,0))=1,IF((COUNTIF('C111'!D7,"Aula 6")+COUNTIF('C112'!D7,"Aula 6")+COUNTIF('C113'!D7,"Aula 6")+COUNTIF('C121'!D7,"Aula 6")+COUNTIF('C122'!D7,"Aula 6"))&gt;0,"C1",IF((COUNTIF('C211'!D7,"Aula 6")+COUNTIF('C212'!D7,"Aula 6"))&gt;0,"C2",IF((COUNTIF('C311'!D7,"Aula 6")+COUNTIF('C312'!D7,"Aula 6"))&gt;0,"C3",IF((COUNTIF('C411'!D7,"Aula 6")+COUNTIF('C412'!D7,"Aula 6"))&gt;0,"C4",IF((COUNTIF('M111'!D7,"Aula 6")+COUNTIF('M112'!D7,"Aula 6"))&gt;0,"M1",IF((COUNTIF('M211'!D7,"Aula 6")+COUNTIF('M212'!D7,"Aula 6"))&gt;0,"M2",IF((COUNTIF('M311'!D7,"Aula 6"))&gt;0,"M3",IF((COUNTIF('M411'!D7,"Aula 6"))&gt;0,"M4",IF((COUNTIF('D111'!D7,"Aula 6")+COUNTIF('D112'!D7,"Aula 6"))&gt;0,"D1",IF((COUNTIF('D211'!D7,"Aula 6"))&gt;0,"D2",IF((COUNTIF('D311'!D7,"Aula 6"))&gt;0,"D3",IF((COUNTIF('D411'!D7,"Aula 6"))&gt;0,"D4","")))))))))))),"MIX"))</f>
        <v/>
      </c>
    </row>
    <row r="202">
      <c r="C202">
        <f>IF((IF((COUNTIF('C111'!D7,"Aula 7")+COUNTIF('C112'!D7,"Aula 7")+COUNTIF('C113'!D7,"Aula 7")+COUNTIF('C121'!D7,"Aula 7")+COUNTIF('C122'!D7,"Aula 7"))&gt;0,1,0)+IF((COUNTIF('C211'!D7,"Aula 7")+COUNTIF('C212'!D7,"Aula 7"))&gt;0,1,0)+IF((COUNTIF('C311'!D7,"Aula 7")+COUNTIF('C312'!D7,"Aula 7"))&gt;0,1,0)+IF((COUNTIF('C411'!D7,"Aula 7")+COUNTIF('C412'!D7,"Aula 7"))&gt;0,1,0)+IF((COUNTIF('M111'!D7,"Aula 7")+COUNTIF('M112'!D7,"Aula 7"))&gt;0,1,0)+IF((COUNTIF('M211'!D7,"Aula 7")+COUNTIF('M212'!D7,"Aula 7"))&gt;0,1,0)+IF((COUNTIF('M311'!D7,"Aula 7"))&gt;0,1,0)+IF((COUNTIF('M411'!D7,"Aula 7"))&gt;0,1,0)+IF((COUNTIF('D111'!D7,"Aula 7")+COUNTIF('D112'!D7,"Aula 7"))&gt;0,1,0)+IF((COUNTIF('D211'!D7,"Aula 7"))&gt;0,1,0)+IF((COUNTIF('D311'!D7,"Aula 7"))&gt;0,1,0)+IF((COUNTIF('D411'!D7,"Aula 7"))&gt;0,1,0))=0,"",IF((IF((COUNTIF('C111'!D7,"Aula 7")+COUNTIF('C112'!D7,"Aula 7")+COUNTIF('C113'!D7,"Aula 7")+COUNTIF('C121'!D7,"Aula 7")+COUNTIF('C122'!D7,"Aula 7"))&gt;0,1,0)+IF((COUNTIF('C211'!D7,"Aula 7")+COUNTIF('C212'!D7,"Aula 7"))&gt;0,1,0)+IF((COUNTIF('C311'!D7,"Aula 7")+COUNTIF('C312'!D7,"Aula 7"))&gt;0,1,0)+IF((COUNTIF('C411'!D7,"Aula 7")+COUNTIF('C412'!D7,"Aula 7"))&gt;0,1,0)+IF((COUNTIF('M111'!D7,"Aula 7")+COUNTIF('M112'!D7,"Aula 7"))&gt;0,1,0)+IF((COUNTIF('M211'!D7,"Aula 7")+COUNTIF('M212'!D7,"Aula 7"))&gt;0,1,0)+IF((COUNTIF('M311'!D7,"Aula 7"))&gt;0,1,0)+IF((COUNTIF('M411'!D7,"Aula 7"))&gt;0,1,0)+IF((COUNTIF('D111'!D7,"Aula 7")+COUNTIF('D112'!D7,"Aula 7"))&gt;0,1,0)+IF((COUNTIF('D211'!D7,"Aula 7"))&gt;0,1,0)+IF((COUNTIF('D311'!D7,"Aula 7"))&gt;0,1,0)+IF((COUNTIF('D411'!D7,"Aula 7"))&gt;0,1,0))=1,IF((COUNTIF('C111'!D7,"Aula 7")+COUNTIF('C112'!D7,"Aula 7")+COUNTIF('C113'!D7,"Aula 7")+COUNTIF('C121'!D7,"Aula 7")+COUNTIF('C122'!D7,"Aula 7"))&gt;0,"C1",IF((COUNTIF('C211'!D7,"Aula 7")+COUNTIF('C212'!D7,"Aula 7"))&gt;0,"C2",IF((COUNTIF('C311'!D7,"Aula 7")+COUNTIF('C312'!D7,"Aula 7"))&gt;0,"C3",IF((COUNTIF('C411'!D7,"Aula 7")+COUNTIF('C412'!D7,"Aula 7"))&gt;0,"C4",IF((COUNTIF('M111'!D7,"Aula 7")+COUNTIF('M112'!D7,"Aula 7"))&gt;0,"M1",IF((COUNTIF('M211'!D7,"Aula 7")+COUNTIF('M212'!D7,"Aula 7"))&gt;0,"M2",IF((COUNTIF('M311'!D7,"Aula 7"))&gt;0,"M3",IF((COUNTIF('M411'!D7,"Aula 7"))&gt;0,"M4",IF((COUNTIF('D111'!D7,"Aula 7")+COUNTIF('D112'!D7,"Aula 7"))&gt;0,"D1",IF((COUNTIF('D211'!D7,"Aula 7"))&gt;0,"D2",IF((COUNTIF('D311'!D7,"Aula 7"))&gt;0,"D3",IF((COUNTIF('D411'!D7,"Aula 7"))&gt;0,"D4","")))))))))))),"MIX"))</f>
        <v/>
      </c>
    </row>
    <row r="203">
      <c r="C203">
        <f>IF((IF((COUNTIF('C111'!D7,"Aula 8")+COUNTIF('C112'!D7,"Aula 8")+COUNTIF('C113'!D7,"Aula 8")+COUNTIF('C121'!D7,"Aula 8")+COUNTIF('C122'!D7,"Aula 8"))&gt;0,1,0)+IF((COUNTIF('C211'!D7,"Aula 8")+COUNTIF('C212'!D7,"Aula 8"))&gt;0,1,0)+IF((COUNTIF('C311'!D7,"Aula 8")+COUNTIF('C312'!D7,"Aula 8"))&gt;0,1,0)+IF((COUNTIF('C411'!D7,"Aula 8")+COUNTIF('C412'!D7,"Aula 8"))&gt;0,1,0)+IF((COUNTIF('M111'!D7,"Aula 8")+COUNTIF('M112'!D7,"Aula 8"))&gt;0,1,0)+IF((COUNTIF('M211'!D7,"Aula 8")+COUNTIF('M212'!D7,"Aula 8"))&gt;0,1,0)+IF((COUNTIF('M311'!D7,"Aula 8"))&gt;0,1,0)+IF((COUNTIF('M411'!D7,"Aula 8"))&gt;0,1,0)+IF((COUNTIF('D111'!D7,"Aula 8")+COUNTIF('D112'!D7,"Aula 8"))&gt;0,1,0)+IF((COUNTIF('D211'!D7,"Aula 8"))&gt;0,1,0)+IF((COUNTIF('D311'!D7,"Aula 8"))&gt;0,1,0)+IF((COUNTIF('D411'!D7,"Aula 8"))&gt;0,1,0))=0,"",IF((IF((COUNTIF('C111'!D7,"Aula 8")+COUNTIF('C112'!D7,"Aula 8")+COUNTIF('C113'!D7,"Aula 8")+COUNTIF('C121'!D7,"Aula 8")+COUNTIF('C122'!D7,"Aula 8"))&gt;0,1,0)+IF((COUNTIF('C211'!D7,"Aula 8")+COUNTIF('C212'!D7,"Aula 8"))&gt;0,1,0)+IF((COUNTIF('C311'!D7,"Aula 8")+COUNTIF('C312'!D7,"Aula 8"))&gt;0,1,0)+IF((COUNTIF('C411'!D7,"Aula 8")+COUNTIF('C412'!D7,"Aula 8"))&gt;0,1,0)+IF((COUNTIF('M111'!D7,"Aula 8")+COUNTIF('M112'!D7,"Aula 8"))&gt;0,1,0)+IF((COUNTIF('M211'!D7,"Aula 8")+COUNTIF('M212'!D7,"Aula 8"))&gt;0,1,0)+IF((COUNTIF('M311'!D7,"Aula 8"))&gt;0,1,0)+IF((COUNTIF('M411'!D7,"Aula 8"))&gt;0,1,0)+IF((COUNTIF('D111'!D7,"Aula 8")+COUNTIF('D112'!D7,"Aula 8"))&gt;0,1,0)+IF((COUNTIF('D211'!D7,"Aula 8"))&gt;0,1,0)+IF((COUNTIF('D311'!D7,"Aula 8"))&gt;0,1,0)+IF((COUNTIF('D411'!D7,"Aula 8"))&gt;0,1,0))=1,IF((COUNTIF('C111'!D7,"Aula 8")+COUNTIF('C112'!D7,"Aula 8")+COUNTIF('C113'!D7,"Aula 8")+COUNTIF('C121'!D7,"Aula 8")+COUNTIF('C122'!D7,"Aula 8"))&gt;0,"C1",IF((COUNTIF('C211'!D7,"Aula 8")+COUNTIF('C212'!D7,"Aula 8"))&gt;0,"C2",IF((COUNTIF('C311'!D7,"Aula 8")+COUNTIF('C312'!D7,"Aula 8"))&gt;0,"C3",IF((COUNTIF('C411'!D7,"Aula 8")+COUNTIF('C412'!D7,"Aula 8"))&gt;0,"C4",IF((COUNTIF('M111'!D7,"Aula 8")+COUNTIF('M112'!D7,"Aula 8"))&gt;0,"M1",IF((COUNTIF('M211'!D7,"Aula 8")+COUNTIF('M212'!D7,"Aula 8"))&gt;0,"M2",IF((COUNTIF('M311'!D7,"Aula 8"))&gt;0,"M3",IF((COUNTIF('M411'!D7,"Aula 8"))&gt;0,"M4",IF((COUNTIF('D111'!D7,"Aula 8")+COUNTIF('D112'!D7,"Aula 8"))&gt;0,"D1",IF((COUNTIF('D211'!D7,"Aula 8"))&gt;0,"D2",IF((COUNTIF('D311'!D7,"Aula 8"))&gt;0,"D3",IF((COUNTIF('D411'!D7,"Aula 8"))&gt;0,"D4","")))))))))))),"MIX"))</f>
        <v/>
      </c>
    </row>
    <row r="204">
      <c r="C204">
        <f>IF((IF((COUNTIF('C111'!D7,"Aula 9")+COUNTIF('C112'!D7,"Aula 9")+COUNTIF('C113'!D7,"Aula 9")+COUNTIF('C121'!D7,"Aula 9")+COUNTIF('C122'!D7,"Aula 9"))&gt;0,1,0)+IF((COUNTIF('C211'!D7,"Aula 9")+COUNTIF('C212'!D7,"Aula 9"))&gt;0,1,0)+IF((COUNTIF('C311'!D7,"Aula 9")+COUNTIF('C312'!D7,"Aula 9"))&gt;0,1,0)+IF((COUNTIF('C411'!D7,"Aula 9")+COUNTIF('C412'!D7,"Aula 9"))&gt;0,1,0)+IF((COUNTIF('M111'!D7,"Aula 9")+COUNTIF('M112'!D7,"Aula 9"))&gt;0,1,0)+IF((COUNTIF('M211'!D7,"Aula 9")+COUNTIF('M212'!D7,"Aula 9"))&gt;0,1,0)+IF((COUNTIF('M311'!D7,"Aula 9"))&gt;0,1,0)+IF((COUNTIF('M411'!D7,"Aula 9"))&gt;0,1,0)+IF((COUNTIF('D111'!D7,"Aula 9")+COUNTIF('D112'!D7,"Aula 9"))&gt;0,1,0)+IF((COUNTIF('D211'!D7,"Aula 9"))&gt;0,1,0)+IF((COUNTIF('D311'!D7,"Aula 9"))&gt;0,1,0)+IF((COUNTIF('D411'!D7,"Aula 9"))&gt;0,1,0))=0,"",IF((IF((COUNTIF('C111'!D7,"Aula 9")+COUNTIF('C112'!D7,"Aula 9")+COUNTIF('C113'!D7,"Aula 9")+COUNTIF('C121'!D7,"Aula 9")+COUNTIF('C122'!D7,"Aula 9"))&gt;0,1,0)+IF((COUNTIF('C211'!D7,"Aula 9")+COUNTIF('C212'!D7,"Aula 9"))&gt;0,1,0)+IF((COUNTIF('C311'!D7,"Aula 9")+COUNTIF('C312'!D7,"Aula 9"))&gt;0,1,0)+IF((COUNTIF('C411'!D7,"Aula 9")+COUNTIF('C412'!D7,"Aula 9"))&gt;0,1,0)+IF((COUNTIF('M111'!D7,"Aula 9")+COUNTIF('M112'!D7,"Aula 9"))&gt;0,1,0)+IF((COUNTIF('M211'!D7,"Aula 9")+COUNTIF('M212'!D7,"Aula 9"))&gt;0,1,0)+IF((COUNTIF('M311'!D7,"Aula 9"))&gt;0,1,0)+IF((COUNTIF('M411'!D7,"Aula 9"))&gt;0,1,0)+IF((COUNTIF('D111'!D7,"Aula 9")+COUNTIF('D112'!D7,"Aula 9"))&gt;0,1,0)+IF((COUNTIF('D211'!D7,"Aula 9"))&gt;0,1,0)+IF((COUNTIF('D311'!D7,"Aula 9"))&gt;0,1,0)+IF((COUNTIF('D411'!D7,"Aula 9"))&gt;0,1,0))=1,IF((COUNTIF('C111'!D7,"Aula 9")+COUNTIF('C112'!D7,"Aula 9")+COUNTIF('C113'!D7,"Aula 9")+COUNTIF('C121'!D7,"Aula 9")+COUNTIF('C122'!D7,"Aula 9"))&gt;0,"C1",IF((COUNTIF('C211'!D7,"Aula 9")+COUNTIF('C212'!D7,"Aula 9"))&gt;0,"C2",IF((COUNTIF('C311'!D7,"Aula 9")+COUNTIF('C312'!D7,"Aula 9"))&gt;0,"C3",IF((COUNTIF('C411'!D7,"Aula 9")+COUNTIF('C412'!D7,"Aula 9"))&gt;0,"C4",IF((COUNTIF('M111'!D7,"Aula 9")+COUNTIF('M112'!D7,"Aula 9"))&gt;0,"M1",IF((COUNTIF('M211'!D7,"Aula 9")+COUNTIF('M212'!D7,"Aula 9"))&gt;0,"M2",IF((COUNTIF('M311'!D7,"Aula 9"))&gt;0,"M3",IF((COUNTIF('M411'!D7,"Aula 9"))&gt;0,"M4",IF((COUNTIF('D111'!D7,"Aula 9")+COUNTIF('D112'!D7,"Aula 9"))&gt;0,"D1",IF((COUNTIF('D211'!D7,"Aula 9"))&gt;0,"D2",IF((COUNTIF('D311'!D7,"Aula 9"))&gt;0,"D3",IF((COUNTIF('D411'!D7,"Aula 9"))&gt;0,"D4","")))))))))))),"MIX"))</f>
        <v/>
      </c>
    </row>
    <row r="205">
      <c r="C205">
        <f>IF((IF((COUNTIF('C111'!D7,"Aula 10")+COUNTIF('C112'!D7,"Aula 10")+COUNTIF('C113'!D7,"Aula 10")+COUNTIF('C121'!D7,"Aula 10")+COUNTIF('C122'!D7,"Aula 10"))&gt;0,1,0)+IF((COUNTIF('C211'!D7,"Aula 10")+COUNTIF('C212'!D7,"Aula 10"))&gt;0,1,0)+IF((COUNTIF('C311'!D7,"Aula 10")+COUNTIF('C312'!D7,"Aula 10"))&gt;0,1,0)+IF((COUNTIF('C411'!D7,"Aula 10")+COUNTIF('C412'!D7,"Aula 10"))&gt;0,1,0)+IF((COUNTIF('M111'!D7,"Aula 10")+COUNTIF('M112'!D7,"Aula 10"))&gt;0,1,0)+IF((COUNTIF('M211'!D7,"Aula 10")+COUNTIF('M212'!D7,"Aula 10"))&gt;0,1,0)+IF((COUNTIF('M311'!D7,"Aula 10"))&gt;0,1,0)+IF((COUNTIF('M411'!D7,"Aula 10"))&gt;0,1,0)+IF((COUNTIF('D111'!D7,"Aula 10")+COUNTIF('D112'!D7,"Aula 10"))&gt;0,1,0)+IF((COUNTIF('D211'!D7,"Aula 10"))&gt;0,1,0)+IF((COUNTIF('D311'!D7,"Aula 10"))&gt;0,1,0)+IF((COUNTIF('D411'!D7,"Aula 10"))&gt;0,1,0))=0,"",IF((IF((COUNTIF('C111'!D7,"Aula 10")+COUNTIF('C112'!D7,"Aula 10")+COUNTIF('C113'!D7,"Aula 10")+COUNTIF('C121'!D7,"Aula 10")+COUNTIF('C122'!D7,"Aula 10"))&gt;0,1,0)+IF((COUNTIF('C211'!D7,"Aula 10")+COUNTIF('C212'!D7,"Aula 10"))&gt;0,1,0)+IF((COUNTIF('C311'!D7,"Aula 10")+COUNTIF('C312'!D7,"Aula 10"))&gt;0,1,0)+IF((COUNTIF('C411'!D7,"Aula 10")+COUNTIF('C412'!D7,"Aula 10"))&gt;0,1,0)+IF((COUNTIF('M111'!D7,"Aula 10")+COUNTIF('M112'!D7,"Aula 10"))&gt;0,1,0)+IF((COUNTIF('M211'!D7,"Aula 10")+COUNTIF('M212'!D7,"Aula 10"))&gt;0,1,0)+IF((COUNTIF('M311'!D7,"Aula 10"))&gt;0,1,0)+IF((COUNTIF('M411'!D7,"Aula 10"))&gt;0,1,0)+IF((COUNTIF('D111'!D7,"Aula 10")+COUNTIF('D112'!D7,"Aula 10"))&gt;0,1,0)+IF((COUNTIF('D211'!D7,"Aula 10"))&gt;0,1,0)+IF((COUNTIF('D311'!D7,"Aula 10"))&gt;0,1,0)+IF((COUNTIF('D411'!D7,"Aula 10"))&gt;0,1,0))=1,IF((COUNTIF('C111'!D7,"Aula 10")+COUNTIF('C112'!D7,"Aula 10")+COUNTIF('C113'!D7,"Aula 10")+COUNTIF('C121'!D7,"Aula 10")+COUNTIF('C122'!D7,"Aula 10"))&gt;0,"C1",IF((COUNTIF('C211'!D7,"Aula 10")+COUNTIF('C212'!D7,"Aula 10"))&gt;0,"C2",IF((COUNTIF('C311'!D7,"Aula 10")+COUNTIF('C312'!D7,"Aula 10"))&gt;0,"C3",IF((COUNTIF('C411'!D7,"Aula 10")+COUNTIF('C412'!D7,"Aula 10"))&gt;0,"C4",IF((COUNTIF('M111'!D7,"Aula 10")+COUNTIF('M112'!D7,"Aula 10"))&gt;0,"M1",IF((COUNTIF('M211'!D7,"Aula 10")+COUNTIF('M212'!D7,"Aula 10"))&gt;0,"M2",IF((COUNTIF('M311'!D7,"Aula 10"))&gt;0,"M3",IF((COUNTIF('M411'!D7,"Aula 10"))&gt;0,"M4",IF((COUNTIF('D111'!D7,"Aula 10")+COUNTIF('D112'!D7,"Aula 10"))&gt;0,"D1",IF((COUNTIF('D211'!D7,"Aula 10"))&gt;0,"D2",IF((COUNTIF('D311'!D7,"Aula 10"))&gt;0,"D3",IF((COUNTIF('D411'!D7,"Aula 10"))&gt;0,"D4","")))))))))))),"MIX"))</f>
        <v/>
      </c>
    </row>
    <row r="206">
      <c r="C206">
        <f>IF((IF((COUNTIF('C111'!D7,"Aula 11")+COUNTIF('C112'!D7,"Aula 11")+COUNTIF('C113'!D7,"Aula 11")+COUNTIF('C121'!D7,"Aula 11")+COUNTIF('C122'!D7,"Aula 11"))&gt;0,1,0)+IF((COUNTIF('C211'!D7,"Aula 11")+COUNTIF('C212'!D7,"Aula 11"))&gt;0,1,0)+IF((COUNTIF('C311'!D7,"Aula 11")+COUNTIF('C312'!D7,"Aula 11"))&gt;0,1,0)+IF((COUNTIF('C411'!D7,"Aula 11")+COUNTIF('C412'!D7,"Aula 11"))&gt;0,1,0)+IF((COUNTIF('M111'!D7,"Aula 11")+COUNTIF('M112'!D7,"Aula 11"))&gt;0,1,0)+IF((COUNTIF('M211'!D7,"Aula 11")+COUNTIF('M212'!D7,"Aula 11"))&gt;0,1,0)+IF((COUNTIF('M311'!D7,"Aula 11"))&gt;0,1,0)+IF((COUNTIF('M411'!D7,"Aula 11"))&gt;0,1,0)+IF((COUNTIF('D111'!D7,"Aula 11")+COUNTIF('D112'!D7,"Aula 11"))&gt;0,1,0)+IF((COUNTIF('D211'!D7,"Aula 11"))&gt;0,1,0)+IF((COUNTIF('D311'!D7,"Aula 11"))&gt;0,1,0)+IF((COUNTIF('D411'!D7,"Aula 11"))&gt;0,1,0))=0,"",IF((IF((COUNTIF('C111'!D7,"Aula 11")+COUNTIF('C112'!D7,"Aula 11")+COUNTIF('C113'!D7,"Aula 11")+COUNTIF('C121'!D7,"Aula 11")+COUNTIF('C122'!D7,"Aula 11"))&gt;0,1,0)+IF((COUNTIF('C211'!D7,"Aula 11")+COUNTIF('C212'!D7,"Aula 11"))&gt;0,1,0)+IF((COUNTIF('C311'!D7,"Aula 11")+COUNTIF('C312'!D7,"Aula 11"))&gt;0,1,0)+IF((COUNTIF('C411'!D7,"Aula 11")+COUNTIF('C412'!D7,"Aula 11"))&gt;0,1,0)+IF((COUNTIF('M111'!D7,"Aula 11")+COUNTIF('M112'!D7,"Aula 11"))&gt;0,1,0)+IF((COUNTIF('M211'!D7,"Aula 11")+COUNTIF('M212'!D7,"Aula 11"))&gt;0,1,0)+IF((COUNTIF('M311'!D7,"Aula 11"))&gt;0,1,0)+IF((COUNTIF('M411'!D7,"Aula 11"))&gt;0,1,0)+IF((COUNTIF('D111'!D7,"Aula 11")+COUNTIF('D112'!D7,"Aula 11"))&gt;0,1,0)+IF((COUNTIF('D211'!D7,"Aula 11"))&gt;0,1,0)+IF((COUNTIF('D311'!D7,"Aula 11"))&gt;0,1,0)+IF((COUNTIF('D411'!D7,"Aula 11"))&gt;0,1,0))=1,IF((COUNTIF('C111'!D7,"Aula 11")+COUNTIF('C112'!D7,"Aula 11")+COUNTIF('C113'!D7,"Aula 11")+COUNTIF('C121'!D7,"Aula 11")+COUNTIF('C122'!D7,"Aula 11"))&gt;0,"C1",IF((COUNTIF('C211'!D7,"Aula 11")+COUNTIF('C212'!D7,"Aula 11"))&gt;0,"C2",IF((COUNTIF('C311'!D7,"Aula 11")+COUNTIF('C312'!D7,"Aula 11"))&gt;0,"C3",IF((COUNTIF('C411'!D7,"Aula 11")+COUNTIF('C412'!D7,"Aula 11"))&gt;0,"C4",IF((COUNTIF('M111'!D7,"Aula 11")+COUNTIF('M112'!D7,"Aula 11"))&gt;0,"M1",IF((COUNTIF('M211'!D7,"Aula 11")+COUNTIF('M212'!D7,"Aula 11"))&gt;0,"M2",IF((COUNTIF('M311'!D7,"Aula 11"))&gt;0,"M3",IF((COUNTIF('M411'!D7,"Aula 11"))&gt;0,"M4",IF((COUNTIF('D111'!D7,"Aula 11")+COUNTIF('D112'!D7,"Aula 11"))&gt;0,"D1",IF((COUNTIF('D211'!D7,"Aula 11"))&gt;0,"D2",IF((COUNTIF('D311'!D7,"Aula 11"))&gt;0,"D3",IF((COUNTIF('D411'!D7,"Aula 11"))&gt;0,"D4","")))))))))))),"MIX"))</f>
        <v/>
      </c>
    </row>
    <row r="207">
      <c r="C207">
        <f>IF((IF((COUNTIF('C111'!D7,"Aula 12")+COUNTIF('C112'!D7,"Aula 12")+COUNTIF('C113'!D7,"Aula 12")+COUNTIF('C121'!D7,"Aula 12")+COUNTIF('C122'!D7,"Aula 12"))&gt;0,1,0)+IF((COUNTIF('C211'!D7,"Aula 12")+COUNTIF('C212'!D7,"Aula 12"))&gt;0,1,0)+IF((COUNTIF('C311'!D7,"Aula 12")+COUNTIF('C312'!D7,"Aula 12"))&gt;0,1,0)+IF((COUNTIF('C411'!D7,"Aula 12")+COUNTIF('C412'!D7,"Aula 12"))&gt;0,1,0)+IF((COUNTIF('M111'!D7,"Aula 12")+COUNTIF('M112'!D7,"Aula 12"))&gt;0,1,0)+IF((COUNTIF('M211'!D7,"Aula 12")+COUNTIF('M212'!D7,"Aula 12"))&gt;0,1,0)+IF((COUNTIF('M311'!D7,"Aula 12"))&gt;0,1,0)+IF((COUNTIF('M411'!D7,"Aula 12"))&gt;0,1,0)+IF((COUNTIF('D111'!D7,"Aula 12")+COUNTIF('D112'!D7,"Aula 12"))&gt;0,1,0)+IF((COUNTIF('D211'!D7,"Aula 12"))&gt;0,1,0)+IF((COUNTIF('D311'!D7,"Aula 12"))&gt;0,1,0)+IF((COUNTIF('D411'!D7,"Aula 12"))&gt;0,1,0))=0,"",IF((IF((COUNTIF('C111'!D7,"Aula 12")+COUNTIF('C112'!D7,"Aula 12")+COUNTIF('C113'!D7,"Aula 12")+COUNTIF('C121'!D7,"Aula 12")+COUNTIF('C122'!D7,"Aula 12"))&gt;0,1,0)+IF((COUNTIF('C211'!D7,"Aula 12")+COUNTIF('C212'!D7,"Aula 12"))&gt;0,1,0)+IF((COUNTIF('C311'!D7,"Aula 12")+COUNTIF('C312'!D7,"Aula 12"))&gt;0,1,0)+IF((COUNTIF('C411'!D7,"Aula 12")+COUNTIF('C412'!D7,"Aula 12"))&gt;0,1,0)+IF((COUNTIF('M111'!D7,"Aula 12")+COUNTIF('M112'!D7,"Aula 12"))&gt;0,1,0)+IF((COUNTIF('M211'!D7,"Aula 12")+COUNTIF('M212'!D7,"Aula 12"))&gt;0,1,0)+IF((COUNTIF('M311'!D7,"Aula 12"))&gt;0,1,0)+IF((COUNTIF('M411'!D7,"Aula 12"))&gt;0,1,0)+IF((COUNTIF('D111'!D7,"Aula 12")+COUNTIF('D112'!D7,"Aula 12"))&gt;0,1,0)+IF((COUNTIF('D211'!D7,"Aula 12"))&gt;0,1,0)+IF((COUNTIF('D311'!D7,"Aula 12"))&gt;0,1,0)+IF((COUNTIF('D411'!D7,"Aula 12"))&gt;0,1,0))=1,IF((COUNTIF('C111'!D7,"Aula 12")+COUNTIF('C112'!D7,"Aula 12")+COUNTIF('C113'!D7,"Aula 12")+COUNTIF('C121'!D7,"Aula 12")+COUNTIF('C122'!D7,"Aula 12"))&gt;0,"C1",IF((COUNTIF('C211'!D7,"Aula 12")+COUNTIF('C212'!D7,"Aula 12"))&gt;0,"C2",IF((COUNTIF('C311'!D7,"Aula 12")+COUNTIF('C312'!D7,"Aula 12"))&gt;0,"C3",IF((COUNTIF('C411'!D7,"Aula 12")+COUNTIF('C412'!D7,"Aula 12"))&gt;0,"C4",IF((COUNTIF('M111'!D7,"Aula 12")+COUNTIF('M112'!D7,"Aula 12"))&gt;0,"M1",IF((COUNTIF('M211'!D7,"Aula 12")+COUNTIF('M212'!D7,"Aula 12"))&gt;0,"M2",IF((COUNTIF('M311'!D7,"Aula 12"))&gt;0,"M3",IF((COUNTIF('M411'!D7,"Aula 12"))&gt;0,"M4",IF((COUNTIF('D111'!D7,"Aula 12")+COUNTIF('D112'!D7,"Aula 12"))&gt;0,"D1",IF((COUNTIF('D211'!D7,"Aula 12"))&gt;0,"D2",IF((COUNTIF('D311'!D7,"Aula 12"))&gt;0,"D3",IF((COUNTIF('D411'!D7,"Aula 12"))&gt;0,"D4","")))))))))))),"MIX"))</f>
        <v/>
      </c>
    </row>
    <row r="208">
      <c r="C208">
        <f>IF((IF((COUNTIF('C111'!D7,"Lab 1")+COUNTIF('C112'!D7,"Lab 1")+COUNTIF('C113'!D7,"Lab 1")+COUNTIF('C121'!D7,"Lab 1")+COUNTIF('C122'!D7,"Lab 1"))&gt;0,1,0)+IF((COUNTIF('C211'!D7,"Lab 1")+COUNTIF('C212'!D7,"Lab 1"))&gt;0,1,0)+IF((COUNTIF('C311'!D7,"Lab 1")+COUNTIF('C312'!D7,"Lab 1"))&gt;0,1,0)+IF((COUNTIF('C411'!D7,"Lab 1")+COUNTIF('C412'!D7,"Lab 1"))&gt;0,1,0)+IF((COUNTIF('M111'!D7,"Lab 1")+COUNTIF('M112'!D7,"Lab 1"))&gt;0,1,0)+IF((COUNTIF('M211'!D7,"Lab 1")+COUNTIF('M212'!D7,"Lab 1"))&gt;0,1,0)+IF((COUNTIF('M311'!D7,"Lab 1"))&gt;0,1,0)+IF((COUNTIF('M411'!D7,"Lab 1"))&gt;0,1,0)+IF((COUNTIF('D111'!D7,"Lab 1")+COUNTIF('D112'!D7,"Lab 1"))&gt;0,1,0)+IF((COUNTIF('D211'!D7,"Lab 1"))&gt;0,1,0)+IF((COUNTIF('D311'!D7,"Lab 1"))&gt;0,1,0)+IF((COUNTIF('D411'!D7,"Lab 1"))&gt;0,1,0))=0,"",IF((IF((COUNTIF('C111'!D7,"Lab 1")+COUNTIF('C112'!D7,"Lab 1")+COUNTIF('C113'!D7,"Lab 1")+COUNTIF('C121'!D7,"Lab 1")+COUNTIF('C122'!D7,"Lab 1"))&gt;0,1,0)+IF((COUNTIF('C211'!D7,"Lab 1")+COUNTIF('C212'!D7,"Lab 1"))&gt;0,1,0)+IF((COUNTIF('C311'!D7,"Lab 1")+COUNTIF('C312'!D7,"Lab 1"))&gt;0,1,0)+IF((COUNTIF('C411'!D7,"Lab 1")+COUNTIF('C412'!D7,"Lab 1"))&gt;0,1,0)+IF((COUNTIF('M111'!D7,"Lab 1")+COUNTIF('M112'!D7,"Lab 1"))&gt;0,1,0)+IF((COUNTIF('M211'!D7,"Lab 1")+COUNTIF('M212'!D7,"Lab 1"))&gt;0,1,0)+IF((COUNTIF('M311'!D7,"Lab 1"))&gt;0,1,0)+IF((COUNTIF('M411'!D7,"Lab 1"))&gt;0,1,0)+IF((COUNTIF('D111'!D7,"Lab 1")+COUNTIF('D112'!D7,"Lab 1"))&gt;0,1,0)+IF((COUNTIF('D211'!D7,"Lab 1"))&gt;0,1,0)+IF((COUNTIF('D311'!D7,"Lab 1"))&gt;0,1,0)+IF((COUNTIF('D411'!D7,"Lab 1"))&gt;0,1,0))=1,IF((COUNTIF('C111'!D7,"Lab 1")+COUNTIF('C112'!D7,"Lab 1")+COUNTIF('C113'!D7,"Lab 1")+COUNTIF('C121'!D7,"Lab 1")+COUNTIF('C122'!D7,"Lab 1"))&gt;0,"C1",IF((COUNTIF('C211'!D7,"Lab 1")+COUNTIF('C212'!D7,"Lab 1"))&gt;0,"C2",IF((COUNTIF('C311'!D7,"Lab 1")+COUNTIF('C312'!D7,"Lab 1"))&gt;0,"C3",IF((COUNTIF('C411'!D7,"Lab 1")+COUNTIF('C412'!D7,"Lab 1"))&gt;0,"C4",IF((COUNTIF('M111'!D7,"Lab 1")+COUNTIF('M112'!D7,"Lab 1"))&gt;0,"M1",IF((COUNTIF('M211'!D7,"Lab 1")+COUNTIF('M212'!D7,"Lab 1"))&gt;0,"M2",IF((COUNTIF('M311'!D7,"Lab 1"))&gt;0,"M3",IF((COUNTIF('M411'!D7,"Lab 1"))&gt;0,"M4",IF((COUNTIF('D111'!D7,"Lab 1")+COUNTIF('D112'!D7,"Lab 1"))&gt;0,"D1",IF((COUNTIF('D211'!D7,"Lab 1"))&gt;0,"D2",IF((COUNTIF('D311'!D7,"Lab 1"))&gt;0,"D3",IF((COUNTIF('D411'!D7,"Lab 1"))&gt;0,"D4","")))))))))))),"MIX"))</f>
        <v/>
      </c>
    </row>
    <row r="209">
      <c r="C209">
        <f>IF((IF((COUNTIF('C111'!D7,"Lab 2")+COUNTIF('C112'!D7,"Lab 2")+COUNTIF('C113'!D7,"Lab 2")+COUNTIF('C121'!D7,"Lab 2")+COUNTIF('C122'!D7,"Lab 2"))&gt;0,1,0)+IF((COUNTIF('C211'!D7,"Lab 2")+COUNTIF('C212'!D7,"Lab 2"))&gt;0,1,0)+IF((COUNTIF('C311'!D7,"Lab 2")+COUNTIF('C312'!D7,"Lab 2"))&gt;0,1,0)+IF((COUNTIF('C411'!D7,"Lab 2")+COUNTIF('C412'!D7,"Lab 2"))&gt;0,1,0)+IF((COUNTIF('M111'!D7,"Lab 2")+COUNTIF('M112'!D7,"Lab 2"))&gt;0,1,0)+IF((COUNTIF('M211'!D7,"Lab 2")+COUNTIF('M212'!D7,"Lab 2"))&gt;0,1,0)+IF((COUNTIF('M311'!D7,"Lab 2"))&gt;0,1,0)+IF((COUNTIF('M411'!D7,"Lab 2"))&gt;0,1,0)+IF((COUNTIF('D111'!D7,"Lab 2")+COUNTIF('D112'!D7,"Lab 2"))&gt;0,1,0)+IF((COUNTIF('D211'!D7,"Lab 2"))&gt;0,1,0)+IF((COUNTIF('D311'!D7,"Lab 2"))&gt;0,1,0)+IF((COUNTIF('D411'!D7,"Lab 2"))&gt;0,1,0))=0,"",IF((IF((COUNTIF('C111'!D7,"Lab 2")+COUNTIF('C112'!D7,"Lab 2")+COUNTIF('C113'!D7,"Lab 2")+COUNTIF('C121'!D7,"Lab 2")+COUNTIF('C122'!D7,"Lab 2"))&gt;0,1,0)+IF((COUNTIF('C211'!D7,"Lab 2")+COUNTIF('C212'!D7,"Lab 2"))&gt;0,1,0)+IF((COUNTIF('C311'!D7,"Lab 2")+COUNTIF('C312'!D7,"Lab 2"))&gt;0,1,0)+IF((COUNTIF('C411'!D7,"Lab 2")+COUNTIF('C412'!D7,"Lab 2"))&gt;0,1,0)+IF((COUNTIF('M111'!D7,"Lab 2")+COUNTIF('M112'!D7,"Lab 2"))&gt;0,1,0)+IF((COUNTIF('M211'!D7,"Lab 2")+COUNTIF('M212'!D7,"Lab 2"))&gt;0,1,0)+IF((COUNTIF('M311'!D7,"Lab 2"))&gt;0,1,0)+IF((COUNTIF('M411'!D7,"Lab 2"))&gt;0,1,0)+IF((COUNTIF('D111'!D7,"Lab 2")+COUNTIF('D112'!D7,"Lab 2"))&gt;0,1,0)+IF((COUNTIF('D211'!D7,"Lab 2"))&gt;0,1,0)+IF((COUNTIF('D311'!D7,"Lab 2"))&gt;0,1,0)+IF((COUNTIF('D411'!D7,"Lab 2"))&gt;0,1,0))=1,IF((COUNTIF('C111'!D7,"Lab 2")+COUNTIF('C112'!D7,"Lab 2")+COUNTIF('C113'!D7,"Lab 2")+COUNTIF('C121'!D7,"Lab 2")+COUNTIF('C122'!D7,"Lab 2"))&gt;0,"C1",IF((COUNTIF('C211'!D7,"Lab 2")+COUNTIF('C212'!D7,"Lab 2"))&gt;0,"C2",IF((COUNTIF('C311'!D7,"Lab 2")+COUNTIF('C312'!D7,"Lab 2"))&gt;0,"C3",IF((COUNTIF('C411'!D7,"Lab 2")+COUNTIF('C412'!D7,"Lab 2"))&gt;0,"C4",IF((COUNTIF('M111'!D7,"Lab 2")+COUNTIF('M112'!D7,"Lab 2"))&gt;0,"M1",IF((COUNTIF('M211'!D7,"Lab 2")+COUNTIF('M212'!D7,"Lab 2"))&gt;0,"M2",IF((COUNTIF('M311'!D7,"Lab 2"))&gt;0,"M3",IF((COUNTIF('M411'!D7,"Lab 2"))&gt;0,"M4",IF((COUNTIF('D111'!D7,"Lab 2")+COUNTIF('D112'!D7,"Lab 2"))&gt;0,"D1",IF((COUNTIF('D211'!D7,"Lab 2"))&gt;0,"D2",IF((COUNTIF('D311'!D7,"Lab 2"))&gt;0,"D3",IF((COUNTIF('D411'!D7,"Lab 2"))&gt;0,"D4","")))))))))))),"MIX"))</f>
        <v/>
      </c>
    </row>
    <row r="210">
      <c r="C210">
        <f>IF((IF((COUNTIF('C111'!D7,"Salón")+COUNTIF('C112'!D7,"Salón")+COUNTIF('C113'!D7,"Salón")+COUNTIF('C121'!D7,"Salón")+COUNTIF('C122'!D7,"Salón"))&gt;0,1,0)+IF((COUNTIF('C211'!D7,"Salón")+COUNTIF('C212'!D7,"Salón"))&gt;0,1,0)+IF((COUNTIF('C311'!D7,"Salón")+COUNTIF('C312'!D7,"Salón"))&gt;0,1,0)+IF((COUNTIF('C411'!D7,"Salón")+COUNTIF('C412'!D7,"Salón"))&gt;0,1,0)+IF((COUNTIF('M111'!D7,"Salón")+COUNTIF('M112'!D7,"Salón"))&gt;0,1,0)+IF((COUNTIF('M211'!D7,"Salón")+COUNTIF('M212'!D7,"Salón"))&gt;0,1,0)+IF((COUNTIF('M311'!D7,"Salón"))&gt;0,1,0)+IF((COUNTIF('M411'!D7,"Salón"))&gt;0,1,0)+IF((COUNTIF('D111'!D7,"Salón")+COUNTIF('D112'!D7,"Salón"))&gt;0,1,0)+IF((COUNTIF('D211'!D7,"Salón"))&gt;0,1,0)+IF((COUNTIF('D311'!D7,"Salón"))&gt;0,1,0)+IF((COUNTIF('D411'!D7,"Salón"))&gt;0,1,0))=0,"",IF((IF((COUNTIF('C111'!D7,"Salón")+COUNTIF('C112'!D7,"Salón")+COUNTIF('C113'!D7,"Salón")+COUNTIF('C121'!D7,"Salón")+COUNTIF('C122'!D7,"Salón"))&gt;0,1,0)+IF((COUNTIF('C211'!D7,"Salón")+COUNTIF('C212'!D7,"Salón"))&gt;0,1,0)+IF((COUNTIF('C311'!D7,"Salón")+COUNTIF('C312'!D7,"Salón"))&gt;0,1,0)+IF((COUNTIF('C411'!D7,"Salón")+COUNTIF('C412'!D7,"Salón"))&gt;0,1,0)+IF((COUNTIF('M111'!D7,"Salón")+COUNTIF('M112'!D7,"Salón"))&gt;0,1,0)+IF((COUNTIF('M211'!D7,"Salón")+COUNTIF('M212'!D7,"Salón"))&gt;0,1,0)+IF((COUNTIF('M311'!D7,"Salón"))&gt;0,1,0)+IF((COUNTIF('M411'!D7,"Salón"))&gt;0,1,0)+IF((COUNTIF('D111'!D7,"Salón")+COUNTIF('D112'!D7,"Salón"))&gt;0,1,0)+IF((COUNTIF('D211'!D7,"Salón"))&gt;0,1,0)+IF((COUNTIF('D311'!D7,"Salón"))&gt;0,1,0)+IF((COUNTIF('D411'!D7,"Salón"))&gt;0,1,0))=1,IF((COUNTIF('C111'!D7,"Salón")+COUNTIF('C112'!D7,"Salón")+COUNTIF('C113'!D7,"Salón")+COUNTIF('C121'!D7,"Salón")+COUNTIF('C122'!D7,"Salón"))&gt;0,"C1",IF((COUNTIF('C211'!D7,"Salón")+COUNTIF('C212'!D7,"Salón"))&gt;0,"C2",IF((COUNTIF('C311'!D7,"Salón")+COUNTIF('C312'!D7,"Salón"))&gt;0,"C3",IF((COUNTIF('C411'!D7,"Salón")+COUNTIF('C412'!D7,"Salón"))&gt;0,"C4",IF((COUNTIF('M111'!D7,"Salón")+COUNTIF('M112'!D7,"Salón"))&gt;0,"M1",IF((COUNTIF('M211'!D7,"Salón")+COUNTIF('M212'!D7,"Salón"))&gt;0,"M2",IF((COUNTIF('M311'!D7,"Salón"))&gt;0,"M3",IF((COUNTIF('M411'!D7,"Salón"))&gt;0,"M4",IF((COUNTIF('D111'!D7,"Salón")+COUNTIF('D112'!D7,"Salón"))&gt;0,"D1",IF((COUNTIF('D211'!D7,"Salón"))&gt;0,"D2",IF((COUNTIF('D311'!D7,"Salón"))&gt;0,"D3",IF((COUNTIF('D411'!D7,"Salón"))&gt;0,"D4","")))))))))))),"MIX"))</f>
        <v/>
      </c>
    </row>
    <row r="211">
      <c r="C211">
        <f>IF((IF((COUNTIF('C111'!D9,"Aula 1")+COUNTIF('C112'!D9,"Aula 1")+COUNTIF('C113'!D9,"Aula 1")+COUNTIF('C121'!D9,"Aula 1")+COUNTIF('C122'!D9,"Aula 1"))&gt;0,1,0)+IF((COUNTIF('C211'!D9,"Aula 1")+COUNTIF('C212'!D9,"Aula 1"))&gt;0,1,0)+IF((COUNTIF('C311'!D9,"Aula 1")+COUNTIF('C312'!D9,"Aula 1"))&gt;0,1,0)+IF((COUNTIF('C411'!D9,"Aula 1")+COUNTIF('C412'!D9,"Aula 1"))&gt;0,1,0)+IF((COUNTIF('M111'!D9,"Aula 1")+COUNTIF('M112'!D9,"Aula 1"))&gt;0,1,0)+IF((COUNTIF('M211'!D9,"Aula 1")+COUNTIF('M212'!D9,"Aula 1"))&gt;0,1,0)+IF((COUNTIF('M311'!D9,"Aula 1"))&gt;0,1,0)+IF((COUNTIF('M411'!D9,"Aula 1"))&gt;0,1,0)+IF((COUNTIF('D111'!D9,"Aula 1")+COUNTIF('D112'!D9,"Aula 1"))&gt;0,1,0)+IF((COUNTIF('D211'!D9,"Aula 1"))&gt;0,1,0)+IF((COUNTIF('D311'!D9,"Aula 1"))&gt;0,1,0)+IF((COUNTIF('D411'!D9,"Aula 1"))&gt;0,1,0))=0,"",IF((IF((COUNTIF('C111'!D9,"Aula 1")+COUNTIF('C112'!D9,"Aula 1")+COUNTIF('C113'!D9,"Aula 1")+COUNTIF('C121'!D9,"Aula 1")+COUNTIF('C122'!D9,"Aula 1"))&gt;0,1,0)+IF((COUNTIF('C211'!D9,"Aula 1")+COUNTIF('C212'!D9,"Aula 1"))&gt;0,1,0)+IF((COUNTIF('C311'!D9,"Aula 1")+COUNTIF('C312'!D9,"Aula 1"))&gt;0,1,0)+IF((COUNTIF('C411'!D9,"Aula 1")+COUNTIF('C412'!D9,"Aula 1"))&gt;0,1,0)+IF((COUNTIF('M111'!D9,"Aula 1")+COUNTIF('M112'!D9,"Aula 1"))&gt;0,1,0)+IF((COUNTIF('M211'!D9,"Aula 1")+COUNTIF('M212'!D9,"Aula 1"))&gt;0,1,0)+IF((COUNTIF('M311'!D9,"Aula 1"))&gt;0,1,0)+IF((COUNTIF('M411'!D9,"Aula 1"))&gt;0,1,0)+IF((COUNTIF('D111'!D9,"Aula 1")+COUNTIF('D112'!D9,"Aula 1"))&gt;0,1,0)+IF((COUNTIF('D211'!D9,"Aula 1"))&gt;0,1,0)+IF((COUNTIF('D311'!D9,"Aula 1"))&gt;0,1,0)+IF((COUNTIF('D411'!D9,"Aula 1"))&gt;0,1,0))=1,IF((COUNTIF('C111'!D9,"Aula 1")+COUNTIF('C112'!D9,"Aula 1")+COUNTIF('C113'!D9,"Aula 1")+COUNTIF('C121'!D9,"Aula 1")+COUNTIF('C122'!D9,"Aula 1"))&gt;0,"C1",IF((COUNTIF('C211'!D9,"Aula 1")+COUNTIF('C212'!D9,"Aula 1"))&gt;0,"C2",IF((COUNTIF('C311'!D9,"Aula 1")+COUNTIF('C312'!D9,"Aula 1"))&gt;0,"C3",IF((COUNTIF('C411'!D9,"Aula 1")+COUNTIF('C412'!D9,"Aula 1"))&gt;0,"C4",IF((COUNTIF('M111'!D9,"Aula 1")+COUNTIF('M112'!D9,"Aula 1"))&gt;0,"M1",IF((COUNTIF('M211'!D9,"Aula 1")+COUNTIF('M212'!D9,"Aula 1"))&gt;0,"M2",IF((COUNTIF('M311'!D9,"Aula 1"))&gt;0,"M3",IF((COUNTIF('M411'!D9,"Aula 1"))&gt;0,"M4",IF((COUNTIF('D111'!D9,"Aula 1")+COUNTIF('D112'!D9,"Aula 1"))&gt;0,"D1",IF((COUNTIF('D211'!D9,"Aula 1"))&gt;0,"D2",IF((COUNTIF('D311'!D9,"Aula 1"))&gt;0,"D3",IF((COUNTIF('D411'!D9,"Aula 1"))&gt;0,"D4","")))))))))))),"MIX"))</f>
        <v/>
      </c>
    </row>
    <row r="212">
      <c r="C212">
        <f>IF((IF((COUNTIF('C111'!D9,"Aula 2")+COUNTIF('C112'!D9,"Aula 2")+COUNTIF('C113'!D9,"Aula 2")+COUNTIF('C121'!D9,"Aula 2")+COUNTIF('C122'!D9,"Aula 2"))&gt;0,1,0)+IF((COUNTIF('C211'!D9,"Aula 2")+COUNTIF('C212'!D9,"Aula 2"))&gt;0,1,0)+IF((COUNTIF('C311'!D9,"Aula 2")+COUNTIF('C312'!D9,"Aula 2"))&gt;0,1,0)+IF((COUNTIF('C411'!D9,"Aula 2")+COUNTIF('C412'!D9,"Aula 2"))&gt;0,1,0)+IF((COUNTIF('M111'!D9,"Aula 2")+COUNTIF('M112'!D9,"Aula 2"))&gt;0,1,0)+IF((COUNTIF('M211'!D9,"Aula 2")+COUNTIF('M212'!D9,"Aula 2"))&gt;0,1,0)+IF((COUNTIF('M311'!D9,"Aula 2"))&gt;0,1,0)+IF((COUNTIF('M411'!D9,"Aula 2"))&gt;0,1,0)+IF((COUNTIF('D111'!D9,"Aula 2")+COUNTIF('D112'!D9,"Aula 2"))&gt;0,1,0)+IF((COUNTIF('D211'!D9,"Aula 2"))&gt;0,1,0)+IF((COUNTIF('D311'!D9,"Aula 2"))&gt;0,1,0)+IF((COUNTIF('D411'!D9,"Aula 2"))&gt;0,1,0))=0,"",IF((IF((COUNTIF('C111'!D9,"Aula 2")+COUNTIF('C112'!D9,"Aula 2")+COUNTIF('C113'!D9,"Aula 2")+COUNTIF('C121'!D9,"Aula 2")+COUNTIF('C122'!D9,"Aula 2"))&gt;0,1,0)+IF((COUNTIF('C211'!D9,"Aula 2")+COUNTIF('C212'!D9,"Aula 2"))&gt;0,1,0)+IF((COUNTIF('C311'!D9,"Aula 2")+COUNTIF('C312'!D9,"Aula 2"))&gt;0,1,0)+IF((COUNTIF('C411'!D9,"Aula 2")+COUNTIF('C412'!D9,"Aula 2"))&gt;0,1,0)+IF((COUNTIF('M111'!D9,"Aula 2")+COUNTIF('M112'!D9,"Aula 2"))&gt;0,1,0)+IF((COUNTIF('M211'!D9,"Aula 2")+COUNTIF('M212'!D9,"Aula 2"))&gt;0,1,0)+IF((COUNTIF('M311'!D9,"Aula 2"))&gt;0,1,0)+IF((COUNTIF('M411'!D9,"Aula 2"))&gt;0,1,0)+IF((COUNTIF('D111'!D9,"Aula 2")+COUNTIF('D112'!D9,"Aula 2"))&gt;0,1,0)+IF((COUNTIF('D211'!D9,"Aula 2"))&gt;0,1,0)+IF((COUNTIF('D311'!D9,"Aula 2"))&gt;0,1,0)+IF((COUNTIF('D411'!D9,"Aula 2"))&gt;0,1,0))=1,IF((COUNTIF('C111'!D9,"Aula 2")+COUNTIF('C112'!D9,"Aula 2")+COUNTIF('C113'!D9,"Aula 2")+COUNTIF('C121'!D9,"Aula 2")+COUNTIF('C122'!D9,"Aula 2"))&gt;0,"C1",IF((COUNTIF('C211'!D9,"Aula 2")+COUNTIF('C212'!D9,"Aula 2"))&gt;0,"C2",IF((COUNTIF('C311'!D9,"Aula 2")+COUNTIF('C312'!D9,"Aula 2"))&gt;0,"C3",IF((COUNTIF('C411'!D9,"Aula 2")+COUNTIF('C412'!D9,"Aula 2"))&gt;0,"C4",IF((COUNTIF('M111'!D9,"Aula 2")+COUNTIF('M112'!D9,"Aula 2"))&gt;0,"M1",IF((COUNTIF('M211'!D9,"Aula 2")+COUNTIF('M212'!D9,"Aula 2"))&gt;0,"M2",IF((COUNTIF('M311'!D9,"Aula 2"))&gt;0,"M3",IF((COUNTIF('M411'!D9,"Aula 2"))&gt;0,"M4",IF((COUNTIF('D111'!D9,"Aula 2")+COUNTIF('D112'!D9,"Aula 2"))&gt;0,"D1",IF((COUNTIF('D211'!D9,"Aula 2"))&gt;0,"D2",IF((COUNTIF('D311'!D9,"Aula 2"))&gt;0,"D3",IF((COUNTIF('D411'!D9,"Aula 2"))&gt;0,"D4","")))))))))))),"MIX"))</f>
        <v/>
      </c>
    </row>
    <row r="213">
      <c r="C213">
        <f>IF((IF((COUNTIF('C111'!D9,"Aula 3")+COUNTIF('C112'!D9,"Aula 3")+COUNTIF('C113'!D9,"Aula 3")+COUNTIF('C121'!D9,"Aula 3")+COUNTIF('C122'!D9,"Aula 3"))&gt;0,1,0)+IF((COUNTIF('C211'!D9,"Aula 3")+COUNTIF('C212'!D9,"Aula 3"))&gt;0,1,0)+IF((COUNTIF('C311'!D9,"Aula 3")+COUNTIF('C312'!D9,"Aula 3"))&gt;0,1,0)+IF((COUNTIF('C411'!D9,"Aula 3")+COUNTIF('C412'!D9,"Aula 3"))&gt;0,1,0)+IF((COUNTIF('M111'!D9,"Aula 3")+COUNTIF('M112'!D9,"Aula 3"))&gt;0,1,0)+IF((COUNTIF('M211'!D9,"Aula 3")+COUNTIF('M212'!D9,"Aula 3"))&gt;0,1,0)+IF((COUNTIF('M311'!D9,"Aula 3"))&gt;0,1,0)+IF((COUNTIF('M411'!D9,"Aula 3"))&gt;0,1,0)+IF((COUNTIF('D111'!D9,"Aula 3")+COUNTIF('D112'!D9,"Aula 3"))&gt;0,1,0)+IF((COUNTIF('D211'!D9,"Aula 3"))&gt;0,1,0)+IF((COUNTIF('D311'!D9,"Aula 3"))&gt;0,1,0)+IF((COUNTIF('D411'!D9,"Aula 3"))&gt;0,1,0))=0,"",IF((IF((COUNTIF('C111'!D9,"Aula 3")+COUNTIF('C112'!D9,"Aula 3")+COUNTIF('C113'!D9,"Aula 3")+COUNTIF('C121'!D9,"Aula 3")+COUNTIF('C122'!D9,"Aula 3"))&gt;0,1,0)+IF((COUNTIF('C211'!D9,"Aula 3")+COUNTIF('C212'!D9,"Aula 3"))&gt;0,1,0)+IF((COUNTIF('C311'!D9,"Aula 3")+COUNTIF('C312'!D9,"Aula 3"))&gt;0,1,0)+IF((COUNTIF('C411'!D9,"Aula 3")+COUNTIF('C412'!D9,"Aula 3"))&gt;0,1,0)+IF((COUNTIF('M111'!D9,"Aula 3")+COUNTIF('M112'!D9,"Aula 3"))&gt;0,1,0)+IF((COUNTIF('M211'!D9,"Aula 3")+COUNTIF('M212'!D9,"Aula 3"))&gt;0,1,0)+IF((COUNTIF('M311'!D9,"Aula 3"))&gt;0,1,0)+IF((COUNTIF('M411'!D9,"Aula 3"))&gt;0,1,0)+IF((COUNTIF('D111'!D9,"Aula 3")+COUNTIF('D112'!D9,"Aula 3"))&gt;0,1,0)+IF((COUNTIF('D211'!D9,"Aula 3"))&gt;0,1,0)+IF((COUNTIF('D311'!D9,"Aula 3"))&gt;0,1,0)+IF((COUNTIF('D411'!D9,"Aula 3"))&gt;0,1,0))=1,IF((COUNTIF('C111'!D9,"Aula 3")+COUNTIF('C112'!D9,"Aula 3")+COUNTIF('C113'!D9,"Aula 3")+COUNTIF('C121'!D9,"Aula 3")+COUNTIF('C122'!D9,"Aula 3"))&gt;0,"C1",IF((COUNTIF('C211'!D9,"Aula 3")+COUNTIF('C212'!D9,"Aula 3"))&gt;0,"C2",IF((COUNTIF('C311'!D9,"Aula 3")+COUNTIF('C312'!D9,"Aula 3"))&gt;0,"C3",IF((COUNTIF('C411'!D9,"Aula 3")+COUNTIF('C412'!D9,"Aula 3"))&gt;0,"C4",IF((COUNTIF('M111'!D9,"Aula 3")+COUNTIF('M112'!D9,"Aula 3"))&gt;0,"M1",IF((COUNTIF('M211'!D9,"Aula 3")+COUNTIF('M212'!D9,"Aula 3"))&gt;0,"M2",IF((COUNTIF('M311'!D9,"Aula 3"))&gt;0,"M3",IF((COUNTIF('M411'!D9,"Aula 3"))&gt;0,"M4",IF((COUNTIF('D111'!D9,"Aula 3")+COUNTIF('D112'!D9,"Aula 3"))&gt;0,"D1",IF((COUNTIF('D211'!D9,"Aula 3"))&gt;0,"D2",IF((COUNTIF('D311'!D9,"Aula 3"))&gt;0,"D3",IF((COUNTIF('D411'!D9,"Aula 3"))&gt;0,"D4","")))))))))))),"MIX"))</f>
        <v/>
      </c>
    </row>
    <row r="214">
      <c r="C214">
        <f>IF((IF((COUNTIF('C111'!D9,"Aula 4")+COUNTIF('C112'!D9,"Aula 4")+COUNTIF('C113'!D9,"Aula 4")+COUNTIF('C121'!D9,"Aula 4")+COUNTIF('C122'!D9,"Aula 4"))&gt;0,1,0)+IF((COUNTIF('C211'!D9,"Aula 4")+COUNTIF('C212'!D9,"Aula 4"))&gt;0,1,0)+IF((COUNTIF('C311'!D9,"Aula 4")+COUNTIF('C312'!D9,"Aula 4"))&gt;0,1,0)+IF((COUNTIF('C411'!D9,"Aula 4")+COUNTIF('C412'!D9,"Aula 4"))&gt;0,1,0)+IF((COUNTIF('M111'!D9,"Aula 4")+COUNTIF('M112'!D9,"Aula 4"))&gt;0,1,0)+IF((COUNTIF('M211'!D9,"Aula 4")+COUNTIF('M212'!D9,"Aula 4"))&gt;0,1,0)+IF((COUNTIF('M311'!D9,"Aula 4"))&gt;0,1,0)+IF((COUNTIF('M411'!D9,"Aula 4"))&gt;0,1,0)+IF((COUNTIF('D111'!D9,"Aula 4")+COUNTIF('D112'!D9,"Aula 4"))&gt;0,1,0)+IF((COUNTIF('D211'!D9,"Aula 4"))&gt;0,1,0)+IF((COUNTIF('D311'!D9,"Aula 4"))&gt;0,1,0)+IF((COUNTIF('D411'!D9,"Aula 4"))&gt;0,1,0))=0,"",IF((IF((COUNTIF('C111'!D9,"Aula 4")+COUNTIF('C112'!D9,"Aula 4")+COUNTIF('C113'!D9,"Aula 4")+COUNTIF('C121'!D9,"Aula 4")+COUNTIF('C122'!D9,"Aula 4"))&gt;0,1,0)+IF((COUNTIF('C211'!D9,"Aula 4")+COUNTIF('C212'!D9,"Aula 4"))&gt;0,1,0)+IF((COUNTIF('C311'!D9,"Aula 4")+COUNTIF('C312'!D9,"Aula 4"))&gt;0,1,0)+IF((COUNTIF('C411'!D9,"Aula 4")+COUNTIF('C412'!D9,"Aula 4"))&gt;0,1,0)+IF((COUNTIF('M111'!D9,"Aula 4")+COUNTIF('M112'!D9,"Aula 4"))&gt;0,1,0)+IF((COUNTIF('M211'!D9,"Aula 4")+COUNTIF('M212'!D9,"Aula 4"))&gt;0,1,0)+IF((COUNTIF('M311'!D9,"Aula 4"))&gt;0,1,0)+IF((COUNTIF('M411'!D9,"Aula 4"))&gt;0,1,0)+IF((COUNTIF('D111'!D9,"Aula 4")+COUNTIF('D112'!D9,"Aula 4"))&gt;0,1,0)+IF((COUNTIF('D211'!D9,"Aula 4"))&gt;0,1,0)+IF((COUNTIF('D311'!D9,"Aula 4"))&gt;0,1,0)+IF((COUNTIF('D411'!D9,"Aula 4"))&gt;0,1,0))=1,IF((COUNTIF('C111'!D9,"Aula 4")+COUNTIF('C112'!D9,"Aula 4")+COUNTIF('C113'!D9,"Aula 4")+COUNTIF('C121'!D9,"Aula 4")+COUNTIF('C122'!D9,"Aula 4"))&gt;0,"C1",IF((COUNTIF('C211'!D9,"Aula 4")+COUNTIF('C212'!D9,"Aula 4"))&gt;0,"C2",IF((COUNTIF('C311'!D9,"Aula 4")+COUNTIF('C312'!D9,"Aula 4"))&gt;0,"C3",IF((COUNTIF('C411'!D9,"Aula 4")+COUNTIF('C412'!D9,"Aula 4"))&gt;0,"C4",IF((COUNTIF('M111'!D9,"Aula 4")+COUNTIF('M112'!D9,"Aula 4"))&gt;0,"M1",IF((COUNTIF('M211'!D9,"Aula 4")+COUNTIF('M212'!D9,"Aula 4"))&gt;0,"M2",IF((COUNTIF('M311'!D9,"Aula 4"))&gt;0,"M3",IF((COUNTIF('M411'!D9,"Aula 4"))&gt;0,"M4",IF((COUNTIF('D111'!D9,"Aula 4")+COUNTIF('D112'!D9,"Aula 4"))&gt;0,"D1",IF((COUNTIF('D211'!D9,"Aula 4"))&gt;0,"D2",IF((COUNTIF('D311'!D9,"Aula 4"))&gt;0,"D3",IF((COUNTIF('D411'!D9,"Aula 4"))&gt;0,"D4","")))))))))))),"MIX"))</f>
        <v/>
      </c>
    </row>
    <row r="215">
      <c r="C215">
        <f>IF((IF((COUNTIF('C111'!D9,"Aula 5")+COUNTIF('C112'!D9,"Aula 5")+COUNTIF('C113'!D9,"Aula 5")+COUNTIF('C121'!D9,"Aula 5")+COUNTIF('C122'!D9,"Aula 5"))&gt;0,1,0)+IF((COUNTIF('C211'!D9,"Aula 5")+COUNTIF('C212'!D9,"Aula 5"))&gt;0,1,0)+IF((COUNTIF('C311'!D9,"Aula 5")+COUNTIF('C312'!D9,"Aula 5"))&gt;0,1,0)+IF((COUNTIF('C411'!D9,"Aula 5")+COUNTIF('C412'!D9,"Aula 5"))&gt;0,1,0)+IF((COUNTIF('M111'!D9,"Aula 5")+COUNTIF('M112'!D9,"Aula 5"))&gt;0,1,0)+IF((COUNTIF('M211'!D9,"Aula 5")+COUNTIF('M212'!D9,"Aula 5"))&gt;0,1,0)+IF((COUNTIF('M311'!D9,"Aula 5"))&gt;0,1,0)+IF((COUNTIF('M411'!D9,"Aula 5"))&gt;0,1,0)+IF((COUNTIF('D111'!D9,"Aula 5")+COUNTIF('D112'!D9,"Aula 5"))&gt;0,1,0)+IF((COUNTIF('D211'!D9,"Aula 5"))&gt;0,1,0)+IF((COUNTIF('D311'!D9,"Aula 5"))&gt;0,1,0)+IF((COUNTIF('D411'!D9,"Aula 5"))&gt;0,1,0))=0,"",IF((IF((COUNTIF('C111'!D9,"Aula 5")+COUNTIF('C112'!D9,"Aula 5")+COUNTIF('C113'!D9,"Aula 5")+COUNTIF('C121'!D9,"Aula 5")+COUNTIF('C122'!D9,"Aula 5"))&gt;0,1,0)+IF((COUNTIF('C211'!D9,"Aula 5")+COUNTIF('C212'!D9,"Aula 5"))&gt;0,1,0)+IF((COUNTIF('C311'!D9,"Aula 5")+COUNTIF('C312'!D9,"Aula 5"))&gt;0,1,0)+IF((COUNTIF('C411'!D9,"Aula 5")+COUNTIF('C412'!D9,"Aula 5"))&gt;0,1,0)+IF((COUNTIF('M111'!D9,"Aula 5")+COUNTIF('M112'!D9,"Aula 5"))&gt;0,1,0)+IF((COUNTIF('M211'!D9,"Aula 5")+COUNTIF('M212'!D9,"Aula 5"))&gt;0,1,0)+IF((COUNTIF('M311'!D9,"Aula 5"))&gt;0,1,0)+IF((COUNTIF('M411'!D9,"Aula 5"))&gt;0,1,0)+IF((COUNTIF('D111'!D9,"Aula 5")+COUNTIF('D112'!D9,"Aula 5"))&gt;0,1,0)+IF((COUNTIF('D211'!D9,"Aula 5"))&gt;0,1,0)+IF((COUNTIF('D311'!D9,"Aula 5"))&gt;0,1,0)+IF((COUNTIF('D411'!D9,"Aula 5"))&gt;0,1,0))=1,IF((COUNTIF('C111'!D9,"Aula 5")+COUNTIF('C112'!D9,"Aula 5")+COUNTIF('C113'!D9,"Aula 5")+COUNTIF('C121'!D9,"Aula 5")+COUNTIF('C122'!D9,"Aula 5"))&gt;0,"C1",IF((COUNTIF('C211'!D9,"Aula 5")+COUNTIF('C212'!D9,"Aula 5"))&gt;0,"C2",IF((COUNTIF('C311'!D9,"Aula 5")+COUNTIF('C312'!D9,"Aula 5"))&gt;0,"C3",IF((COUNTIF('C411'!D9,"Aula 5")+COUNTIF('C412'!D9,"Aula 5"))&gt;0,"C4",IF((COUNTIF('M111'!D9,"Aula 5")+COUNTIF('M112'!D9,"Aula 5"))&gt;0,"M1",IF((COUNTIF('M211'!D9,"Aula 5")+COUNTIF('M212'!D9,"Aula 5"))&gt;0,"M2",IF((COUNTIF('M311'!D9,"Aula 5"))&gt;0,"M3",IF((COUNTIF('M411'!D9,"Aula 5"))&gt;0,"M4",IF((COUNTIF('D111'!D9,"Aula 5")+COUNTIF('D112'!D9,"Aula 5"))&gt;0,"D1",IF((COUNTIF('D211'!D9,"Aula 5"))&gt;0,"D2",IF((COUNTIF('D311'!D9,"Aula 5"))&gt;0,"D3",IF((COUNTIF('D411'!D9,"Aula 5"))&gt;0,"D4","")))))))))))),"MIX"))</f>
        <v/>
      </c>
    </row>
    <row r="216">
      <c r="C216">
        <f>IF((IF((COUNTIF('C111'!D9,"Aula 6")+COUNTIF('C112'!D9,"Aula 6")+COUNTIF('C113'!D9,"Aula 6")+COUNTIF('C121'!D9,"Aula 6")+COUNTIF('C122'!D9,"Aula 6"))&gt;0,1,0)+IF((COUNTIF('C211'!D9,"Aula 6")+COUNTIF('C212'!D9,"Aula 6"))&gt;0,1,0)+IF((COUNTIF('C311'!D9,"Aula 6")+COUNTIF('C312'!D9,"Aula 6"))&gt;0,1,0)+IF((COUNTIF('C411'!D9,"Aula 6")+COUNTIF('C412'!D9,"Aula 6"))&gt;0,1,0)+IF((COUNTIF('M111'!D9,"Aula 6")+COUNTIF('M112'!D9,"Aula 6"))&gt;0,1,0)+IF((COUNTIF('M211'!D9,"Aula 6")+COUNTIF('M212'!D9,"Aula 6"))&gt;0,1,0)+IF((COUNTIF('M311'!D9,"Aula 6"))&gt;0,1,0)+IF((COUNTIF('M411'!D9,"Aula 6"))&gt;0,1,0)+IF((COUNTIF('D111'!D9,"Aula 6")+COUNTIF('D112'!D9,"Aula 6"))&gt;0,1,0)+IF((COUNTIF('D211'!D9,"Aula 6"))&gt;0,1,0)+IF((COUNTIF('D311'!D9,"Aula 6"))&gt;0,1,0)+IF((COUNTIF('D411'!D9,"Aula 6"))&gt;0,1,0))=0,"",IF((IF((COUNTIF('C111'!D9,"Aula 6")+COUNTIF('C112'!D9,"Aula 6")+COUNTIF('C113'!D9,"Aula 6")+COUNTIF('C121'!D9,"Aula 6")+COUNTIF('C122'!D9,"Aula 6"))&gt;0,1,0)+IF((COUNTIF('C211'!D9,"Aula 6")+COUNTIF('C212'!D9,"Aula 6"))&gt;0,1,0)+IF((COUNTIF('C311'!D9,"Aula 6")+COUNTIF('C312'!D9,"Aula 6"))&gt;0,1,0)+IF((COUNTIF('C411'!D9,"Aula 6")+COUNTIF('C412'!D9,"Aula 6"))&gt;0,1,0)+IF((COUNTIF('M111'!D9,"Aula 6")+COUNTIF('M112'!D9,"Aula 6"))&gt;0,1,0)+IF((COUNTIF('M211'!D9,"Aula 6")+COUNTIF('M212'!D9,"Aula 6"))&gt;0,1,0)+IF((COUNTIF('M311'!D9,"Aula 6"))&gt;0,1,0)+IF((COUNTIF('M411'!D9,"Aula 6"))&gt;0,1,0)+IF((COUNTIF('D111'!D9,"Aula 6")+COUNTIF('D112'!D9,"Aula 6"))&gt;0,1,0)+IF((COUNTIF('D211'!D9,"Aula 6"))&gt;0,1,0)+IF((COUNTIF('D311'!D9,"Aula 6"))&gt;0,1,0)+IF((COUNTIF('D411'!D9,"Aula 6"))&gt;0,1,0))=1,IF((COUNTIF('C111'!D9,"Aula 6")+COUNTIF('C112'!D9,"Aula 6")+COUNTIF('C113'!D9,"Aula 6")+COUNTIF('C121'!D9,"Aula 6")+COUNTIF('C122'!D9,"Aula 6"))&gt;0,"C1",IF((COUNTIF('C211'!D9,"Aula 6")+COUNTIF('C212'!D9,"Aula 6"))&gt;0,"C2",IF((COUNTIF('C311'!D9,"Aula 6")+COUNTIF('C312'!D9,"Aula 6"))&gt;0,"C3",IF((COUNTIF('C411'!D9,"Aula 6")+COUNTIF('C412'!D9,"Aula 6"))&gt;0,"C4",IF((COUNTIF('M111'!D9,"Aula 6")+COUNTIF('M112'!D9,"Aula 6"))&gt;0,"M1",IF((COUNTIF('M211'!D9,"Aula 6")+COUNTIF('M212'!D9,"Aula 6"))&gt;0,"M2",IF((COUNTIF('M311'!D9,"Aula 6"))&gt;0,"M3",IF((COUNTIF('M411'!D9,"Aula 6"))&gt;0,"M4",IF((COUNTIF('D111'!D9,"Aula 6")+COUNTIF('D112'!D9,"Aula 6"))&gt;0,"D1",IF((COUNTIF('D211'!D9,"Aula 6"))&gt;0,"D2",IF((COUNTIF('D311'!D9,"Aula 6"))&gt;0,"D3",IF((COUNTIF('D411'!D9,"Aula 6"))&gt;0,"D4","")))))))))))),"MIX"))</f>
        <v/>
      </c>
    </row>
    <row r="217">
      <c r="C217">
        <f>IF((IF((COUNTIF('C111'!D9,"Aula 7")+COUNTIF('C112'!D9,"Aula 7")+COUNTIF('C113'!D9,"Aula 7")+COUNTIF('C121'!D9,"Aula 7")+COUNTIF('C122'!D9,"Aula 7"))&gt;0,1,0)+IF((COUNTIF('C211'!D9,"Aula 7")+COUNTIF('C212'!D9,"Aula 7"))&gt;0,1,0)+IF((COUNTIF('C311'!D9,"Aula 7")+COUNTIF('C312'!D9,"Aula 7"))&gt;0,1,0)+IF((COUNTIF('C411'!D9,"Aula 7")+COUNTIF('C412'!D9,"Aula 7"))&gt;0,1,0)+IF((COUNTIF('M111'!D9,"Aula 7")+COUNTIF('M112'!D9,"Aula 7"))&gt;0,1,0)+IF((COUNTIF('M211'!D9,"Aula 7")+COUNTIF('M212'!D9,"Aula 7"))&gt;0,1,0)+IF((COUNTIF('M311'!D9,"Aula 7"))&gt;0,1,0)+IF((COUNTIF('M411'!D9,"Aula 7"))&gt;0,1,0)+IF((COUNTIF('D111'!D9,"Aula 7")+COUNTIF('D112'!D9,"Aula 7"))&gt;0,1,0)+IF((COUNTIF('D211'!D9,"Aula 7"))&gt;0,1,0)+IF((COUNTIF('D311'!D9,"Aula 7"))&gt;0,1,0)+IF((COUNTIF('D411'!D9,"Aula 7"))&gt;0,1,0))=0,"",IF((IF((COUNTIF('C111'!D9,"Aula 7")+COUNTIF('C112'!D9,"Aula 7")+COUNTIF('C113'!D9,"Aula 7")+COUNTIF('C121'!D9,"Aula 7")+COUNTIF('C122'!D9,"Aula 7"))&gt;0,1,0)+IF((COUNTIF('C211'!D9,"Aula 7")+COUNTIF('C212'!D9,"Aula 7"))&gt;0,1,0)+IF((COUNTIF('C311'!D9,"Aula 7")+COUNTIF('C312'!D9,"Aula 7"))&gt;0,1,0)+IF((COUNTIF('C411'!D9,"Aula 7")+COUNTIF('C412'!D9,"Aula 7"))&gt;0,1,0)+IF((COUNTIF('M111'!D9,"Aula 7")+COUNTIF('M112'!D9,"Aula 7"))&gt;0,1,0)+IF((COUNTIF('M211'!D9,"Aula 7")+COUNTIF('M212'!D9,"Aula 7"))&gt;0,1,0)+IF((COUNTIF('M311'!D9,"Aula 7"))&gt;0,1,0)+IF((COUNTIF('M411'!D9,"Aula 7"))&gt;0,1,0)+IF((COUNTIF('D111'!D9,"Aula 7")+COUNTIF('D112'!D9,"Aula 7"))&gt;0,1,0)+IF((COUNTIF('D211'!D9,"Aula 7"))&gt;0,1,0)+IF((COUNTIF('D311'!D9,"Aula 7"))&gt;0,1,0)+IF((COUNTIF('D411'!D9,"Aula 7"))&gt;0,1,0))=1,IF((COUNTIF('C111'!D9,"Aula 7")+COUNTIF('C112'!D9,"Aula 7")+COUNTIF('C113'!D9,"Aula 7")+COUNTIF('C121'!D9,"Aula 7")+COUNTIF('C122'!D9,"Aula 7"))&gt;0,"C1",IF((COUNTIF('C211'!D9,"Aula 7")+COUNTIF('C212'!D9,"Aula 7"))&gt;0,"C2",IF((COUNTIF('C311'!D9,"Aula 7")+COUNTIF('C312'!D9,"Aula 7"))&gt;0,"C3",IF((COUNTIF('C411'!D9,"Aula 7")+COUNTIF('C412'!D9,"Aula 7"))&gt;0,"C4",IF((COUNTIF('M111'!D9,"Aula 7")+COUNTIF('M112'!D9,"Aula 7"))&gt;0,"M1",IF((COUNTIF('M211'!D9,"Aula 7")+COUNTIF('M212'!D9,"Aula 7"))&gt;0,"M2",IF((COUNTIF('M311'!D9,"Aula 7"))&gt;0,"M3",IF((COUNTIF('M411'!D9,"Aula 7"))&gt;0,"M4",IF((COUNTIF('D111'!D9,"Aula 7")+COUNTIF('D112'!D9,"Aula 7"))&gt;0,"D1",IF((COUNTIF('D211'!D9,"Aula 7"))&gt;0,"D2",IF((COUNTIF('D311'!D9,"Aula 7"))&gt;0,"D3",IF((COUNTIF('D411'!D9,"Aula 7"))&gt;0,"D4","")))))))))))),"MIX"))</f>
        <v/>
      </c>
    </row>
    <row r="218">
      <c r="C218">
        <f>IF((IF((COUNTIF('C111'!D9,"Aula 8")+COUNTIF('C112'!D9,"Aula 8")+COUNTIF('C113'!D9,"Aula 8")+COUNTIF('C121'!D9,"Aula 8")+COUNTIF('C122'!D9,"Aula 8"))&gt;0,1,0)+IF((COUNTIF('C211'!D9,"Aula 8")+COUNTIF('C212'!D9,"Aula 8"))&gt;0,1,0)+IF((COUNTIF('C311'!D9,"Aula 8")+COUNTIF('C312'!D9,"Aula 8"))&gt;0,1,0)+IF((COUNTIF('C411'!D9,"Aula 8")+COUNTIF('C412'!D9,"Aula 8"))&gt;0,1,0)+IF((COUNTIF('M111'!D9,"Aula 8")+COUNTIF('M112'!D9,"Aula 8"))&gt;0,1,0)+IF((COUNTIF('M211'!D9,"Aula 8")+COUNTIF('M212'!D9,"Aula 8"))&gt;0,1,0)+IF((COUNTIF('M311'!D9,"Aula 8"))&gt;0,1,0)+IF((COUNTIF('M411'!D9,"Aula 8"))&gt;0,1,0)+IF((COUNTIF('D111'!D9,"Aula 8")+COUNTIF('D112'!D9,"Aula 8"))&gt;0,1,0)+IF((COUNTIF('D211'!D9,"Aula 8"))&gt;0,1,0)+IF((COUNTIF('D311'!D9,"Aula 8"))&gt;0,1,0)+IF((COUNTIF('D411'!D9,"Aula 8"))&gt;0,1,0))=0,"",IF((IF((COUNTIF('C111'!D9,"Aula 8")+COUNTIF('C112'!D9,"Aula 8")+COUNTIF('C113'!D9,"Aula 8")+COUNTIF('C121'!D9,"Aula 8")+COUNTIF('C122'!D9,"Aula 8"))&gt;0,1,0)+IF((COUNTIF('C211'!D9,"Aula 8")+COUNTIF('C212'!D9,"Aula 8"))&gt;0,1,0)+IF((COUNTIF('C311'!D9,"Aula 8")+COUNTIF('C312'!D9,"Aula 8"))&gt;0,1,0)+IF((COUNTIF('C411'!D9,"Aula 8")+COUNTIF('C412'!D9,"Aula 8"))&gt;0,1,0)+IF((COUNTIF('M111'!D9,"Aula 8")+COUNTIF('M112'!D9,"Aula 8"))&gt;0,1,0)+IF((COUNTIF('M211'!D9,"Aula 8")+COUNTIF('M212'!D9,"Aula 8"))&gt;0,1,0)+IF((COUNTIF('M311'!D9,"Aula 8"))&gt;0,1,0)+IF((COUNTIF('M411'!D9,"Aula 8"))&gt;0,1,0)+IF((COUNTIF('D111'!D9,"Aula 8")+COUNTIF('D112'!D9,"Aula 8"))&gt;0,1,0)+IF((COUNTIF('D211'!D9,"Aula 8"))&gt;0,1,0)+IF((COUNTIF('D311'!D9,"Aula 8"))&gt;0,1,0)+IF((COUNTIF('D411'!D9,"Aula 8"))&gt;0,1,0))=1,IF((COUNTIF('C111'!D9,"Aula 8")+COUNTIF('C112'!D9,"Aula 8")+COUNTIF('C113'!D9,"Aula 8")+COUNTIF('C121'!D9,"Aula 8")+COUNTIF('C122'!D9,"Aula 8"))&gt;0,"C1",IF((COUNTIF('C211'!D9,"Aula 8")+COUNTIF('C212'!D9,"Aula 8"))&gt;0,"C2",IF((COUNTIF('C311'!D9,"Aula 8")+COUNTIF('C312'!D9,"Aula 8"))&gt;0,"C3",IF((COUNTIF('C411'!D9,"Aula 8")+COUNTIF('C412'!D9,"Aula 8"))&gt;0,"C4",IF((COUNTIF('M111'!D9,"Aula 8")+COUNTIF('M112'!D9,"Aula 8"))&gt;0,"M1",IF((COUNTIF('M211'!D9,"Aula 8")+COUNTIF('M212'!D9,"Aula 8"))&gt;0,"M2",IF((COUNTIF('M311'!D9,"Aula 8"))&gt;0,"M3",IF((COUNTIF('M411'!D9,"Aula 8"))&gt;0,"M4",IF((COUNTIF('D111'!D9,"Aula 8")+COUNTIF('D112'!D9,"Aula 8"))&gt;0,"D1",IF((COUNTIF('D211'!D9,"Aula 8"))&gt;0,"D2",IF((COUNTIF('D311'!D9,"Aula 8"))&gt;0,"D3",IF((COUNTIF('D411'!D9,"Aula 8"))&gt;0,"D4","")))))))))))),"MIX"))</f>
        <v/>
      </c>
    </row>
    <row r="219">
      <c r="C219">
        <f>IF((IF((COUNTIF('C111'!D9,"Aula 9")+COUNTIF('C112'!D9,"Aula 9")+COUNTIF('C113'!D9,"Aula 9")+COUNTIF('C121'!D9,"Aula 9")+COUNTIF('C122'!D9,"Aula 9"))&gt;0,1,0)+IF((COUNTIF('C211'!D9,"Aula 9")+COUNTIF('C212'!D9,"Aula 9"))&gt;0,1,0)+IF((COUNTIF('C311'!D9,"Aula 9")+COUNTIF('C312'!D9,"Aula 9"))&gt;0,1,0)+IF((COUNTIF('C411'!D9,"Aula 9")+COUNTIF('C412'!D9,"Aula 9"))&gt;0,1,0)+IF((COUNTIF('M111'!D9,"Aula 9")+COUNTIF('M112'!D9,"Aula 9"))&gt;0,1,0)+IF((COUNTIF('M211'!D9,"Aula 9")+COUNTIF('M212'!D9,"Aula 9"))&gt;0,1,0)+IF((COUNTIF('M311'!D9,"Aula 9"))&gt;0,1,0)+IF((COUNTIF('M411'!D9,"Aula 9"))&gt;0,1,0)+IF((COUNTIF('D111'!D9,"Aula 9")+COUNTIF('D112'!D9,"Aula 9"))&gt;0,1,0)+IF((COUNTIF('D211'!D9,"Aula 9"))&gt;0,1,0)+IF((COUNTIF('D311'!D9,"Aula 9"))&gt;0,1,0)+IF((COUNTIF('D411'!D9,"Aula 9"))&gt;0,1,0))=0,"",IF((IF((COUNTIF('C111'!D9,"Aula 9")+COUNTIF('C112'!D9,"Aula 9")+COUNTIF('C113'!D9,"Aula 9")+COUNTIF('C121'!D9,"Aula 9")+COUNTIF('C122'!D9,"Aula 9"))&gt;0,1,0)+IF((COUNTIF('C211'!D9,"Aula 9")+COUNTIF('C212'!D9,"Aula 9"))&gt;0,1,0)+IF((COUNTIF('C311'!D9,"Aula 9")+COUNTIF('C312'!D9,"Aula 9"))&gt;0,1,0)+IF((COUNTIF('C411'!D9,"Aula 9")+COUNTIF('C412'!D9,"Aula 9"))&gt;0,1,0)+IF((COUNTIF('M111'!D9,"Aula 9")+COUNTIF('M112'!D9,"Aula 9"))&gt;0,1,0)+IF((COUNTIF('M211'!D9,"Aula 9")+COUNTIF('M212'!D9,"Aula 9"))&gt;0,1,0)+IF((COUNTIF('M311'!D9,"Aula 9"))&gt;0,1,0)+IF((COUNTIF('M411'!D9,"Aula 9"))&gt;0,1,0)+IF((COUNTIF('D111'!D9,"Aula 9")+COUNTIF('D112'!D9,"Aula 9"))&gt;0,1,0)+IF((COUNTIF('D211'!D9,"Aula 9"))&gt;0,1,0)+IF((COUNTIF('D311'!D9,"Aula 9"))&gt;0,1,0)+IF((COUNTIF('D411'!D9,"Aula 9"))&gt;0,1,0))=1,IF((COUNTIF('C111'!D9,"Aula 9")+COUNTIF('C112'!D9,"Aula 9")+COUNTIF('C113'!D9,"Aula 9")+COUNTIF('C121'!D9,"Aula 9")+COUNTIF('C122'!D9,"Aula 9"))&gt;0,"C1",IF((COUNTIF('C211'!D9,"Aula 9")+COUNTIF('C212'!D9,"Aula 9"))&gt;0,"C2",IF((COUNTIF('C311'!D9,"Aula 9")+COUNTIF('C312'!D9,"Aula 9"))&gt;0,"C3",IF((COUNTIF('C411'!D9,"Aula 9")+COUNTIF('C412'!D9,"Aula 9"))&gt;0,"C4",IF((COUNTIF('M111'!D9,"Aula 9")+COUNTIF('M112'!D9,"Aula 9"))&gt;0,"M1",IF((COUNTIF('M211'!D9,"Aula 9")+COUNTIF('M212'!D9,"Aula 9"))&gt;0,"M2",IF((COUNTIF('M311'!D9,"Aula 9"))&gt;0,"M3",IF((COUNTIF('M411'!D9,"Aula 9"))&gt;0,"M4",IF((COUNTIF('D111'!D9,"Aula 9")+COUNTIF('D112'!D9,"Aula 9"))&gt;0,"D1",IF((COUNTIF('D211'!D9,"Aula 9"))&gt;0,"D2",IF((COUNTIF('D311'!D9,"Aula 9"))&gt;0,"D3",IF((COUNTIF('D411'!D9,"Aula 9"))&gt;0,"D4","")))))))))))),"MIX"))</f>
        <v/>
      </c>
    </row>
    <row r="220">
      <c r="C220">
        <f>IF((IF((COUNTIF('C111'!D9,"Aula 10")+COUNTIF('C112'!D9,"Aula 10")+COUNTIF('C113'!D9,"Aula 10")+COUNTIF('C121'!D9,"Aula 10")+COUNTIF('C122'!D9,"Aula 10"))&gt;0,1,0)+IF((COUNTIF('C211'!D9,"Aula 10")+COUNTIF('C212'!D9,"Aula 10"))&gt;0,1,0)+IF((COUNTIF('C311'!D9,"Aula 10")+COUNTIF('C312'!D9,"Aula 10"))&gt;0,1,0)+IF((COUNTIF('C411'!D9,"Aula 10")+COUNTIF('C412'!D9,"Aula 10"))&gt;0,1,0)+IF((COUNTIF('M111'!D9,"Aula 10")+COUNTIF('M112'!D9,"Aula 10"))&gt;0,1,0)+IF((COUNTIF('M211'!D9,"Aula 10")+COUNTIF('M212'!D9,"Aula 10"))&gt;0,1,0)+IF((COUNTIF('M311'!D9,"Aula 10"))&gt;0,1,0)+IF((COUNTIF('M411'!D9,"Aula 10"))&gt;0,1,0)+IF((COUNTIF('D111'!D9,"Aula 10")+COUNTIF('D112'!D9,"Aula 10"))&gt;0,1,0)+IF((COUNTIF('D211'!D9,"Aula 10"))&gt;0,1,0)+IF((COUNTIF('D311'!D9,"Aula 10"))&gt;0,1,0)+IF((COUNTIF('D411'!D9,"Aula 10"))&gt;0,1,0))=0,"",IF((IF((COUNTIF('C111'!D9,"Aula 10")+COUNTIF('C112'!D9,"Aula 10")+COUNTIF('C113'!D9,"Aula 10")+COUNTIF('C121'!D9,"Aula 10")+COUNTIF('C122'!D9,"Aula 10"))&gt;0,1,0)+IF((COUNTIF('C211'!D9,"Aula 10")+COUNTIF('C212'!D9,"Aula 10"))&gt;0,1,0)+IF((COUNTIF('C311'!D9,"Aula 10")+COUNTIF('C312'!D9,"Aula 10"))&gt;0,1,0)+IF((COUNTIF('C411'!D9,"Aula 10")+COUNTIF('C412'!D9,"Aula 10"))&gt;0,1,0)+IF((COUNTIF('M111'!D9,"Aula 10")+COUNTIF('M112'!D9,"Aula 10"))&gt;0,1,0)+IF((COUNTIF('M211'!D9,"Aula 10")+COUNTIF('M212'!D9,"Aula 10"))&gt;0,1,0)+IF((COUNTIF('M311'!D9,"Aula 10"))&gt;0,1,0)+IF((COUNTIF('M411'!D9,"Aula 10"))&gt;0,1,0)+IF((COUNTIF('D111'!D9,"Aula 10")+COUNTIF('D112'!D9,"Aula 10"))&gt;0,1,0)+IF((COUNTIF('D211'!D9,"Aula 10"))&gt;0,1,0)+IF((COUNTIF('D311'!D9,"Aula 10"))&gt;0,1,0)+IF((COUNTIF('D411'!D9,"Aula 10"))&gt;0,1,0))=1,IF((COUNTIF('C111'!D9,"Aula 10")+COUNTIF('C112'!D9,"Aula 10")+COUNTIF('C113'!D9,"Aula 10")+COUNTIF('C121'!D9,"Aula 10")+COUNTIF('C122'!D9,"Aula 10"))&gt;0,"C1",IF((COUNTIF('C211'!D9,"Aula 10")+COUNTIF('C212'!D9,"Aula 10"))&gt;0,"C2",IF((COUNTIF('C311'!D9,"Aula 10")+COUNTIF('C312'!D9,"Aula 10"))&gt;0,"C3",IF((COUNTIF('C411'!D9,"Aula 10")+COUNTIF('C412'!D9,"Aula 10"))&gt;0,"C4",IF((COUNTIF('M111'!D9,"Aula 10")+COUNTIF('M112'!D9,"Aula 10"))&gt;0,"M1",IF((COUNTIF('M211'!D9,"Aula 10")+COUNTIF('M212'!D9,"Aula 10"))&gt;0,"M2",IF((COUNTIF('M311'!D9,"Aula 10"))&gt;0,"M3",IF((COUNTIF('M411'!D9,"Aula 10"))&gt;0,"M4",IF((COUNTIF('D111'!D9,"Aula 10")+COUNTIF('D112'!D9,"Aula 10"))&gt;0,"D1",IF((COUNTIF('D211'!D9,"Aula 10"))&gt;0,"D2",IF((COUNTIF('D311'!D9,"Aula 10"))&gt;0,"D3",IF((COUNTIF('D411'!D9,"Aula 10"))&gt;0,"D4","")))))))))))),"MIX"))</f>
        <v/>
      </c>
    </row>
    <row r="221">
      <c r="C221">
        <f>IF((IF((COUNTIF('C111'!D9,"Aula 11")+COUNTIF('C112'!D9,"Aula 11")+COUNTIF('C113'!D9,"Aula 11")+COUNTIF('C121'!D9,"Aula 11")+COUNTIF('C122'!D9,"Aula 11"))&gt;0,1,0)+IF((COUNTIF('C211'!D9,"Aula 11")+COUNTIF('C212'!D9,"Aula 11"))&gt;0,1,0)+IF((COUNTIF('C311'!D9,"Aula 11")+COUNTIF('C312'!D9,"Aula 11"))&gt;0,1,0)+IF((COUNTIF('C411'!D9,"Aula 11")+COUNTIF('C412'!D9,"Aula 11"))&gt;0,1,0)+IF((COUNTIF('M111'!D9,"Aula 11")+COUNTIF('M112'!D9,"Aula 11"))&gt;0,1,0)+IF((COUNTIF('M211'!D9,"Aula 11")+COUNTIF('M212'!D9,"Aula 11"))&gt;0,1,0)+IF((COUNTIF('M311'!D9,"Aula 11"))&gt;0,1,0)+IF((COUNTIF('M411'!D9,"Aula 11"))&gt;0,1,0)+IF((COUNTIF('D111'!D9,"Aula 11")+COUNTIF('D112'!D9,"Aula 11"))&gt;0,1,0)+IF((COUNTIF('D211'!D9,"Aula 11"))&gt;0,1,0)+IF((COUNTIF('D311'!D9,"Aula 11"))&gt;0,1,0)+IF((COUNTIF('D411'!D9,"Aula 11"))&gt;0,1,0))=0,"",IF((IF((COUNTIF('C111'!D9,"Aula 11")+COUNTIF('C112'!D9,"Aula 11")+COUNTIF('C113'!D9,"Aula 11")+COUNTIF('C121'!D9,"Aula 11")+COUNTIF('C122'!D9,"Aula 11"))&gt;0,1,0)+IF((COUNTIF('C211'!D9,"Aula 11")+COUNTIF('C212'!D9,"Aula 11"))&gt;0,1,0)+IF((COUNTIF('C311'!D9,"Aula 11")+COUNTIF('C312'!D9,"Aula 11"))&gt;0,1,0)+IF((COUNTIF('C411'!D9,"Aula 11")+COUNTIF('C412'!D9,"Aula 11"))&gt;0,1,0)+IF((COUNTIF('M111'!D9,"Aula 11")+COUNTIF('M112'!D9,"Aula 11"))&gt;0,1,0)+IF((COUNTIF('M211'!D9,"Aula 11")+COUNTIF('M212'!D9,"Aula 11"))&gt;0,1,0)+IF((COUNTIF('M311'!D9,"Aula 11"))&gt;0,1,0)+IF((COUNTIF('M411'!D9,"Aula 11"))&gt;0,1,0)+IF((COUNTIF('D111'!D9,"Aula 11")+COUNTIF('D112'!D9,"Aula 11"))&gt;0,1,0)+IF((COUNTIF('D211'!D9,"Aula 11"))&gt;0,1,0)+IF((COUNTIF('D311'!D9,"Aula 11"))&gt;0,1,0)+IF((COUNTIF('D411'!D9,"Aula 11"))&gt;0,1,0))=1,IF((COUNTIF('C111'!D9,"Aula 11")+COUNTIF('C112'!D9,"Aula 11")+COUNTIF('C113'!D9,"Aula 11")+COUNTIF('C121'!D9,"Aula 11")+COUNTIF('C122'!D9,"Aula 11"))&gt;0,"C1",IF((COUNTIF('C211'!D9,"Aula 11")+COUNTIF('C212'!D9,"Aula 11"))&gt;0,"C2",IF((COUNTIF('C311'!D9,"Aula 11")+COUNTIF('C312'!D9,"Aula 11"))&gt;0,"C3",IF((COUNTIF('C411'!D9,"Aula 11")+COUNTIF('C412'!D9,"Aula 11"))&gt;0,"C4",IF((COUNTIF('M111'!D9,"Aula 11")+COUNTIF('M112'!D9,"Aula 11"))&gt;0,"M1",IF((COUNTIF('M211'!D9,"Aula 11")+COUNTIF('M212'!D9,"Aula 11"))&gt;0,"M2",IF((COUNTIF('M311'!D9,"Aula 11"))&gt;0,"M3",IF((COUNTIF('M411'!D9,"Aula 11"))&gt;0,"M4",IF((COUNTIF('D111'!D9,"Aula 11")+COUNTIF('D112'!D9,"Aula 11"))&gt;0,"D1",IF((COUNTIF('D211'!D9,"Aula 11"))&gt;0,"D2",IF((COUNTIF('D311'!D9,"Aula 11"))&gt;0,"D3",IF((COUNTIF('D411'!D9,"Aula 11"))&gt;0,"D4","")))))))))))),"MIX"))</f>
        <v/>
      </c>
    </row>
    <row r="222">
      <c r="C222">
        <f>IF((IF((COUNTIF('C111'!D9,"Aula 12")+COUNTIF('C112'!D9,"Aula 12")+COUNTIF('C113'!D9,"Aula 12")+COUNTIF('C121'!D9,"Aula 12")+COUNTIF('C122'!D9,"Aula 12"))&gt;0,1,0)+IF((COUNTIF('C211'!D9,"Aula 12")+COUNTIF('C212'!D9,"Aula 12"))&gt;0,1,0)+IF((COUNTIF('C311'!D9,"Aula 12")+COUNTIF('C312'!D9,"Aula 12"))&gt;0,1,0)+IF((COUNTIF('C411'!D9,"Aula 12")+COUNTIF('C412'!D9,"Aula 12"))&gt;0,1,0)+IF((COUNTIF('M111'!D9,"Aula 12")+COUNTIF('M112'!D9,"Aula 12"))&gt;0,1,0)+IF((COUNTIF('M211'!D9,"Aula 12")+COUNTIF('M212'!D9,"Aula 12"))&gt;0,1,0)+IF((COUNTIF('M311'!D9,"Aula 12"))&gt;0,1,0)+IF((COUNTIF('M411'!D9,"Aula 12"))&gt;0,1,0)+IF((COUNTIF('D111'!D9,"Aula 12")+COUNTIF('D112'!D9,"Aula 12"))&gt;0,1,0)+IF((COUNTIF('D211'!D9,"Aula 12"))&gt;0,1,0)+IF((COUNTIF('D311'!D9,"Aula 12"))&gt;0,1,0)+IF((COUNTIF('D411'!D9,"Aula 12"))&gt;0,1,0))=0,"",IF((IF((COUNTIF('C111'!D9,"Aula 12")+COUNTIF('C112'!D9,"Aula 12")+COUNTIF('C113'!D9,"Aula 12")+COUNTIF('C121'!D9,"Aula 12")+COUNTIF('C122'!D9,"Aula 12"))&gt;0,1,0)+IF((COUNTIF('C211'!D9,"Aula 12")+COUNTIF('C212'!D9,"Aula 12"))&gt;0,1,0)+IF((COUNTIF('C311'!D9,"Aula 12")+COUNTIF('C312'!D9,"Aula 12"))&gt;0,1,0)+IF((COUNTIF('C411'!D9,"Aula 12")+COUNTIF('C412'!D9,"Aula 12"))&gt;0,1,0)+IF((COUNTIF('M111'!D9,"Aula 12")+COUNTIF('M112'!D9,"Aula 12"))&gt;0,1,0)+IF((COUNTIF('M211'!D9,"Aula 12")+COUNTIF('M212'!D9,"Aula 12"))&gt;0,1,0)+IF((COUNTIF('M311'!D9,"Aula 12"))&gt;0,1,0)+IF((COUNTIF('M411'!D9,"Aula 12"))&gt;0,1,0)+IF((COUNTIF('D111'!D9,"Aula 12")+COUNTIF('D112'!D9,"Aula 12"))&gt;0,1,0)+IF((COUNTIF('D211'!D9,"Aula 12"))&gt;0,1,0)+IF((COUNTIF('D311'!D9,"Aula 12"))&gt;0,1,0)+IF((COUNTIF('D411'!D9,"Aula 12"))&gt;0,1,0))=1,IF((COUNTIF('C111'!D9,"Aula 12")+COUNTIF('C112'!D9,"Aula 12")+COUNTIF('C113'!D9,"Aula 12")+COUNTIF('C121'!D9,"Aula 12")+COUNTIF('C122'!D9,"Aula 12"))&gt;0,"C1",IF((COUNTIF('C211'!D9,"Aula 12")+COUNTIF('C212'!D9,"Aula 12"))&gt;0,"C2",IF((COUNTIF('C311'!D9,"Aula 12")+COUNTIF('C312'!D9,"Aula 12"))&gt;0,"C3",IF((COUNTIF('C411'!D9,"Aula 12")+COUNTIF('C412'!D9,"Aula 12"))&gt;0,"C4",IF((COUNTIF('M111'!D9,"Aula 12")+COUNTIF('M112'!D9,"Aula 12"))&gt;0,"M1",IF((COUNTIF('M211'!D9,"Aula 12")+COUNTIF('M212'!D9,"Aula 12"))&gt;0,"M2",IF((COUNTIF('M311'!D9,"Aula 12"))&gt;0,"M3",IF((COUNTIF('M411'!D9,"Aula 12"))&gt;0,"M4",IF((COUNTIF('D111'!D9,"Aula 12")+COUNTIF('D112'!D9,"Aula 12"))&gt;0,"D1",IF((COUNTIF('D211'!D9,"Aula 12"))&gt;0,"D2",IF((COUNTIF('D311'!D9,"Aula 12"))&gt;0,"D3",IF((COUNTIF('D411'!D9,"Aula 12"))&gt;0,"D4","")))))))))))),"MIX"))</f>
        <v/>
      </c>
    </row>
    <row r="223">
      <c r="C223">
        <f>IF((IF((COUNTIF('C111'!D9,"Lab 1")+COUNTIF('C112'!D9,"Lab 1")+COUNTIF('C113'!D9,"Lab 1")+COUNTIF('C121'!D9,"Lab 1")+COUNTIF('C122'!D9,"Lab 1"))&gt;0,1,0)+IF((COUNTIF('C211'!D9,"Lab 1")+COUNTIF('C212'!D9,"Lab 1"))&gt;0,1,0)+IF((COUNTIF('C311'!D9,"Lab 1")+COUNTIF('C312'!D9,"Lab 1"))&gt;0,1,0)+IF((COUNTIF('C411'!D9,"Lab 1")+COUNTIF('C412'!D9,"Lab 1"))&gt;0,1,0)+IF((COUNTIF('M111'!D9,"Lab 1")+COUNTIF('M112'!D9,"Lab 1"))&gt;0,1,0)+IF((COUNTIF('M211'!D9,"Lab 1")+COUNTIF('M212'!D9,"Lab 1"))&gt;0,1,0)+IF((COUNTIF('M311'!D9,"Lab 1"))&gt;0,1,0)+IF((COUNTIF('M411'!D9,"Lab 1"))&gt;0,1,0)+IF((COUNTIF('D111'!D9,"Lab 1")+COUNTIF('D112'!D9,"Lab 1"))&gt;0,1,0)+IF((COUNTIF('D211'!D9,"Lab 1"))&gt;0,1,0)+IF((COUNTIF('D311'!D9,"Lab 1"))&gt;0,1,0)+IF((COUNTIF('D411'!D9,"Lab 1"))&gt;0,1,0))=0,"",IF((IF((COUNTIF('C111'!D9,"Lab 1")+COUNTIF('C112'!D9,"Lab 1")+COUNTIF('C113'!D9,"Lab 1")+COUNTIF('C121'!D9,"Lab 1")+COUNTIF('C122'!D9,"Lab 1"))&gt;0,1,0)+IF((COUNTIF('C211'!D9,"Lab 1")+COUNTIF('C212'!D9,"Lab 1"))&gt;0,1,0)+IF((COUNTIF('C311'!D9,"Lab 1")+COUNTIF('C312'!D9,"Lab 1"))&gt;0,1,0)+IF((COUNTIF('C411'!D9,"Lab 1")+COUNTIF('C412'!D9,"Lab 1"))&gt;0,1,0)+IF((COUNTIF('M111'!D9,"Lab 1")+COUNTIF('M112'!D9,"Lab 1"))&gt;0,1,0)+IF((COUNTIF('M211'!D9,"Lab 1")+COUNTIF('M212'!D9,"Lab 1"))&gt;0,1,0)+IF((COUNTIF('M311'!D9,"Lab 1"))&gt;0,1,0)+IF((COUNTIF('M411'!D9,"Lab 1"))&gt;0,1,0)+IF((COUNTIF('D111'!D9,"Lab 1")+COUNTIF('D112'!D9,"Lab 1"))&gt;0,1,0)+IF((COUNTIF('D211'!D9,"Lab 1"))&gt;0,1,0)+IF((COUNTIF('D311'!D9,"Lab 1"))&gt;0,1,0)+IF((COUNTIF('D411'!D9,"Lab 1"))&gt;0,1,0))=1,IF((COUNTIF('C111'!D9,"Lab 1")+COUNTIF('C112'!D9,"Lab 1")+COUNTIF('C113'!D9,"Lab 1")+COUNTIF('C121'!D9,"Lab 1")+COUNTIF('C122'!D9,"Lab 1"))&gt;0,"C1",IF((COUNTIF('C211'!D9,"Lab 1")+COUNTIF('C212'!D9,"Lab 1"))&gt;0,"C2",IF((COUNTIF('C311'!D9,"Lab 1")+COUNTIF('C312'!D9,"Lab 1"))&gt;0,"C3",IF((COUNTIF('C411'!D9,"Lab 1")+COUNTIF('C412'!D9,"Lab 1"))&gt;0,"C4",IF((COUNTIF('M111'!D9,"Lab 1")+COUNTIF('M112'!D9,"Lab 1"))&gt;0,"M1",IF((COUNTIF('M211'!D9,"Lab 1")+COUNTIF('M212'!D9,"Lab 1"))&gt;0,"M2",IF((COUNTIF('M311'!D9,"Lab 1"))&gt;0,"M3",IF((COUNTIF('M411'!D9,"Lab 1"))&gt;0,"M4",IF((COUNTIF('D111'!D9,"Lab 1")+COUNTIF('D112'!D9,"Lab 1"))&gt;0,"D1",IF((COUNTIF('D211'!D9,"Lab 1"))&gt;0,"D2",IF((COUNTIF('D311'!D9,"Lab 1"))&gt;0,"D3",IF((COUNTIF('D411'!D9,"Lab 1"))&gt;0,"D4","")))))))))))),"MIX"))</f>
        <v/>
      </c>
    </row>
    <row r="224">
      <c r="C224">
        <f>IF((IF((COUNTIF('C111'!D9,"Lab 2")+COUNTIF('C112'!D9,"Lab 2")+COUNTIF('C113'!D9,"Lab 2")+COUNTIF('C121'!D9,"Lab 2")+COUNTIF('C122'!D9,"Lab 2"))&gt;0,1,0)+IF((COUNTIF('C211'!D9,"Lab 2")+COUNTIF('C212'!D9,"Lab 2"))&gt;0,1,0)+IF((COUNTIF('C311'!D9,"Lab 2")+COUNTIF('C312'!D9,"Lab 2"))&gt;0,1,0)+IF((COUNTIF('C411'!D9,"Lab 2")+COUNTIF('C412'!D9,"Lab 2"))&gt;0,1,0)+IF((COUNTIF('M111'!D9,"Lab 2")+COUNTIF('M112'!D9,"Lab 2"))&gt;0,1,0)+IF((COUNTIF('M211'!D9,"Lab 2")+COUNTIF('M212'!D9,"Lab 2"))&gt;0,1,0)+IF((COUNTIF('M311'!D9,"Lab 2"))&gt;0,1,0)+IF((COUNTIF('M411'!D9,"Lab 2"))&gt;0,1,0)+IF((COUNTIF('D111'!D9,"Lab 2")+COUNTIF('D112'!D9,"Lab 2"))&gt;0,1,0)+IF((COUNTIF('D211'!D9,"Lab 2"))&gt;0,1,0)+IF((COUNTIF('D311'!D9,"Lab 2"))&gt;0,1,0)+IF((COUNTIF('D411'!D9,"Lab 2"))&gt;0,1,0))=0,"",IF((IF((COUNTIF('C111'!D9,"Lab 2")+COUNTIF('C112'!D9,"Lab 2")+COUNTIF('C113'!D9,"Lab 2")+COUNTIF('C121'!D9,"Lab 2")+COUNTIF('C122'!D9,"Lab 2"))&gt;0,1,0)+IF((COUNTIF('C211'!D9,"Lab 2")+COUNTIF('C212'!D9,"Lab 2"))&gt;0,1,0)+IF((COUNTIF('C311'!D9,"Lab 2")+COUNTIF('C312'!D9,"Lab 2"))&gt;0,1,0)+IF((COUNTIF('C411'!D9,"Lab 2")+COUNTIF('C412'!D9,"Lab 2"))&gt;0,1,0)+IF((COUNTIF('M111'!D9,"Lab 2")+COUNTIF('M112'!D9,"Lab 2"))&gt;0,1,0)+IF((COUNTIF('M211'!D9,"Lab 2")+COUNTIF('M212'!D9,"Lab 2"))&gt;0,1,0)+IF((COUNTIF('M311'!D9,"Lab 2"))&gt;0,1,0)+IF((COUNTIF('M411'!D9,"Lab 2"))&gt;0,1,0)+IF((COUNTIF('D111'!D9,"Lab 2")+COUNTIF('D112'!D9,"Lab 2"))&gt;0,1,0)+IF((COUNTIF('D211'!D9,"Lab 2"))&gt;0,1,0)+IF((COUNTIF('D311'!D9,"Lab 2"))&gt;0,1,0)+IF((COUNTIF('D411'!D9,"Lab 2"))&gt;0,1,0))=1,IF((COUNTIF('C111'!D9,"Lab 2")+COUNTIF('C112'!D9,"Lab 2")+COUNTIF('C113'!D9,"Lab 2")+COUNTIF('C121'!D9,"Lab 2")+COUNTIF('C122'!D9,"Lab 2"))&gt;0,"C1",IF((COUNTIF('C211'!D9,"Lab 2")+COUNTIF('C212'!D9,"Lab 2"))&gt;0,"C2",IF((COUNTIF('C311'!D9,"Lab 2")+COUNTIF('C312'!D9,"Lab 2"))&gt;0,"C3",IF((COUNTIF('C411'!D9,"Lab 2")+COUNTIF('C412'!D9,"Lab 2"))&gt;0,"C4",IF((COUNTIF('M111'!D9,"Lab 2")+COUNTIF('M112'!D9,"Lab 2"))&gt;0,"M1",IF((COUNTIF('M211'!D9,"Lab 2")+COUNTIF('M212'!D9,"Lab 2"))&gt;0,"M2",IF((COUNTIF('M311'!D9,"Lab 2"))&gt;0,"M3",IF((COUNTIF('M411'!D9,"Lab 2"))&gt;0,"M4",IF((COUNTIF('D111'!D9,"Lab 2")+COUNTIF('D112'!D9,"Lab 2"))&gt;0,"D1",IF((COUNTIF('D211'!D9,"Lab 2"))&gt;0,"D2",IF((COUNTIF('D311'!D9,"Lab 2"))&gt;0,"D3",IF((COUNTIF('D411'!D9,"Lab 2"))&gt;0,"D4","")))))))))))),"MIX"))</f>
        <v/>
      </c>
    </row>
    <row r="225">
      <c r="C225">
        <f>IF((IF((COUNTIF('C111'!D9,"Salón")+COUNTIF('C112'!D9,"Salón")+COUNTIF('C113'!D9,"Salón")+COUNTIF('C121'!D9,"Salón")+COUNTIF('C122'!D9,"Salón"))&gt;0,1,0)+IF((COUNTIF('C211'!D9,"Salón")+COUNTIF('C212'!D9,"Salón"))&gt;0,1,0)+IF((COUNTIF('C311'!D9,"Salón")+COUNTIF('C312'!D9,"Salón"))&gt;0,1,0)+IF((COUNTIF('C411'!D9,"Salón")+COUNTIF('C412'!D9,"Salón"))&gt;0,1,0)+IF((COUNTIF('M111'!D9,"Salón")+COUNTIF('M112'!D9,"Salón"))&gt;0,1,0)+IF((COUNTIF('M211'!D9,"Salón")+COUNTIF('M212'!D9,"Salón"))&gt;0,1,0)+IF((COUNTIF('M311'!D9,"Salón"))&gt;0,1,0)+IF((COUNTIF('M411'!D9,"Salón"))&gt;0,1,0)+IF((COUNTIF('D111'!D9,"Salón")+COUNTIF('D112'!D9,"Salón"))&gt;0,1,0)+IF((COUNTIF('D211'!D9,"Salón"))&gt;0,1,0)+IF((COUNTIF('D311'!D9,"Salón"))&gt;0,1,0)+IF((COUNTIF('D411'!D9,"Salón"))&gt;0,1,0))=0,"",IF((IF((COUNTIF('C111'!D9,"Salón")+COUNTIF('C112'!D9,"Salón")+COUNTIF('C113'!D9,"Salón")+COUNTIF('C121'!D9,"Salón")+COUNTIF('C122'!D9,"Salón"))&gt;0,1,0)+IF((COUNTIF('C211'!D9,"Salón")+COUNTIF('C212'!D9,"Salón"))&gt;0,1,0)+IF((COUNTIF('C311'!D9,"Salón")+COUNTIF('C312'!D9,"Salón"))&gt;0,1,0)+IF((COUNTIF('C411'!D9,"Salón")+COUNTIF('C412'!D9,"Salón"))&gt;0,1,0)+IF((COUNTIF('M111'!D9,"Salón")+COUNTIF('M112'!D9,"Salón"))&gt;0,1,0)+IF((COUNTIF('M211'!D9,"Salón")+COUNTIF('M212'!D9,"Salón"))&gt;0,1,0)+IF((COUNTIF('M311'!D9,"Salón"))&gt;0,1,0)+IF((COUNTIF('M411'!D9,"Salón"))&gt;0,1,0)+IF((COUNTIF('D111'!D9,"Salón")+COUNTIF('D112'!D9,"Salón"))&gt;0,1,0)+IF((COUNTIF('D211'!D9,"Salón"))&gt;0,1,0)+IF((COUNTIF('D311'!D9,"Salón"))&gt;0,1,0)+IF((COUNTIF('D411'!D9,"Salón"))&gt;0,1,0))=1,IF((COUNTIF('C111'!D9,"Salón")+COUNTIF('C112'!D9,"Salón")+COUNTIF('C113'!D9,"Salón")+COUNTIF('C121'!D9,"Salón")+COUNTIF('C122'!D9,"Salón"))&gt;0,"C1",IF((COUNTIF('C211'!D9,"Salón")+COUNTIF('C212'!D9,"Salón"))&gt;0,"C2",IF((COUNTIF('C311'!D9,"Salón")+COUNTIF('C312'!D9,"Salón"))&gt;0,"C3",IF((COUNTIF('C411'!D9,"Salón")+COUNTIF('C412'!D9,"Salón"))&gt;0,"C4",IF((COUNTIF('M111'!D9,"Salón")+COUNTIF('M112'!D9,"Salón"))&gt;0,"M1",IF((COUNTIF('M211'!D9,"Salón")+COUNTIF('M212'!D9,"Salón"))&gt;0,"M2",IF((COUNTIF('M311'!D9,"Salón"))&gt;0,"M3",IF((COUNTIF('M411'!D9,"Salón"))&gt;0,"M4",IF((COUNTIF('D111'!D9,"Salón")+COUNTIF('D112'!D9,"Salón"))&gt;0,"D1",IF((COUNTIF('D211'!D9,"Salón"))&gt;0,"D2",IF((COUNTIF('D311'!D9,"Salón"))&gt;0,"D3",IF((COUNTIF('D411'!D9,"Salón"))&gt;0,"D4","")))))))))))),"MIX"))</f>
        <v/>
      </c>
    </row>
    <row r="226">
      <c r="C226">
        <f>IF((IF((COUNTIF('C111'!D11,"Aula 1")+COUNTIF('C112'!D11,"Aula 1")+COUNTIF('C113'!D11,"Aula 1")+COUNTIF('C121'!D11,"Aula 1")+COUNTIF('C122'!D11,"Aula 1"))&gt;0,1,0)+IF((COUNTIF('C211'!D11,"Aula 1")+COUNTIF('C212'!D11,"Aula 1"))&gt;0,1,0)+IF((COUNTIF('C311'!D11,"Aula 1")+COUNTIF('C312'!D11,"Aula 1"))&gt;0,1,0)+IF((COUNTIF('C411'!D11,"Aula 1")+COUNTIF('C412'!D11,"Aula 1"))&gt;0,1,0)+IF((COUNTIF('M111'!D11,"Aula 1")+COUNTIF('M112'!D11,"Aula 1"))&gt;0,1,0)+IF((COUNTIF('M211'!D11,"Aula 1")+COUNTIF('M212'!D11,"Aula 1"))&gt;0,1,0)+IF((COUNTIF('M311'!D11,"Aula 1"))&gt;0,1,0)+IF((COUNTIF('M411'!D11,"Aula 1"))&gt;0,1,0)+IF((COUNTIF('D111'!D11,"Aula 1")+COUNTIF('D112'!D11,"Aula 1"))&gt;0,1,0)+IF((COUNTIF('D211'!D11,"Aula 1"))&gt;0,1,0)+IF((COUNTIF('D311'!D11,"Aula 1"))&gt;0,1,0)+IF((COUNTIF('D411'!D11,"Aula 1"))&gt;0,1,0))=0,"",IF((IF((COUNTIF('C111'!D11,"Aula 1")+COUNTIF('C112'!D11,"Aula 1")+COUNTIF('C113'!D11,"Aula 1")+COUNTIF('C121'!D11,"Aula 1")+COUNTIF('C122'!D11,"Aula 1"))&gt;0,1,0)+IF((COUNTIF('C211'!D11,"Aula 1")+COUNTIF('C212'!D11,"Aula 1"))&gt;0,1,0)+IF((COUNTIF('C311'!D11,"Aula 1")+COUNTIF('C312'!D11,"Aula 1"))&gt;0,1,0)+IF((COUNTIF('C411'!D11,"Aula 1")+COUNTIF('C412'!D11,"Aula 1"))&gt;0,1,0)+IF((COUNTIF('M111'!D11,"Aula 1")+COUNTIF('M112'!D11,"Aula 1"))&gt;0,1,0)+IF((COUNTIF('M211'!D11,"Aula 1")+COUNTIF('M212'!D11,"Aula 1"))&gt;0,1,0)+IF((COUNTIF('M311'!D11,"Aula 1"))&gt;0,1,0)+IF((COUNTIF('M411'!D11,"Aula 1"))&gt;0,1,0)+IF((COUNTIF('D111'!D11,"Aula 1")+COUNTIF('D112'!D11,"Aula 1"))&gt;0,1,0)+IF((COUNTIF('D211'!D11,"Aula 1"))&gt;0,1,0)+IF((COUNTIF('D311'!D11,"Aula 1"))&gt;0,1,0)+IF((COUNTIF('D411'!D11,"Aula 1"))&gt;0,1,0))=1,IF((COUNTIF('C111'!D11,"Aula 1")+COUNTIF('C112'!D11,"Aula 1")+COUNTIF('C113'!D11,"Aula 1")+COUNTIF('C121'!D11,"Aula 1")+COUNTIF('C122'!D11,"Aula 1"))&gt;0,"C1",IF((COUNTIF('C211'!D11,"Aula 1")+COUNTIF('C212'!D11,"Aula 1"))&gt;0,"C2",IF((COUNTIF('C311'!D11,"Aula 1")+COUNTIF('C312'!D11,"Aula 1"))&gt;0,"C3",IF((COUNTIF('C411'!D11,"Aula 1")+COUNTIF('C412'!D11,"Aula 1"))&gt;0,"C4",IF((COUNTIF('M111'!D11,"Aula 1")+COUNTIF('M112'!D11,"Aula 1"))&gt;0,"M1",IF((COUNTIF('M211'!D11,"Aula 1")+COUNTIF('M212'!D11,"Aula 1"))&gt;0,"M2",IF((COUNTIF('M311'!D11,"Aula 1"))&gt;0,"M3",IF((COUNTIF('M411'!D11,"Aula 1"))&gt;0,"M4",IF((COUNTIF('D111'!D11,"Aula 1")+COUNTIF('D112'!D11,"Aula 1"))&gt;0,"D1",IF((COUNTIF('D211'!D11,"Aula 1"))&gt;0,"D2",IF((COUNTIF('D311'!D11,"Aula 1"))&gt;0,"D3",IF((COUNTIF('D411'!D11,"Aula 1"))&gt;0,"D4","")))))))))))),"MIX"))</f>
        <v/>
      </c>
    </row>
    <row r="227">
      <c r="C227">
        <f>IF((IF((COUNTIF('C111'!D11,"Aula 2")+COUNTIF('C112'!D11,"Aula 2")+COUNTIF('C113'!D11,"Aula 2")+COUNTIF('C121'!D11,"Aula 2")+COUNTIF('C122'!D11,"Aula 2"))&gt;0,1,0)+IF((COUNTIF('C211'!D11,"Aula 2")+COUNTIF('C212'!D11,"Aula 2"))&gt;0,1,0)+IF((COUNTIF('C311'!D11,"Aula 2")+COUNTIF('C312'!D11,"Aula 2"))&gt;0,1,0)+IF((COUNTIF('C411'!D11,"Aula 2")+COUNTIF('C412'!D11,"Aula 2"))&gt;0,1,0)+IF((COUNTIF('M111'!D11,"Aula 2")+COUNTIF('M112'!D11,"Aula 2"))&gt;0,1,0)+IF((COUNTIF('M211'!D11,"Aula 2")+COUNTIF('M212'!D11,"Aula 2"))&gt;0,1,0)+IF((COUNTIF('M311'!D11,"Aula 2"))&gt;0,1,0)+IF((COUNTIF('M411'!D11,"Aula 2"))&gt;0,1,0)+IF((COUNTIF('D111'!D11,"Aula 2")+COUNTIF('D112'!D11,"Aula 2"))&gt;0,1,0)+IF((COUNTIF('D211'!D11,"Aula 2"))&gt;0,1,0)+IF((COUNTIF('D311'!D11,"Aula 2"))&gt;0,1,0)+IF((COUNTIF('D411'!D11,"Aula 2"))&gt;0,1,0))=0,"",IF((IF((COUNTIF('C111'!D11,"Aula 2")+COUNTIF('C112'!D11,"Aula 2")+COUNTIF('C113'!D11,"Aula 2")+COUNTIF('C121'!D11,"Aula 2")+COUNTIF('C122'!D11,"Aula 2"))&gt;0,1,0)+IF((COUNTIF('C211'!D11,"Aula 2")+COUNTIF('C212'!D11,"Aula 2"))&gt;0,1,0)+IF((COUNTIF('C311'!D11,"Aula 2")+COUNTIF('C312'!D11,"Aula 2"))&gt;0,1,0)+IF((COUNTIF('C411'!D11,"Aula 2")+COUNTIF('C412'!D11,"Aula 2"))&gt;0,1,0)+IF((COUNTIF('M111'!D11,"Aula 2")+COUNTIF('M112'!D11,"Aula 2"))&gt;0,1,0)+IF((COUNTIF('M211'!D11,"Aula 2")+COUNTIF('M212'!D11,"Aula 2"))&gt;0,1,0)+IF((COUNTIF('M311'!D11,"Aula 2"))&gt;0,1,0)+IF((COUNTIF('M411'!D11,"Aula 2"))&gt;0,1,0)+IF((COUNTIF('D111'!D11,"Aula 2")+COUNTIF('D112'!D11,"Aula 2"))&gt;0,1,0)+IF((COUNTIF('D211'!D11,"Aula 2"))&gt;0,1,0)+IF((COUNTIF('D311'!D11,"Aula 2"))&gt;0,1,0)+IF((COUNTIF('D411'!D11,"Aula 2"))&gt;0,1,0))=1,IF((COUNTIF('C111'!D11,"Aula 2")+COUNTIF('C112'!D11,"Aula 2")+COUNTIF('C113'!D11,"Aula 2")+COUNTIF('C121'!D11,"Aula 2")+COUNTIF('C122'!D11,"Aula 2"))&gt;0,"C1",IF((COUNTIF('C211'!D11,"Aula 2")+COUNTIF('C212'!D11,"Aula 2"))&gt;0,"C2",IF((COUNTIF('C311'!D11,"Aula 2")+COUNTIF('C312'!D11,"Aula 2"))&gt;0,"C3",IF((COUNTIF('C411'!D11,"Aula 2")+COUNTIF('C412'!D11,"Aula 2"))&gt;0,"C4",IF((COUNTIF('M111'!D11,"Aula 2")+COUNTIF('M112'!D11,"Aula 2"))&gt;0,"M1",IF((COUNTIF('M211'!D11,"Aula 2")+COUNTIF('M212'!D11,"Aula 2"))&gt;0,"M2",IF((COUNTIF('M311'!D11,"Aula 2"))&gt;0,"M3",IF((COUNTIF('M411'!D11,"Aula 2"))&gt;0,"M4",IF((COUNTIF('D111'!D11,"Aula 2")+COUNTIF('D112'!D11,"Aula 2"))&gt;0,"D1",IF((COUNTIF('D211'!D11,"Aula 2"))&gt;0,"D2",IF((COUNTIF('D311'!D11,"Aula 2"))&gt;0,"D3",IF((COUNTIF('D411'!D11,"Aula 2"))&gt;0,"D4","")))))))))))),"MIX"))</f>
        <v/>
      </c>
    </row>
    <row r="228">
      <c r="C228">
        <f>IF((IF((COUNTIF('C111'!D11,"Aula 3")+COUNTIF('C112'!D11,"Aula 3")+COUNTIF('C113'!D11,"Aula 3")+COUNTIF('C121'!D11,"Aula 3")+COUNTIF('C122'!D11,"Aula 3"))&gt;0,1,0)+IF((COUNTIF('C211'!D11,"Aula 3")+COUNTIF('C212'!D11,"Aula 3"))&gt;0,1,0)+IF((COUNTIF('C311'!D11,"Aula 3")+COUNTIF('C312'!D11,"Aula 3"))&gt;0,1,0)+IF((COUNTIF('C411'!D11,"Aula 3")+COUNTIF('C412'!D11,"Aula 3"))&gt;0,1,0)+IF((COUNTIF('M111'!D11,"Aula 3")+COUNTIF('M112'!D11,"Aula 3"))&gt;0,1,0)+IF((COUNTIF('M211'!D11,"Aula 3")+COUNTIF('M212'!D11,"Aula 3"))&gt;0,1,0)+IF((COUNTIF('M311'!D11,"Aula 3"))&gt;0,1,0)+IF((COUNTIF('M411'!D11,"Aula 3"))&gt;0,1,0)+IF((COUNTIF('D111'!D11,"Aula 3")+COUNTIF('D112'!D11,"Aula 3"))&gt;0,1,0)+IF((COUNTIF('D211'!D11,"Aula 3"))&gt;0,1,0)+IF((COUNTIF('D311'!D11,"Aula 3"))&gt;0,1,0)+IF((COUNTIF('D411'!D11,"Aula 3"))&gt;0,1,0))=0,"",IF((IF((COUNTIF('C111'!D11,"Aula 3")+COUNTIF('C112'!D11,"Aula 3")+COUNTIF('C113'!D11,"Aula 3")+COUNTIF('C121'!D11,"Aula 3")+COUNTIF('C122'!D11,"Aula 3"))&gt;0,1,0)+IF((COUNTIF('C211'!D11,"Aula 3")+COUNTIF('C212'!D11,"Aula 3"))&gt;0,1,0)+IF((COUNTIF('C311'!D11,"Aula 3")+COUNTIF('C312'!D11,"Aula 3"))&gt;0,1,0)+IF((COUNTIF('C411'!D11,"Aula 3")+COUNTIF('C412'!D11,"Aula 3"))&gt;0,1,0)+IF((COUNTIF('M111'!D11,"Aula 3")+COUNTIF('M112'!D11,"Aula 3"))&gt;0,1,0)+IF((COUNTIF('M211'!D11,"Aula 3")+COUNTIF('M212'!D11,"Aula 3"))&gt;0,1,0)+IF((COUNTIF('M311'!D11,"Aula 3"))&gt;0,1,0)+IF((COUNTIF('M411'!D11,"Aula 3"))&gt;0,1,0)+IF((COUNTIF('D111'!D11,"Aula 3")+COUNTIF('D112'!D11,"Aula 3"))&gt;0,1,0)+IF((COUNTIF('D211'!D11,"Aula 3"))&gt;0,1,0)+IF((COUNTIF('D311'!D11,"Aula 3"))&gt;0,1,0)+IF((COUNTIF('D411'!D11,"Aula 3"))&gt;0,1,0))=1,IF((COUNTIF('C111'!D11,"Aula 3")+COUNTIF('C112'!D11,"Aula 3")+COUNTIF('C113'!D11,"Aula 3")+COUNTIF('C121'!D11,"Aula 3")+COUNTIF('C122'!D11,"Aula 3"))&gt;0,"C1",IF((COUNTIF('C211'!D11,"Aula 3")+COUNTIF('C212'!D11,"Aula 3"))&gt;0,"C2",IF((COUNTIF('C311'!D11,"Aula 3")+COUNTIF('C312'!D11,"Aula 3"))&gt;0,"C3",IF((COUNTIF('C411'!D11,"Aula 3")+COUNTIF('C412'!D11,"Aula 3"))&gt;0,"C4",IF((COUNTIF('M111'!D11,"Aula 3")+COUNTIF('M112'!D11,"Aula 3"))&gt;0,"M1",IF((COUNTIF('M211'!D11,"Aula 3")+COUNTIF('M212'!D11,"Aula 3"))&gt;0,"M2",IF((COUNTIF('M311'!D11,"Aula 3"))&gt;0,"M3",IF((COUNTIF('M411'!D11,"Aula 3"))&gt;0,"M4",IF((COUNTIF('D111'!D11,"Aula 3")+COUNTIF('D112'!D11,"Aula 3"))&gt;0,"D1",IF((COUNTIF('D211'!D11,"Aula 3"))&gt;0,"D2",IF((COUNTIF('D311'!D11,"Aula 3"))&gt;0,"D3",IF((COUNTIF('D411'!D11,"Aula 3"))&gt;0,"D4","")))))))))))),"MIX"))</f>
        <v/>
      </c>
    </row>
    <row r="229">
      <c r="C229">
        <f>IF((IF((COUNTIF('C111'!D11,"Aula 4")+COUNTIF('C112'!D11,"Aula 4")+COUNTIF('C113'!D11,"Aula 4")+COUNTIF('C121'!D11,"Aula 4")+COUNTIF('C122'!D11,"Aula 4"))&gt;0,1,0)+IF((COUNTIF('C211'!D11,"Aula 4")+COUNTIF('C212'!D11,"Aula 4"))&gt;0,1,0)+IF((COUNTIF('C311'!D11,"Aula 4")+COUNTIF('C312'!D11,"Aula 4"))&gt;0,1,0)+IF((COUNTIF('C411'!D11,"Aula 4")+COUNTIF('C412'!D11,"Aula 4"))&gt;0,1,0)+IF((COUNTIF('M111'!D11,"Aula 4")+COUNTIF('M112'!D11,"Aula 4"))&gt;0,1,0)+IF((COUNTIF('M211'!D11,"Aula 4")+COUNTIF('M212'!D11,"Aula 4"))&gt;0,1,0)+IF((COUNTIF('M311'!D11,"Aula 4"))&gt;0,1,0)+IF((COUNTIF('M411'!D11,"Aula 4"))&gt;0,1,0)+IF((COUNTIF('D111'!D11,"Aula 4")+COUNTIF('D112'!D11,"Aula 4"))&gt;0,1,0)+IF((COUNTIF('D211'!D11,"Aula 4"))&gt;0,1,0)+IF((COUNTIF('D311'!D11,"Aula 4"))&gt;0,1,0)+IF((COUNTIF('D411'!D11,"Aula 4"))&gt;0,1,0))=0,"",IF((IF((COUNTIF('C111'!D11,"Aula 4")+COUNTIF('C112'!D11,"Aula 4")+COUNTIF('C113'!D11,"Aula 4")+COUNTIF('C121'!D11,"Aula 4")+COUNTIF('C122'!D11,"Aula 4"))&gt;0,1,0)+IF((COUNTIF('C211'!D11,"Aula 4")+COUNTIF('C212'!D11,"Aula 4"))&gt;0,1,0)+IF((COUNTIF('C311'!D11,"Aula 4")+COUNTIF('C312'!D11,"Aula 4"))&gt;0,1,0)+IF((COUNTIF('C411'!D11,"Aula 4")+COUNTIF('C412'!D11,"Aula 4"))&gt;0,1,0)+IF((COUNTIF('M111'!D11,"Aula 4")+COUNTIF('M112'!D11,"Aula 4"))&gt;0,1,0)+IF((COUNTIF('M211'!D11,"Aula 4")+COUNTIF('M212'!D11,"Aula 4"))&gt;0,1,0)+IF((COUNTIF('M311'!D11,"Aula 4"))&gt;0,1,0)+IF((COUNTIF('M411'!D11,"Aula 4"))&gt;0,1,0)+IF((COUNTIF('D111'!D11,"Aula 4")+COUNTIF('D112'!D11,"Aula 4"))&gt;0,1,0)+IF((COUNTIF('D211'!D11,"Aula 4"))&gt;0,1,0)+IF((COUNTIF('D311'!D11,"Aula 4"))&gt;0,1,0)+IF((COUNTIF('D411'!D11,"Aula 4"))&gt;0,1,0))=1,IF((COUNTIF('C111'!D11,"Aula 4")+COUNTIF('C112'!D11,"Aula 4")+COUNTIF('C113'!D11,"Aula 4")+COUNTIF('C121'!D11,"Aula 4")+COUNTIF('C122'!D11,"Aula 4"))&gt;0,"C1",IF((COUNTIF('C211'!D11,"Aula 4")+COUNTIF('C212'!D11,"Aula 4"))&gt;0,"C2",IF((COUNTIF('C311'!D11,"Aula 4")+COUNTIF('C312'!D11,"Aula 4"))&gt;0,"C3",IF((COUNTIF('C411'!D11,"Aula 4")+COUNTIF('C412'!D11,"Aula 4"))&gt;0,"C4",IF((COUNTIF('M111'!D11,"Aula 4")+COUNTIF('M112'!D11,"Aula 4"))&gt;0,"M1",IF((COUNTIF('M211'!D11,"Aula 4")+COUNTIF('M212'!D11,"Aula 4"))&gt;0,"M2",IF((COUNTIF('M311'!D11,"Aula 4"))&gt;0,"M3",IF((COUNTIF('M411'!D11,"Aula 4"))&gt;0,"M4",IF((COUNTIF('D111'!D11,"Aula 4")+COUNTIF('D112'!D11,"Aula 4"))&gt;0,"D1",IF((COUNTIF('D211'!D11,"Aula 4"))&gt;0,"D2",IF((COUNTIF('D311'!D11,"Aula 4"))&gt;0,"D3",IF((COUNTIF('D411'!D11,"Aula 4"))&gt;0,"D4","")))))))))))),"MIX"))</f>
        <v/>
      </c>
    </row>
    <row r="230">
      <c r="C230">
        <f>IF((IF((COUNTIF('C111'!D11,"Aula 5")+COUNTIF('C112'!D11,"Aula 5")+COUNTIF('C113'!D11,"Aula 5")+COUNTIF('C121'!D11,"Aula 5")+COUNTIF('C122'!D11,"Aula 5"))&gt;0,1,0)+IF((COUNTIF('C211'!D11,"Aula 5")+COUNTIF('C212'!D11,"Aula 5"))&gt;0,1,0)+IF((COUNTIF('C311'!D11,"Aula 5")+COUNTIF('C312'!D11,"Aula 5"))&gt;0,1,0)+IF((COUNTIF('C411'!D11,"Aula 5")+COUNTIF('C412'!D11,"Aula 5"))&gt;0,1,0)+IF((COUNTIF('M111'!D11,"Aula 5")+COUNTIF('M112'!D11,"Aula 5"))&gt;0,1,0)+IF((COUNTIF('M211'!D11,"Aula 5")+COUNTIF('M212'!D11,"Aula 5"))&gt;0,1,0)+IF((COUNTIF('M311'!D11,"Aula 5"))&gt;0,1,0)+IF((COUNTIF('M411'!D11,"Aula 5"))&gt;0,1,0)+IF((COUNTIF('D111'!D11,"Aula 5")+COUNTIF('D112'!D11,"Aula 5"))&gt;0,1,0)+IF((COUNTIF('D211'!D11,"Aula 5"))&gt;0,1,0)+IF((COUNTIF('D311'!D11,"Aula 5"))&gt;0,1,0)+IF((COUNTIF('D411'!D11,"Aula 5"))&gt;0,1,0))=0,"",IF((IF((COUNTIF('C111'!D11,"Aula 5")+COUNTIF('C112'!D11,"Aula 5")+COUNTIF('C113'!D11,"Aula 5")+COUNTIF('C121'!D11,"Aula 5")+COUNTIF('C122'!D11,"Aula 5"))&gt;0,1,0)+IF((COUNTIF('C211'!D11,"Aula 5")+COUNTIF('C212'!D11,"Aula 5"))&gt;0,1,0)+IF((COUNTIF('C311'!D11,"Aula 5")+COUNTIF('C312'!D11,"Aula 5"))&gt;0,1,0)+IF((COUNTIF('C411'!D11,"Aula 5")+COUNTIF('C412'!D11,"Aula 5"))&gt;0,1,0)+IF((COUNTIF('M111'!D11,"Aula 5")+COUNTIF('M112'!D11,"Aula 5"))&gt;0,1,0)+IF((COUNTIF('M211'!D11,"Aula 5")+COUNTIF('M212'!D11,"Aula 5"))&gt;0,1,0)+IF((COUNTIF('M311'!D11,"Aula 5"))&gt;0,1,0)+IF((COUNTIF('M411'!D11,"Aula 5"))&gt;0,1,0)+IF((COUNTIF('D111'!D11,"Aula 5")+COUNTIF('D112'!D11,"Aula 5"))&gt;0,1,0)+IF((COUNTIF('D211'!D11,"Aula 5"))&gt;0,1,0)+IF((COUNTIF('D311'!D11,"Aula 5"))&gt;0,1,0)+IF((COUNTIF('D411'!D11,"Aula 5"))&gt;0,1,0))=1,IF((COUNTIF('C111'!D11,"Aula 5")+COUNTIF('C112'!D11,"Aula 5")+COUNTIF('C113'!D11,"Aula 5")+COUNTIF('C121'!D11,"Aula 5")+COUNTIF('C122'!D11,"Aula 5"))&gt;0,"C1",IF((COUNTIF('C211'!D11,"Aula 5")+COUNTIF('C212'!D11,"Aula 5"))&gt;0,"C2",IF((COUNTIF('C311'!D11,"Aula 5")+COUNTIF('C312'!D11,"Aula 5"))&gt;0,"C3",IF((COUNTIF('C411'!D11,"Aula 5")+COUNTIF('C412'!D11,"Aula 5"))&gt;0,"C4",IF((COUNTIF('M111'!D11,"Aula 5")+COUNTIF('M112'!D11,"Aula 5"))&gt;0,"M1",IF((COUNTIF('M211'!D11,"Aula 5")+COUNTIF('M212'!D11,"Aula 5"))&gt;0,"M2",IF((COUNTIF('M311'!D11,"Aula 5"))&gt;0,"M3",IF((COUNTIF('M411'!D11,"Aula 5"))&gt;0,"M4",IF((COUNTIF('D111'!D11,"Aula 5")+COUNTIF('D112'!D11,"Aula 5"))&gt;0,"D1",IF((COUNTIF('D211'!D11,"Aula 5"))&gt;0,"D2",IF((COUNTIF('D311'!D11,"Aula 5"))&gt;0,"D3",IF((COUNTIF('D411'!D11,"Aula 5"))&gt;0,"D4","")))))))))))),"MIX"))</f>
        <v/>
      </c>
    </row>
    <row r="231">
      <c r="C231">
        <f>IF((IF((COUNTIF('C111'!D11,"Aula 6")+COUNTIF('C112'!D11,"Aula 6")+COUNTIF('C113'!D11,"Aula 6")+COUNTIF('C121'!D11,"Aula 6")+COUNTIF('C122'!D11,"Aula 6"))&gt;0,1,0)+IF((COUNTIF('C211'!D11,"Aula 6")+COUNTIF('C212'!D11,"Aula 6"))&gt;0,1,0)+IF((COUNTIF('C311'!D11,"Aula 6")+COUNTIF('C312'!D11,"Aula 6"))&gt;0,1,0)+IF((COUNTIF('C411'!D11,"Aula 6")+COUNTIF('C412'!D11,"Aula 6"))&gt;0,1,0)+IF((COUNTIF('M111'!D11,"Aula 6")+COUNTIF('M112'!D11,"Aula 6"))&gt;0,1,0)+IF((COUNTIF('M211'!D11,"Aula 6")+COUNTIF('M212'!D11,"Aula 6"))&gt;0,1,0)+IF((COUNTIF('M311'!D11,"Aula 6"))&gt;0,1,0)+IF((COUNTIF('M411'!D11,"Aula 6"))&gt;0,1,0)+IF((COUNTIF('D111'!D11,"Aula 6")+COUNTIF('D112'!D11,"Aula 6"))&gt;0,1,0)+IF((COUNTIF('D211'!D11,"Aula 6"))&gt;0,1,0)+IF((COUNTIF('D311'!D11,"Aula 6"))&gt;0,1,0)+IF((COUNTIF('D411'!D11,"Aula 6"))&gt;0,1,0))=0,"",IF((IF((COUNTIF('C111'!D11,"Aula 6")+COUNTIF('C112'!D11,"Aula 6")+COUNTIF('C113'!D11,"Aula 6")+COUNTIF('C121'!D11,"Aula 6")+COUNTIF('C122'!D11,"Aula 6"))&gt;0,1,0)+IF((COUNTIF('C211'!D11,"Aula 6")+COUNTIF('C212'!D11,"Aula 6"))&gt;0,1,0)+IF((COUNTIF('C311'!D11,"Aula 6")+COUNTIF('C312'!D11,"Aula 6"))&gt;0,1,0)+IF((COUNTIF('C411'!D11,"Aula 6")+COUNTIF('C412'!D11,"Aula 6"))&gt;0,1,0)+IF((COUNTIF('M111'!D11,"Aula 6")+COUNTIF('M112'!D11,"Aula 6"))&gt;0,1,0)+IF((COUNTIF('M211'!D11,"Aula 6")+COUNTIF('M212'!D11,"Aula 6"))&gt;0,1,0)+IF((COUNTIF('M311'!D11,"Aula 6"))&gt;0,1,0)+IF((COUNTIF('M411'!D11,"Aula 6"))&gt;0,1,0)+IF((COUNTIF('D111'!D11,"Aula 6")+COUNTIF('D112'!D11,"Aula 6"))&gt;0,1,0)+IF((COUNTIF('D211'!D11,"Aula 6"))&gt;0,1,0)+IF((COUNTIF('D311'!D11,"Aula 6"))&gt;0,1,0)+IF((COUNTIF('D411'!D11,"Aula 6"))&gt;0,1,0))=1,IF((COUNTIF('C111'!D11,"Aula 6")+COUNTIF('C112'!D11,"Aula 6")+COUNTIF('C113'!D11,"Aula 6")+COUNTIF('C121'!D11,"Aula 6")+COUNTIF('C122'!D11,"Aula 6"))&gt;0,"C1",IF((COUNTIF('C211'!D11,"Aula 6")+COUNTIF('C212'!D11,"Aula 6"))&gt;0,"C2",IF((COUNTIF('C311'!D11,"Aula 6")+COUNTIF('C312'!D11,"Aula 6"))&gt;0,"C3",IF((COUNTIF('C411'!D11,"Aula 6")+COUNTIF('C412'!D11,"Aula 6"))&gt;0,"C4",IF((COUNTIF('M111'!D11,"Aula 6")+COUNTIF('M112'!D11,"Aula 6"))&gt;0,"M1",IF((COUNTIF('M211'!D11,"Aula 6")+COUNTIF('M212'!D11,"Aula 6"))&gt;0,"M2",IF((COUNTIF('M311'!D11,"Aula 6"))&gt;0,"M3",IF((COUNTIF('M411'!D11,"Aula 6"))&gt;0,"M4",IF((COUNTIF('D111'!D11,"Aula 6")+COUNTIF('D112'!D11,"Aula 6"))&gt;0,"D1",IF((COUNTIF('D211'!D11,"Aula 6"))&gt;0,"D2",IF((COUNTIF('D311'!D11,"Aula 6"))&gt;0,"D3",IF((COUNTIF('D411'!D11,"Aula 6"))&gt;0,"D4","")))))))))))),"MIX"))</f>
        <v/>
      </c>
    </row>
    <row r="232">
      <c r="C232">
        <f>IF((IF((COUNTIF('C111'!D11,"Aula 7")+COUNTIF('C112'!D11,"Aula 7")+COUNTIF('C113'!D11,"Aula 7")+COUNTIF('C121'!D11,"Aula 7")+COUNTIF('C122'!D11,"Aula 7"))&gt;0,1,0)+IF((COUNTIF('C211'!D11,"Aula 7")+COUNTIF('C212'!D11,"Aula 7"))&gt;0,1,0)+IF((COUNTIF('C311'!D11,"Aula 7")+COUNTIF('C312'!D11,"Aula 7"))&gt;0,1,0)+IF((COUNTIF('C411'!D11,"Aula 7")+COUNTIF('C412'!D11,"Aula 7"))&gt;0,1,0)+IF((COUNTIF('M111'!D11,"Aula 7")+COUNTIF('M112'!D11,"Aula 7"))&gt;0,1,0)+IF((COUNTIF('M211'!D11,"Aula 7")+COUNTIF('M212'!D11,"Aula 7"))&gt;0,1,0)+IF((COUNTIF('M311'!D11,"Aula 7"))&gt;0,1,0)+IF((COUNTIF('M411'!D11,"Aula 7"))&gt;0,1,0)+IF((COUNTIF('D111'!D11,"Aula 7")+COUNTIF('D112'!D11,"Aula 7"))&gt;0,1,0)+IF((COUNTIF('D211'!D11,"Aula 7"))&gt;0,1,0)+IF((COUNTIF('D311'!D11,"Aula 7"))&gt;0,1,0)+IF((COUNTIF('D411'!D11,"Aula 7"))&gt;0,1,0))=0,"",IF((IF((COUNTIF('C111'!D11,"Aula 7")+COUNTIF('C112'!D11,"Aula 7")+COUNTIF('C113'!D11,"Aula 7")+COUNTIF('C121'!D11,"Aula 7")+COUNTIF('C122'!D11,"Aula 7"))&gt;0,1,0)+IF((COUNTIF('C211'!D11,"Aula 7")+COUNTIF('C212'!D11,"Aula 7"))&gt;0,1,0)+IF((COUNTIF('C311'!D11,"Aula 7")+COUNTIF('C312'!D11,"Aula 7"))&gt;0,1,0)+IF((COUNTIF('C411'!D11,"Aula 7")+COUNTIF('C412'!D11,"Aula 7"))&gt;0,1,0)+IF((COUNTIF('M111'!D11,"Aula 7")+COUNTIF('M112'!D11,"Aula 7"))&gt;0,1,0)+IF((COUNTIF('M211'!D11,"Aula 7")+COUNTIF('M212'!D11,"Aula 7"))&gt;0,1,0)+IF((COUNTIF('M311'!D11,"Aula 7"))&gt;0,1,0)+IF((COUNTIF('M411'!D11,"Aula 7"))&gt;0,1,0)+IF((COUNTIF('D111'!D11,"Aula 7")+COUNTIF('D112'!D11,"Aula 7"))&gt;0,1,0)+IF((COUNTIF('D211'!D11,"Aula 7"))&gt;0,1,0)+IF((COUNTIF('D311'!D11,"Aula 7"))&gt;0,1,0)+IF((COUNTIF('D411'!D11,"Aula 7"))&gt;0,1,0))=1,IF((COUNTIF('C111'!D11,"Aula 7")+COUNTIF('C112'!D11,"Aula 7")+COUNTIF('C113'!D11,"Aula 7")+COUNTIF('C121'!D11,"Aula 7")+COUNTIF('C122'!D11,"Aula 7"))&gt;0,"C1",IF((COUNTIF('C211'!D11,"Aula 7")+COUNTIF('C212'!D11,"Aula 7"))&gt;0,"C2",IF((COUNTIF('C311'!D11,"Aula 7")+COUNTIF('C312'!D11,"Aula 7"))&gt;0,"C3",IF((COUNTIF('C411'!D11,"Aula 7")+COUNTIF('C412'!D11,"Aula 7"))&gt;0,"C4",IF((COUNTIF('M111'!D11,"Aula 7")+COUNTIF('M112'!D11,"Aula 7"))&gt;0,"M1",IF((COUNTIF('M211'!D11,"Aula 7")+COUNTIF('M212'!D11,"Aula 7"))&gt;0,"M2",IF((COUNTIF('M311'!D11,"Aula 7"))&gt;0,"M3",IF((COUNTIF('M411'!D11,"Aula 7"))&gt;0,"M4",IF((COUNTIF('D111'!D11,"Aula 7")+COUNTIF('D112'!D11,"Aula 7"))&gt;0,"D1",IF((COUNTIF('D211'!D11,"Aula 7"))&gt;0,"D2",IF((COUNTIF('D311'!D11,"Aula 7"))&gt;0,"D3",IF((COUNTIF('D411'!D11,"Aula 7"))&gt;0,"D4","")))))))))))),"MIX"))</f>
        <v/>
      </c>
    </row>
    <row r="233">
      <c r="C233">
        <f>IF((IF((COUNTIF('C111'!D11,"Aula 8")+COUNTIF('C112'!D11,"Aula 8")+COUNTIF('C113'!D11,"Aula 8")+COUNTIF('C121'!D11,"Aula 8")+COUNTIF('C122'!D11,"Aula 8"))&gt;0,1,0)+IF((COUNTIF('C211'!D11,"Aula 8")+COUNTIF('C212'!D11,"Aula 8"))&gt;0,1,0)+IF((COUNTIF('C311'!D11,"Aula 8")+COUNTIF('C312'!D11,"Aula 8"))&gt;0,1,0)+IF((COUNTIF('C411'!D11,"Aula 8")+COUNTIF('C412'!D11,"Aula 8"))&gt;0,1,0)+IF((COUNTIF('M111'!D11,"Aula 8")+COUNTIF('M112'!D11,"Aula 8"))&gt;0,1,0)+IF((COUNTIF('M211'!D11,"Aula 8")+COUNTIF('M212'!D11,"Aula 8"))&gt;0,1,0)+IF((COUNTIF('M311'!D11,"Aula 8"))&gt;0,1,0)+IF((COUNTIF('M411'!D11,"Aula 8"))&gt;0,1,0)+IF((COUNTIF('D111'!D11,"Aula 8")+COUNTIF('D112'!D11,"Aula 8"))&gt;0,1,0)+IF((COUNTIF('D211'!D11,"Aula 8"))&gt;0,1,0)+IF((COUNTIF('D311'!D11,"Aula 8"))&gt;0,1,0)+IF((COUNTIF('D411'!D11,"Aula 8"))&gt;0,1,0))=0,"",IF((IF((COUNTIF('C111'!D11,"Aula 8")+COUNTIF('C112'!D11,"Aula 8")+COUNTIF('C113'!D11,"Aula 8")+COUNTIF('C121'!D11,"Aula 8")+COUNTIF('C122'!D11,"Aula 8"))&gt;0,1,0)+IF((COUNTIF('C211'!D11,"Aula 8")+COUNTIF('C212'!D11,"Aula 8"))&gt;0,1,0)+IF((COUNTIF('C311'!D11,"Aula 8")+COUNTIF('C312'!D11,"Aula 8"))&gt;0,1,0)+IF((COUNTIF('C411'!D11,"Aula 8")+COUNTIF('C412'!D11,"Aula 8"))&gt;0,1,0)+IF((COUNTIF('M111'!D11,"Aula 8")+COUNTIF('M112'!D11,"Aula 8"))&gt;0,1,0)+IF((COUNTIF('M211'!D11,"Aula 8")+COUNTIF('M212'!D11,"Aula 8"))&gt;0,1,0)+IF((COUNTIF('M311'!D11,"Aula 8"))&gt;0,1,0)+IF((COUNTIF('M411'!D11,"Aula 8"))&gt;0,1,0)+IF((COUNTIF('D111'!D11,"Aula 8")+COUNTIF('D112'!D11,"Aula 8"))&gt;0,1,0)+IF((COUNTIF('D211'!D11,"Aula 8"))&gt;0,1,0)+IF((COUNTIF('D311'!D11,"Aula 8"))&gt;0,1,0)+IF((COUNTIF('D411'!D11,"Aula 8"))&gt;0,1,0))=1,IF((COUNTIF('C111'!D11,"Aula 8")+COUNTIF('C112'!D11,"Aula 8")+COUNTIF('C113'!D11,"Aula 8")+COUNTIF('C121'!D11,"Aula 8")+COUNTIF('C122'!D11,"Aula 8"))&gt;0,"C1",IF((COUNTIF('C211'!D11,"Aula 8")+COUNTIF('C212'!D11,"Aula 8"))&gt;0,"C2",IF((COUNTIF('C311'!D11,"Aula 8")+COUNTIF('C312'!D11,"Aula 8"))&gt;0,"C3",IF((COUNTIF('C411'!D11,"Aula 8")+COUNTIF('C412'!D11,"Aula 8"))&gt;0,"C4",IF((COUNTIF('M111'!D11,"Aula 8")+COUNTIF('M112'!D11,"Aula 8"))&gt;0,"M1",IF((COUNTIF('M211'!D11,"Aula 8")+COUNTIF('M212'!D11,"Aula 8"))&gt;0,"M2",IF((COUNTIF('M311'!D11,"Aula 8"))&gt;0,"M3",IF((COUNTIF('M411'!D11,"Aula 8"))&gt;0,"M4",IF((COUNTIF('D111'!D11,"Aula 8")+COUNTIF('D112'!D11,"Aula 8"))&gt;0,"D1",IF((COUNTIF('D211'!D11,"Aula 8"))&gt;0,"D2",IF((COUNTIF('D311'!D11,"Aula 8"))&gt;0,"D3",IF((COUNTIF('D411'!D11,"Aula 8"))&gt;0,"D4","")))))))))))),"MIX"))</f>
        <v/>
      </c>
    </row>
    <row r="234">
      <c r="C234">
        <f>IF((IF((COUNTIF('C111'!D11,"Aula 9")+COUNTIF('C112'!D11,"Aula 9")+COUNTIF('C113'!D11,"Aula 9")+COUNTIF('C121'!D11,"Aula 9")+COUNTIF('C122'!D11,"Aula 9"))&gt;0,1,0)+IF((COUNTIF('C211'!D11,"Aula 9")+COUNTIF('C212'!D11,"Aula 9"))&gt;0,1,0)+IF((COUNTIF('C311'!D11,"Aula 9")+COUNTIF('C312'!D11,"Aula 9"))&gt;0,1,0)+IF((COUNTIF('C411'!D11,"Aula 9")+COUNTIF('C412'!D11,"Aula 9"))&gt;0,1,0)+IF((COUNTIF('M111'!D11,"Aula 9")+COUNTIF('M112'!D11,"Aula 9"))&gt;0,1,0)+IF((COUNTIF('M211'!D11,"Aula 9")+COUNTIF('M212'!D11,"Aula 9"))&gt;0,1,0)+IF((COUNTIF('M311'!D11,"Aula 9"))&gt;0,1,0)+IF((COUNTIF('M411'!D11,"Aula 9"))&gt;0,1,0)+IF((COUNTIF('D111'!D11,"Aula 9")+COUNTIF('D112'!D11,"Aula 9"))&gt;0,1,0)+IF((COUNTIF('D211'!D11,"Aula 9"))&gt;0,1,0)+IF((COUNTIF('D311'!D11,"Aula 9"))&gt;0,1,0)+IF((COUNTIF('D411'!D11,"Aula 9"))&gt;0,1,0))=0,"",IF((IF((COUNTIF('C111'!D11,"Aula 9")+COUNTIF('C112'!D11,"Aula 9")+COUNTIF('C113'!D11,"Aula 9")+COUNTIF('C121'!D11,"Aula 9")+COUNTIF('C122'!D11,"Aula 9"))&gt;0,1,0)+IF((COUNTIF('C211'!D11,"Aula 9")+COUNTIF('C212'!D11,"Aula 9"))&gt;0,1,0)+IF((COUNTIF('C311'!D11,"Aula 9")+COUNTIF('C312'!D11,"Aula 9"))&gt;0,1,0)+IF((COUNTIF('C411'!D11,"Aula 9")+COUNTIF('C412'!D11,"Aula 9"))&gt;0,1,0)+IF((COUNTIF('M111'!D11,"Aula 9")+COUNTIF('M112'!D11,"Aula 9"))&gt;0,1,0)+IF((COUNTIF('M211'!D11,"Aula 9")+COUNTIF('M212'!D11,"Aula 9"))&gt;0,1,0)+IF((COUNTIF('M311'!D11,"Aula 9"))&gt;0,1,0)+IF((COUNTIF('M411'!D11,"Aula 9"))&gt;0,1,0)+IF((COUNTIF('D111'!D11,"Aula 9")+COUNTIF('D112'!D11,"Aula 9"))&gt;0,1,0)+IF((COUNTIF('D211'!D11,"Aula 9"))&gt;0,1,0)+IF((COUNTIF('D311'!D11,"Aula 9"))&gt;0,1,0)+IF((COUNTIF('D411'!D11,"Aula 9"))&gt;0,1,0))=1,IF((COUNTIF('C111'!D11,"Aula 9")+COUNTIF('C112'!D11,"Aula 9")+COUNTIF('C113'!D11,"Aula 9")+COUNTIF('C121'!D11,"Aula 9")+COUNTIF('C122'!D11,"Aula 9"))&gt;0,"C1",IF((COUNTIF('C211'!D11,"Aula 9")+COUNTIF('C212'!D11,"Aula 9"))&gt;0,"C2",IF((COUNTIF('C311'!D11,"Aula 9")+COUNTIF('C312'!D11,"Aula 9"))&gt;0,"C3",IF((COUNTIF('C411'!D11,"Aula 9")+COUNTIF('C412'!D11,"Aula 9"))&gt;0,"C4",IF((COUNTIF('M111'!D11,"Aula 9")+COUNTIF('M112'!D11,"Aula 9"))&gt;0,"M1",IF((COUNTIF('M211'!D11,"Aula 9")+COUNTIF('M212'!D11,"Aula 9"))&gt;0,"M2",IF((COUNTIF('M311'!D11,"Aula 9"))&gt;0,"M3",IF((COUNTIF('M411'!D11,"Aula 9"))&gt;0,"M4",IF((COUNTIF('D111'!D11,"Aula 9")+COUNTIF('D112'!D11,"Aula 9"))&gt;0,"D1",IF((COUNTIF('D211'!D11,"Aula 9"))&gt;0,"D2",IF((COUNTIF('D311'!D11,"Aula 9"))&gt;0,"D3",IF((COUNTIF('D411'!D11,"Aula 9"))&gt;0,"D4","")))))))))))),"MIX"))</f>
        <v/>
      </c>
    </row>
    <row r="235">
      <c r="C235">
        <f>IF((IF((COUNTIF('C111'!D11,"Aula 10")+COUNTIF('C112'!D11,"Aula 10")+COUNTIF('C113'!D11,"Aula 10")+COUNTIF('C121'!D11,"Aula 10")+COUNTIF('C122'!D11,"Aula 10"))&gt;0,1,0)+IF((COUNTIF('C211'!D11,"Aula 10")+COUNTIF('C212'!D11,"Aula 10"))&gt;0,1,0)+IF((COUNTIF('C311'!D11,"Aula 10")+COUNTIF('C312'!D11,"Aula 10"))&gt;0,1,0)+IF((COUNTIF('C411'!D11,"Aula 10")+COUNTIF('C412'!D11,"Aula 10"))&gt;0,1,0)+IF((COUNTIF('M111'!D11,"Aula 10")+COUNTIF('M112'!D11,"Aula 10"))&gt;0,1,0)+IF((COUNTIF('M211'!D11,"Aula 10")+COUNTIF('M212'!D11,"Aula 10"))&gt;0,1,0)+IF((COUNTIF('M311'!D11,"Aula 10"))&gt;0,1,0)+IF((COUNTIF('M411'!D11,"Aula 10"))&gt;0,1,0)+IF((COUNTIF('D111'!D11,"Aula 10")+COUNTIF('D112'!D11,"Aula 10"))&gt;0,1,0)+IF((COUNTIF('D211'!D11,"Aula 10"))&gt;0,1,0)+IF((COUNTIF('D311'!D11,"Aula 10"))&gt;0,1,0)+IF((COUNTIF('D411'!D11,"Aula 10"))&gt;0,1,0))=0,"",IF((IF((COUNTIF('C111'!D11,"Aula 10")+COUNTIF('C112'!D11,"Aula 10")+COUNTIF('C113'!D11,"Aula 10")+COUNTIF('C121'!D11,"Aula 10")+COUNTIF('C122'!D11,"Aula 10"))&gt;0,1,0)+IF((COUNTIF('C211'!D11,"Aula 10")+COUNTIF('C212'!D11,"Aula 10"))&gt;0,1,0)+IF((COUNTIF('C311'!D11,"Aula 10")+COUNTIF('C312'!D11,"Aula 10"))&gt;0,1,0)+IF((COUNTIF('C411'!D11,"Aula 10")+COUNTIF('C412'!D11,"Aula 10"))&gt;0,1,0)+IF((COUNTIF('M111'!D11,"Aula 10")+COUNTIF('M112'!D11,"Aula 10"))&gt;0,1,0)+IF((COUNTIF('M211'!D11,"Aula 10")+COUNTIF('M212'!D11,"Aula 10"))&gt;0,1,0)+IF((COUNTIF('M311'!D11,"Aula 10"))&gt;0,1,0)+IF((COUNTIF('M411'!D11,"Aula 10"))&gt;0,1,0)+IF((COUNTIF('D111'!D11,"Aula 10")+COUNTIF('D112'!D11,"Aula 10"))&gt;0,1,0)+IF((COUNTIF('D211'!D11,"Aula 10"))&gt;0,1,0)+IF((COUNTIF('D311'!D11,"Aula 10"))&gt;0,1,0)+IF((COUNTIF('D411'!D11,"Aula 10"))&gt;0,1,0))=1,IF((COUNTIF('C111'!D11,"Aula 10")+COUNTIF('C112'!D11,"Aula 10")+COUNTIF('C113'!D11,"Aula 10")+COUNTIF('C121'!D11,"Aula 10")+COUNTIF('C122'!D11,"Aula 10"))&gt;0,"C1",IF((COUNTIF('C211'!D11,"Aula 10")+COUNTIF('C212'!D11,"Aula 10"))&gt;0,"C2",IF((COUNTIF('C311'!D11,"Aula 10")+COUNTIF('C312'!D11,"Aula 10"))&gt;0,"C3",IF((COUNTIF('C411'!D11,"Aula 10")+COUNTIF('C412'!D11,"Aula 10"))&gt;0,"C4",IF((COUNTIF('M111'!D11,"Aula 10")+COUNTIF('M112'!D11,"Aula 10"))&gt;0,"M1",IF((COUNTIF('M211'!D11,"Aula 10")+COUNTIF('M212'!D11,"Aula 10"))&gt;0,"M2",IF((COUNTIF('M311'!D11,"Aula 10"))&gt;0,"M3",IF((COUNTIF('M411'!D11,"Aula 10"))&gt;0,"M4",IF((COUNTIF('D111'!D11,"Aula 10")+COUNTIF('D112'!D11,"Aula 10"))&gt;0,"D1",IF((COUNTIF('D211'!D11,"Aula 10"))&gt;0,"D2",IF((COUNTIF('D311'!D11,"Aula 10"))&gt;0,"D3",IF((COUNTIF('D411'!D11,"Aula 10"))&gt;0,"D4","")))))))))))),"MIX"))</f>
        <v/>
      </c>
    </row>
    <row r="236">
      <c r="C236">
        <f>IF((IF((COUNTIF('C111'!D11,"Aula 11")+COUNTIF('C112'!D11,"Aula 11")+COUNTIF('C113'!D11,"Aula 11")+COUNTIF('C121'!D11,"Aula 11")+COUNTIF('C122'!D11,"Aula 11"))&gt;0,1,0)+IF((COUNTIF('C211'!D11,"Aula 11")+COUNTIF('C212'!D11,"Aula 11"))&gt;0,1,0)+IF((COUNTIF('C311'!D11,"Aula 11")+COUNTIF('C312'!D11,"Aula 11"))&gt;0,1,0)+IF((COUNTIF('C411'!D11,"Aula 11")+COUNTIF('C412'!D11,"Aula 11"))&gt;0,1,0)+IF((COUNTIF('M111'!D11,"Aula 11")+COUNTIF('M112'!D11,"Aula 11"))&gt;0,1,0)+IF((COUNTIF('M211'!D11,"Aula 11")+COUNTIF('M212'!D11,"Aula 11"))&gt;0,1,0)+IF((COUNTIF('M311'!D11,"Aula 11"))&gt;0,1,0)+IF((COUNTIF('M411'!D11,"Aula 11"))&gt;0,1,0)+IF((COUNTIF('D111'!D11,"Aula 11")+COUNTIF('D112'!D11,"Aula 11"))&gt;0,1,0)+IF((COUNTIF('D211'!D11,"Aula 11"))&gt;0,1,0)+IF((COUNTIF('D311'!D11,"Aula 11"))&gt;0,1,0)+IF((COUNTIF('D411'!D11,"Aula 11"))&gt;0,1,0))=0,"",IF((IF((COUNTIF('C111'!D11,"Aula 11")+COUNTIF('C112'!D11,"Aula 11")+COUNTIF('C113'!D11,"Aula 11")+COUNTIF('C121'!D11,"Aula 11")+COUNTIF('C122'!D11,"Aula 11"))&gt;0,1,0)+IF((COUNTIF('C211'!D11,"Aula 11")+COUNTIF('C212'!D11,"Aula 11"))&gt;0,1,0)+IF((COUNTIF('C311'!D11,"Aula 11")+COUNTIF('C312'!D11,"Aula 11"))&gt;0,1,0)+IF((COUNTIF('C411'!D11,"Aula 11")+COUNTIF('C412'!D11,"Aula 11"))&gt;0,1,0)+IF((COUNTIF('M111'!D11,"Aula 11")+COUNTIF('M112'!D11,"Aula 11"))&gt;0,1,0)+IF((COUNTIF('M211'!D11,"Aula 11")+COUNTIF('M212'!D11,"Aula 11"))&gt;0,1,0)+IF((COUNTIF('M311'!D11,"Aula 11"))&gt;0,1,0)+IF((COUNTIF('M411'!D11,"Aula 11"))&gt;0,1,0)+IF((COUNTIF('D111'!D11,"Aula 11")+COUNTIF('D112'!D11,"Aula 11"))&gt;0,1,0)+IF((COUNTIF('D211'!D11,"Aula 11"))&gt;0,1,0)+IF((COUNTIF('D311'!D11,"Aula 11"))&gt;0,1,0)+IF((COUNTIF('D411'!D11,"Aula 11"))&gt;0,1,0))=1,IF((COUNTIF('C111'!D11,"Aula 11")+COUNTIF('C112'!D11,"Aula 11")+COUNTIF('C113'!D11,"Aula 11")+COUNTIF('C121'!D11,"Aula 11")+COUNTIF('C122'!D11,"Aula 11"))&gt;0,"C1",IF((COUNTIF('C211'!D11,"Aula 11")+COUNTIF('C212'!D11,"Aula 11"))&gt;0,"C2",IF((COUNTIF('C311'!D11,"Aula 11")+COUNTIF('C312'!D11,"Aula 11"))&gt;0,"C3",IF((COUNTIF('C411'!D11,"Aula 11")+COUNTIF('C412'!D11,"Aula 11"))&gt;0,"C4",IF((COUNTIF('M111'!D11,"Aula 11")+COUNTIF('M112'!D11,"Aula 11"))&gt;0,"M1",IF((COUNTIF('M211'!D11,"Aula 11")+COUNTIF('M212'!D11,"Aula 11"))&gt;0,"M2",IF((COUNTIF('M311'!D11,"Aula 11"))&gt;0,"M3",IF((COUNTIF('M411'!D11,"Aula 11"))&gt;0,"M4",IF((COUNTIF('D111'!D11,"Aula 11")+COUNTIF('D112'!D11,"Aula 11"))&gt;0,"D1",IF((COUNTIF('D211'!D11,"Aula 11"))&gt;0,"D2",IF((COUNTIF('D311'!D11,"Aula 11"))&gt;0,"D3",IF((COUNTIF('D411'!D11,"Aula 11"))&gt;0,"D4","")))))))))))),"MIX"))</f>
        <v/>
      </c>
    </row>
    <row r="237">
      <c r="C237">
        <f>IF((IF((COUNTIF('C111'!D11,"Aula 12")+COUNTIF('C112'!D11,"Aula 12")+COUNTIF('C113'!D11,"Aula 12")+COUNTIF('C121'!D11,"Aula 12")+COUNTIF('C122'!D11,"Aula 12"))&gt;0,1,0)+IF((COUNTIF('C211'!D11,"Aula 12")+COUNTIF('C212'!D11,"Aula 12"))&gt;0,1,0)+IF((COUNTIF('C311'!D11,"Aula 12")+COUNTIF('C312'!D11,"Aula 12"))&gt;0,1,0)+IF((COUNTIF('C411'!D11,"Aula 12")+COUNTIF('C412'!D11,"Aula 12"))&gt;0,1,0)+IF((COUNTIF('M111'!D11,"Aula 12")+COUNTIF('M112'!D11,"Aula 12"))&gt;0,1,0)+IF((COUNTIF('M211'!D11,"Aula 12")+COUNTIF('M212'!D11,"Aula 12"))&gt;0,1,0)+IF((COUNTIF('M311'!D11,"Aula 12"))&gt;0,1,0)+IF((COUNTIF('M411'!D11,"Aula 12"))&gt;0,1,0)+IF((COUNTIF('D111'!D11,"Aula 12")+COUNTIF('D112'!D11,"Aula 12"))&gt;0,1,0)+IF((COUNTIF('D211'!D11,"Aula 12"))&gt;0,1,0)+IF((COUNTIF('D311'!D11,"Aula 12"))&gt;0,1,0)+IF((COUNTIF('D411'!D11,"Aula 12"))&gt;0,1,0))=0,"",IF((IF((COUNTIF('C111'!D11,"Aula 12")+COUNTIF('C112'!D11,"Aula 12")+COUNTIF('C113'!D11,"Aula 12")+COUNTIF('C121'!D11,"Aula 12")+COUNTIF('C122'!D11,"Aula 12"))&gt;0,1,0)+IF((COUNTIF('C211'!D11,"Aula 12")+COUNTIF('C212'!D11,"Aula 12"))&gt;0,1,0)+IF((COUNTIF('C311'!D11,"Aula 12")+COUNTIF('C312'!D11,"Aula 12"))&gt;0,1,0)+IF((COUNTIF('C411'!D11,"Aula 12")+COUNTIF('C412'!D11,"Aula 12"))&gt;0,1,0)+IF((COUNTIF('M111'!D11,"Aula 12")+COUNTIF('M112'!D11,"Aula 12"))&gt;0,1,0)+IF((COUNTIF('M211'!D11,"Aula 12")+COUNTIF('M212'!D11,"Aula 12"))&gt;0,1,0)+IF((COUNTIF('M311'!D11,"Aula 12"))&gt;0,1,0)+IF((COUNTIF('M411'!D11,"Aula 12"))&gt;0,1,0)+IF((COUNTIF('D111'!D11,"Aula 12")+COUNTIF('D112'!D11,"Aula 12"))&gt;0,1,0)+IF((COUNTIF('D211'!D11,"Aula 12"))&gt;0,1,0)+IF((COUNTIF('D311'!D11,"Aula 12"))&gt;0,1,0)+IF((COUNTIF('D411'!D11,"Aula 12"))&gt;0,1,0))=1,IF((COUNTIF('C111'!D11,"Aula 12")+COUNTIF('C112'!D11,"Aula 12")+COUNTIF('C113'!D11,"Aula 12")+COUNTIF('C121'!D11,"Aula 12")+COUNTIF('C122'!D11,"Aula 12"))&gt;0,"C1",IF((COUNTIF('C211'!D11,"Aula 12")+COUNTIF('C212'!D11,"Aula 12"))&gt;0,"C2",IF((COUNTIF('C311'!D11,"Aula 12")+COUNTIF('C312'!D11,"Aula 12"))&gt;0,"C3",IF((COUNTIF('C411'!D11,"Aula 12")+COUNTIF('C412'!D11,"Aula 12"))&gt;0,"C4",IF((COUNTIF('M111'!D11,"Aula 12")+COUNTIF('M112'!D11,"Aula 12"))&gt;0,"M1",IF((COUNTIF('M211'!D11,"Aula 12")+COUNTIF('M212'!D11,"Aula 12"))&gt;0,"M2",IF((COUNTIF('M311'!D11,"Aula 12"))&gt;0,"M3",IF((COUNTIF('M411'!D11,"Aula 12"))&gt;0,"M4",IF((COUNTIF('D111'!D11,"Aula 12")+COUNTIF('D112'!D11,"Aula 12"))&gt;0,"D1",IF((COUNTIF('D211'!D11,"Aula 12"))&gt;0,"D2",IF((COUNTIF('D311'!D11,"Aula 12"))&gt;0,"D3",IF((COUNTIF('D411'!D11,"Aula 12"))&gt;0,"D4","")))))))))))),"MIX"))</f>
        <v/>
      </c>
    </row>
    <row r="238">
      <c r="C238">
        <f>IF((IF((COUNTIF('C111'!D11,"Lab 1")+COUNTIF('C112'!D11,"Lab 1")+COUNTIF('C113'!D11,"Lab 1")+COUNTIF('C121'!D11,"Lab 1")+COUNTIF('C122'!D11,"Lab 1"))&gt;0,1,0)+IF((COUNTIF('C211'!D11,"Lab 1")+COUNTIF('C212'!D11,"Lab 1"))&gt;0,1,0)+IF((COUNTIF('C311'!D11,"Lab 1")+COUNTIF('C312'!D11,"Lab 1"))&gt;0,1,0)+IF((COUNTIF('C411'!D11,"Lab 1")+COUNTIF('C412'!D11,"Lab 1"))&gt;0,1,0)+IF((COUNTIF('M111'!D11,"Lab 1")+COUNTIF('M112'!D11,"Lab 1"))&gt;0,1,0)+IF((COUNTIF('M211'!D11,"Lab 1")+COUNTIF('M212'!D11,"Lab 1"))&gt;0,1,0)+IF((COUNTIF('M311'!D11,"Lab 1"))&gt;0,1,0)+IF((COUNTIF('M411'!D11,"Lab 1"))&gt;0,1,0)+IF((COUNTIF('D111'!D11,"Lab 1")+COUNTIF('D112'!D11,"Lab 1"))&gt;0,1,0)+IF((COUNTIF('D211'!D11,"Lab 1"))&gt;0,1,0)+IF((COUNTIF('D311'!D11,"Lab 1"))&gt;0,1,0)+IF((COUNTIF('D411'!D11,"Lab 1"))&gt;0,1,0))=0,"",IF((IF((COUNTIF('C111'!D11,"Lab 1")+COUNTIF('C112'!D11,"Lab 1")+COUNTIF('C113'!D11,"Lab 1")+COUNTIF('C121'!D11,"Lab 1")+COUNTIF('C122'!D11,"Lab 1"))&gt;0,1,0)+IF((COUNTIF('C211'!D11,"Lab 1")+COUNTIF('C212'!D11,"Lab 1"))&gt;0,1,0)+IF((COUNTIF('C311'!D11,"Lab 1")+COUNTIF('C312'!D11,"Lab 1"))&gt;0,1,0)+IF((COUNTIF('C411'!D11,"Lab 1")+COUNTIF('C412'!D11,"Lab 1"))&gt;0,1,0)+IF((COUNTIF('M111'!D11,"Lab 1")+COUNTIF('M112'!D11,"Lab 1"))&gt;0,1,0)+IF((COUNTIF('M211'!D11,"Lab 1")+COUNTIF('M212'!D11,"Lab 1"))&gt;0,1,0)+IF((COUNTIF('M311'!D11,"Lab 1"))&gt;0,1,0)+IF((COUNTIF('M411'!D11,"Lab 1"))&gt;0,1,0)+IF((COUNTIF('D111'!D11,"Lab 1")+COUNTIF('D112'!D11,"Lab 1"))&gt;0,1,0)+IF((COUNTIF('D211'!D11,"Lab 1"))&gt;0,1,0)+IF((COUNTIF('D311'!D11,"Lab 1"))&gt;0,1,0)+IF((COUNTIF('D411'!D11,"Lab 1"))&gt;0,1,0))=1,IF((COUNTIF('C111'!D11,"Lab 1")+COUNTIF('C112'!D11,"Lab 1")+COUNTIF('C113'!D11,"Lab 1")+COUNTIF('C121'!D11,"Lab 1")+COUNTIF('C122'!D11,"Lab 1"))&gt;0,"C1",IF((COUNTIF('C211'!D11,"Lab 1")+COUNTIF('C212'!D11,"Lab 1"))&gt;0,"C2",IF((COUNTIF('C311'!D11,"Lab 1")+COUNTIF('C312'!D11,"Lab 1"))&gt;0,"C3",IF((COUNTIF('C411'!D11,"Lab 1")+COUNTIF('C412'!D11,"Lab 1"))&gt;0,"C4",IF((COUNTIF('M111'!D11,"Lab 1")+COUNTIF('M112'!D11,"Lab 1"))&gt;0,"M1",IF((COUNTIF('M211'!D11,"Lab 1")+COUNTIF('M212'!D11,"Lab 1"))&gt;0,"M2",IF((COUNTIF('M311'!D11,"Lab 1"))&gt;0,"M3",IF((COUNTIF('M411'!D11,"Lab 1"))&gt;0,"M4",IF((COUNTIF('D111'!D11,"Lab 1")+COUNTIF('D112'!D11,"Lab 1"))&gt;0,"D1",IF((COUNTIF('D211'!D11,"Lab 1"))&gt;0,"D2",IF((COUNTIF('D311'!D11,"Lab 1"))&gt;0,"D3",IF((COUNTIF('D411'!D11,"Lab 1"))&gt;0,"D4","")))))))))))),"MIX"))</f>
        <v/>
      </c>
    </row>
    <row r="239">
      <c r="C239">
        <f>IF((IF((COUNTIF('C111'!D11,"Lab 2")+COUNTIF('C112'!D11,"Lab 2")+COUNTIF('C113'!D11,"Lab 2")+COUNTIF('C121'!D11,"Lab 2")+COUNTIF('C122'!D11,"Lab 2"))&gt;0,1,0)+IF((COUNTIF('C211'!D11,"Lab 2")+COUNTIF('C212'!D11,"Lab 2"))&gt;0,1,0)+IF((COUNTIF('C311'!D11,"Lab 2")+COUNTIF('C312'!D11,"Lab 2"))&gt;0,1,0)+IF((COUNTIF('C411'!D11,"Lab 2")+COUNTIF('C412'!D11,"Lab 2"))&gt;0,1,0)+IF((COUNTIF('M111'!D11,"Lab 2")+COUNTIF('M112'!D11,"Lab 2"))&gt;0,1,0)+IF((COUNTIF('M211'!D11,"Lab 2")+COUNTIF('M212'!D11,"Lab 2"))&gt;0,1,0)+IF((COUNTIF('M311'!D11,"Lab 2"))&gt;0,1,0)+IF((COUNTIF('M411'!D11,"Lab 2"))&gt;0,1,0)+IF((COUNTIF('D111'!D11,"Lab 2")+COUNTIF('D112'!D11,"Lab 2"))&gt;0,1,0)+IF((COUNTIF('D211'!D11,"Lab 2"))&gt;0,1,0)+IF((COUNTIF('D311'!D11,"Lab 2"))&gt;0,1,0)+IF((COUNTIF('D411'!D11,"Lab 2"))&gt;0,1,0))=0,"",IF((IF((COUNTIF('C111'!D11,"Lab 2")+COUNTIF('C112'!D11,"Lab 2")+COUNTIF('C113'!D11,"Lab 2")+COUNTIF('C121'!D11,"Lab 2")+COUNTIF('C122'!D11,"Lab 2"))&gt;0,1,0)+IF((COUNTIF('C211'!D11,"Lab 2")+COUNTIF('C212'!D11,"Lab 2"))&gt;0,1,0)+IF((COUNTIF('C311'!D11,"Lab 2")+COUNTIF('C312'!D11,"Lab 2"))&gt;0,1,0)+IF((COUNTIF('C411'!D11,"Lab 2")+COUNTIF('C412'!D11,"Lab 2"))&gt;0,1,0)+IF((COUNTIF('M111'!D11,"Lab 2")+COUNTIF('M112'!D11,"Lab 2"))&gt;0,1,0)+IF((COUNTIF('M211'!D11,"Lab 2")+COUNTIF('M212'!D11,"Lab 2"))&gt;0,1,0)+IF((COUNTIF('M311'!D11,"Lab 2"))&gt;0,1,0)+IF((COUNTIF('M411'!D11,"Lab 2"))&gt;0,1,0)+IF((COUNTIF('D111'!D11,"Lab 2")+COUNTIF('D112'!D11,"Lab 2"))&gt;0,1,0)+IF((COUNTIF('D211'!D11,"Lab 2"))&gt;0,1,0)+IF((COUNTIF('D311'!D11,"Lab 2"))&gt;0,1,0)+IF((COUNTIF('D411'!D11,"Lab 2"))&gt;0,1,0))=1,IF((COUNTIF('C111'!D11,"Lab 2")+COUNTIF('C112'!D11,"Lab 2")+COUNTIF('C113'!D11,"Lab 2")+COUNTIF('C121'!D11,"Lab 2")+COUNTIF('C122'!D11,"Lab 2"))&gt;0,"C1",IF((COUNTIF('C211'!D11,"Lab 2")+COUNTIF('C212'!D11,"Lab 2"))&gt;0,"C2",IF((COUNTIF('C311'!D11,"Lab 2")+COUNTIF('C312'!D11,"Lab 2"))&gt;0,"C3",IF((COUNTIF('C411'!D11,"Lab 2")+COUNTIF('C412'!D11,"Lab 2"))&gt;0,"C4",IF((COUNTIF('M111'!D11,"Lab 2")+COUNTIF('M112'!D11,"Lab 2"))&gt;0,"M1",IF((COUNTIF('M211'!D11,"Lab 2")+COUNTIF('M212'!D11,"Lab 2"))&gt;0,"M2",IF((COUNTIF('M311'!D11,"Lab 2"))&gt;0,"M3",IF((COUNTIF('M411'!D11,"Lab 2"))&gt;0,"M4",IF((COUNTIF('D111'!D11,"Lab 2")+COUNTIF('D112'!D11,"Lab 2"))&gt;0,"D1",IF((COUNTIF('D211'!D11,"Lab 2"))&gt;0,"D2",IF((COUNTIF('D311'!D11,"Lab 2"))&gt;0,"D3",IF((COUNTIF('D411'!D11,"Lab 2"))&gt;0,"D4","")))))))))))),"MIX"))</f>
        <v/>
      </c>
    </row>
    <row r="240">
      <c r="C240">
        <f>IF((IF((COUNTIF('C111'!D11,"Salón")+COUNTIF('C112'!D11,"Salón")+COUNTIF('C113'!D11,"Salón")+COUNTIF('C121'!D11,"Salón")+COUNTIF('C122'!D11,"Salón"))&gt;0,1,0)+IF((COUNTIF('C211'!D11,"Salón")+COUNTIF('C212'!D11,"Salón"))&gt;0,1,0)+IF((COUNTIF('C311'!D11,"Salón")+COUNTIF('C312'!D11,"Salón"))&gt;0,1,0)+IF((COUNTIF('C411'!D11,"Salón")+COUNTIF('C412'!D11,"Salón"))&gt;0,1,0)+IF((COUNTIF('M111'!D11,"Salón")+COUNTIF('M112'!D11,"Salón"))&gt;0,1,0)+IF((COUNTIF('M211'!D11,"Salón")+COUNTIF('M212'!D11,"Salón"))&gt;0,1,0)+IF((COUNTIF('M311'!D11,"Salón"))&gt;0,1,0)+IF((COUNTIF('M411'!D11,"Salón"))&gt;0,1,0)+IF((COUNTIF('D111'!D11,"Salón")+COUNTIF('D112'!D11,"Salón"))&gt;0,1,0)+IF((COUNTIF('D211'!D11,"Salón"))&gt;0,1,0)+IF((COUNTIF('D311'!D11,"Salón"))&gt;0,1,0)+IF((COUNTIF('D411'!D11,"Salón"))&gt;0,1,0))=0,"",IF((IF((COUNTIF('C111'!D11,"Salón")+COUNTIF('C112'!D11,"Salón")+COUNTIF('C113'!D11,"Salón")+COUNTIF('C121'!D11,"Salón")+COUNTIF('C122'!D11,"Salón"))&gt;0,1,0)+IF((COUNTIF('C211'!D11,"Salón")+COUNTIF('C212'!D11,"Salón"))&gt;0,1,0)+IF((COUNTIF('C311'!D11,"Salón")+COUNTIF('C312'!D11,"Salón"))&gt;0,1,0)+IF((COUNTIF('C411'!D11,"Salón")+COUNTIF('C412'!D11,"Salón"))&gt;0,1,0)+IF((COUNTIF('M111'!D11,"Salón")+COUNTIF('M112'!D11,"Salón"))&gt;0,1,0)+IF((COUNTIF('M211'!D11,"Salón")+COUNTIF('M212'!D11,"Salón"))&gt;0,1,0)+IF((COUNTIF('M311'!D11,"Salón"))&gt;0,1,0)+IF((COUNTIF('M411'!D11,"Salón"))&gt;0,1,0)+IF((COUNTIF('D111'!D11,"Salón")+COUNTIF('D112'!D11,"Salón"))&gt;0,1,0)+IF((COUNTIF('D211'!D11,"Salón"))&gt;0,1,0)+IF((COUNTIF('D311'!D11,"Salón"))&gt;0,1,0)+IF((COUNTIF('D411'!D11,"Salón"))&gt;0,1,0))=1,IF((COUNTIF('C111'!D11,"Salón")+COUNTIF('C112'!D11,"Salón")+COUNTIF('C113'!D11,"Salón")+COUNTIF('C121'!D11,"Salón")+COUNTIF('C122'!D11,"Salón"))&gt;0,"C1",IF((COUNTIF('C211'!D11,"Salón")+COUNTIF('C212'!D11,"Salón"))&gt;0,"C2",IF((COUNTIF('C311'!D11,"Salón")+COUNTIF('C312'!D11,"Salón"))&gt;0,"C3",IF((COUNTIF('C411'!D11,"Salón")+COUNTIF('C412'!D11,"Salón"))&gt;0,"C4",IF((COUNTIF('M111'!D11,"Salón")+COUNTIF('M112'!D11,"Salón"))&gt;0,"M1",IF((COUNTIF('M211'!D11,"Salón")+COUNTIF('M212'!D11,"Salón"))&gt;0,"M2",IF((COUNTIF('M311'!D11,"Salón"))&gt;0,"M3",IF((COUNTIF('M411'!D11,"Salón"))&gt;0,"M4",IF((COUNTIF('D111'!D11,"Salón")+COUNTIF('D112'!D11,"Salón"))&gt;0,"D1",IF((COUNTIF('D211'!D11,"Salón"))&gt;0,"D2",IF((COUNTIF('D311'!D11,"Salón"))&gt;0,"D3",IF((COUNTIF('D411'!D11,"Salón"))&gt;0,"D4","")))))))))))),"MIX"))</f>
        <v/>
      </c>
    </row>
    <row r="241">
      <c r="C241">
        <f>IF((IF((COUNTIF('C111'!D13,"Aula 1")+COUNTIF('C112'!D13,"Aula 1")+COUNTIF('C113'!D13,"Aula 1")+COUNTIF('C121'!D13,"Aula 1")+COUNTIF('C122'!D13,"Aula 1"))&gt;0,1,0)+IF((COUNTIF('C211'!D13,"Aula 1")+COUNTIF('C212'!D13,"Aula 1"))&gt;0,1,0)+IF((COUNTIF('C311'!D13,"Aula 1")+COUNTIF('C312'!D13,"Aula 1"))&gt;0,1,0)+IF((COUNTIF('C411'!D13,"Aula 1")+COUNTIF('C412'!D13,"Aula 1"))&gt;0,1,0)+IF((COUNTIF('M111'!D13,"Aula 1")+COUNTIF('M112'!D13,"Aula 1"))&gt;0,1,0)+IF((COUNTIF('M211'!D13,"Aula 1")+COUNTIF('M212'!D13,"Aula 1"))&gt;0,1,0)+IF((COUNTIF('M311'!D13,"Aula 1"))&gt;0,1,0)+IF((COUNTIF('M411'!D13,"Aula 1"))&gt;0,1,0)+IF((COUNTIF('D111'!D13,"Aula 1")+COUNTIF('D112'!D13,"Aula 1"))&gt;0,1,0)+IF((COUNTIF('D211'!D13,"Aula 1"))&gt;0,1,0)+IF((COUNTIF('D311'!D13,"Aula 1"))&gt;0,1,0)+IF((COUNTIF('D411'!D13,"Aula 1"))&gt;0,1,0))=0,"",IF((IF((COUNTIF('C111'!D13,"Aula 1")+COUNTIF('C112'!D13,"Aula 1")+COUNTIF('C113'!D13,"Aula 1")+COUNTIF('C121'!D13,"Aula 1")+COUNTIF('C122'!D13,"Aula 1"))&gt;0,1,0)+IF((COUNTIF('C211'!D13,"Aula 1")+COUNTIF('C212'!D13,"Aula 1"))&gt;0,1,0)+IF((COUNTIF('C311'!D13,"Aula 1")+COUNTIF('C312'!D13,"Aula 1"))&gt;0,1,0)+IF((COUNTIF('C411'!D13,"Aula 1")+COUNTIF('C412'!D13,"Aula 1"))&gt;0,1,0)+IF((COUNTIF('M111'!D13,"Aula 1")+COUNTIF('M112'!D13,"Aula 1"))&gt;0,1,0)+IF((COUNTIF('M211'!D13,"Aula 1")+COUNTIF('M212'!D13,"Aula 1"))&gt;0,1,0)+IF((COUNTIF('M311'!D13,"Aula 1"))&gt;0,1,0)+IF((COUNTIF('M411'!D13,"Aula 1"))&gt;0,1,0)+IF((COUNTIF('D111'!D13,"Aula 1")+COUNTIF('D112'!D13,"Aula 1"))&gt;0,1,0)+IF((COUNTIF('D211'!D13,"Aula 1"))&gt;0,1,0)+IF((COUNTIF('D311'!D13,"Aula 1"))&gt;0,1,0)+IF((COUNTIF('D411'!D13,"Aula 1"))&gt;0,1,0))=1,IF((COUNTIF('C111'!D13,"Aula 1")+COUNTIF('C112'!D13,"Aula 1")+COUNTIF('C113'!D13,"Aula 1")+COUNTIF('C121'!D13,"Aula 1")+COUNTIF('C122'!D13,"Aula 1"))&gt;0,"C1",IF((COUNTIF('C211'!D13,"Aula 1")+COUNTIF('C212'!D13,"Aula 1"))&gt;0,"C2",IF((COUNTIF('C311'!D13,"Aula 1")+COUNTIF('C312'!D13,"Aula 1"))&gt;0,"C3",IF((COUNTIF('C411'!D13,"Aula 1")+COUNTIF('C412'!D13,"Aula 1"))&gt;0,"C4",IF((COUNTIF('M111'!D13,"Aula 1")+COUNTIF('M112'!D13,"Aula 1"))&gt;0,"M1",IF((COUNTIF('M211'!D13,"Aula 1")+COUNTIF('M212'!D13,"Aula 1"))&gt;0,"M2",IF((COUNTIF('M311'!D13,"Aula 1"))&gt;0,"M3",IF((COUNTIF('M411'!D13,"Aula 1"))&gt;0,"M4",IF((COUNTIF('D111'!D13,"Aula 1")+COUNTIF('D112'!D13,"Aula 1"))&gt;0,"D1",IF((COUNTIF('D211'!D13,"Aula 1"))&gt;0,"D2",IF((COUNTIF('D311'!D13,"Aula 1"))&gt;0,"D3",IF((COUNTIF('D411'!D13,"Aula 1"))&gt;0,"D4","")))))))))))),"MIX"))</f>
        <v/>
      </c>
    </row>
    <row r="242">
      <c r="C242">
        <f>IF((IF((COUNTIF('C111'!D13,"Aula 2")+COUNTIF('C112'!D13,"Aula 2")+COUNTIF('C113'!D13,"Aula 2")+COUNTIF('C121'!D13,"Aula 2")+COUNTIF('C122'!D13,"Aula 2"))&gt;0,1,0)+IF((COUNTIF('C211'!D13,"Aula 2")+COUNTIF('C212'!D13,"Aula 2"))&gt;0,1,0)+IF((COUNTIF('C311'!D13,"Aula 2")+COUNTIF('C312'!D13,"Aula 2"))&gt;0,1,0)+IF((COUNTIF('C411'!D13,"Aula 2")+COUNTIF('C412'!D13,"Aula 2"))&gt;0,1,0)+IF((COUNTIF('M111'!D13,"Aula 2")+COUNTIF('M112'!D13,"Aula 2"))&gt;0,1,0)+IF((COUNTIF('M211'!D13,"Aula 2")+COUNTIF('M212'!D13,"Aula 2"))&gt;0,1,0)+IF((COUNTIF('M311'!D13,"Aula 2"))&gt;0,1,0)+IF((COUNTIF('M411'!D13,"Aula 2"))&gt;0,1,0)+IF((COUNTIF('D111'!D13,"Aula 2")+COUNTIF('D112'!D13,"Aula 2"))&gt;0,1,0)+IF((COUNTIF('D211'!D13,"Aula 2"))&gt;0,1,0)+IF((COUNTIF('D311'!D13,"Aula 2"))&gt;0,1,0)+IF((COUNTIF('D411'!D13,"Aula 2"))&gt;0,1,0))=0,"",IF((IF((COUNTIF('C111'!D13,"Aula 2")+COUNTIF('C112'!D13,"Aula 2")+COUNTIF('C113'!D13,"Aula 2")+COUNTIF('C121'!D13,"Aula 2")+COUNTIF('C122'!D13,"Aula 2"))&gt;0,1,0)+IF((COUNTIF('C211'!D13,"Aula 2")+COUNTIF('C212'!D13,"Aula 2"))&gt;0,1,0)+IF((COUNTIF('C311'!D13,"Aula 2")+COUNTIF('C312'!D13,"Aula 2"))&gt;0,1,0)+IF((COUNTIF('C411'!D13,"Aula 2")+COUNTIF('C412'!D13,"Aula 2"))&gt;0,1,0)+IF((COUNTIF('M111'!D13,"Aula 2")+COUNTIF('M112'!D13,"Aula 2"))&gt;0,1,0)+IF((COUNTIF('M211'!D13,"Aula 2")+COUNTIF('M212'!D13,"Aula 2"))&gt;0,1,0)+IF((COUNTIF('M311'!D13,"Aula 2"))&gt;0,1,0)+IF((COUNTIF('M411'!D13,"Aula 2"))&gt;0,1,0)+IF((COUNTIF('D111'!D13,"Aula 2")+COUNTIF('D112'!D13,"Aula 2"))&gt;0,1,0)+IF((COUNTIF('D211'!D13,"Aula 2"))&gt;0,1,0)+IF((COUNTIF('D311'!D13,"Aula 2"))&gt;0,1,0)+IF((COUNTIF('D411'!D13,"Aula 2"))&gt;0,1,0))=1,IF((COUNTIF('C111'!D13,"Aula 2")+COUNTIF('C112'!D13,"Aula 2")+COUNTIF('C113'!D13,"Aula 2")+COUNTIF('C121'!D13,"Aula 2")+COUNTIF('C122'!D13,"Aula 2"))&gt;0,"C1",IF((COUNTIF('C211'!D13,"Aula 2")+COUNTIF('C212'!D13,"Aula 2"))&gt;0,"C2",IF((COUNTIF('C311'!D13,"Aula 2")+COUNTIF('C312'!D13,"Aula 2"))&gt;0,"C3",IF((COUNTIF('C411'!D13,"Aula 2")+COUNTIF('C412'!D13,"Aula 2"))&gt;0,"C4",IF((COUNTIF('M111'!D13,"Aula 2")+COUNTIF('M112'!D13,"Aula 2"))&gt;0,"M1",IF((COUNTIF('M211'!D13,"Aula 2")+COUNTIF('M212'!D13,"Aula 2"))&gt;0,"M2",IF((COUNTIF('M311'!D13,"Aula 2"))&gt;0,"M3",IF((COUNTIF('M411'!D13,"Aula 2"))&gt;0,"M4",IF((COUNTIF('D111'!D13,"Aula 2")+COUNTIF('D112'!D13,"Aula 2"))&gt;0,"D1",IF((COUNTIF('D211'!D13,"Aula 2"))&gt;0,"D2",IF((COUNTIF('D311'!D13,"Aula 2"))&gt;0,"D3",IF((COUNTIF('D411'!D13,"Aula 2"))&gt;0,"D4","")))))))))))),"MIX"))</f>
        <v/>
      </c>
    </row>
    <row r="243">
      <c r="C243">
        <f>IF((IF((COUNTIF('C111'!D13,"Aula 3")+COUNTIF('C112'!D13,"Aula 3")+COUNTIF('C113'!D13,"Aula 3")+COUNTIF('C121'!D13,"Aula 3")+COUNTIF('C122'!D13,"Aula 3"))&gt;0,1,0)+IF((COUNTIF('C211'!D13,"Aula 3")+COUNTIF('C212'!D13,"Aula 3"))&gt;0,1,0)+IF((COUNTIF('C311'!D13,"Aula 3")+COUNTIF('C312'!D13,"Aula 3"))&gt;0,1,0)+IF((COUNTIF('C411'!D13,"Aula 3")+COUNTIF('C412'!D13,"Aula 3"))&gt;0,1,0)+IF((COUNTIF('M111'!D13,"Aula 3")+COUNTIF('M112'!D13,"Aula 3"))&gt;0,1,0)+IF((COUNTIF('M211'!D13,"Aula 3")+COUNTIF('M212'!D13,"Aula 3"))&gt;0,1,0)+IF((COUNTIF('M311'!D13,"Aula 3"))&gt;0,1,0)+IF((COUNTIF('M411'!D13,"Aula 3"))&gt;0,1,0)+IF((COUNTIF('D111'!D13,"Aula 3")+COUNTIF('D112'!D13,"Aula 3"))&gt;0,1,0)+IF((COUNTIF('D211'!D13,"Aula 3"))&gt;0,1,0)+IF((COUNTIF('D311'!D13,"Aula 3"))&gt;0,1,0)+IF((COUNTIF('D411'!D13,"Aula 3"))&gt;0,1,0))=0,"",IF((IF((COUNTIF('C111'!D13,"Aula 3")+COUNTIF('C112'!D13,"Aula 3")+COUNTIF('C113'!D13,"Aula 3")+COUNTIF('C121'!D13,"Aula 3")+COUNTIF('C122'!D13,"Aula 3"))&gt;0,1,0)+IF((COUNTIF('C211'!D13,"Aula 3")+COUNTIF('C212'!D13,"Aula 3"))&gt;0,1,0)+IF((COUNTIF('C311'!D13,"Aula 3")+COUNTIF('C312'!D13,"Aula 3"))&gt;0,1,0)+IF((COUNTIF('C411'!D13,"Aula 3")+COUNTIF('C412'!D13,"Aula 3"))&gt;0,1,0)+IF((COUNTIF('M111'!D13,"Aula 3")+COUNTIF('M112'!D13,"Aula 3"))&gt;0,1,0)+IF((COUNTIF('M211'!D13,"Aula 3")+COUNTIF('M212'!D13,"Aula 3"))&gt;0,1,0)+IF((COUNTIF('M311'!D13,"Aula 3"))&gt;0,1,0)+IF((COUNTIF('M411'!D13,"Aula 3"))&gt;0,1,0)+IF((COUNTIF('D111'!D13,"Aula 3")+COUNTIF('D112'!D13,"Aula 3"))&gt;0,1,0)+IF((COUNTIF('D211'!D13,"Aula 3"))&gt;0,1,0)+IF((COUNTIF('D311'!D13,"Aula 3"))&gt;0,1,0)+IF((COUNTIF('D411'!D13,"Aula 3"))&gt;0,1,0))=1,IF((COUNTIF('C111'!D13,"Aula 3")+COUNTIF('C112'!D13,"Aula 3")+COUNTIF('C113'!D13,"Aula 3")+COUNTIF('C121'!D13,"Aula 3")+COUNTIF('C122'!D13,"Aula 3"))&gt;0,"C1",IF((COUNTIF('C211'!D13,"Aula 3")+COUNTIF('C212'!D13,"Aula 3"))&gt;0,"C2",IF((COUNTIF('C311'!D13,"Aula 3")+COUNTIF('C312'!D13,"Aula 3"))&gt;0,"C3",IF((COUNTIF('C411'!D13,"Aula 3")+COUNTIF('C412'!D13,"Aula 3"))&gt;0,"C4",IF((COUNTIF('M111'!D13,"Aula 3")+COUNTIF('M112'!D13,"Aula 3"))&gt;0,"M1",IF((COUNTIF('M211'!D13,"Aula 3")+COUNTIF('M212'!D13,"Aula 3"))&gt;0,"M2",IF((COUNTIF('M311'!D13,"Aula 3"))&gt;0,"M3",IF((COUNTIF('M411'!D13,"Aula 3"))&gt;0,"M4",IF((COUNTIF('D111'!D13,"Aula 3")+COUNTIF('D112'!D13,"Aula 3"))&gt;0,"D1",IF((COUNTIF('D211'!D13,"Aula 3"))&gt;0,"D2",IF((COUNTIF('D311'!D13,"Aula 3"))&gt;0,"D3",IF((COUNTIF('D411'!D13,"Aula 3"))&gt;0,"D4","")))))))))))),"MIX"))</f>
        <v/>
      </c>
    </row>
    <row r="244">
      <c r="C244">
        <f>IF((IF((COUNTIF('C111'!D13,"Aula 4")+COUNTIF('C112'!D13,"Aula 4")+COUNTIF('C113'!D13,"Aula 4")+COUNTIF('C121'!D13,"Aula 4")+COUNTIF('C122'!D13,"Aula 4"))&gt;0,1,0)+IF((COUNTIF('C211'!D13,"Aula 4")+COUNTIF('C212'!D13,"Aula 4"))&gt;0,1,0)+IF((COUNTIF('C311'!D13,"Aula 4")+COUNTIF('C312'!D13,"Aula 4"))&gt;0,1,0)+IF((COUNTIF('C411'!D13,"Aula 4")+COUNTIF('C412'!D13,"Aula 4"))&gt;0,1,0)+IF((COUNTIF('M111'!D13,"Aula 4")+COUNTIF('M112'!D13,"Aula 4"))&gt;0,1,0)+IF((COUNTIF('M211'!D13,"Aula 4")+COUNTIF('M212'!D13,"Aula 4"))&gt;0,1,0)+IF((COUNTIF('M311'!D13,"Aula 4"))&gt;0,1,0)+IF((COUNTIF('M411'!D13,"Aula 4"))&gt;0,1,0)+IF((COUNTIF('D111'!D13,"Aula 4")+COUNTIF('D112'!D13,"Aula 4"))&gt;0,1,0)+IF((COUNTIF('D211'!D13,"Aula 4"))&gt;0,1,0)+IF((COUNTIF('D311'!D13,"Aula 4"))&gt;0,1,0)+IF((COUNTIF('D411'!D13,"Aula 4"))&gt;0,1,0))=0,"",IF((IF((COUNTIF('C111'!D13,"Aula 4")+COUNTIF('C112'!D13,"Aula 4")+COUNTIF('C113'!D13,"Aula 4")+COUNTIF('C121'!D13,"Aula 4")+COUNTIF('C122'!D13,"Aula 4"))&gt;0,1,0)+IF((COUNTIF('C211'!D13,"Aula 4")+COUNTIF('C212'!D13,"Aula 4"))&gt;0,1,0)+IF((COUNTIF('C311'!D13,"Aula 4")+COUNTIF('C312'!D13,"Aula 4"))&gt;0,1,0)+IF((COUNTIF('C411'!D13,"Aula 4")+COUNTIF('C412'!D13,"Aula 4"))&gt;0,1,0)+IF((COUNTIF('M111'!D13,"Aula 4")+COUNTIF('M112'!D13,"Aula 4"))&gt;0,1,0)+IF((COUNTIF('M211'!D13,"Aula 4")+COUNTIF('M212'!D13,"Aula 4"))&gt;0,1,0)+IF((COUNTIF('M311'!D13,"Aula 4"))&gt;0,1,0)+IF((COUNTIF('M411'!D13,"Aula 4"))&gt;0,1,0)+IF((COUNTIF('D111'!D13,"Aula 4")+COUNTIF('D112'!D13,"Aula 4"))&gt;0,1,0)+IF((COUNTIF('D211'!D13,"Aula 4"))&gt;0,1,0)+IF((COUNTIF('D311'!D13,"Aula 4"))&gt;0,1,0)+IF((COUNTIF('D411'!D13,"Aula 4"))&gt;0,1,0))=1,IF((COUNTIF('C111'!D13,"Aula 4")+COUNTIF('C112'!D13,"Aula 4")+COUNTIF('C113'!D13,"Aula 4")+COUNTIF('C121'!D13,"Aula 4")+COUNTIF('C122'!D13,"Aula 4"))&gt;0,"C1",IF((COUNTIF('C211'!D13,"Aula 4")+COUNTIF('C212'!D13,"Aula 4"))&gt;0,"C2",IF((COUNTIF('C311'!D13,"Aula 4")+COUNTIF('C312'!D13,"Aula 4"))&gt;0,"C3",IF((COUNTIF('C411'!D13,"Aula 4")+COUNTIF('C412'!D13,"Aula 4"))&gt;0,"C4",IF((COUNTIF('M111'!D13,"Aula 4")+COUNTIF('M112'!D13,"Aula 4"))&gt;0,"M1",IF((COUNTIF('M211'!D13,"Aula 4")+COUNTIF('M212'!D13,"Aula 4"))&gt;0,"M2",IF((COUNTIF('M311'!D13,"Aula 4"))&gt;0,"M3",IF((COUNTIF('M411'!D13,"Aula 4"))&gt;0,"M4",IF((COUNTIF('D111'!D13,"Aula 4")+COUNTIF('D112'!D13,"Aula 4"))&gt;0,"D1",IF((COUNTIF('D211'!D13,"Aula 4"))&gt;0,"D2",IF((COUNTIF('D311'!D13,"Aula 4"))&gt;0,"D3",IF((COUNTIF('D411'!D13,"Aula 4"))&gt;0,"D4","")))))))))))),"MIX"))</f>
        <v/>
      </c>
    </row>
    <row r="245">
      <c r="C245">
        <f>IF((IF((COUNTIF('C111'!D13,"Aula 5")+COUNTIF('C112'!D13,"Aula 5")+COUNTIF('C113'!D13,"Aula 5")+COUNTIF('C121'!D13,"Aula 5")+COUNTIF('C122'!D13,"Aula 5"))&gt;0,1,0)+IF((COUNTIF('C211'!D13,"Aula 5")+COUNTIF('C212'!D13,"Aula 5"))&gt;0,1,0)+IF((COUNTIF('C311'!D13,"Aula 5")+COUNTIF('C312'!D13,"Aula 5"))&gt;0,1,0)+IF((COUNTIF('C411'!D13,"Aula 5")+COUNTIF('C412'!D13,"Aula 5"))&gt;0,1,0)+IF((COUNTIF('M111'!D13,"Aula 5")+COUNTIF('M112'!D13,"Aula 5"))&gt;0,1,0)+IF((COUNTIF('M211'!D13,"Aula 5")+COUNTIF('M212'!D13,"Aula 5"))&gt;0,1,0)+IF((COUNTIF('M311'!D13,"Aula 5"))&gt;0,1,0)+IF((COUNTIF('M411'!D13,"Aula 5"))&gt;0,1,0)+IF((COUNTIF('D111'!D13,"Aula 5")+COUNTIF('D112'!D13,"Aula 5"))&gt;0,1,0)+IF((COUNTIF('D211'!D13,"Aula 5"))&gt;0,1,0)+IF((COUNTIF('D311'!D13,"Aula 5"))&gt;0,1,0)+IF((COUNTIF('D411'!D13,"Aula 5"))&gt;0,1,0))=0,"",IF((IF((COUNTIF('C111'!D13,"Aula 5")+COUNTIF('C112'!D13,"Aula 5")+COUNTIF('C113'!D13,"Aula 5")+COUNTIF('C121'!D13,"Aula 5")+COUNTIF('C122'!D13,"Aula 5"))&gt;0,1,0)+IF((COUNTIF('C211'!D13,"Aula 5")+COUNTIF('C212'!D13,"Aula 5"))&gt;0,1,0)+IF((COUNTIF('C311'!D13,"Aula 5")+COUNTIF('C312'!D13,"Aula 5"))&gt;0,1,0)+IF((COUNTIF('C411'!D13,"Aula 5")+COUNTIF('C412'!D13,"Aula 5"))&gt;0,1,0)+IF((COUNTIF('M111'!D13,"Aula 5")+COUNTIF('M112'!D13,"Aula 5"))&gt;0,1,0)+IF((COUNTIF('M211'!D13,"Aula 5")+COUNTIF('M212'!D13,"Aula 5"))&gt;0,1,0)+IF((COUNTIF('M311'!D13,"Aula 5"))&gt;0,1,0)+IF((COUNTIF('M411'!D13,"Aula 5"))&gt;0,1,0)+IF((COUNTIF('D111'!D13,"Aula 5")+COUNTIF('D112'!D13,"Aula 5"))&gt;0,1,0)+IF((COUNTIF('D211'!D13,"Aula 5"))&gt;0,1,0)+IF((COUNTIF('D311'!D13,"Aula 5"))&gt;0,1,0)+IF((COUNTIF('D411'!D13,"Aula 5"))&gt;0,1,0))=1,IF((COUNTIF('C111'!D13,"Aula 5")+COUNTIF('C112'!D13,"Aula 5")+COUNTIF('C113'!D13,"Aula 5")+COUNTIF('C121'!D13,"Aula 5")+COUNTIF('C122'!D13,"Aula 5"))&gt;0,"C1",IF((COUNTIF('C211'!D13,"Aula 5")+COUNTIF('C212'!D13,"Aula 5"))&gt;0,"C2",IF((COUNTIF('C311'!D13,"Aula 5")+COUNTIF('C312'!D13,"Aula 5"))&gt;0,"C3",IF((COUNTIF('C411'!D13,"Aula 5")+COUNTIF('C412'!D13,"Aula 5"))&gt;0,"C4",IF((COUNTIF('M111'!D13,"Aula 5")+COUNTIF('M112'!D13,"Aula 5"))&gt;0,"M1",IF((COUNTIF('M211'!D13,"Aula 5")+COUNTIF('M212'!D13,"Aula 5"))&gt;0,"M2",IF((COUNTIF('M311'!D13,"Aula 5"))&gt;0,"M3",IF((COUNTIF('M411'!D13,"Aula 5"))&gt;0,"M4",IF((COUNTIF('D111'!D13,"Aula 5")+COUNTIF('D112'!D13,"Aula 5"))&gt;0,"D1",IF((COUNTIF('D211'!D13,"Aula 5"))&gt;0,"D2",IF((COUNTIF('D311'!D13,"Aula 5"))&gt;0,"D3",IF((COUNTIF('D411'!D13,"Aula 5"))&gt;0,"D4","")))))))))))),"MIX"))</f>
        <v/>
      </c>
    </row>
    <row r="246">
      <c r="C246">
        <f>IF((IF((COUNTIF('C111'!D13,"Aula 6")+COUNTIF('C112'!D13,"Aula 6")+COUNTIF('C113'!D13,"Aula 6")+COUNTIF('C121'!D13,"Aula 6")+COUNTIF('C122'!D13,"Aula 6"))&gt;0,1,0)+IF((COUNTIF('C211'!D13,"Aula 6")+COUNTIF('C212'!D13,"Aula 6"))&gt;0,1,0)+IF((COUNTIF('C311'!D13,"Aula 6")+COUNTIF('C312'!D13,"Aula 6"))&gt;0,1,0)+IF((COUNTIF('C411'!D13,"Aula 6")+COUNTIF('C412'!D13,"Aula 6"))&gt;0,1,0)+IF((COUNTIF('M111'!D13,"Aula 6")+COUNTIF('M112'!D13,"Aula 6"))&gt;0,1,0)+IF((COUNTIF('M211'!D13,"Aula 6")+COUNTIF('M212'!D13,"Aula 6"))&gt;0,1,0)+IF((COUNTIF('M311'!D13,"Aula 6"))&gt;0,1,0)+IF((COUNTIF('M411'!D13,"Aula 6"))&gt;0,1,0)+IF((COUNTIF('D111'!D13,"Aula 6")+COUNTIF('D112'!D13,"Aula 6"))&gt;0,1,0)+IF((COUNTIF('D211'!D13,"Aula 6"))&gt;0,1,0)+IF((COUNTIF('D311'!D13,"Aula 6"))&gt;0,1,0)+IF((COUNTIF('D411'!D13,"Aula 6"))&gt;0,1,0))=0,"",IF((IF((COUNTIF('C111'!D13,"Aula 6")+COUNTIF('C112'!D13,"Aula 6")+COUNTIF('C113'!D13,"Aula 6")+COUNTIF('C121'!D13,"Aula 6")+COUNTIF('C122'!D13,"Aula 6"))&gt;0,1,0)+IF((COUNTIF('C211'!D13,"Aula 6")+COUNTIF('C212'!D13,"Aula 6"))&gt;0,1,0)+IF((COUNTIF('C311'!D13,"Aula 6")+COUNTIF('C312'!D13,"Aula 6"))&gt;0,1,0)+IF((COUNTIF('C411'!D13,"Aula 6")+COUNTIF('C412'!D13,"Aula 6"))&gt;0,1,0)+IF((COUNTIF('M111'!D13,"Aula 6")+COUNTIF('M112'!D13,"Aula 6"))&gt;0,1,0)+IF((COUNTIF('M211'!D13,"Aula 6")+COUNTIF('M212'!D13,"Aula 6"))&gt;0,1,0)+IF((COUNTIF('M311'!D13,"Aula 6"))&gt;0,1,0)+IF((COUNTIF('M411'!D13,"Aula 6"))&gt;0,1,0)+IF((COUNTIF('D111'!D13,"Aula 6")+COUNTIF('D112'!D13,"Aula 6"))&gt;0,1,0)+IF((COUNTIF('D211'!D13,"Aula 6"))&gt;0,1,0)+IF((COUNTIF('D311'!D13,"Aula 6"))&gt;0,1,0)+IF((COUNTIF('D411'!D13,"Aula 6"))&gt;0,1,0))=1,IF((COUNTIF('C111'!D13,"Aula 6")+COUNTIF('C112'!D13,"Aula 6")+COUNTIF('C113'!D13,"Aula 6")+COUNTIF('C121'!D13,"Aula 6")+COUNTIF('C122'!D13,"Aula 6"))&gt;0,"C1",IF((COUNTIF('C211'!D13,"Aula 6")+COUNTIF('C212'!D13,"Aula 6"))&gt;0,"C2",IF((COUNTIF('C311'!D13,"Aula 6")+COUNTIF('C312'!D13,"Aula 6"))&gt;0,"C3",IF((COUNTIF('C411'!D13,"Aula 6")+COUNTIF('C412'!D13,"Aula 6"))&gt;0,"C4",IF((COUNTIF('M111'!D13,"Aula 6")+COUNTIF('M112'!D13,"Aula 6"))&gt;0,"M1",IF((COUNTIF('M211'!D13,"Aula 6")+COUNTIF('M212'!D13,"Aula 6"))&gt;0,"M2",IF((COUNTIF('M311'!D13,"Aula 6"))&gt;0,"M3",IF((COUNTIF('M411'!D13,"Aula 6"))&gt;0,"M4",IF((COUNTIF('D111'!D13,"Aula 6")+COUNTIF('D112'!D13,"Aula 6"))&gt;0,"D1",IF((COUNTIF('D211'!D13,"Aula 6"))&gt;0,"D2",IF((COUNTIF('D311'!D13,"Aula 6"))&gt;0,"D3",IF((COUNTIF('D411'!D13,"Aula 6"))&gt;0,"D4","")))))))))))),"MIX"))</f>
        <v/>
      </c>
    </row>
    <row r="247">
      <c r="C247">
        <f>IF((IF((COUNTIF('C111'!D13,"Aula 7")+COUNTIF('C112'!D13,"Aula 7")+COUNTIF('C113'!D13,"Aula 7")+COUNTIF('C121'!D13,"Aula 7")+COUNTIF('C122'!D13,"Aula 7"))&gt;0,1,0)+IF((COUNTIF('C211'!D13,"Aula 7")+COUNTIF('C212'!D13,"Aula 7"))&gt;0,1,0)+IF((COUNTIF('C311'!D13,"Aula 7")+COUNTIF('C312'!D13,"Aula 7"))&gt;0,1,0)+IF((COUNTIF('C411'!D13,"Aula 7")+COUNTIF('C412'!D13,"Aula 7"))&gt;0,1,0)+IF((COUNTIF('M111'!D13,"Aula 7")+COUNTIF('M112'!D13,"Aula 7"))&gt;0,1,0)+IF((COUNTIF('M211'!D13,"Aula 7")+COUNTIF('M212'!D13,"Aula 7"))&gt;0,1,0)+IF((COUNTIF('M311'!D13,"Aula 7"))&gt;0,1,0)+IF((COUNTIF('M411'!D13,"Aula 7"))&gt;0,1,0)+IF((COUNTIF('D111'!D13,"Aula 7")+COUNTIF('D112'!D13,"Aula 7"))&gt;0,1,0)+IF((COUNTIF('D211'!D13,"Aula 7"))&gt;0,1,0)+IF((COUNTIF('D311'!D13,"Aula 7"))&gt;0,1,0)+IF((COUNTIF('D411'!D13,"Aula 7"))&gt;0,1,0))=0,"",IF((IF((COUNTIF('C111'!D13,"Aula 7")+COUNTIF('C112'!D13,"Aula 7")+COUNTIF('C113'!D13,"Aula 7")+COUNTIF('C121'!D13,"Aula 7")+COUNTIF('C122'!D13,"Aula 7"))&gt;0,1,0)+IF((COUNTIF('C211'!D13,"Aula 7")+COUNTIF('C212'!D13,"Aula 7"))&gt;0,1,0)+IF((COUNTIF('C311'!D13,"Aula 7")+COUNTIF('C312'!D13,"Aula 7"))&gt;0,1,0)+IF((COUNTIF('C411'!D13,"Aula 7")+COUNTIF('C412'!D13,"Aula 7"))&gt;0,1,0)+IF((COUNTIF('M111'!D13,"Aula 7")+COUNTIF('M112'!D13,"Aula 7"))&gt;0,1,0)+IF((COUNTIF('M211'!D13,"Aula 7")+COUNTIF('M212'!D13,"Aula 7"))&gt;0,1,0)+IF((COUNTIF('M311'!D13,"Aula 7"))&gt;0,1,0)+IF((COUNTIF('M411'!D13,"Aula 7"))&gt;0,1,0)+IF((COUNTIF('D111'!D13,"Aula 7")+COUNTIF('D112'!D13,"Aula 7"))&gt;0,1,0)+IF((COUNTIF('D211'!D13,"Aula 7"))&gt;0,1,0)+IF((COUNTIF('D311'!D13,"Aula 7"))&gt;0,1,0)+IF((COUNTIF('D411'!D13,"Aula 7"))&gt;0,1,0))=1,IF((COUNTIF('C111'!D13,"Aula 7")+COUNTIF('C112'!D13,"Aula 7")+COUNTIF('C113'!D13,"Aula 7")+COUNTIF('C121'!D13,"Aula 7")+COUNTIF('C122'!D13,"Aula 7"))&gt;0,"C1",IF((COUNTIF('C211'!D13,"Aula 7")+COUNTIF('C212'!D13,"Aula 7"))&gt;0,"C2",IF((COUNTIF('C311'!D13,"Aula 7")+COUNTIF('C312'!D13,"Aula 7"))&gt;0,"C3",IF((COUNTIF('C411'!D13,"Aula 7")+COUNTIF('C412'!D13,"Aula 7"))&gt;0,"C4",IF((COUNTIF('M111'!D13,"Aula 7")+COUNTIF('M112'!D13,"Aula 7"))&gt;0,"M1",IF((COUNTIF('M211'!D13,"Aula 7")+COUNTIF('M212'!D13,"Aula 7"))&gt;0,"M2",IF((COUNTIF('M311'!D13,"Aula 7"))&gt;0,"M3",IF((COUNTIF('M411'!D13,"Aula 7"))&gt;0,"M4",IF((COUNTIF('D111'!D13,"Aula 7")+COUNTIF('D112'!D13,"Aula 7"))&gt;0,"D1",IF((COUNTIF('D211'!D13,"Aula 7"))&gt;0,"D2",IF((COUNTIF('D311'!D13,"Aula 7"))&gt;0,"D3",IF((COUNTIF('D411'!D13,"Aula 7"))&gt;0,"D4","")))))))))))),"MIX"))</f>
        <v/>
      </c>
    </row>
    <row r="248">
      <c r="C248">
        <f>IF((IF((COUNTIF('C111'!D13,"Aula 8")+COUNTIF('C112'!D13,"Aula 8")+COUNTIF('C113'!D13,"Aula 8")+COUNTIF('C121'!D13,"Aula 8")+COUNTIF('C122'!D13,"Aula 8"))&gt;0,1,0)+IF((COUNTIF('C211'!D13,"Aula 8")+COUNTIF('C212'!D13,"Aula 8"))&gt;0,1,0)+IF((COUNTIF('C311'!D13,"Aula 8")+COUNTIF('C312'!D13,"Aula 8"))&gt;0,1,0)+IF((COUNTIF('C411'!D13,"Aula 8")+COUNTIF('C412'!D13,"Aula 8"))&gt;0,1,0)+IF((COUNTIF('M111'!D13,"Aula 8")+COUNTIF('M112'!D13,"Aula 8"))&gt;0,1,0)+IF((COUNTIF('M211'!D13,"Aula 8")+COUNTIF('M212'!D13,"Aula 8"))&gt;0,1,0)+IF((COUNTIF('M311'!D13,"Aula 8"))&gt;0,1,0)+IF((COUNTIF('M411'!D13,"Aula 8"))&gt;0,1,0)+IF((COUNTIF('D111'!D13,"Aula 8")+COUNTIF('D112'!D13,"Aula 8"))&gt;0,1,0)+IF((COUNTIF('D211'!D13,"Aula 8"))&gt;0,1,0)+IF((COUNTIF('D311'!D13,"Aula 8"))&gt;0,1,0)+IF((COUNTIF('D411'!D13,"Aula 8"))&gt;0,1,0))=0,"",IF((IF((COUNTIF('C111'!D13,"Aula 8")+COUNTIF('C112'!D13,"Aula 8")+COUNTIF('C113'!D13,"Aula 8")+COUNTIF('C121'!D13,"Aula 8")+COUNTIF('C122'!D13,"Aula 8"))&gt;0,1,0)+IF((COUNTIF('C211'!D13,"Aula 8")+COUNTIF('C212'!D13,"Aula 8"))&gt;0,1,0)+IF((COUNTIF('C311'!D13,"Aula 8")+COUNTIF('C312'!D13,"Aula 8"))&gt;0,1,0)+IF((COUNTIF('C411'!D13,"Aula 8")+COUNTIF('C412'!D13,"Aula 8"))&gt;0,1,0)+IF((COUNTIF('M111'!D13,"Aula 8")+COUNTIF('M112'!D13,"Aula 8"))&gt;0,1,0)+IF((COUNTIF('M211'!D13,"Aula 8")+COUNTIF('M212'!D13,"Aula 8"))&gt;0,1,0)+IF((COUNTIF('M311'!D13,"Aula 8"))&gt;0,1,0)+IF((COUNTIF('M411'!D13,"Aula 8"))&gt;0,1,0)+IF((COUNTIF('D111'!D13,"Aula 8")+COUNTIF('D112'!D13,"Aula 8"))&gt;0,1,0)+IF((COUNTIF('D211'!D13,"Aula 8"))&gt;0,1,0)+IF((COUNTIF('D311'!D13,"Aula 8"))&gt;0,1,0)+IF((COUNTIF('D411'!D13,"Aula 8"))&gt;0,1,0))=1,IF((COUNTIF('C111'!D13,"Aula 8")+COUNTIF('C112'!D13,"Aula 8")+COUNTIF('C113'!D13,"Aula 8")+COUNTIF('C121'!D13,"Aula 8")+COUNTIF('C122'!D13,"Aula 8"))&gt;0,"C1",IF((COUNTIF('C211'!D13,"Aula 8")+COUNTIF('C212'!D13,"Aula 8"))&gt;0,"C2",IF((COUNTIF('C311'!D13,"Aula 8")+COUNTIF('C312'!D13,"Aula 8"))&gt;0,"C3",IF((COUNTIF('C411'!D13,"Aula 8")+COUNTIF('C412'!D13,"Aula 8"))&gt;0,"C4",IF((COUNTIF('M111'!D13,"Aula 8")+COUNTIF('M112'!D13,"Aula 8"))&gt;0,"M1",IF((COUNTIF('M211'!D13,"Aula 8")+COUNTIF('M212'!D13,"Aula 8"))&gt;0,"M2",IF((COUNTIF('M311'!D13,"Aula 8"))&gt;0,"M3",IF((COUNTIF('M411'!D13,"Aula 8"))&gt;0,"M4",IF((COUNTIF('D111'!D13,"Aula 8")+COUNTIF('D112'!D13,"Aula 8"))&gt;0,"D1",IF((COUNTIF('D211'!D13,"Aula 8"))&gt;0,"D2",IF((COUNTIF('D311'!D13,"Aula 8"))&gt;0,"D3",IF((COUNTIF('D411'!D13,"Aula 8"))&gt;0,"D4","")))))))))))),"MIX"))</f>
        <v/>
      </c>
    </row>
    <row r="249">
      <c r="C249">
        <f>IF((IF((COUNTIF('C111'!D13,"Aula 9")+COUNTIF('C112'!D13,"Aula 9")+COUNTIF('C113'!D13,"Aula 9")+COUNTIF('C121'!D13,"Aula 9")+COUNTIF('C122'!D13,"Aula 9"))&gt;0,1,0)+IF((COUNTIF('C211'!D13,"Aula 9")+COUNTIF('C212'!D13,"Aula 9"))&gt;0,1,0)+IF((COUNTIF('C311'!D13,"Aula 9")+COUNTIF('C312'!D13,"Aula 9"))&gt;0,1,0)+IF((COUNTIF('C411'!D13,"Aula 9")+COUNTIF('C412'!D13,"Aula 9"))&gt;0,1,0)+IF((COUNTIF('M111'!D13,"Aula 9")+COUNTIF('M112'!D13,"Aula 9"))&gt;0,1,0)+IF((COUNTIF('M211'!D13,"Aula 9")+COUNTIF('M212'!D13,"Aula 9"))&gt;0,1,0)+IF((COUNTIF('M311'!D13,"Aula 9"))&gt;0,1,0)+IF((COUNTIF('M411'!D13,"Aula 9"))&gt;0,1,0)+IF((COUNTIF('D111'!D13,"Aula 9")+COUNTIF('D112'!D13,"Aula 9"))&gt;0,1,0)+IF((COUNTIF('D211'!D13,"Aula 9"))&gt;0,1,0)+IF((COUNTIF('D311'!D13,"Aula 9"))&gt;0,1,0)+IF((COUNTIF('D411'!D13,"Aula 9"))&gt;0,1,0))=0,"",IF((IF((COUNTIF('C111'!D13,"Aula 9")+COUNTIF('C112'!D13,"Aula 9")+COUNTIF('C113'!D13,"Aula 9")+COUNTIF('C121'!D13,"Aula 9")+COUNTIF('C122'!D13,"Aula 9"))&gt;0,1,0)+IF((COUNTIF('C211'!D13,"Aula 9")+COUNTIF('C212'!D13,"Aula 9"))&gt;0,1,0)+IF((COUNTIF('C311'!D13,"Aula 9")+COUNTIF('C312'!D13,"Aula 9"))&gt;0,1,0)+IF((COUNTIF('C411'!D13,"Aula 9")+COUNTIF('C412'!D13,"Aula 9"))&gt;0,1,0)+IF((COUNTIF('M111'!D13,"Aula 9")+COUNTIF('M112'!D13,"Aula 9"))&gt;0,1,0)+IF((COUNTIF('M211'!D13,"Aula 9")+COUNTIF('M212'!D13,"Aula 9"))&gt;0,1,0)+IF((COUNTIF('M311'!D13,"Aula 9"))&gt;0,1,0)+IF((COUNTIF('M411'!D13,"Aula 9"))&gt;0,1,0)+IF((COUNTIF('D111'!D13,"Aula 9")+COUNTIF('D112'!D13,"Aula 9"))&gt;0,1,0)+IF((COUNTIF('D211'!D13,"Aula 9"))&gt;0,1,0)+IF((COUNTIF('D311'!D13,"Aula 9"))&gt;0,1,0)+IF((COUNTIF('D411'!D13,"Aula 9"))&gt;0,1,0))=1,IF((COUNTIF('C111'!D13,"Aula 9")+COUNTIF('C112'!D13,"Aula 9")+COUNTIF('C113'!D13,"Aula 9")+COUNTIF('C121'!D13,"Aula 9")+COUNTIF('C122'!D13,"Aula 9"))&gt;0,"C1",IF((COUNTIF('C211'!D13,"Aula 9")+COUNTIF('C212'!D13,"Aula 9"))&gt;0,"C2",IF((COUNTIF('C311'!D13,"Aula 9")+COUNTIF('C312'!D13,"Aula 9"))&gt;0,"C3",IF((COUNTIF('C411'!D13,"Aula 9")+COUNTIF('C412'!D13,"Aula 9"))&gt;0,"C4",IF((COUNTIF('M111'!D13,"Aula 9")+COUNTIF('M112'!D13,"Aula 9"))&gt;0,"M1",IF((COUNTIF('M211'!D13,"Aula 9")+COUNTIF('M212'!D13,"Aula 9"))&gt;0,"M2",IF((COUNTIF('M311'!D13,"Aula 9"))&gt;0,"M3",IF((COUNTIF('M411'!D13,"Aula 9"))&gt;0,"M4",IF((COUNTIF('D111'!D13,"Aula 9")+COUNTIF('D112'!D13,"Aula 9"))&gt;0,"D1",IF((COUNTIF('D211'!D13,"Aula 9"))&gt;0,"D2",IF((COUNTIF('D311'!D13,"Aula 9"))&gt;0,"D3",IF((COUNTIF('D411'!D13,"Aula 9"))&gt;0,"D4","")))))))))))),"MIX"))</f>
        <v/>
      </c>
    </row>
    <row r="250">
      <c r="C250">
        <f>IF((IF((COUNTIF('C111'!D13,"Aula 10")+COUNTIF('C112'!D13,"Aula 10")+COUNTIF('C113'!D13,"Aula 10")+COUNTIF('C121'!D13,"Aula 10")+COUNTIF('C122'!D13,"Aula 10"))&gt;0,1,0)+IF((COUNTIF('C211'!D13,"Aula 10")+COUNTIF('C212'!D13,"Aula 10"))&gt;0,1,0)+IF((COUNTIF('C311'!D13,"Aula 10")+COUNTIF('C312'!D13,"Aula 10"))&gt;0,1,0)+IF((COUNTIF('C411'!D13,"Aula 10")+COUNTIF('C412'!D13,"Aula 10"))&gt;0,1,0)+IF((COUNTIF('M111'!D13,"Aula 10")+COUNTIF('M112'!D13,"Aula 10"))&gt;0,1,0)+IF((COUNTIF('M211'!D13,"Aula 10")+COUNTIF('M212'!D13,"Aula 10"))&gt;0,1,0)+IF((COUNTIF('M311'!D13,"Aula 10"))&gt;0,1,0)+IF((COUNTIF('M411'!D13,"Aula 10"))&gt;0,1,0)+IF((COUNTIF('D111'!D13,"Aula 10")+COUNTIF('D112'!D13,"Aula 10"))&gt;0,1,0)+IF((COUNTIF('D211'!D13,"Aula 10"))&gt;0,1,0)+IF((COUNTIF('D311'!D13,"Aula 10"))&gt;0,1,0)+IF((COUNTIF('D411'!D13,"Aula 10"))&gt;0,1,0))=0,"",IF((IF((COUNTIF('C111'!D13,"Aula 10")+COUNTIF('C112'!D13,"Aula 10")+COUNTIF('C113'!D13,"Aula 10")+COUNTIF('C121'!D13,"Aula 10")+COUNTIF('C122'!D13,"Aula 10"))&gt;0,1,0)+IF((COUNTIF('C211'!D13,"Aula 10")+COUNTIF('C212'!D13,"Aula 10"))&gt;0,1,0)+IF((COUNTIF('C311'!D13,"Aula 10")+COUNTIF('C312'!D13,"Aula 10"))&gt;0,1,0)+IF((COUNTIF('C411'!D13,"Aula 10")+COUNTIF('C412'!D13,"Aula 10"))&gt;0,1,0)+IF((COUNTIF('M111'!D13,"Aula 10")+COUNTIF('M112'!D13,"Aula 10"))&gt;0,1,0)+IF((COUNTIF('M211'!D13,"Aula 10")+COUNTIF('M212'!D13,"Aula 10"))&gt;0,1,0)+IF((COUNTIF('M311'!D13,"Aula 10"))&gt;0,1,0)+IF((COUNTIF('M411'!D13,"Aula 10"))&gt;0,1,0)+IF((COUNTIF('D111'!D13,"Aula 10")+COUNTIF('D112'!D13,"Aula 10"))&gt;0,1,0)+IF((COUNTIF('D211'!D13,"Aula 10"))&gt;0,1,0)+IF((COUNTIF('D311'!D13,"Aula 10"))&gt;0,1,0)+IF((COUNTIF('D411'!D13,"Aula 10"))&gt;0,1,0))=1,IF((COUNTIF('C111'!D13,"Aula 10")+COUNTIF('C112'!D13,"Aula 10")+COUNTIF('C113'!D13,"Aula 10")+COUNTIF('C121'!D13,"Aula 10")+COUNTIF('C122'!D13,"Aula 10"))&gt;0,"C1",IF((COUNTIF('C211'!D13,"Aula 10")+COUNTIF('C212'!D13,"Aula 10"))&gt;0,"C2",IF((COUNTIF('C311'!D13,"Aula 10")+COUNTIF('C312'!D13,"Aula 10"))&gt;0,"C3",IF((COUNTIF('C411'!D13,"Aula 10")+COUNTIF('C412'!D13,"Aula 10"))&gt;0,"C4",IF((COUNTIF('M111'!D13,"Aula 10")+COUNTIF('M112'!D13,"Aula 10"))&gt;0,"M1",IF((COUNTIF('M211'!D13,"Aula 10")+COUNTIF('M212'!D13,"Aula 10"))&gt;0,"M2",IF((COUNTIF('M311'!D13,"Aula 10"))&gt;0,"M3",IF((COUNTIF('M411'!D13,"Aula 10"))&gt;0,"M4",IF((COUNTIF('D111'!D13,"Aula 10")+COUNTIF('D112'!D13,"Aula 10"))&gt;0,"D1",IF((COUNTIF('D211'!D13,"Aula 10"))&gt;0,"D2",IF((COUNTIF('D311'!D13,"Aula 10"))&gt;0,"D3",IF((COUNTIF('D411'!D13,"Aula 10"))&gt;0,"D4","")))))))))))),"MIX"))</f>
        <v/>
      </c>
    </row>
    <row r="251">
      <c r="C251">
        <f>IF((IF((COUNTIF('C111'!D13,"Aula 11")+COUNTIF('C112'!D13,"Aula 11")+COUNTIF('C113'!D13,"Aula 11")+COUNTIF('C121'!D13,"Aula 11")+COUNTIF('C122'!D13,"Aula 11"))&gt;0,1,0)+IF((COUNTIF('C211'!D13,"Aula 11")+COUNTIF('C212'!D13,"Aula 11"))&gt;0,1,0)+IF((COUNTIF('C311'!D13,"Aula 11")+COUNTIF('C312'!D13,"Aula 11"))&gt;0,1,0)+IF((COUNTIF('C411'!D13,"Aula 11")+COUNTIF('C412'!D13,"Aula 11"))&gt;0,1,0)+IF((COUNTIF('M111'!D13,"Aula 11")+COUNTIF('M112'!D13,"Aula 11"))&gt;0,1,0)+IF((COUNTIF('M211'!D13,"Aula 11")+COUNTIF('M212'!D13,"Aula 11"))&gt;0,1,0)+IF((COUNTIF('M311'!D13,"Aula 11"))&gt;0,1,0)+IF((COUNTIF('M411'!D13,"Aula 11"))&gt;0,1,0)+IF((COUNTIF('D111'!D13,"Aula 11")+COUNTIF('D112'!D13,"Aula 11"))&gt;0,1,0)+IF((COUNTIF('D211'!D13,"Aula 11"))&gt;0,1,0)+IF((COUNTIF('D311'!D13,"Aula 11"))&gt;0,1,0)+IF((COUNTIF('D411'!D13,"Aula 11"))&gt;0,1,0))=0,"",IF((IF((COUNTIF('C111'!D13,"Aula 11")+COUNTIF('C112'!D13,"Aula 11")+COUNTIF('C113'!D13,"Aula 11")+COUNTIF('C121'!D13,"Aula 11")+COUNTIF('C122'!D13,"Aula 11"))&gt;0,1,0)+IF((COUNTIF('C211'!D13,"Aula 11")+COUNTIF('C212'!D13,"Aula 11"))&gt;0,1,0)+IF((COUNTIF('C311'!D13,"Aula 11")+COUNTIF('C312'!D13,"Aula 11"))&gt;0,1,0)+IF((COUNTIF('C411'!D13,"Aula 11")+COUNTIF('C412'!D13,"Aula 11"))&gt;0,1,0)+IF((COUNTIF('M111'!D13,"Aula 11")+COUNTIF('M112'!D13,"Aula 11"))&gt;0,1,0)+IF((COUNTIF('M211'!D13,"Aula 11")+COUNTIF('M212'!D13,"Aula 11"))&gt;0,1,0)+IF((COUNTIF('M311'!D13,"Aula 11"))&gt;0,1,0)+IF((COUNTIF('M411'!D13,"Aula 11"))&gt;0,1,0)+IF((COUNTIF('D111'!D13,"Aula 11")+COUNTIF('D112'!D13,"Aula 11"))&gt;0,1,0)+IF((COUNTIF('D211'!D13,"Aula 11"))&gt;0,1,0)+IF((COUNTIF('D311'!D13,"Aula 11"))&gt;0,1,0)+IF((COUNTIF('D411'!D13,"Aula 11"))&gt;0,1,0))=1,IF((COUNTIF('C111'!D13,"Aula 11")+COUNTIF('C112'!D13,"Aula 11")+COUNTIF('C113'!D13,"Aula 11")+COUNTIF('C121'!D13,"Aula 11")+COUNTIF('C122'!D13,"Aula 11"))&gt;0,"C1",IF((COUNTIF('C211'!D13,"Aula 11")+COUNTIF('C212'!D13,"Aula 11"))&gt;0,"C2",IF((COUNTIF('C311'!D13,"Aula 11")+COUNTIF('C312'!D13,"Aula 11"))&gt;0,"C3",IF((COUNTIF('C411'!D13,"Aula 11")+COUNTIF('C412'!D13,"Aula 11"))&gt;0,"C4",IF((COUNTIF('M111'!D13,"Aula 11")+COUNTIF('M112'!D13,"Aula 11"))&gt;0,"M1",IF((COUNTIF('M211'!D13,"Aula 11")+COUNTIF('M212'!D13,"Aula 11"))&gt;0,"M2",IF((COUNTIF('M311'!D13,"Aula 11"))&gt;0,"M3",IF((COUNTIF('M411'!D13,"Aula 11"))&gt;0,"M4",IF((COUNTIF('D111'!D13,"Aula 11")+COUNTIF('D112'!D13,"Aula 11"))&gt;0,"D1",IF((COUNTIF('D211'!D13,"Aula 11"))&gt;0,"D2",IF((COUNTIF('D311'!D13,"Aula 11"))&gt;0,"D3",IF((COUNTIF('D411'!D13,"Aula 11"))&gt;0,"D4","")))))))))))),"MIX"))</f>
        <v/>
      </c>
    </row>
    <row r="252">
      <c r="C252">
        <f>IF((IF((COUNTIF('C111'!D13,"Aula 12")+COUNTIF('C112'!D13,"Aula 12")+COUNTIF('C113'!D13,"Aula 12")+COUNTIF('C121'!D13,"Aula 12")+COUNTIF('C122'!D13,"Aula 12"))&gt;0,1,0)+IF((COUNTIF('C211'!D13,"Aula 12")+COUNTIF('C212'!D13,"Aula 12"))&gt;0,1,0)+IF((COUNTIF('C311'!D13,"Aula 12")+COUNTIF('C312'!D13,"Aula 12"))&gt;0,1,0)+IF((COUNTIF('C411'!D13,"Aula 12")+COUNTIF('C412'!D13,"Aula 12"))&gt;0,1,0)+IF((COUNTIF('M111'!D13,"Aula 12")+COUNTIF('M112'!D13,"Aula 12"))&gt;0,1,0)+IF((COUNTIF('M211'!D13,"Aula 12")+COUNTIF('M212'!D13,"Aula 12"))&gt;0,1,0)+IF((COUNTIF('M311'!D13,"Aula 12"))&gt;0,1,0)+IF((COUNTIF('M411'!D13,"Aula 12"))&gt;0,1,0)+IF((COUNTIF('D111'!D13,"Aula 12")+COUNTIF('D112'!D13,"Aula 12"))&gt;0,1,0)+IF((COUNTIF('D211'!D13,"Aula 12"))&gt;0,1,0)+IF((COUNTIF('D311'!D13,"Aula 12"))&gt;0,1,0)+IF((COUNTIF('D411'!D13,"Aula 12"))&gt;0,1,0))=0,"",IF((IF((COUNTIF('C111'!D13,"Aula 12")+COUNTIF('C112'!D13,"Aula 12")+COUNTIF('C113'!D13,"Aula 12")+COUNTIF('C121'!D13,"Aula 12")+COUNTIF('C122'!D13,"Aula 12"))&gt;0,1,0)+IF((COUNTIF('C211'!D13,"Aula 12")+COUNTIF('C212'!D13,"Aula 12"))&gt;0,1,0)+IF((COUNTIF('C311'!D13,"Aula 12")+COUNTIF('C312'!D13,"Aula 12"))&gt;0,1,0)+IF((COUNTIF('C411'!D13,"Aula 12")+COUNTIF('C412'!D13,"Aula 12"))&gt;0,1,0)+IF((COUNTIF('M111'!D13,"Aula 12")+COUNTIF('M112'!D13,"Aula 12"))&gt;0,1,0)+IF((COUNTIF('M211'!D13,"Aula 12")+COUNTIF('M212'!D13,"Aula 12"))&gt;0,1,0)+IF((COUNTIF('M311'!D13,"Aula 12"))&gt;0,1,0)+IF((COUNTIF('M411'!D13,"Aula 12"))&gt;0,1,0)+IF((COUNTIF('D111'!D13,"Aula 12")+COUNTIF('D112'!D13,"Aula 12"))&gt;0,1,0)+IF((COUNTIF('D211'!D13,"Aula 12"))&gt;0,1,0)+IF((COUNTIF('D311'!D13,"Aula 12"))&gt;0,1,0)+IF((COUNTIF('D411'!D13,"Aula 12"))&gt;0,1,0))=1,IF((COUNTIF('C111'!D13,"Aula 12")+COUNTIF('C112'!D13,"Aula 12")+COUNTIF('C113'!D13,"Aula 12")+COUNTIF('C121'!D13,"Aula 12")+COUNTIF('C122'!D13,"Aula 12"))&gt;0,"C1",IF((COUNTIF('C211'!D13,"Aula 12")+COUNTIF('C212'!D13,"Aula 12"))&gt;0,"C2",IF((COUNTIF('C311'!D13,"Aula 12")+COUNTIF('C312'!D13,"Aula 12"))&gt;0,"C3",IF((COUNTIF('C411'!D13,"Aula 12")+COUNTIF('C412'!D13,"Aula 12"))&gt;0,"C4",IF((COUNTIF('M111'!D13,"Aula 12")+COUNTIF('M112'!D13,"Aula 12"))&gt;0,"M1",IF((COUNTIF('M211'!D13,"Aula 12")+COUNTIF('M212'!D13,"Aula 12"))&gt;0,"M2",IF((COUNTIF('M311'!D13,"Aula 12"))&gt;0,"M3",IF((COUNTIF('M411'!D13,"Aula 12"))&gt;0,"M4",IF((COUNTIF('D111'!D13,"Aula 12")+COUNTIF('D112'!D13,"Aula 12"))&gt;0,"D1",IF((COUNTIF('D211'!D13,"Aula 12"))&gt;0,"D2",IF((COUNTIF('D311'!D13,"Aula 12"))&gt;0,"D3",IF((COUNTIF('D411'!D13,"Aula 12"))&gt;0,"D4","")))))))))))),"MIX"))</f>
        <v/>
      </c>
    </row>
    <row r="253">
      <c r="C253">
        <f>IF((IF((COUNTIF('C111'!D13,"Lab 1")+COUNTIF('C112'!D13,"Lab 1")+COUNTIF('C113'!D13,"Lab 1")+COUNTIF('C121'!D13,"Lab 1")+COUNTIF('C122'!D13,"Lab 1"))&gt;0,1,0)+IF((COUNTIF('C211'!D13,"Lab 1")+COUNTIF('C212'!D13,"Lab 1"))&gt;0,1,0)+IF((COUNTIF('C311'!D13,"Lab 1")+COUNTIF('C312'!D13,"Lab 1"))&gt;0,1,0)+IF((COUNTIF('C411'!D13,"Lab 1")+COUNTIF('C412'!D13,"Lab 1"))&gt;0,1,0)+IF((COUNTIF('M111'!D13,"Lab 1")+COUNTIF('M112'!D13,"Lab 1"))&gt;0,1,0)+IF((COUNTIF('M211'!D13,"Lab 1")+COUNTIF('M212'!D13,"Lab 1"))&gt;0,1,0)+IF((COUNTIF('M311'!D13,"Lab 1"))&gt;0,1,0)+IF((COUNTIF('M411'!D13,"Lab 1"))&gt;0,1,0)+IF((COUNTIF('D111'!D13,"Lab 1")+COUNTIF('D112'!D13,"Lab 1"))&gt;0,1,0)+IF((COUNTIF('D211'!D13,"Lab 1"))&gt;0,1,0)+IF((COUNTIF('D311'!D13,"Lab 1"))&gt;0,1,0)+IF((COUNTIF('D411'!D13,"Lab 1"))&gt;0,1,0))=0,"",IF((IF((COUNTIF('C111'!D13,"Lab 1")+COUNTIF('C112'!D13,"Lab 1")+COUNTIF('C113'!D13,"Lab 1")+COUNTIF('C121'!D13,"Lab 1")+COUNTIF('C122'!D13,"Lab 1"))&gt;0,1,0)+IF((COUNTIF('C211'!D13,"Lab 1")+COUNTIF('C212'!D13,"Lab 1"))&gt;0,1,0)+IF((COUNTIF('C311'!D13,"Lab 1")+COUNTIF('C312'!D13,"Lab 1"))&gt;0,1,0)+IF((COUNTIF('C411'!D13,"Lab 1")+COUNTIF('C412'!D13,"Lab 1"))&gt;0,1,0)+IF((COUNTIF('M111'!D13,"Lab 1")+COUNTIF('M112'!D13,"Lab 1"))&gt;0,1,0)+IF((COUNTIF('M211'!D13,"Lab 1")+COUNTIF('M212'!D13,"Lab 1"))&gt;0,1,0)+IF((COUNTIF('M311'!D13,"Lab 1"))&gt;0,1,0)+IF((COUNTIF('M411'!D13,"Lab 1"))&gt;0,1,0)+IF((COUNTIF('D111'!D13,"Lab 1")+COUNTIF('D112'!D13,"Lab 1"))&gt;0,1,0)+IF((COUNTIF('D211'!D13,"Lab 1"))&gt;0,1,0)+IF((COUNTIF('D311'!D13,"Lab 1"))&gt;0,1,0)+IF((COUNTIF('D411'!D13,"Lab 1"))&gt;0,1,0))=1,IF((COUNTIF('C111'!D13,"Lab 1")+COUNTIF('C112'!D13,"Lab 1")+COUNTIF('C113'!D13,"Lab 1")+COUNTIF('C121'!D13,"Lab 1")+COUNTIF('C122'!D13,"Lab 1"))&gt;0,"C1",IF((COUNTIF('C211'!D13,"Lab 1")+COUNTIF('C212'!D13,"Lab 1"))&gt;0,"C2",IF((COUNTIF('C311'!D13,"Lab 1")+COUNTIF('C312'!D13,"Lab 1"))&gt;0,"C3",IF((COUNTIF('C411'!D13,"Lab 1")+COUNTIF('C412'!D13,"Lab 1"))&gt;0,"C4",IF((COUNTIF('M111'!D13,"Lab 1")+COUNTIF('M112'!D13,"Lab 1"))&gt;0,"M1",IF((COUNTIF('M211'!D13,"Lab 1")+COUNTIF('M212'!D13,"Lab 1"))&gt;0,"M2",IF((COUNTIF('M311'!D13,"Lab 1"))&gt;0,"M3",IF((COUNTIF('M411'!D13,"Lab 1"))&gt;0,"M4",IF((COUNTIF('D111'!D13,"Lab 1")+COUNTIF('D112'!D13,"Lab 1"))&gt;0,"D1",IF((COUNTIF('D211'!D13,"Lab 1"))&gt;0,"D2",IF((COUNTIF('D311'!D13,"Lab 1"))&gt;0,"D3",IF((COUNTIF('D411'!D13,"Lab 1"))&gt;0,"D4","")))))))))))),"MIX"))</f>
        <v/>
      </c>
    </row>
    <row r="254">
      <c r="C254">
        <f>IF((IF((COUNTIF('C111'!D13,"Lab 2")+COUNTIF('C112'!D13,"Lab 2")+COUNTIF('C113'!D13,"Lab 2")+COUNTIF('C121'!D13,"Lab 2")+COUNTIF('C122'!D13,"Lab 2"))&gt;0,1,0)+IF((COUNTIF('C211'!D13,"Lab 2")+COUNTIF('C212'!D13,"Lab 2"))&gt;0,1,0)+IF((COUNTIF('C311'!D13,"Lab 2")+COUNTIF('C312'!D13,"Lab 2"))&gt;0,1,0)+IF((COUNTIF('C411'!D13,"Lab 2")+COUNTIF('C412'!D13,"Lab 2"))&gt;0,1,0)+IF((COUNTIF('M111'!D13,"Lab 2")+COUNTIF('M112'!D13,"Lab 2"))&gt;0,1,0)+IF((COUNTIF('M211'!D13,"Lab 2")+COUNTIF('M212'!D13,"Lab 2"))&gt;0,1,0)+IF((COUNTIF('M311'!D13,"Lab 2"))&gt;0,1,0)+IF((COUNTIF('M411'!D13,"Lab 2"))&gt;0,1,0)+IF((COUNTIF('D111'!D13,"Lab 2")+COUNTIF('D112'!D13,"Lab 2"))&gt;0,1,0)+IF((COUNTIF('D211'!D13,"Lab 2"))&gt;0,1,0)+IF((COUNTIF('D311'!D13,"Lab 2"))&gt;0,1,0)+IF((COUNTIF('D411'!D13,"Lab 2"))&gt;0,1,0))=0,"",IF((IF((COUNTIF('C111'!D13,"Lab 2")+COUNTIF('C112'!D13,"Lab 2")+COUNTIF('C113'!D13,"Lab 2")+COUNTIF('C121'!D13,"Lab 2")+COUNTIF('C122'!D13,"Lab 2"))&gt;0,1,0)+IF((COUNTIF('C211'!D13,"Lab 2")+COUNTIF('C212'!D13,"Lab 2"))&gt;0,1,0)+IF((COUNTIF('C311'!D13,"Lab 2")+COUNTIF('C312'!D13,"Lab 2"))&gt;0,1,0)+IF((COUNTIF('C411'!D13,"Lab 2")+COUNTIF('C412'!D13,"Lab 2"))&gt;0,1,0)+IF((COUNTIF('M111'!D13,"Lab 2")+COUNTIF('M112'!D13,"Lab 2"))&gt;0,1,0)+IF((COUNTIF('M211'!D13,"Lab 2")+COUNTIF('M212'!D13,"Lab 2"))&gt;0,1,0)+IF((COUNTIF('M311'!D13,"Lab 2"))&gt;0,1,0)+IF((COUNTIF('M411'!D13,"Lab 2"))&gt;0,1,0)+IF((COUNTIF('D111'!D13,"Lab 2")+COUNTIF('D112'!D13,"Lab 2"))&gt;0,1,0)+IF((COUNTIF('D211'!D13,"Lab 2"))&gt;0,1,0)+IF((COUNTIF('D311'!D13,"Lab 2"))&gt;0,1,0)+IF((COUNTIF('D411'!D13,"Lab 2"))&gt;0,1,0))=1,IF((COUNTIF('C111'!D13,"Lab 2")+COUNTIF('C112'!D13,"Lab 2")+COUNTIF('C113'!D13,"Lab 2")+COUNTIF('C121'!D13,"Lab 2")+COUNTIF('C122'!D13,"Lab 2"))&gt;0,"C1",IF((COUNTIF('C211'!D13,"Lab 2")+COUNTIF('C212'!D13,"Lab 2"))&gt;0,"C2",IF((COUNTIF('C311'!D13,"Lab 2")+COUNTIF('C312'!D13,"Lab 2"))&gt;0,"C3",IF((COUNTIF('C411'!D13,"Lab 2")+COUNTIF('C412'!D13,"Lab 2"))&gt;0,"C4",IF((COUNTIF('M111'!D13,"Lab 2")+COUNTIF('M112'!D13,"Lab 2"))&gt;0,"M1",IF((COUNTIF('M211'!D13,"Lab 2")+COUNTIF('M212'!D13,"Lab 2"))&gt;0,"M2",IF((COUNTIF('M311'!D13,"Lab 2"))&gt;0,"M3",IF((COUNTIF('M411'!D13,"Lab 2"))&gt;0,"M4",IF((COUNTIF('D111'!D13,"Lab 2")+COUNTIF('D112'!D13,"Lab 2"))&gt;0,"D1",IF((COUNTIF('D211'!D13,"Lab 2"))&gt;0,"D2",IF((COUNTIF('D311'!D13,"Lab 2"))&gt;0,"D3",IF((COUNTIF('D411'!D13,"Lab 2"))&gt;0,"D4","")))))))))))),"MIX"))</f>
        <v/>
      </c>
    </row>
    <row r="255">
      <c r="C255">
        <f>IF((IF((COUNTIF('C111'!D13,"Salón")+COUNTIF('C112'!D13,"Salón")+COUNTIF('C113'!D13,"Salón")+COUNTIF('C121'!D13,"Salón")+COUNTIF('C122'!D13,"Salón"))&gt;0,1,0)+IF((COUNTIF('C211'!D13,"Salón")+COUNTIF('C212'!D13,"Salón"))&gt;0,1,0)+IF((COUNTIF('C311'!D13,"Salón")+COUNTIF('C312'!D13,"Salón"))&gt;0,1,0)+IF((COUNTIF('C411'!D13,"Salón")+COUNTIF('C412'!D13,"Salón"))&gt;0,1,0)+IF((COUNTIF('M111'!D13,"Salón")+COUNTIF('M112'!D13,"Salón"))&gt;0,1,0)+IF((COUNTIF('M211'!D13,"Salón")+COUNTIF('M212'!D13,"Salón"))&gt;0,1,0)+IF((COUNTIF('M311'!D13,"Salón"))&gt;0,1,0)+IF((COUNTIF('M411'!D13,"Salón"))&gt;0,1,0)+IF((COUNTIF('D111'!D13,"Salón")+COUNTIF('D112'!D13,"Salón"))&gt;0,1,0)+IF((COUNTIF('D211'!D13,"Salón"))&gt;0,1,0)+IF((COUNTIF('D311'!D13,"Salón"))&gt;0,1,0)+IF((COUNTIF('D411'!D13,"Salón"))&gt;0,1,0))=0,"",IF((IF((COUNTIF('C111'!D13,"Salón")+COUNTIF('C112'!D13,"Salón")+COUNTIF('C113'!D13,"Salón")+COUNTIF('C121'!D13,"Salón")+COUNTIF('C122'!D13,"Salón"))&gt;0,1,0)+IF((COUNTIF('C211'!D13,"Salón")+COUNTIF('C212'!D13,"Salón"))&gt;0,1,0)+IF((COUNTIF('C311'!D13,"Salón")+COUNTIF('C312'!D13,"Salón"))&gt;0,1,0)+IF((COUNTIF('C411'!D13,"Salón")+COUNTIF('C412'!D13,"Salón"))&gt;0,1,0)+IF((COUNTIF('M111'!D13,"Salón")+COUNTIF('M112'!D13,"Salón"))&gt;0,1,0)+IF((COUNTIF('M211'!D13,"Salón")+COUNTIF('M212'!D13,"Salón"))&gt;0,1,0)+IF((COUNTIF('M311'!D13,"Salón"))&gt;0,1,0)+IF((COUNTIF('M411'!D13,"Salón"))&gt;0,1,0)+IF((COUNTIF('D111'!D13,"Salón")+COUNTIF('D112'!D13,"Salón"))&gt;0,1,0)+IF((COUNTIF('D211'!D13,"Salón"))&gt;0,1,0)+IF((COUNTIF('D311'!D13,"Salón"))&gt;0,1,0)+IF((COUNTIF('D411'!D13,"Salón"))&gt;0,1,0))=1,IF((COUNTIF('C111'!D13,"Salón")+COUNTIF('C112'!D13,"Salón")+COUNTIF('C113'!D13,"Salón")+COUNTIF('C121'!D13,"Salón")+COUNTIF('C122'!D13,"Salón"))&gt;0,"C1",IF((COUNTIF('C211'!D13,"Salón")+COUNTIF('C212'!D13,"Salón"))&gt;0,"C2",IF((COUNTIF('C311'!D13,"Salón")+COUNTIF('C312'!D13,"Salón"))&gt;0,"C3",IF((COUNTIF('C411'!D13,"Salón")+COUNTIF('C412'!D13,"Salón"))&gt;0,"C4",IF((COUNTIF('M111'!D13,"Salón")+COUNTIF('M112'!D13,"Salón"))&gt;0,"M1",IF((COUNTIF('M211'!D13,"Salón")+COUNTIF('M212'!D13,"Salón"))&gt;0,"M2",IF((COUNTIF('M311'!D13,"Salón"))&gt;0,"M3",IF((COUNTIF('M411'!D13,"Salón"))&gt;0,"M4",IF((COUNTIF('D111'!D13,"Salón")+COUNTIF('D112'!D13,"Salón"))&gt;0,"D1",IF((COUNTIF('D211'!D13,"Salón"))&gt;0,"D2",IF((COUNTIF('D311'!D13,"Salón"))&gt;0,"D3",IF((COUNTIF('D411'!D13,"Salón"))&gt;0,"D4","")))))))))))),"MIX"))</f>
        <v/>
      </c>
    </row>
    <row r="256">
      <c r="C256">
        <f>IF((IF((COUNTIF('C111'!D15,"Aula 1")+COUNTIF('C112'!D15,"Aula 1")+COUNTIF('C113'!D15,"Aula 1")+COUNTIF('C121'!D15,"Aula 1")+COUNTIF('C122'!D15,"Aula 1"))&gt;0,1,0)+IF((COUNTIF('C211'!D15,"Aula 1")+COUNTIF('C212'!D15,"Aula 1"))&gt;0,1,0)+IF((COUNTIF('C311'!D15,"Aula 1")+COUNTIF('C312'!D15,"Aula 1"))&gt;0,1,0)+IF((COUNTIF('C411'!D15,"Aula 1")+COUNTIF('C412'!D15,"Aula 1"))&gt;0,1,0)+IF((COUNTIF('M111'!D15,"Aula 1")+COUNTIF('M112'!D15,"Aula 1"))&gt;0,1,0)+IF((COUNTIF('M211'!D15,"Aula 1")+COUNTIF('M212'!D15,"Aula 1"))&gt;0,1,0)+IF((COUNTIF('M311'!D15,"Aula 1"))&gt;0,1,0)+IF((COUNTIF('M411'!D15,"Aula 1"))&gt;0,1,0)+IF((COUNTIF('D111'!D15,"Aula 1")+COUNTIF('D112'!D15,"Aula 1"))&gt;0,1,0)+IF((COUNTIF('D211'!D15,"Aula 1"))&gt;0,1,0)+IF((COUNTIF('D311'!D15,"Aula 1"))&gt;0,1,0)+IF((COUNTIF('D411'!D15,"Aula 1"))&gt;0,1,0))=0,"",IF((IF((COUNTIF('C111'!D15,"Aula 1")+COUNTIF('C112'!D15,"Aula 1")+COUNTIF('C113'!D15,"Aula 1")+COUNTIF('C121'!D15,"Aula 1")+COUNTIF('C122'!D15,"Aula 1"))&gt;0,1,0)+IF((COUNTIF('C211'!D15,"Aula 1")+COUNTIF('C212'!D15,"Aula 1"))&gt;0,1,0)+IF((COUNTIF('C311'!D15,"Aula 1")+COUNTIF('C312'!D15,"Aula 1"))&gt;0,1,0)+IF((COUNTIF('C411'!D15,"Aula 1")+COUNTIF('C412'!D15,"Aula 1"))&gt;0,1,0)+IF((COUNTIF('M111'!D15,"Aula 1")+COUNTIF('M112'!D15,"Aula 1"))&gt;0,1,0)+IF((COUNTIF('M211'!D15,"Aula 1")+COUNTIF('M212'!D15,"Aula 1"))&gt;0,1,0)+IF((COUNTIF('M311'!D15,"Aula 1"))&gt;0,1,0)+IF((COUNTIF('M411'!D15,"Aula 1"))&gt;0,1,0)+IF((COUNTIF('D111'!D15,"Aula 1")+COUNTIF('D112'!D15,"Aula 1"))&gt;0,1,0)+IF((COUNTIF('D211'!D15,"Aula 1"))&gt;0,1,0)+IF((COUNTIF('D311'!D15,"Aula 1"))&gt;0,1,0)+IF((COUNTIF('D411'!D15,"Aula 1"))&gt;0,1,0))=1,IF((COUNTIF('C111'!D15,"Aula 1")+COUNTIF('C112'!D15,"Aula 1")+COUNTIF('C113'!D15,"Aula 1")+COUNTIF('C121'!D15,"Aula 1")+COUNTIF('C122'!D15,"Aula 1"))&gt;0,"C1",IF((COUNTIF('C211'!D15,"Aula 1")+COUNTIF('C212'!D15,"Aula 1"))&gt;0,"C2",IF((COUNTIF('C311'!D15,"Aula 1")+COUNTIF('C312'!D15,"Aula 1"))&gt;0,"C3",IF((COUNTIF('C411'!D15,"Aula 1")+COUNTIF('C412'!D15,"Aula 1"))&gt;0,"C4",IF((COUNTIF('M111'!D15,"Aula 1")+COUNTIF('M112'!D15,"Aula 1"))&gt;0,"M1",IF((COUNTIF('M211'!D15,"Aula 1")+COUNTIF('M212'!D15,"Aula 1"))&gt;0,"M2",IF((COUNTIF('M311'!D15,"Aula 1"))&gt;0,"M3",IF((COUNTIF('M411'!D15,"Aula 1"))&gt;0,"M4",IF((COUNTIF('D111'!D15,"Aula 1")+COUNTIF('D112'!D15,"Aula 1"))&gt;0,"D1",IF((COUNTIF('D211'!D15,"Aula 1"))&gt;0,"D2",IF((COUNTIF('D311'!D15,"Aula 1"))&gt;0,"D3",IF((COUNTIF('D411'!D15,"Aula 1"))&gt;0,"D4","")))))))))))),"MIX"))</f>
        <v/>
      </c>
    </row>
    <row r="257">
      <c r="C257">
        <f>IF((IF((COUNTIF('C111'!D15,"Aula 2")+COUNTIF('C112'!D15,"Aula 2")+COUNTIF('C113'!D15,"Aula 2")+COUNTIF('C121'!D15,"Aula 2")+COUNTIF('C122'!D15,"Aula 2"))&gt;0,1,0)+IF((COUNTIF('C211'!D15,"Aula 2")+COUNTIF('C212'!D15,"Aula 2"))&gt;0,1,0)+IF((COUNTIF('C311'!D15,"Aula 2")+COUNTIF('C312'!D15,"Aula 2"))&gt;0,1,0)+IF((COUNTIF('C411'!D15,"Aula 2")+COUNTIF('C412'!D15,"Aula 2"))&gt;0,1,0)+IF((COUNTIF('M111'!D15,"Aula 2")+COUNTIF('M112'!D15,"Aula 2"))&gt;0,1,0)+IF((COUNTIF('M211'!D15,"Aula 2")+COUNTIF('M212'!D15,"Aula 2"))&gt;0,1,0)+IF((COUNTIF('M311'!D15,"Aula 2"))&gt;0,1,0)+IF((COUNTIF('M411'!D15,"Aula 2"))&gt;0,1,0)+IF((COUNTIF('D111'!D15,"Aula 2")+COUNTIF('D112'!D15,"Aula 2"))&gt;0,1,0)+IF((COUNTIF('D211'!D15,"Aula 2"))&gt;0,1,0)+IF((COUNTIF('D311'!D15,"Aula 2"))&gt;0,1,0)+IF((COUNTIF('D411'!D15,"Aula 2"))&gt;0,1,0))=0,"",IF((IF((COUNTIF('C111'!D15,"Aula 2")+COUNTIF('C112'!D15,"Aula 2")+COUNTIF('C113'!D15,"Aula 2")+COUNTIF('C121'!D15,"Aula 2")+COUNTIF('C122'!D15,"Aula 2"))&gt;0,1,0)+IF((COUNTIF('C211'!D15,"Aula 2")+COUNTIF('C212'!D15,"Aula 2"))&gt;0,1,0)+IF((COUNTIF('C311'!D15,"Aula 2")+COUNTIF('C312'!D15,"Aula 2"))&gt;0,1,0)+IF((COUNTIF('C411'!D15,"Aula 2")+COUNTIF('C412'!D15,"Aula 2"))&gt;0,1,0)+IF((COUNTIF('M111'!D15,"Aula 2")+COUNTIF('M112'!D15,"Aula 2"))&gt;0,1,0)+IF((COUNTIF('M211'!D15,"Aula 2")+COUNTIF('M212'!D15,"Aula 2"))&gt;0,1,0)+IF((COUNTIF('M311'!D15,"Aula 2"))&gt;0,1,0)+IF((COUNTIF('M411'!D15,"Aula 2"))&gt;0,1,0)+IF((COUNTIF('D111'!D15,"Aula 2")+COUNTIF('D112'!D15,"Aula 2"))&gt;0,1,0)+IF((COUNTIF('D211'!D15,"Aula 2"))&gt;0,1,0)+IF((COUNTIF('D311'!D15,"Aula 2"))&gt;0,1,0)+IF((COUNTIF('D411'!D15,"Aula 2"))&gt;0,1,0))=1,IF((COUNTIF('C111'!D15,"Aula 2")+COUNTIF('C112'!D15,"Aula 2")+COUNTIF('C113'!D15,"Aula 2")+COUNTIF('C121'!D15,"Aula 2")+COUNTIF('C122'!D15,"Aula 2"))&gt;0,"C1",IF((COUNTIF('C211'!D15,"Aula 2")+COUNTIF('C212'!D15,"Aula 2"))&gt;0,"C2",IF((COUNTIF('C311'!D15,"Aula 2")+COUNTIF('C312'!D15,"Aula 2"))&gt;0,"C3",IF((COUNTIF('C411'!D15,"Aula 2")+COUNTIF('C412'!D15,"Aula 2"))&gt;0,"C4",IF((COUNTIF('M111'!D15,"Aula 2")+COUNTIF('M112'!D15,"Aula 2"))&gt;0,"M1",IF((COUNTIF('M211'!D15,"Aula 2")+COUNTIF('M212'!D15,"Aula 2"))&gt;0,"M2",IF((COUNTIF('M311'!D15,"Aula 2"))&gt;0,"M3",IF((COUNTIF('M411'!D15,"Aula 2"))&gt;0,"M4",IF((COUNTIF('D111'!D15,"Aula 2")+COUNTIF('D112'!D15,"Aula 2"))&gt;0,"D1",IF((COUNTIF('D211'!D15,"Aula 2"))&gt;0,"D2",IF((COUNTIF('D311'!D15,"Aula 2"))&gt;0,"D3",IF((COUNTIF('D411'!D15,"Aula 2"))&gt;0,"D4","")))))))))))),"MIX"))</f>
        <v/>
      </c>
    </row>
    <row r="258">
      <c r="C258">
        <f>IF((IF((COUNTIF('C111'!D15,"Aula 3")+COUNTIF('C112'!D15,"Aula 3")+COUNTIF('C113'!D15,"Aula 3")+COUNTIF('C121'!D15,"Aula 3")+COUNTIF('C122'!D15,"Aula 3"))&gt;0,1,0)+IF((COUNTIF('C211'!D15,"Aula 3")+COUNTIF('C212'!D15,"Aula 3"))&gt;0,1,0)+IF((COUNTIF('C311'!D15,"Aula 3")+COUNTIF('C312'!D15,"Aula 3"))&gt;0,1,0)+IF((COUNTIF('C411'!D15,"Aula 3")+COUNTIF('C412'!D15,"Aula 3"))&gt;0,1,0)+IF((COUNTIF('M111'!D15,"Aula 3")+COUNTIF('M112'!D15,"Aula 3"))&gt;0,1,0)+IF((COUNTIF('M211'!D15,"Aula 3")+COUNTIF('M212'!D15,"Aula 3"))&gt;0,1,0)+IF((COUNTIF('M311'!D15,"Aula 3"))&gt;0,1,0)+IF((COUNTIF('M411'!D15,"Aula 3"))&gt;0,1,0)+IF((COUNTIF('D111'!D15,"Aula 3")+COUNTIF('D112'!D15,"Aula 3"))&gt;0,1,0)+IF((COUNTIF('D211'!D15,"Aula 3"))&gt;0,1,0)+IF((COUNTIF('D311'!D15,"Aula 3"))&gt;0,1,0)+IF((COUNTIF('D411'!D15,"Aula 3"))&gt;0,1,0))=0,"",IF((IF((COUNTIF('C111'!D15,"Aula 3")+COUNTIF('C112'!D15,"Aula 3")+COUNTIF('C113'!D15,"Aula 3")+COUNTIF('C121'!D15,"Aula 3")+COUNTIF('C122'!D15,"Aula 3"))&gt;0,1,0)+IF((COUNTIF('C211'!D15,"Aula 3")+COUNTIF('C212'!D15,"Aula 3"))&gt;0,1,0)+IF((COUNTIF('C311'!D15,"Aula 3")+COUNTIF('C312'!D15,"Aula 3"))&gt;0,1,0)+IF((COUNTIF('C411'!D15,"Aula 3")+COUNTIF('C412'!D15,"Aula 3"))&gt;0,1,0)+IF((COUNTIF('M111'!D15,"Aula 3")+COUNTIF('M112'!D15,"Aula 3"))&gt;0,1,0)+IF((COUNTIF('M211'!D15,"Aula 3")+COUNTIF('M212'!D15,"Aula 3"))&gt;0,1,0)+IF((COUNTIF('M311'!D15,"Aula 3"))&gt;0,1,0)+IF((COUNTIF('M411'!D15,"Aula 3"))&gt;0,1,0)+IF((COUNTIF('D111'!D15,"Aula 3")+COUNTIF('D112'!D15,"Aula 3"))&gt;0,1,0)+IF((COUNTIF('D211'!D15,"Aula 3"))&gt;0,1,0)+IF((COUNTIF('D311'!D15,"Aula 3"))&gt;0,1,0)+IF((COUNTIF('D411'!D15,"Aula 3"))&gt;0,1,0))=1,IF((COUNTIF('C111'!D15,"Aula 3")+COUNTIF('C112'!D15,"Aula 3")+COUNTIF('C113'!D15,"Aula 3")+COUNTIF('C121'!D15,"Aula 3")+COUNTIF('C122'!D15,"Aula 3"))&gt;0,"C1",IF((COUNTIF('C211'!D15,"Aula 3")+COUNTIF('C212'!D15,"Aula 3"))&gt;0,"C2",IF((COUNTIF('C311'!D15,"Aula 3")+COUNTIF('C312'!D15,"Aula 3"))&gt;0,"C3",IF((COUNTIF('C411'!D15,"Aula 3")+COUNTIF('C412'!D15,"Aula 3"))&gt;0,"C4",IF((COUNTIF('M111'!D15,"Aula 3")+COUNTIF('M112'!D15,"Aula 3"))&gt;0,"M1",IF((COUNTIF('M211'!D15,"Aula 3")+COUNTIF('M212'!D15,"Aula 3"))&gt;0,"M2",IF((COUNTIF('M311'!D15,"Aula 3"))&gt;0,"M3",IF((COUNTIF('M411'!D15,"Aula 3"))&gt;0,"M4",IF((COUNTIF('D111'!D15,"Aula 3")+COUNTIF('D112'!D15,"Aula 3"))&gt;0,"D1",IF((COUNTIF('D211'!D15,"Aula 3"))&gt;0,"D2",IF((COUNTIF('D311'!D15,"Aula 3"))&gt;0,"D3",IF((COUNTIF('D411'!D15,"Aula 3"))&gt;0,"D4","")))))))))))),"MIX"))</f>
        <v/>
      </c>
    </row>
    <row r="259">
      <c r="C259">
        <f>IF((IF((COUNTIF('C111'!D15,"Aula 4")+COUNTIF('C112'!D15,"Aula 4")+COUNTIF('C113'!D15,"Aula 4")+COUNTIF('C121'!D15,"Aula 4")+COUNTIF('C122'!D15,"Aula 4"))&gt;0,1,0)+IF((COUNTIF('C211'!D15,"Aula 4")+COUNTIF('C212'!D15,"Aula 4"))&gt;0,1,0)+IF((COUNTIF('C311'!D15,"Aula 4")+COUNTIF('C312'!D15,"Aula 4"))&gt;0,1,0)+IF((COUNTIF('C411'!D15,"Aula 4")+COUNTIF('C412'!D15,"Aula 4"))&gt;0,1,0)+IF((COUNTIF('M111'!D15,"Aula 4")+COUNTIF('M112'!D15,"Aula 4"))&gt;0,1,0)+IF((COUNTIF('M211'!D15,"Aula 4")+COUNTIF('M212'!D15,"Aula 4"))&gt;0,1,0)+IF((COUNTIF('M311'!D15,"Aula 4"))&gt;0,1,0)+IF((COUNTIF('M411'!D15,"Aula 4"))&gt;0,1,0)+IF((COUNTIF('D111'!D15,"Aula 4")+COUNTIF('D112'!D15,"Aula 4"))&gt;0,1,0)+IF((COUNTIF('D211'!D15,"Aula 4"))&gt;0,1,0)+IF((COUNTIF('D311'!D15,"Aula 4"))&gt;0,1,0)+IF((COUNTIF('D411'!D15,"Aula 4"))&gt;0,1,0))=0,"",IF((IF((COUNTIF('C111'!D15,"Aula 4")+COUNTIF('C112'!D15,"Aula 4")+COUNTIF('C113'!D15,"Aula 4")+COUNTIF('C121'!D15,"Aula 4")+COUNTIF('C122'!D15,"Aula 4"))&gt;0,1,0)+IF((COUNTIF('C211'!D15,"Aula 4")+COUNTIF('C212'!D15,"Aula 4"))&gt;0,1,0)+IF((COUNTIF('C311'!D15,"Aula 4")+COUNTIF('C312'!D15,"Aula 4"))&gt;0,1,0)+IF((COUNTIF('C411'!D15,"Aula 4")+COUNTIF('C412'!D15,"Aula 4"))&gt;0,1,0)+IF((COUNTIF('M111'!D15,"Aula 4")+COUNTIF('M112'!D15,"Aula 4"))&gt;0,1,0)+IF((COUNTIF('M211'!D15,"Aula 4")+COUNTIF('M212'!D15,"Aula 4"))&gt;0,1,0)+IF((COUNTIF('M311'!D15,"Aula 4"))&gt;0,1,0)+IF((COUNTIF('M411'!D15,"Aula 4"))&gt;0,1,0)+IF((COUNTIF('D111'!D15,"Aula 4")+COUNTIF('D112'!D15,"Aula 4"))&gt;0,1,0)+IF((COUNTIF('D211'!D15,"Aula 4"))&gt;0,1,0)+IF((COUNTIF('D311'!D15,"Aula 4"))&gt;0,1,0)+IF((COUNTIF('D411'!D15,"Aula 4"))&gt;0,1,0))=1,IF((COUNTIF('C111'!D15,"Aula 4")+COUNTIF('C112'!D15,"Aula 4")+COUNTIF('C113'!D15,"Aula 4")+COUNTIF('C121'!D15,"Aula 4")+COUNTIF('C122'!D15,"Aula 4"))&gt;0,"C1",IF((COUNTIF('C211'!D15,"Aula 4")+COUNTIF('C212'!D15,"Aula 4"))&gt;0,"C2",IF((COUNTIF('C311'!D15,"Aula 4")+COUNTIF('C312'!D15,"Aula 4"))&gt;0,"C3",IF((COUNTIF('C411'!D15,"Aula 4")+COUNTIF('C412'!D15,"Aula 4"))&gt;0,"C4",IF((COUNTIF('M111'!D15,"Aula 4")+COUNTIF('M112'!D15,"Aula 4"))&gt;0,"M1",IF((COUNTIF('M211'!D15,"Aula 4")+COUNTIF('M212'!D15,"Aula 4"))&gt;0,"M2",IF((COUNTIF('M311'!D15,"Aula 4"))&gt;0,"M3",IF((COUNTIF('M411'!D15,"Aula 4"))&gt;0,"M4",IF((COUNTIF('D111'!D15,"Aula 4")+COUNTIF('D112'!D15,"Aula 4"))&gt;0,"D1",IF((COUNTIF('D211'!D15,"Aula 4"))&gt;0,"D2",IF((COUNTIF('D311'!D15,"Aula 4"))&gt;0,"D3",IF((COUNTIF('D411'!D15,"Aula 4"))&gt;0,"D4","")))))))))))),"MIX"))</f>
        <v/>
      </c>
    </row>
    <row r="260">
      <c r="C260">
        <f>IF((IF((COUNTIF('C111'!D15,"Aula 5")+COUNTIF('C112'!D15,"Aula 5")+COUNTIF('C113'!D15,"Aula 5")+COUNTIF('C121'!D15,"Aula 5")+COUNTIF('C122'!D15,"Aula 5"))&gt;0,1,0)+IF((COUNTIF('C211'!D15,"Aula 5")+COUNTIF('C212'!D15,"Aula 5"))&gt;0,1,0)+IF((COUNTIF('C311'!D15,"Aula 5")+COUNTIF('C312'!D15,"Aula 5"))&gt;0,1,0)+IF((COUNTIF('C411'!D15,"Aula 5")+COUNTIF('C412'!D15,"Aula 5"))&gt;0,1,0)+IF((COUNTIF('M111'!D15,"Aula 5")+COUNTIF('M112'!D15,"Aula 5"))&gt;0,1,0)+IF((COUNTIF('M211'!D15,"Aula 5")+COUNTIF('M212'!D15,"Aula 5"))&gt;0,1,0)+IF((COUNTIF('M311'!D15,"Aula 5"))&gt;0,1,0)+IF((COUNTIF('M411'!D15,"Aula 5"))&gt;0,1,0)+IF((COUNTIF('D111'!D15,"Aula 5")+COUNTIF('D112'!D15,"Aula 5"))&gt;0,1,0)+IF((COUNTIF('D211'!D15,"Aula 5"))&gt;0,1,0)+IF((COUNTIF('D311'!D15,"Aula 5"))&gt;0,1,0)+IF((COUNTIF('D411'!D15,"Aula 5"))&gt;0,1,0))=0,"",IF((IF((COUNTIF('C111'!D15,"Aula 5")+COUNTIF('C112'!D15,"Aula 5")+COUNTIF('C113'!D15,"Aula 5")+COUNTIF('C121'!D15,"Aula 5")+COUNTIF('C122'!D15,"Aula 5"))&gt;0,1,0)+IF((COUNTIF('C211'!D15,"Aula 5")+COUNTIF('C212'!D15,"Aula 5"))&gt;0,1,0)+IF((COUNTIF('C311'!D15,"Aula 5")+COUNTIF('C312'!D15,"Aula 5"))&gt;0,1,0)+IF((COUNTIF('C411'!D15,"Aula 5")+COUNTIF('C412'!D15,"Aula 5"))&gt;0,1,0)+IF((COUNTIF('M111'!D15,"Aula 5")+COUNTIF('M112'!D15,"Aula 5"))&gt;0,1,0)+IF((COUNTIF('M211'!D15,"Aula 5")+COUNTIF('M212'!D15,"Aula 5"))&gt;0,1,0)+IF((COUNTIF('M311'!D15,"Aula 5"))&gt;0,1,0)+IF((COUNTIF('M411'!D15,"Aula 5"))&gt;0,1,0)+IF((COUNTIF('D111'!D15,"Aula 5")+COUNTIF('D112'!D15,"Aula 5"))&gt;0,1,0)+IF((COUNTIF('D211'!D15,"Aula 5"))&gt;0,1,0)+IF((COUNTIF('D311'!D15,"Aula 5"))&gt;0,1,0)+IF((COUNTIF('D411'!D15,"Aula 5"))&gt;0,1,0))=1,IF((COUNTIF('C111'!D15,"Aula 5")+COUNTIF('C112'!D15,"Aula 5")+COUNTIF('C113'!D15,"Aula 5")+COUNTIF('C121'!D15,"Aula 5")+COUNTIF('C122'!D15,"Aula 5"))&gt;0,"C1",IF((COUNTIF('C211'!D15,"Aula 5")+COUNTIF('C212'!D15,"Aula 5"))&gt;0,"C2",IF((COUNTIF('C311'!D15,"Aula 5")+COUNTIF('C312'!D15,"Aula 5"))&gt;0,"C3",IF((COUNTIF('C411'!D15,"Aula 5")+COUNTIF('C412'!D15,"Aula 5"))&gt;0,"C4",IF((COUNTIF('M111'!D15,"Aula 5")+COUNTIF('M112'!D15,"Aula 5"))&gt;0,"M1",IF((COUNTIF('M211'!D15,"Aula 5")+COUNTIF('M212'!D15,"Aula 5"))&gt;0,"M2",IF((COUNTIF('M311'!D15,"Aula 5"))&gt;0,"M3",IF((COUNTIF('M411'!D15,"Aula 5"))&gt;0,"M4",IF((COUNTIF('D111'!D15,"Aula 5")+COUNTIF('D112'!D15,"Aula 5"))&gt;0,"D1",IF((COUNTIF('D211'!D15,"Aula 5"))&gt;0,"D2",IF((COUNTIF('D311'!D15,"Aula 5"))&gt;0,"D3",IF((COUNTIF('D411'!D15,"Aula 5"))&gt;0,"D4","")))))))))))),"MIX"))</f>
        <v/>
      </c>
    </row>
    <row r="261">
      <c r="C261">
        <f>IF((IF((COUNTIF('C111'!D15,"Aula 6")+COUNTIF('C112'!D15,"Aula 6")+COUNTIF('C113'!D15,"Aula 6")+COUNTIF('C121'!D15,"Aula 6")+COUNTIF('C122'!D15,"Aula 6"))&gt;0,1,0)+IF((COUNTIF('C211'!D15,"Aula 6")+COUNTIF('C212'!D15,"Aula 6"))&gt;0,1,0)+IF((COUNTIF('C311'!D15,"Aula 6")+COUNTIF('C312'!D15,"Aula 6"))&gt;0,1,0)+IF((COUNTIF('C411'!D15,"Aula 6")+COUNTIF('C412'!D15,"Aula 6"))&gt;0,1,0)+IF((COUNTIF('M111'!D15,"Aula 6")+COUNTIF('M112'!D15,"Aula 6"))&gt;0,1,0)+IF((COUNTIF('M211'!D15,"Aula 6")+COUNTIF('M212'!D15,"Aula 6"))&gt;0,1,0)+IF((COUNTIF('M311'!D15,"Aula 6"))&gt;0,1,0)+IF((COUNTIF('M411'!D15,"Aula 6"))&gt;0,1,0)+IF((COUNTIF('D111'!D15,"Aula 6")+COUNTIF('D112'!D15,"Aula 6"))&gt;0,1,0)+IF((COUNTIF('D211'!D15,"Aula 6"))&gt;0,1,0)+IF((COUNTIF('D311'!D15,"Aula 6"))&gt;0,1,0)+IF((COUNTIF('D411'!D15,"Aula 6"))&gt;0,1,0))=0,"",IF((IF((COUNTIF('C111'!D15,"Aula 6")+COUNTIF('C112'!D15,"Aula 6")+COUNTIF('C113'!D15,"Aula 6")+COUNTIF('C121'!D15,"Aula 6")+COUNTIF('C122'!D15,"Aula 6"))&gt;0,1,0)+IF((COUNTIF('C211'!D15,"Aula 6")+COUNTIF('C212'!D15,"Aula 6"))&gt;0,1,0)+IF((COUNTIF('C311'!D15,"Aula 6")+COUNTIF('C312'!D15,"Aula 6"))&gt;0,1,0)+IF((COUNTIF('C411'!D15,"Aula 6")+COUNTIF('C412'!D15,"Aula 6"))&gt;0,1,0)+IF((COUNTIF('M111'!D15,"Aula 6")+COUNTIF('M112'!D15,"Aula 6"))&gt;0,1,0)+IF((COUNTIF('M211'!D15,"Aula 6")+COUNTIF('M212'!D15,"Aula 6"))&gt;0,1,0)+IF((COUNTIF('M311'!D15,"Aula 6"))&gt;0,1,0)+IF((COUNTIF('M411'!D15,"Aula 6"))&gt;0,1,0)+IF((COUNTIF('D111'!D15,"Aula 6")+COUNTIF('D112'!D15,"Aula 6"))&gt;0,1,0)+IF((COUNTIF('D211'!D15,"Aula 6"))&gt;0,1,0)+IF((COUNTIF('D311'!D15,"Aula 6"))&gt;0,1,0)+IF((COUNTIF('D411'!D15,"Aula 6"))&gt;0,1,0))=1,IF((COUNTIF('C111'!D15,"Aula 6")+COUNTIF('C112'!D15,"Aula 6")+COUNTIF('C113'!D15,"Aula 6")+COUNTIF('C121'!D15,"Aula 6")+COUNTIF('C122'!D15,"Aula 6"))&gt;0,"C1",IF((COUNTIF('C211'!D15,"Aula 6")+COUNTIF('C212'!D15,"Aula 6"))&gt;0,"C2",IF((COUNTIF('C311'!D15,"Aula 6")+COUNTIF('C312'!D15,"Aula 6"))&gt;0,"C3",IF((COUNTIF('C411'!D15,"Aula 6")+COUNTIF('C412'!D15,"Aula 6"))&gt;0,"C4",IF((COUNTIF('M111'!D15,"Aula 6")+COUNTIF('M112'!D15,"Aula 6"))&gt;0,"M1",IF((COUNTIF('M211'!D15,"Aula 6")+COUNTIF('M212'!D15,"Aula 6"))&gt;0,"M2",IF((COUNTIF('M311'!D15,"Aula 6"))&gt;0,"M3",IF((COUNTIF('M411'!D15,"Aula 6"))&gt;0,"M4",IF((COUNTIF('D111'!D15,"Aula 6")+COUNTIF('D112'!D15,"Aula 6"))&gt;0,"D1",IF((COUNTIF('D211'!D15,"Aula 6"))&gt;0,"D2",IF((COUNTIF('D311'!D15,"Aula 6"))&gt;0,"D3",IF((COUNTIF('D411'!D15,"Aula 6"))&gt;0,"D4","")))))))))))),"MIX"))</f>
        <v/>
      </c>
    </row>
    <row r="262">
      <c r="C262">
        <f>IF((IF((COUNTIF('C111'!D15,"Aula 7")+COUNTIF('C112'!D15,"Aula 7")+COUNTIF('C113'!D15,"Aula 7")+COUNTIF('C121'!D15,"Aula 7")+COUNTIF('C122'!D15,"Aula 7"))&gt;0,1,0)+IF((COUNTIF('C211'!D15,"Aula 7")+COUNTIF('C212'!D15,"Aula 7"))&gt;0,1,0)+IF((COUNTIF('C311'!D15,"Aula 7")+COUNTIF('C312'!D15,"Aula 7"))&gt;0,1,0)+IF((COUNTIF('C411'!D15,"Aula 7")+COUNTIF('C412'!D15,"Aula 7"))&gt;0,1,0)+IF((COUNTIF('M111'!D15,"Aula 7")+COUNTIF('M112'!D15,"Aula 7"))&gt;0,1,0)+IF((COUNTIF('M211'!D15,"Aula 7")+COUNTIF('M212'!D15,"Aula 7"))&gt;0,1,0)+IF((COUNTIF('M311'!D15,"Aula 7"))&gt;0,1,0)+IF((COUNTIF('M411'!D15,"Aula 7"))&gt;0,1,0)+IF((COUNTIF('D111'!D15,"Aula 7")+COUNTIF('D112'!D15,"Aula 7"))&gt;0,1,0)+IF((COUNTIF('D211'!D15,"Aula 7"))&gt;0,1,0)+IF((COUNTIF('D311'!D15,"Aula 7"))&gt;0,1,0)+IF((COUNTIF('D411'!D15,"Aula 7"))&gt;0,1,0))=0,"",IF((IF((COUNTIF('C111'!D15,"Aula 7")+COUNTIF('C112'!D15,"Aula 7")+COUNTIF('C113'!D15,"Aula 7")+COUNTIF('C121'!D15,"Aula 7")+COUNTIF('C122'!D15,"Aula 7"))&gt;0,1,0)+IF((COUNTIF('C211'!D15,"Aula 7")+COUNTIF('C212'!D15,"Aula 7"))&gt;0,1,0)+IF((COUNTIF('C311'!D15,"Aula 7")+COUNTIF('C312'!D15,"Aula 7"))&gt;0,1,0)+IF((COUNTIF('C411'!D15,"Aula 7")+COUNTIF('C412'!D15,"Aula 7"))&gt;0,1,0)+IF((COUNTIF('M111'!D15,"Aula 7")+COUNTIF('M112'!D15,"Aula 7"))&gt;0,1,0)+IF((COUNTIF('M211'!D15,"Aula 7")+COUNTIF('M212'!D15,"Aula 7"))&gt;0,1,0)+IF((COUNTIF('M311'!D15,"Aula 7"))&gt;0,1,0)+IF((COUNTIF('M411'!D15,"Aula 7"))&gt;0,1,0)+IF((COUNTIF('D111'!D15,"Aula 7")+COUNTIF('D112'!D15,"Aula 7"))&gt;0,1,0)+IF((COUNTIF('D211'!D15,"Aula 7"))&gt;0,1,0)+IF((COUNTIF('D311'!D15,"Aula 7"))&gt;0,1,0)+IF((COUNTIF('D411'!D15,"Aula 7"))&gt;0,1,0))=1,IF((COUNTIF('C111'!D15,"Aula 7")+COUNTIF('C112'!D15,"Aula 7")+COUNTIF('C113'!D15,"Aula 7")+COUNTIF('C121'!D15,"Aula 7")+COUNTIF('C122'!D15,"Aula 7"))&gt;0,"C1",IF((COUNTIF('C211'!D15,"Aula 7")+COUNTIF('C212'!D15,"Aula 7"))&gt;0,"C2",IF((COUNTIF('C311'!D15,"Aula 7")+COUNTIF('C312'!D15,"Aula 7"))&gt;0,"C3",IF((COUNTIF('C411'!D15,"Aula 7")+COUNTIF('C412'!D15,"Aula 7"))&gt;0,"C4",IF((COUNTIF('M111'!D15,"Aula 7")+COUNTIF('M112'!D15,"Aula 7"))&gt;0,"M1",IF((COUNTIF('M211'!D15,"Aula 7")+COUNTIF('M212'!D15,"Aula 7"))&gt;0,"M2",IF((COUNTIF('M311'!D15,"Aula 7"))&gt;0,"M3",IF((COUNTIF('M411'!D15,"Aula 7"))&gt;0,"M4",IF((COUNTIF('D111'!D15,"Aula 7")+COUNTIF('D112'!D15,"Aula 7"))&gt;0,"D1",IF((COUNTIF('D211'!D15,"Aula 7"))&gt;0,"D2",IF((COUNTIF('D311'!D15,"Aula 7"))&gt;0,"D3",IF((COUNTIF('D411'!D15,"Aula 7"))&gt;0,"D4","")))))))))))),"MIX"))</f>
        <v/>
      </c>
    </row>
    <row r="263">
      <c r="C263">
        <f>IF((IF((COUNTIF('C111'!D15,"Aula 8")+COUNTIF('C112'!D15,"Aula 8")+COUNTIF('C113'!D15,"Aula 8")+COUNTIF('C121'!D15,"Aula 8")+COUNTIF('C122'!D15,"Aula 8"))&gt;0,1,0)+IF((COUNTIF('C211'!D15,"Aula 8")+COUNTIF('C212'!D15,"Aula 8"))&gt;0,1,0)+IF((COUNTIF('C311'!D15,"Aula 8")+COUNTIF('C312'!D15,"Aula 8"))&gt;0,1,0)+IF((COUNTIF('C411'!D15,"Aula 8")+COUNTIF('C412'!D15,"Aula 8"))&gt;0,1,0)+IF((COUNTIF('M111'!D15,"Aula 8")+COUNTIF('M112'!D15,"Aula 8"))&gt;0,1,0)+IF((COUNTIF('M211'!D15,"Aula 8")+COUNTIF('M212'!D15,"Aula 8"))&gt;0,1,0)+IF((COUNTIF('M311'!D15,"Aula 8"))&gt;0,1,0)+IF((COUNTIF('M411'!D15,"Aula 8"))&gt;0,1,0)+IF((COUNTIF('D111'!D15,"Aula 8")+COUNTIF('D112'!D15,"Aula 8"))&gt;0,1,0)+IF((COUNTIF('D211'!D15,"Aula 8"))&gt;0,1,0)+IF((COUNTIF('D311'!D15,"Aula 8"))&gt;0,1,0)+IF((COUNTIF('D411'!D15,"Aula 8"))&gt;0,1,0))=0,"",IF((IF((COUNTIF('C111'!D15,"Aula 8")+COUNTIF('C112'!D15,"Aula 8")+COUNTIF('C113'!D15,"Aula 8")+COUNTIF('C121'!D15,"Aula 8")+COUNTIF('C122'!D15,"Aula 8"))&gt;0,1,0)+IF((COUNTIF('C211'!D15,"Aula 8")+COUNTIF('C212'!D15,"Aula 8"))&gt;0,1,0)+IF((COUNTIF('C311'!D15,"Aula 8")+COUNTIF('C312'!D15,"Aula 8"))&gt;0,1,0)+IF((COUNTIF('C411'!D15,"Aula 8")+COUNTIF('C412'!D15,"Aula 8"))&gt;0,1,0)+IF((COUNTIF('M111'!D15,"Aula 8")+COUNTIF('M112'!D15,"Aula 8"))&gt;0,1,0)+IF((COUNTIF('M211'!D15,"Aula 8")+COUNTIF('M212'!D15,"Aula 8"))&gt;0,1,0)+IF((COUNTIF('M311'!D15,"Aula 8"))&gt;0,1,0)+IF((COUNTIF('M411'!D15,"Aula 8"))&gt;0,1,0)+IF((COUNTIF('D111'!D15,"Aula 8")+COUNTIF('D112'!D15,"Aula 8"))&gt;0,1,0)+IF((COUNTIF('D211'!D15,"Aula 8"))&gt;0,1,0)+IF((COUNTIF('D311'!D15,"Aula 8"))&gt;0,1,0)+IF((COUNTIF('D411'!D15,"Aula 8"))&gt;0,1,0))=1,IF((COUNTIF('C111'!D15,"Aula 8")+COUNTIF('C112'!D15,"Aula 8")+COUNTIF('C113'!D15,"Aula 8")+COUNTIF('C121'!D15,"Aula 8")+COUNTIF('C122'!D15,"Aula 8"))&gt;0,"C1",IF((COUNTIF('C211'!D15,"Aula 8")+COUNTIF('C212'!D15,"Aula 8"))&gt;0,"C2",IF((COUNTIF('C311'!D15,"Aula 8")+COUNTIF('C312'!D15,"Aula 8"))&gt;0,"C3",IF((COUNTIF('C411'!D15,"Aula 8")+COUNTIF('C412'!D15,"Aula 8"))&gt;0,"C4",IF((COUNTIF('M111'!D15,"Aula 8")+COUNTIF('M112'!D15,"Aula 8"))&gt;0,"M1",IF((COUNTIF('M211'!D15,"Aula 8")+COUNTIF('M212'!D15,"Aula 8"))&gt;0,"M2",IF((COUNTIF('M311'!D15,"Aula 8"))&gt;0,"M3",IF((COUNTIF('M411'!D15,"Aula 8"))&gt;0,"M4",IF((COUNTIF('D111'!D15,"Aula 8")+COUNTIF('D112'!D15,"Aula 8"))&gt;0,"D1",IF((COUNTIF('D211'!D15,"Aula 8"))&gt;0,"D2",IF((COUNTIF('D311'!D15,"Aula 8"))&gt;0,"D3",IF((COUNTIF('D411'!D15,"Aula 8"))&gt;0,"D4","")))))))))))),"MIX"))</f>
        <v/>
      </c>
    </row>
    <row r="264">
      <c r="C264">
        <f>IF((IF((COUNTIF('C111'!D15,"Aula 9")+COUNTIF('C112'!D15,"Aula 9")+COUNTIF('C113'!D15,"Aula 9")+COUNTIF('C121'!D15,"Aula 9")+COUNTIF('C122'!D15,"Aula 9"))&gt;0,1,0)+IF((COUNTIF('C211'!D15,"Aula 9")+COUNTIF('C212'!D15,"Aula 9"))&gt;0,1,0)+IF((COUNTIF('C311'!D15,"Aula 9")+COUNTIF('C312'!D15,"Aula 9"))&gt;0,1,0)+IF((COUNTIF('C411'!D15,"Aula 9")+COUNTIF('C412'!D15,"Aula 9"))&gt;0,1,0)+IF((COUNTIF('M111'!D15,"Aula 9")+COUNTIF('M112'!D15,"Aula 9"))&gt;0,1,0)+IF((COUNTIF('M211'!D15,"Aula 9")+COUNTIF('M212'!D15,"Aula 9"))&gt;0,1,0)+IF((COUNTIF('M311'!D15,"Aula 9"))&gt;0,1,0)+IF((COUNTIF('M411'!D15,"Aula 9"))&gt;0,1,0)+IF((COUNTIF('D111'!D15,"Aula 9")+COUNTIF('D112'!D15,"Aula 9"))&gt;0,1,0)+IF((COUNTIF('D211'!D15,"Aula 9"))&gt;0,1,0)+IF((COUNTIF('D311'!D15,"Aula 9"))&gt;0,1,0)+IF((COUNTIF('D411'!D15,"Aula 9"))&gt;0,1,0))=0,"",IF((IF((COUNTIF('C111'!D15,"Aula 9")+COUNTIF('C112'!D15,"Aula 9")+COUNTIF('C113'!D15,"Aula 9")+COUNTIF('C121'!D15,"Aula 9")+COUNTIF('C122'!D15,"Aula 9"))&gt;0,1,0)+IF((COUNTIF('C211'!D15,"Aula 9")+COUNTIF('C212'!D15,"Aula 9"))&gt;0,1,0)+IF((COUNTIF('C311'!D15,"Aula 9")+COUNTIF('C312'!D15,"Aula 9"))&gt;0,1,0)+IF((COUNTIF('C411'!D15,"Aula 9")+COUNTIF('C412'!D15,"Aula 9"))&gt;0,1,0)+IF((COUNTIF('M111'!D15,"Aula 9")+COUNTIF('M112'!D15,"Aula 9"))&gt;0,1,0)+IF((COUNTIF('M211'!D15,"Aula 9")+COUNTIF('M212'!D15,"Aula 9"))&gt;0,1,0)+IF((COUNTIF('M311'!D15,"Aula 9"))&gt;0,1,0)+IF((COUNTIF('M411'!D15,"Aula 9"))&gt;0,1,0)+IF((COUNTIF('D111'!D15,"Aula 9")+COUNTIF('D112'!D15,"Aula 9"))&gt;0,1,0)+IF((COUNTIF('D211'!D15,"Aula 9"))&gt;0,1,0)+IF((COUNTIF('D311'!D15,"Aula 9"))&gt;0,1,0)+IF((COUNTIF('D411'!D15,"Aula 9"))&gt;0,1,0))=1,IF((COUNTIF('C111'!D15,"Aula 9")+COUNTIF('C112'!D15,"Aula 9")+COUNTIF('C113'!D15,"Aula 9")+COUNTIF('C121'!D15,"Aula 9")+COUNTIF('C122'!D15,"Aula 9"))&gt;0,"C1",IF((COUNTIF('C211'!D15,"Aula 9")+COUNTIF('C212'!D15,"Aula 9"))&gt;0,"C2",IF((COUNTIF('C311'!D15,"Aula 9")+COUNTIF('C312'!D15,"Aula 9"))&gt;0,"C3",IF((COUNTIF('C411'!D15,"Aula 9")+COUNTIF('C412'!D15,"Aula 9"))&gt;0,"C4",IF((COUNTIF('M111'!D15,"Aula 9")+COUNTIF('M112'!D15,"Aula 9"))&gt;0,"M1",IF((COUNTIF('M211'!D15,"Aula 9")+COUNTIF('M212'!D15,"Aula 9"))&gt;0,"M2",IF((COUNTIF('M311'!D15,"Aula 9"))&gt;0,"M3",IF((COUNTIF('M411'!D15,"Aula 9"))&gt;0,"M4",IF((COUNTIF('D111'!D15,"Aula 9")+COUNTIF('D112'!D15,"Aula 9"))&gt;0,"D1",IF((COUNTIF('D211'!D15,"Aula 9"))&gt;0,"D2",IF((COUNTIF('D311'!D15,"Aula 9"))&gt;0,"D3",IF((COUNTIF('D411'!D15,"Aula 9"))&gt;0,"D4","")))))))))))),"MIX"))</f>
        <v/>
      </c>
    </row>
    <row r="265">
      <c r="C265">
        <f>IF((IF((COUNTIF('C111'!D15,"Aula 10")+COUNTIF('C112'!D15,"Aula 10")+COUNTIF('C113'!D15,"Aula 10")+COUNTIF('C121'!D15,"Aula 10")+COUNTIF('C122'!D15,"Aula 10"))&gt;0,1,0)+IF((COUNTIF('C211'!D15,"Aula 10")+COUNTIF('C212'!D15,"Aula 10"))&gt;0,1,0)+IF((COUNTIF('C311'!D15,"Aula 10")+COUNTIF('C312'!D15,"Aula 10"))&gt;0,1,0)+IF((COUNTIF('C411'!D15,"Aula 10")+COUNTIF('C412'!D15,"Aula 10"))&gt;0,1,0)+IF((COUNTIF('M111'!D15,"Aula 10")+COUNTIF('M112'!D15,"Aula 10"))&gt;0,1,0)+IF((COUNTIF('M211'!D15,"Aula 10")+COUNTIF('M212'!D15,"Aula 10"))&gt;0,1,0)+IF((COUNTIF('M311'!D15,"Aula 10"))&gt;0,1,0)+IF((COUNTIF('M411'!D15,"Aula 10"))&gt;0,1,0)+IF((COUNTIF('D111'!D15,"Aula 10")+COUNTIF('D112'!D15,"Aula 10"))&gt;0,1,0)+IF((COUNTIF('D211'!D15,"Aula 10"))&gt;0,1,0)+IF((COUNTIF('D311'!D15,"Aula 10"))&gt;0,1,0)+IF((COUNTIF('D411'!D15,"Aula 10"))&gt;0,1,0))=0,"",IF((IF((COUNTIF('C111'!D15,"Aula 10")+COUNTIF('C112'!D15,"Aula 10")+COUNTIF('C113'!D15,"Aula 10")+COUNTIF('C121'!D15,"Aula 10")+COUNTIF('C122'!D15,"Aula 10"))&gt;0,1,0)+IF((COUNTIF('C211'!D15,"Aula 10")+COUNTIF('C212'!D15,"Aula 10"))&gt;0,1,0)+IF((COUNTIF('C311'!D15,"Aula 10")+COUNTIF('C312'!D15,"Aula 10"))&gt;0,1,0)+IF((COUNTIF('C411'!D15,"Aula 10")+COUNTIF('C412'!D15,"Aula 10"))&gt;0,1,0)+IF((COUNTIF('M111'!D15,"Aula 10")+COUNTIF('M112'!D15,"Aula 10"))&gt;0,1,0)+IF((COUNTIF('M211'!D15,"Aula 10")+COUNTIF('M212'!D15,"Aula 10"))&gt;0,1,0)+IF((COUNTIF('M311'!D15,"Aula 10"))&gt;0,1,0)+IF((COUNTIF('M411'!D15,"Aula 10"))&gt;0,1,0)+IF((COUNTIF('D111'!D15,"Aula 10")+COUNTIF('D112'!D15,"Aula 10"))&gt;0,1,0)+IF((COUNTIF('D211'!D15,"Aula 10"))&gt;0,1,0)+IF((COUNTIF('D311'!D15,"Aula 10"))&gt;0,1,0)+IF((COUNTIF('D411'!D15,"Aula 10"))&gt;0,1,0))=1,IF((COUNTIF('C111'!D15,"Aula 10")+COUNTIF('C112'!D15,"Aula 10")+COUNTIF('C113'!D15,"Aula 10")+COUNTIF('C121'!D15,"Aula 10")+COUNTIF('C122'!D15,"Aula 10"))&gt;0,"C1",IF((COUNTIF('C211'!D15,"Aula 10")+COUNTIF('C212'!D15,"Aula 10"))&gt;0,"C2",IF((COUNTIF('C311'!D15,"Aula 10")+COUNTIF('C312'!D15,"Aula 10"))&gt;0,"C3",IF((COUNTIF('C411'!D15,"Aula 10")+COUNTIF('C412'!D15,"Aula 10"))&gt;0,"C4",IF((COUNTIF('M111'!D15,"Aula 10")+COUNTIF('M112'!D15,"Aula 10"))&gt;0,"M1",IF((COUNTIF('M211'!D15,"Aula 10")+COUNTIF('M212'!D15,"Aula 10"))&gt;0,"M2",IF((COUNTIF('M311'!D15,"Aula 10"))&gt;0,"M3",IF((COUNTIF('M411'!D15,"Aula 10"))&gt;0,"M4",IF((COUNTIF('D111'!D15,"Aula 10")+COUNTIF('D112'!D15,"Aula 10"))&gt;0,"D1",IF((COUNTIF('D211'!D15,"Aula 10"))&gt;0,"D2",IF((COUNTIF('D311'!D15,"Aula 10"))&gt;0,"D3",IF((COUNTIF('D411'!D15,"Aula 10"))&gt;0,"D4","")))))))))))),"MIX"))</f>
        <v/>
      </c>
    </row>
    <row r="266">
      <c r="C266">
        <f>IF((IF((COUNTIF('C111'!D15,"Aula 11")+COUNTIF('C112'!D15,"Aula 11")+COUNTIF('C113'!D15,"Aula 11")+COUNTIF('C121'!D15,"Aula 11")+COUNTIF('C122'!D15,"Aula 11"))&gt;0,1,0)+IF((COUNTIF('C211'!D15,"Aula 11")+COUNTIF('C212'!D15,"Aula 11"))&gt;0,1,0)+IF((COUNTIF('C311'!D15,"Aula 11")+COUNTIF('C312'!D15,"Aula 11"))&gt;0,1,0)+IF((COUNTIF('C411'!D15,"Aula 11")+COUNTIF('C412'!D15,"Aula 11"))&gt;0,1,0)+IF((COUNTIF('M111'!D15,"Aula 11")+COUNTIF('M112'!D15,"Aula 11"))&gt;0,1,0)+IF((COUNTIF('M211'!D15,"Aula 11")+COUNTIF('M212'!D15,"Aula 11"))&gt;0,1,0)+IF((COUNTIF('M311'!D15,"Aula 11"))&gt;0,1,0)+IF((COUNTIF('M411'!D15,"Aula 11"))&gt;0,1,0)+IF((COUNTIF('D111'!D15,"Aula 11")+COUNTIF('D112'!D15,"Aula 11"))&gt;0,1,0)+IF((COUNTIF('D211'!D15,"Aula 11"))&gt;0,1,0)+IF((COUNTIF('D311'!D15,"Aula 11"))&gt;0,1,0)+IF((COUNTIF('D411'!D15,"Aula 11"))&gt;0,1,0))=0,"",IF((IF((COUNTIF('C111'!D15,"Aula 11")+COUNTIF('C112'!D15,"Aula 11")+COUNTIF('C113'!D15,"Aula 11")+COUNTIF('C121'!D15,"Aula 11")+COUNTIF('C122'!D15,"Aula 11"))&gt;0,1,0)+IF((COUNTIF('C211'!D15,"Aula 11")+COUNTIF('C212'!D15,"Aula 11"))&gt;0,1,0)+IF((COUNTIF('C311'!D15,"Aula 11")+COUNTIF('C312'!D15,"Aula 11"))&gt;0,1,0)+IF((COUNTIF('C411'!D15,"Aula 11")+COUNTIF('C412'!D15,"Aula 11"))&gt;0,1,0)+IF((COUNTIF('M111'!D15,"Aula 11")+COUNTIF('M112'!D15,"Aula 11"))&gt;0,1,0)+IF((COUNTIF('M211'!D15,"Aula 11")+COUNTIF('M212'!D15,"Aula 11"))&gt;0,1,0)+IF((COUNTIF('M311'!D15,"Aula 11"))&gt;0,1,0)+IF((COUNTIF('M411'!D15,"Aula 11"))&gt;0,1,0)+IF((COUNTIF('D111'!D15,"Aula 11")+COUNTIF('D112'!D15,"Aula 11"))&gt;0,1,0)+IF((COUNTIF('D211'!D15,"Aula 11"))&gt;0,1,0)+IF((COUNTIF('D311'!D15,"Aula 11"))&gt;0,1,0)+IF((COUNTIF('D411'!D15,"Aula 11"))&gt;0,1,0))=1,IF((COUNTIF('C111'!D15,"Aula 11")+COUNTIF('C112'!D15,"Aula 11")+COUNTIF('C113'!D15,"Aula 11")+COUNTIF('C121'!D15,"Aula 11")+COUNTIF('C122'!D15,"Aula 11"))&gt;0,"C1",IF((COUNTIF('C211'!D15,"Aula 11")+COUNTIF('C212'!D15,"Aula 11"))&gt;0,"C2",IF((COUNTIF('C311'!D15,"Aula 11")+COUNTIF('C312'!D15,"Aula 11"))&gt;0,"C3",IF((COUNTIF('C411'!D15,"Aula 11")+COUNTIF('C412'!D15,"Aula 11"))&gt;0,"C4",IF((COUNTIF('M111'!D15,"Aula 11")+COUNTIF('M112'!D15,"Aula 11"))&gt;0,"M1",IF((COUNTIF('M211'!D15,"Aula 11")+COUNTIF('M212'!D15,"Aula 11"))&gt;0,"M2",IF((COUNTIF('M311'!D15,"Aula 11"))&gt;0,"M3",IF((COUNTIF('M411'!D15,"Aula 11"))&gt;0,"M4",IF((COUNTIF('D111'!D15,"Aula 11")+COUNTIF('D112'!D15,"Aula 11"))&gt;0,"D1",IF((COUNTIF('D211'!D15,"Aula 11"))&gt;0,"D2",IF((COUNTIF('D311'!D15,"Aula 11"))&gt;0,"D3",IF((COUNTIF('D411'!D15,"Aula 11"))&gt;0,"D4","")))))))))))),"MIX"))</f>
        <v/>
      </c>
    </row>
    <row r="267">
      <c r="C267">
        <f>IF((IF((COUNTIF('C111'!D15,"Aula 12")+COUNTIF('C112'!D15,"Aula 12")+COUNTIF('C113'!D15,"Aula 12")+COUNTIF('C121'!D15,"Aula 12")+COUNTIF('C122'!D15,"Aula 12"))&gt;0,1,0)+IF((COUNTIF('C211'!D15,"Aula 12")+COUNTIF('C212'!D15,"Aula 12"))&gt;0,1,0)+IF((COUNTIF('C311'!D15,"Aula 12")+COUNTIF('C312'!D15,"Aula 12"))&gt;0,1,0)+IF((COUNTIF('C411'!D15,"Aula 12")+COUNTIF('C412'!D15,"Aula 12"))&gt;0,1,0)+IF((COUNTIF('M111'!D15,"Aula 12")+COUNTIF('M112'!D15,"Aula 12"))&gt;0,1,0)+IF((COUNTIF('M211'!D15,"Aula 12")+COUNTIF('M212'!D15,"Aula 12"))&gt;0,1,0)+IF((COUNTIF('M311'!D15,"Aula 12"))&gt;0,1,0)+IF((COUNTIF('M411'!D15,"Aula 12"))&gt;0,1,0)+IF((COUNTIF('D111'!D15,"Aula 12")+COUNTIF('D112'!D15,"Aula 12"))&gt;0,1,0)+IF((COUNTIF('D211'!D15,"Aula 12"))&gt;0,1,0)+IF((COUNTIF('D311'!D15,"Aula 12"))&gt;0,1,0)+IF((COUNTIF('D411'!D15,"Aula 12"))&gt;0,1,0))=0,"",IF((IF((COUNTIF('C111'!D15,"Aula 12")+COUNTIF('C112'!D15,"Aula 12")+COUNTIF('C113'!D15,"Aula 12")+COUNTIF('C121'!D15,"Aula 12")+COUNTIF('C122'!D15,"Aula 12"))&gt;0,1,0)+IF((COUNTIF('C211'!D15,"Aula 12")+COUNTIF('C212'!D15,"Aula 12"))&gt;0,1,0)+IF((COUNTIF('C311'!D15,"Aula 12")+COUNTIF('C312'!D15,"Aula 12"))&gt;0,1,0)+IF((COUNTIF('C411'!D15,"Aula 12")+COUNTIF('C412'!D15,"Aula 12"))&gt;0,1,0)+IF((COUNTIF('M111'!D15,"Aula 12")+COUNTIF('M112'!D15,"Aula 12"))&gt;0,1,0)+IF((COUNTIF('M211'!D15,"Aula 12")+COUNTIF('M212'!D15,"Aula 12"))&gt;0,1,0)+IF((COUNTIF('M311'!D15,"Aula 12"))&gt;0,1,0)+IF((COUNTIF('M411'!D15,"Aula 12"))&gt;0,1,0)+IF((COUNTIF('D111'!D15,"Aula 12")+COUNTIF('D112'!D15,"Aula 12"))&gt;0,1,0)+IF((COUNTIF('D211'!D15,"Aula 12"))&gt;0,1,0)+IF((COUNTIF('D311'!D15,"Aula 12"))&gt;0,1,0)+IF((COUNTIF('D411'!D15,"Aula 12"))&gt;0,1,0))=1,IF((COUNTIF('C111'!D15,"Aula 12")+COUNTIF('C112'!D15,"Aula 12")+COUNTIF('C113'!D15,"Aula 12")+COUNTIF('C121'!D15,"Aula 12")+COUNTIF('C122'!D15,"Aula 12"))&gt;0,"C1",IF((COUNTIF('C211'!D15,"Aula 12")+COUNTIF('C212'!D15,"Aula 12"))&gt;0,"C2",IF((COUNTIF('C311'!D15,"Aula 12")+COUNTIF('C312'!D15,"Aula 12"))&gt;0,"C3",IF((COUNTIF('C411'!D15,"Aula 12")+COUNTIF('C412'!D15,"Aula 12"))&gt;0,"C4",IF((COUNTIF('M111'!D15,"Aula 12")+COUNTIF('M112'!D15,"Aula 12"))&gt;0,"M1",IF((COUNTIF('M211'!D15,"Aula 12")+COUNTIF('M212'!D15,"Aula 12"))&gt;0,"M2",IF((COUNTIF('M311'!D15,"Aula 12"))&gt;0,"M3",IF((COUNTIF('M411'!D15,"Aula 12"))&gt;0,"M4",IF((COUNTIF('D111'!D15,"Aula 12")+COUNTIF('D112'!D15,"Aula 12"))&gt;0,"D1",IF((COUNTIF('D211'!D15,"Aula 12"))&gt;0,"D2",IF((COUNTIF('D311'!D15,"Aula 12"))&gt;0,"D3",IF((COUNTIF('D411'!D15,"Aula 12"))&gt;0,"D4","")))))))))))),"MIX"))</f>
        <v/>
      </c>
    </row>
    <row r="268">
      <c r="C268">
        <f>IF((IF((COUNTIF('C111'!D15,"Lab 1")+COUNTIF('C112'!D15,"Lab 1")+COUNTIF('C113'!D15,"Lab 1")+COUNTIF('C121'!D15,"Lab 1")+COUNTIF('C122'!D15,"Lab 1"))&gt;0,1,0)+IF((COUNTIF('C211'!D15,"Lab 1")+COUNTIF('C212'!D15,"Lab 1"))&gt;0,1,0)+IF((COUNTIF('C311'!D15,"Lab 1")+COUNTIF('C312'!D15,"Lab 1"))&gt;0,1,0)+IF((COUNTIF('C411'!D15,"Lab 1")+COUNTIF('C412'!D15,"Lab 1"))&gt;0,1,0)+IF((COUNTIF('M111'!D15,"Lab 1")+COUNTIF('M112'!D15,"Lab 1"))&gt;0,1,0)+IF((COUNTIF('M211'!D15,"Lab 1")+COUNTIF('M212'!D15,"Lab 1"))&gt;0,1,0)+IF((COUNTIF('M311'!D15,"Lab 1"))&gt;0,1,0)+IF((COUNTIF('M411'!D15,"Lab 1"))&gt;0,1,0)+IF((COUNTIF('D111'!D15,"Lab 1")+COUNTIF('D112'!D15,"Lab 1"))&gt;0,1,0)+IF((COUNTIF('D211'!D15,"Lab 1"))&gt;0,1,0)+IF((COUNTIF('D311'!D15,"Lab 1"))&gt;0,1,0)+IF((COUNTIF('D411'!D15,"Lab 1"))&gt;0,1,0))=0,"",IF((IF((COUNTIF('C111'!D15,"Lab 1")+COUNTIF('C112'!D15,"Lab 1")+COUNTIF('C113'!D15,"Lab 1")+COUNTIF('C121'!D15,"Lab 1")+COUNTIF('C122'!D15,"Lab 1"))&gt;0,1,0)+IF((COUNTIF('C211'!D15,"Lab 1")+COUNTIF('C212'!D15,"Lab 1"))&gt;0,1,0)+IF((COUNTIF('C311'!D15,"Lab 1")+COUNTIF('C312'!D15,"Lab 1"))&gt;0,1,0)+IF((COUNTIF('C411'!D15,"Lab 1")+COUNTIF('C412'!D15,"Lab 1"))&gt;0,1,0)+IF((COUNTIF('M111'!D15,"Lab 1")+COUNTIF('M112'!D15,"Lab 1"))&gt;0,1,0)+IF((COUNTIF('M211'!D15,"Lab 1")+COUNTIF('M212'!D15,"Lab 1"))&gt;0,1,0)+IF((COUNTIF('M311'!D15,"Lab 1"))&gt;0,1,0)+IF((COUNTIF('M411'!D15,"Lab 1"))&gt;0,1,0)+IF((COUNTIF('D111'!D15,"Lab 1")+COUNTIF('D112'!D15,"Lab 1"))&gt;0,1,0)+IF((COUNTIF('D211'!D15,"Lab 1"))&gt;0,1,0)+IF((COUNTIF('D311'!D15,"Lab 1"))&gt;0,1,0)+IF((COUNTIF('D411'!D15,"Lab 1"))&gt;0,1,0))=1,IF((COUNTIF('C111'!D15,"Lab 1")+COUNTIF('C112'!D15,"Lab 1")+COUNTIF('C113'!D15,"Lab 1")+COUNTIF('C121'!D15,"Lab 1")+COUNTIF('C122'!D15,"Lab 1"))&gt;0,"C1",IF((COUNTIF('C211'!D15,"Lab 1")+COUNTIF('C212'!D15,"Lab 1"))&gt;0,"C2",IF((COUNTIF('C311'!D15,"Lab 1")+COUNTIF('C312'!D15,"Lab 1"))&gt;0,"C3",IF((COUNTIF('C411'!D15,"Lab 1")+COUNTIF('C412'!D15,"Lab 1"))&gt;0,"C4",IF((COUNTIF('M111'!D15,"Lab 1")+COUNTIF('M112'!D15,"Lab 1"))&gt;0,"M1",IF((COUNTIF('M211'!D15,"Lab 1")+COUNTIF('M212'!D15,"Lab 1"))&gt;0,"M2",IF((COUNTIF('M311'!D15,"Lab 1"))&gt;0,"M3",IF((COUNTIF('M411'!D15,"Lab 1"))&gt;0,"M4",IF((COUNTIF('D111'!D15,"Lab 1")+COUNTIF('D112'!D15,"Lab 1"))&gt;0,"D1",IF((COUNTIF('D211'!D15,"Lab 1"))&gt;0,"D2",IF((COUNTIF('D311'!D15,"Lab 1"))&gt;0,"D3",IF((COUNTIF('D411'!D15,"Lab 1"))&gt;0,"D4","")))))))))))),"MIX"))</f>
        <v/>
      </c>
    </row>
    <row r="269">
      <c r="C269">
        <f>IF((IF((COUNTIF('C111'!D15,"Lab 2")+COUNTIF('C112'!D15,"Lab 2")+COUNTIF('C113'!D15,"Lab 2")+COUNTIF('C121'!D15,"Lab 2")+COUNTIF('C122'!D15,"Lab 2"))&gt;0,1,0)+IF((COUNTIF('C211'!D15,"Lab 2")+COUNTIF('C212'!D15,"Lab 2"))&gt;0,1,0)+IF((COUNTIF('C311'!D15,"Lab 2")+COUNTIF('C312'!D15,"Lab 2"))&gt;0,1,0)+IF((COUNTIF('C411'!D15,"Lab 2")+COUNTIF('C412'!D15,"Lab 2"))&gt;0,1,0)+IF((COUNTIF('M111'!D15,"Lab 2")+COUNTIF('M112'!D15,"Lab 2"))&gt;0,1,0)+IF((COUNTIF('M211'!D15,"Lab 2")+COUNTIF('M212'!D15,"Lab 2"))&gt;0,1,0)+IF((COUNTIF('M311'!D15,"Lab 2"))&gt;0,1,0)+IF((COUNTIF('M411'!D15,"Lab 2"))&gt;0,1,0)+IF((COUNTIF('D111'!D15,"Lab 2")+COUNTIF('D112'!D15,"Lab 2"))&gt;0,1,0)+IF((COUNTIF('D211'!D15,"Lab 2"))&gt;0,1,0)+IF((COUNTIF('D311'!D15,"Lab 2"))&gt;0,1,0)+IF((COUNTIF('D411'!D15,"Lab 2"))&gt;0,1,0))=0,"",IF((IF((COUNTIF('C111'!D15,"Lab 2")+COUNTIF('C112'!D15,"Lab 2")+COUNTIF('C113'!D15,"Lab 2")+COUNTIF('C121'!D15,"Lab 2")+COUNTIF('C122'!D15,"Lab 2"))&gt;0,1,0)+IF((COUNTIF('C211'!D15,"Lab 2")+COUNTIF('C212'!D15,"Lab 2"))&gt;0,1,0)+IF((COUNTIF('C311'!D15,"Lab 2")+COUNTIF('C312'!D15,"Lab 2"))&gt;0,1,0)+IF((COUNTIF('C411'!D15,"Lab 2")+COUNTIF('C412'!D15,"Lab 2"))&gt;0,1,0)+IF((COUNTIF('M111'!D15,"Lab 2")+COUNTIF('M112'!D15,"Lab 2"))&gt;0,1,0)+IF((COUNTIF('M211'!D15,"Lab 2")+COUNTIF('M212'!D15,"Lab 2"))&gt;0,1,0)+IF((COUNTIF('M311'!D15,"Lab 2"))&gt;0,1,0)+IF((COUNTIF('M411'!D15,"Lab 2"))&gt;0,1,0)+IF((COUNTIF('D111'!D15,"Lab 2")+COUNTIF('D112'!D15,"Lab 2"))&gt;0,1,0)+IF((COUNTIF('D211'!D15,"Lab 2"))&gt;0,1,0)+IF((COUNTIF('D311'!D15,"Lab 2"))&gt;0,1,0)+IF((COUNTIF('D411'!D15,"Lab 2"))&gt;0,1,0))=1,IF((COUNTIF('C111'!D15,"Lab 2")+COUNTIF('C112'!D15,"Lab 2")+COUNTIF('C113'!D15,"Lab 2")+COUNTIF('C121'!D15,"Lab 2")+COUNTIF('C122'!D15,"Lab 2"))&gt;0,"C1",IF((COUNTIF('C211'!D15,"Lab 2")+COUNTIF('C212'!D15,"Lab 2"))&gt;0,"C2",IF((COUNTIF('C311'!D15,"Lab 2")+COUNTIF('C312'!D15,"Lab 2"))&gt;0,"C3",IF((COUNTIF('C411'!D15,"Lab 2")+COUNTIF('C412'!D15,"Lab 2"))&gt;0,"C4",IF((COUNTIF('M111'!D15,"Lab 2")+COUNTIF('M112'!D15,"Lab 2"))&gt;0,"M1",IF((COUNTIF('M211'!D15,"Lab 2")+COUNTIF('M212'!D15,"Lab 2"))&gt;0,"M2",IF((COUNTIF('M311'!D15,"Lab 2"))&gt;0,"M3",IF((COUNTIF('M411'!D15,"Lab 2"))&gt;0,"M4",IF((COUNTIF('D111'!D15,"Lab 2")+COUNTIF('D112'!D15,"Lab 2"))&gt;0,"D1",IF((COUNTIF('D211'!D15,"Lab 2"))&gt;0,"D2",IF((COUNTIF('D311'!D15,"Lab 2"))&gt;0,"D3",IF((COUNTIF('D411'!D15,"Lab 2"))&gt;0,"D4","")))))))))))),"MIX"))</f>
        <v/>
      </c>
    </row>
    <row r="270">
      <c r="C270">
        <f>IF((IF((COUNTIF('C111'!D15,"Salón")+COUNTIF('C112'!D15,"Salón")+COUNTIF('C113'!D15,"Salón")+COUNTIF('C121'!D15,"Salón")+COUNTIF('C122'!D15,"Salón"))&gt;0,1,0)+IF((COUNTIF('C211'!D15,"Salón")+COUNTIF('C212'!D15,"Salón"))&gt;0,1,0)+IF((COUNTIF('C311'!D15,"Salón")+COUNTIF('C312'!D15,"Salón"))&gt;0,1,0)+IF((COUNTIF('C411'!D15,"Salón")+COUNTIF('C412'!D15,"Salón"))&gt;0,1,0)+IF((COUNTIF('M111'!D15,"Salón")+COUNTIF('M112'!D15,"Salón"))&gt;0,1,0)+IF((COUNTIF('M211'!D15,"Salón")+COUNTIF('M212'!D15,"Salón"))&gt;0,1,0)+IF((COUNTIF('M311'!D15,"Salón"))&gt;0,1,0)+IF((COUNTIF('M411'!D15,"Salón"))&gt;0,1,0)+IF((COUNTIF('D111'!D15,"Salón")+COUNTIF('D112'!D15,"Salón"))&gt;0,1,0)+IF((COUNTIF('D211'!D15,"Salón"))&gt;0,1,0)+IF((COUNTIF('D311'!D15,"Salón"))&gt;0,1,0)+IF((COUNTIF('D411'!D15,"Salón"))&gt;0,1,0))=0,"",IF((IF((COUNTIF('C111'!D15,"Salón")+COUNTIF('C112'!D15,"Salón")+COUNTIF('C113'!D15,"Salón")+COUNTIF('C121'!D15,"Salón")+COUNTIF('C122'!D15,"Salón"))&gt;0,1,0)+IF((COUNTIF('C211'!D15,"Salón")+COUNTIF('C212'!D15,"Salón"))&gt;0,1,0)+IF((COUNTIF('C311'!D15,"Salón")+COUNTIF('C312'!D15,"Salón"))&gt;0,1,0)+IF((COUNTIF('C411'!D15,"Salón")+COUNTIF('C412'!D15,"Salón"))&gt;0,1,0)+IF((COUNTIF('M111'!D15,"Salón")+COUNTIF('M112'!D15,"Salón"))&gt;0,1,0)+IF((COUNTIF('M211'!D15,"Salón")+COUNTIF('M212'!D15,"Salón"))&gt;0,1,0)+IF((COUNTIF('M311'!D15,"Salón"))&gt;0,1,0)+IF((COUNTIF('M411'!D15,"Salón"))&gt;0,1,0)+IF((COUNTIF('D111'!D15,"Salón")+COUNTIF('D112'!D15,"Salón"))&gt;0,1,0)+IF((COUNTIF('D211'!D15,"Salón"))&gt;0,1,0)+IF((COUNTIF('D311'!D15,"Salón"))&gt;0,1,0)+IF((COUNTIF('D411'!D15,"Salón"))&gt;0,1,0))=1,IF((COUNTIF('C111'!D15,"Salón")+COUNTIF('C112'!D15,"Salón")+COUNTIF('C113'!D15,"Salón")+COUNTIF('C121'!D15,"Salón")+COUNTIF('C122'!D15,"Salón"))&gt;0,"C1",IF((COUNTIF('C211'!D15,"Salón")+COUNTIF('C212'!D15,"Salón"))&gt;0,"C2",IF((COUNTIF('C311'!D15,"Salón")+COUNTIF('C312'!D15,"Salón"))&gt;0,"C3",IF((COUNTIF('C411'!D15,"Salón")+COUNTIF('C412'!D15,"Salón"))&gt;0,"C4",IF((COUNTIF('M111'!D15,"Salón")+COUNTIF('M112'!D15,"Salón"))&gt;0,"M1",IF((COUNTIF('M211'!D15,"Salón")+COUNTIF('M212'!D15,"Salón"))&gt;0,"M2",IF((COUNTIF('M311'!D15,"Salón"))&gt;0,"M3",IF((COUNTIF('M411'!D15,"Salón"))&gt;0,"M4",IF((COUNTIF('D111'!D15,"Salón")+COUNTIF('D112'!D15,"Salón"))&gt;0,"D1",IF((COUNTIF('D211'!D15,"Salón"))&gt;0,"D2",IF((COUNTIF('D311'!D15,"Salón"))&gt;0,"D3",IF((COUNTIF('D411'!D15,"Salón"))&gt;0,"D4","")))))))))))),"MIX"))</f>
        <v/>
      </c>
    </row>
    <row r="271">
      <c r="C271">
        <f>IF((IF((COUNTIF('C111'!E5,"Aula 1")+COUNTIF('C112'!E5,"Aula 1")+COUNTIF('C113'!E5,"Aula 1")+COUNTIF('C121'!E5,"Aula 1")+COUNTIF('C122'!E5,"Aula 1"))&gt;0,1,0)+IF((COUNTIF('C211'!E5,"Aula 1")+COUNTIF('C212'!E5,"Aula 1"))&gt;0,1,0)+IF((COUNTIF('C311'!E5,"Aula 1")+COUNTIF('C312'!E5,"Aula 1"))&gt;0,1,0)+IF((COUNTIF('C411'!E5,"Aula 1")+COUNTIF('C412'!E5,"Aula 1"))&gt;0,1,0)+IF((COUNTIF('M111'!E5,"Aula 1")+COUNTIF('M112'!E5,"Aula 1"))&gt;0,1,0)+IF((COUNTIF('M211'!E5,"Aula 1")+COUNTIF('M212'!E5,"Aula 1"))&gt;0,1,0)+IF((COUNTIF('M311'!E5,"Aula 1"))&gt;0,1,0)+IF((COUNTIF('M411'!E5,"Aula 1"))&gt;0,1,0)+IF((COUNTIF('D111'!E5,"Aula 1")+COUNTIF('D112'!E5,"Aula 1"))&gt;0,1,0)+IF((COUNTIF('D211'!E5,"Aula 1"))&gt;0,1,0)+IF((COUNTIF('D311'!E5,"Aula 1"))&gt;0,1,0)+IF((COUNTIF('D411'!E5,"Aula 1"))&gt;0,1,0))=0,"",IF((IF((COUNTIF('C111'!E5,"Aula 1")+COUNTIF('C112'!E5,"Aula 1")+COUNTIF('C113'!E5,"Aula 1")+COUNTIF('C121'!E5,"Aula 1")+COUNTIF('C122'!E5,"Aula 1"))&gt;0,1,0)+IF((COUNTIF('C211'!E5,"Aula 1")+COUNTIF('C212'!E5,"Aula 1"))&gt;0,1,0)+IF((COUNTIF('C311'!E5,"Aula 1")+COUNTIF('C312'!E5,"Aula 1"))&gt;0,1,0)+IF((COUNTIF('C411'!E5,"Aula 1")+COUNTIF('C412'!E5,"Aula 1"))&gt;0,1,0)+IF((COUNTIF('M111'!E5,"Aula 1")+COUNTIF('M112'!E5,"Aula 1"))&gt;0,1,0)+IF((COUNTIF('M211'!E5,"Aula 1")+COUNTIF('M212'!E5,"Aula 1"))&gt;0,1,0)+IF((COUNTIF('M311'!E5,"Aula 1"))&gt;0,1,0)+IF((COUNTIF('M411'!E5,"Aula 1"))&gt;0,1,0)+IF((COUNTIF('D111'!E5,"Aula 1")+COUNTIF('D112'!E5,"Aula 1"))&gt;0,1,0)+IF((COUNTIF('D211'!E5,"Aula 1"))&gt;0,1,0)+IF((COUNTIF('D311'!E5,"Aula 1"))&gt;0,1,0)+IF((COUNTIF('D411'!E5,"Aula 1"))&gt;0,1,0))=1,IF((COUNTIF('C111'!E5,"Aula 1")+COUNTIF('C112'!E5,"Aula 1")+COUNTIF('C113'!E5,"Aula 1")+COUNTIF('C121'!E5,"Aula 1")+COUNTIF('C122'!E5,"Aula 1"))&gt;0,"C1",IF((COUNTIF('C211'!E5,"Aula 1")+COUNTIF('C212'!E5,"Aula 1"))&gt;0,"C2",IF((COUNTIF('C311'!E5,"Aula 1")+COUNTIF('C312'!E5,"Aula 1"))&gt;0,"C3",IF((COUNTIF('C411'!E5,"Aula 1")+COUNTIF('C412'!E5,"Aula 1"))&gt;0,"C4",IF((COUNTIF('M111'!E5,"Aula 1")+COUNTIF('M112'!E5,"Aula 1"))&gt;0,"M1",IF((COUNTIF('M211'!E5,"Aula 1")+COUNTIF('M212'!E5,"Aula 1"))&gt;0,"M2",IF((COUNTIF('M311'!E5,"Aula 1"))&gt;0,"M3",IF((COUNTIF('M411'!E5,"Aula 1"))&gt;0,"M4",IF((COUNTIF('D111'!E5,"Aula 1")+COUNTIF('D112'!E5,"Aula 1"))&gt;0,"D1",IF((COUNTIF('D211'!E5,"Aula 1"))&gt;0,"D2",IF((COUNTIF('D311'!E5,"Aula 1"))&gt;0,"D3",IF((COUNTIF('D411'!E5,"Aula 1"))&gt;0,"D4","")))))))))))),"MIX"))</f>
        <v/>
      </c>
    </row>
    <row r="272">
      <c r="C272">
        <f>IF((IF((COUNTIF('C111'!E5,"Aula 2")+COUNTIF('C112'!E5,"Aula 2")+COUNTIF('C113'!E5,"Aula 2")+COUNTIF('C121'!E5,"Aula 2")+COUNTIF('C122'!E5,"Aula 2"))&gt;0,1,0)+IF((COUNTIF('C211'!E5,"Aula 2")+COUNTIF('C212'!E5,"Aula 2"))&gt;0,1,0)+IF((COUNTIF('C311'!E5,"Aula 2")+COUNTIF('C312'!E5,"Aula 2"))&gt;0,1,0)+IF((COUNTIF('C411'!E5,"Aula 2")+COUNTIF('C412'!E5,"Aula 2"))&gt;0,1,0)+IF((COUNTIF('M111'!E5,"Aula 2")+COUNTIF('M112'!E5,"Aula 2"))&gt;0,1,0)+IF((COUNTIF('M211'!E5,"Aula 2")+COUNTIF('M212'!E5,"Aula 2"))&gt;0,1,0)+IF((COUNTIF('M311'!E5,"Aula 2"))&gt;0,1,0)+IF((COUNTIF('M411'!E5,"Aula 2"))&gt;0,1,0)+IF((COUNTIF('D111'!E5,"Aula 2")+COUNTIF('D112'!E5,"Aula 2"))&gt;0,1,0)+IF((COUNTIF('D211'!E5,"Aula 2"))&gt;0,1,0)+IF((COUNTIF('D311'!E5,"Aula 2"))&gt;0,1,0)+IF((COUNTIF('D411'!E5,"Aula 2"))&gt;0,1,0))=0,"",IF((IF((COUNTIF('C111'!E5,"Aula 2")+COUNTIF('C112'!E5,"Aula 2")+COUNTIF('C113'!E5,"Aula 2")+COUNTIF('C121'!E5,"Aula 2")+COUNTIF('C122'!E5,"Aula 2"))&gt;0,1,0)+IF((COUNTIF('C211'!E5,"Aula 2")+COUNTIF('C212'!E5,"Aula 2"))&gt;0,1,0)+IF((COUNTIF('C311'!E5,"Aula 2")+COUNTIF('C312'!E5,"Aula 2"))&gt;0,1,0)+IF((COUNTIF('C411'!E5,"Aula 2")+COUNTIF('C412'!E5,"Aula 2"))&gt;0,1,0)+IF((COUNTIF('M111'!E5,"Aula 2")+COUNTIF('M112'!E5,"Aula 2"))&gt;0,1,0)+IF((COUNTIF('M211'!E5,"Aula 2")+COUNTIF('M212'!E5,"Aula 2"))&gt;0,1,0)+IF((COUNTIF('M311'!E5,"Aula 2"))&gt;0,1,0)+IF((COUNTIF('M411'!E5,"Aula 2"))&gt;0,1,0)+IF((COUNTIF('D111'!E5,"Aula 2")+COUNTIF('D112'!E5,"Aula 2"))&gt;0,1,0)+IF((COUNTIF('D211'!E5,"Aula 2"))&gt;0,1,0)+IF((COUNTIF('D311'!E5,"Aula 2"))&gt;0,1,0)+IF((COUNTIF('D411'!E5,"Aula 2"))&gt;0,1,0))=1,IF((COUNTIF('C111'!E5,"Aula 2")+COUNTIF('C112'!E5,"Aula 2")+COUNTIF('C113'!E5,"Aula 2")+COUNTIF('C121'!E5,"Aula 2")+COUNTIF('C122'!E5,"Aula 2"))&gt;0,"C1",IF((COUNTIF('C211'!E5,"Aula 2")+COUNTIF('C212'!E5,"Aula 2"))&gt;0,"C2",IF((COUNTIF('C311'!E5,"Aula 2")+COUNTIF('C312'!E5,"Aula 2"))&gt;0,"C3",IF((COUNTIF('C411'!E5,"Aula 2")+COUNTIF('C412'!E5,"Aula 2"))&gt;0,"C4",IF((COUNTIF('M111'!E5,"Aula 2")+COUNTIF('M112'!E5,"Aula 2"))&gt;0,"M1",IF((COUNTIF('M211'!E5,"Aula 2")+COUNTIF('M212'!E5,"Aula 2"))&gt;0,"M2",IF((COUNTIF('M311'!E5,"Aula 2"))&gt;0,"M3",IF((COUNTIF('M411'!E5,"Aula 2"))&gt;0,"M4",IF((COUNTIF('D111'!E5,"Aula 2")+COUNTIF('D112'!E5,"Aula 2"))&gt;0,"D1",IF((COUNTIF('D211'!E5,"Aula 2"))&gt;0,"D2",IF((COUNTIF('D311'!E5,"Aula 2"))&gt;0,"D3",IF((COUNTIF('D411'!E5,"Aula 2"))&gt;0,"D4","")))))))))))),"MIX"))</f>
        <v/>
      </c>
    </row>
    <row r="273">
      <c r="C273">
        <f>IF((IF((COUNTIF('C111'!E5,"Aula 3")+COUNTIF('C112'!E5,"Aula 3")+COUNTIF('C113'!E5,"Aula 3")+COUNTIF('C121'!E5,"Aula 3")+COUNTIF('C122'!E5,"Aula 3"))&gt;0,1,0)+IF((COUNTIF('C211'!E5,"Aula 3")+COUNTIF('C212'!E5,"Aula 3"))&gt;0,1,0)+IF((COUNTIF('C311'!E5,"Aula 3")+COUNTIF('C312'!E5,"Aula 3"))&gt;0,1,0)+IF((COUNTIF('C411'!E5,"Aula 3")+COUNTIF('C412'!E5,"Aula 3"))&gt;0,1,0)+IF((COUNTIF('M111'!E5,"Aula 3")+COUNTIF('M112'!E5,"Aula 3"))&gt;0,1,0)+IF((COUNTIF('M211'!E5,"Aula 3")+COUNTIF('M212'!E5,"Aula 3"))&gt;0,1,0)+IF((COUNTIF('M311'!E5,"Aula 3"))&gt;0,1,0)+IF((COUNTIF('M411'!E5,"Aula 3"))&gt;0,1,0)+IF((COUNTIF('D111'!E5,"Aula 3")+COUNTIF('D112'!E5,"Aula 3"))&gt;0,1,0)+IF((COUNTIF('D211'!E5,"Aula 3"))&gt;0,1,0)+IF((COUNTIF('D311'!E5,"Aula 3"))&gt;0,1,0)+IF((COUNTIF('D411'!E5,"Aula 3"))&gt;0,1,0))=0,"",IF((IF((COUNTIF('C111'!E5,"Aula 3")+COUNTIF('C112'!E5,"Aula 3")+COUNTIF('C113'!E5,"Aula 3")+COUNTIF('C121'!E5,"Aula 3")+COUNTIF('C122'!E5,"Aula 3"))&gt;0,1,0)+IF((COUNTIF('C211'!E5,"Aula 3")+COUNTIF('C212'!E5,"Aula 3"))&gt;0,1,0)+IF((COUNTIF('C311'!E5,"Aula 3")+COUNTIF('C312'!E5,"Aula 3"))&gt;0,1,0)+IF((COUNTIF('C411'!E5,"Aula 3")+COUNTIF('C412'!E5,"Aula 3"))&gt;0,1,0)+IF((COUNTIF('M111'!E5,"Aula 3")+COUNTIF('M112'!E5,"Aula 3"))&gt;0,1,0)+IF((COUNTIF('M211'!E5,"Aula 3")+COUNTIF('M212'!E5,"Aula 3"))&gt;0,1,0)+IF((COUNTIF('M311'!E5,"Aula 3"))&gt;0,1,0)+IF((COUNTIF('M411'!E5,"Aula 3"))&gt;0,1,0)+IF((COUNTIF('D111'!E5,"Aula 3")+COUNTIF('D112'!E5,"Aula 3"))&gt;0,1,0)+IF((COUNTIF('D211'!E5,"Aula 3"))&gt;0,1,0)+IF((COUNTIF('D311'!E5,"Aula 3"))&gt;0,1,0)+IF((COUNTIF('D411'!E5,"Aula 3"))&gt;0,1,0))=1,IF((COUNTIF('C111'!E5,"Aula 3")+COUNTIF('C112'!E5,"Aula 3")+COUNTIF('C113'!E5,"Aula 3")+COUNTIF('C121'!E5,"Aula 3")+COUNTIF('C122'!E5,"Aula 3"))&gt;0,"C1",IF((COUNTIF('C211'!E5,"Aula 3")+COUNTIF('C212'!E5,"Aula 3"))&gt;0,"C2",IF((COUNTIF('C311'!E5,"Aula 3")+COUNTIF('C312'!E5,"Aula 3"))&gt;0,"C3",IF((COUNTIF('C411'!E5,"Aula 3")+COUNTIF('C412'!E5,"Aula 3"))&gt;0,"C4",IF((COUNTIF('M111'!E5,"Aula 3")+COUNTIF('M112'!E5,"Aula 3"))&gt;0,"M1",IF((COUNTIF('M211'!E5,"Aula 3")+COUNTIF('M212'!E5,"Aula 3"))&gt;0,"M2",IF((COUNTIF('M311'!E5,"Aula 3"))&gt;0,"M3",IF((COUNTIF('M411'!E5,"Aula 3"))&gt;0,"M4",IF((COUNTIF('D111'!E5,"Aula 3")+COUNTIF('D112'!E5,"Aula 3"))&gt;0,"D1",IF((COUNTIF('D211'!E5,"Aula 3"))&gt;0,"D2",IF((COUNTIF('D311'!E5,"Aula 3"))&gt;0,"D3",IF((COUNTIF('D411'!E5,"Aula 3"))&gt;0,"D4","")))))))))))),"MIX"))</f>
        <v/>
      </c>
    </row>
    <row r="274">
      <c r="C274">
        <f>IF((IF((COUNTIF('C111'!E5,"Aula 4")+COUNTIF('C112'!E5,"Aula 4")+COUNTIF('C113'!E5,"Aula 4")+COUNTIF('C121'!E5,"Aula 4")+COUNTIF('C122'!E5,"Aula 4"))&gt;0,1,0)+IF((COUNTIF('C211'!E5,"Aula 4")+COUNTIF('C212'!E5,"Aula 4"))&gt;0,1,0)+IF((COUNTIF('C311'!E5,"Aula 4")+COUNTIF('C312'!E5,"Aula 4"))&gt;0,1,0)+IF((COUNTIF('C411'!E5,"Aula 4")+COUNTIF('C412'!E5,"Aula 4"))&gt;0,1,0)+IF((COUNTIF('M111'!E5,"Aula 4")+COUNTIF('M112'!E5,"Aula 4"))&gt;0,1,0)+IF((COUNTIF('M211'!E5,"Aula 4")+COUNTIF('M212'!E5,"Aula 4"))&gt;0,1,0)+IF((COUNTIF('M311'!E5,"Aula 4"))&gt;0,1,0)+IF((COUNTIF('M411'!E5,"Aula 4"))&gt;0,1,0)+IF((COUNTIF('D111'!E5,"Aula 4")+COUNTIF('D112'!E5,"Aula 4"))&gt;0,1,0)+IF((COUNTIF('D211'!E5,"Aula 4"))&gt;0,1,0)+IF((COUNTIF('D311'!E5,"Aula 4"))&gt;0,1,0)+IF((COUNTIF('D411'!E5,"Aula 4"))&gt;0,1,0))=0,"",IF((IF((COUNTIF('C111'!E5,"Aula 4")+COUNTIF('C112'!E5,"Aula 4")+COUNTIF('C113'!E5,"Aula 4")+COUNTIF('C121'!E5,"Aula 4")+COUNTIF('C122'!E5,"Aula 4"))&gt;0,1,0)+IF((COUNTIF('C211'!E5,"Aula 4")+COUNTIF('C212'!E5,"Aula 4"))&gt;0,1,0)+IF((COUNTIF('C311'!E5,"Aula 4")+COUNTIF('C312'!E5,"Aula 4"))&gt;0,1,0)+IF((COUNTIF('C411'!E5,"Aula 4")+COUNTIF('C412'!E5,"Aula 4"))&gt;0,1,0)+IF((COUNTIF('M111'!E5,"Aula 4")+COUNTIF('M112'!E5,"Aula 4"))&gt;0,1,0)+IF((COUNTIF('M211'!E5,"Aula 4")+COUNTIF('M212'!E5,"Aula 4"))&gt;0,1,0)+IF((COUNTIF('M311'!E5,"Aula 4"))&gt;0,1,0)+IF((COUNTIF('M411'!E5,"Aula 4"))&gt;0,1,0)+IF((COUNTIF('D111'!E5,"Aula 4")+COUNTIF('D112'!E5,"Aula 4"))&gt;0,1,0)+IF((COUNTIF('D211'!E5,"Aula 4"))&gt;0,1,0)+IF((COUNTIF('D311'!E5,"Aula 4"))&gt;0,1,0)+IF((COUNTIF('D411'!E5,"Aula 4"))&gt;0,1,0))=1,IF((COUNTIF('C111'!E5,"Aula 4")+COUNTIF('C112'!E5,"Aula 4")+COUNTIF('C113'!E5,"Aula 4")+COUNTIF('C121'!E5,"Aula 4")+COUNTIF('C122'!E5,"Aula 4"))&gt;0,"C1",IF((COUNTIF('C211'!E5,"Aula 4")+COUNTIF('C212'!E5,"Aula 4"))&gt;0,"C2",IF((COUNTIF('C311'!E5,"Aula 4")+COUNTIF('C312'!E5,"Aula 4"))&gt;0,"C3",IF((COUNTIF('C411'!E5,"Aula 4")+COUNTIF('C412'!E5,"Aula 4"))&gt;0,"C4",IF((COUNTIF('M111'!E5,"Aula 4")+COUNTIF('M112'!E5,"Aula 4"))&gt;0,"M1",IF((COUNTIF('M211'!E5,"Aula 4")+COUNTIF('M212'!E5,"Aula 4"))&gt;0,"M2",IF((COUNTIF('M311'!E5,"Aula 4"))&gt;0,"M3",IF((COUNTIF('M411'!E5,"Aula 4"))&gt;0,"M4",IF((COUNTIF('D111'!E5,"Aula 4")+COUNTIF('D112'!E5,"Aula 4"))&gt;0,"D1",IF((COUNTIF('D211'!E5,"Aula 4"))&gt;0,"D2",IF((COUNTIF('D311'!E5,"Aula 4"))&gt;0,"D3",IF((COUNTIF('D411'!E5,"Aula 4"))&gt;0,"D4","")))))))))))),"MIX"))</f>
        <v/>
      </c>
    </row>
    <row r="275">
      <c r="C275">
        <f>IF((IF((COUNTIF('C111'!E5,"Aula 5")+COUNTIF('C112'!E5,"Aula 5")+COUNTIF('C113'!E5,"Aula 5")+COUNTIF('C121'!E5,"Aula 5")+COUNTIF('C122'!E5,"Aula 5"))&gt;0,1,0)+IF((COUNTIF('C211'!E5,"Aula 5")+COUNTIF('C212'!E5,"Aula 5"))&gt;0,1,0)+IF((COUNTIF('C311'!E5,"Aula 5")+COUNTIF('C312'!E5,"Aula 5"))&gt;0,1,0)+IF((COUNTIF('C411'!E5,"Aula 5")+COUNTIF('C412'!E5,"Aula 5"))&gt;0,1,0)+IF((COUNTIF('M111'!E5,"Aula 5")+COUNTIF('M112'!E5,"Aula 5"))&gt;0,1,0)+IF((COUNTIF('M211'!E5,"Aula 5")+COUNTIF('M212'!E5,"Aula 5"))&gt;0,1,0)+IF((COUNTIF('M311'!E5,"Aula 5"))&gt;0,1,0)+IF((COUNTIF('M411'!E5,"Aula 5"))&gt;0,1,0)+IF((COUNTIF('D111'!E5,"Aula 5")+COUNTIF('D112'!E5,"Aula 5"))&gt;0,1,0)+IF((COUNTIF('D211'!E5,"Aula 5"))&gt;0,1,0)+IF((COUNTIF('D311'!E5,"Aula 5"))&gt;0,1,0)+IF((COUNTIF('D411'!E5,"Aula 5"))&gt;0,1,0))=0,"",IF((IF((COUNTIF('C111'!E5,"Aula 5")+COUNTIF('C112'!E5,"Aula 5")+COUNTIF('C113'!E5,"Aula 5")+COUNTIF('C121'!E5,"Aula 5")+COUNTIF('C122'!E5,"Aula 5"))&gt;0,1,0)+IF((COUNTIF('C211'!E5,"Aula 5")+COUNTIF('C212'!E5,"Aula 5"))&gt;0,1,0)+IF((COUNTIF('C311'!E5,"Aula 5")+COUNTIF('C312'!E5,"Aula 5"))&gt;0,1,0)+IF((COUNTIF('C411'!E5,"Aula 5")+COUNTIF('C412'!E5,"Aula 5"))&gt;0,1,0)+IF((COUNTIF('M111'!E5,"Aula 5")+COUNTIF('M112'!E5,"Aula 5"))&gt;0,1,0)+IF((COUNTIF('M211'!E5,"Aula 5")+COUNTIF('M212'!E5,"Aula 5"))&gt;0,1,0)+IF((COUNTIF('M311'!E5,"Aula 5"))&gt;0,1,0)+IF((COUNTIF('M411'!E5,"Aula 5"))&gt;0,1,0)+IF((COUNTIF('D111'!E5,"Aula 5")+COUNTIF('D112'!E5,"Aula 5"))&gt;0,1,0)+IF((COUNTIF('D211'!E5,"Aula 5"))&gt;0,1,0)+IF((COUNTIF('D311'!E5,"Aula 5"))&gt;0,1,0)+IF((COUNTIF('D411'!E5,"Aula 5"))&gt;0,1,0))=1,IF((COUNTIF('C111'!E5,"Aula 5")+COUNTIF('C112'!E5,"Aula 5")+COUNTIF('C113'!E5,"Aula 5")+COUNTIF('C121'!E5,"Aula 5")+COUNTIF('C122'!E5,"Aula 5"))&gt;0,"C1",IF((COUNTIF('C211'!E5,"Aula 5")+COUNTIF('C212'!E5,"Aula 5"))&gt;0,"C2",IF((COUNTIF('C311'!E5,"Aula 5")+COUNTIF('C312'!E5,"Aula 5"))&gt;0,"C3",IF((COUNTIF('C411'!E5,"Aula 5")+COUNTIF('C412'!E5,"Aula 5"))&gt;0,"C4",IF((COUNTIF('M111'!E5,"Aula 5")+COUNTIF('M112'!E5,"Aula 5"))&gt;0,"M1",IF((COUNTIF('M211'!E5,"Aula 5")+COUNTIF('M212'!E5,"Aula 5"))&gt;0,"M2",IF((COUNTIF('M311'!E5,"Aula 5"))&gt;0,"M3",IF((COUNTIF('M411'!E5,"Aula 5"))&gt;0,"M4",IF((COUNTIF('D111'!E5,"Aula 5")+COUNTIF('D112'!E5,"Aula 5"))&gt;0,"D1",IF((COUNTIF('D211'!E5,"Aula 5"))&gt;0,"D2",IF((COUNTIF('D311'!E5,"Aula 5"))&gt;0,"D3",IF((COUNTIF('D411'!E5,"Aula 5"))&gt;0,"D4","")))))))))))),"MIX"))</f>
        <v/>
      </c>
    </row>
    <row r="276">
      <c r="C276">
        <f>IF((IF((COUNTIF('C111'!E5,"Aula 6")+COUNTIF('C112'!E5,"Aula 6")+COUNTIF('C113'!E5,"Aula 6")+COUNTIF('C121'!E5,"Aula 6")+COUNTIF('C122'!E5,"Aula 6"))&gt;0,1,0)+IF((COUNTIF('C211'!E5,"Aula 6")+COUNTIF('C212'!E5,"Aula 6"))&gt;0,1,0)+IF((COUNTIF('C311'!E5,"Aula 6")+COUNTIF('C312'!E5,"Aula 6"))&gt;0,1,0)+IF((COUNTIF('C411'!E5,"Aula 6")+COUNTIF('C412'!E5,"Aula 6"))&gt;0,1,0)+IF((COUNTIF('M111'!E5,"Aula 6")+COUNTIF('M112'!E5,"Aula 6"))&gt;0,1,0)+IF((COUNTIF('M211'!E5,"Aula 6")+COUNTIF('M212'!E5,"Aula 6"))&gt;0,1,0)+IF((COUNTIF('M311'!E5,"Aula 6"))&gt;0,1,0)+IF((COUNTIF('M411'!E5,"Aula 6"))&gt;0,1,0)+IF((COUNTIF('D111'!E5,"Aula 6")+COUNTIF('D112'!E5,"Aula 6"))&gt;0,1,0)+IF((COUNTIF('D211'!E5,"Aula 6"))&gt;0,1,0)+IF((COUNTIF('D311'!E5,"Aula 6"))&gt;0,1,0)+IF((COUNTIF('D411'!E5,"Aula 6"))&gt;0,1,0))=0,"",IF((IF((COUNTIF('C111'!E5,"Aula 6")+COUNTIF('C112'!E5,"Aula 6")+COUNTIF('C113'!E5,"Aula 6")+COUNTIF('C121'!E5,"Aula 6")+COUNTIF('C122'!E5,"Aula 6"))&gt;0,1,0)+IF((COUNTIF('C211'!E5,"Aula 6")+COUNTIF('C212'!E5,"Aula 6"))&gt;0,1,0)+IF((COUNTIF('C311'!E5,"Aula 6")+COUNTIF('C312'!E5,"Aula 6"))&gt;0,1,0)+IF((COUNTIF('C411'!E5,"Aula 6")+COUNTIF('C412'!E5,"Aula 6"))&gt;0,1,0)+IF((COUNTIF('M111'!E5,"Aula 6")+COUNTIF('M112'!E5,"Aula 6"))&gt;0,1,0)+IF((COUNTIF('M211'!E5,"Aula 6")+COUNTIF('M212'!E5,"Aula 6"))&gt;0,1,0)+IF((COUNTIF('M311'!E5,"Aula 6"))&gt;0,1,0)+IF((COUNTIF('M411'!E5,"Aula 6"))&gt;0,1,0)+IF((COUNTIF('D111'!E5,"Aula 6")+COUNTIF('D112'!E5,"Aula 6"))&gt;0,1,0)+IF((COUNTIF('D211'!E5,"Aula 6"))&gt;0,1,0)+IF((COUNTIF('D311'!E5,"Aula 6"))&gt;0,1,0)+IF((COUNTIF('D411'!E5,"Aula 6"))&gt;0,1,0))=1,IF((COUNTIF('C111'!E5,"Aula 6")+COUNTIF('C112'!E5,"Aula 6")+COUNTIF('C113'!E5,"Aula 6")+COUNTIF('C121'!E5,"Aula 6")+COUNTIF('C122'!E5,"Aula 6"))&gt;0,"C1",IF((COUNTIF('C211'!E5,"Aula 6")+COUNTIF('C212'!E5,"Aula 6"))&gt;0,"C2",IF((COUNTIF('C311'!E5,"Aula 6")+COUNTIF('C312'!E5,"Aula 6"))&gt;0,"C3",IF((COUNTIF('C411'!E5,"Aula 6")+COUNTIF('C412'!E5,"Aula 6"))&gt;0,"C4",IF((COUNTIF('M111'!E5,"Aula 6")+COUNTIF('M112'!E5,"Aula 6"))&gt;0,"M1",IF((COUNTIF('M211'!E5,"Aula 6")+COUNTIF('M212'!E5,"Aula 6"))&gt;0,"M2",IF((COUNTIF('M311'!E5,"Aula 6"))&gt;0,"M3",IF((COUNTIF('M411'!E5,"Aula 6"))&gt;0,"M4",IF((COUNTIF('D111'!E5,"Aula 6")+COUNTIF('D112'!E5,"Aula 6"))&gt;0,"D1",IF((COUNTIF('D211'!E5,"Aula 6"))&gt;0,"D2",IF((COUNTIF('D311'!E5,"Aula 6"))&gt;0,"D3",IF((COUNTIF('D411'!E5,"Aula 6"))&gt;0,"D4","")))))))))))),"MIX"))</f>
        <v/>
      </c>
    </row>
    <row r="277">
      <c r="C277">
        <f>IF((IF((COUNTIF('C111'!E5,"Aula 7")+COUNTIF('C112'!E5,"Aula 7")+COUNTIF('C113'!E5,"Aula 7")+COUNTIF('C121'!E5,"Aula 7")+COUNTIF('C122'!E5,"Aula 7"))&gt;0,1,0)+IF((COUNTIF('C211'!E5,"Aula 7")+COUNTIF('C212'!E5,"Aula 7"))&gt;0,1,0)+IF((COUNTIF('C311'!E5,"Aula 7")+COUNTIF('C312'!E5,"Aula 7"))&gt;0,1,0)+IF((COUNTIF('C411'!E5,"Aula 7")+COUNTIF('C412'!E5,"Aula 7"))&gt;0,1,0)+IF((COUNTIF('M111'!E5,"Aula 7")+COUNTIF('M112'!E5,"Aula 7"))&gt;0,1,0)+IF((COUNTIF('M211'!E5,"Aula 7")+COUNTIF('M212'!E5,"Aula 7"))&gt;0,1,0)+IF((COUNTIF('M311'!E5,"Aula 7"))&gt;0,1,0)+IF((COUNTIF('M411'!E5,"Aula 7"))&gt;0,1,0)+IF((COUNTIF('D111'!E5,"Aula 7")+COUNTIF('D112'!E5,"Aula 7"))&gt;0,1,0)+IF((COUNTIF('D211'!E5,"Aula 7"))&gt;0,1,0)+IF((COUNTIF('D311'!E5,"Aula 7"))&gt;0,1,0)+IF((COUNTIF('D411'!E5,"Aula 7"))&gt;0,1,0))=0,"",IF((IF((COUNTIF('C111'!E5,"Aula 7")+COUNTIF('C112'!E5,"Aula 7")+COUNTIF('C113'!E5,"Aula 7")+COUNTIF('C121'!E5,"Aula 7")+COUNTIF('C122'!E5,"Aula 7"))&gt;0,1,0)+IF((COUNTIF('C211'!E5,"Aula 7")+COUNTIF('C212'!E5,"Aula 7"))&gt;0,1,0)+IF((COUNTIF('C311'!E5,"Aula 7")+COUNTIF('C312'!E5,"Aula 7"))&gt;0,1,0)+IF((COUNTIF('C411'!E5,"Aula 7")+COUNTIF('C412'!E5,"Aula 7"))&gt;0,1,0)+IF((COUNTIF('M111'!E5,"Aula 7")+COUNTIF('M112'!E5,"Aula 7"))&gt;0,1,0)+IF((COUNTIF('M211'!E5,"Aula 7")+COUNTIF('M212'!E5,"Aula 7"))&gt;0,1,0)+IF((COUNTIF('M311'!E5,"Aula 7"))&gt;0,1,0)+IF((COUNTIF('M411'!E5,"Aula 7"))&gt;0,1,0)+IF((COUNTIF('D111'!E5,"Aula 7")+COUNTIF('D112'!E5,"Aula 7"))&gt;0,1,0)+IF((COUNTIF('D211'!E5,"Aula 7"))&gt;0,1,0)+IF((COUNTIF('D311'!E5,"Aula 7"))&gt;0,1,0)+IF((COUNTIF('D411'!E5,"Aula 7"))&gt;0,1,0))=1,IF((COUNTIF('C111'!E5,"Aula 7")+COUNTIF('C112'!E5,"Aula 7")+COUNTIF('C113'!E5,"Aula 7")+COUNTIF('C121'!E5,"Aula 7")+COUNTIF('C122'!E5,"Aula 7"))&gt;0,"C1",IF((COUNTIF('C211'!E5,"Aula 7")+COUNTIF('C212'!E5,"Aula 7"))&gt;0,"C2",IF((COUNTIF('C311'!E5,"Aula 7")+COUNTIF('C312'!E5,"Aula 7"))&gt;0,"C3",IF((COUNTIF('C411'!E5,"Aula 7")+COUNTIF('C412'!E5,"Aula 7"))&gt;0,"C4",IF((COUNTIF('M111'!E5,"Aula 7")+COUNTIF('M112'!E5,"Aula 7"))&gt;0,"M1",IF((COUNTIF('M211'!E5,"Aula 7")+COUNTIF('M212'!E5,"Aula 7"))&gt;0,"M2",IF((COUNTIF('M311'!E5,"Aula 7"))&gt;0,"M3",IF((COUNTIF('M411'!E5,"Aula 7"))&gt;0,"M4",IF((COUNTIF('D111'!E5,"Aula 7")+COUNTIF('D112'!E5,"Aula 7"))&gt;0,"D1",IF((COUNTIF('D211'!E5,"Aula 7"))&gt;0,"D2",IF((COUNTIF('D311'!E5,"Aula 7"))&gt;0,"D3",IF((COUNTIF('D411'!E5,"Aula 7"))&gt;0,"D4","")))))))))))),"MIX"))</f>
        <v/>
      </c>
    </row>
    <row r="278">
      <c r="C278">
        <f>IF((IF((COUNTIF('C111'!E5,"Aula 8")+COUNTIF('C112'!E5,"Aula 8")+COUNTIF('C113'!E5,"Aula 8")+COUNTIF('C121'!E5,"Aula 8")+COUNTIF('C122'!E5,"Aula 8"))&gt;0,1,0)+IF((COUNTIF('C211'!E5,"Aula 8")+COUNTIF('C212'!E5,"Aula 8"))&gt;0,1,0)+IF((COUNTIF('C311'!E5,"Aula 8")+COUNTIF('C312'!E5,"Aula 8"))&gt;0,1,0)+IF((COUNTIF('C411'!E5,"Aula 8")+COUNTIF('C412'!E5,"Aula 8"))&gt;0,1,0)+IF((COUNTIF('M111'!E5,"Aula 8")+COUNTIF('M112'!E5,"Aula 8"))&gt;0,1,0)+IF((COUNTIF('M211'!E5,"Aula 8")+COUNTIF('M212'!E5,"Aula 8"))&gt;0,1,0)+IF((COUNTIF('M311'!E5,"Aula 8"))&gt;0,1,0)+IF((COUNTIF('M411'!E5,"Aula 8"))&gt;0,1,0)+IF((COUNTIF('D111'!E5,"Aula 8")+COUNTIF('D112'!E5,"Aula 8"))&gt;0,1,0)+IF((COUNTIF('D211'!E5,"Aula 8"))&gt;0,1,0)+IF((COUNTIF('D311'!E5,"Aula 8"))&gt;0,1,0)+IF((COUNTIF('D411'!E5,"Aula 8"))&gt;0,1,0))=0,"",IF((IF((COUNTIF('C111'!E5,"Aula 8")+COUNTIF('C112'!E5,"Aula 8")+COUNTIF('C113'!E5,"Aula 8")+COUNTIF('C121'!E5,"Aula 8")+COUNTIF('C122'!E5,"Aula 8"))&gt;0,1,0)+IF((COUNTIF('C211'!E5,"Aula 8")+COUNTIF('C212'!E5,"Aula 8"))&gt;0,1,0)+IF((COUNTIF('C311'!E5,"Aula 8")+COUNTIF('C312'!E5,"Aula 8"))&gt;0,1,0)+IF((COUNTIF('C411'!E5,"Aula 8")+COUNTIF('C412'!E5,"Aula 8"))&gt;0,1,0)+IF((COUNTIF('M111'!E5,"Aula 8")+COUNTIF('M112'!E5,"Aula 8"))&gt;0,1,0)+IF((COUNTIF('M211'!E5,"Aula 8")+COUNTIF('M212'!E5,"Aula 8"))&gt;0,1,0)+IF((COUNTIF('M311'!E5,"Aula 8"))&gt;0,1,0)+IF((COUNTIF('M411'!E5,"Aula 8"))&gt;0,1,0)+IF((COUNTIF('D111'!E5,"Aula 8")+COUNTIF('D112'!E5,"Aula 8"))&gt;0,1,0)+IF((COUNTIF('D211'!E5,"Aula 8"))&gt;0,1,0)+IF((COUNTIF('D311'!E5,"Aula 8"))&gt;0,1,0)+IF((COUNTIF('D411'!E5,"Aula 8"))&gt;0,1,0))=1,IF((COUNTIF('C111'!E5,"Aula 8")+COUNTIF('C112'!E5,"Aula 8")+COUNTIF('C113'!E5,"Aula 8")+COUNTIF('C121'!E5,"Aula 8")+COUNTIF('C122'!E5,"Aula 8"))&gt;0,"C1",IF((COUNTIF('C211'!E5,"Aula 8")+COUNTIF('C212'!E5,"Aula 8"))&gt;0,"C2",IF((COUNTIF('C311'!E5,"Aula 8")+COUNTIF('C312'!E5,"Aula 8"))&gt;0,"C3",IF((COUNTIF('C411'!E5,"Aula 8")+COUNTIF('C412'!E5,"Aula 8"))&gt;0,"C4",IF((COUNTIF('M111'!E5,"Aula 8")+COUNTIF('M112'!E5,"Aula 8"))&gt;0,"M1",IF((COUNTIF('M211'!E5,"Aula 8")+COUNTIF('M212'!E5,"Aula 8"))&gt;0,"M2",IF((COUNTIF('M311'!E5,"Aula 8"))&gt;0,"M3",IF((COUNTIF('M411'!E5,"Aula 8"))&gt;0,"M4",IF((COUNTIF('D111'!E5,"Aula 8")+COUNTIF('D112'!E5,"Aula 8"))&gt;0,"D1",IF((COUNTIF('D211'!E5,"Aula 8"))&gt;0,"D2",IF((COUNTIF('D311'!E5,"Aula 8"))&gt;0,"D3",IF((COUNTIF('D411'!E5,"Aula 8"))&gt;0,"D4","")))))))))))),"MIX"))</f>
        <v/>
      </c>
    </row>
    <row r="279">
      <c r="C279">
        <f>IF((IF((COUNTIF('C111'!E5,"Aula 9")+COUNTIF('C112'!E5,"Aula 9")+COUNTIF('C113'!E5,"Aula 9")+COUNTIF('C121'!E5,"Aula 9")+COUNTIF('C122'!E5,"Aula 9"))&gt;0,1,0)+IF((COUNTIF('C211'!E5,"Aula 9")+COUNTIF('C212'!E5,"Aula 9"))&gt;0,1,0)+IF((COUNTIF('C311'!E5,"Aula 9")+COUNTIF('C312'!E5,"Aula 9"))&gt;0,1,0)+IF((COUNTIF('C411'!E5,"Aula 9")+COUNTIF('C412'!E5,"Aula 9"))&gt;0,1,0)+IF((COUNTIF('M111'!E5,"Aula 9")+COUNTIF('M112'!E5,"Aula 9"))&gt;0,1,0)+IF((COUNTIF('M211'!E5,"Aula 9")+COUNTIF('M212'!E5,"Aula 9"))&gt;0,1,0)+IF((COUNTIF('M311'!E5,"Aula 9"))&gt;0,1,0)+IF((COUNTIF('M411'!E5,"Aula 9"))&gt;0,1,0)+IF((COUNTIF('D111'!E5,"Aula 9")+COUNTIF('D112'!E5,"Aula 9"))&gt;0,1,0)+IF((COUNTIF('D211'!E5,"Aula 9"))&gt;0,1,0)+IF((COUNTIF('D311'!E5,"Aula 9"))&gt;0,1,0)+IF((COUNTIF('D411'!E5,"Aula 9"))&gt;0,1,0))=0,"",IF((IF((COUNTIF('C111'!E5,"Aula 9")+COUNTIF('C112'!E5,"Aula 9")+COUNTIF('C113'!E5,"Aula 9")+COUNTIF('C121'!E5,"Aula 9")+COUNTIF('C122'!E5,"Aula 9"))&gt;0,1,0)+IF((COUNTIF('C211'!E5,"Aula 9")+COUNTIF('C212'!E5,"Aula 9"))&gt;0,1,0)+IF((COUNTIF('C311'!E5,"Aula 9")+COUNTIF('C312'!E5,"Aula 9"))&gt;0,1,0)+IF((COUNTIF('C411'!E5,"Aula 9")+COUNTIF('C412'!E5,"Aula 9"))&gt;0,1,0)+IF((COUNTIF('M111'!E5,"Aula 9")+COUNTIF('M112'!E5,"Aula 9"))&gt;0,1,0)+IF((COUNTIF('M211'!E5,"Aula 9")+COUNTIF('M212'!E5,"Aula 9"))&gt;0,1,0)+IF((COUNTIF('M311'!E5,"Aula 9"))&gt;0,1,0)+IF((COUNTIF('M411'!E5,"Aula 9"))&gt;0,1,0)+IF((COUNTIF('D111'!E5,"Aula 9")+COUNTIF('D112'!E5,"Aula 9"))&gt;0,1,0)+IF((COUNTIF('D211'!E5,"Aula 9"))&gt;0,1,0)+IF((COUNTIF('D311'!E5,"Aula 9"))&gt;0,1,0)+IF((COUNTIF('D411'!E5,"Aula 9"))&gt;0,1,0))=1,IF((COUNTIF('C111'!E5,"Aula 9")+COUNTIF('C112'!E5,"Aula 9")+COUNTIF('C113'!E5,"Aula 9")+COUNTIF('C121'!E5,"Aula 9")+COUNTIF('C122'!E5,"Aula 9"))&gt;0,"C1",IF((COUNTIF('C211'!E5,"Aula 9")+COUNTIF('C212'!E5,"Aula 9"))&gt;0,"C2",IF((COUNTIF('C311'!E5,"Aula 9")+COUNTIF('C312'!E5,"Aula 9"))&gt;0,"C3",IF((COUNTIF('C411'!E5,"Aula 9")+COUNTIF('C412'!E5,"Aula 9"))&gt;0,"C4",IF((COUNTIF('M111'!E5,"Aula 9")+COUNTIF('M112'!E5,"Aula 9"))&gt;0,"M1",IF((COUNTIF('M211'!E5,"Aula 9")+COUNTIF('M212'!E5,"Aula 9"))&gt;0,"M2",IF((COUNTIF('M311'!E5,"Aula 9"))&gt;0,"M3",IF((COUNTIF('M411'!E5,"Aula 9"))&gt;0,"M4",IF((COUNTIF('D111'!E5,"Aula 9")+COUNTIF('D112'!E5,"Aula 9"))&gt;0,"D1",IF((COUNTIF('D211'!E5,"Aula 9"))&gt;0,"D2",IF((COUNTIF('D311'!E5,"Aula 9"))&gt;0,"D3",IF((COUNTIF('D411'!E5,"Aula 9"))&gt;0,"D4","")))))))))))),"MIX"))</f>
        <v/>
      </c>
    </row>
    <row r="280">
      <c r="C280">
        <f>IF((IF((COUNTIF('C111'!E5,"Aula 10")+COUNTIF('C112'!E5,"Aula 10")+COUNTIF('C113'!E5,"Aula 10")+COUNTIF('C121'!E5,"Aula 10")+COUNTIF('C122'!E5,"Aula 10"))&gt;0,1,0)+IF((COUNTIF('C211'!E5,"Aula 10")+COUNTIF('C212'!E5,"Aula 10"))&gt;0,1,0)+IF((COUNTIF('C311'!E5,"Aula 10")+COUNTIF('C312'!E5,"Aula 10"))&gt;0,1,0)+IF((COUNTIF('C411'!E5,"Aula 10")+COUNTIF('C412'!E5,"Aula 10"))&gt;0,1,0)+IF((COUNTIF('M111'!E5,"Aula 10")+COUNTIF('M112'!E5,"Aula 10"))&gt;0,1,0)+IF((COUNTIF('M211'!E5,"Aula 10")+COUNTIF('M212'!E5,"Aula 10"))&gt;0,1,0)+IF((COUNTIF('M311'!E5,"Aula 10"))&gt;0,1,0)+IF((COUNTIF('M411'!E5,"Aula 10"))&gt;0,1,0)+IF((COUNTIF('D111'!E5,"Aula 10")+COUNTIF('D112'!E5,"Aula 10"))&gt;0,1,0)+IF((COUNTIF('D211'!E5,"Aula 10"))&gt;0,1,0)+IF((COUNTIF('D311'!E5,"Aula 10"))&gt;0,1,0)+IF((COUNTIF('D411'!E5,"Aula 10"))&gt;0,1,0))=0,"",IF((IF((COUNTIF('C111'!E5,"Aula 10")+COUNTIF('C112'!E5,"Aula 10")+COUNTIF('C113'!E5,"Aula 10")+COUNTIF('C121'!E5,"Aula 10")+COUNTIF('C122'!E5,"Aula 10"))&gt;0,1,0)+IF((COUNTIF('C211'!E5,"Aula 10")+COUNTIF('C212'!E5,"Aula 10"))&gt;0,1,0)+IF((COUNTIF('C311'!E5,"Aula 10")+COUNTIF('C312'!E5,"Aula 10"))&gt;0,1,0)+IF((COUNTIF('C411'!E5,"Aula 10")+COUNTIF('C412'!E5,"Aula 10"))&gt;0,1,0)+IF((COUNTIF('M111'!E5,"Aula 10")+COUNTIF('M112'!E5,"Aula 10"))&gt;0,1,0)+IF((COUNTIF('M211'!E5,"Aula 10")+COUNTIF('M212'!E5,"Aula 10"))&gt;0,1,0)+IF((COUNTIF('M311'!E5,"Aula 10"))&gt;0,1,0)+IF((COUNTIF('M411'!E5,"Aula 10"))&gt;0,1,0)+IF((COUNTIF('D111'!E5,"Aula 10")+COUNTIF('D112'!E5,"Aula 10"))&gt;0,1,0)+IF((COUNTIF('D211'!E5,"Aula 10"))&gt;0,1,0)+IF((COUNTIF('D311'!E5,"Aula 10"))&gt;0,1,0)+IF((COUNTIF('D411'!E5,"Aula 10"))&gt;0,1,0))=1,IF((COUNTIF('C111'!E5,"Aula 10")+COUNTIF('C112'!E5,"Aula 10")+COUNTIF('C113'!E5,"Aula 10")+COUNTIF('C121'!E5,"Aula 10")+COUNTIF('C122'!E5,"Aula 10"))&gt;0,"C1",IF((COUNTIF('C211'!E5,"Aula 10")+COUNTIF('C212'!E5,"Aula 10"))&gt;0,"C2",IF((COUNTIF('C311'!E5,"Aula 10")+COUNTIF('C312'!E5,"Aula 10"))&gt;0,"C3",IF((COUNTIF('C411'!E5,"Aula 10")+COUNTIF('C412'!E5,"Aula 10"))&gt;0,"C4",IF((COUNTIF('M111'!E5,"Aula 10")+COUNTIF('M112'!E5,"Aula 10"))&gt;0,"M1",IF((COUNTIF('M211'!E5,"Aula 10")+COUNTIF('M212'!E5,"Aula 10"))&gt;0,"M2",IF((COUNTIF('M311'!E5,"Aula 10"))&gt;0,"M3",IF((COUNTIF('M411'!E5,"Aula 10"))&gt;0,"M4",IF((COUNTIF('D111'!E5,"Aula 10")+COUNTIF('D112'!E5,"Aula 10"))&gt;0,"D1",IF((COUNTIF('D211'!E5,"Aula 10"))&gt;0,"D2",IF((COUNTIF('D311'!E5,"Aula 10"))&gt;0,"D3",IF((COUNTIF('D411'!E5,"Aula 10"))&gt;0,"D4","")))))))))))),"MIX"))</f>
        <v/>
      </c>
    </row>
    <row r="281">
      <c r="C281">
        <f>IF((IF((COUNTIF('C111'!E5,"Aula 11")+COUNTIF('C112'!E5,"Aula 11")+COUNTIF('C113'!E5,"Aula 11")+COUNTIF('C121'!E5,"Aula 11")+COUNTIF('C122'!E5,"Aula 11"))&gt;0,1,0)+IF((COUNTIF('C211'!E5,"Aula 11")+COUNTIF('C212'!E5,"Aula 11"))&gt;0,1,0)+IF((COUNTIF('C311'!E5,"Aula 11")+COUNTIF('C312'!E5,"Aula 11"))&gt;0,1,0)+IF((COUNTIF('C411'!E5,"Aula 11")+COUNTIF('C412'!E5,"Aula 11"))&gt;0,1,0)+IF((COUNTIF('M111'!E5,"Aula 11")+COUNTIF('M112'!E5,"Aula 11"))&gt;0,1,0)+IF((COUNTIF('M211'!E5,"Aula 11")+COUNTIF('M212'!E5,"Aula 11"))&gt;0,1,0)+IF((COUNTIF('M311'!E5,"Aula 11"))&gt;0,1,0)+IF((COUNTIF('M411'!E5,"Aula 11"))&gt;0,1,0)+IF((COUNTIF('D111'!E5,"Aula 11")+COUNTIF('D112'!E5,"Aula 11"))&gt;0,1,0)+IF((COUNTIF('D211'!E5,"Aula 11"))&gt;0,1,0)+IF((COUNTIF('D311'!E5,"Aula 11"))&gt;0,1,0)+IF((COUNTIF('D411'!E5,"Aula 11"))&gt;0,1,0))=0,"",IF((IF((COUNTIF('C111'!E5,"Aula 11")+COUNTIF('C112'!E5,"Aula 11")+COUNTIF('C113'!E5,"Aula 11")+COUNTIF('C121'!E5,"Aula 11")+COUNTIF('C122'!E5,"Aula 11"))&gt;0,1,0)+IF((COUNTIF('C211'!E5,"Aula 11")+COUNTIF('C212'!E5,"Aula 11"))&gt;0,1,0)+IF((COUNTIF('C311'!E5,"Aula 11")+COUNTIF('C312'!E5,"Aula 11"))&gt;0,1,0)+IF((COUNTIF('C411'!E5,"Aula 11")+COUNTIF('C412'!E5,"Aula 11"))&gt;0,1,0)+IF((COUNTIF('M111'!E5,"Aula 11")+COUNTIF('M112'!E5,"Aula 11"))&gt;0,1,0)+IF((COUNTIF('M211'!E5,"Aula 11")+COUNTIF('M212'!E5,"Aula 11"))&gt;0,1,0)+IF((COUNTIF('M311'!E5,"Aula 11"))&gt;0,1,0)+IF((COUNTIF('M411'!E5,"Aula 11"))&gt;0,1,0)+IF((COUNTIF('D111'!E5,"Aula 11")+COUNTIF('D112'!E5,"Aula 11"))&gt;0,1,0)+IF((COUNTIF('D211'!E5,"Aula 11"))&gt;0,1,0)+IF((COUNTIF('D311'!E5,"Aula 11"))&gt;0,1,0)+IF((COUNTIF('D411'!E5,"Aula 11"))&gt;0,1,0))=1,IF((COUNTIF('C111'!E5,"Aula 11")+COUNTIF('C112'!E5,"Aula 11")+COUNTIF('C113'!E5,"Aula 11")+COUNTIF('C121'!E5,"Aula 11")+COUNTIF('C122'!E5,"Aula 11"))&gt;0,"C1",IF((COUNTIF('C211'!E5,"Aula 11")+COUNTIF('C212'!E5,"Aula 11"))&gt;0,"C2",IF((COUNTIF('C311'!E5,"Aula 11")+COUNTIF('C312'!E5,"Aula 11"))&gt;0,"C3",IF((COUNTIF('C411'!E5,"Aula 11")+COUNTIF('C412'!E5,"Aula 11"))&gt;0,"C4",IF((COUNTIF('M111'!E5,"Aula 11")+COUNTIF('M112'!E5,"Aula 11"))&gt;0,"M1",IF((COUNTIF('M211'!E5,"Aula 11")+COUNTIF('M212'!E5,"Aula 11"))&gt;0,"M2",IF((COUNTIF('M311'!E5,"Aula 11"))&gt;0,"M3",IF((COUNTIF('M411'!E5,"Aula 11"))&gt;0,"M4",IF((COUNTIF('D111'!E5,"Aula 11")+COUNTIF('D112'!E5,"Aula 11"))&gt;0,"D1",IF((COUNTIF('D211'!E5,"Aula 11"))&gt;0,"D2",IF((COUNTIF('D311'!E5,"Aula 11"))&gt;0,"D3",IF((COUNTIF('D411'!E5,"Aula 11"))&gt;0,"D4","")))))))))))),"MIX"))</f>
        <v/>
      </c>
    </row>
    <row r="282">
      <c r="C282">
        <f>IF((IF((COUNTIF('C111'!E5,"Aula 12")+COUNTIF('C112'!E5,"Aula 12")+COUNTIF('C113'!E5,"Aula 12")+COUNTIF('C121'!E5,"Aula 12")+COUNTIF('C122'!E5,"Aula 12"))&gt;0,1,0)+IF((COUNTIF('C211'!E5,"Aula 12")+COUNTIF('C212'!E5,"Aula 12"))&gt;0,1,0)+IF((COUNTIF('C311'!E5,"Aula 12")+COUNTIF('C312'!E5,"Aula 12"))&gt;0,1,0)+IF((COUNTIF('C411'!E5,"Aula 12")+COUNTIF('C412'!E5,"Aula 12"))&gt;0,1,0)+IF((COUNTIF('M111'!E5,"Aula 12")+COUNTIF('M112'!E5,"Aula 12"))&gt;0,1,0)+IF((COUNTIF('M211'!E5,"Aula 12")+COUNTIF('M212'!E5,"Aula 12"))&gt;0,1,0)+IF((COUNTIF('M311'!E5,"Aula 12"))&gt;0,1,0)+IF((COUNTIF('M411'!E5,"Aula 12"))&gt;0,1,0)+IF((COUNTIF('D111'!E5,"Aula 12")+COUNTIF('D112'!E5,"Aula 12"))&gt;0,1,0)+IF((COUNTIF('D211'!E5,"Aula 12"))&gt;0,1,0)+IF((COUNTIF('D311'!E5,"Aula 12"))&gt;0,1,0)+IF((COUNTIF('D411'!E5,"Aula 12"))&gt;0,1,0))=0,"",IF((IF((COUNTIF('C111'!E5,"Aula 12")+COUNTIF('C112'!E5,"Aula 12")+COUNTIF('C113'!E5,"Aula 12")+COUNTIF('C121'!E5,"Aula 12")+COUNTIF('C122'!E5,"Aula 12"))&gt;0,1,0)+IF((COUNTIF('C211'!E5,"Aula 12")+COUNTIF('C212'!E5,"Aula 12"))&gt;0,1,0)+IF((COUNTIF('C311'!E5,"Aula 12")+COUNTIF('C312'!E5,"Aula 12"))&gt;0,1,0)+IF((COUNTIF('C411'!E5,"Aula 12")+COUNTIF('C412'!E5,"Aula 12"))&gt;0,1,0)+IF((COUNTIF('M111'!E5,"Aula 12")+COUNTIF('M112'!E5,"Aula 12"))&gt;0,1,0)+IF((COUNTIF('M211'!E5,"Aula 12")+COUNTIF('M212'!E5,"Aula 12"))&gt;0,1,0)+IF((COUNTIF('M311'!E5,"Aula 12"))&gt;0,1,0)+IF((COUNTIF('M411'!E5,"Aula 12"))&gt;0,1,0)+IF((COUNTIF('D111'!E5,"Aula 12")+COUNTIF('D112'!E5,"Aula 12"))&gt;0,1,0)+IF((COUNTIF('D211'!E5,"Aula 12"))&gt;0,1,0)+IF((COUNTIF('D311'!E5,"Aula 12"))&gt;0,1,0)+IF((COUNTIF('D411'!E5,"Aula 12"))&gt;0,1,0))=1,IF((COUNTIF('C111'!E5,"Aula 12")+COUNTIF('C112'!E5,"Aula 12")+COUNTIF('C113'!E5,"Aula 12")+COUNTIF('C121'!E5,"Aula 12")+COUNTIF('C122'!E5,"Aula 12"))&gt;0,"C1",IF((COUNTIF('C211'!E5,"Aula 12")+COUNTIF('C212'!E5,"Aula 12"))&gt;0,"C2",IF((COUNTIF('C311'!E5,"Aula 12")+COUNTIF('C312'!E5,"Aula 12"))&gt;0,"C3",IF((COUNTIF('C411'!E5,"Aula 12")+COUNTIF('C412'!E5,"Aula 12"))&gt;0,"C4",IF((COUNTIF('M111'!E5,"Aula 12")+COUNTIF('M112'!E5,"Aula 12"))&gt;0,"M1",IF((COUNTIF('M211'!E5,"Aula 12")+COUNTIF('M212'!E5,"Aula 12"))&gt;0,"M2",IF((COUNTIF('M311'!E5,"Aula 12"))&gt;0,"M3",IF((COUNTIF('M411'!E5,"Aula 12"))&gt;0,"M4",IF((COUNTIF('D111'!E5,"Aula 12")+COUNTIF('D112'!E5,"Aula 12"))&gt;0,"D1",IF((COUNTIF('D211'!E5,"Aula 12"))&gt;0,"D2",IF((COUNTIF('D311'!E5,"Aula 12"))&gt;0,"D3",IF((COUNTIF('D411'!E5,"Aula 12"))&gt;0,"D4","")))))))))))),"MIX"))</f>
        <v/>
      </c>
    </row>
    <row r="283">
      <c r="C283">
        <f>IF((IF((COUNTIF('C111'!E5,"Lab 1")+COUNTIF('C112'!E5,"Lab 1")+COUNTIF('C113'!E5,"Lab 1")+COUNTIF('C121'!E5,"Lab 1")+COUNTIF('C122'!E5,"Lab 1"))&gt;0,1,0)+IF((COUNTIF('C211'!E5,"Lab 1")+COUNTIF('C212'!E5,"Lab 1"))&gt;0,1,0)+IF((COUNTIF('C311'!E5,"Lab 1")+COUNTIF('C312'!E5,"Lab 1"))&gt;0,1,0)+IF((COUNTIF('C411'!E5,"Lab 1")+COUNTIF('C412'!E5,"Lab 1"))&gt;0,1,0)+IF((COUNTIF('M111'!E5,"Lab 1")+COUNTIF('M112'!E5,"Lab 1"))&gt;0,1,0)+IF((COUNTIF('M211'!E5,"Lab 1")+COUNTIF('M212'!E5,"Lab 1"))&gt;0,1,0)+IF((COUNTIF('M311'!E5,"Lab 1"))&gt;0,1,0)+IF((COUNTIF('M411'!E5,"Lab 1"))&gt;0,1,0)+IF((COUNTIF('D111'!E5,"Lab 1")+COUNTIF('D112'!E5,"Lab 1"))&gt;0,1,0)+IF((COUNTIF('D211'!E5,"Lab 1"))&gt;0,1,0)+IF((COUNTIF('D311'!E5,"Lab 1"))&gt;0,1,0)+IF((COUNTIF('D411'!E5,"Lab 1"))&gt;0,1,0))=0,"",IF((IF((COUNTIF('C111'!E5,"Lab 1")+COUNTIF('C112'!E5,"Lab 1")+COUNTIF('C113'!E5,"Lab 1")+COUNTIF('C121'!E5,"Lab 1")+COUNTIF('C122'!E5,"Lab 1"))&gt;0,1,0)+IF((COUNTIF('C211'!E5,"Lab 1")+COUNTIF('C212'!E5,"Lab 1"))&gt;0,1,0)+IF((COUNTIF('C311'!E5,"Lab 1")+COUNTIF('C312'!E5,"Lab 1"))&gt;0,1,0)+IF((COUNTIF('C411'!E5,"Lab 1")+COUNTIF('C412'!E5,"Lab 1"))&gt;0,1,0)+IF((COUNTIF('M111'!E5,"Lab 1")+COUNTIF('M112'!E5,"Lab 1"))&gt;0,1,0)+IF((COUNTIF('M211'!E5,"Lab 1")+COUNTIF('M212'!E5,"Lab 1"))&gt;0,1,0)+IF((COUNTIF('M311'!E5,"Lab 1"))&gt;0,1,0)+IF((COUNTIF('M411'!E5,"Lab 1"))&gt;0,1,0)+IF((COUNTIF('D111'!E5,"Lab 1")+COUNTIF('D112'!E5,"Lab 1"))&gt;0,1,0)+IF((COUNTIF('D211'!E5,"Lab 1"))&gt;0,1,0)+IF((COUNTIF('D311'!E5,"Lab 1"))&gt;0,1,0)+IF((COUNTIF('D411'!E5,"Lab 1"))&gt;0,1,0))=1,IF((COUNTIF('C111'!E5,"Lab 1")+COUNTIF('C112'!E5,"Lab 1")+COUNTIF('C113'!E5,"Lab 1")+COUNTIF('C121'!E5,"Lab 1")+COUNTIF('C122'!E5,"Lab 1"))&gt;0,"C1",IF((COUNTIF('C211'!E5,"Lab 1")+COUNTIF('C212'!E5,"Lab 1"))&gt;0,"C2",IF((COUNTIF('C311'!E5,"Lab 1")+COUNTIF('C312'!E5,"Lab 1"))&gt;0,"C3",IF((COUNTIF('C411'!E5,"Lab 1")+COUNTIF('C412'!E5,"Lab 1"))&gt;0,"C4",IF((COUNTIF('M111'!E5,"Lab 1")+COUNTIF('M112'!E5,"Lab 1"))&gt;0,"M1",IF((COUNTIF('M211'!E5,"Lab 1")+COUNTIF('M212'!E5,"Lab 1"))&gt;0,"M2",IF((COUNTIF('M311'!E5,"Lab 1"))&gt;0,"M3",IF((COUNTIF('M411'!E5,"Lab 1"))&gt;0,"M4",IF((COUNTIF('D111'!E5,"Lab 1")+COUNTIF('D112'!E5,"Lab 1"))&gt;0,"D1",IF((COUNTIF('D211'!E5,"Lab 1"))&gt;0,"D2",IF((COUNTIF('D311'!E5,"Lab 1"))&gt;0,"D3",IF((COUNTIF('D411'!E5,"Lab 1"))&gt;0,"D4","")))))))))))),"MIX"))</f>
        <v/>
      </c>
    </row>
    <row r="284">
      <c r="C284">
        <f>IF((IF((COUNTIF('C111'!E5,"Lab 2")+COUNTIF('C112'!E5,"Lab 2")+COUNTIF('C113'!E5,"Lab 2")+COUNTIF('C121'!E5,"Lab 2")+COUNTIF('C122'!E5,"Lab 2"))&gt;0,1,0)+IF((COUNTIF('C211'!E5,"Lab 2")+COUNTIF('C212'!E5,"Lab 2"))&gt;0,1,0)+IF((COUNTIF('C311'!E5,"Lab 2")+COUNTIF('C312'!E5,"Lab 2"))&gt;0,1,0)+IF((COUNTIF('C411'!E5,"Lab 2")+COUNTIF('C412'!E5,"Lab 2"))&gt;0,1,0)+IF((COUNTIF('M111'!E5,"Lab 2")+COUNTIF('M112'!E5,"Lab 2"))&gt;0,1,0)+IF((COUNTIF('M211'!E5,"Lab 2")+COUNTIF('M212'!E5,"Lab 2"))&gt;0,1,0)+IF((COUNTIF('M311'!E5,"Lab 2"))&gt;0,1,0)+IF((COUNTIF('M411'!E5,"Lab 2"))&gt;0,1,0)+IF((COUNTIF('D111'!E5,"Lab 2")+COUNTIF('D112'!E5,"Lab 2"))&gt;0,1,0)+IF((COUNTIF('D211'!E5,"Lab 2"))&gt;0,1,0)+IF((COUNTIF('D311'!E5,"Lab 2"))&gt;0,1,0)+IF((COUNTIF('D411'!E5,"Lab 2"))&gt;0,1,0))=0,"",IF((IF((COUNTIF('C111'!E5,"Lab 2")+COUNTIF('C112'!E5,"Lab 2")+COUNTIF('C113'!E5,"Lab 2")+COUNTIF('C121'!E5,"Lab 2")+COUNTIF('C122'!E5,"Lab 2"))&gt;0,1,0)+IF((COUNTIF('C211'!E5,"Lab 2")+COUNTIF('C212'!E5,"Lab 2"))&gt;0,1,0)+IF((COUNTIF('C311'!E5,"Lab 2")+COUNTIF('C312'!E5,"Lab 2"))&gt;0,1,0)+IF((COUNTIF('C411'!E5,"Lab 2")+COUNTIF('C412'!E5,"Lab 2"))&gt;0,1,0)+IF((COUNTIF('M111'!E5,"Lab 2")+COUNTIF('M112'!E5,"Lab 2"))&gt;0,1,0)+IF((COUNTIF('M211'!E5,"Lab 2")+COUNTIF('M212'!E5,"Lab 2"))&gt;0,1,0)+IF((COUNTIF('M311'!E5,"Lab 2"))&gt;0,1,0)+IF((COUNTIF('M411'!E5,"Lab 2"))&gt;0,1,0)+IF((COUNTIF('D111'!E5,"Lab 2")+COUNTIF('D112'!E5,"Lab 2"))&gt;0,1,0)+IF((COUNTIF('D211'!E5,"Lab 2"))&gt;0,1,0)+IF((COUNTIF('D311'!E5,"Lab 2"))&gt;0,1,0)+IF((COUNTIF('D411'!E5,"Lab 2"))&gt;0,1,0))=1,IF((COUNTIF('C111'!E5,"Lab 2")+COUNTIF('C112'!E5,"Lab 2")+COUNTIF('C113'!E5,"Lab 2")+COUNTIF('C121'!E5,"Lab 2")+COUNTIF('C122'!E5,"Lab 2"))&gt;0,"C1",IF((COUNTIF('C211'!E5,"Lab 2")+COUNTIF('C212'!E5,"Lab 2"))&gt;0,"C2",IF((COUNTIF('C311'!E5,"Lab 2")+COUNTIF('C312'!E5,"Lab 2"))&gt;0,"C3",IF((COUNTIF('C411'!E5,"Lab 2")+COUNTIF('C412'!E5,"Lab 2"))&gt;0,"C4",IF((COUNTIF('M111'!E5,"Lab 2")+COUNTIF('M112'!E5,"Lab 2"))&gt;0,"M1",IF((COUNTIF('M211'!E5,"Lab 2")+COUNTIF('M212'!E5,"Lab 2"))&gt;0,"M2",IF((COUNTIF('M311'!E5,"Lab 2"))&gt;0,"M3",IF((COUNTIF('M411'!E5,"Lab 2"))&gt;0,"M4",IF((COUNTIF('D111'!E5,"Lab 2")+COUNTIF('D112'!E5,"Lab 2"))&gt;0,"D1",IF((COUNTIF('D211'!E5,"Lab 2"))&gt;0,"D2",IF((COUNTIF('D311'!E5,"Lab 2"))&gt;0,"D3",IF((COUNTIF('D411'!E5,"Lab 2"))&gt;0,"D4","")))))))))))),"MIX"))</f>
        <v/>
      </c>
    </row>
    <row r="285">
      <c r="C285">
        <f>IF((IF((COUNTIF('C111'!E5,"Salón")+COUNTIF('C112'!E5,"Salón")+COUNTIF('C113'!E5,"Salón")+COUNTIF('C121'!E5,"Salón")+COUNTIF('C122'!E5,"Salón"))&gt;0,1,0)+IF((COUNTIF('C211'!E5,"Salón")+COUNTIF('C212'!E5,"Salón"))&gt;0,1,0)+IF((COUNTIF('C311'!E5,"Salón")+COUNTIF('C312'!E5,"Salón"))&gt;0,1,0)+IF((COUNTIF('C411'!E5,"Salón")+COUNTIF('C412'!E5,"Salón"))&gt;0,1,0)+IF((COUNTIF('M111'!E5,"Salón")+COUNTIF('M112'!E5,"Salón"))&gt;0,1,0)+IF((COUNTIF('M211'!E5,"Salón")+COUNTIF('M212'!E5,"Salón"))&gt;0,1,0)+IF((COUNTIF('M311'!E5,"Salón"))&gt;0,1,0)+IF((COUNTIF('M411'!E5,"Salón"))&gt;0,1,0)+IF((COUNTIF('D111'!E5,"Salón")+COUNTIF('D112'!E5,"Salón"))&gt;0,1,0)+IF((COUNTIF('D211'!E5,"Salón"))&gt;0,1,0)+IF((COUNTIF('D311'!E5,"Salón"))&gt;0,1,0)+IF((COUNTIF('D411'!E5,"Salón"))&gt;0,1,0))=0,"",IF((IF((COUNTIF('C111'!E5,"Salón")+COUNTIF('C112'!E5,"Salón")+COUNTIF('C113'!E5,"Salón")+COUNTIF('C121'!E5,"Salón")+COUNTIF('C122'!E5,"Salón"))&gt;0,1,0)+IF((COUNTIF('C211'!E5,"Salón")+COUNTIF('C212'!E5,"Salón"))&gt;0,1,0)+IF((COUNTIF('C311'!E5,"Salón")+COUNTIF('C312'!E5,"Salón"))&gt;0,1,0)+IF((COUNTIF('C411'!E5,"Salón")+COUNTIF('C412'!E5,"Salón"))&gt;0,1,0)+IF((COUNTIF('M111'!E5,"Salón")+COUNTIF('M112'!E5,"Salón"))&gt;0,1,0)+IF((COUNTIF('M211'!E5,"Salón")+COUNTIF('M212'!E5,"Salón"))&gt;0,1,0)+IF((COUNTIF('M311'!E5,"Salón"))&gt;0,1,0)+IF((COUNTIF('M411'!E5,"Salón"))&gt;0,1,0)+IF((COUNTIF('D111'!E5,"Salón")+COUNTIF('D112'!E5,"Salón"))&gt;0,1,0)+IF((COUNTIF('D211'!E5,"Salón"))&gt;0,1,0)+IF((COUNTIF('D311'!E5,"Salón"))&gt;0,1,0)+IF((COUNTIF('D411'!E5,"Salón"))&gt;0,1,0))=1,IF((COUNTIF('C111'!E5,"Salón")+COUNTIF('C112'!E5,"Salón")+COUNTIF('C113'!E5,"Salón")+COUNTIF('C121'!E5,"Salón")+COUNTIF('C122'!E5,"Salón"))&gt;0,"C1",IF((COUNTIF('C211'!E5,"Salón")+COUNTIF('C212'!E5,"Salón"))&gt;0,"C2",IF((COUNTIF('C311'!E5,"Salón")+COUNTIF('C312'!E5,"Salón"))&gt;0,"C3",IF((COUNTIF('C411'!E5,"Salón")+COUNTIF('C412'!E5,"Salón"))&gt;0,"C4",IF((COUNTIF('M111'!E5,"Salón")+COUNTIF('M112'!E5,"Salón"))&gt;0,"M1",IF((COUNTIF('M211'!E5,"Salón")+COUNTIF('M212'!E5,"Salón"))&gt;0,"M2",IF((COUNTIF('M311'!E5,"Salón"))&gt;0,"M3",IF((COUNTIF('M411'!E5,"Salón"))&gt;0,"M4",IF((COUNTIF('D111'!E5,"Salón")+COUNTIF('D112'!E5,"Salón"))&gt;0,"D1",IF((COUNTIF('D211'!E5,"Salón"))&gt;0,"D2",IF((COUNTIF('D311'!E5,"Salón"))&gt;0,"D3",IF((COUNTIF('D411'!E5,"Salón"))&gt;0,"D4","")))))))))))),"MIX"))</f>
        <v/>
      </c>
    </row>
    <row r="286">
      <c r="C286">
        <f>IF((IF((COUNTIF('C111'!E7,"Aula 1")+COUNTIF('C112'!E7,"Aula 1")+COUNTIF('C113'!E7,"Aula 1")+COUNTIF('C121'!E7,"Aula 1")+COUNTIF('C122'!E7,"Aula 1"))&gt;0,1,0)+IF((COUNTIF('C211'!E7,"Aula 1")+COUNTIF('C212'!E7,"Aula 1"))&gt;0,1,0)+IF((COUNTIF('C311'!E7,"Aula 1")+COUNTIF('C312'!E7,"Aula 1"))&gt;0,1,0)+IF((COUNTIF('C411'!E7,"Aula 1")+COUNTIF('C412'!E7,"Aula 1"))&gt;0,1,0)+IF((COUNTIF('M111'!E7,"Aula 1")+COUNTIF('M112'!E7,"Aula 1"))&gt;0,1,0)+IF((COUNTIF('M211'!E7,"Aula 1")+COUNTIF('M212'!E7,"Aula 1"))&gt;0,1,0)+IF((COUNTIF('M311'!E7,"Aula 1"))&gt;0,1,0)+IF((COUNTIF('M411'!E7,"Aula 1"))&gt;0,1,0)+IF((COUNTIF('D111'!E7,"Aula 1")+COUNTIF('D112'!E7,"Aula 1"))&gt;0,1,0)+IF((COUNTIF('D211'!E7,"Aula 1"))&gt;0,1,0)+IF((COUNTIF('D311'!E7,"Aula 1"))&gt;0,1,0)+IF((COUNTIF('D411'!E7,"Aula 1"))&gt;0,1,0))=0,"",IF((IF((COUNTIF('C111'!E7,"Aula 1")+COUNTIF('C112'!E7,"Aula 1")+COUNTIF('C113'!E7,"Aula 1")+COUNTIF('C121'!E7,"Aula 1")+COUNTIF('C122'!E7,"Aula 1"))&gt;0,1,0)+IF((COUNTIF('C211'!E7,"Aula 1")+COUNTIF('C212'!E7,"Aula 1"))&gt;0,1,0)+IF((COUNTIF('C311'!E7,"Aula 1")+COUNTIF('C312'!E7,"Aula 1"))&gt;0,1,0)+IF((COUNTIF('C411'!E7,"Aula 1")+COUNTIF('C412'!E7,"Aula 1"))&gt;0,1,0)+IF((COUNTIF('M111'!E7,"Aula 1")+COUNTIF('M112'!E7,"Aula 1"))&gt;0,1,0)+IF((COUNTIF('M211'!E7,"Aula 1")+COUNTIF('M212'!E7,"Aula 1"))&gt;0,1,0)+IF((COUNTIF('M311'!E7,"Aula 1"))&gt;0,1,0)+IF((COUNTIF('M411'!E7,"Aula 1"))&gt;0,1,0)+IF((COUNTIF('D111'!E7,"Aula 1")+COUNTIF('D112'!E7,"Aula 1"))&gt;0,1,0)+IF((COUNTIF('D211'!E7,"Aula 1"))&gt;0,1,0)+IF((COUNTIF('D311'!E7,"Aula 1"))&gt;0,1,0)+IF((COUNTIF('D411'!E7,"Aula 1"))&gt;0,1,0))=1,IF((COUNTIF('C111'!E7,"Aula 1")+COUNTIF('C112'!E7,"Aula 1")+COUNTIF('C113'!E7,"Aula 1")+COUNTIF('C121'!E7,"Aula 1")+COUNTIF('C122'!E7,"Aula 1"))&gt;0,"C1",IF((COUNTIF('C211'!E7,"Aula 1")+COUNTIF('C212'!E7,"Aula 1"))&gt;0,"C2",IF((COUNTIF('C311'!E7,"Aula 1")+COUNTIF('C312'!E7,"Aula 1"))&gt;0,"C3",IF((COUNTIF('C411'!E7,"Aula 1")+COUNTIF('C412'!E7,"Aula 1"))&gt;0,"C4",IF((COUNTIF('M111'!E7,"Aula 1")+COUNTIF('M112'!E7,"Aula 1"))&gt;0,"M1",IF((COUNTIF('M211'!E7,"Aula 1")+COUNTIF('M212'!E7,"Aula 1"))&gt;0,"M2",IF((COUNTIF('M311'!E7,"Aula 1"))&gt;0,"M3",IF((COUNTIF('M411'!E7,"Aula 1"))&gt;0,"M4",IF((COUNTIF('D111'!E7,"Aula 1")+COUNTIF('D112'!E7,"Aula 1"))&gt;0,"D1",IF((COUNTIF('D211'!E7,"Aula 1"))&gt;0,"D2",IF((COUNTIF('D311'!E7,"Aula 1"))&gt;0,"D3",IF((COUNTIF('D411'!E7,"Aula 1"))&gt;0,"D4","")))))))))))),"MIX"))</f>
        <v/>
      </c>
    </row>
    <row r="287">
      <c r="C287">
        <f>IF((IF((COUNTIF('C111'!E7,"Aula 2")+COUNTIF('C112'!E7,"Aula 2")+COUNTIF('C113'!E7,"Aula 2")+COUNTIF('C121'!E7,"Aula 2")+COUNTIF('C122'!E7,"Aula 2"))&gt;0,1,0)+IF((COUNTIF('C211'!E7,"Aula 2")+COUNTIF('C212'!E7,"Aula 2"))&gt;0,1,0)+IF((COUNTIF('C311'!E7,"Aula 2")+COUNTIF('C312'!E7,"Aula 2"))&gt;0,1,0)+IF((COUNTIF('C411'!E7,"Aula 2")+COUNTIF('C412'!E7,"Aula 2"))&gt;0,1,0)+IF((COUNTIF('M111'!E7,"Aula 2")+COUNTIF('M112'!E7,"Aula 2"))&gt;0,1,0)+IF((COUNTIF('M211'!E7,"Aula 2")+COUNTIF('M212'!E7,"Aula 2"))&gt;0,1,0)+IF((COUNTIF('M311'!E7,"Aula 2"))&gt;0,1,0)+IF((COUNTIF('M411'!E7,"Aula 2"))&gt;0,1,0)+IF((COUNTIF('D111'!E7,"Aula 2")+COUNTIF('D112'!E7,"Aula 2"))&gt;0,1,0)+IF((COUNTIF('D211'!E7,"Aula 2"))&gt;0,1,0)+IF((COUNTIF('D311'!E7,"Aula 2"))&gt;0,1,0)+IF((COUNTIF('D411'!E7,"Aula 2"))&gt;0,1,0))=0,"",IF((IF((COUNTIF('C111'!E7,"Aula 2")+COUNTIF('C112'!E7,"Aula 2")+COUNTIF('C113'!E7,"Aula 2")+COUNTIF('C121'!E7,"Aula 2")+COUNTIF('C122'!E7,"Aula 2"))&gt;0,1,0)+IF((COUNTIF('C211'!E7,"Aula 2")+COUNTIF('C212'!E7,"Aula 2"))&gt;0,1,0)+IF((COUNTIF('C311'!E7,"Aula 2")+COUNTIF('C312'!E7,"Aula 2"))&gt;0,1,0)+IF((COUNTIF('C411'!E7,"Aula 2")+COUNTIF('C412'!E7,"Aula 2"))&gt;0,1,0)+IF((COUNTIF('M111'!E7,"Aula 2")+COUNTIF('M112'!E7,"Aula 2"))&gt;0,1,0)+IF((COUNTIF('M211'!E7,"Aula 2")+COUNTIF('M212'!E7,"Aula 2"))&gt;0,1,0)+IF((COUNTIF('M311'!E7,"Aula 2"))&gt;0,1,0)+IF((COUNTIF('M411'!E7,"Aula 2"))&gt;0,1,0)+IF((COUNTIF('D111'!E7,"Aula 2")+COUNTIF('D112'!E7,"Aula 2"))&gt;0,1,0)+IF((COUNTIF('D211'!E7,"Aula 2"))&gt;0,1,0)+IF((COUNTIF('D311'!E7,"Aula 2"))&gt;0,1,0)+IF((COUNTIF('D411'!E7,"Aula 2"))&gt;0,1,0))=1,IF((COUNTIF('C111'!E7,"Aula 2")+COUNTIF('C112'!E7,"Aula 2")+COUNTIF('C113'!E7,"Aula 2")+COUNTIF('C121'!E7,"Aula 2")+COUNTIF('C122'!E7,"Aula 2"))&gt;0,"C1",IF((COUNTIF('C211'!E7,"Aula 2")+COUNTIF('C212'!E7,"Aula 2"))&gt;0,"C2",IF((COUNTIF('C311'!E7,"Aula 2")+COUNTIF('C312'!E7,"Aula 2"))&gt;0,"C3",IF((COUNTIF('C411'!E7,"Aula 2")+COUNTIF('C412'!E7,"Aula 2"))&gt;0,"C4",IF((COUNTIF('M111'!E7,"Aula 2")+COUNTIF('M112'!E7,"Aula 2"))&gt;0,"M1",IF((COUNTIF('M211'!E7,"Aula 2")+COUNTIF('M212'!E7,"Aula 2"))&gt;0,"M2",IF((COUNTIF('M311'!E7,"Aula 2"))&gt;0,"M3",IF((COUNTIF('M411'!E7,"Aula 2"))&gt;0,"M4",IF((COUNTIF('D111'!E7,"Aula 2")+COUNTIF('D112'!E7,"Aula 2"))&gt;0,"D1",IF((COUNTIF('D211'!E7,"Aula 2"))&gt;0,"D2",IF((COUNTIF('D311'!E7,"Aula 2"))&gt;0,"D3",IF((COUNTIF('D411'!E7,"Aula 2"))&gt;0,"D4","")))))))))))),"MIX"))</f>
        <v/>
      </c>
    </row>
    <row r="288">
      <c r="C288">
        <f>IF((IF((COUNTIF('C111'!E7,"Aula 3")+COUNTIF('C112'!E7,"Aula 3")+COUNTIF('C113'!E7,"Aula 3")+COUNTIF('C121'!E7,"Aula 3")+COUNTIF('C122'!E7,"Aula 3"))&gt;0,1,0)+IF((COUNTIF('C211'!E7,"Aula 3")+COUNTIF('C212'!E7,"Aula 3"))&gt;0,1,0)+IF((COUNTIF('C311'!E7,"Aula 3")+COUNTIF('C312'!E7,"Aula 3"))&gt;0,1,0)+IF((COUNTIF('C411'!E7,"Aula 3")+COUNTIF('C412'!E7,"Aula 3"))&gt;0,1,0)+IF((COUNTIF('M111'!E7,"Aula 3")+COUNTIF('M112'!E7,"Aula 3"))&gt;0,1,0)+IF((COUNTIF('M211'!E7,"Aula 3")+COUNTIF('M212'!E7,"Aula 3"))&gt;0,1,0)+IF((COUNTIF('M311'!E7,"Aula 3"))&gt;0,1,0)+IF((COUNTIF('M411'!E7,"Aula 3"))&gt;0,1,0)+IF((COUNTIF('D111'!E7,"Aula 3")+COUNTIF('D112'!E7,"Aula 3"))&gt;0,1,0)+IF((COUNTIF('D211'!E7,"Aula 3"))&gt;0,1,0)+IF((COUNTIF('D311'!E7,"Aula 3"))&gt;0,1,0)+IF((COUNTIF('D411'!E7,"Aula 3"))&gt;0,1,0))=0,"",IF((IF((COUNTIF('C111'!E7,"Aula 3")+COUNTIF('C112'!E7,"Aula 3")+COUNTIF('C113'!E7,"Aula 3")+COUNTIF('C121'!E7,"Aula 3")+COUNTIF('C122'!E7,"Aula 3"))&gt;0,1,0)+IF((COUNTIF('C211'!E7,"Aula 3")+COUNTIF('C212'!E7,"Aula 3"))&gt;0,1,0)+IF((COUNTIF('C311'!E7,"Aula 3")+COUNTIF('C312'!E7,"Aula 3"))&gt;0,1,0)+IF((COUNTIF('C411'!E7,"Aula 3")+COUNTIF('C412'!E7,"Aula 3"))&gt;0,1,0)+IF((COUNTIF('M111'!E7,"Aula 3")+COUNTIF('M112'!E7,"Aula 3"))&gt;0,1,0)+IF((COUNTIF('M211'!E7,"Aula 3")+COUNTIF('M212'!E7,"Aula 3"))&gt;0,1,0)+IF((COUNTIF('M311'!E7,"Aula 3"))&gt;0,1,0)+IF((COUNTIF('M411'!E7,"Aula 3"))&gt;0,1,0)+IF((COUNTIF('D111'!E7,"Aula 3")+COUNTIF('D112'!E7,"Aula 3"))&gt;0,1,0)+IF((COUNTIF('D211'!E7,"Aula 3"))&gt;0,1,0)+IF((COUNTIF('D311'!E7,"Aula 3"))&gt;0,1,0)+IF((COUNTIF('D411'!E7,"Aula 3"))&gt;0,1,0))=1,IF((COUNTIF('C111'!E7,"Aula 3")+COUNTIF('C112'!E7,"Aula 3")+COUNTIF('C113'!E7,"Aula 3")+COUNTIF('C121'!E7,"Aula 3")+COUNTIF('C122'!E7,"Aula 3"))&gt;0,"C1",IF((COUNTIF('C211'!E7,"Aula 3")+COUNTIF('C212'!E7,"Aula 3"))&gt;0,"C2",IF((COUNTIF('C311'!E7,"Aula 3")+COUNTIF('C312'!E7,"Aula 3"))&gt;0,"C3",IF((COUNTIF('C411'!E7,"Aula 3")+COUNTIF('C412'!E7,"Aula 3"))&gt;0,"C4",IF((COUNTIF('M111'!E7,"Aula 3")+COUNTIF('M112'!E7,"Aula 3"))&gt;0,"M1",IF((COUNTIF('M211'!E7,"Aula 3")+COUNTIF('M212'!E7,"Aula 3"))&gt;0,"M2",IF((COUNTIF('M311'!E7,"Aula 3"))&gt;0,"M3",IF((COUNTIF('M411'!E7,"Aula 3"))&gt;0,"M4",IF((COUNTIF('D111'!E7,"Aula 3")+COUNTIF('D112'!E7,"Aula 3"))&gt;0,"D1",IF((COUNTIF('D211'!E7,"Aula 3"))&gt;0,"D2",IF((COUNTIF('D311'!E7,"Aula 3"))&gt;0,"D3",IF((COUNTIF('D411'!E7,"Aula 3"))&gt;0,"D4","")))))))))))),"MIX"))</f>
        <v/>
      </c>
    </row>
    <row r="289">
      <c r="C289">
        <f>IF((IF((COUNTIF('C111'!E7,"Aula 4")+COUNTIF('C112'!E7,"Aula 4")+COUNTIF('C113'!E7,"Aula 4")+COUNTIF('C121'!E7,"Aula 4")+COUNTIF('C122'!E7,"Aula 4"))&gt;0,1,0)+IF((COUNTIF('C211'!E7,"Aula 4")+COUNTIF('C212'!E7,"Aula 4"))&gt;0,1,0)+IF((COUNTIF('C311'!E7,"Aula 4")+COUNTIF('C312'!E7,"Aula 4"))&gt;0,1,0)+IF((COUNTIF('C411'!E7,"Aula 4")+COUNTIF('C412'!E7,"Aula 4"))&gt;0,1,0)+IF((COUNTIF('M111'!E7,"Aula 4")+COUNTIF('M112'!E7,"Aula 4"))&gt;0,1,0)+IF((COUNTIF('M211'!E7,"Aula 4")+COUNTIF('M212'!E7,"Aula 4"))&gt;0,1,0)+IF((COUNTIF('M311'!E7,"Aula 4"))&gt;0,1,0)+IF((COUNTIF('M411'!E7,"Aula 4"))&gt;0,1,0)+IF((COUNTIF('D111'!E7,"Aula 4")+COUNTIF('D112'!E7,"Aula 4"))&gt;0,1,0)+IF((COUNTIF('D211'!E7,"Aula 4"))&gt;0,1,0)+IF((COUNTIF('D311'!E7,"Aula 4"))&gt;0,1,0)+IF((COUNTIF('D411'!E7,"Aula 4"))&gt;0,1,0))=0,"",IF((IF((COUNTIF('C111'!E7,"Aula 4")+COUNTIF('C112'!E7,"Aula 4")+COUNTIF('C113'!E7,"Aula 4")+COUNTIF('C121'!E7,"Aula 4")+COUNTIF('C122'!E7,"Aula 4"))&gt;0,1,0)+IF((COUNTIF('C211'!E7,"Aula 4")+COUNTIF('C212'!E7,"Aula 4"))&gt;0,1,0)+IF((COUNTIF('C311'!E7,"Aula 4")+COUNTIF('C312'!E7,"Aula 4"))&gt;0,1,0)+IF((COUNTIF('C411'!E7,"Aula 4")+COUNTIF('C412'!E7,"Aula 4"))&gt;0,1,0)+IF((COUNTIF('M111'!E7,"Aula 4")+COUNTIF('M112'!E7,"Aula 4"))&gt;0,1,0)+IF((COUNTIF('M211'!E7,"Aula 4")+COUNTIF('M212'!E7,"Aula 4"))&gt;0,1,0)+IF((COUNTIF('M311'!E7,"Aula 4"))&gt;0,1,0)+IF((COUNTIF('M411'!E7,"Aula 4"))&gt;0,1,0)+IF((COUNTIF('D111'!E7,"Aula 4")+COUNTIF('D112'!E7,"Aula 4"))&gt;0,1,0)+IF((COUNTIF('D211'!E7,"Aula 4"))&gt;0,1,0)+IF((COUNTIF('D311'!E7,"Aula 4"))&gt;0,1,0)+IF((COUNTIF('D411'!E7,"Aula 4"))&gt;0,1,0))=1,IF((COUNTIF('C111'!E7,"Aula 4")+COUNTIF('C112'!E7,"Aula 4")+COUNTIF('C113'!E7,"Aula 4")+COUNTIF('C121'!E7,"Aula 4")+COUNTIF('C122'!E7,"Aula 4"))&gt;0,"C1",IF((COUNTIF('C211'!E7,"Aula 4")+COUNTIF('C212'!E7,"Aula 4"))&gt;0,"C2",IF((COUNTIF('C311'!E7,"Aula 4")+COUNTIF('C312'!E7,"Aula 4"))&gt;0,"C3",IF((COUNTIF('C411'!E7,"Aula 4")+COUNTIF('C412'!E7,"Aula 4"))&gt;0,"C4",IF((COUNTIF('M111'!E7,"Aula 4")+COUNTIF('M112'!E7,"Aula 4"))&gt;0,"M1",IF((COUNTIF('M211'!E7,"Aula 4")+COUNTIF('M212'!E7,"Aula 4"))&gt;0,"M2",IF((COUNTIF('M311'!E7,"Aula 4"))&gt;0,"M3",IF((COUNTIF('M411'!E7,"Aula 4"))&gt;0,"M4",IF((COUNTIF('D111'!E7,"Aula 4")+COUNTIF('D112'!E7,"Aula 4"))&gt;0,"D1",IF((COUNTIF('D211'!E7,"Aula 4"))&gt;0,"D2",IF((COUNTIF('D311'!E7,"Aula 4"))&gt;0,"D3",IF((COUNTIF('D411'!E7,"Aula 4"))&gt;0,"D4","")))))))))))),"MIX"))</f>
        <v/>
      </c>
    </row>
    <row r="290">
      <c r="C290">
        <f>IF((IF((COUNTIF('C111'!E7,"Aula 5")+COUNTIF('C112'!E7,"Aula 5")+COUNTIF('C113'!E7,"Aula 5")+COUNTIF('C121'!E7,"Aula 5")+COUNTIF('C122'!E7,"Aula 5"))&gt;0,1,0)+IF((COUNTIF('C211'!E7,"Aula 5")+COUNTIF('C212'!E7,"Aula 5"))&gt;0,1,0)+IF((COUNTIF('C311'!E7,"Aula 5")+COUNTIF('C312'!E7,"Aula 5"))&gt;0,1,0)+IF((COUNTIF('C411'!E7,"Aula 5")+COUNTIF('C412'!E7,"Aula 5"))&gt;0,1,0)+IF((COUNTIF('M111'!E7,"Aula 5")+COUNTIF('M112'!E7,"Aula 5"))&gt;0,1,0)+IF((COUNTIF('M211'!E7,"Aula 5")+COUNTIF('M212'!E7,"Aula 5"))&gt;0,1,0)+IF((COUNTIF('M311'!E7,"Aula 5"))&gt;0,1,0)+IF((COUNTIF('M411'!E7,"Aula 5"))&gt;0,1,0)+IF((COUNTIF('D111'!E7,"Aula 5")+COUNTIF('D112'!E7,"Aula 5"))&gt;0,1,0)+IF((COUNTIF('D211'!E7,"Aula 5"))&gt;0,1,0)+IF((COUNTIF('D311'!E7,"Aula 5"))&gt;0,1,0)+IF((COUNTIF('D411'!E7,"Aula 5"))&gt;0,1,0))=0,"",IF((IF((COUNTIF('C111'!E7,"Aula 5")+COUNTIF('C112'!E7,"Aula 5")+COUNTIF('C113'!E7,"Aula 5")+COUNTIF('C121'!E7,"Aula 5")+COUNTIF('C122'!E7,"Aula 5"))&gt;0,1,0)+IF((COUNTIF('C211'!E7,"Aula 5")+COUNTIF('C212'!E7,"Aula 5"))&gt;0,1,0)+IF((COUNTIF('C311'!E7,"Aula 5")+COUNTIF('C312'!E7,"Aula 5"))&gt;0,1,0)+IF((COUNTIF('C411'!E7,"Aula 5")+COUNTIF('C412'!E7,"Aula 5"))&gt;0,1,0)+IF((COUNTIF('M111'!E7,"Aula 5")+COUNTIF('M112'!E7,"Aula 5"))&gt;0,1,0)+IF((COUNTIF('M211'!E7,"Aula 5")+COUNTIF('M212'!E7,"Aula 5"))&gt;0,1,0)+IF((COUNTIF('M311'!E7,"Aula 5"))&gt;0,1,0)+IF((COUNTIF('M411'!E7,"Aula 5"))&gt;0,1,0)+IF((COUNTIF('D111'!E7,"Aula 5")+COUNTIF('D112'!E7,"Aula 5"))&gt;0,1,0)+IF((COUNTIF('D211'!E7,"Aula 5"))&gt;0,1,0)+IF((COUNTIF('D311'!E7,"Aula 5"))&gt;0,1,0)+IF((COUNTIF('D411'!E7,"Aula 5"))&gt;0,1,0))=1,IF((COUNTIF('C111'!E7,"Aula 5")+COUNTIF('C112'!E7,"Aula 5")+COUNTIF('C113'!E7,"Aula 5")+COUNTIF('C121'!E7,"Aula 5")+COUNTIF('C122'!E7,"Aula 5"))&gt;0,"C1",IF((COUNTIF('C211'!E7,"Aula 5")+COUNTIF('C212'!E7,"Aula 5"))&gt;0,"C2",IF((COUNTIF('C311'!E7,"Aula 5")+COUNTIF('C312'!E7,"Aula 5"))&gt;0,"C3",IF((COUNTIF('C411'!E7,"Aula 5")+COUNTIF('C412'!E7,"Aula 5"))&gt;0,"C4",IF((COUNTIF('M111'!E7,"Aula 5")+COUNTIF('M112'!E7,"Aula 5"))&gt;0,"M1",IF((COUNTIF('M211'!E7,"Aula 5")+COUNTIF('M212'!E7,"Aula 5"))&gt;0,"M2",IF((COUNTIF('M311'!E7,"Aula 5"))&gt;0,"M3",IF((COUNTIF('M411'!E7,"Aula 5"))&gt;0,"M4",IF((COUNTIF('D111'!E7,"Aula 5")+COUNTIF('D112'!E7,"Aula 5"))&gt;0,"D1",IF((COUNTIF('D211'!E7,"Aula 5"))&gt;0,"D2",IF((COUNTIF('D311'!E7,"Aula 5"))&gt;0,"D3",IF((COUNTIF('D411'!E7,"Aula 5"))&gt;0,"D4","")))))))))))),"MIX"))</f>
        <v/>
      </c>
    </row>
    <row r="291">
      <c r="C291">
        <f>IF((IF((COUNTIF('C111'!E7,"Aula 6")+COUNTIF('C112'!E7,"Aula 6")+COUNTIF('C113'!E7,"Aula 6")+COUNTIF('C121'!E7,"Aula 6")+COUNTIF('C122'!E7,"Aula 6"))&gt;0,1,0)+IF((COUNTIF('C211'!E7,"Aula 6")+COUNTIF('C212'!E7,"Aula 6"))&gt;0,1,0)+IF((COUNTIF('C311'!E7,"Aula 6")+COUNTIF('C312'!E7,"Aula 6"))&gt;0,1,0)+IF((COUNTIF('C411'!E7,"Aula 6")+COUNTIF('C412'!E7,"Aula 6"))&gt;0,1,0)+IF((COUNTIF('M111'!E7,"Aula 6")+COUNTIF('M112'!E7,"Aula 6"))&gt;0,1,0)+IF((COUNTIF('M211'!E7,"Aula 6")+COUNTIF('M212'!E7,"Aula 6"))&gt;0,1,0)+IF((COUNTIF('M311'!E7,"Aula 6"))&gt;0,1,0)+IF((COUNTIF('M411'!E7,"Aula 6"))&gt;0,1,0)+IF((COUNTIF('D111'!E7,"Aula 6")+COUNTIF('D112'!E7,"Aula 6"))&gt;0,1,0)+IF((COUNTIF('D211'!E7,"Aula 6"))&gt;0,1,0)+IF((COUNTIF('D311'!E7,"Aula 6"))&gt;0,1,0)+IF((COUNTIF('D411'!E7,"Aula 6"))&gt;0,1,0))=0,"",IF((IF((COUNTIF('C111'!E7,"Aula 6")+COUNTIF('C112'!E7,"Aula 6")+COUNTIF('C113'!E7,"Aula 6")+COUNTIF('C121'!E7,"Aula 6")+COUNTIF('C122'!E7,"Aula 6"))&gt;0,1,0)+IF((COUNTIF('C211'!E7,"Aula 6")+COUNTIF('C212'!E7,"Aula 6"))&gt;0,1,0)+IF((COUNTIF('C311'!E7,"Aula 6")+COUNTIF('C312'!E7,"Aula 6"))&gt;0,1,0)+IF((COUNTIF('C411'!E7,"Aula 6")+COUNTIF('C412'!E7,"Aula 6"))&gt;0,1,0)+IF((COUNTIF('M111'!E7,"Aula 6")+COUNTIF('M112'!E7,"Aula 6"))&gt;0,1,0)+IF((COUNTIF('M211'!E7,"Aula 6")+COUNTIF('M212'!E7,"Aula 6"))&gt;0,1,0)+IF((COUNTIF('M311'!E7,"Aula 6"))&gt;0,1,0)+IF((COUNTIF('M411'!E7,"Aula 6"))&gt;0,1,0)+IF((COUNTIF('D111'!E7,"Aula 6")+COUNTIF('D112'!E7,"Aula 6"))&gt;0,1,0)+IF((COUNTIF('D211'!E7,"Aula 6"))&gt;0,1,0)+IF((COUNTIF('D311'!E7,"Aula 6"))&gt;0,1,0)+IF((COUNTIF('D411'!E7,"Aula 6"))&gt;0,1,0))=1,IF((COUNTIF('C111'!E7,"Aula 6")+COUNTIF('C112'!E7,"Aula 6")+COUNTIF('C113'!E7,"Aula 6")+COUNTIF('C121'!E7,"Aula 6")+COUNTIF('C122'!E7,"Aula 6"))&gt;0,"C1",IF((COUNTIF('C211'!E7,"Aula 6")+COUNTIF('C212'!E7,"Aula 6"))&gt;0,"C2",IF((COUNTIF('C311'!E7,"Aula 6")+COUNTIF('C312'!E7,"Aula 6"))&gt;0,"C3",IF((COUNTIF('C411'!E7,"Aula 6")+COUNTIF('C412'!E7,"Aula 6"))&gt;0,"C4",IF((COUNTIF('M111'!E7,"Aula 6")+COUNTIF('M112'!E7,"Aula 6"))&gt;0,"M1",IF((COUNTIF('M211'!E7,"Aula 6")+COUNTIF('M212'!E7,"Aula 6"))&gt;0,"M2",IF((COUNTIF('M311'!E7,"Aula 6"))&gt;0,"M3",IF((COUNTIF('M411'!E7,"Aula 6"))&gt;0,"M4",IF((COUNTIF('D111'!E7,"Aula 6")+COUNTIF('D112'!E7,"Aula 6"))&gt;0,"D1",IF((COUNTIF('D211'!E7,"Aula 6"))&gt;0,"D2",IF((COUNTIF('D311'!E7,"Aula 6"))&gt;0,"D3",IF((COUNTIF('D411'!E7,"Aula 6"))&gt;0,"D4","")))))))))))),"MIX"))</f>
        <v/>
      </c>
    </row>
    <row r="292">
      <c r="C292">
        <f>IF((IF((COUNTIF('C111'!E7,"Aula 7")+COUNTIF('C112'!E7,"Aula 7")+COUNTIF('C113'!E7,"Aula 7")+COUNTIF('C121'!E7,"Aula 7")+COUNTIF('C122'!E7,"Aula 7"))&gt;0,1,0)+IF((COUNTIF('C211'!E7,"Aula 7")+COUNTIF('C212'!E7,"Aula 7"))&gt;0,1,0)+IF((COUNTIF('C311'!E7,"Aula 7")+COUNTIF('C312'!E7,"Aula 7"))&gt;0,1,0)+IF((COUNTIF('C411'!E7,"Aula 7")+COUNTIF('C412'!E7,"Aula 7"))&gt;0,1,0)+IF((COUNTIF('M111'!E7,"Aula 7")+COUNTIF('M112'!E7,"Aula 7"))&gt;0,1,0)+IF((COUNTIF('M211'!E7,"Aula 7")+COUNTIF('M212'!E7,"Aula 7"))&gt;0,1,0)+IF((COUNTIF('M311'!E7,"Aula 7"))&gt;0,1,0)+IF((COUNTIF('M411'!E7,"Aula 7"))&gt;0,1,0)+IF((COUNTIF('D111'!E7,"Aula 7")+COUNTIF('D112'!E7,"Aula 7"))&gt;0,1,0)+IF((COUNTIF('D211'!E7,"Aula 7"))&gt;0,1,0)+IF((COUNTIF('D311'!E7,"Aula 7"))&gt;0,1,0)+IF((COUNTIF('D411'!E7,"Aula 7"))&gt;0,1,0))=0,"",IF((IF((COUNTIF('C111'!E7,"Aula 7")+COUNTIF('C112'!E7,"Aula 7")+COUNTIF('C113'!E7,"Aula 7")+COUNTIF('C121'!E7,"Aula 7")+COUNTIF('C122'!E7,"Aula 7"))&gt;0,1,0)+IF((COUNTIF('C211'!E7,"Aula 7")+COUNTIF('C212'!E7,"Aula 7"))&gt;0,1,0)+IF((COUNTIF('C311'!E7,"Aula 7")+COUNTIF('C312'!E7,"Aula 7"))&gt;0,1,0)+IF((COUNTIF('C411'!E7,"Aula 7")+COUNTIF('C412'!E7,"Aula 7"))&gt;0,1,0)+IF((COUNTIF('M111'!E7,"Aula 7")+COUNTIF('M112'!E7,"Aula 7"))&gt;0,1,0)+IF((COUNTIF('M211'!E7,"Aula 7")+COUNTIF('M212'!E7,"Aula 7"))&gt;0,1,0)+IF((COUNTIF('M311'!E7,"Aula 7"))&gt;0,1,0)+IF((COUNTIF('M411'!E7,"Aula 7"))&gt;0,1,0)+IF((COUNTIF('D111'!E7,"Aula 7")+COUNTIF('D112'!E7,"Aula 7"))&gt;0,1,0)+IF((COUNTIF('D211'!E7,"Aula 7"))&gt;0,1,0)+IF((COUNTIF('D311'!E7,"Aula 7"))&gt;0,1,0)+IF((COUNTIF('D411'!E7,"Aula 7"))&gt;0,1,0))=1,IF((COUNTIF('C111'!E7,"Aula 7")+COUNTIF('C112'!E7,"Aula 7")+COUNTIF('C113'!E7,"Aula 7")+COUNTIF('C121'!E7,"Aula 7")+COUNTIF('C122'!E7,"Aula 7"))&gt;0,"C1",IF((COUNTIF('C211'!E7,"Aula 7")+COUNTIF('C212'!E7,"Aula 7"))&gt;0,"C2",IF((COUNTIF('C311'!E7,"Aula 7")+COUNTIF('C312'!E7,"Aula 7"))&gt;0,"C3",IF((COUNTIF('C411'!E7,"Aula 7")+COUNTIF('C412'!E7,"Aula 7"))&gt;0,"C4",IF((COUNTIF('M111'!E7,"Aula 7")+COUNTIF('M112'!E7,"Aula 7"))&gt;0,"M1",IF((COUNTIF('M211'!E7,"Aula 7")+COUNTIF('M212'!E7,"Aula 7"))&gt;0,"M2",IF((COUNTIF('M311'!E7,"Aula 7"))&gt;0,"M3",IF((COUNTIF('M411'!E7,"Aula 7"))&gt;0,"M4",IF((COUNTIF('D111'!E7,"Aula 7")+COUNTIF('D112'!E7,"Aula 7"))&gt;0,"D1",IF((COUNTIF('D211'!E7,"Aula 7"))&gt;0,"D2",IF((COUNTIF('D311'!E7,"Aula 7"))&gt;0,"D3",IF((COUNTIF('D411'!E7,"Aula 7"))&gt;0,"D4","")))))))))))),"MIX"))</f>
        <v/>
      </c>
    </row>
    <row r="293">
      <c r="C293">
        <f>IF((IF((COUNTIF('C111'!E7,"Aula 8")+COUNTIF('C112'!E7,"Aula 8")+COUNTIF('C113'!E7,"Aula 8")+COUNTIF('C121'!E7,"Aula 8")+COUNTIF('C122'!E7,"Aula 8"))&gt;0,1,0)+IF((COUNTIF('C211'!E7,"Aula 8")+COUNTIF('C212'!E7,"Aula 8"))&gt;0,1,0)+IF((COUNTIF('C311'!E7,"Aula 8")+COUNTIF('C312'!E7,"Aula 8"))&gt;0,1,0)+IF((COUNTIF('C411'!E7,"Aula 8")+COUNTIF('C412'!E7,"Aula 8"))&gt;0,1,0)+IF((COUNTIF('M111'!E7,"Aula 8")+COUNTIF('M112'!E7,"Aula 8"))&gt;0,1,0)+IF((COUNTIF('M211'!E7,"Aula 8")+COUNTIF('M212'!E7,"Aula 8"))&gt;0,1,0)+IF((COUNTIF('M311'!E7,"Aula 8"))&gt;0,1,0)+IF((COUNTIF('M411'!E7,"Aula 8"))&gt;0,1,0)+IF((COUNTIF('D111'!E7,"Aula 8")+COUNTIF('D112'!E7,"Aula 8"))&gt;0,1,0)+IF((COUNTIF('D211'!E7,"Aula 8"))&gt;0,1,0)+IF((COUNTIF('D311'!E7,"Aula 8"))&gt;0,1,0)+IF((COUNTIF('D411'!E7,"Aula 8"))&gt;0,1,0))=0,"",IF((IF((COUNTIF('C111'!E7,"Aula 8")+COUNTIF('C112'!E7,"Aula 8")+COUNTIF('C113'!E7,"Aula 8")+COUNTIF('C121'!E7,"Aula 8")+COUNTIF('C122'!E7,"Aula 8"))&gt;0,1,0)+IF((COUNTIF('C211'!E7,"Aula 8")+COUNTIF('C212'!E7,"Aula 8"))&gt;0,1,0)+IF((COUNTIF('C311'!E7,"Aula 8")+COUNTIF('C312'!E7,"Aula 8"))&gt;0,1,0)+IF((COUNTIF('C411'!E7,"Aula 8")+COUNTIF('C412'!E7,"Aula 8"))&gt;0,1,0)+IF((COUNTIF('M111'!E7,"Aula 8")+COUNTIF('M112'!E7,"Aula 8"))&gt;0,1,0)+IF((COUNTIF('M211'!E7,"Aula 8")+COUNTIF('M212'!E7,"Aula 8"))&gt;0,1,0)+IF((COUNTIF('M311'!E7,"Aula 8"))&gt;0,1,0)+IF((COUNTIF('M411'!E7,"Aula 8"))&gt;0,1,0)+IF((COUNTIF('D111'!E7,"Aula 8")+COUNTIF('D112'!E7,"Aula 8"))&gt;0,1,0)+IF((COUNTIF('D211'!E7,"Aula 8"))&gt;0,1,0)+IF((COUNTIF('D311'!E7,"Aula 8"))&gt;0,1,0)+IF((COUNTIF('D411'!E7,"Aula 8"))&gt;0,1,0))=1,IF((COUNTIF('C111'!E7,"Aula 8")+COUNTIF('C112'!E7,"Aula 8")+COUNTIF('C113'!E7,"Aula 8")+COUNTIF('C121'!E7,"Aula 8")+COUNTIF('C122'!E7,"Aula 8"))&gt;0,"C1",IF((COUNTIF('C211'!E7,"Aula 8")+COUNTIF('C212'!E7,"Aula 8"))&gt;0,"C2",IF((COUNTIF('C311'!E7,"Aula 8")+COUNTIF('C312'!E7,"Aula 8"))&gt;0,"C3",IF((COUNTIF('C411'!E7,"Aula 8")+COUNTIF('C412'!E7,"Aula 8"))&gt;0,"C4",IF((COUNTIF('M111'!E7,"Aula 8")+COUNTIF('M112'!E7,"Aula 8"))&gt;0,"M1",IF((COUNTIF('M211'!E7,"Aula 8")+COUNTIF('M212'!E7,"Aula 8"))&gt;0,"M2",IF((COUNTIF('M311'!E7,"Aula 8"))&gt;0,"M3",IF((COUNTIF('M411'!E7,"Aula 8"))&gt;0,"M4",IF((COUNTIF('D111'!E7,"Aula 8")+COUNTIF('D112'!E7,"Aula 8"))&gt;0,"D1",IF((COUNTIF('D211'!E7,"Aula 8"))&gt;0,"D2",IF((COUNTIF('D311'!E7,"Aula 8"))&gt;0,"D3",IF((COUNTIF('D411'!E7,"Aula 8"))&gt;0,"D4","")))))))))))),"MIX"))</f>
        <v/>
      </c>
    </row>
    <row r="294">
      <c r="C294">
        <f>IF((IF((COUNTIF('C111'!E7,"Aula 9")+COUNTIF('C112'!E7,"Aula 9")+COUNTIF('C113'!E7,"Aula 9")+COUNTIF('C121'!E7,"Aula 9")+COUNTIF('C122'!E7,"Aula 9"))&gt;0,1,0)+IF((COUNTIF('C211'!E7,"Aula 9")+COUNTIF('C212'!E7,"Aula 9"))&gt;0,1,0)+IF((COUNTIF('C311'!E7,"Aula 9")+COUNTIF('C312'!E7,"Aula 9"))&gt;0,1,0)+IF((COUNTIF('C411'!E7,"Aula 9")+COUNTIF('C412'!E7,"Aula 9"))&gt;0,1,0)+IF((COUNTIF('M111'!E7,"Aula 9")+COUNTIF('M112'!E7,"Aula 9"))&gt;0,1,0)+IF((COUNTIF('M211'!E7,"Aula 9")+COUNTIF('M212'!E7,"Aula 9"))&gt;0,1,0)+IF((COUNTIF('M311'!E7,"Aula 9"))&gt;0,1,0)+IF((COUNTIF('M411'!E7,"Aula 9"))&gt;0,1,0)+IF((COUNTIF('D111'!E7,"Aula 9")+COUNTIF('D112'!E7,"Aula 9"))&gt;0,1,0)+IF((COUNTIF('D211'!E7,"Aula 9"))&gt;0,1,0)+IF((COUNTIF('D311'!E7,"Aula 9"))&gt;0,1,0)+IF((COUNTIF('D411'!E7,"Aula 9"))&gt;0,1,0))=0,"",IF((IF((COUNTIF('C111'!E7,"Aula 9")+COUNTIF('C112'!E7,"Aula 9")+COUNTIF('C113'!E7,"Aula 9")+COUNTIF('C121'!E7,"Aula 9")+COUNTIF('C122'!E7,"Aula 9"))&gt;0,1,0)+IF((COUNTIF('C211'!E7,"Aula 9")+COUNTIF('C212'!E7,"Aula 9"))&gt;0,1,0)+IF((COUNTIF('C311'!E7,"Aula 9")+COUNTIF('C312'!E7,"Aula 9"))&gt;0,1,0)+IF((COUNTIF('C411'!E7,"Aula 9")+COUNTIF('C412'!E7,"Aula 9"))&gt;0,1,0)+IF((COUNTIF('M111'!E7,"Aula 9")+COUNTIF('M112'!E7,"Aula 9"))&gt;0,1,0)+IF((COUNTIF('M211'!E7,"Aula 9")+COUNTIF('M212'!E7,"Aula 9"))&gt;0,1,0)+IF((COUNTIF('M311'!E7,"Aula 9"))&gt;0,1,0)+IF((COUNTIF('M411'!E7,"Aula 9"))&gt;0,1,0)+IF((COUNTIF('D111'!E7,"Aula 9")+COUNTIF('D112'!E7,"Aula 9"))&gt;0,1,0)+IF((COUNTIF('D211'!E7,"Aula 9"))&gt;0,1,0)+IF((COUNTIF('D311'!E7,"Aula 9"))&gt;0,1,0)+IF((COUNTIF('D411'!E7,"Aula 9"))&gt;0,1,0))=1,IF((COUNTIF('C111'!E7,"Aula 9")+COUNTIF('C112'!E7,"Aula 9")+COUNTIF('C113'!E7,"Aula 9")+COUNTIF('C121'!E7,"Aula 9")+COUNTIF('C122'!E7,"Aula 9"))&gt;0,"C1",IF((COUNTIF('C211'!E7,"Aula 9")+COUNTIF('C212'!E7,"Aula 9"))&gt;0,"C2",IF((COUNTIF('C311'!E7,"Aula 9")+COUNTIF('C312'!E7,"Aula 9"))&gt;0,"C3",IF((COUNTIF('C411'!E7,"Aula 9")+COUNTIF('C412'!E7,"Aula 9"))&gt;0,"C4",IF((COUNTIF('M111'!E7,"Aula 9")+COUNTIF('M112'!E7,"Aula 9"))&gt;0,"M1",IF((COUNTIF('M211'!E7,"Aula 9")+COUNTIF('M212'!E7,"Aula 9"))&gt;0,"M2",IF((COUNTIF('M311'!E7,"Aula 9"))&gt;0,"M3",IF((COUNTIF('M411'!E7,"Aula 9"))&gt;0,"M4",IF((COUNTIF('D111'!E7,"Aula 9")+COUNTIF('D112'!E7,"Aula 9"))&gt;0,"D1",IF((COUNTIF('D211'!E7,"Aula 9"))&gt;0,"D2",IF((COUNTIF('D311'!E7,"Aula 9"))&gt;0,"D3",IF((COUNTIF('D411'!E7,"Aula 9"))&gt;0,"D4","")))))))))))),"MIX"))</f>
        <v/>
      </c>
    </row>
    <row r="295">
      <c r="C295">
        <f>IF((IF((COUNTIF('C111'!E7,"Aula 10")+COUNTIF('C112'!E7,"Aula 10")+COUNTIF('C113'!E7,"Aula 10")+COUNTIF('C121'!E7,"Aula 10")+COUNTIF('C122'!E7,"Aula 10"))&gt;0,1,0)+IF((COUNTIF('C211'!E7,"Aula 10")+COUNTIF('C212'!E7,"Aula 10"))&gt;0,1,0)+IF((COUNTIF('C311'!E7,"Aula 10")+COUNTIF('C312'!E7,"Aula 10"))&gt;0,1,0)+IF((COUNTIF('C411'!E7,"Aula 10")+COUNTIF('C412'!E7,"Aula 10"))&gt;0,1,0)+IF((COUNTIF('M111'!E7,"Aula 10")+COUNTIF('M112'!E7,"Aula 10"))&gt;0,1,0)+IF((COUNTIF('M211'!E7,"Aula 10")+COUNTIF('M212'!E7,"Aula 10"))&gt;0,1,0)+IF((COUNTIF('M311'!E7,"Aula 10"))&gt;0,1,0)+IF((COUNTIF('M411'!E7,"Aula 10"))&gt;0,1,0)+IF((COUNTIF('D111'!E7,"Aula 10")+COUNTIF('D112'!E7,"Aula 10"))&gt;0,1,0)+IF((COUNTIF('D211'!E7,"Aula 10"))&gt;0,1,0)+IF((COUNTIF('D311'!E7,"Aula 10"))&gt;0,1,0)+IF((COUNTIF('D411'!E7,"Aula 10"))&gt;0,1,0))=0,"",IF((IF((COUNTIF('C111'!E7,"Aula 10")+COUNTIF('C112'!E7,"Aula 10")+COUNTIF('C113'!E7,"Aula 10")+COUNTIF('C121'!E7,"Aula 10")+COUNTIF('C122'!E7,"Aula 10"))&gt;0,1,0)+IF((COUNTIF('C211'!E7,"Aula 10")+COUNTIF('C212'!E7,"Aula 10"))&gt;0,1,0)+IF((COUNTIF('C311'!E7,"Aula 10")+COUNTIF('C312'!E7,"Aula 10"))&gt;0,1,0)+IF((COUNTIF('C411'!E7,"Aula 10")+COUNTIF('C412'!E7,"Aula 10"))&gt;0,1,0)+IF((COUNTIF('M111'!E7,"Aula 10")+COUNTIF('M112'!E7,"Aula 10"))&gt;0,1,0)+IF((COUNTIF('M211'!E7,"Aula 10")+COUNTIF('M212'!E7,"Aula 10"))&gt;0,1,0)+IF((COUNTIF('M311'!E7,"Aula 10"))&gt;0,1,0)+IF((COUNTIF('M411'!E7,"Aula 10"))&gt;0,1,0)+IF((COUNTIF('D111'!E7,"Aula 10")+COUNTIF('D112'!E7,"Aula 10"))&gt;0,1,0)+IF((COUNTIF('D211'!E7,"Aula 10"))&gt;0,1,0)+IF((COUNTIF('D311'!E7,"Aula 10"))&gt;0,1,0)+IF((COUNTIF('D411'!E7,"Aula 10"))&gt;0,1,0))=1,IF((COUNTIF('C111'!E7,"Aula 10")+COUNTIF('C112'!E7,"Aula 10")+COUNTIF('C113'!E7,"Aula 10")+COUNTIF('C121'!E7,"Aula 10")+COUNTIF('C122'!E7,"Aula 10"))&gt;0,"C1",IF((COUNTIF('C211'!E7,"Aula 10")+COUNTIF('C212'!E7,"Aula 10"))&gt;0,"C2",IF((COUNTIF('C311'!E7,"Aula 10")+COUNTIF('C312'!E7,"Aula 10"))&gt;0,"C3",IF((COUNTIF('C411'!E7,"Aula 10")+COUNTIF('C412'!E7,"Aula 10"))&gt;0,"C4",IF((COUNTIF('M111'!E7,"Aula 10")+COUNTIF('M112'!E7,"Aula 10"))&gt;0,"M1",IF((COUNTIF('M211'!E7,"Aula 10")+COUNTIF('M212'!E7,"Aula 10"))&gt;0,"M2",IF((COUNTIF('M311'!E7,"Aula 10"))&gt;0,"M3",IF((COUNTIF('M411'!E7,"Aula 10"))&gt;0,"M4",IF((COUNTIF('D111'!E7,"Aula 10")+COUNTIF('D112'!E7,"Aula 10"))&gt;0,"D1",IF((COUNTIF('D211'!E7,"Aula 10"))&gt;0,"D2",IF((COUNTIF('D311'!E7,"Aula 10"))&gt;0,"D3",IF((COUNTIF('D411'!E7,"Aula 10"))&gt;0,"D4","")))))))))))),"MIX"))</f>
        <v/>
      </c>
    </row>
    <row r="296">
      <c r="C296">
        <f>IF((IF((COUNTIF('C111'!E7,"Aula 11")+COUNTIF('C112'!E7,"Aula 11")+COUNTIF('C113'!E7,"Aula 11")+COUNTIF('C121'!E7,"Aula 11")+COUNTIF('C122'!E7,"Aula 11"))&gt;0,1,0)+IF((COUNTIF('C211'!E7,"Aula 11")+COUNTIF('C212'!E7,"Aula 11"))&gt;0,1,0)+IF((COUNTIF('C311'!E7,"Aula 11")+COUNTIF('C312'!E7,"Aula 11"))&gt;0,1,0)+IF((COUNTIF('C411'!E7,"Aula 11")+COUNTIF('C412'!E7,"Aula 11"))&gt;0,1,0)+IF((COUNTIF('M111'!E7,"Aula 11")+COUNTIF('M112'!E7,"Aula 11"))&gt;0,1,0)+IF((COUNTIF('M211'!E7,"Aula 11")+COUNTIF('M212'!E7,"Aula 11"))&gt;0,1,0)+IF((COUNTIF('M311'!E7,"Aula 11"))&gt;0,1,0)+IF((COUNTIF('M411'!E7,"Aula 11"))&gt;0,1,0)+IF((COUNTIF('D111'!E7,"Aula 11")+COUNTIF('D112'!E7,"Aula 11"))&gt;0,1,0)+IF((COUNTIF('D211'!E7,"Aula 11"))&gt;0,1,0)+IF((COUNTIF('D311'!E7,"Aula 11"))&gt;0,1,0)+IF((COUNTIF('D411'!E7,"Aula 11"))&gt;0,1,0))=0,"",IF((IF((COUNTIF('C111'!E7,"Aula 11")+COUNTIF('C112'!E7,"Aula 11")+COUNTIF('C113'!E7,"Aula 11")+COUNTIF('C121'!E7,"Aula 11")+COUNTIF('C122'!E7,"Aula 11"))&gt;0,1,0)+IF((COUNTIF('C211'!E7,"Aula 11")+COUNTIF('C212'!E7,"Aula 11"))&gt;0,1,0)+IF((COUNTIF('C311'!E7,"Aula 11")+COUNTIF('C312'!E7,"Aula 11"))&gt;0,1,0)+IF((COUNTIF('C411'!E7,"Aula 11")+COUNTIF('C412'!E7,"Aula 11"))&gt;0,1,0)+IF((COUNTIF('M111'!E7,"Aula 11")+COUNTIF('M112'!E7,"Aula 11"))&gt;0,1,0)+IF((COUNTIF('M211'!E7,"Aula 11")+COUNTIF('M212'!E7,"Aula 11"))&gt;0,1,0)+IF((COUNTIF('M311'!E7,"Aula 11"))&gt;0,1,0)+IF((COUNTIF('M411'!E7,"Aula 11"))&gt;0,1,0)+IF((COUNTIF('D111'!E7,"Aula 11")+COUNTIF('D112'!E7,"Aula 11"))&gt;0,1,0)+IF((COUNTIF('D211'!E7,"Aula 11"))&gt;0,1,0)+IF((COUNTIF('D311'!E7,"Aula 11"))&gt;0,1,0)+IF((COUNTIF('D411'!E7,"Aula 11"))&gt;0,1,0))=1,IF((COUNTIF('C111'!E7,"Aula 11")+COUNTIF('C112'!E7,"Aula 11")+COUNTIF('C113'!E7,"Aula 11")+COUNTIF('C121'!E7,"Aula 11")+COUNTIF('C122'!E7,"Aula 11"))&gt;0,"C1",IF((COUNTIF('C211'!E7,"Aula 11")+COUNTIF('C212'!E7,"Aula 11"))&gt;0,"C2",IF((COUNTIF('C311'!E7,"Aula 11")+COUNTIF('C312'!E7,"Aula 11"))&gt;0,"C3",IF((COUNTIF('C411'!E7,"Aula 11")+COUNTIF('C412'!E7,"Aula 11"))&gt;0,"C4",IF((COUNTIF('M111'!E7,"Aula 11")+COUNTIF('M112'!E7,"Aula 11"))&gt;0,"M1",IF((COUNTIF('M211'!E7,"Aula 11")+COUNTIF('M212'!E7,"Aula 11"))&gt;0,"M2",IF((COUNTIF('M311'!E7,"Aula 11"))&gt;0,"M3",IF((COUNTIF('M411'!E7,"Aula 11"))&gt;0,"M4",IF((COUNTIF('D111'!E7,"Aula 11")+COUNTIF('D112'!E7,"Aula 11"))&gt;0,"D1",IF((COUNTIF('D211'!E7,"Aula 11"))&gt;0,"D2",IF((COUNTIF('D311'!E7,"Aula 11"))&gt;0,"D3",IF((COUNTIF('D411'!E7,"Aula 11"))&gt;0,"D4","")))))))))))),"MIX"))</f>
        <v/>
      </c>
    </row>
    <row r="297">
      <c r="C297">
        <f>IF((IF((COUNTIF('C111'!E7,"Aula 12")+COUNTIF('C112'!E7,"Aula 12")+COUNTIF('C113'!E7,"Aula 12")+COUNTIF('C121'!E7,"Aula 12")+COUNTIF('C122'!E7,"Aula 12"))&gt;0,1,0)+IF((COUNTIF('C211'!E7,"Aula 12")+COUNTIF('C212'!E7,"Aula 12"))&gt;0,1,0)+IF((COUNTIF('C311'!E7,"Aula 12")+COUNTIF('C312'!E7,"Aula 12"))&gt;0,1,0)+IF((COUNTIF('C411'!E7,"Aula 12")+COUNTIF('C412'!E7,"Aula 12"))&gt;0,1,0)+IF((COUNTIF('M111'!E7,"Aula 12")+COUNTIF('M112'!E7,"Aula 12"))&gt;0,1,0)+IF((COUNTIF('M211'!E7,"Aula 12")+COUNTIF('M212'!E7,"Aula 12"))&gt;0,1,0)+IF((COUNTIF('M311'!E7,"Aula 12"))&gt;0,1,0)+IF((COUNTIF('M411'!E7,"Aula 12"))&gt;0,1,0)+IF((COUNTIF('D111'!E7,"Aula 12")+COUNTIF('D112'!E7,"Aula 12"))&gt;0,1,0)+IF((COUNTIF('D211'!E7,"Aula 12"))&gt;0,1,0)+IF((COUNTIF('D311'!E7,"Aula 12"))&gt;0,1,0)+IF((COUNTIF('D411'!E7,"Aula 12"))&gt;0,1,0))=0,"",IF((IF((COUNTIF('C111'!E7,"Aula 12")+COUNTIF('C112'!E7,"Aula 12")+COUNTIF('C113'!E7,"Aula 12")+COUNTIF('C121'!E7,"Aula 12")+COUNTIF('C122'!E7,"Aula 12"))&gt;0,1,0)+IF((COUNTIF('C211'!E7,"Aula 12")+COUNTIF('C212'!E7,"Aula 12"))&gt;0,1,0)+IF((COUNTIF('C311'!E7,"Aula 12")+COUNTIF('C312'!E7,"Aula 12"))&gt;0,1,0)+IF((COUNTIF('C411'!E7,"Aula 12")+COUNTIF('C412'!E7,"Aula 12"))&gt;0,1,0)+IF((COUNTIF('M111'!E7,"Aula 12")+COUNTIF('M112'!E7,"Aula 12"))&gt;0,1,0)+IF((COUNTIF('M211'!E7,"Aula 12")+COUNTIF('M212'!E7,"Aula 12"))&gt;0,1,0)+IF((COUNTIF('M311'!E7,"Aula 12"))&gt;0,1,0)+IF((COUNTIF('M411'!E7,"Aula 12"))&gt;0,1,0)+IF((COUNTIF('D111'!E7,"Aula 12")+COUNTIF('D112'!E7,"Aula 12"))&gt;0,1,0)+IF((COUNTIF('D211'!E7,"Aula 12"))&gt;0,1,0)+IF((COUNTIF('D311'!E7,"Aula 12"))&gt;0,1,0)+IF((COUNTIF('D411'!E7,"Aula 12"))&gt;0,1,0))=1,IF((COUNTIF('C111'!E7,"Aula 12")+COUNTIF('C112'!E7,"Aula 12")+COUNTIF('C113'!E7,"Aula 12")+COUNTIF('C121'!E7,"Aula 12")+COUNTIF('C122'!E7,"Aula 12"))&gt;0,"C1",IF((COUNTIF('C211'!E7,"Aula 12")+COUNTIF('C212'!E7,"Aula 12"))&gt;0,"C2",IF((COUNTIF('C311'!E7,"Aula 12")+COUNTIF('C312'!E7,"Aula 12"))&gt;0,"C3",IF((COUNTIF('C411'!E7,"Aula 12")+COUNTIF('C412'!E7,"Aula 12"))&gt;0,"C4",IF((COUNTIF('M111'!E7,"Aula 12")+COUNTIF('M112'!E7,"Aula 12"))&gt;0,"M1",IF((COUNTIF('M211'!E7,"Aula 12")+COUNTIF('M212'!E7,"Aula 12"))&gt;0,"M2",IF((COUNTIF('M311'!E7,"Aula 12"))&gt;0,"M3",IF((COUNTIF('M411'!E7,"Aula 12"))&gt;0,"M4",IF((COUNTIF('D111'!E7,"Aula 12")+COUNTIF('D112'!E7,"Aula 12"))&gt;0,"D1",IF((COUNTIF('D211'!E7,"Aula 12"))&gt;0,"D2",IF((COUNTIF('D311'!E7,"Aula 12"))&gt;0,"D3",IF((COUNTIF('D411'!E7,"Aula 12"))&gt;0,"D4","")))))))))))),"MIX"))</f>
        <v/>
      </c>
    </row>
    <row r="298">
      <c r="C298">
        <f>IF((IF((COUNTIF('C111'!E7,"Lab 1")+COUNTIF('C112'!E7,"Lab 1")+COUNTIF('C113'!E7,"Lab 1")+COUNTIF('C121'!E7,"Lab 1")+COUNTIF('C122'!E7,"Lab 1"))&gt;0,1,0)+IF((COUNTIF('C211'!E7,"Lab 1")+COUNTIF('C212'!E7,"Lab 1"))&gt;0,1,0)+IF((COUNTIF('C311'!E7,"Lab 1")+COUNTIF('C312'!E7,"Lab 1"))&gt;0,1,0)+IF((COUNTIF('C411'!E7,"Lab 1")+COUNTIF('C412'!E7,"Lab 1"))&gt;0,1,0)+IF((COUNTIF('M111'!E7,"Lab 1")+COUNTIF('M112'!E7,"Lab 1"))&gt;0,1,0)+IF((COUNTIF('M211'!E7,"Lab 1")+COUNTIF('M212'!E7,"Lab 1"))&gt;0,1,0)+IF((COUNTIF('M311'!E7,"Lab 1"))&gt;0,1,0)+IF((COUNTIF('M411'!E7,"Lab 1"))&gt;0,1,0)+IF((COUNTIF('D111'!E7,"Lab 1")+COUNTIF('D112'!E7,"Lab 1"))&gt;0,1,0)+IF((COUNTIF('D211'!E7,"Lab 1"))&gt;0,1,0)+IF((COUNTIF('D311'!E7,"Lab 1"))&gt;0,1,0)+IF((COUNTIF('D411'!E7,"Lab 1"))&gt;0,1,0))=0,"",IF((IF((COUNTIF('C111'!E7,"Lab 1")+COUNTIF('C112'!E7,"Lab 1")+COUNTIF('C113'!E7,"Lab 1")+COUNTIF('C121'!E7,"Lab 1")+COUNTIF('C122'!E7,"Lab 1"))&gt;0,1,0)+IF((COUNTIF('C211'!E7,"Lab 1")+COUNTIF('C212'!E7,"Lab 1"))&gt;0,1,0)+IF((COUNTIF('C311'!E7,"Lab 1")+COUNTIF('C312'!E7,"Lab 1"))&gt;0,1,0)+IF((COUNTIF('C411'!E7,"Lab 1")+COUNTIF('C412'!E7,"Lab 1"))&gt;0,1,0)+IF((COUNTIF('M111'!E7,"Lab 1")+COUNTIF('M112'!E7,"Lab 1"))&gt;0,1,0)+IF((COUNTIF('M211'!E7,"Lab 1")+COUNTIF('M212'!E7,"Lab 1"))&gt;0,1,0)+IF((COUNTIF('M311'!E7,"Lab 1"))&gt;0,1,0)+IF((COUNTIF('M411'!E7,"Lab 1"))&gt;0,1,0)+IF((COUNTIF('D111'!E7,"Lab 1")+COUNTIF('D112'!E7,"Lab 1"))&gt;0,1,0)+IF((COUNTIF('D211'!E7,"Lab 1"))&gt;0,1,0)+IF((COUNTIF('D311'!E7,"Lab 1"))&gt;0,1,0)+IF((COUNTIF('D411'!E7,"Lab 1"))&gt;0,1,0))=1,IF((COUNTIF('C111'!E7,"Lab 1")+COUNTIF('C112'!E7,"Lab 1")+COUNTIF('C113'!E7,"Lab 1")+COUNTIF('C121'!E7,"Lab 1")+COUNTIF('C122'!E7,"Lab 1"))&gt;0,"C1",IF((COUNTIF('C211'!E7,"Lab 1")+COUNTIF('C212'!E7,"Lab 1"))&gt;0,"C2",IF((COUNTIF('C311'!E7,"Lab 1")+COUNTIF('C312'!E7,"Lab 1"))&gt;0,"C3",IF((COUNTIF('C411'!E7,"Lab 1")+COUNTIF('C412'!E7,"Lab 1"))&gt;0,"C4",IF((COUNTIF('M111'!E7,"Lab 1")+COUNTIF('M112'!E7,"Lab 1"))&gt;0,"M1",IF((COUNTIF('M211'!E7,"Lab 1")+COUNTIF('M212'!E7,"Lab 1"))&gt;0,"M2",IF((COUNTIF('M311'!E7,"Lab 1"))&gt;0,"M3",IF((COUNTIF('M411'!E7,"Lab 1"))&gt;0,"M4",IF((COUNTIF('D111'!E7,"Lab 1")+COUNTIF('D112'!E7,"Lab 1"))&gt;0,"D1",IF((COUNTIF('D211'!E7,"Lab 1"))&gt;0,"D2",IF((COUNTIF('D311'!E7,"Lab 1"))&gt;0,"D3",IF((COUNTIF('D411'!E7,"Lab 1"))&gt;0,"D4","")))))))))))),"MIX"))</f>
        <v/>
      </c>
    </row>
    <row r="299">
      <c r="C299">
        <f>IF((IF((COUNTIF('C111'!E7,"Lab 2")+COUNTIF('C112'!E7,"Lab 2")+COUNTIF('C113'!E7,"Lab 2")+COUNTIF('C121'!E7,"Lab 2")+COUNTIF('C122'!E7,"Lab 2"))&gt;0,1,0)+IF((COUNTIF('C211'!E7,"Lab 2")+COUNTIF('C212'!E7,"Lab 2"))&gt;0,1,0)+IF((COUNTIF('C311'!E7,"Lab 2")+COUNTIF('C312'!E7,"Lab 2"))&gt;0,1,0)+IF((COUNTIF('C411'!E7,"Lab 2")+COUNTIF('C412'!E7,"Lab 2"))&gt;0,1,0)+IF((COUNTIF('M111'!E7,"Lab 2")+COUNTIF('M112'!E7,"Lab 2"))&gt;0,1,0)+IF((COUNTIF('M211'!E7,"Lab 2")+COUNTIF('M212'!E7,"Lab 2"))&gt;0,1,0)+IF((COUNTIF('M311'!E7,"Lab 2"))&gt;0,1,0)+IF((COUNTIF('M411'!E7,"Lab 2"))&gt;0,1,0)+IF((COUNTIF('D111'!E7,"Lab 2")+COUNTIF('D112'!E7,"Lab 2"))&gt;0,1,0)+IF((COUNTIF('D211'!E7,"Lab 2"))&gt;0,1,0)+IF((COUNTIF('D311'!E7,"Lab 2"))&gt;0,1,0)+IF((COUNTIF('D411'!E7,"Lab 2"))&gt;0,1,0))=0,"",IF((IF((COUNTIF('C111'!E7,"Lab 2")+COUNTIF('C112'!E7,"Lab 2")+COUNTIF('C113'!E7,"Lab 2")+COUNTIF('C121'!E7,"Lab 2")+COUNTIF('C122'!E7,"Lab 2"))&gt;0,1,0)+IF((COUNTIF('C211'!E7,"Lab 2")+COUNTIF('C212'!E7,"Lab 2"))&gt;0,1,0)+IF((COUNTIF('C311'!E7,"Lab 2")+COUNTIF('C312'!E7,"Lab 2"))&gt;0,1,0)+IF((COUNTIF('C411'!E7,"Lab 2")+COUNTIF('C412'!E7,"Lab 2"))&gt;0,1,0)+IF((COUNTIF('M111'!E7,"Lab 2")+COUNTIF('M112'!E7,"Lab 2"))&gt;0,1,0)+IF((COUNTIF('M211'!E7,"Lab 2")+COUNTIF('M212'!E7,"Lab 2"))&gt;0,1,0)+IF((COUNTIF('M311'!E7,"Lab 2"))&gt;0,1,0)+IF((COUNTIF('M411'!E7,"Lab 2"))&gt;0,1,0)+IF((COUNTIF('D111'!E7,"Lab 2")+COUNTIF('D112'!E7,"Lab 2"))&gt;0,1,0)+IF((COUNTIF('D211'!E7,"Lab 2"))&gt;0,1,0)+IF((COUNTIF('D311'!E7,"Lab 2"))&gt;0,1,0)+IF((COUNTIF('D411'!E7,"Lab 2"))&gt;0,1,0))=1,IF((COUNTIF('C111'!E7,"Lab 2")+COUNTIF('C112'!E7,"Lab 2")+COUNTIF('C113'!E7,"Lab 2")+COUNTIF('C121'!E7,"Lab 2")+COUNTIF('C122'!E7,"Lab 2"))&gt;0,"C1",IF((COUNTIF('C211'!E7,"Lab 2")+COUNTIF('C212'!E7,"Lab 2"))&gt;0,"C2",IF((COUNTIF('C311'!E7,"Lab 2")+COUNTIF('C312'!E7,"Lab 2"))&gt;0,"C3",IF((COUNTIF('C411'!E7,"Lab 2")+COUNTIF('C412'!E7,"Lab 2"))&gt;0,"C4",IF((COUNTIF('M111'!E7,"Lab 2")+COUNTIF('M112'!E7,"Lab 2"))&gt;0,"M1",IF((COUNTIF('M211'!E7,"Lab 2")+COUNTIF('M212'!E7,"Lab 2"))&gt;0,"M2",IF((COUNTIF('M311'!E7,"Lab 2"))&gt;0,"M3",IF((COUNTIF('M411'!E7,"Lab 2"))&gt;0,"M4",IF((COUNTIF('D111'!E7,"Lab 2")+COUNTIF('D112'!E7,"Lab 2"))&gt;0,"D1",IF((COUNTIF('D211'!E7,"Lab 2"))&gt;0,"D2",IF((COUNTIF('D311'!E7,"Lab 2"))&gt;0,"D3",IF((COUNTIF('D411'!E7,"Lab 2"))&gt;0,"D4","")))))))))))),"MIX"))</f>
        <v/>
      </c>
    </row>
    <row r="300">
      <c r="C300">
        <f>IF((IF((COUNTIF('C111'!E7,"Salón")+COUNTIF('C112'!E7,"Salón")+COUNTIF('C113'!E7,"Salón")+COUNTIF('C121'!E7,"Salón")+COUNTIF('C122'!E7,"Salón"))&gt;0,1,0)+IF((COUNTIF('C211'!E7,"Salón")+COUNTIF('C212'!E7,"Salón"))&gt;0,1,0)+IF((COUNTIF('C311'!E7,"Salón")+COUNTIF('C312'!E7,"Salón"))&gt;0,1,0)+IF((COUNTIF('C411'!E7,"Salón")+COUNTIF('C412'!E7,"Salón"))&gt;0,1,0)+IF((COUNTIF('M111'!E7,"Salón")+COUNTIF('M112'!E7,"Salón"))&gt;0,1,0)+IF((COUNTIF('M211'!E7,"Salón")+COUNTIF('M212'!E7,"Salón"))&gt;0,1,0)+IF((COUNTIF('M311'!E7,"Salón"))&gt;0,1,0)+IF((COUNTIF('M411'!E7,"Salón"))&gt;0,1,0)+IF((COUNTIF('D111'!E7,"Salón")+COUNTIF('D112'!E7,"Salón"))&gt;0,1,0)+IF((COUNTIF('D211'!E7,"Salón"))&gt;0,1,0)+IF((COUNTIF('D311'!E7,"Salón"))&gt;0,1,0)+IF((COUNTIF('D411'!E7,"Salón"))&gt;0,1,0))=0,"",IF((IF((COUNTIF('C111'!E7,"Salón")+COUNTIF('C112'!E7,"Salón")+COUNTIF('C113'!E7,"Salón")+COUNTIF('C121'!E7,"Salón")+COUNTIF('C122'!E7,"Salón"))&gt;0,1,0)+IF((COUNTIF('C211'!E7,"Salón")+COUNTIF('C212'!E7,"Salón"))&gt;0,1,0)+IF((COUNTIF('C311'!E7,"Salón")+COUNTIF('C312'!E7,"Salón"))&gt;0,1,0)+IF((COUNTIF('C411'!E7,"Salón")+COUNTIF('C412'!E7,"Salón"))&gt;0,1,0)+IF((COUNTIF('M111'!E7,"Salón")+COUNTIF('M112'!E7,"Salón"))&gt;0,1,0)+IF((COUNTIF('M211'!E7,"Salón")+COUNTIF('M212'!E7,"Salón"))&gt;0,1,0)+IF((COUNTIF('M311'!E7,"Salón"))&gt;0,1,0)+IF((COUNTIF('M411'!E7,"Salón"))&gt;0,1,0)+IF((COUNTIF('D111'!E7,"Salón")+COUNTIF('D112'!E7,"Salón"))&gt;0,1,0)+IF((COUNTIF('D211'!E7,"Salón"))&gt;0,1,0)+IF((COUNTIF('D311'!E7,"Salón"))&gt;0,1,0)+IF((COUNTIF('D411'!E7,"Salón"))&gt;0,1,0))=1,IF((COUNTIF('C111'!E7,"Salón")+COUNTIF('C112'!E7,"Salón")+COUNTIF('C113'!E7,"Salón")+COUNTIF('C121'!E7,"Salón")+COUNTIF('C122'!E7,"Salón"))&gt;0,"C1",IF((COUNTIF('C211'!E7,"Salón")+COUNTIF('C212'!E7,"Salón"))&gt;0,"C2",IF((COUNTIF('C311'!E7,"Salón")+COUNTIF('C312'!E7,"Salón"))&gt;0,"C3",IF((COUNTIF('C411'!E7,"Salón")+COUNTIF('C412'!E7,"Salón"))&gt;0,"C4",IF((COUNTIF('M111'!E7,"Salón")+COUNTIF('M112'!E7,"Salón"))&gt;0,"M1",IF((COUNTIF('M211'!E7,"Salón")+COUNTIF('M212'!E7,"Salón"))&gt;0,"M2",IF((COUNTIF('M311'!E7,"Salón"))&gt;0,"M3",IF((COUNTIF('M411'!E7,"Salón"))&gt;0,"M4",IF((COUNTIF('D111'!E7,"Salón")+COUNTIF('D112'!E7,"Salón"))&gt;0,"D1",IF((COUNTIF('D211'!E7,"Salón"))&gt;0,"D2",IF((COUNTIF('D311'!E7,"Salón"))&gt;0,"D3",IF((COUNTIF('D411'!E7,"Salón"))&gt;0,"D4","")))))))))))),"MIX"))</f>
        <v/>
      </c>
    </row>
    <row r="301">
      <c r="C301">
        <f>IF((IF((COUNTIF('C111'!E9,"Aula 1")+COUNTIF('C112'!E9,"Aula 1")+COUNTIF('C113'!E9,"Aula 1")+COUNTIF('C121'!E9,"Aula 1")+COUNTIF('C122'!E9,"Aula 1"))&gt;0,1,0)+IF((COUNTIF('C211'!E9,"Aula 1")+COUNTIF('C212'!E9,"Aula 1"))&gt;0,1,0)+IF((COUNTIF('C311'!E9,"Aula 1")+COUNTIF('C312'!E9,"Aula 1"))&gt;0,1,0)+IF((COUNTIF('C411'!E9,"Aula 1")+COUNTIF('C412'!E9,"Aula 1"))&gt;0,1,0)+IF((COUNTIF('M111'!E9,"Aula 1")+COUNTIF('M112'!E9,"Aula 1"))&gt;0,1,0)+IF((COUNTIF('M211'!E9,"Aula 1")+COUNTIF('M212'!E9,"Aula 1"))&gt;0,1,0)+IF((COUNTIF('M311'!E9,"Aula 1"))&gt;0,1,0)+IF((COUNTIF('M411'!E9,"Aula 1"))&gt;0,1,0)+IF((COUNTIF('D111'!E9,"Aula 1")+COUNTIF('D112'!E9,"Aula 1"))&gt;0,1,0)+IF((COUNTIF('D211'!E9,"Aula 1"))&gt;0,1,0)+IF((COUNTIF('D311'!E9,"Aula 1"))&gt;0,1,0)+IF((COUNTIF('D411'!E9,"Aula 1"))&gt;0,1,0))=0,"",IF((IF((COUNTIF('C111'!E9,"Aula 1")+COUNTIF('C112'!E9,"Aula 1")+COUNTIF('C113'!E9,"Aula 1")+COUNTIF('C121'!E9,"Aula 1")+COUNTIF('C122'!E9,"Aula 1"))&gt;0,1,0)+IF((COUNTIF('C211'!E9,"Aula 1")+COUNTIF('C212'!E9,"Aula 1"))&gt;0,1,0)+IF((COUNTIF('C311'!E9,"Aula 1")+COUNTIF('C312'!E9,"Aula 1"))&gt;0,1,0)+IF((COUNTIF('C411'!E9,"Aula 1")+COUNTIF('C412'!E9,"Aula 1"))&gt;0,1,0)+IF((COUNTIF('M111'!E9,"Aula 1")+COUNTIF('M112'!E9,"Aula 1"))&gt;0,1,0)+IF((COUNTIF('M211'!E9,"Aula 1")+COUNTIF('M212'!E9,"Aula 1"))&gt;0,1,0)+IF((COUNTIF('M311'!E9,"Aula 1"))&gt;0,1,0)+IF((COUNTIF('M411'!E9,"Aula 1"))&gt;0,1,0)+IF((COUNTIF('D111'!E9,"Aula 1")+COUNTIF('D112'!E9,"Aula 1"))&gt;0,1,0)+IF((COUNTIF('D211'!E9,"Aula 1"))&gt;0,1,0)+IF((COUNTIF('D311'!E9,"Aula 1"))&gt;0,1,0)+IF((COUNTIF('D411'!E9,"Aula 1"))&gt;0,1,0))=1,IF((COUNTIF('C111'!E9,"Aula 1")+COUNTIF('C112'!E9,"Aula 1")+COUNTIF('C113'!E9,"Aula 1")+COUNTIF('C121'!E9,"Aula 1")+COUNTIF('C122'!E9,"Aula 1"))&gt;0,"C1",IF((COUNTIF('C211'!E9,"Aula 1")+COUNTIF('C212'!E9,"Aula 1"))&gt;0,"C2",IF((COUNTIF('C311'!E9,"Aula 1")+COUNTIF('C312'!E9,"Aula 1"))&gt;0,"C3",IF((COUNTIF('C411'!E9,"Aula 1")+COUNTIF('C412'!E9,"Aula 1"))&gt;0,"C4",IF((COUNTIF('M111'!E9,"Aula 1")+COUNTIF('M112'!E9,"Aula 1"))&gt;0,"M1",IF((COUNTIF('M211'!E9,"Aula 1")+COUNTIF('M212'!E9,"Aula 1"))&gt;0,"M2",IF((COUNTIF('M311'!E9,"Aula 1"))&gt;0,"M3",IF((COUNTIF('M411'!E9,"Aula 1"))&gt;0,"M4",IF((COUNTIF('D111'!E9,"Aula 1")+COUNTIF('D112'!E9,"Aula 1"))&gt;0,"D1",IF((COUNTIF('D211'!E9,"Aula 1"))&gt;0,"D2",IF((COUNTIF('D311'!E9,"Aula 1"))&gt;0,"D3",IF((COUNTIF('D411'!E9,"Aula 1"))&gt;0,"D4","")))))))))))),"MIX"))</f>
        <v/>
      </c>
    </row>
    <row r="302">
      <c r="C302">
        <f>IF((IF((COUNTIF('C111'!E9,"Aula 2")+COUNTIF('C112'!E9,"Aula 2")+COUNTIF('C113'!E9,"Aula 2")+COUNTIF('C121'!E9,"Aula 2")+COUNTIF('C122'!E9,"Aula 2"))&gt;0,1,0)+IF((COUNTIF('C211'!E9,"Aula 2")+COUNTIF('C212'!E9,"Aula 2"))&gt;0,1,0)+IF((COUNTIF('C311'!E9,"Aula 2")+COUNTIF('C312'!E9,"Aula 2"))&gt;0,1,0)+IF((COUNTIF('C411'!E9,"Aula 2")+COUNTIF('C412'!E9,"Aula 2"))&gt;0,1,0)+IF((COUNTIF('M111'!E9,"Aula 2")+COUNTIF('M112'!E9,"Aula 2"))&gt;0,1,0)+IF((COUNTIF('M211'!E9,"Aula 2")+COUNTIF('M212'!E9,"Aula 2"))&gt;0,1,0)+IF((COUNTIF('M311'!E9,"Aula 2"))&gt;0,1,0)+IF((COUNTIF('M411'!E9,"Aula 2"))&gt;0,1,0)+IF((COUNTIF('D111'!E9,"Aula 2")+COUNTIF('D112'!E9,"Aula 2"))&gt;0,1,0)+IF((COUNTIF('D211'!E9,"Aula 2"))&gt;0,1,0)+IF((COUNTIF('D311'!E9,"Aula 2"))&gt;0,1,0)+IF((COUNTIF('D411'!E9,"Aula 2"))&gt;0,1,0))=0,"",IF((IF((COUNTIF('C111'!E9,"Aula 2")+COUNTIF('C112'!E9,"Aula 2")+COUNTIF('C113'!E9,"Aula 2")+COUNTIF('C121'!E9,"Aula 2")+COUNTIF('C122'!E9,"Aula 2"))&gt;0,1,0)+IF((COUNTIF('C211'!E9,"Aula 2")+COUNTIF('C212'!E9,"Aula 2"))&gt;0,1,0)+IF((COUNTIF('C311'!E9,"Aula 2")+COUNTIF('C312'!E9,"Aula 2"))&gt;0,1,0)+IF((COUNTIF('C411'!E9,"Aula 2")+COUNTIF('C412'!E9,"Aula 2"))&gt;0,1,0)+IF((COUNTIF('M111'!E9,"Aula 2")+COUNTIF('M112'!E9,"Aula 2"))&gt;0,1,0)+IF((COUNTIF('M211'!E9,"Aula 2")+COUNTIF('M212'!E9,"Aula 2"))&gt;0,1,0)+IF((COUNTIF('M311'!E9,"Aula 2"))&gt;0,1,0)+IF((COUNTIF('M411'!E9,"Aula 2"))&gt;0,1,0)+IF((COUNTIF('D111'!E9,"Aula 2")+COUNTIF('D112'!E9,"Aula 2"))&gt;0,1,0)+IF((COUNTIF('D211'!E9,"Aula 2"))&gt;0,1,0)+IF((COUNTIF('D311'!E9,"Aula 2"))&gt;0,1,0)+IF((COUNTIF('D411'!E9,"Aula 2"))&gt;0,1,0))=1,IF((COUNTIF('C111'!E9,"Aula 2")+COUNTIF('C112'!E9,"Aula 2")+COUNTIF('C113'!E9,"Aula 2")+COUNTIF('C121'!E9,"Aula 2")+COUNTIF('C122'!E9,"Aula 2"))&gt;0,"C1",IF((COUNTIF('C211'!E9,"Aula 2")+COUNTIF('C212'!E9,"Aula 2"))&gt;0,"C2",IF((COUNTIF('C311'!E9,"Aula 2")+COUNTIF('C312'!E9,"Aula 2"))&gt;0,"C3",IF((COUNTIF('C411'!E9,"Aula 2")+COUNTIF('C412'!E9,"Aula 2"))&gt;0,"C4",IF((COUNTIF('M111'!E9,"Aula 2")+COUNTIF('M112'!E9,"Aula 2"))&gt;0,"M1",IF((COUNTIF('M211'!E9,"Aula 2")+COUNTIF('M212'!E9,"Aula 2"))&gt;0,"M2",IF((COUNTIF('M311'!E9,"Aula 2"))&gt;0,"M3",IF((COUNTIF('M411'!E9,"Aula 2"))&gt;0,"M4",IF((COUNTIF('D111'!E9,"Aula 2")+COUNTIF('D112'!E9,"Aula 2"))&gt;0,"D1",IF((COUNTIF('D211'!E9,"Aula 2"))&gt;0,"D2",IF((COUNTIF('D311'!E9,"Aula 2"))&gt;0,"D3",IF((COUNTIF('D411'!E9,"Aula 2"))&gt;0,"D4","")))))))))))),"MIX"))</f>
        <v/>
      </c>
    </row>
    <row r="303">
      <c r="C303">
        <f>IF((IF((COUNTIF('C111'!E9,"Aula 3")+COUNTIF('C112'!E9,"Aula 3")+COUNTIF('C113'!E9,"Aula 3")+COUNTIF('C121'!E9,"Aula 3")+COUNTIF('C122'!E9,"Aula 3"))&gt;0,1,0)+IF((COUNTIF('C211'!E9,"Aula 3")+COUNTIF('C212'!E9,"Aula 3"))&gt;0,1,0)+IF((COUNTIF('C311'!E9,"Aula 3")+COUNTIF('C312'!E9,"Aula 3"))&gt;0,1,0)+IF((COUNTIF('C411'!E9,"Aula 3")+COUNTIF('C412'!E9,"Aula 3"))&gt;0,1,0)+IF((COUNTIF('M111'!E9,"Aula 3")+COUNTIF('M112'!E9,"Aula 3"))&gt;0,1,0)+IF((COUNTIF('M211'!E9,"Aula 3")+COUNTIF('M212'!E9,"Aula 3"))&gt;0,1,0)+IF((COUNTIF('M311'!E9,"Aula 3"))&gt;0,1,0)+IF((COUNTIF('M411'!E9,"Aula 3"))&gt;0,1,0)+IF((COUNTIF('D111'!E9,"Aula 3")+COUNTIF('D112'!E9,"Aula 3"))&gt;0,1,0)+IF((COUNTIF('D211'!E9,"Aula 3"))&gt;0,1,0)+IF((COUNTIF('D311'!E9,"Aula 3"))&gt;0,1,0)+IF((COUNTIF('D411'!E9,"Aula 3"))&gt;0,1,0))=0,"",IF((IF((COUNTIF('C111'!E9,"Aula 3")+COUNTIF('C112'!E9,"Aula 3")+COUNTIF('C113'!E9,"Aula 3")+COUNTIF('C121'!E9,"Aula 3")+COUNTIF('C122'!E9,"Aula 3"))&gt;0,1,0)+IF((COUNTIF('C211'!E9,"Aula 3")+COUNTIF('C212'!E9,"Aula 3"))&gt;0,1,0)+IF((COUNTIF('C311'!E9,"Aula 3")+COUNTIF('C312'!E9,"Aula 3"))&gt;0,1,0)+IF((COUNTIF('C411'!E9,"Aula 3")+COUNTIF('C412'!E9,"Aula 3"))&gt;0,1,0)+IF((COUNTIF('M111'!E9,"Aula 3")+COUNTIF('M112'!E9,"Aula 3"))&gt;0,1,0)+IF((COUNTIF('M211'!E9,"Aula 3")+COUNTIF('M212'!E9,"Aula 3"))&gt;0,1,0)+IF((COUNTIF('M311'!E9,"Aula 3"))&gt;0,1,0)+IF((COUNTIF('M411'!E9,"Aula 3"))&gt;0,1,0)+IF((COUNTIF('D111'!E9,"Aula 3")+COUNTIF('D112'!E9,"Aula 3"))&gt;0,1,0)+IF((COUNTIF('D211'!E9,"Aula 3"))&gt;0,1,0)+IF((COUNTIF('D311'!E9,"Aula 3"))&gt;0,1,0)+IF((COUNTIF('D411'!E9,"Aula 3"))&gt;0,1,0))=1,IF((COUNTIF('C111'!E9,"Aula 3")+COUNTIF('C112'!E9,"Aula 3")+COUNTIF('C113'!E9,"Aula 3")+COUNTIF('C121'!E9,"Aula 3")+COUNTIF('C122'!E9,"Aula 3"))&gt;0,"C1",IF((COUNTIF('C211'!E9,"Aula 3")+COUNTIF('C212'!E9,"Aula 3"))&gt;0,"C2",IF((COUNTIF('C311'!E9,"Aula 3")+COUNTIF('C312'!E9,"Aula 3"))&gt;0,"C3",IF((COUNTIF('C411'!E9,"Aula 3")+COUNTIF('C412'!E9,"Aula 3"))&gt;0,"C4",IF((COUNTIF('M111'!E9,"Aula 3")+COUNTIF('M112'!E9,"Aula 3"))&gt;0,"M1",IF((COUNTIF('M211'!E9,"Aula 3")+COUNTIF('M212'!E9,"Aula 3"))&gt;0,"M2",IF((COUNTIF('M311'!E9,"Aula 3"))&gt;0,"M3",IF((COUNTIF('M411'!E9,"Aula 3"))&gt;0,"M4",IF((COUNTIF('D111'!E9,"Aula 3")+COUNTIF('D112'!E9,"Aula 3"))&gt;0,"D1",IF((COUNTIF('D211'!E9,"Aula 3"))&gt;0,"D2",IF((COUNTIF('D311'!E9,"Aula 3"))&gt;0,"D3",IF((COUNTIF('D411'!E9,"Aula 3"))&gt;0,"D4","")))))))))))),"MIX"))</f>
        <v/>
      </c>
    </row>
    <row r="304">
      <c r="C304">
        <f>IF((IF((COUNTIF('C111'!E9,"Aula 4")+COUNTIF('C112'!E9,"Aula 4")+COUNTIF('C113'!E9,"Aula 4")+COUNTIF('C121'!E9,"Aula 4")+COUNTIF('C122'!E9,"Aula 4"))&gt;0,1,0)+IF((COUNTIF('C211'!E9,"Aula 4")+COUNTIF('C212'!E9,"Aula 4"))&gt;0,1,0)+IF((COUNTIF('C311'!E9,"Aula 4")+COUNTIF('C312'!E9,"Aula 4"))&gt;0,1,0)+IF((COUNTIF('C411'!E9,"Aula 4")+COUNTIF('C412'!E9,"Aula 4"))&gt;0,1,0)+IF((COUNTIF('M111'!E9,"Aula 4")+COUNTIF('M112'!E9,"Aula 4"))&gt;0,1,0)+IF((COUNTIF('M211'!E9,"Aula 4")+COUNTIF('M212'!E9,"Aula 4"))&gt;0,1,0)+IF((COUNTIF('M311'!E9,"Aula 4"))&gt;0,1,0)+IF((COUNTIF('M411'!E9,"Aula 4"))&gt;0,1,0)+IF((COUNTIF('D111'!E9,"Aula 4")+COUNTIF('D112'!E9,"Aula 4"))&gt;0,1,0)+IF((COUNTIF('D211'!E9,"Aula 4"))&gt;0,1,0)+IF((COUNTIF('D311'!E9,"Aula 4"))&gt;0,1,0)+IF((COUNTIF('D411'!E9,"Aula 4"))&gt;0,1,0))=0,"",IF((IF((COUNTIF('C111'!E9,"Aula 4")+COUNTIF('C112'!E9,"Aula 4")+COUNTIF('C113'!E9,"Aula 4")+COUNTIF('C121'!E9,"Aula 4")+COUNTIF('C122'!E9,"Aula 4"))&gt;0,1,0)+IF((COUNTIF('C211'!E9,"Aula 4")+COUNTIF('C212'!E9,"Aula 4"))&gt;0,1,0)+IF((COUNTIF('C311'!E9,"Aula 4")+COUNTIF('C312'!E9,"Aula 4"))&gt;0,1,0)+IF((COUNTIF('C411'!E9,"Aula 4")+COUNTIF('C412'!E9,"Aula 4"))&gt;0,1,0)+IF((COUNTIF('M111'!E9,"Aula 4")+COUNTIF('M112'!E9,"Aula 4"))&gt;0,1,0)+IF((COUNTIF('M211'!E9,"Aula 4")+COUNTIF('M212'!E9,"Aula 4"))&gt;0,1,0)+IF((COUNTIF('M311'!E9,"Aula 4"))&gt;0,1,0)+IF((COUNTIF('M411'!E9,"Aula 4"))&gt;0,1,0)+IF((COUNTIF('D111'!E9,"Aula 4")+COUNTIF('D112'!E9,"Aula 4"))&gt;0,1,0)+IF((COUNTIF('D211'!E9,"Aula 4"))&gt;0,1,0)+IF((COUNTIF('D311'!E9,"Aula 4"))&gt;0,1,0)+IF((COUNTIF('D411'!E9,"Aula 4"))&gt;0,1,0))=1,IF((COUNTIF('C111'!E9,"Aula 4")+COUNTIF('C112'!E9,"Aula 4")+COUNTIF('C113'!E9,"Aula 4")+COUNTIF('C121'!E9,"Aula 4")+COUNTIF('C122'!E9,"Aula 4"))&gt;0,"C1",IF((COUNTIF('C211'!E9,"Aula 4")+COUNTIF('C212'!E9,"Aula 4"))&gt;0,"C2",IF((COUNTIF('C311'!E9,"Aula 4")+COUNTIF('C312'!E9,"Aula 4"))&gt;0,"C3",IF((COUNTIF('C411'!E9,"Aula 4")+COUNTIF('C412'!E9,"Aula 4"))&gt;0,"C4",IF((COUNTIF('M111'!E9,"Aula 4")+COUNTIF('M112'!E9,"Aula 4"))&gt;0,"M1",IF((COUNTIF('M211'!E9,"Aula 4")+COUNTIF('M212'!E9,"Aula 4"))&gt;0,"M2",IF((COUNTIF('M311'!E9,"Aula 4"))&gt;0,"M3",IF((COUNTIF('M411'!E9,"Aula 4"))&gt;0,"M4",IF((COUNTIF('D111'!E9,"Aula 4")+COUNTIF('D112'!E9,"Aula 4"))&gt;0,"D1",IF((COUNTIF('D211'!E9,"Aula 4"))&gt;0,"D2",IF((COUNTIF('D311'!E9,"Aula 4"))&gt;0,"D3",IF((COUNTIF('D411'!E9,"Aula 4"))&gt;0,"D4","")))))))))))),"MIX"))</f>
        <v/>
      </c>
    </row>
    <row r="305">
      <c r="C305">
        <f>IF((IF((COUNTIF('C111'!E9,"Aula 5")+COUNTIF('C112'!E9,"Aula 5")+COUNTIF('C113'!E9,"Aula 5")+COUNTIF('C121'!E9,"Aula 5")+COUNTIF('C122'!E9,"Aula 5"))&gt;0,1,0)+IF((COUNTIF('C211'!E9,"Aula 5")+COUNTIF('C212'!E9,"Aula 5"))&gt;0,1,0)+IF((COUNTIF('C311'!E9,"Aula 5")+COUNTIF('C312'!E9,"Aula 5"))&gt;0,1,0)+IF((COUNTIF('C411'!E9,"Aula 5")+COUNTIF('C412'!E9,"Aula 5"))&gt;0,1,0)+IF((COUNTIF('M111'!E9,"Aula 5")+COUNTIF('M112'!E9,"Aula 5"))&gt;0,1,0)+IF((COUNTIF('M211'!E9,"Aula 5")+COUNTIF('M212'!E9,"Aula 5"))&gt;0,1,0)+IF((COUNTIF('M311'!E9,"Aula 5"))&gt;0,1,0)+IF((COUNTIF('M411'!E9,"Aula 5"))&gt;0,1,0)+IF((COUNTIF('D111'!E9,"Aula 5")+COUNTIF('D112'!E9,"Aula 5"))&gt;0,1,0)+IF((COUNTIF('D211'!E9,"Aula 5"))&gt;0,1,0)+IF((COUNTIF('D311'!E9,"Aula 5"))&gt;0,1,0)+IF((COUNTIF('D411'!E9,"Aula 5"))&gt;0,1,0))=0,"",IF((IF((COUNTIF('C111'!E9,"Aula 5")+COUNTIF('C112'!E9,"Aula 5")+COUNTIF('C113'!E9,"Aula 5")+COUNTIF('C121'!E9,"Aula 5")+COUNTIF('C122'!E9,"Aula 5"))&gt;0,1,0)+IF((COUNTIF('C211'!E9,"Aula 5")+COUNTIF('C212'!E9,"Aula 5"))&gt;0,1,0)+IF((COUNTIF('C311'!E9,"Aula 5")+COUNTIF('C312'!E9,"Aula 5"))&gt;0,1,0)+IF((COUNTIF('C411'!E9,"Aula 5")+COUNTIF('C412'!E9,"Aula 5"))&gt;0,1,0)+IF((COUNTIF('M111'!E9,"Aula 5")+COUNTIF('M112'!E9,"Aula 5"))&gt;0,1,0)+IF((COUNTIF('M211'!E9,"Aula 5")+COUNTIF('M212'!E9,"Aula 5"))&gt;0,1,0)+IF((COUNTIF('M311'!E9,"Aula 5"))&gt;0,1,0)+IF((COUNTIF('M411'!E9,"Aula 5"))&gt;0,1,0)+IF((COUNTIF('D111'!E9,"Aula 5")+COUNTIF('D112'!E9,"Aula 5"))&gt;0,1,0)+IF((COUNTIF('D211'!E9,"Aula 5"))&gt;0,1,0)+IF((COUNTIF('D311'!E9,"Aula 5"))&gt;0,1,0)+IF((COUNTIF('D411'!E9,"Aula 5"))&gt;0,1,0))=1,IF((COUNTIF('C111'!E9,"Aula 5")+COUNTIF('C112'!E9,"Aula 5")+COUNTIF('C113'!E9,"Aula 5")+COUNTIF('C121'!E9,"Aula 5")+COUNTIF('C122'!E9,"Aula 5"))&gt;0,"C1",IF((COUNTIF('C211'!E9,"Aula 5")+COUNTIF('C212'!E9,"Aula 5"))&gt;0,"C2",IF((COUNTIF('C311'!E9,"Aula 5")+COUNTIF('C312'!E9,"Aula 5"))&gt;0,"C3",IF((COUNTIF('C411'!E9,"Aula 5")+COUNTIF('C412'!E9,"Aula 5"))&gt;0,"C4",IF((COUNTIF('M111'!E9,"Aula 5")+COUNTIF('M112'!E9,"Aula 5"))&gt;0,"M1",IF((COUNTIF('M211'!E9,"Aula 5")+COUNTIF('M212'!E9,"Aula 5"))&gt;0,"M2",IF((COUNTIF('M311'!E9,"Aula 5"))&gt;0,"M3",IF((COUNTIF('M411'!E9,"Aula 5"))&gt;0,"M4",IF((COUNTIF('D111'!E9,"Aula 5")+COUNTIF('D112'!E9,"Aula 5"))&gt;0,"D1",IF((COUNTIF('D211'!E9,"Aula 5"))&gt;0,"D2",IF((COUNTIF('D311'!E9,"Aula 5"))&gt;0,"D3",IF((COUNTIF('D411'!E9,"Aula 5"))&gt;0,"D4","")))))))))))),"MIX"))</f>
        <v/>
      </c>
    </row>
    <row r="306">
      <c r="C306">
        <f>IF((IF((COUNTIF('C111'!E9,"Aula 6")+COUNTIF('C112'!E9,"Aula 6")+COUNTIF('C113'!E9,"Aula 6")+COUNTIF('C121'!E9,"Aula 6")+COUNTIF('C122'!E9,"Aula 6"))&gt;0,1,0)+IF((COUNTIF('C211'!E9,"Aula 6")+COUNTIF('C212'!E9,"Aula 6"))&gt;0,1,0)+IF((COUNTIF('C311'!E9,"Aula 6")+COUNTIF('C312'!E9,"Aula 6"))&gt;0,1,0)+IF((COUNTIF('C411'!E9,"Aula 6")+COUNTIF('C412'!E9,"Aula 6"))&gt;0,1,0)+IF((COUNTIF('M111'!E9,"Aula 6")+COUNTIF('M112'!E9,"Aula 6"))&gt;0,1,0)+IF((COUNTIF('M211'!E9,"Aula 6")+COUNTIF('M212'!E9,"Aula 6"))&gt;0,1,0)+IF((COUNTIF('M311'!E9,"Aula 6"))&gt;0,1,0)+IF((COUNTIF('M411'!E9,"Aula 6"))&gt;0,1,0)+IF((COUNTIF('D111'!E9,"Aula 6")+COUNTIF('D112'!E9,"Aula 6"))&gt;0,1,0)+IF((COUNTIF('D211'!E9,"Aula 6"))&gt;0,1,0)+IF((COUNTIF('D311'!E9,"Aula 6"))&gt;0,1,0)+IF((COUNTIF('D411'!E9,"Aula 6"))&gt;0,1,0))=0,"",IF((IF((COUNTIF('C111'!E9,"Aula 6")+COUNTIF('C112'!E9,"Aula 6")+COUNTIF('C113'!E9,"Aula 6")+COUNTIF('C121'!E9,"Aula 6")+COUNTIF('C122'!E9,"Aula 6"))&gt;0,1,0)+IF((COUNTIF('C211'!E9,"Aula 6")+COUNTIF('C212'!E9,"Aula 6"))&gt;0,1,0)+IF((COUNTIF('C311'!E9,"Aula 6")+COUNTIF('C312'!E9,"Aula 6"))&gt;0,1,0)+IF((COUNTIF('C411'!E9,"Aula 6")+COUNTIF('C412'!E9,"Aula 6"))&gt;0,1,0)+IF((COUNTIF('M111'!E9,"Aula 6")+COUNTIF('M112'!E9,"Aula 6"))&gt;0,1,0)+IF((COUNTIF('M211'!E9,"Aula 6")+COUNTIF('M212'!E9,"Aula 6"))&gt;0,1,0)+IF((COUNTIF('M311'!E9,"Aula 6"))&gt;0,1,0)+IF((COUNTIF('M411'!E9,"Aula 6"))&gt;0,1,0)+IF((COUNTIF('D111'!E9,"Aula 6")+COUNTIF('D112'!E9,"Aula 6"))&gt;0,1,0)+IF((COUNTIF('D211'!E9,"Aula 6"))&gt;0,1,0)+IF((COUNTIF('D311'!E9,"Aula 6"))&gt;0,1,0)+IF((COUNTIF('D411'!E9,"Aula 6"))&gt;0,1,0))=1,IF((COUNTIF('C111'!E9,"Aula 6")+COUNTIF('C112'!E9,"Aula 6")+COUNTIF('C113'!E9,"Aula 6")+COUNTIF('C121'!E9,"Aula 6")+COUNTIF('C122'!E9,"Aula 6"))&gt;0,"C1",IF((COUNTIF('C211'!E9,"Aula 6")+COUNTIF('C212'!E9,"Aula 6"))&gt;0,"C2",IF((COUNTIF('C311'!E9,"Aula 6")+COUNTIF('C312'!E9,"Aula 6"))&gt;0,"C3",IF((COUNTIF('C411'!E9,"Aula 6")+COUNTIF('C412'!E9,"Aula 6"))&gt;0,"C4",IF((COUNTIF('M111'!E9,"Aula 6")+COUNTIF('M112'!E9,"Aula 6"))&gt;0,"M1",IF((COUNTIF('M211'!E9,"Aula 6")+COUNTIF('M212'!E9,"Aula 6"))&gt;0,"M2",IF((COUNTIF('M311'!E9,"Aula 6"))&gt;0,"M3",IF((COUNTIF('M411'!E9,"Aula 6"))&gt;0,"M4",IF((COUNTIF('D111'!E9,"Aula 6")+COUNTIF('D112'!E9,"Aula 6"))&gt;0,"D1",IF((COUNTIF('D211'!E9,"Aula 6"))&gt;0,"D2",IF((COUNTIF('D311'!E9,"Aula 6"))&gt;0,"D3",IF((COUNTIF('D411'!E9,"Aula 6"))&gt;0,"D4","")))))))))))),"MIX"))</f>
        <v/>
      </c>
    </row>
    <row r="307">
      <c r="C307">
        <f>IF((IF((COUNTIF('C111'!E9,"Aula 7")+COUNTIF('C112'!E9,"Aula 7")+COUNTIF('C113'!E9,"Aula 7")+COUNTIF('C121'!E9,"Aula 7")+COUNTIF('C122'!E9,"Aula 7"))&gt;0,1,0)+IF((COUNTIF('C211'!E9,"Aula 7")+COUNTIF('C212'!E9,"Aula 7"))&gt;0,1,0)+IF((COUNTIF('C311'!E9,"Aula 7")+COUNTIF('C312'!E9,"Aula 7"))&gt;0,1,0)+IF((COUNTIF('C411'!E9,"Aula 7")+COUNTIF('C412'!E9,"Aula 7"))&gt;0,1,0)+IF((COUNTIF('M111'!E9,"Aula 7")+COUNTIF('M112'!E9,"Aula 7"))&gt;0,1,0)+IF((COUNTIF('M211'!E9,"Aula 7")+COUNTIF('M212'!E9,"Aula 7"))&gt;0,1,0)+IF((COUNTIF('M311'!E9,"Aula 7"))&gt;0,1,0)+IF((COUNTIF('M411'!E9,"Aula 7"))&gt;0,1,0)+IF((COUNTIF('D111'!E9,"Aula 7")+COUNTIF('D112'!E9,"Aula 7"))&gt;0,1,0)+IF((COUNTIF('D211'!E9,"Aula 7"))&gt;0,1,0)+IF((COUNTIF('D311'!E9,"Aula 7"))&gt;0,1,0)+IF((COUNTIF('D411'!E9,"Aula 7"))&gt;0,1,0))=0,"",IF((IF((COUNTIF('C111'!E9,"Aula 7")+COUNTIF('C112'!E9,"Aula 7")+COUNTIF('C113'!E9,"Aula 7")+COUNTIF('C121'!E9,"Aula 7")+COUNTIF('C122'!E9,"Aula 7"))&gt;0,1,0)+IF((COUNTIF('C211'!E9,"Aula 7")+COUNTIF('C212'!E9,"Aula 7"))&gt;0,1,0)+IF((COUNTIF('C311'!E9,"Aula 7")+COUNTIF('C312'!E9,"Aula 7"))&gt;0,1,0)+IF((COUNTIF('C411'!E9,"Aula 7")+COUNTIF('C412'!E9,"Aula 7"))&gt;0,1,0)+IF((COUNTIF('M111'!E9,"Aula 7")+COUNTIF('M112'!E9,"Aula 7"))&gt;0,1,0)+IF((COUNTIF('M211'!E9,"Aula 7")+COUNTIF('M212'!E9,"Aula 7"))&gt;0,1,0)+IF((COUNTIF('M311'!E9,"Aula 7"))&gt;0,1,0)+IF((COUNTIF('M411'!E9,"Aula 7"))&gt;0,1,0)+IF((COUNTIF('D111'!E9,"Aula 7")+COUNTIF('D112'!E9,"Aula 7"))&gt;0,1,0)+IF((COUNTIF('D211'!E9,"Aula 7"))&gt;0,1,0)+IF((COUNTIF('D311'!E9,"Aula 7"))&gt;0,1,0)+IF((COUNTIF('D411'!E9,"Aula 7"))&gt;0,1,0))=1,IF((COUNTIF('C111'!E9,"Aula 7")+COUNTIF('C112'!E9,"Aula 7")+COUNTIF('C113'!E9,"Aula 7")+COUNTIF('C121'!E9,"Aula 7")+COUNTIF('C122'!E9,"Aula 7"))&gt;0,"C1",IF((COUNTIF('C211'!E9,"Aula 7")+COUNTIF('C212'!E9,"Aula 7"))&gt;0,"C2",IF((COUNTIF('C311'!E9,"Aula 7")+COUNTIF('C312'!E9,"Aula 7"))&gt;0,"C3",IF((COUNTIF('C411'!E9,"Aula 7")+COUNTIF('C412'!E9,"Aula 7"))&gt;0,"C4",IF((COUNTIF('M111'!E9,"Aula 7")+COUNTIF('M112'!E9,"Aula 7"))&gt;0,"M1",IF((COUNTIF('M211'!E9,"Aula 7")+COUNTIF('M212'!E9,"Aula 7"))&gt;0,"M2",IF((COUNTIF('M311'!E9,"Aula 7"))&gt;0,"M3",IF((COUNTIF('M411'!E9,"Aula 7"))&gt;0,"M4",IF((COUNTIF('D111'!E9,"Aula 7")+COUNTIF('D112'!E9,"Aula 7"))&gt;0,"D1",IF((COUNTIF('D211'!E9,"Aula 7"))&gt;0,"D2",IF((COUNTIF('D311'!E9,"Aula 7"))&gt;0,"D3",IF((COUNTIF('D411'!E9,"Aula 7"))&gt;0,"D4","")))))))))))),"MIX"))</f>
        <v/>
      </c>
    </row>
    <row r="308">
      <c r="C308">
        <f>IF((IF((COUNTIF('C111'!E9,"Aula 8")+COUNTIF('C112'!E9,"Aula 8")+COUNTIF('C113'!E9,"Aula 8")+COUNTIF('C121'!E9,"Aula 8")+COUNTIF('C122'!E9,"Aula 8"))&gt;0,1,0)+IF((COUNTIF('C211'!E9,"Aula 8")+COUNTIF('C212'!E9,"Aula 8"))&gt;0,1,0)+IF((COUNTIF('C311'!E9,"Aula 8")+COUNTIF('C312'!E9,"Aula 8"))&gt;0,1,0)+IF((COUNTIF('C411'!E9,"Aula 8")+COUNTIF('C412'!E9,"Aula 8"))&gt;0,1,0)+IF((COUNTIF('M111'!E9,"Aula 8")+COUNTIF('M112'!E9,"Aula 8"))&gt;0,1,0)+IF((COUNTIF('M211'!E9,"Aula 8")+COUNTIF('M212'!E9,"Aula 8"))&gt;0,1,0)+IF((COUNTIF('M311'!E9,"Aula 8"))&gt;0,1,0)+IF((COUNTIF('M411'!E9,"Aula 8"))&gt;0,1,0)+IF((COUNTIF('D111'!E9,"Aula 8")+COUNTIF('D112'!E9,"Aula 8"))&gt;0,1,0)+IF((COUNTIF('D211'!E9,"Aula 8"))&gt;0,1,0)+IF((COUNTIF('D311'!E9,"Aula 8"))&gt;0,1,0)+IF((COUNTIF('D411'!E9,"Aula 8"))&gt;0,1,0))=0,"",IF((IF((COUNTIF('C111'!E9,"Aula 8")+COUNTIF('C112'!E9,"Aula 8")+COUNTIF('C113'!E9,"Aula 8")+COUNTIF('C121'!E9,"Aula 8")+COUNTIF('C122'!E9,"Aula 8"))&gt;0,1,0)+IF((COUNTIF('C211'!E9,"Aula 8")+COUNTIF('C212'!E9,"Aula 8"))&gt;0,1,0)+IF((COUNTIF('C311'!E9,"Aula 8")+COUNTIF('C312'!E9,"Aula 8"))&gt;0,1,0)+IF((COUNTIF('C411'!E9,"Aula 8")+COUNTIF('C412'!E9,"Aula 8"))&gt;0,1,0)+IF((COUNTIF('M111'!E9,"Aula 8")+COUNTIF('M112'!E9,"Aula 8"))&gt;0,1,0)+IF((COUNTIF('M211'!E9,"Aula 8")+COUNTIF('M212'!E9,"Aula 8"))&gt;0,1,0)+IF((COUNTIF('M311'!E9,"Aula 8"))&gt;0,1,0)+IF((COUNTIF('M411'!E9,"Aula 8"))&gt;0,1,0)+IF((COUNTIF('D111'!E9,"Aula 8")+COUNTIF('D112'!E9,"Aula 8"))&gt;0,1,0)+IF((COUNTIF('D211'!E9,"Aula 8"))&gt;0,1,0)+IF((COUNTIF('D311'!E9,"Aula 8"))&gt;0,1,0)+IF((COUNTIF('D411'!E9,"Aula 8"))&gt;0,1,0))=1,IF((COUNTIF('C111'!E9,"Aula 8")+COUNTIF('C112'!E9,"Aula 8")+COUNTIF('C113'!E9,"Aula 8")+COUNTIF('C121'!E9,"Aula 8")+COUNTIF('C122'!E9,"Aula 8"))&gt;0,"C1",IF((COUNTIF('C211'!E9,"Aula 8")+COUNTIF('C212'!E9,"Aula 8"))&gt;0,"C2",IF((COUNTIF('C311'!E9,"Aula 8")+COUNTIF('C312'!E9,"Aula 8"))&gt;0,"C3",IF((COUNTIF('C411'!E9,"Aula 8")+COUNTIF('C412'!E9,"Aula 8"))&gt;0,"C4",IF((COUNTIF('M111'!E9,"Aula 8")+COUNTIF('M112'!E9,"Aula 8"))&gt;0,"M1",IF((COUNTIF('M211'!E9,"Aula 8")+COUNTIF('M212'!E9,"Aula 8"))&gt;0,"M2",IF((COUNTIF('M311'!E9,"Aula 8"))&gt;0,"M3",IF((COUNTIF('M411'!E9,"Aula 8"))&gt;0,"M4",IF((COUNTIF('D111'!E9,"Aula 8")+COUNTIF('D112'!E9,"Aula 8"))&gt;0,"D1",IF((COUNTIF('D211'!E9,"Aula 8"))&gt;0,"D2",IF((COUNTIF('D311'!E9,"Aula 8"))&gt;0,"D3",IF((COUNTIF('D411'!E9,"Aula 8"))&gt;0,"D4","")))))))))))),"MIX"))</f>
        <v/>
      </c>
    </row>
    <row r="309">
      <c r="C309">
        <f>IF((IF((COUNTIF('C111'!E9,"Aula 9")+COUNTIF('C112'!E9,"Aula 9")+COUNTIF('C113'!E9,"Aula 9")+COUNTIF('C121'!E9,"Aula 9")+COUNTIF('C122'!E9,"Aula 9"))&gt;0,1,0)+IF((COUNTIF('C211'!E9,"Aula 9")+COUNTIF('C212'!E9,"Aula 9"))&gt;0,1,0)+IF((COUNTIF('C311'!E9,"Aula 9")+COUNTIF('C312'!E9,"Aula 9"))&gt;0,1,0)+IF((COUNTIF('C411'!E9,"Aula 9")+COUNTIF('C412'!E9,"Aula 9"))&gt;0,1,0)+IF((COUNTIF('M111'!E9,"Aula 9")+COUNTIF('M112'!E9,"Aula 9"))&gt;0,1,0)+IF((COUNTIF('M211'!E9,"Aula 9")+COUNTIF('M212'!E9,"Aula 9"))&gt;0,1,0)+IF((COUNTIF('M311'!E9,"Aula 9"))&gt;0,1,0)+IF((COUNTIF('M411'!E9,"Aula 9"))&gt;0,1,0)+IF((COUNTIF('D111'!E9,"Aula 9")+COUNTIF('D112'!E9,"Aula 9"))&gt;0,1,0)+IF((COUNTIF('D211'!E9,"Aula 9"))&gt;0,1,0)+IF((COUNTIF('D311'!E9,"Aula 9"))&gt;0,1,0)+IF((COUNTIF('D411'!E9,"Aula 9"))&gt;0,1,0))=0,"",IF((IF((COUNTIF('C111'!E9,"Aula 9")+COUNTIF('C112'!E9,"Aula 9")+COUNTIF('C113'!E9,"Aula 9")+COUNTIF('C121'!E9,"Aula 9")+COUNTIF('C122'!E9,"Aula 9"))&gt;0,1,0)+IF((COUNTIF('C211'!E9,"Aula 9")+COUNTIF('C212'!E9,"Aula 9"))&gt;0,1,0)+IF((COUNTIF('C311'!E9,"Aula 9")+COUNTIF('C312'!E9,"Aula 9"))&gt;0,1,0)+IF((COUNTIF('C411'!E9,"Aula 9")+COUNTIF('C412'!E9,"Aula 9"))&gt;0,1,0)+IF((COUNTIF('M111'!E9,"Aula 9")+COUNTIF('M112'!E9,"Aula 9"))&gt;0,1,0)+IF((COUNTIF('M211'!E9,"Aula 9")+COUNTIF('M212'!E9,"Aula 9"))&gt;0,1,0)+IF((COUNTIF('M311'!E9,"Aula 9"))&gt;0,1,0)+IF((COUNTIF('M411'!E9,"Aula 9"))&gt;0,1,0)+IF((COUNTIF('D111'!E9,"Aula 9")+COUNTIF('D112'!E9,"Aula 9"))&gt;0,1,0)+IF((COUNTIF('D211'!E9,"Aula 9"))&gt;0,1,0)+IF((COUNTIF('D311'!E9,"Aula 9"))&gt;0,1,0)+IF((COUNTIF('D411'!E9,"Aula 9"))&gt;0,1,0))=1,IF((COUNTIF('C111'!E9,"Aula 9")+COUNTIF('C112'!E9,"Aula 9")+COUNTIF('C113'!E9,"Aula 9")+COUNTIF('C121'!E9,"Aula 9")+COUNTIF('C122'!E9,"Aula 9"))&gt;0,"C1",IF((COUNTIF('C211'!E9,"Aula 9")+COUNTIF('C212'!E9,"Aula 9"))&gt;0,"C2",IF((COUNTIF('C311'!E9,"Aula 9")+COUNTIF('C312'!E9,"Aula 9"))&gt;0,"C3",IF((COUNTIF('C411'!E9,"Aula 9")+COUNTIF('C412'!E9,"Aula 9"))&gt;0,"C4",IF((COUNTIF('M111'!E9,"Aula 9")+COUNTIF('M112'!E9,"Aula 9"))&gt;0,"M1",IF((COUNTIF('M211'!E9,"Aula 9")+COUNTIF('M212'!E9,"Aula 9"))&gt;0,"M2",IF((COUNTIF('M311'!E9,"Aula 9"))&gt;0,"M3",IF((COUNTIF('M411'!E9,"Aula 9"))&gt;0,"M4",IF((COUNTIF('D111'!E9,"Aula 9")+COUNTIF('D112'!E9,"Aula 9"))&gt;0,"D1",IF((COUNTIF('D211'!E9,"Aula 9"))&gt;0,"D2",IF((COUNTIF('D311'!E9,"Aula 9"))&gt;0,"D3",IF((COUNTIF('D411'!E9,"Aula 9"))&gt;0,"D4","")))))))))))),"MIX"))</f>
        <v/>
      </c>
    </row>
    <row r="310">
      <c r="C310">
        <f>IF((IF((COUNTIF('C111'!E9,"Aula 10")+COUNTIF('C112'!E9,"Aula 10")+COUNTIF('C113'!E9,"Aula 10")+COUNTIF('C121'!E9,"Aula 10")+COUNTIF('C122'!E9,"Aula 10"))&gt;0,1,0)+IF((COUNTIF('C211'!E9,"Aula 10")+COUNTIF('C212'!E9,"Aula 10"))&gt;0,1,0)+IF((COUNTIF('C311'!E9,"Aula 10")+COUNTIF('C312'!E9,"Aula 10"))&gt;0,1,0)+IF((COUNTIF('C411'!E9,"Aula 10")+COUNTIF('C412'!E9,"Aula 10"))&gt;0,1,0)+IF((COUNTIF('M111'!E9,"Aula 10")+COUNTIF('M112'!E9,"Aula 10"))&gt;0,1,0)+IF((COUNTIF('M211'!E9,"Aula 10")+COUNTIF('M212'!E9,"Aula 10"))&gt;0,1,0)+IF((COUNTIF('M311'!E9,"Aula 10"))&gt;0,1,0)+IF((COUNTIF('M411'!E9,"Aula 10"))&gt;0,1,0)+IF((COUNTIF('D111'!E9,"Aula 10")+COUNTIF('D112'!E9,"Aula 10"))&gt;0,1,0)+IF((COUNTIF('D211'!E9,"Aula 10"))&gt;0,1,0)+IF((COUNTIF('D311'!E9,"Aula 10"))&gt;0,1,0)+IF((COUNTIF('D411'!E9,"Aula 10"))&gt;0,1,0))=0,"",IF((IF((COUNTIF('C111'!E9,"Aula 10")+COUNTIF('C112'!E9,"Aula 10")+COUNTIF('C113'!E9,"Aula 10")+COUNTIF('C121'!E9,"Aula 10")+COUNTIF('C122'!E9,"Aula 10"))&gt;0,1,0)+IF((COUNTIF('C211'!E9,"Aula 10")+COUNTIF('C212'!E9,"Aula 10"))&gt;0,1,0)+IF((COUNTIF('C311'!E9,"Aula 10")+COUNTIF('C312'!E9,"Aula 10"))&gt;0,1,0)+IF((COUNTIF('C411'!E9,"Aula 10")+COUNTIF('C412'!E9,"Aula 10"))&gt;0,1,0)+IF((COUNTIF('M111'!E9,"Aula 10")+COUNTIF('M112'!E9,"Aula 10"))&gt;0,1,0)+IF((COUNTIF('M211'!E9,"Aula 10")+COUNTIF('M212'!E9,"Aula 10"))&gt;0,1,0)+IF((COUNTIF('M311'!E9,"Aula 10"))&gt;0,1,0)+IF((COUNTIF('M411'!E9,"Aula 10"))&gt;0,1,0)+IF((COUNTIF('D111'!E9,"Aula 10")+COUNTIF('D112'!E9,"Aula 10"))&gt;0,1,0)+IF((COUNTIF('D211'!E9,"Aula 10"))&gt;0,1,0)+IF((COUNTIF('D311'!E9,"Aula 10"))&gt;0,1,0)+IF((COUNTIF('D411'!E9,"Aula 10"))&gt;0,1,0))=1,IF((COUNTIF('C111'!E9,"Aula 10")+COUNTIF('C112'!E9,"Aula 10")+COUNTIF('C113'!E9,"Aula 10")+COUNTIF('C121'!E9,"Aula 10")+COUNTIF('C122'!E9,"Aula 10"))&gt;0,"C1",IF((COUNTIF('C211'!E9,"Aula 10")+COUNTIF('C212'!E9,"Aula 10"))&gt;0,"C2",IF((COUNTIF('C311'!E9,"Aula 10")+COUNTIF('C312'!E9,"Aula 10"))&gt;0,"C3",IF((COUNTIF('C411'!E9,"Aula 10")+COUNTIF('C412'!E9,"Aula 10"))&gt;0,"C4",IF((COUNTIF('M111'!E9,"Aula 10")+COUNTIF('M112'!E9,"Aula 10"))&gt;0,"M1",IF((COUNTIF('M211'!E9,"Aula 10")+COUNTIF('M212'!E9,"Aula 10"))&gt;0,"M2",IF((COUNTIF('M311'!E9,"Aula 10"))&gt;0,"M3",IF((COUNTIF('M411'!E9,"Aula 10"))&gt;0,"M4",IF((COUNTIF('D111'!E9,"Aula 10")+COUNTIF('D112'!E9,"Aula 10"))&gt;0,"D1",IF((COUNTIF('D211'!E9,"Aula 10"))&gt;0,"D2",IF((COUNTIF('D311'!E9,"Aula 10"))&gt;0,"D3",IF((COUNTIF('D411'!E9,"Aula 10"))&gt;0,"D4","")))))))))))),"MIX"))</f>
        <v/>
      </c>
    </row>
    <row r="311">
      <c r="C311">
        <f>IF((IF((COUNTIF('C111'!E9,"Aula 11")+COUNTIF('C112'!E9,"Aula 11")+COUNTIF('C113'!E9,"Aula 11")+COUNTIF('C121'!E9,"Aula 11")+COUNTIF('C122'!E9,"Aula 11"))&gt;0,1,0)+IF((COUNTIF('C211'!E9,"Aula 11")+COUNTIF('C212'!E9,"Aula 11"))&gt;0,1,0)+IF((COUNTIF('C311'!E9,"Aula 11")+COUNTIF('C312'!E9,"Aula 11"))&gt;0,1,0)+IF((COUNTIF('C411'!E9,"Aula 11")+COUNTIF('C412'!E9,"Aula 11"))&gt;0,1,0)+IF((COUNTIF('M111'!E9,"Aula 11")+COUNTIF('M112'!E9,"Aula 11"))&gt;0,1,0)+IF((COUNTIF('M211'!E9,"Aula 11")+COUNTIF('M212'!E9,"Aula 11"))&gt;0,1,0)+IF((COUNTIF('M311'!E9,"Aula 11"))&gt;0,1,0)+IF((COUNTIF('M411'!E9,"Aula 11"))&gt;0,1,0)+IF((COUNTIF('D111'!E9,"Aula 11")+COUNTIF('D112'!E9,"Aula 11"))&gt;0,1,0)+IF((COUNTIF('D211'!E9,"Aula 11"))&gt;0,1,0)+IF((COUNTIF('D311'!E9,"Aula 11"))&gt;0,1,0)+IF((COUNTIF('D411'!E9,"Aula 11"))&gt;0,1,0))=0,"",IF((IF((COUNTIF('C111'!E9,"Aula 11")+COUNTIF('C112'!E9,"Aula 11")+COUNTIF('C113'!E9,"Aula 11")+COUNTIF('C121'!E9,"Aula 11")+COUNTIF('C122'!E9,"Aula 11"))&gt;0,1,0)+IF((COUNTIF('C211'!E9,"Aula 11")+COUNTIF('C212'!E9,"Aula 11"))&gt;0,1,0)+IF((COUNTIF('C311'!E9,"Aula 11")+COUNTIF('C312'!E9,"Aula 11"))&gt;0,1,0)+IF((COUNTIF('C411'!E9,"Aula 11")+COUNTIF('C412'!E9,"Aula 11"))&gt;0,1,0)+IF((COUNTIF('M111'!E9,"Aula 11")+COUNTIF('M112'!E9,"Aula 11"))&gt;0,1,0)+IF((COUNTIF('M211'!E9,"Aula 11")+COUNTIF('M212'!E9,"Aula 11"))&gt;0,1,0)+IF((COUNTIF('M311'!E9,"Aula 11"))&gt;0,1,0)+IF((COUNTIF('M411'!E9,"Aula 11"))&gt;0,1,0)+IF((COUNTIF('D111'!E9,"Aula 11")+COUNTIF('D112'!E9,"Aula 11"))&gt;0,1,0)+IF((COUNTIF('D211'!E9,"Aula 11"))&gt;0,1,0)+IF((COUNTIF('D311'!E9,"Aula 11"))&gt;0,1,0)+IF((COUNTIF('D411'!E9,"Aula 11"))&gt;0,1,0))=1,IF((COUNTIF('C111'!E9,"Aula 11")+COUNTIF('C112'!E9,"Aula 11")+COUNTIF('C113'!E9,"Aula 11")+COUNTIF('C121'!E9,"Aula 11")+COUNTIF('C122'!E9,"Aula 11"))&gt;0,"C1",IF((COUNTIF('C211'!E9,"Aula 11")+COUNTIF('C212'!E9,"Aula 11"))&gt;0,"C2",IF((COUNTIF('C311'!E9,"Aula 11")+COUNTIF('C312'!E9,"Aula 11"))&gt;0,"C3",IF((COUNTIF('C411'!E9,"Aula 11")+COUNTIF('C412'!E9,"Aula 11"))&gt;0,"C4",IF((COUNTIF('M111'!E9,"Aula 11")+COUNTIF('M112'!E9,"Aula 11"))&gt;0,"M1",IF((COUNTIF('M211'!E9,"Aula 11")+COUNTIF('M212'!E9,"Aula 11"))&gt;0,"M2",IF((COUNTIF('M311'!E9,"Aula 11"))&gt;0,"M3",IF((COUNTIF('M411'!E9,"Aula 11"))&gt;0,"M4",IF((COUNTIF('D111'!E9,"Aula 11")+COUNTIF('D112'!E9,"Aula 11"))&gt;0,"D1",IF((COUNTIF('D211'!E9,"Aula 11"))&gt;0,"D2",IF((COUNTIF('D311'!E9,"Aula 11"))&gt;0,"D3",IF((COUNTIF('D411'!E9,"Aula 11"))&gt;0,"D4","")))))))))))),"MIX"))</f>
        <v/>
      </c>
    </row>
    <row r="312">
      <c r="C312">
        <f>IF((IF((COUNTIF('C111'!E9,"Aula 12")+COUNTIF('C112'!E9,"Aula 12")+COUNTIF('C113'!E9,"Aula 12")+COUNTIF('C121'!E9,"Aula 12")+COUNTIF('C122'!E9,"Aula 12"))&gt;0,1,0)+IF((COUNTIF('C211'!E9,"Aula 12")+COUNTIF('C212'!E9,"Aula 12"))&gt;0,1,0)+IF((COUNTIF('C311'!E9,"Aula 12")+COUNTIF('C312'!E9,"Aula 12"))&gt;0,1,0)+IF((COUNTIF('C411'!E9,"Aula 12")+COUNTIF('C412'!E9,"Aula 12"))&gt;0,1,0)+IF((COUNTIF('M111'!E9,"Aula 12")+COUNTIF('M112'!E9,"Aula 12"))&gt;0,1,0)+IF((COUNTIF('M211'!E9,"Aula 12")+COUNTIF('M212'!E9,"Aula 12"))&gt;0,1,0)+IF((COUNTIF('M311'!E9,"Aula 12"))&gt;0,1,0)+IF((COUNTIF('M411'!E9,"Aula 12"))&gt;0,1,0)+IF((COUNTIF('D111'!E9,"Aula 12")+COUNTIF('D112'!E9,"Aula 12"))&gt;0,1,0)+IF((COUNTIF('D211'!E9,"Aula 12"))&gt;0,1,0)+IF((COUNTIF('D311'!E9,"Aula 12"))&gt;0,1,0)+IF((COUNTIF('D411'!E9,"Aula 12"))&gt;0,1,0))=0,"",IF((IF((COUNTIF('C111'!E9,"Aula 12")+COUNTIF('C112'!E9,"Aula 12")+COUNTIF('C113'!E9,"Aula 12")+COUNTIF('C121'!E9,"Aula 12")+COUNTIF('C122'!E9,"Aula 12"))&gt;0,1,0)+IF((COUNTIF('C211'!E9,"Aula 12")+COUNTIF('C212'!E9,"Aula 12"))&gt;0,1,0)+IF((COUNTIF('C311'!E9,"Aula 12")+COUNTIF('C312'!E9,"Aula 12"))&gt;0,1,0)+IF((COUNTIF('C411'!E9,"Aula 12")+COUNTIF('C412'!E9,"Aula 12"))&gt;0,1,0)+IF((COUNTIF('M111'!E9,"Aula 12")+COUNTIF('M112'!E9,"Aula 12"))&gt;0,1,0)+IF((COUNTIF('M211'!E9,"Aula 12")+COUNTIF('M212'!E9,"Aula 12"))&gt;0,1,0)+IF((COUNTIF('M311'!E9,"Aula 12"))&gt;0,1,0)+IF((COUNTIF('M411'!E9,"Aula 12"))&gt;0,1,0)+IF((COUNTIF('D111'!E9,"Aula 12")+COUNTIF('D112'!E9,"Aula 12"))&gt;0,1,0)+IF((COUNTIF('D211'!E9,"Aula 12"))&gt;0,1,0)+IF((COUNTIF('D311'!E9,"Aula 12"))&gt;0,1,0)+IF((COUNTIF('D411'!E9,"Aula 12"))&gt;0,1,0))=1,IF((COUNTIF('C111'!E9,"Aula 12")+COUNTIF('C112'!E9,"Aula 12")+COUNTIF('C113'!E9,"Aula 12")+COUNTIF('C121'!E9,"Aula 12")+COUNTIF('C122'!E9,"Aula 12"))&gt;0,"C1",IF((COUNTIF('C211'!E9,"Aula 12")+COUNTIF('C212'!E9,"Aula 12"))&gt;0,"C2",IF((COUNTIF('C311'!E9,"Aula 12")+COUNTIF('C312'!E9,"Aula 12"))&gt;0,"C3",IF((COUNTIF('C411'!E9,"Aula 12")+COUNTIF('C412'!E9,"Aula 12"))&gt;0,"C4",IF((COUNTIF('M111'!E9,"Aula 12")+COUNTIF('M112'!E9,"Aula 12"))&gt;0,"M1",IF((COUNTIF('M211'!E9,"Aula 12")+COUNTIF('M212'!E9,"Aula 12"))&gt;0,"M2",IF((COUNTIF('M311'!E9,"Aula 12"))&gt;0,"M3",IF((COUNTIF('M411'!E9,"Aula 12"))&gt;0,"M4",IF((COUNTIF('D111'!E9,"Aula 12")+COUNTIF('D112'!E9,"Aula 12"))&gt;0,"D1",IF((COUNTIF('D211'!E9,"Aula 12"))&gt;0,"D2",IF((COUNTIF('D311'!E9,"Aula 12"))&gt;0,"D3",IF((COUNTIF('D411'!E9,"Aula 12"))&gt;0,"D4","")))))))))))),"MIX"))</f>
        <v/>
      </c>
    </row>
    <row r="313">
      <c r="C313">
        <f>IF((IF((COUNTIF('C111'!E9,"Lab 1")+COUNTIF('C112'!E9,"Lab 1")+COUNTIF('C113'!E9,"Lab 1")+COUNTIF('C121'!E9,"Lab 1")+COUNTIF('C122'!E9,"Lab 1"))&gt;0,1,0)+IF((COUNTIF('C211'!E9,"Lab 1")+COUNTIF('C212'!E9,"Lab 1"))&gt;0,1,0)+IF((COUNTIF('C311'!E9,"Lab 1")+COUNTIF('C312'!E9,"Lab 1"))&gt;0,1,0)+IF((COUNTIF('C411'!E9,"Lab 1")+COUNTIF('C412'!E9,"Lab 1"))&gt;0,1,0)+IF((COUNTIF('M111'!E9,"Lab 1")+COUNTIF('M112'!E9,"Lab 1"))&gt;0,1,0)+IF((COUNTIF('M211'!E9,"Lab 1")+COUNTIF('M212'!E9,"Lab 1"))&gt;0,1,0)+IF((COUNTIF('M311'!E9,"Lab 1"))&gt;0,1,0)+IF((COUNTIF('M411'!E9,"Lab 1"))&gt;0,1,0)+IF((COUNTIF('D111'!E9,"Lab 1")+COUNTIF('D112'!E9,"Lab 1"))&gt;0,1,0)+IF((COUNTIF('D211'!E9,"Lab 1"))&gt;0,1,0)+IF((COUNTIF('D311'!E9,"Lab 1"))&gt;0,1,0)+IF((COUNTIF('D411'!E9,"Lab 1"))&gt;0,1,0))=0,"",IF((IF((COUNTIF('C111'!E9,"Lab 1")+COUNTIF('C112'!E9,"Lab 1")+COUNTIF('C113'!E9,"Lab 1")+COUNTIF('C121'!E9,"Lab 1")+COUNTIF('C122'!E9,"Lab 1"))&gt;0,1,0)+IF((COUNTIF('C211'!E9,"Lab 1")+COUNTIF('C212'!E9,"Lab 1"))&gt;0,1,0)+IF((COUNTIF('C311'!E9,"Lab 1")+COUNTIF('C312'!E9,"Lab 1"))&gt;0,1,0)+IF((COUNTIF('C411'!E9,"Lab 1")+COUNTIF('C412'!E9,"Lab 1"))&gt;0,1,0)+IF((COUNTIF('M111'!E9,"Lab 1")+COUNTIF('M112'!E9,"Lab 1"))&gt;0,1,0)+IF((COUNTIF('M211'!E9,"Lab 1")+COUNTIF('M212'!E9,"Lab 1"))&gt;0,1,0)+IF((COUNTIF('M311'!E9,"Lab 1"))&gt;0,1,0)+IF((COUNTIF('M411'!E9,"Lab 1"))&gt;0,1,0)+IF((COUNTIF('D111'!E9,"Lab 1")+COUNTIF('D112'!E9,"Lab 1"))&gt;0,1,0)+IF((COUNTIF('D211'!E9,"Lab 1"))&gt;0,1,0)+IF((COUNTIF('D311'!E9,"Lab 1"))&gt;0,1,0)+IF((COUNTIF('D411'!E9,"Lab 1"))&gt;0,1,0))=1,IF((COUNTIF('C111'!E9,"Lab 1")+COUNTIF('C112'!E9,"Lab 1")+COUNTIF('C113'!E9,"Lab 1")+COUNTIF('C121'!E9,"Lab 1")+COUNTIF('C122'!E9,"Lab 1"))&gt;0,"C1",IF((COUNTIF('C211'!E9,"Lab 1")+COUNTIF('C212'!E9,"Lab 1"))&gt;0,"C2",IF((COUNTIF('C311'!E9,"Lab 1")+COUNTIF('C312'!E9,"Lab 1"))&gt;0,"C3",IF((COUNTIF('C411'!E9,"Lab 1")+COUNTIF('C412'!E9,"Lab 1"))&gt;0,"C4",IF((COUNTIF('M111'!E9,"Lab 1")+COUNTIF('M112'!E9,"Lab 1"))&gt;0,"M1",IF((COUNTIF('M211'!E9,"Lab 1")+COUNTIF('M212'!E9,"Lab 1"))&gt;0,"M2",IF((COUNTIF('M311'!E9,"Lab 1"))&gt;0,"M3",IF((COUNTIF('M411'!E9,"Lab 1"))&gt;0,"M4",IF((COUNTIF('D111'!E9,"Lab 1")+COUNTIF('D112'!E9,"Lab 1"))&gt;0,"D1",IF((COUNTIF('D211'!E9,"Lab 1"))&gt;0,"D2",IF((COUNTIF('D311'!E9,"Lab 1"))&gt;0,"D3",IF((COUNTIF('D411'!E9,"Lab 1"))&gt;0,"D4","")))))))))))),"MIX"))</f>
        <v/>
      </c>
    </row>
    <row r="314">
      <c r="C314">
        <f>IF((IF((COUNTIF('C111'!E9,"Lab 2")+COUNTIF('C112'!E9,"Lab 2")+COUNTIF('C113'!E9,"Lab 2")+COUNTIF('C121'!E9,"Lab 2")+COUNTIF('C122'!E9,"Lab 2"))&gt;0,1,0)+IF((COUNTIF('C211'!E9,"Lab 2")+COUNTIF('C212'!E9,"Lab 2"))&gt;0,1,0)+IF((COUNTIF('C311'!E9,"Lab 2")+COUNTIF('C312'!E9,"Lab 2"))&gt;0,1,0)+IF((COUNTIF('C411'!E9,"Lab 2")+COUNTIF('C412'!E9,"Lab 2"))&gt;0,1,0)+IF((COUNTIF('M111'!E9,"Lab 2")+COUNTIF('M112'!E9,"Lab 2"))&gt;0,1,0)+IF((COUNTIF('M211'!E9,"Lab 2")+COUNTIF('M212'!E9,"Lab 2"))&gt;0,1,0)+IF((COUNTIF('M311'!E9,"Lab 2"))&gt;0,1,0)+IF((COUNTIF('M411'!E9,"Lab 2"))&gt;0,1,0)+IF((COUNTIF('D111'!E9,"Lab 2")+COUNTIF('D112'!E9,"Lab 2"))&gt;0,1,0)+IF((COUNTIF('D211'!E9,"Lab 2"))&gt;0,1,0)+IF((COUNTIF('D311'!E9,"Lab 2"))&gt;0,1,0)+IF((COUNTIF('D411'!E9,"Lab 2"))&gt;0,1,0))=0,"",IF((IF((COUNTIF('C111'!E9,"Lab 2")+COUNTIF('C112'!E9,"Lab 2")+COUNTIF('C113'!E9,"Lab 2")+COUNTIF('C121'!E9,"Lab 2")+COUNTIF('C122'!E9,"Lab 2"))&gt;0,1,0)+IF((COUNTIF('C211'!E9,"Lab 2")+COUNTIF('C212'!E9,"Lab 2"))&gt;0,1,0)+IF((COUNTIF('C311'!E9,"Lab 2")+COUNTIF('C312'!E9,"Lab 2"))&gt;0,1,0)+IF((COUNTIF('C411'!E9,"Lab 2")+COUNTIF('C412'!E9,"Lab 2"))&gt;0,1,0)+IF((COUNTIF('M111'!E9,"Lab 2")+COUNTIF('M112'!E9,"Lab 2"))&gt;0,1,0)+IF((COUNTIF('M211'!E9,"Lab 2")+COUNTIF('M212'!E9,"Lab 2"))&gt;0,1,0)+IF((COUNTIF('M311'!E9,"Lab 2"))&gt;0,1,0)+IF((COUNTIF('M411'!E9,"Lab 2"))&gt;0,1,0)+IF((COUNTIF('D111'!E9,"Lab 2")+COUNTIF('D112'!E9,"Lab 2"))&gt;0,1,0)+IF((COUNTIF('D211'!E9,"Lab 2"))&gt;0,1,0)+IF((COUNTIF('D311'!E9,"Lab 2"))&gt;0,1,0)+IF((COUNTIF('D411'!E9,"Lab 2"))&gt;0,1,0))=1,IF((COUNTIF('C111'!E9,"Lab 2")+COUNTIF('C112'!E9,"Lab 2")+COUNTIF('C113'!E9,"Lab 2")+COUNTIF('C121'!E9,"Lab 2")+COUNTIF('C122'!E9,"Lab 2"))&gt;0,"C1",IF((COUNTIF('C211'!E9,"Lab 2")+COUNTIF('C212'!E9,"Lab 2"))&gt;0,"C2",IF((COUNTIF('C311'!E9,"Lab 2")+COUNTIF('C312'!E9,"Lab 2"))&gt;0,"C3",IF((COUNTIF('C411'!E9,"Lab 2")+COUNTIF('C412'!E9,"Lab 2"))&gt;0,"C4",IF((COUNTIF('M111'!E9,"Lab 2")+COUNTIF('M112'!E9,"Lab 2"))&gt;0,"M1",IF((COUNTIF('M211'!E9,"Lab 2")+COUNTIF('M212'!E9,"Lab 2"))&gt;0,"M2",IF((COUNTIF('M311'!E9,"Lab 2"))&gt;0,"M3",IF((COUNTIF('M411'!E9,"Lab 2"))&gt;0,"M4",IF((COUNTIF('D111'!E9,"Lab 2")+COUNTIF('D112'!E9,"Lab 2"))&gt;0,"D1",IF((COUNTIF('D211'!E9,"Lab 2"))&gt;0,"D2",IF((COUNTIF('D311'!E9,"Lab 2"))&gt;0,"D3",IF((COUNTIF('D411'!E9,"Lab 2"))&gt;0,"D4","")))))))))))),"MIX"))</f>
        <v/>
      </c>
    </row>
    <row r="315">
      <c r="C315">
        <f>IF((IF((COUNTIF('C111'!E9,"Salón")+COUNTIF('C112'!E9,"Salón")+COUNTIF('C113'!E9,"Salón")+COUNTIF('C121'!E9,"Salón")+COUNTIF('C122'!E9,"Salón"))&gt;0,1,0)+IF((COUNTIF('C211'!E9,"Salón")+COUNTIF('C212'!E9,"Salón"))&gt;0,1,0)+IF((COUNTIF('C311'!E9,"Salón")+COUNTIF('C312'!E9,"Salón"))&gt;0,1,0)+IF((COUNTIF('C411'!E9,"Salón")+COUNTIF('C412'!E9,"Salón"))&gt;0,1,0)+IF((COUNTIF('M111'!E9,"Salón")+COUNTIF('M112'!E9,"Salón"))&gt;0,1,0)+IF((COUNTIF('M211'!E9,"Salón")+COUNTIF('M212'!E9,"Salón"))&gt;0,1,0)+IF((COUNTIF('M311'!E9,"Salón"))&gt;0,1,0)+IF((COUNTIF('M411'!E9,"Salón"))&gt;0,1,0)+IF((COUNTIF('D111'!E9,"Salón")+COUNTIF('D112'!E9,"Salón"))&gt;0,1,0)+IF((COUNTIF('D211'!E9,"Salón"))&gt;0,1,0)+IF((COUNTIF('D311'!E9,"Salón"))&gt;0,1,0)+IF((COUNTIF('D411'!E9,"Salón"))&gt;0,1,0))=0,"",IF((IF((COUNTIF('C111'!E9,"Salón")+COUNTIF('C112'!E9,"Salón")+COUNTIF('C113'!E9,"Salón")+COUNTIF('C121'!E9,"Salón")+COUNTIF('C122'!E9,"Salón"))&gt;0,1,0)+IF((COUNTIF('C211'!E9,"Salón")+COUNTIF('C212'!E9,"Salón"))&gt;0,1,0)+IF((COUNTIF('C311'!E9,"Salón")+COUNTIF('C312'!E9,"Salón"))&gt;0,1,0)+IF((COUNTIF('C411'!E9,"Salón")+COUNTIF('C412'!E9,"Salón"))&gt;0,1,0)+IF((COUNTIF('M111'!E9,"Salón")+COUNTIF('M112'!E9,"Salón"))&gt;0,1,0)+IF((COUNTIF('M211'!E9,"Salón")+COUNTIF('M212'!E9,"Salón"))&gt;0,1,0)+IF((COUNTIF('M311'!E9,"Salón"))&gt;0,1,0)+IF((COUNTIF('M411'!E9,"Salón"))&gt;0,1,0)+IF((COUNTIF('D111'!E9,"Salón")+COUNTIF('D112'!E9,"Salón"))&gt;0,1,0)+IF((COUNTIF('D211'!E9,"Salón"))&gt;0,1,0)+IF((COUNTIF('D311'!E9,"Salón"))&gt;0,1,0)+IF((COUNTIF('D411'!E9,"Salón"))&gt;0,1,0))=1,IF((COUNTIF('C111'!E9,"Salón")+COUNTIF('C112'!E9,"Salón")+COUNTIF('C113'!E9,"Salón")+COUNTIF('C121'!E9,"Salón")+COUNTIF('C122'!E9,"Salón"))&gt;0,"C1",IF((COUNTIF('C211'!E9,"Salón")+COUNTIF('C212'!E9,"Salón"))&gt;0,"C2",IF((COUNTIF('C311'!E9,"Salón")+COUNTIF('C312'!E9,"Salón"))&gt;0,"C3",IF((COUNTIF('C411'!E9,"Salón")+COUNTIF('C412'!E9,"Salón"))&gt;0,"C4",IF((COUNTIF('M111'!E9,"Salón")+COUNTIF('M112'!E9,"Salón"))&gt;0,"M1",IF((COUNTIF('M211'!E9,"Salón")+COUNTIF('M212'!E9,"Salón"))&gt;0,"M2",IF((COUNTIF('M311'!E9,"Salón"))&gt;0,"M3",IF((COUNTIF('M411'!E9,"Salón"))&gt;0,"M4",IF((COUNTIF('D111'!E9,"Salón")+COUNTIF('D112'!E9,"Salón"))&gt;0,"D1",IF((COUNTIF('D211'!E9,"Salón"))&gt;0,"D2",IF((COUNTIF('D311'!E9,"Salón"))&gt;0,"D3",IF((COUNTIF('D411'!E9,"Salón"))&gt;0,"D4","")))))))))))),"MIX"))</f>
        <v/>
      </c>
    </row>
    <row r="316">
      <c r="C316">
        <f>IF((IF((COUNTIF('C111'!E11,"Aula 1")+COUNTIF('C112'!E11,"Aula 1")+COUNTIF('C113'!E11,"Aula 1")+COUNTIF('C121'!E11,"Aula 1")+COUNTIF('C122'!E11,"Aula 1"))&gt;0,1,0)+IF((COUNTIF('C211'!E11,"Aula 1")+COUNTIF('C212'!E11,"Aula 1"))&gt;0,1,0)+IF((COUNTIF('C311'!E11,"Aula 1")+COUNTIF('C312'!E11,"Aula 1"))&gt;0,1,0)+IF((COUNTIF('C411'!E11,"Aula 1")+COUNTIF('C412'!E11,"Aula 1"))&gt;0,1,0)+IF((COUNTIF('M111'!E11,"Aula 1")+COUNTIF('M112'!E11,"Aula 1"))&gt;0,1,0)+IF((COUNTIF('M211'!E11,"Aula 1")+COUNTIF('M212'!E11,"Aula 1"))&gt;0,1,0)+IF((COUNTIF('M311'!E11,"Aula 1"))&gt;0,1,0)+IF((COUNTIF('M411'!E11,"Aula 1"))&gt;0,1,0)+IF((COUNTIF('D111'!E11,"Aula 1")+COUNTIF('D112'!E11,"Aula 1"))&gt;0,1,0)+IF((COUNTIF('D211'!E11,"Aula 1"))&gt;0,1,0)+IF((COUNTIF('D311'!E11,"Aula 1"))&gt;0,1,0)+IF((COUNTIF('D411'!E11,"Aula 1"))&gt;0,1,0))=0,"",IF((IF((COUNTIF('C111'!E11,"Aula 1")+COUNTIF('C112'!E11,"Aula 1")+COUNTIF('C113'!E11,"Aula 1")+COUNTIF('C121'!E11,"Aula 1")+COUNTIF('C122'!E11,"Aula 1"))&gt;0,1,0)+IF((COUNTIF('C211'!E11,"Aula 1")+COUNTIF('C212'!E11,"Aula 1"))&gt;0,1,0)+IF((COUNTIF('C311'!E11,"Aula 1")+COUNTIF('C312'!E11,"Aula 1"))&gt;0,1,0)+IF((COUNTIF('C411'!E11,"Aula 1")+COUNTIF('C412'!E11,"Aula 1"))&gt;0,1,0)+IF((COUNTIF('M111'!E11,"Aula 1")+COUNTIF('M112'!E11,"Aula 1"))&gt;0,1,0)+IF((COUNTIF('M211'!E11,"Aula 1")+COUNTIF('M212'!E11,"Aula 1"))&gt;0,1,0)+IF((COUNTIF('M311'!E11,"Aula 1"))&gt;0,1,0)+IF((COUNTIF('M411'!E11,"Aula 1"))&gt;0,1,0)+IF((COUNTIF('D111'!E11,"Aula 1")+COUNTIF('D112'!E11,"Aula 1"))&gt;0,1,0)+IF((COUNTIF('D211'!E11,"Aula 1"))&gt;0,1,0)+IF((COUNTIF('D311'!E11,"Aula 1"))&gt;0,1,0)+IF((COUNTIF('D411'!E11,"Aula 1"))&gt;0,1,0))=1,IF((COUNTIF('C111'!E11,"Aula 1")+COUNTIF('C112'!E11,"Aula 1")+COUNTIF('C113'!E11,"Aula 1")+COUNTIF('C121'!E11,"Aula 1")+COUNTIF('C122'!E11,"Aula 1"))&gt;0,"C1",IF((COUNTIF('C211'!E11,"Aula 1")+COUNTIF('C212'!E11,"Aula 1"))&gt;0,"C2",IF((COUNTIF('C311'!E11,"Aula 1")+COUNTIF('C312'!E11,"Aula 1"))&gt;0,"C3",IF((COUNTIF('C411'!E11,"Aula 1")+COUNTIF('C412'!E11,"Aula 1"))&gt;0,"C4",IF((COUNTIF('M111'!E11,"Aula 1")+COUNTIF('M112'!E11,"Aula 1"))&gt;0,"M1",IF((COUNTIF('M211'!E11,"Aula 1")+COUNTIF('M212'!E11,"Aula 1"))&gt;0,"M2",IF((COUNTIF('M311'!E11,"Aula 1"))&gt;0,"M3",IF((COUNTIF('M411'!E11,"Aula 1"))&gt;0,"M4",IF((COUNTIF('D111'!E11,"Aula 1")+COUNTIF('D112'!E11,"Aula 1"))&gt;0,"D1",IF((COUNTIF('D211'!E11,"Aula 1"))&gt;0,"D2",IF((COUNTIF('D311'!E11,"Aula 1"))&gt;0,"D3",IF((COUNTIF('D411'!E11,"Aula 1"))&gt;0,"D4","")))))))))))),"MIX"))</f>
        <v/>
      </c>
    </row>
    <row r="317">
      <c r="C317">
        <f>IF((IF((COUNTIF('C111'!E11,"Aula 2")+COUNTIF('C112'!E11,"Aula 2")+COUNTIF('C113'!E11,"Aula 2")+COUNTIF('C121'!E11,"Aula 2")+COUNTIF('C122'!E11,"Aula 2"))&gt;0,1,0)+IF((COUNTIF('C211'!E11,"Aula 2")+COUNTIF('C212'!E11,"Aula 2"))&gt;0,1,0)+IF((COUNTIF('C311'!E11,"Aula 2")+COUNTIF('C312'!E11,"Aula 2"))&gt;0,1,0)+IF((COUNTIF('C411'!E11,"Aula 2")+COUNTIF('C412'!E11,"Aula 2"))&gt;0,1,0)+IF((COUNTIF('M111'!E11,"Aula 2")+COUNTIF('M112'!E11,"Aula 2"))&gt;0,1,0)+IF((COUNTIF('M211'!E11,"Aula 2")+COUNTIF('M212'!E11,"Aula 2"))&gt;0,1,0)+IF((COUNTIF('M311'!E11,"Aula 2"))&gt;0,1,0)+IF((COUNTIF('M411'!E11,"Aula 2"))&gt;0,1,0)+IF((COUNTIF('D111'!E11,"Aula 2")+COUNTIF('D112'!E11,"Aula 2"))&gt;0,1,0)+IF((COUNTIF('D211'!E11,"Aula 2"))&gt;0,1,0)+IF((COUNTIF('D311'!E11,"Aula 2"))&gt;0,1,0)+IF((COUNTIF('D411'!E11,"Aula 2"))&gt;0,1,0))=0,"",IF((IF((COUNTIF('C111'!E11,"Aula 2")+COUNTIF('C112'!E11,"Aula 2")+COUNTIF('C113'!E11,"Aula 2")+COUNTIF('C121'!E11,"Aula 2")+COUNTIF('C122'!E11,"Aula 2"))&gt;0,1,0)+IF((COUNTIF('C211'!E11,"Aula 2")+COUNTIF('C212'!E11,"Aula 2"))&gt;0,1,0)+IF((COUNTIF('C311'!E11,"Aula 2")+COUNTIF('C312'!E11,"Aula 2"))&gt;0,1,0)+IF((COUNTIF('C411'!E11,"Aula 2")+COUNTIF('C412'!E11,"Aula 2"))&gt;0,1,0)+IF((COUNTIF('M111'!E11,"Aula 2")+COUNTIF('M112'!E11,"Aula 2"))&gt;0,1,0)+IF((COUNTIF('M211'!E11,"Aula 2")+COUNTIF('M212'!E11,"Aula 2"))&gt;0,1,0)+IF((COUNTIF('M311'!E11,"Aula 2"))&gt;0,1,0)+IF((COUNTIF('M411'!E11,"Aula 2"))&gt;0,1,0)+IF((COUNTIF('D111'!E11,"Aula 2")+COUNTIF('D112'!E11,"Aula 2"))&gt;0,1,0)+IF((COUNTIF('D211'!E11,"Aula 2"))&gt;0,1,0)+IF((COUNTIF('D311'!E11,"Aula 2"))&gt;0,1,0)+IF((COUNTIF('D411'!E11,"Aula 2"))&gt;0,1,0))=1,IF((COUNTIF('C111'!E11,"Aula 2")+COUNTIF('C112'!E11,"Aula 2")+COUNTIF('C113'!E11,"Aula 2")+COUNTIF('C121'!E11,"Aula 2")+COUNTIF('C122'!E11,"Aula 2"))&gt;0,"C1",IF((COUNTIF('C211'!E11,"Aula 2")+COUNTIF('C212'!E11,"Aula 2"))&gt;0,"C2",IF((COUNTIF('C311'!E11,"Aula 2")+COUNTIF('C312'!E11,"Aula 2"))&gt;0,"C3",IF((COUNTIF('C411'!E11,"Aula 2")+COUNTIF('C412'!E11,"Aula 2"))&gt;0,"C4",IF((COUNTIF('M111'!E11,"Aula 2")+COUNTIF('M112'!E11,"Aula 2"))&gt;0,"M1",IF((COUNTIF('M211'!E11,"Aula 2")+COUNTIF('M212'!E11,"Aula 2"))&gt;0,"M2",IF((COUNTIF('M311'!E11,"Aula 2"))&gt;0,"M3",IF((COUNTIF('M411'!E11,"Aula 2"))&gt;0,"M4",IF((COUNTIF('D111'!E11,"Aula 2")+COUNTIF('D112'!E11,"Aula 2"))&gt;0,"D1",IF((COUNTIF('D211'!E11,"Aula 2"))&gt;0,"D2",IF((COUNTIF('D311'!E11,"Aula 2"))&gt;0,"D3",IF((COUNTIF('D411'!E11,"Aula 2"))&gt;0,"D4","")))))))))))),"MIX"))</f>
        <v/>
      </c>
    </row>
    <row r="318">
      <c r="C318">
        <f>IF((IF((COUNTIF('C111'!E11,"Aula 3")+COUNTIF('C112'!E11,"Aula 3")+COUNTIF('C113'!E11,"Aula 3")+COUNTIF('C121'!E11,"Aula 3")+COUNTIF('C122'!E11,"Aula 3"))&gt;0,1,0)+IF((COUNTIF('C211'!E11,"Aula 3")+COUNTIF('C212'!E11,"Aula 3"))&gt;0,1,0)+IF((COUNTIF('C311'!E11,"Aula 3")+COUNTIF('C312'!E11,"Aula 3"))&gt;0,1,0)+IF((COUNTIF('C411'!E11,"Aula 3")+COUNTIF('C412'!E11,"Aula 3"))&gt;0,1,0)+IF((COUNTIF('M111'!E11,"Aula 3")+COUNTIF('M112'!E11,"Aula 3"))&gt;0,1,0)+IF((COUNTIF('M211'!E11,"Aula 3")+COUNTIF('M212'!E11,"Aula 3"))&gt;0,1,0)+IF((COUNTIF('M311'!E11,"Aula 3"))&gt;0,1,0)+IF((COUNTIF('M411'!E11,"Aula 3"))&gt;0,1,0)+IF((COUNTIF('D111'!E11,"Aula 3")+COUNTIF('D112'!E11,"Aula 3"))&gt;0,1,0)+IF((COUNTIF('D211'!E11,"Aula 3"))&gt;0,1,0)+IF((COUNTIF('D311'!E11,"Aula 3"))&gt;0,1,0)+IF((COUNTIF('D411'!E11,"Aula 3"))&gt;0,1,0))=0,"",IF((IF((COUNTIF('C111'!E11,"Aula 3")+COUNTIF('C112'!E11,"Aula 3")+COUNTIF('C113'!E11,"Aula 3")+COUNTIF('C121'!E11,"Aula 3")+COUNTIF('C122'!E11,"Aula 3"))&gt;0,1,0)+IF((COUNTIF('C211'!E11,"Aula 3")+COUNTIF('C212'!E11,"Aula 3"))&gt;0,1,0)+IF((COUNTIF('C311'!E11,"Aula 3")+COUNTIF('C312'!E11,"Aula 3"))&gt;0,1,0)+IF((COUNTIF('C411'!E11,"Aula 3")+COUNTIF('C412'!E11,"Aula 3"))&gt;0,1,0)+IF((COUNTIF('M111'!E11,"Aula 3")+COUNTIF('M112'!E11,"Aula 3"))&gt;0,1,0)+IF((COUNTIF('M211'!E11,"Aula 3")+COUNTIF('M212'!E11,"Aula 3"))&gt;0,1,0)+IF((COUNTIF('M311'!E11,"Aula 3"))&gt;0,1,0)+IF((COUNTIF('M411'!E11,"Aula 3"))&gt;0,1,0)+IF((COUNTIF('D111'!E11,"Aula 3")+COUNTIF('D112'!E11,"Aula 3"))&gt;0,1,0)+IF((COUNTIF('D211'!E11,"Aula 3"))&gt;0,1,0)+IF((COUNTIF('D311'!E11,"Aula 3"))&gt;0,1,0)+IF((COUNTIF('D411'!E11,"Aula 3"))&gt;0,1,0))=1,IF((COUNTIF('C111'!E11,"Aula 3")+COUNTIF('C112'!E11,"Aula 3")+COUNTIF('C113'!E11,"Aula 3")+COUNTIF('C121'!E11,"Aula 3")+COUNTIF('C122'!E11,"Aula 3"))&gt;0,"C1",IF((COUNTIF('C211'!E11,"Aula 3")+COUNTIF('C212'!E11,"Aula 3"))&gt;0,"C2",IF((COUNTIF('C311'!E11,"Aula 3")+COUNTIF('C312'!E11,"Aula 3"))&gt;0,"C3",IF((COUNTIF('C411'!E11,"Aula 3")+COUNTIF('C412'!E11,"Aula 3"))&gt;0,"C4",IF((COUNTIF('M111'!E11,"Aula 3")+COUNTIF('M112'!E11,"Aula 3"))&gt;0,"M1",IF((COUNTIF('M211'!E11,"Aula 3")+COUNTIF('M212'!E11,"Aula 3"))&gt;0,"M2",IF((COUNTIF('M311'!E11,"Aula 3"))&gt;0,"M3",IF((COUNTIF('M411'!E11,"Aula 3"))&gt;0,"M4",IF((COUNTIF('D111'!E11,"Aula 3")+COUNTIF('D112'!E11,"Aula 3"))&gt;0,"D1",IF((COUNTIF('D211'!E11,"Aula 3"))&gt;0,"D2",IF((COUNTIF('D311'!E11,"Aula 3"))&gt;0,"D3",IF((COUNTIF('D411'!E11,"Aula 3"))&gt;0,"D4","")))))))))))),"MIX"))</f>
        <v/>
      </c>
    </row>
    <row r="319">
      <c r="C319">
        <f>IF((IF((COUNTIF('C111'!E11,"Aula 4")+COUNTIF('C112'!E11,"Aula 4")+COUNTIF('C113'!E11,"Aula 4")+COUNTIF('C121'!E11,"Aula 4")+COUNTIF('C122'!E11,"Aula 4"))&gt;0,1,0)+IF((COUNTIF('C211'!E11,"Aula 4")+COUNTIF('C212'!E11,"Aula 4"))&gt;0,1,0)+IF((COUNTIF('C311'!E11,"Aula 4")+COUNTIF('C312'!E11,"Aula 4"))&gt;0,1,0)+IF((COUNTIF('C411'!E11,"Aula 4")+COUNTIF('C412'!E11,"Aula 4"))&gt;0,1,0)+IF((COUNTIF('M111'!E11,"Aula 4")+COUNTIF('M112'!E11,"Aula 4"))&gt;0,1,0)+IF((COUNTIF('M211'!E11,"Aula 4")+COUNTIF('M212'!E11,"Aula 4"))&gt;0,1,0)+IF((COUNTIF('M311'!E11,"Aula 4"))&gt;0,1,0)+IF((COUNTIF('M411'!E11,"Aula 4"))&gt;0,1,0)+IF((COUNTIF('D111'!E11,"Aula 4")+COUNTIF('D112'!E11,"Aula 4"))&gt;0,1,0)+IF((COUNTIF('D211'!E11,"Aula 4"))&gt;0,1,0)+IF((COUNTIF('D311'!E11,"Aula 4"))&gt;0,1,0)+IF((COUNTIF('D411'!E11,"Aula 4"))&gt;0,1,0))=0,"",IF((IF((COUNTIF('C111'!E11,"Aula 4")+COUNTIF('C112'!E11,"Aula 4")+COUNTIF('C113'!E11,"Aula 4")+COUNTIF('C121'!E11,"Aula 4")+COUNTIF('C122'!E11,"Aula 4"))&gt;0,1,0)+IF((COUNTIF('C211'!E11,"Aula 4")+COUNTIF('C212'!E11,"Aula 4"))&gt;0,1,0)+IF((COUNTIF('C311'!E11,"Aula 4")+COUNTIF('C312'!E11,"Aula 4"))&gt;0,1,0)+IF((COUNTIF('C411'!E11,"Aula 4")+COUNTIF('C412'!E11,"Aula 4"))&gt;0,1,0)+IF((COUNTIF('M111'!E11,"Aula 4")+COUNTIF('M112'!E11,"Aula 4"))&gt;0,1,0)+IF((COUNTIF('M211'!E11,"Aula 4")+COUNTIF('M212'!E11,"Aula 4"))&gt;0,1,0)+IF((COUNTIF('M311'!E11,"Aula 4"))&gt;0,1,0)+IF((COUNTIF('M411'!E11,"Aula 4"))&gt;0,1,0)+IF((COUNTIF('D111'!E11,"Aula 4")+COUNTIF('D112'!E11,"Aula 4"))&gt;0,1,0)+IF((COUNTIF('D211'!E11,"Aula 4"))&gt;0,1,0)+IF((COUNTIF('D311'!E11,"Aula 4"))&gt;0,1,0)+IF((COUNTIF('D411'!E11,"Aula 4"))&gt;0,1,0))=1,IF((COUNTIF('C111'!E11,"Aula 4")+COUNTIF('C112'!E11,"Aula 4")+COUNTIF('C113'!E11,"Aula 4")+COUNTIF('C121'!E11,"Aula 4")+COUNTIF('C122'!E11,"Aula 4"))&gt;0,"C1",IF((COUNTIF('C211'!E11,"Aula 4")+COUNTIF('C212'!E11,"Aula 4"))&gt;0,"C2",IF((COUNTIF('C311'!E11,"Aula 4")+COUNTIF('C312'!E11,"Aula 4"))&gt;0,"C3",IF((COUNTIF('C411'!E11,"Aula 4")+COUNTIF('C412'!E11,"Aula 4"))&gt;0,"C4",IF((COUNTIF('M111'!E11,"Aula 4")+COUNTIF('M112'!E11,"Aula 4"))&gt;0,"M1",IF((COUNTIF('M211'!E11,"Aula 4")+COUNTIF('M212'!E11,"Aula 4"))&gt;0,"M2",IF((COUNTIF('M311'!E11,"Aula 4"))&gt;0,"M3",IF((COUNTIF('M411'!E11,"Aula 4"))&gt;0,"M4",IF((COUNTIF('D111'!E11,"Aula 4")+COUNTIF('D112'!E11,"Aula 4"))&gt;0,"D1",IF((COUNTIF('D211'!E11,"Aula 4"))&gt;0,"D2",IF((COUNTIF('D311'!E11,"Aula 4"))&gt;0,"D3",IF((COUNTIF('D411'!E11,"Aula 4"))&gt;0,"D4","")))))))))))),"MIX"))</f>
        <v/>
      </c>
    </row>
    <row r="320">
      <c r="C320">
        <f>IF((IF((COUNTIF('C111'!E11,"Aula 5")+COUNTIF('C112'!E11,"Aula 5")+COUNTIF('C113'!E11,"Aula 5")+COUNTIF('C121'!E11,"Aula 5")+COUNTIF('C122'!E11,"Aula 5"))&gt;0,1,0)+IF((COUNTIF('C211'!E11,"Aula 5")+COUNTIF('C212'!E11,"Aula 5"))&gt;0,1,0)+IF((COUNTIF('C311'!E11,"Aula 5")+COUNTIF('C312'!E11,"Aula 5"))&gt;0,1,0)+IF((COUNTIF('C411'!E11,"Aula 5")+COUNTIF('C412'!E11,"Aula 5"))&gt;0,1,0)+IF((COUNTIF('M111'!E11,"Aula 5")+COUNTIF('M112'!E11,"Aula 5"))&gt;0,1,0)+IF((COUNTIF('M211'!E11,"Aula 5")+COUNTIF('M212'!E11,"Aula 5"))&gt;0,1,0)+IF((COUNTIF('M311'!E11,"Aula 5"))&gt;0,1,0)+IF((COUNTIF('M411'!E11,"Aula 5"))&gt;0,1,0)+IF((COUNTIF('D111'!E11,"Aula 5")+COUNTIF('D112'!E11,"Aula 5"))&gt;0,1,0)+IF((COUNTIF('D211'!E11,"Aula 5"))&gt;0,1,0)+IF((COUNTIF('D311'!E11,"Aula 5"))&gt;0,1,0)+IF((COUNTIF('D411'!E11,"Aula 5"))&gt;0,1,0))=0,"",IF((IF((COUNTIF('C111'!E11,"Aula 5")+COUNTIF('C112'!E11,"Aula 5")+COUNTIF('C113'!E11,"Aula 5")+COUNTIF('C121'!E11,"Aula 5")+COUNTIF('C122'!E11,"Aula 5"))&gt;0,1,0)+IF((COUNTIF('C211'!E11,"Aula 5")+COUNTIF('C212'!E11,"Aula 5"))&gt;0,1,0)+IF((COUNTIF('C311'!E11,"Aula 5")+COUNTIF('C312'!E11,"Aula 5"))&gt;0,1,0)+IF((COUNTIF('C411'!E11,"Aula 5")+COUNTIF('C412'!E11,"Aula 5"))&gt;0,1,0)+IF((COUNTIF('M111'!E11,"Aula 5")+COUNTIF('M112'!E11,"Aula 5"))&gt;0,1,0)+IF((COUNTIF('M211'!E11,"Aula 5")+COUNTIF('M212'!E11,"Aula 5"))&gt;0,1,0)+IF((COUNTIF('M311'!E11,"Aula 5"))&gt;0,1,0)+IF((COUNTIF('M411'!E11,"Aula 5"))&gt;0,1,0)+IF((COUNTIF('D111'!E11,"Aula 5")+COUNTIF('D112'!E11,"Aula 5"))&gt;0,1,0)+IF((COUNTIF('D211'!E11,"Aula 5"))&gt;0,1,0)+IF((COUNTIF('D311'!E11,"Aula 5"))&gt;0,1,0)+IF((COUNTIF('D411'!E11,"Aula 5"))&gt;0,1,0))=1,IF((COUNTIF('C111'!E11,"Aula 5")+COUNTIF('C112'!E11,"Aula 5")+COUNTIF('C113'!E11,"Aula 5")+COUNTIF('C121'!E11,"Aula 5")+COUNTIF('C122'!E11,"Aula 5"))&gt;0,"C1",IF((COUNTIF('C211'!E11,"Aula 5")+COUNTIF('C212'!E11,"Aula 5"))&gt;0,"C2",IF((COUNTIF('C311'!E11,"Aula 5")+COUNTIF('C312'!E11,"Aula 5"))&gt;0,"C3",IF((COUNTIF('C411'!E11,"Aula 5")+COUNTIF('C412'!E11,"Aula 5"))&gt;0,"C4",IF((COUNTIF('M111'!E11,"Aula 5")+COUNTIF('M112'!E11,"Aula 5"))&gt;0,"M1",IF((COUNTIF('M211'!E11,"Aula 5")+COUNTIF('M212'!E11,"Aula 5"))&gt;0,"M2",IF((COUNTIF('M311'!E11,"Aula 5"))&gt;0,"M3",IF((COUNTIF('M411'!E11,"Aula 5"))&gt;0,"M4",IF((COUNTIF('D111'!E11,"Aula 5")+COUNTIF('D112'!E11,"Aula 5"))&gt;0,"D1",IF((COUNTIF('D211'!E11,"Aula 5"))&gt;0,"D2",IF((COUNTIF('D311'!E11,"Aula 5"))&gt;0,"D3",IF((COUNTIF('D411'!E11,"Aula 5"))&gt;0,"D4","")))))))))))),"MIX"))</f>
        <v/>
      </c>
    </row>
    <row r="321">
      <c r="C321">
        <f>IF((IF((COUNTIF('C111'!E11,"Aula 6")+COUNTIF('C112'!E11,"Aula 6")+COUNTIF('C113'!E11,"Aula 6")+COUNTIF('C121'!E11,"Aula 6")+COUNTIF('C122'!E11,"Aula 6"))&gt;0,1,0)+IF((COUNTIF('C211'!E11,"Aula 6")+COUNTIF('C212'!E11,"Aula 6"))&gt;0,1,0)+IF((COUNTIF('C311'!E11,"Aula 6")+COUNTIF('C312'!E11,"Aula 6"))&gt;0,1,0)+IF((COUNTIF('C411'!E11,"Aula 6")+COUNTIF('C412'!E11,"Aula 6"))&gt;0,1,0)+IF((COUNTIF('M111'!E11,"Aula 6")+COUNTIF('M112'!E11,"Aula 6"))&gt;0,1,0)+IF((COUNTIF('M211'!E11,"Aula 6")+COUNTIF('M212'!E11,"Aula 6"))&gt;0,1,0)+IF((COUNTIF('M311'!E11,"Aula 6"))&gt;0,1,0)+IF((COUNTIF('M411'!E11,"Aula 6"))&gt;0,1,0)+IF((COUNTIF('D111'!E11,"Aula 6")+COUNTIF('D112'!E11,"Aula 6"))&gt;0,1,0)+IF((COUNTIF('D211'!E11,"Aula 6"))&gt;0,1,0)+IF((COUNTIF('D311'!E11,"Aula 6"))&gt;0,1,0)+IF((COUNTIF('D411'!E11,"Aula 6"))&gt;0,1,0))=0,"",IF((IF((COUNTIF('C111'!E11,"Aula 6")+COUNTIF('C112'!E11,"Aula 6")+COUNTIF('C113'!E11,"Aula 6")+COUNTIF('C121'!E11,"Aula 6")+COUNTIF('C122'!E11,"Aula 6"))&gt;0,1,0)+IF((COUNTIF('C211'!E11,"Aula 6")+COUNTIF('C212'!E11,"Aula 6"))&gt;0,1,0)+IF((COUNTIF('C311'!E11,"Aula 6")+COUNTIF('C312'!E11,"Aula 6"))&gt;0,1,0)+IF((COUNTIF('C411'!E11,"Aula 6")+COUNTIF('C412'!E11,"Aula 6"))&gt;0,1,0)+IF((COUNTIF('M111'!E11,"Aula 6")+COUNTIF('M112'!E11,"Aula 6"))&gt;0,1,0)+IF((COUNTIF('M211'!E11,"Aula 6")+COUNTIF('M212'!E11,"Aula 6"))&gt;0,1,0)+IF((COUNTIF('M311'!E11,"Aula 6"))&gt;0,1,0)+IF((COUNTIF('M411'!E11,"Aula 6"))&gt;0,1,0)+IF((COUNTIF('D111'!E11,"Aula 6")+COUNTIF('D112'!E11,"Aula 6"))&gt;0,1,0)+IF((COUNTIF('D211'!E11,"Aula 6"))&gt;0,1,0)+IF((COUNTIF('D311'!E11,"Aula 6"))&gt;0,1,0)+IF((COUNTIF('D411'!E11,"Aula 6"))&gt;0,1,0))=1,IF((COUNTIF('C111'!E11,"Aula 6")+COUNTIF('C112'!E11,"Aula 6")+COUNTIF('C113'!E11,"Aula 6")+COUNTIF('C121'!E11,"Aula 6")+COUNTIF('C122'!E11,"Aula 6"))&gt;0,"C1",IF((COUNTIF('C211'!E11,"Aula 6")+COUNTIF('C212'!E11,"Aula 6"))&gt;0,"C2",IF((COUNTIF('C311'!E11,"Aula 6")+COUNTIF('C312'!E11,"Aula 6"))&gt;0,"C3",IF((COUNTIF('C411'!E11,"Aula 6")+COUNTIF('C412'!E11,"Aula 6"))&gt;0,"C4",IF((COUNTIF('M111'!E11,"Aula 6")+COUNTIF('M112'!E11,"Aula 6"))&gt;0,"M1",IF((COUNTIF('M211'!E11,"Aula 6")+COUNTIF('M212'!E11,"Aula 6"))&gt;0,"M2",IF((COUNTIF('M311'!E11,"Aula 6"))&gt;0,"M3",IF((COUNTIF('M411'!E11,"Aula 6"))&gt;0,"M4",IF((COUNTIF('D111'!E11,"Aula 6")+COUNTIF('D112'!E11,"Aula 6"))&gt;0,"D1",IF((COUNTIF('D211'!E11,"Aula 6"))&gt;0,"D2",IF((COUNTIF('D311'!E11,"Aula 6"))&gt;0,"D3",IF((COUNTIF('D411'!E11,"Aula 6"))&gt;0,"D4","")))))))))))),"MIX"))</f>
        <v/>
      </c>
    </row>
    <row r="322">
      <c r="C322">
        <f>IF((IF((COUNTIF('C111'!E11,"Aula 7")+COUNTIF('C112'!E11,"Aula 7")+COUNTIF('C113'!E11,"Aula 7")+COUNTIF('C121'!E11,"Aula 7")+COUNTIF('C122'!E11,"Aula 7"))&gt;0,1,0)+IF((COUNTIF('C211'!E11,"Aula 7")+COUNTIF('C212'!E11,"Aula 7"))&gt;0,1,0)+IF((COUNTIF('C311'!E11,"Aula 7")+COUNTIF('C312'!E11,"Aula 7"))&gt;0,1,0)+IF((COUNTIF('C411'!E11,"Aula 7")+COUNTIF('C412'!E11,"Aula 7"))&gt;0,1,0)+IF((COUNTIF('M111'!E11,"Aula 7")+COUNTIF('M112'!E11,"Aula 7"))&gt;0,1,0)+IF((COUNTIF('M211'!E11,"Aula 7")+COUNTIF('M212'!E11,"Aula 7"))&gt;0,1,0)+IF((COUNTIF('M311'!E11,"Aula 7"))&gt;0,1,0)+IF((COUNTIF('M411'!E11,"Aula 7"))&gt;0,1,0)+IF((COUNTIF('D111'!E11,"Aula 7")+COUNTIF('D112'!E11,"Aula 7"))&gt;0,1,0)+IF((COUNTIF('D211'!E11,"Aula 7"))&gt;0,1,0)+IF((COUNTIF('D311'!E11,"Aula 7"))&gt;0,1,0)+IF((COUNTIF('D411'!E11,"Aula 7"))&gt;0,1,0))=0,"",IF((IF((COUNTIF('C111'!E11,"Aula 7")+COUNTIF('C112'!E11,"Aula 7")+COUNTIF('C113'!E11,"Aula 7")+COUNTIF('C121'!E11,"Aula 7")+COUNTIF('C122'!E11,"Aula 7"))&gt;0,1,0)+IF((COUNTIF('C211'!E11,"Aula 7")+COUNTIF('C212'!E11,"Aula 7"))&gt;0,1,0)+IF((COUNTIF('C311'!E11,"Aula 7")+COUNTIF('C312'!E11,"Aula 7"))&gt;0,1,0)+IF((COUNTIF('C411'!E11,"Aula 7")+COUNTIF('C412'!E11,"Aula 7"))&gt;0,1,0)+IF((COUNTIF('M111'!E11,"Aula 7")+COUNTIF('M112'!E11,"Aula 7"))&gt;0,1,0)+IF((COUNTIF('M211'!E11,"Aula 7")+COUNTIF('M212'!E11,"Aula 7"))&gt;0,1,0)+IF((COUNTIF('M311'!E11,"Aula 7"))&gt;0,1,0)+IF((COUNTIF('M411'!E11,"Aula 7"))&gt;0,1,0)+IF((COUNTIF('D111'!E11,"Aula 7")+COUNTIF('D112'!E11,"Aula 7"))&gt;0,1,0)+IF((COUNTIF('D211'!E11,"Aula 7"))&gt;0,1,0)+IF((COUNTIF('D311'!E11,"Aula 7"))&gt;0,1,0)+IF((COUNTIF('D411'!E11,"Aula 7"))&gt;0,1,0))=1,IF((COUNTIF('C111'!E11,"Aula 7")+COUNTIF('C112'!E11,"Aula 7")+COUNTIF('C113'!E11,"Aula 7")+COUNTIF('C121'!E11,"Aula 7")+COUNTIF('C122'!E11,"Aula 7"))&gt;0,"C1",IF((COUNTIF('C211'!E11,"Aula 7")+COUNTIF('C212'!E11,"Aula 7"))&gt;0,"C2",IF((COUNTIF('C311'!E11,"Aula 7")+COUNTIF('C312'!E11,"Aula 7"))&gt;0,"C3",IF((COUNTIF('C411'!E11,"Aula 7")+COUNTIF('C412'!E11,"Aula 7"))&gt;0,"C4",IF((COUNTIF('M111'!E11,"Aula 7")+COUNTIF('M112'!E11,"Aula 7"))&gt;0,"M1",IF((COUNTIF('M211'!E11,"Aula 7")+COUNTIF('M212'!E11,"Aula 7"))&gt;0,"M2",IF((COUNTIF('M311'!E11,"Aula 7"))&gt;0,"M3",IF((COUNTIF('M411'!E11,"Aula 7"))&gt;0,"M4",IF((COUNTIF('D111'!E11,"Aula 7")+COUNTIF('D112'!E11,"Aula 7"))&gt;0,"D1",IF((COUNTIF('D211'!E11,"Aula 7"))&gt;0,"D2",IF((COUNTIF('D311'!E11,"Aula 7"))&gt;0,"D3",IF((COUNTIF('D411'!E11,"Aula 7"))&gt;0,"D4","")))))))))))),"MIX"))</f>
        <v/>
      </c>
    </row>
    <row r="323">
      <c r="C323">
        <f>IF((IF((COUNTIF('C111'!E11,"Aula 8")+COUNTIF('C112'!E11,"Aula 8")+COUNTIF('C113'!E11,"Aula 8")+COUNTIF('C121'!E11,"Aula 8")+COUNTIF('C122'!E11,"Aula 8"))&gt;0,1,0)+IF((COUNTIF('C211'!E11,"Aula 8")+COUNTIF('C212'!E11,"Aula 8"))&gt;0,1,0)+IF((COUNTIF('C311'!E11,"Aula 8")+COUNTIF('C312'!E11,"Aula 8"))&gt;0,1,0)+IF((COUNTIF('C411'!E11,"Aula 8")+COUNTIF('C412'!E11,"Aula 8"))&gt;0,1,0)+IF((COUNTIF('M111'!E11,"Aula 8")+COUNTIF('M112'!E11,"Aula 8"))&gt;0,1,0)+IF((COUNTIF('M211'!E11,"Aula 8")+COUNTIF('M212'!E11,"Aula 8"))&gt;0,1,0)+IF((COUNTIF('M311'!E11,"Aula 8"))&gt;0,1,0)+IF((COUNTIF('M411'!E11,"Aula 8"))&gt;0,1,0)+IF((COUNTIF('D111'!E11,"Aula 8")+COUNTIF('D112'!E11,"Aula 8"))&gt;0,1,0)+IF((COUNTIF('D211'!E11,"Aula 8"))&gt;0,1,0)+IF((COUNTIF('D311'!E11,"Aula 8"))&gt;0,1,0)+IF((COUNTIF('D411'!E11,"Aula 8"))&gt;0,1,0))=0,"",IF((IF((COUNTIF('C111'!E11,"Aula 8")+COUNTIF('C112'!E11,"Aula 8")+COUNTIF('C113'!E11,"Aula 8")+COUNTIF('C121'!E11,"Aula 8")+COUNTIF('C122'!E11,"Aula 8"))&gt;0,1,0)+IF((COUNTIF('C211'!E11,"Aula 8")+COUNTIF('C212'!E11,"Aula 8"))&gt;0,1,0)+IF((COUNTIF('C311'!E11,"Aula 8")+COUNTIF('C312'!E11,"Aula 8"))&gt;0,1,0)+IF((COUNTIF('C411'!E11,"Aula 8")+COUNTIF('C412'!E11,"Aula 8"))&gt;0,1,0)+IF((COUNTIF('M111'!E11,"Aula 8")+COUNTIF('M112'!E11,"Aula 8"))&gt;0,1,0)+IF((COUNTIF('M211'!E11,"Aula 8")+COUNTIF('M212'!E11,"Aula 8"))&gt;0,1,0)+IF((COUNTIF('M311'!E11,"Aula 8"))&gt;0,1,0)+IF((COUNTIF('M411'!E11,"Aula 8"))&gt;0,1,0)+IF((COUNTIF('D111'!E11,"Aula 8")+COUNTIF('D112'!E11,"Aula 8"))&gt;0,1,0)+IF((COUNTIF('D211'!E11,"Aula 8"))&gt;0,1,0)+IF((COUNTIF('D311'!E11,"Aula 8"))&gt;0,1,0)+IF((COUNTIF('D411'!E11,"Aula 8"))&gt;0,1,0))=1,IF((COUNTIF('C111'!E11,"Aula 8")+COUNTIF('C112'!E11,"Aula 8")+COUNTIF('C113'!E11,"Aula 8")+COUNTIF('C121'!E11,"Aula 8")+COUNTIF('C122'!E11,"Aula 8"))&gt;0,"C1",IF((COUNTIF('C211'!E11,"Aula 8")+COUNTIF('C212'!E11,"Aula 8"))&gt;0,"C2",IF((COUNTIF('C311'!E11,"Aula 8")+COUNTIF('C312'!E11,"Aula 8"))&gt;0,"C3",IF((COUNTIF('C411'!E11,"Aula 8")+COUNTIF('C412'!E11,"Aula 8"))&gt;0,"C4",IF((COUNTIF('M111'!E11,"Aula 8")+COUNTIF('M112'!E11,"Aula 8"))&gt;0,"M1",IF((COUNTIF('M211'!E11,"Aula 8")+COUNTIF('M212'!E11,"Aula 8"))&gt;0,"M2",IF((COUNTIF('M311'!E11,"Aula 8"))&gt;0,"M3",IF((COUNTIF('M411'!E11,"Aula 8"))&gt;0,"M4",IF((COUNTIF('D111'!E11,"Aula 8")+COUNTIF('D112'!E11,"Aula 8"))&gt;0,"D1",IF((COUNTIF('D211'!E11,"Aula 8"))&gt;0,"D2",IF((COUNTIF('D311'!E11,"Aula 8"))&gt;0,"D3",IF((COUNTIF('D411'!E11,"Aula 8"))&gt;0,"D4","")))))))))))),"MIX"))</f>
        <v/>
      </c>
    </row>
    <row r="324">
      <c r="C324">
        <f>IF((IF((COUNTIF('C111'!E11,"Aula 9")+COUNTIF('C112'!E11,"Aula 9")+COUNTIF('C113'!E11,"Aula 9")+COUNTIF('C121'!E11,"Aula 9")+COUNTIF('C122'!E11,"Aula 9"))&gt;0,1,0)+IF((COUNTIF('C211'!E11,"Aula 9")+COUNTIF('C212'!E11,"Aula 9"))&gt;0,1,0)+IF((COUNTIF('C311'!E11,"Aula 9")+COUNTIF('C312'!E11,"Aula 9"))&gt;0,1,0)+IF((COUNTIF('C411'!E11,"Aula 9")+COUNTIF('C412'!E11,"Aula 9"))&gt;0,1,0)+IF((COUNTIF('M111'!E11,"Aula 9")+COUNTIF('M112'!E11,"Aula 9"))&gt;0,1,0)+IF((COUNTIF('M211'!E11,"Aula 9")+COUNTIF('M212'!E11,"Aula 9"))&gt;0,1,0)+IF((COUNTIF('M311'!E11,"Aula 9"))&gt;0,1,0)+IF((COUNTIF('M411'!E11,"Aula 9"))&gt;0,1,0)+IF((COUNTIF('D111'!E11,"Aula 9")+COUNTIF('D112'!E11,"Aula 9"))&gt;0,1,0)+IF((COUNTIF('D211'!E11,"Aula 9"))&gt;0,1,0)+IF((COUNTIF('D311'!E11,"Aula 9"))&gt;0,1,0)+IF((COUNTIF('D411'!E11,"Aula 9"))&gt;0,1,0))=0,"",IF((IF((COUNTIF('C111'!E11,"Aula 9")+COUNTIF('C112'!E11,"Aula 9")+COUNTIF('C113'!E11,"Aula 9")+COUNTIF('C121'!E11,"Aula 9")+COUNTIF('C122'!E11,"Aula 9"))&gt;0,1,0)+IF((COUNTIF('C211'!E11,"Aula 9")+COUNTIF('C212'!E11,"Aula 9"))&gt;0,1,0)+IF((COUNTIF('C311'!E11,"Aula 9")+COUNTIF('C312'!E11,"Aula 9"))&gt;0,1,0)+IF((COUNTIF('C411'!E11,"Aula 9")+COUNTIF('C412'!E11,"Aula 9"))&gt;0,1,0)+IF((COUNTIF('M111'!E11,"Aula 9")+COUNTIF('M112'!E11,"Aula 9"))&gt;0,1,0)+IF((COUNTIF('M211'!E11,"Aula 9")+COUNTIF('M212'!E11,"Aula 9"))&gt;0,1,0)+IF((COUNTIF('M311'!E11,"Aula 9"))&gt;0,1,0)+IF((COUNTIF('M411'!E11,"Aula 9"))&gt;0,1,0)+IF((COUNTIF('D111'!E11,"Aula 9")+COUNTIF('D112'!E11,"Aula 9"))&gt;0,1,0)+IF((COUNTIF('D211'!E11,"Aula 9"))&gt;0,1,0)+IF((COUNTIF('D311'!E11,"Aula 9"))&gt;0,1,0)+IF((COUNTIF('D411'!E11,"Aula 9"))&gt;0,1,0))=1,IF((COUNTIF('C111'!E11,"Aula 9")+COUNTIF('C112'!E11,"Aula 9")+COUNTIF('C113'!E11,"Aula 9")+COUNTIF('C121'!E11,"Aula 9")+COUNTIF('C122'!E11,"Aula 9"))&gt;0,"C1",IF((COUNTIF('C211'!E11,"Aula 9")+COUNTIF('C212'!E11,"Aula 9"))&gt;0,"C2",IF((COUNTIF('C311'!E11,"Aula 9")+COUNTIF('C312'!E11,"Aula 9"))&gt;0,"C3",IF((COUNTIF('C411'!E11,"Aula 9")+COUNTIF('C412'!E11,"Aula 9"))&gt;0,"C4",IF((COUNTIF('M111'!E11,"Aula 9")+COUNTIF('M112'!E11,"Aula 9"))&gt;0,"M1",IF((COUNTIF('M211'!E11,"Aula 9")+COUNTIF('M212'!E11,"Aula 9"))&gt;0,"M2",IF((COUNTIF('M311'!E11,"Aula 9"))&gt;0,"M3",IF((COUNTIF('M411'!E11,"Aula 9"))&gt;0,"M4",IF((COUNTIF('D111'!E11,"Aula 9")+COUNTIF('D112'!E11,"Aula 9"))&gt;0,"D1",IF((COUNTIF('D211'!E11,"Aula 9"))&gt;0,"D2",IF((COUNTIF('D311'!E11,"Aula 9"))&gt;0,"D3",IF((COUNTIF('D411'!E11,"Aula 9"))&gt;0,"D4","")))))))))))),"MIX"))</f>
        <v/>
      </c>
    </row>
    <row r="325">
      <c r="C325">
        <f>IF((IF((COUNTIF('C111'!E11,"Aula 10")+COUNTIF('C112'!E11,"Aula 10")+COUNTIF('C113'!E11,"Aula 10")+COUNTIF('C121'!E11,"Aula 10")+COUNTIF('C122'!E11,"Aula 10"))&gt;0,1,0)+IF((COUNTIF('C211'!E11,"Aula 10")+COUNTIF('C212'!E11,"Aula 10"))&gt;0,1,0)+IF((COUNTIF('C311'!E11,"Aula 10")+COUNTIF('C312'!E11,"Aula 10"))&gt;0,1,0)+IF((COUNTIF('C411'!E11,"Aula 10")+COUNTIF('C412'!E11,"Aula 10"))&gt;0,1,0)+IF((COUNTIF('M111'!E11,"Aula 10")+COUNTIF('M112'!E11,"Aula 10"))&gt;0,1,0)+IF((COUNTIF('M211'!E11,"Aula 10")+COUNTIF('M212'!E11,"Aula 10"))&gt;0,1,0)+IF((COUNTIF('M311'!E11,"Aula 10"))&gt;0,1,0)+IF((COUNTIF('M411'!E11,"Aula 10"))&gt;0,1,0)+IF((COUNTIF('D111'!E11,"Aula 10")+COUNTIF('D112'!E11,"Aula 10"))&gt;0,1,0)+IF((COUNTIF('D211'!E11,"Aula 10"))&gt;0,1,0)+IF((COUNTIF('D311'!E11,"Aula 10"))&gt;0,1,0)+IF((COUNTIF('D411'!E11,"Aula 10"))&gt;0,1,0))=0,"",IF((IF((COUNTIF('C111'!E11,"Aula 10")+COUNTIF('C112'!E11,"Aula 10")+COUNTIF('C113'!E11,"Aula 10")+COUNTIF('C121'!E11,"Aula 10")+COUNTIF('C122'!E11,"Aula 10"))&gt;0,1,0)+IF((COUNTIF('C211'!E11,"Aula 10")+COUNTIF('C212'!E11,"Aula 10"))&gt;0,1,0)+IF((COUNTIF('C311'!E11,"Aula 10")+COUNTIF('C312'!E11,"Aula 10"))&gt;0,1,0)+IF((COUNTIF('C411'!E11,"Aula 10")+COUNTIF('C412'!E11,"Aula 10"))&gt;0,1,0)+IF((COUNTIF('M111'!E11,"Aula 10")+COUNTIF('M112'!E11,"Aula 10"))&gt;0,1,0)+IF((COUNTIF('M211'!E11,"Aula 10")+COUNTIF('M212'!E11,"Aula 10"))&gt;0,1,0)+IF((COUNTIF('M311'!E11,"Aula 10"))&gt;0,1,0)+IF((COUNTIF('M411'!E11,"Aula 10"))&gt;0,1,0)+IF((COUNTIF('D111'!E11,"Aula 10")+COUNTIF('D112'!E11,"Aula 10"))&gt;0,1,0)+IF((COUNTIF('D211'!E11,"Aula 10"))&gt;0,1,0)+IF((COUNTIF('D311'!E11,"Aula 10"))&gt;0,1,0)+IF((COUNTIF('D411'!E11,"Aula 10"))&gt;0,1,0))=1,IF((COUNTIF('C111'!E11,"Aula 10")+COUNTIF('C112'!E11,"Aula 10")+COUNTIF('C113'!E11,"Aula 10")+COUNTIF('C121'!E11,"Aula 10")+COUNTIF('C122'!E11,"Aula 10"))&gt;0,"C1",IF((COUNTIF('C211'!E11,"Aula 10")+COUNTIF('C212'!E11,"Aula 10"))&gt;0,"C2",IF((COUNTIF('C311'!E11,"Aula 10")+COUNTIF('C312'!E11,"Aula 10"))&gt;0,"C3",IF((COUNTIF('C411'!E11,"Aula 10")+COUNTIF('C412'!E11,"Aula 10"))&gt;0,"C4",IF((COUNTIF('M111'!E11,"Aula 10")+COUNTIF('M112'!E11,"Aula 10"))&gt;0,"M1",IF((COUNTIF('M211'!E11,"Aula 10")+COUNTIF('M212'!E11,"Aula 10"))&gt;0,"M2",IF((COUNTIF('M311'!E11,"Aula 10"))&gt;0,"M3",IF((COUNTIF('M411'!E11,"Aula 10"))&gt;0,"M4",IF((COUNTIF('D111'!E11,"Aula 10")+COUNTIF('D112'!E11,"Aula 10"))&gt;0,"D1",IF((COUNTIF('D211'!E11,"Aula 10"))&gt;0,"D2",IF((COUNTIF('D311'!E11,"Aula 10"))&gt;0,"D3",IF((COUNTIF('D411'!E11,"Aula 10"))&gt;0,"D4","")))))))))))),"MIX"))</f>
        <v/>
      </c>
    </row>
    <row r="326">
      <c r="C326">
        <f>IF((IF((COUNTIF('C111'!E11,"Aula 11")+COUNTIF('C112'!E11,"Aula 11")+COUNTIF('C113'!E11,"Aula 11")+COUNTIF('C121'!E11,"Aula 11")+COUNTIF('C122'!E11,"Aula 11"))&gt;0,1,0)+IF((COUNTIF('C211'!E11,"Aula 11")+COUNTIF('C212'!E11,"Aula 11"))&gt;0,1,0)+IF((COUNTIF('C311'!E11,"Aula 11")+COUNTIF('C312'!E11,"Aula 11"))&gt;0,1,0)+IF((COUNTIF('C411'!E11,"Aula 11")+COUNTIF('C412'!E11,"Aula 11"))&gt;0,1,0)+IF((COUNTIF('M111'!E11,"Aula 11")+COUNTIF('M112'!E11,"Aula 11"))&gt;0,1,0)+IF((COUNTIF('M211'!E11,"Aula 11")+COUNTIF('M212'!E11,"Aula 11"))&gt;0,1,0)+IF((COUNTIF('M311'!E11,"Aula 11"))&gt;0,1,0)+IF((COUNTIF('M411'!E11,"Aula 11"))&gt;0,1,0)+IF((COUNTIF('D111'!E11,"Aula 11")+COUNTIF('D112'!E11,"Aula 11"))&gt;0,1,0)+IF((COUNTIF('D211'!E11,"Aula 11"))&gt;0,1,0)+IF((COUNTIF('D311'!E11,"Aula 11"))&gt;0,1,0)+IF((COUNTIF('D411'!E11,"Aula 11"))&gt;0,1,0))=0,"",IF((IF((COUNTIF('C111'!E11,"Aula 11")+COUNTIF('C112'!E11,"Aula 11")+COUNTIF('C113'!E11,"Aula 11")+COUNTIF('C121'!E11,"Aula 11")+COUNTIF('C122'!E11,"Aula 11"))&gt;0,1,0)+IF((COUNTIF('C211'!E11,"Aula 11")+COUNTIF('C212'!E11,"Aula 11"))&gt;0,1,0)+IF((COUNTIF('C311'!E11,"Aula 11")+COUNTIF('C312'!E11,"Aula 11"))&gt;0,1,0)+IF((COUNTIF('C411'!E11,"Aula 11")+COUNTIF('C412'!E11,"Aula 11"))&gt;0,1,0)+IF((COUNTIF('M111'!E11,"Aula 11")+COUNTIF('M112'!E11,"Aula 11"))&gt;0,1,0)+IF((COUNTIF('M211'!E11,"Aula 11")+COUNTIF('M212'!E11,"Aula 11"))&gt;0,1,0)+IF((COUNTIF('M311'!E11,"Aula 11"))&gt;0,1,0)+IF((COUNTIF('M411'!E11,"Aula 11"))&gt;0,1,0)+IF((COUNTIF('D111'!E11,"Aula 11")+COUNTIF('D112'!E11,"Aula 11"))&gt;0,1,0)+IF((COUNTIF('D211'!E11,"Aula 11"))&gt;0,1,0)+IF((COUNTIF('D311'!E11,"Aula 11"))&gt;0,1,0)+IF((COUNTIF('D411'!E11,"Aula 11"))&gt;0,1,0))=1,IF((COUNTIF('C111'!E11,"Aula 11")+COUNTIF('C112'!E11,"Aula 11")+COUNTIF('C113'!E11,"Aula 11")+COUNTIF('C121'!E11,"Aula 11")+COUNTIF('C122'!E11,"Aula 11"))&gt;0,"C1",IF((COUNTIF('C211'!E11,"Aula 11")+COUNTIF('C212'!E11,"Aula 11"))&gt;0,"C2",IF((COUNTIF('C311'!E11,"Aula 11")+COUNTIF('C312'!E11,"Aula 11"))&gt;0,"C3",IF((COUNTIF('C411'!E11,"Aula 11")+COUNTIF('C412'!E11,"Aula 11"))&gt;0,"C4",IF((COUNTIF('M111'!E11,"Aula 11")+COUNTIF('M112'!E11,"Aula 11"))&gt;0,"M1",IF((COUNTIF('M211'!E11,"Aula 11")+COUNTIF('M212'!E11,"Aula 11"))&gt;0,"M2",IF((COUNTIF('M311'!E11,"Aula 11"))&gt;0,"M3",IF((COUNTIF('M411'!E11,"Aula 11"))&gt;0,"M4",IF((COUNTIF('D111'!E11,"Aula 11")+COUNTIF('D112'!E11,"Aula 11"))&gt;0,"D1",IF((COUNTIF('D211'!E11,"Aula 11"))&gt;0,"D2",IF((COUNTIF('D311'!E11,"Aula 11"))&gt;0,"D3",IF((COUNTIF('D411'!E11,"Aula 11"))&gt;0,"D4","")))))))))))),"MIX"))</f>
        <v/>
      </c>
    </row>
    <row r="327">
      <c r="C327">
        <f>IF((IF((COUNTIF('C111'!E11,"Aula 12")+COUNTIF('C112'!E11,"Aula 12")+COUNTIF('C113'!E11,"Aula 12")+COUNTIF('C121'!E11,"Aula 12")+COUNTIF('C122'!E11,"Aula 12"))&gt;0,1,0)+IF((COUNTIF('C211'!E11,"Aula 12")+COUNTIF('C212'!E11,"Aula 12"))&gt;0,1,0)+IF((COUNTIF('C311'!E11,"Aula 12")+COUNTIF('C312'!E11,"Aula 12"))&gt;0,1,0)+IF((COUNTIF('C411'!E11,"Aula 12")+COUNTIF('C412'!E11,"Aula 12"))&gt;0,1,0)+IF((COUNTIF('M111'!E11,"Aula 12")+COUNTIF('M112'!E11,"Aula 12"))&gt;0,1,0)+IF((COUNTIF('M211'!E11,"Aula 12")+COUNTIF('M212'!E11,"Aula 12"))&gt;0,1,0)+IF((COUNTIF('M311'!E11,"Aula 12"))&gt;0,1,0)+IF((COUNTIF('M411'!E11,"Aula 12"))&gt;0,1,0)+IF((COUNTIF('D111'!E11,"Aula 12")+COUNTIF('D112'!E11,"Aula 12"))&gt;0,1,0)+IF((COUNTIF('D211'!E11,"Aula 12"))&gt;0,1,0)+IF((COUNTIF('D311'!E11,"Aula 12"))&gt;0,1,0)+IF((COUNTIF('D411'!E11,"Aula 12"))&gt;0,1,0))=0,"",IF((IF((COUNTIF('C111'!E11,"Aula 12")+COUNTIF('C112'!E11,"Aula 12")+COUNTIF('C113'!E11,"Aula 12")+COUNTIF('C121'!E11,"Aula 12")+COUNTIF('C122'!E11,"Aula 12"))&gt;0,1,0)+IF((COUNTIF('C211'!E11,"Aula 12")+COUNTIF('C212'!E11,"Aula 12"))&gt;0,1,0)+IF((COUNTIF('C311'!E11,"Aula 12")+COUNTIF('C312'!E11,"Aula 12"))&gt;0,1,0)+IF((COUNTIF('C411'!E11,"Aula 12")+COUNTIF('C412'!E11,"Aula 12"))&gt;0,1,0)+IF((COUNTIF('M111'!E11,"Aula 12")+COUNTIF('M112'!E11,"Aula 12"))&gt;0,1,0)+IF((COUNTIF('M211'!E11,"Aula 12")+COUNTIF('M212'!E11,"Aula 12"))&gt;0,1,0)+IF((COUNTIF('M311'!E11,"Aula 12"))&gt;0,1,0)+IF((COUNTIF('M411'!E11,"Aula 12"))&gt;0,1,0)+IF((COUNTIF('D111'!E11,"Aula 12")+COUNTIF('D112'!E11,"Aula 12"))&gt;0,1,0)+IF((COUNTIF('D211'!E11,"Aula 12"))&gt;0,1,0)+IF((COUNTIF('D311'!E11,"Aula 12"))&gt;0,1,0)+IF((COUNTIF('D411'!E11,"Aula 12"))&gt;0,1,0))=1,IF((COUNTIF('C111'!E11,"Aula 12")+COUNTIF('C112'!E11,"Aula 12")+COUNTIF('C113'!E11,"Aula 12")+COUNTIF('C121'!E11,"Aula 12")+COUNTIF('C122'!E11,"Aula 12"))&gt;0,"C1",IF((COUNTIF('C211'!E11,"Aula 12")+COUNTIF('C212'!E11,"Aula 12"))&gt;0,"C2",IF((COUNTIF('C311'!E11,"Aula 12")+COUNTIF('C312'!E11,"Aula 12"))&gt;0,"C3",IF((COUNTIF('C411'!E11,"Aula 12")+COUNTIF('C412'!E11,"Aula 12"))&gt;0,"C4",IF((COUNTIF('M111'!E11,"Aula 12")+COUNTIF('M112'!E11,"Aula 12"))&gt;0,"M1",IF((COUNTIF('M211'!E11,"Aula 12")+COUNTIF('M212'!E11,"Aula 12"))&gt;0,"M2",IF((COUNTIF('M311'!E11,"Aula 12"))&gt;0,"M3",IF((COUNTIF('M411'!E11,"Aula 12"))&gt;0,"M4",IF((COUNTIF('D111'!E11,"Aula 12")+COUNTIF('D112'!E11,"Aula 12"))&gt;0,"D1",IF((COUNTIF('D211'!E11,"Aula 12"))&gt;0,"D2",IF((COUNTIF('D311'!E11,"Aula 12"))&gt;0,"D3",IF((COUNTIF('D411'!E11,"Aula 12"))&gt;0,"D4","")))))))))))),"MIX"))</f>
        <v/>
      </c>
    </row>
    <row r="328">
      <c r="C328">
        <f>IF((IF((COUNTIF('C111'!E11,"Lab 1")+COUNTIF('C112'!E11,"Lab 1")+COUNTIF('C113'!E11,"Lab 1")+COUNTIF('C121'!E11,"Lab 1")+COUNTIF('C122'!E11,"Lab 1"))&gt;0,1,0)+IF((COUNTIF('C211'!E11,"Lab 1")+COUNTIF('C212'!E11,"Lab 1"))&gt;0,1,0)+IF((COUNTIF('C311'!E11,"Lab 1")+COUNTIF('C312'!E11,"Lab 1"))&gt;0,1,0)+IF((COUNTIF('C411'!E11,"Lab 1")+COUNTIF('C412'!E11,"Lab 1"))&gt;0,1,0)+IF((COUNTIF('M111'!E11,"Lab 1")+COUNTIF('M112'!E11,"Lab 1"))&gt;0,1,0)+IF((COUNTIF('M211'!E11,"Lab 1")+COUNTIF('M212'!E11,"Lab 1"))&gt;0,1,0)+IF((COUNTIF('M311'!E11,"Lab 1"))&gt;0,1,0)+IF((COUNTIF('M411'!E11,"Lab 1"))&gt;0,1,0)+IF((COUNTIF('D111'!E11,"Lab 1")+COUNTIF('D112'!E11,"Lab 1"))&gt;0,1,0)+IF((COUNTIF('D211'!E11,"Lab 1"))&gt;0,1,0)+IF((COUNTIF('D311'!E11,"Lab 1"))&gt;0,1,0)+IF((COUNTIF('D411'!E11,"Lab 1"))&gt;0,1,0))=0,"",IF((IF((COUNTIF('C111'!E11,"Lab 1")+COUNTIF('C112'!E11,"Lab 1")+COUNTIF('C113'!E11,"Lab 1")+COUNTIF('C121'!E11,"Lab 1")+COUNTIF('C122'!E11,"Lab 1"))&gt;0,1,0)+IF((COUNTIF('C211'!E11,"Lab 1")+COUNTIF('C212'!E11,"Lab 1"))&gt;0,1,0)+IF((COUNTIF('C311'!E11,"Lab 1")+COUNTIF('C312'!E11,"Lab 1"))&gt;0,1,0)+IF((COUNTIF('C411'!E11,"Lab 1")+COUNTIF('C412'!E11,"Lab 1"))&gt;0,1,0)+IF((COUNTIF('M111'!E11,"Lab 1")+COUNTIF('M112'!E11,"Lab 1"))&gt;0,1,0)+IF((COUNTIF('M211'!E11,"Lab 1")+COUNTIF('M212'!E11,"Lab 1"))&gt;0,1,0)+IF((COUNTIF('M311'!E11,"Lab 1"))&gt;0,1,0)+IF((COUNTIF('M411'!E11,"Lab 1"))&gt;0,1,0)+IF((COUNTIF('D111'!E11,"Lab 1")+COUNTIF('D112'!E11,"Lab 1"))&gt;0,1,0)+IF((COUNTIF('D211'!E11,"Lab 1"))&gt;0,1,0)+IF((COUNTIF('D311'!E11,"Lab 1"))&gt;0,1,0)+IF((COUNTIF('D411'!E11,"Lab 1"))&gt;0,1,0))=1,IF((COUNTIF('C111'!E11,"Lab 1")+COUNTIF('C112'!E11,"Lab 1")+COUNTIF('C113'!E11,"Lab 1")+COUNTIF('C121'!E11,"Lab 1")+COUNTIF('C122'!E11,"Lab 1"))&gt;0,"C1",IF((COUNTIF('C211'!E11,"Lab 1")+COUNTIF('C212'!E11,"Lab 1"))&gt;0,"C2",IF((COUNTIF('C311'!E11,"Lab 1")+COUNTIF('C312'!E11,"Lab 1"))&gt;0,"C3",IF((COUNTIF('C411'!E11,"Lab 1")+COUNTIF('C412'!E11,"Lab 1"))&gt;0,"C4",IF((COUNTIF('M111'!E11,"Lab 1")+COUNTIF('M112'!E11,"Lab 1"))&gt;0,"M1",IF((COUNTIF('M211'!E11,"Lab 1")+COUNTIF('M212'!E11,"Lab 1"))&gt;0,"M2",IF((COUNTIF('M311'!E11,"Lab 1"))&gt;0,"M3",IF((COUNTIF('M411'!E11,"Lab 1"))&gt;0,"M4",IF((COUNTIF('D111'!E11,"Lab 1")+COUNTIF('D112'!E11,"Lab 1"))&gt;0,"D1",IF((COUNTIF('D211'!E11,"Lab 1"))&gt;0,"D2",IF((COUNTIF('D311'!E11,"Lab 1"))&gt;0,"D3",IF((COUNTIF('D411'!E11,"Lab 1"))&gt;0,"D4","")))))))))))),"MIX"))</f>
        <v/>
      </c>
    </row>
    <row r="329">
      <c r="C329">
        <f>IF((IF((COUNTIF('C111'!E11,"Lab 2")+COUNTIF('C112'!E11,"Lab 2")+COUNTIF('C113'!E11,"Lab 2")+COUNTIF('C121'!E11,"Lab 2")+COUNTIF('C122'!E11,"Lab 2"))&gt;0,1,0)+IF((COUNTIF('C211'!E11,"Lab 2")+COUNTIF('C212'!E11,"Lab 2"))&gt;0,1,0)+IF((COUNTIF('C311'!E11,"Lab 2")+COUNTIF('C312'!E11,"Lab 2"))&gt;0,1,0)+IF((COUNTIF('C411'!E11,"Lab 2")+COUNTIF('C412'!E11,"Lab 2"))&gt;0,1,0)+IF((COUNTIF('M111'!E11,"Lab 2")+COUNTIF('M112'!E11,"Lab 2"))&gt;0,1,0)+IF((COUNTIF('M211'!E11,"Lab 2")+COUNTIF('M212'!E11,"Lab 2"))&gt;0,1,0)+IF((COUNTIF('M311'!E11,"Lab 2"))&gt;0,1,0)+IF((COUNTIF('M411'!E11,"Lab 2"))&gt;0,1,0)+IF((COUNTIF('D111'!E11,"Lab 2")+COUNTIF('D112'!E11,"Lab 2"))&gt;0,1,0)+IF((COUNTIF('D211'!E11,"Lab 2"))&gt;0,1,0)+IF((COUNTIF('D311'!E11,"Lab 2"))&gt;0,1,0)+IF((COUNTIF('D411'!E11,"Lab 2"))&gt;0,1,0))=0,"",IF((IF((COUNTIF('C111'!E11,"Lab 2")+COUNTIF('C112'!E11,"Lab 2")+COUNTIF('C113'!E11,"Lab 2")+COUNTIF('C121'!E11,"Lab 2")+COUNTIF('C122'!E11,"Lab 2"))&gt;0,1,0)+IF((COUNTIF('C211'!E11,"Lab 2")+COUNTIF('C212'!E11,"Lab 2"))&gt;0,1,0)+IF((COUNTIF('C311'!E11,"Lab 2")+COUNTIF('C312'!E11,"Lab 2"))&gt;0,1,0)+IF((COUNTIF('C411'!E11,"Lab 2")+COUNTIF('C412'!E11,"Lab 2"))&gt;0,1,0)+IF((COUNTIF('M111'!E11,"Lab 2")+COUNTIF('M112'!E11,"Lab 2"))&gt;0,1,0)+IF((COUNTIF('M211'!E11,"Lab 2")+COUNTIF('M212'!E11,"Lab 2"))&gt;0,1,0)+IF((COUNTIF('M311'!E11,"Lab 2"))&gt;0,1,0)+IF((COUNTIF('M411'!E11,"Lab 2"))&gt;0,1,0)+IF((COUNTIF('D111'!E11,"Lab 2")+COUNTIF('D112'!E11,"Lab 2"))&gt;0,1,0)+IF((COUNTIF('D211'!E11,"Lab 2"))&gt;0,1,0)+IF((COUNTIF('D311'!E11,"Lab 2"))&gt;0,1,0)+IF((COUNTIF('D411'!E11,"Lab 2"))&gt;0,1,0))=1,IF((COUNTIF('C111'!E11,"Lab 2")+COUNTIF('C112'!E11,"Lab 2")+COUNTIF('C113'!E11,"Lab 2")+COUNTIF('C121'!E11,"Lab 2")+COUNTIF('C122'!E11,"Lab 2"))&gt;0,"C1",IF((COUNTIF('C211'!E11,"Lab 2")+COUNTIF('C212'!E11,"Lab 2"))&gt;0,"C2",IF((COUNTIF('C311'!E11,"Lab 2")+COUNTIF('C312'!E11,"Lab 2"))&gt;0,"C3",IF((COUNTIF('C411'!E11,"Lab 2")+COUNTIF('C412'!E11,"Lab 2"))&gt;0,"C4",IF((COUNTIF('M111'!E11,"Lab 2")+COUNTIF('M112'!E11,"Lab 2"))&gt;0,"M1",IF((COUNTIF('M211'!E11,"Lab 2")+COUNTIF('M212'!E11,"Lab 2"))&gt;0,"M2",IF((COUNTIF('M311'!E11,"Lab 2"))&gt;0,"M3",IF((COUNTIF('M411'!E11,"Lab 2"))&gt;0,"M4",IF((COUNTIF('D111'!E11,"Lab 2")+COUNTIF('D112'!E11,"Lab 2"))&gt;0,"D1",IF((COUNTIF('D211'!E11,"Lab 2"))&gt;0,"D2",IF((COUNTIF('D311'!E11,"Lab 2"))&gt;0,"D3",IF((COUNTIF('D411'!E11,"Lab 2"))&gt;0,"D4","")))))))))))),"MIX"))</f>
        <v/>
      </c>
    </row>
    <row r="330">
      <c r="C330">
        <f>IF((IF((COUNTIF('C111'!E11,"Salón")+COUNTIF('C112'!E11,"Salón")+COUNTIF('C113'!E11,"Salón")+COUNTIF('C121'!E11,"Salón")+COUNTIF('C122'!E11,"Salón"))&gt;0,1,0)+IF((COUNTIF('C211'!E11,"Salón")+COUNTIF('C212'!E11,"Salón"))&gt;0,1,0)+IF((COUNTIF('C311'!E11,"Salón")+COUNTIF('C312'!E11,"Salón"))&gt;0,1,0)+IF((COUNTIF('C411'!E11,"Salón")+COUNTIF('C412'!E11,"Salón"))&gt;0,1,0)+IF((COUNTIF('M111'!E11,"Salón")+COUNTIF('M112'!E11,"Salón"))&gt;0,1,0)+IF((COUNTIF('M211'!E11,"Salón")+COUNTIF('M212'!E11,"Salón"))&gt;0,1,0)+IF((COUNTIF('M311'!E11,"Salón"))&gt;0,1,0)+IF((COUNTIF('M411'!E11,"Salón"))&gt;0,1,0)+IF((COUNTIF('D111'!E11,"Salón")+COUNTIF('D112'!E11,"Salón"))&gt;0,1,0)+IF((COUNTIF('D211'!E11,"Salón"))&gt;0,1,0)+IF((COUNTIF('D311'!E11,"Salón"))&gt;0,1,0)+IF((COUNTIF('D411'!E11,"Salón"))&gt;0,1,0))=0,"",IF((IF((COUNTIF('C111'!E11,"Salón")+COUNTIF('C112'!E11,"Salón")+COUNTIF('C113'!E11,"Salón")+COUNTIF('C121'!E11,"Salón")+COUNTIF('C122'!E11,"Salón"))&gt;0,1,0)+IF((COUNTIF('C211'!E11,"Salón")+COUNTIF('C212'!E11,"Salón"))&gt;0,1,0)+IF((COUNTIF('C311'!E11,"Salón")+COUNTIF('C312'!E11,"Salón"))&gt;0,1,0)+IF((COUNTIF('C411'!E11,"Salón")+COUNTIF('C412'!E11,"Salón"))&gt;0,1,0)+IF((COUNTIF('M111'!E11,"Salón")+COUNTIF('M112'!E11,"Salón"))&gt;0,1,0)+IF((COUNTIF('M211'!E11,"Salón")+COUNTIF('M212'!E11,"Salón"))&gt;0,1,0)+IF((COUNTIF('M311'!E11,"Salón"))&gt;0,1,0)+IF((COUNTIF('M411'!E11,"Salón"))&gt;0,1,0)+IF((COUNTIF('D111'!E11,"Salón")+COUNTIF('D112'!E11,"Salón"))&gt;0,1,0)+IF((COUNTIF('D211'!E11,"Salón"))&gt;0,1,0)+IF((COUNTIF('D311'!E11,"Salón"))&gt;0,1,0)+IF((COUNTIF('D411'!E11,"Salón"))&gt;0,1,0))=1,IF((COUNTIF('C111'!E11,"Salón")+COUNTIF('C112'!E11,"Salón")+COUNTIF('C113'!E11,"Salón")+COUNTIF('C121'!E11,"Salón")+COUNTIF('C122'!E11,"Salón"))&gt;0,"C1",IF((COUNTIF('C211'!E11,"Salón")+COUNTIF('C212'!E11,"Salón"))&gt;0,"C2",IF((COUNTIF('C311'!E11,"Salón")+COUNTIF('C312'!E11,"Salón"))&gt;0,"C3",IF((COUNTIF('C411'!E11,"Salón")+COUNTIF('C412'!E11,"Salón"))&gt;0,"C4",IF((COUNTIF('M111'!E11,"Salón")+COUNTIF('M112'!E11,"Salón"))&gt;0,"M1",IF((COUNTIF('M211'!E11,"Salón")+COUNTIF('M212'!E11,"Salón"))&gt;0,"M2",IF((COUNTIF('M311'!E11,"Salón"))&gt;0,"M3",IF((COUNTIF('M411'!E11,"Salón"))&gt;0,"M4",IF((COUNTIF('D111'!E11,"Salón")+COUNTIF('D112'!E11,"Salón"))&gt;0,"D1",IF((COUNTIF('D211'!E11,"Salón"))&gt;0,"D2",IF((COUNTIF('D311'!E11,"Salón"))&gt;0,"D3",IF((COUNTIF('D411'!E11,"Salón"))&gt;0,"D4","")))))))))))),"MIX"))</f>
        <v/>
      </c>
    </row>
    <row r="331">
      <c r="C331">
        <f>IF((IF((COUNTIF('C111'!E13,"Aula 1")+COUNTIF('C112'!E13,"Aula 1")+COUNTIF('C113'!E13,"Aula 1")+COUNTIF('C121'!E13,"Aula 1")+COUNTIF('C122'!E13,"Aula 1"))&gt;0,1,0)+IF((COUNTIF('C211'!E13,"Aula 1")+COUNTIF('C212'!E13,"Aula 1"))&gt;0,1,0)+IF((COUNTIF('C311'!E13,"Aula 1")+COUNTIF('C312'!E13,"Aula 1"))&gt;0,1,0)+IF((COUNTIF('C411'!E13,"Aula 1")+COUNTIF('C412'!E13,"Aula 1"))&gt;0,1,0)+IF((COUNTIF('M111'!E13,"Aula 1")+COUNTIF('M112'!E13,"Aula 1"))&gt;0,1,0)+IF((COUNTIF('M211'!E13,"Aula 1")+COUNTIF('M212'!E13,"Aula 1"))&gt;0,1,0)+IF((COUNTIF('M311'!E13,"Aula 1"))&gt;0,1,0)+IF((COUNTIF('M411'!E13,"Aula 1"))&gt;0,1,0)+IF((COUNTIF('D111'!E13,"Aula 1")+COUNTIF('D112'!E13,"Aula 1"))&gt;0,1,0)+IF((COUNTIF('D211'!E13,"Aula 1"))&gt;0,1,0)+IF((COUNTIF('D311'!E13,"Aula 1"))&gt;0,1,0)+IF((COUNTIF('D411'!E13,"Aula 1"))&gt;0,1,0))=0,"",IF((IF((COUNTIF('C111'!E13,"Aula 1")+COUNTIF('C112'!E13,"Aula 1")+COUNTIF('C113'!E13,"Aula 1")+COUNTIF('C121'!E13,"Aula 1")+COUNTIF('C122'!E13,"Aula 1"))&gt;0,1,0)+IF((COUNTIF('C211'!E13,"Aula 1")+COUNTIF('C212'!E13,"Aula 1"))&gt;0,1,0)+IF((COUNTIF('C311'!E13,"Aula 1")+COUNTIF('C312'!E13,"Aula 1"))&gt;0,1,0)+IF((COUNTIF('C411'!E13,"Aula 1")+COUNTIF('C412'!E13,"Aula 1"))&gt;0,1,0)+IF((COUNTIF('M111'!E13,"Aula 1")+COUNTIF('M112'!E13,"Aula 1"))&gt;0,1,0)+IF((COUNTIF('M211'!E13,"Aula 1")+COUNTIF('M212'!E13,"Aula 1"))&gt;0,1,0)+IF((COUNTIF('M311'!E13,"Aula 1"))&gt;0,1,0)+IF((COUNTIF('M411'!E13,"Aula 1"))&gt;0,1,0)+IF((COUNTIF('D111'!E13,"Aula 1")+COUNTIF('D112'!E13,"Aula 1"))&gt;0,1,0)+IF((COUNTIF('D211'!E13,"Aula 1"))&gt;0,1,0)+IF((COUNTIF('D311'!E13,"Aula 1"))&gt;0,1,0)+IF((COUNTIF('D411'!E13,"Aula 1"))&gt;0,1,0))=1,IF((COUNTIF('C111'!E13,"Aula 1")+COUNTIF('C112'!E13,"Aula 1")+COUNTIF('C113'!E13,"Aula 1")+COUNTIF('C121'!E13,"Aula 1")+COUNTIF('C122'!E13,"Aula 1"))&gt;0,"C1",IF((COUNTIF('C211'!E13,"Aula 1")+COUNTIF('C212'!E13,"Aula 1"))&gt;0,"C2",IF((COUNTIF('C311'!E13,"Aula 1")+COUNTIF('C312'!E13,"Aula 1"))&gt;0,"C3",IF((COUNTIF('C411'!E13,"Aula 1")+COUNTIF('C412'!E13,"Aula 1"))&gt;0,"C4",IF((COUNTIF('M111'!E13,"Aula 1")+COUNTIF('M112'!E13,"Aula 1"))&gt;0,"M1",IF((COUNTIF('M211'!E13,"Aula 1")+COUNTIF('M212'!E13,"Aula 1"))&gt;0,"M2",IF((COUNTIF('M311'!E13,"Aula 1"))&gt;0,"M3",IF((COUNTIF('M411'!E13,"Aula 1"))&gt;0,"M4",IF((COUNTIF('D111'!E13,"Aula 1")+COUNTIF('D112'!E13,"Aula 1"))&gt;0,"D1",IF((COUNTIF('D211'!E13,"Aula 1"))&gt;0,"D2",IF((COUNTIF('D311'!E13,"Aula 1"))&gt;0,"D3",IF((COUNTIF('D411'!E13,"Aula 1"))&gt;0,"D4","")))))))))))),"MIX"))</f>
        <v/>
      </c>
    </row>
    <row r="332">
      <c r="C332">
        <f>IF((IF((COUNTIF('C111'!E13,"Aula 2")+COUNTIF('C112'!E13,"Aula 2")+COUNTIF('C113'!E13,"Aula 2")+COUNTIF('C121'!E13,"Aula 2")+COUNTIF('C122'!E13,"Aula 2"))&gt;0,1,0)+IF((COUNTIF('C211'!E13,"Aula 2")+COUNTIF('C212'!E13,"Aula 2"))&gt;0,1,0)+IF((COUNTIF('C311'!E13,"Aula 2")+COUNTIF('C312'!E13,"Aula 2"))&gt;0,1,0)+IF((COUNTIF('C411'!E13,"Aula 2")+COUNTIF('C412'!E13,"Aula 2"))&gt;0,1,0)+IF((COUNTIF('M111'!E13,"Aula 2")+COUNTIF('M112'!E13,"Aula 2"))&gt;0,1,0)+IF((COUNTIF('M211'!E13,"Aula 2")+COUNTIF('M212'!E13,"Aula 2"))&gt;0,1,0)+IF((COUNTIF('M311'!E13,"Aula 2"))&gt;0,1,0)+IF((COUNTIF('M411'!E13,"Aula 2"))&gt;0,1,0)+IF((COUNTIF('D111'!E13,"Aula 2")+COUNTIF('D112'!E13,"Aula 2"))&gt;0,1,0)+IF((COUNTIF('D211'!E13,"Aula 2"))&gt;0,1,0)+IF((COUNTIF('D311'!E13,"Aula 2"))&gt;0,1,0)+IF((COUNTIF('D411'!E13,"Aula 2"))&gt;0,1,0))=0,"",IF((IF((COUNTIF('C111'!E13,"Aula 2")+COUNTIF('C112'!E13,"Aula 2")+COUNTIF('C113'!E13,"Aula 2")+COUNTIF('C121'!E13,"Aula 2")+COUNTIF('C122'!E13,"Aula 2"))&gt;0,1,0)+IF((COUNTIF('C211'!E13,"Aula 2")+COUNTIF('C212'!E13,"Aula 2"))&gt;0,1,0)+IF((COUNTIF('C311'!E13,"Aula 2")+COUNTIF('C312'!E13,"Aula 2"))&gt;0,1,0)+IF((COUNTIF('C411'!E13,"Aula 2")+COUNTIF('C412'!E13,"Aula 2"))&gt;0,1,0)+IF((COUNTIF('M111'!E13,"Aula 2")+COUNTIF('M112'!E13,"Aula 2"))&gt;0,1,0)+IF((COUNTIF('M211'!E13,"Aula 2")+COUNTIF('M212'!E13,"Aula 2"))&gt;0,1,0)+IF((COUNTIF('M311'!E13,"Aula 2"))&gt;0,1,0)+IF((COUNTIF('M411'!E13,"Aula 2"))&gt;0,1,0)+IF((COUNTIF('D111'!E13,"Aula 2")+COUNTIF('D112'!E13,"Aula 2"))&gt;0,1,0)+IF((COUNTIF('D211'!E13,"Aula 2"))&gt;0,1,0)+IF((COUNTIF('D311'!E13,"Aula 2"))&gt;0,1,0)+IF((COUNTIF('D411'!E13,"Aula 2"))&gt;0,1,0))=1,IF((COUNTIF('C111'!E13,"Aula 2")+COUNTIF('C112'!E13,"Aula 2")+COUNTIF('C113'!E13,"Aula 2")+COUNTIF('C121'!E13,"Aula 2")+COUNTIF('C122'!E13,"Aula 2"))&gt;0,"C1",IF((COUNTIF('C211'!E13,"Aula 2")+COUNTIF('C212'!E13,"Aula 2"))&gt;0,"C2",IF((COUNTIF('C311'!E13,"Aula 2")+COUNTIF('C312'!E13,"Aula 2"))&gt;0,"C3",IF((COUNTIF('C411'!E13,"Aula 2")+COUNTIF('C412'!E13,"Aula 2"))&gt;0,"C4",IF((COUNTIF('M111'!E13,"Aula 2")+COUNTIF('M112'!E13,"Aula 2"))&gt;0,"M1",IF((COUNTIF('M211'!E13,"Aula 2")+COUNTIF('M212'!E13,"Aula 2"))&gt;0,"M2",IF((COUNTIF('M311'!E13,"Aula 2"))&gt;0,"M3",IF((COUNTIF('M411'!E13,"Aula 2"))&gt;0,"M4",IF((COUNTIF('D111'!E13,"Aula 2")+COUNTIF('D112'!E13,"Aula 2"))&gt;0,"D1",IF((COUNTIF('D211'!E13,"Aula 2"))&gt;0,"D2",IF((COUNTIF('D311'!E13,"Aula 2"))&gt;0,"D3",IF((COUNTIF('D411'!E13,"Aula 2"))&gt;0,"D4","")))))))))))),"MIX"))</f>
        <v/>
      </c>
    </row>
    <row r="333">
      <c r="C333">
        <f>IF((IF((COUNTIF('C111'!E13,"Aula 3")+COUNTIF('C112'!E13,"Aula 3")+COUNTIF('C113'!E13,"Aula 3")+COUNTIF('C121'!E13,"Aula 3")+COUNTIF('C122'!E13,"Aula 3"))&gt;0,1,0)+IF((COUNTIF('C211'!E13,"Aula 3")+COUNTIF('C212'!E13,"Aula 3"))&gt;0,1,0)+IF((COUNTIF('C311'!E13,"Aula 3")+COUNTIF('C312'!E13,"Aula 3"))&gt;0,1,0)+IF((COUNTIF('C411'!E13,"Aula 3")+COUNTIF('C412'!E13,"Aula 3"))&gt;0,1,0)+IF((COUNTIF('M111'!E13,"Aula 3")+COUNTIF('M112'!E13,"Aula 3"))&gt;0,1,0)+IF((COUNTIF('M211'!E13,"Aula 3")+COUNTIF('M212'!E13,"Aula 3"))&gt;0,1,0)+IF((COUNTIF('M311'!E13,"Aula 3"))&gt;0,1,0)+IF((COUNTIF('M411'!E13,"Aula 3"))&gt;0,1,0)+IF((COUNTIF('D111'!E13,"Aula 3")+COUNTIF('D112'!E13,"Aula 3"))&gt;0,1,0)+IF((COUNTIF('D211'!E13,"Aula 3"))&gt;0,1,0)+IF((COUNTIF('D311'!E13,"Aula 3"))&gt;0,1,0)+IF((COUNTIF('D411'!E13,"Aula 3"))&gt;0,1,0))=0,"",IF((IF((COUNTIF('C111'!E13,"Aula 3")+COUNTIF('C112'!E13,"Aula 3")+COUNTIF('C113'!E13,"Aula 3")+COUNTIF('C121'!E13,"Aula 3")+COUNTIF('C122'!E13,"Aula 3"))&gt;0,1,0)+IF((COUNTIF('C211'!E13,"Aula 3")+COUNTIF('C212'!E13,"Aula 3"))&gt;0,1,0)+IF((COUNTIF('C311'!E13,"Aula 3")+COUNTIF('C312'!E13,"Aula 3"))&gt;0,1,0)+IF((COUNTIF('C411'!E13,"Aula 3")+COUNTIF('C412'!E13,"Aula 3"))&gt;0,1,0)+IF((COUNTIF('M111'!E13,"Aula 3")+COUNTIF('M112'!E13,"Aula 3"))&gt;0,1,0)+IF((COUNTIF('M211'!E13,"Aula 3")+COUNTIF('M212'!E13,"Aula 3"))&gt;0,1,0)+IF((COUNTIF('M311'!E13,"Aula 3"))&gt;0,1,0)+IF((COUNTIF('M411'!E13,"Aula 3"))&gt;0,1,0)+IF((COUNTIF('D111'!E13,"Aula 3")+COUNTIF('D112'!E13,"Aula 3"))&gt;0,1,0)+IF((COUNTIF('D211'!E13,"Aula 3"))&gt;0,1,0)+IF((COUNTIF('D311'!E13,"Aula 3"))&gt;0,1,0)+IF((COUNTIF('D411'!E13,"Aula 3"))&gt;0,1,0))=1,IF((COUNTIF('C111'!E13,"Aula 3")+COUNTIF('C112'!E13,"Aula 3")+COUNTIF('C113'!E13,"Aula 3")+COUNTIF('C121'!E13,"Aula 3")+COUNTIF('C122'!E13,"Aula 3"))&gt;0,"C1",IF((COUNTIF('C211'!E13,"Aula 3")+COUNTIF('C212'!E13,"Aula 3"))&gt;0,"C2",IF((COUNTIF('C311'!E13,"Aula 3")+COUNTIF('C312'!E13,"Aula 3"))&gt;0,"C3",IF((COUNTIF('C411'!E13,"Aula 3")+COUNTIF('C412'!E13,"Aula 3"))&gt;0,"C4",IF((COUNTIF('M111'!E13,"Aula 3")+COUNTIF('M112'!E13,"Aula 3"))&gt;0,"M1",IF((COUNTIF('M211'!E13,"Aula 3")+COUNTIF('M212'!E13,"Aula 3"))&gt;0,"M2",IF((COUNTIF('M311'!E13,"Aula 3"))&gt;0,"M3",IF((COUNTIF('M411'!E13,"Aula 3"))&gt;0,"M4",IF((COUNTIF('D111'!E13,"Aula 3")+COUNTIF('D112'!E13,"Aula 3"))&gt;0,"D1",IF((COUNTIF('D211'!E13,"Aula 3"))&gt;0,"D2",IF((COUNTIF('D311'!E13,"Aula 3"))&gt;0,"D3",IF((COUNTIF('D411'!E13,"Aula 3"))&gt;0,"D4","")))))))))))),"MIX"))</f>
        <v/>
      </c>
    </row>
    <row r="334">
      <c r="C334">
        <f>IF((IF((COUNTIF('C111'!E13,"Aula 4")+COUNTIF('C112'!E13,"Aula 4")+COUNTIF('C113'!E13,"Aula 4")+COUNTIF('C121'!E13,"Aula 4")+COUNTIF('C122'!E13,"Aula 4"))&gt;0,1,0)+IF((COUNTIF('C211'!E13,"Aula 4")+COUNTIF('C212'!E13,"Aula 4"))&gt;0,1,0)+IF((COUNTIF('C311'!E13,"Aula 4")+COUNTIF('C312'!E13,"Aula 4"))&gt;0,1,0)+IF((COUNTIF('C411'!E13,"Aula 4")+COUNTIF('C412'!E13,"Aula 4"))&gt;0,1,0)+IF((COUNTIF('M111'!E13,"Aula 4")+COUNTIF('M112'!E13,"Aula 4"))&gt;0,1,0)+IF((COUNTIF('M211'!E13,"Aula 4")+COUNTIF('M212'!E13,"Aula 4"))&gt;0,1,0)+IF((COUNTIF('M311'!E13,"Aula 4"))&gt;0,1,0)+IF((COUNTIF('M411'!E13,"Aula 4"))&gt;0,1,0)+IF((COUNTIF('D111'!E13,"Aula 4")+COUNTIF('D112'!E13,"Aula 4"))&gt;0,1,0)+IF((COUNTIF('D211'!E13,"Aula 4"))&gt;0,1,0)+IF((COUNTIF('D311'!E13,"Aula 4"))&gt;0,1,0)+IF((COUNTIF('D411'!E13,"Aula 4"))&gt;0,1,0))=0,"",IF((IF((COUNTIF('C111'!E13,"Aula 4")+COUNTIF('C112'!E13,"Aula 4")+COUNTIF('C113'!E13,"Aula 4")+COUNTIF('C121'!E13,"Aula 4")+COUNTIF('C122'!E13,"Aula 4"))&gt;0,1,0)+IF((COUNTIF('C211'!E13,"Aula 4")+COUNTIF('C212'!E13,"Aula 4"))&gt;0,1,0)+IF((COUNTIF('C311'!E13,"Aula 4")+COUNTIF('C312'!E13,"Aula 4"))&gt;0,1,0)+IF((COUNTIF('C411'!E13,"Aula 4")+COUNTIF('C412'!E13,"Aula 4"))&gt;0,1,0)+IF((COUNTIF('M111'!E13,"Aula 4")+COUNTIF('M112'!E13,"Aula 4"))&gt;0,1,0)+IF((COUNTIF('M211'!E13,"Aula 4")+COUNTIF('M212'!E13,"Aula 4"))&gt;0,1,0)+IF((COUNTIF('M311'!E13,"Aula 4"))&gt;0,1,0)+IF((COUNTIF('M411'!E13,"Aula 4"))&gt;0,1,0)+IF((COUNTIF('D111'!E13,"Aula 4")+COUNTIF('D112'!E13,"Aula 4"))&gt;0,1,0)+IF((COUNTIF('D211'!E13,"Aula 4"))&gt;0,1,0)+IF((COUNTIF('D311'!E13,"Aula 4"))&gt;0,1,0)+IF((COUNTIF('D411'!E13,"Aula 4"))&gt;0,1,0))=1,IF((COUNTIF('C111'!E13,"Aula 4")+COUNTIF('C112'!E13,"Aula 4")+COUNTIF('C113'!E13,"Aula 4")+COUNTIF('C121'!E13,"Aula 4")+COUNTIF('C122'!E13,"Aula 4"))&gt;0,"C1",IF((COUNTIF('C211'!E13,"Aula 4")+COUNTIF('C212'!E13,"Aula 4"))&gt;0,"C2",IF((COUNTIF('C311'!E13,"Aula 4")+COUNTIF('C312'!E13,"Aula 4"))&gt;0,"C3",IF((COUNTIF('C411'!E13,"Aula 4")+COUNTIF('C412'!E13,"Aula 4"))&gt;0,"C4",IF((COUNTIF('M111'!E13,"Aula 4")+COUNTIF('M112'!E13,"Aula 4"))&gt;0,"M1",IF((COUNTIF('M211'!E13,"Aula 4")+COUNTIF('M212'!E13,"Aula 4"))&gt;0,"M2",IF((COUNTIF('M311'!E13,"Aula 4"))&gt;0,"M3",IF((COUNTIF('M411'!E13,"Aula 4"))&gt;0,"M4",IF((COUNTIF('D111'!E13,"Aula 4")+COUNTIF('D112'!E13,"Aula 4"))&gt;0,"D1",IF((COUNTIF('D211'!E13,"Aula 4"))&gt;0,"D2",IF((COUNTIF('D311'!E13,"Aula 4"))&gt;0,"D3",IF((COUNTIF('D411'!E13,"Aula 4"))&gt;0,"D4","")))))))))))),"MIX"))</f>
        <v/>
      </c>
    </row>
    <row r="335">
      <c r="C335">
        <f>IF((IF((COUNTIF('C111'!E13,"Aula 5")+COUNTIF('C112'!E13,"Aula 5")+COUNTIF('C113'!E13,"Aula 5")+COUNTIF('C121'!E13,"Aula 5")+COUNTIF('C122'!E13,"Aula 5"))&gt;0,1,0)+IF((COUNTIF('C211'!E13,"Aula 5")+COUNTIF('C212'!E13,"Aula 5"))&gt;0,1,0)+IF((COUNTIF('C311'!E13,"Aula 5")+COUNTIF('C312'!E13,"Aula 5"))&gt;0,1,0)+IF((COUNTIF('C411'!E13,"Aula 5")+COUNTIF('C412'!E13,"Aula 5"))&gt;0,1,0)+IF((COUNTIF('M111'!E13,"Aula 5")+COUNTIF('M112'!E13,"Aula 5"))&gt;0,1,0)+IF((COUNTIF('M211'!E13,"Aula 5")+COUNTIF('M212'!E13,"Aula 5"))&gt;0,1,0)+IF((COUNTIF('M311'!E13,"Aula 5"))&gt;0,1,0)+IF((COUNTIF('M411'!E13,"Aula 5"))&gt;0,1,0)+IF((COUNTIF('D111'!E13,"Aula 5")+COUNTIF('D112'!E13,"Aula 5"))&gt;0,1,0)+IF((COUNTIF('D211'!E13,"Aula 5"))&gt;0,1,0)+IF((COUNTIF('D311'!E13,"Aula 5"))&gt;0,1,0)+IF((COUNTIF('D411'!E13,"Aula 5"))&gt;0,1,0))=0,"",IF((IF((COUNTIF('C111'!E13,"Aula 5")+COUNTIF('C112'!E13,"Aula 5")+COUNTIF('C113'!E13,"Aula 5")+COUNTIF('C121'!E13,"Aula 5")+COUNTIF('C122'!E13,"Aula 5"))&gt;0,1,0)+IF((COUNTIF('C211'!E13,"Aula 5")+COUNTIF('C212'!E13,"Aula 5"))&gt;0,1,0)+IF((COUNTIF('C311'!E13,"Aula 5")+COUNTIF('C312'!E13,"Aula 5"))&gt;0,1,0)+IF((COUNTIF('C411'!E13,"Aula 5")+COUNTIF('C412'!E13,"Aula 5"))&gt;0,1,0)+IF((COUNTIF('M111'!E13,"Aula 5")+COUNTIF('M112'!E13,"Aula 5"))&gt;0,1,0)+IF((COUNTIF('M211'!E13,"Aula 5")+COUNTIF('M212'!E13,"Aula 5"))&gt;0,1,0)+IF((COUNTIF('M311'!E13,"Aula 5"))&gt;0,1,0)+IF((COUNTIF('M411'!E13,"Aula 5"))&gt;0,1,0)+IF((COUNTIF('D111'!E13,"Aula 5")+COUNTIF('D112'!E13,"Aula 5"))&gt;0,1,0)+IF((COUNTIF('D211'!E13,"Aula 5"))&gt;0,1,0)+IF((COUNTIF('D311'!E13,"Aula 5"))&gt;0,1,0)+IF((COUNTIF('D411'!E13,"Aula 5"))&gt;0,1,0))=1,IF((COUNTIF('C111'!E13,"Aula 5")+COUNTIF('C112'!E13,"Aula 5")+COUNTIF('C113'!E13,"Aula 5")+COUNTIF('C121'!E13,"Aula 5")+COUNTIF('C122'!E13,"Aula 5"))&gt;0,"C1",IF((COUNTIF('C211'!E13,"Aula 5")+COUNTIF('C212'!E13,"Aula 5"))&gt;0,"C2",IF((COUNTIF('C311'!E13,"Aula 5")+COUNTIF('C312'!E13,"Aula 5"))&gt;0,"C3",IF((COUNTIF('C411'!E13,"Aula 5")+COUNTIF('C412'!E13,"Aula 5"))&gt;0,"C4",IF((COUNTIF('M111'!E13,"Aula 5")+COUNTIF('M112'!E13,"Aula 5"))&gt;0,"M1",IF((COUNTIF('M211'!E13,"Aula 5")+COUNTIF('M212'!E13,"Aula 5"))&gt;0,"M2",IF((COUNTIF('M311'!E13,"Aula 5"))&gt;0,"M3",IF((COUNTIF('M411'!E13,"Aula 5"))&gt;0,"M4",IF((COUNTIF('D111'!E13,"Aula 5")+COUNTIF('D112'!E13,"Aula 5"))&gt;0,"D1",IF((COUNTIF('D211'!E13,"Aula 5"))&gt;0,"D2",IF((COUNTIF('D311'!E13,"Aula 5"))&gt;0,"D3",IF((COUNTIF('D411'!E13,"Aula 5"))&gt;0,"D4","")))))))))))),"MIX"))</f>
        <v/>
      </c>
    </row>
    <row r="336">
      <c r="C336">
        <f>IF((IF((COUNTIF('C111'!E13,"Aula 6")+COUNTIF('C112'!E13,"Aula 6")+COUNTIF('C113'!E13,"Aula 6")+COUNTIF('C121'!E13,"Aula 6")+COUNTIF('C122'!E13,"Aula 6"))&gt;0,1,0)+IF((COUNTIF('C211'!E13,"Aula 6")+COUNTIF('C212'!E13,"Aula 6"))&gt;0,1,0)+IF((COUNTIF('C311'!E13,"Aula 6")+COUNTIF('C312'!E13,"Aula 6"))&gt;0,1,0)+IF((COUNTIF('C411'!E13,"Aula 6")+COUNTIF('C412'!E13,"Aula 6"))&gt;0,1,0)+IF((COUNTIF('M111'!E13,"Aula 6")+COUNTIF('M112'!E13,"Aula 6"))&gt;0,1,0)+IF((COUNTIF('M211'!E13,"Aula 6")+COUNTIF('M212'!E13,"Aula 6"))&gt;0,1,0)+IF((COUNTIF('M311'!E13,"Aula 6"))&gt;0,1,0)+IF((COUNTIF('M411'!E13,"Aula 6"))&gt;0,1,0)+IF((COUNTIF('D111'!E13,"Aula 6")+COUNTIF('D112'!E13,"Aula 6"))&gt;0,1,0)+IF((COUNTIF('D211'!E13,"Aula 6"))&gt;0,1,0)+IF((COUNTIF('D311'!E13,"Aula 6"))&gt;0,1,0)+IF((COUNTIF('D411'!E13,"Aula 6"))&gt;0,1,0))=0,"",IF((IF((COUNTIF('C111'!E13,"Aula 6")+COUNTIF('C112'!E13,"Aula 6")+COUNTIF('C113'!E13,"Aula 6")+COUNTIF('C121'!E13,"Aula 6")+COUNTIF('C122'!E13,"Aula 6"))&gt;0,1,0)+IF((COUNTIF('C211'!E13,"Aula 6")+COUNTIF('C212'!E13,"Aula 6"))&gt;0,1,0)+IF((COUNTIF('C311'!E13,"Aula 6")+COUNTIF('C312'!E13,"Aula 6"))&gt;0,1,0)+IF((COUNTIF('C411'!E13,"Aula 6")+COUNTIF('C412'!E13,"Aula 6"))&gt;0,1,0)+IF((COUNTIF('M111'!E13,"Aula 6")+COUNTIF('M112'!E13,"Aula 6"))&gt;0,1,0)+IF((COUNTIF('M211'!E13,"Aula 6")+COUNTIF('M212'!E13,"Aula 6"))&gt;0,1,0)+IF((COUNTIF('M311'!E13,"Aula 6"))&gt;0,1,0)+IF((COUNTIF('M411'!E13,"Aula 6"))&gt;0,1,0)+IF((COUNTIF('D111'!E13,"Aula 6")+COUNTIF('D112'!E13,"Aula 6"))&gt;0,1,0)+IF((COUNTIF('D211'!E13,"Aula 6"))&gt;0,1,0)+IF((COUNTIF('D311'!E13,"Aula 6"))&gt;0,1,0)+IF((COUNTIF('D411'!E13,"Aula 6"))&gt;0,1,0))=1,IF((COUNTIF('C111'!E13,"Aula 6")+COUNTIF('C112'!E13,"Aula 6")+COUNTIF('C113'!E13,"Aula 6")+COUNTIF('C121'!E13,"Aula 6")+COUNTIF('C122'!E13,"Aula 6"))&gt;0,"C1",IF((COUNTIF('C211'!E13,"Aula 6")+COUNTIF('C212'!E13,"Aula 6"))&gt;0,"C2",IF((COUNTIF('C311'!E13,"Aula 6")+COUNTIF('C312'!E13,"Aula 6"))&gt;0,"C3",IF((COUNTIF('C411'!E13,"Aula 6")+COUNTIF('C412'!E13,"Aula 6"))&gt;0,"C4",IF((COUNTIF('M111'!E13,"Aula 6")+COUNTIF('M112'!E13,"Aula 6"))&gt;0,"M1",IF((COUNTIF('M211'!E13,"Aula 6")+COUNTIF('M212'!E13,"Aula 6"))&gt;0,"M2",IF((COUNTIF('M311'!E13,"Aula 6"))&gt;0,"M3",IF((COUNTIF('M411'!E13,"Aula 6"))&gt;0,"M4",IF((COUNTIF('D111'!E13,"Aula 6")+COUNTIF('D112'!E13,"Aula 6"))&gt;0,"D1",IF((COUNTIF('D211'!E13,"Aula 6"))&gt;0,"D2",IF((COUNTIF('D311'!E13,"Aula 6"))&gt;0,"D3",IF((COUNTIF('D411'!E13,"Aula 6"))&gt;0,"D4","")))))))))))),"MIX"))</f>
        <v/>
      </c>
    </row>
    <row r="337">
      <c r="C337">
        <f>IF((IF((COUNTIF('C111'!E13,"Aula 7")+COUNTIF('C112'!E13,"Aula 7")+COUNTIF('C113'!E13,"Aula 7")+COUNTIF('C121'!E13,"Aula 7")+COUNTIF('C122'!E13,"Aula 7"))&gt;0,1,0)+IF((COUNTIF('C211'!E13,"Aula 7")+COUNTIF('C212'!E13,"Aula 7"))&gt;0,1,0)+IF((COUNTIF('C311'!E13,"Aula 7")+COUNTIF('C312'!E13,"Aula 7"))&gt;0,1,0)+IF((COUNTIF('C411'!E13,"Aula 7")+COUNTIF('C412'!E13,"Aula 7"))&gt;0,1,0)+IF((COUNTIF('M111'!E13,"Aula 7")+COUNTIF('M112'!E13,"Aula 7"))&gt;0,1,0)+IF((COUNTIF('M211'!E13,"Aula 7")+COUNTIF('M212'!E13,"Aula 7"))&gt;0,1,0)+IF((COUNTIF('M311'!E13,"Aula 7"))&gt;0,1,0)+IF((COUNTIF('M411'!E13,"Aula 7"))&gt;0,1,0)+IF((COUNTIF('D111'!E13,"Aula 7")+COUNTIF('D112'!E13,"Aula 7"))&gt;0,1,0)+IF((COUNTIF('D211'!E13,"Aula 7"))&gt;0,1,0)+IF((COUNTIF('D311'!E13,"Aula 7"))&gt;0,1,0)+IF((COUNTIF('D411'!E13,"Aula 7"))&gt;0,1,0))=0,"",IF((IF((COUNTIF('C111'!E13,"Aula 7")+COUNTIF('C112'!E13,"Aula 7")+COUNTIF('C113'!E13,"Aula 7")+COUNTIF('C121'!E13,"Aula 7")+COUNTIF('C122'!E13,"Aula 7"))&gt;0,1,0)+IF((COUNTIF('C211'!E13,"Aula 7")+COUNTIF('C212'!E13,"Aula 7"))&gt;0,1,0)+IF((COUNTIF('C311'!E13,"Aula 7")+COUNTIF('C312'!E13,"Aula 7"))&gt;0,1,0)+IF((COUNTIF('C411'!E13,"Aula 7")+COUNTIF('C412'!E13,"Aula 7"))&gt;0,1,0)+IF((COUNTIF('M111'!E13,"Aula 7")+COUNTIF('M112'!E13,"Aula 7"))&gt;0,1,0)+IF((COUNTIF('M211'!E13,"Aula 7")+COUNTIF('M212'!E13,"Aula 7"))&gt;0,1,0)+IF((COUNTIF('M311'!E13,"Aula 7"))&gt;0,1,0)+IF((COUNTIF('M411'!E13,"Aula 7"))&gt;0,1,0)+IF((COUNTIF('D111'!E13,"Aula 7")+COUNTIF('D112'!E13,"Aula 7"))&gt;0,1,0)+IF((COUNTIF('D211'!E13,"Aula 7"))&gt;0,1,0)+IF((COUNTIF('D311'!E13,"Aula 7"))&gt;0,1,0)+IF((COUNTIF('D411'!E13,"Aula 7"))&gt;0,1,0))=1,IF((COUNTIF('C111'!E13,"Aula 7")+COUNTIF('C112'!E13,"Aula 7")+COUNTIF('C113'!E13,"Aula 7")+COUNTIF('C121'!E13,"Aula 7")+COUNTIF('C122'!E13,"Aula 7"))&gt;0,"C1",IF((COUNTIF('C211'!E13,"Aula 7")+COUNTIF('C212'!E13,"Aula 7"))&gt;0,"C2",IF((COUNTIF('C311'!E13,"Aula 7")+COUNTIF('C312'!E13,"Aula 7"))&gt;0,"C3",IF((COUNTIF('C411'!E13,"Aula 7")+COUNTIF('C412'!E13,"Aula 7"))&gt;0,"C4",IF((COUNTIF('M111'!E13,"Aula 7")+COUNTIF('M112'!E13,"Aula 7"))&gt;0,"M1",IF((COUNTIF('M211'!E13,"Aula 7")+COUNTIF('M212'!E13,"Aula 7"))&gt;0,"M2",IF((COUNTIF('M311'!E13,"Aula 7"))&gt;0,"M3",IF((COUNTIF('M411'!E13,"Aula 7"))&gt;0,"M4",IF((COUNTIF('D111'!E13,"Aula 7")+COUNTIF('D112'!E13,"Aula 7"))&gt;0,"D1",IF((COUNTIF('D211'!E13,"Aula 7"))&gt;0,"D2",IF((COUNTIF('D311'!E13,"Aula 7"))&gt;0,"D3",IF((COUNTIF('D411'!E13,"Aula 7"))&gt;0,"D4","")))))))))))),"MIX"))</f>
        <v/>
      </c>
    </row>
    <row r="338">
      <c r="C338">
        <f>IF((IF((COUNTIF('C111'!E13,"Aula 8")+COUNTIF('C112'!E13,"Aula 8")+COUNTIF('C113'!E13,"Aula 8")+COUNTIF('C121'!E13,"Aula 8")+COUNTIF('C122'!E13,"Aula 8"))&gt;0,1,0)+IF((COUNTIF('C211'!E13,"Aula 8")+COUNTIF('C212'!E13,"Aula 8"))&gt;0,1,0)+IF((COUNTIF('C311'!E13,"Aula 8")+COUNTIF('C312'!E13,"Aula 8"))&gt;0,1,0)+IF((COUNTIF('C411'!E13,"Aula 8")+COUNTIF('C412'!E13,"Aula 8"))&gt;0,1,0)+IF((COUNTIF('M111'!E13,"Aula 8")+COUNTIF('M112'!E13,"Aula 8"))&gt;0,1,0)+IF((COUNTIF('M211'!E13,"Aula 8")+COUNTIF('M212'!E13,"Aula 8"))&gt;0,1,0)+IF((COUNTIF('M311'!E13,"Aula 8"))&gt;0,1,0)+IF((COUNTIF('M411'!E13,"Aula 8"))&gt;0,1,0)+IF((COUNTIF('D111'!E13,"Aula 8")+COUNTIF('D112'!E13,"Aula 8"))&gt;0,1,0)+IF((COUNTIF('D211'!E13,"Aula 8"))&gt;0,1,0)+IF((COUNTIF('D311'!E13,"Aula 8"))&gt;0,1,0)+IF((COUNTIF('D411'!E13,"Aula 8"))&gt;0,1,0))=0,"",IF((IF((COUNTIF('C111'!E13,"Aula 8")+COUNTIF('C112'!E13,"Aula 8")+COUNTIF('C113'!E13,"Aula 8")+COUNTIF('C121'!E13,"Aula 8")+COUNTIF('C122'!E13,"Aula 8"))&gt;0,1,0)+IF((COUNTIF('C211'!E13,"Aula 8")+COUNTIF('C212'!E13,"Aula 8"))&gt;0,1,0)+IF((COUNTIF('C311'!E13,"Aula 8")+COUNTIF('C312'!E13,"Aula 8"))&gt;0,1,0)+IF((COUNTIF('C411'!E13,"Aula 8")+COUNTIF('C412'!E13,"Aula 8"))&gt;0,1,0)+IF((COUNTIF('M111'!E13,"Aula 8")+COUNTIF('M112'!E13,"Aula 8"))&gt;0,1,0)+IF((COUNTIF('M211'!E13,"Aula 8")+COUNTIF('M212'!E13,"Aula 8"))&gt;0,1,0)+IF((COUNTIF('M311'!E13,"Aula 8"))&gt;0,1,0)+IF((COUNTIF('M411'!E13,"Aula 8"))&gt;0,1,0)+IF((COUNTIF('D111'!E13,"Aula 8")+COUNTIF('D112'!E13,"Aula 8"))&gt;0,1,0)+IF((COUNTIF('D211'!E13,"Aula 8"))&gt;0,1,0)+IF((COUNTIF('D311'!E13,"Aula 8"))&gt;0,1,0)+IF((COUNTIF('D411'!E13,"Aula 8"))&gt;0,1,0))=1,IF((COUNTIF('C111'!E13,"Aula 8")+COUNTIF('C112'!E13,"Aula 8")+COUNTIF('C113'!E13,"Aula 8")+COUNTIF('C121'!E13,"Aula 8")+COUNTIF('C122'!E13,"Aula 8"))&gt;0,"C1",IF((COUNTIF('C211'!E13,"Aula 8")+COUNTIF('C212'!E13,"Aula 8"))&gt;0,"C2",IF((COUNTIF('C311'!E13,"Aula 8")+COUNTIF('C312'!E13,"Aula 8"))&gt;0,"C3",IF((COUNTIF('C411'!E13,"Aula 8")+COUNTIF('C412'!E13,"Aula 8"))&gt;0,"C4",IF((COUNTIF('M111'!E13,"Aula 8")+COUNTIF('M112'!E13,"Aula 8"))&gt;0,"M1",IF((COUNTIF('M211'!E13,"Aula 8")+COUNTIF('M212'!E13,"Aula 8"))&gt;0,"M2",IF((COUNTIF('M311'!E13,"Aula 8"))&gt;0,"M3",IF((COUNTIF('M411'!E13,"Aula 8"))&gt;0,"M4",IF((COUNTIF('D111'!E13,"Aula 8")+COUNTIF('D112'!E13,"Aula 8"))&gt;0,"D1",IF((COUNTIF('D211'!E13,"Aula 8"))&gt;0,"D2",IF((COUNTIF('D311'!E13,"Aula 8"))&gt;0,"D3",IF((COUNTIF('D411'!E13,"Aula 8"))&gt;0,"D4","")))))))))))),"MIX"))</f>
        <v/>
      </c>
    </row>
    <row r="339">
      <c r="C339">
        <f>IF((IF((COUNTIF('C111'!E13,"Aula 9")+COUNTIF('C112'!E13,"Aula 9")+COUNTIF('C113'!E13,"Aula 9")+COUNTIF('C121'!E13,"Aula 9")+COUNTIF('C122'!E13,"Aula 9"))&gt;0,1,0)+IF((COUNTIF('C211'!E13,"Aula 9")+COUNTIF('C212'!E13,"Aula 9"))&gt;0,1,0)+IF((COUNTIF('C311'!E13,"Aula 9")+COUNTIF('C312'!E13,"Aula 9"))&gt;0,1,0)+IF((COUNTIF('C411'!E13,"Aula 9")+COUNTIF('C412'!E13,"Aula 9"))&gt;0,1,0)+IF((COUNTIF('M111'!E13,"Aula 9")+COUNTIF('M112'!E13,"Aula 9"))&gt;0,1,0)+IF((COUNTIF('M211'!E13,"Aula 9")+COUNTIF('M212'!E13,"Aula 9"))&gt;0,1,0)+IF((COUNTIF('M311'!E13,"Aula 9"))&gt;0,1,0)+IF((COUNTIF('M411'!E13,"Aula 9"))&gt;0,1,0)+IF((COUNTIF('D111'!E13,"Aula 9")+COUNTIF('D112'!E13,"Aula 9"))&gt;0,1,0)+IF((COUNTIF('D211'!E13,"Aula 9"))&gt;0,1,0)+IF((COUNTIF('D311'!E13,"Aula 9"))&gt;0,1,0)+IF((COUNTIF('D411'!E13,"Aula 9"))&gt;0,1,0))=0,"",IF((IF((COUNTIF('C111'!E13,"Aula 9")+COUNTIF('C112'!E13,"Aula 9")+COUNTIF('C113'!E13,"Aula 9")+COUNTIF('C121'!E13,"Aula 9")+COUNTIF('C122'!E13,"Aula 9"))&gt;0,1,0)+IF((COUNTIF('C211'!E13,"Aula 9")+COUNTIF('C212'!E13,"Aula 9"))&gt;0,1,0)+IF((COUNTIF('C311'!E13,"Aula 9")+COUNTIF('C312'!E13,"Aula 9"))&gt;0,1,0)+IF((COUNTIF('C411'!E13,"Aula 9")+COUNTIF('C412'!E13,"Aula 9"))&gt;0,1,0)+IF((COUNTIF('M111'!E13,"Aula 9")+COUNTIF('M112'!E13,"Aula 9"))&gt;0,1,0)+IF((COUNTIF('M211'!E13,"Aula 9")+COUNTIF('M212'!E13,"Aula 9"))&gt;0,1,0)+IF((COUNTIF('M311'!E13,"Aula 9"))&gt;0,1,0)+IF((COUNTIF('M411'!E13,"Aula 9"))&gt;0,1,0)+IF((COUNTIF('D111'!E13,"Aula 9")+COUNTIF('D112'!E13,"Aula 9"))&gt;0,1,0)+IF((COUNTIF('D211'!E13,"Aula 9"))&gt;0,1,0)+IF((COUNTIF('D311'!E13,"Aula 9"))&gt;0,1,0)+IF((COUNTIF('D411'!E13,"Aula 9"))&gt;0,1,0))=1,IF((COUNTIF('C111'!E13,"Aula 9")+COUNTIF('C112'!E13,"Aula 9")+COUNTIF('C113'!E13,"Aula 9")+COUNTIF('C121'!E13,"Aula 9")+COUNTIF('C122'!E13,"Aula 9"))&gt;0,"C1",IF((COUNTIF('C211'!E13,"Aula 9")+COUNTIF('C212'!E13,"Aula 9"))&gt;0,"C2",IF((COUNTIF('C311'!E13,"Aula 9")+COUNTIF('C312'!E13,"Aula 9"))&gt;0,"C3",IF((COUNTIF('C411'!E13,"Aula 9")+COUNTIF('C412'!E13,"Aula 9"))&gt;0,"C4",IF((COUNTIF('M111'!E13,"Aula 9")+COUNTIF('M112'!E13,"Aula 9"))&gt;0,"M1",IF((COUNTIF('M211'!E13,"Aula 9")+COUNTIF('M212'!E13,"Aula 9"))&gt;0,"M2",IF((COUNTIF('M311'!E13,"Aula 9"))&gt;0,"M3",IF((COUNTIF('M411'!E13,"Aula 9"))&gt;0,"M4",IF((COUNTIF('D111'!E13,"Aula 9")+COUNTIF('D112'!E13,"Aula 9"))&gt;0,"D1",IF((COUNTIF('D211'!E13,"Aula 9"))&gt;0,"D2",IF((COUNTIF('D311'!E13,"Aula 9"))&gt;0,"D3",IF((COUNTIF('D411'!E13,"Aula 9"))&gt;0,"D4","")))))))))))),"MIX"))</f>
        <v/>
      </c>
    </row>
    <row r="340">
      <c r="C340">
        <f>IF((IF((COUNTIF('C111'!E13,"Aula 10")+COUNTIF('C112'!E13,"Aula 10")+COUNTIF('C113'!E13,"Aula 10")+COUNTIF('C121'!E13,"Aula 10")+COUNTIF('C122'!E13,"Aula 10"))&gt;0,1,0)+IF((COUNTIF('C211'!E13,"Aula 10")+COUNTIF('C212'!E13,"Aula 10"))&gt;0,1,0)+IF((COUNTIF('C311'!E13,"Aula 10")+COUNTIF('C312'!E13,"Aula 10"))&gt;0,1,0)+IF((COUNTIF('C411'!E13,"Aula 10")+COUNTIF('C412'!E13,"Aula 10"))&gt;0,1,0)+IF((COUNTIF('M111'!E13,"Aula 10")+COUNTIF('M112'!E13,"Aula 10"))&gt;0,1,0)+IF((COUNTIF('M211'!E13,"Aula 10")+COUNTIF('M212'!E13,"Aula 10"))&gt;0,1,0)+IF((COUNTIF('M311'!E13,"Aula 10"))&gt;0,1,0)+IF((COUNTIF('M411'!E13,"Aula 10"))&gt;0,1,0)+IF((COUNTIF('D111'!E13,"Aula 10")+COUNTIF('D112'!E13,"Aula 10"))&gt;0,1,0)+IF((COUNTIF('D211'!E13,"Aula 10"))&gt;0,1,0)+IF((COUNTIF('D311'!E13,"Aula 10"))&gt;0,1,0)+IF((COUNTIF('D411'!E13,"Aula 10"))&gt;0,1,0))=0,"",IF((IF((COUNTIF('C111'!E13,"Aula 10")+COUNTIF('C112'!E13,"Aula 10")+COUNTIF('C113'!E13,"Aula 10")+COUNTIF('C121'!E13,"Aula 10")+COUNTIF('C122'!E13,"Aula 10"))&gt;0,1,0)+IF((COUNTIF('C211'!E13,"Aula 10")+COUNTIF('C212'!E13,"Aula 10"))&gt;0,1,0)+IF((COUNTIF('C311'!E13,"Aula 10")+COUNTIF('C312'!E13,"Aula 10"))&gt;0,1,0)+IF((COUNTIF('C411'!E13,"Aula 10")+COUNTIF('C412'!E13,"Aula 10"))&gt;0,1,0)+IF((COUNTIF('M111'!E13,"Aula 10")+COUNTIF('M112'!E13,"Aula 10"))&gt;0,1,0)+IF((COUNTIF('M211'!E13,"Aula 10")+COUNTIF('M212'!E13,"Aula 10"))&gt;0,1,0)+IF((COUNTIF('M311'!E13,"Aula 10"))&gt;0,1,0)+IF((COUNTIF('M411'!E13,"Aula 10"))&gt;0,1,0)+IF((COUNTIF('D111'!E13,"Aula 10")+COUNTIF('D112'!E13,"Aula 10"))&gt;0,1,0)+IF((COUNTIF('D211'!E13,"Aula 10"))&gt;0,1,0)+IF((COUNTIF('D311'!E13,"Aula 10"))&gt;0,1,0)+IF((COUNTIF('D411'!E13,"Aula 10"))&gt;0,1,0))=1,IF((COUNTIF('C111'!E13,"Aula 10")+COUNTIF('C112'!E13,"Aula 10")+COUNTIF('C113'!E13,"Aula 10")+COUNTIF('C121'!E13,"Aula 10")+COUNTIF('C122'!E13,"Aula 10"))&gt;0,"C1",IF((COUNTIF('C211'!E13,"Aula 10")+COUNTIF('C212'!E13,"Aula 10"))&gt;0,"C2",IF((COUNTIF('C311'!E13,"Aula 10")+COUNTIF('C312'!E13,"Aula 10"))&gt;0,"C3",IF((COUNTIF('C411'!E13,"Aula 10")+COUNTIF('C412'!E13,"Aula 10"))&gt;0,"C4",IF((COUNTIF('M111'!E13,"Aula 10")+COUNTIF('M112'!E13,"Aula 10"))&gt;0,"M1",IF((COUNTIF('M211'!E13,"Aula 10")+COUNTIF('M212'!E13,"Aula 10"))&gt;0,"M2",IF((COUNTIF('M311'!E13,"Aula 10"))&gt;0,"M3",IF((COUNTIF('M411'!E13,"Aula 10"))&gt;0,"M4",IF((COUNTIF('D111'!E13,"Aula 10")+COUNTIF('D112'!E13,"Aula 10"))&gt;0,"D1",IF((COUNTIF('D211'!E13,"Aula 10"))&gt;0,"D2",IF((COUNTIF('D311'!E13,"Aula 10"))&gt;0,"D3",IF((COUNTIF('D411'!E13,"Aula 10"))&gt;0,"D4","")))))))))))),"MIX"))</f>
        <v/>
      </c>
    </row>
    <row r="341">
      <c r="C341">
        <f>IF((IF((COUNTIF('C111'!E13,"Aula 11")+COUNTIF('C112'!E13,"Aula 11")+COUNTIF('C113'!E13,"Aula 11")+COUNTIF('C121'!E13,"Aula 11")+COUNTIF('C122'!E13,"Aula 11"))&gt;0,1,0)+IF((COUNTIF('C211'!E13,"Aula 11")+COUNTIF('C212'!E13,"Aula 11"))&gt;0,1,0)+IF((COUNTIF('C311'!E13,"Aula 11")+COUNTIF('C312'!E13,"Aula 11"))&gt;0,1,0)+IF((COUNTIF('C411'!E13,"Aula 11")+COUNTIF('C412'!E13,"Aula 11"))&gt;0,1,0)+IF((COUNTIF('M111'!E13,"Aula 11")+COUNTIF('M112'!E13,"Aula 11"))&gt;0,1,0)+IF((COUNTIF('M211'!E13,"Aula 11")+COUNTIF('M212'!E13,"Aula 11"))&gt;0,1,0)+IF((COUNTIF('M311'!E13,"Aula 11"))&gt;0,1,0)+IF((COUNTIF('M411'!E13,"Aula 11"))&gt;0,1,0)+IF((COUNTIF('D111'!E13,"Aula 11")+COUNTIF('D112'!E13,"Aula 11"))&gt;0,1,0)+IF((COUNTIF('D211'!E13,"Aula 11"))&gt;0,1,0)+IF((COUNTIF('D311'!E13,"Aula 11"))&gt;0,1,0)+IF((COUNTIF('D411'!E13,"Aula 11"))&gt;0,1,0))=0,"",IF((IF((COUNTIF('C111'!E13,"Aula 11")+COUNTIF('C112'!E13,"Aula 11")+COUNTIF('C113'!E13,"Aula 11")+COUNTIF('C121'!E13,"Aula 11")+COUNTIF('C122'!E13,"Aula 11"))&gt;0,1,0)+IF((COUNTIF('C211'!E13,"Aula 11")+COUNTIF('C212'!E13,"Aula 11"))&gt;0,1,0)+IF((COUNTIF('C311'!E13,"Aula 11")+COUNTIF('C312'!E13,"Aula 11"))&gt;0,1,0)+IF((COUNTIF('C411'!E13,"Aula 11")+COUNTIF('C412'!E13,"Aula 11"))&gt;0,1,0)+IF((COUNTIF('M111'!E13,"Aula 11")+COUNTIF('M112'!E13,"Aula 11"))&gt;0,1,0)+IF((COUNTIF('M211'!E13,"Aula 11")+COUNTIF('M212'!E13,"Aula 11"))&gt;0,1,0)+IF((COUNTIF('M311'!E13,"Aula 11"))&gt;0,1,0)+IF((COUNTIF('M411'!E13,"Aula 11"))&gt;0,1,0)+IF((COUNTIF('D111'!E13,"Aula 11")+COUNTIF('D112'!E13,"Aula 11"))&gt;0,1,0)+IF((COUNTIF('D211'!E13,"Aula 11"))&gt;0,1,0)+IF((COUNTIF('D311'!E13,"Aula 11"))&gt;0,1,0)+IF((COUNTIF('D411'!E13,"Aula 11"))&gt;0,1,0))=1,IF((COUNTIF('C111'!E13,"Aula 11")+COUNTIF('C112'!E13,"Aula 11")+COUNTIF('C113'!E13,"Aula 11")+COUNTIF('C121'!E13,"Aula 11")+COUNTIF('C122'!E13,"Aula 11"))&gt;0,"C1",IF((COUNTIF('C211'!E13,"Aula 11")+COUNTIF('C212'!E13,"Aula 11"))&gt;0,"C2",IF((COUNTIF('C311'!E13,"Aula 11")+COUNTIF('C312'!E13,"Aula 11"))&gt;0,"C3",IF((COUNTIF('C411'!E13,"Aula 11")+COUNTIF('C412'!E13,"Aula 11"))&gt;0,"C4",IF((COUNTIF('M111'!E13,"Aula 11")+COUNTIF('M112'!E13,"Aula 11"))&gt;0,"M1",IF((COUNTIF('M211'!E13,"Aula 11")+COUNTIF('M212'!E13,"Aula 11"))&gt;0,"M2",IF((COUNTIF('M311'!E13,"Aula 11"))&gt;0,"M3",IF((COUNTIF('M411'!E13,"Aula 11"))&gt;0,"M4",IF((COUNTIF('D111'!E13,"Aula 11")+COUNTIF('D112'!E13,"Aula 11"))&gt;0,"D1",IF((COUNTIF('D211'!E13,"Aula 11"))&gt;0,"D2",IF((COUNTIF('D311'!E13,"Aula 11"))&gt;0,"D3",IF((COUNTIF('D411'!E13,"Aula 11"))&gt;0,"D4","")))))))))))),"MIX"))</f>
        <v/>
      </c>
    </row>
    <row r="342">
      <c r="C342">
        <f>IF((IF((COUNTIF('C111'!E13,"Aula 12")+COUNTIF('C112'!E13,"Aula 12")+COUNTIF('C113'!E13,"Aula 12")+COUNTIF('C121'!E13,"Aula 12")+COUNTIF('C122'!E13,"Aula 12"))&gt;0,1,0)+IF((COUNTIF('C211'!E13,"Aula 12")+COUNTIF('C212'!E13,"Aula 12"))&gt;0,1,0)+IF((COUNTIF('C311'!E13,"Aula 12")+COUNTIF('C312'!E13,"Aula 12"))&gt;0,1,0)+IF((COUNTIF('C411'!E13,"Aula 12")+COUNTIF('C412'!E13,"Aula 12"))&gt;0,1,0)+IF((COUNTIF('M111'!E13,"Aula 12")+COUNTIF('M112'!E13,"Aula 12"))&gt;0,1,0)+IF((COUNTIF('M211'!E13,"Aula 12")+COUNTIF('M212'!E13,"Aula 12"))&gt;0,1,0)+IF((COUNTIF('M311'!E13,"Aula 12"))&gt;0,1,0)+IF((COUNTIF('M411'!E13,"Aula 12"))&gt;0,1,0)+IF((COUNTIF('D111'!E13,"Aula 12")+COUNTIF('D112'!E13,"Aula 12"))&gt;0,1,0)+IF((COUNTIF('D211'!E13,"Aula 12"))&gt;0,1,0)+IF((COUNTIF('D311'!E13,"Aula 12"))&gt;0,1,0)+IF((COUNTIF('D411'!E13,"Aula 12"))&gt;0,1,0))=0,"",IF((IF((COUNTIF('C111'!E13,"Aula 12")+COUNTIF('C112'!E13,"Aula 12")+COUNTIF('C113'!E13,"Aula 12")+COUNTIF('C121'!E13,"Aula 12")+COUNTIF('C122'!E13,"Aula 12"))&gt;0,1,0)+IF((COUNTIF('C211'!E13,"Aula 12")+COUNTIF('C212'!E13,"Aula 12"))&gt;0,1,0)+IF((COUNTIF('C311'!E13,"Aula 12")+COUNTIF('C312'!E13,"Aula 12"))&gt;0,1,0)+IF((COUNTIF('C411'!E13,"Aula 12")+COUNTIF('C412'!E13,"Aula 12"))&gt;0,1,0)+IF((COUNTIF('M111'!E13,"Aula 12")+COUNTIF('M112'!E13,"Aula 12"))&gt;0,1,0)+IF((COUNTIF('M211'!E13,"Aula 12")+COUNTIF('M212'!E13,"Aula 12"))&gt;0,1,0)+IF((COUNTIF('M311'!E13,"Aula 12"))&gt;0,1,0)+IF((COUNTIF('M411'!E13,"Aula 12"))&gt;0,1,0)+IF((COUNTIF('D111'!E13,"Aula 12")+COUNTIF('D112'!E13,"Aula 12"))&gt;0,1,0)+IF((COUNTIF('D211'!E13,"Aula 12"))&gt;0,1,0)+IF((COUNTIF('D311'!E13,"Aula 12"))&gt;0,1,0)+IF((COUNTIF('D411'!E13,"Aula 12"))&gt;0,1,0))=1,IF((COUNTIF('C111'!E13,"Aula 12")+COUNTIF('C112'!E13,"Aula 12")+COUNTIF('C113'!E13,"Aula 12")+COUNTIF('C121'!E13,"Aula 12")+COUNTIF('C122'!E13,"Aula 12"))&gt;0,"C1",IF((COUNTIF('C211'!E13,"Aula 12")+COUNTIF('C212'!E13,"Aula 12"))&gt;0,"C2",IF((COUNTIF('C311'!E13,"Aula 12")+COUNTIF('C312'!E13,"Aula 12"))&gt;0,"C3",IF((COUNTIF('C411'!E13,"Aula 12")+COUNTIF('C412'!E13,"Aula 12"))&gt;0,"C4",IF((COUNTIF('M111'!E13,"Aula 12")+COUNTIF('M112'!E13,"Aula 12"))&gt;0,"M1",IF((COUNTIF('M211'!E13,"Aula 12")+COUNTIF('M212'!E13,"Aula 12"))&gt;0,"M2",IF((COUNTIF('M311'!E13,"Aula 12"))&gt;0,"M3",IF((COUNTIF('M411'!E13,"Aula 12"))&gt;0,"M4",IF((COUNTIF('D111'!E13,"Aula 12")+COUNTIF('D112'!E13,"Aula 12"))&gt;0,"D1",IF((COUNTIF('D211'!E13,"Aula 12"))&gt;0,"D2",IF((COUNTIF('D311'!E13,"Aula 12"))&gt;0,"D3",IF((COUNTIF('D411'!E13,"Aula 12"))&gt;0,"D4","")))))))))))),"MIX"))</f>
        <v/>
      </c>
    </row>
    <row r="343">
      <c r="C343">
        <f>IF((IF((COUNTIF('C111'!E13,"Lab 1")+COUNTIF('C112'!E13,"Lab 1")+COUNTIF('C113'!E13,"Lab 1")+COUNTIF('C121'!E13,"Lab 1")+COUNTIF('C122'!E13,"Lab 1"))&gt;0,1,0)+IF((COUNTIF('C211'!E13,"Lab 1")+COUNTIF('C212'!E13,"Lab 1"))&gt;0,1,0)+IF((COUNTIF('C311'!E13,"Lab 1")+COUNTIF('C312'!E13,"Lab 1"))&gt;0,1,0)+IF((COUNTIF('C411'!E13,"Lab 1")+COUNTIF('C412'!E13,"Lab 1"))&gt;0,1,0)+IF((COUNTIF('M111'!E13,"Lab 1")+COUNTIF('M112'!E13,"Lab 1"))&gt;0,1,0)+IF((COUNTIF('M211'!E13,"Lab 1")+COUNTIF('M212'!E13,"Lab 1"))&gt;0,1,0)+IF((COUNTIF('M311'!E13,"Lab 1"))&gt;0,1,0)+IF((COUNTIF('M411'!E13,"Lab 1"))&gt;0,1,0)+IF((COUNTIF('D111'!E13,"Lab 1")+COUNTIF('D112'!E13,"Lab 1"))&gt;0,1,0)+IF((COUNTIF('D211'!E13,"Lab 1"))&gt;0,1,0)+IF((COUNTIF('D311'!E13,"Lab 1"))&gt;0,1,0)+IF((COUNTIF('D411'!E13,"Lab 1"))&gt;0,1,0))=0,"",IF((IF((COUNTIF('C111'!E13,"Lab 1")+COUNTIF('C112'!E13,"Lab 1")+COUNTIF('C113'!E13,"Lab 1")+COUNTIF('C121'!E13,"Lab 1")+COUNTIF('C122'!E13,"Lab 1"))&gt;0,1,0)+IF((COUNTIF('C211'!E13,"Lab 1")+COUNTIF('C212'!E13,"Lab 1"))&gt;0,1,0)+IF((COUNTIF('C311'!E13,"Lab 1")+COUNTIF('C312'!E13,"Lab 1"))&gt;0,1,0)+IF((COUNTIF('C411'!E13,"Lab 1")+COUNTIF('C412'!E13,"Lab 1"))&gt;0,1,0)+IF((COUNTIF('M111'!E13,"Lab 1")+COUNTIF('M112'!E13,"Lab 1"))&gt;0,1,0)+IF((COUNTIF('M211'!E13,"Lab 1")+COUNTIF('M212'!E13,"Lab 1"))&gt;0,1,0)+IF((COUNTIF('M311'!E13,"Lab 1"))&gt;0,1,0)+IF((COUNTIF('M411'!E13,"Lab 1"))&gt;0,1,0)+IF((COUNTIF('D111'!E13,"Lab 1")+COUNTIF('D112'!E13,"Lab 1"))&gt;0,1,0)+IF((COUNTIF('D211'!E13,"Lab 1"))&gt;0,1,0)+IF((COUNTIF('D311'!E13,"Lab 1"))&gt;0,1,0)+IF((COUNTIF('D411'!E13,"Lab 1"))&gt;0,1,0))=1,IF((COUNTIF('C111'!E13,"Lab 1")+COUNTIF('C112'!E13,"Lab 1")+COUNTIF('C113'!E13,"Lab 1")+COUNTIF('C121'!E13,"Lab 1")+COUNTIF('C122'!E13,"Lab 1"))&gt;0,"C1",IF((COUNTIF('C211'!E13,"Lab 1")+COUNTIF('C212'!E13,"Lab 1"))&gt;0,"C2",IF((COUNTIF('C311'!E13,"Lab 1")+COUNTIF('C312'!E13,"Lab 1"))&gt;0,"C3",IF((COUNTIF('C411'!E13,"Lab 1")+COUNTIF('C412'!E13,"Lab 1"))&gt;0,"C4",IF((COUNTIF('M111'!E13,"Lab 1")+COUNTIF('M112'!E13,"Lab 1"))&gt;0,"M1",IF((COUNTIF('M211'!E13,"Lab 1")+COUNTIF('M212'!E13,"Lab 1"))&gt;0,"M2",IF((COUNTIF('M311'!E13,"Lab 1"))&gt;0,"M3",IF((COUNTIF('M411'!E13,"Lab 1"))&gt;0,"M4",IF((COUNTIF('D111'!E13,"Lab 1")+COUNTIF('D112'!E13,"Lab 1"))&gt;0,"D1",IF((COUNTIF('D211'!E13,"Lab 1"))&gt;0,"D2",IF((COUNTIF('D311'!E13,"Lab 1"))&gt;0,"D3",IF((COUNTIF('D411'!E13,"Lab 1"))&gt;0,"D4","")))))))))))),"MIX"))</f>
        <v/>
      </c>
    </row>
    <row r="344">
      <c r="C344">
        <f>IF((IF((COUNTIF('C111'!E13,"Lab 2")+COUNTIF('C112'!E13,"Lab 2")+COUNTIF('C113'!E13,"Lab 2")+COUNTIF('C121'!E13,"Lab 2")+COUNTIF('C122'!E13,"Lab 2"))&gt;0,1,0)+IF((COUNTIF('C211'!E13,"Lab 2")+COUNTIF('C212'!E13,"Lab 2"))&gt;0,1,0)+IF((COUNTIF('C311'!E13,"Lab 2")+COUNTIF('C312'!E13,"Lab 2"))&gt;0,1,0)+IF((COUNTIF('C411'!E13,"Lab 2")+COUNTIF('C412'!E13,"Lab 2"))&gt;0,1,0)+IF((COUNTIF('M111'!E13,"Lab 2")+COUNTIF('M112'!E13,"Lab 2"))&gt;0,1,0)+IF((COUNTIF('M211'!E13,"Lab 2")+COUNTIF('M212'!E13,"Lab 2"))&gt;0,1,0)+IF((COUNTIF('M311'!E13,"Lab 2"))&gt;0,1,0)+IF((COUNTIF('M411'!E13,"Lab 2"))&gt;0,1,0)+IF((COUNTIF('D111'!E13,"Lab 2")+COUNTIF('D112'!E13,"Lab 2"))&gt;0,1,0)+IF((COUNTIF('D211'!E13,"Lab 2"))&gt;0,1,0)+IF((COUNTIF('D311'!E13,"Lab 2"))&gt;0,1,0)+IF((COUNTIF('D411'!E13,"Lab 2"))&gt;0,1,0))=0,"",IF((IF((COUNTIF('C111'!E13,"Lab 2")+COUNTIF('C112'!E13,"Lab 2")+COUNTIF('C113'!E13,"Lab 2")+COUNTIF('C121'!E13,"Lab 2")+COUNTIF('C122'!E13,"Lab 2"))&gt;0,1,0)+IF((COUNTIF('C211'!E13,"Lab 2")+COUNTIF('C212'!E13,"Lab 2"))&gt;0,1,0)+IF((COUNTIF('C311'!E13,"Lab 2")+COUNTIF('C312'!E13,"Lab 2"))&gt;0,1,0)+IF((COUNTIF('C411'!E13,"Lab 2")+COUNTIF('C412'!E13,"Lab 2"))&gt;0,1,0)+IF((COUNTIF('M111'!E13,"Lab 2")+COUNTIF('M112'!E13,"Lab 2"))&gt;0,1,0)+IF((COUNTIF('M211'!E13,"Lab 2")+COUNTIF('M212'!E13,"Lab 2"))&gt;0,1,0)+IF((COUNTIF('M311'!E13,"Lab 2"))&gt;0,1,0)+IF((COUNTIF('M411'!E13,"Lab 2"))&gt;0,1,0)+IF((COUNTIF('D111'!E13,"Lab 2")+COUNTIF('D112'!E13,"Lab 2"))&gt;0,1,0)+IF((COUNTIF('D211'!E13,"Lab 2"))&gt;0,1,0)+IF((COUNTIF('D311'!E13,"Lab 2"))&gt;0,1,0)+IF((COUNTIF('D411'!E13,"Lab 2"))&gt;0,1,0))=1,IF((COUNTIF('C111'!E13,"Lab 2")+COUNTIF('C112'!E13,"Lab 2")+COUNTIF('C113'!E13,"Lab 2")+COUNTIF('C121'!E13,"Lab 2")+COUNTIF('C122'!E13,"Lab 2"))&gt;0,"C1",IF((COUNTIF('C211'!E13,"Lab 2")+COUNTIF('C212'!E13,"Lab 2"))&gt;0,"C2",IF((COUNTIF('C311'!E13,"Lab 2")+COUNTIF('C312'!E13,"Lab 2"))&gt;0,"C3",IF((COUNTIF('C411'!E13,"Lab 2")+COUNTIF('C412'!E13,"Lab 2"))&gt;0,"C4",IF((COUNTIF('M111'!E13,"Lab 2")+COUNTIF('M112'!E13,"Lab 2"))&gt;0,"M1",IF((COUNTIF('M211'!E13,"Lab 2")+COUNTIF('M212'!E13,"Lab 2"))&gt;0,"M2",IF((COUNTIF('M311'!E13,"Lab 2"))&gt;0,"M3",IF((COUNTIF('M411'!E13,"Lab 2"))&gt;0,"M4",IF((COUNTIF('D111'!E13,"Lab 2")+COUNTIF('D112'!E13,"Lab 2"))&gt;0,"D1",IF((COUNTIF('D211'!E13,"Lab 2"))&gt;0,"D2",IF((COUNTIF('D311'!E13,"Lab 2"))&gt;0,"D3",IF((COUNTIF('D411'!E13,"Lab 2"))&gt;0,"D4","")))))))))))),"MIX"))</f>
        <v/>
      </c>
    </row>
    <row r="345">
      <c r="C345">
        <f>IF((IF((COUNTIF('C111'!E13,"Salón")+COUNTIF('C112'!E13,"Salón")+COUNTIF('C113'!E13,"Salón")+COUNTIF('C121'!E13,"Salón")+COUNTIF('C122'!E13,"Salón"))&gt;0,1,0)+IF((COUNTIF('C211'!E13,"Salón")+COUNTIF('C212'!E13,"Salón"))&gt;0,1,0)+IF((COUNTIF('C311'!E13,"Salón")+COUNTIF('C312'!E13,"Salón"))&gt;0,1,0)+IF((COUNTIF('C411'!E13,"Salón")+COUNTIF('C412'!E13,"Salón"))&gt;0,1,0)+IF((COUNTIF('M111'!E13,"Salón")+COUNTIF('M112'!E13,"Salón"))&gt;0,1,0)+IF((COUNTIF('M211'!E13,"Salón")+COUNTIF('M212'!E13,"Salón"))&gt;0,1,0)+IF((COUNTIF('M311'!E13,"Salón"))&gt;0,1,0)+IF((COUNTIF('M411'!E13,"Salón"))&gt;0,1,0)+IF((COUNTIF('D111'!E13,"Salón")+COUNTIF('D112'!E13,"Salón"))&gt;0,1,0)+IF((COUNTIF('D211'!E13,"Salón"))&gt;0,1,0)+IF((COUNTIF('D311'!E13,"Salón"))&gt;0,1,0)+IF((COUNTIF('D411'!E13,"Salón"))&gt;0,1,0))=0,"",IF((IF((COUNTIF('C111'!E13,"Salón")+COUNTIF('C112'!E13,"Salón")+COUNTIF('C113'!E13,"Salón")+COUNTIF('C121'!E13,"Salón")+COUNTIF('C122'!E13,"Salón"))&gt;0,1,0)+IF((COUNTIF('C211'!E13,"Salón")+COUNTIF('C212'!E13,"Salón"))&gt;0,1,0)+IF((COUNTIF('C311'!E13,"Salón")+COUNTIF('C312'!E13,"Salón"))&gt;0,1,0)+IF((COUNTIF('C411'!E13,"Salón")+COUNTIF('C412'!E13,"Salón"))&gt;0,1,0)+IF((COUNTIF('M111'!E13,"Salón")+COUNTIF('M112'!E13,"Salón"))&gt;0,1,0)+IF((COUNTIF('M211'!E13,"Salón")+COUNTIF('M212'!E13,"Salón"))&gt;0,1,0)+IF((COUNTIF('M311'!E13,"Salón"))&gt;0,1,0)+IF((COUNTIF('M411'!E13,"Salón"))&gt;0,1,0)+IF((COUNTIF('D111'!E13,"Salón")+COUNTIF('D112'!E13,"Salón"))&gt;0,1,0)+IF((COUNTIF('D211'!E13,"Salón"))&gt;0,1,0)+IF((COUNTIF('D311'!E13,"Salón"))&gt;0,1,0)+IF((COUNTIF('D411'!E13,"Salón"))&gt;0,1,0))=1,IF((COUNTIF('C111'!E13,"Salón")+COUNTIF('C112'!E13,"Salón")+COUNTIF('C113'!E13,"Salón")+COUNTIF('C121'!E13,"Salón")+COUNTIF('C122'!E13,"Salón"))&gt;0,"C1",IF((COUNTIF('C211'!E13,"Salón")+COUNTIF('C212'!E13,"Salón"))&gt;0,"C2",IF((COUNTIF('C311'!E13,"Salón")+COUNTIF('C312'!E13,"Salón"))&gt;0,"C3",IF((COUNTIF('C411'!E13,"Salón")+COUNTIF('C412'!E13,"Salón"))&gt;0,"C4",IF((COUNTIF('M111'!E13,"Salón")+COUNTIF('M112'!E13,"Salón"))&gt;0,"M1",IF((COUNTIF('M211'!E13,"Salón")+COUNTIF('M212'!E13,"Salón"))&gt;0,"M2",IF((COUNTIF('M311'!E13,"Salón"))&gt;0,"M3",IF((COUNTIF('M411'!E13,"Salón"))&gt;0,"M4",IF((COUNTIF('D111'!E13,"Salón")+COUNTIF('D112'!E13,"Salón"))&gt;0,"D1",IF((COUNTIF('D211'!E13,"Salón"))&gt;0,"D2",IF((COUNTIF('D311'!E13,"Salón"))&gt;0,"D3",IF((COUNTIF('D411'!E13,"Salón"))&gt;0,"D4","")))))))))))),"MIX"))</f>
        <v/>
      </c>
    </row>
    <row r="346">
      <c r="C346">
        <f>IF((IF((COUNTIF('C111'!E15,"Aula 1")+COUNTIF('C112'!E15,"Aula 1")+COUNTIF('C113'!E15,"Aula 1")+COUNTIF('C121'!E15,"Aula 1")+COUNTIF('C122'!E15,"Aula 1"))&gt;0,1,0)+IF((COUNTIF('C211'!E15,"Aula 1")+COUNTIF('C212'!E15,"Aula 1"))&gt;0,1,0)+IF((COUNTIF('C311'!E15,"Aula 1")+COUNTIF('C312'!E15,"Aula 1"))&gt;0,1,0)+IF((COUNTIF('C411'!E15,"Aula 1")+COUNTIF('C412'!E15,"Aula 1"))&gt;0,1,0)+IF((COUNTIF('M111'!E15,"Aula 1")+COUNTIF('M112'!E15,"Aula 1"))&gt;0,1,0)+IF((COUNTIF('M211'!E15,"Aula 1")+COUNTIF('M212'!E15,"Aula 1"))&gt;0,1,0)+IF((COUNTIF('M311'!E15,"Aula 1"))&gt;0,1,0)+IF((COUNTIF('M411'!E15,"Aula 1"))&gt;0,1,0)+IF((COUNTIF('D111'!E15,"Aula 1")+COUNTIF('D112'!E15,"Aula 1"))&gt;0,1,0)+IF((COUNTIF('D211'!E15,"Aula 1"))&gt;0,1,0)+IF((COUNTIF('D311'!E15,"Aula 1"))&gt;0,1,0)+IF((COUNTIF('D411'!E15,"Aula 1"))&gt;0,1,0))=0,"",IF((IF((COUNTIF('C111'!E15,"Aula 1")+COUNTIF('C112'!E15,"Aula 1")+COUNTIF('C113'!E15,"Aula 1")+COUNTIF('C121'!E15,"Aula 1")+COUNTIF('C122'!E15,"Aula 1"))&gt;0,1,0)+IF((COUNTIF('C211'!E15,"Aula 1")+COUNTIF('C212'!E15,"Aula 1"))&gt;0,1,0)+IF((COUNTIF('C311'!E15,"Aula 1")+COUNTIF('C312'!E15,"Aula 1"))&gt;0,1,0)+IF((COUNTIF('C411'!E15,"Aula 1")+COUNTIF('C412'!E15,"Aula 1"))&gt;0,1,0)+IF((COUNTIF('M111'!E15,"Aula 1")+COUNTIF('M112'!E15,"Aula 1"))&gt;0,1,0)+IF((COUNTIF('M211'!E15,"Aula 1")+COUNTIF('M212'!E15,"Aula 1"))&gt;0,1,0)+IF((COUNTIF('M311'!E15,"Aula 1"))&gt;0,1,0)+IF((COUNTIF('M411'!E15,"Aula 1"))&gt;0,1,0)+IF((COUNTIF('D111'!E15,"Aula 1")+COUNTIF('D112'!E15,"Aula 1"))&gt;0,1,0)+IF((COUNTIF('D211'!E15,"Aula 1"))&gt;0,1,0)+IF((COUNTIF('D311'!E15,"Aula 1"))&gt;0,1,0)+IF((COUNTIF('D411'!E15,"Aula 1"))&gt;0,1,0))=1,IF((COUNTIF('C111'!E15,"Aula 1")+COUNTIF('C112'!E15,"Aula 1")+COUNTIF('C113'!E15,"Aula 1")+COUNTIF('C121'!E15,"Aula 1")+COUNTIF('C122'!E15,"Aula 1"))&gt;0,"C1",IF((COUNTIF('C211'!E15,"Aula 1")+COUNTIF('C212'!E15,"Aula 1"))&gt;0,"C2",IF((COUNTIF('C311'!E15,"Aula 1")+COUNTIF('C312'!E15,"Aula 1"))&gt;0,"C3",IF((COUNTIF('C411'!E15,"Aula 1")+COUNTIF('C412'!E15,"Aula 1"))&gt;0,"C4",IF((COUNTIF('M111'!E15,"Aula 1")+COUNTIF('M112'!E15,"Aula 1"))&gt;0,"M1",IF((COUNTIF('M211'!E15,"Aula 1")+COUNTIF('M212'!E15,"Aula 1"))&gt;0,"M2",IF((COUNTIF('M311'!E15,"Aula 1"))&gt;0,"M3",IF((COUNTIF('M411'!E15,"Aula 1"))&gt;0,"M4",IF((COUNTIF('D111'!E15,"Aula 1")+COUNTIF('D112'!E15,"Aula 1"))&gt;0,"D1",IF((COUNTIF('D211'!E15,"Aula 1"))&gt;0,"D2",IF((COUNTIF('D311'!E15,"Aula 1"))&gt;0,"D3",IF((COUNTIF('D411'!E15,"Aula 1"))&gt;0,"D4","")))))))))))),"MIX"))</f>
        <v/>
      </c>
    </row>
    <row r="347">
      <c r="C347">
        <f>IF((IF((COUNTIF('C111'!E15,"Aula 2")+COUNTIF('C112'!E15,"Aula 2")+COUNTIF('C113'!E15,"Aula 2")+COUNTIF('C121'!E15,"Aula 2")+COUNTIF('C122'!E15,"Aula 2"))&gt;0,1,0)+IF((COUNTIF('C211'!E15,"Aula 2")+COUNTIF('C212'!E15,"Aula 2"))&gt;0,1,0)+IF((COUNTIF('C311'!E15,"Aula 2")+COUNTIF('C312'!E15,"Aula 2"))&gt;0,1,0)+IF((COUNTIF('C411'!E15,"Aula 2")+COUNTIF('C412'!E15,"Aula 2"))&gt;0,1,0)+IF((COUNTIF('M111'!E15,"Aula 2")+COUNTIF('M112'!E15,"Aula 2"))&gt;0,1,0)+IF((COUNTIF('M211'!E15,"Aula 2")+COUNTIF('M212'!E15,"Aula 2"))&gt;0,1,0)+IF((COUNTIF('M311'!E15,"Aula 2"))&gt;0,1,0)+IF((COUNTIF('M411'!E15,"Aula 2"))&gt;0,1,0)+IF((COUNTIF('D111'!E15,"Aula 2")+COUNTIF('D112'!E15,"Aula 2"))&gt;0,1,0)+IF((COUNTIF('D211'!E15,"Aula 2"))&gt;0,1,0)+IF((COUNTIF('D311'!E15,"Aula 2"))&gt;0,1,0)+IF((COUNTIF('D411'!E15,"Aula 2"))&gt;0,1,0))=0,"",IF((IF((COUNTIF('C111'!E15,"Aula 2")+COUNTIF('C112'!E15,"Aula 2")+COUNTIF('C113'!E15,"Aula 2")+COUNTIF('C121'!E15,"Aula 2")+COUNTIF('C122'!E15,"Aula 2"))&gt;0,1,0)+IF((COUNTIF('C211'!E15,"Aula 2")+COUNTIF('C212'!E15,"Aula 2"))&gt;0,1,0)+IF((COUNTIF('C311'!E15,"Aula 2")+COUNTIF('C312'!E15,"Aula 2"))&gt;0,1,0)+IF((COUNTIF('C411'!E15,"Aula 2")+COUNTIF('C412'!E15,"Aula 2"))&gt;0,1,0)+IF((COUNTIF('M111'!E15,"Aula 2")+COUNTIF('M112'!E15,"Aula 2"))&gt;0,1,0)+IF((COUNTIF('M211'!E15,"Aula 2")+COUNTIF('M212'!E15,"Aula 2"))&gt;0,1,0)+IF((COUNTIF('M311'!E15,"Aula 2"))&gt;0,1,0)+IF((COUNTIF('M411'!E15,"Aula 2"))&gt;0,1,0)+IF((COUNTIF('D111'!E15,"Aula 2")+COUNTIF('D112'!E15,"Aula 2"))&gt;0,1,0)+IF((COUNTIF('D211'!E15,"Aula 2"))&gt;0,1,0)+IF((COUNTIF('D311'!E15,"Aula 2"))&gt;0,1,0)+IF((COUNTIF('D411'!E15,"Aula 2"))&gt;0,1,0))=1,IF((COUNTIF('C111'!E15,"Aula 2")+COUNTIF('C112'!E15,"Aula 2")+COUNTIF('C113'!E15,"Aula 2")+COUNTIF('C121'!E15,"Aula 2")+COUNTIF('C122'!E15,"Aula 2"))&gt;0,"C1",IF((COUNTIF('C211'!E15,"Aula 2")+COUNTIF('C212'!E15,"Aula 2"))&gt;0,"C2",IF((COUNTIF('C311'!E15,"Aula 2")+COUNTIF('C312'!E15,"Aula 2"))&gt;0,"C3",IF((COUNTIF('C411'!E15,"Aula 2")+COUNTIF('C412'!E15,"Aula 2"))&gt;0,"C4",IF((COUNTIF('M111'!E15,"Aula 2")+COUNTIF('M112'!E15,"Aula 2"))&gt;0,"M1",IF((COUNTIF('M211'!E15,"Aula 2")+COUNTIF('M212'!E15,"Aula 2"))&gt;0,"M2",IF((COUNTIF('M311'!E15,"Aula 2"))&gt;0,"M3",IF((COUNTIF('M411'!E15,"Aula 2"))&gt;0,"M4",IF((COUNTIF('D111'!E15,"Aula 2")+COUNTIF('D112'!E15,"Aula 2"))&gt;0,"D1",IF((COUNTIF('D211'!E15,"Aula 2"))&gt;0,"D2",IF((COUNTIF('D311'!E15,"Aula 2"))&gt;0,"D3",IF((COUNTIF('D411'!E15,"Aula 2"))&gt;0,"D4","")))))))))))),"MIX"))</f>
        <v/>
      </c>
    </row>
    <row r="348">
      <c r="C348">
        <f>IF((IF((COUNTIF('C111'!E15,"Aula 3")+COUNTIF('C112'!E15,"Aula 3")+COUNTIF('C113'!E15,"Aula 3")+COUNTIF('C121'!E15,"Aula 3")+COUNTIF('C122'!E15,"Aula 3"))&gt;0,1,0)+IF((COUNTIF('C211'!E15,"Aula 3")+COUNTIF('C212'!E15,"Aula 3"))&gt;0,1,0)+IF((COUNTIF('C311'!E15,"Aula 3")+COUNTIF('C312'!E15,"Aula 3"))&gt;0,1,0)+IF((COUNTIF('C411'!E15,"Aula 3")+COUNTIF('C412'!E15,"Aula 3"))&gt;0,1,0)+IF((COUNTIF('M111'!E15,"Aula 3")+COUNTIF('M112'!E15,"Aula 3"))&gt;0,1,0)+IF((COUNTIF('M211'!E15,"Aula 3")+COUNTIF('M212'!E15,"Aula 3"))&gt;0,1,0)+IF((COUNTIF('M311'!E15,"Aula 3"))&gt;0,1,0)+IF((COUNTIF('M411'!E15,"Aula 3"))&gt;0,1,0)+IF((COUNTIF('D111'!E15,"Aula 3")+COUNTIF('D112'!E15,"Aula 3"))&gt;0,1,0)+IF((COUNTIF('D211'!E15,"Aula 3"))&gt;0,1,0)+IF((COUNTIF('D311'!E15,"Aula 3"))&gt;0,1,0)+IF((COUNTIF('D411'!E15,"Aula 3"))&gt;0,1,0))=0,"",IF((IF((COUNTIF('C111'!E15,"Aula 3")+COUNTIF('C112'!E15,"Aula 3")+COUNTIF('C113'!E15,"Aula 3")+COUNTIF('C121'!E15,"Aula 3")+COUNTIF('C122'!E15,"Aula 3"))&gt;0,1,0)+IF((COUNTIF('C211'!E15,"Aula 3")+COUNTIF('C212'!E15,"Aula 3"))&gt;0,1,0)+IF((COUNTIF('C311'!E15,"Aula 3")+COUNTIF('C312'!E15,"Aula 3"))&gt;0,1,0)+IF((COUNTIF('C411'!E15,"Aula 3")+COUNTIF('C412'!E15,"Aula 3"))&gt;0,1,0)+IF((COUNTIF('M111'!E15,"Aula 3")+COUNTIF('M112'!E15,"Aula 3"))&gt;0,1,0)+IF((COUNTIF('M211'!E15,"Aula 3")+COUNTIF('M212'!E15,"Aula 3"))&gt;0,1,0)+IF((COUNTIF('M311'!E15,"Aula 3"))&gt;0,1,0)+IF((COUNTIF('M411'!E15,"Aula 3"))&gt;0,1,0)+IF((COUNTIF('D111'!E15,"Aula 3")+COUNTIF('D112'!E15,"Aula 3"))&gt;0,1,0)+IF((COUNTIF('D211'!E15,"Aula 3"))&gt;0,1,0)+IF((COUNTIF('D311'!E15,"Aula 3"))&gt;0,1,0)+IF((COUNTIF('D411'!E15,"Aula 3"))&gt;0,1,0))=1,IF((COUNTIF('C111'!E15,"Aula 3")+COUNTIF('C112'!E15,"Aula 3")+COUNTIF('C113'!E15,"Aula 3")+COUNTIF('C121'!E15,"Aula 3")+COUNTIF('C122'!E15,"Aula 3"))&gt;0,"C1",IF((COUNTIF('C211'!E15,"Aula 3")+COUNTIF('C212'!E15,"Aula 3"))&gt;0,"C2",IF((COUNTIF('C311'!E15,"Aula 3")+COUNTIF('C312'!E15,"Aula 3"))&gt;0,"C3",IF((COUNTIF('C411'!E15,"Aula 3")+COUNTIF('C412'!E15,"Aula 3"))&gt;0,"C4",IF((COUNTIF('M111'!E15,"Aula 3")+COUNTIF('M112'!E15,"Aula 3"))&gt;0,"M1",IF((COUNTIF('M211'!E15,"Aula 3")+COUNTIF('M212'!E15,"Aula 3"))&gt;0,"M2",IF((COUNTIF('M311'!E15,"Aula 3"))&gt;0,"M3",IF((COUNTIF('M411'!E15,"Aula 3"))&gt;0,"M4",IF((COUNTIF('D111'!E15,"Aula 3")+COUNTIF('D112'!E15,"Aula 3"))&gt;0,"D1",IF((COUNTIF('D211'!E15,"Aula 3"))&gt;0,"D2",IF((COUNTIF('D311'!E15,"Aula 3"))&gt;0,"D3",IF((COUNTIF('D411'!E15,"Aula 3"))&gt;0,"D4","")))))))))))),"MIX"))</f>
        <v/>
      </c>
    </row>
    <row r="349">
      <c r="C349">
        <f>IF((IF((COUNTIF('C111'!E15,"Aula 4")+COUNTIF('C112'!E15,"Aula 4")+COUNTIF('C113'!E15,"Aula 4")+COUNTIF('C121'!E15,"Aula 4")+COUNTIF('C122'!E15,"Aula 4"))&gt;0,1,0)+IF((COUNTIF('C211'!E15,"Aula 4")+COUNTIF('C212'!E15,"Aula 4"))&gt;0,1,0)+IF((COUNTIF('C311'!E15,"Aula 4")+COUNTIF('C312'!E15,"Aula 4"))&gt;0,1,0)+IF((COUNTIF('C411'!E15,"Aula 4")+COUNTIF('C412'!E15,"Aula 4"))&gt;0,1,0)+IF((COUNTIF('M111'!E15,"Aula 4")+COUNTIF('M112'!E15,"Aula 4"))&gt;0,1,0)+IF((COUNTIF('M211'!E15,"Aula 4")+COUNTIF('M212'!E15,"Aula 4"))&gt;0,1,0)+IF((COUNTIF('M311'!E15,"Aula 4"))&gt;0,1,0)+IF((COUNTIF('M411'!E15,"Aula 4"))&gt;0,1,0)+IF((COUNTIF('D111'!E15,"Aula 4")+COUNTIF('D112'!E15,"Aula 4"))&gt;0,1,0)+IF((COUNTIF('D211'!E15,"Aula 4"))&gt;0,1,0)+IF((COUNTIF('D311'!E15,"Aula 4"))&gt;0,1,0)+IF((COUNTIF('D411'!E15,"Aula 4"))&gt;0,1,0))=0,"",IF((IF((COUNTIF('C111'!E15,"Aula 4")+COUNTIF('C112'!E15,"Aula 4")+COUNTIF('C113'!E15,"Aula 4")+COUNTIF('C121'!E15,"Aula 4")+COUNTIF('C122'!E15,"Aula 4"))&gt;0,1,0)+IF((COUNTIF('C211'!E15,"Aula 4")+COUNTIF('C212'!E15,"Aula 4"))&gt;0,1,0)+IF((COUNTIF('C311'!E15,"Aula 4")+COUNTIF('C312'!E15,"Aula 4"))&gt;0,1,0)+IF((COUNTIF('C411'!E15,"Aula 4")+COUNTIF('C412'!E15,"Aula 4"))&gt;0,1,0)+IF((COUNTIF('M111'!E15,"Aula 4")+COUNTIF('M112'!E15,"Aula 4"))&gt;0,1,0)+IF((COUNTIF('M211'!E15,"Aula 4")+COUNTIF('M212'!E15,"Aula 4"))&gt;0,1,0)+IF((COUNTIF('M311'!E15,"Aula 4"))&gt;0,1,0)+IF((COUNTIF('M411'!E15,"Aula 4"))&gt;0,1,0)+IF((COUNTIF('D111'!E15,"Aula 4")+COUNTIF('D112'!E15,"Aula 4"))&gt;0,1,0)+IF((COUNTIF('D211'!E15,"Aula 4"))&gt;0,1,0)+IF((COUNTIF('D311'!E15,"Aula 4"))&gt;0,1,0)+IF((COUNTIF('D411'!E15,"Aula 4"))&gt;0,1,0))=1,IF((COUNTIF('C111'!E15,"Aula 4")+COUNTIF('C112'!E15,"Aula 4")+COUNTIF('C113'!E15,"Aula 4")+COUNTIF('C121'!E15,"Aula 4")+COUNTIF('C122'!E15,"Aula 4"))&gt;0,"C1",IF((COUNTIF('C211'!E15,"Aula 4")+COUNTIF('C212'!E15,"Aula 4"))&gt;0,"C2",IF((COUNTIF('C311'!E15,"Aula 4")+COUNTIF('C312'!E15,"Aula 4"))&gt;0,"C3",IF((COUNTIF('C411'!E15,"Aula 4")+COUNTIF('C412'!E15,"Aula 4"))&gt;0,"C4",IF((COUNTIF('M111'!E15,"Aula 4")+COUNTIF('M112'!E15,"Aula 4"))&gt;0,"M1",IF((COUNTIF('M211'!E15,"Aula 4")+COUNTIF('M212'!E15,"Aula 4"))&gt;0,"M2",IF((COUNTIF('M311'!E15,"Aula 4"))&gt;0,"M3",IF((COUNTIF('M411'!E15,"Aula 4"))&gt;0,"M4",IF((COUNTIF('D111'!E15,"Aula 4")+COUNTIF('D112'!E15,"Aula 4"))&gt;0,"D1",IF((COUNTIF('D211'!E15,"Aula 4"))&gt;0,"D2",IF((COUNTIF('D311'!E15,"Aula 4"))&gt;0,"D3",IF((COUNTIF('D411'!E15,"Aula 4"))&gt;0,"D4","")))))))))))),"MIX"))</f>
        <v/>
      </c>
    </row>
    <row r="350">
      <c r="C350">
        <f>IF((IF((COUNTIF('C111'!E15,"Aula 5")+COUNTIF('C112'!E15,"Aula 5")+COUNTIF('C113'!E15,"Aula 5")+COUNTIF('C121'!E15,"Aula 5")+COUNTIF('C122'!E15,"Aula 5"))&gt;0,1,0)+IF((COUNTIF('C211'!E15,"Aula 5")+COUNTIF('C212'!E15,"Aula 5"))&gt;0,1,0)+IF((COUNTIF('C311'!E15,"Aula 5")+COUNTIF('C312'!E15,"Aula 5"))&gt;0,1,0)+IF((COUNTIF('C411'!E15,"Aula 5")+COUNTIF('C412'!E15,"Aula 5"))&gt;0,1,0)+IF((COUNTIF('M111'!E15,"Aula 5")+COUNTIF('M112'!E15,"Aula 5"))&gt;0,1,0)+IF((COUNTIF('M211'!E15,"Aula 5")+COUNTIF('M212'!E15,"Aula 5"))&gt;0,1,0)+IF((COUNTIF('M311'!E15,"Aula 5"))&gt;0,1,0)+IF((COUNTIF('M411'!E15,"Aula 5"))&gt;0,1,0)+IF((COUNTIF('D111'!E15,"Aula 5")+COUNTIF('D112'!E15,"Aula 5"))&gt;0,1,0)+IF((COUNTIF('D211'!E15,"Aula 5"))&gt;0,1,0)+IF((COUNTIF('D311'!E15,"Aula 5"))&gt;0,1,0)+IF((COUNTIF('D411'!E15,"Aula 5"))&gt;0,1,0))=0,"",IF((IF((COUNTIF('C111'!E15,"Aula 5")+COUNTIF('C112'!E15,"Aula 5")+COUNTIF('C113'!E15,"Aula 5")+COUNTIF('C121'!E15,"Aula 5")+COUNTIF('C122'!E15,"Aula 5"))&gt;0,1,0)+IF((COUNTIF('C211'!E15,"Aula 5")+COUNTIF('C212'!E15,"Aula 5"))&gt;0,1,0)+IF((COUNTIF('C311'!E15,"Aula 5")+COUNTIF('C312'!E15,"Aula 5"))&gt;0,1,0)+IF((COUNTIF('C411'!E15,"Aula 5")+COUNTIF('C412'!E15,"Aula 5"))&gt;0,1,0)+IF((COUNTIF('M111'!E15,"Aula 5")+COUNTIF('M112'!E15,"Aula 5"))&gt;0,1,0)+IF((COUNTIF('M211'!E15,"Aula 5")+COUNTIF('M212'!E15,"Aula 5"))&gt;0,1,0)+IF((COUNTIF('M311'!E15,"Aula 5"))&gt;0,1,0)+IF((COUNTIF('M411'!E15,"Aula 5"))&gt;0,1,0)+IF((COUNTIF('D111'!E15,"Aula 5")+COUNTIF('D112'!E15,"Aula 5"))&gt;0,1,0)+IF((COUNTIF('D211'!E15,"Aula 5"))&gt;0,1,0)+IF((COUNTIF('D311'!E15,"Aula 5"))&gt;0,1,0)+IF((COUNTIF('D411'!E15,"Aula 5"))&gt;0,1,0))=1,IF((COUNTIF('C111'!E15,"Aula 5")+COUNTIF('C112'!E15,"Aula 5")+COUNTIF('C113'!E15,"Aula 5")+COUNTIF('C121'!E15,"Aula 5")+COUNTIF('C122'!E15,"Aula 5"))&gt;0,"C1",IF((COUNTIF('C211'!E15,"Aula 5")+COUNTIF('C212'!E15,"Aula 5"))&gt;0,"C2",IF((COUNTIF('C311'!E15,"Aula 5")+COUNTIF('C312'!E15,"Aula 5"))&gt;0,"C3",IF((COUNTIF('C411'!E15,"Aula 5")+COUNTIF('C412'!E15,"Aula 5"))&gt;0,"C4",IF((COUNTIF('M111'!E15,"Aula 5")+COUNTIF('M112'!E15,"Aula 5"))&gt;0,"M1",IF((COUNTIF('M211'!E15,"Aula 5")+COUNTIF('M212'!E15,"Aula 5"))&gt;0,"M2",IF((COUNTIF('M311'!E15,"Aula 5"))&gt;0,"M3",IF((COUNTIF('M411'!E15,"Aula 5"))&gt;0,"M4",IF((COUNTIF('D111'!E15,"Aula 5")+COUNTIF('D112'!E15,"Aula 5"))&gt;0,"D1",IF((COUNTIF('D211'!E15,"Aula 5"))&gt;0,"D2",IF((COUNTIF('D311'!E15,"Aula 5"))&gt;0,"D3",IF((COUNTIF('D411'!E15,"Aula 5"))&gt;0,"D4","")))))))))))),"MIX"))</f>
        <v/>
      </c>
    </row>
    <row r="351">
      <c r="C351">
        <f>IF((IF((COUNTIF('C111'!E15,"Aula 6")+COUNTIF('C112'!E15,"Aula 6")+COUNTIF('C113'!E15,"Aula 6")+COUNTIF('C121'!E15,"Aula 6")+COUNTIF('C122'!E15,"Aula 6"))&gt;0,1,0)+IF((COUNTIF('C211'!E15,"Aula 6")+COUNTIF('C212'!E15,"Aula 6"))&gt;0,1,0)+IF((COUNTIF('C311'!E15,"Aula 6")+COUNTIF('C312'!E15,"Aula 6"))&gt;0,1,0)+IF((COUNTIF('C411'!E15,"Aula 6")+COUNTIF('C412'!E15,"Aula 6"))&gt;0,1,0)+IF((COUNTIF('M111'!E15,"Aula 6")+COUNTIF('M112'!E15,"Aula 6"))&gt;0,1,0)+IF((COUNTIF('M211'!E15,"Aula 6")+COUNTIF('M212'!E15,"Aula 6"))&gt;0,1,0)+IF((COUNTIF('M311'!E15,"Aula 6"))&gt;0,1,0)+IF((COUNTIF('M411'!E15,"Aula 6"))&gt;0,1,0)+IF((COUNTIF('D111'!E15,"Aula 6")+COUNTIF('D112'!E15,"Aula 6"))&gt;0,1,0)+IF((COUNTIF('D211'!E15,"Aula 6"))&gt;0,1,0)+IF((COUNTIF('D311'!E15,"Aula 6"))&gt;0,1,0)+IF((COUNTIF('D411'!E15,"Aula 6"))&gt;0,1,0))=0,"",IF((IF((COUNTIF('C111'!E15,"Aula 6")+COUNTIF('C112'!E15,"Aula 6")+COUNTIF('C113'!E15,"Aula 6")+COUNTIF('C121'!E15,"Aula 6")+COUNTIF('C122'!E15,"Aula 6"))&gt;0,1,0)+IF((COUNTIF('C211'!E15,"Aula 6")+COUNTIF('C212'!E15,"Aula 6"))&gt;0,1,0)+IF((COUNTIF('C311'!E15,"Aula 6")+COUNTIF('C312'!E15,"Aula 6"))&gt;0,1,0)+IF((COUNTIF('C411'!E15,"Aula 6")+COUNTIF('C412'!E15,"Aula 6"))&gt;0,1,0)+IF((COUNTIF('M111'!E15,"Aula 6")+COUNTIF('M112'!E15,"Aula 6"))&gt;0,1,0)+IF((COUNTIF('M211'!E15,"Aula 6")+COUNTIF('M212'!E15,"Aula 6"))&gt;0,1,0)+IF((COUNTIF('M311'!E15,"Aula 6"))&gt;0,1,0)+IF((COUNTIF('M411'!E15,"Aula 6"))&gt;0,1,0)+IF((COUNTIF('D111'!E15,"Aula 6")+COUNTIF('D112'!E15,"Aula 6"))&gt;0,1,0)+IF((COUNTIF('D211'!E15,"Aula 6"))&gt;0,1,0)+IF((COUNTIF('D311'!E15,"Aula 6"))&gt;0,1,0)+IF((COUNTIF('D411'!E15,"Aula 6"))&gt;0,1,0))=1,IF((COUNTIF('C111'!E15,"Aula 6")+COUNTIF('C112'!E15,"Aula 6")+COUNTIF('C113'!E15,"Aula 6")+COUNTIF('C121'!E15,"Aula 6")+COUNTIF('C122'!E15,"Aula 6"))&gt;0,"C1",IF((COUNTIF('C211'!E15,"Aula 6")+COUNTIF('C212'!E15,"Aula 6"))&gt;0,"C2",IF((COUNTIF('C311'!E15,"Aula 6")+COUNTIF('C312'!E15,"Aula 6"))&gt;0,"C3",IF((COUNTIF('C411'!E15,"Aula 6")+COUNTIF('C412'!E15,"Aula 6"))&gt;0,"C4",IF((COUNTIF('M111'!E15,"Aula 6")+COUNTIF('M112'!E15,"Aula 6"))&gt;0,"M1",IF((COUNTIF('M211'!E15,"Aula 6")+COUNTIF('M212'!E15,"Aula 6"))&gt;0,"M2",IF((COUNTIF('M311'!E15,"Aula 6"))&gt;0,"M3",IF((COUNTIF('M411'!E15,"Aula 6"))&gt;0,"M4",IF((COUNTIF('D111'!E15,"Aula 6")+COUNTIF('D112'!E15,"Aula 6"))&gt;0,"D1",IF((COUNTIF('D211'!E15,"Aula 6"))&gt;0,"D2",IF((COUNTIF('D311'!E15,"Aula 6"))&gt;0,"D3",IF((COUNTIF('D411'!E15,"Aula 6"))&gt;0,"D4","")))))))))))),"MIX"))</f>
        <v/>
      </c>
    </row>
    <row r="352">
      <c r="C352">
        <f>IF((IF((COUNTIF('C111'!E15,"Aula 7")+COUNTIF('C112'!E15,"Aula 7")+COUNTIF('C113'!E15,"Aula 7")+COUNTIF('C121'!E15,"Aula 7")+COUNTIF('C122'!E15,"Aula 7"))&gt;0,1,0)+IF((COUNTIF('C211'!E15,"Aula 7")+COUNTIF('C212'!E15,"Aula 7"))&gt;0,1,0)+IF((COUNTIF('C311'!E15,"Aula 7")+COUNTIF('C312'!E15,"Aula 7"))&gt;0,1,0)+IF((COUNTIF('C411'!E15,"Aula 7")+COUNTIF('C412'!E15,"Aula 7"))&gt;0,1,0)+IF((COUNTIF('M111'!E15,"Aula 7")+COUNTIF('M112'!E15,"Aula 7"))&gt;0,1,0)+IF((COUNTIF('M211'!E15,"Aula 7")+COUNTIF('M212'!E15,"Aula 7"))&gt;0,1,0)+IF((COUNTIF('M311'!E15,"Aula 7"))&gt;0,1,0)+IF((COUNTIF('M411'!E15,"Aula 7"))&gt;0,1,0)+IF((COUNTIF('D111'!E15,"Aula 7")+COUNTIF('D112'!E15,"Aula 7"))&gt;0,1,0)+IF((COUNTIF('D211'!E15,"Aula 7"))&gt;0,1,0)+IF((COUNTIF('D311'!E15,"Aula 7"))&gt;0,1,0)+IF((COUNTIF('D411'!E15,"Aula 7"))&gt;0,1,0))=0,"",IF((IF((COUNTIF('C111'!E15,"Aula 7")+COUNTIF('C112'!E15,"Aula 7")+COUNTIF('C113'!E15,"Aula 7")+COUNTIF('C121'!E15,"Aula 7")+COUNTIF('C122'!E15,"Aula 7"))&gt;0,1,0)+IF((COUNTIF('C211'!E15,"Aula 7")+COUNTIF('C212'!E15,"Aula 7"))&gt;0,1,0)+IF((COUNTIF('C311'!E15,"Aula 7")+COUNTIF('C312'!E15,"Aula 7"))&gt;0,1,0)+IF((COUNTIF('C411'!E15,"Aula 7")+COUNTIF('C412'!E15,"Aula 7"))&gt;0,1,0)+IF((COUNTIF('M111'!E15,"Aula 7")+COUNTIF('M112'!E15,"Aula 7"))&gt;0,1,0)+IF((COUNTIF('M211'!E15,"Aula 7")+COUNTIF('M212'!E15,"Aula 7"))&gt;0,1,0)+IF((COUNTIF('M311'!E15,"Aula 7"))&gt;0,1,0)+IF((COUNTIF('M411'!E15,"Aula 7"))&gt;0,1,0)+IF((COUNTIF('D111'!E15,"Aula 7")+COUNTIF('D112'!E15,"Aula 7"))&gt;0,1,0)+IF((COUNTIF('D211'!E15,"Aula 7"))&gt;0,1,0)+IF((COUNTIF('D311'!E15,"Aula 7"))&gt;0,1,0)+IF((COUNTIF('D411'!E15,"Aula 7"))&gt;0,1,0))=1,IF((COUNTIF('C111'!E15,"Aula 7")+COUNTIF('C112'!E15,"Aula 7")+COUNTIF('C113'!E15,"Aula 7")+COUNTIF('C121'!E15,"Aula 7")+COUNTIF('C122'!E15,"Aula 7"))&gt;0,"C1",IF((COUNTIF('C211'!E15,"Aula 7")+COUNTIF('C212'!E15,"Aula 7"))&gt;0,"C2",IF((COUNTIF('C311'!E15,"Aula 7")+COUNTIF('C312'!E15,"Aula 7"))&gt;0,"C3",IF((COUNTIF('C411'!E15,"Aula 7")+COUNTIF('C412'!E15,"Aula 7"))&gt;0,"C4",IF((COUNTIF('M111'!E15,"Aula 7")+COUNTIF('M112'!E15,"Aula 7"))&gt;0,"M1",IF((COUNTIF('M211'!E15,"Aula 7")+COUNTIF('M212'!E15,"Aula 7"))&gt;0,"M2",IF((COUNTIF('M311'!E15,"Aula 7"))&gt;0,"M3",IF((COUNTIF('M411'!E15,"Aula 7"))&gt;0,"M4",IF((COUNTIF('D111'!E15,"Aula 7")+COUNTIF('D112'!E15,"Aula 7"))&gt;0,"D1",IF((COUNTIF('D211'!E15,"Aula 7"))&gt;0,"D2",IF((COUNTIF('D311'!E15,"Aula 7"))&gt;0,"D3",IF((COUNTIF('D411'!E15,"Aula 7"))&gt;0,"D4","")))))))))))),"MIX"))</f>
        <v/>
      </c>
    </row>
    <row r="353">
      <c r="C353">
        <f>IF((IF((COUNTIF('C111'!E15,"Aula 8")+COUNTIF('C112'!E15,"Aula 8")+COUNTIF('C113'!E15,"Aula 8")+COUNTIF('C121'!E15,"Aula 8")+COUNTIF('C122'!E15,"Aula 8"))&gt;0,1,0)+IF((COUNTIF('C211'!E15,"Aula 8")+COUNTIF('C212'!E15,"Aula 8"))&gt;0,1,0)+IF((COUNTIF('C311'!E15,"Aula 8")+COUNTIF('C312'!E15,"Aula 8"))&gt;0,1,0)+IF((COUNTIF('C411'!E15,"Aula 8")+COUNTIF('C412'!E15,"Aula 8"))&gt;0,1,0)+IF((COUNTIF('M111'!E15,"Aula 8")+COUNTIF('M112'!E15,"Aula 8"))&gt;0,1,0)+IF((COUNTIF('M211'!E15,"Aula 8")+COUNTIF('M212'!E15,"Aula 8"))&gt;0,1,0)+IF((COUNTIF('M311'!E15,"Aula 8"))&gt;0,1,0)+IF((COUNTIF('M411'!E15,"Aula 8"))&gt;0,1,0)+IF((COUNTIF('D111'!E15,"Aula 8")+COUNTIF('D112'!E15,"Aula 8"))&gt;0,1,0)+IF((COUNTIF('D211'!E15,"Aula 8"))&gt;0,1,0)+IF((COUNTIF('D311'!E15,"Aula 8"))&gt;0,1,0)+IF((COUNTIF('D411'!E15,"Aula 8"))&gt;0,1,0))=0,"",IF((IF((COUNTIF('C111'!E15,"Aula 8")+COUNTIF('C112'!E15,"Aula 8")+COUNTIF('C113'!E15,"Aula 8")+COUNTIF('C121'!E15,"Aula 8")+COUNTIF('C122'!E15,"Aula 8"))&gt;0,1,0)+IF((COUNTIF('C211'!E15,"Aula 8")+COUNTIF('C212'!E15,"Aula 8"))&gt;0,1,0)+IF((COUNTIF('C311'!E15,"Aula 8")+COUNTIF('C312'!E15,"Aula 8"))&gt;0,1,0)+IF((COUNTIF('C411'!E15,"Aula 8")+COUNTIF('C412'!E15,"Aula 8"))&gt;0,1,0)+IF((COUNTIF('M111'!E15,"Aula 8")+COUNTIF('M112'!E15,"Aula 8"))&gt;0,1,0)+IF((COUNTIF('M211'!E15,"Aula 8")+COUNTIF('M212'!E15,"Aula 8"))&gt;0,1,0)+IF((COUNTIF('M311'!E15,"Aula 8"))&gt;0,1,0)+IF((COUNTIF('M411'!E15,"Aula 8"))&gt;0,1,0)+IF((COUNTIF('D111'!E15,"Aula 8")+COUNTIF('D112'!E15,"Aula 8"))&gt;0,1,0)+IF((COUNTIF('D211'!E15,"Aula 8"))&gt;0,1,0)+IF((COUNTIF('D311'!E15,"Aula 8"))&gt;0,1,0)+IF((COUNTIF('D411'!E15,"Aula 8"))&gt;0,1,0))=1,IF((COUNTIF('C111'!E15,"Aula 8")+COUNTIF('C112'!E15,"Aula 8")+COUNTIF('C113'!E15,"Aula 8")+COUNTIF('C121'!E15,"Aula 8")+COUNTIF('C122'!E15,"Aula 8"))&gt;0,"C1",IF((COUNTIF('C211'!E15,"Aula 8")+COUNTIF('C212'!E15,"Aula 8"))&gt;0,"C2",IF((COUNTIF('C311'!E15,"Aula 8")+COUNTIF('C312'!E15,"Aula 8"))&gt;0,"C3",IF((COUNTIF('C411'!E15,"Aula 8")+COUNTIF('C412'!E15,"Aula 8"))&gt;0,"C4",IF((COUNTIF('M111'!E15,"Aula 8")+COUNTIF('M112'!E15,"Aula 8"))&gt;0,"M1",IF((COUNTIF('M211'!E15,"Aula 8")+COUNTIF('M212'!E15,"Aula 8"))&gt;0,"M2",IF((COUNTIF('M311'!E15,"Aula 8"))&gt;0,"M3",IF((COUNTIF('M411'!E15,"Aula 8"))&gt;0,"M4",IF((COUNTIF('D111'!E15,"Aula 8")+COUNTIF('D112'!E15,"Aula 8"))&gt;0,"D1",IF((COUNTIF('D211'!E15,"Aula 8"))&gt;0,"D2",IF((COUNTIF('D311'!E15,"Aula 8"))&gt;0,"D3",IF((COUNTIF('D411'!E15,"Aula 8"))&gt;0,"D4","")))))))))))),"MIX"))</f>
        <v/>
      </c>
    </row>
    <row r="354">
      <c r="C354">
        <f>IF((IF((COUNTIF('C111'!E15,"Aula 9")+COUNTIF('C112'!E15,"Aula 9")+COUNTIF('C113'!E15,"Aula 9")+COUNTIF('C121'!E15,"Aula 9")+COUNTIF('C122'!E15,"Aula 9"))&gt;0,1,0)+IF((COUNTIF('C211'!E15,"Aula 9")+COUNTIF('C212'!E15,"Aula 9"))&gt;0,1,0)+IF((COUNTIF('C311'!E15,"Aula 9")+COUNTIF('C312'!E15,"Aula 9"))&gt;0,1,0)+IF((COUNTIF('C411'!E15,"Aula 9")+COUNTIF('C412'!E15,"Aula 9"))&gt;0,1,0)+IF((COUNTIF('M111'!E15,"Aula 9")+COUNTIF('M112'!E15,"Aula 9"))&gt;0,1,0)+IF((COUNTIF('M211'!E15,"Aula 9")+COUNTIF('M212'!E15,"Aula 9"))&gt;0,1,0)+IF((COUNTIF('M311'!E15,"Aula 9"))&gt;0,1,0)+IF((COUNTIF('M411'!E15,"Aula 9"))&gt;0,1,0)+IF((COUNTIF('D111'!E15,"Aula 9")+COUNTIF('D112'!E15,"Aula 9"))&gt;0,1,0)+IF((COUNTIF('D211'!E15,"Aula 9"))&gt;0,1,0)+IF((COUNTIF('D311'!E15,"Aula 9"))&gt;0,1,0)+IF((COUNTIF('D411'!E15,"Aula 9"))&gt;0,1,0))=0,"",IF((IF((COUNTIF('C111'!E15,"Aula 9")+COUNTIF('C112'!E15,"Aula 9")+COUNTIF('C113'!E15,"Aula 9")+COUNTIF('C121'!E15,"Aula 9")+COUNTIF('C122'!E15,"Aula 9"))&gt;0,1,0)+IF((COUNTIF('C211'!E15,"Aula 9")+COUNTIF('C212'!E15,"Aula 9"))&gt;0,1,0)+IF((COUNTIF('C311'!E15,"Aula 9")+COUNTIF('C312'!E15,"Aula 9"))&gt;0,1,0)+IF((COUNTIF('C411'!E15,"Aula 9")+COUNTIF('C412'!E15,"Aula 9"))&gt;0,1,0)+IF((COUNTIF('M111'!E15,"Aula 9")+COUNTIF('M112'!E15,"Aula 9"))&gt;0,1,0)+IF((COUNTIF('M211'!E15,"Aula 9")+COUNTIF('M212'!E15,"Aula 9"))&gt;0,1,0)+IF((COUNTIF('M311'!E15,"Aula 9"))&gt;0,1,0)+IF((COUNTIF('M411'!E15,"Aula 9"))&gt;0,1,0)+IF((COUNTIF('D111'!E15,"Aula 9")+COUNTIF('D112'!E15,"Aula 9"))&gt;0,1,0)+IF((COUNTIF('D211'!E15,"Aula 9"))&gt;0,1,0)+IF((COUNTIF('D311'!E15,"Aula 9"))&gt;0,1,0)+IF((COUNTIF('D411'!E15,"Aula 9"))&gt;0,1,0))=1,IF((COUNTIF('C111'!E15,"Aula 9")+COUNTIF('C112'!E15,"Aula 9")+COUNTIF('C113'!E15,"Aula 9")+COUNTIF('C121'!E15,"Aula 9")+COUNTIF('C122'!E15,"Aula 9"))&gt;0,"C1",IF((COUNTIF('C211'!E15,"Aula 9")+COUNTIF('C212'!E15,"Aula 9"))&gt;0,"C2",IF((COUNTIF('C311'!E15,"Aula 9")+COUNTIF('C312'!E15,"Aula 9"))&gt;0,"C3",IF((COUNTIF('C411'!E15,"Aula 9")+COUNTIF('C412'!E15,"Aula 9"))&gt;0,"C4",IF((COUNTIF('M111'!E15,"Aula 9")+COUNTIF('M112'!E15,"Aula 9"))&gt;0,"M1",IF((COUNTIF('M211'!E15,"Aula 9")+COUNTIF('M212'!E15,"Aula 9"))&gt;0,"M2",IF((COUNTIF('M311'!E15,"Aula 9"))&gt;0,"M3",IF((COUNTIF('M411'!E15,"Aula 9"))&gt;0,"M4",IF((COUNTIF('D111'!E15,"Aula 9")+COUNTIF('D112'!E15,"Aula 9"))&gt;0,"D1",IF((COUNTIF('D211'!E15,"Aula 9"))&gt;0,"D2",IF((COUNTIF('D311'!E15,"Aula 9"))&gt;0,"D3",IF((COUNTIF('D411'!E15,"Aula 9"))&gt;0,"D4","")))))))))))),"MIX"))</f>
        <v/>
      </c>
    </row>
    <row r="355">
      <c r="C355">
        <f>IF((IF((COUNTIF('C111'!E15,"Aula 10")+COUNTIF('C112'!E15,"Aula 10")+COUNTIF('C113'!E15,"Aula 10")+COUNTIF('C121'!E15,"Aula 10")+COUNTIF('C122'!E15,"Aula 10"))&gt;0,1,0)+IF((COUNTIF('C211'!E15,"Aula 10")+COUNTIF('C212'!E15,"Aula 10"))&gt;0,1,0)+IF((COUNTIF('C311'!E15,"Aula 10")+COUNTIF('C312'!E15,"Aula 10"))&gt;0,1,0)+IF((COUNTIF('C411'!E15,"Aula 10")+COUNTIF('C412'!E15,"Aula 10"))&gt;0,1,0)+IF((COUNTIF('M111'!E15,"Aula 10")+COUNTIF('M112'!E15,"Aula 10"))&gt;0,1,0)+IF((COUNTIF('M211'!E15,"Aula 10")+COUNTIF('M212'!E15,"Aula 10"))&gt;0,1,0)+IF((COUNTIF('M311'!E15,"Aula 10"))&gt;0,1,0)+IF((COUNTIF('M411'!E15,"Aula 10"))&gt;0,1,0)+IF((COUNTIF('D111'!E15,"Aula 10")+COUNTIF('D112'!E15,"Aula 10"))&gt;0,1,0)+IF((COUNTIF('D211'!E15,"Aula 10"))&gt;0,1,0)+IF((COUNTIF('D311'!E15,"Aula 10"))&gt;0,1,0)+IF((COUNTIF('D411'!E15,"Aula 10"))&gt;0,1,0))=0,"",IF((IF((COUNTIF('C111'!E15,"Aula 10")+COUNTIF('C112'!E15,"Aula 10")+COUNTIF('C113'!E15,"Aula 10")+COUNTIF('C121'!E15,"Aula 10")+COUNTIF('C122'!E15,"Aula 10"))&gt;0,1,0)+IF((COUNTIF('C211'!E15,"Aula 10")+COUNTIF('C212'!E15,"Aula 10"))&gt;0,1,0)+IF((COUNTIF('C311'!E15,"Aula 10")+COUNTIF('C312'!E15,"Aula 10"))&gt;0,1,0)+IF((COUNTIF('C411'!E15,"Aula 10")+COUNTIF('C412'!E15,"Aula 10"))&gt;0,1,0)+IF((COUNTIF('M111'!E15,"Aula 10")+COUNTIF('M112'!E15,"Aula 10"))&gt;0,1,0)+IF((COUNTIF('M211'!E15,"Aula 10")+COUNTIF('M212'!E15,"Aula 10"))&gt;0,1,0)+IF((COUNTIF('M311'!E15,"Aula 10"))&gt;0,1,0)+IF((COUNTIF('M411'!E15,"Aula 10"))&gt;0,1,0)+IF((COUNTIF('D111'!E15,"Aula 10")+COUNTIF('D112'!E15,"Aula 10"))&gt;0,1,0)+IF((COUNTIF('D211'!E15,"Aula 10"))&gt;0,1,0)+IF((COUNTIF('D311'!E15,"Aula 10"))&gt;0,1,0)+IF((COUNTIF('D411'!E15,"Aula 10"))&gt;0,1,0))=1,IF((COUNTIF('C111'!E15,"Aula 10")+COUNTIF('C112'!E15,"Aula 10")+COUNTIF('C113'!E15,"Aula 10")+COUNTIF('C121'!E15,"Aula 10")+COUNTIF('C122'!E15,"Aula 10"))&gt;0,"C1",IF((COUNTIF('C211'!E15,"Aula 10")+COUNTIF('C212'!E15,"Aula 10"))&gt;0,"C2",IF((COUNTIF('C311'!E15,"Aula 10")+COUNTIF('C312'!E15,"Aula 10"))&gt;0,"C3",IF((COUNTIF('C411'!E15,"Aula 10")+COUNTIF('C412'!E15,"Aula 10"))&gt;0,"C4",IF((COUNTIF('M111'!E15,"Aula 10")+COUNTIF('M112'!E15,"Aula 10"))&gt;0,"M1",IF((COUNTIF('M211'!E15,"Aula 10")+COUNTIF('M212'!E15,"Aula 10"))&gt;0,"M2",IF((COUNTIF('M311'!E15,"Aula 10"))&gt;0,"M3",IF((COUNTIF('M411'!E15,"Aula 10"))&gt;0,"M4",IF((COUNTIF('D111'!E15,"Aula 10")+COUNTIF('D112'!E15,"Aula 10"))&gt;0,"D1",IF((COUNTIF('D211'!E15,"Aula 10"))&gt;0,"D2",IF((COUNTIF('D311'!E15,"Aula 10"))&gt;0,"D3",IF((COUNTIF('D411'!E15,"Aula 10"))&gt;0,"D4","")))))))))))),"MIX"))</f>
        <v/>
      </c>
    </row>
    <row r="356">
      <c r="C356">
        <f>IF((IF((COUNTIF('C111'!E15,"Aula 11")+COUNTIF('C112'!E15,"Aula 11")+COUNTIF('C113'!E15,"Aula 11")+COUNTIF('C121'!E15,"Aula 11")+COUNTIF('C122'!E15,"Aula 11"))&gt;0,1,0)+IF((COUNTIF('C211'!E15,"Aula 11")+COUNTIF('C212'!E15,"Aula 11"))&gt;0,1,0)+IF((COUNTIF('C311'!E15,"Aula 11")+COUNTIF('C312'!E15,"Aula 11"))&gt;0,1,0)+IF((COUNTIF('C411'!E15,"Aula 11")+COUNTIF('C412'!E15,"Aula 11"))&gt;0,1,0)+IF((COUNTIF('M111'!E15,"Aula 11")+COUNTIF('M112'!E15,"Aula 11"))&gt;0,1,0)+IF((COUNTIF('M211'!E15,"Aula 11")+COUNTIF('M212'!E15,"Aula 11"))&gt;0,1,0)+IF((COUNTIF('M311'!E15,"Aula 11"))&gt;0,1,0)+IF((COUNTIF('M411'!E15,"Aula 11"))&gt;0,1,0)+IF((COUNTIF('D111'!E15,"Aula 11")+COUNTIF('D112'!E15,"Aula 11"))&gt;0,1,0)+IF((COUNTIF('D211'!E15,"Aula 11"))&gt;0,1,0)+IF((COUNTIF('D311'!E15,"Aula 11"))&gt;0,1,0)+IF((COUNTIF('D411'!E15,"Aula 11"))&gt;0,1,0))=0,"",IF((IF((COUNTIF('C111'!E15,"Aula 11")+COUNTIF('C112'!E15,"Aula 11")+COUNTIF('C113'!E15,"Aula 11")+COUNTIF('C121'!E15,"Aula 11")+COUNTIF('C122'!E15,"Aula 11"))&gt;0,1,0)+IF((COUNTIF('C211'!E15,"Aula 11")+COUNTIF('C212'!E15,"Aula 11"))&gt;0,1,0)+IF((COUNTIF('C311'!E15,"Aula 11")+COUNTIF('C312'!E15,"Aula 11"))&gt;0,1,0)+IF((COUNTIF('C411'!E15,"Aula 11")+COUNTIF('C412'!E15,"Aula 11"))&gt;0,1,0)+IF((COUNTIF('M111'!E15,"Aula 11")+COUNTIF('M112'!E15,"Aula 11"))&gt;0,1,0)+IF((COUNTIF('M211'!E15,"Aula 11")+COUNTIF('M212'!E15,"Aula 11"))&gt;0,1,0)+IF((COUNTIF('M311'!E15,"Aula 11"))&gt;0,1,0)+IF((COUNTIF('M411'!E15,"Aula 11"))&gt;0,1,0)+IF((COUNTIF('D111'!E15,"Aula 11")+COUNTIF('D112'!E15,"Aula 11"))&gt;0,1,0)+IF((COUNTIF('D211'!E15,"Aula 11"))&gt;0,1,0)+IF((COUNTIF('D311'!E15,"Aula 11"))&gt;0,1,0)+IF((COUNTIF('D411'!E15,"Aula 11"))&gt;0,1,0))=1,IF((COUNTIF('C111'!E15,"Aula 11")+COUNTIF('C112'!E15,"Aula 11")+COUNTIF('C113'!E15,"Aula 11")+COUNTIF('C121'!E15,"Aula 11")+COUNTIF('C122'!E15,"Aula 11"))&gt;0,"C1",IF((COUNTIF('C211'!E15,"Aula 11")+COUNTIF('C212'!E15,"Aula 11"))&gt;0,"C2",IF((COUNTIF('C311'!E15,"Aula 11")+COUNTIF('C312'!E15,"Aula 11"))&gt;0,"C3",IF((COUNTIF('C411'!E15,"Aula 11")+COUNTIF('C412'!E15,"Aula 11"))&gt;0,"C4",IF((COUNTIF('M111'!E15,"Aula 11")+COUNTIF('M112'!E15,"Aula 11"))&gt;0,"M1",IF((COUNTIF('M211'!E15,"Aula 11")+COUNTIF('M212'!E15,"Aula 11"))&gt;0,"M2",IF((COUNTIF('M311'!E15,"Aula 11"))&gt;0,"M3",IF((COUNTIF('M411'!E15,"Aula 11"))&gt;0,"M4",IF((COUNTIF('D111'!E15,"Aula 11")+COUNTIF('D112'!E15,"Aula 11"))&gt;0,"D1",IF((COUNTIF('D211'!E15,"Aula 11"))&gt;0,"D2",IF((COUNTIF('D311'!E15,"Aula 11"))&gt;0,"D3",IF((COUNTIF('D411'!E15,"Aula 11"))&gt;0,"D4","")))))))))))),"MIX"))</f>
        <v/>
      </c>
    </row>
    <row r="357">
      <c r="C357">
        <f>IF((IF((COUNTIF('C111'!E15,"Aula 12")+COUNTIF('C112'!E15,"Aula 12")+COUNTIF('C113'!E15,"Aula 12")+COUNTIF('C121'!E15,"Aula 12")+COUNTIF('C122'!E15,"Aula 12"))&gt;0,1,0)+IF((COUNTIF('C211'!E15,"Aula 12")+COUNTIF('C212'!E15,"Aula 12"))&gt;0,1,0)+IF((COUNTIF('C311'!E15,"Aula 12")+COUNTIF('C312'!E15,"Aula 12"))&gt;0,1,0)+IF((COUNTIF('C411'!E15,"Aula 12")+COUNTIF('C412'!E15,"Aula 12"))&gt;0,1,0)+IF((COUNTIF('M111'!E15,"Aula 12")+COUNTIF('M112'!E15,"Aula 12"))&gt;0,1,0)+IF((COUNTIF('M211'!E15,"Aula 12")+COUNTIF('M212'!E15,"Aula 12"))&gt;0,1,0)+IF((COUNTIF('M311'!E15,"Aula 12"))&gt;0,1,0)+IF((COUNTIF('M411'!E15,"Aula 12"))&gt;0,1,0)+IF((COUNTIF('D111'!E15,"Aula 12")+COUNTIF('D112'!E15,"Aula 12"))&gt;0,1,0)+IF((COUNTIF('D211'!E15,"Aula 12"))&gt;0,1,0)+IF((COUNTIF('D311'!E15,"Aula 12"))&gt;0,1,0)+IF((COUNTIF('D411'!E15,"Aula 12"))&gt;0,1,0))=0,"",IF((IF((COUNTIF('C111'!E15,"Aula 12")+COUNTIF('C112'!E15,"Aula 12")+COUNTIF('C113'!E15,"Aula 12")+COUNTIF('C121'!E15,"Aula 12")+COUNTIF('C122'!E15,"Aula 12"))&gt;0,1,0)+IF((COUNTIF('C211'!E15,"Aula 12")+COUNTIF('C212'!E15,"Aula 12"))&gt;0,1,0)+IF((COUNTIF('C311'!E15,"Aula 12")+COUNTIF('C312'!E15,"Aula 12"))&gt;0,1,0)+IF((COUNTIF('C411'!E15,"Aula 12")+COUNTIF('C412'!E15,"Aula 12"))&gt;0,1,0)+IF((COUNTIF('M111'!E15,"Aula 12")+COUNTIF('M112'!E15,"Aula 12"))&gt;0,1,0)+IF((COUNTIF('M211'!E15,"Aula 12")+COUNTIF('M212'!E15,"Aula 12"))&gt;0,1,0)+IF((COUNTIF('M311'!E15,"Aula 12"))&gt;0,1,0)+IF((COUNTIF('M411'!E15,"Aula 12"))&gt;0,1,0)+IF((COUNTIF('D111'!E15,"Aula 12")+COUNTIF('D112'!E15,"Aula 12"))&gt;0,1,0)+IF((COUNTIF('D211'!E15,"Aula 12"))&gt;0,1,0)+IF((COUNTIF('D311'!E15,"Aula 12"))&gt;0,1,0)+IF((COUNTIF('D411'!E15,"Aula 12"))&gt;0,1,0))=1,IF((COUNTIF('C111'!E15,"Aula 12")+COUNTIF('C112'!E15,"Aula 12")+COUNTIF('C113'!E15,"Aula 12")+COUNTIF('C121'!E15,"Aula 12")+COUNTIF('C122'!E15,"Aula 12"))&gt;0,"C1",IF((COUNTIF('C211'!E15,"Aula 12")+COUNTIF('C212'!E15,"Aula 12"))&gt;0,"C2",IF((COUNTIF('C311'!E15,"Aula 12")+COUNTIF('C312'!E15,"Aula 12"))&gt;0,"C3",IF((COUNTIF('C411'!E15,"Aula 12")+COUNTIF('C412'!E15,"Aula 12"))&gt;0,"C4",IF((COUNTIF('M111'!E15,"Aula 12")+COUNTIF('M112'!E15,"Aula 12"))&gt;0,"M1",IF((COUNTIF('M211'!E15,"Aula 12")+COUNTIF('M212'!E15,"Aula 12"))&gt;0,"M2",IF((COUNTIF('M311'!E15,"Aula 12"))&gt;0,"M3",IF((COUNTIF('M411'!E15,"Aula 12"))&gt;0,"M4",IF((COUNTIF('D111'!E15,"Aula 12")+COUNTIF('D112'!E15,"Aula 12"))&gt;0,"D1",IF((COUNTIF('D211'!E15,"Aula 12"))&gt;0,"D2",IF((COUNTIF('D311'!E15,"Aula 12"))&gt;0,"D3",IF((COUNTIF('D411'!E15,"Aula 12"))&gt;0,"D4","")))))))))))),"MIX"))</f>
        <v/>
      </c>
    </row>
    <row r="358">
      <c r="C358">
        <f>IF((IF((COUNTIF('C111'!E15,"Lab 1")+COUNTIF('C112'!E15,"Lab 1")+COUNTIF('C113'!E15,"Lab 1")+COUNTIF('C121'!E15,"Lab 1")+COUNTIF('C122'!E15,"Lab 1"))&gt;0,1,0)+IF((COUNTIF('C211'!E15,"Lab 1")+COUNTIF('C212'!E15,"Lab 1"))&gt;0,1,0)+IF((COUNTIF('C311'!E15,"Lab 1")+COUNTIF('C312'!E15,"Lab 1"))&gt;0,1,0)+IF((COUNTIF('C411'!E15,"Lab 1")+COUNTIF('C412'!E15,"Lab 1"))&gt;0,1,0)+IF((COUNTIF('M111'!E15,"Lab 1")+COUNTIF('M112'!E15,"Lab 1"))&gt;0,1,0)+IF((COUNTIF('M211'!E15,"Lab 1")+COUNTIF('M212'!E15,"Lab 1"))&gt;0,1,0)+IF((COUNTIF('M311'!E15,"Lab 1"))&gt;0,1,0)+IF((COUNTIF('M411'!E15,"Lab 1"))&gt;0,1,0)+IF((COUNTIF('D111'!E15,"Lab 1")+COUNTIF('D112'!E15,"Lab 1"))&gt;0,1,0)+IF((COUNTIF('D211'!E15,"Lab 1"))&gt;0,1,0)+IF((COUNTIF('D311'!E15,"Lab 1"))&gt;0,1,0)+IF((COUNTIF('D411'!E15,"Lab 1"))&gt;0,1,0))=0,"",IF((IF((COUNTIF('C111'!E15,"Lab 1")+COUNTIF('C112'!E15,"Lab 1")+COUNTIF('C113'!E15,"Lab 1")+COUNTIF('C121'!E15,"Lab 1")+COUNTIF('C122'!E15,"Lab 1"))&gt;0,1,0)+IF((COUNTIF('C211'!E15,"Lab 1")+COUNTIF('C212'!E15,"Lab 1"))&gt;0,1,0)+IF((COUNTIF('C311'!E15,"Lab 1")+COUNTIF('C312'!E15,"Lab 1"))&gt;0,1,0)+IF((COUNTIF('C411'!E15,"Lab 1")+COUNTIF('C412'!E15,"Lab 1"))&gt;0,1,0)+IF((COUNTIF('M111'!E15,"Lab 1")+COUNTIF('M112'!E15,"Lab 1"))&gt;0,1,0)+IF((COUNTIF('M211'!E15,"Lab 1")+COUNTIF('M212'!E15,"Lab 1"))&gt;0,1,0)+IF((COUNTIF('M311'!E15,"Lab 1"))&gt;0,1,0)+IF((COUNTIF('M411'!E15,"Lab 1"))&gt;0,1,0)+IF((COUNTIF('D111'!E15,"Lab 1")+COUNTIF('D112'!E15,"Lab 1"))&gt;0,1,0)+IF((COUNTIF('D211'!E15,"Lab 1"))&gt;0,1,0)+IF((COUNTIF('D311'!E15,"Lab 1"))&gt;0,1,0)+IF((COUNTIF('D411'!E15,"Lab 1"))&gt;0,1,0))=1,IF((COUNTIF('C111'!E15,"Lab 1")+COUNTIF('C112'!E15,"Lab 1")+COUNTIF('C113'!E15,"Lab 1")+COUNTIF('C121'!E15,"Lab 1")+COUNTIF('C122'!E15,"Lab 1"))&gt;0,"C1",IF((COUNTIF('C211'!E15,"Lab 1")+COUNTIF('C212'!E15,"Lab 1"))&gt;0,"C2",IF((COUNTIF('C311'!E15,"Lab 1")+COUNTIF('C312'!E15,"Lab 1"))&gt;0,"C3",IF((COUNTIF('C411'!E15,"Lab 1")+COUNTIF('C412'!E15,"Lab 1"))&gt;0,"C4",IF((COUNTIF('M111'!E15,"Lab 1")+COUNTIF('M112'!E15,"Lab 1"))&gt;0,"M1",IF((COUNTIF('M211'!E15,"Lab 1")+COUNTIF('M212'!E15,"Lab 1"))&gt;0,"M2",IF((COUNTIF('M311'!E15,"Lab 1"))&gt;0,"M3",IF((COUNTIF('M411'!E15,"Lab 1"))&gt;0,"M4",IF((COUNTIF('D111'!E15,"Lab 1")+COUNTIF('D112'!E15,"Lab 1"))&gt;0,"D1",IF((COUNTIF('D211'!E15,"Lab 1"))&gt;0,"D2",IF((COUNTIF('D311'!E15,"Lab 1"))&gt;0,"D3",IF((COUNTIF('D411'!E15,"Lab 1"))&gt;0,"D4","")))))))))))),"MIX"))</f>
        <v/>
      </c>
    </row>
    <row r="359">
      <c r="C359">
        <f>IF((IF((COUNTIF('C111'!E15,"Lab 2")+COUNTIF('C112'!E15,"Lab 2")+COUNTIF('C113'!E15,"Lab 2")+COUNTIF('C121'!E15,"Lab 2")+COUNTIF('C122'!E15,"Lab 2"))&gt;0,1,0)+IF((COUNTIF('C211'!E15,"Lab 2")+COUNTIF('C212'!E15,"Lab 2"))&gt;0,1,0)+IF((COUNTIF('C311'!E15,"Lab 2")+COUNTIF('C312'!E15,"Lab 2"))&gt;0,1,0)+IF((COUNTIF('C411'!E15,"Lab 2")+COUNTIF('C412'!E15,"Lab 2"))&gt;0,1,0)+IF((COUNTIF('M111'!E15,"Lab 2")+COUNTIF('M112'!E15,"Lab 2"))&gt;0,1,0)+IF((COUNTIF('M211'!E15,"Lab 2")+COUNTIF('M212'!E15,"Lab 2"))&gt;0,1,0)+IF((COUNTIF('M311'!E15,"Lab 2"))&gt;0,1,0)+IF((COUNTIF('M411'!E15,"Lab 2"))&gt;0,1,0)+IF((COUNTIF('D111'!E15,"Lab 2")+COUNTIF('D112'!E15,"Lab 2"))&gt;0,1,0)+IF((COUNTIF('D211'!E15,"Lab 2"))&gt;0,1,0)+IF((COUNTIF('D311'!E15,"Lab 2"))&gt;0,1,0)+IF((COUNTIF('D411'!E15,"Lab 2"))&gt;0,1,0))=0,"",IF((IF((COUNTIF('C111'!E15,"Lab 2")+COUNTIF('C112'!E15,"Lab 2")+COUNTIF('C113'!E15,"Lab 2")+COUNTIF('C121'!E15,"Lab 2")+COUNTIF('C122'!E15,"Lab 2"))&gt;0,1,0)+IF((COUNTIF('C211'!E15,"Lab 2")+COUNTIF('C212'!E15,"Lab 2"))&gt;0,1,0)+IF((COUNTIF('C311'!E15,"Lab 2")+COUNTIF('C312'!E15,"Lab 2"))&gt;0,1,0)+IF((COUNTIF('C411'!E15,"Lab 2")+COUNTIF('C412'!E15,"Lab 2"))&gt;0,1,0)+IF((COUNTIF('M111'!E15,"Lab 2")+COUNTIF('M112'!E15,"Lab 2"))&gt;0,1,0)+IF((COUNTIF('M211'!E15,"Lab 2")+COUNTIF('M212'!E15,"Lab 2"))&gt;0,1,0)+IF((COUNTIF('M311'!E15,"Lab 2"))&gt;0,1,0)+IF((COUNTIF('M411'!E15,"Lab 2"))&gt;0,1,0)+IF((COUNTIF('D111'!E15,"Lab 2")+COUNTIF('D112'!E15,"Lab 2"))&gt;0,1,0)+IF((COUNTIF('D211'!E15,"Lab 2"))&gt;0,1,0)+IF((COUNTIF('D311'!E15,"Lab 2"))&gt;0,1,0)+IF((COUNTIF('D411'!E15,"Lab 2"))&gt;0,1,0))=1,IF((COUNTIF('C111'!E15,"Lab 2")+COUNTIF('C112'!E15,"Lab 2")+COUNTIF('C113'!E15,"Lab 2")+COUNTIF('C121'!E15,"Lab 2")+COUNTIF('C122'!E15,"Lab 2"))&gt;0,"C1",IF((COUNTIF('C211'!E15,"Lab 2")+COUNTIF('C212'!E15,"Lab 2"))&gt;0,"C2",IF((COUNTIF('C311'!E15,"Lab 2")+COUNTIF('C312'!E15,"Lab 2"))&gt;0,"C3",IF((COUNTIF('C411'!E15,"Lab 2")+COUNTIF('C412'!E15,"Lab 2"))&gt;0,"C4",IF((COUNTIF('M111'!E15,"Lab 2")+COUNTIF('M112'!E15,"Lab 2"))&gt;0,"M1",IF((COUNTIF('M211'!E15,"Lab 2")+COUNTIF('M212'!E15,"Lab 2"))&gt;0,"M2",IF((COUNTIF('M311'!E15,"Lab 2"))&gt;0,"M3",IF((COUNTIF('M411'!E15,"Lab 2"))&gt;0,"M4",IF((COUNTIF('D111'!E15,"Lab 2")+COUNTIF('D112'!E15,"Lab 2"))&gt;0,"D1",IF((COUNTIF('D211'!E15,"Lab 2"))&gt;0,"D2",IF((COUNTIF('D311'!E15,"Lab 2"))&gt;0,"D3",IF((COUNTIF('D411'!E15,"Lab 2"))&gt;0,"D4","")))))))))))),"MIX"))</f>
        <v/>
      </c>
    </row>
    <row r="360">
      <c r="C360">
        <f>IF((IF((COUNTIF('C111'!E15,"Salón")+COUNTIF('C112'!E15,"Salón")+COUNTIF('C113'!E15,"Salón")+COUNTIF('C121'!E15,"Salón")+COUNTIF('C122'!E15,"Salón"))&gt;0,1,0)+IF((COUNTIF('C211'!E15,"Salón")+COUNTIF('C212'!E15,"Salón"))&gt;0,1,0)+IF((COUNTIF('C311'!E15,"Salón")+COUNTIF('C312'!E15,"Salón"))&gt;0,1,0)+IF((COUNTIF('C411'!E15,"Salón")+COUNTIF('C412'!E15,"Salón"))&gt;0,1,0)+IF((COUNTIF('M111'!E15,"Salón")+COUNTIF('M112'!E15,"Salón"))&gt;0,1,0)+IF((COUNTIF('M211'!E15,"Salón")+COUNTIF('M212'!E15,"Salón"))&gt;0,1,0)+IF((COUNTIF('M311'!E15,"Salón"))&gt;0,1,0)+IF((COUNTIF('M411'!E15,"Salón"))&gt;0,1,0)+IF((COUNTIF('D111'!E15,"Salón")+COUNTIF('D112'!E15,"Salón"))&gt;0,1,0)+IF((COUNTIF('D211'!E15,"Salón"))&gt;0,1,0)+IF((COUNTIF('D311'!E15,"Salón"))&gt;0,1,0)+IF((COUNTIF('D411'!E15,"Salón"))&gt;0,1,0))=0,"",IF((IF((COUNTIF('C111'!E15,"Salón")+COUNTIF('C112'!E15,"Salón")+COUNTIF('C113'!E15,"Salón")+COUNTIF('C121'!E15,"Salón")+COUNTIF('C122'!E15,"Salón"))&gt;0,1,0)+IF((COUNTIF('C211'!E15,"Salón")+COUNTIF('C212'!E15,"Salón"))&gt;0,1,0)+IF((COUNTIF('C311'!E15,"Salón")+COUNTIF('C312'!E15,"Salón"))&gt;0,1,0)+IF((COUNTIF('C411'!E15,"Salón")+COUNTIF('C412'!E15,"Salón"))&gt;0,1,0)+IF((COUNTIF('M111'!E15,"Salón")+COUNTIF('M112'!E15,"Salón"))&gt;0,1,0)+IF((COUNTIF('M211'!E15,"Salón")+COUNTIF('M212'!E15,"Salón"))&gt;0,1,0)+IF((COUNTIF('M311'!E15,"Salón"))&gt;0,1,0)+IF((COUNTIF('M411'!E15,"Salón"))&gt;0,1,0)+IF((COUNTIF('D111'!E15,"Salón")+COUNTIF('D112'!E15,"Salón"))&gt;0,1,0)+IF((COUNTIF('D211'!E15,"Salón"))&gt;0,1,0)+IF((COUNTIF('D311'!E15,"Salón"))&gt;0,1,0)+IF((COUNTIF('D411'!E15,"Salón"))&gt;0,1,0))=1,IF((COUNTIF('C111'!E15,"Salón")+COUNTIF('C112'!E15,"Salón")+COUNTIF('C113'!E15,"Salón")+COUNTIF('C121'!E15,"Salón")+COUNTIF('C122'!E15,"Salón"))&gt;0,"C1",IF((COUNTIF('C211'!E15,"Salón")+COUNTIF('C212'!E15,"Salón"))&gt;0,"C2",IF((COUNTIF('C311'!E15,"Salón")+COUNTIF('C312'!E15,"Salón"))&gt;0,"C3",IF((COUNTIF('C411'!E15,"Salón")+COUNTIF('C412'!E15,"Salón"))&gt;0,"C4",IF((COUNTIF('M111'!E15,"Salón")+COUNTIF('M112'!E15,"Salón"))&gt;0,"M1",IF((COUNTIF('M211'!E15,"Salón")+COUNTIF('M212'!E15,"Salón"))&gt;0,"M2",IF((COUNTIF('M311'!E15,"Salón"))&gt;0,"M3",IF((COUNTIF('M411'!E15,"Salón"))&gt;0,"M4",IF((COUNTIF('D111'!E15,"Salón")+COUNTIF('D112'!E15,"Salón"))&gt;0,"D1",IF((COUNTIF('D211'!E15,"Salón"))&gt;0,"D2",IF((COUNTIF('D311'!E15,"Salón"))&gt;0,"D3",IF((COUNTIF('D411'!E15,"Salón"))&gt;0,"D4","")))))))))))),"MIX"))</f>
        <v/>
      </c>
    </row>
    <row r="361">
      <c r="C361">
        <f>IF((IF((COUNTIF('C111'!F5,"Aula 1")+COUNTIF('C112'!F5,"Aula 1")+COUNTIF('C113'!F5,"Aula 1")+COUNTIF('C121'!F5,"Aula 1")+COUNTIF('C122'!F5,"Aula 1"))&gt;0,1,0)+IF((COUNTIF('C211'!F5,"Aula 1")+COUNTIF('C212'!F5,"Aula 1"))&gt;0,1,0)+IF((COUNTIF('C311'!F5,"Aula 1")+COUNTIF('C312'!F5,"Aula 1"))&gt;0,1,0)+IF((COUNTIF('C411'!F5,"Aula 1")+COUNTIF('C412'!F5,"Aula 1"))&gt;0,1,0)+IF((COUNTIF('M111'!F5,"Aula 1")+COUNTIF('M112'!F5,"Aula 1"))&gt;0,1,0)+IF((COUNTIF('M211'!F5,"Aula 1")+COUNTIF('M212'!F5,"Aula 1"))&gt;0,1,0)+IF((COUNTIF('M311'!F5,"Aula 1"))&gt;0,1,0)+IF((COUNTIF('M411'!F5,"Aula 1"))&gt;0,1,0)+IF((COUNTIF('D111'!F5,"Aula 1")+COUNTIF('D112'!F5,"Aula 1"))&gt;0,1,0)+IF((COUNTIF('D211'!F5,"Aula 1"))&gt;0,1,0)+IF((COUNTIF('D311'!F5,"Aula 1"))&gt;0,1,0)+IF((COUNTIF('D411'!F5,"Aula 1"))&gt;0,1,0))=0,"",IF((IF((COUNTIF('C111'!F5,"Aula 1")+COUNTIF('C112'!F5,"Aula 1")+COUNTIF('C113'!F5,"Aula 1")+COUNTIF('C121'!F5,"Aula 1")+COUNTIF('C122'!F5,"Aula 1"))&gt;0,1,0)+IF((COUNTIF('C211'!F5,"Aula 1")+COUNTIF('C212'!F5,"Aula 1"))&gt;0,1,0)+IF((COUNTIF('C311'!F5,"Aula 1")+COUNTIF('C312'!F5,"Aula 1"))&gt;0,1,0)+IF((COUNTIF('C411'!F5,"Aula 1")+COUNTIF('C412'!F5,"Aula 1"))&gt;0,1,0)+IF((COUNTIF('M111'!F5,"Aula 1")+COUNTIF('M112'!F5,"Aula 1"))&gt;0,1,0)+IF((COUNTIF('M211'!F5,"Aula 1")+COUNTIF('M212'!F5,"Aula 1"))&gt;0,1,0)+IF((COUNTIF('M311'!F5,"Aula 1"))&gt;0,1,0)+IF((COUNTIF('M411'!F5,"Aula 1"))&gt;0,1,0)+IF((COUNTIF('D111'!F5,"Aula 1")+COUNTIF('D112'!F5,"Aula 1"))&gt;0,1,0)+IF((COUNTIF('D211'!F5,"Aula 1"))&gt;0,1,0)+IF((COUNTIF('D311'!F5,"Aula 1"))&gt;0,1,0)+IF((COUNTIF('D411'!F5,"Aula 1"))&gt;0,1,0))=1,IF((COUNTIF('C111'!F5,"Aula 1")+COUNTIF('C112'!F5,"Aula 1")+COUNTIF('C113'!F5,"Aula 1")+COUNTIF('C121'!F5,"Aula 1")+COUNTIF('C122'!F5,"Aula 1"))&gt;0,"C1",IF((COUNTIF('C211'!F5,"Aula 1")+COUNTIF('C212'!F5,"Aula 1"))&gt;0,"C2",IF((COUNTIF('C311'!F5,"Aula 1")+COUNTIF('C312'!F5,"Aula 1"))&gt;0,"C3",IF((COUNTIF('C411'!F5,"Aula 1")+COUNTIF('C412'!F5,"Aula 1"))&gt;0,"C4",IF((COUNTIF('M111'!F5,"Aula 1")+COUNTIF('M112'!F5,"Aula 1"))&gt;0,"M1",IF((COUNTIF('M211'!F5,"Aula 1")+COUNTIF('M212'!F5,"Aula 1"))&gt;0,"M2",IF((COUNTIF('M311'!F5,"Aula 1"))&gt;0,"M3",IF((COUNTIF('M411'!F5,"Aula 1"))&gt;0,"M4",IF((COUNTIF('D111'!F5,"Aula 1")+COUNTIF('D112'!F5,"Aula 1"))&gt;0,"D1",IF((COUNTIF('D211'!F5,"Aula 1"))&gt;0,"D2",IF((COUNTIF('D311'!F5,"Aula 1"))&gt;0,"D3",IF((COUNTIF('D411'!F5,"Aula 1"))&gt;0,"D4","")))))))))))),"MIX"))</f>
        <v/>
      </c>
    </row>
    <row r="362">
      <c r="C362">
        <f>IF((IF((COUNTIF('C111'!F5,"Aula 2")+COUNTIF('C112'!F5,"Aula 2")+COUNTIF('C113'!F5,"Aula 2")+COUNTIF('C121'!F5,"Aula 2")+COUNTIF('C122'!F5,"Aula 2"))&gt;0,1,0)+IF((COUNTIF('C211'!F5,"Aula 2")+COUNTIF('C212'!F5,"Aula 2"))&gt;0,1,0)+IF((COUNTIF('C311'!F5,"Aula 2")+COUNTIF('C312'!F5,"Aula 2"))&gt;0,1,0)+IF((COUNTIF('C411'!F5,"Aula 2")+COUNTIF('C412'!F5,"Aula 2"))&gt;0,1,0)+IF((COUNTIF('M111'!F5,"Aula 2")+COUNTIF('M112'!F5,"Aula 2"))&gt;0,1,0)+IF((COUNTIF('M211'!F5,"Aula 2")+COUNTIF('M212'!F5,"Aula 2"))&gt;0,1,0)+IF((COUNTIF('M311'!F5,"Aula 2"))&gt;0,1,0)+IF((COUNTIF('M411'!F5,"Aula 2"))&gt;0,1,0)+IF((COUNTIF('D111'!F5,"Aula 2")+COUNTIF('D112'!F5,"Aula 2"))&gt;0,1,0)+IF((COUNTIF('D211'!F5,"Aula 2"))&gt;0,1,0)+IF((COUNTIF('D311'!F5,"Aula 2"))&gt;0,1,0)+IF((COUNTIF('D411'!F5,"Aula 2"))&gt;0,1,0))=0,"",IF((IF((COUNTIF('C111'!F5,"Aula 2")+COUNTIF('C112'!F5,"Aula 2")+COUNTIF('C113'!F5,"Aula 2")+COUNTIF('C121'!F5,"Aula 2")+COUNTIF('C122'!F5,"Aula 2"))&gt;0,1,0)+IF((COUNTIF('C211'!F5,"Aula 2")+COUNTIF('C212'!F5,"Aula 2"))&gt;0,1,0)+IF((COUNTIF('C311'!F5,"Aula 2")+COUNTIF('C312'!F5,"Aula 2"))&gt;0,1,0)+IF((COUNTIF('C411'!F5,"Aula 2")+COUNTIF('C412'!F5,"Aula 2"))&gt;0,1,0)+IF((COUNTIF('M111'!F5,"Aula 2")+COUNTIF('M112'!F5,"Aula 2"))&gt;0,1,0)+IF((COUNTIF('M211'!F5,"Aula 2")+COUNTIF('M212'!F5,"Aula 2"))&gt;0,1,0)+IF((COUNTIF('M311'!F5,"Aula 2"))&gt;0,1,0)+IF((COUNTIF('M411'!F5,"Aula 2"))&gt;0,1,0)+IF((COUNTIF('D111'!F5,"Aula 2")+COUNTIF('D112'!F5,"Aula 2"))&gt;0,1,0)+IF((COUNTIF('D211'!F5,"Aula 2"))&gt;0,1,0)+IF((COUNTIF('D311'!F5,"Aula 2"))&gt;0,1,0)+IF((COUNTIF('D411'!F5,"Aula 2"))&gt;0,1,0))=1,IF((COUNTIF('C111'!F5,"Aula 2")+COUNTIF('C112'!F5,"Aula 2")+COUNTIF('C113'!F5,"Aula 2")+COUNTIF('C121'!F5,"Aula 2")+COUNTIF('C122'!F5,"Aula 2"))&gt;0,"C1",IF((COUNTIF('C211'!F5,"Aula 2")+COUNTIF('C212'!F5,"Aula 2"))&gt;0,"C2",IF((COUNTIF('C311'!F5,"Aula 2")+COUNTIF('C312'!F5,"Aula 2"))&gt;0,"C3",IF((COUNTIF('C411'!F5,"Aula 2")+COUNTIF('C412'!F5,"Aula 2"))&gt;0,"C4",IF((COUNTIF('M111'!F5,"Aula 2")+COUNTIF('M112'!F5,"Aula 2"))&gt;0,"M1",IF((COUNTIF('M211'!F5,"Aula 2")+COUNTIF('M212'!F5,"Aula 2"))&gt;0,"M2",IF((COUNTIF('M311'!F5,"Aula 2"))&gt;0,"M3",IF((COUNTIF('M411'!F5,"Aula 2"))&gt;0,"M4",IF((COUNTIF('D111'!F5,"Aula 2")+COUNTIF('D112'!F5,"Aula 2"))&gt;0,"D1",IF((COUNTIF('D211'!F5,"Aula 2"))&gt;0,"D2",IF((COUNTIF('D311'!F5,"Aula 2"))&gt;0,"D3",IF((COUNTIF('D411'!F5,"Aula 2"))&gt;0,"D4","")))))))))))),"MIX"))</f>
        <v/>
      </c>
    </row>
    <row r="363">
      <c r="C363">
        <f>IF((IF((COUNTIF('C111'!F5,"Aula 3")+COUNTIF('C112'!F5,"Aula 3")+COUNTIF('C113'!F5,"Aula 3")+COUNTIF('C121'!F5,"Aula 3")+COUNTIF('C122'!F5,"Aula 3"))&gt;0,1,0)+IF((COUNTIF('C211'!F5,"Aula 3")+COUNTIF('C212'!F5,"Aula 3"))&gt;0,1,0)+IF((COUNTIF('C311'!F5,"Aula 3")+COUNTIF('C312'!F5,"Aula 3"))&gt;0,1,0)+IF((COUNTIF('C411'!F5,"Aula 3")+COUNTIF('C412'!F5,"Aula 3"))&gt;0,1,0)+IF((COUNTIF('M111'!F5,"Aula 3")+COUNTIF('M112'!F5,"Aula 3"))&gt;0,1,0)+IF((COUNTIF('M211'!F5,"Aula 3")+COUNTIF('M212'!F5,"Aula 3"))&gt;0,1,0)+IF((COUNTIF('M311'!F5,"Aula 3"))&gt;0,1,0)+IF((COUNTIF('M411'!F5,"Aula 3"))&gt;0,1,0)+IF((COUNTIF('D111'!F5,"Aula 3")+COUNTIF('D112'!F5,"Aula 3"))&gt;0,1,0)+IF((COUNTIF('D211'!F5,"Aula 3"))&gt;0,1,0)+IF((COUNTIF('D311'!F5,"Aula 3"))&gt;0,1,0)+IF((COUNTIF('D411'!F5,"Aula 3"))&gt;0,1,0))=0,"",IF((IF((COUNTIF('C111'!F5,"Aula 3")+COUNTIF('C112'!F5,"Aula 3")+COUNTIF('C113'!F5,"Aula 3")+COUNTIF('C121'!F5,"Aula 3")+COUNTIF('C122'!F5,"Aula 3"))&gt;0,1,0)+IF((COUNTIF('C211'!F5,"Aula 3")+COUNTIF('C212'!F5,"Aula 3"))&gt;0,1,0)+IF((COUNTIF('C311'!F5,"Aula 3")+COUNTIF('C312'!F5,"Aula 3"))&gt;0,1,0)+IF((COUNTIF('C411'!F5,"Aula 3")+COUNTIF('C412'!F5,"Aula 3"))&gt;0,1,0)+IF((COUNTIF('M111'!F5,"Aula 3")+COUNTIF('M112'!F5,"Aula 3"))&gt;0,1,0)+IF((COUNTIF('M211'!F5,"Aula 3")+COUNTIF('M212'!F5,"Aula 3"))&gt;0,1,0)+IF((COUNTIF('M311'!F5,"Aula 3"))&gt;0,1,0)+IF((COUNTIF('M411'!F5,"Aula 3"))&gt;0,1,0)+IF((COUNTIF('D111'!F5,"Aula 3")+COUNTIF('D112'!F5,"Aula 3"))&gt;0,1,0)+IF((COUNTIF('D211'!F5,"Aula 3"))&gt;0,1,0)+IF((COUNTIF('D311'!F5,"Aula 3"))&gt;0,1,0)+IF((COUNTIF('D411'!F5,"Aula 3"))&gt;0,1,0))=1,IF((COUNTIF('C111'!F5,"Aula 3")+COUNTIF('C112'!F5,"Aula 3")+COUNTIF('C113'!F5,"Aula 3")+COUNTIF('C121'!F5,"Aula 3")+COUNTIF('C122'!F5,"Aula 3"))&gt;0,"C1",IF((COUNTIF('C211'!F5,"Aula 3")+COUNTIF('C212'!F5,"Aula 3"))&gt;0,"C2",IF((COUNTIF('C311'!F5,"Aula 3")+COUNTIF('C312'!F5,"Aula 3"))&gt;0,"C3",IF((COUNTIF('C411'!F5,"Aula 3")+COUNTIF('C412'!F5,"Aula 3"))&gt;0,"C4",IF((COUNTIF('M111'!F5,"Aula 3")+COUNTIF('M112'!F5,"Aula 3"))&gt;0,"M1",IF((COUNTIF('M211'!F5,"Aula 3")+COUNTIF('M212'!F5,"Aula 3"))&gt;0,"M2",IF((COUNTIF('M311'!F5,"Aula 3"))&gt;0,"M3",IF((COUNTIF('M411'!F5,"Aula 3"))&gt;0,"M4",IF((COUNTIF('D111'!F5,"Aula 3")+COUNTIF('D112'!F5,"Aula 3"))&gt;0,"D1",IF((COUNTIF('D211'!F5,"Aula 3"))&gt;0,"D2",IF((COUNTIF('D311'!F5,"Aula 3"))&gt;0,"D3",IF((COUNTIF('D411'!F5,"Aula 3"))&gt;0,"D4","")))))))))))),"MIX"))</f>
        <v/>
      </c>
    </row>
    <row r="364">
      <c r="C364">
        <f>IF((IF((COUNTIF('C111'!F5,"Aula 4")+COUNTIF('C112'!F5,"Aula 4")+COUNTIF('C113'!F5,"Aula 4")+COUNTIF('C121'!F5,"Aula 4")+COUNTIF('C122'!F5,"Aula 4"))&gt;0,1,0)+IF((COUNTIF('C211'!F5,"Aula 4")+COUNTIF('C212'!F5,"Aula 4"))&gt;0,1,0)+IF((COUNTIF('C311'!F5,"Aula 4")+COUNTIF('C312'!F5,"Aula 4"))&gt;0,1,0)+IF((COUNTIF('C411'!F5,"Aula 4")+COUNTIF('C412'!F5,"Aula 4"))&gt;0,1,0)+IF((COUNTIF('M111'!F5,"Aula 4")+COUNTIF('M112'!F5,"Aula 4"))&gt;0,1,0)+IF((COUNTIF('M211'!F5,"Aula 4")+COUNTIF('M212'!F5,"Aula 4"))&gt;0,1,0)+IF((COUNTIF('M311'!F5,"Aula 4"))&gt;0,1,0)+IF((COUNTIF('M411'!F5,"Aula 4"))&gt;0,1,0)+IF((COUNTIF('D111'!F5,"Aula 4")+COUNTIF('D112'!F5,"Aula 4"))&gt;0,1,0)+IF((COUNTIF('D211'!F5,"Aula 4"))&gt;0,1,0)+IF((COUNTIF('D311'!F5,"Aula 4"))&gt;0,1,0)+IF((COUNTIF('D411'!F5,"Aula 4"))&gt;0,1,0))=0,"",IF((IF((COUNTIF('C111'!F5,"Aula 4")+COUNTIF('C112'!F5,"Aula 4")+COUNTIF('C113'!F5,"Aula 4")+COUNTIF('C121'!F5,"Aula 4")+COUNTIF('C122'!F5,"Aula 4"))&gt;0,1,0)+IF((COUNTIF('C211'!F5,"Aula 4")+COUNTIF('C212'!F5,"Aula 4"))&gt;0,1,0)+IF((COUNTIF('C311'!F5,"Aula 4")+COUNTIF('C312'!F5,"Aula 4"))&gt;0,1,0)+IF((COUNTIF('C411'!F5,"Aula 4")+COUNTIF('C412'!F5,"Aula 4"))&gt;0,1,0)+IF((COUNTIF('M111'!F5,"Aula 4")+COUNTIF('M112'!F5,"Aula 4"))&gt;0,1,0)+IF((COUNTIF('M211'!F5,"Aula 4")+COUNTIF('M212'!F5,"Aula 4"))&gt;0,1,0)+IF((COUNTIF('M311'!F5,"Aula 4"))&gt;0,1,0)+IF((COUNTIF('M411'!F5,"Aula 4"))&gt;0,1,0)+IF((COUNTIF('D111'!F5,"Aula 4")+COUNTIF('D112'!F5,"Aula 4"))&gt;0,1,0)+IF((COUNTIF('D211'!F5,"Aula 4"))&gt;0,1,0)+IF((COUNTIF('D311'!F5,"Aula 4"))&gt;0,1,0)+IF((COUNTIF('D411'!F5,"Aula 4"))&gt;0,1,0))=1,IF((COUNTIF('C111'!F5,"Aula 4")+COUNTIF('C112'!F5,"Aula 4")+COUNTIF('C113'!F5,"Aula 4")+COUNTIF('C121'!F5,"Aula 4")+COUNTIF('C122'!F5,"Aula 4"))&gt;0,"C1",IF((COUNTIF('C211'!F5,"Aula 4")+COUNTIF('C212'!F5,"Aula 4"))&gt;0,"C2",IF((COUNTIF('C311'!F5,"Aula 4")+COUNTIF('C312'!F5,"Aula 4"))&gt;0,"C3",IF((COUNTIF('C411'!F5,"Aula 4")+COUNTIF('C412'!F5,"Aula 4"))&gt;0,"C4",IF((COUNTIF('M111'!F5,"Aula 4")+COUNTIF('M112'!F5,"Aula 4"))&gt;0,"M1",IF((COUNTIF('M211'!F5,"Aula 4")+COUNTIF('M212'!F5,"Aula 4"))&gt;0,"M2",IF((COUNTIF('M311'!F5,"Aula 4"))&gt;0,"M3",IF((COUNTIF('M411'!F5,"Aula 4"))&gt;0,"M4",IF((COUNTIF('D111'!F5,"Aula 4")+COUNTIF('D112'!F5,"Aula 4"))&gt;0,"D1",IF((COUNTIF('D211'!F5,"Aula 4"))&gt;0,"D2",IF((COUNTIF('D311'!F5,"Aula 4"))&gt;0,"D3",IF((COUNTIF('D411'!F5,"Aula 4"))&gt;0,"D4","")))))))))))),"MIX"))</f>
        <v/>
      </c>
    </row>
    <row r="365">
      <c r="C365">
        <f>IF((IF((COUNTIF('C111'!F5,"Aula 5")+COUNTIF('C112'!F5,"Aula 5")+COUNTIF('C113'!F5,"Aula 5")+COUNTIF('C121'!F5,"Aula 5")+COUNTIF('C122'!F5,"Aula 5"))&gt;0,1,0)+IF((COUNTIF('C211'!F5,"Aula 5")+COUNTIF('C212'!F5,"Aula 5"))&gt;0,1,0)+IF((COUNTIF('C311'!F5,"Aula 5")+COUNTIF('C312'!F5,"Aula 5"))&gt;0,1,0)+IF((COUNTIF('C411'!F5,"Aula 5")+COUNTIF('C412'!F5,"Aula 5"))&gt;0,1,0)+IF((COUNTIF('M111'!F5,"Aula 5")+COUNTIF('M112'!F5,"Aula 5"))&gt;0,1,0)+IF((COUNTIF('M211'!F5,"Aula 5")+COUNTIF('M212'!F5,"Aula 5"))&gt;0,1,0)+IF((COUNTIF('M311'!F5,"Aula 5"))&gt;0,1,0)+IF((COUNTIF('M411'!F5,"Aula 5"))&gt;0,1,0)+IF((COUNTIF('D111'!F5,"Aula 5")+COUNTIF('D112'!F5,"Aula 5"))&gt;0,1,0)+IF((COUNTIF('D211'!F5,"Aula 5"))&gt;0,1,0)+IF((COUNTIF('D311'!F5,"Aula 5"))&gt;0,1,0)+IF((COUNTIF('D411'!F5,"Aula 5"))&gt;0,1,0))=0,"",IF((IF((COUNTIF('C111'!F5,"Aula 5")+COUNTIF('C112'!F5,"Aula 5")+COUNTIF('C113'!F5,"Aula 5")+COUNTIF('C121'!F5,"Aula 5")+COUNTIF('C122'!F5,"Aula 5"))&gt;0,1,0)+IF((COUNTIF('C211'!F5,"Aula 5")+COUNTIF('C212'!F5,"Aula 5"))&gt;0,1,0)+IF((COUNTIF('C311'!F5,"Aula 5")+COUNTIF('C312'!F5,"Aula 5"))&gt;0,1,0)+IF((COUNTIF('C411'!F5,"Aula 5")+COUNTIF('C412'!F5,"Aula 5"))&gt;0,1,0)+IF((COUNTIF('M111'!F5,"Aula 5")+COUNTIF('M112'!F5,"Aula 5"))&gt;0,1,0)+IF((COUNTIF('M211'!F5,"Aula 5")+COUNTIF('M212'!F5,"Aula 5"))&gt;0,1,0)+IF((COUNTIF('M311'!F5,"Aula 5"))&gt;0,1,0)+IF((COUNTIF('M411'!F5,"Aula 5"))&gt;0,1,0)+IF((COUNTIF('D111'!F5,"Aula 5")+COUNTIF('D112'!F5,"Aula 5"))&gt;0,1,0)+IF((COUNTIF('D211'!F5,"Aula 5"))&gt;0,1,0)+IF((COUNTIF('D311'!F5,"Aula 5"))&gt;0,1,0)+IF((COUNTIF('D411'!F5,"Aula 5"))&gt;0,1,0))=1,IF((COUNTIF('C111'!F5,"Aula 5")+COUNTIF('C112'!F5,"Aula 5")+COUNTIF('C113'!F5,"Aula 5")+COUNTIF('C121'!F5,"Aula 5")+COUNTIF('C122'!F5,"Aula 5"))&gt;0,"C1",IF((COUNTIF('C211'!F5,"Aula 5")+COUNTIF('C212'!F5,"Aula 5"))&gt;0,"C2",IF((COUNTIF('C311'!F5,"Aula 5")+COUNTIF('C312'!F5,"Aula 5"))&gt;0,"C3",IF((COUNTIF('C411'!F5,"Aula 5")+COUNTIF('C412'!F5,"Aula 5"))&gt;0,"C4",IF((COUNTIF('M111'!F5,"Aula 5")+COUNTIF('M112'!F5,"Aula 5"))&gt;0,"M1",IF((COUNTIF('M211'!F5,"Aula 5")+COUNTIF('M212'!F5,"Aula 5"))&gt;0,"M2",IF((COUNTIF('M311'!F5,"Aula 5"))&gt;0,"M3",IF((COUNTIF('M411'!F5,"Aula 5"))&gt;0,"M4",IF((COUNTIF('D111'!F5,"Aula 5")+COUNTIF('D112'!F5,"Aula 5"))&gt;0,"D1",IF((COUNTIF('D211'!F5,"Aula 5"))&gt;0,"D2",IF((COUNTIF('D311'!F5,"Aula 5"))&gt;0,"D3",IF((COUNTIF('D411'!F5,"Aula 5"))&gt;0,"D4","")))))))))))),"MIX"))</f>
        <v/>
      </c>
    </row>
    <row r="366">
      <c r="C366">
        <f>IF((IF((COUNTIF('C111'!F5,"Aula 6")+COUNTIF('C112'!F5,"Aula 6")+COUNTIF('C113'!F5,"Aula 6")+COUNTIF('C121'!F5,"Aula 6")+COUNTIF('C122'!F5,"Aula 6"))&gt;0,1,0)+IF((COUNTIF('C211'!F5,"Aula 6")+COUNTIF('C212'!F5,"Aula 6"))&gt;0,1,0)+IF((COUNTIF('C311'!F5,"Aula 6")+COUNTIF('C312'!F5,"Aula 6"))&gt;0,1,0)+IF((COUNTIF('C411'!F5,"Aula 6")+COUNTIF('C412'!F5,"Aula 6"))&gt;0,1,0)+IF((COUNTIF('M111'!F5,"Aula 6")+COUNTIF('M112'!F5,"Aula 6"))&gt;0,1,0)+IF((COUNTIF('M211'!F5,"Aula 6")+COUNTIF('M212'!F5,"Aula 6"))&gt;0,1,0)+IF((COUNTIF('M311'!F5,"Aula 6"))&gt;0,1,0)+IF((COUNTIF('M411'!F5,"Aula 6"))&gt;0,1,0)+IF((COUNTIF('D111'!F5,"Aula 6")+COUNTIF('D112'!F5,"Aula 6"))&gt;0,1,0)+IF((COUNTIF('D211'!F5,"Aula 6"))&gt;0,1,0)+IF((COUNTIF('D311'!F5,"Aula 6"))&gt;0,1,0)+IF((COUNTIF('D411'!F5,"Aula 6"))&gt;0,1,0))=0,"",IF((IF((COUNTIF('C111'!F5,"Aula 6")+COUNTIF('C112'!F5,"Aula 6")+COUNTIF('C113'!F5,"Aula 6")+COUNTIF('C121'!F5,"Aula 6")+COUNTIF('C122'!F5,"Aula 6"))&gt;0,1,0)+IF((COUNTIF('C211'!F5,"Aula 6")+COUNTIF('C212'!F5,"Aula 6"))&gt;0,1,0)+IF((COUNTIF('C311'!F5,"Aula 6")+COUNTIF('C312'!F5,"Aula 6"))&gt;0,1,0)+IF((COUNTIF('C411'!F5,"Aula 6")+COUNTIF('C412'!F5,"Aula 6"))&gt;0,1,0)+IF((COUNTIF('M111'!F5,"Aula 6")+COUNTIF('M112'!F5,"Aula 6"))&gt;0,1,0)+IF((COUNTIF('M211'!F5,"Aula 6")+COUNTIF('M212'!F5,"Aula 6"))&gt;0,1,0)+IF((COUNTIF('M311'!F5,"Aula 6"))&gt;0,1,0)+IF((COUNTIF('M411'!F5,"Aula 6"))&gt;0,1,0)+IF((COUNTIF('D111'!F5,"Aula 6")+COUNTIF('D112'!F5,"Aula 6"))&gt;0,1,0)+IF((COUNTIF('D211'!F5,"Aula 6"))&gt;0,1,0)+IF((COUNTIF('D311'!F5,"Aula 6"))&gt;0,1,0)+IF((COUNTIF('D411'!F5,"Aula 6"))&gt;0,1,0))=1,IF((COUNTIF('C111'!F5,"Aula 6")+COUNTIF('C112'!F5,"Aula 6")+COUNTIF('C113'!F5,"Aula 6")+COUNTIF('C121'!F5,"Aula 6")+COUNTIF('C122'!F5,"Aula 6"))&gt;0,"C1",IF((COUNTIF('C211'!F5,"Aula 6")+COUNTIF('C212'!F5,"Aula 6"))&gt;0,"C2",IF((COUNTIF('C311'!F5,"Aula 6")+COUNTIF('C312'!F5,"Aula 6"))&gt;0,"C3",IF((COUNTIF('C411'!F5,"Aula 6")+COUNTIF('C412'!F5,"Aula 6"))&gt;0,"C4",IF((COUNTIF('M111'!F5,"Aula 6")+COUNTIF('M112'!F5,"Aula 6"))&gt;0,"M1",IF((COUNTIF('M211'!F5,"Aula 6")+COUNTIF('M212'!F5,"Aula 6"))&gt;0,"M2",IF((COUNTIF('M311'!F5,"Aula 6"))&gt;0,"M3",IF((COUNTIF('M411'!F5,"Aula 6"))&gt;0,"M4",IF((COUNTIF('D111'!F5,"Aula 6")+COUNTIF('D112'!F5,"Aula 6"))&gt;0,"D1",IF((COUNTIF('D211'!F5,"Aula 6"))&gt;0,"D2",IF((COUNTIF('D311'!F5,"Aula 6"))&gt;0,"D3",IF((COUNTIF('D411'!F5,"Aula 6"))&gt;0,"D4","")))))))))))),"MIX"))</f>
        <v/>
      </c>
    </row>
    <row r="367">
      <c r="C367">
        <f>IF((IF((COUNTIF('C111'!F5,"Aula 7")+COUNTIF('C112'!F5,"Aula 7")+COUNTIF('C113'!F5,"Aula 7")+COUNTIF('C121'!F5,"Aula 7")+COUNTIF('C122'!F5,"Aula 7"))&gt;0,1,0)+IF((COUNTIF('C211'!F5,"Aula 7")+COUNTIF('C212'!F5,"Aula 7"))&gt;0,1,0)+IF((COUNTIF('C311'!F5,"Aula 7")+COUNTIF('C312'!F5,"Aula 7"))&gt;0,1,0)+IF((COUNTIF('C411'!F5,"Aula 7")+COUNTIF('C412'!F5,"Aula 7"))&gt;0,1,0)+IF((COUNTIF('M111'!F5,"Aula 7")+COUNTIF('M112'!F5,"Aula 7"))&gt;0,1,0)+IF((COUNTIF('M211'!F5,"Aula 7")+COUNTIF('M212'!F5,"Aula 7"))&gt;0,1,0)+IF((COUNTIF('M311'!F5,"Aula 7"))&gt;0,1,0)+IF((COUNTIF('M411'!F5,"Aula 7"))&gt;0,1,0)+IF((COUNTIF('D111'!F5,"Aula 7")+COUNTIF('D112'!F5,"Aula 7"))&gt;0,1,0)+IF((COUNTIF('D211'!F5,"Aula 7"))&gt;0,1,0)+IF((COUNTIF('D311'!F5,"Aula 7"))&gt;0,1,0)+IF((COUNTIF('D411'!F5,"Aula 7"))&gt;0,1,0))=0,"",IF((IF((COUNTIF('C111'!F5,"Aula 7")+COUNTIF('C112'!F5,"Aula 7")+COUNTIF('C113'!F5,"Aula 7")+COUNTIF('C121'!F5,"Aula 7")+COUNTIF('C122'!F5,"Aula 7"))&gt;0,1,0)+IF((COUNTIF('C211'!F5,"Aula 7")+COUNTIF('C212'!F5,"Aula 7"))&gt;0,1,0)+IF((COUNTIF('C311'!F5,"Aula 7")+COUNTIF('C312'!F5,"Aula 7"))&gt;0,1,0)+IF((COUNTIF('C411'!F5,"Aula 7")+COUNTIF('C412'!F5,"Aula 7"))&gt;0,1,0)+IF((COUNTIF('M111'!F5,"Aula 7")+COUNTIF('M112'!F5,"Aula 7"))&gt;0,1,0)+IF((COUNTIF('M211'!F5,"Aula 7")+COUNTIF('M212'!F5,"Aula 7"))&gt;0,1,0)+IF((COUNTIF('M311'!F5,"Aula 7"))&gt;0,1,0)+IF((COUNTIF('M411'!F5,"Aula 7"))&gt;0,1,0)+IF((COUNTIF('D111'!F5,"Aula 7")+COUNTIF('D112'!F5,"Aula 7"))&gt;0,1,0)+IF((COUNTIF('D211'!F5,"Aula 7"))&gt;0,1,0)+IF((COUNTIF('D311'!F5,"Aula 7"))&gt;0,1,0)+IF((COUNTIF('D411'!F5,"Aula 7"))&gt;0,1,0))=1,IF((COUNTIF('C111'!F5,"Aula 7")+COUNTIF('C112'!F5,"Aula 7")+COUNTIF('C113'!F5,"Aula 7")+COUNTIF('C121'!F5,"Aula 7")+COUNTIF('C122'!F5,"Aula 7"))&gt;0,"C1",IF((COUNTIF('C211'!F5,"Aula 7")+COUNTIF('C212'!F5,"Aula 7"))&gt;0,"C2",IF((COUNTIF('C311'!F5,"Aula 7")+COUNTIF('C312'!F5,"Aula 7"))&gt;0,"C3",IF((COUNTIF('C411'!F5,"Aula 7")+COUNTIF('C412'!F5,"Aula 7"))&gt;0,"C4",IF((COUNTIF('M111'!F5,"Aula 7")+COUNTIF('M112'!F5,"Aula 7"))&gt;0,"M1",IF((COUNTIF('M211'!F5,"Aula 7")+COUNTIF('M212'!F5,"Aula 7"))&gt;0,"M2",IF((COUNTIF('M311'!F5,"Aula 7"))&gt;0,"M3",IF((COUNTIF('M411'!F5,"Aula 7"))&gt;0,"M4",IF((COUNTIF('D111'!F5,"Aula 7")+COUNTIF('D112'!F5,"Aula 7"))&gt;0,"D1",IF((COUNTIF('D211'!F5,"Aula 7"))&gt;0,"D2",IF((COUNTIF('D311'!F5,"Aula 7"))&gt;0,"D3",IF((COUNTIF('D411'!F5,"Aula 7"))&gt;0,"D4","")))))))))))),"MIX"))</f>
        <v/>
      </c>
    </row>
    <row r="368">
      <c r="C368">
        <f>IF((IF((COUNTIF('C111'!F5,"Aula 8")+COUNTIF('C112'!F5,"Aula 8")+COUNTIF('C113'!F5,"Aula 8")+COUNTIF('C121'!F5,"Aula 8")+COUNTIF('C122'!F5,"Aula 8"))&gt;0,1,0)+IF((COUNTIF('C211'!F5,"Aula 8")+COUNTIF('C212'!F5,"Aula 8"))&gt;0,1,0)+IF((COUNTIF('C311'!F5,"Aula 8")+COUNTIF('C312'!F5,"Aula 8"))&gt;0,1,0)+IF((COUNTIF('C411'!F5,"Aula 8")+COUNTIF('C412'!F5,"Aula 8"))&gt;0,1,0)+IF((COUNTIF('M111'!F5,"Aula 8")+COUNTIF('M112'!F5,"Aula 8"))&gt;0,1,0)+IF((COUNTIF('M211'!F5,"Aula 8")+COUNTIF('M212'!F5,"Aula 8"))&gt;0,1,0)+IF((COUNTIF('M311'!F5,"Aula 8"))&gt;0,1,0)+IF((COUNTIF('M411'!F5,"Aula 8"))&gt;0,1,0)+IF((COUNTIF('D111'!F5,"Aula 8")+COUNTIF('D112'!F5,"Aula 8"))&gt;0,1,0)+IF((COUNTIF('D211'!F5,"Aula 8"))&gt;0,1,0)+IF((COUNTIF('D311'!F5,"Aula 8"))&gt;0,1,0)+IF((COUNTIF('D411'!F5,"Aula 8"))&gt;0,1,0))=0,"",IF((IF((COUNTIF('C111'!F5,"Aula 8")+COUNTIF('C112'!F5,"Aula 8")+COUNTIF('C113'!F5,"Aula 8")+COUNTIF('C121'!F5,"Aula 8")+COUNTIF('C122'!F5,"Aula 8"))&gt;0,1,0)+IF((COUNTIF('C211'!F5,"Aula 8")+COUNTIF('C212'!F5,"Aula 8"))&gt;0,1,0)+IF((COUNTIF('C311'!F5,"Aula 8")+COUNTIF('C312'!F5,"Aula 8"))&gt;0,1,0)+IF((COUNTIF('C411'!F5,"Aula 8")+COUNTIF('C412'!F5,"Aula 8"))&gt;0,1,0)+IF((COUNTIF('M111'!F5,"Aula 8")+COUNTIF('M112'!F5,"Aula 8"))&gt;0,1,0)+IF((COUNTIF('M211'!F5,"Aula 8")+COUNTIF('M212'!F5,"Aula 8"))&gt;0,1,0)+IF((COUNTIF('M311'!F5,"Aula 8"))&gt;0,1,0)+IF((COUNTIF('M411'!F5,"Aula 8"))&gt;0,1,0)+IF((COUNTIF('D111'!F5,"Aula 8")+COUNTIF('D112'!F5,"Aula 8"))&gt;0,1,0)+IF((COUNTIF('D211'!F5,"Aula 8"))&gt;0,1,0)+IF((COUNTIF('D311'!F5,"Aula 8"))&gt;0,1,0)+IF((COUNTIF('D411'!F5,"Aula 8"))&gt;0,1,0))=1,IF((COUNTIF('C111'!F5,"Aula 8")+COUNTIF('C112'!F5,"Aula 8")+COUNTIF('C113'!F5,"Aula 8")+COUNTIF('C121'!F5,"Aula 8")+COUNTIF('C122'!F5,"Aula 8"))&gt;0,"C1",IF((COUNTIF('C211'!F5,"Aula 8")+COUNTIF('C212'!F5,"Aula 8"))&gt;0,"C2",IF((COUNTIF('C311'!F5,"Aula 8")+COUNTIF('C312'!F5,"Aula 8"))&gt;0,"C3",IF((COUNTIF('C411'!F5,"Aula 8")+COUNTIF('C412'!F5,"Aula 8"))&gt;0,"C4",IF((COUNTIF('M111'!F5,"Aula 8")+COUNTIF('M112'!F5,"Aula 8"))&gt;0,"M1",IF((COUNTIF('M211'!F5,"Aula 8")+COUNTIF('M212'!F5,"Aula 8"))&gt;0,"M2",IF((COUNTIF('M311'!F5,"Aula 8"))&gt;0,"M3",IF((COUNTIF('M411'!F5,"Aula 8"))&gt;0,"M4",IF((COUNTIF('D111'!F5,"Aula 8")+COUNTIF('D112'!F5,"Aula 8"))&gt;0,"D1",IF((COUNTIF('D211'!F5,"Aula 8"))&gt;0,"D2",IF((COUNTIF('D311'!F5,"Aula 8"))&gt;0,"D3",IF((COUNTIF('D411'!F5,"Aula 8"))&gt;0,"D4","")))))))))))),"MIX"))</f>
        <v/>
      </c>
    </row>
    <row r="369">
      <c r="C369">
        <f>IF((IF((COUNTIF('C111'!F5,"Aula 9")+COUNTIF('C112'!F5,"Aula 9")+COUNTIF('C113'!F5,"Aula 9")+COUNTIF('C121'!F5,"Aula 9")+COUNTIF('C122'!F5,"Aula 9"))&gt;0,1,0)+IF((COUNTIF('C211'!F5,"Aula 9")+COUNTIF('C212'!F5,"Aula 9"))&gt;0,1,0)+IF((COUNTIF('C311'!F5,"Aula 9")+COUNTIF('C312'!F5,"Aula 9"))&gt;0,1,0)+IF((COUNTIF('C411'!F5,"Aula 9")+COUNTIF('C412'!F5,"Aula 9"))&gt;0,1,0)+IF((COUNTIF('M111'!F5,"Aula 9")+COUNTIF('M112'!F5,"Aula 9"))&gt;0,1,0)+IF((COUNTIF('M211'!F5,"Aula 9")+COUNTIF('M212'!F5,"Aula 9"))&gt;0,1,0)+IF((COUNTIF('M311'!F5,"Aula 9"))&gt;0,1,0)+IF((COUNTIF('M411'!F5,"Aula 9"))&gt;0,1,0)+IF((COUNTIF('D111'!F5,"Aula 9")+COUNTIF('D112'!F5,"Aula 9"))&gt;0,1,0)+IF((COUNTIF('D211'!F5,"Aula 9"))&gt;0,1,0)+IF((COUNTIF('D311'!F5,"Aula 9"))&gt;0,1,0)+IF((COUNTIF('D411'!F5,"Aula 9"))&gt;0,1,0))=0,"",IF((IF((COUNTIF('C111'!F5,"Aula 9")+COUNTIF('C112'!F5,"Aula 9")+COUNTIF('C113'!F5,"Aula 9")+COUNTIF('C121'!F5,"Aula 9")+COUNTIF('C122'!F5,"Aula 9"))&gt;0,1,0)+IF((COUNTIF('C211'!F5,"Aula 9")+COUNTIF('C212'!F5,"Aula 9"))&gt;0,1,0)+IF((COUNTIF('C311'!F5,"Aula 9")+COUNTIF('C312'!F5,"Aula 9"))&gt;0,1,0)+IF((COUNTIF('C411'!F5,"Aula 9")+COUNTIF('C412'!F5,"Aula 9"))&gt;0,1,0)+IF((COUNTIF('M111'!F5,"Aula 9")+COUNTIF('M112'!F5,"Aula 9"))&gt;0,1,0)+IF((COUNTIF('M211'!F5,"Aula 9")+COUNTIF('M212'!F5,"Aula 9"))&gt;0,1,0)+IF((COUNTIF('M311'!F5,"Aula 9"))&gt;0,1,0)+IF((COUNTIF('M411'!F5,"Aula 9"))&gt;0,1,0)+IF((COUNTIF('D111'!F5,"Aula 9")+COUNTIF('D112'!F5,"Aula 9"))&gt;0,1,0)+IF((COUNTIF('D211'!F5,"Aula 9"))&gt;0,1,0)+IF((COUNTIF('D311'!F5,"Aula 9"))&gt;0,1,0)+IF((COUNTIF('D411'!F5,"Aula 9"))&gt;0,1,0))=1,IF((COUNTIF('C111'!F5,"Aula 9")+COUNTIF('C112'!F5,"Aula 9")+COUNTIF('C113'!F5,"Aula 9")+COUNTIF('C121'!F5,"Aula 9")+COUNTIF('C122'!F5,"Aula 9"))&gt;0,"C1",IF((COUNTIF('C211'!F5,"Aula 9")+COUNTIF('C212'!F5,"Aula 9"))&gt;0,"C2",IF((COUNTIF('C311'!F5,"Aula 9")+COUNTIF('C312'!F5,"Aula 9"))&gt;0,"C3",IF((COUNTIF('C411'!F5,"Aula 9")+COUNTIF('C412'!F5,"Aula 9"))&gt;0,"C4",IF((COUNTIF('M111'!F5,"Aula 9")+COUNTIF('M112'!F5,"Aula 9"))&gt;0,"M1",IF((COUNTIF('M211'!F5,"Aula 9")+COUNTIF('M212'!F5,"Aula 9"))&gt;0,"M2",IF((COUNTIF('M311'!F5,"Aula 9"))&gt;0,"M3",IF((COUNTIF('M411'!F5,"Aula 9"))&gt;0,"M4",IF((COUNTIF('D111'!F5,"Aula 9")+COUNTIF('D112'!F5,"Aula 9"))&gt;0,"D1",IF((COUNTIF('D211'!F5,"Aula 9"))&gt;0,"D2",IF((COUNTIF('D311'!F5,"Aula 9"))&gt;0,"D3",IF((COUNTIF('D411'!F5,"Aula 9"))&gt;0,"D4","")))))))))))),"MIX"))</f>
        <v/>
      </c>
    </row>
    <row r="370">
      <c r="C370">
        <f>IF((IF((COUNTIF('C111'!F5,"Aula 10")+COUNTIF('C112'!F5,"Aula 10")+COUNTIF('C113'!F5,"Aula 10")+COUNTIF('C121'!F5,"Aula 10")+COUNTIF('C122'!F5,"Aula 10"))&gt;0,1,0)+IF((COUNTIF('C211'!F5,"Aula 10")+COUNTIF('C212'!F5,"Aula 10"))&gt;0,1,0)+IF((COUNTIF('C311'!F5,"Aula 10")+COUNTIF('C312'!F5,"Aula 10"))&gt;0,1,0)+IF((COUNTIF('C411'!F5,"Aula 10")+COUNTIF('C412'!F5,"Aula 10"))&gt;0,1,0)+IF((COUNTIF('M111'!F5,"Aula 10")+COUNTIF('M112'!F5,"Aula 10"))&gt;0,1,0)+IF((COUNTIF('M211'!F5,"Aula 10")+COUNTIF('M212'!F5,"Aula 10"))&gt;0,1,0)+IF((COUNTIF('M311'!F5,"Aula 10"))&gt;0,1,0)+IF((COUNTIF('M411'!F5,"Aula 10"))&gt;0,1,0)+IF((COUNTIF('D111'!F5,"Aula 10")+COUNTIF('D112'!F5,"Aula 10"))&gt;0,1,0)+IF((COUNTIF('D211'!F5,"Aula 10"))&gt;0,1,0)+IF((COUNTIF('D311'!F5,"Aula 10"))&gt;0,1,0)+IF((COUNTIF('D411'!F5,"Aula 10"))&gt;0,1,0))=0,"",IF((IF((COUNTIF('C111'!F5,"Aula 10")+COUNTIF('C112'!F5,"Aula 10")+COUNTIF('C113'!F5,"Aula 10")+COUNTIF('C121'!F5,"Aula 10")+COUNTIF('C122'!F5,"Aula 10"))&gt;0,1,0)+IF((COUNTIF('C211'!F5,"Aula 10")+COUNTIF('C212'!F5,"Aula 10"))&gt;0,1,0)+IF((COUNTIF('C311'!F5,"Aula 10")+COUNTIF('C312'!F5,"Aula 10"))&gt;0,1,0)+IF((COUNTIF('C411'!F5,"Aula 10")+COUNTIF('C412'!F5,"Aula 10"))&gt;0,1,0)+IF((COUNTIF('M111'!F5,"Aula 10")+COUNTIF('M112'!F5,"Aula 10"))&gt;0,1,0)+IF((COUNTIF('M211'!F5,"Aula 10")+COUNTIF('M212'!F5,"Aula 10"))&gt;0,1,0)+IF((COUNTIF('M311'!F5,"Aula 10"))&gt;0,1,0)+IF((COUNTIF('M411'!F5,"Aula 10"))&gt;0,1,0)+IF((COUNTIF('D111'!F5,"Aula 10")+COUNTIF('D112'!F5,"Aula 10"))&gt;0,1,0)+IF((COUNTIF('D211'!F5,"Aula 10"))&gt;0,1,0)+IF((COUNTIF('D311'!F5,"Aula 10"))&gt;0,1,0)+IF((COUNTIF('D411'!F5,"Aula 10"))&gt;0,1,0))=1,IF((COUNTIF('C111'!F5,"Aula 10")+COUNTIF('C112'!F5,"Aula 10")+COUNTIF('C113'!F5,"Aula 10")+COUNTIF('C121'!F5,"Aula 10")+COUNTIF('C122'!F5,"Aula 10"))&gt;0,"C1",IF((COUNTIF('C211'!F5,"Aula 10")+COUNTIF('C212'!F5,"Aula 10"))&gt;0,"C2",IF((COUNTIF('C311'!F5,"Aula 10")+COUNTIF('C312'!F5,"Aula 10"))&gt;0,"C3",IF((COUNTIF('C411'!F5,"Aula 10")+COUNTIF('C412'!F5,"Aula 10"))&gt;0,"C4",IF((COUNTIF('M111'!F5,"Aula 10")+COUNTIF('M112'!F5,"Aula 10"))&gt;0,"M1",IF((COUNTIF('M211'!F5,"Aula 10")+COUNTIF('M212'!F5,"Aula 10"))&gt;0,"M2",IF((COUNTIF('M311'!F5,"Aula 10"))&gt;0,"M3",IF((COUNTIF('M411'!F5,"Aula 10"))&gt;0,"M4",IF((COUNTIF('D111'!F5,"Aula 10")+COUNTIF('D112'!F5,"Aula 10"))&gt;0,"D1",IF((COUNTIF('D211'!F5,"Aula 10"))&gt;0,"D2",IF((COUNTIF('D311'!F5,"Aula 10"))&gt;0,"D3",IF((COUNTIF('D411'!F5,"Aula 10"))&gt;0,"D4","")))))))))))),"MIX"))</f>
        <v/>
      </c>
    </row>
    <row r="371">
      <c r="C371">
        <f>IF((IF((COUNTIF('C111'!F5,"Aula 11")+COUNTIF('C112'!F5,"Aula 11")+COUNTIF('C113'!F5,"Aula 11")+COUNTIF('C121'!F5,"Aula 11")+COUNTIF('C122'!F5,"Aula 11"))&gt;0,1,0)+IF((COUNTIF('C211'!F5,"Aula 11")+COUNTIF('C212'!F5,"Aula 11"))&gt;0,1,0)+IF((COUNTIF('C311'!F5,"Aula 11")+COUNTIF('C312'!F5,"Aula 11"))&gt;0,1,0)+IF((COUNTIF('C411'!F5,"Aula 11")+COUNTIF('C412'!F5,"Aula 11"))&gt;0,1,0)+IF((COUNTIF('M111'!F5,"Aula 11")+COUNTIF('M112'!F5,"Aula 11"))&gt;0,1,0)+IF((COUNTIF('M211'!F5,"Aula 11")+COUNTIF('M212'!F5,"Aula 11"))&gt;0,1,0)+IF((COUNTIF('M311'!F5,"Aula 11"))&gt;0,1,0)+IF((COUNTIF('M411'!F5,"Aula 11"))&gt;0,1,0)+IF((COUNTIF('D111'!F5,"Aula 11")+COUNTIF('D112'!F5,"Aula 11"))&gt;0,1,0)+IF((COUNTIF('D211'!F5,"Aula 11"))&gt;0,1,0)+IF((COUNTIF('D311'!F5,"Aula 11"))&gt;0,1,0)+IF((COUNTIF('D411'!F5,"Aula 11"))&gt;0,1,0))=0,"",IF((IF((COUNTIF('C111'!F5,"Aula 11")+COUNTIF('C112'!F5,"Aula 11")+COUNTIF('C113'!F5,"Aula 11")+COUNTIF('C121'!F5,"Aula 11")+COUNTIF('C122'!F5,"Aula 11"))&gt;0,1,0)+IF((COUNTIF('C211'!F5,"Aula 11")+COUNTIF('C212'!F5,"Aula 11"))&gt;0,1,0)+IF((COUNTIF('C311'!F5,"Aula 11")+COUNTIF('C312'!F5,"Aula 11"))&gt;0,1,0)+IF((COUNTIF('C411'!F5,"Aula 11")+COUNTIF('C412'!F5,"Aula 11"))&gt;0,1,0)+IF((COUNTIF('M111'!F5,"Aula 11")+COUNTIF('M112'!F5,"Aula 11"))&gt;0,1,0)+IF((COUNTIF('M211'!F5,"Aula 11")+COUNTIF('M212'!F5,"Aula 11"))&gt;0,1,0)+IF((COUNTIF('M311'!F5,"Aula 11"))&gt;0,1,0)+IF((COUNTIF('M411'!F5,"Aula 11"))&gt;0,1,0)+IF((COUNTIF('D111'!F5,"Aula 11")+COUNTIF('D112'!F5,"Aula 11"))&gt;0,1,0)+IF((COUNTIF('D211'!F5,"Aula 11"))&gt;0,1,0)+IF((COUNTIF('D311'!F5,"Aula 11"))&gt;0,1,0)+IF((COUNTIF('D411'!F5,"Aula 11"))&gt;0,1,0))=1,IF((COUNTIF('C111'!F5,"Aula 11")+COUNTIF('C112'!F5,"Aula 11")+COUNTIF('C113'!F5,"Aula 11")+COUNTIF('C121'!F5,"Aula 11")+COUNTIF('C122'!F5,"Aula 11"))&gt;0,"C1",IF((COUNTIF('C211'!F5,"Aula 11")+COUNTIF('C212'!F5,"Aula 11"))&gt;0,"C2",IF((COUNTIF('C311'!F5,"Aula 11")+COUNTIF('C312'!F5,"Aula 11"))&gt;0,"C3",IF((COUNTIF('C411'!F5,"Aula 11")+COUNTIF('C412'!F5,"Aula 11"))&gt;0,"C4",IF((COUNTIF('M111'!F5,"Aula 11")+COUNTIF('M112'!F5,"Aula 11"))&gt;0,"M1",IF((COUNTIF('M211'!F5,"Aula 11")+COUNTIF('M212'!F5,"Aula 11"))&gt;0,"M2",IF((COUNTIF('M311'!F5,"Aula 11"))&gt;0,"M3",IF((COUNTIF('M411'!F5,"Aula 11"))&gt;0,"M4",IF((COUNTIF('D111'!F5,"Aula 11")+COUNTIF('D112'!F5,"Aula 11"))&gt;0,"D1",IF((COUNTIF('D211'!F5,"Aula 11"))&gt;0,"D2",IF((COUNTIF('D311'!F5,"Aula 11"))&gt;0,"D3",IF((COUNTIF('D411'!F5,"Aula 11"))&gt;0,"D4","")))))))))))),"MIX"))</f>
        <v/>
      </c>
    </row>
    <row r="372">
      <c r="C372">
        <f>IF((IF((COUNTIF('C111'!F5,"Aula 12")+COUNTIF('C112'!F5,"Aula 12")+COUNTIF('C113'!F5,"Aula 12")+COUNTIF('C121'!F5,"Aula 12")+COUNTIF('C122'!F5,"Aula 12"))&gt;0,1,0)+IF((COUNTIF('C211'!F5,"Aula 12")+COUNTIF('C212'!F5,"Aula 12"))&gt;0,1,0)+IF((COUNTIF('C311'!F5,"Aula 12")+COUNTIF('C312'!F5,"Aula 12"))&gt;0,1,0)+IF((COUNTIF('C411'!F5,"Aula 12")+COUNTIF('C412'!F5,"Aula 12"))&gt;0,1,0)+IF((COUNTIF('M111'!F5,"Aula 12")+COUNTIF('M112'!F5,"Aula 12"))&gt;0,1,0)+IF((COUNTIF('M211'!F5,"Aula 12")+COUNTIF('M212'!F5,"Aula 12"))&gt;0,1,0)+IF((COUNTIF('M311'!F5,"Aula 12"))&gt;0,1,0)+IF((COUNTIF('M411'!F5,"Aula 12"))&gt;0,1,0)+IF((COUNTIF('D111'!F5,"Aula 12")+COUNTIF('D112'!F5,"Aula 12"))&gt;0,1,0)+IF((COUNTIF('D211'!F5,"Aula 12"))&gt;0,1,0)+IF((COUNTIF('D311'!F5,"Aula 12"))&gt;0,1,0)+IF((COUNTIF('D411'!F5,"Aula 12"))&gt;0,1,0))=0,"",IF((IF((COUNTIF('C111'!F5,"Aula 12")+COUNTIF('C112'!F5,"Aula 12")+COUNTIF('C113'!F5,"Aula 12")+COUNTIF('C121'!F5,"Aula 12")+COUNTIF('C122'!F5,"Aula 12"))&gt;0,1,0)+IF((COUNTIF('C211'!F5,"Aula 12")+COUNTIF('C212'!F5,"Aula 12"))&gt;0,1,0)+IF((COUNTIF('C311'!F5,"Aula 12")+COUNTIF('C312'!F5,"Aula 12"))&gt;0,1,0)+IF((COUNTIF('C411'!F5,"Aula 12")+COUNTIF('C412'!F5,"Aula 12"))&gt;0,1,0)+IF((COUNTIF('M111'!F5,"Aula 12")+COUNTIF('M112'!F5,"Aula 12"))&gt;0,1,0)+IF((COUNTIF('M211'!F5,"Aula 12")+COUNTIF('M212'!F5,"Aula 12"))&gt;0,1,0)+IF((COUNTIF('M311'!F5,"Aula 12"))&gt;0,1,0)+IF((COUNTIF('M411'!F5,"Aula 12"))&gt;0,1,0)+IF((COUNTIF('D111'!F5,"Aula 12")+COUNTIF('D112'!F5,"Aula 12"))&gt;0,1,0)+IF((COUNTIF('D211'!F5,"Aula 12"))&gt;0,1,0)+IF((COUNTIF('D311'!F5,"Aula 12"))&gt;0,1,0)+IF((COUNTIF('D411'!F5,"Aula 12"))&gt;0,1,0))=1,IF((COUNTIF('C111'!F5,"Aula 12")+COUNTIF('C112'!F5,"Aula 12")+COUNTIF('C113'!F5,"Aula 12")+COUNTIF('C121'!F5,"Aula 12")+COUNTIF('C122'!F5,"Aula 12"))&gt;0,"C1",IF((COUNTIF('C211'!F5,"Aula 12")+COUNTIF('C212'!F5,"Aula 12"))&gt;0,"C2",IF((COUNTIF('C311'!F5,"Aula 12")+COUNTIF('C312'!F5,"Aula 12"))&gt;0,"C3",IF((COUNTIF('C411'!F5,"Aula 12")+COUNTIF('C412'!F5,"Aula 12"))&gt;0,"C4",IF((COUNTIF('M111'!F5,"Aula 12")+COUNTIF('M112'!F5,"Aula 12"))&gt;0,"M1",IF((COUNTIF('M211'!F5,"Aula 12")+COUNTIF('M212'!F5,"Aula 12"))&gt;0,"M2",IF((COUNTIF('M311'!F5,"Aula 12"))&gt;0,"M3",IF((COUNTIF('M411'!F5,"Aula 12"))&gt;0,"M4",IF((COUNTIF('D111'!F5,"Aula 12")+COUNTIF('D112'!F5,"Aula 12"))&gt;0,"D1",IF((COUNTIF('D211'!F5,"Aula 12"))&gt;0,"D2",IF((COUNTIF('D311'!F5,"Aula 12"))&gt;0,"D3",IF((COUNTIF('D411'!F5,"Aula 12"))&gt;0,"D4","")))))))))))),"MIX"))</f>
        <v/>
      </c>
    </row>
    <row r="373">
      <c r="C373">
        <f>IF((IF((COUNTIF('C111'!F5,"Lab 1")+COUNTIF('C112'!F5,"Lab 1")+COUNTIF('C113'!F5,"Lab 1")+COUNTIF('C121'!F5,"Lab 1")+COUNTIF('C122'!F5,"Lab 1"))&gt;0,1,0)+IF((COUNTIF('C211'!F5,"Lab 1")+COUNTIF('C212'!F5,"Lab 1"))&gt;0,1,0)+IF((COUNTIF('C311'!F5,"Lab 1")+COUNTIF('C312'!F5,"Lab 1"))&gt;0,1,0)+IF((COUNTIF('C411'!F5,"Lab 1")+COUNTIF('C412'!F5,"Lab 1"))&gt;0,1,0)+IF((COUNTIF('M111'!F5,"Lab 1")+COUNTIF('M112'!F5,"Lab 1"))&gt;0,1,0)+IF((COUNTIF('M211'!F5,"Lab 1")+COUNTIF('M212'!F5,"Lab 1"))&gt;0,1,0)+IF((COUNTIF('M311'!F5,"Lab 1"))&gt;0,1,0)+IF((COUNTIF('M411'!F5,"Lab 1"))&gt;0,1,0)+IF((COUNTIF('D111'!F5,"Lab 1")+COUNTIF('D112'!F5,"Lab 1"))&gt;0,1,0)+IF((COUNTIF('D211'!F5,"Lab 1"))&gt;0,1,0)+IF((COUNTIF('D311'!F5,"Lab 1"))&gt;0,1,0)+IF((COUNTIF('D411'!F5,"Lab 1"))&gt;0,1,0))=0,"",IF((IF((COUNTIF('C111'!F5,"Lab 1")+COUNTIF('C112'!F5,"Lab 1")+COUNTIF('C113'!F5,"Lab 1")+COUNTIF('C121'!F5,"Lab 1")+COUNTIF('C122'!F5,"Lab 1"))&gt;0,1,0)+IF((COUNTIF('C211'!F5,"Lab 1")+COUNTIF('C212'!F5,"Lab 1"))&gt;0,1,0)+IF((COUNTIF('C311'!F5,"Lab 1")+COUNTIF('C312'!F5,"Lab 1"))&gt;0,1,0)+IF((COUNTIF('C411'!F5,"Lab 1")+COUNTIF('C412'!F5,"Lab 1"))&gt;0,1,0)+IF((COUNTIF('M111'!F5,"Lab 1")+COUNTIF('M112'!F5,"Lab 1"))&gt;0,1,0)+IF((COUNTIF('M211'!F5,"Lab 1")+COUNTIF('M212'!F5,"Lab 1"))&gt;0,1,0)+IF((COUNTIF('M311'!F5,"Lab 1"))&gt;0,1,0)+IF((COUNTIF('M411'!F5,"Lab 1"))&gt;0,1,0)+IF((COUNTIF('D111'!F5,"Lab 1")+COUNTIF('D112'!F5,"Lab 1"))&gt;0,1,0)+IF((COUNTIF('D211'!F5,"Lab 1"))&gt;0,1,0)+IF((COUNTIF('D311'!F5,"Lab 1"))&gt;0,1,0)+IF((COUNTIF('D411'!F5,"Lab 1"))&gt;0,1,0))=1,IF((COUNTIF('C111'!F5,"Lab 1")+COUNTIF('C112'!F5,"Lab 1")+COUNTIF('C113'!F5,"Lab 1")+COUNTIF('C121'!F5,"Lab 1")+COUNTIF('C122'!F5,"Lab 1"))&gt;0,"C1",IF((COUNTIF('C211'!F5,"Lab 1")+COUNTIF('C212'!F5,"Lab 1"))&gt;0,"C2",IF((COUNTIF('C311'!F5,"Lab 1")+COUNTIF('C312'!F5,"Lab 1"))&gt;0,"C3",IF((COUNTIF('C411'!F5,"Lab 1")+COUNTIF('C412'!F5,"Lab 1"))&gt;0,"C4",IF((COUNTIF('M111'!F5,"Lab 1")+COUNTIF('M112'!F5,"Lab 1"))&gt;0,"M1",IF((COUNTIF('M211'!F5,"Lab 1")+COUNTIF('M212'!F5,"Lab 1"))&gt;0,"M2",IF((COUNTIF('M311'!F5,"Lab 1"))&gt;0,"M3",IF((COUNTIF('M411'!F5,"Lab 1"))&gt;0,"M4",IF((COUNTIF('D111'!F5,"Lab 1")+COUNTIF('D112'!F5,"Lab 1"))&gt;0,"D1",IF((COUNTIF('D211'!F5,"Lab 1"))&gt;0,"D2",IF((COUNTIF('D311'!F5,"Lab 1"))&gt;0,"D3",IF((COUNTIF('D411'!F5,"Lab 1"))&gt;0,"D4","")))))))))))),"MIX"))</f>
        <v/>
      </c>
    </row>
    <row r="374">
      <c r="C374">
        <f>IF((IF((COUNTIF('C111'!F5,"Lab 2")+COUNTIF('C112'!F5,"Lab 2")+COUNTIF('C113'!F5,"Lab 2")+COUNTIF('C121'!F5,"Lab 2")+COUNTIF('C122'!F5,"Lab 2"))&gt;0,1,0)+IF((COUNTIF('C211'!F5,"Lab 2")+COUNTIF('C212'!F5,"Lab 2"))&gt;0,1,0)+IF((COUNTIF('C311'!F5,"Lab 2")+COUNTIF('C312'!F5,"Lab 2"))&gt;0,1,0)+IF((COUNTIF('C411'!F5,"Lab 2")+COUNTIF('C412'!F5,"Lab 2"))&gt;0,1,0)+IF((COUNTIF('M111'!F5,"Lab 2")+COUNTIF('M112'!F5,"Lab 2"))&gt;0,1,0)+IF((COUNTIF('M211'!F5,"Lab 2")+COUNTIF('M212'!F5,"Lab 2"))&gt;0,1,0)+IF((COUNTIF('M311'!F5,"Lab 2"))&gt;0,1,0)+IF((COUNTIF('M411'!F5,"Lab 2"))&gt;0,1,0)+IF((COUNTIF('D111'!F5,"Lab 2")+COUNTIF('D112'!F5,"Lab 2"))&gt;0,1,0)+IF((COUNTIF('D211'!F5,"Lab 2"))&gt;0,1,0)+IF((COUNTIF('D311'!F5,"Lab 2"))&gt;0,1,0)+IF((COUNTIF('D411'!F5,"Lab 2"))&gt;0,1,0))=0,"",IF((IF((COUNTIF('C111'!F5,"Lab 2")+COUNTIF('C112'!F5,"Lab 2")+COUNTIF('C113'!F5,"Lab 2")+COUNTIF('C121'!F5,"Lab 2")+COUNTIF('C122'!F5,"Lab 2"))&gt;0,1,0)+IF((COUNTIF('C211'!F5,"Lab 2")+COUNTIF('C212'!F5,"Lab 2"))&gt;0,1,0)+IF((COUNTIF('C311'!F5,"Lab 2")+COUNTIF('C312'!F5,"Lab 2"))&gt;0,1,0)+IF((COUNTIF('C411'!F5,"Lab 2")+COUNTIF('C412'!F5,"Lab 2"))&gt;0,1,0)+IF((COUNTIF('M111'!F5,"Lab 2")+COUNTIF('M112'!F5,"Lab 2"))&gt;0,1,0)+IF((COUNTIF('M211'!F5,"Lab 2")+COUNTIF('M212'!F5,"Lab 2"))&gt;0,1,0)+IF((COUNTIF('M311'!F5,"Lab 2"))&gt;0,1,0)+IF((COUNTIF('M411'!F5,"Lab 2"))&gt;0,1,0)+IF((COUNTIF('D111'!F5,"Lab 2")+COUNTIF('D112'!F5,"Lab 2"))&gt;0,1,0)+IF((COUNTIF('D211'!F5,"Lab 2"))&gt;0,1,0)+IF((COUNTIF('D311'!F5,"Lab 2"))&gt;0,1,0)+IF((COUNTIF('D411'!F5,"Lab 2"))&gt;0,1,0))=1,IF((COUNTIF('C111'!F5,"Lab 2")+COUNTIF('C112'!F5,"Lab 2")+COUNTIF('C113'!F5,"Lab 2")+COUNTIF('C121'!F5,"Lab 2")+COUNTIF('C122'!F5,"Lab 2"))&gt;0,"C1",IF((COUNTIF('C211'!F5,"Lab 2")+COUNTIF('C212'!F5,"Lab 2"))&gt;0,"C2",IF((COUNTIF('C311'!F5,"Lab 2")+COUNTIF('C312'!F5,"Lab 2"))&gt;0,"C3",IF((COUNTIF('C411'!F5,"Lab 2")+COUNTIF('C412'!F5,"Lab 2"))&gt;0,"C4",IF((COUNTIF('M111'!F5,"Lab 2")+COUNTIF('M112'!F5,"Lab 2"))&gt;0,"M1",IF((COUNTIF('M211'!F5,"Lab 2")+COUNTIF('M212'!F5,"Lab 2"))&gt;0,"M2",IF((COUNTIF('M311'!F5,"Lab 2"))&gt;0,"M3",IF((COUNTIF('M411'!F5,"Lab 2"))&gt;0,"M4",IF((COUNTIF('D111'!F5,"Lab 2")+COUNTIF('D112'!F5,"Lab 2"))&gt;0,"D1",IF((COUNTIF('D211'!F5,"Lab 2"))&gt;0,"D2",IF((COUNTIF('D311'!F5,"Lab 2"))&gt;0,"D3",IF((COUNTIF('D411'!F5,"Lab 2"))&gt;0,"D4","")))))))))))),"MIX"))</f>
        <v/>
      </c>
    </row>
    <row r="375">
      <c r="C375">
        <f>IF((IF((COUNTIF('C111'!F5,"Salón")+COUNTIF('C112'!F5,"Salón")+COUNTIF('C113'!F5,"Salón")+COUNTIF('C121'!F5,"Salón")+COUNTIF('C122'!F5,"Salón"))&gt;0,1,0)+IF((COUNTIF('C211'!F5,"Salón")+COUNTIF('C212'!F5,"Salón"))&gt;0,1,0)+IF((COUNTIF('C311'!F5,"Salón")+COUNTIF('C312'!F5,"Salón"))&gt;0,1,0)+IF((COUNTIF('C411'!F5,"Salón")+COUNTIF('C412'!F5,"Salón"))&gt;0,1,0)+IF((COUNTIF('M111'!F5,"Salón")+COUNTIF('M112'!F5,"Salón"))&gt;0,1,0)+IF((COUNTIF('M211'!F5,"Salón")+COUNTIF('M212'!F5,"Salón"))&gt;0,1,0)+IF((COUNTIF('M311'!F5,"Salón"))&gt;0,1,0)+IF((COUNTIF('M411'!F5,"Salón"))&gt;0,1,0)+IF((COUNTIF('D111'!F5,"Salón")+COUNTIF('D112'!F5,"Salón"))&gt;0,1,0)+IF((COUNTIF('D211'!F5,"Salón"))&gt;0,1,0)+IF((COUNTIF('D311'!F5,"Salón"))&gt;0,1,0)+IF((COUNTIF('D411'!F5,"Salón"))&gt;0,1,0))=0,"",IF((IF((COUNTIF('C111'!F5,"Salón")+COUNTIF('C112'!F5,"Salón")+COUNTIF('C113'!F5,"Salón")+COUNTIF('C121'!F5,"Salón")+COUNTIF('C122'!F5,"Salón"))&gt;0,1,0)+IF((COUNTIF('C211'!F5,"Salón")+COUNTIF('C212'!F5,"Salón"))&gt;0,1,0)+IF((COUNTIF('C311'!F5,"Salón")+COUNTIF('C312'!F5,"Salón"))&gt;0,1,0)+IF((COUNTIF('C411'!F5,"Salón")+COUNTIF('C412'!F5,"Salón"))&gt;0,1,0)+IF((COUNTIF('M111'!F5,"Salón")+COUNTIF('M112'!F5,"Salón"))&gt;0,1,0)+IF((COUNTIF('M211'!F5,"Salón")+COUNTIF('M212'!F5,"Salón"))&gt;0,1,0)+IF((COUNTIF('M311'!F5,"Salón"))&gt;0,1,0)+IF((COUNTIF('M411'!F5,"Salón"))&gt;0,1,0)+IF((COUNTIF('D111'!F5,"Salón")+COUNTIF('D112'!F5,"Salón"))&gt;0,1,0)+IF((COUNTIF('D211'!F5,"Salón"))&gt;0,1,0)+IF((COUNTIF('D311'!F5,"Salón"))&gt;0,1,0)+IF((COUNTIF('D411'!F5,"Salón"))&gt;0,1,0))=1,IF((COUNTIF('C111'!F5,"Salón")+COUNTIF('C112'!F5,"Salón")+COUNTIF('C113'!F5,"Salón")+COUNTIF('C121'!F5,"Salón")+COUNTIF('C122'!F5,"Salón"))&gt;0,"C1",IF((COUNTIF('C211'!F5,"Salón")+COUNTIF('C212'!F5,"Salón"))&gt;0,"C2",IF((COUNTIF('C311'!F5,"Salón")+COUNTIF('C312'!F5,"Salón"))&gt;0,"C3",IF((COUNTIF('C411'!F5,"Salón")+COUNTIF('C412'!F5,"Salón"))&gt;0,"C4",IF((COUNTIF('M111'!F5,"Salón")+COUNTIF('M112'!F5,"Salón"))&gt;0,"M1",IF((COUNTIF('M211'!F5,"Salón")+COUNTIF('M212'!F5,"Salón"))&gt;0,"M2",IF((COUNTIF('M311'!F5,"Salón"))&gt;0,"M3",IF((COUNTIF('M411'!F5,"Salón"))&gt;0,"M4",IF((COUNTIF('D111'!F5,"Salón")+COUNTIF('D112'!F5,"Salón"))&gt;0,"D1",IF((COUNTIF('D211'!F5,"Salón"))&gt;0,"D2",IF((COUNTIF('D311'!F5,"Salón"))&gt;0,"D3",IF((COUNTIF('D411'!F5,"Salón"))&gt;0,"D4","")))))))))))),"MIX"))</f>
        <v/>
      </c>
    </row>
    <row r="376">
      <c r="C376">
        <f>IF((IF((COUNTIF('C111'!F7,"Aula 1")+COUNTIF('C112'!F7,"Aula 1")+COUNTIF('C113'!F7,"Aula 1")+COUNTIF('C121'!F7,"Aula 1")+COUNTIF('C122'!F7,"Aula 1"))&gt;0,1,0)+IF((COUNTIF('C211'!F7,"Aula 1")+COUNTIF('C212'!F7,"Aula 1"))&gt;0,1,0)+IF((COUNTIF('C311'!F7,"Aula 1")+COUNTIF('C312'!F7,"Aula 1"))&gt;0,1,0)+IF((COUNTIF('C411'!F7,"Aula 1")+COUNTIF('C412'!F7,"Aula 1"))&gt;0,1,0)+IF((COUNTIF('M111'!F7,"Aula 1")+COUNTIF('M112'!F7,"Aula 1"))&gt;0,1,0)+IF((COUNTIF('M211'!F7,"Aula 1")+COUNTIF('M212'!F7,"Aula 1"))&gt;0,1,0)+IF((COUNTIF('M311'!F7,"Aula 1"))&gt;0,1,0)+IF((COUNTIF('M411'!F7,"Aula 1"))&gt;0,1,0)+IF((COUNTIF('D111'!F7,"Aula 1")+COUNTIF('D112'!F7,"Aula 1"))&gt;0,1,0)+IF((COUNTIF('D211'!F7,"Aula 1"))&gt;0,1,0)+IF((COUNTIF('D311'!F7,"Aula 1"))&gt;0,1,0)+IF((COUNTIF('D411'!F7,"Aula 1"))&gt;0,1,0))=0,"",IF((IF((COUNTIF('C111'!F7,"Aula 1")+COUNTIF('C112'!F7,"Aula 1")+COUNTIF('C113'!F7,"Aula 1")+COUNTIF('C121'!F7,"Aula 1")+COUNTIF('C122'!F7,"Aula 1"))&gt;0,1,0)+IF((COUNTIF('C211'!F7,"Aula 1")+COUNTIF('C212'!F7,"Aula 1"))&gt;0,1,0)+IF((COUNTIF('C311'!F7,"Aula 1")+COUNTIF('C312'!F7,"Aula 1"))&gt;0,1,0)+IF((COUNTIF('C411'!F7,"Aula 1")+COUNTIF('C412'!F7,"Aula 1"))&gt;0,1,0)+IF((COUNTIF('M111'!F7,"Aula 1")+COUNTIF('M112'!F7,"Aula 1"))&gt;0,1,0)+IF((COUNTIF('M211'!F7,"Aula 1")+COUNTIF('M212'!F7,"Aula 1"))&gt;0,1,0)+IF((COUNTIF('M311'!F7,"Aula 1"))&gt;0,1,0)+IF((COUNTIF('M411'!F7,"Aula 1"))&gt;0,1,0)+IF((COUNTIF('D111'!F7,"Aula 1")+COUNTIF('D112'!F7,"Aula 1"))&gt;0,1,0)+IF((COUNTIF('D211'!F7,"Aula 1"))&gt;0,1,0)+IF((COUNTIF('D311'!F7,"Aula 1"))&gt;0,1,0)+IF((COUNTIF('D411'!F7,"Aula 1"))&gt;0,1,0))=1,IF((COUNTIF('C111'!F7,"Aula 1")+COUNTIF('C112'!F7,"Aula 1")+COUNTIF('C113'!F7,"Aula 1")+COUNTIF('C121'!F7,"Aula 1")+COUNTIF('C122'!F7,"Aula 1"))&gt;0,"C1",IF((COUNTIF('C211'!F7,"Aula 1")+COUNTIF('C212'!F7,"Aula 1"))&gt;0,"C2",IF((COUNTIF('C311'!F7,"Aula 1")+COUNTIF('C312'!F7,"Aula 1"))&gt;0,"C3",IF((COUNTIF('C411'!F7,"Aula 1")+COUNTIF('C412'!F7,"Aula 1"))&gt;0,"C4",IF((COUNTIF('M111'!F7,"Aula 1")+COUNTIF('M112'!F7,"Aula 1"))&gt;0,"M1",IF((COUNTIF('M211'!F7,"Aula 1")+COUNTIF('M212'!F7,"Aula 1"))&gt;0,"M2",IF((COUNTIF('M311'!F7,"Aula 1"))&gt;0,"M3",IF((COUNTIF('M411'!F7,"Aula 1"))&gt;0,"M4",IF((COUNTIF('D111'!F7,"Aula 1")+COUNTIF('D112'!F7,"Aula 1"))&gt;0,"D1",IF((COUNTIF('D211'!F7,"Aula 1"))&gt;0,"D2",IF((COUNTIF('D311'!F7,"Aula 1"))&gt;0,"D3",IF((COUNTIF('D411'!F7,"Aula 1"))&gt;0,"D4","")))))))))))),"MIX"))</f>
        <v/>
      </c>
    </row>
    <row r="377">
      <c r="C377">
        <f>IF((IF((COUNTIF('C111'!F7,"Aula 2")+COUNTIF('C112'!F7,"Aula 2")+COUNTIF('C113'!F7,"Aula 2")+COUNTIF('C121'!F7,"Aula 2")+COUNTIF('C122'!F7,"Aula 2"))&gt;0,1,0)+IF((COUNTIF('C211'!F7,"Aula 2")+COUNTIF('C212'!F7,"Aula 2"))&gt;0,1,0)+IF((COUNTIF('C311'!F7,"Aula 2")+COUNTIF('C312'!F7,"Aula 2"))&gt;0,1,0)+IF((COUNTIF('C411'!F7,"Aula 2")+COUNTIF('C412'!F7,"Aula 2"))&gt;0,1,0)+IF((COUNTIF('M111'!F7,"Aula 2")+COUNTIF('M112'!F7,"Aula 2"))&gt;0,1,0)+IF((COUNTIF('M211'!F7,"Aula 2")+COUNTIF('M212'!F7,"Aula 2"))&gt;0,1,0)+IF((COUNTIF('M311'!F7,"Aula 2"))&gt;0,1,0)+IF((COUNTIF('M411'!F7,"Aula 2"))&gt;0,1,0)+IF((COUNTIF('D111'!F7,"Aula 2")+COUNTIF('D112'!F7,"Aula 2"))&gt;0,1,0)+IF((COUNTIF('D211'!F7,"Aula 2"))&gt;0,1,0)+IF((COUNTIF('D311'!F7,"Aula 2"))&gt;0,1,0)+IF((COUNTIF('D411'!F7,"Aula 2"))&gt;0,1,0))=0,"",IF((IF((COUNTIF('C111'!F7,"Aula 2")+COUNTIF('C112'!F7,"Aula 2")+COUNTIF('C113'!F7,"Aula 2")+COUNTIF('C121'!F7,"Aula 2")+COUNTIF('C122'!F7,"Aula 2"))&gt;0,1,0)+IF((COUNTIF('C211'!F7,"Aula 2")+COUNTIF('C212'!F7,"Aula 2"))&gt;0,1,0)+IF((COUNTIF('C311'!F7,"Aula 2")+COUNTIF('C312'!F7,"Aula 2"))&gt;0,1,0)+IF((COUNTIF('C411'!F7,"Aula 2")+COUNTIF('C412'!F7,"Aula 2"))&gt;0,1,0)+IF((COUNTIF('M111'!F7,"Aula 2")+COUNTIF('M112'!F7,"Aula 2"))&gt;0,1,0)+IF((COUNTIF('M211'!F7,"Aula 2")+COUNTIF('M212'!F7,"Aula 2"))&gt;0,1,0)+IF((COUNTIF('M311'!F7,"Aula 2"))&gt;0,1,0)+IF((COUNTIF('M411'!F7,"Aula 2"))&gt;0,1,0)+IF((COUNTIF('D111'!F7,"Aula 2")+COUNTIF('D112'!F7,"Aula 2"))&gt;0,1,0)+IF((COUNTIF('D211'!F7,"Aula 2"))&gt;0,1,0)+IF((COUNTIF('D311'!F7,"Aula 2"))&gt;0,1,0)+IF((COUNTIF('D411'!F7,"Aula 2"))&gt;0,1,0))=1,IF((COUNTIF('C111'!F7,"Aula 2")+COUNTIF('C112'!F7,"Aula 2")+COUNTIF('C113'!F7,"Aula 2")+COUNTIF('C121'!F7,"Aula 2")+COUNTIF('C122'!F7,"Aula 2"))&gt;0,"C1",IF((COUNTIF('C211'!F7,"Aula 2")+COUNTIF('C212'!F7,"Aula 2"))&gt;0,"C2",IF((COUNTIF('C311'!F7,"Aula 2")+COUNTIF('C312'!F7,"Aula 2"))&gt;0,"C3",IF((COUNTIF('C411'!F7,"Aula 2")+COUNTIF('C412'!F7,"Aula 2"))&gt;0,"C4",IF((COUNTIF('M111'!F7,"Aula 2")+COUNTIF('M112'!F7,"Aula 2"))&gt;0,"M1",IF((COUNTIF('M211'!F7,"Aula 2")+COUNTIF('M212'!F7,"Aula 2"))&gt;0,"M2",IF((COUNTIF('M311'!F7,"Aula 2"))&gt;0,"M3",IF((COUNTIF('M411'!F7,"Aula 2"))&gt;0,"M4",IF((COUNTIF('D111'!F7,"Aula 2")+COUNTIF('D112'!F7,"Aula 2"))&gt;0,"D1",IF((COUNTIF('D211'!F7,"Aula 2"))&gt;0,"D2",IF((COUNTIF('D311'!F7,"Aula 2"))&gt;0,"D3",IF((COUNTIF('D411'!F7,"Aula 2"))&gt;0,"D4","")))))))))))),"MIX"))</f>
        <v/>
      </c>
    </row>
    <row r="378">
      <c r="C378">
        <f>IF((IF((COUNTIF('C111'!F7,"Aula 3")+COUNTIF('C112'!F7,"Aula 3")+COUNTIF('C113'!F7,"Aula 3")+COUNTIF('C121'!F7,"Aula 3")+COUNTIF('C122'!F7,"Aula 3"))&gt;0,1,0)+IF((COUNTIF('C211'!F7,"Aula 3")+COUNTIF('C212'!F7,"Aula 3"))&gt;0,1,0)+IF((COUNTIF('C311'!F7,"Aula 3")+COUNTIF('C312'!F7,"Aula 3"))&gt;0,1,0)+IF((COUNTIF('C411'!F7,"Aula 3")+COUNTIF('C412'!F7,"Aula 3"))&gt;0,1,0)+IF((COUNTIF('M111'!F7,"Aula 3")+COUNTIF('M112'!F7,"Aula 3"))&gt;0,1,0)+IF((COUNTIF('M211'!F7,"Aula 3")+COUNTIF('M212'!F7,"Aula 3"))&gt;0,1,0)+IF((COUNTIF('M311'!F7,"Aula 3"))&gt;0,1,0)+IF((COUNTIF('M411'!F7,"Aula 3"))&gt;0,1,0)+IF((COUNTIF('D111'!F7,"Aula 3")+COUNTIF('D112'!F7,"Aula 3"))&gt;0,1,0)+IF((COUNTIF('D211'!F7,"Aula 3"))&gt;0,1,0)+IF((COUNTIF('D311'!F7,"Aula 3"))&gt;0,1,0)+IF((COUNTIF('D411'!F7,"Aula 3"))&gt;0,1,0))=0,"",IF((IF((COUNTIF('C111'!F7,"Aula 3")+COUNTIF('C112'!F7,"Aula 3")+COUNTIF('C113'!F7,"Aula 3")+COUNTIF('C121'!F7,"Aula 3")+COUNTIF('C122'!F7,"Aula 3"))&gt;0,1,0)+IF((COUNTIF('C211'!F7,"Aula 3")+COUNTIF('C212'!F7,"Aula 3"))&gt;0,1,0)+IF((COUNTIF('C311'!F7,"Aula 3")+COUNTIF('C312'!F7,"Aula 3"))&gt;0,1,0)+IF((COUNTIF('C411'!F7,"Aula 3")+COUNTIF('C412'!F7,"Aula 3"))&gt;0,1,0)+IF((COUNTIF('M111'!F7,"Aula 3")+COUNTIF('M112'!F7,"Aula 3"))&gt;0,1,0)+IF((COUNTIF('M211'!F7,"Aula 3")+COUNTIF('M212'!F7,"Aula 3"))&gt;0,1,0)+IF((COUNTIF('M311'!F7,"Aula 3"))&gt;0,1,0)+IF((COUNTIF('M411'!F7,"Aula 3"))&gt;0,1,0)+IF((COUNTIF('D111'!F7,"Aula 3")+COUNTIF('D112'!F7,"Aula 3"))&gt;0,1,0)+IF((COUNTIF('D211'!F7,"Aula 3"))&gt;0,1,0)+IF((COUNTIF('D311'!F7,"Aula 3"))&gt;0,1,0)+IF((COUNTIF('D411'!F7,"Aula 3"))&gt;0,1,0))=1,IF((COUNTIF('C111'!F7,"Aula 3")+COUNTIF('C112'!F7,"Aula 3")+COUNTIF('C113'!F7,"Aula 3")+COUNTIF('C121'!F7,"Aula 3")+COUNTIF('C122'!F7,"Aula 3"))&gt;0,"C1",IF((COUNTIF('C211'!F7,"Aula 3")+COUNTIF('C212'!F7,"Aula 3"))&gt;0,"C2",IF((COUNTIF('C311'!F7,"Aula 3")+COUNTIF('C312'!F7,"Aula 3"))&gt;0,"C3",IF((COUNTIF('C411'!F7,"Aula 3")+COUNTIF('C412'!F7,"Aula 3"))&gt;0,"C4",IF((COUNTIF('M111'!F7,"Aula 3")+COUNTIF('M112'!F7,"Aula 3"))&gt;0,"M1",IF((COUNTIF('M211'!F7,"Aula 3")+COUNTIF('M212'!F7,"Aula 3"))&gt;0,"M2",IF((COUNTIF('M311'!F7,"Aula 3"))&gt;0,"M3",IF((COUNTIF('M411'!F7,"Aula 3"))&gt;0,"M4",IF((COUNTIF('D111'!F7,"Aula 3")+COUNTIF('D112'!F7,"Aula 3"))&gt;0,"D1",IF((COUNTIF('D211'!F7,"Aula 3"))&gt;0,"D2",IF((COUNTIF('D311'!F7,"Aula 3"))&gt;0,"D3",IF((COUNTIF('D411'!F7,"Aula 3"))&gt;0,"D4","")))))))))))),"MIX"))</f>
        <v/>
      </c>
    </row>
    <row r="379">
      <c r="C379">
        <f>IF((IF((COUNTIF('C111'!F7,"Aula 4")+COUNTIF('C112'!F7,"Aula 4")+COUNTIF('C113'!F7,"Aula 4")+COUNTIF('C121'!F7,"Aula 4")+COUNTIF('C122'!F7,"Aula 4"))&gt;0,1,0)+IF((COUNTIF('C211'!F7,"Aula 4")+COUNTIF('C212'!F7,"Aula 4"))&gt;0,1,0)+IF((COUNTIF('C311'!F7,"Aula 4")+COUNTIF('C312'!F7,"Aula 4"))&gt;0,1,0)+IF((COUNTIF('C411'!F7,"Aula 4")+COUNTIF('C412'!F7,"Aula 4"))&gt;0,1,0)+IF((COUNTIF('M111'!F7,"Aula 4")+COUNTIF('M112'!F7,"Aula 4"))&gt;0,1,0)+IF((COUNTIF('M211'!F7,"Aula 4")+COUNTIF('M212'!F7,"Aula 4"))&gt;0,1,0)+IF((COUNTIF('M311'!F7,"Aula 4"))&gt;0,1,0)+IF((COUNTIF('M411'!F7,"Aula 4"))&gt;0,1,0)+IF((COUNTIF('D111'!F7,"Aula 4")+COUNTIF('D112'!F7,"Aula 4"))&gt;0,1,0)+IF((COUNTIF('D211'!F7,"Aula 4"))&gt;0,1,0)+IF((COUNTIF('D311'!F7,"Aula 4"))&gt;0,1,0)+IF((COUNTIF('D411'!F7,"Aula 4"))&gt;0,1,0))=0,"",IF((IF((COUNTIF('C111'!F7,"Aula 4")+COUNTIF('C112'!F7,"Aula 4")+COUNTIF('C113'!F7,"Aula 4")+COUNTIF('C121'!F7,"Aula 4")+COUNTIF('C122'!F7,"Aula 4"))&gt;0,1,0)+IF((COUNTIF('C211'!F7,"Aula 4")+COUNTIF('C212'!F7,"Aula 4"))&gt;0,1,0)+IF((COUNTIF('C311'!F7,"Aula 4")+COUNTIF('C312'!F7,"Aula 4"))&gt;0,1,0)+IF((COUNTIF('C411'!F7,"Aula 4")+COUNTIF('C412'!F7,"Aula 4"))&gt;0,1,0)+IF((COUNTIF('M111'!F7,"Aula 4")+COUNTIF('M112'!F7,"Aula 4"))&gt;0,1,0)+IF((COUNTIF('M211'!F7,"Aula 4")+COUNTIF('M212'!F7,"Aula 4"))&gt;0,1,0)+IF((COUNTIF('M311'!F7,"Aula 4"))&gt;0,1,0)+IF((COUNTIF('M411'!F7,"Aula 4"))&gt;0,1,0)+IF((COUNTIF('D111'!F7,"Aula 4")+COUNTIF('D112'!F7,"Aula 4"))&gt;0,1,0)+IF((COUNTIF('D211'!F7,"Aula 4"))&gt;0,1,0)+IF((COUNTIF('D311'!F7,"Aula 4"))&gt;0,1,0)+IF((COUNTIF('D411'!F7,"Aula 4"))&gt;0,1,0))=1,IF((COUNTIF('C111'!F7,"Aula 4")+COUNTIF('C112'!F7,"Aula 4")+COUNTIF('C113'!F7,"Aula 4")+COUNTIF('C121'!F7,"Aula 4")+COUNTIF('C122'!F7,"Aula 4"))&gt;0,"C1",IF((COUNTIF('C211'!F7,"Aula 4")+COUNTIF('C212'!F7,"Aula 4"))&gt;0,"C2",IF((COUNTIF('C311'!F7,"Aula 4")+COUNTIF('C312'!F7,"Aula 4"))&gt;0,"C3",IF((COUNTIF('C411'!F7,"Aula 4")+COUNTIF('C412'!F7,"Aula 4"))&gt;0,"C4",IF((COUNTIF('M111'!F7,"Aula 4")+COUNTIF('M112'!F7,"Aula 4"))&gt;0,"M1",IF((COUNTIF('M211'!F7,"Aula 4")+COUNTIF('M212'!F7,"Aula 4"))&gt;0,"M2",IF((COUNTIF('M311'!F7,"Aula 4"))&gt;0,"M3",IF((COUNTIF('M411'!F7,"Aula 4"))&gt;0,"M4",IF((COUNTIF('D111'!F7,"Aula 4")+COUNTIF('D112'!F7,"Aula 4"))&gt;0,"D1",IF((COUNTIF('D211'!F7,"Aula 4"))&gt;0,"D2",IF((COUNTIF('D311'!F7,"Aula 4"))&gt;0,"D3",IF((COUNTIF('D411'!F7,"Aula 4"))&gt;0,"D4","")))))))))))),"MIX"))</f>
        <v/>
      </c>
    </row>
    <row r="380">
      <c r="C380">
        <f>IF((IF((COUNTIF('C111'!F7,"Aula 5")+COUNTIF('C112'!F7,"Aula 5")+COUNTIF('C113'!F7,"Aula 5")+COUNTIF('C121'!F7,"Aula 5")+COUNTIF('C122'!F7,"Aula 5"))&gt;0,1,0)+IF((COUNTIF('C211'!F7,"Aula 5")+COUNTIF('C212'!F7,"Aula 5"))&gt;0,1,0)+IF((COUNTIF('C311'!F7,"Aula 5")+COUNTIF('C312'!F7,"Aula 5"))&gt;0,1,0)+IF((COUNTIF('C411'!F7,"Aula 5")+COUNTIF('C412'!F7,"Aula 5"))&gt;0,1,0)+IF((COUNTIF('M111'!F7,"Aula 5")+COUNTIF('M112'!F7,"Aula 5"))&gt;0,1,0)+IF((COUNTIF('M211'!F7,"Aula 5")+COUNTIF('M212'!F7,"Aula 5"))&gt;0,1,0)+IF((COUNTIF('M311'!F7,"Aula 5"))&gt;0,1,0)+IF((COUNTIF('M411'!F7,"Aula 5"))&gt;0,1,0)+IF((COUNTIF('D111'!F7,"Aula 5")+COUNTIF('D112'!F7,"Aula 5"))&gt;0,1,0)+IF((COUNTIF('D211'!F7,"Aula 5"))&gt;0,1,0)+IF((COUNTIF('D311'!F7,"Aula 5"))&gt;0,1,0)+IF((COUNTIF('D411'!F7,"Aula 5"))&gt;0,1,0))=0,"",IF((IF((COUNTIF('C111'!F7,"Aula 5")+COUNTIF('C112'!F7,"Aula 5")+COUNTIF('C113'!F7,"Aula 5")+COUNTIF('C121'!F7,"Aula 5")+COUNTIF('C122'!F7,"Aula 5"))&gt;0,1,0)+IF((COUNTIF('C211'!F7,"Aula 5")+COUNTIF('C212'!F7,"Aula 5"))&gt;0,1,0)+IF((COUNTIF('C311'!F7,"Aula 5")+COUNTIF('C312'!F7,"Aula 5"))&gt;0,1,0)+IF((COUNTIF('C411'!F7,"Aula 5")+COUNTIF('C412'!F7,"Aula 5"))&gt;0,1,0)+IF((COUNTIF('M111'!F7,"Aula 5")+COUNTIF('M112'!F7,"Aula 5"))&gt;0,1,0)+IF((COUNTIF('M211'!F7,"Aula 5")+COUNTIF('M212'!F7,"Aula 5"))&gt;0,1,0)+IF((COUNTIF('M311'!F7,"Aula 5"))&gt;0,1,0)+IF((COUNTIF('M411'!F7,"Aula 5"))&gt;0,1,0)+IF((COUNTIF('D111'!F7,"Aula 5")+COUNTIF('D112'!F7,"Aula 5"))&gt;0,1,0)+IF((COUNTIF('D211'!F7,"Aula 5"))&gt;0,1,0)+IF((COUNTIF('D311'!F7,"Aula 5"))&gt;0,1,0)+IF((COUNTIF('D411'!F7,"Aula 5"))&gt;0,1,0))=1,IF((COUNTIF('C111'!F7,"Aula 5")+COUNTIF('C112'!F7,"Aula 5")+COUNTIF('C113'!F7,"Aula 5")+COUNTIF('C121'!F7,"Aula 5")+COUNTIF('C122'!F7,"Aula 5"))&gt;0,"C1",IF((COUNTIF('C211'!F7,"Aula 5")+COUNTIF('C212'!F7,"Aula 5"))&gt;0,"C2",IF((COUNTIF('C311'!F7,"Aula 5")+COUNTIF('C312'!F7,"Aula 5"))&gt;0,"C3",IF((COUNTIF('C411'!F7,"Aula 5")+COUNTIF('C412'!F7,"Aula 5"))&gt;0,"C4",IF((COUNTIF('M111'!F7,"Aula 5")+COUNTIF('M112'!F7,"Aula 5"))&gt;0,"M1",IF((COUNTIF('M211'!F7,"Aula 5")+COUNTIF('M212'!F7,"Aula 5"))&gt;0,"M2",IF((COUNTIF('M311'!F7,"Aula 5"))&gt;0,"M3",IF((COUNTIF('M411'!F7,"Aula 5"))&gt;0,"M4",IF((COUNTIF('D111'!F7,"Aula 5")+COUNTIF('D112'!F7,"Aula 5"))&gt;0,"D1",IF((COUNTIF('D211'!F7,"Aula 5"))&gt;0,"D2",IF((COUNTIF('D311'!F7,"Aula 5"))&gt;0,"D3",IF((COUNTIF('D411'!F7,"Aula 5"))&gt;0,"D4","")))))))))))),"MIX"))</f>
        <v/>
      </c>
    </row>
    <row r="381">
      <c r="C381">
        <f>IF((IF((COUNTIF('C111'!F7,"Aula 6")+COUNTIF('C112'!F7,"Aula 6")+COUNTIF('C113'!F7,"Aula 6")+COUNTIF('C121'!F7,"Aula 6")+COUNTIF('C122'!F7,"Aula 6"))&gt;0,1,0)+IF((COUNTIF('C211'!F7,"Aula 6")+COUNTIF('C212'!F7,"Aula 6"))&gt;0,1,0)+IF((COUNTIF('C311'!F7,"Aula 6")+COUNTIF('C312'!F7,"Aula 6"))&gt;0,1,0)+IF((COUNTIF('C411'!F7,"Aula 6")+COUNTIF('C412'!F7,"Aula 6"))&gt;0,1,0)+IF((COUNTIF('M111'!F7,"Aula 6")+COUNTIF('M112'!F7,"Aula 6"))&gt;0,1,0)+IF((COUNTIF('M211'!F7,"Aula 6")+COUNTIF('M212'!F7,"Aula 6"))&gt;0,1,0)+IF((COUNTIF('M311'!F7,"Aula 6"))&gt;0,1,0)+IF((COUNTIF('M411'!F7,"Aula 6"))&gt;0,1,0)+IF((COUNTIF('D111'!F7,"Aula 6")+COUNTIF('D112'!F7,"Aula 6"))&gt;0,1,0)+IF((COUNTIF('D211'!F7,"Aula 6"))&gt;0,1,0)+IF((COUNTIF('D311'!F7,"Aula 6"))&gt;0,1,0)+IF((COUNTIF('D411'!F7,"Aula 6"))&gt;0,1,0))=0,"",IF((IF((COUNTIF('C111'!F7,"Aula 6")+COUNTIF('C112'!F7,"Aula 6")+COUNTIF('C113'!F7,"Aula 6")+COUNTIF('C121'!F7,"Aula 6")+COUNTIF('C122'!F7,"Aula 6"))&gt;0,1,0)+IF((COUNTIF('C211'!F7,"Aula 6")+COUNTIF('C212'!F7,"Aula 6"))&gt;0,1,0)+IF((COUNTIF('C311'!F7,"Aula 6")+COUNTIF('C312'!F7,"Aula 6"))&gt;0,1,0)+IF((COUNTIF('C411'!F7,"Aula 6")+COUNTIF('C412'!F7,"Aula 6"))&gt;0,1,0)+IF((COUNTIF('M111'!F7,"Aula 6")+COUNTIF('M112'!F7,"Aula 6"))&gt;0,1,0)+IF((COUNTIF('M211'!F7,"Aula 6")+COUNTIF('M212'!F7,"Aula 6"))&gt;0,1,0)+IF((COUNTIF('M311'!F7,"Aula 6"))&gt;0,1,0)+IF((COUNTIF('M411'!F7,"Aula 6"))&gt;0,1,0)+IF((COUNTIF('D111'!F7,"Aula 6")+COUNTIF('D112'!F7,"Aula 6"))&gt;0,1,0)+IF((COUNTIF('D211'!F7,"Aula 6"))&gt;0,1,0)+IF((COUNTIF('D311'!F7,"Aula 6"))&gt;0,1,0)+IF((COUNTIF('D411'!F7,"Aula 6"))&gt;0,1,0))=1,IF((COUNTIF('C111'!F7,"Aula 6")+COUNTIF('C112'!F7,"Aula 6")+COUNTIF('C113'!F7,"Aula 6")+COUNTIF('C121'!F7,"Aula 6")+COUNTIF('C122'!F7,"Aula 6"))&gt;0,"C1",IF((COUNTIF('C211'!F7,"Aula 6")+COUNTIF('C212'!F7,"Aula 6"))&gt;0,"C2",IF((COUNTIF('C311'!F7,"Aula 6")+COUNTIF('C312'!F7,"Aula 6"))&gt;0,"C3",IF((COUNTIF('C411'!F7,"Aula 6")+COUNTIF('C412'!F7,"Aula 6"))&gt;0,"C4",IF((COUNTIF('M111'!F7,"Aula 6")+COUNTIF('M112'!F7,"Aula 6"))&gt;0,"M1",IF((COUNTIF('M211'!F7,"Aula 6")+COUNTIF('M212'!F7,"Aula 6"))&gt;0,"M2",IF((COUNTIF('M311'!F7,"Aula 6"))&gt;0,"M3",IF((COUNTIF('M411'!F7,"Aula 6"))&gt;0,"M4",IF((COUNTIF('D111'!F7,"Aula 6")+COUNTIF('D112'!F7,"Aula 6"))&gt;0,"D1",IF((COUNTIF('D211'!F7,"Aula 6"))&gt;0,"D2",IF((COUNTIF('D311'!F7,"Aula 6"))&gt;0,"D3",IF((COUNTIF('D411'!F7,"Aula 6"))&gt;0,"D4","")))))))))))),"MIX"))</f>
        <v/>
      </c>
    </row>
    <row r="382">
      <c r="C382">
        <f>IF((IF((COUNTIF('C111'!F7,"Aula 7")+COUNTIF('C112'!F7,"Aula 7")+COUNTIF('C113'!F7,"Aula 7")+COUNTIF('C121'!F7,"Aula 7")+COUNTIF('C122'!F7,"Aula 7"))&gt;0,1,0)+IF((COUNTIF('C211'!F7,"Aula 7")+COUNTIF('C212'!F7,"Aula 7"))&gt;0,1,0)+IF((COUNTIF('C311'!F7,"Aula 7")+COUNTIF('C312'!F7,"Aula 7"))&gt;0,1,0)+IF((COUNTIF('C411'!F7,"Aula 7")+COUNTIF('C412'!F7,"Aula 7"))&gt;0,1,0)+IF((COUNTIF('M111'!F7,"Aula 7")+COUNTIF('M112'!F7,"Aula 7"))&gt;0,1,0)+IF((COUNTIF('M211'!F7,"Aula 7")+COUNTIF('M212'!F7,"Aula 7"))&gt;0,1,0)+IF((COUNTIF('M311'!F7,"Aula 7"))&gt;0,1,0)+IF((COUNTIF('M411'!F7,"Aula 7"))&gt;0,1,0)+IF((COUNTIF('D111'!F7,"Aula 7")+COUNTIF('D112'!F7,"Aula 7"))&gt;0,1,0)+IF((COUNTIF('D211'!F7,"Aula 7"))&gt;0,1,0)+IF((COUNTIF('D311'!F7,"Aula 7"))&gt;0,1,0)+IF((COUNTIF('D411'!F7,"Aula 7"))&gt;0,1,0))=0,"",IF((IF((COUNTIF('C111'!F7,"Aula 7")+COUNTIF('C112'!F7,"Aula 7")+COUNTIF('C113'!F7,"Aula 7")+COUNTIF('C121'!F7,"Aula 7")+COUNTIF('C122'!F7,"Aula 7"))&gt;0,1,0)+IF((COUNTIF('C211'!F7,"Aula 7")+COUNTIF('C212'!F7,"Aula 7"))&gt;0,1,0)+IF((COUNTIF('C311'!F7,"Aula 7")+COUNTIF('C312'!F7,"Aula 7"))&gt;0,1,0)+IF((COUNTIF('C411'!F7,"Aula 7")+COUNTIF('C412'!F7,"Aula 7"))&gt;0,1,0)+IF((COUNTIF('M111'!F7,"Aula 7")+COUNTIF('M112'!F7,"Aula 7"))&gt;0,1,0)+IF((COUNTIF('M211'!F7,"Aula 7")+COUNTIF('M212'!F7,"Aula 7"))&gt;0,1,0)+IF((COUNTIF('M311'!F7,"Aula 7"))&gt;0,1,0)+IF((COUNTIF('M411'!F7,"Aula 7"))&gt;0,1,0)+IF((COUNTIF('D111'!F7,"Aula 7")+COUNTIF('D112'!F7,"Aula 7"))&gt;0,1,0)+IF((COUNTIF('D211'!F7,"Aula 7"))&gt;0,1,0)+IF((COUNTIF('D311'!F7,"Aula 7"))&gt;0,1,0)+IF((COUNTIF('D411'!F7,"Aula 7"))&gt;0,1,0))=1,IF((COUNTIF('C111'!F7,"Aula 7")+COUNTIF('C112'!F7,"Aula 7")+COUNTIF('C113'!F7,"Aula 7")+COUNTIF('C121'!F7,"Aula 7")+COUNTIF('C122'!F7,"Aula 7"))&gt;0,"C1",IF((COUNTIF('C211'!F7,"Aula 7")+COUNTIF('C212'!F7,"Aula 7"))&gt;0,"C2",IF((COUNTIF('C311'!F7,"Aula 7")+COUNTIF('C312'!F7,"Aula 7"))&gt;0,"C3",IF((COUNTIF('C411'!F7,"Aula 7")+COUNTIF('C412'!F7,"Aula 7"))&gt;0,"C4",IF((COUNTIF('M111'!F7,"Aula 7")+COUNTIF('M112'!F7,"Aula 7"))&gt;0,"M1",IF((COUNTIF('M211'!F7,"Aula 7")+COUNTIF('M212'!F7,"Aula 7"))&gt;0,"M2",IF((COUNTIF('M311'!F7,"Aula 7"))&gt;0,"M3",IF((COUNTIF('M411'!F7,"Aula 7"))&gt;0,"M4",IF((COUNTIF('D111'!F7,"Aula 7")+COUNTIF('D112'!F7,"Aula 7"))&gt;0,"D1",IF((COUNTIF('D211'!F7,"Aula 7"))&gt;0,"D2",IF((COUNTIF('D311'!F7,"Aula 7"))&gt;0,"D3",IF((COUNTIF('D411'!F7,"Aula 7"))&gt;0,"D4","")))))))))))),"MIX"))</f>
        <v/>
      </c>
    </row>
    <row r="383">
      <c r="C383">
        <f>IF((IF((COUNTIF('C111'!F7,"Aula 8")+COUNTIF('C112'!F7,"Aula 8")+COUNTIF('C113'!F7,"Aula 8")+COUNTIF('C121'!F7,"Aula 8")+COUNTIF('C122'!F7,"Aula 8"))&gt;0,1,0)+IF((COUNTIF('C211'!F7,"Aula 8")+COUNTIF('C212'!F7,"Aula 8"))&gt;0,1,0)+IF((COUNTIF('C311'!F7,"Aula 8")+COUNTIF('C312'!F7,"Aula 8"))&gt;0,1,0)+IF((COUNTIF('C411'!F7,"Aula 8")+COUNTIF('C412'!F7,"Aula 8"))&gt;0,1,0)+IF((COUNTIF('M111'!F7,"Aula 8")+COUNTIF('M112'!F7,"Aula 8"))&gt;0,1,0)+IF((COUNTIF('M211'!F7,"Aula 8")+COUNTIF('M212'!F7,"Aula 8"))&gt;0,1,0)+IF((COUNTIF('M311'!F7,"Aula 8"))&gt;0,1,0)+IF((COUNTIF('M411'!F7,"Aula 8"))&gt;0,1,0)+IF((COUNTIF('D111'!F7,"Aula 8")+COUNTIF('D112'!F7,"Aula 8"))&gt;0,1,0)+IF((COUNTIF('D211'!F7,"Aula 8"))&gt;0,1,0)+IF((COUNTIF('D311'!F7,"Aula 8"))&gt;0,1,0)+IF((COUNTIF('D411'!F7,"Aula 8"))&gt;0,1,0))=0,"",IF((IF((COUNTIF('C111'!F7,"Aula 8")+COUNTIF('C112'!F7,"Aula 8")+COUNTIF('C113'!F7,"Aula 8")+COUNTIF('C121'!F7,"Aula 8")+COUNTIF('C122'!F7,"Aula 8"))&gt;0,1,0)+IF((COUNTIF('C211'!F7,"Aula 8")+COUNTIF('C212'!F7,"Aula 8"))&gt;0,1,0)+IF((COUNTIF('C311'!F7,"Aula 8")+COUNTIF('C312'!F7,"Aula 8"))&gt;0,1,0)+IF((COUNTIF('C411'!F7,"Aula 8")+COUNTIF('C412'!F7,"Aula 8"))&gt;0,1,0)+IF((COUNTIF('M111'!F7,"Aula 8")+COUNTIF('M112'!F7,"Aula 8"))&gt;0,1,0)+IF((COUNTIF('M211'!F7,"Aula 8")+COUNTIF('M212'!F7,"Aula 8"))&gt;0,1,0)+IF((COUNTIF('M311'!F7,"Aula 8"))&gt;0,1,0)+IF((COUNTIF('M411'!F7,"Aula 8"))&gt;0,1,0)+IF((COUNTIF('D111'!F7,"Aula 8")+COUNTIF('D112'!F7,"Aula 8"))&gt;0,1,0)+IF((COUNTIF('D211'!F7,"Aula 8"))&gt;0,1,0)+IF((COUNTIF('D311'!F7,"Aula 8"))&gt;0,1,0)+IF((COUNTIF('D411'!F7,"Aula 8"))&gt;0,1,0))=1,IF((COUNTIF('C111'!F7,"Aula 8")+COUNTIF('C112'!F7,"Aula 8")+COUNTIF('C113'!F7,"Aula 8")+COUNTIF('C121'!F7,"Aula 8")+COUNTIF('C122'!F7,"Aula 8"))&gt;0,"C1",IF((COUNTIF('C211'!F7,"Aula 8")+COUNTIF('C212'!F7,"Aula 8"))&gt;0,"C2",IF((COUNTIF('C311'!F7,"Aula 8")+COUNTIF('C312'!F7,"Aula 8"))&gt;0,"C3",IF((COUNTIF('C411'!F7,"Aula 8")+COUNTIF('C412'!F7,"Aula 8"))&gt;0,"C4",IF((COUNTIF('M111'!F7,"Aula 8")+COUNTIF('M112'!F7,"Aula 8"))&gt;0,"M1",IF((COUNTIF('M211'!F7,"Aula 8")+COUNTIF('M212'!F7,"Aula 8"))&gt;0,"M2",IF((COUNTIF('M311'!F7,"Aula 8"))&gt;0,"M3",IF((COUNTIF('M411'!F7,"Aula 8"))&gt;0,"M4",IF((COUNTIF('D111'!F7,"Aula 8")+COUNTIF('D112'!F7,"Aula 8"))&gt;0,"D1",IF((COUNTIF('D211'!F7,"Aula 8"))&gt;0,"D2",IF((COUNTIF('D311'!F7,"Aula 8"))&gt;0,"D3",IF((COUNTIF('D411'!F7,"Aula 8"))&gt;0,"D4","")))))))))))),"MIX"))</f>
        <v/>
      </c>
    </row>
    <row r="384">
      <c r="C384">
        <f>IF((IF((COUNTIF('C111'!F7,"Aula 9")+COUNTIF('C112'!F7,"Aula 9")+COUNTIF('C113'!F7,"Aula 9")+COUNTIF('C121'!F7,"Aula 9")+COUNTIF('C122'!F7,"Aula 9"))&gt;0,1,0)+IF((COUNTIF('C211'!F7,"Aula 9")+COUNTIF('C212'!F7,"Aula 9"))&gt;0,1,0)+IF((COUNTIF('C311'!F7,"Aula 9")+COUNTIF('C312'!F7,"Aula 9"))&gt;0,1,0)+IF((COUNTIF('C411'!F7,"Aula 9")+COUNTIF('C412'!F7,"Aula 9"))&gt;0,1,0)+IF((COUNTIF('M111'!F7,"Aula 9")+COUNTIF('M112'!F7,"Aula 9"))&gt;0,1,0)+IF((COUNTIF('M211'!F7,"Aula 9")+COUNTIF('M212'!F7,"Aula 9"))&gt;0,1,0)+IF((COUNTIF('M311'!F7,"Aula 9"))&gt;0,1,0)+IF((COUNTIF('M411'!F7,"Aula 9"))&gt;0,1,0)+IF((COUNTIF('D111'!F7,"Aula 9")+COUNTIF('D112'!F7,"Aula 9"))&gt;0,1,0)+IF((COUNTIF('D211'!F7,"Aula 9"))&gt;0,1,0)+IF((COUNTIF('D311'!F7,"Aula 9"))&gt;0,1,0)+IF((COUNTIF('D411'!F7,"Aula 9"))&gt;0,1,0))=0,"",IF((IF((COUNTIF('C111'!F7,"Aula 9")+COUNTIF('C112'!F7,"Aula 9")+COUNTIF('C113'!F7,"Aula 9")+COUNTIF('C121'!F7,"Aula 9")+COUNTIF('C122'!F7,"Aula 9"))&gt;0,1,0)+IF((COUNTIF('C211'!F7,"Aula 9")+COUNTIF('C212'!F7,"Aula 9"))&gt;0,1,0)+IF((COUNTIF('C311'!F7,"Aula 9")+COUNTIF('C312'!F7,"Aula 9"))&gt;0,1,0)+IF((COUNTIF('C411'!F7,"Aula 9")+COUNTIF('C412'!F7,"Aula 9"))&gt;0,1,0)+IF((COUNTIF('M111'!F7,"Aula 9")+COUNTIF('M112'!F7,"Aula 9"))&gt;0,1,0)+IF((COUNTIF('M211'!F7,"Aula 9")+COUNTIF('M212'!F7,"Aula 9"))&gt;0,1,0)+IF((COUNTIF('M311'!F7,"Aula 9"))&gt;0,1,0)+IF((COUNTIF('M411'!F7,"Aula 9"))&gt;0,1,0)+IF((COUNTIF('D111'!F7,"Aula 9")+COUNTIF('D112'!F7,"Aula 9"))&gt;0,1,0)+IF((COUNTIF('D211'!F7,"Aula 9"))&gt;0,1,0)+IF((COUNTIF('D311'!F7,"Aula 9"))&gt;0,1,0)+IF((COUNTIF('D411'!F7,"Aula 9"))&gt;0,1,0))=1,IF((COUNTIF('C111'!F7,"Aula 9")+COUNTIF('C112'!F7,"Aula 9")+COUNTIF('C113'!F7,"Aula 9")+COUNTIF('C121'!F7,"Aula 9")+COUNTIF('C122'!F7,"Aula 9"))&gt;0,"C1",IF((COUNTIF('C211'!F7,"Aula 9")+COUNTIF('C212'!F7,"Aula 9"))&gt;0,"C2",IF((COUNTIF('C311'!F7,"Aula 9")+COUNTIF('C312'!F7,"Aula 9"))&gt;0,"C3",IF((COUNTIF('C411'!F7,"Aula 9")+COUNTIF('C412'!F7,"Aula 9"))&gt;0,"C4",IF((COUNTIF('M111'!F7,"Aula 9")+COUNTIF('M112'!F7,"Aula 9"))&gt;0,"M1",IF((COUNTIF('M211'!F7,"Aula 9")+COUNTIF('M212'!F7,"Aula 9"))&gt;0,"M2",IF((COUNTIF('M311'!F7,"Aula 9"))&gt;0,"M3",IF((COUNTIF('M411'!F7,"Aula 9"))&gt;0,"M4",IF((COUNTIF('D111'!F7,"Aula 9")+COUNTIF('D112'!F7,"Aula 9"))&gt;0,"D1",IF((COUNTIF('D211'!F7,"Aula 9"))&gt;0,"D2",IF((COUNTIF('D311'!F7,"Aula 9"))&gt;0,"D3",IF((COUNTIF('D411'!F7,"Aula 9"))&gt;0,"D4","")))))))))))),"MIX"))</f>
        <v/>
      </c>
    </row>
    <row r="385">
      <c r="C385">
        <f>IF((IF((COUNTIF('C111'!F7,"Aula 10")+COUNTIF('C112'!F7,"Aula 10")+COUNTIF('C113'!F7,"Aula 10")+COUNTIF('C121'!F7,"Aula 10")+COUNTIF('C122'!F7,"Aula 10"))&gt;0,1,0)+IF((COUNTIF('C211'!F7,"Aula 10")+COUNTIF('C212'!F7,"Aula 10"))&gt;0,1,0)+IF((COUNTIF('C311'!F7,"Aula 10")+COUNTIF('C312'!F7,"Aula 10"))&gt;0,1,0)+IF((COUNTIF('C411'!F7,"Aula 10")+COUNTIF('C412'!F7,"Aula 10"))&gt;0,1,0)+IF((COUNTIF('M111'!F7,"Aula 10")+COUNTIF('M112'!F7,"Aula 10"))&gt;0,1,0)+IF((COUNTIF('M211'!F7,"Aula 10")+COUNTIF('M212'!F7,"Aula 10"))&gt;0,1,0)+IF((COUNTIF('M311'!F7,"Aula 10"))&gt;0,1,0)+IF((COUNTIF('M411'!F7,"Aula 10"))&gt;0,1,0)+IF((COUNTIF('D111'!F7,"Aula 10")+COUNTIF('D112'!F7,"Aula 10"))&gt;0,1,0)+IF((COUNTIF('D211'!F7,"Aula 10"))&gt;0,1,0)+IF((COUNTIF('D311'!F7,"Aula 10"))&gt;0,1,0)+IF((COUNTIF('D411'!F7,"Aula 10"))&gt;0,1,0))=0,"",IF((IF((COUNTIF('C111'!F7,"Aula 10")+COUNTIF('C112'!F7,"Aula 10")+COUNTIF('C113'!F7,"Aula 10")+COUNTIF('C121'!F7,"Aula 10")+COUNTIF('C122'!F7,"Aula 10"))&gt;0,1,0)+IF((COUNTIF('C211'!F7,"Aula 10")+COUNTIF('C212'!F7,"Aula 10"))&gt;0,1,0)+IF((COUNTIF('C311'!F7,"Aula 10")+COUNTIF('C312'!F7,"Aula 10"))&gt;0,1,0)+IF((COUNTIF('C411'!F7,"Aula 10")+COUNTIF('C412'!F7,"Aula 10"))&gt;0,1,0)+IF((COUNTIF('M111'!F7,"Aula 10")+COUNTIF('M112'!F7,"Aula 10"))&gt;0,1,0)+IF((COUNTIF('M211'!F7,"Aula 10")+COUNTIF('M212'!F7,"Aula 10"))&gt;0,1,0)+IF((COUNTIF('M311'!F7,"Aula 10"))&gt;0,1,0)+IF((COUNTIF('M411'!F7,"Aula 10"))&gt;0,1,0)+IF((COUNTIF('D111'!F7,"Aula 10")+COUNTIF('D112'!F7,"Aula 10"))&gt;0,1,0)+IF((COUNTIF('D211'!F7,"Aula 10"))&gt;0,1,0)+IF((COUNTIF('D311'!F7,"Aula 10"))&gt;0,1,0)+IF((COUNTIF('D411'!F7,"Aula 10"))&gt;0,1,0))=1,IF((COUNTIF('C111'!F7,"Aula 10")+COUNTIF('C112'!F7,"Aula 10")+COUNTIF('C113'!F7,"Aula 10")+COUNTIF('C121'!F7,"Aula 10")+COUNTIF('C122'!F7,"Aula 10"))&gt;0,"C1",IF((COUNTIF('C211'!F7,"Aula 10")+COUNTIF('C212'!F7,"Aula 10"))&gt;0,"C2",IF((COUNTIF('C311'!F7,"Aula 10")+COUNTIF('C312'!F7,"Aula 10"))&gt;0,"C3",IF((COUNTIF('C411'!F7,"Aula 10")+COUNTIF('C412'!F7,"Aula 10"))&gt;0,"C4",IF((COUNTIF('M111'!F7,"Aula 10")+COUNTIF('M112'!F7,"Aula 10"))&gt;0,"M1",IF((COUNTIF('M211'!F7,"Aula 10")+COUNTIF('M212'!F7,"Aula 10"))&gt;0,"M2",IF((COUNTIF('M311'!F7,"Aula 10"))&gt;0,"M3",IF((COUNTIF('M411'!F7,"Aula 10"))&gt;0,"M4",IF((COUNTIF('D111'!F7,"Aula 10")+COUNTIF('D112'!F7,"Aula 10"))&gt;0,"D1",IF((COUNTIF('D211'!F7,"Aula 10"))&gt;0,"D2",IF((COUNTIF('D311'!F7,"Aula 10"))&gt;0,"D3",IF((COUNTIF('D411'!F7,"Aula 10"))&gt;0,"D4","")))))))))))),"MIX"))</f>
        <v/>
      </c>
    </row>
    <row r="386">
      <c r="C386">
        <f>IF((IF((COUNTIF('C111'!F7,"Aula 11")+COUNTIF('C112'!F7,"Aula 11")+COUNTIF('C113'!F7,"Aula 11")+COUNTIF('C121'!F7,"Aula 11")+COUNTIF('C122'!F7,"Aula 11"))&gt;0,1,0)+IF((COUNTIF('C211'!F7,"Aula 11")+COUNTIF('C212'!F7,"Aula 11"))&gt;0,1,0)+IF((COUNTIF('C311'!F7,"Aula 11")+COUNTIF('C312'!F7,"Aula 11"))&gt;0,1,0)+IF((COUNTIF('C411'!F7,"Aula 11")+COUNTIF('C412'!F7,"Aula 11"))&gt;0,1,0)+IF((COUNTIF('M111'!F7,"Aula 11")+COUNTIF('M112'!F7,"Aula 11"))&gt;0,1,0)+IF((COUNTIF('M211'!F7,"Aula 11")+COUNTIF('M212'!F7,"Aula 11"))&gt;0,1,0)+IF((COUNTIF('M311'!F7,"Aula 11"))&gt;0,1,0)+IF((COUNTIF('M411'!F7,"Aula 11"))&gt;0,1,0)+IF((COUNTIF('D111'!F7,"Aula 11")+COUNTIF('D112'!F7,"Aula 11"))&gt;0,1,0)+IF((COUNTIF('D211'!F7,"Aula 11"))&gt;0,1,0)+IF((COUNTIF('D311'!F7,"Aula 11"))&gt;0,1,0)+IF((COUNTIF('D411'!F7,"Aula 11"))&gt;0,1,0))=0,"",IF((IF((COUNTIF('C111'!F7,"Aula 11")+COUNTIF('C112'!F7,"Aula 11")+COUNTIF('C113'!F7,"Aula 11")+COUNTIF('C121'!F7,"Aula 11")+COUNTIF('C122'!F7,"Aula 11"))&gt;0,1,0)+IF((COUNTIF('C211'!F7,"Aula 11")+COUNTIF('C212'!F7,"Aula 11"))&gt;0,1,0)+IF((COUNTIF('C311'!F7,"Aula 11")+COUNTIF('C312'!F7,"Aula 11"))&gt;0,1,0)+IF((COUNTIF('C411'!F7,"Aula 11")+COUNTIF('C412'!F7,"Aula 11"))&gt;0,1,0)+IF((COUNTIF('M111'!F7,"Aula 11")+COUNTIF('M112'!F7,"Aula 11"))&gt;0,1,0)+IF((COUNTIF('M211'!F7,"Aula 11")+COUNTIF('M212'!F7,"Aula 11"))&gt;0,1,0)+IF((COUNTIF('M311'!F7,"Aula 11"))&gt;0,1,0)+IF((COUNTIF('M411'!F7,"Aula 11"))&gt;0,1,0)+IF((COUNTIF('D111'!F7,"Aula 11")+COUNTIF('D112'!F7,"Aula 11"))&gt;0,1,0)+IF((COUNTIF('D211'!F7,"Aula 11"))&gt;0,1,0)+IF((COUNTIF('D311'!F7,"Aula 11"))&gt;0,1,0)+IF((COUNTIF('D411'!F7,"Aula 11"))&gt;0,1,0))=1,IF((COUNTIF('C111'!F7,"Aula 11")+COUNTIF('C112'!F7,"Aula 11")+COUNTIF('C113'!F7,"Aula 11")+COUNTIF('C121'!F7,"Aula 11")+COUNTIF('C122'!F7,"Aula 11"))&gt;0,"C1",IF((COUNTIF('C211'!F7,"Aula 11")+COUNTIF('C212'!F7,"Aula 11"))&gt;0,"C2",IF((COUNTIF('C311'!F7,"Aula 11")+COUNTIF('C312'!F7,"Aula 11"))&gt;0,"C3",IF((COUNTIF('C411'!F7,"Aula 11")+COUNTIF('C412'!F7,"Aula 11"))&gt;0,"C4",IF((COUNTIF('M111'!F7,"Aula 11")+COUNTIF('M112'!F7,"Aula 11"))&gt;0,"M1",IF((COUNTIF('M211'!F7,"Aula 11")+COUNTIF('M212'!F7,"Aula 11"))&gt;0,"M2",IF((COUNTIF('M311'!F7,"Aula 11"))&gt;0,"M3",IF((COUNTIF('M411'!F7,"Aula 11"))&gt;0,"M4",IF((COUNTIF('D111'!F7,"Aula 11")+COUNTIF('D112'!F7,"Aula 11"))&gt;0,"D1",IF((COUNTIF('D211'!F7,"Aula 11"))&gt;0,"D2",IF((COUNTIF('D311'!F7,"Aula 11"))&gt;0,"D3",IF((COUNTIF('D411'!F7,"Aula 11"))&gt;0,"D4","")))))))))))),"MIX"))</f>
        <v/>
      </c>
    </row>
    <row r="387">
      <c r="C387">
        <f>IF((IF((COUNTIF('C111'!F7,"Aula 12")+COUNTIF('C112'!F7,"Aula 12")+COUNTIF('C113'!F7,"Aula 12")+COUNTIF('C121'!F7,"Aula 12")+COUNTIF('C122'!F7,"Aula 12"))&gt;0,1,0)+IF((COUNTIF('C211'!F7,"Aula 12")+COUNTIF('C212'!F7,"Aula 12"))&gt;0,1,0)+IF((COUNTIF('C311'!F7,"Aula 12")+COUNTIF('C312'!F7,"Aula 12"))&gt;0,1,0)+IF((COUNTIF('C411'!F7,"Aula 12")+COUNTIF('C412'!F7,"Aula 12"))&gt;0,1,0)+IF((COUNTIF('M111'!F7,"Aula 12")+COUNTIF('M112'!F7,"Aula 12"))&gt;0,1,0)+IF((COUNTIF('M211'!F7,"Aula 12")+COUNTIF('M212'!F7,"Aula 12"))&gt;0,1,0)+IF((COUNTIF('M311'!F7,"Aula 12"))&gt;0,1,0)+IF((COUNTIF('M411'!F7,"Aula 12"))&gt;0,1,0)+IF((COUNTIF('D111'!F7,"Aula 12")+COUNTIF('D112'!F7,"Aula 12"))&gt;0,1,0)+IF((COUNTIF('D211'!F7,"Aula 12"))&gt;0,1,0)+IF((COUNTIF('D311'!F7,"Aula 12"))&gt;0,1,0)+IF((COUNTIF('D411'!F7,"Aula 12"))&gt;0,1,0))=0,"",IF((IF((COUNTIF('C111'!F7,"Aula 12")+COUNTIF('C112'!F7,"Aula 12")+COUNTIF('C113'!F7,"Aula 12")+COUNTIF('C121'!F7,"Aula 12")+COUNTIF('C122'!F7,"Aula 12"))&gt;0,1,0)+IF((COUNTIF('C211'!F7,"Aula 12")+COUNTIF('C212'!F7,"Aula 12"))&gt;0,1,0)+IF((COUNTIF('C311'!F7,"Aula 12")+COUNTIF('C312'!F7,"Aula 12"))&gt;0,1,0)+IF((COUNTIF('C411'!F7,"Aula 12")+COUNTIF('C412'!F7,"Aula 12"))&gt;0,1,0)+IF((COUNTIF('M111'!F7,"Aula 12")+COUNTIF('M112'!F7,"Aula 12"))&gt;0,1,0)+IF((COUNTIF('M211'!F7,"Aula 12")+COUNTIF('M212'!F7,"Aula 12"))&gt;0,1,0)+IF((COUNTIF('M311'!F7,"Aula 12"))&gt;0,1,0)+IF((COUNTIF('M411'!F7,"Aula 12"))&gt;0,1,0)+IF((COUNTIF('D111'!F7,"Aula 12")+COUNTIF('D112'!F7,"Aula 12"))&gt;0,1,0)+IF((COUNTIF('D211'!F7,"Aula 12"))&gt;0,1,0)+IF((COUNTIF('D311'!F7,"Aula 12"))&gt;0,1,0)+IF((COUNTIF('D411'!F7,"Aula 12"))&gt;0,1,0))=1,IF((COUNTIF('C111'!F7,"Aula 12")+COUNTIF('C112'!F7,"Aula 12")+COUNTIF('C113'!F7,"Aula 12")+COUNTIF('C121'!F7,"Aula 12")+COUNTIF('C122'!F7,"Aula 12"))&gt;0,"C1",IF((COUNTIF('C211'!F7,"Aula 12")+COUNTIF('C212'!F7,"Aula 12"))&gt;0,"C2",IF((COUNTIF('C311'!F7,"Aula 12")+COUNTIF('C312'!F7,"Aula 12"))&gt;0,"C3",IF((COUNTIF('C411'!F7,"Aula 12")+COUNTIF('C412'!F7,"Aula 12"))&gt;0,"C4",IF((COUNTIF('M111'!F7,"Aula 12")+COUNTIF('M112'!F7,"Aula 12"))&gt;0,"M1",IF((COUNTIF('M211'!F7,"Aula 12")+COUNTIF('M212'!F7,"Aula 12"))&gt;0,"M2",IF((COUNTIF('M311'!F7,"Aula 12"))&gt;0,"M3",IF((COUNTIF('M411'!F7,"Aula 12"))&gt;0,"M4",IF((COUNTIF('D111'!F7,"Aula 12")+COUNTIF('D112'!F7,"Aula 12"))&gt;0,"D1",IF((COUNTIF('D211'!F7,"Aula 12"))&gt;0,"D2",IF((COUNTIF('D311'!F7,"Aula 12"))&gt;0,"D3",IF((COUNTIF('D411'!F7,"Aula 12"))&gt;0,"D4","")))))))))))),"MIX"))</f>
        <v/>
      </c>
    </row>
    <row r="388">
      <c r="C388">
        <f>IF((IF((COUNTIF('C111'!F7,"Lab 1")+COUNTIF('C112'!F7,"Lab 1")+COUNTIF('C113'!F7,"Lab 1")+COUNTIF('C121'!F7,"Lab 1")+COUNTIF('C122'!F7,"Lab 1"))&gt;0,1,0)+IF((COUNTIF('C211'!F7,"Lab 1")+COUNTIF('C212'!F7,"Lab 1"))&gt;0,1,0)+IF((COUNTIF('C311'!F7,"Lab 1")+COUNTIF('C312'!F7,"Lab 1"))&gt;0,1,0)+IF((COUNTIF('C411'!F7,"Lab 1")+COUNTIF('C412'!F7,"Lab 1"))&gt;0,1,0)+IF((COUNTIF('M111'!F7,"Lab 1")+COUNTIF('M112'!F7,"Lab 1"))&gt;0,1,0)+IF((COUNTIF('M211'!F7,"Lab 1")+COUNTIF('M212'!F7,"Lab 1"))&gt;0,1,0)+IF((COUNTIF('M311'!F7,"Lab 1"))&gt;0,1,0)+IF((COUNTIF('M411'!F7,"Lab 1"))&gt;0,1,0)+IF((COUNTIF('D111'!F7,"Lab 1")+COUNTIF('D112'!F7,"Lab 1"))&gt;0,1,0)+IF((COUNTIF('D211'!F7,"Lab 1"))&gt;0,1,0)+IF((COUNTIF('D311'!F7,"Lab 1"))&gt;0,1,0)+IF((COUNTIF('D411'!F7,"Lab 1"))&gt;0,1,0))=0,"",IF((IF((COUNTIF('C111'!F7,"Lab 1")+COUNTIF('C112'!F7,"Lab 1")+COUNTIF('C113'!F7,"Lab 1")+COUNTIF('C121'!F7,"Lab 1")+COUNTIF('C122'!F7,"Lab 1"))&gt;0,1,0)+IF((COUNTIF('C211'!F7,"Lab 1")+COUNTIF('C212'!F7,"Lab 1"))&gt;0,1,0)+IF((COUNTIF('C311'!F7,"Lab 1")+COUNTIF('C312'!F7,"Lab 1"))&gt;0,1,0)+IF((COUNTIF('C411'!F7,"Lab 1")+COUNTIF('C412'!F7,"Lab 1"))&gt;0,1,0)+IF((COUNTIF('M111'!F7,"Lab 1")+COUNTIF('M112'!F7,"Lab 1"))&gt;0,1,0)+IF((COUNTIF('M211'!F7,"Lab 1")+COUNTIF('M212'!F7,"Lab 1"))&gt;0,1,0)+IF((COUNTIF('M311'!F7,"Lab 1"))&gt;0,1,0)+IF((COUNTIF('M411'!F7,"Lab 1"))&gt;0,1,0)+IF((COUNTIF('D111'!F7,"Lab 1")+COUNTIF('D112'!F7,"Lab 1"))&gt;0,1,0)+IF((COUNTIF('D211'!F7,"Lab 1"))&gt;0,1,0)+IF((COUNTIF('D311'!F7,"Lab 1"))&gt;0,1,0)+IF((COUNTIF('D411'!F7,"Lab 1"))&gt;0,1,0))=1,IF((COUNTIF('C111'!F7,"Lab 1")+COUNTIF('C112'!F7,"Lab 1")+COUNTIF('C113'!F7,"Lab 1")+COUNTIF('C121'!F7,"Lab 1")+COUNTIF('C122'!F7,"Lab 1"))&gt;0,"C1",IF((COUNTIF('C211'!F7,"Lab 1")+COUNTIF('C212'!F7,"Lab 1"))&gt;0,"C2",IF((COUNTIF('C311'!F7,"Lab 1")+COUNTIF('C312'!F7,"Lab 1"))&gt;0,"C3",IF((COUNTIF('C411'!F7,"Lab 1")+COUNTIF('C412'!F7,"Lab 1"))&gt;0,"C4",IF((COUNTIF('M111'!F7,"Lab 1")+COUNTIF('M112'!F7,"Lab 1"))&gt;0,"M1",IF((COUNTIF('M211'!F7,"Lab 1")+COUNTIF('M212'!F7,"Lab 1"))&gt;0,"M2",IF((COUNTIF('M311'!F7,"Lab 1"))&gt;0,"M3",IF((COUNTIF('M411'!F7,"Lab 1"))&gt;0,"M4",IF((COUNTIF('D111'!F7,"Lab 1")+COUNTIF('D112'!F7,"Lab 1"))&gt;0,"D1",IF((COUNTIF('D211'!F7,"Lab 1"))&gt;0,"D2",IF((COUNTIF('D311'!F7,"Lab 1"))&gt;0,"D3",IF((COUNTIF('D411'!F7,"Lab 1"))&gt;0,"D4","")))))))))))),"MIX"))</f>
        <v/>
      </c>
    </row>
    <row r="389">
      <c r="C389">
        <f>IF((IF((COUNTIF('C111'!F7,"Lab 2")+COUNTIF('C112'!F7,"Lab 2")+COUNTIF('C113'!F7,"Lab 2")+COUNTIF('C121'!F7,"Lab 2")+COUNTIF('C122'!F7,"Lab 2"))&gt;0,1,0)+IF((COUNTIF('C211'!F7,"Lab 2")+COUNTIF('C212'!F7,"Lab 2"))&gt;0,1,0)+IF((COUNTIF('C311'!F7,"Lab 2")+COUNTIF('C312'!F7,"Lab 2"))&gt;0,1,0)+IF((COUNTIF('C411'!F7,"Lab 2")+COUNTIF('C412'!F7,"Lab 2"))&gt;0,1,0)+IF((COUNTIF('M111'!F7,"Lab 2")+COUNTIF('M112'!F7,"Lab 2"))&gt;0,1,0)+IF((COUNTIF('M211'!F7,"Lab 2")+COUNTIF('M212'!F7,"Lab 2"))&gt;0,1,0)+IF((COUNTIF('M311'!F7,"Lab 2"))&gt;0,1,0)+IF((COUNTIF('M411'!F7,"Lab 2"))&gt;0,1,0)+IF((COUNTIF('D111'!F7,"Lab 2")+COUNTIF('D112'!F7,"Lab 2"))&gt;0,1,0)+IF((COUNTIF('D211'!F7,"Lab 2"))&gt;0,1,0)+IF((COUNTIF('D311'!F7,"Lab 2"))&gt;0,1,0)+IF((COUNTIF('D411'!F7,"Lab 2"))&gt;0,1,0))=0,"",IF((IF((COUNTIF('C111'!F7,"Lab 2")+COUNTIF('C112'!F7,"Lab 2")+COUNTIF('C113'!F7,"Lab 2")+COUNTIF('C121'!F7,"Lab 2")+COUNTIF('C122'!F7,"Lab 2"))&gt;0,1,0)+IF((COUNTIF('C211'!F7,"Lab 2")+COUNTIF('C212'!F7,"Lab 2"))&gt;0,1,0)+IF((COUNTIF('C311'!F7,"Lab 2")+COUNTIF('C312'!F7,"Lab 2"))&gt;0,1,0)+IF((COUNTIF('C411'!F7,"Lab 2")+COUNTIF('C412'!F7,"Lab 2"))&gt;0,1,0)+IF((COUNTIF('M111'!F7,"Lab 2")+COUNTIF('M112'!F7,"Lab 2"))&gt;0,1,0)+IF((COUNTIF('M211'!F7,"Lab 2")+COUNTIF('M212'!F7,"Lab 2"))&gt;0,1,0)+IF((COUNTIF('M311'!F7,"Lab 2"))&gt;0,1,0)+IF((COUNTIF('M411'!F7,"Lab 2"))&gt;0,1,0)+IF((COUNTIF('D111'!F7,"Lab 2")+COUNTIF('D112'!F7,"Lab 2"))&gt;0,1,0)+IF((COUNTIF('D211'!F7,"Lab 2"))&gt;0,1,0)+IF((COUNTIF('D311'!F7,"Lab 2"))&gt;0,1,0)+IF((COUNTIF('D411'!F7,"Lab 2"))&gt;0,1,0))=1,IF((COUNTIF('C111'!F7,"Lab 2")+COUNTIF('C112'!F7,"Lab 2")+COUNTIF('C113'!F7,"Lab 2")+COUNTIF('C121'!F7,"Lab 2")+COUNTIF('C122'!F7,"Lab 2"))&gt;0,"C1",IF((COUNTIF('C211'!F7,"Lab 2")+COUNTIF('C212'!F7,"Lab 2"))&gt;0,"C2",IF((COUNTIF('C311'!F7,"Lab 2")+COUNTIF('C312'!F7,"Lab 2"))&gt;0,"C3",IF((COUNTIF('C411'!F7,"Lab 2")+COUNTIF('C412'!F7,"Lab 2"))&gt;0,"C4",IF((COUNTIF('M111'!F7,"Lab 2")+COUNTIF('M112'!F7,"Lab 2"))&gt;0,"M1",IF((COUNTIF('M211'!F7,"Lab 2")+COUNTIF('M212'!F7,"Lab 2"))&gt;0,"M2",IF((COUNTIF('M311'!F7,"Lab 2"))&gt;0,"M3",IF((COUNTIF('M411'!F7,"Lab 2"))&gt;0,"M4",IF((COUNTIF('D111'!F7,"Lab 2")+COUNTIF('D112'!F7,"Lab 2"))&gt;0,"D1",IF((COUNTIF('D211'!F7,"Lab 2"))&gt;0,"D2",IF((COUNTIF('D311'!F7,"Lab 2"))&gt;0,"D3",IF((COUNTIF('D411'!F7,"Lab 2"))&gt;0,"D4","")))))))))))),"MIX"))</f>
        <v/>
      </c>
    </row>
    <row r="390">
      <c r="C390">
        <f>IF((IF((COUNTIF('C111'!F7,"Salón")+COUNTIF('C112'!F7,"Salón")+COUNTIF('C113'!F7,"Salón")+COUNTIF('C121'!F7,"Salón")+COUNTIF('C122'!F7,"Salón"))&gt;0,1,0)+IF((COUNTIF('C211'!F7,"Salón")+COUNTIF('C212'!F7,"Salón"))&gt;0,1,0)+IF((COUNTIF('C311'!F7,"Salón")+COUNTIF('C312'!F7,"Salón"))&gt;0,1,0)+IF((COUNTIF('C411'!F7,"Salón")+COUNTIF('C412'!F7,"Salón"))&gt;0,1,0)+IF((COUNTIF('M111'!F7,"Salón")+COUNTIF('M112'!F7,"Salón"))&gt;0,1,0)+IF((COUNTIF('M211'!F7,"Salón")+COUNTIF('M212'!F7,"Salón"))&gt;0,1,0)+IF((COUNTIF('M311'!F7,"Salón"))&gt;0,1,0)+IF((COUNTIF('M411'!F7,"Salón"))&gt;0,1,0)+IF((COUNTIF('D111'!F7,"Salón")+COUNTIF('D112'!F7,"Salón"))&gt;0,1,0)+IF((COUNTIF('D211'!F7,"Salón"))&gt;0,1,0)+IF((COUNTIF('D311'!F7,"Salón"))&gt;0,1,0)+IF((COUNTIF('D411'!F7,"Salón"))&gt;0,1,0))=0,"",IF((IF((COUNTIF('C111'!F7,"Salón")+COUNTIF('C112'!F7,"Salón")+COUNTIF('C113'!F7,"Salón")+COUNTIF('C121'!F7,"Salón")+COUNTIF('C122'!F7,"Salón"))&gt;0,1,0)+IF((COUNTIF('C211'!F7,"Salón")+COUNTIF('C212'!F7,"Salón"))&gt;0,1,0)+IF((COUNTIF('C311'!F7,"Salón")+COUNTIF('C312'!F7,"Salón"))&gt;0,1,0)+IF((COUNTIF('C411'!F7,"Salón")+COUNTIF('C412'!F7,"Salón"))&gt;0,1,0)+IF((COUNTIF('M111'!F7,"Salón")+COUNTIF('M112'!F7,"Salón"))&gt;0,1,0)+IF((COUNTIF('M211'!F7,"Salón")+COUNTIF('M212'!F7,"Salón"))&gt;0,1,0)+IF((COUNTIF('M311'!F7,"Salón"))&gt;0,1,0)+IF((COUNTIF('M411'!F7,"Salón"))&gt;0,1,0)+IF((COUNTIF('D111'!F7,"Salón")+COUNTIF('D112'!F7,"Salón"))&gt;0,1,0)+IF((COUNTIF('D211'!F7,"Salón"))&gt;0,1,0)+IF((COUNTIF('D311'!F7,"Salón"))&gt;0,1,0)+IF((COUNTIF('D411'!F7,"Salón"))&gt;0,1,0))=1,IF((COUNTIF('C111'!F7,"Salón")+COUNTIF('C112'!F7,"Salón")+COUNTIF('C113'!F7,"Salón")+COUNTIF('C121'!F7,"Salón")+COUNTIF('C122'!F7,"Salón"))&gt;0,"C1",IF((COUNTIF('C211'!F7,"Salón")+COUNTIF('C212'!F7,"Salón"))&gt;0,"C2",IF((COUNTIF('C311'!F7,"Salón")+COUNTIF('C312'!F7,"Salón"))&gt;0,"C3",IF((COUNTIF('C411'!F7,"Salón")+COUNTIF('C412'!F7,"Salón"))&gt;0,"C4",IF((COUNTIF('M111'!F7,"Salón")+COUNTIF('M112'!F7,"Salón"))&gt;0,"M1",IF((COUNTIF('M211'!F7,"Salón")+COUNTIF('M212'!F7,"Salón"))&gt;0,"M2",IF((COUNTIF('M311'!F7,"Salón"))&gt;0,"M3",IF((COUNTIF('M411'!F7,"Salón"))&gt;0,"M4",IF((COUNTIF('D111'!F7,"Salón")+COUNTIF('D112'!F7,"Salón"))&gt;0,"D1",IF((COUNTIF('D211'!F7,"Salón"))&gt;0,"D2",IF((COUNTIF('D311'!F7,"Salón"))&gt;0,"D3",IF((COUNTIF('D411'!F7,"Salón"))&gt;0,"D4","")))))))))))),"MIX"))</f>
        <v/>
      </c>
    </row>
    <row r="391">
      <c r="C391">
        <f>IF((IF((COUNTIF('C111'!F9,"Aula 1")+COUNTIF('C112'!F9,"Aula 1")+COUNTIF('C113'!F9,"Aula 1")+COUNTIF('C121'!F9,"Aula 1")+COUNTIF('C122'!F9,"Aula 1"))&gt;0,1,0)+IF((COUNTIF('C211'!F9,"Aula 1")+COUNTIF('C212'!F9,"Aula 1"))&gt;0,1,0)+IF((COUNTIF('C311'!F9,"Aula 1")+COUNTIF('C312'!F9,"Aula 1"))&gt;0,1,0)+IF((COUNTIF('C411'!F9,"Aula 1")+COUNTIF('C412'!F9,"Aula 1"))&gt;0,1,0)+IF((COUNTIF('M111'!F9,"Aula 1")+COUNTIF('M112'!F9,"Aula 1"))&gt;0,1,0)+IF((COUNTIF('M211'!F9,"Aula 1")+COUNTIF('M212'!F9,"Aula 1"))&gt;0,1,0)+IF((COUNTIF('M311'!F9,"Aula 1"))&gt;0,1,0)+IF((COUNTIF('M411'!F9,"Aula 1"))&gt;0,1,0)+IF((COUNTIF('D111'!F9,"Aula 1")+COUNTIF('D112'!F9,"Aula 1"))&gt;0,1,0)+IF((COUNTIF('D211'!F9,"Aula 1"))&gt;0,1,0)+IF((COUNTIF('D311'!F9,"Aula 1"))&gt;0,1,0)+IF((COUNTIF('D411'!F9,"Aula 1"))&gt;0,1,0))=0,"",IF((IF((COUNTIF('C111'!F9,"Aula 1")+COUNTIF('C112'!F9,"Aula 1")+COUNTIF('C113'!F9,"Aula 1")+COUNTIF('C121'!F9,"Aula 1")+COUNTIF('C122'!F9,"Aula 1"))&gt;0,1,0)+IF((COUNTIF('C211'!F9,"Aula 1")+COUNTIF('C212'!F9,"Aula 1"))&gt;0,1,0)+IF((COUNTIF('C311'!F9,"Aula 1")+COUNTIF('C312'!F9,"Aula 1"))&gt;0,1,0)+IF((COUNTIF('C411'!F9,"Aula 1")+COUNTIF('C412'!F9,"Aula 1"))&gt;0,1,0)+IF((COUNTIF('M111'!F9,"Aula 1")+COUNTIF('M112'!F9,"Aula 1"))&gt;0,1,0)+IF((COUNTIF('M211'!F9,"Aula 1")+COUNTIF('M212'!F9,"Aula 1"))&gt;0,1,0)+IF((COUNTIF('M311'!F9,"Aula 1"))&gt;0,1,0)+IF((COUNTIF('M411'!F9,"Aula 1"))&gt;0,1,0)+IF((COUNTIF('D111'!F9,"Aula 1")+COUNTIF('D112'!F9,"Aula 1"))&gt;0,1,0)+IF((COUNTIF('D211'!F9,"Aula 1"))&gt;0,1,0)+IF((COUNTIF('D311'!F9,"Aula 1"))&gt;0,1,0)+IF((COUNTIF('D411'!F9,"Aula 1"))&gt;0,1,0))=1,IF((COUNTIF('C111'!F9,"Aula 1")+COUNTIF('C112'!F9,"Aula 1")+COUNTIF('C113'!F9,"Aula 1")+COUNTIF('C121'!F9,"Aula 1")+COUNTIF('C122'!F9,"Aula 1"))&gt;0,"C1",IF((COUNTIF('C211'!F9,"Aula 1")+COUNTIF('C212'!F9,"Aula 1"))&gt;0,"C2",IF((COUNTIF('C311'!F9,"Aula 1")+COUNTIF('C312'!F9,"Aula 1"))&gt;0,"C3",IF((COUNTIF('C411'!F9,"Aula 1")+COUNTIF('C412'!F9,"Aula 1"))&gt;0,"C4",IF((COUNTIF('M111'!F9,"Aula 1")+COUNTIF('M112'!F9,"Aula 1"))&gt;0,"M1",IF((COUNTIF('M211'!F9,"Aula 1")+COUNTIF('M212'!F9,"Aula 1"))&gt;0,"M2",IF((COUNTIF('M311'!F9,"Aula 1"))&gt;0,"M3",IF((COUNTIF('M411'!F9,"Aula 1"))&gt;0,"M4",IF((COUNTIF('D111'!F9,"Aula 1")+COUNTIF('D112'!F9,"Aula 1"))&gt;0,"D1",IF((COUNTIF('D211'!F9,"Aula 1"))&gt;0,"D2",IF((COUNTIF('D311'!F9,"Aula 1"))&gt;0,"D3",IF((COUNTIF('D411'!F9,"Aula 1"))&gt;0,"D4","")))))))))))),"MIX"))</f>
        <v/>
      </c>
    </row>
    <row r="392">
      <c r="C392">
        <f>IF((IF((COUNTIF('C111'!F9,"Aula 2")+COUNTIF('C112'!F9,"Aula 2")+COUNTIF('C113'!F9,"Aula 2")+COUNTIF('C121'!F9,"Aula 2")+COUNTIF('C122'!F9,"Aula 2"))&gt;0,1,0)+IF((COUNTIF('C211'!F9,"Aula 2")+COUNTIF('C212'!F9,"Aula 2"))&gt;0,1,0)+IF((COUNTIF('C311'!F9,"Aula 2")+COUNTIF('C312'!F9,"Aula 2"))&gt;0,1,0)+IF((COUNTIF('C411'!F9,"Aula 2")+COUNTIF('C412'!F9,"Aula 2"))&gt;0,1,0)+IF((COUNTIF('M111'!F9,"Aula 2")+COUNTIF('M112'!F9,"Aula 2"))&gt;0,1,0)+IF((COUNTIF('M211'!F9,"Aula 2")+COUNTIF('M212'!F9,"Aula 2"))&gt;0,1,0)+IF((COUNTIF('M311'!F9,"Aula 2"))&gt;0,1,0)+IF((COUNTIF('M411'!F9,"Aula 2"))&gt;0,1,0)+IF((COUNTIF('D111'!F9,"Aula 2")+COUNTIF('D112'!F9,"Aula 2"))&gt;0,1,0)+IF((COUNTIF('D211'!F9,"Aula 2"))&gt;0,1,0)+IF((COUNTIF('D311'!F9,"Aula 2"))&gt;0,1,0)+IF((COUNTIF('D411'!F9,"Aula 2"))&gt;0,1,0))=0,"",IF((IF((COUNTIF('C111'!F9,"Aula 2")+COUNTIF('C112'!F9,"Aula 2")+COUNTIF('C113'!F9,"Aula 2")+COUNTIF('C121'!F9,"Aula 2")+COUNTIF('C122'!F9,"Aula 2"))&gt;0,1,0)+IF((COUNTIF('C211'!F9,"Aula 2")+COUNTIF('C212'!F9,"Aula 2"))&gt;0,1,0)+IF((COUNTIF('C311'!F9,"Aula 2")+COUNTIF('C312'!F9,"Aula 2"))&gt;0,1,0)+IF((COUNTIF('C411'!F9,"Aula 2")+COUNTIF('C412'!F9,"Aula 2"))&gt;0,1,0)+IF((COUNTIF('M111'!F9,"Aula 2")+COUNTIF('M112'!F9,"Aula 2"))&gt;0,1,0)+IF((COUNTIF('M211'!F9,"Aula 2")+COUNTIF('M212'!F9,"Aula 2"))&gt;0,1,0)+IF((COUNTIF('M311'!F9,"Aula 2"))&gt;0,1,0)+IF((COUNTIF('M411'!F9,"Aula 2"))&gt;0,1,0)+IF((COUNTIF('D111'!F9,"Aula 2")+COUNTIF('D112'!F9,"Aula 2"))&gt;0,1,0)+IF((COUNTIF('D211'!F9,"Aula 2"))&gt;0,1,0)+IF((COUNTIF('D311'!F9,"Aula 2"))&gt;0,1,0)+IF((COUNTIF('D411'!F9,"Aula 2"))&gt;0,1,0))=1,IF((COUNTIF('C111'!F9,"Aula 2")+COUNTIF('C112'!F9,"Aula 2")+COUNTIF('C113'!F9,"Aula 2")+COUNTIF('C121'!F9,"Aula 2")+COUNTIF('C122'!F9,"Aula 2"))&gt;0,"C1",IF((COUNTIF('C211'!F9,"Aula 2")+COUNTIF('C212'!F9,"Aula 2"))&gt;0,"C2",IF((COUNTIF('C311'!F9,"Aula 2")+COUNTIF('C312'!F9,"Aula 2"))&gt;0,"C3",IF((COUNTIF('C411'!F9,"Aula 2")+COUNTIF('C412'!F9,"Aula 2"))&gt;0,"C4",IF((COUNTIF('M111'!F9,"Aula 2")+COUNTIF('M112'!F9,"Aula 2"))&gt;0,"M1",IF((COUNTIF('M211'!F9,"Aula 2")+COUNTIF('M212'!F9,"Aula 2"))&gt;0,"M2",IF((COUNTIF('M311'!F9,"Aula 2"))&gt;0,"M3",IF((COUNTIF('M411'!F9,"Aula 2"))&gt;0,"M4",IF((COUNTIF('D111'!F9,"Aula 2")+COUNTIF('D112'!F9,"Aula 2"))&gt;0,"D1",IF((COUNTIF('D211'!F9,"Aula 2"))&gt;0,"D2",IF((COUNTIF('D311'!F9,"Aula 2"))&gt;0,"D3",IF((COUNTIF('D411'!F9,"Aula 2"))&gt;0,"D4","")))))))))))),"MIX"))</f>
        <v/>
      </c>
    </row>
    <row r="393">
      <c r="C393">
        <f>IF((IF((COUNTIF('C111'!F9,"Aula 3")+COUNTIF('C112'!F9,"Aula 3")+COUNTIF('C113'!F9,"Aula 3")+COUNTIF('C121'!F9,"Aula 3")+COUNTIF('C122'!F9,"Aula 3"))&gt;0,1,0)+IF((COUNTIF('C211'!F9,"Aula 3")+COUNTIF('C212'!F9,"Aula 3"))&gt;0,1,0)+IF((COUNTIF('C311'!F9,"Aula 3")+COUNTIF('C312'!F9,"Aula 3"))&gt;0,1,0)+IF((COUNTIF('C411'!F9,"Aula 3")+COUNTIF('C412'!F9,"Aula 3"))&gt;0,1,0)+IF((COUNTIF('M111'!F9,"Aula 3")+COUNTIF('M112'!F9,"Aula 3"))&gt;0,1,0)+IF((COUNTIF('M211'!F9,"Aula 3")+COUNTIF('M212'!F9,"Aula 3"))&gt;0,1,0)+IF((COUNTIF('M311'!F9,"Aula 3"))&gt;0,1,0)+IF((COUNTIF('M411'!F9,"Aula 3"))&gt;0,1,0)+IF((COUNTIF('D111'!F9,"Aula 3")+COUNTIF('D112'!F9,"Aula 3"))&gt;0,1,0)+IF((COUNTIF('D211'!F9,"Aula 3"))&gt;0,1,0)+IF((COUNTIF('D311'!F9,"Aula 3"))&gt;0,1,0)+IF((COUNTIF('D411'!F9,"Aula 3"))&gt;0,1,0))=0,"",IF((IF((COUNTIF('C111'!F9,"Aula 3")+COUNTIF('C112'!F9,"Aula 3")+COUNTIF('C113'!F9,"Aula 3")+COUNTIF('C121'!F9,"Aula 3")+COUNTIF('C122'!F9,"Aula 3"))&gt;0,1,0)+IF((COUNTIF('C211'!F9,"Aula 3")+COUNTIF('C212'!F9,"Aula 3"))&gt;0,1,0)+IF((COUNTIF('C311'!F9,"Aula 3")+COUNTIF('C312'!F9,"Aula 3"))&gt;0,1,0)+IF((COUNTIF('C411'!F9,"Aula 3")+COUNTIF('C412'!F9,"Aula 3"))&gt;0,1,0)+IF((COUNTIF('M111'!F9,"Aula 3")+COUNTIF('M112'!F9,"Aula 3"))&gt;0,1,0)+IF((COUNTIF('M211'!F9,"Aula 3")+COUNTIF('M212'!F9,"Aula 3"))&gt;0,1,0)+IF((COUNTIF('M311'!F9,"Aula 3"))&gt;0,1,0)+IF((COUNTIF('M411'!F9,"Aula 3"))&gt;0,1,0)+IF((COUNTIF('D111'!F9,"Aula 3")+COUNTIF('D112'!F9,"Aula 3"))&gt;0,1,0)+IF((COUNTIF('D211'!F9,"Aula 3"))&gt;0,1,0)+IF((COUNTIF('D311'!F9,"Aula 3"))&gt;0,1,0)+IF((COUNTIF('D411'!F9,"Aula 3"))&gt;0,1,0))=1,IF((COUNTIF('C111'!F9,"Aula 3")+COUNTIF('C112'!F9,"Aula 3")+COUNTIF('C113'!F9,"Aula 3")+COUNTIF('C121'!F9,"Aula 3")+COUNTIF('C122'!F9,"Aula 3"))&gt;0,"C1",IF((COUNTIF('C211'!F9,"Aula 3")+COUNTIF('C212'!F9,"Aula 3"))&gt;0,"C2",IF((COUNTIF('C311'!F9,"Aula 3")+COUNTIF('C312'!F9,"Aula 3"))&gt;0,"C3",IF((COUNTIF('C411'!F9,"Aula 3")+COUNTIF('C412'!F9,"Aula 3"))&gt;0,"C4",IF((COUNTIF('M111'!F9,"Aula 3")+COUNTIF('M112'!F9,"Aula 3"))&gt;0,"M1",IF((COUNTIF('M211'!F9,"Aula 3")+COUNTIF('M212'!F9,"Aula 3"))&gt;0,"M2",IF((COUNTIF('M311'!F9,"Aula 3"))&gt;0,"M3",IF((COUNTIF('M411'!F9,"Aula 3"))&gt;0,"M4",IF((COUNTIF('D111'!F9,"Aula 3")+COUNTIF('D112'!F9,"Aula 3"))&gt;0,"D1",IF((COUNTIF('D211'!F9,"Aula 3"))&gt;0,"D2",IF((COUNTIF('D311'!F9,"Aula 3"))&gt;0,"D3",IF((COUNTIF('D411'!F9,"Aula 3"))&gt;0,"D4","")))))))))))),"MIX"))</f>
        <v/>
      </c>
    </row>
    <row r="394">
      <c r="C394">
        <f>IF((IF((COUNTIF('C111'!F9,"Aula 4")+COUNTIF('C112'!F9,"Aula 4")+COUNTIF('C113'!F9,"Aula 4")+COUNTIF('C121'!F9,"Aula 4")+COUNTIF('C122'!F9,"Aula 4"))&gt;0,1,0)+IF((COUNTIF('C211'!F9,"Aula 4")+COUNTIF('C212'!F9,"Aula 4"))&gt;0,1,0)+IF((COUNTIF('C311'!F9,"Aula 4")+COUNTIF('C312'!F9,"Aula 4"))&gt;0,1,0)+IF((COUNTIF('C411'!F9,"Aula 4")+COUNTIF('C412'!F9,"Aula 4"))&gt;0,1,0)+IF((COUNTIF('M111'!F9,"Aula 4")+COUNTIF('M112'!F9,"Aula 4"))&gt;0,1,0)+IF((COUNTIF('M211'!F9,"Aula 4")+COUNTIF('M212'!F9,"Aula 4"))&gt;0,1,0)+IF((COUNTIF('M311'!F9,"Aula 4"))&gt;0,1,0)+IF((COUNTIF('M411'!F9,"Aula 4"))&gt;0,1,0)+IF((COUNTIF('D111'!F9,"Aula 4")+COUNTIF('D112'!F9,"Aula 4"))&gt;0,1,0)+IF((COUNTIF('D211'!F9,"Aula 4"))&gt;0,1,0)+IF((COUNTIF('D311'!F9,"Aula 4"))&gt;0,1,0)+IF((COUNTIF('D411'!F9,"Aula 4"))&gt;0,1,0))=0,"",IF((IF((COUNTIF('C111'!F9,"Aula 4")+COUNTIF('C112'!F9,"Aula 4")+COUNTIF('C113'!F9,"Aula 4")+COUNTIF('C121'!F9,"Aula 4")+COUNTIF('C122'!F9,"Aula 4"))&gt;0,1,0)+IF((COUNTIF('C211'!F9,"Aula 4")+COUNTIF('C212'!F9,"Aula 4"))&gt;0,1,0)+IF((COUNTIF('C311'!F9,"Aula 4")+COUNTIF('C312'!F9,"Aula 4"))&gt;0,1,0)+IF((COUNTIF('C411'!F9,"Aula 4")+COUNTIF('C412'!F9,"Aula 4"))&gt;0,1,0)+IF((COUNTIF('M111'!F9,"Aula 4")+COUNTIF('M112'!F9,"Aula 4"))&gt;0,1,0)+IF((COUNTIF('M211'!F9,"Aula 4")+COUNTIF('M212'!F9,"Aula 4"))&gt;0,1,0)+IF((COUNTIF('M311'!F9,"Aula 4"))&gt;0,1,0)+IF((COUNTIF('M411'!F9,"Aula 4"))&gt;0,1,0)+IF((COUNTIF('D111'!F9,"Aula 4")+COUNTIF('D112'!F9,"Aula 4"))&gt;0,1,0)+IF((COUNTIF('D211'!F9,"Aula 4"))&gt;0,1,0)+IF((COUNTIF('D311'!F9,"Aula 4"))&gt;0,1,0)+IF((COUNTIF('D411'!F9,"Aula 4"))&gt;0,1,0))=1,IF((COUNTIF('C111'!F9,"Aula 4")+COUNTIF('C112'!F9,"Aula 4")+COUNTIF('C113'!F9,"Aula 4")+COUNTIF('C121'!F9,"Aula 4")+COUNTIF('C122'!F9,"Aula 4"))&gt;0,"C1",IF((COUNTIF('C211'!F9,"Aula 4")+COUNTIF('C212'!F9,"Aula 4"))&gt;0,"C2",IF((COUNTIF('C311'!F9,"Aula 4")+COUNTIF('C312'!F9,"Aula 4"))&gt;0,"C3",IF((COUNTIF('C411'!F9,"Aula 4")+COUNTIF('C412'!F9,"Aula 4"))&gt;0,"C4",IF((COUNTIF('M111'!F9,"Aula 4")+COUNTIF('M112'!F9,"Aula 4"))&gt;0,"M1",IF((COUNTIF('M211'!F9,"Aula 4")+COUNTIF('M212'!F9,"Aula 4"))&gt;0,"M2",IF((COUNTIF('M311'!F9,"Aula 4"))&gt;0,"M3",IF((COUNTIF('M411'!F9,"Aula 4"))&gt;0,"M4",IF((COUNTIF('D111'!F9,"Aula 4")+COUNTIF('D112'!F9,"Aula 4"))&gt;0,"D1",IF((COUNTIF('D211'!F9,"Aula 4"))&gt;0,"D2",IF((COUNTIF('D311'!F9,"Aula 4"))&gt;0,"D3",IF((COUNTIF('D411'!F9,"Aula 4"))&gt;0,"D4","")))))))))))),"MIX"))</f>
        <v/>
      </c>
    </row>
    <row r="395">
      <c r="C395">
        <f>IF((IF((COUNTIF('C111'!F9,"Aula 5")+COUNTIF('C112'!F9,"Aula 5")+COUNTIF('C113'!F9,"Aula 5")+COUNTIF('C121'!F9,"Aula 5")+COUNTIF('C122'!F9,"Aula 5"))&gt;0,1,0)+IF((COUNTIF('C211'!F9,"Aula 5")+COUNTIF('C212'!F9,"Aula 5"))&gt;0,1,0)+IF((COUNTIF('C311'!F9,"Aula 5")+COUNTIF('C312'!F9,"Aula 5"))&gt;0,1,0)+IF((COUNTIF('C411'!F9,"Aula 5")+COUNTIF('C412'!F9,"Aula 5"))&gt;0,1,0)+IF((COUNTIF('M111'!F9,"Aula 5")+COUNTIF('M112'!F9,"Aula 5"))&gt;0,1,0)+IF((COUNTIF('M211'!F9,"Aula 5")+COUNTIF('M212'!F9,"Aula 5"))&gt;0,1,0)+IF((COUNTIF('M311'!F9,"Aula 5"))&gt;0,1,0)+IF((COUNTIF('M411'!F9,"Aula 5"))&gt;0,1,0)+IF((COUNTIF('D111'!F9,"Aula 5")+COUNTIF('D112'!F9,"Aula 5"))&gt;0,1,0)+IF((COUNTIF('D211'!F9,"Aula 5"))&gt;0,1,0)+IF((COUNTIF('D311'!F9,"Aula 5"))&gt;0,1,0)+IF((COUNTIF('D411'!F9,"Aula 5"))&gt;0,1,0))=0,"",IF((IF((COUNTIF('C111'!F9,"Aula 5")+COUNTIF('C112'!F9,"Aula 5")+COUNTIF('C113'!F9,"Aula 5")+COUNTIF('C121'!F9,"Aula 5")+COUNTIF('C122'!F9,"Aula 5"))&gt;0,1,0)+IF((COUNTIF('C211'!F9,"Aula 5")+COUNTIF('C212'!F9,"Aula 5"))&gt;0,1,0)+IF((COUNTIF('C311'!F9,"Aula 5")+COUNTIF('C312'!F9,"Aula 5"))&gt;0,1,0)+IF((COUNTIF('C411'!F9,"Aula 5")+COUNTIF('C412'!F9,"Aula 5"))&gt;0,1,0)+IF((COUNTIF('M111'!F9,"Aula 5")+COUNTIF('M112'!F9,"Aula 5"))&gt;0,1,0)+IF((COUNTIF('M211'!F9,"Aula 5")+COUNTIF('M212'!F9,"Aula 5"))&gt;0,1,0)+IF((COUNTIF('M311'!F9,"Aula 5"))&gt;0,1,0)+IF((COUNTIF('M411'!F9,"Aula 5"))&gt;0,1,0)+IF((COUNTIF('D111'!F9,"Aula 5")+COUNTIF('D112'!F9,"Aula 5"))&gt;0,1,0)+IF((COUNTIF('D211'!F9,"Aula 5"))&gt;0,1,0)+IF((COUNTIF('D311'!F9,"Aula 5"))&gt;0,1,0)+IF((COUNTIF('D411'!F9,"Aula 5"))&gt;0,1,0))=1,IF((COUNTIF('C111'!F9,"Aula 5")+COUNTIF('C112'!F9,"Aula 5")+COUNTIF('C113'!F9,"Aula 5")+COUNTIF('C121'!F9,"Aula 5")+COUNTIF('C122'!F9,"Aula 5"))&gt;0,"C1",IF((COUNTIF('C211'!F9,"Aula 5")+COUNTIF('C212'!F9,"Aula 5"))&gt;0,"C2",IF((COUNTIF('C311'!F9,"Aula 5")+COUNTIF('C312'!F9,"Aula 5"))&gt;0,"C3",IF((COUNTIF('C411'!F9,"Aula 5")+COUNTIF('C412'!F9,"Aula 5"))&gt;0,"C4",IF((COUNTIF('M111'!F9,"Aula 5")+COUNTIF('M112'!F9,"Aula 5"))&gt;0,"M1",IF((COUNTIF('M211'!F9,"Aula 5")+COUNTIF('M212'!F9,"Aula 5"))&gt;0,"M2",IF((COUNTIF('M311'!F9,"Aula 5"))&gt;0,"M3",IF((COUNTIF('M411'!F9,"Aula 5"))&gt;0,"M4",IF((COUNTIF('D111'!F9,"Aula 5")+COUNTIF('D112'!F9,"Aula 5"))&gt;0,"D1",IF((COUNTIF('D211'!F9,"Aula 5"))&gt;0,"D2",IF((COUNTIF('D311'!F9,"Aula 5"))&gt;0,"D3",IF((COUNTIF('D411'!F9,"Aula 5"))&gt;0,"D4","")))))))))))),"MIX"))</f>
        <v/>
      </c>
    </row>
    <row r="396">
      <c r="C396">
        <f>IF((IF((COUNTIF('C111'!F9,"Aula 6")+COUNTIF('C112'!F9,"Aula 6")+COUNTIF('C113'!F9,"Aula 6")+COUNTIF('C121'!F9,"Aula 6")+COUNTIF('C122'!F9,"Aula 6"))&gt;0,1,0)+IF((COUNTIF('C211'!F9,"Aula 6")+COUNTIF('C212'!F9,"Aula 6"))&gt;0,1,0)+IF((COUNTIF('C311'!F9,"Aula 6")+COUNTIF('C312'!F9,"Aula 6"))&gt;0,1,0)+IF((COUNTIF('C411'!F9,"Aula 6")+COUNTIF('C412'!F9,"Aula 6"))&gt;0,1,0)+IF((COUNTIF('M111'!F9,"Aula 6")+COUNTIF('M112'!F9,"Aula 6"))&gt;0,1,0)+IF((COUNTIF('M211'!F9,"Aula 6")+COUNTIF('M212'!F9,"Aula 6"))&gt;0,1,0)+IF((COUNTIF('M311'!F9,"Aula 6"))&gt;0,1,0)+IF((COUNTIF('M411'!F9,"Aula 6"))&gt;0,1,0)+IF((COUNTIF('D111'!F9,"Aula 6")+COUNTIF('D112'!F9,"Aula 6"))&gt;0,1,0)+IF((COUNTIF('D211'!F9,"Aula 6"))&gt;0,1,0)+IF((COUNTIF('D311'!F9,"Aula 6"))&gt;0,1,0)+IF((COUNTIF('D411'!F9,"Aula 6"))&gt;0,1,0))=0,"",IF((IF((COUNTIF('C111'!F9,"Aula 6")+COUNTIF('C112'!F9,"Aula 6")+COUNTIF('C113'!F9,"Aula 6")+COUNTIF('C121'!F9,"Aula 6")+COUNTIF('C122'!F9,"Aula 6"))&gt;0,1,0)+IF((COUNTIF('C211'!F9,"Aula 6")+COUNTIF('C212'!F9,"Aula 6"))&gt;0,1,0)+IF((COUNTIF('C311'!F9,"Aula 6")+COUNTIF('C312'!F9,"Aula 6"))&gt;0,1,0)+IF((COUNTIF('C411'!F9,"Aula 6")+COUNTIF('C412'!F9,"Aula 6"))&gt;0,1,0)+IF((COUNTIF('M111'!F9,"Aula 6")+COUNTIF('M112'!F9,"Aula 6"))&gt;0,1,0)+IF((COUNTIF('M211'!F9,"Aula 6")+COUNTIF('M212'!F9,"Aula 6"))&gt;0,1,0)+IF((COUNTIF('M311'!F9,"Aula 6"))&gt;0,1,0)+IF((COUNTIF('M411'!F9,"Aula 6"))&gt;0,1,0)+IF((COUNTIF('D111'!F9,"Aula 6")+COUNTIF('D112'!F9,"Aula 6"))&gt;0,1,0)+IF((COUNTIF('D211'!F9,"Aula 6"))&gt;0,1,0)+IF((COUNTIF('D311'!F9,"Aula 6"))&gt;0,1,0)+IF((COUNTIF('D411'!F9,"Aula 6"))&gt;0,1,0))=1,IF((COUNTIF('C111'!F9,"Aula 6")+COUNTIF('C112'!F9,"Aula 6")+COUNTIF('C113'!F9,"Aula 6")+COUNTIF('C121'!F9,"Aula 6")+COUNTIF('C122'!F9,"Aula 6"))&gt;0,"C1",IF((COUNTIF('C211'!F9,"Aula 6")+COUNTIF('C212'!F9,"Aula 6"))&gt;0,"C2",IF((COUNTIF('C311'!F9,"Aula 6")+COUNTIF('C312'!F9,"Aula 6"))&gt;0,"C3",IF((COUNTIF('C411'!F9,"Aula 6")+COUNTIF('C412'!F9,"Aula 6"))&gt;0,"C4",IF((COUNTIF('M111'!F9,"Aula 6")+COUNTIF('M112'!F9,"Aula 6"))&gt;0,"M1",IF((COUNTIF('M211'!F9,"Aula 6")+COUNTIF('M212'!F9,"Aula 6"))&gt;0,"M2",IF((COUNTIF('M311'!F9,"Aula 6"))&gt;0,"M3",IF((COUNTIF('M411'!F9,"Aula 6"))&gt;0,"M4",IF((COUNTIF('D111'!F9,"Aula 6")+COUNTIF('D112'!F9,"Aula 6"))&gt;0,"D1",IF((COUNTIF('D211'!F9,"Aula 6"))&gt;0,"D2",IF((COUNTIF('D311'!F9,"Aula 6"))&gt;0,"D3",IF((COUNTIF('D411'!F9,"Aula 6"))&gt;0,"D4","")))))))))))),"MIX"))</f>
        <v/>
      </c>
    </row>
    <row r="397">
      <c r="C397">
        <f>IF((IF((COUNTIF('C111'!F9,"Aula 7")+COUNTIF('C112'!F9,"Aula 7")+COUNTIF('C113'!F9,"Aula 7")+COUNTIF('C121'!F9,"Aula 7")+COUNTIF('C122'!F9,"Aula 7"))&gt;0,1,0)+IF((COUNTIF('C211'!F9,"Aula 7")+COUNTIF('C212'!F9,"Aula 7"))&gt;0,1,0)+IF((COUNTIF('C311'!F9,"Aula 7")+COUNTIF('C312'!F9,"Aula 7"))&gt;0,1,0)+IF((COUNTIF('C411'!F9,"Aula 7")+COUNTIF('C412'!F9,"Aula 7"))&gt;0,1,0)+IF((COUNTIF('M111'!F9,"Aula 7")+COUNTIF('M112'!F9,"Aula 7"))&gt;0,1,0)+IF((COUNTIF('M211'!F9,"Aula 7")+COUNTIF('M212'!F9,"Aula 7"))&gt;0,1,0)+IF((COUNTIF('M311'!F9,"Aula 7"))&gt;0,1,0)+IF((COUNTIF('M411'!F9,"Aula 7"))&gt;0,1,0)+IF((COUNTIF('D111'!F9,"Aula 7")+COUNTIF('D112'!F9,"Aula 7"))&gt;0,1,0)+IF((COUNTIF('D211'!F9,"Aula 7"))&gt;0,1,0)+IF((COUNTIF('D311'!F9,"Aula 7"))&gt;0,1,0)+IF((COUNTIF('D411'!F9,"Aula 7"))&gt;0,1,0))=0,"",IF((IF((COUNTIF('C111'!F9,"Aula 7")+COUNTIF('C112'!F9,"Aula 7")+COUNTIF('C113'!F9,"Aula 7")+COUNTIF('C121'!F9,"Aula 7")+COUNTIF('C122'!F9,"Aula 7"))&gt;0,1,0)+IF((COUNTIF('C211'!F9,"Aula 7")+COUNTIF('C212'!F9,"Aula 7"))&gt;0,1,0)+IF((COUNTIF('C311'!F9,"Aula 7")+COUNTIF('C312'!F9,"Aula 7"))&gt;0,1,0)+IF((COUNTIF('C411'!F9,"Aula 7")+COUNTIF('C412'!F9,"Aula 7"))&gt;0,1,0)+IF((COUNTIF('M111'!F9,"Aula 7")+COUNTIF('M112'!F9,"Aula 7"))&gt;0,1,0)+IF((COUNTIF('M211'!F9,"Aula 7")+COUNTIF('M212'!F9,"Aula 7"))&gt;0,1,0)+IF((COUNTIF('M311'!F9,"Aula 7"))&gt;0,1,0)+IF((COUNTIF('M411'!F9,"Aula 7"))&gt;0,1,0)+IF((COUNTIF('D111'!F9,"Aula 7")+COUNTIF('D112'!F9,"Aula 7"))&gt;0,1,0)+IF((COUNTIF('D211'!F9,"Aula 7"))&gt;0,1,0)+IF((COUNTIF('D311'!F9,"Aula 7"))&gt;0,1,0)+IF((COUNTIF('D411'!F9,"Aula 7"))&gt;0,1,0))=1,IF((COUNTIF('C111'!F9,"Aula 7")+COUNTIF('C112'!F9,"Aula 7")+COUNTIF('C113'!F9,"Aula 7")+COUNTIF('C121'!F9,"Aula 7")+COUNTIF('C122'!F9,"Aula 7"))&gt;0,"C1",IF((COUNTIF('C211'!F9,"Aula 7")+COUNTIF('C212'!F9,"Aula 7"))&gt;0,"C2",IF((COUNTIF('C311'!F9,"Aula 7")+COUNTIF('C312'!F9,"Aula 7"))&gt;0,"C3",IF((COUNTIF('C411'!F9,"Aula 7")+COUNTIF('C412'!F9,"Aula 7"))&gt;0,"C4",IF((COUNTIF('M111'!F9,"Aula 7")+COUNTIF('M112'!F9,"Aula 7"))&gt;0,"M1",IF((COUNTIF('M211'!F9,"Aula 7")+COUNTIF('M212'!F9,"Aula 7"))&gt;0,"M2",IF((COUNTIF('M311'!F9,"Aula 7"))&gt;0,"M3",IF((COUNTIF('M411'!F9,"Aula 7"))&gt;0,"M4",IF((COUNTIF('D111'!F9,"Aula 7")+COUNTIF('D112'!F9,"Aula 7"))&gt;0,"D1",IF((COUNTIF('D211'!F9,"Aula 7"))&gt;0,"D2",IF((COUNTIF('D311'!F9,"Aula 7"))&gt;0,"D3",IF((COUNTIF('D411'!F9,"Aula 7"))&gt;0,"D4","")))))))))))),"MIX"))</f>
        <v/>
      </c>
    </row>
    <row r="398">
      <c r="C398">
        <f>IF((IF((COUNTIF('C111'!F9,"Aula 8")+COUNTIF('C112'!F9,"Aula 8")+COUNTIF('C113'!F9,"Aula 8")+COUNTIF('C121'!F9,"Aula 8")+COUNTIF('C122'!F9,"Aula 8"))&gt;0,1,0)+IF((COUNTIF('C211'!F9,"Aula 8")+COUNTIF('C212'!F9,"Aula 8"))&gt;0,1,0)+IF((COUNTIF('C311'!F9,"Aula 8")+COUNTIF('C312'!F9,"Aula 8"))&gt;0,1,0)+IF((COUNTIF('C411'!F9,"Aula 8")+COUNTIF('C412'!F9,"Aula 8"))&gt;0,1,0)+IF((COUNTIF('M111'!F9,"Aula 8")+COUNTIF('M112'!F9,"Aula 8"))&gt;0,1,0)+IF((COUNTIF('M211'!F9,"Aula 8")+COUNTIF('M212'!F9,"Aula 8"))&gt;0,1,0)+IF((COUNTIF('M311'!F9,"Aula 8"))&gt;0,1,0)+IF((COUNTIF('M411'!F9,"Aula 8"))&gt;0,1,0)+IF((COUNTIF('D111'!F9,"Aula 8")+COUNTIF('D112'!F9,"Aula 8"))&gt;0,1,0)+IF((COUNTIF('D211'!F9,"Aula 8"))&gt;0,1,0)+IF((COUNTIF('D311'!F9,"Aula 8"))&gt;0,1,0)+IF((COUNTIF('D411'!F9,"Aula 8"))&gt;0,1,0))=0,"",IF((IF((COUNTIF('C111'!F9,"Aula 8")+COUNTIF('C112'!F9,"Aula 8")+COUNTIF('C113'!F9,"Aula 8")+COUNTIF('C121'!F9,"Aula 8")+COUNTIF('C122'!F9,"Aula 8"))&gt;0,1,0)+IF((COUNTIF('C211'!F9,"Aula 8")+COUNTIF('C212'!F9,"Aula 8"))&gt;0,1,0)+IF((COUNTIF('C311'!F9,"Aula 8")+COUNTIF('C312'!F9,"Aula 8"))&gt;0,1,0)+IF((COUNTIF('C411'!F9,"Aula 8")+COUNTIF('C412'!F9,"Aula 8"))&gt;0,1,0)+IF((COUNTIF('M111'!F9,"Aula 8")+COUNTIF('M112'!F9,"Aula 8"))&gt;0,1,0)+IF((COUNTIF('M211'!F9,"Aula 8")+COUNTIF('M212'!F9,"Aula 8"))&gt;0,1,0)+IF((COUNTIF('M311'!F9,"Aula 8"))&gt;0,1,0)+IF((COUNTIF('M411'!F9,"Aula 8"))&gt;0,1,0)+IF((COUNTIF('D111'!F9,"Aula 8")+COUNTIF('D112'!F9,"Aula 8"))&gt;0,1,0)+IF((COUNTIF('D211'!F9,"Aula 8"))&gt;0,1,0)+IF((COUNTIF('D311'!F9,"Aula 8"))&gt;0,1,0)+IF((COUNTIF('D411'!F9,"Aula 8"))&gt;0,1,0))=1,IF((COUNTIF('C111'!F9,"Aula 8")+COUNTIF('C112'!F9,"Aula 8")+COUNTIF('C113'!F9,"Aula 8")+COUNTIF('C121'!F9,"Aula 8")+COUNTIF('C122'!F9,"Aula 8"))&gt;0,"C1",IF((COUNTIF('C211'!F9,"Aula 8")+COUNTIF('C212'!F9,"Aula 8"))&gt;0,"C2",IF((COUNTIF('C311'!F9,"Aula 8")+COUNTIF('C312'!F9,"Aula 8"))&gt;0,"C3",IF((COUNTIF('C411'!F9,"Aula 8")+COUNTIF('C412'!F9,"Aula 8"))&gt;0,"C4",IF((COUNTIF('M111'!F9,"Aula 8")+COUNTIF('M112'!F9,"Aula 8"))&gt;0,"M1",IF((COUNTIF('M211'!F9,"Aula 8")+COUNTIF('M212'!F9,"Aula 8"))&gt;0,"M2",IF((COUNTIF('M311'!F9,"Aula 8"))&gt;0,"M3",IF((COUNTIF('M411'!F9,"Aula 8"))&gt;0,"M4",IF((COUNTIF('D111'!F9,"Aula 8")+COUNTIF('D112'!F9,"Aula 8"))&gt;0,"D1",IF((COUNTIF('D211'!F9,"Aula 8"))&gt;0,"D2",IF((COUNTIF('D311'!F9,"Aula 8"))&gt;0,"D3",IF((COUNTIF('D411'!F9,"Aula 8"))&gt;0,"D4","")))))))))))),"MIX"))</f>
        <v/>
      </c>
    </row>
    <row r="399">
      <c r="C399">
        <f>IF((IF((COUNTIF('C111'!F9,"Aula 9")+COUNTIF('C112'!F9,"Aula 9")+COUNTIF('C113'!F9,"Aula 9")+COUNTIF('C121'!F9,"Aula 9")+COUNTIF('C122'!F9,"Aula 9"))&gt;0,1,0)+IF((COUNTIF('C211'!F9,"Aula 9")+COUNTIF('C212'!F9,"Aula 9"))&gt;0,1,0)+IF((COUNTIF('C311'!F9,"Aula 9")+COUNTIF('C312'!F9,"Aula 9"))&gt;0,1,0)+IF((COUNTIF('C411'!F9,"Aula 9")+COUNTIF('C412'!F9,"Aula 9"))&gt;0,1,0)+IF((COUNTIF('M111'!F9,"Aula 9")+COUNTIF('M112'!F9,"Aula 9"))&gt;0,1,0)+IF((COUNTIF('M211'!F9,"Aula 9")+COUNTIF('M212'!F9,"Aula 9"))&gt;0,1,0)+IF((COUNTIF('M311'!F9,"Aula 9"))&gt;0,1,0)+IF((COUNTIF('M411'!F9,"Aula 9"))&gt;0,1,0)+IF((COUNTIF('D111'!F9,"Aula 9")+COUNTIF('D112'!F9,"Aula 9"))&gt;0,1,0)+IF((COUNTIF('D211'!F9,"Aula 9"))&gt;0,1,0)+IF((COUNTIF('D311'!F9,"Aula 9"))&gt;0,1,0)+IF((COUNTIF('D411'!F9,"Aula 9"))&gt;0,1,0))=0,"",IF((IF((COUNTIF('C111'!F9,"Aula 9")+COUNTIF('C112'!F9,"Aula 9")+COUNTIF('C113'!F9,"Aula 9")+COUNTIF('C121'!F9,"Aula 9")+COUNTIF('C122'!F9,"Aula 9"))&gt;0,1,0)+IF((COUNTIF('C211'!F9,"Aula 9")+COUNTIF('C212'!F9,"Aula 9"))&gt;0,1,0)+IF((COUNTIF('C311'!F9,"Aula 9")+COUNTIF('C312'!F9,"Aula 9"))&gt;0,1,0)+IF((COUNTIF('C411'!F9,"Aula 9")+COUNTIF('C412'!F9,"Aula 9"))&gt;0,1,0)+IF((COUNTIF('M111'!F9,"Aula 9")+COUNTIF('M112'!F9,"Aula 9"))&gt;0,1,0)+IF((COUNTIF('M211'!F9,"Aula 9")+COUNTIF('M212'!F9,"Aula 9"))&gt;0,1,0)+IF((COUNTIF('M311'!F9,"Aula 9"))&gt;0,1,0)+IF((COUNTIF('M411'!F9,"Aula 9"))&gt;0,1,0)+IF((COUNTIF('D111'!F9,"Aula 9")+COUNTIF('D112'!F9,"Aula 9"))&gt;0,1,0)+IF((COUNTIF('D211'!F9,"Aula 9"))&gt;0,1,0)+IF((COUNTIF('D311'!F9,"Aula 9"))&gt;0,1,0)+IF((COUNTIF('D411'!F9,"Aula 9"))&gt;0,1,0))=1,IF((COUNTIF('C111'!F9,"Aula 9")+COUNTIF('C112'!F9,"Aula 9")+COUNTIF('C113'!F9,"Aula 9")+COUNTIF('C121'!F9,"Aula 9")+COUNTIF('C122'!F9,"Aula 9"))&gt;0,"C1",IF((COUNTIF('C211'!F9,"Aula 9")+COUNTIF('C212'!F9,"Aula 9"))&gt;0,"C2",IF((COUNTIF('C311'!F9,"Aula 9")+COUNTIF('C312'!F9,"Aula 9"))&gt;0,"C3",IF((COUNTIF('C411'!F9,"Aula 9")+COUNTIF('C412'!F9,"Aula 9"))&gt;0,"C4",IF((COUNTIF('M111'!F9,"Aula 9")+COUNTIF('M112'!F9,"Aula 9"))&gt;0,"M1",IF((COUNTIF('M211'!F9,"Aula 9")+COUNTIF('M212'!F9,"Aula 9"))&gt;0,"M2",IF((COUNTIF('M311'!F9,"Aula 9"))&gt;0,"M3",IF((COUNTIF('M411'!F9,"Aula 9"))&gt;0,"M4",IF((COUNTIF('D111'!F9,"Aula 9")+COUNTIF('D112'!F9,"Aula 9"))&gt;0,"D1",IF((COUNTIF('D211'!F9,"Aula 9"))&gt;0,"D2",IF((COUNTIF('D311'!F9,"Aula 9"))&gt;0,"D3",IF((COUNTIF('D411'!F9,"Aula 9"))&gt;0,"D4","")))))))))))),"MIX"))</f>
        <v/>
      </c>
    </row>
    <row r="400">
      <c r="C400">
        <f>IF((IF((COUNTIF('C111'!F9,"Aula 10")+COUNTIF('C112'!F9,"Aula 10")+COUNTIF('C113'!F9,"Aula 10")+COUNTIF('C121'!F9,"Aula 10")+COUNTIF('C122'!F9,"Aula 10"))&gt;0,1,0)+IF((COUNTIF('C211'!F9,"Aula 10")+COUNTIF('C212'!F9,"Aula 10"))&gt;0,1,0)+IF((COUNTIF('C311'!F9,"Aula 10")+COUNTIF('C312'!F9,"Aula 10"))&gt;0,1,0)+IF((COUNTIF('C411'!F9,"Aula 10")+COUNTIF('C412'!F9,"Aula 10"))&gt;0,1,0)+IF((COUNTIF('M111'!F9,"Aula 10")+COUNTIF('M112'!F9,"Aula 10"))&gt;0,1,0)+IF((COUNTIF('M211'!F9,"Aula 10")+COUNTIF('M212'!F9,"Aula 10"))&gt;0,1,0)+IF((COUNTIF('M311'!F9,"Aula 10"))&gt;0,1,0)+IF((COUNTIF('M411'!F9,"Aula 10"))&gt;0,1,0)+IF((COUNTIF('D111'!F9,"Aula 10")+COUNTIF('D112'!F9,"Aula 10"))&gt;0,1,0)+IF((COUNTIF('D211'!F9,"Aula 10"))&gt;0,1,0)+IF((COUNTIF('D311'!F9,"Aula 10"))&gt;0,1,0)+IF((COUNTIF('D411'!F9,"Aula 10"))&gt;0,1,0))=0,"",IF((IF((COUNTIF('C111'!F9,"Aula 10")+COUNTIF('C112'!F9,"Aula 10")+COUNTIF('C113'!F9,"Aula 10")+COUNTIF('C121'!F9,"Aula 10")+COUNTIF('C122'!F9,"Aula 10"))&gt;0,1,0)+IF((COUNTIF('C211'!F9,"Aula 10")+COUNTIF('C212'!F9,"Aula 10"))&gt;0,1,0)+IF((COUNTIF('C311'!F9,"Aula 10")+COUNTIF('C312'!F9,"Aula 10"))&gt;0,1,0)+IF((COUNTIF('C411'!F9,"Aula 10")+COUNTIF('C412'!F9,"Aula 10"))&gt;0,1,0)+IF((COUNTIF('M111'!F9,"Aula 10")+COUNTIF('M112'!F9,"Aula 10"))&gt;0,1,0)+IF((COUNTIF('M211'!F9,"Aula 10")+COUNTIF('M212'!F9,"Aula 10"))&gt;0,1,0)+IF((COUNTIF('M311'!F9,"Aula 10"))&gt;0,1,0)+IF((COUNTIF('M411'!F9,"Aula 10"))&gt;0,1,0)+IF((COUNTIF('D111'!F9,"Aula 10")+COUNTIF('D112'!F9,"Aula 10"))&gt;0,1,0)+IF((COUNTIF('D211'!F9,"Aula 10"))&gt;0,1,0)+IF((COUNTIF('D311'!F9,"Aula 10"))&gt;0,1,0)+IF((COUNTIF('D411'!F9,"Aula 10"))&gt;0,1,0))=1,IF((COUNTIF('C111'!F9,"Aula 10")+COUNTIF('C112'!F9,"Aula 10")+COUNTIF('C113'!F9,"Aula 10")+COUNTIF('C121'!F9,"Aula 10")+COUNTIF('C122'!F9,"Aula 10"))&gt;0,"C1",IF((COUNTIF('C211'!F9,"Aula 10")+COUNTIF('C212'!F9,"Aula 10"))&gt;0,"C2",IF((COUNTIF('C311'!F9,"Aula 10")+COUNTIF('C312'!F9,"Aula 10"))&gt;0,"C3",IF((COUNTIF('C411'!F9,"Aula 10")+COUNTIF('C412'!F9,"Aula 10"))&gt;0,"C4",IF((COUNTIF('M111'!F9,"Aula 10")+COUNTIF('M112'!F9,"Aula 10"))&gt;0,"M1",IF((COUNTIF('M211'!F9,"Aula 10")+COUNTIF('M212'!F9,"Aula 10"))&gt;0,"M2",IF((COUNTIF('M311'!F9,"Aula 10"))&gt;0,"M3",IF((COUNTIF('M411'!F9,"Aula 10"))&gt;0,"M4",IF((COUNTIF('D111'!F9,"Aula 10")+COUNTIF('D112'!F9,"Aula 10"))&gt;0,"D1",IF((COUNTIF('D211'!F9,"Aula 10"))&gt;0,"D2",IF((COUNTIF('D311'!F9,"Aula 10"))&gt;0,"D3",IF((COUNTIF('D411'!F9,"Aula 10"))&gt;0,"D4","")))))))))))),"MIX"))</f>
        <v/>
      </c>
    </row>
    <row r="401">
      <c r="C401">
        <f>IF((IF((COUNTIF('C111'!F9,"Aula 11")+COUNTIF('C112'!F9,"Aula 11")+COUNTIF('C113'!F9,"Aula 11")+COUNTIF('C121'!F9,"Aula 11")+COUNTIF('C122'!F9,"Aula 11"))&gt;0,1,0)+IF((COUNTIF('C211'!F9,"Aula 11")+COUNTIF('C212'!F9,"Aula 11"))&gt;0,1,0)+IF((COUNTIF('C311'!F9,"Aula 11")+COUNTIF('C312'!F9,"Aula 11"))&gt;0,1,0)+IF((COUNTIF('C411'!F9,"Aula 11")+COUNTIF('C412'!F9,"Aula 11"))&gt;0,1,0)+IF((COUNTIF('M111'!F9,"Aula 11")+COUNTIF('M112'!F9,"Aula 11"))&gt;0,1,0)+IF((COUNTIF('M211'!F9,"Aula 11")+COUNTIF('M212'!F9,"Aula 11"))&gt;0,1,0)+IF((COUNTIF('M311'!F9,"Aula 11"))&gt;0,1,0)+IF((COUNTIF('M411'!F9,"Aula 11"))&gt;0,1,0)+IF((COUNTIF('D111'!F9,"Aula 11")+COUNTIF('D112'!F9,"Aula 11"))&gt;0,1,0)+IF((COUNTIF('D211'!F9,"Aula 11"))&gt;0,1,0)+IF((COUNTIF('D311'!F9,"Aula 11"))&gt;0,1,0)+IF((COUNTIF('D411'!F9,"Aula 11"))&gt;0,1,0))=0,"",IF((IF((COUNTIF('C111'!F9,"Aula 11")+COUNTIF('C112'!F9,"Aula 11")+COUNTIF('C113'!F9,"Aula 11")+COUNTIF('C121'!F9,"Aula 11")+COUNTIF('C122'!F9,"Aula 11"))&gt;0,1,0)+IF((COUNTIF('C211'!F9,"Aula 11")+COUNTIF('C212'!F9,"Aula 11"))&gt;0,1,0)+IF((COUNTIF('C311'!F9,"Aula 11")+COUNTIF('C312'!F9,"Aula 11"))&gt;0,1,0)+IF((COUNTIF('C411'!F9,"Aula 11")+COUNTIF('C412'!F9,"Aula 11"))&gt;0,1,0)+IF((COUNTIF('M111'!F9,"Aula 11")+COUNTIF('M112'!F9,"Aula 11"))&gt;0,1,0)+IF((COUNTIF('M211'!F9,"Aula 11")+COUNTIF('M212'!F9,"Aula 11"))&gt;0,1,0)+IF((COUNTIF('M311'!F9,"Aula 11"))&gt;0,1,0)+IF((COUNTIF('M411'!F9,"Aula 11"))&gt;0,1,0)+IF((COUNTIF('D111'!F9,"Aula 11")+COUNTIF('D112'!F9,"Aula 11"))&gt;0,1,0)+IF((COUNTIF('D211'!F9,"Aula 11"))&gt;0,1,0)+IF((COUNTIF('D311'!F9,"Aula 11"))&gt;0,1,0)+IF((COUNTIF('D411'!F9,"Aula 11"))&gt;0,1,0))=1,IF((COUNTIF('C111'!F9,"Aula 11")+COUNTIF('C112'!F9,"Aula 11")+COUNTIF('C113'!F9,"Aula 11")+COUNTIF('C121'!F9,"Aula 11")+COUNTIF('C122'!F9,"Aula 11"))&gt;0,"C1",IF((COUNTIF('C211'!F9,"Aula 11")+COUNTIF('C212'!F9,"Aula 11"))&gt;0,"C2",IF((COUNTIF('C311'!F9,"Aula 11")+COUNTIF('C312'!F9,"Aula 11"))&gt;0,"C3",IF((COUNTIF('C411'!F9,"Aula 11")+COUNTIF('C412'!F9,"Aula 11"))&gt;0,"C4",IF((COUNTIF('M111'!F9,"Aula 11")+COUNTIF('M112'!F9,"Aula 11"))&gt;0,"M1",IF((COUNTIF('M211'!F9,"Aula 11")+COUNTIF('M212'!F9,"Aula 11"))&gt;0,"M2",IF((COUNTIF('M311'!F9,"Aula 11"))&gt;0,"M3",IF((COUNTIF('M411'!F9,"Aula 11"))&gt;0,"M4",IF((COUNTIF('D111'!F9,"Aula 11")+COUNTIF('D112'!F9,"Aula 11"))&gt;0,"D1",IF((COUNTIF('D211'!F9,"Aula 11"))&gt;0,"D2",IF((COUNTIF('D311'!F9,"Aula 11"))&gt;0,"D3",IF((COUNTIF('D411'!F9,"Aula 11"))&gt;0,"D4","")))))))))))),"MIX"))</f>
        <v/>
      </c>
    </row>
    <row r="402">
      <c r="C402">
        <f>IF((IF((COUNTIF('C111'!F9,"Aula 12")+COUNTIF('C112'!F9,"Aula 12")+COUNTIF('C113'!F9,"Aula 12")+COUNTIF('C121'!F9,"Aula 12")+COUNTIF('C122'!F9,"Aula 12"))&gt;0,1,0)+IF((COUNTIF('C211'!F9,"Aula 12")+COUNTIF('C212'!F9,"Aula 12"))&gt;0,1,0)+IF((COUNTIF('C311'!F9,"Aula 12")+COUNTIF('C312'!F9,"Aula 12"))&gt;0,1,0)+IF((COUNTIF('C411'!F9,"Aula 12")+COUNTIF('C412'!F9,"Aula 12"))&gt;0,1,0)+IF((COUNTIF('M111'!F9,"Aula 12")+COUNTIF('M112'!F9,"Aula 12"))&gt;0,1,0)+IF((COUNTIF('M211'!F9,"Aula 12")+COUNTIF('M212'!F9,"Aula 12"))&gt;0,1,0)+IF((COUNTIF('M311'!F9,"Aula 12"))&gt;0,1,0)+IF((COUNTIF('M411'!F9,"Aula 12"))&gt;0,1,0)+IF((COUNTIF('D111'!F9,"Aula 12")+COUNTIF('D112'!F9,"Aula 12"))&gt;0,1,0)+IF((COUNTIF('D211'!F9,"Aula 12"))&gt;0,1,0)+IF((COUNTIF('D311'!F9,"Aula 12"))&gt;0,1,0)+IF((COUNTIF('D411'!F9,"Aula 12"))&gt;0,1,0))=0,"",IF((IF((COUNTIF('C111'!F9,"Aula 12")+COUNTIF('C112'!F9,"Aula 12")+COUNTIF('C113'!F9,"Aula 12")+COUNTIF('C121'!F9,"Aula 12")+COUNTIF('C122'!F9,"Aula 12"))&gt;0,1,0)+IF((COUNTIF('C211'!F9,"Aula 12")+COUNTIF('C212'!F9,"Aula 12"))&gt;0,1,0)+IF((COUNTIF('C311'!F9,"Aula 12")+COUNTIF('C312'!F9,"Aula 12"))&gt;0,1,0)+IF((COUNTIF('C411'!F9,"Aula 12")+COUNTIF('C412'!F9,"Aula 12"))&gt;0,1,0)+IF((COUNTIF('M111'!F9,"Aula 12")+COUNTIF('M112'!F9,"Aula 12"))&gt;0,1,0)+IF((COUNTIF('M211'!F9,"Aula 12")+COUNTIF('M212'!F9,"Aula 12"))&gt;0,1,0)+IF((COUNTIF('M311'!F9,"Aula 12"))&gt;0,1,0)+IF((COUNTIF('M411'!F9,"Aula 12"))&gt;0,1,0)+IF((COUNTIF('D111'!F9,"Aula 12")+COUNTIF('D112'!F9,"Aula 12"))&gt;0,1,0)+IF((COUNTIF('D211'!F9,"Aula 12"))&gt;0,1,0)+IF((COUNTIF('D311'!F9,"Aula 12"))&gt;0,1,0)+IF((COUNTIF('D411'!F9,"Aula 12"))&gt;0,1,0))=1,IF((COUNTIF('C111'!F9,"Aula 12")+COUNTIF('C112'!F9,"Aula 12")+COUNTIF('C113'!F9,"Aula 12")+COUNTIF('C121'!F9,"Aula 12")+COUNTIF('C122'!F9,"Aula 12"))&gt;0,"C1",IF((COUNTIF('C211'!F9,"Aula 12")+COUNTIF('C212'!F9,"Aula 12"))&gt;0,"C2",IF((COUNTIF('C311'!F9,"Aula 12")+COUNTIF('C312'!F9,"Aula 12"))&gt;0,"C3",IF((COUNTIF('C411'!F9,"Aula 12")+COUNTIF('C412'!F9,"Aula 12"))&gt;0,"C4",IF((COUNTIF('M111'!F9,"Aula 12")+COUNTIF('M112'!F9,"Aula 12"))&gt;0,"M1",IF((COUNTIF('M211'!F9,"Aula 12")+COUNTIF('M212'!F9,"Aula 12"))&gt;0,"M2",IF((COUNTIF('M311'!F9,"Aula 12"))&gt;0,"M3",IF((COUNTIF('M411'!F9,"Aula 12"))&gt;0,"M4",IF((COUNTIF('D111'!F9,"Aula 12")+COUNTIF('D112'!F9,"Aula 12"))&gt;0,"D1",IF((COUNTIF('D211'!F9,"Aula 12"))&gt;0,"D2",IF((COUNTIF('D311'!F9,"Aula 12"))&gt;0,"D3",IF((COUNTIF('D411'!F9,"Aula 12"))&gt;0,"D4","")))))))))))),"MIX"))</f>
        <v/>
      </c>
    </row>
    <row r="403">
      <c r="C403">
        <f>IF((IF((COUNTIF('C111'!F9,"Lab 1")+COUNTIF('C112'!F9,"Lab 1")+COUNTIF('C113'!F9,"Lab 1")+COUNTIF('C121'!F9,"Lab 1")+COUNTIF('C122'!F9,"Lab 1"))&gt;0,1,0)+IF((COUNTIF('C211'!F9,"Lab 1")+COUNTIF('C212'!F9,"Lab 1"))&gt;0,1,0)+IF((COUNTIF('C311'!F9,"Lab 1")+COUNTIF('C312'!F9,"Lab 1"))&gt;0,1,0)+IF((COUNTIF('C411'!F9,"Lab 1")+COUNTIF('C412'!F9,"Lab 1"))&gt;0,1,0)+IF((COUNTIF('M111'!F9,"Lab 1")+COUNTIF('M112'!F9,"Lab 1"))&gt;0,1,0)+IF((COUNTIF('M211'!F9,"Lab 1")+COUNTIF('M212'!F9,"Lab 1"))&gt;0,1,0)+IF((COUNTIF('M311'!F9,"Lab 1"))&gt;0,1,0)+IF((COUNTIF('M411'!F9,"Lab 1"))&gt;0,1,0)+IF((COUNTIF('D111'!F9,"Lab 1")+COUNTIF('D112'!F9,"Lab 1"))&gt;0,1,0)+IF((COUNTIF('D211'!F9,"Lab 1"))&gt;0,1,0)+IF((COUNTIF('D311'!F9,"Lab 1"))&gt;0,1,0)+IF((COUNTIF('D411'!F9,"Lab 1"))&gt;0,1,0))=0,"",IF((IF((COUNTIF('C111'!F9,"Lab 1")+COUNTIF('C112'!F9,"Lab 1")+COUNTIF('C113'!F9,"Lab 1")+COUNTIF('C121'!F9,"Lab 1")+COUNTIF('C122'!F9,"Lab 1"))&gt;0,1,0)+IF((COUNTIF('C211'!F9,"Lab 1")+COUNTIF('C212'!F9,"Lab 1"))&gt;0,1,0)+IF((COUNTIF('C311'!F9,"Lab 1")+COUNTIF('C312'!F9,"Lab 1"))&gt;0,1,0)+IF((COUNTIF('C411'!F9,"Lab 1")+COUNTIF('C412'!F9,"Lab 1"))&gt;0,1,0)+IF((COUNTIF('M111'!F9,"Lab 1")+COUNTIF('M112'!F9,"Lab 1"))&gt;0,1,0)+IF((COUNTIF('M211'!F9,"Lab 1")+COUNTIF('M212'!F9,"Lab 1"))&gt;0,1,0)+IF((COUNTIF('M311'!F9,"Lab 1"))&gt;0,1,0)+IF((COUNTIF('M411'!F9,"Lab 1"))&gt;0,1,0)+IF((COUNTIF('D111'!F9,"Lab 1")+COUNTIF('D112'!F9,"Lab 1"))&gt;0,1,0)+IF((COUNTIF('D211'!F9,"Lab 1"))&gt;0,1,0)+IF((COUNTIF('D311'!F9,"Lab 1"))&gt;0,1,0)+IF((COUNTIF('D411'!F9,"Lab 1"))&gt;0,1,0))=1,IF((COUNTIF('C111'!F9,"Lab 1")+COUNTIF('C112'!F9,"Lab 1")+COUNTIF('C113'!F9,"Lab 1")+COUNTIF('C121'!F9,"Lab 1")+COUNTIF('C122'!F9,"Lab 1"))&gt;0,"C1",IF((COUNTIF('C211'!F9,"Lab 1")+COUNTIF('C212'!F9,"Lab 1"))&gt;0,"C2",IF((COUNTIF('C311'!F9,"Lab 1")+COUNTIF('C312'!F9,"Lab 1"))&gt;0,"C3",IF((COUNTIF('C411'!F9,"Lab 1")+COUNTIF('C412'!F9,"Lab 1"))&gt;0,"C4",IF((COUNTIF('M111'!F9,"Lab 1")+COUNTIF('M112'!F9,"Lab 1"))&gt;0,"M1",IF((COUNTIF('M211'!F9,"Lab 1")+COUNTIF('M212'!F9,"Lab 1"))&gt;0,"M2",IF((COUNTIF('M311'!F9,"Lab 1"))&gt;0,"M3",IF((COUNTIF('M411'!F9,"Lab 1"))&gt;0,"M4",IF((COUNTIF('D111'!F9,"Lab 1")+COUNTIF('D112'!F9,"Lab 1"))&gt;0,"D1",IF((COUNTIF('D211'!F9,"Lab 1"))&gt;0,"D2",IF((COUNTIF('D311'!F9,"Lab 1"))&gt;0,"D3",IF((COUNTIF('D411'!F9,"Lab 1"))&gt;0,"D4","")))))))))))),"MIX"))</f>
        <v/>
      </c>
    </row>
    <row r="404">
      <c r="C404">
        <f>IF((IF((COUNTIF('C111'!F9,"Lab 2")+COUNTIF('C112'!F9,"Lab 2")+COUNTIF('C113'!F9,"Lab 2")+COUNTIF('C121'!F9,"Lab 2")+COUNTIF('C122'!F9,"Lab 2"))&gt;0,1,0)+IF((COUNTIF('C211'!F9,"Lab 2")+COUNTIF('C212'!F9,"Lab 2"))&gt;0,1,0)+IF((COUNTIF('C311'!F9,"Lab 2")+COUNTIF('C312'!F9,"Lab 2"))&gt;0,1,0)+IF((COUNTIF('C411'!F9,"Lab 2")+COUNTIF('C412'!F9,"Lab 2"))&gt;0,1,0)+IF((COUNTIF('M111'!F9,"Lab 2")+COUNTIF('M112'!F9,"Lab 2"))&gt;0,1,0)+IF((COUNTIF('M211'!F9,"Lab 2")+COUNTIF('M212'!F9,"Lab 2"))&gt;0,1,0)+IF((COUNTIF('M311'!F9,"Lab 2"))&gt;0,1,0)+IF((COUNTIF('M411'!F9,"Lab 2"))&gt;0,1,0)+IF((COUNTIF('D111'!F9,"Lab 2")+COUNTIF('D112'!F9,"Lab 2"))&gt;0,1,0)+IF((COUNTIF('D211'!F9,"Lab 2"))&gt;0,1,0)+IF((COUNTIF('D311'!F9,"Lab 2"))&gt;0,1,0)+IF((COUNTIF('D411'!F9,"Lab 2"))&gt;0,1,0))=0,"",IF((IF((COUNTIF('C111'!F9,"Lab 2")+COUNTIF('C112'!F9,"Lab 2")+COUNTIF('C113'!F9,"Lab 2")+COUNTIF('C121'!F9,"Lab 2")+COUNTIF('C122'!F9,"Lab 2"))&gt;0,1,0)+IF((COUNTIF('C211'!F9,"Lab 2")+COUNTIF('C212'!F9,"Lab 2"))&gt;0,1,0)+IF((COUNTIF('C311'!F9,"Lab 2")+COUNTIF('C312'!F9,"Lab 2"))&gt;0,1,0)+IF((COUNTIF('C411'!F9,"Lab 2")+COUNTIF('C412'!F9,"Lab 2"))&gt;0,1,0)+IF((COUNTIF('M111'!F9,"Lab 2")+COUNTIF('M112'!F9,"Lab 2"))&gt;0,1,0)+IF((COUNTIF('M211'!F9,"Lab 2")+COUNTIF('M212'!F9,"Lab 2"))&gt;0,1,0)+IF((COUNTIF('M311'!F9,"Lab 2"))&gt;0,1,0)+IF((COUNTIF('M411'!F9,"Lab 2"))&gt;0,1,0)+IF((COUNTIF('D111'!F9,"Lab 2")+COUNTIF('D112'!F9,"Lab 2"))&gt;0,1,0)+IF((COUNTIF('D211'!F9,"Lab 2"))&gt;0,1,0)+IF((COUNTIF('D311'!F9,"Lab 2"))&gt;0,1,0)+IF((COUNTIF('D411'!F9,"Lab 2"))&gt;0,1,0))=1,IF((COUNTIF('C111'!F9,"Lab 2")+COUNTIF('C112'!F9,"Lab 2")+COUNTIF('C113'!F9,"Lab 2")+COUNTIF('C121'!F9,"Lab 2")+COUNTIF('C122'!F9,"Lab 2"))&gt;0,"C1",IF((COUNTIF('C211'!F9,"Lab 2")+COUNTIF('C212'!F9,"Lab 2"))&gt;0,"C2",IF((COUNTIF('C311'!F9,"Lab 2")+COUNTIF('C312'!F9,"Lab 2"))&gt;0,"C3",IF((COUNTIF('C411'!F9,"Lab 2")+COUNTIF('C412'!F9,"Lab 2"))&gt;0,"C4",IF((COUNTIF('M111'!F9,"Lab 2")+COUNTIF('M112'!F9,"Lab 2"))&gt;0,"M1",IF((COUNTIF('M211'!F9,"Lab 2")+COUNTIF('M212'!F9,"Lab 2"))&gt;0,"M2",IF((COUNTIF('M311'!F9,"Lab 2"))&gt;0,"M3",IF((COUNTIF('M411'!F9,"Lab 2"))&gt;0,"M4",IF((COUNTIF('D111'!F9,"Lab 2")+COUNTIF('D112'!F9,"Lab 2"))&gt;0,"D1",IF((COUNTIF('D211'!F9,"Lab 2"))&gt;0,"D2",IF((COUNTIF('D311'!F9,"Lab 2"))&gt;0,"D3",IF((COUNTIF('D411'!F9,"Lab 2"))&gt;0,"D4","")))))))))))),"MIX"))</f>
        <v/>
      </c>
    </row>
    <row r="405">
      <c r="C405">
        <f>IF((IF((COUNTIF('C111'!F9,"Salón")+COUNTIF('C112'!F9,"Salón")+COUNTIF('C113'!F9,"Salón")+COUNTIF('C121'!F9,"Salón")+COUNTIF('C122'!F9,"Salón"))&gt;0,1,0)+IF((COUNTIF('C211'!F9,"Salón")+COUNTIF('C212'!F9,"Salón"))&gt;0,1,0)+IF((COUNTIF('C311'!F9,"Salón")+COUNTIF('C312'!F9,"Salón"))&gt;0,1,0)+IF((COUNTIF('C411'!F9,"Salón")+COUNTIF('C412'!F9,"Salón"))&gt;0,1,0)+IF((COUNTIF('M111'!F9,"Salón")+COUNTIF('M112'!F9,"Salón"))&gt;0,1,0)+IF((COUNTIF('M211'!F9,"Salón")+COUNTIF('M212'!F9,"Salón"))&gt;0,1,0)+IF((COUNTIF('M311'!F9,"Salón"))&gt;0,1,0)+IF((COUNTIF('M411'!F9,"Salón"))&gt;0,1,0)+IF((COUNTIF('D111'!F9,"Salón")+COUNTIF('D112'!F9,"Salón"))&gt;0,1,0)+IF((COUNTIF('D211'!F9,"Salón"))&gt;0,1,0)+IF((COUNTIF('D311'!F9,"Salón"))&gt;0,1,0)+IF((COUNTIF('D411'!F9,"Salón"))&gt;0,1,0))=0,"",IF((IF((COUNTIF('C111'!F9,"Salón")+COUNTIF('C112'!F9,"Salón")+COUNTIF('C113'!F9,"Salón")+COUNTIF('C121'!F9,"Salón")+COUNTIF('C122'!F9,"Salón"))&gt;0,1,0)+IF((COUNTIF('C211'!F9,"Salón")+COUNTIF('C212'!F9,"Salón"))&gt;0,1,0)+IF((COUNTIF('C311'!F9,"Salón")+COUNTIF('C312'!F9,"Salón"))&gt;0,1,0)+IF((COUNTIF('C411'!F9,"Salón")+COUNTIF('C412'!F9,"Salón"))&gt;0,1,0)+IF((COUNTIF('M111'!F9,"Salón")+COUNTIF('M112'!F9,"Salón"))&gt;0,1,0)+IF((COUNTIF('M211'!F9,"Salón")+COUNTIF('M212'!F9,"Salón"))&gt;0,1,0)+IF((COUNTIF('M311'!F9,"Salón"))&gt;0,1,0)+IF((COUNTIF('M411'!F9,"Salón"))&gt;0,1,0)+IF((COUNTIF('D111'!F9,"Salón")+COUNTIF('D112'!F9,"Salón"))&gt;0,1,0)+IF((COUNTIF('D211'!F9,"Salón"))&gt;0,1,0)+IF((COUNTIF('D311'!F9,"Salón"))&gt;0,1,0)+IF((COUNTIF('D411'!F9,"Salón"))&gt;0,1,0))=1,IF((COUNTIF('C111'!F9,"Salón")+COUNTIF('C112'!F9,"Salón")+COUNTIF('C113'!F9,"Salón")+COUNTIF('C121'!F9,"Salón")+COUNTIF('C122'!F9,"Salón"))&gt;0,"C1",IF((COUNTIF('C211'!F9,"Salón")+COUNTIF('C212'!F9,"Salón"))&gt;0,"C2",IF((COUNTIF('C311'!F9,"Salón")+COUNTIF('C312'!F9,"Salón"))&gt;0,"C3",IF((COUNTIF('C411'!F9,"Salón")+COUNTIF('C412'!F9,"Salón"))&gt;0,"C4",IF((COUNTIF('M111'!F9,"Salón")+COUNTIF('M112'!F9,"Salón"))&gt;0,"M1",IF((COUNTIF('M211'!F9,"Salón")+COUNTIF('M212'!F9,"Salón"))&gt;0,"M2",IF((COUNTIF('M311'!F9,"Salón"))&gt;0,"M3",IF((COUNTIF('M411'!F9,"Salón"))&gt;0,"M4",IF((COUNTIF('D111'!F9,"Salón")+COUNTIF('D112'!F9,"Salón"))&gt;0,"D1",IF((COUNTIF('D211'!F9,"Salón"))&gt;0,"D2",IF((COUNTIF('D311'!F9,"Salón"))&gt;0,"D3",IF((COUNTIF('D411'!F9,"Salón"))&gt;0,"D4","")))))))))))),"MIX"))</f>
        <v/>
      </c>
    </row>
    <row r="406">
      <c r="C406">
        <f>IF((IF((COUNTIF('C111'!F11,"Aula 1")+COUNTIF('C112'!F11,"Aula 1")+COUNTIF('C113'!F11,"Aula 1")+COUNTIF('C121'!F11,"Aula 1")+COUNTIF('C122'!F11,"Aula 1"))&gt;0,1,0)+IF((COUNTIF('C211'!F11,"Aula 1")+COUNTIF('C212'!F11,"Aula 1"))&gt;0,1,0)+IF((COUNTIF('C311'!F11,"Aula 1")+COUNTIF('C312'!F11,"Aula 1"))&gt;0,1,0)+IF((COUNTIF('C411'!F11,"Aula 1")+COUNTIF('C412'!F11,"Aula 1"))&gt;0,1,0)+IF((COUNTIF('M111'!F11,"Aula 1")+COUNTIF('M112'!F11,"Aula 1"))&gt;0,1,0)+IF((COUNTIF('M211'!F11,"Aula 1")+COUNTIF('M212'!F11,"Aula 1"))&gt;0,1,0)+IF((COUNTIF('M311'!F11,"Aula 1"))&gt;0,1,0)+IF((COUNTIF('M411'!F11,"Aula 1"))&gt;0,1,0)+IF((COUNTIF('D111'!F11,"Aula 1")+COUNTIF('D112'!F11,"Aula 1"))&gt;0,1,0)+IF((COUNTIF('D211'!F11,"Aula 1"))&gt;0,1,0)+IF((COUNTIF('D311'!F11,"Aula 1"))&gt;0,1,0)+IF((COUNTIF('D411'!F11,"Aula 1"))&gt;0,1,0))=0,"",IF((IF((COUNTIF('C111'!F11,"Aula 1")+COUNTIF('C112'!F11,"Aula 1")+COUNTIF('C113'!F11,"Aula 1")+COUNTIF('C121'!F11,"Aula 1")+COUNTIF('C122'!F11,"Aula 1"))&gt;0,1,0)+IF((COUNTIF('C211'!F11,"Aula 1")+COUNTIF('C212'!F11,"Aula 1"))&gt;0,1,0)+IF((COUNTIF('C311'!F11,"Aula 1")+COUNTIF('C312'!F11,"Aula 1"))&gt;0,1,0)+IF((COUNTIF('C411'!F11,"Aula 1")+COUNTIF('C412'!F11,"Aula 1"))&gt;0,1,0)+IF((COUNTIF('M111'!F11,"Aula 1")+COUNTIF('M112'!F11,"Aula 1"))&gt;0,1,0)+IF((COUNTIF('M211'!F11,"Aula 1")+COUNTIF('M212'!F11,"Aula 1"))&gt;0,1,0)+IF((COUNTIF('M311'!F11,"Aula 1"))&gt;0,1,0)+IF((COUNTIF('M411'!F11,"Aula 1"))&gt;0,1,0)+IF((COUNTIF('D111'!F11,"Aula 1")+COUNTIF('D112'!F11,"Aula 1"))&gt;0,1,0)+IF((COUNTIF('D211'!F11,"Aula 1"))&gt;0,1,0)+IF((COUNTIF('D311'!F11,"Aula 1"))&gt;0,1,0)+IF((COUNTIF('D411'!F11,"Aula 1"))&gt;0,1,0))=1,IF((COUNTIF('C111'!F11,"Aula 1")+COUNTIF('C112'!F11,"Aula 1")+COUNTIF('C113'!F11,"Aula 1")+COUNTIF('C121'!F11,"Aula 1")+COUNTIF('C122'!F11,"Aula 1"))&gt;0,"C1",IF((COUNTIF('C211'!F11,"Aula 1")+COUNTIF('C212'!F11,"Aula 1"))&gt;0,"C2",IF((COUNTIF('C311'!F11,"Aula 1")+COUNTIF('C312'!F11,"Aula 1"))&gt;0,"C3",IF((COUNTIF('C411'!F11,"Aula 1")+COUNTIF('C412'!F11,"Aula 1"))&gt;0,"C4",IF((COUNTIF('M111'!F11,"Aula 1")+COUNTIF('M112'!F11,"Aula 1"))&gt;0,"M1",IF((COUNTIF('M211'!F11,"Aula 1")+COUNTIF('M212'!F11,"Aula 1"))&gt;0,"M2",IF((COUNTIF('M311'!F11,"Aula 1"))&gt;0,"M3",IF((COUNTIF('M411'!F11,"Aula 1"))&gt;0,"M4",IF((COUNTIF('D111'!F11,"Aula 1")+COUNTIF('D112'!F11,"Aula 1"))&gt;0,"D1",IF((COUNTIF('D211'!F11,"Aula 1"))&gt;0,"D2",IF((COUNTIF('D311'!F11,"Aula 1"))&gt;0,"D3",IF((COUNTIF('D411'!F11,"Aula 1"))&gt;0,"D4","")))))))))))),"MIX"))</f>
        <v/>
      </c>
    </row>
    <row r="407">
      <c r="C407">
        <f>IF((IF((COUNTIF('C111'!F11,"Aula 2")+COUNTIF('C112'!F11,"Aula 2")+COUNTIF('C113'!F11,"Aula 2")+COUNTIF('C121'!F11,"Aula 2")+COUNTIF('C122'!F11,"Aula 2"))&gt;0,1,0)+IF((COUNTIF('C211'!F11,"Aula 2")+COUNTIF('C212'!F11,"Aula 2"))&gt;0,1,0)+IF((COUNTIF('C311'!F11,"Aula 2")+COUNTIF('C312'!F11,"Aula 2"))&gt;0,1,0)+IF((COUNTIF('C411'!F11,"Aula 2")+COUNTIF('C412'!F11,"Aula 2"))&gt;0,1,0)+IF((COUNTIF('M111'!F11,"Aula 2")+COUNTIF('M112'!F11,"Aula 2"))&gt;0,1,0)+IF((COUNTIF('M211'!F11,"Aula 2")+COUNTIF('M212'!F11,"Aula 2"))&gt;0,1,0)+IF((COUNTIF('M311'!F11,"Aula 2"))&gt;0,1,0)+IF((COUNTIF('M411'!F11,"Aula 2"))&gt;0,1,0)+IF((COUNTIF('D111'!F11,"Aula 2")+COUNTIF('D112'!F11,"Aula 2"))&gt;0,1,0)+IF((COUNTIF('D211'!F11,"Aula 2"))&gt;0,1,0)+IF((COUNTIF('D311'!F11,"Aula 2"))&gt;0,1,0)+IF((COUNTIF('D411'!F11,"Aula 2"))&gt;0,1,0))=0,"",IF((IF((COUNTIF('C111'!F11,"Aula 2")+COUNTIF('C112'!F11,"Aula 2")+COUNTIF('C113'!F11,"Aula 2")+COUNTIF('C121'!F11,"Aula 2")+COUNTIF('C122'!F11,"Aula 2"))&gt;0,1,0)+IF((COUNTIF('C211'!F11,"Aula 2")+COUNTIF('C212'!F11,"Aula 2"))&gt;0,1,0)+IF((COUNTIF('C311'!F11,"Aula 2")+COUNTIF('C312'!F11,"Aula 2"))&gt;0,1,0)+IF((COUNTIF('C411'!F11,"Aula 2")+COUNTIF('C412'!F11,"Aula 2"))&gt;0,1,0)+IF((COUNTIF('M111'!F11,"Aula 2")+COUNTIF('M112'!F11,"Aula 2"))&gt;0,1,0)+IF((COUNTIF('M211'!F11,"Aula 2")+COUNTIF('M212'!F11,"Aula 2"))&gt;0,1,0)+IF((COUNTIF('M311'!F11,"Aula 2"))&gt;0,1,0)+IF((COUNTIF('M411'!F11,"Aula 2"))&gt;0,1,0)+IF((COUNTIF('D111'!F11,"Aula 2")+COUNTIF('D112'!F11,"Aula 2"))&gt;0,1,0)+IF((COUNTIF('D211'!F11,"Aula 2"))&gt;0,1,0)+IF((COUNTIF('D311'!F11,"Aula 2"))&gt;0,1,0)+IF((COUNTIF('D411'!F11,"Aula 2"))&gt;0,1,0))=1,IF((COUNTIF('C111'!F11,"Aula 2")+COUNTIF('C112'!F11,"Aula 2")+COUNTIF('C113'!F11,"Aula 2")+COUNTIF('C121'!F11,"Aula 2")+COUNTIF('C122'!F11,"Aula 2"))&gt;0,"C1",IF((COUNTIF('C211'!F11,"Aula 2")+COUNTIF('C212'!F11,"Aula 2"))&gt;0,"C2",IF((COUNTIF('C311'!F11,"Aula 2")+COUNTIF('C312'!F11,"Aula 2"))&gt;0,"C3",IF((COUNTIF('C411'!F11,"Aula 2")+COUNTIF('C412'!F11,"Aula 2"))&gt;0,"C4",IF((COUNTIF('M111'!F11,"Aula 2")+COUNTIF('M112'!F11,"Aula 2"))&gt;0,"M1",IF((COUNTIF('M211'!F11,"Aula 2")+COUNTIF('M212'!F11,"Aula 2"))&gt;0,"M2",IF((COUNTIF('M311'!F11,"Aula 2"))&gt;0,"M3",IF((COUNTIF('M411'!F11,"Aula 2"))&gt;0,"M4",IF((COUNTIF('D111'!F11,"Aula 2")+COUNTIF('D112'!F11,"Aula 2"))&gt;0,"D1",IF((COUNTIF('D211'!F11,"Aula 2"))&gt;0,"D2",IF((COUNTIF('D311'!F11,"Aula 2"))&gt;0,"D3",IF((COUNTIF('D411'!F11,"Aula 2"))&gt;0,"D4","")))))))))))),"MIX"))</f>
        <v/>
      </c>
    </row>
    <row r="408">
      <c r="C408">
        <f>IF((IF((COUNTIF('C111'!F11,"Aula 3")+COUNTIF('C112'!F11,"Aula 3")+COUNTIF('C113'!F11,"Aula 3")+COUNTIF('C121'!F11,"Aula 3")+COUNTIF('C122'!F11,"Aula 3"))&gt;0,1,0)+IF((COUNTIF('C211'!F11,"Aula 3")+COUNTIF('C212'!F11,"Aula 3"))&gt;0,1,0)+IF((COUNTIF('C311'!F11,"Aula 3")+COUNTIF('C312'!F11,"Aula 3"))&gt;0,1,0)+IF((COUNTIF('C411'!F11,"Aula 3")+COUNTIF('C412'!F11,"Aula 3"))&gt;0,1,0)+IF((COUNTIF('M111'!F11,"Aula 3")+COUNTIF('M112'!F11,"Aula 3"))&gt;0,1,0)+IF((COUNTIF('M211'!F11,"Aula 3")+COUNTIF('M212'!F11,"Aula 3"))&gt;0,1,0)+IF((COUNTIF('M311'!F11,"Aula 3"))&gt;0,1,0)+IF((COUNTIF('M411'!F11,"Aula 3"))&gt;0,1,0)+IF((COUNTIF('D111'!F11,"Aula 3")+COUNTIF('D112'!F11,"Aula 3"))&gt;0,1,0)+IF((COUNTIF('D211'!F11,"Aula 3"))&gt;0,1,0)+IF((COUNTIF('D311'!F11,"Aula 3"))&gt;0,1,0)+IF((COUNTIF('D411'!F11,"Aula 3"))&gt;0,1,0))=0,"",IF((IF((COUNTIF('C111'!F11,"Aula 3")+COUNTIF('C112'!F11,"Aula 3")+COUNTIF('C113'!F11,"Aula 3")+COUNTIF('C121'!F11,"Aula 3")+COUNTIF('C122'!F11,"Aula 3"))&gt;0,1,0)+IF((COUNTIF('C211'!F11,"Aula 3")+COUNTIF('C212'!F11,"Aula 3"))&gt;0,1,0)+IF((COUNTIF('C311'!F11,"Aula 3")+COUNTIF('C312'!F11,"Aula 3"))&gt;0,1,0)+IF((COUNTIF('C411'!F11,"Aula 3")+COUNTIF('C412'!F11,"Aula 3"))&gt;0,1,0)+IF((COUNTIF('M111'!F11,"Aula 3")+COUNTIF('M112'!F11,"Aula 3"))&gt;0,1,0)+IF((COUNTIF('M211'!F11,"Aula 3")+COUNTIF('M212'!F11,"Aula 3"))&gt;0,1,0)+IF((COUNTIF('M311'!F11,"Aula 3"))&gt;0,1,0)+IF((COUNTIF('M411'!F11,"Aula 3"))&gt;0,1,0)+IF((COUNTIF('D111'!F11,"Aula 3")+COUNTIF('D112'!F11,"Aula 3"))&gt;0,1,0)+IF((COUNTIF('D211'!F11,"Aula 3"))&gt;0,1,0)+IF((COUNTIF('D311'!F11,"Aula 3"))&gt;0,1,0)+IF((COUNTIF('D411'!F11,"Aula 3"))&gt;0,1,0))=1,IF((COUNTIF('C111'!F11,"Aula 3")+COUNTIF('C112'!F11,"Aula 3")+COUNTIF('C113'!F11,"Aula 3")+COUNTIF('C121'!F11,"Aula 3")+COUNTIF('C122'!F11,"Aula 3"))&gt;0,"C1",IF((COUNTIF('C211'!F11,"Aula 3")+COUNTIF('C212'!F11,"Aula 3"))&gt;0,"C2",IF((COUNTIF('C311'!F11,"Aula 3")+COUNTIF('C312'!F11,"Aula 3"))&gt;0,"C3",IF((COUNTIF('C411'!F11,"Aula 3")+COUNTIF('C412'!F11,"Aula 3"))&gt;0,"C4",IF((COUNTIF('M111'!F11,"Aula 3")+COUNTIF('M112'!F11,"Aula 3"))&gt;0,"M1",IF((COUNTIF('M211'!F11,"Aula 3")+COUNTIF('M212'!F11,"Aula 3"))&gt;0,"M2",IF((COUNTIF('M311'!F11,"Aula 3"))&gt;0,"M3",IF((COUNTIF('M411'!F11,"Aula 3"))&gt;0,"M4",IF((COUNTIF('D111'!F11,"Aula 3")+COUNTIF('D112'!F11,"Aula 3"))&gt;0,"D1",IF((COUNTIF('D211'!F11,"Aula 3"))&gt;0,"D2",IF((COUNTIF('D311'!F11,"Aula 3"))&gt;0,"D3",IF((COUNTIF('D411'!F11,"Aula 3"))&gt;0,"D4","")))))))))))),"MIX"))</f>
        <v/>
      </c>
    </row>
    <row r="409">
      <c r="C409">
        <f>IF((IF((COUNTIF('C111'!F11,"Aula 4")+COUNTIF('C112'!F11,"Aula 4")+COUNTIF('C113'!F11,"Aula 4")+COUNTIF('C121'!F11,"Aula 4")+COUNTIF('C122'!F11,"Aula 4"))&gt;0,1,0)+IF((COUNTIF('C211'!F11,"Aula 4")+COUNTIF('C212'!F11,"Aula 4"))&gt;0,1,0)+IF((COUNTIF('C311'!F11,"Aula 4")+COUNTIF('C312'!F11,"Aula 4"))&gt;0,1,0)+IF((COUNTIF('C411'!F11,"Aula 4")+COUNTIF('C412'!F11,"Aula 4"))&gt;0,1,0)+IF((COUNTIF('M111'!F11,"Aula 4")+COUNTIF('M112'!F11,"Aula 4"))&gt;0,1,0)+IF((COUNTIF('M211'!F11,"Aula 4")+COUNTIF('M212'!F11,"Aula 4"))&gt;0,1,0)+IF((COUNTIF('M311'!F11,"Aula 4"))&gt;0,1,0)+IF((COUNTIF('M411'!F11,"Aula 4"))&gt;0,1,0)+IF((COUNTIF('D111'!F11,"Aula 4")+COUNTIF('D112'!F11,"Aula 4"))&gt;0,1,0)+IF((COUNTIF('D211'!F11,"Aula 4"))&gt;0,1,0)+IF((COUNTIF('D311'!F11,"Aula 4"))&gt;0,1,0)+IF((COUNTIF('D411'!F11,"Aula 4"))&gt;0,1,0))=0,"",IF((IF((COUNTIF('C111'!F11,"Aula 4")+COUNTIF('C112'!F11,"Aula 4")+COUNTIF('C113'!F11,"Aula 4")+COUNTIF('C121'!F11,"Aula 4")+COUNTIF('C122'!F11,"Aula 4"))&gt;0,1,0)+IF((COUNTIF('C211'!F11,"Aula 4")+COUNTIF('C212'!F11,"Aula 4"))&gt;0,1,0)+IF((COUNTIF('C311'!F11,"Aula 4")+COUNTIF('C312'!F11,"Aula 4"))&gt;0,1,0)+IF((COUNTIF('C411'!F11,"Aula 4")+COUNTIF('C412'!F11,"Aula 4"))&gt;0,1,0)+IF((COUNTIF('M111'!F11,"Aula 4")+COUNTIF('M112'!F11,"Aula 4"))&gt;0,1,0)+IF((COUNTIF('M211'!F11,"Aula 4")+COUNTIF('M212'!F11,"Aula 4"))&gt;0,1,0)+IF((COUNTIF('M311'!F11,"Aula 4"))&gt;0,1,0)+IF((COUNTIF('M411'!F11,"Aula 4"))&gt;0,1,0)+IF((COUNTIF('D111'!F11,"Aula 4")+COUNTIF('D112'!F11,"Aula 4"))&gt;0,1,0)+IF((COUNTIF('D211'!F11,"Aula 4"))&gt;0,1,0)+IF((COUNTIF('D311'!F11,"Aula 4"))&gt;0,1,0)+IF((COUNTIF('D411'!F11,"Aula 4"))&gt;0,1,0))=1,IF((COUNTIF('C111'!F11,"Aula 4")+COUNTIF('C112'!F11,"Aula 4")+COUNTIF('C113'!F11,"Aula 4")+COUNTIF('C121'!F11,"Aula 4")+COUNTIF('C122'!F11,"Aula 4"))&gt;0,"C1",IF((COUNTIF('C211'!F11,"Aula 4")+COUNTIF('C212'!F11,"Aula 4"))&gt;0,"C2",IF((COUNTIF('C311'!F11,"Aula 4")+COUNTIF('C312'!F11,"Aula 4"))&gt;0,"C3",IF((COUNTIF('C411'!F11,"Aula 4")+COUNTIF('C412'!F11,"Aula 4"))&gt;0,"C4",IF((COUNTIF('M111'!F11,"Aula 4")+COUNTIF('M112'!F11,"Aula 4"))&gt;0,"M1",IF((COUNTIF('M211'!F11,"Aula 4")+COUNTIF('M212'!F11,"Aula 4"))&gt;0,"M2",IF((COUNTIF('M311'!F11,"Aula 4"))&gt;0,"M3",IF((COUNTIF('M411'!F11,"Aula 4"))&gt;0,"M4",IF((COUNTIF('D111'!F11,"Aula 4")+COUNTIF('D112'!F11,"Aula 4"))&gt;0,"D1",IF((COUNTIF('D211'!F11,"Aula 4"))&gt;0,"D2",IF((COUNTIF('D311'!F11,"Aula 4"))&gt;0,"D3",IF((COUNTIF('D411'!F11,"Aula 4"))&gt;0,"D4","")))))))))))),"MIX"))</f>
        <v/>
      </c>
    </row>
    <row r="410">
      <c r="C410">
        <f>IF((IF((COUNTIF('C111'!F11,"Aula 5")+COUNTIF('C112'!F11,"Aula 5")+COUNTIF('C113'!F11,"Aula 5")+COUNTIF('C121'!F11,"Aula 5")+COUNTIF('C122'!F11,"Aula 5"))&gt;0,1,0)+IF((COUNTIF('C211'!F11,"Aula 5")+COUNTIF('C212'!F11,"Aula 5"))&gt;0,1,0)+IF((COUNTIF('C311'!F11,"Aula 5")+COUNTIF('C312'!F11,"Aula 5"))&gt;0,1,0)+IF((COUNTIF('C411'!F11,"Aula 5")+COUNTIF('C412'!F11,"Aula 5"))&gt;0,1,0)+IF((COUNTIF('M111'!F11,"Aula 5")+COUNTIF('M112'!F11,"Aula 5"))&gt;0,1,0)+IF((COUNTIF('M211'!F11,"Aula 5")+COUNTIF('M212'!F11,"Aula 5"))&gt;0,1,0)+IF((COUNTIF('M311'!F11,"Aula 5"))&gt;0,1,0)+IF((COUNTIF('M411'!F11,"Aula 5"))&gt;0,1,0)+IF((COUNTIF('D111'!F11,"Aula 5")+COUNTIF('D112'!F11,"Aula 5"))&gt;0,1,0)+IF((COUNTIF('D211'!F11,"Aula 5"))&gt;0,1,0)+IF((COUNTIF('D311'!F11,"Aula 5"))&gt;0,1,0)+IF((COUNTIF('D411'!F11,"Aula 5"))&gt;0,1,0))=0,"",IF((IF((COUNTIF('C111'!F11,"Aula 5")+COUNTIF('C112'!F11,"Aula 5")+COUNTIF('C113'!F11,"Aula 5")+COUNTIF('C121'!F11,"Aula 5")+COUNTIF('C122'!F11,"Aula 5"))&gt;0,1,0)+IF((COUNTIF('C211'!F11,"Aula 5")+COUNTIF('C212'!F11,"Aula 5"))&gt;0,1,0)+IF((COUNTIF('C311'!F11,"Aula 5")+COUNTIF('C312'!F11,"Aula 5"))&gt;0,1,0)+IF((COUNTIF('C411'!F11,"Aula 5")+COUNTIF('C412'!F11,"Aula 5"))&gt;0,1,0)+IF((COUNTIF('M111'!F11,"Aula 5")+COUNTIF('M112'!F11,"Aula 5"))&gt;0,1,0)+IF((COUNTIF('M211'!F11,"Aula 5")+COUNTIF('M212'!F11,"Aula 5"))&gt;0,1,0)+IF((COUNTIF('M311'!F11,"Aula 5"))&gt;0,1,0)+IF((COUNTIF('M411'!F11,"Aula 5"))&gt;0,1,0)+IF((COUNTIF('D111'!F11,"Aula 5")+COUNTIF('D112'!F11,"Aula 5"))&gt;0,1,0)+IF((COUNTIF('D211'!F11,"Aula 5"))&gt;0,1,0)+IF((COUNTIF('D311'!F11,"Aula 5"))&gt;0,1,0)+IF((COUNTIF('D411'!F11,"Aula 5"))&gt;0,1,0))=1,IF((COUNTIF('C111'!F11,"Aula 5")+COUNTIF('C112'!F11,"Aula 5")+COUNTIF('C113'!F11,"Aula 5")+COUNTIF('C121'!F11,"Aula 5")+COUNTIF('C122'!F11,"Aula 5"))&gt;0,"C1",IF((COUNTIF('C211'!F11,"Aula 5")+COUNTIF('C212'!F11,"Aula 5"))&gt;0,"C2",IF((COUNTIF('C311'!F11,"Aula 5")+COUNTIF('C312'!F11,"Aula 5"))&gt;0,"C3",IF((COUNTIF('C411'!F11,"Aula 5")+COUNTIF('C412'!F11,"Aula 5"))&gt;0,"C4",IF((COUNTIF('M111'!F11,"Aula 5")+COUNTIF('M112'!F11,"Aula 5"))&gt;0,"M1",IF((COUNTIF('M211'!F11,"Aula 5")+COUNTIF('M212'!F11,"Aula 5"))&gt;0,"M2",IF((COUNTIF('M311'!F11,"Aula 5"))&gt;0,"M3",IF((COUNTIF('M411'!F11,"Aula 5"))&gt;0,"M4",IF((COUNTIF('D111'!F11,"Aula 5")+COUNTIF('D112'!F11,"Aula 5"))&gt;0,"D1",IF((COUNTIF('D211'!F11,"Aula 5"))&gt;0,"D2",IF((COUNTIF('D311'!F11,"Aula 5"))&gt;0,"D3",IF((COUNTIF('D411'!F11,"Aula 5"))&gt;0,"D4","")))))))))))),"MIX"))</f>
        <v/>
      </c>
    </row>
    <row r="411">
      <c r="C411">
        <f>IF((IF((COUNTIF('C111'!F11,"Aula 6")+COUNTIF('C112'!F11,"Aula 6")+COUNTIF('C113'!F11,"Aula 6")+COUNTIF('C121'!F11,"Aula 6")+COUNTIF('C122'!F11,"Aula 6"))&gt;0,1,0)+IF((COUNTIF('C211'!F11,"Aula 6")+COUNTIF('C212'!F11,"Aula 6"))&gt;0,1,0)+IF((COUNTIF('C311'!F11,"Aula 6")+COUNTIF('C312'!F11,"Aula 6"))&gt;0,1,0)+IF((COUNTIF('C411'!F11,"Aula 6")+COUNTIF('C412'!F11,"Aula 6"))&gt;0,1,0)+IF((COUNTIF('M111'!F11,"Aula 6")+COUNTIF('M112'!F11,"Aula 6"))&gt;0,1,0)+IF((COUNTIF('M211'!F11,"Aula 6")+COUNTIF('M212'!F11,"Aula 6"))&gt;0,1,0)+IF((COUNTIF('M311'!F11,"Aula 6"))&gt;0,1,0)+IF((COUNTIF('M411'!F11,"Aula 6"))&gt;0,1,0)+IF((COUNTIF('D111'!F11,"Aula 6")+COUNTIF('D112'!F11,"Aula 6"))&gt;0,1,0)+IF((COUNTIF('D211'!F11,"Aula 6"))&gt;0,1,0)+IF((COUNTIF('D311'!F11,"Aula 6"))&gt;0,1,0)+IF((COUNTIF('D411'!F11,"Aula 6"))&gt;0,1,0))=0,"",IF((IF((COUNTIF('C111'!F11,"Aula 6")+COUNTIF('C112'!F11,"Aula 6")+COUNTIF('C113'!F11,"Aula 6")+COUNTIF('C121'!F11,"Aula 6")+COUNTIF('C122'!F11,"Aula 6"))&gt;0,1,0)+IF((COUNTIF('C211'!F11,"Aula 6")+COUNTIF('C212'!F11,"Aula 6"))&gt;0,1,0)+IF((COUNTIF('C311'!F11,"Aula 6")+COUNTIF('C312'!F11,"Aula 6"))&gt;0,1,0)+IF((COUNTIF('C411'!F11,"Aula 6")+COUNTIF('C412'!F11,"Aula 6"))&gt;0,1,0)+IF((COUNTIF('M111'!F11,"Aula 6")+COUNTIF('M112'!F11,"Aula 6"))&gt;0,1,0)+IF((COUNTIF('M211'!F11,"Aula 6")+COUNTIF('M212'!F11,"Aula 6"))&gt;0,1,0)+IF((COUNTIF('M311'!F11,"Aula 6"))&gt;0,1,0)+IF((COUNTIF('M411'!F11,"Aula 6"))&gt;0,1,0)+IF((COUNTIF('D111'!F11,"Aula 6")+COUNTIF('D112'!F11,"Aula 6"))&gt;0,1,0)+IF((COUNTIF('D211'!F11,"Aula 6"))&gt;0,1,0)+IF((COUNTIF('D311'!F11,"Aula 6"))&gt;0,1,0)+IF((COUNTIF('D411'!F11,"Aula 6"))&gt;0,1,0))=1,IF((COUNTIF('C111'!F11,"Aula 6")+COUNTIF('C112'!F11,"Aula 6")+COUNTIF('C113'!F11,"Aula 6")+COUNTIF('C121'!F11,"Aula 6")+COUNTIF('C122'!F11,"Aula 6"))&gt;0,"C1",IF((COUNTIF('C211'!F11,"Aula 6")+COUNTIF('C212'!F11,"Aula 6"))&gt;0,"C2",IF((COUNTIF('C311'!F11,"Aula 6")+COUNTIF('C312'!F11,"Aula 6"))&gt;0,"C3",IF((COUNTIF('C411'!F11,"Aula 6")+COUNTIF('C412'!F11,"Aula 6"))&gt;0,"C4",IF((COUNTIF('M111'!F11,"Aula 6")+COUNTIF('M112'!F11,"Aula 6"))&gt;0,"M1",IF((COUNTIF('M211'!F11,"Aula 6")+COUNTIF('M212'!F11,"Aula 6"))&gt;0,"M2",IF((COUNTIF('M311'!F11,"Aula 6"))&gt;0,"M3",IF((COUNTIF('M411'!F11,"Aula 6"))&gt;0,"M4",IF((COUNTIF('D111'!F11,"Aula 6")+COUNTIF('D112'!F11,"Aula 6"))&gt;0,"D1",IF((COUNTIF('D211'!F11,"Aula 6"))&gt;0,"D2",IF((COUNTIF('D311'!F11,"Aula 6"))&gt;0,"D3",IF((COUNTIF('D411'!F11,"Aula 6"))&gt;0,"D4","")))))))))))),"MIX"))</f>
        <v/>
      </c>
    </row>
    <row r="412">
      <c r="C412">
        <f>IF((IF((COUNTIF('C111'!F11,"Aula 7")+COUNTIF('C112'!F11,"Aula 7")+COUNTIF('C113'!F11,"Aula 7")+COUNTIF('C121'!F11,"Aula 7")+COUNTIF('C122'!F11,"Aula 7"))&gt;0,1,0)+IF((COUNTIF('C211'!F11,"Aula 7")+COUNTIF('C212'!F11,"Aula 7"))&gt;0,1,0)+IF((COUNTIF('C311'!F11,"Aula 7")+COUNTIF('C312'!F11,"Aula 7"))&gt;0,1,0)+IF((COUNTIF('C411'!F11,"Aula 7")+COUNTIF('C412'!F11,"Aula 7"))&gt;0,1,0)+IF((COUNTIF('M111'!F11,"Aula 7")+COUNTIF('M112'!F11,"Aula 7"))&gt;0,1,0)+IF((COUNTIF('M211'!F11,"Aula 7")+COUNTIF('M212'!F11,"Aula 7"))&gt;0,1,0)+IF((COUNTIF('M311'!F11,"Aula 7"))&gt;0,1,0)+IF((COUNTIF('M411'!F11,"Aula 7"))&gt;0,1,0)+IF((COUNTIF('D111'!F11,"Aula 7")+COUNTIF('D112'!F11,"Aula 7"))&gt;0,1,0)+IF((COUNTIF('D211'!F11,"Aula 7"))&gt;0,1,0)+IF((COUNTIF('D311'!F11,"Aula 7"))&gt;0,1,0)+IF((COUNTIF('D411'!F11,"Aula 7"))&gt;0,1,0))=0,"",IF((IF((COUNTIF('C111'!F11,"Aula 7")+COUNTIF('C112'!F11,"Aula 7")+COUNTIF('C113'!F11,"Aula 7")+COUNTIF('C121'!F11,"Aula 7")+COUNTIF('C122'!F11,"Aula 7"))&gt;0,1,0)+IF((COUNTIF('C211'!F11,"Aula 7")+COUNTIF('C212'!F11,"Aula 7"))&gt;0,1,0)+IF((COUNTIF('C311'!F11,"Aula 7")+COUNTIF('C312'!F11,"Aula 7"))&gt;0,1,0)+IF((COUNTIF('C411'!F11,"Aula 7")+COUNTIF('C412'!F11,"Aula 7"))&gt;0,1,0)+IF((COUNTIF('M111'!F11,"Aula 7")+COUNTIF('M112'!F11,"Aula 7"))&gt;0,1,0)+IF((COUNTIF('M211'!F11,"Aula 7")+COUNTIF('M212'!F11,"Aula 7"))&gt;0,1,0)+IF((COUNTIF('M311'!F11,"Aula 7"))&gt;0,1,0)+IF((COUNTIF('M411'!F11,"Aula 7"))&gt;0,1,0)+IF((COUNTIF('D111'!F11,"Aula 7")+COUNTIF('D112'!F11,"Aula 7"))&gt;0,1,0)+IF((COUNTIF('D211'!F11,"Aula 7"))&gt;0,1,0)+IF((COUNTIF('D311'!F11,"Aula 7"))&gt;0,1,0)+IF((COUNTIF('D411'!F11,"Aula 7"))&gt;0,1,0))=1,IF((COUNTIF('C111'!F11,"Aula 7")+COUNTIF('C112'!F11,"Aula 7")+COUNTIF('C113'!F11,"Aula 7")+COUNTIF('C121'!F11,"Aula 7")+COUNTIF('C122'!F11,"Aula 7"))&gt;0,"C1",IF((COUNTIF('C211'!F11,"Aula 7")+COUNTIF('C212'!F11,"Aula 7"))&gt;0,"C2",IF((COUNTIF('C311'!F11,"Aula 7")+COUNTIF('C312'!F11,"Aula 7"))&gt;0,"C3",IF((COUNTIF('C411'!F11,"Aula 7")+COUNTIF('C412'!F11,"Aula 7"))&gt;0,"C4",IF((COUNTIF('M111'!F11,"Aula 7")+COUNTIF('M112'!F11,"Aula 7"))&gt;0,"M1",IF((COUNTIF('M211'!F11,"Aula 7")+COUNTIF('M212'!F11,"Aula 7"))&gt;0,"M2",IF((COUNTIF('M311'!F11,"Aula 7"))&gt;0,"M3",IF((COUNTIF('M411'!F11,"Aula 7"))&gt;0,"M4",IF((COUNTIF('D111'!F11,"Aula 7")+COUNTIF('D112'!F11,"Aula 7"))&gt;0,"D1",IF((COUNTIF('D211'!F11,"Aula 7"))&gt;0,"D2",IF((COUNTIF('D311'!F11,"Aula 7"))&gt;0,"D3",IF((COUNTIF('D411'!F11,"Aula 7"))&gt;0,"D4","")))))))))))),"MIX"))</f>
        <v/>
      </c>
    </row>
    <row r="413">
      <c r="C413">
        <f>IF((IF((COUNTIF('C111'!F11,"Aula 8")+COUNTIF('C112'!F11,"Aula 8")+COUNTIF('C113'!F11,"Aula 8")+COUNTIF('C121'!F11,"Aula 8")+COUNTIF('C122'!F11,"Aula 8"))&gt;0,1,0)+IF((COUNTIF('C211'!F11,"Aula 8")+COUNTIF('C212'!F11,"Aula 8"))&gt;0,1,0)+IF((COUNTIF('C311'!F11,"Aula 8")+COUNTIF('C312'!F11,"Aula 8"))&gt;0,1,0)+IF((COUNTIF('C411'!F11,"Aula 8")+COUNTIF('C412'!F11,"Aula 8"))&gt;0,1,0)+IF((COUNTIF('M111'!F11,"Aula 8")+COUNTIF('M112'!F11,"Aula 8"))&gt;0,1,0)+IF((COUNTIF('M211'!F11,"Aula 8")+COUNTIF('M212'!F11,"Aula 8"))&gt;0,1,0)+IF((COUNTIF('M311'!F11,"Aula 8"))&gt;0,1,0)+IF((COUNTIF('M411'!F11,"Aula 8"))&gt;0,1,0)+IF((COUNTIF('D111'!F11,"Aula 8")+COUNTIF('D112'!F11,"Aula 8"))&gt;0,1,0)+IF((COUNTIF('D211'!F11,"Aula 8"))&gt;0,1,0)+IF((COUNTIF('D311'!F11,"Aula 8"))&gt;0,1,0)+IF((COUNTIF('D411'!F11,"Aula 8"))&gt;0,1,0))=0,"",IF((IF((COUNTIF('C111'!F11,"Aula 8")+COUNTIF('C112'!F11,"Aula 8")+COUNTIF('C113'!F11,"Aula 8")+COUNTIF('C121'!F11,"Aula 8")+COUNTIF('C122'!F11,"Aula 8"))&gt;0,1,0)+IF((COUNTIF('C211'!F11,"Aula 8")+COUNTIF('C212'!F11,"Aula 8"))&gt;0,1,0)+IF((COUNTIF('C311'!F11,"Aula 8")+COUNTIF('C312'!F11,"Aula 8"))&gt;0,1,0)+IF((COUNTIF('C411'!F11,"Aula 8")+COUNTIF('C412'!F11,"Aula 8"))&gt;0,1,0)+IF((COUNTIF('M111'!F11,"Aula 8")+COUNTIF('M112'!F11,"Aula 8"))&gt;0,1,0)+IF((COUNTIF('M211'!F11,"Aula 8")+COUNTIF('M212'!F11,"Aula 8"))&gt;0,1,0)+IF((COUNTIF('M311'!F11,"Aula 8"))&gt;0,1,0)+IF((COUNTIF('M411'!F11,"Aula 8"))&gt;0,1,0)+IF((COUNTIF('D111'!F11,"Aula 8")+COUNTIF('D112'!F11,"Aula 8"))&gt;0,1,0)+IF((COUNTIF('D211'!F11,"Aula 8"))&gt;0,1,0)+IF((COUNTIF('D311'!F11,"Aula 8"))&gt;0,1,0)+IF((COUNTIF('D411'!F11,"Aula 8"))&gt;0,1,0))=1,IF((COUNTIF('C111'!F11,"Aula 8")+COUNTIF('C112'!F11,"Aula 8")+COUNTIF('C113'!F11,"Aula 8")+COUNTIF('C121'!F11,"Aula 8")+COUNTIF('C122'!F11,"Aula 8"))&gt;0,"C1",IF((COUNTIF('C211'!F11,"Aula 8")+COUNTIF('C212'!F11,"Aula 8"))&gt;0,"C2",IF((COUNTIF('C311'!F11,"Aula 8")+COUNTIF('C312'!F11,"Aula 8"))&gt;0,"C3",IF((COUNTIF('C411'!F11,"Aula 8")+COUNTIF('C412'!F11,"Aula 8"))&gt;0,"C4",IF((COUNTIF('M111'!F11,"Aula 8")+COUNTIF('M112'!F11,"Aula 8"))&gt;0,"M1",IF((COUNTIF('M211'!F11,"Aula 8")+COUNTIF('M212'!F11,"Aula 8"))&gt;0,"M2",IF((COUNTIF('M311'!F11,"Aula 8"))&gt;0,"M3",IF((COUNTIF('M411'!F11,"Aula 8"))&gt;0,"M4",IF((COUNTIF('D111'!F11,"Aula 8")+COUNTIF('D112'!F11,"Aula 8"))&gt;0,"D1",IF((COUNTIF('D211'!F11,"Aula 8"))&gt;0,"D2",IF((COUNTIF('D311'!F11,"Aula 8"))&gt;0,"D3",IF((COUNTIF('D411'!F11,"Aula 8"))&gt;0,"D4","")))))))))))),"MIX"))</f>
        <v/>
      </c>
    </row>
    <row r="414">
      <c r="C414">
        <f>IF((IF((COUNTIF('C111'!F11,"Aula 9")+COUNTIF('C112'!F11,"Aula 9")+COUNTIF('C113'!F11,"Aula 9")+COUNTIF('C121'!F11,"Aula 9")+COUNTIF('C122'!F11,"Aula 9"))&gt;0,1,0)+IF((COUNTIF('C211'!F11,"Aula 9")+COUNTIF('C212'!F11,"Aula 9"))&gt;0,1,0)+IF((COUNTIF('C311'!F11,"Aula 9")+COUNTIF('C312'!F11,"Aula 9"))&gt;0,1,0)+IF((COUNTIF('C411'!F11,"Aula 9")+COUNTIF('C412'!F11,"Aula 9"))&gt;0,1,0)+IF((COUNTIF('M111'!F11,"Aula 9")+COUNTIF('M112'!F11,"Aula 9"))&gt;0,1,0)+IF((COUNTIF('M211'!F11,"Aula 9")+COUNTIF('M212'!F11,"Aula 9"))&gt;0,1,0)+IF((COUNTIF('M311'!F11,"Aula 9"))&gt;0,1,0)+IF((COUNTIF('M411'!F11,"Aula 9"))&gt;0,1,0)+IF((COUNTIF('D111'!F11,"Aula 9")+COUNTIF('D112'!F11,"Aula 9"))&gt;0,1,0)+IF((COUNTIF('D211'!F11,"Aula 9"))&gt;0,1,0)+IF((COUNTIF('D311'!F11,"Aula 9"))&gt;0,1,0)+IF((COUNTIF('D411'!F11,"Aula 9"))&gt;0,1,0))=0,"",IF((IF((COUNTIF('C111'!F11,"Aula 9")+COUNTIF('C112'!F11,"Aula 9")+COUNTIF('C113'!F11,"Aula 9")+COUNTIF('C121'!F11,"Aula 9")+COUNTIF('C122'!F11,"Aula 9"))&gt;0,1,0)+IF((COUNTIF('C211'!F11,"Aula 9")+COUNTIF('C212'!F11,"Aula 9"))&gt;0,1,0)+IF((COUNTIF('C311'!F11,"Aula 9")+COUNTIF('C312'!F11,"Aula 9"))&gt;0,1,0)+IF((COUNTIF('C411'!F11,"Aula 9")+COUNTIF('C412'!F11,"Aula 9"))&gt;0,1,0)+IF((COUNTIF('M111'!F11,"Aula 9")+COUNTIF('M112'!F11,"Aula 9"))&gt;0,1,0)+IF((COUNTIF('M211'!F11,"Aula 9")+COUNTIF('M212'!F11,"Aula 9"))&gt;0,1,0)+IF((COUNTIF('M311'!F11,"Aula 9"))&gt;0,1,0)+IF((COUNTIF('M411'!F11,"Aula 9"))&gt;0,1,0)+IF((COUNTIF('D111'!F11,"Aula 9")+COUNTIF('D112'!F11,"Aula 9"))&gt;0,1,0)+IF((COUNTIF('D211'!F11,"Aula 9"))&gt;0,1,0)+IF((COUNTIF('D311'!F11,"Aula 9"))&gt;0,1,0)+IF((COUNTIF('D411'!F11,"Aula 9"))&gt;0,1,0))=1,IF((COUNTIF('C111'!F11,"Aula 9")+COUNTIF('C112'!F11,"Aula 9")+COUNTIF('C113'!F11,"Aula 9")+COUNTIF('C121'!F11,"Aula 9")+COUNTIF('C122'!F11,"Aula 9"))&gt;0,"C1",IF((COUNTIF('C211'!F11,"Aula 9")+COUNTIF('C212'!F11,"Aula 9"))&gt;0,"C2",IF((COUNTIF('C311'!F11,"Aula 9")+COUNTIF('C312'!F11,"Aula 9"))&gt;0,"C3",IF((COUNTIF('C411'!F11,"Aula 9")+COUNTIF('C412'!F11,"Aula 9"))&gt;0,"C4",IF((COUNTIF('M111'!F11,"Aula 9")+COUNTIF('M112'!F11,"Aula 9"))&gt;0,"M1",IF((COUNTIF('M211'!F11,"Aula 9")+COUNTIF('M212'!F11,"Aula 9"))&gt;0,"M2",IF((COUNTIF('M311'!F11,"Aula 9"))&gt;0,"M3",IF((COUNTIF('M411'!F11,"Aula 9"))&gt;0,"M4",IF((COUNTIF('D111'!F11,"Aula 9")+COUNTIF('D112'!F11,"Aula 9"))&gt;0,"D1",IF((COUNTIF('D211'!F11,"Aula 9"))&gt;0,"D2",IF((COUNTIF('D311'!F11,"Aula 9"))&gt;0,"D3",IF((COUNTIF('D411'!F11,"Aula 9"))&gt;0,"D4","")))))))))))),"MIX"))</f>
        <v/>
      </c>
    </row>
    <row r="415">
      <c r="C415">
        <f>IF((IF((COUNTIF('C111'!F11,"Aula 10")+COUNTIF('C112'!F11,"Aula 10")+COUNTIF('C113'!F11,"Aula 10")+COUNTIF('C121'!F11,"Aula 10")+COUNTIF('C122'!F11,"Aula 10"))&gt;0,1,0)+IF((COUNTIF('C211'!F11,"Aula 10")+COUNTIF('C212'!F11,"Aula 10"))&gt;0,1,0)+IF((COUNTIF('C311'!F11,"Aula 10")+COUNTIF('C312'!F11,"Aula 10"))&gt;0,1,0)+IF((COUNTIF('C411'!F11,"Aula 10")+COUNTIF('C412'!F11,"Aula 10"))&gt;0,1,0)+IF((COUNTIF('M111'!F11,"Aula 10")+COUNTIF('M112'!F11,"Aula 10"))&gt;0,1,0)+IF((COUNTIF('M211'!F11,"Aula 10")+COUNTIF('M212'!F11,"Aula 10"))&gt;0,1,0)+IF((COUNTIF('M311'!F11,"Aula 10"))&gt;0,1,0)+IF((COUNTIF('M411'!F11,"Aula 10"))&gt;0,1,0)+IF((COUNTIF('D111'!F11,"Aula 10")+COUNTIF('D112'!F11,"Aula 10"))&gt;0,1,0)+IF((COUNTIF('D211'!F11,"Aula 10"))&gt;0,1,0)+IF((COUNTIF('D311'!F11,"Aula 10"))&gt;0,1,0)+IF((COUNTIF('D411'!F11,"Aula 10"))&gt;0,1,0))=0,"",IF((IF((COUNTIF('C111'!F11,"Aula 10")+COUNTIF('C112'!F11,"Aula 10")+COUNTIF('C113'!F11,"Aula 10")+COUNTIF('C121'!F11,"Aula 10")+COUNTIF('C122'!F11,"Aula 10"))&gt;0,1,0)+IF((COUNTIF('C211'!F11,"Aula 10")+COUNTIF('C212'!F11,"Aula 10"))&gt;0,1,0)+IF((COUNTIF('C311'!F11,"Aula 10")+COUNTIF('C312'!F11,"Aula 10"))&gt;0,1,0)+IF((COUNTIF('C411'!F11,"Aula 10")+COUNTIF('C412'!F11,"Aula 10"))&gt;0,1,0)+IF((COUNTIF('M111'!F11,"Aula 10")+COUNTIF('M112'!F11,"Aula 10"))&gt;0,1,0)+IF((COUNTIF('M211'!F11,"Aula 10")+COUNTIF('M212'!F11,"Aula 10"))&gt;0,1,0)+IF((COUNTIF('M311'!F11,"Aula 10"))&gt;0,1,0)+IF((COUNTIF('M411'!F11,"Aula 10"))&gt;0,1,0)+IF((COUNTIF('D111'!F11,"Aula 10")+COUNTIF('D112'!F11,"Aula 10"))&gt;0,1,0)+IF((COUNTIF('D211'!F11,"Aula 10"))&gt;0,1,0)+IF((COUNTIF('D311'!F11,"Aula 10"))&gt;0,1,0)+IF((COUNTIF('D411'!F11,"Aula 10"))&gt;0,1,0))=1,IF((COUNTIF('C111'!F11,"Aula 10")+COUNTIF('C112'!F11,"Aula 10")+COUNTIF('C113'!F11,"Aula 10")+COUNTIF('C121'!F11,"Aula 10")+COUNTIF('C122'!F11,"Aula 10"))&gt;0,"C1",IF((COUNTIF('C211'!F11,"Aula 10")+COUNTIF('C212'!F11,"Aula 10"))&gt;0,"C2",IF((COUNTIF('C311'!F11,"Aula 10")+COUNTIF('C312'!F11,"Aula 10"))&gt;0,"C3",IF((COUNTIF('C411'!F11,"Aula 10")+COUNTIF('C412'!F11,"Aula 10"))&gt;0,"C4",IF((COUNTIF('M111'!F11,"Aula 10")+COUNTIF('M112'!F11,"Aula 10"))&gt;0,"M1",IF((COUNTIF('M211'!F11,"Aula 10")+COUNTIF('M212'!F11,"Aula 10"))&gt;0,"M2",IF((COUNTIF('M311'!F11,"Aula 10"))&gt;0,"M3",IF((COUNTIF('M411'!F11,"Aula 10"))&gt;0,"M4",IF((COUNTIF('D111'!F11,"Aula 10")+COUNTIF('D112'!F11,"Aula 10"))&gt;0,"D1",IF((COUNTIF('D211'!F11,"Aula 10"))&gt;0,"D2",IF((COUNTIF('D311'!F11,"Aula 10"))&gt;0,"D3",IF((COUNTIF('D411'!F11,"Aula 10"))&gt;0,"D4","")))))))))))),"MIX"))</f>
        <v/>
      </c>
    </row>
    <row r="416">
      <c r="C416">
        <f>IF((IF((COUNTIF('C111'!F11,"Aula 11")+COUNTIF('C112'!F11,"Aula 11")+COUNTIF('C113'!F11,"Aula 11")+COUNTIF('C121'!F11,"Aula 11")+COUNTIF('C122'!F11,"Aula 11"))&gt;0,1,0)+IF((COUNTIF('C211'!F11,"Aula 11")+COUNTIF('C212'!F11,"Aula 11"))&gt;0,1,0)+IF((COUNTIF('C311'!F11,"Aula 11")+COUNTIF('C312'!F11,"Aula 11"))&gt;0,1,0)+IF((COUNTIF('C411'!F11,"Aula 11")+COUNTIF('C412'!F11,"Aula 11"))&gt;0,1,0)+IF((COUNTIF('M111'!F11,"Aula 11")+COUNTIF('M112'!F11,"Aula 11"))&gt;0,1,0)+IF((COUNTIF('M211'!F11,"Aula 11")+COUNTIF('M212'!F11,"Aula 11"))&gt;0,1,0)+IF((COUNTIF('M311'!F11,"Aula 11"))&gt;0,1,0)+IF((COUNTIF('M411'!F11,"Aula 11"))&gt;0,1,0)+IF((COUNTIF('D111'!F11,"Aula 11")+COUNTIF('D112'!F11,"Aula 11"))&gt;0,1,0)+IF((COUNTIF('D211'!F11,"Aula 11"))&gt;0,1,0)+IF((COUNTIF('D311'!F11,"Aula 11"))&gt;0,1,0)+IF((COUNTIF('D411'!F11,"Aula 11"))&gt;0,1,0))=0,"",IF((IF((COUNTIF('C111'!F11,"Aula 11")+COUNTIF('C112'!F11,"Aula 11")+COUNTIF('C113'!F11,"Aula 11")+COUNTIF('C121'!F11,"Aula 11")+COUNTIF('C122'!F11,"Aula 11"))&gt;0,1,0)+IF((COUNTIF('C211'!F11,"Aula 11")+COUNTIF('C212'!F11,"Aula 11"))&gt;0,1,0)+IF((COUNTIF('C311'!F11,"Aula 11")+COUNTIF('C312'!F11,"Aula 11"))&gt;0,1,0)+IF((COUNTIF('C411'!F11,"Aula 11")+COUNTIF('C412'!F11,"Aula 11"))&gt;0,1,0)+IF((COUNTIF('M111'!F11,"Aula 11")+COUNTIF('M112'!F11,"Aula 11"))&gt;0,1,0)+IF((COUNTIF('M211'!F11,"Aula 11")+COUNTIF('M212'!F11,"Aula 11"))&gt;0,1,0)+IF((COUNTIF('M311'!F11,"Aula 11"))&gt;0,1,0)+IF((COUNTIF('M411'!F11,"Aula 11"))&gt;0,1,0)+IF((COUNTIF('D111'!F11,"Aula 11")+COUNTIF('D112'!F11,"Aula 11"))&gt;0,1,0)+IF((COUNTIF('D211'!F11,"Aula 11"))&gt;0,1,0)+IF((COUNTIF('D311'!F11,"Aula 11"))&gt;0,1,0)+IF((COUNTIF('D411'!F11,"Aula 11"))&gt;0,1,0))=1,IF((COUNTIF('C111'!F11,"Aula 11")+COUNTIF('C112'!F11,"Aula 11")+COUNTIF('C113'!F11,"Aula 11")+COUNTIF('C121'!F11,"Aula 11")+COUNTIF('C122'!F11,"Aula 11"))&gt;0,"C1",IF((COUNTIF('C211'!F11,"Aula 11")+COUNTIF('C212'!F11,"Aula 11"))&gt;0,"C2",IF((COUNTIF('C311'!F11,"Aula 11")+COUNTIF('C312'!F11,"Aula 11"))&gt;0,"C3",IF((COUNTIF('C411'!F11,"Aula 11")+COUNTIF('C412'!F11,"Aula 11"))&gt;0,"C4",IF((COUNTIF('M111'!F11,"Aula 11")+COUNTIF('M112'!F11,"Aula 11"))&gt;0,"M1",IF((COUNTIF('M211'!F11,"Aula 11")+COUNTIF('M212'!F11,"Aula 11"))&gt;0,"M2",IF((COUNTIF('M311'!F11,"Aula 11"))&gt;0,"M3",IF((COUNTIF('M411'!F11,"Aula 11"))&gt;0,"M4",IF((COUNTIF('D111'!F11,"Aula 11")+COUNTIF('D112'!F11,"Aula 11"))&gt;0,"D1",IF((COUNTIF('D211'!F11,"Aula 11"))&gt;0,"D2",IF((COUNTIF('D311'!F11,"Aula 11"))&gt;0,"D3",IF((COUNTIF('D411'!F11,"Aula 11"))&gt;0,"D4","")))))))))))),"MIX"))</f>
        <v/>
      </c>
    </row>
    <row r="417">
      <c r="C417">
        <f>IF((IF((COUNTIF('C111'!F11,"Aula 12")+COUNTIF('C112'!F11,"Aula 12")+COUNTIF('C113'!F11,"Aula 12")+COUNTIF('C121'!F11,"Aula 12")+COUNTIF('C122'!F11,"Aula 12"))&gt;0,1,0)+IF((COUNTIF('C211'!F11,"Aula 12")+COUNTIF('C212'!F11,"Aula 12"))&gt;0,1,0)+IF((COUNTIF('C311'!F11,"Aula 12")+COUNTIF('C312'!F11,"Aula 12"))&gt;0,1,0)+IF((COUNTIF('C411'!F11,"Aula 12")+COUNTIF('C412'!F11,"Aula 12"))&gt;0,1,0)+IF((COUNTIF('M111'!F11,"Aula 12")+COUNTIF('M112'!F11,"Aula 12"))&gt;0,1,0)+IF((COUNTIF('M211'!F11,"Aula 12")+COUNTIF('M212'!F11,"Aula 12"))&gt;0,1,0)+IF((COUNTIF('M311'!F11,"Aula 12"))&gt;0,1,0)+IF((COUNTIF('M411'!F11,"Aula 12"))&gt;0,1,0)+IF((COUNTIF('D111'!F11,"Aula 12")+COUNTIF('D112'!F11,"Aula 12"))&gt;0,1,0)+IF((COUNTIF('D211'!F11,"Aula 12"))&gt;0,1,0)+IF((COUNTIF('D311'!F11,"Aula 12"))&gt;0,1,0)+IF((COUNTIF('D411'!F11,"Aula 12"))&gt;0,1,0))=0,"",IF((IF((COUNTIF('C111'!F11,"Aula 12")+COUNTIF('C112'!F11,"Aula 12")+COUNTIF('C113'!F11,"Aula 12")+COUNTIF('C121'!F11,"Aula 12")+COUNTIF('C122'!F11,"Aula 12"))&gt;0,1,0)+IF((COUNTIF('C211'!F11,"Aula 12")+COUNTIF('C212'!F11,"Aula 12"))&gt;0,1,0)+IF((COUNTIF('C311'!F11,"Aula 12")+COUNTIF('C312'!F11,"Aula 12"))&gt;0,1,0)+IF((COUNTIF('C411'!F11,"Aula 12")+COUNTIF('C412'!F11,"Aula 12"))&gt;0,1,0)+IF((COUNTIF('M111'!F11,"Aula 12")+COUNTIF('M112'!F11,"Aula 12"))&gt;0,1,0)+IF((COUNTIF('M211'!F11,"Aula 12")+COUNTIF('M212'!F11,"Aula 12"))&gt;0,1,0)+IF((COUNTIF('M311'!F11,"Aula 12"))&gt;0,1,0)+IF((COUNTIF('M411'!F11,"Aula 12"))&gt;0,1,0)+IF((COUNTIF('D111'!F11,"Aula 12")+COUNTIF('D112'!F11,"Aula 12"))&gt;0,1,0)+IF((COUNTIF('D211'!F11,"Aula 12"))&gt;0,1,0)+IF((COUNTIF('D311'!F11,"Aula 12"))&gt;0,1,0)+IF((COUNTIF('D411'!F11,"Aula 12"))&gt;0,1,0))=1,IF((COUNTIF('C111'!F11,"Aula 12")+COUNTIF('C112'!F11,"Aula 12")+COUNTIF('C113'!F11,"Aula 12")+COUNTIF('C121'!F11,"Aula 12")+COUNTIF('C122'!F11,"Aula 12"))&gt;0,"C1",IF((COUNTIF('C211'!F11,"Aula 12")+COUNTIF('C212'!F11,"Aula 12"))&gt;0,"C2",IF((COUNTIF('C311'!F11,"Aula 12")+COUNTIF('C312'!F11,"Aula 12"))&gt;0,"C3",IF((COUNTIF('C411'!F11,"Aula 12")+COUNTIF('C412'!F11,"Aula 12"))&gt;0,"C4",IF((COUNTIF('M111'!F11,"Aula 12")+COUNTIF('M112'!F11,"Aula 12"))&gt;0,"M1",IF((COUNTIF('M211'!F11,"Aula 12")+COUNTIF('M212'!F11,"Aula 12"))&gt;0,"M2",IF((COUNTIF('M311'!F11,"Aula 12"))&gt;0,"M3",IF((COUNTIF('M411'!F11,"Aula 12"))&gt;0,"M4",IF((COUNTIF('D111'!F11,"Aula 12")+COUNTIF('D112'!F11,"Aula 12"))&gt;0,"D1",IF((COUNTIF('D211'!F11,"Aula 12"))&gt;0,"D2",IF((COUNTIF('D311'!F11,"Aula 12"))&gt;0,"D3",IF((COUNTIF('D411'!F11,"Aula 12"))&gt;0,"D4","")))))))))))),"MIX"))</f>
        <v/>
      </c>
    </row>
    <row r="418">
      <c r="C418">
        <f>IF((IF((COUNTIF('C111'!F11,"Lab 1")+COUNTIF('C112'!F11,"Lab 1")+COUNTIF('C113'!F11,"Lab 1")+COUNTIF('C121'!F11,"Lab 1")+COUNTIF('C122'!F11,"Lab 1"))&gt;0,1,0)+IF((COUNTIF('C211'!F11,"Lab 1")+COUNTIF('C212'!F11,"Lab 1"))&gt;0,1,0)+IF((COUNTIF('C311'!F11,"Lab 1")+COUNTIF('C312'!F11,"Lab 1"))&gt;0,1,0)+IF((COUNTIF('C411'!F11,"Lab 1")+COUNTIF('C412'!F11,"Lab 1"))&gt;0,1,0)+IF((COUNTIF('M111'!F11,"Lab 1")+COUNTIF('M112'!F11,"Lab 1"))&gt;0,1,0)+IF((COUNTIF('M211'!F11,"Lab 1")+COUNTIF('M212'!F11,"Lab 1"))&gt;0,1,0)+IF((COUNTIF('M311'!F11,"Lab 1"))&gt;0,1,0)+IF((COUNTIF('M411'!F11,"Lab 1"))&gt;0,1,0)+IF((COUNTIF('D111'!F11,"Lab 1")+COUNTIF('D112'!F11,"Lab 1"))&gt;0,1,0)+IF((COUNTIF('D211'!F11,"Lab 1"))&gt;0,1,0)+IF((COUNTIF('D311'!F11,"Lab 1"))&gt;0,1,0)+IF((COUNTIF('D411'!F11,"Lab 1"))&gt;0,1,0))=0,"",IF((IF((COUNTIF('C111'!F11,"Lab 1")+COUNTIF('C112'!F11,"Lab 1")+COUNTIF('C113'!F11,"Lab 1")+COUNTIF('C121'!F11,"Lab 1")+COUNTIF('C122'!F11,"Lab 1"))&gt;0,1,0)+IF((COUNTIF('C211'!F11,"Lab 1")+COUNTIF('C212'!F11,"Lab 1"))&gt;0,1,0)+IF((COUNTIF('C311'!F11,"Lab 1")+COUNTIF('C312'!F11,"Lab 1"))&gt;0,1,0)+IF((COUNTIF('C411'!F11,"Lab 1")+COUNTIF('C412'!F11,"Lab 1"))&gt;0,1,0)+IF((COUNTIF('M111'!F11,"Lab 1")+COUNTIF('M112'!F11,"Lab 1"))&gt;0,1,0)+IF((COUNTIF('M211'!F11,"Lab 1")+COUNTIF('M212'!F11,"Lab 1"))&gt;0,1,0)+IF((COUNTIF('M311'!F11,"Lab 1"))&gt;0,1,0)+IF((COUNTIF('M411'!F11,"Lab 1"))&gt;0,1,0)+IF((COUNTIF('D111'!F11,"Lab 1")+COUNTIF('D112'!F11,"Lab 1"))&gt;0,1,0)+IF((COUNTIF('D211'!F11,"Lab 1"))&gt;0,1,0)+IF((COUNTIF('D311'!F11,"Lab 1"))&gt;0,1,0)+IF((COUNTIF('D411'!F11,"Lab 1"))&gt;0,1,0))=1,IF((COUNTIF('C111'!F11,"Lab 1")+COUNTIF('C112'!F11,"Lab 1")+COUNTIF('C113'!F11,"Lab 1")+COUNTIF('C121'!F11,"Lab 1")+COUNTIF('C122'!F11,"Lab 1"))&gt;0,"C1",IF((COUNTIF('C211'!F11,"Lab 1")+COUNTIF('C212'!F11,"Lab 1"))&gt;0,"C2",IF((COUNTIF('C311'!F11,"Lab 1")+COUNTIF('C312'!F11,"Lab 1"))&gt;0,"C3",IF((COUNTIF('C411'!F11,"Lab 1")+COUNTIF('C412'!F11,"Lab 1"))&gt;0,"C4",IF((COUNTIF('M111'!F11,"Lab 1")+COUNTIF('M112'!F11,"Lab 1"))&gt;0,"M1",IF((COUNTIF('M211'!F11,"Lab 1")+COUNTIF('M212'!F11,"Lab 1"))&gt;0,"M2",IF((COUNTIF('M311'!F11,"Lab 1"))&gt;0,"M3",IF((COUNTIF('M411'!F11,"Lab 1"))&gt;0,"M4",IF((COUNTIF('D111'!F11,"Lab 1")+COUNTIF('D112'!F11,"Lab 1"))&gt;0,"D1",IF((COUNTIF('D211'!F11,"Lab 1"))&gt;0,"D2",IF((COUNTIF('D311'!F11,"Lab 1"))&gt;0,"D3",IF((COUNTIF('D411'!F11,"Lab 1"))&gt;0,"D4","")))))))))))),"MIX"))</f>
        <v/>
      </c>
    </row>
    <row r="419">
      <c r="C419">
        <f>IF((IF((COUNTIF('C111'!F11,"Lab 2")+COUNTIF('C112'!F11,"Lab 2")+COUNTIF('C113'!F11,"Lab 2")+COUNTIF('C121'!F11,"Lab 2")+COUNTIF('C122'!F11,"Lab 2"))&gt;0,1,0)+IF((COUNTIF('C211'!F11,"Lab 2")+COUNTIF('C212'!F11,"Lab 2"))&gt;0,1,0)+IF((COUNTIF('C311'!F11,"Lab 2")+COUNTIF('C312'!F11,"Lab 2"))&gt;0,1,0)+IF((COUNTIF('C411'!F11,"Lab 2")+COUNTIF('C412'!F11,"Lab 2"))&gt;0,1,0)+IF((COUNTIF('M111'!F11,"Lab 2")+COUNTIF('M112'!F11,"Lab 2"))&gt;0,1,0)+IF((COUNTIF('M211'!F11,"Lab 2")+COUNTIF('M212'!F11,"Lab 2"))&gt;0,1,0)+IF((COUNTIF('M311'!F11,"Lab 2"))&gt;0,1,0)+IF((COUNTIF('M411'!F11,"Lab 2"))&gt;0,1,0)+IF((COUNTIF('D111'!F11,"Lab 2")+COUNTIF('D112'!F11,"Lab 2"))&gt;0,1,0)+IF((COUNTIF('D211'!F11,"Lab 2"))&gt;0,1,0)+IF((COUNTIF('D311'!F11,"Lab 2"))&gt;0,1,0)+IF((COUNTIF('D411'!F11,"Lab 2"))&gt;0,1,0))=0,"",IF((IF((COUNTIF('C111'!F11,"Lab 2")+COUNTIF('C112'!F11,"Lab 2")+COUNTIF('C113'!F11,"Lab 2")+COUNTIF('C121'!F11,"Lab 2")+COUNTIF('C122'!F11,"Lab 2"))&gt;0,1,0)+IF((COUNTIF('C211'!F11,"Lab 2")+COUNTIF('C212'!F11,"Lab 2"))&gt;0,1,0)+IF((COUNTIF('C311'!F11,"Lab 2")+COUNTIF('C312'!F11,"Lab 2"))&gt;0,1,0)+IF((COUNTIF('C411'!F11,"Lab 2")+COUNTIF('C412'!F11,"Lab 2"))&gt;0,1,0)+IF((COUNTIF('M111'!F11,"Lab 2")+COUNTIF('M112'!F11,"Lab 2"))&gt;0,1,0)+IF((COUNTIF('M211'!F11,"Lab 2")+COUNTIF('M212'!F11,"Lab 2"))&gt;0,1,0)+IF((COUNTIF('M311'!F11,"Lab 2"))&gt;0,1,0)+IF((COUNTIF('M411'!F11,"Lab 2"))&gt;0,1,0)+IF((COUNTIF('D111'!F11,"Lab 2")+COUNTIF('D112'!F11,"Lab 2"))&gt;0,1,0)+IF((COUNTIF('D211'!F11,"Lab 2"))&gt;0,1,0)+IF((COUNTIF('D311'!F11,"Lab 2"))&gt;0,1,0)+IF((COUNTIF('D411'!F11,"Lab 2"))&gt;0,1,0))=1,IF((COUNTIF('C111'!F11,"Lab 2")+COUNTIF('C112'!F11,"Lab 2")+COUNTIF('C113'!F11,"Lab 2")+COUNTIF('C121'!F11,"Lab 2")+COUNTIF('C122'!F11,"Lab 2"))&gt;0,"C1",IF((COUNTIF('C211'!F11,"Lab 2")+COUNTIF('C212'!F11,"Lab 2"))&gt;0,"C2",IF((COUNTIF('C311'!F11,"Lab 2")+COUNTIF('C312'!F11,"Lab 2"))&gt;0,"C3",IF((COUNTIF('C411'!F11,"Lab 2")+COUNTIF('C412'!F11,"Lab 2"))&gt;0,"C4",IF((COUNTIF('M111'!F11,"Lab 2")+COUNTIF('M112'!F11,"Lab 2"))&gt;0,"M1",IF((COUNTIF('M211'!F11,"Lab 2")+COUNTIF('M212'!F11,"Lab 2"))&gt;0,"M2",IF((COUNTIF('M311'!F11,"Lab 2"))&gt;0,"M3",IF((COUNTIF('M411'!F11,"Lab 2"))&gt;0,"M4",IF((COUNTIF('D111'!F11,"Lab 2")+COUNTIF('D112'!F11,"Lab 2"))&gt;0,"D1",IF((COUNTIF('D211'!F11,"Lab 2"))&gt;0,"D2",IF((COUNTIF('D311'!F11,"Lab 2"))&gt;0,"D3",IF((COUNTIF('D411'!F11,"Lab 2"))&gt;0,"D4","")))))))))))),"MIX"))</f>
        <v/>
      </c>
    </row>
    <row r="420">
      <c r="C420">
        <f>IF((IF((COUNTIF('C111'!F11,"Salón")+COUNTIF('C112'!F11,"Salón")+COUNTIF('C113'!F11,"Salón")+COUNTIF('C121'!F11,"Salón")+COUNTIF('C122'!F11,"Salón"))&gt;0,1,0)+IF((COUNTIF('C211'!F11,"Salón")+COUNTIF('C212'!F11,"Salón"))&gt;0,1,0)+IF((COUNTIF('C311'!F11,"Salón")+COUNTIF('C312'!F11,"Salón"))&gt;0,1,0)+IF((COUNTIF('C411'!F11,"Salón")+COUNTIF('C412'!F11,"Salón"))&gt;0,1,0)+IF((COUNTIF('M111'!F11,"Salón")+COUNTIF('M112'!F11,"Salón"))&gt;0,1,0)+IF((COUNTIF('M211'!F11,"Salón")+COUNTIF('M212'!F11,"Salón"))&gt;0,1,0)+IF((COUNTIF('M311'!F11,"Salón"))&gt;0,1,0)+IF((COUNTIF('M411'!F11,"Salón"))&gt;0,1,0)+IF((COUNTIF('D111'!F11,"Salón")+COUNTIF('D112'!F11,"Salón"))&gt;0,1,0)+IF((COUNTIF('D211'!F11,"Salón"))&gt;0,1,0)+IF((COUNTIF('D311'!F11,"Salón"))&gt;0,1,0)+IF((COUNTIF('D411'!F11,"Salón"))&gt;0,1,0))=0,"",IF((IF((COUNTIF('C111'!F11,"Salón")+COUNTIF('C112'!F11,"Salón")+COUNTIF('C113'!F11,"Salón")+COUNTIF('C121'!F11,"Salón")+COUNTIF('C122'!F11,"Salón"))&gt;0,1,0)+IF((COUNTIF('C211'!F11,"Salón")+COUNTIF('C212'!F11,"Salón"))&gt;0,1,0)+IF((COUNTIF('C311'!F11,"Salón")+COUNTIF('C312'!F11,"Salón"))&gt;0,1,0)+IF((COUNTIF('C411'!F11,"Salón")+COUNTIF('C412'!F11,"Salón"))&gt;0,1,0)+IF((COUNTIF('M111'!F11,"Salón")+COUNTIF('M112'!F11,"Salón"))&gt;0,1,0)+IF((COUNTIF('M211'!F11,"Salón")+COUNTIF('M212'!F11,"Salón"))&gt;0,1,0)+IF((COUNTIF('M311'!F11,"Salón"))&gt;0,1,0)+IF((COUNTIF('M411'!F11,"Salón"))&gt;0,1,0)+IF((COUNTIF('D111'!F11,"Salón")+COUNTIF('D112'!F11,"Salón"))&gt;0,1,0)+IF((COUNTIF('D211'!F11,"Salón"))&gt;0,1,0)+IF((COUNTIF('D311'!F11,"Salón"))&gt;0,1,0)+IF((COUNTIF('D411'!F11,"Salón"))&gt;0,1,0))=1,IF((COUNTIF('C111'!F11,"Salón")+COUNTIF('C112'!F11,"Salón")+COUNTIF('C113'!F11,"Salón")+COUNTIF('C121'!F11,"Salón")+COUNTIF('C122'!F11,"Salón"))&gt;0,"C1",IF((COUNTIF('C211'!F11,"Salón")+COUNTIF('C212'!F11,"Salón"))&gt;0,"C2",IF((COUNTIF('C311'!F11,"Salón")+COUNTIF('C312'!F11,"Salón"))&gt;0,"C3",IF((COUNTIF('C411'!F11,"Salón")+COUNTIF('C412'!F11,"Salón"))&gt;0,"C4",IF((COUNTIF('M111'!F11,"Salón")+COUNTIF('M112'!F11,"Salón"))&gt;0,"M1",IF((COUNTIF('M211'!F11,"Salón")+COUNTIF('M212'!F11,"Salón"))&gt;0,"M2",IF((COUNTIF('M311'!F11,"Salón"))&gt;0,"M3",IF((COUNTIF('M411'!F11,"Salón"))&gt;0,"M4",IF((COUNTIF('D111'!F11,"Salón")+COUNTIF('D112'!F11,"Salón"))&gt;0,"D1",IF((COUNTIF('D211'!F11,"Salón"))&gt;0,"D2",IF((COUNTIF('D311'!F11,"Salón"))&gt;0,"D3",IF((COUNTIF('D411'!F11,"Salón"))&gt;0,"D4","")))))))))))),"MIX"))</f>
        <v/>
      </c>
    </row>
    <row r="421">
      <c r="C421">
        <f>IF((IF((COUNTIF('C111'!F13,"Aula 1")+COUNTIF('C112'!F13,"Aula 1")+COUNTIF('C113'!F13,"Aula 1")+COUNTIF('C121'!F13,"Aula 1")+COUNTIF('C122'!F13,"Aula 1"))&gt;0,1,0)+IF((COUNTIF('C211'!F13,"Aula 1")+COUNTIF('C212'!F13,"Aula 1"))&gt;0,1,0)+IF((COUNTIF('C311'!F13,"Aula 1")+COUNTIF('C312'!F13,"Aula 1"))&gt;0,1,0)+IF((COUNTIF('C411'!F13,"Aula 1")+COUNTIF('C412'!F13,"Aula 1"))&gt;0,1,0)+IF((COUNTIF('M111'!F13,"Aula 1")+COUNTIF('M112'!F13,"Aula 1"))&gt;0,1,0)+IF((COUNTIF('M211'!F13,"Aula 1")+COUNTIF('M212'!F13,"Aula 1"))&gt;0,1,0)+IF((COUNTIF('M311'!F13,"Aula 1"))&gt;0,1,0)+IF((COUNTIF('M411'!F13,"Aula 1"))&gt;0,1,0)+IF((COUNTIF('D111'!F13,"Aula 1")+COUNTIF('D112'!F13,"Aula 1"))&gt;0,1,0)+IF((COUNTIF('D211'!F13,"Aula 1"))&gt;0,1,0)+IF((COUNTIF('D311'!F13,"Aula 1"))&gt;0,1,0)+IF((COUNTIF('D411'!F13,"Aula 1"))&gt;0,1,0))=0,"",IF((IF((COUNTIF('C111'!F13,"Aula 1")+COUNTIF('C112'!F13,"Aula 1")+COUNTIF('C113'!F13,"Aula 1")+COUNTIF('C121'!F13,"Aula 1")+COUNTIF('C122'!F13,"Aula 1"))&gt;0,1,0)+IF((COUNTIF('C211'!F13,"Aula 1")+COUNTIF('C212'!F13,"Aula 1"))&gt;0,1,0)+IF((COUNTIF('C311'!F13,"Aula 1")+COUNTIF('C312'!F13,"Aula 1"))&gt;0,1,0)+IF((COUNTIF('C411'!F13,"Aula 1")+COUNTIF('C412'!F13,"Aula 1"))&gt;0,1,0)+IF((COUNTIF('M111'!F13,"Aula 1")+COUNTIF('M112'!F13,"Aula 1"))&gt;0,1,0)+IF((COUNTIF('M211'!F13,"Aula 1")+COUNTIF('M212'!F13,"Aula 1"))&gt;0,1,0)+IF((COUNTIF('M311'!F13,"Aula 1"))&gt;0,1,0)+IF((COUNTIF('M411'!F13,"Aula 1"))&gt;0,1,0)+IF((COUNTIF('D111'!F13,"Aula 1")+COUNTIF('D112'!F13,"Aula 1"))&gt;0,1,0)+IF((COUNTIF('D211'!F13,"Aula 1"))&gt;0,1,0)+IF((COUNTIF('D311'!F13,"Aula 1"))&gt;0,1,0)+IF((COUNTIF('D411'!F13,"Aula 1"))&gt;0,1,0))=1,IF((COUNTIF('C111'!F13,"Aula 1")+COUNTIF('C112'!F13,"Aula 1")+COUNTIF('C113'!F13,"Aula 1")+COUNTIF('C121'!F13,"Aula 1")+COUNTIF('C122'!F13,"Aula 1"))&gt;0,"C1",IF((COUNTIF('C211'!F13,"Aula 1")+COUNTIF('C212'!F13,"Aula 1"))&gt;0,"C2",IF((COUNTIF('C311'!F13,"Aula 1")+COUNTIF('C312'!F13,"Aula 1"))&gt;0,"C3",IF((COUNTIF('C411'!F13,"Aula 1")+COUNTIF('C412'!F13,"Aula 1"))&gt;0,"C4",IF((COUNTIF('M111'!F13,"Aula 1")+COUNTIF('M112'!F13,"Aula 1"))&gt;0,"M1",IF((COUNTIF('M211'!F13,"Aula 1")+COUNTIF('M212'!F13,"Aula 1"))&gt;0,"M2",IF((COUNTIF('M311'!F13,"Aula 1"))&gt;0,"M3",IF((COUNTIF('M411'!F13,"Aula 1"))&gt;0,"M4",IF((COUNTIF('D111'!F13,"Aula 1")+COUNTIF('D112'!F13,"Aula 1"))&gt;0,"D1",IF((COUNTIF('D211'!F13,"Aula 1"))&gt;0,"D2",IF((COUNTIF('D311'!F13,"Aula 1"))&gt;0,"D3",IF((COUNTIF('D411'!F13,"Aula 1"))&gt;0,"D4","")))))))))))),"MIX"))</f>
        <v/>
      </c>
    </row>
    <row r="422">
      <c r="C422">
        <f>IF((IF((COUNTIF('C111'!F13,"Aula 2")+COUNTIF('C112'!F13,"Aula 2")+COUNTIF('C113'!F13,"Aula 2")+COUNTIF('C121'!F13,"Aula 2")+COUNTIF('C122'!F13,"Aula 2"))&gt;0,1,0)+IF((COUNTIF('C211'!F13,"Aula 2")+COUNTIF('C212'!F13,"Aula 2"))&gt;0,1,0)+IF((COUNTIF('C311'!F13,"Aula 2")+COUNTIF('C312'!F13,"Aula 2"))&gt;0,1,0)+IF((COUNTIF('C411'!F13,"Aula 2")+COUNTIF('C412'!F13,"Aula 2"))&gt;0,1,0)+IF((COUNTIF('M111'!F13,"Aula 2")+COUNTIF('M112'!F13,"Aula 2"))&gt;0,1,0)+IF((COUNTIF('M211'!F13,"Aula 2")+COUNTIF('M212'!F13,"Aula 2"))&gt;0,1,0)+IF((COUNTIF('M311'!F13,"Aula 2"))&gt;0,1,0)+IF((COUNTIF('M411'!F13,"Aula 2"))&gt;0,1,0)+IF((COUNTIF('D111'!F13,"Aula 2")+COUNTIF('D112'!F13,"Aula 2"))&gt;0,1,0)+IF((COUNTIF('D211'!F13,"Aula 2"))&gt;0,1,0)+IF((COUNTIF('D311'!F13,"Aula 2"))&gt;0,1,0)+IF((COUNTIF('D411'!F13,"Aula 2"))&gt;0,1,0))=0,"",IF((IF((COUNTIF('C111'!F13,"Aula 2")+COUNTIF('C112'!F13,"Aula 2")+COUNTIF('C113'!F13,"Aula 2")+COUNTIF('C121'!F13,"Aula 2")+COUNTIF('C122'!F13,"Aula 2"))&gt;0,1,0)+IF((COUNTIF('C211'!F13,"Aula 2")+COUNTIF('C212'!F13,"Aula 2"))&gt;0,1,0)+IF((COUNTIF('C311'!F13,"Aula 2")+COUNTIF('C312'!F13,"Aula 2"))&gt;0,1,0)+IF((COUNTIF('C411'!F13,"Aula 2")+COUNTIF('C412'!F13,"Aula 2"))&gt;0,1,0)+IF((COUNTIF('M111'!F13,"Aula 2")+COUNTIF('M112'!F13,"Aula 2"))&gt;0,1,0)+IF((COUNTIF('M211'!F13,"Aula 2")+COUNTIF('M212'!F13,"Aula 2"))&gt;0,1,0)+IF((COUNTIF('M311'!F13,"Aula 2"))&gt;0,1,0)+IF((COUNTIF('M411'!F13,"Aula 2"))&gt;0,1,0)+IF((COUNTIF('D111'!F13,"Aula 2")+COUNTIF('D112'!F13,"Aula 2"))&gt;0,1,0)+IF((COUNTIF('D211'!F13,"Aula 2"))&gt;0,1,0)+IF((COUNTIF('D311'!F13,"Aula 2"))&gt;0,1,0)+IF((COUNTIF('D411'!F13,"Aula 2"))&gt;0,1,0))=1,IF((COUNTIF('C111'!F13,"Aula 2")+COUNTIF('C112'!F13,"Aula 2")+COUNTIF('C113'!F13,"Aula 2")+COUNTIF('C121'!F13,"Aula 2")+COUNTIF('C122'!F13,"Aula 2"))&gt;0,"C1",IF((COUNTIF('C211'!F13,"Aula 2")+COUNTIF('C212'!F13,"Aula 2"))&gt;0,"C2",IF((COUNTIF('C311'!F13,"Aula 2")+COUNTIF('C312'!F13,"Aula 2"))&gt;0,"C3",IF((COUNTIF('C411'!F13,"Aula 2")+COUNTIF('C412'!F13,"Aula 2"))&gt;0,"C4",IF((COUNTIF('M111'!F13,"Aula 2")+COUNTIF('M112'!F13,"Aula 2"))&gt;0,"M1",IF((COUNTIF('M211'!F13,"Aula 2")+COUNTIF('M212'!F13,"Aula 2"))&gt;0,"M2",IF((COUNTIF('M311'!F13,"Aula 2"))&gt;0,"M3",IF((COUNTIF('M411'!F13,"Aula 2"))&gt;0,"M4",IF((COUNTIF('D111'!F13,"Aula 2")+COUNTIF('D112'!F13,"Aula 2"))&gt;0,"D1",IF((COUNTIF('D211'!F13,"Aula 2"))&gt;0,"D2",IF((COUNTIF('D311'!F13,"Aula 2"))&gt;0,"D3",IF((COUNTIF('D411'!F13,"Aula 2"))&gt;0,"D4","")))))))))))),"MIX"))</f>
        <v/>
      </c>
    </row>
    <row r="423">
      <c r="C423">
        <f>IF((IF((COUNTIF('C111'!F13,"Aula 3")+COUNTIF('C112'!F13,"Aula 3")+COUNTIF('C113'!F13,"Aula 3")+COUNTIF('C121'!F13,"Aula 3")+COUNTIF('C122'!F13,"Aula 3"))&gt;0,1,0)+IF((COUNTIF('C211'!F13,"Aula 3")+COUNTIF('C212'!F13,"Aula 3"))&gt;0,1,0)+IF((COUNTIF('C311'!F13,"Aula 3")+COUNTIF('C312'!F13,"Aula 3"))&gt;0,1,0)+IF((COUNTIF('C411'!F13,"Aula 3")+COUNTIF('C412'!F13,"Aula 3"))&gt;0,1,0)+IF((COUNTIF('M111'!F13,"Aula 3")+COUNTIF('M112'!F13,"Aula 3"))&gt;0,1,0)+IF((COUNTIF('M211'!F13,"Aula 3")+COUNTIF('M212'!F13,"Aula 3"))&gt;0,1,0)+IF((COUNTIF('M311'!F13,"Aula 3"))&gt;0,1,0)+IF((COUNTIF('M411'!F13,"Aula 3"))&gt;0,1,0)+IF((COUNTIF('D111'!F13,"Aula 3")+COUNTIF('D112'!F13,"Aula 3"))&gt;0,1,0)+IF((COUNTIF('D211'!F13,"Aula 3"))&gt;0,1,0)+IF((COUNTIF('D311'!F13,"Aula 3"))&gt;0,1,0)+IF((COUNTIF('D411'!F13,"Aula 3"))&gt;0,1,0))=0,"",IF((IF((COUNTIF('C111'!F13,"Aula 3")+COUNTIF('C112'!F13,"Aula 3")+COUNTIF('C113'!F13,"Aula 3")+COUNTIF('C121'!F13,"Aula 3")+COUNTIF('C122'!F13,"Aula 3"))&gt;0,1,0)+IF((COUNTIF('C211'!F13,"Aula 3")+COUNTIF('C212'!F13,"Aula 3"))&gt;0,1,0)+IF((COUNTIF('C311'!F13,"Aula 3")+COUNTIF('C312'!F13,"Aula 3"))&gt;0,1,0)+IF((COUNTIF('C411'!F13,"Aula 3")+COUNTIF('C412'!F13,"Aula 3"))&gt;0,1,0)+IF((COUNTIF('M111'!F13,"Aula 3")+COUNTIF('M112'!F13,"Aula 3"))&gt;0,1,0)+IF((COUNTIF('M211'!F13,"Aula 3")+COUNTIF('M212'!F13,"Aula 3"))&gt;0,1,0)+IF((COUNTIF('M311'!F13,"Aula 3"))&gt;0,1,0)+IF((COUNTIF('M411'!F13,"Aula 3"))&gt;0,1,0)+IF((COUNTIF('D111'!F13,"Aula 3")+COUNTIF('D112'!F13,"Aula 3"))&gt;0,1,0)+IF((COUNTIF('D211'!F13,"Aula 3"))&gt;0,1,0)+IF((COUNTIF('D311'!F13,"Aula 3"))&gt;0,1,0)+IF((COUNTIF('D411'!F13,"Aula 3"))&gt;0,1,0))=1,IF((COUNTIF('C111'!F13,"Aula 3")+COUNTIF('C112'!F13,"Aula 3")+COUNTIF('C113'!F13,"Aula 3")+COUNTIF('C121'!F13,"Aula 3")+COUNTIF('C122'!F13,"Aula 3"))&gt;0,"C1",IF((COUNTIF('C211'!F13,"Aula 3")+COUNTIF('C212'!F13,"Aula 3"))&gt;0,"C2",IF((COUNTIF('C311'!F13,"Aula 3")+COUNTIF('C312'!F13,"Aula 3"))&gt;0,"C3",IF((COUNTIF('C411'!F13,"Aula 3")+COUNTIF('C412'!F13,"Aula 3"))&gt;0,"C4",IF((COUNTIF('M111'!F13,"Aula 3")+COUNTIF('M112'!F13,"Aula 3"))&gt;0,"M1",IF((COUNTIF('M211'!F13,"Aula 3")+COUNTIF('M212'!F13,"Aula 3"))&gt;0,"M2",IF((COUNTIF('M311'!F13,"Aula 3"))&gt;0,"M3",IF((COUNTIF('M411'!F13,"Aula 3"))&gt;0,"M4",IF((COUNTIF('D111'!F13,"Aula 3")+COUNTIF('D112'!F13,"Aula 3"))&gt;0,"D1",IF((COUNTIF('D211'!F13,"Aula 3"))&gt;0,"D2",IF((COUNTIF('D311'!F13,"Aula 3"))&gt;0,"D3",IF((COUNTIF('D411'!F13,"Aula 3"))&gt;0,"D4","")))))))))))),"MIX"))</f>
        <v/>
      </c>
    </row>
    <row r="424">
      <c r="C424">
        <f>IF((IF((COUNTIF('C111'!F13,"Aula 4")+COUNTIF('C112'!F13,"Aula 4")+COUNTIF('C113'!F13,"Aula 4")+COUNTIF('C121'!F13,"Aula 4")+COUNTIF('C122'!F13,"Aula 4"))&gt;0,1,0)+IF((COUNTIF('C211'!F13,"Aula 4")+COUNTIF('C212'!F13,"Aula 4"))&gt;0,1,0)+IF((COUNTIF('C311'!F13,"Aula 4")+COUNTIF('C312'!F13,"Aula 4"))&gt;0,1,0)+IF((COUNTIF('C411'!F13,"Aula 4")+COUNTIF('C412'!F13,"Aula 4"))&gt;0,1,0)+IF((COUNTIF('M111'!F13,"Aula 4")+COUNTIF('M112'!F13,"Aula 4"))&gt;0,1,0)+IF((COUNTIF('M211'!F13,"Aula 4")+COUNTIF('M212'!F13,"Aula 4"))&gt;0,1,0)+IF((COUNTIF('M311'!F13,"Aula 4"))&gt;0,1,0)+IF((COUNTIF('M411'!F13,"Aula 4"))&gt;0,1,0)+IF((COUNTIF('D111'!F13,"Aula 4")+COUNTIF('D112'!F13,"Aula 4"))&gt;0,1,0)+IF((COUNTIF('D211'!F13,"Aula 4"))&gt;0,1,0)+IF((COUNTIF('D311'!F13,"Aula 4"))&gt;0,1,0)+IF((COUNTIF('D411'!F13,"Aula 4"))&gt;0,1,0))=0,"",IF((IF((COUNTIF('C111'!F13,"Aula 4")+COUNTIF('C112'!F13,"Aula 4")+COUNTIF('C113'!F13,"Aula 4")+COUNTIF('C121'!F13,"Aula 4")+COUNTIF('C122'!F13,"Aula 4"))&gt;0,1,0)+IF((COUNTIF('C211'!F13,"Aula 4")+COUNTIF('C212'!F13,"Aula 4"))&gt;0,1,0)+IF((COUNTIF('C311'!F13,"Aula 4")+COUNTIF('C312'!F13,"Aula 4"))&gt;0,1,0)+IF((COUNTIF('C411'!F13,"Aula 4")+COUNTIF('C412'!F13,"Aula 4"))&gt;0,1,0)+IF((COUNTIF('M111'!F13,"Aula 4")+COUNTIF('M112'!F13,"Aula 4"))&gt;0,1,0)+IF((COUNTIF('M211'!F13,"Aula 4")+COUNTIF('M212'!F13,"Aula 4"))&gt;0,1,0)+IF((COUNTIF('M311'!F13,"Aula 4"))&gt;0,1,0)+IF((COUNTIF('M411'!F13,"Aula 4"))&gt;0,1,0)+IF((COUNTIF('D111'!F13,"Aula 4")+COUNTIF('D112'!F13,"Aula 4"))&gt;0,1,0)+IF((COUNTIF('D211'!F13,"Aula 4"))&gt;0,1,0)+IF((COUNTIF('D311'!F13,"Aula 4"))&gt;0,1,0)+IF((COUNTIF('D411'!F13,"Aula 4"))&gt;0,1,0))=1,IF((COUNTIF('C111'!F13,"Aula 4")+COUNTIF('C112'!F13,"Aula 4")+COUNTIF('C113'!F13,"Aula 4")+COUNTIF('C121'!F13,"Aula 4")+COUNTIF('C122'!F13,"Aula 4"))&gt;0,"C1",IF((COUNTIF('C211'!F13,"Aula 4")+COUNTIF('C212'!F13,"Aula 4"))&gt;0,"C2",IF((COUNTIF('C311'!F13,"Aula 4")+COUNTIF('C312'!F13,"Aula 4"))&gt;0,"C3",IF((COUNTIF('C411'!F13,"Aula 4")+COUNTIF('C412'!F13,"Aula 4"))&gt;0,"C4",IF((COUNTIF('M111'!F13,"Aula 4")+COUNTIF('M112'!F13,"Aula 4"))&gt;0,"M1",IF((COUNTIF('M211'!F13,"Aula 4")+COUNTIF('M212'!F13,"Aula 4"))&gt;0,"M2",IF((COUNTIF('M311'!F13,"Aula 4"))&gt;0,"M3",IF((COUNTIF('M411'!F13,"Aula 4"))&gt;0,"M4",IF((COUNTIF('D111'!F13,"Aula 4")+COUNTIF('D112'!F13,"Aula 4"))&gt;0,"D1",IF((COUNTIF('D211'!F13,"Aula 4"))&gt;0,"D2",IF((COUNTIF('D311'!F13,"Aula 4"))&gt;0,"D3",IF((COUNTIF('D411'!F13,"Aula 4"))&gt;0,"D4","")))))))))))),"MIX"))</f>
        <v/>
      </c>
    </row>
    <row r="425">
      <c r="C425">
        <f>IF((IF((COUNTIF('C111'!F13,"Aula 5")+COUNTIF('C112'!F13,"Aula 5")+COUNTIF('C113'!F13,"Aula 5")+COUNTIF('C121'!F13,"Aula 5")+COUNTIF('C122'!F13,"Aula 5"))&gt;0,1,0)+IF((COUNTIF('C211'!F13,"Aula 5")+COUNTIF('C212'!F13,"Aula 5"))&gt;0,1,0)+IF((COUNTIF('C311'!F13,"Aula 5")+COUNTIF('C312'!F13,"Aula 5"))&gt;0,1,0)+IF((COUNTIF('C411'!F13,"Aula 5")+COUNTIF('C412'!F13,"Aula 5"))&gt;0,1,0)+IF((COUNTIF('M111'!F13,"Aula 5")+COUNTIF('M112'!F13,"Aula 5"))&gt;0,1,0)+IF((COUNTIF('M211'!F13,"Aula 5")+COUNTIF('M212'!F13,"Aula 5"))&gt;0,1,0)+IF((COUNTIF('M311'!F13,"Aula 5"))&gt;0,1,0)+IF((COUNTIF('M411'!F13,"Aula 5"))&gt;0,1,0)+IF((COUNTIF('D111'!F13,"Aula 5")+COUNTIF('D112'!F13,"Aula 5"))&gt;0,1,0)+IF((COUNTIF('D211'!F13,"Aula 5"))&gt;0,1,0)+IF((COUNTIF('D311'!F13,"Aula 5"))&gt;0,1,0)+IF((COUNTIF('D411'!F13,"Aula 5"))&gt;0,1,0))=0,"",IF((IF((COUNTIF('C111'!F13,"Aula 5")+COUNTIF('C112'!F13,"Aula 5")+COUNTIF('C113'!F13,"Aula 5")+COUNTIF('C121'!F13,"Aula 5")+COUNTIF('C122'!F13,"Aula 5"))&gt;0,1,0)+IF((COUNTIF('C211'!F13,"Aula 5")+COUNTIF('C212'!F13,"Aula 5"))&gt;0,1,0)+IF((COUNTIF('C311'!F13,"Aula 5")+COUNTIF('C312'!F13,"Aula 5"))&gt;0,1,0)+IF((COUNTIF('C411'!F13,"Aula 5")+COUNTIF('C412'!F13,"Aula 5"))&gt;0,1,0)+IF((COUNTIF('M111'!F13,"Aula 5")+COUNTIF('M112'!F13,"Aula 5"))&gt;0,1,0)+IF((COUNTIF('M211'!F13,"Aula 5")+COUNTIF('M212'!F13,"Aula 5"))&gt;0,1,0)+IF((COUNTIF('M311'!F13,"Aula 5"))&gt;0,1,0)+IF((COUNTIF('M411'!F13,"Aula 5"))&gt;0,1,0)+IF((COUNTIF('D111'!F13,"Aula 5")+COUNTIF('D112'!F13,"Aula 5"))&gt;0,1,0)+IF((COUNTIF('D211'!F13,"Aula 5"))&gt;0,1,0)+IF((COUNTIF('D311'!F13,"Aula 5"))&gt;0,1,0)+IF((COUNTIF('D411'!F13,"Aula 5"))&gt;0,1,0))=1,IF((COUNTIF('C111'!F13,"Aula 5")+COUNTIF('C112'!F13,"Aula 5")+COUNTIF('C113'!F13,"Aula 5")+COUNTIF('C121'!F13,"Aula 5")+COUNTIF('C122'!F13,"Aula 5"))&gt;0,"C1",IF((COUNTIF('C211'!F13,"Aula 5")+COUNTIF('C212'!F13,"Aula 5"))&gt;0,"C2",IF((COUNTIF('C311'!F13,"Aula 5")+COUNTIF('C312'!F13,"Aula 5"))&gt;0,"C3",IF((COUNTIF('C411'!F13,"Aula 5")+COUNTIF('C412'!F13,"Aula 5"))&gt;0,"C4",IF((COUNTIF('M111'!F13,"Aula 5")+COUNTIF('M112'!F13,"Aula 5"))&gt;0,"M1",IF((COUNTIF('M211'!F13,"Aula 5")+COUNTIF('M212'!F13,"Aula 5"))&gt;0,"M2",IF((COUNTIF('M311'!F13,"Aula 5"))&gt;0,"M3",IF((COUNTIF('M411'!F13,"Aula 5"))&gt;0,"M4",IF((COUNTIF('D111'!F13,"Aula 5")+COUNTIF('D112'!F13,"Aula 5"))&gt;0,"D1",IF((COUNTIF('D211'!F13,"Aula 5"))&gt;0,"D2",IF((COUNTIF('D311'!F13,"Aula 5"))&gt;0,"D3",IF((COUNTIF('D411'!F13,"Aula 5"))&gt;0,"D4","")))))))))))),"MIX"))</f>
        <v/>
      </c>
    </row>
    <row r="426">
      <c r="C426">
        <f>IF((IF((COUNTIF('C111'!F13,"Aula 6")+COUNTIF('C112'!F13,"Aula 6")+COUNTIF('C113'!F13,"Aula 6")+COUNTIF('C121'!F13,"Aula 6")+COUNTIF('C122'!F13,"Aula 6"))&gt;0,1,0)+IF((COUNTIF('C211'!F13,"Aula 6")+COUNTIF('C212'!F13,"Aula 6"))&gt;0,1,0)+IF((COUNTIF('C311'!F13,"Aula 6")+COUNTIF('C312'!F13,"Aula 6"))&gt;0,1,0)+IF((COUNTIF('C411'!F13,"Aula 6")+COUNTIF('C412'!F13,"Aula 6"))&gt;0,1,0)+IF((COUNTIF('M111'!F13,"Aula 6")+COUNTIF('M112'!F13,"Aula 6"))&gt;0,1,0)+IF((COUNTIF('M211'!F13,"Aula 6")+COUNTIF('M212'!F13,"Aula 6"))&gt;0,1,0)+IF((COUNTIF('M311'!F13,"Aula 6"))&gt;0,1,0)+IF((COUNTIF('M411'!F13,"Aula 6"))&gt;0,1,0)+IF((COUNTIF('D111'!F13,"Aula 6")+COUNTIF('D112'!F13,"Aula 6"))&gt;0,1,0)+IF((COUNTIF('D211'!F13,"Aula 6"))&gt;0,1,0)+IF((COUNTIF('D311'!F13,"Aula 6"))&gt;0,1,0)+IF((COUNTIF('D411'!F13,"Aula 6"))&gt;0,1,0))=0,"",IF((IF((COUNTIF('C111'!F13,"Aula 6")+COUNTIF('C112'!F13,"Aula 6")+COUNTIF('C113'!F13,"Aula 6")+COUNTIF('C121'!F13,"Aula 6")+COUNTIF('C122'!F13,"Aula 6"))&gt;0,1,0)+IF((COUNTIF('C211'!F13,"Aula 6")+COUNTIF('C212'!F13,"Aula 6"))&gt;0,1,0)+IF((COUNTIF('C311'!F13,"Aula 6")+COUNTIF('C312'!F13,"Aula 6"))&gt;0,1,0)+IF((COUNTIF('C411'!F13,"Aula 6")+COUNTIF('C412'!F13,"Aula 6"))&gt;0,1,0)+IF((COUNTIF('M111'!F13,"Aula 6")+COUNTIF('M112'!F13,"Aula 6"))&gt;0,1,0)+IF((COUNTIF('M211'!F13,"Aula 6")+COUNTIF('M212'!F13,"Aula 6"))&gt;0,1,0)+IF((COUNTIF('M311'!F13,"Aula 6"))&gt;0,1,0)+IF((COUNTIF('M411'!F13,"Aula 6"))&gt;0,1,0)+IF((COUNTIF('D111'!F13,"Aula 6")+COUNTIF('D112'!F13,"Aula 6"))&gt;0,1,0)+IF((COUNTIF('D211'!F13,"Aula 6"))&gt;0,1,0)+IF((COUNTIF('D311'!F13,"Aula 6"))&gt;0,1,0)+IF((COUNTIF('D411'!F13,"Aula 6"))&gt;0,1,0))=1,IF((COUNTIF('C111'!F13,"Aula 6")+COUNTIF('C112'!F13,"Aula 6")+COUNTIF('C113'!F13,"Aula 6")+COUNTIF('C121'!F13,"Aula 6")+COUNTIF('C122'!F13,"Aula 6"))&gt;0,"C1",IF((COUNTIF('C211'!F13,"Aula 6")+COUNTIF('C212'!F13,"Aula 6"))&gt;0,"C2",IF((COUNTIF('C311'!F13,"Aula 6")+COUNTIF('C312'!F13,"Aula 6"))&gt;0,"C3",IF((COUNTIF('C411'!F13,"Aula 6")+COUNTIF('C412'!F13,"Aula 6"))&gt;0,"C4",IF((COUNTIF('M111'!F13,"Aula 6")+COUNTIF('M112'!F13,"Aula 6"))&gt;0,"M1",IF((COUNTIF('M211'!F13,"Aula 6")+COUNTIF('M212'!F13,"Aula 6"))&gt;0,"M2",IF((COUNTIF('M311'!F13,"Aula 6"))&gt;0,"M3",IF((COUNTIF('M411'!F13,"Aula 6"))&gt;0,"M4",IF((COUNTIF('D111'!F13,"Aula 6")+COUNTIF('D112'!F13,"Aula 6"))&gt;0,"D1",IF((COUNTIF('D211'!F13,"Aula 6"))&gt;0,"D2",IF((COUNTIF('D311'!F13,"Aula 6"))&gt;0,"D3",IF((COUNTIF('D411'!F13,"Aula 6"))&gt;0,"D4","")))))))))))),"MIX"))</f>
        <v/>
      </c>
    </row>
    <row r="427">
      <c r="C427">
        <f>IF((IF((COUNTIF('C111'!F13,"Aula 7")+COUNTIF('C112'!F13,"Aula 7")+COUNTIF('C113'!F13,"Aula 7")+COUNTIF('C121'!F13,"Aula 7")+COUNTIF('C122'!F13,"Aula 7"))&gt;0,1,0)+IF((COUNTIF('C211'!F13,"Aula 7")+COUNTIF('C212'!F13,"Aula 7"))&gt;0,1,0)+IF((COUNTIF('C311'!F13,"Aula 7")+COUNTIF('C312'!F13,"Aula 7"))&gt;0,1,0)+IF((COUNTIF('C411'!F13,"Aula 7")+COUNTIF('C412'!F13,"Aula 7"))&gt;0,1,0)+IF((COUNTIF('M111'!F13,"Aula 7")+COUNTIF('M112'!F13,"Aula 7"))&gt;0,1,0)+IF((COUNTIF('M211'!F13,"Aula 7")+COUNTIF('M212'!F13,"Aula 7"))&gt;0,1,0)+IF((COUNTIF('M311'!F13,"Aula 7"))&gt;0,1,0)+IF((COUNTIF('M411'!F13,"Aula 7"))&gt;0,1,0)+IF((COUNTIF('D111'!F13,"Aula 7")+COUNTIF('D112'!F13,"Aula 7"))&gt;0,1,0)+IF((COUNTIF('D211'!F13,"Aula 7"))&gt;0,1,0)+IF((COUNTIF('D311'!F13,"Aula 7"))&gt;0,1,0)+IF((COUNTIF('D411'!F13,"Aula 7"))&gt;0,1,0))=0,"",IF((IF((COUNTIF('C111'!F13,"Aula 7")+COUNTIF('C112'!F13,"Aula 7")+COUNTIF('C113'!F13,"Aula 7")+COUNTIF('C121'!F13,"Aula 7")+COUNTIF('C122'!F13,"Aula 7"))&gt;0,1,0)+IF((COUNTIF('C211'!F13,"Aula 7")+COUNTIF('C212'!F13,"Aula 7"))&gt;0,1,0)+IF((COUNTIF('C311'!F13,"Aula 7")+COUNTIF('C312'!F13,"Aula 7"))&gt;0,1,0)+IF((COUNTIF('C411'!F13,"Aula 7")+COUNTIF('C412'!F13,"Aula 7"))&gt;0,1,0)+IF((COUNTIF('M111'!F13,"Aula 7")+COUNTIF('M112'!F13,"Aula 7"))&gt;0,1,0)+IF((COUNTIF('M211'!F13,"Aula 7")+COUNTIF('M212'!F13,"Aula 7"))&gt;0,1,0)+IF((COUNTIF('M311'!F13,"Aula 7"))&gt;0,1,0)+IF((COUNTIF('M411'!F13,"Aula 7"))&gt;0,1,0)+IF((COUNTIF('D111'!F13,"Aula 7")+COUNTIF('D112'!F13,"Aula 7"))&gt;0,1,0)+IF((COUNTIF('D211'!F13,"Aula 7"))&gt;0,1,0)+IF((COUNTIF('D311'!F13,"Aula 7"))&gt;0,1,0)+IF((COUNTIF('D411'!F13,"Aula 7"))&gt;0,1,0))=1,IF((COUNTIF('C111'!F13,"Aula 7")+COUNTIF('C112'!F13,"Aula 7")+COUNTIF('C113'!F13,"Aula 7")+COUNTIF('C121'!F13,"Aula 7")+COUNTIF('C122'!F13,"Aula 7"))&gt;0,"C1",IF((COUNTIF('C211'!F13,"Aula 7")+COUNTIF('C212'!F13,"Aula 7"))&gt;0,"C2",IF((COUNTIF('C311'!F13,"Aula 7")+COUNTIF('C312'!F13,"Aula 7"))&gt;0,"C3",IF((COUNTIF('C411'!F13,"Aula 7")+COUNTIF('C412'!F13,"Aula 7"))&gt;0,"C4",IF((COUNTIF('M111'!F13,"Aula 7")+COUNTIF('M112'!F13,"Aula 7"))&gt;0,"M1",IF((COUNTIF('M211'!F13,"Aula 7")+COUNTIF('M212'!F13,"Aula 7"))&gt;0,"M2",IF((COUNTIF('M311'!F13,"Aula 7"))&gt;0,"M3",IF((COUNTIF('M411'!F13,"Aula 7"))&gt;0,"M4",IF((COUNTIF('D111'!F13,"Aula 7")+COUNTIF('D112'!F13,"Aula 7"))&gt;0,"D1",IF((COUNTIF('D211'!F13,"Aula 7"))&gt;0,"D2",IF((COUNTIF('D311'!F13,"Aula 7"))&gt;0,"D3",IF((COUNTIF('D411'!F13,"Aula 7"))&gt;0,"D4","")))))))))))),"MIX"))</f>
        <v/>
      </c>
    </row>
    <row r="428">
      <c r="C428">
        <f>IF((IF((COUNTIF('C111'!F13,"Aula 8")+COUNTIF('C112'!F13,"Aula 8")+COUNTIF('C113'!F13,"Aula 8")+COUNTIF('C121'!F13,"Aula 8")+COUNTIF('C122'!F13,"Aula 8"))&gt;0,1,0)+IF((COUNTIF('C211'!F13,"Aula 8")+COUNTIF('C212'!F13,"Aula 8"))&gt;0,1,0)+IF((COUNTIF('C311'!F13,"Aula 8")+COUNTIF('C312'!F13,"Aula 8"))&gt;0,1,0)+IF((COUNTIF('C411'!F13,"Aula 8")+COUNTIF('C412'!F13,"Aula 8"))&gt;0,1,0)+IF((COUNTIF('M111'!F13,"Aula 8")+COUNTIF('M112'!F13,"Aula 8"))&gt;0,1,0)+IF((COUNTIF('M211'!F13,"Aula 8")+COUNTIF('M212'!F13,"Aula 8"))&gt;0,1,0)+IF((COUNTIF('M311'!F13,"Aula 8"))&gt;0,1,0)+IF((COUNTIF('M411'!F13,"Aula 8"))&gt;0,1,0)+IF((COUNTIF('D111'!F13,"Aula 8")+COUNTIF('D112'!F13,"Aula 8"))&gt;0,1,0)+IF((COUNTIF('D211'!F13,"Aula 8"))&gt;0,1,0)+IF((COUNTIF('D311'!F13,"Aula 8"))&gt;0,1,0)+IF((COUNTIF('D411'!F13,"Aula 8"))&gt;0,1,0))=0,"",IF((IF((COUNTIF('C111'!F13,"Aula 8")+COUNTIF('C112'!F13,"Aula 8")+COUNTIF('C113'!F13,"Aula 8")+COUNTIF('C121'!F13,"Aula 8")+COUNTIF('C122'!F13,"Aula 8"))&gt;0,1,0)+IF((COUNTIF('C211'!F13,"Aula 8")+COUNTIF('C212'!F13,"Aula 8"))&gt;0,1,0)+IF((COUNTIF('C311'!F13,"Aula 8")+COUNTIF('C312'!F13,"Aula 8"))&gt;0,1,0)+IF((COUNTIF('C411'!F13,"Aula 8")+COUNTIF('C412'!F13,"Aula 8"))&gt;0,1,0)+IF((COUNTIF('M111'!F13,"Aula 8")+COUNTIF('M112'!F13,"Aula 8"))&gt;0,1,0)+IF((COUNTIF('M211'!F13,"Aula 8")+COUNTIF('M212'!F13,"Aula 8"))&gt;0,1,0)+IF((COUNTIF('M311'!F13,"Aula 8"))&gt;0,1,0)+IF((COUNTIF('M411'!F13,"Aula 8"))&gt;0,1,0)+IF((COUNTIF('D111'!F13,"Aula 8")+COUNTIF('D112'!F13,"Aula 8"))&gt;0,1,0)+IF((COUNTIF('D211'!F13,"Aula 8"))&gt;0,1,0)+IF((COUNTIF('D311'!F13,"Aula 8"))&gt;0,1,0)+IF((COUNTIF('D411'!F13,"Aula 8"))&gt;0,1,0))=1,IF((COUNTIF('C111'!F13,"Aula 8")+COUNTIF('C112'!F13,"Aula 8")+COUNTIF('C113'!F13,"Aula 8")+COUNTIF('C121'!F13,"Aula 8")+COUNTIF('C122'!F13,"Aula 8"))&gt;0,"C1",IF((COUNTIF('C211'!F13,"Aula 8")+COUNTIF('C212'!F13,"Aula 8"))&gt;0,"C2",IF((COUNTIF('C311'!F13,"Aula 8")+COUNTIF('C312'!F13,"Aula 8"))&gt;0,"C3",IF((COUNTIF('C411'!F13,"Aula 8")+COUNTIF('C412'!F13,"Aula 8"))&gt;0,"C4",IF((COUNTIF('M111'!F13,"Aula 8")+COUNTIF('M112'!F13,"Aula 8"))&gt;0,"M1",IF((COUNTIF('M211'!F13,"Aula 8")+COUNTIF('M212'!F13,"Aula 8"))&gt;0,"M2",IF((COUNTIF('M311'!F13,"Aula 8"))&gt;0,"M3",IF((COUNTIF('M411'!F13,"Aula 8"))&gt;0,"M4",IF((COUNTIF('D111'!F13,"Aula 8")+COUNTIF('D112'!F13,"Aula 8"))&gt;0,"D1",IF((COUNTIF('D211'!F13,"Aula 8"))&gt;0,"D2",IF((COUNTIF('D311'!F13,"Aula 8"))&gt;0,"D3",IF((COUNTIF('D411'!F13,"Aula 8"))&gt;0,"D4","")))))))))))),"MIX"))</f>
        <v/>
      </c>
    </row>
    <row r="429">
      <c r="C429">
        <f>IF((IF((COUNTIF('C111'!F13,"Aula 9")+COUNTIF('C112'!F13,"Aula 9")+COUNTIF('C113'!F13,"Aula 9")+COUNTIF('C121'!F13,"Aula 9")+COUNTIF('C122'!F13,"Aula 9"))&gt;0,1,0)+IF((COUNTIF('C211'!F13,"Aula 9")+COUNTIF('C212'!F13,"Aula 9"))&gt;0,1,0)+IF((COUNTIF('C311'!F13,"Aula 9")+COUNTIF('C312'!F13,"Aula 9"))&gt;0,1,0)+IF((COUNTIF('C411'!F13,"Aula 9")+COUNTIF('C412'!F13,"Aula 9"))&gt;0,1,0)+IF((COUNTIF('M111'!F13,"Aula 9")+COUNTIF('M112'!F13,"Aula 9"))&gt;0,1,0)+IF((COUNTIF('M211'!F13,"Aula 9")+COUNTIF('M212'!F13,"Aula 9"))&gt;0,1,0)+IF((COUNTIF('M311'!F13,"Aula 9"))&gt;0,1,0)+IF((COUNTIF('M411'!F13,"Aula 9"))&gt;0,1,0)+IF((COUNTIF('D111'!F13,"Aula 9")+COUNTIF('D112'!F13,"Aula 9"))&gt;0,1,0)+IF((COUNTIF('D211'!F13,"Aula 9"))&gt;0,1,0)+IF((COUNTIF('D311'!F13,"Aula 9"))&gt;0,1,0)+IF((COUNTIF('D411'!F13,"Aula 9"))&gt;0,1,0))=0,"",IF((IF((COUNTIF('C111'!F13,"Aula 9")+COUNTIF('C112'!F13,"Aula 9")+COUNTIF('C113'!F13,"Aula 9")+COUNTIF('C121'!F13,"Aula 9")+COUNTIF('C122'!F13,"Aula 9"))&gt;0,1,0)+IF((COUNTIF('C211'!F13,"Aula 9")+COUNTIF('C212'!F13,"Aula 9"))&gt;0,1,0)+IF((COUNTIF('C311'!F13,"Aula 9")+COUNTIF('C312'!F13,"Aula 9"))&gt;0,1,0)+IF((COUNTIF('C411'!F13,"Aula 9")+COUNTIF('C412'!F13,"Aula 9"))&gt;0,1,0)+IF((COUNTIF('M111'!F13,"Aula 9")+COUNTIF('M112'!F13,"Aula 9"))&gt;0,1,0)+IF((COUNTIF('M211'!F13,"Aula 9")+COUNTIF('M212'!F13,"Aula 9"))&gt;0,1,0)+IF((COUNTIF('M311'!F13,"Aula 9"))&gt;0,1,0)+IF((COUNTIF('M411'!F13,"Aula 9"))&gt;0,1,0)+IF((COUNTIF('D111'!F13,"Aula 9")+COUNTIF('D112'!F13,"Aula 9"))&gt;0,1,0)+IF((COUNTIF('D211'!F13,"Aula 9"))&gt;0,1,0)+IF((COUNTIF('D311'!F13,"Aula 9"))&gt;0,1,0)+IF((COUNTIF('D411'!F13,"Aula 9"))&gt;0,1,0))=1,IF((COUNTIF('C111'!F13,"Aula 9")+COUNTIF('C112'!F13,"Aula 9")+COUNTIF('C113'!F13,"Aula 9")+COUNTIF('C121'!F13,"Aula 9")+COUNTIF('C122'!F13,"Aula 9"))&gt;0,"C1",IF((COUNTIF('C211'!F13,"Aula 9")+COUNTIF('C212'!F13,"Aula 9"))&gt;0,"C2",IF((COUNTIF('C311'!F13,"Aula 9")+COUNTIF('C312'!F13,"Aula 9"))&gt;0,"C3",IF((COUNTIF('C411'!F13,"Aula 9")+COUNTIF('C412'!F13,"Aula 9"))&gt;0,"C4",IF((COUNTIF('M111'!F13,"Aula 9")+COUNTIF('M112'!F13,"Aula 9"))&gt;0,"M1",IF((COUNTIF('M211'!F13,"Aula 9")+COUNTIF('M212'!F13,"Aula 9"))&gt;0,"M2",IF((COUNTIF('M311'!F13,"Aula 9"))&gt;0,"M3",IF((COUNTIF('M411'!F13,"Aula 9"))&gt;0,"M4",IF((COUNTIF('D111'!F13,"Aula 9")+COUNTIF('D112'!F13,"Aula 9"))&gt;0,"D1",IF((COUNTIF('D211'!F13,"Aula 9"))&gt;0,"D2",IF((COUNTIF('D311'!F13,"Aula 9"))&gt;0,"D3",IF((COUNTIF('D411'!F13,"Aula 9"))&gt;0,"D4","")))))))))))),"MIX"))</f>
        <v/>
      </c>
    </row>
    <row r="430">
      <c r="C430">
        <f>IF((IF((COUNTIF('C111'!F13,"Aula 10")+COUNTIF('C112'!F13,"Aula 10")+COUNTIF('C113'!F13,"Aula 10")+COUNTIF('C121'!F13,"Aula 10")+COUNTIF('C122'!F13,"Aula 10"))&gt;0,1,0)+IF((COUNTIF('C211'!F13,"Aula 10")+COUNTIF('C212'!F13,"Aula 10"))&gt;0,1,0)+IF((COUNTIF('C311'!F13,"Aula 10")+COUNTIF('C312'!F13,"Aula 10"))&gt;0,1,0)+IF((COUNTIF('C411'!F13,"Aula 10")+COUNTIF('C412'!F13,"Aula 10"))&gt;0,1,0)+IF((COUNTIF('M111'!F13,"Aula 10")+COUNTIF('M112'!F13,"Aula 10"))&gt;0,1,0)+IF((COUNTIF('M211'!F13,"Aula 10")+COUNTIF('M212'!F13,"Aula 10"))&gt;0,1,0)+IF((COUNTIF('M311'!F13,"Aula 10"))&gt;0,1,0)+IF((COUNTIF('M411'!F13,"Aula 10"))&gt;0,1,0)+IF((COUNTIF('D111'!F13,"Aula 10")+COUNTIF('D112'!F13,"Aula 10"))&gt;0,1,0)+IF((COUNTIF('D211'!F13,"Aula 10"))&gt;0,1,0)+IF((COUNTIF('D311'!F13,"Aula 10"))&gt;0,1,0)+IF((COUNTIF('D411'!F13,"Aula 10"))&gt;0,1,0))=0,"",IF((IF((COUNTIF('C111'!F13,"Aula 10")+COUNTIF('C112'!F13,"Aula 10")+COUNTIF('C113'!F13,"Aula 10")+COUNTIF('C121'!F13,"Aula 10")+COUNTIF('C122'!F13,"Aula 10"))&gt;0,1,0)+IF((COUNTIF('C211'!F13,"Aula 10")+COUNTIF('C212'!F13,"Aula 10"))&gt;0,1,0)+IF((COUNTIF('C311'!F13,"Aula 10")+COUNTIF('C312'!F13,"Aula 10"))&gt;0,1,0)+IF((COUNTIF('C411'!F13,"Aula 10")+COUNTIF('C412'!F13,"Aula 10"))&gt;0,1,0)+IF((COUNTIF('M111'!F13,"Aula 10")+COUNTIF('M112'!F13,"Aula 10"))&gt;0,1,0)+IF((COUNTIF('M211'!F13,"Aula 10")+COUNTIF('M212'!F13,"Aula 10"))&gt;0,1,0)+IF((COUNTIF('M311'!F13,"Aula 10"))&gt;0,1,0)+IF((COUNTIF('M411'!F13,"Aula 10"))&gt;0,1,0)+IF((COUNTIF('D111'!F13,"Aula 10")+COUNTIF('D112'!F13,"Aula 10"))&gt;0,1,0)+IF((COUNTIF('D211'!F13,"Aula 10"))&gt;0,1,0)+IF((COUNTIF('D311'!F13,"Aula 10"))&gt;0,1,0)+IF((COUNTIF('D411'!F13,"Aula 10"))&gt;0,1,0))=1,IF((COUNTIF('C111'!F13,"Aula 10")+COUNTIF('C112'!F13,"Aula 10")+COUNTIF('C113'!F13,"Aula 10")+COUNTIF('C121'!F13,"Aula 10")+COUNTIF('C122'!F13,"Aula 10"))&gt;0,"C1",IF((COUNTIF('C211'!F13,"Aula 10")+COUNTIF('C212'!F13,"Aula 10"))&gt;0,"C2",IF((COUNTIF('C311'!F13,"Aula 10")+COUNTIF('C312'!F13,"Aula 10"))&gt;0,"C3",IF((COUNTIF('C411'!F13,"Aula 10")+COUNTIF('C412'!F13,"Aula 10"))&gt;0,"C4",IF((COUNTIF('M111'!F13,"Aula 10")+COUNTIF('M112'!F13,"Aula 10"))&gt;0,"M1",IF((COUNTIF('M211'!F13,"Aula 10")+COUNTIF('M212'!F13,"Aula 10"))&gt;0,"M2",IF((COUNTIF('M311'!F13,"Aula 10"))&gt;0,"M3",IF((COUNTIF('M411'!F13,"Aula 10"))&gt;0,"M4",IF((COUNTIF('D111'!F13,"Aula 10")+COUNTIF('D112'!F13,"Aula 10"))&gt;0,"D1",IF((COUNTIF('D211'!F13,"Aula 10"))&gt;0,"D2",IF((COUNTIF('D311'!F13,"Aula 10"))&gt;0,"D3",IF((COUNTIF('D411'!F13,"Aula 10"))&gt;0,"D4","")))))))))))),"MIX"))</f>
        <v/>
      </c>
    </row>
    <row r="431">
      <c r="C431">
        <f>IF((IF((COUNTIF('C111'!F13,"Aula 11")+COUNTIF('C112'!F13,"Aula 11")+COUNTIF('C113'!F13,"Aula 11")+COUNTIF('C121'!F13,"Aula 11")+COUNTIF('C122'!F13,"Aula 11"))&gt;0,1,0)+IF((COUNTIF('C211'!F13,"Aula 11")+COUNTIF('C212'!F13,"Aula 11"))&gt;0,1,0)+IF((COUNTIF('C311'!F13,"Aula 11")+COUNTIF('C312'!F13,"Aula 11"))&gt;0,1,0)+IF((COUNTIF('C411'!F13,"Aula 11")+COUNTIF('C412'!F13,"Aula 11"))&gt;0,1,0)+IF((COUNTIF('M111'!F13,"Aula 11")+COUNTIF('M112'!F13,"Aula 11"))&gt;0,1,0)+IF((COUNTIF('M211'!F13,"Aula 11")+COUNTIF('M212'!F13,"Aula 11"))&gt;0,1,0)+IF((COUNTIF('M311'!F13,"Aula 11"))&gt;0,1,0)+IF((COUNTIF('M411'!F13,"Aula 11"))&gt;0,1,0)+IF((COUNTIF('D111'!F13,"Aula 11")+COUNTIF('D112'!F13,"Aula 11"))&gt;0,1,0)+IF((COUNTIF('D211'!F13,"Aula 11"))&gt;0,1,0)+IF((COUNTIF('D311'!F13,"Aula 11"))&gt;0,1,0)+IF((COUNTIF('D411'!F13,"Aula 11"))&gt;0,1,0))=0,"",IF((IF((COUNTIF('C111'!F13,"Aula 11")+COUNTIF('C112'!F13,"Aula 11")+COUNTIF('C113'!F13,"Aula 11")+COUNTIF('C121'!F13,"Aula 11")+COUNTIF('C122'!F13,"Aula 11"))&gt;0,1,0)+IF((COUNTIF('C211'!F13,"Aula 11")+COUNTIF('C212'!F13,"Aula 11"))&gt;0,1,0)+IF((COUNTIF('C311'!F13,"Aula 11")+COUNTIF('C312'!F13,"Aula 11"))&gt;0,1,0)+IF((COUNTIF('C411'!F13,"Aula 11")+COUNTIF('C412'!F13,"Aula 11"))&gt;0,1,0)+IF((COUNTIF('M111'!F13,"Aula 11")+COUNTIF('M112'!F13,"Aula 11"))&gt;0,1,0)+IF((COUNTIF('M211'!F13,"Aula 11")+COUNTIF('M212'!F13,"Aula 11"))&gt;0,1,0)+IF((COUNTIF('M311'!F13,"Aula 11"))&gt;0,1,0)+IF((COUNTIF('M411'!F13,"Aula 11"))&gt;0,1,0)+IF((COUNTIF('D111'!F13,"Aula 11")+COUNTIF('D112'!F13,"Aula 11"))&gt;0,1,0)+IF((COUNTIF('D211'!F13,"Aula 11"))&gt;0,1,0)+IF((COUNTIF('D311'!F13,"Aula 11"))&gt;0,1,0)+IF((COUNTIF('D411'!F13,"Aula 11"))&gt;0,1,0))=1,IF((COUNTIF('C111'!F13,"Aula 11")+COUNTIF('C112'!F13,"Aula 11")+COUNTIF('C113'!F13,"Aula 11")+COUNTIF('C121'!F13,"Aula 11")+COUNTIF('C122'!F13,"Aula 11"))&gt;0,"C1",IF((COUNTIF('C211'!F13,"Aula 11")+COUNTIF('C212'!F13,"Aula 11"))&gt;0,"C2",IF((COUNTIF('C311'!F13,"Aula 11")+COUNTIF('C312'!F13,"Aula 11"))&gt;0,"C3",IF((COUNTIF('C411'!F13,"Aula 11")+COUNTIF('C412'!F13,"Aula 11"))&gt;0,"C4",IF((COUNTIF('M111'!F13,"Aula 11")+COUNTIF('M112'!F13,"Aula 11"))&gt;0,"M1",IF((COUNTIF('M211'!F13,"Aula 11")+COUNTIF('M212'!F13,"Aula 11"))&gt;0,"M2",IF((COUNTIF('M311'!F13,"Aula 11"))&gt;0,"M3",IF((COUNTIF('M411'!F13,"Aula 11"))&gt;0,"M4",IF((COUNTIF('D111'!F13,"Aula 11")+COUNTIF('D112'!F13,"Aula 11"))&gt;0,"D1",IF((COUNTIF('D211'!F13,"Aula 11"))&gt;0,"D2",IF((COUNTIF('D311'!F13,"Aula 11"))&gt;0,"D3",IF((COUNTIF('D411'!F13,"Aula 11"))&gt;0,"D4","")))))))))))),"MIX"))</f>
        <v/>
      </c>
    </row>
    <row r="432">
      <c r="C432">
        <f>IF((IF((COUNTIF('C111'!F13,"Aula 12")+COUNTIF('C112'!F13,"Aula 12")+COUNTIF('C113'!F13,"Aula 12")+COUNTIF('C121'!F13,"Aula 12")+COUNTIF('C122'!F13,"Aula 12"))&gt;0,1,0)+IF((COUNTIF('C211'!F13,"Aula 12")+COUNTIF('C212'!F13,"Aula 12"))&gt;0,1,0)+IF((COUNTIF('C311'!F13,"Aula 12")+COUNTIF('C312'!F13,"Aula 12"))&gt;0,1,0)+IF((COUNTIF('C411'!F13,"Aula 12")+COUNTIF('C412'!F13,"Aula 12"))&gt;0,1,0)+IF((COUNTIF('M111'!F13,"Aula 12")+COUNTIF('M112'!F13,"Aula 12"))&gt;0,1,0)+IF((COUNTIF('M211'!F13,"Aula 12")+COUNTIF('M212'!F13,"Aula 12"))&gt;0,1,0)+IF((COUNTIF('M311'!F13,"Aula 12"))&gt;0,1,0)+IF((COUNTIF('M411'!F13,"Aula 12"))&gt;0,1,0)+IF((COUNTIF('D111'!F13,"Aula 12")+COUNTIF('D112'!F13,"Aula 12"))&gt;0,1,0)+IF((COUNTIF('D211'!F13,"Aula 12"))&gt;0,1,0)+IF((COUNTIF('D311'!F13,"Aula 12"))&gt;0,1,0)+IF((COUNTIF('D411'!F13,"Aula 12"))&gt;0,1,0))=0,"",IF((IF((COUNTIF('C111'!F13,"Aula 12")+COUNTIF('C112'!F13,"Aula 12")+COUNTIF('C113'!F13,"Aula 12")+COUNTIF('C121'!F13,"Aula 12")+COUNTIF('C122'!F13,"Aula 12"))&gt;0,1,0)+IF((COUNTIF('C211'!F13,"Aula 12")+COUNTIF('C212'!F13,"Aula 12"))&gt;0,1,0)+IF((COUNTIF('C311'!F13,"Aula 12")+COUNTIF('C312'!F13,"Aula 12"))&gt;0,1,0)+IF((COUNTIF('C411'!F13,"Aula 12")+COUNTIF('C412'!F13,"Aula 12"))&gt;0,1,0)+IF((COUNTIF('M111'!F13,"Aula 12")+COUNTIF('M112'!F13,"Aula 12"))&gt;0,1,0)+IF((COUNTIF('M211'!F13,"Aula 12")+COUNTIF('M212'!F13,"Aula 12"))&gt;0,1,0)+IF((COUNTIF('M311'!F13,"Aula 12"))&gt;0,1,0)+IF((COUNTIF('M411'!F13,"Aula 12"))&gt;0,1,0)+IF((COUNTIF('D111'!F13,"Aula 12")+COUNTIF('D112'!F13,"Aula 12"))&gt;0,1,0)+IF((COUNTIF('D211'!F13,"Aula 12"))&gt;0,1,0)+IF((COUNTIF('D311'!F13,"Aula 12"))&gt;0,1,0)+IF((COUNTIF('D411'!F13,"Aula 12"))&gt;0,1,0))=1,IF((COUNTIF('C111'!F13,"Aula 12")+COUNTIF('C112'!F13,"Aula 12")+COUNTIF('C113'!F13,"Aula 12")+COUNTIF('C121'!F13,"Aula 12")+COUNTIF('C122'!F13,"Aula 12"))&gt;0,"C1",IF((COUNTIF('C211'!F13,"Aula 12")+COUNTIF('C212'!F13,"Aula 12"))&gt;0,"C2",IF((COUNTIF('C311'!F13,"Aula 12")+COUNTIF('C312'!F13,"Aula 12"))&gt;0,"C3",IF((COUNTIF('C411'!F13,"Aula 12")+COUNTIF('C412'!F13,"Aula 12"))&gt;0,"C4",IF((COUNTIF('M111'!F13,"Aula 12")+COUNTIF('M112'!F13,"Aula 12"))&gt;0,"M1",IF((COUNTIF('M211'!F13,"Aula 12")+COUNTIF('M212'!F13,"Aula 12"))&gt;0,"M2",IF((COUNTIF('M311'!F13,"Aula 12"))&gt;0,"M3",IF((COUNTIF('M411'!F13,"Aula 12"))&gt;0,"M4",IF((COUNTIF('D111'!F13,"Aula 12")+COUNTIF('D112'!F13,"Aula 12"))&gt;0,"D1",IF((COUNTIF('D211'!F13,"Aula 12"))&gt;0,"D2",IF((COUNTIF('D311'!F13,"Aula 12"))&gt;0,"D3",IF((COUNTIF('D411'!F13,"Aula 12"))&gt;0,"D4","")))))))))))),"MIX"))</f>
        <v/>
      </c>
    </row>
    <row r="433">
      <c r="C433">
        <f>IF((IF((COUNTIF('C111'!F13,"Lab 1")+COUNTIF('C112'!F13,"Lab 1")+COUNTIF('C113'!F13,"Lab 1")+COUNTIF('C121'!F13,"Lab 1")+COUNTIF('C122'!F13,"Lab 1"))&gt;0,1,0)+IF((COUNTIF('C211'!F13,"Lab 1")+COUNTIF('C212'!F13,"Lab 1"))&gt;0,1,0)+IF((COUNTIF('C311'!F13,"Lab 1")+COUNTIF('C312'!F13,"Lab 1"))&gt;0,1,0)+IF((COUNTIF('C411'!F13,"Lab 1")+COUNTIF('C412'!F13,"Lab 1"))&gt;0,1,0)+IF((COUNTIF('M111'!F13,"Lab 1")+COUNTIF('M112'!F13,"Lab 1"))&gt;0,1,0)+IF((COUNTIF('M211'!F13,"Lab 1")+COUNTIF('M212'!F13,"Lab 1"))&gt;0,1,0)+IF((COUNTIF('M311'!F13,"Lab 1"))&gt;0,1,0)+IF((COUNTIF('M411'!F13,"Lab 1"))&gt;0,1,0)+IF((COUNTIF('D111'!F13,"Lab 1")+COUNTIF('D112'!F13,"Lab 1"))&gt;0,1,0)+IF((COUNTIF('D211'!F13,"Lab 1"))&gt;0,1,0)+IF((COUNTIF('D311'!F13,"Lab 1"))&gt;0,1,0)+IF((COUNTIF('D411'!F13,"Lab 1"))&gt;0,1,0))=0,"",IF((IF((COUNTIF('C111'!F13,"Lab 1")+COUNTIF('C112'!F13,"Lab 1")+COUNTIF('C113'!F13,"Lab 1")+COUNTIF('C121'!F13,"Lab 1")+COUNTIF('C122'!F13,"Lab 1"))&gt;0,1,0)+IF((COUNTIF('C211'!F13,"Lab 1")+COUNTIF('C212'!F13,"Lab 1"))&gt;0,1,0)+IF((COUNTIF('C311'!F13,"Lab 1")+COUNTIF('C312'!F13,"Lab 1"))&gt;0,1,0)+IF((COUNTIF('C411'!F13,"Lab 1")+COUNTIF('C412'!F13,"Lab 1"))&gt;0,1,0)+IF((COUNTIF('M111'!F13,"Lab 1")+COUNTIF('M112'!F13,"Lab 1"))&gt;0,1,0)+IF((COUNTIF('M211'!F13,"Lab 1")+COUNTIF('M212'!F13,"Lab 1"))&gt;0,1,0)+IF((COUNTIF('M311'!F13,"Lab 1"))&gt;0,1,0)+IF((COUNTIF('M411'!F13,"Lab 1"))&gt;0,1,0)+IF((COUNTIF('D111'!F13,"Lab 1")+COUNTIF('D112'!F13,"Lab 1"))&gt;0,1,0)+IF((COUNTIF('D211'!F13,"Lab 1"))&gt;0,1,0)+IF((COUNTIF('D311'!F13,"Lab 1"))&gt;0,1,0)+IF((COUNTIF('D411'!F13,"Lab 1"))&gt;0,1,0))=1,IF((COUNTIF('C111'!F13,"Lab 1")+COUNTIF('C112'!F13,"Lab 1")+COUNTIF('C113'!F13,"Lab 1")+COUNTIF('C121'!F13,"Lab 1")+COUNTIF('C122'!F13,"Lab 1"))&gt;0,"C1",IF((COUNTIF('C211'!F13,"Lab 1")+COUNTIF('C212'!F13,"Lab 1"))&gt;0,"C2",IF((COUNTIF('C311'!F13,"Lab 1")+COUNTIF('C312'!F13,"Lab 1"))&gt;0,"C3",IF((COUNTIF('C411'!F13,"Lab 1")+COUNTIF('C412'!F13,"Lab 1"))&gt;0,"C4",IF((COUNTIF('M111'!F13,"Lab 1")+COUNTIF('M112'!F13,"Lab 1"))&gt;0,"M1",IF((COUNTIF('M211'!F13,"Lab 1")+COUNTIF('M212'!F13,"Lab 1"))&gt;0,"M2",IF((COUNTIF('M311'!F13,"Lab 1"))&gt;0,"M3",IF((COUNTIF('M411'!F13,"Lab 1"))&gt;0,"M4",IF((COUNTIF('D111'!F13,"Lab 1")+COUNTIF('D112'!F13,"Lab 1"))&gt;0,"D1",IF((COUNTIF('D211'!F13,"Lab 1"))&gt;0,"D2",IF((COUNTIF('D311'!F13,"Lab 1"))&gt;0,"D3",IF((COUNTIF('D411'!F13,"Lab 1"))&gt;0,"D4","")))))))))))),"MIX"))</f>
        <v/>
      </c>
    </row>
    <row r="434">
      <c r="C434">
        <f>IF((IF((COUNTIF('C111'!F13,"Lab 2")+COUNTIF('C112'!F13,"Lab 2")+COUNTIF('C113'!F13,"Lab 2")+COUNTIF('C121'!F13,"Lab 2")+COUNTIF('C122'!F13,"Lab 2"))&gt;0,1,0)+IF((COUNTIF('C211'!F13,"Lab 2")+COUNTIF('C212'!F13,"Lab 2"))&gt;0,1,0)+IF((COUNTIF('C311'!F13,"Lab 2")+COUNTIF('C312'!F13,"Lab 2"))&gt;0,1,0)+IF((COUNTIF('C411'!F13,"Lab 2")+COUNTIF('C412'!F13,"Lab 2"))&gt;0,1,0)+IF((COUNTIF('M111'!F13,"Lab 2")+COUNTIF('M112'!F13,"Lab 2"))&gt;0,1,0)+IF((COUNTIF('M211'!F13,"Lab 2")+COUNTIF('M212'!F13,"Lab 2"))&gt;0,1,0)+IF((COUNTIF('M311'!F13,"Lab 2"))&gt;0,1,0)+IF((COUNTIF('M411'!F13,"Lab 2"))&gt;0,1,0)+IF((COUNTIF('D111'!F13,"Lab 2")+COUNTIF('D112'!F13,"Lab 2"))&gt;0,1,0)+IF((COUNTIF('D211'!F13,"Lab 2"))&gt;0,1,0)+IF((COUNTIF('D311'!F13,"Lab 2"))&gt;0,1,0)+IF((COUNTIF('D411'!F13,"Lab 2"))&gt;0,1,0))=0,"",IF((IF((COUNTIF('C111'!F13,"Lab 2")+COUNTIF('C112'!F13,"Lab 2")+COUNTIF('C113'!F13,"Lab 2")+COUNTIF('C121'!F13,"Lab 2")+COUNTIF('C122'!F13,"Lab 2"))&gt;0,1,0)+IF((COUNTIF('C211'!F13,"Lab 2")+COUNTIF('C212'!F13,"Lab 2"))&gt;0,1,0)+IF((COUNTIF('C311'!F13,"Lab 2")+COUNTIF('C312'!F13,"Lab 2"))&gt;0,1,0)+IF((COUNTIF('C411'!F13,"Lab 2")+COUNTIF('C412'!F13,"Lab 2"))&gt;0,1,0)+IF((COUNTIF('M111'!F13,"Lab 2")+COUNTIF('M112'!F13,"Lab 2"))&gt;0,1,0)+IF((COUNTIF('M211'!F13,"Lab 2")+COUNTIF('M212'!F13,"Lab 2"))&gt;0,1,0)+IF((COUNTIF('M311'!F13,"Lab 2"))&gt;0,1,0)+IF((COUNTIF('M411'!F13,"Lab 2"))&gt;0,1,0)+IF((COUNTIF('D111'!F13,"Lab 2")+COUNTIF('D112'!F13,"Lab 2"))&gt;0,1,0)+IF((COUNTIF('D211'!F13,"Lab 2"))&gt;0,1,0)+IF((COUNTIF('D311'!F13,"Lab 2"))&gt;0,1,0)+IF((COUNTIF('D411'!F13,"Lab 2"))&gt;0,1,0))=1,IF((COUNTIF('C111'!F13,"Lab 2")+COUNTIF('C112'!F13,"Lab 2")+COUNTIF('C113'!F13,"Lab 2")+COUNTIF('C121'!F13,"Lab 2")+COUNTIF('C122'!F13,"Lab 2"))&gt;0,"C1",IF((COUNTIF('C211'!F13,"Lab 2")+COUNTIF('C212'!F13,"Lab 2"))&gt;0,"C2",IF((COUNTIF('C311'!F13,"Lab 2")+COUNTIF('C312'!F13,"Lab 2"))&gt;0,"C3",IF((COUNTIF('C411'!F13,"Lab 2")+COUNTIF('C412'!F13,"Lab 2"))&gt;0,"C4",IF((COUNTIF('M111'!F13,"Lab 2")+COUNTIF('M112'!F13,"Lab 2"))&gt;0,"M1",IF((COUNTIF('M211'!F13,"Lab 2")+COUNTIF('M212'!F13,"Lab 2"))&gt;0,"M2",IF((COUNTIF('M311'!F13,"Lab 2"))&gt;0,"M3",IF((COUNTIF('M411'!F13,"Lab 2"))&gt;0,"M4",IF((COUNTIF('D111'!F13,"Lab 2")+COUNTIF('D112'!F13,"Lab 2"))&gt;0,"D1",IF((COUNTIF('D211'!F13,"Lab 2"))&gt;0,"D2",IF((COUNTIF('D311'!F13,"Lab 2"))&gt;0,"D3",IF((COUNTIF('D411'!F13,"Lab 2"))&gt;0,"D4","")))))))))))),"MIX"))</f>
        <v/>
      </c>
    </row>
    <row r="435">
      <c r="C435">
        <f>IF((IF((COUNTIF('C111'!F13,"Salón")+COUNTIF('C112'!F13,"Salón")+COUNTIF('C113'!F13,"Salón")+COUNTIF('C121'!F13,"Salón")+COUNTIF('C122'!F13,"Salón"))&gt;0,1,0)+IF((COUNTIF('C211'!F13,"Salón")+COUNTIF('C212'!F13,"Salón"))&gt;0,1,0)+IF((COUNTIF('C311'!F13,"Salón")+COUNTIF('C312'!F13,"Salón"))&gt;0,1,0)+IF((COUNTIF('C411'!F13,"Salón")+COUNTIF('C412'!F13,"Salón"))&gt;0,1,0)+IF((COUNTIF('M111'!F13,"Salón")+COUNTIF('M112'!F13,"Salón"))&gt;0,1,0)+IF((COUNTIF('M211'!F13,"Salón")+COUNTIF('M212'!F13,"Salón"))&gt;0,1,0)+IF((COUNTIF('M311'!F13,"Salón"))&gt;0,1,0)+IF((COUNTIF('M411'!F13,"Salón"))&gt;0,1,0)+IF((COUNTIF('D111'!F13,"Salón")+COUNTIF('D112'!F13,"Salón"))&gt;0,1,0)+IF((COUNTIF('D211'!F13,"Salón"))&gt;0,1,0)+IF((COUNTIF('D311'!F13,"Salón"))&gt;0,1,0)+IF((COUNTIF('D411'!F13,"Salón"))&gt;0,1,0))=0,"",IF((IF((COUNTIF('C111'!F13,"Salón")+COUNTIF('C112'!F13,"Salón")+COUNTIF('C113'!F13,"Salón")+COUNTIF('C121'!F13,"Salón")+COUNTIF('C122'!F13,"Salón"))&gt;0,1,0)+IF((COUNTIF('C211'!F13,"Salón")+COUNTIF('C212'!F13,"Salón"))&gt;0,1,0)+IF((COUNTIF('C311'!F13,"Salón")+COUNTIF('C312'!F13,"Salón"))&gt;0,1,0)+IF((COUNTIF('C411'!F13,"Salón")+COUNTIF('C412'!F13,"Salón"))&gt;0,1,0)+IF((COUNTIF('M111'!F13,"Salón")+COUNTIF('M112'!F13,"Salón"))&gt;0,1,0)+IF((COUNTIF('M211'!F13,"Salón")+COUNTIF('M212'!F13,"Salón"))&gt;0,1,0)+IF((COUNTIF('M311'!F13,"Salón"))&gt;0,1,0)+IF((COUNTIF('M411'!F13,"Salón"))&gt;0,1,0)+IF((COUNTIF('D111'!F13,"Salón")+COUNTIF('D112'!F13,"Salón"))&gt;0,1,0)+IF((COUNTIF('D211'!F13,"Salón"))&gt;0,1,0)+IF((COUNTIF('D311'!F13,"Salón"))&gt;0,1,0)+IF((COUNTIF('D411'!F13,"Salón"))&gt;0,1,0))=1,IF((COUNTIF('C111'!F13,"Salón")+COUNTIF('C112'!F13,"Salón")+COUNTIF('C113'!F13,"Salón")+COUNTIF('C121'!F13,"Salón")+COUNTIF('C122'!F13,"Salón"))&gt;0,"C1",IF((COUNTIF('C211'!F13,"Salón")+COUNTIF('C212'!F13,"Salón"))&gt;0,"C2",IF((COUNTIF('C311'!F13,"Salón")+COUNTIF('C312'!F13,"Salón"))&gt;0,"C3",IF((COUNTIF('C411'!F13,"Salón")+COUNTIF('C412'!F13,"Salón"))&gt;0,"C4",IF((COUNTIF('M111'!F13,"Salón")+COUNTIF('M112'!F13,"Salón"))&gt;0,"M1",IF((COUNTIF('M211'!F13,"Salón")+COUNTIF('M212'!F13,"Salón"))&gt;0,"M2",IF((COUNTIF('M311'!F13,"Salón"))&gt;0,"M3",IF((COUNTIF('M411'!F13,"Salón"))&gt;0,"M4",IF((COUNTIF('D111'!F13,"Salón")+COUNTIF('D112'!F13,"Salón"))&gt;0,"D1",IF((COUNTIF('D211'!F13,"Salón"))&gt;0,"D2",IF((COUNTIF('D311'!F13,"Salón"))&gt;0,"D3",IF((COUNTIF('D411'!F13,"Salón"))&gt;0,"D4","")))))))))))),"MIX"))</f>
        <v/>
      </c>
    </row>
    <row r="436">
      <c r="C436">
        <f>IF((IF((COUNTIF('C111'!F15,"Aula 1")+COUNTIF('C112'!F15,"Aula 1")+COUNTIF('C113'!F15,"Aula 1")+COUNTIF('C121'!F15,"Aula 1")+COUNTIF('C122'!F15,"Aula 1"))&gt;0,1,0)+IF((COUNTIF('C211'!F15,"Aula 1")+COUNTIF('C212'!F15,"Aula 1"))&gt;0,1,0)+IF((COUNTIF('C311'!F15,"Aula 1")+COUNTIF('C312'!F15,"Aula 1"))&gt;0,1,0)+IF((COUNTIF('C411'!F15,"Aula 1")+COUNTIF('C412'!F15,"Aula 1"))&gt;0,1,0)+IF((COUNTIF('M111'!F15,"Aula 1")+COUNTIF('M112'!F15,"Aula 1"))&gt;0,1,0)+IF((COUNTIF('M211'!F15,"Aula 1")+COUNTIF('M212'!F15,"Aula 1"))&gt;0,1,0)+IF((COUNTIF('M311'!F15,"Aula 1"))&gt;0,1,0)+IF((COUNTIF('M411'!F15,"Aula 1"))&gt;0,1,0)+IF((COUNTIF('D111'!F15,"Aula 1")+COUNTIF('D112'!F15,"Aula 1"))&gt;0,1,0)+IF((COUNTIF('D211'!F15,"Aula 1"))&gt;0,1,0)+IF((COUNTIF('D311'!F15,"Aula 1"))&gt;0,1,0)+IF((COUNTIF('D411'!F15,"Aula 1"))&gt;0,1,0))=0,"",IF((IF((COUNTIF('C111'!F15,"Aula 1")+COUNTIF('C112'!F15,"Aula 1")+COUNTIF('C113'!F15,"Aula 1")+COUNTIF('C121'!F15,"Aula 1")+COUNTIF('C122'!F15,"Aula 1"))&gt;0,1,0)+IF((COUNTIF('C211'!F15,"Aula 1")+COUNTIF('C212'!F15,"Aula 1"))&gt;0,1,0)+IF((COUNTIF('C311'!F15,"Aula 1")+COUNTIF('C312'!F15,"Aula 1"))&gt;0,1,0)+IF((COUNTIF('C411'!F15,"Aula 1")+COUNTIF('C412'!F15,"Aula 1"))&gt;0,1,0)+IF((COUNTIF('M111'!F15,"Aula 1")+COUNTIF('M112'!F15,"Aula 1"))&gt;0,1,0)+IF((COUNTIF('M211'!F15,"Aula 1")+COUNTIF('M212'!F15,"Aula 1"))&gt;0,1,0)+IF((COUNTIF('M311'!F15,"Aula 1"))&gt;0,1,0)+IF((COUNTIF('M411'!F15,"Aula 1"))&gt;0,1,0)+IF((COUNTIF('D111'!F15,"Aula 1")+COUNTIF('D112'!F15,"Aula 1"))&gt;0,1,0)+IF((COUNTIF('D211'!F15,"Aula 1"))&gt;0,1,0)+IF((COUNTIF('D311'!F15,"Aula 1"))&gt;0,1,0)+IF((COUNTIF('D411'!F15,"Aula 1"))&gt;0,1,0))=1,IF((COUNTIF('C111'!F15,"Aula 1")+COUNTIF('C112'!F15,"Aula 1")+COUNTIF('C113'!F15,"Aula 1")+COUNTIF('C121'!F15,"Aula 1")+COUNTIF('C122'!F15,"Aula 1"))&gt;0,"C1",IF((COUNTIF('C211'!F15,"Aula 1")+COUNTIF('C212'!F15,"Aula 1"))&gt;0,"C2",IF((COUNTIF('C311'!F15,"Aula 1")+COUNTIF('C312'!F15,"Aula 1"))&gt;0,"C3",IF((COUNTIF('C411'!F15,"Aula 1")+COUNTIF('C412'!F15,"Aula 1"))&gt;0,"C4",IF((COUNTIF('M111'!F15,"Aula 1")+COUNTIF('M112'!F15,"Aula 1"))&gt;0,"M1",IF((COUNTIF('M211'!F15,"Aula 1")+COUNTIF('M212'!F15,"Aula 1"))&gt;0,"M2",IF((COUNTIF('M311'!F15,"Aula 1"))&gt;0,"M3",IF((COUNTIF('M411'!F15,"Aula 1"))&gt;0,"M4",IF((COUNTIF('D111'!F15,"Aula 1")+COUNTIF('D112'!F15,"Aula 1"))&gt;0,"D1",IF((COUNTIF('D211'!F15,"Aula 1"))&gt;0,"D2",IF((COUNTIF('D311'!F15,"Aula 1"))&gt;0,"D3",IF((COUNTIF('D411'!F15,"Aula 1"))&gt;0,"D4","")))))))))))),"MIX"))</f>
        <v/>
      </c>
    </row>
    <row r="437">
      <c r="C437">
        <f>IF((IF((COUNTIF('C111'!F15,"Aula 2")+COUNTIF('C112'!F15,"Aula 2")+COUNTIF('C113'!F15,"Aula 2")+COUNTIF('C121'!F15,"Aula 2")+COUNTIF('C122'!F15,"Aula 2"))&gt;0,1,0)+IF((COUNTIF('C211'!F15,"Aula 2")+COUNTIF('C212'!F15,"Aula 2"))&gt;0,1,0)+IF((COUNTIF('C311'!F15,"Aula 2")+COUNTIF('C312'!F15,"Aula 2"))&gt;0,1,0)+IF((COUNTIF('C411'!F15,"Aula 2")+COUNTIF('C412'!F15,"Aula 2"))&gt;0,1,0)+IF((COUNTIF('M111'!F15,"Aula 2")+COUNTIF('M112'!F15,"Aula 2"))&gt;0,1,0)+IF((COUNTIF('M211'!F15,"Aula 2")+COUNTIF('M212'!F15,"Aula 2"))&gt;0,1,0)+IF((COUNTIF('M311'!F15,"Aula 2"))&gt;0,1,0)+IF((COUNTIF('M411'!F15,"Aula 2"))&gt;0,1,0)+IF((COUNTIF('D111'!F15,"Aula 2")+COUNTIF('D112'!F15,"Aula 2"))&gt;0,1,0)+IF((COUNTIF('D211'!F15,"Aula 2"))&gt;0,1,0)+IF((COUNTIF('D311'!F15,"Aula 2"))&gt;0,1,0)+IF((COUNTIF('D411'!F15,"Aula 2"))&gt;0,1,0))=0,"",IF((IF((COUNTIF('C111'!F15,"Aula 2")+COUNTIF('C112'!F15,"Aula 2")+COUNTIF('C113'!F15,"Aula 2")+COUNTIF('C121'!F15,"Aula 2")+COUNTIF('C122'!F15,"Aula 2"))&gt;0,1,0)+IF((COUNTIF('C211'!F15,"Aula 2")+COUNTIF('C212'!F15,"Aula 2"))&gt;0,1,0)+IF((COUNTIF('C311'!F15,"Aula 2")+COUNTIF('C312'!F15,"Aula 2"))&gt;0,1,0)+IF((COUNTIF('C411'!F15,"Aula 2")+COUNTIF('C412'!F15,"Aula 2"))&gt;0,1,0)+IF((COUNTIF('M111'!F15,"Aula 2")+COUNTIF('M112'!F15,"Aula 2"))&gt;0,1,0)+IF((COUNTIF('M211'!F15,"Aula 2")+COUNTIF('M212'!F15,"Aula 2"))&gt;0,1,0)+IF((COUNTIF('M311'!F15,"Aula 2"))&gt;0,1,0)+IF((COUNTIF('M411'!F15,"Aula 2"))&gt;0,1,0)+IF((COUNTIF('D111'!F15,"Aula 2")+COUNTIF('D112'!F15,"Aula 2"))&gt;0,1,0)+IF((COUNTIF('D211'!F15,"Aula 2"))&gt;0,1,0)+IF((COUNTIF('D311'!F15,"Aula 2"))&gt;0,1,0)+IF((COUNTIF('D411'!F15,"Aula 2"))&gt;0,1,0))=1,IF((COUNTIF('C111'!F15,"Aula 2")+COUNTIF('C112'!F15,"Aula 2")+COUNTIF('C113'!F15,"Aula 2")+COUNTIF('C121'!F15,"Aula 2")+COUNTIF('C122'!F15,"Aula 2"))&gt;0,"C1",IF((COUNTIF('C211'!F15,"Aula 2")+COUNTIF('C212'!F15,"Aula 2"))&gt;0,"C2",IF((COUNTIF('C311'!F15,"Aula 2")+COUNTIF('C312'!F15,"Aula 2"))&gt;0,"C3",IF((COUNTIF('C411'!F15,"Aula 2")+COUNTIF('C412'!F15,"Aula 2"))&gt;0,"C4",IF((COUNTIF('M111'!F15,"Aula 2")+COUNTIF('M112'!F15,"Aula 2"))&gt;0,"M1",IF((COUNTIF('M211'!F15,"Aula 2")+COUNTIF('M212'!F15,"Aula 2"))&gt;0,"M2",IF((COUNTIF('M311'!F15,"Aula 2"))&gt;0,"M3",IF((COUNTIF('M411'!F15,"Aula 2"))&gt;0,"M4",IF((COUNTIF('D111'!F15,"Aula 2")+COUNTIF('D112'!F15,"Aula 2"))&gt;0,"D1",IF((COUNTIF('D211'!F15,"Aula 2"))&gt;0,"D2",IF((COUNTIF('D311'!F15,"Aula 2"))&gt;0,"D3",IF((COUNTIF('D411'!F15,"Aula 2"))&gt;0,"D4","")))))))))))),"MIX"))</f>
        <v/>
      </c>
    </row>
    <row r="438">
      <c r="C438">
        <f>IF((IF((COUNTIF('C111'!F15,"Aula 3")+COUNTIF('C112'!F15,"Aula 3")+COUNTIF('C113'!F15,"Aula 3")+COUNTIF('C121'!F15,"Aula 3")+COUNTIF('C122'!F15,"Aula 3"))&gt;0,1,0)+IF((COUNTIF('C211'!F15,"Aula 3")+COUNTIF('C212'!F15,"Aula 3"))&gt;0,1,0)+IF((COUNTIF('C311'!F15,"Aula 3")+COUNTIF('C312'!F15,"Aula 3"))&gt;0,1,0)+IF((COUNTIF('C411'!F15,"Aula 3")+COUNTIF('C412'!F15,"Aula 3"))&gt;0,1,0)+IF((COUNTIF('M111'!F15,"Aula 3")+COUNTIF('M112'!F15,"Aula 3"))&gt;0,1,0)+IF((COUNTIF('M211'!F15,"Aula 3")+COUNTIF('M212'!F15,"Aula 3"))&gt;0,1,0)+IF((COUNTIF('M311'!F15,"Aula 3"))&gt;0,1,0)+IF((COUNTIF('M411'!F15,"Aula 3"))&gt;0,1,0)+IF((COUNTIF('D111'!F15,"Aula 3")+COUNTIF('D112'!F15,"Aula 3"))&gt;0,1,0)+IF((COUNTIF('D211'!F15,"Aula 3"))&gt;0,1,0)+IF((COUNTIF('D311'!F15,"Aula 3"))&gt;0,1,0)+IF((COUNTIF('D411'!F15,"Aula 3"))&gt;0,1,0))=0,"",IF((IF((COUNTIF('C111'!F15,"Aula 3")+COUNTIF('C112'!F15,"Aula 3")+COUNTIF('C113'!F15,"Aula 3")+COUNTIF('C121'!F15,"Aula 3")+COUNTIF('C122'!F15,"Aula 3"))&gt;0,1,0)+IF((COUNTIF('C211'!F15,"Aula 3")+COUNTIF('C212'!F15,"Aula 3"))&gt;0,1,0)+IF((COUNTIF('C311'!F15,"Aula 3")+COUNTIF('C312'!F15,"Aula 3"))&gt;0,1,0)+IF((COUNTIF('C411'!F15,"Aula 3")+COUNTIF('C412'!F15,"Aula 3"))&gt;0,1,0)+IF((COUNTIF('M111'!F15,"Aula 3")+COUNTIF('M112'!F15,"Aula 3"))&gt;0,1,0)+IF((COUNTIF('M211'!F15,"Aula 3")+COUNTIF('M212'!F15,"Aula 3"))&gt;0,1,0)+IF((COUNTIF('M311'!F15,"Aula 3"))&gt;0,1,0)+IF((COUNTIF('M411'!F15,"Aula 3"))&gt;0,1,0)+IF((COUNTIF('D111'!F15,"Aula 3")+COUNTIF('D112'!F15,"Aula 3"))&gt;0,1,0)+IF((COUNTIF('D211'!F15,"Aula 3"))&gt;0,1,0)+IF((COUNTIF('D311'!F15,"Aula 3"))&gt;0,1,0)+IF((COUNTIF('D411'!F15,"Aula 3"))&gt;0,1,0))=1,IF((COUNTIF('C111'!F15,"Aula 3")+COUNTIF('C112'!F15,"Aula 3")+COUNTIF('C113'!F15,"Aula 3")+COUNTIF('C121'!F15,"Aula 3")+COUNTIF('C122'!F15,"Aula 3"))&gt;0,"C1",IF((COUNTIF('C211'!F15,"Aula 3")+COUNTIF('C212'!F15,"Aula 3"))&gt;0,"C2",IF((COUNTIF('C311'!F15,"Aula 3")+COUNTIF('C312'!F15,"Aula 3"))&gt;0,"C3",IF((COUNTIF('C411'!F15,"Aula 3")+COUNTIF('C412'!F15,"Aula 3"))&gt;0,"C4",IF((COUNTIF('M111'!F15,"Aula 3")+COUNTIF('M112'!F15,"Aula 3"))&gt;0,"M1",IF((COUNTIF('M211'!F15,"Aula 3")+COUNTIF('M212'!F15,"Aula 3"))&gt;0,"M2",IF((COUNTIF('M311'!F15,"Aula 3"))&gt;0,"M3",IF((COUNTIF('M411'!F15,"Aula 3"))&gt;0,"M4",IF((COUNTIF('D111'!F15,"Aula 3")+COUNTIF('D112'!F15,"Aula 3"))&gt;0,"D1",IF((COUNTIF('D211'!F15,"Aula 3"))&gt;0,"D2",IF((COUNTIF('D311'!F15,"Aula 3"))&gt;0,"D3",IF((COUNTIF('D411'!F15,"Aula 3"))&gt;0,"D4","")))))))))))),"MIX"))</f>
        <v/>
      </c>
    </row>
    <row r="439">
      <c r="C439">
        <f>IF((IF((COUNTIF('C111'!F15,"Aula 4")+COUNTIF('C112'!F15,"Aula 4")+COUNTIF('C113'!F15,"Aula 4")+COUNTIF('C121'!F15,"Aula 4")+COUNTIF('C122'!F15,"Aula 4"))&gt;0,1,0)+IF((COUNTIF('C211'!F15,"Aula 4")+COUNTIF('C212'!F15,"Aula 4"))&gt;0,1,0)+IF((COUNTIF('C311'!F15,"Aula 4")+COUNTIF('C312'!F15,"Aula 4"))&gt;0,1,0)+IF((COUNTIF('C411'!F15,"Aula 4")+COUNTIF('C412'!F15,"Aula 4"))&gt;0,1,0)+IF((COUNTIF('M111'!F15,"Aula 4")+COUNTIF('M112'!F15,"Aula 4"))&gt;0,1,0)+IF((COUNTIF('M211'!F15,"Aula 4")+COUNTIF('M212'!F15,"Aula 4"))&gt;0,1,0)+IF((COUNTIF('M311'!F15,"Aula 4"))&gt;0,1,0)+IF((COUNTIF('M411'!F15,"Aula 4"))&gt;0,1,0)+IF((COUNTIF('D111'!F15,"Aula 4")+COUNTIF('D112'!F15,"Aula 4"))&gt;0,1,0)+IF((COUNTIF('D211'!F15,"Aula 4"))&gt;0,1,0)+IF((COUNTIF('D311'!F15,"Aula 4"))&gt;0,1,0)+IF((COUNTIF('D411'!F15,"Aula 4"))&gt;0,1,0))=0,"",IF((IF((COUNTIF('C111'!F15,"Aula 4")+COUNTIF('C112'!F15,"Aula 4")+COUNTIF('C113'!F15,"Aula 4")+COUNTIF('C121'!F15,"Aula 4")+COUNTIF('C122'!F15,"Aula 4"))&gt;0,1,0)+IF((COUNTIF('C211'!F15,"Aula 4")+COUNTIF('C212'!F15,"Aula 4"))&gt;0,1,0)+IF((COUNTIF('C311'!F15,"Aula 4")+COUNTIF('C312'!F15,"Aula 4"))&gt;0,1,0)+IF((COUNTIF('C411'!F15,"Aula 4")+COUNTIF('C412'!F15,"Aula 4"))&gt;0,1,0)+IF((COUNTIF('M111'!F15,"Aula 4")+COUNTIF('M112'!F15,"Aula 4"))&gt;0,1,0)+IF((COUNTIF('M211'!F15,"Aula 4")+COUNTIF('M212'!F15,"Aula 4"))&gt;0,1,0)+IF((COUNTIF('M311'!F15,"Aula 4"))&gt;0,1,0)+IF((COUNTIF('M411'!F15,"Aula 4"))&gt;0,1,0)+IF((COUNTIF('D111'!F15,"Aula 4")+COUNTIF('D112'!F15,"Aula 4"))&gt;0,1,0)+IF((COUNTIF('D211'!F15,"Aula 4"))&gt;0,1,0)+IF((COUNTIF('D311'!F15,"Aula 4"))&gt;0,1,0)+IF((COUNTIF('D411'!F15,"Aula 4"))&gt;0,1,0))=1,IF((COUNTIF('C111'!F15,"Aula 4")+COUNTIF('C112'!F15,"Aula 4")+COUNTIF('C113'!F15,"Aula 4")+COUNTIF('C121'!F15,"Aula 4")+COUNTIF('C122'!F15,"Aula 4"))&gt;0,"C1",IF((COUNTIF('C211'!F15,"Aula 4")+COUNTIF('C212'!F15,"Aula 4"))&gt;0,"C2",IF((COUNTIF('C311'!F15,"Aula 4")+COUNTIF('C312'!F15,"Aula 4"))&gt;0,"C3",IF((COUNTIF('C411'!F15,"Aula 4")+COUNTIF('C412'!F15,"Aula 4"))&gt;0,"C4",IF((COUNTIF('M111'!F15,"Aula 4")+COUNTIF('M112'!F15,"Aula 4"))&gt;0,"M1",IF((COUNTIF('M211'!F15,"Aula 4")+COUNTIF('M212'!F15,"Aula 4"))&gt;0,"M2",IF((COUNTIF('M311'!F15,"Aula 4"))&gt;0,"M3",IF((COUNTIF('M411'!F15,"Aula 4"))&gt;0,"M4",IF((COUNTIF('D111'!F15,"Aula 4")+COUNTIF('D112'!F15,"Aula 4"))&gt;0,"D1",IF((COUNTIF('D211'!F15,"Aula 4"))&gt;0,"D2",IF((COUNTIF('D311'!F15,"Aula 4"))&gt;0,"D3",IF((COUNTIF('D411'!F15,"Aula 4"))&gt;0,"D4","")))))))))))),"MIX"))</f>
        <v/>
      </c>
    </row>
    <row r="440">
      <c r="C440">
        <f>IF((IF((COUNTIF('C111'!F15,"Aula 5")+COUNTIF('C112'!F15,"Aula 5")+COUNTIF('C113'!F15,"Aula 5")+COUNTIF('C121'!F15,"Aula 5")+COUNTIF('C122'!F15,"Aula 5"))&gt;0,1,0)+IF((COUNTIF('C211'!F15,"Aula 5")+COUNTIF('C212'!F15,"Aula 5"))&gt;0,1,0)+IF((COUNTIF('C311'!F15,"Aula 5")+COUNTIF('C312'!F15,"Aula 5"))&gt;0,1,0)+IF((COUNTIF('C411'!F15,"Aula 5")+COUNTIF('C412'!F15,"Aula 5"))&gt;0,1,0)+IF((COUNTIF('M111'!F15,"Aula 5")+COUNTIF('M112'!F15,"Aula 5"))&gt;0,1,0)+IF((COUNTIF('M211'!F15,"Aula 5")+COUNTIF('M212'!F15,"Aula 5"))&gt;0,1,0)+IF((COUNTIF('M311'!F15,"Aula 5"))&gt;0,1,0)+IF((COUNTIF('M411'!F15,"Aula 5"))&gt;0,1,0)+IF((COUNTIF('D111'!F15,"Aula 5")+COUNTIF('D112'!F15,"Aula 5"))&gt;0,1,0)+IF((COUNTIF('D211'!F15,"Aula 5"))&gt;0,1,0)+IF((COUNTIF('D311'!F15,"Aula 5"))&gt;0,1,0)+IF((COUNTIF('D411'!F15,"Aula 5"))&gt;0,1,0))=0,"",IF((IF((COUNTIF('C111'!F15,"Aula 5")+COUNTIF('C112'!F15,"Aula 5")+COUNTIF('C113'!F15,"Aula 5")+COUNTIF('C121'!F15,"Aula 5")+COUNTIF('C122'!F15,"Aula 5"))&gt;0,1,0)+IF((COUNTIF('C211'!F15,"Aula 5")+COUNTIF('C212'!F15,"Aula 5"))&gt;0,1,0)+IF((COUNTIF('C311'!F15,"Aula 5")+COUNTIF('C312'!F15,"Aula 5"))&gt;0,1,0)+IF((COUNTIF('C411'!F15,"Aula 5")+COUNTIF('C412'!F15,"Aula 5"))&gt;0,1,0)+IF((COUNTIF('M111'!F15,"Aula 5")+COUNTIF('M112'!F15,"Aula 5"))&gt;0,1,0)+IF((COUNTIF('M211'!F15,"Aula 5")+COUNTIF('M212'!F15,"Aula 5"))&gt;0,1,0)+IF((COUNTIF('M311'!F15,"Aula 5"))&gt;0,1,0)+IF((COUNTIF('M411'!F15,"Aula 5"))&gt;0,1,0)+IF((COUNTIF('D111'!F15,"Aula 5")+COUNTIF('D112'!F15,"Aula 5"))&gt;0,1,0)+IF((COUNTIF('D211'!F15,"Aula 5"))&gt;0,1,0)+IF((COUNTIF('D311'!F15,"Aula 5"))&gt;0,1,0)+IF((COUNTIF('D411'!F15,"Aula 5"))&gt;0,1,0))=1,IF((COUNTIF('C111'!F15,"Aula 5")+COUNTIF('C112'!F15,"Aula 5")+COUNTIF('C113'!F15,"Aula 5")+COUNTIF('C121'!F15,"Aula 5")+COUNTIF('C122'!F15,"Aula 5"))&gt;0,"C1",IF((COUNTIF('C211'!F15,"Aula 5")+COUNTIF('C212'!F15,"Aula 5"))&gt;0,"C2",IF((COUNTIF('C311'!F15,"Aula 5")+COUNTIF('C312'!F15,"Aula 5"))&gt;0,"C3",IF((COUNTIF('C411'!F15,"Aula 5")+COUNTIF('C412'!F15,"Aula 5"))&gt;0,"C4",IF((COUNTIF('M111'!F15,"Aula 5")+COUNTIF('M112'!F15,"Aula 5"))&gt;0,"M1",IF((COUNTIF('M211'!F15,"Aula 5")+COUNTIF('M212'!F15,"Aula 5"))&gt;0,"M2",IF((COUNTIF('M311'!F15,"Aula 5"))&gt;0,"M3",IF((COUNTIF('M411'!F15,"Aula 5"))&gt;0,"M4",IF((COUNTIF('D111'!F15,"Aula 5")+COUNTIF('D112'!F15,"Aula 5"))&gt;0,"D1",IF((COUNTIF('D211'!F15,"Aula 5"))&gt;0,"D2",IF((COUNTIF('D311'!F15,"Aula 5"))&gt;0,"D3",IF((COUNTIF('D411'!F15,"Aula 5"))&gt;0,"D4","")))))))))))),"MIX"))</f>
        <v/>
      </c>
    </row>
    <row r="441">
      <c r="C441">
        <f>IF((IF((COUNTIF('C111'!F15,"Aula 6")+COUNTIF('C112'!F15,"Aula 6")+COUNTIF('C113'!F15,"Aula 6")+COUNTIF('C121'!F15,"Aula 6")+COUNTIF('C122'!F15,"Aula 6"))&gt;0,1,0)+IF((COUNTIF('C211'!F15,"Aula 6")+COUNTIF('C212'!F15,"Aula 6"))&gt;0,1,0)+IF((COUNTIF('C311'!F15,"Aula 6")+COUNTIF('C312'!F15,"Aula 6"))&gt;0,1,0)+IF((COUNTIF('C411'!F15,"Aula 6")+COUNTIF('C412'!F15,"Aula 6"))&gt;0,1,0)+IF((COUNTIF('M111'!F15,"Aula 6")+COUNTIF('M112'!F15,"Aula 6"))&gt;0,1,0)+IF((COUNTIF('M211'!F15,"Aula 6")+COUNTIF('M212'!F15,"Aula 6"))&gt;0,1,0)+IF((COUNTIF('M311'!F15,"Aula 6"))&gt;0,1,0)+IF((COUNTIF('M411'!F15,"Aula 6"))&gt;0,1,0)+IF((COUNTIF('D111'!F15,"Aula 6")+COUNTIF('D112'!F15,"Aula 6"))&gt;0,1,0)+IF((COUNTIF('D211'!F15,"Aula 6"))&gt;0,1,0)+IF((COUNTIF('D311'!F15,"Aula 6"))&gt;0,1,0)+IF((COUNTIF('D411'!F15,"Aula 6"))&gt;0,1,0))=0,"",IF((IF((COUNTIF('C111'!F15,"Aula 6")+COUNTIF('C112'!F15,"Aula 6")+COUNTIF('C113'!F15,"Aula 6")+COUNTIF('C121'!F15,"Aula 6")+COUNTIF('C122'!F15,"Aula 6"))&gt;0,1,0)+IF((COUNTIF('C211'!F15,"Aula 6")+COUNTIF('C212'!F15,"Aula 6"))&gt;0,1,0)+IF((COUNTIF('C311'!F15,"Aula 6")+COUNTIF('C312'!F15,"Aula 6"))&gt;0,1,0)+IF((COUNTIF('C411'!F15,"Aula 6")+COUNTIF('C412'!F15,"Aula 6"))&gt;0,1,0)+IF((COUNTIF('M111'!F15,"Aula 6")+COUNTIF('M112'!F15,"Aula 6"))&gt;0,1,0)+IF((COUNTIF('M211'!F15,"Aula 6")+COUNTIF('M212'!F15,"Aula 6"))&gt;0,1,0)+IF((COUNTIF('M311'!F15,"Aula 6"))&gt;0,1,0)+IF((COUNTIF('M411'!F15,"Aula 6"))&gt;0,1,0)+IF((COUNTIF('D111'!F15,"Aula 6")+COUNTIF('D112'!F15,"Aula 6"))&gt;0,1,0)+IF((COUNTIF('D211'!F15,"Aula 6"))&gt;0,1,0)+IF((COUNTIF('D311'!F15,"Aula 6"))&gt;0,1,0)+IF((COUNTIF('D411'!F15,"Aula 6"))&gt;0,1,0))=1,IF((COUNTIF('C111'!F15,"Aula 6")+COUNTIF('C112'!F15,"Aula 6")+COUNTIF('C113'!F15,"Aula 6")+COUNTIF('C121'!F15,"Aula 6")+COUNTIF('C122'!F15,"Aula 6"))&gt;0,"C1",IF((COUNTIF('C211'!F15,"Aula 6")+COUNTIF('C212'!F15,"Aula 6"))&gt;0,"C2",IF((COUNTIF('C311'!F15,"Aula 6")+COUNTIF('C312'!F15,"Aula 6"))&gt;0,"C3",IF((COUNTIF('C411'!F15,"Aula 6")+COUNTIF('C412'!F15,"Aula 6"))&gt;0,"C4",IF((COUNTIF('M111'!F15,"Aula 6")+COUNTIF('M112'!F15,"Aula 6"))&gt;0,"M1",IF((COUNTIF('M211'!F15,"Aula 6")+COUNTIF('M212'!F15,"Aula 6"))&gt;0,"M2",IF((COUNTIF('M311'!F15,"Aula 6"))&gt;0,"M3",IF((COUNTIF('M411'!F15,"Aula 6"))&gt;0,"M4",IF((COUNTIF('D111'!F15,"Aula 6")+COUNTIF('D112'!F15,"Aula 6"))&gt;0,"D1",IF((COUNTIF('D211'!F15,"Aula 6"))&gt;0,"D2",IF((COUNTIF('D311'!F15,"Aula 6"))&gt;0,"D3",IF((COUNTIF('D411'!F15,"Aula 6"))&gt;0,"D4","")))))))))))),"MIX"))</f>
        <v/>
      </c>
    </row>
    <row r="442">
      <c r="C442">
        <f>IF((IF((COUNTIF('C111'!F15,"Aula 7")+COUNTIF('C112'!F15,"Aula 7")+COUNTIF('C113'!F15,"Aula 7")+COUNTIF('C121'!F15,"Aula 7")+COUNTIF('C122'!F15,"Aula 7"))&gt;0,1,0)+IF((COUNTIF('C211'!F15,"Aula 7")+COUNTIF('C212'!F15,"Aula 7"))&gt;0,1,0)+IF((COUNTIF('C311'!F15,"Aula 7")+COUNTIF('C312'!F15,"Aula 7"))&gt;0,1,0)+IF((COUNTIF('C411'!F15,"Aula 7")+COUNTIF('C412'!F15,"Aula 7"))&gt;0,1,0)+IF((COUNTIF('M111'!F15,"Aula 7")+COUNTIF('M112'!F15,"Aula 7"))&gt;0,1,0)+IF((COUNTIF('M211'!F15,"Aula 7")+COUNTIF('M212'!F15,"Aula 7"))&gt;0,1,0)+IF((COUNTIF('M311'!F15,"Aula 7"))&gt;0,1,0)+IF((COUNTIF('M411'!F15,"Aula 7"))&gt;0,1,0)+IF((COUNTIF('D111'!F15,"Aula 7")+COUNTIF('D112'!F15,"Aula 7"))&gt;0,1,0)+IF((COUNTIF('D211'!F15,"Aula 7"))&gt;0,1,0)+IF((COUNTIF('D311'!F15,"Aula 7"))&gt;0,1,0)+IF((COUNTIF('D411'!F15,"Aula 7"))&gt;0,1,0))=0,"",IF((IF((COUNTIF('C111'!F15,"Aula 7")+COUNTIF('C112'!F15,"Aula 7")+COUNTIF('C113'!F15,"Aula 7")+COUNTIF('C121'!F15,"Aula 7")+COUNTIF('C122'!F15,"Aula 7"))&gt;0,1,0)+IF((COUNTIF('C211'!F15,"Aula 7")+COUNTIF('C212'!F15,"Aula 7"))&gt;0,1,0)+IF((COUNTIF('C311'!F15,"Aula 7")+COUNTIF('C312'!F15,"Aula 7"))&gt;0,1,0)+IF((COUNTIF('C411'!F15,"Aula 7")+COUNTIF('C412'!F15,"Aula 7"))&gt;0,1,0)+IF((COUNTIF('M111'!F15,"Aula 7")+COUNTIF('M112'!F15,"Aula 7"))&gt;0,1,0)+IF((COUNTIF('M211'!F15,"Aula 7")+COUNTIF('M212'!F15,"Aula 7"))&gt;0,1,0)+IF((COUNTIF('M311'!F15,"Aula 7"))&gt;0,1,0)+IF((COUNTIF('M411'!F15,"Aula 7"))&gt;0,1,0)+IF((COUNTIF('D111'!F15,"Aula 7")+COUNTIF('D112'!F15,"Aula 7"))&gt;0,1,0)+IF((COUNTIF('D211'!F15,"Aula 7"))&gt;0,1,0)+IF((COUNTIF('D311'!F15,"Aula 7"))&gt;0,1,0)+IF((COUNTIF('D411'!F15,"Aula 7"))&gt;0,1,0))=1,IF((COUNTIF('C111'!F15,"Aula 7")+COUNTIF('C112'!F15,"Aula 7")+COUNTIF('C113'!F15,"Aula 7")+COUNTIF('C121'!F15,"Aula 7")+COUNTIF('C122'!F15,"Aula 7"))&gt;0,"C1",IF((COUNTIF('C211'!F15,"Aula 7")+COUNTIF('C212'!F15,"Aula 7"))&gt;0,"C2",IF((COUNTIF('C311'!F15,"Aula 7")+COUNTIF('C312'!F15,"Aula 7"))&gt;0,"C3",IF((COUNTIF('C411'!F15,"Aula 7")+COUNTIF('C412'!F15,"Aula 7"))&gt;0,"C4",IF((COUNTIF('M111'!F15,"Aula 7")+COUNTIF('M112'!F15,"Aula 7"))&gt;0,"M1",IF((COUNTIF('M211'!F15,"Aula 7")+COUNTIF('M212'!F15,"Aula 7"))&gt;0,"M2",IF((COUNTIF('M311'!F15,"Aula 7"))&gt;0,"M3",IF((COUNTIF('M411'!F15,"Aula 7"))&gt;0,"M4",IF((COUNTIF('D111'!F15,"Aula 7")+COUNTIF('D112'!F15,"Aula 7"))&gt;0,"D1",IF((COUNTIF('D211'!F15,"Aula 7"))&gt;0,"D2",IF((COUNTIF('D311'!F15,"Aula 7"))&gt;0,"D3",IF((COUNTIF('D411'!F15,"Aula 7"))&gt;0,"D4","")))))))))))),"MIX"))</f>
        <v/>
      </c>
    </row>
    <row r="443">
      <c r="C443">
        <f>IF((IF((COUNTIF('C111'!F15,"Aula 8")+COUNTIF('C112'!F15,"Aula 8")+COUNTIF('C113'!F15,"Aula 8")+COUNTIF('C121'!F15,"Aula 8")+COUNTIF('C122'!F15,"Aula 8"))&gt;0,1,0)+IF((COUNTIF('C211'!F15,"Aula 8")+COUNTIF('C212'!F15,"Aula 8"))&gt;0,1,0)+IF((COUNTIF('C311'!F15,"Aula 8")+COUNTIF('C312'!F15,"Aula 8"))&gt;0,1,0)+IF((COUNTIF('C411'!F15,"Aula 8")+COUNTIF('C412'!F15,"Aula 8"))&gt;0,1,0)+IF((COUNTIF('M111'!F15,"Aula 8")+COUNTIF('M112'!F15,"Aula 8"))&gt;0,1,0)+IF((COUNTIF('M211'!F15,"Aula 8")+COUNTIF('M212'!F15,"Aula 8"))&gt;0,1,0)+IF((COUNTIF('M311'!F15,"Aula 8"))&gt;0,1,0)+IF((COUNTIF('M411'!F15,"Aula 8"))&gt;0,1,0)+IF((COUNTIF('D111'!F15,"Aula 8")+COUNTIF('D112'!F15,"Aula 8"))&gt;0,1,0)+IF((COUNTIF('D211'!F15,"Aula 8"))&gt;0,1,0)+IF((COUNTIF('D311'!F15,"Aula 8"))&gt;0,1,0)+IF((COUNTIF('D411'!F15,"Aula 8"))&gt;0,1,0))=0,"",IF((IF((COUNTIF('C111'!F15,"Aula 8")+COUNTIF('C112'!F15,"Aula 8")+COUNTIF('C113'!F15,"Aula 8")+COUNTIF('C121'!F15,"Aula 8")+COUNTIF('C122'!F15,"Aula 8"))&gt;0,1,0)+IF((COUNTIF('C211'!F15,"Aula 8")+COUNTIF('C212'!F15,"Aula 8"))&gt;0,1,0)+IF((COUNTIF('C311'!F15,"Aula 8")+COUNTIF('C312'!F15,"Aula 8"))&gt;0,1,0)+IF((COUNTIF('C411'!F15,"Aula 8")+COUNTIF('C412'!F15,"Aula 8"))&gt;0,1,0)+IF((COUNTIF('M111'!F15,"Aula 8")+COUNTIF('M112'!F15,"Aula 8"))&gt;0,1,0)+IF((COUNTIF('M211'!F15,"Aula 8")+COUNTIF('M212'!F15,"Aula 8"))&gt;0,1,0)+IF((COUNTIF('M311'!F15,"Aula 8"))&gt;0,1,0)+IF((COUNTIF('M411'!F15,"Aula 8"))&gt;0,1,0)+IF((COUNTIF('D111'!F15,"Aula 8")+COUNTIF('D112'!F15,"Aula 8"))&gt;0,1,0)+IF((COUNTIF('D211'!F15,"Aula 8"))&gt;0,1,0)+IF((COUNTIF('D311'!F15,"Aula 8"))&gt;0,1,0)+IF((COUNTIF('D411'!F15,"Aula 8"))&gt;0,1,0))=1,IF((COUNTIF('C111'!F15,"Aula 8")+COUNTIF('C112'!F15,"Aula 8")+COUNTIF('C113'!F15,"Aula 8")+COUNTIF('C121'!F15,"Aula 8")+COUNTIF('C122'!F15,"Aula 8"))&gt;0,"C1",IF((COUNTIF('C211'!F15,"Aula 8")+COUNTIF('C212'!F15,"Aula 8"))&gt;0,"C2",IF((COUNTIF('C311'!F15,"Aula 8")+COUNTIF('C312'!F15,"Aula 8"))&gt;0,"C3",IF((COUNTIF('C411'!F15,"Aula 8")+COUNTIF('C412'!F15,"Aula 8"))&gt;0,"C4",IF((COUNTIF('M111'!F15,"Aula 8")+COUNTIF('M112'!F15,"Aula 8"))&gt;0,"M1",IF((COUNTIF('M211'!F15,"Aula 8")+COUNTIF('M212'!F15,"Aula 8"))&gt;0,"M2",IF((COUNTIF('M311'!F15,"Aula 8"))&gt;0,"M3",IF((COUNTIF('M411'!F15,"Aula 8"))&gt;0,"M4",IF((COUNTIF('D111'!F15,"Aula 8")+COUNTIF('D112'!F15,"Aula 8"))&gt;0,"D1",IF((COUNTIF('D211'!F15,"Aula 8"))&gt;0,"D2",IF((COUNTIF('D311'!F15,"Aula 8"))&gt;0,"D3",IF((COUNTIF('D411'!F15,"Aula 8"))&gt;0,"D4","")))))))))))),"MIX"))</f>
        <v/>
      </c>
    </row>
    <row r="444">
      <c r="C444">
        <f>IF((IF((COUNTIF('C111'!F15,"Aula 9")+COUNTIF('C112'!F15,"Aula 9")+COUNTIF('C113'!F15,"Aula 9")+COUNTIF('C121'!F15,"Aula 9")+COUNTIF('C122'!F15,"Aula 9"))&gt;0,1,0)+IF((COUNTIF('C211'!F15,"Aula 9")+COUNTIF('C212'!F15,"Aula 9"))&gt;0,1,0)+IF((COUNTIF('C311'!F15,"Aula 9")+COUNTIF('C312'!F15,"Aula 9"))&gt;0,1,0)+IF((COUNTIF('C411'!F15,"Aula 9")+COUNTIF('C412'!F15,"Aula 9"))&gt;0,1,0)+IF((COUNTIF('M111'!F15,"Aula 9")+COUNTIF('M112'!F15,"Aula 9"))&gt;0,1,0)+IF((COUNTIF('M211'!F15,"Aula 9")+COUNTIF('M212'!F15,"Aula 9"))&gt;0,1,0)+IF((COUNTIF('M311'!F15,"Aula 9"))&gt;0,1,0)+IF((COUNTIF('M411'!F15,"Aula 9"))&gt;0,1,0)+IF((COUNTIF('D111'!F15,"Aula 9")+COUNTIF('D112'!F15,"Aula 9"))&gt;0,1,0)+IF((COUNTIF('D211'!F15,"Aula 9"))&gt;0,1,0)+IF((COUNTIF('D311'!F15,"Aula 9"))&gt;0,1,0)+IF((COUNTIF('D411'!F15,"Aula 9"))&gt;0,1,0))=0,"",IF((IF((COUNTIF('C111'!F15,"Aula 9")+COUNTIF('C112'!F15,"Aula 9")+COUNTIF('C113'!F15,"Aula 9")+COUNTIF('C121'!F15,"Aula 9")+COUNTIF('C122'!F15,"Aula 9"))&gt;0,1,0)+IF((COUNTIF('C211'!F15,"Aula 9")+COUNTIF('C212'!F15,"Aula 9"))&gt;0,1,0)+IF((COUNTIF('C311'!F15,"Aula 9")+COUNTIF('C312'!F15,"Aula 9"))&gt;0,1,0)+IF((COUNTIF('C411'!F15,"Aula 9")+COUNTIF('C412'!F15,"Aula 9"))&gt;0,1,0)+IF((COUNTIF('M111'!F15,"Aula 9")+COUNTIF('M112'!F15,"Aula 9"))&gt;0,1,0)+IF((COUNTIF('M211'!F15,"Aula 9")+COUNTIF('M212'!F15,"Aula 9"))&gt;0,1,0)+IF((COUNTIF('M311'!F15,"Aula 9"))&gt;0,1,0)+IF((COUNTIF('M411'!F15,"Aula 9"))&gt;0,1,0)+IF((COUNTIF('D111'!F15,"Aula 9")+COUNTIF('D112'!F15,"Aula 9"))&gt;0,1,0)+IF((COUNTIF('D211'!F15,"Aula 9"))&gt;0,1,0)+IF((COUNTIF('D311'!F15,"Aula 9"))&gt;0,1,0)+IF((COUNTIF('D411'!F15,"Aula 9"))&gt;0,1,0))=1,IF((COUNTIF('C111'!F15,"Aula 9")+COUNTIF('C112'!F15,"Aula 9")+COUNTIF('C113'!F15,"Aula 9")+COUNTIF('C121'!F15,"Aula 9")+COUNTIF('C122'!F15,"Aula 9"))&gt;0,"C1",IF((COUNTIF('C211'!F15,"Aula 9")+COUNTIF('C212'!F15,"Aula 9"))&gt;0,"C2",IF((COUNTIF('C311'!F15,"Aula 9")+COUNTIF('C312'!F15,"Aula 9"))&gt;0,"C3",IF((COUNTIF('C411'!F15,"Aula 9")+COUNTIF('C412'!F15,"Aula 9"))&gt;0,"C4",IF((COUNTIF('M111'!F15,"Aula 9")+COUNTIF('M112'!F15,"Aula 9"))&gt;0,"M1",IF((COUNTIF('M211'!F15,"Aula 9")+COUNTIF('M212'!F15,"Aula 9"))&gt;0,"M2",IF((COUNTIF('M311'!F15,"Aula 9"))&gt;0,"M3",IF((COUNTIF('M411'!F15,"Aula 9"))&gt;0,"M4",IF((COUNTIF('D111'!F15,"Aula 9")+COUNTIF('D112'!F15,"Aula 9"))&gt;0,"D1",IF((COUNTIF('D211'!F15,"Aula 9"))&gt;0,"D2",IF((COUNTIF('D311'!F15,"Aula 9"))&gt;0,"D3",IF((COUNTIF('D411'!F15,"Aula 9"))&gt;0,"D4","")))))))))))),"MIX"))</f>
        <v/>
      </c>
    </row>
    <row r="445">
      <c r="C445">
        <f>IF((IF((COUNTIF('C111'!F15,"Aula 10")+COUNTIF('C112'!F15,"Aula 10")+COUNTIF('C113'!F15,"Aula 10")+COUNTIF('C121'!F15,"Aula 10")+COUNTIF('C122'!F15,"Aula 10"))&gt;0,1,0)+IF((COUNTIF('C211'!F15,"Aula 10")+COUNTIF('C212'!F15,"Aula 10"))&gt;0,1,0)+IF((COUNTIF('C311'!F15,"Aula 10")+COUNTIF('C312'!F15,"Aula 10"))&gt;0,1,0)+IF((COUNTIF('C411'!F15,"Aula 10")+COUNTIF('C412'!F15,"Aula 10"))&gt;0,1,0)+IF((COUNTIF('M111'!F15,"Aula 10")+COUNTIF('M112'!F15,"Aula 10"))&gt;0,1,0)+IF((COUNTIF('M211'!F15,"Aula 10")+COUNTIF('M212'!F15,"Aula 10"))&gt;0,1,0)+IF((COUNTIF('M311'!F15,"Aula 10"))&gt;0,1,0)+IF((COUNTIF('M411'!F15,"Aula 10"))&gt;0,1,0)+IF((COUNTIF('D111'!F15,"Aula 10")+COUNTIF('D112'!F15,"Aula 10"))&gt;0,1,0)+IF((COUNTIF('D211'!F15,"Aula 10"))&gt;0,1,0)+IF((COUNTIF('D311'!F15,"Aula 10"))&gt;0,1,0)+IF((COUNTIF('D411'!F15,"Aula 10"))&gt;0,1,0))=0,"",IF((IF((COUNTIF('C111'!F15,"Aula 10")+COUNTIF('C112'!F15,"Aula 10")+COUNTIF('C113'!F15,"Aula 10")+COUNTIF('C121'!F15,"Aula 10")+COUNTIF('C122'!F15,"Aula 10"))&gt;0,1,0)+IF((COUNTIF('C211'!F15,"Aula 10")+COUNTIF('C212'!F15,"Aula 10"))&gt;0,1,0)+IF((COUNTIF('C311'!F15,"Aula 10")+COUNTIF('C312'!F15,"Aula 10"))&gt;0,1,0)+IF((COUNTIF('C411'!F15,"Aula 10")+COUNTIF('C412'!F15,"Aula 10"))&gt;0,1,0)+IF((COUNTIF('M111'!F15,"Aula 10")+COUNTIF('M112'!F15,"Aula 10"))&gt;0,1,0)+IF((COUNTIF('M211'!F15,"Aula 10")+COUNTIF('M212'!F15,"Aula 10"))&gt;0,1,0)+IF((COUNTIF('M311'!F15,"Aula 10"))&gt;0,1,0)+IF((COUNTIF('M411'!F15,"Aula 10"))&gt;0,1,0)+IF((COUNTIF('D111'!F15,"Aula 10")+COUNTIF('D112'!F15,"Aula 10"))&gt;0,1,0)+IF((COUNTIF('D211'!F15,"Aula 10"))&gt;0,1,0)+IF((COUNTIF('D311'!F15,"Aula 10"))&gt;0,1,0)+IF((COUNTIF('D411'!F15,"Aula 10"))&gt;0,1,0))=1,IF((COUNTIF('C111'!F15,"Aula 10")+COUNTIF('C112'!F15,"Aula 10")+COUNTIF('C113'!F15,"Aula 10")+COUNTIF('C121'!F15,"Aula 10")+COUNTIF('C122'!F15,"Aula 10"))&gt;0,"C1",IF((COUNTIF('C211'!F15,"Aula 10")+COUNTIF('C212'!F15,"Aula 10"))&gt;0,"C2",IF((COUNTIF('C311'!F15,"Aula 10")+COUNTIF('C312'!F15,"Aula 10"))&gt;0,"C3",IF((COUNTIF('C411'!F15,"Aula 10")+COUNTIF('C412'!F15,"Aula 10"))&gt;0,"C4",IF((COUNTIF('M111'!F15,"Aula 10")+COUNTIF('M112'!F15,"Aula 10"))&gt;0,"M1",IF((COUNTIF('M211'!F15,"Aula 10")+COUNTIF('M212'!F15,"Aula 10"))&gt;0,"M2",IF((COUNTIF('M311'!F15,"Aula 10"))&gt;0,"M3",IF((COUNTIF('M411'!F15,"Aula 10"))&gt;0,"M4",IF((COUNTIF('D111'!F15,"Aula 10")+COUNTIF('D112'!F15,"Aula 10"))&gt;0,"D1",IF((COUNTIF('D211'!F15,"Aula 10"))&gt;0,"D2",IF((COUNTIF('D311'!F15,"Aula 10"))&gt;0,"D3",IF((COUNTIF('D411'!F15,"Aula 10"))&gt;0,"D4","")))))))))))),"MIX"))</f>
        <v/>
      </c>
    </row>
    <row r="446">
      <c r="C446">
        <f>IF((IF((COUNTIF('C111'!F15,"Aula 11")+COUNTIF('C112'!F15,"Aula 11")+COUNTIF('C113'!F15,"Aula 11")+COUNTIF('C121'!F15,"Aula 11")+COUNTIF('C122'!F15,"Aula 11"))&gt;0,1,0)+IF((COUNTIF('C211'!F15,"Aula 11")+COUNTIF('C212'!F15,"Aula 11"))&gt;0,1,0)+IF((COUNTIF('C311'!F15,"Aula 11")+COUNTIF('C312'!F15,"Aula 11"))&gt;0,1,0)+IF((COUNTIF('C411'!F15,"Aula 11")+COUNTIF('C412'!F15,"Aula 11"))&gt;0,1,0)+IF((COUNTIF('M111'!F15,"Aula 11")+COUNTIF('M112'!F15,"Aula 11"))&gt;0,1,0)+IF((COUNTIF('M211'!F15,"Aula 11")+COUNTIF('M212'!F15,"Aula 11"))&gt;0,1,0)+IF((COUNTIF('M311'!F15,"Aula 11"))&gt;0,1,0)+IF((COUNTIF('M411'!F15,"Aula 11"))&gt;0,1,0)+IF((COUNTIF('D111'!F15,"Aula 11")+COUNTIF('D112'!F15,"Aula 11"))&gt;0,1,0)+IF((COUNTIF('D211'!F15,"Aula 11"))&gt;0,1,0)+IF((COUNTIF('D311'!F15,"Aula 11"))&gt;0,1,0)+IF((COUNTIF('D411'!F15,"Aula 11"))&gt;0,1,0))=0,"",IF((IF((COUNTIF('C111'!F15,"Aula 11")+COUNTIF('C112'!F15,"Aula 11")+COUNTIF('C113'!F15,"Aula 11")+COUNTIF('C121'!F15,"Aula 11")+COUNTIF('C122'!F15,"Aula 11"))&gt;0,1,0)+IF((COUNTIF('C211'!F15,"Aula 11")+COUNTIF('C212'!F15,"Aula 11"))&gt;0,1,0)+IF((COUNTIF('C311'!F15,"Aula 11")+COUNTIF('C312'!F15,"Aula 11"))&gt;0,1,0)+IF((COUNTIF('C411'!F15,"Aula 11")+COUNTIF('C412'!F15,"Aula 11"))&gt;0,1,0)+IF((COUNTIF('M111'!F15,"Aula 11")+COUNTIF('M112'!F15,"Aula 11"))&gt;0,1,0)+IF((COUNTIF('M211'!F15,"Aula 11")+COUNTIF('M212'!F15,"Aula 11"))&gt;0,1,0)+IF((COUNTIF('M311'!F15,"Aula 11"))&gt;0,1,0)+IF((COUNTIF('M411'!F15,"Aula 11"))&gt;0,1,0)+IF((COUNTIF('D111'!F15,"Aula 11")+COUNTIF('D112'!F15,"Aula 11"))&gt;0,1,0)+IF((COUNTIF('D211'!F15,"Aula 11"))&gt;0,1,0)+IF((COUNTIF('D311'!F15,"Aula 11"))&gt;0,1,0)+IF((COUNTIF('D411'!F15,"Aula 11"))&gt;0,1,0))=1,IF((COUNTIF('C111'!F15,"Aula 11")+COUNTIF('C112'!F15,"Aula 11")+COUNTIF('C113'!F15,"Aula 11")+COUNTIF('C121'!F15,"Aula 11")+COUNTIF('C122'!F15,"Aula 11"))&gt;0,"C1",IF((COUNTIF('C211'!F15,"Aula 11")+COUNTIF('C212'!F15,"Aula 11"))&gt;0,"C2",IF((COUNTIF('C311'!F15,"Aula 11")+COUNTIF('C312'!F15,"Aula 11"))&gt;0,"C3",IF((COUNTIF('C411'!F15,"Aula 11")+COUNTIF('C412'!F15,"Aula 11"))&gt;0,"C4",IF((COUNTIF('M111'!F15,"Aula 11")+COUNTIF('M112'!F15,"Aula 11"))&gt;0,"M1",IF((COUNTIF('M211'!F15,"Aula 11")+COUNTIF('M212'!F15,"Aula 11"))&gt;0,"M2",IF((COUNTIF('M311'!F15,"Aula 11"))&gt;0,"M3",IF((COUNTIF('M411'!F15,"Aula 11"))&gt;0,"M4",IF((COUNTIF('D111'!F15,"Aula 11")+COUNTIF('D112'!F15,"Aula 11"))&gt;0,"D1",IF((COUNTIF('D211'!F15,"Aula 11"))&gt;0,"D2",IF((COUNTIF('D311'!F15,"Aula 11"))&gt;0,"D3",IF((COUNTIF('D411'!F15,"Aula 11"))&gt;0,"D4","")))))))))))),"MIX"))</f>
        <v/>
      </c>
    </row>
    <row r="447">
      <c r="C447">
        <f>IF((IF((COUNTIF('C111'!F15,"Aula 12")+COUNTIF('C112'!F15,"Aula 12")+COUNTIF('C113'!F15,"Aula 12")+COUNTIF('C121'!F15,"Aula 12")+COUNTIF('C122'!F15,"Aula 12"))&gt;0,1,0)+IF((COUNTIF('C211'!F15,"Aula 12")+COUNTIF('C212'!F15,"Aula 12"))&gt;0,1,0)+IF((COUNTIF('C311'!F15,"Aula 12")+COUNTIF('C312'!F15,"Aula 12"))&gt;0,1,0)+IF((COUNTIF('C411'!F15,"Aula 12")+COUNTIF('C412'!F15,"Aula 12"))&gt;0,1,0)+IF((COUNTIF('M111'!F15,"Aula 12")+COUNTIF('M112'!F15,"Aula 12"))&gt;0,1,0)+IF((COUNTIF('M211'!F15,"Aula 12")+COUNTIF('M212'!F15,"Aula 12"))&gt;0,1,0)+IF((COUNTIF('M311'!F15,"Aula 12"))&gt;0,1,0)+IF((COUNTIF('M411'!F15,"Aula 12"))&gt;0,1,0)+IF((COUNTIF('D111'!F15,"Aula 12")+COUNTIF('D112'!F15,"Aula 12"))&gt;0,1,0)+IF((COUNTIF('D211'!F15,"Aula 12"))&gt;0,1,0)+IF((COUNTIF('D311'!F15,"Aula 12"))&gt;0,1,0)+IF((COUNTIF('D411'!F15,"Aula 12"))&gt;0,1,0))=0,"",IF((IF((COUNTIF('C111'!F15,"Aula 12")+COUNTIF('C112'!F15,"Aula 12")+COUNTIF('C113'!F15,"Aula 12")+COUNTIF('C121'!F15,"Aula 12")+COUNTIF('C122'!F15,"Aula 12"))&gt;0,1,0)+IF((COUNTIF('C211'!F15,"Aula 12")+COUNTIF('C212'!F15,"Aula 12"))&gt;0,1,0)+IF((COUNTIF('C311'!F15,"Aula 12")+COUNTIF('C312'!F15,"Aula 12"))&gt;0,1,0)+IF((COUNTIF('C411'!F15,"Aula 12")+COUNTIF('C412'!F15,"Aula 12"))&gt;0,1,0)+IF((COUNTIF('M111'!F15,"Aula 12")+COUNTIF('M112'!F15,"Aula 12"))&gt;0,1,0)+IF((COUNTIF('M211'!F15,"Aula 12")+COUNTIF('M212'!F15,"Aula 12"))&gt;0,1,0)+IF((COUNTIF('M311'!F15,"Aula 12"))&gt;0,1,0)+IF((COUNTIF('M411'!F15,"Aula 12"))&gt;0,1,0)+IF((COUNTIF('D111'!F15,"Aula 12")+COUNTIF('D112'!F15,"Aula 12"))&gt;0,1,0)+IF((COUNTIF('D211'!F15,"Aula 12"))&gt;0,1,0)+IF((COUNTIF('D311'!F15,"Aula 12"))&gt;0,1,0)+IF((COUNTIF('D411'!F15,"Aula 12"))&gt;0,1,0))=1,IF((COUNTIF('C111'!F15,"Aula 12")+COUNTIF('C112'!F15,"Aula 12")+COUNTIF('C113'!F15,"Aula 12")+COUNTIF('C121'!F15,"Aula 12")+COUNTIF('C122'!F15,"Aula 12"))&gt;0,"C1",IF((COUNTIF('C211'!F15,"Aula 12")+COUNTIF('C212'!F15,"Aula 12"))&gt;0,"C2",IF((COUNTIF('C311'!F15,"Aula 12")+COUNTIF('C312'!F15,"Aula 12"))&gt;0,"C3",IF((COUNTIF('C411'!F15,"Aula 12")+COUNTIF('C412'!F15,"Aula 12"))&gt;0,"C4",IF((COUNTIF('M111'!F15,"Aula 12")+COUNTIF('M112'!F15,"Aula 12"))&gt;0,"M1",IF((COUNTIF('M211'!F15,"Aula 12")+COUNTIF('M212'!F15,"Aula 12"))&gt;0,"M2",IF((COUNTIF('M311'!F15,"Aula 12"))&gt;0,"M3",IF((COUNTIF('M411'!F15,"Aula 12"))&gt;0,"M4",IF((COUNTIF('D111'!F15,"Aula 12")+COUNTIF('D112'!F15,"Aula 12"))&gt;0,"D1",IF((COUNTIF('D211'!F15,"Aula 12"))&gt;0,"D2",IF((COUNTIF('D311'!F15,"Aula 12"))&gt;0,"D3",IF((COUNTIF('D411'!F15,"Aula 12"))&gt;0,"D4","")))))))))))),"MIX"))</f>
        <v/>
      </c>
    </row>
    <row r="448">
      <c r="C448">
        <f>IF((IF((COUNTIF('C111'!F15,"Lab 1")+COUNTIF('C112'!F15,"Lab 1")+COUNTIF('C113'!F15,"Lab 1")+COUNTIF('C121'!F15,"Lab 1")+COUNTIF('C122'!F15,"Lab 1"))&gt;0,1,0)+IF((COUNTIF('C211'!F15,"Lab 1")+COUNTIF('C212'!F15,"Lab 1"))&gt;0,1,0)+IF((COUNTIF('C311'!F15,"Lab 1")+COUNTIF('C312'!F15,"Lab 1"))&gt;0,1,0)+IF((COUNTIF('C411'!F15,"Lab 1")+COUNTIF('C412'!F15,"Lab 1"))&gt;0,1,0)+IF((COUNTIF('M111'!F15,"Lab 1")+COUNTIF('M112'!F15,"Lab 1"))&gt;0,1,0)+IF((COUNTIF('M211'!F15,"Lab 1")+COUNTIF('M212'!F15,"Lab 1"))&gt;0,1,0)+IF((COUNTIF('M311'!F15,"Lab 1"))&gt;0,1,0)+IF((COUNTIF('M411'!F15,"Lab 1"))&gt;0,1,0)+IF((COUNTIF('D111'!F15,"Lab 1")+COUNTIF('D112'!F15,"Lab 1"))&gt;0,1,0)+IF((COUNTIF('D211'!F15,"Lab 1"))&gt;0,1,0)+IF((COUNTIF('D311'!F15,"Lab 1"))&gt;0,1,0)+IF((COUNTIF('D411'!F15,"Lab 1"))&gt;0,1,0))=0,"",IF((IF((COUNTIF('C111'!F15,"Lab 1")+COUNTIF('C112'!F15,"Lab 1")+COUNTIF('C113'!F15,"Lab 1")+COUNTIF('C121'!F15,"Lab 1")+COUNTIF('C122'!F15,"Lab 1"))&gt;0,1,0)+IF((COUNTIF('C211'!F15,"Lab 1")+COUNTIF('C212'!F15,"Lab 1"))&gt;0,1,0)+IF((COUNTIF('C311'!F15,"Lab 1")+COUNTIF('C312'!F15,"Lab 1"))&gt;0,1,0)+IF((COUNTIF('C411'!F15,"Lab 1")+COUNTIF('C412'!F15,"Lab 1"))&gt;0,1,0)+IF((COUNTIF('M111'!F15,"Lab 1")+COUNTIF('M112'!F15,"Lab 1"))&gt;0,1,0)+IF((COUNTIF('M211'!F15,"Lab 1")+COUNTIF('M212'!F15,"Lab 1"))&gt;0,1,0)+IF((COUNTIF('M311'!F15,"Lab 1"))&gt;0,1,0)+IF((COUNTIF('M411'!F15,"Lab 1"))&gt;0,1,0)+IF((COUNTIF('D111'!F15,"Lab 1")+COUNTIF('D112'!F15,"Lab 1"))&gt;0,1,0)+IF((COUNTIF('D211'!F15,"Lab 1"))&gt;0,1,0)+IF((COUNTIF('D311'!F15,"Lab 1"))&gt;0,1,0)+IF((COUNTIF('D411'!F15,"Lab 1"))&gt;0,1,0))=1,IF((COUNTIF('C111'!F15,"Lab 1")+COUNTIF('C112'!F15,"Lab 1")+COUNTIF('C113'!F15,"Lab 1")+COUNTIF('C121'!F15,"Lab 1")+COUNTIF('C122'!F15,"Lab 1"))&gt;0,"C1",IF((COUNTIF('C211'!F15,"Lab 1")+COUNTIF('C212'!F15,"Lab 1"))&gt;0,"C2",IF((COUNTIF('C311'!F15,"Lab 1")+COUNTIF('C312'!F15,"Lab 1"))&gt;0,"C3",IF((COUNTIF('C411'!F15,"Lab 1")+COUNTIF('C412'!F15,"Lab 1"))&gt;0,"C4",IF((COUNTIF('M111'!F15,"Lab 1")+COUNTIF('M112'!F15,"Lab 1"))&gt;0,"M1",IF((COUNTIF('M211'!F15,"Lab 1")+COUNTIF('M212'!F15,"Lab 1"))&gt;0,"M2",IF((COUNTIF('M311'!F15,"Lab 1"))&gt;0,"M3",IF((COUNTIF('M411'!F15,"Lab 1"))&gt;0,"M4",IF((COUNTIF('D111'!F15,"Lab 1")+COUNTIF('D112'!F15,"Lab 1"))&gt;0,"D1",IF((COUNTIF('D211'!F15,"Lab 1"))&gt;0,"D2",IF((COUNTIF('D311'!F15,"Lab 1"))&gt;0,"D3",IF((COUNTIF('D411'!F15,"Lab 1"))&gt;0,"D4","")))))))))))),"MIX"))</f>
        <v/>
      </c>
    </row>
    <row r="449">
      <c r="C449">
        <f>IF((IF((COUNTIF('C111'!F15,"Lab 2")+COUNTIF('C112'!F15,"Lab 2")+COUNTIF('C113'!F15,"Lab 2")+COUNTIF('C121'!F15,"Lab 2")+COUNTIF('C122'!F15,"Lab 2"))&gt;0,1,0)+IF((COUNTIF('C211'!F15,"Lab 2")+COUNTIF('C212'!F15,"Lab 2"))&gt;0,1,0)+IF((COUNTIF('C311'!F15,"Lab 2")+COUNTIF('C312'!F15,"Lab 2"))&gt;0,1,0)+IF((COUNTIF('C411'!F15,"Lab 2")+COUNTIF('C412'!F15,"Lab 2"))&gt;0,1,0)+IF((COUNTIF('M111'!F15,"Lab 2")+COUNTIF('M112'!F15,"Lab 2"))&gt;0,1,0)+IF((COUNTIF('M211'!F15,"Lab 2")+COUNTIF('M212'!F15,"Lab 2"))&gt;0,1,0)+IF((COUNTIF('M311'!F15,"Lab 2"))&gt;0,1,0)+IF((COUNTIF('M411'!F15,"Lab 2"))&gt;0,1,0)+IF((COUNTIF('D111'!F15,"Lab 2")+COUNTIF('D112'!F15,"Lab 2"))&gt;0,1,0)+IF((COUNTIF('D211'!F15,"Lab 2"))&gt;0,1,0)+IF((COUNTIF('D311'!F15,"Lab 2"))&gt;0,1,0)+IF((COUNTIF('D411'!F15,"Lab 2"))&gt;0,1,0))=0,"",IF((IF((COUNTIF('C111'!F15,"Lab 2")+COUNTIF('C112'!F15,"Lab 2")+COUNTIF('C113'!F15,"Lab 2")+COUNTIF('C121'!F15,"Lab 2")+COUNTIF('C122'!F15,"Lab 2"))&gt;0,1,0)+IF((COUNTIF('C211'!F15,"Lab 2")+COUNTIF('C212'!F15,"Lab 2"))&gt;0,1,0)+IF((COUNTIF('C311'!F15,"Lab 2")+COUNTIF('C312'!F15,"Lab 2"))&gt;0,1,0)+IF((COUNTIF('C411'!F15,"Lab 2")+COUNTIF('C412'!F15,"Lab 2"))&gt;0,1,0)+IF((COUNTIF('M111'!F15,"Lab 2")+COUNTIF('M112'!F15,"Lab 2"))&gt;0,1,0)+IF((COUNTIF('M211'!F15,"Lab 2")+COUNTIF('M212'!F15,"Lab 2"))&gt;0,1,0)+IF((COUNTIF('M311'!F15,"Lab 2"))&gt;0,1,0)+IF((COUNTIF('M411'!F15,"Lab 2"))&gt;0,1,0)+IF((COUNTIF('D111'!F15,"Lab 2")+COUNTIF('D112'!F15,"Lab 2"))&gt;0,1,0)+IF((COUNTIF('D211'!F15,"Lab 2"))&gt;0,1,0)+IF((COUNTIF('D311'!F15,"Lab 2"))&gt;0,1,0)+IF((COUNTIF('D411'!F15,"Lab 2"))&gt;0,1,0))=1,IF((COUNTIF('C111'!F15,"Lab 2")+COUNTIF('C112'!F15,"Lab 2")+COUNTIF('C113'!F15,"Lab 2")+COUNTIF('C121'!F15,"Lab 2")+COUNTIF('C122'!F15,"Lab 2"))&gt;0,"C1",IF((COUNTIF('C211'!F15,"Lab 2")+COUNTIF('C212'!F15,"Lab 2"))&gt;0,"C2",IF((COUNTIF('C311'!F15,"Lab 2")+COUNTIF('C312'!F15,"Lab 2"))&gt;0,"C3",IF((COUNTIF('C411'!F15,"Lab 2")+COUNTIF('C412'!F15,"Lab 2"))&gt;0,"C4",IF((COUNTIF('M111'!F15,"Lab 2")+COUNTIF('M112'!F15,"Lab 2"))&gt;0,"M1",IF((COUNTIF('M211'!F15,"Lab 2")+COUNTIF('M212'!F15,"Lab 2"))&gt;0,"M2",IF((COUNTIF('M311'!F15,"Lab 2"))&gt;0,"M3",IF((COUNTIF('M411'!F15,"Lab 2"))&gt;0,"M4",IF((COUNTIF('D111'!F15,"Lab 2")+COUNTIF('D112'!F15,"Lab 2"))&gt;0,"D1",IF((COUNTIF('D211'!F15,"Lab 2"))&gt;0,"D2",IF((COUNTIF('D311'!F15,"Lab 2"))&gt;0,"D3",IF((COUNTIF('D411'!F15,"Lab 2"))&gt;0,"D4","")))))))))))),"MIX"))</f>
        <v/>
      </c>
    </row>
    <row r="450">
      <c r="C450">
        <f>IF((IF((COUNTIF('C111'!F15,"Salón")+COUNTIF('C112'!F15,"Salón")+COUNTIF('C113'!F15,"Salón")+COUNTIF('C121'!F15,"Salón")+COUNTIF('C122'!F15,"Salón"))&gt;0,1,0)+IF((COUNTIF('C211'!F15,"Salón")+COUNTIF('C212'!F15,"Salón"))&gt;0,1,0)+IF((COUNTIF('C311'!F15,"Salón")+COUNTIF('C312'!F15,"Salón"))&gt;0,1,0)+IF((COUNTIF('C411'!F15,"Salón")+COUNTIF('C412'!F15,"Salón"))&gt;0,1,0)+IF((COUNTIF('M111'!F15,"Salón")+COUNTIF('M112'!F15,"Salón"))&gt;0,1,0)+IF((COUNTIF('M211'!F15,"Salón")+COUNTIF('M212'!F15,"Salón"))&gt;0,1,0)+IF((COUNTIF('M311'!F15,"Salón"))&gt;0,1,0)+IF((COUNTIF('M411'!F15,"Salón"))&gt;0,1,0)+IF((COUNTIF('D111'!F15,"Salón")+COUNTIF('D112'!F15,"Salón"))&gt;0,1,0)+IF((COUNTIF('D211'!F15,"Salón"))&gt;0,1,0)+IF((COUNTIF('D311'!F15,"Salón"))&gt;0,1,0)+IF((COUNTIF('D411'!F15,"Salón"))&gt;0,1,0))=0,"",IF((IF((COUNTIF('C111'!F15,"Salón")+COUNTIF('C112'!F15,"Salón")+COUNTIF('C113'!F15,"Salón")+COUNTIF('C121'!F15,"Salón")+COUNTIF('C122'!F15,"Salón"))&gt;0,1,0)+IF((COUNTIF('C211'!F15,"Salón")+COUNTIF('C212'!F15,"Salón"))&gt;0,1,0)+IF((COUNTIF('C311'!F15,"Salón")+COUNTIF('C312'!F15,"Salón"))&gt;0,1,0)+IF((COUNTIF('C411'!F15,"Salón")+COUNTIF('C412'!F15,"Salón"))&gt;0,1,0)+IF((COUNTIF('M111'!F15,"Salón")+COUNTIF('M112'!F15,"Salón"))&gt;0,1,0)+IF((COUNTIF('M211'!F15,"Salón")+COUNTIF('M212'!F15,"Salón"))&gt;0,1,0)+IF((COUNTIF('M311'!F15,"Salón"))&gt;0,1,0)+IF((COUNTIF('M411'!F15,"Salón"))&gt;0,1,0)+IF((COUNTIF('D111'!F15,"Salón")+COUNTIF('D112'!F15,"Salón"))&gt;0,1,0)+IF((COUNTIF('D211'!F15,"Salón"))&gt;0,1,0)+IF((COUNTIF('D311'!F15,"Salón"))&gt;0,1,0)+IF((COUNTIF('D411'!F15,"Salón"))&gt;0,1,0))=1,IF((COUNTIF('C111'!F15,"Salón")+COUNTIF('C112'!F15,"Salón")+COUNTIF('C113'!F15,"Salón")+COUNTIF('C121'!F15,"Salón")+COUNTIF('C122'!F15,"Salón"))&gt;0,"C1",IF((COUNTIF('C211'!F15,"Salón")+COUNTIF('C212'!F15,"Salón"))&gt;0,"C2",IF((COUNTIF('C311'!F15,"Salón")+COUNTIF('C312'!F15,"Salón"))&gt;0,"C3",IF((COUNTIF('C411'!F15,"Salón")+COUNTIF('C412'!F15,"Salón"))&gt;0,"C4",IF((COUNTIF('M111'!F15,"Salón")+COUNTIF('M112'!F15,"Salón"))&gt;0,"M1",IF((COUNTIF('M211'!F15,"Salón")+COUNTIF('M212'!F15,"Salón"))&gt;0,"M2",IF((COUNTIF('M311'!F15,"Salón"))&gt;0,"M3",IF((COUNTIF('M411'!F15,"Salón"))&gt;0,"M4",IF((COUNTIF('D111'!F15,"Salón")+COUNTIF('D112'!F15,"Salón"))&gt;0,"D1",IF((COUNTIF('D211'!F15,"Salón"))&gt;0,"D2",IF((COUNTIF('D311'!F15,"Salón"))&gt;0,"D3",IF((COUNTIF('D411'!F15,"Salón"))&gt;0,"D4","")))))))))))),"MIX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AMI-C</t>
        </is>
      </c>
      <c r="C4" s="29" t="inlineStr">
        <is>
          <t>Pro-C</t>
        </is>
      </c>
      <c r="D4" s="29" t="inlineStr">
        <is>
          <t>A1-C</t>
        </is>
      </c>
      <c r="E4" s="29" t="inlineStr">
        <is>
          <t>F-C</t>
        </is>
      </c>
      <c r="F4" s="30" t="inlineStr">
        <is>
          <t>EF</t>
        </is>
      </c>
      <c r="I4" s="28" t="inlineStr">
        <is>
          <t>AMI-C</t>
        </is>
      </c>
      <c r="J4" s="29" t="inlineStr">
        <is>
          <t>Análisis Matemático 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</t>
        </is>
      </c>
      <c r="C5" s="33" t="inlineStr">
        <is>
          <t>Aula 1</t>
        </is>
      </c>
      <c r="D5" s="33" t="inlineStr">
        <is>
          <t>Aula 1</t>
        </is>
      </c>
      <c r="E5" s="33" t="inlineStr">
        <is>
          <t>Aula 1</t>
        </is>
      </c>
      <c r="F5" s="34" t="inlineStr">
        <is>
          <t>Lab 1</t>
        </is>
      </c>
      <c r="I5" s="28" t="inlineStr">
        <is>
          <t>AMI-CP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AMI-CP</t>
        </is>
      </c>
      <c r="C6" s="29" t="inlineStr">
        <is>
          <t>Pro-CP</t>
        </is>
      </c>
      <c r="D6" s="29" t="inlineStr">
        <is>
          <t>A1-C</t>
        </is>
      </c>
      <c r="E6" s="29" t="inlineStr">
        <is>
          <t>F-CP</t>
        </is>
      </c>
      <c r="F6" s="30" t="n"/>
      <c r="I6" s="28" t="inlineStr">
        <is>
          <t>Pro-C</t>
        </is>
      </c>
      <c r="J6" s="29" t="inlineStr">
        <is>
          <t>Programación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2</t>
        </is>
      </c>
      <c r="C7" s="33" t="inlineStr">
        <is>
          <t>Aula 2</t>
        </is>
      </c>
      <c r="D7" s="33" t="inlineStr">
        <is>
          <t>Aula 1</t>
        </is>
      </c>
      <c r="E7" s="33" t="inlineStr">
        <is>
          <t>Aula 2</t>
        </is>
      </c>
      <c r="F7" s="34" t="n"/>
      <c r="I7" s="28" t="inlineStr">
        <is>
          <t>Pro-CP</t>
        </is>
      </c>
      <c r="J7" s="29" t="inlineStr">
        <is>
          <t>Programación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AMI-CP</t>
        </is>
      </c>
      <c r="C8" s="29" t="inlineStr">
        <is>
          <t>Pro-CP</t>
        </is>
      </c>
      <c r="D8" s="29" t="inlineStr">
        <is>
          <t>A1-CP</t>
        </is>
      </c>
      <c r="E8" s="29" t="n"/>
      <c r="F8" s="30" t="n"/>
      <c r="I8" s="28" t="inlineStr">
        <is>
          <t>A1-C</t>
        </is>
      </c>
      <c r="J8" s="29" t="inlineStr">
        <is>
          <t>Álgebra I (Conf)</t>
        </is>
      </c>
      <c r="K8" s="29" t="n">
        <v>2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2</t>
        </is>
      </c>
      <c r="C9" s="33" t="inlineStr">
        <is>
          <t>Aula 2</t>
        </is>
      </c>
      <c r="D9" s="33" t="inlineStr">
        <is>
          <t>Aula 2</t>
        </is>
      </c>
      <c r="E9" s="33" t="n"/>
      <c r="F9" s="34" t="n"/>
      <c r="I9" s="28" t="inlineStr">
        <is>
          <t>A1-CP</t>
        </is>
      </c>
      <c r="J9" s="29" t="inlineStr">
        <is>
          <t>Álgebra 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F-C</t>
        </is>
      </c>
      <c r="J10" s="29" t="inlineStr">
        <is>
          <t>Filosofía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28" t="inlineStr">
        <is>
          <t>F-CP</t>
        </is>
      </c>
      <c r="J11" s="29" t="inlineStr">
        <is>
          <t>Filosofía (C.P.)</t>
        </is>
      </c>
      <c r="K11" s="29" t="n">
        <v>1</v>
      </c>
      <c r="L11" s="29">
        <f>COUNTIF(B4:F15,I11)</f>
        <v/>
      </c>
      <c r="M11" s="30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36" t="inlineStr">
        <is>
          <t>EF</t>
        </is>
      </c>
      <c r="J12" s="37" t="inlineStr">
        <is>
          <t>Educación Física</t>
        </is>
      </c>
      <c r="K12" s="37" t="n">
        <v>1</v>
      </c>
      <c r="L12" s="37">
        <f>COUNTIF(B4:F15,I12)</f>
        <v/>
      </c>
      <c r="M12" s="38">
        <f>K12-L12</f>
        <v/>
      </c>
    </row>
    <row r="13" ht="22" customHeight="1">
      <c r="A13" s="31" t="n"/>
      <c r="B13" s="32" t="n"/>
      <c r="C13" s="33" t="n"/>
      <c r="D13" s="33" t="n"/>
      <c r="E13" s="33" t="n"/>
      <c r="F13" s="34" t="n"/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t="inlineStr">
        <is>
          <t>Leyenda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3" t="n"/>
      <c r="J15" t="inlineStr">
        <is>
          <t>Aula fuera del listado de la facultad</t>
        </is>
      </c>
    </row>
    <row r="16">
      <c r="I16" s="20" t="n"/>
      <c r="J16" t="inlineStr">
        <is>
          <t>Asignatura fuera de la tabla del grupo</t>
        </is>
      </c>
    </row>
    <row r="17">
      <c r="I17" s="44" t="n"/>
      <c r="J17" t="inlineStr">
        <is>
          <t>Sobre-planificada (asignadas &gt; frecuencia)</t>
        </is>
      </c>
    </row>
    <row r="18">
      <c r="I18" s="15" t="n"/>
      <c r="J18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AND(B4&lt;&gt;"",COUNTIF($I$4:$I$12,B4)=0)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2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AMI-C</t>
        </is>
      </c>
      <c r="C4" s="29" t="inlineStr">
        <is>
          <t>Pro-C</t>
        </is>
      </c>
      <c r="D4" s="29" t="inlineStr">
        <is>
          <t>A1-C</t>
        </is>
      </c>
      <c r="E4" s="29" t="inlineStr">
        <is>
          <t>F-C</t>
        </is>
      </c>
      <c r="F4" s="30" t="inlineStr">
        <is>
          <t>EF</t>
        </is>
      </c>
      <c r="I4" s="28" t="inlineStr">
        <is>
          <t>AMI-C</t>
        </is>
      </c>
      <c r="J4" s="29" t="inlineStr">
        <is>
          <t>Análisis Matemático 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</t>
        </is>
      </c>
      <c r="C5" s="33" t="inlineStr">
        <is>
          <t>Aula 1</t>
        </is>
      </c>
      <c r="D5" s="33" t="inlineStr">
        <is>
          <t>Aula 1</t>
        </is>
      </c>
      <c r="E5" s="33" t="inlineStr">
        <is>
          <t>Aula 1</t>
        </is>
      </c>
      <c r="F5" s="34" t="inlineStr">
        <is>
          <t>Lab 1</t>
        </is>
      </c>
      <c r="I5" s="28" t="inlineStr">
        <is>
          <t>AMI-CP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AMI-CP</t>
        </is>
      </c>
      <c r="C6" s="29" t="inlineStr">
        <is>
          <t>Pro-CP</t>
        </is>
      </c>
      <c r="D6" s="29" t="inlineStr">
        <is>
          <t>A1-C</t>
        </is>
      </c>
      <c r="E6" s="29" t="inlineStr">
        <is>
          <t>F-CP</t>
        </is>
      </c>
      <c r="F6" s="30" t="n"/>
      <c r="I6" s="28" t="inlineStr">
        <is>
          <t>Pro-C</t>
        </is>
      </c>
      <c r="J6" s="29" t="inlineStr">
        <is>
          <t>Programación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3</t>
        </is>
      </c>
      <c r="C7" s="33" t="inlineStr">
        <is>
          <t>Aula 3</t>
        </is>
      </c>
      <c r="D7" s="33" t="inlineStr">
        <is>
          <t>Aula 1</t>
        </is>
      </c>
      <c r="E7" s="33" t="inlineStr">
        <is>
          <t>Aula 3</t>
        </is>
      </c>
      <c r="F7" s="34" t="n"/>
      <c r="I7" s="28" t="inlineStr">
        <is>
          <t>Pro-CP</t>
        </is>
      </c>
      <c r="J7" s="29" t="inlineStr">
        <is>
          <t>Programación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AMI-CP</t>
        </is>
      </c>
      <c r="C8" s="29" t="inlineStr">
        <is>
          <t>Pro-CP</t>
        </is>
      </c>
      <c r="D8" s="29" t="inlineStr">
        <is>
          <t>A1-CP</t>
        </is>
      </c>
      <c r="E8" s="29" t="n"/>
      <c r="F8" s="30" t="n"/>
      <c r="I8" s="28" t="inlineStr">
        <is>
          <t>A1-C</t>
        </is>
      </c>
      <c r="J8" s="29" t="inlineStr">
        <is>
          <t>Álgebra I (Conf)</t>
        </is>
      </c>
      <c r="K8" s="29" t="n">
        <v>2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3</t>
        </is>
      </c>
      <c r="C9" s="33" t="inlineStr">
        <is>
          <t>Aula 3</t>
        </is>
      </c>
      <c r="D9" s="33" t="inlineStr">
        <is>
          <t>Aula 3</t>
        </is>
      </c>
      <c r="E9" s="33" t="n"/>
      <c r="F9" s="34" t="n"/>
      <c r="I9" s="28" t="inlineStr">
        <is>
          <t>A1-CP</t>
        </is>
      </c>
      <c r="J9" s="29" t="inlineStr">
        <is>
          <t>Álgebra 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F-C</t>
        </is>
      </c>
      <c r="J10" s="29" t="inlineStr">
        <is>
          <t>Filosofía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28" t="inlineStr">
        <is>
          <t>F-CP</t>
        </is>
      </c>
      <c r="J11" s="29" t="inlineStr">
        <is>
          <t>Filosofía (C.P.)</t>
        </is>
      </c>
      <c r="K11" s="29" t="n">
        <v>1</v>
      </c>
      <c r="L11" s="29">
        <f>COUNTIF(B4:F15,I11)</f>
        <v/>
      </c>
      <c r="M11" s="30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36" t="inlineStr">
        <is>
          <t>EF</t>
        </is>
      </c>
      <c r="J12" s="37" t="inlineStr">
        <is>
          <t>Educación Física</t>
        </is>
      </c>
      <c r="K12" s="37" t="n">
        <v>1</v>
      </c>
      <c r="L12" s="37">
        <f>COUNTIF(B4:F15,I12)</f>
        <v/>
      </c>
      <c r="M12" s="38">
        <f>K12-L12</f>
        <v/>
      </c>
    </row>
    <row r="13" ht="22" customHeight="1">
      <c r="A13" s="31" t="n"/>
      <c r="B13" s="32" t="n"/>
      <c r="C13" s="33" t="n"/>
      <c r="D13" s="33" t="n"/>
      <c r="E13" s="33" t="n"/>
      <c r="F13" s="34" t="n"/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t="inlineStr">
        <is>
          <t>Leyenda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3" t="n"/>
      <c r="J15" t="inlineStr">
        <is>
          <t>Aula fuera del listado de la facultad</t>
        </is>
      </c>
    </row>
    <row r="16">
      <c r="I16" s="20" t="n"/>
      <c r="J16" t="inlineStr">
        <is>
          <t>Asignatura fuera de la tabla del grupo</t>
        </is>
      </c>
    </row>
    <row r="17">
      <c r="I17" s="44" t="n"/>
      <c r="J17" t="inlineStr">
        <is>
          <t>Sobre-planificada (asignadas &gt; frecuencia)</t>
        </is>
      </c>
    </row>
    <row r="18">
      <c r="I18" s="15" t="n"/>
      <c r="J18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AND(B4&lt;&gt;"",COUNTIF($I$4:$I$12,B4)=0)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2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C113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AMI-C</t>
        </is>
      </c>
      <c r="C4" s="29" t="inlineStr">
        <is>
          <t>Pro-C</t>
        </is>
      </c>
      <c r="D4" s="29" t="inlineStr">
        <is>
          <t>A1-C</t>
        </is>
      </c>
      <c r="E4" s="29" t="inlineStr">
        <is>
          <t>F-C</t>
        </is>
      </c>
      <c r="F4" s="30" t="inlineStr">
        <is>
          <t>EF</t>
        </is>
      </c>
      <c r="I4" s="28" t="inlineStr">
        <is>
          <t>AMI-C</t>
        </is>
      </c>
      <c r="J4" s="29" t="inlineStr">
        <is>
          <t>Análisis Matemático 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</t>
        </is>
      </c>
      <c r="C5" s="33" t="inlineStr">
        <is>
          <t>Aula 1</t>
        </is>
      </c>
      <c r="D5" s="33" t="inlineStr">
        <is>
          <t>Aula 1</t>
        </is>
      </c>
      <c r="E5" s="33" t="inlineStr">
        <is>
          <t>Aula 1</t>
        </is>
      </c>
      <c r="F5" s="34" t="inlineStr">
        <is>
          <t>Lab 1</t>
        </is>
      </c>
      <c r="I5" s="28" t="inlineStr">
        <is>
          <t>AMI-CP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AMI-CP</t>
        </is>
      </c>
      <c r="C6" s="29" t="inlineStr">
        <is>
          <t>Pro-CP</t>
        </is>
      </c>
      <c r="D6" s="29" t="inlineStr">
        <is>
          <t>A1-C</t>
        </is>
      </c>
      <c r="E6" s="29" t="inlineStr">
        <is>
          <t>F-CP</t>
        </is>
      </c>
      <c r="F6" s="30" t="n"/>
      <c r="I6" s="28" t="inlineStr">
        <is>
          <t>Pro-C</t>
        </is>
      </c>
      <c r="J6" s="29" t="inlineStr">
        <is>
          <t>Programación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4</t>
        </is>
      </c>
      <c r="C7" s="33" t="inlineStr">
        <is>
          <t>Aula 4</t>
        </is>
      </c>
      <c r="D7" s="33" t="inlineStr">
        <is>
          <t>Aula 1</t>
        </is>
      </c>
      <c r="E7" s="33" t="inlineStr">
        <is>
          <t>Aula 4</t>
        </is>
      </c>
      <c r="F7" s="34" t="n"/>
      <c r="I7" s="28" t="inlineStr">
        <is>
          <t>Pro-CP</t>
        </is>
      </c>
      <c r="J7" s="29" t="inlineStr">
        <is>
          <t>Programación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AMI-CP</t>
        </is>
      </c>
      <c r="C8" s="29" t="inlineStr">
        <is>
          <t>Pro-CP</t>
        </is>
      </c>
      <c r="D8" s="29" t="inlineStr">
        <is>
          <t>A1-CP</t>
        </is>
      </c>
      <c r="E8" s="29" t="n"/>
      <c r="F8" s="30" t="n"/>
      <c r="I8" s="28" t="inlineStr">
        <is>
          <t>A1-C</t>
        </is>
      </c>
      <c r="J8" s="29" t="inlineStr">
        <is>
          <t>Álgebra I (Conf)</t>
        </is>
      </c>
      <c r="K8" s="29" t="n">
        <v>2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4</t>
        </is>
      </c>
      <c r="C9" s="33" t="inlineStr">
        <is>
          <t>Aula 4</t>
        </is>
      </c>
      <c r="D9" s="33" t="inlineStr">
        <is>
          <t>Aula 4</t>
        </is>
      </c>
      <c r="E9" s="33" t="n"/>
      <c r="F9" s="34" t="n"/>
      <c r="I9" s="28" t="inlineStr">
        <is>
          <t>A1-CP</t>
        </is>
      </c>
      <c r="J9" s="29" t="inlineStr">
        <is>
          <t>Álgebra 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F-C</t>
        </is>
      </c>
      <c r="J10" s="29" t="inlineStr">
        <is>
          <t>Filosofía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28" t="inlineStr">
        <is>
          <t>F-CP</t>
        </is>
      </c>
      <c r="J11" s="29" t="inlineStr">
        <is>
          <t>Filosofía (C.P.)</t>
        </is>
      </c>
      <c r="K11" s="29" t="n">
        <v>1</v>
      </c>
      <c r="L11" s="29">
        <f>COUNTIF(B4:F15,I11)</f>
        <v/>
      </c>
      <c r="M11" s="30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36" t="inlineStr">
        <is>
          <t>EF</t>
        </is>
      </c>
      <c r="J12" s="37" t="inlineStr">
        <is>
          <t>Educación Física</t>
        </is>
      </c>
      <c r="K12" s="37" t="n">
        <v>1</v>
      </c>
      <c r="L12" s="37">
        <f>COUNTIF(B4:F15,I12)</f>
        <v/>
      </c>
      <c r="M12" s="38">
        <f>K12-L12</f>
        <v/>
      </c>
    </row>
    <row r="13" ht="22" customHeight="1">
      <c r="A13" s="31" t="n"/>
      <c r="B13" s="32" t="n"/>
      <c r="C13" s="33" t="n"/>
      <c r="D13" s="33" t="n"/>
      <c r="E13" s="33" t="n"/>
      <c r="F13" s="34" t="n"/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t="inlineStr">
        <is>
          <t>Leyenda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3" t="n"/>
      <c r="J15" t="inlineStr">
        <is>
          <t>Aula fuera del listado de la facultad</t>
        </is>
      </c>
    </row>
    <row r="16">
      <c r="I16" s="20" t="n"/>
      <c r="J16" t="inlineStr">
        <is>
          <t>Asignatura fuera de la tabla del grupo</t>
        </is>
      </c>
    </row>
    <row r="17">
      <c r="I17" s="44" t="n"/>
      <c r="J17" t="inlineStr">
        <is>
          <t>Sobre-planificada (asignadas &gt; frecuencia)</t>
        </is>
      </c>
    </row>
    <row r="18">
      <c r="I18" s="15" t="n"/>
      <c r="J18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AND(B4&lt;&gt;"",COUNTIF($I$4:$I$12,B4)=0)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2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C121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AMI-C</t>
        </is>
      </c>
      <c r="C4" s="29" t="inlineStr">
        <is>
          <t>AMI-CP</t>
        </is>
      </c>
      <c r="D4" s="29" t="inlineStr">
        <is>
          <t>Pro-C</t>
        </is>
      </c>
      <c r="E4" s="29" t="n"/>
      <c r="F4" s="30" t="n"/>
      <c r="I4" s="28" t="inlineStr">
        <is>
          <t>AMI-C</t>
        </is>
      </c>
      <c r="J4" s="29" t="inlineStr">
        <is>
          <t>Análisis Matemático 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</t>
        </is>
      </c>
      <c r="C5" s="33" t="inlineStr">
        <is>
          <t>Aula 5</t>
        </is>
      </c>
      <c r="D5" s="33" t="inlineStr">
        <is>
          <t>Aula 1</t>
        </is>
      </c>
      <c r="E5" s="33" t="n"/>
      <c r="F5" s="34" t="n"/>
      <c r="I5" s="28" t="inlineStr">
        <is>
          <t>AMI-CP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AMI-CP</t>
        </is>
      </c>
      <c r="C6" s="29" t="inlineStr">
        <is>
          <t>XYZ-C</t>
        </is>
      </c>
      <c r="D6" s="29" t="inlineStr">
        <is>
          <t>Pro-CP</t>
        </is>
      </c>
      <c r="E6" s="29" t="n"/>
      <c r="F6" s="30" t="n"/>
      <c r="I6" s="28" t="inlineStr">
        <is>
          <t>Pro-C</t>
        </is>
      </c>
      <c r="J6" s="29" t="inlineStr">
        <is>
          <t>Programación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5</t>
        </is>
      </c>
      <c r="C7" s="33" t="inlineStr">
        <is>
          <t>Aula 5</t>
        </is>
      </c>
      <c r="D7" s="33" t="inlineStr">
        <is>
          <t>Aula 5</t>
        </is>
      </c>
      <c r="E7" s="33" t="n"/>
      <c r="F7" s="34" t="n"/>
      <c r="I7" s="28" t="inlineStr">
        <is>
          <t>Pro-CP</t>
        </is>
      </c>
      <c r="J7" s="29" t="inlineStr">
        <is>
          <t>Programación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AMI-CP</t>
        </is>
      </c>
      <c r="C8" s="29" t="n"/>
      <c r="D8" s="29" t="n"/>
      <c r="E8" s="29" t="n"/>
      <c r="F8" s="30" t="n"/>
      <c r="I8" s="28" t="inlineStr">
        <is>
          <t>A1-C</t>
        </is>
      </c>
      <c r="J8" s="29" t="inlineStr">
        <is>
          <t>Álgebra I (Conf)</t>
        </is>
      </c>
      <c r="K8" s="29" t="n">
        <v>2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5</t>
        </is>
      </c>
      <c r="C9" s="33" t="n"/>
      <c r="D9" s="33" t="n"/>
      <c r="E9" s="33" t="n"/>
      <c r="F9" s="34" t="n"/>
      <c r="I9" s="28" t="inlineStr">
        <is>
          <t>A1-CP</t>
        </is>
      </c>
      <c r="J9" s="29" t="inlineStr">
        <is>
          <t>Álgebra 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F-C</t>
        </is>
      </c>
      <c r="J10" s="29" t="inlineStr">
        <is>
          <t>Filosofía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28" t="inlineStr">
        <is>
          <t>F-CP</t>
        </is>
      </c>
      <c r="J11" s="29" t="inlineStr">
        <is>
          <t>Filosofía (C.P.)</t>
        </is>
      </c>
      <c r="K11" s="29" t="n">
        <v>1</v>
      </c>
      <c r="L11" s="29">
        <f>COUNTIF(B4:F15,I11)</f>
        <v/>
      </c>
      <c r="M11" s="30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36" t="inlineStr">
        <is>
          <t>EF</t>
        </is>
      </c>
      <c r="J12" s="37" t="inlineStr">
        <is>
          <t>Educación Física</t>
        </is>
      </c>
      <c r="K12" s="37" t="n">
        <v>1</v>
      </c>
      <c r="L12" s="37">
        <f>COUNTIF(B4:F15,I12)</f>
        <v/>
      </c>
      <c r="M12" s="38">
        <f>K12-L12</f>
        <v/>
      </c>
    </row>
    <row r="13" ht="22" customHeight="1">
      <c r="A13" s="31" t="n"/>
      <c r="B13" s="32" t="n"/>
      <c r="C13" s="33" t="n"/>
      <c r="D13" s="33" t="n"/>
      <c r="E13" s="33" t="n"/>
      <c r="F13" s="34" t="n"/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t="inlineStr">
        <is>
          <t>Leyenda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3" t="n"/>
      <c r="J15" t="inlineStr">
        <is>
          <t>Aula fuera del listado de la facultad</t>
        </is>
      </c>
    </row>
    <row r="16">
      <c r="I16" s="20" t="n"/>
      <c r="J16" t="inlineStr">
        <is>
          <t>Asignatura fuera de la tabla del grupo</t>
        </is>
      </c>
    </row>
    <row r="17">
      <c r="I17" s="44" t="n"/>
      <c r="J17" t="inlineStr">
        <is>
          <t>Sobre-planificada (asignadas &gt; frecuencia)</t>
        </is>
      </c>
    </row>
    <row r="18">
      <c r="I18" s="15" t="n"/>
      <c r="J18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AND(B4&lt;&gt;"",COUNTIF($I$4:$I$12,B4)=0)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2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C122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AMI-C</t>
        </is>
      </c>
      <c r="C4" s="29" t="inlineStr">
        <is>
          <t>Pro-C</t>
        </is>
      </c>
      <c r="D4" s="29" t="n"/>
      <c r="E4" s="29" t="n"/>
      <c r="F4" s="30" t="n"/>
      <c r="I4" s="28" t="inlineStr">
        <is>
          <t>AMI-C</t>
        </is>
      </c>
      <c r="J4" s="29" t="inlineStr">
        <is>
          <t>Análisis Matemático 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</t>
        </is>
      </c>
      <c r="C5" s="33" t="inlineStr">
        <is>
          <t>Aula 1</t>
        </is>
      </c>
      <c r="D5" s="33" t="n"/>
      <c r="E5" s="33" t="n"/>
      <c r="F5" s="34" t="n"/>
      <c r="I5" s="28" t="inlineStr">
        <is>
          <t>AMI-CP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AMI-CP</t>
        </is>
      </c>
      <c r="C6" s="29" t="inlineStr">
        <is>
          <t>Pro-CP</t>
        </is>
      </c>
      <c r="D6" s="29" t="n"/>
      <c r="E6" s="29" t="n"/>
      <c r="F6" s="30" t="n"/>
      <c r="I6" s="28" t="inlineStr">
        <is>
          <t>Pro-C</t>
        </is>
      </c>
      <c r="J6" s="29" t="inlineStr">
        <is>
          <t>Programación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6</t>
        </is>
      </c>
      <c r="C7" s="33" t="inlineStr">
        <is>
          <t>Aula 6</t>
        </is>
      </c>
      <c r="D7" s="33" t="n"/>
      <c r="E7" s="33" t="n"/>
      <c r="F7" s="34" t="n"/>
      <c r="I7" s="28" t="inlineStr">
        <is>
          <t>Pro-CP</t>
        </is>
      </c>
      <c r="J7" s="29" t="inlineStr">
        <is>
          <t>Programación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A1-C</t>
        </is>
      </c>
      <c r="J8" s="29" t="inlineStr">
        <is>
          <t>Álgebra I (Conf)</t>
        </is>
      </c>
      <c r="K8" s="29" t="n">
        <v>2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28" t="inlineStr">
        <is>
          <t>A1-CP</t>
        </is>
      </c>
      <c r="J9" s="29" t="inlineStr">
        <is>
          <t>Álgebra 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F-C</t>
        </is>
      </c>
      <c r="J10" s="29" t="inlineStr">
        <is>
          <t>Filosofía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28" t="inlineStr">
        <is>
          <t>F-CP</t>
        </is>
      </c>
      <c r="J11" s="29" t="inlineStr">
        <is>
          <t>Filosofía (C.P.)</t>
        </is>
      </c>
      <c r="K11" s="29" t="n">
        <v>1</v>
      </c>
      <c r="L11" s="29">
        <f>COUNTIF(B4:F15,I11)</f>
        <v/>
      </c>
      <c r="M11" s="30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36" t="inlineStr">
        <is>
          <t>EF</t>
        </is>
      </c>
      <c r="J12" s="37" t="inlineStr">
        <is>
          <t>Educación Física</t>
        </is>
      </c>
      <c r="K12" s="37" t="n">
        <v>1</v>
      </c>
      <c r="L12" s="37">
        <f>COUNTIF(B4:F15,I12)</f>
        <v/>
      </c>
      <c r="M12" s="38">
        <f>K12-L12</f>
        <v/>
      </c>
    </row>
    <row r="13" ht="22" customHeight="1">
      <c r="A13" s="31" t="n"/>
      <c r="B13" s="32" t="n"/>
      <c r="C13" s="33" t="n"/>
      <c r="D13" s="33" t="n"/>
      <c r="E13" s="33" t="n"/>
      <c r="F13" s="34" t="n"/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t="inlineStr">
        <is>
          <t>Leyenda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3" t="n"/>
      <c r="J15" t="inlineStr">
        <is>
          <t>Aula fuera del listado de la facultad</t>
        </is>
      </c>
    </row>
    <row r="16">
      <c r="I16" s="20" t="n"/>
      <c r="J16" t="inlineStr">
        <is>
          <t>Asignatura fuera de la tabla del grupo</t>
        </is>
      </c>
    </row>
    <row r="17">
      <c r="I17" s="44" t="n"/>
      <c r="J17" t="inlineStr">
        <is>
          <t>Sobre-planificada (asignadas &gt; frecuencia)</t>
        </is>
      </c>
    </row>
    <row r="18">
      <c r="I18" s="15" t="n"/>
      <c r="J18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AND(B4&lt;&gt;"",COUNTIF($I$4:$I$12,B4)=0)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2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$I$4:$I$12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3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C211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AMII-C</t>
        </is>
      </c>
      <c r="C4" s="29" t="inlineStr">
        <is>
          <t>EDA-C</t>
        </is>
      </c>
      <c r="D4" s="29" t="inlineStr">
        <is>
          <t>EDA-CP</t>
        </is>
      </c>
      <c r="E4" s="29" t="inlineStr">
        <is>
          <t>FMat-C</t>
        </is>
      </c>
      <c r="F4" s="30" t="n"/>
      <c r="I4" s="28" t="inlineStr">
        <is>
          <t>AMII-C</t>
        </is>
      </c>
      <c r="J4" s="29" t="inlineStr">
        <is>
          <t>Análisis Matemático II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8</t>
        </is>
      </c>
      <c r="C5" s="33" t="inlineStr">
        <is>
          <t>Aula 8</t>
        </is>
      </c>
      <c r="D5" s="33" t="inlineStr">
        <is>
          <t>Aula 7</t>
        </is>
      </c>
      <c r="E5" s="33" t="inlineStr">
        <is>
          <t>Aula 8</t>
        </is>
      </c>
      <c r="F5" s="34" t="n"/>
      <c r="I5" s="28" t="inlineStr">
        <is>
          <t>AMII-CP</t>
        </is>
      </c>
      <c r="J5" s="29" t="inlineStr">
        <is>
          <t>Análisis Matemático II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AMII-CP</t>
        </is>
      </c>
      <c r="C6" s="29" t="inlineStr">
        <is>
          <t>EDA-C</t>
        </is>
      </c>
      <c r="D6" s="29" t="inlineStr">
        <is>
          <t>A2-C</t>
        </is>
      </c>
      <c r="E6" s="29" t="inlineStr">
        <is>
          <t>EF</t>
        </is>
      </c>
      <c r="F6" s="30" t="n"/>
      <c r="I6" s="28" t="inlineStr">
        <is>
          <t>EDA-C</t>
        </is>
      </c>
      <c r="J6" s="29" t="inlineStr">
        <is>
          <t>Estructuras de Datos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7</t>
        </is>
      </c>
      <c r="C7" s="33" t="inlineStr">
        <is>
          <t>Aula 8</t>
        </is>
      </c>
      <c r="D7" s="33" t="inlineStr">
        <is>
          <t>Aula 8</t>
        </is>
      </c>
      <c r="E7" s="33" t="inlineStr">
        <is>
          <t>Lab 2</t>
        </is>
      </c>
      <c r="F7" s="34" t="n"/>
      <c r="I7" s="28" t="inlineStr">
        <is>
          <t>EDA-CP</t>
        </is>
      </c>
      <c r="J7" s="29" t="inlineStr">
        <is>
          <t>Estructuras de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AMII-CP</t>
        </is>
      </c>
      <c r="C8" s="29" t="inlineStr">
        <is>
          <t>EDA-CP</t>
        </is>
      </c>
      <c r="D8" s="29" t="inlineStr">
        <is>
          <t>A2-CP</t>
        </is>
      </c>
      <c r="E8" s="29" t="n"/>
      <c r="F8" s="30" t="n"/>
      <c r="I8" s="28" t="inlineStr">
        <is>
          <t>A2-C</t>
        </is>
      </c>
      <c r="J8" s="29" t="inlineStr">
        <is>
          <t>Álgebra II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7</t>
        </is>
      </c>
      <c r="C9" s="33" t="inlineStr">
        <is>
          <t>Aula 7</t>
        </is>
      </c>
      <c r="D9" s="33" t="inlineStr">
        <is>
          <t>Aula 7</t>
        </is>
      </c>
      <c r="E9" s="33" t="n"/>
      <c r="F9" s="34" t="n"/>
      <c r="I9" s="28" t="inlineStr">
        <is>
          <t>A2-CP</t>
        </is>
      </c>
      <c r="J9" s="29" t="inlineStr">
        <is>
          <t>Álgebra II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FMat-C</t>
        </is>
      </c>
      <c r="J10" s="29" t="inlineStr">
        <is>
          <t>Física Matemática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36" t="inlineStr">
        <is>
          <t>EF</t>
        </is>
      </c>
      <c r="J11" s="37" t="inlineStr">
        <is>
          <t>Educación Física</t>
        </is>
      </c>
      <c r="K11" s="37" t="n">
        <v>1</v>
      </c>
      <c r="L11" s="37">
        <f>COUNTIF(B4:F15,I11)</f>
        <v/>
      </c>
      <c r="M11" s="38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</row>
    <row r="13" ht="22" customHeight="1">
      <c r="A13" s="31" t="n"/>
      <c r="B13" s="32" t="n"/>
      <c r="C13" s="33" t="n"/>
      <c r="D13" s="33" t="n"/>
      <c r="E13" s="33" t="n"/>
      <c r="F13" s="34" t="n"/>
      <c r="I13" t="inlineStr">
        <is>
          <t>Leyenda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3" t="n"/>
      <c r="J14" t="inlineStr">
        <is>
          <t>Aula fuera del listado de la facultad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20" t="n"/>
      <c r="J15" t="inlineStr">
        <is>
          <t>Asignatura fuera de la tabla del grupo</t>
        </is>
      </c>
    </row>
    <row r="16">
      <c r="I16" s="44" t="n"/>
      <c r="J16" t="inlineStr">
        <is>
          <t>Sobre-planificada (asignadas &gt; frecuencia)</t>
        </is>
      </c>
    </row>
    <row r="17">
      <c r="I17" s="15" t="n"/>
      <c r="J17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AND(B4&lt;&gt;"",COUNTIF($I$4:$I$11,B4)=0)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1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3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C212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AMII-C</t>
        </is>
      </c>
      <c r="C4" s="29" t="inlineStr">
        <is>
          <t>EDA-C</t>
        </is>
      </c>
      <c r="D4" s="29" t="inlineStr">
        <is>
          <t>EDA-CP</t>
        </is>
      </c>
      <c r="E4" s="29" t="inlineStr">
        <is>
          <t>FMat-C</t>
        </is>
      </c>
      <c r="F4" s="30" t="n"/>
      <c r="I4" s="28" t="inlineStr">
        <is>
          <t>AMII-C</t>
        </is>
      </c>
      <c r="J4" s="29" t="inlineStr">
        <is>
          <t>Análisis Matemático II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8</t>
        </is>
      </c>
      <c r="C5" s="33" t="inlineStr">
        <is>
          <t>Aula 8</t>
        </is>
      </c>
      <c r="D5" s="33" t="inlineStr">
        <is>
          <t>Aula 9</t>
        </is>
      </c>
      <c r="E5" s="33" t="inlineStr">
        <is>
          <t>Aula 8</t>
        </is>
      </c>
      <c r="F5" s="34" t="n"/>
      <c r="I5" s="28" t="inlineStr">
        <is>
          <t>AMII-CP</t>
        </is>
      </c>
      <c r="J5" s="29" t="inlineStr">
        <is>
          <t>Análisis Matemático II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AMII-CP</t>
        </is>
      </c>
      <c r="C6" s="29" t="inlineStr">
        <is>
          <t>EDA-C</t>
        </is>
      </c>
      <c r="D6" s="29" t="inlineStr">
        <is>
          <t>A2-C</t>
        </is>
      </c>
      <c r="E6" s="29" t="inlineStr">
        <is>
          <t>EF</t>
        </is>
      </c>
      <c r="F6" s="30" t="n"/>
      <c r="I6" s="28" t="inlineStr">
        <is>
          <t>EDA-C</t>
        </is>
      </c>
      <c r="J6" s="29" t="inlineStr">
        <is>
          <t>Estructuras de Datos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9</t>
        </is>
      </c>
      <c r="C7" s="33" t="inlineStr">
        <is>
          <t>Aula 8</t>
        </is>
      </c>
      <c r="D7" s="33" t="inlineStr">
        <is>
          <t>Aula 8</t>
        </is>
      </c>
      <c r="E7" s="33" t="inlineStr">
        <is>
          <t>Lab 2</t>
        </is>
      </c>
      <c r="F7" s="34" t="n"/>
      <c r="I7" s="28" t="inlineStr">
        <is>
          <t>EDA-CP</t>
        </is>
      </c>
      <c r="J7" s="29" t="inlineStr">
        <is>
          <t>Estructuras de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AMII-CP</t>
        </is>
      </c>
      <c r="C8" s="29" t="inlineStr">
        <is>
          <t>EDA-CP</t>
        </is>
      </c>
      <c r="D8" s="29" t="inlineStr">
        <is>
          <t>A2-CP</t>
        </is>
      </c>
      <c r="E8" s="29" t="n"/>
      <c r="F8" s="30" t="n"/>
      <c r="I8" s="28" t="inlineStr">
        <is>
          <t>A2-C</t>
        </is>
      </c>
      <c r="J8" s="29" t="inlineStr">
        <is>
          <t>Álgebra II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9</t>
        </is>
      </c>
      <c r="C9" s="33" t="inlineStr">
        <is>
          <t>Aula 9</t>
        </is>
      </c>
      <c r="D9" s="33" t="inlineStr">
        <is>
          <t>Aula 9</t>
        </is>
      </c>
      <c r="E9" s="33" t="n"/>
      <c r="F9" s="34" t="n"/>
      <c r="I9" s="28" t="inlineStr">
        <is>
          <t>A2-CP</t>
        </is>
      </c>
      <c r="J9" s="29" t="inlineStr">
        <is>
          <t>Álgebra II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28" t="inlineStr">
        <is>
          <t>FMat-C</t>
        </is>
      </c>
      <c r="J10" s="29" t="inlineStr">
        <is>
          <t>Física Matemática (Conf)</t>
        </is>
      </c>
      <c r="K10" s="29" t="n">
        <v>1</v>
      </c>
      <c r="L10" s="29">
        <f>COUNTIF(B4:F15,I10)</f>
        <v/>
      </c>
      <c r="M10" s="30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  <c r="I11" s="36" t="inlineStr">
        <is>
          <t>EF</t>
        </is>
      </c>
      <c r="J11" s="37" t="inlineStr">
        <is>
          <t>Educación Física</t>
        </is>
      </c>
      <c r="K11" s="37" t="n">
        <v>1</v>
      </c>
      <c r="L11" s="37">
        <f>COUNTIF(B4:F15,I11)</f>
        <v/>
      </c>
      <c r="M11" s="38">
        <f>K11-L11</f>
        <v/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</row>
    <row r="13" ht="22" customHeight="1">
      <c r="A13" s="31" t="n"/>
      <c r="B13" s="32" t="n"/>
      <c r="C13" s="33" t="n"/>
      <c r="D13" s="33" t="n"/>
      <c r="E13" s="33" t="n"/>
      <c r="F13" s="34" t="n"/>
      <c r="I13" t="inlineStr">
        <is>
          <t>Leyenda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3" t="n"/>
      <c r="J14" t="inlineStr">
        <is>
          <t>Aula fuera del listado de la facultad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20" t="n"/>
      <c r="J15" t="inlineStr">
        <is>
          <t>Asignatura fuera de la tabla del grupo</t>
        </is>
      </c>
    </row>
    <row r="16">
      <c r="I16" s="44" t="n"/>
      <c r="J16" t="inlineStr">
        <is>
          <t>Sobre-planificada (asignadas &gt; frecuencia)</t>
        </is>
      </c>
    </row>
    <row r="17">
      <c r="I17" s="15" t="n"/>
      <c r="J17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AND(B4&lt;&gt;"",COUNTIF($I$4:$I$11,B4)=0)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1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4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C311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SO-C</t>
        </is>
      </c>
      <c r="J4" s="29" t="inlineStr">
        <is>
          <t>Sistemas Operativos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SO-CP</t>
        </is>
      </c>
      <c r="J5" s="29" t="inlineStr">
        <is>
          <t>Sistemas Operativos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BD-C</t>
        </is>
      </c>
      <c r="J6" s="29" t="inlineStr">
        <is>
          <t>Bases de Datos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BD-CP</t>
        </is>
      </c>
      <c r="J7" s="29" t="inlineStr">
        <is>
          <t>Bases de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Redes-C</t>
        </is>
      </c>
      <c r="J8" s="29" t="inlineStr">
        <is>
          <t>Redes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28" t="inlineStr">
        <is>
          <t>Redes-CP</t>
        </is>
      </c>
      <c r="J9" s="29" t="inlineStr">
        <is>
          <t>Redes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36" t="inlineStr">
        <is>
          <t>IA-C</t>
        </is>
      </c>
      <c r="J10" s="37" t="inlineStr">
        <is>
          <t>Inteligencia Artificial (Conf)</t>
        </is>
      </c>
      <c r="K10" s="37" t="n">
        <v>1</v>
      </c>
      <c r="L10" s="37">
        <f>COUNTIF(B4:F15,I10)</f>
        <v/>
      </c>
      <c r="M10" s="38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t="inlineStr">
        <is>
          <t>Leyenda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3" t="n"/>
      <c r="J13" t="inlineStr">
        <is>
          <t>Aula fuera del listado de la facultad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20" t="n"/>
      <c r="J14" t="inlineStr">
        <is>
          <t>Asignatura fuera de la tabla del grupo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4" t="n"/>
      <c r="J15" t="inlineStr">
        <is>
          <t>Sobre-planificada (asignadas &gt; frecuencia)</t>
        </is>
      </c>
    </row>
    <row r="16">
      <c r="I16" s="15" t="n"/>
      <c r="J16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AND(B4&lt;&gt;"",COUNTIF($I$4:$I$10,B4)=0)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0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4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C312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SO-C</t>
        </is>
      </c>
      <c r="J4" s="29" t="inlineStr">
        <is>
          <t>Sistemas Operativos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SO-CP</t>
        </is>
      </c>
      <c r="J5" s="29" t="inlineStr">
        <is>
          <t>Sistemas Operativos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BD-C</t>
        </is>
      </c>
      <c r="J6" s="29" t="inlineStr">
        <is>
          <t>Bases de Datos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BD-CP</t>
        </is>
      </c>
      <c r="J7" s="29" t="inlineStr">
        <is>
          <t>Bases de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Redes-C</t>
        </is>
      </c>
      <c r="J8" s="29" t="inlineStr">
        <is>
          <t>Redes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28" t="inlineStr">
        <is>
          <t>Redes-CP</t>
        </is>
      </c>
      <c r="J9" s="29" t="inlineStr">
        <is>
          <t>Redes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36" t="inlineStr">
        <is>
          <t>IA-C</t>
        </is>
      </c>
      <c r="J10" s="37" t="inlineStr">
        <is>
          <t>Inteligencia Artificial (Conf)</t>
        </is>
      </c>
      <c r="K10" s="37" t="n">
        <v>1</v>
      </c>
      <c r="L10" s="37">
        <f>COUNTIF(B4:F15,I10)</f>
        <v/>
      </c>
      <c r="M10" s="38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t="inlineStr">
        <is>
          <t>Leyenda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3" t="n"/>
      <c r="J13" t="inlineStr">
        <is>
          <t>Aula fuera del listado de la facultad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20" t="n"/>
      <c r="J14" t="inlineStr">
        <is>
          <t>Asignatura fuera de la tabla del grupo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4" t="n"/>
      <c r="J15" t="inlineStr">
        <is>
          <t>Sobre-planificada (asignadas &gt; frecuencia)</t>
        </is>
      </c>
    </row>
    <row r="16">
      <c r="I16" s="15" t="n"/>
      <c r="J16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AND(B4&lt;&gt;"",COUNTIF($I$4:$I$10,B4)=0)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0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27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C411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Comp-C</t>
        </is>
      </c>
      <c r="J4" s="29" t="inlineStr">
        <is>
          <t>Compiladores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Comp-CP</t>
        </is>
      </c>
      <c r="J5" s="29" t="inlineStr">
        <is>
          <t>Compiladores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ML-C</t>
        </is>
      </c>
      <c r="J6" s="29" t="inlineStr">
        <is>
          <t>Machine Learning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ML-CP</t>
        </is>
      </c>
      <c r="J7" s="29" t="inlineStr">
        <is>
          <t>Machine Learning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Tesis</t>
        </is>
      </c>
      <c r="J8" s="29" t="inlineStr">
        <is>
          <t>Trabajo de Diploma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36" t="inlineStr">
        <is>
          <t>Sem</t>
        </is>
      </c>
      <c r="J9" s="37" t="inlineStr">
        <is>
          <t>Seminario</t>
        </is>
      </c>
      <c r="K9" s="37" t="n">
        <v>1</v>
      </c>
      <c r="L9" s="37">
        <f>COUNTIF(B4:F15,I9)</f>
        <v/>
      </c>
      <c r="M9" s="38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</row>
    <row r="11" ht="22" customHeight="1">
      <c r="A11" s="31" t="n"/>
      <c r="B11" s="32" t="n"/>
      <c r="C11" s="33" t="n"/>
      <c r="D11" s="33" t="n"/>
      <c r="E11" s="33" t="n"/>
      <c r="F11" s="34" t="n"/>
      <c r="I11" t="inlineStr">
        <is>
          <t>Leyenda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3" t="n"/>
      <c r="J12" t="inlineStr">
        <is>
          <t>Aula fuera del listado de la facultad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20" t="n"/>
      <c r="J13" t="inlineStr">
        <is>
          <t>Asignatura fuera de la tabla del grupo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4" t="n"/>
      <c r="J14" t="inlineStr">
        <is>
          <t>Sobre-planificada (asignadas &gt; frecuencia)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15" t="n"/>
      <c r="J15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AND(B4&lt;&gt;"",COUNTIF($I$4:$I$9,B4)=0)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9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27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C412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Comp-C</t>
        </is>
      </c>
      <c r="J4" s="29" t="inlineStr">
        <is>
          <t>Compiladores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Comp-CP</t>
        </is>
      </c>
      <c r="J5" s="29" t="inlineStr">
        <is>
          <t>Compiladores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ML-C</t>
        </is>
      </c>
      <c r="J6" s="29" t="inlineStr">
        <is>
          <t>Machine Learning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ML-CP</t>
        </is>
      </c>
      <c r="J7" s="29" t="inlineStr">
        <is>
          <t>Machine Learning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Tesis</t>
        </is>
      </c>
      <c r="J8" s="29" t="inlineStr">
        <is>
          <t>Trabajo de Diploma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36" t="inlineStr">
        <is>
          <t>Sem</t>
        </is>
      </c>
      <c r="J9" s="37" t="inlineStr">
        <is>
          <t>Seminario</t>
        </is>
      </c>
      <c r="K9" s="37" t="n">
        <v>1</v>
      </c>
      <c r="L9" s="37">
        <f>COUNTIF(B4:F15,I9)</f>
        <v/>
      </c>
      <c r="M9" s="38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</row>
    <row r="11" ht="22" customHeight="1">
      <c r="A11" s="31" t="n"/>
      <c r="B11" s="32" t="n"/>
      <c r="C11" s="33" t="n"/>
      <c r="D11" s="33" t="n"/>
      <c r="E11" s="33" t="n"/>
      <c r="F11" s="34" t="n"/>
      <c r="I11" t="inlineStr">
        <is>
          <t>Leyenda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3" t="n"/>
      <c r="J12" t="inlineStr">
        <is>
          <t>Aula fuera del listado de la facultad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20" t="n"/>
      <c r="J13" t="inlineStr">
        <is>
          <t>Asignatura fuera de la tabla del grupo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4" t="n"/>
      <c r="J14" t="inlineStr">
        <is>
          <t>Sobre-planificada (asignadas &gt; frecuencia)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15" t="n"/>
      <c r="J15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AND(B4&lt;&gt;"",COUNTIF($I$4:$I$9,B4)=0)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9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M111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AM1-C</t>
        </is>
      </c>
      <c r="C4" s="29" t="inlineStr">
        <is>
          <t>AM1-C</t>
        </is>
      </c>
      <c r="D4" s="29" t="inlineStr">
        <is>
          <t>GA-C</t>
        </is>
      </c>
      <c r="E4" s="29" t="inlineStr">
        <is>
          <t>EF</t>
        </is>
      </c>
      <c r="F4" s="30" t="n"/>
      <c r="I4" s="28" t="inlineStr">
        <is>
          <t>AM1-C</t>
        </is>
      </c>
      <c r="J4" s="29" t="inlineStr">
        <is>
          <t>Análisis Matemático I (Conf)</t>
        </is>
      </c>
      <c r="K4" s="29" t="n">
        <v>2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10</t>
        </is>
      </c>
      <c r="C5" s="33" t="inlineStr">
        <is>
          <t>Aula 10</t>
        </is>
      </c>
      <c r="D5" s="33" t="inlineStr">
        <is>
          <t>Aula 10</t>
        </is>
      </c>
      <c r="E5" s="33" t="inlineStr">
        <is>
          <t>Lab 2</t>
        </is>
      </c>
      <c r="F5" s="34" t="n"/>
      <c r="I5" s="28" t="inlineStr">
        <is>
          <t>AM1-CP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AM1-CP</t>
        </is>
      </c>
      <c r="C6" s="29" t="inlineStr">
        <is>
          <t>AlgL-C</t>
        </is>
      </c>
      <c r="D6" s="29" t="inlineStr">
        <is>
          <t>GA-CP</t>
        </is>
      </c>
      <c r="E6" s="29" t="n"/>
      <c r="F6" s="30" t="n"/>
      <c r="I6" s="28" t="inlineStr">
        <is>
          <t>AlgL-C</t>
        </is>
      </c>
      <c r="J6" s="29" t="inlineStr">
        <is>
          <t>Álgebra Lineal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2</t>
        </is>
      </c>
      <c r="C7" s="33" t="inlineStr">
        <is>
          <t>Aula 10</t>
        </is>
      </c>
      <c r="D7" s="33" t="inlineStr">
        <is>
          <t>Aula 11</t>
        </is>
      </c>
      <c r="E7" s="33" t="n"/>
      <c r="F7" s="34" t="n"/>
      <c r="I7" s="28" t="inlineStr">
        <is>
          <t>AlgL-CP</t>
        </is>
      </c>
      <c r="J7" s="29" t="inlineStr">
        <is>
          <t>Álgebra Lineal (C.P.)</t>
        </is>
      </c>
      <c r="K7" s="29" t="n">
        <v>1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AM1-CP</t>
        </is>
      </c>
      <c r="C8" s="29" t="inlineStr">
        <is>
          <t>AlgL-CP</t>
        </is>
      </c>
      <c r="D8" s="29" t="n"/>
      <c r="E8" s="29" t="n"/>
      <c r="F8" s="30" t="n"/>
      <c r="I8" s="28" t="inlineStr">
        <is>
          <t>GA-C</t>
        </is>
      </c>
      <c r="J8" s="29" t="inlineStr">
        <is>
          <t>Geometría Analítica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2</t>
        </is>
      </c>
      <c r="C9" s="33" t="inlineStr">
        <is>
          <t>Aula 11</t>
        </is>
      </c>
      <c r="D9" s="33" t="n"/>
      <c r="E9" s="33" t="n"/>
      <c r="F9" s="34" t="n"/>
      <c r="I9" s="28" t="inlineStr">
        <is>
          <t>GA-CP</t>
        </is>
      </c>
      <c r="J9" s="29" t="inlineStr">
        <is>
          <t>Geometría Analítica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36" t="inlineStr">
        <is>
          <t>EF</t>
        </is>
      </c>
      <c r="J10" s="37" t="inlineStr">
        <is>
          <t>Educación Física</t>
        </is>
      </c>
      <c r="K10" s="37" t="n">
        <v>1</v>
      </c>
      <c r="L10" s="37">
        <f>COUNTIF(B4:F15,I10)</f>
        <v/>
      </c>
      <c r="M10" s="38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t="inlineStr">
        <is>
          <t>Leyenda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3" t="n"/>
      <c r="J13" t="inlineStr">
        <is>
          <t>Aula fuera del listado de la facultad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20" t="n"/>
      <c r="J14" t="inlineStr">
        <is>
          <t>Asignatura fuera de la tabla del grupo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4" t="n"/>
      <c r="J15" t="inlineStr">
        <is>
          <t>Sobre-planificada (asignadas &gt; frecuencia)</t>
        </is>
      </c>
    </row>
    <row r="16">
      <c r="I16" s="15" t="n"/>
      <c r="J16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AND(B4&lt;&gt;"",COUNTIF($I$4:$I$10,B4)=0)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0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0" customWidth="1" min="5" max="5"/>
    <col width="11" customWidth="1" min="6" max="6"/>
    <col width="14" customWidth="1" min="9" max="9"/>
    <col width="32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M112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AM1-C</t>
        </is>
      </c>
      <c r="C4" s="29" t="inlineStr">
        <is>
          <t>AM1-C</t>
        </is>
      </c>
      <c r="D4" s="29" t="inlineStr">
        <is>
          <t>GA-C</t>
        </is>
      </c>
      <c r="E4" s="29" t="inlineStr">
        <is>
          <t>EF</t>
        </is>
      </c>
      <c r="F4" s="30" t="n"/>
      <c r="I4" s="28" t="inlineStr">
        <is>
          <t>AM1-C</t>
        </is>
      </c>
      <c r="J4" s="29" t="inlineStr">
        <is>
          <t>Análisis Matemático I (Conf)</t>
        </is>
      </c>
      <c r="K4" s="29" t="n">
        <v>2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Aula 10</t>
        </is>
      </c>
      <c r="C5" s="33" t="inlineStr">
        <is>
          <t>Aula 10</t>
        </is>
      </c>
      <c r="D5" s="33" t="inlineStr">
        <is>
          <t>Aula 10</t>
        </is>
      </c>
      <c r="E5" s="33" t="inlineStr">
        <is>
          <t>Lab 2</t>
        </is>
      </c>
      <c r="F5" s="34" t="n"/>
      <c r="I5" s="28" t="inlineStr">
        <is>
          <t>AM1-CP</t>
        </is>
      </c>
      <c r="J5" s="29" t="inlineStr">
        <is>
          <t>Análisis Matemático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AM1-CP</t>
        </is>
      </c>
      <c r="C6" s="29" t="inlineStr">
        <is>
          <t>AlgL-C</t>
        </is>
      </c>
      <c r="D6" s="29" t="inlineStr">
        <is>
          <t>GA-CP</t>
        </is>
      </c>
      <c r="E6" s="29" t="n"/>
      <c r="F6" s="30" t="n"/>
      <c r="I6" s="28" t="inlineStr">
        <is>
          <t>AlgL-C</t>
        </is>
      </c>
      <c r="J6" s="29" t="inlineStr">
        <is>
          <t>Álgebra Lineal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11</t>
        </is>
      </c>
      <c r="C7" s="33" t="inlineStr">
        <is>
          <t>Aula 10</t>
        </is>
      </c>
      <c r="D7" s="33" t="inlineStr">
        <is>
          <t>Aula 11</t>
        </is>
      </c>
      <c r="E7" s="33" t="n"/>
      <c r="F7" s="34" t="n"/>
      <c r="I7" s="28" t="inlineStr">
        <is>
          <t>AlgL-CP</t>
        </is>
      </c>
      <c r="J7" s="29" t="inlineStr">
        <is>
          <t>Álgebra Lineal (C.P.)</t>
        </is>
      </c>
      <c r="K7" s="29" t="n">
        <v>1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AM1-CP</t>
        </is>
      </c>
      <c r="C8" s="29" t="inlineStr">
        <is>
          <t>AlgL-CP</t>
        </is>
      </c>
      <c r="D8" s="29" t="n"/>
      <c r="E8" s="29" t="n"/>
      <c r="F8" s="30" t="n"/>
      <c r="I8" s="28" t="inlineStr">
        <is>
          <t>GA-C</t>
        </is>
      </c>
      <c r="J8" s="29" t="inlineStr">
        <is>
          <t>Geometría Analítica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11</t>
        </is>
      </c>
      <c r="C9" s="33" t="inlineStr">
        <is>
          <t>Aula 11</t>
        </is>
      </c>
      <c r="D9" s="33" t="n"/>
      <c r="E9" s="33" t="n"/>
      <c r="F9" s="34" t="n"/>
      <c r="I9" s="28" t="inlineStr">
        <is>
          <t>GA-CP</t>
        </is>
      </c>
      <c r="J9" s="29" t="inlineStr">
        <is>
          <t>Geometría Analítica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36" t="inlineStr">
        <is>
          <t>EF</t>
        </is>
      </c>
      <c r="J10" s="37" t="inlineStr">
        <is>
          <t>Educación Física</t>
        </is>
      </c>
      <c r="K10" s="37" t="n">
        <v>1</v>
      </c>
      <c r="L10" s="37">
        <f>COUNTIF(B4:F15,I10)</f>
        <v/>
      </c>
      <c r="M10" s="38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t="inlineStr">
        <is>
          <t>Leyenda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3" t="n"/>
      <c r="J13" t="inlineStr">
        <is>
          <t>Aula fuera del listado de la facultad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20" t="n"/>
      <c r="J14" t="inlineStr">
        <is>
          <t>Asignatura fuera de la tabla del grupo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4" t="n"/>
      <c r="J15" t="inlineStr">
        <is>
          <t>Sobre-planificada (asignadas &gt; frecuencia)</t>
        </is>
      </c>
    </row>
    <row r="16">
      <c r="I16" s="15" t="n"/>
      <c r="J16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AND(B4&lt;&gt;"",COUNTIF($I$4:$I$10,B4)=0)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0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5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M211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AM2-C</t>
        </is>
      </c>
      <c r="J4" s="29" t="inlineStr">
        <is>
          <t>Análisis Matemático II (Conf)</t>
        </is>
      </c>
      <c r="K4" s="29" t="n">
        <v>2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AM2-CP</t>
        </is>
      </c>
      <c r="J5" s="29" t="inlineStr">
        <is>
          <t>Análisis Matemático II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EDO-C</t>
        </is>
      </c>
      <c r="J6" s="29" t="inlineStr">
        <is>
          <t>Ecuaciones Diferenciales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EDO-CP</t>
        </is>
      </c>
      <c r="J7" s="29" t="inlineStr">
        <is>
          <t>Ecuaciones Diferenciales (C.P.)</t>
        </is>
      </c>
      <c r="K7" s="29" t="n">
        <v>1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Prob-C</t>
        </is>
      </c>
      <c r="J8" s="29" t="inlineStr">
        <is>
          <t>Probabilidades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36" t="inlineStr">
        <is>
          <t>Prob-CP</t>
        </is>
      </c>
      <c r="J9" s="37" t="inlineStr">
        <is>
          <t>Probabilidades (C.P.)</t>
        </is>
      </c>
      <c r="K9" s="37" t="n">
        <v>1</v>
      </c>
      <c r="L9" s="37">
        <f>COUNTIF(B4:F15,I9)</f>
        <v/>
      </c>
      <c r="M9" s="38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</row>
    <row r="11" ht="22" customHeight="1">
      <c r="A11" s="31" t="n"/>
      <c r="B11" s="32" t="n"/>
      <c r="C11" s="33" t="n"/>
      <c r="D11" s="33" t="n"/>
      <c r="E11" s="33" t="n"/>
      <c r="F11" s="34" t="n"/>
      <c r="I11" t="inlineStr">
        <is>
          <t>Leyenda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3" t="n"/>
      <c r="J12" t="inlineStr">
        <is>
          <t>Aula fuera del listado de la facultad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20" t="n"/>
      <c r="J13" t="inlineStr">
        <is>
          <t>Asignatura fuera de la tabla del grupo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4" t="n"/>
      <c r="J14" t="inlineStr">
        <is>
          <t>Sobre-planificada (asignadas &gt; frecuencia)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15" t="n"/>
      <c r="J15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AND(B4&lt;&gt;"",COUNTIF($I$4:$I$9,B4)=0)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9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5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M212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AM2-C</t>
        </is>
      </c>
      <c r="J4" s="29" t="inlineStr">
        <is>
          <t>Análisis Matemático II (Conf)</t>
        </is>
      </c>
      <c r="K4" s="29" t="n">
        <v>2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AM2-CP</t>
        </is>
      </c>
      <c r="J5" s="29" t="inlineStr">
        <is>
          <t>Análisis Matemático II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EDO-C</t>
        </is>
      </c>
      <c r="J6" s="29" t="inlineStr">
        <is>
          <t>Ecuaciones Diferenciales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EDO-CP</t>
        </is>
      </c>
      <c r="J7" s="29" t="inlineStr">
        <is>
          <t>Ecuaciones Diferenciales (C.P.)</t>
        </is>
      </c>
      <c r="K7" s="29" t="n">
        <v>1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Prob-C</t>
        </is>
      </c>
      <c r="J8" s="29" t="inlineStr">
        <is>
          <t>Probabilidades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36" t="inlineStr">
        <is>
          <t>Prob-CP</t>
        </is>
      </c>
      <c r="J9" s="37" t="inlineStr">
        <is>
          <t>Probabilidades (C.P.)</t>
        </is>
      </c>
      <c r="K9" s="37" t="n">
        <v>1</v>
      </c>
      <c r="L9" s="37">
        <f>COUNTIF(B4:F15,I9)</f>
        <v/>
      </c>
      <c r="M9" s="38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</row>
    <row r="11" ht="22" customHeight="1">
      <c r="A11" s="31" t="n"/>
      <c r="B11" s="32" t="n"/>
      <c r="C11" s="33" t="n"/>
      <c r="D11" s="33" t="n"/>
      <c r="E11" s="33" t="n"/>
      <c r="F11" s="34" t="n"/>
      <c r="I11" t="inlineStr">
        <is>
          <t>Leyenda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3" t="n"/>
      <c r="J12" t="inlineStr">
        <is>
          <t>Aula fuera del listado de la facultad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20" t="n"/>
      <c r="J13" t="inlineStr">
        <is>
          <t>Asignatura fuera de la tabla del grupo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4" t="n"/>
      <c r="J14" t="inlineStr">
        <is>
          <t>Sobre-planificada (asignadas &gt; frecuencia)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15" t="n"/>
      <c r="J15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AND(B4&lt;&gt;"",COUNTIF($I$4:$I$9,B4)=0)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9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$I$4:$I$9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1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M311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AF-C</t>
        </is>
      </c>
      <c r="J4" s="29" t="inlineStr">
        <is>
          <t>Análisis Funcional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AF-CP</t>
        </is>
      </c>
      <c r="J5" s="29" t="inlineStr">
        <is>
          <t>Análisis Funcional (C.P.)</t>
        </is>
      </c>
      <c r="K5" s="29" t="n">
        <v>1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Top-C</t>
        </is>
      </c>
      <c r="J6" s="29" t="inlineStr">
        <is>
          <t>Topología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Top-CP</t>
        </is>
      </c>
      <c r="J7" s="29" t="inlineStr">
        <is>
          <t>Topología (C.P.)</t>
        </is>
      </c>
      <c r="K7" s="29" t="n">
        <v>1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36" t="inlineStr">
        <is>
          <t>MedIn-C</t>
        </is>
      </c>
      <c r="J8" s="37" t="inlineStr">
        <is>
          <t>Medida e Integración (Conf)</t>
        </is>
      </c>
      <c r="K8" s="37" t="n">
        <v>1</v>
      </c>
      <c r="L8" s="37">
        <f>COUNTIF(B4:F15,I8)</f>
        <v/>
      </c>
      <c r="M8" s="38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t="inlineStr">
        <is>
          <t>Leyenda</t>
        </is>
      </c>
    </row>
    <row r="11" ht="22" customHeight="1">
      <c r="A11" s="31" t="n"/>
      <c r="B11" s="32" t="n"/>
      <c r="C11" s="33" t="n"/>
      <c r="D11" s="33" t="n"/>
      <c r="E11" s="33" t="n"/>
      <c r="F11" s="34" t="n"/>
      <c r="I11" s="43" t="n"/>
      <c r="J11" t="inlineStr">
        <is>
          <t>Aula fuera del listado de la facultad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20" t="n"/>
      <c r="J12" t="inlineStr">
        <is>
          <t>Asignatura fuera de la tabla del grupo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4" t="n"/>
      <c r="J13" t="inlineStr">
        <is>
          <t>Sobre-planificada (asignadas &gt; frecuencia)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15" t="n"/>
      <c r="J14" t="inlineStr">
        <is>
          <t>Frecuencia exacta cumplida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</row>
  </sheetData>
  <conditionalFormatting sqref="B4:F4 B6:F6 B8:F8 B10:F10 B12:F12 B14:F14">
    <cfRule type="expression" priority="1" dxfId="10">
      <formula>AND(B4&lt;&gt;"",COUNTIF($I$4:$I$8,B4)=0)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8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$I$4:$I$8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23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M411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Optim-C</t>
        </is>
      </c>
      <c r="J4" s="29" t="inlineStr">
        <is>
          <t>Optimización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Optim-CP</t>
        </is>
      </c>
      <c r="J5" s="29" t="inlineStr">
        <is>
          <t>Optimización (C.P.)</t>
        </is>
      </c>
      <c r="K5" s="29" t="n">
        <v>1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TesisM</t>
        </is>
      </c>
      <c r="J6" s="29" t="inlineStr">
        <is>
          <t>Trabajo de Diploma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36" t="inlineStr">
        <is>
          <t>SemM</t>
        </is>
      </c>
      <c r="J7" s="37" t="inlineStr">
        <is>
          <t>Seminario</t>
        </is>
      </c>
      <c r="K7" s="37" t="n">
        <v>1</v>
      </c>
      <c r="L7" s="37">
        <f>COUNTIF(B4:F15,I7)</f>
        <v/>
      </c>
      <c r="M7" s="38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</row>
    <row r="9" ht="22" customHeight="1">
      <c r="A9" s="31" t="n"/>
      <c r="B9" s="32" t="n"/>
      <c r="C9" s="33" t="n"/>
      <c r="D9" s="33" t="n"/>
      <c r="E9" s="33" t="n"/>
      <c r="F9" s="34" t="n"/>
      <c r="I9" t="inlineStr">
        <is>
          <t>Leyenda</t>
        </is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43" t="n"/>
      <c r="J10" t="inlineStr">
        <is>
          <t>Aula fuera del listado de la facultad</t>
        </is>
      </c>
    </row>
    <row r="11" ht="22" customHeight="1">
      <c r="A11" s="31" t="n"/>
      <c r="B11" s="32" t="n"/>
      <c r="C11" s="33" t="n"/>
      <c r="D11" s="33" t="n"/>
      <c r="E11" s="33" t="n"/>
      <c r="F11" s="34" t="n"/>
      <c r="I11" s="20" t="n"/>
      <c r="J11" t="inlineStr">
        <is>
          <t>Asignatura fuera de la tabla del grupo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4" t="n"/>
      <c r="J12" t="inlineStr">
        <is>
          <t>Sobre-planificada (asignadas &gt; frecuencia)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15" t="n"/>
      <c r="J13" t="inlineStr">
        <is>
          <t>Frecuencia exacta cumplida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</row>
    <row r="15" ht="22" customHeight="1">
      <c r="A15" s="39" t="n"/>
      <c r="B15" s="40" t="n"/>
      <c r="C15" s="41" t="n"/>
      <c r="D15" s="41" t="n"/>
      <c r="E15" s="41" t="n"/>
      <c r="F15" s="42" t="n"/>
    </row>
  </sheetData>
  <conditionalFormatting sqref="B4:F4 B6:F6 B8:F8 B10:F10 B12:F12 B14:F14">
    <cfRule type="expression" priority="1" dxfId="10">
      <formula>AND(B4&lt;&gt;"",COUNTIF($I$4:$I$7,B4)=0)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7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$I$4:$I$7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0" customWidth="1" min="5" max="5"/>
    <col width="11" customWidth="1" min="6" max="6"/>
    <col width="14" customWidth="1" min="9" max="9"/>
    <col width="34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D111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Est1-C</t>
        </is>
      </c>
      <c r="C4" s="29" t="inlineStr">
        <is>
          <t>Est1-C</t>
        </is>
      </c>
      <c r="D4" s="29" t="inlineStr">
        <is>
          <t>ProgD-CP</t>
        </is>
      </c>
      <c r="E4" s="29" t="inlineStr">
        <is>
          <t>EF</t>
        </is>
      </c>
      <c r="F4" s="30" t="n"/>
      <c r="I4" s="28" t="inlineStr">
        <is>
          <t>Est1-C</t>
        </is>
      </c>
      <c r="J4" s="29" t="inlineStr">
        <is>
          <t>Estadística I (Conf)</t>
        </is>
      </c>
      <c r="K4" s="29" t="n">
        <v>2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Salón</t>
        </is>
      </c>
      <c r="C5" s="33" t="inlineStr">
        <is>
          <t>Salón</t>
        </is>
      </c>
      <c r="D5" s="33" t="inlineStr">
        <is>
          <t>Aula 12</t>
        </is>
      </c>
      <c r="E5" s="33" t="inlineStr">
        <is>
          <t>Lab 1</t>
        </is>
      </c>
      <c r="F5" s="34" t="n"/>
      <c r="I5" s="28" t="inlineStr">
        <is>
          <t>Est1-CP</t>
        </is>
      </c>
      <c r="J5" s="29" t="inlineStr">
        <is>
          <t>Estadística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Est1-CP</t>
        </is>
      </c>
      <c r="C6" s="29" t="inlineStr">
        <is>
          <t>ProgD-C</t>
        </is>
      </c>
      <c r="D6" s="29" t="inlineStr">
        <is>
          <t>CalcD-C</t>
        </is>
      </c>
      <c r="E6" s="29" t="n"/>
      <c r="F6" s="30" t="n"/>
      <c r="I6" s="28" t="inlineStr">
        <is>
          <t>ProgD-C</t>
        </is>
      </c>
      <c r="J6" s="29" t="inlineStr">
        <is>
          <t>Programación para Datos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Aula 12</t>
        </is>
      </c>
      <c r="C7" s="33" t="inlineStr">
        <is>
          <t>Salón</t>
        </is>
      </c>
      <c r="D7" s="33" t="inlineStr">
        <is>
          <t>Salón</t>
        </is>
      </c>
      <c r="E7" s="33" t="n"/>
      <c r="F7" s="34" t="n"/>
      <c r="I7" s="28" t="inlineStr">
        <is>
          <t>ProgD-CP</t>
        </is>
      </c>
      <c r="J7" s="29" t="inlineStr">
        <is>
          <t>Programación para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Est1-CP</t>
        </is>
      </c>
      <c r="C8" s="29" t="inlineStr">
        <is>
          <t>ProgD-CP</t>
        </is>
      </c>
      <c r="D8" s="29" t="inlineStr">
        <is>
          <t>CalcD-CP</t>
        </is>
      </c>
      <c r="E8" s="29" t="n"/>
      <c r="F8" s="30" t="n"/>
      <c r="I8" s="28" t="inlineStr">
        <is>
          <t>CalcD-C</t>
        </is>
      </c>
      <c r="J8" s="29" t="inlineStr">
        <is>
          <t>Cálculo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Aula 12</t>
        </is>
      </c>
      <c r="C9" s="33" t="inlineStr">
        <is>
          <t>Aula 12</t>
        </is>
      </c>
      <c r="D9" s="33" t="inlineStr">
        <is>
          <t>Aula 12</t>
        </is>
      </c>
      <c r="E9" s="33" t="n"/>
      <c r="F9" s="34" t="n"/>
      <c r="I9" s="28" t="inlineStr">
        <is>
          <t>CalcD-CP</t>
        </is>
      </c>
      <c r="J9" s="29" t="inlineStr">
        <is>
          <t>Cálculo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36" t="inlineStr">
        <is>
          <t>EF</t>
        </is>
      </c>
      <c r="J10" s="37" t="inlineStr">
        <is>
          <t>Educación Física</t>
        </is>
      </c>
      <c r="K10" s="37" t="n">
        <v>1</v>
      </c>
      <c r="L10" s="37">
        <f>COUNTIF(B4:F15,I10)</f>
        <v/>
      </c>
      <c r="M10" s="38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t="inlineStr">
        <is>
          <t>Leyenda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3" t="n"/>
      <c r="J13" t="inlineStr">
        <is>
          <t>Aula fuera del listado de la facultad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20" t="n"/>
      <c r="J14" t="inlineStr">
        <is>
          <t>Asignatura fuera de la tabla del grupo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4" t="n"/>
      <c r="J15" t="inlineStr">
        <is>
          <t>Sobre-planificada (asignadas &gt; frecuencia)</t>
        </is>
      </c>
    </row>
    <row r="16">
      <c r="I16" s="15" t="n"/>
      <c r="J16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AND(B4&lt;&gt;"",COUNTIF($I$4:$I$10,B4)=0)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0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$I$4:$I$10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0" customWidth="1" min="5" max="5"/>
    <col width="11" customWidth="1" min="6" max="6"/>
    <col width="14" customWidth="1" min="9" max="9"/>
    <col width="34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D112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inlineStr">
        <is>
          <t>Est1-C</t>
        </is>
      </c>
      <c r="C4" s="29" t="inlineStr">
        <is>
          <t>Est1-C</t>
        </is>
      </c>
      <c r="D4" s="29" t="inlineStr">
        <is>
          <t>ProgD-CP</t>
        </is>
      </c>
      <c r="E4" s="29" t="inlineStr">
        <is>
          <t>EF</t>
        </is>
      </c>
      <c r="F4" s="30" t="n"/>
      <c r="I4" s="28" t="inlineStr">
        <is>
          <t>Est1-C</t>
        </is>
      </c>
      <c r="J4" s="29" t="inlineStr">
        <is>
          <t>Estadística I (Conf)</t>
        </is>
      </c>
      <c r="K4" s="29" t="n">
        <v>2</v>
      </c>
      <c r="L4" s="29">
        <f>COUNTIF(B4:F15,I4)</f>
        <v/>
      </c>
      <c r="M4" s="30">
        <f>K4-L4</f>
        <v/>
      </c>
    </row>
    <row r="5" ht="22" customHeight="1">
      <c r="A5" s="31" t="n"/>
      <c r="B5" s="32" t="inlineStr">
        <is>
          <t>Salón</t>
        </is>
      </c>
      <c r="C5" s="33" t="inlineStr">
        <is>
          <t>Salón</t>
        </is>
      </c>
      <c r="D5" s="33" t="inlineStr">
        <is>
          <t>Lab 2</t>
        </is>
      </c>
      <c r="E5" s="33" t="inlineStr">
        <is>
          <t>Lab 1</t>
        </is>
      </c>
      <c r="F5" s="34" t="n"/>
      <c r="I5" s="28" t="inlineStr">
        <is>
          <t>Est1-CP</t>
        </is>
      </c>
      <c r="J5" s="29" t="inlineStr">
        <is>
          <t>Estadística 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inlineStr">
        <is>
          <t>Est1-CP</t>
        </is>
      </c>
      <c r="C6" s="29" t="inlineStr">
        <is>
          <t>ProgD-C</t>
        </is>
      </c>
      <c r="D6" s="29" t="inlineStr">
        <is>
          <t>CalcD-C</t>
        </is>
      </c>
      <c r="E6" s="29" t="n"/>
      <c r="F6" s="30" t="n"/>
      <c r="I6" s="28" t="inlineStr">
        <is>
          <t>ProgD-C</t>
        </is>
      </c>
      <c r="J6" s="29" t="inlineStr">
        <is>
          <t>Programación para Datos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inlineStr">
        <is>
          <t>Lab 2</t>
        </is>
      </c>
      <c r="C7" s="33" t="inlineStr">
        <is>
          <t>Salón</t>
        </is>
      </c>
      <c r="D7" s="33" t="inlineStr">
        <is>
          <t>Salón</t>
        </is>
      </c>
      <c r="E7" s="33" t="n"/>
      <c r="F7" s="34" t="n"/>
      <c r="I7" s="28" t="inlineStr">
        <is>
          <t>ProgD-CP</t>
        </is>
      </c>
      <c r="J7" s="29" t="inlineStr">
        <is>
          <t>Programación para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inlineStr">
        <is>
          <t>Est1-CP</t>
        </is>
      </c>
      <c r="C8" s="29" t="inlineStr">
        <is>
          <t>ProgD-CP</t>
        </is>
      </c>
      <c r="D8" s="29" t="inlineStr">
        <is>
          <t>CalcD-CP</t>
        </is>
      </c>
      <c r="E8" s="29" t="n"/>
      <c r="F8" s="30" t="n"/>
      <c r="I8" s="28" t="inlineStr">
        <is>
          <t>CalcD-C</t>
        </is>
      </c>
      <c r="J8" s="29" t="inlineStr">
        <is>
          <t>Cálculo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inlineStr">
        <is>
          <t>Lab 2</t>
        </is>
      </c>
      <c r="C9" s="33" t="inlineStr">
        <is>
          <t>Lab 2</t>
        </is>
      </c>
      <c r="D9" s="33" t="inlineStr">
        <is>
          <t>Lab 2</t>
        </is>
      </c>
      <c r="E9" s="33" t="n"/>
      <c r="F9" s="34" t="n"/>
      <c r="I9" s="28" t="inlineStr">
        <is>
          <t>CalcD-CP</t>
        </is>
      </c>
      <c r="J9" s="29" t="inlineStr">
        <is>
          <t>Cálculo (C.P.)</t>
        </is>
      </c>
      <c r="K9" s="29" t="n">
        <v>1</v>
      </c>
      <c r="L9" s="29">
        <f>COUNTIF(B4:F15,I9)</f>
        <v/>
      </c>
      <c r="M9" s="30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36" t="inlineStr">
        <is>
          <t>EF</t>
        </is>
      </c>
      <c r="J10" s="37" t="inlineStr">
        <is>
          <t>Educación Física</t>
        </is>
      </c>
      <c r="K10" s="37" t="n">
        <v>1</v>
      </c>
      <c r="L10" s="37">
        <f>COUNTIF(B4:F15,I10)</f>
        <v/>
      </c>
      <c r="M10" s="38">
        <f>K10-L10</f>
        <v/>
      </c>
    </row>
    <row r="11" ht="22" customHeight="1">
      <c r="A11" s="31" t="n"/>
      <c r="B11" s="32" t="n"/>
      <c r="C11" s="33" t="n"/>
      <c r="D11" s="33" t="n"/>
      <c r="E11" s="33" t="n"/>
      <c r="F11" s="34" t="n"/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t="inlineStr">
        <is>
          <t>Leyenda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3" t="n"/>
      <c r="J13" t="inlineStr">
        <is>
          <t>Aula fuera del listado de la facultad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20" t="n"/>
      <c r="J14" t="inlineStr">
        <is>
          <t>Asignatura fuera de la tabla del grupo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44" t="n"/>
      <c r="J15" t="inlineStr">
        <is>
          <t>Sobre-planificada (asignadas &gt; frecuencia)</t>
        </is>
      </c>
    </row>
    <row r="16">
      <c r="I16" s="15" t="n"/>
      <c r="J16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AND(B4&lt;&gt;"",COUNTIF($I$4:$I$10,B4)=0)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10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$I$4:$I$10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27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D211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Est2-C</t>
        </is>
      </c>
      <c r="J4" s="29" t="inlineStr">
        <is>
          <t>Estadística II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Est2-CP</t>
        </is>
      </c>
      <c r="J5" s="29" t="inlineStr">
        <is>
          <t>Estadística II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MinD-C</t>
        </is>
      </c>
      <c r="J6" s="29" t="inlineStr">
        <is>
          <t>Minería de Datos (Conf)</t>
        </is>
      </c>
      <c r="K6" s="29" t="n">
        <v>2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MinD-CP</t>
        </is>
      </c>
      <c r="J7" s="29" t="inlineStr">
        <is>
          <t>Minería de Datos (C.P.)</t>
        </is>
      </c>
      <c r="K7" s="29" t="n">
        <v>2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28" t="inlineStr">
        <is>
          <t>BDD-C</t>
        </is>
      </c>
      <c r="J8" s="29" t="inlineStr">
        <is>
          <t>Bases de Datos (Conf)</t>
        </is>
      </c>
      <c r="K8" s="29" t="n">
        <v>1</v>
      </c>
      <c r="L8" s="29">
        <f>COUNTIF(B4:F15,I8)</f>
        <v/>
      </c>
      <c r="M8" s="30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  <c r="I9" s="36" t="inlineStr">
        <is>
          <t>BDD-CP</t>
        </is>
      </c>
      <c r="J9" s="37" t="inlineStr">
        <is>
          <t>Bases de Datos (C.P.)</t>
        </is>
      </c>
      <c r="K9" s="37" t="n">
        <v>1</v>
      </c>
      <c r="L9" s="37">
        <f>COUNTIF(B4:F15,I9)</f>
        <v/>
      </c>
      <c r="M9" s="38">
        <f>K9-L9</f>
        <v/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</row>
    <row r="11" ht="22" customHeight="1">
      <c r="A11" s="31" t="n"/>
      <c r="B11" s="32" t="n"/>
      <c r="C11" s="33" t="n"/>
      <c r="D11" s="33" t="n"/>
      <c r="E11" s="33" t="n"/>
      <c r="F11" s="34" t="n"/>
      <c r="I11" t="inlineStr">
        <is>
          <t>Leyenda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3" t="n"/>
      <c r="J12" t="inlineStr">
        <is>
          <t>Aula fuera del listado de la facultad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20" t="n"/>
      <c r="J13" t="inlineStr">
        <is>
          <t>Asignatura fuera de la tabla del grupo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44" t="n"/>
      <c r="J14" t="inlineStr">
        <is>
          <t>Sobre-planificada (asignadas &gt; frecuencia)</t>
        </is>
      </c>
    </row>
    <row r="15" ht="22" customHeight="1">
      <c r="A15" s="39" t="n"/>
      <c r="B15" s="40" t="n"/>
      <c r="C15" s="41" t="n"/>
      <c r="D15" s="41" t="n"/>
      <c r="E15" s="41" t="n"/>
      <c r="F15" s="42" t="n"/>
      <c r="I15" s="15" t="n"/>
      <c r="J15" t="inlineStr">
        <is>
          <t>Frecuencia exacta cumplida</t>
        </is>
      </c>
    </row>
  </sheetData>
  <conditionalFormatting sqref="B4:F4 B6:F6 B8:F8 B10:F10 B12:F12 B14:F14">
    <cfRule type="expression" priority="1" dxfId="10">
      <formula>AND(B4&lt;&gt;"",COUNTIF($I$4:$I$9,B4)=0)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9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$I$4:$I$9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24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D311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VisD-C</t>
        </is>
      </c>
      <c r="J4" s="29" t="inlineStr">
        <is>
          <t>Visualización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VisD-CP</t>
        </is>
      </c>
      <c r="J5" s="29" t="inlineStr">
        <is>
          <t>Visualización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BigD-C</t>
        </is>
      </c>
      <c r="J6" s="29" t="inlineStr">
        <is>
          <t>Big Data (Conf)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28" t="inlineStr">
        <is>
          <t>BigD-CP</t>
        </is>
      </c>
      <c r="J7" s="29" t="inlineStr">
        <is>
          <t>Big Data (C.P.)</t>
        </is>
      </c>
      <c r="K7" s="29" t="n">
        <v>1</v>
      </c>
      <c r="L7" s="29">
        <f>COUNTIF(B4:F15,I7)</f>
        <v/>
      </c>
      <c r="M7" s="30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  <c r="I8" s="36" t="inlineStr">
        <is>
          <t>DL-C</t>
        </is>
      </c>
      <c r="J8" s="37" t="inlineStr">
        <is>
          <t>Deep Learning (Conf)</t>
        </is>
      </c>
      <c r="K8" s="37" t="n">
        <v>1</v>
      </c>
      <c r="L8" s="37">
        <f>COUNTIF(B4:F15,I8)</f>
        <v/>
      </c>
      <c r="M8" s="38">
        <f>K8-L8</f>
        <v/>
      </c>
    </row>
    <row r="9" ht="22" customHeight="1">
      <c r="A9" s="31" t="n"/>
      <c r="B9" s="32" t="n"/>
      <c r="C9" s="33" t="n"/>
      <c r="D9" s="33" t="n"/>
      <c r="E9" s="33" t="n"/>
      <c r="F9" s="34" t="n"/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t="inlineStr">
        <is>
          <t>Leyenda</t>
        </is>
      </c>
    </row>
    <row r="11" ht="22" customHeight="1">
      <c r="A11" s="31" t="n"/>
      <c r="B11" s="32" t="n"/>
      <c r="C11" s="33" t="n"/>
      <c r="D11" s="33" t="n"/>
      <c r="E11" s="33" t="n"/>
      <c r="F11" s="34" t="n"/>
      <c r="I11" s="43" t="n"/>
      <c r="J11" t="inlineStr">
        <is>
          <t>Aula fuera del listado de la facultad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20" t="n"/>
      <c r="J12" t="inlineStr">
        <is>
          <t>Asignatura fuera de la tabla del grupo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44" t="n"/>
      <c r="J13" t="inlineStr">
        <is>
          <t>Sobre-planificada (asignadas &gt; frecuencia)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  <c r="I14" s="15" t="n"/>
      <c r="J14" t="inlineStr">
        <is>
          <t>Frecuencia exacta cumplida</t>
        </is>
      </c>
    </row>
    <row r="15" ht="22" customHeight="1">
      <c r="A15" s="39" t="n"/>
      <c r="B15" s="40" t="n"/>
      <c r="C15" s="41" t="n"/>
      <c r="D15" s="41" t="n"/>
      <c r="E15" s="41" t="n"/>
      <c r="F15" s="42" t="n"/>
    </row>
  </sheetData>
  <conditionalFormatting sqref="B4:F4 B6:F6 B8:F8 B10:F10 B12:F12 B14:F14">
    <cfRule type="expression" priority="1" dxfId="10">
      <formula>AND(B4&lt;&gt;"",COUNTIF($I$4:$I$8,B4)=0)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8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$I$4:$I$8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3" customWidth="1" min="4" max="4"/>
    <col width="10" customWidth="1" min="5" max="5"/>
    <col width="11" customWidth="1" min="6" max="6"/>
    <col width="14" customWidth="1" min="9" max="9"/>
    <col width="36" customWidth="1" min="10" max="10"/>
    <col width="8" customWidth="1" min="11" max="11"/>
    <col width="13" customWidth="1" min="12" max="12"/>
    <col width="10" customWidth="1" min="13" max="13"/>
  </cols>
  <sheetData>
    <row r="1">
      <c r="A1" t="inlineStr">
        <is>
          <t>Grupo</t>
        </is>
      </c>
      <c r="B1" t="inlineStr">
        <is>
          <t>D411</t>
        </is>
      </c>
    </row>
    <row r="2"/>
    <row r="3" ht="22" customHeight="1">
      <c r="A3" s="23" t="n"/>
      <c r="B3" s="24" t="inlineStr">
        <is>
          <t>Lunes</t>
        </is>
      </c>
      <c r="C3" s="25" t="inlineStr">
        <is>
          <t>Martes</t>
        </is>
      </c>
      <c r="D3" s="25" t="inlineStr">
        <is>
          <t>Miércoles</t>
        </is>
      </c>
      <c r="E3" s="25" t="inlineStr">
        <is>
          <t>Jueves</t>
        </is>
      </c>
      <c r="F3" s="26" t="inlineStr">
        <is>
          <t>Viernes</t>
        </is>
      </c>
      <c r="I3" s="24" t="inlineStr">
        <is>
          <t>Asignatura</t>
        </is>
      </c>
      <c r="J3" s="25" t="inlineStr">
        <is>
          <t>Nombre</t>
        </is>
      </c>
      <c r="K3" s="25" t="inlineStr">
        <is>
          <t>Frec</t>
        </is>
      </c>
      <c r="L3" s="25" t="inlineStr">
        <is>
          <t>Asignadas</t>
        </is>
      </c>
      <c r="M3" s="26" t="inlineStr">
        <is>
          <t>Faltan</t>
        </is>
      </c>
    </row>
    <row r="4" ht="22" customHeight="1">
      <c r="A4" s="27" t="inlineStr">
        <is>
          <t>Turno 1</t>
        </is>
      </c>
      <c r="B4" s="28" t="n"/>
      <c r="C4" s="29" t="n"/>
      <c r="D4" s="29" t="n"/>
      <c r="E4" s="29" t="n"/>
      <c r="F4" s="30" t="n"/>
      <c r="I4" s="28" t="inlineStr">
        <is>
          <t>NLP-C</t>
        </is>
      </c>
      <c r="J4" s="29" t="inlineStr">
        <is>
          <t>Procesamiento de Lenguaje (Conf)</t>
        </is>
      </c>
      <c r="K4" s="29" t="n">
        <v>1</v>
      </c>
      <c r="L4" s="29">
        <f>COUNTIF(B4:F15,I4)</f>
        <v/>
      </c>
      <c r="M4" s="30">
        <f>K4-L4</f>
        <v/>
      </c>
    </row>
    <row r="5" ht="22" customHeight="1">
      <c r="A5" s="31" t="n"/>
      <c r="B5" s="32" t="n"/>
      <c r="C5" s="33" t="n"/>
      <c r="D5" s="33" t="n"/>
      <c r="E5" s="33" t="n"/>
      <c r="F5" s="34" t="n"/>
      <c r="I5" s="28" t="inlineStr">
        <is>
          <t>NLP-CP</t>
        </is>
      </c>
      <c r="J5" s="29" t="inlineStr">
        <is>
          <t>Procesamiento de Lenguaje (C.P.)</t>
        </is>
      </c>
      <c r="K5" s="29" t="n">
        <v>2</v>
      </c>
      <c r="L5" s="29">
        <f>COUNTIF(B4:F15,I5)</f>
        <v/>
      </c>
      <c r="M5" s="30">
        <f>K5-L5</f>
        <v/>
      </c>
    </row>
    <row r="6" ht="22" customHeight="1">
      <c r="A6" s="35" t="inlineStr">
        <is>
          <t>Turno 2</t>
        </is>
      </c>
      <c r="B6" s="28" t="n"/>
      <c r="C6" s="29" t="n"/>
      <c r="D6" s="29" t="n"/>
      <c r="E6" s="29" t="n"/>
      <c r="F6" s="30" t="n"/>
      <c r="I6" s="28" t="inlineStr">
        <is>
          <t>TesisD</t>
        </is>
      </c>
      <c r="J6" s="29" t="inlineStr">
        <is>
          <t>Trabajo de Diploma</t>
        </is>
      </c>
      <c r="K6" s="29" t="n">
        <v>1</v>
      </c>
      <c r="L6" s="29">
        <f>COUNTIF(B4:F15,I6)</f>
        <v/>
      </c>
      <c r="M6" s="30">
        <f>K6-L6</f>
        <v/>
      </c>
    </row>
    <row r="7" ht="22" customHeight="1">
      <c r="A7" s="31" t="n"/>
      <c r="B7" s="32" t="n"/>
      <c r="C7" s="33" t="n"/>
      <c r="D7" s="33" t="n"/>
      <c r="E7" s="33" t="n"/>
      <c r="F7" s="34" t="n"/>
      <c r="I7" s="36" t="inlineStr">
        <is>
          <t>SemD</t>
        </is>
      </c>
      <c r="J7" s="37" t="inlineStr">
        <is>
          <t>Seminario</t>
        </is>
      </c>
      <c r="K7" s="37" t="n">
        <v>1</v>
      </c>
      <c r="L7" s="37">
        <f>COUNTIF(B4:F15,I7)</f>
        <v/>
      </c>
      <c r="M7" s="38">
        <f>K7-L7</f>
        <v/>
      </c>
    </row>
    <row r="8" ht="22" customHeight="1">
      <c r="A8" s="35" t="inlineStr">
        <is>
          <t>Turno 3</t>
        </is>
      </c>
      <c r="B8" s="28" t="n"/>
      <c r="C8" s="29" t="n"/>
      <c r="D8" s="29" t="n"/>
      <c r="E8" s="29" t="n"/>
      <c r="F8" s="30" t="n"/>
    </row>
    <row r="9" ht="22" customHeight="1">
      <c r="A9" s="31" t="n"/>
      <c r="B9" s="32" t="n"/>
      <c r="C9" s="33" t="n"/>
      <c r="D9" s="33" t="n"/>
      <c r="E9" s="33" t="n"/>
      <c r="F9" s="34" t="n"/>
      <c r="I9" t="inlineStr">
        <is>
          <t>Leyenda</t>
        </is>
      </c>
    </row>
    <row r="10" ht="22" customHeight="1">
      <c r="A10" s="35" t="inlineStr">
        <is>
          <t>Turno 4</t>
        </is>
      </c>
      <c r="B10" s="28" t="n"/>
      <c r="C10" s="29" t="n"/>
      <c r="D10" s="29" t="n"/>
      <c r="E10" s="29" t="n"/>
      <c r="F10" s="30" t="n"/>
      <c r="I10" s="43" t="n"/>
      <c r="J10" t="inlineStr">
        <is>
          <t>Aula fuera del listado de la facultad</t>
        </is>
      </c>
    </row>
    <row r="11" ht="22" customHeight="1">
      <c r="A11" s="31" t="n"/>
      <c r="B11" s="32" t="n"/>
      <c r="C11" s="33" t="n"/>
      <c r="D11" s="33" t="n"/>
      <c r="E11" s="33" t="n"/>
      <c r="F11" s="34" t="n"/>
      <c r="I11" s="20" t="n"/>
      <c r="J11" t="inlineStr">
        <is>
          <t>Asignatura fuera de la tabla del grupo</t>
        </is>
      </c>
    </row>
    <row r="12" ht="22" customHeight="1">
      <c r="A12" s="35" t="inlineStr">
        <is>
          <t>Turno 5</t>
        </is>
      </c>
      <c r="B12" s="28" t="n"/>
      <c r="C12" s="29" t="n"/>
      <c r="D12" s="29" t="n"/>
      <c r="E12" s="29" t="n"/>
      <c r="F12" s="30" t="n"/>
      <c r="I12" s="44" t="n"/>
      <c r="J12" t="inlineStr">
        <is>
          <t>Sobre-planificada (asignadas &gt; frecuencia)</t>
        </is>
      </c>
    </row>
    <row r="13" ht="22" customHeight="1">
      <c r="A13" s="31" t="n"/>
      <c r="B13" s="32" t="n"/>
      <c r="C13" s="33" t="n"/>
      <c r="D13" s="33" t="n"/>
      <c r="E13" s="33" t="n"/>
      <c r="F13" s="34" t="n"/>
      <c r="I13" s="15" t="n"/>
      <c r="J13" t="inlineStr">
        <is>
          <t>Frecuencia exacta cumplida</t>
        </is>
      </c>
    </row>
    <row r="14" ht="22" customHeight="1">
      <c r="A14" s="35" t="inlineStr">
        <is>
          <t>Turno 6</t>
        </is>
      </c>
      <c r="B14" s="28" t="n"/>
      <c r="C14" s="29" t="n"/>
      <c r="D14" s="29" t="n"/>
      <c r="E14" s="29" t="n"/>
      <c r="F14" s="30" t="n"/>
    </row>
    <row r="15" ht="22" customHeight="1">
      <c r="A15" s="39" t="n"/>
      <c r="B15" s="40" t="n"/>
      <c r="C15" s="41" t="n"/>
      <c r="D15" s="41" t="n"/>
      <c r="E15" s="41" t="n"/>
      <c r="F15" s="42" t="n"/>
    </row>
  </sheetData>
  <conditionalFormatting sqref="B4:F4 B6:F6 B8:F8 B10:F10 B12:F12 B14:F14">
    <cfRule type="expression" priority="1" dxfId="10">
      <formula>AND(B4&lt;&gt;"",COUNTIF($I$4:$I$7,B4)=0)</formula>
    </cfRule>
  </conditionalFormatting>
  <conditionalFormatting sqref="B5:F5 B7:F7 B9:F9 B11:F11 B13:F13 B15:F15">
    <cfRule type="expression" priority="2" dxfId="13">
      <formula>AND(B5&lt;&gt;"",COUNTIF(AulasValidas,B5)=0)</formula>
    </cfRule>
  </conditionalFormatting>
  <conditionalFormatting sqref="I4:M7">
    <cfRule type="expression" priority="3" dxfId="14">
      <formula>$L4&gt;$K4</formula>
    </cfRule>
    <cfRule type="expression" priority="4" dxfId="5">
      <formula>$L4=$K4</formula>
    </cfRule>
  </conditionalFormatting>
  <dataValidations count="2">
    <dataValidation sqref="B5:F5 B7:F7 B9:F9 B11:F11 B13:F13 B15:F15" showDropDown="0" showInputMessage="0" showErrorMessage="1" allowBlank="1" type="list" errorStyle="information">
      <formula1>AulasValidas</formula1>
    </dataValidation>
    <dataValidation sqref="B4:F4 B6:F6 B8:F8 B10:F10 B12:F12 B14:F14" showDropDown="0" showInputMessage="0" showErrorMessage="1" allowBlank="1" type="list" errorStyle="information">
      <formula1>$I$4:$I$7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2026-08-07T11:37:13Z</dcterms:created>
  <dcterms:modified xmlns:dcterms="http://purl.org/dc/terms/" xmlns:xsi="http://www.w3.org/2001/XMLSchema-instance" xsi:type="dcterms:W3CDTF">2026-08-07T11:37:14Z</dcterms:modified>
</cp:coreProperties>
</file>