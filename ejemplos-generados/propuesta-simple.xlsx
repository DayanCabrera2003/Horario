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las" sheetId="1" state="visible" r:id="rId1"/>
    <sheet xmlns:r="http://schemas.openxmlformats.org/officeDocument/2006/relationships" name="Datos" sheetId="2" state="hidden" r:id="rId2"/>
    <sheet xmlns:r="http://schemas.openxmlformats.org/officeDocument/2006/relationships" name="C111" sheetId="3" state="visible" r:id="rId3"/>
    <sheet xmlns:r="http://schemas.openxmlformats.org/officeDocument/2006/relationships" name="C112" sheetId="4" state="visible" r:id="rId4"/>
    <sheet xmlns:r="http://schemas.openxmlformats.org/officeDocument/2006/relationships" name="C113" sheetId="5" state="visible" r:id="rId5"/>
    <sheet xmlns:r="http://schemas.openxmlformats.org/officeDocument/2006/relationships" name="C121" sheetId="6" state="visible" r:id="rId6"/>
    <sheet xmlns:r="http://schemas.openxmlformats.org/officeDocument/2006/relationships" name="C122" sheetId="7" state="visible" r:id="rId7"/>
  </sheets>
  <definedNames>
    <definedName name="AulasValidas">'Datos'!$A$1:$A$10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ECEFF1"/>
        <bgColor rgb="00ECEFF1"/>
      </patternFill>
    </fill>
    <fill>
      <patternFill patternType="solid">
        <fgColor rgb="00D9D9D9"/>
        <bgColor rgb="00D9D9D9"/>
      </patternFill>
    </fill>
    <fill>
      <patternFill patternType="solid">
        <fgColor rgb="00FFF176"/>
        <bgColor rgb="00FFF176"/>
      </patternFill>
    </fill>
    <fill>
      <patternFill patternType="solid">
        <fgColor rgb="00FFB74D"/>
        <bgColor rgb="00FFB74D"/>
      </patternFill>
    </fill>
    <fill>
      <patternFill patternType="solid">
        <fgColor rgb="00EF9A9A"/>
        <bgColor rgb="00EF9A9A"/>
      </patternFill>
    </fill>
    <fill>
      <patternFill patternType="solid">
        <fgColor rgb="00A5D6A7"/>
        <bgColor rgb="00A5D6A7"/>
      </patternFill>
    </fill>
    <fill>
      <patternFill patternType="solid">
        <fgColor rgb="00BBDEFB"/>
        <bgColor rgb="00BBDEFB"/>
      </patternFill>
    </fill>
    <fill>
      <patternFill patternType="solid">
        <fgColor rgb="00E53935"/>
        <bgColor rgb="00E53935"/>
      </patternFill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thin"/>
      <bottom style="thick"/>
    </border>
    <border>
      <left style="medium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medium"/>
      <top style="thin"/>
      <bottom style="thick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1" fillId="3" borderId="3" pivotButton="0" quotePrefix="0" xfId="0"/>
    <xf numFmtId="0" fontId="1" fillId="3" borderId="4" pivotButton="0" quotePrefix="0" xfId="0"/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" fillId="3" borderId="7" pivotButton="0" quotePrefix="0" xfId="0"/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8" borderId="5" pivotButton="0" quotePrefix="0" xfId="0"/>
    <xf numFmtId="0" fontId="0" fillId="9" borderId="5" pivotButton="0" quotePrefix="0" xfId="0"/>
    <xf numFmtId="0" fontId="0" fillId="0" borderId="0" applyAlignment="1" pivotButton="0" quotePrefix="0" xfId="0">
      <alignment horizontal="left" vertical="center" indent="1"/>
    </xf>
    <xf numFmtId="0" fontId="1" fillId="3" borderId="1" applyAlignment="1" pivotButton="0" quotePrefix="0" xfId="0">
      <alignment horizontal="left" vertical="center" indent="1"/>
    </xf>
    <xf numFmtId="0" fontId="1" fillId="3" borderId="2" applyAlignment="1" pivotButton="0" quotePrefix="0" xfId="0">
      <alignment horizontal="left" vertical="center" indent="1"/>
    </xf>
    <xf numFmtId="0" fontId="1" fillId="3" borderId="3" applyAlignment="1" pivotButton="0" quotePrefix="0" xfId="0">
      <alignment horizontal="left" vertical="center" indent="1"/>
    </xf>
    <xf numFmtId="0" fontId="1" fillId="3" borderId="10" applyAlignment="1" pivotButton="0" quotePrefix="0" xfId="0">
      <alignment horizontal="left" vertical="center" indent="1"/>
    </xf>
    <xf numFmtId="0" fontId="0" fillId="0" borderId="4" applyAlignment="1" pivotButton="0" quotePrefix="0" xfId="0">
      <alignment horizontal="left" vertical="center" indent="1"/>
    </xf>
    <xf numFmtId="0" fontId="0" fillId="0" borderId="5" applyAlignment="1" pivotButton="0" quotePrefix="0" xfId="0">
      <alignment horizontal="left" vertical="center" indent="1"/>
    </xf>
    <xf numFmtId="0" fontId="0" fillId="0" borderId="6" applyAlignment="1" pivotButton="0" quotePrefix="0" xfId="0">
      <alignment horizontal="left" vertical="center" indent="1"/>
    </xf>
    <xf numFmtId="0" fontId="0" fillId="0" borderId="13" applyAlignment="1" pivotButton="0" quotePrefix="0" xfId="0">
      <alignment horizontal="left" vertical="center" indent="1"/>
    </xf>
    <xf numFmtId="0" fontId="0" fillId="2" borderId="14" applyAlignment="1" pivotButton="0" quotePrefix="0" xfId="0">
      <alignment horizontal="left" vertical="center" indent="1"/>
    </xf>
    <xf numFmtId="0" fontId="0" fillId="2" borderId="15" applyAlignment="1" pivotButton="0" quotePrefix="0" xfId="0">
      <alignment horizontal="left" vertical="center" indent="1"/>
    </xf>
    <xf numFmtId="0" fontId="0" fillId="2" borderId="16" applyAlignment="1" pivotButton="0" quotePrefix="0" xfId="0">
      <alignment horizontal="left" vertical="center" indent="1"/>
    </xf>
    <xf numFmtId="0" fontId="1" fillId="3" borderId="11" applyAlignment="1" pivotButton="0" quotePrefix="0" xfId="0">
      <alignment horizontal="left" vertical="center" indent="1"/>
    </xf>
    <xf numFmtId="0" fontId="0" fillId="0" borderId="7" applyAlignment="1" pivotButton="0" quotePrefix="0" xfId="0">
      <alignment horizontal="left" vertical="center" indent="1"/>
    </xf>
    <xf numFmtId="0" fontId="0" fillId="0" borderId="8" applyAlignment="1" pivotButton="0" quotePrefix="0" xfId="0">
      <alignment horizontal="left" vertical="center" indent="1"/>
    </xf>
    <xf numFmtId="0" fontId="0" fillId="0" borderId="9" applyAlignment="1" pivotButton="0" quotePrefix="0" xfId="0">
      <alignment horizontal="left" vertical="center" indent="1"/>
    </xf>
    <xf numFmtId="0" fontId="0" fillId="0" borderId="12" applyAlignment="1" pivotButton="0" quotePrefix="0" xfId="0">
      <alignment horizontal="left" vertical="center" indent="1"/>
    </xf>
    <xf numFmtId="0" fontId="0" fillId="2" borderId="7" applyAlignment="1" pivotButton="0" quotePrefix="0" xfId="0">
      <alignment horizontal="left" vertical="center" indent="1"/>
    </xf>
    <xf numFmtId="0" fontId="0" fillId="2" borderId="8" applyAlignment="1" pivotButton="0" quotePrefix="0" xfId="0">
      <alignment horizontal="left" vertical="center" indent="1"/>
    </xf>
    <xf numFmtId="0" fontId="0" fillId="2" borderId="9" applyAlignment="1" pivotButton="0" quotePrefix="0" xfId="0">
      <alignment horizontal="left" vertical="center" indent="1"/>
    </xf>
    <xf numFmtId="0" fontId="0" fillId="4" borderId="5" pivotButton="0" quotePrefix="0" xfId="0"/>
    <xf numFmtId="0" fontId="0" fillId="5" borderId="5" pivotButton="0" quotePrefix="0" xfId="0"/>
    <xf numFmtId="0" fontId="0" fillId="6" borderId="5" pivotButton="0" quotePrefix="0" xfId="0"/>
    <xf numFmtId="0" fontId="0" fillId="7" borderId="5" pivotButton="0" quotePrefix="0" xfId="0"/>
  </cellXfs>
  <cellStyles count="1">
    <cellStyle name="Normal" xfId="0" builtinId="0" hidden="0"/>
  </cellStyles>
  <dxfs count="6">
    <dxf>
      <fill>
        <patternFill patternType="solid">
          <fgColor rgb="00BBDEFB"/>
          <bgColor rgb="00BBDEFB"/>
        </patternFill>
      </fill>
    </dxf>
    <dxf>
      <fill>
        <patternFill patternType="solid">
          <fgColor rgb="00E53935"/>
          <bgColor rgb="00E53935"/>
        </patternFill>
      </fill>
    </dxf>
    <dxf>
      <fill>
        <patternFill patternType="solid">
          <fgColor rgb="00FFB74D"/>
          <bgColor rgb="00FFB74D"/>
        </patternFill>
      </fill>
    </dxf>
    <dxf>
      <fill>
        <patternFill patternType="solid">
          <fgColor rgb="00FFF176"/>
          <bgColor rgb="00FFF176"/>
        </patternFill>
      </fill>
    </dxf>
    <dxf>
      <fill>
        <patternFill patternType="solid">
          <fgColor rgb="00EF9A9A"/>
          <bgColor rgb="00EF9A9A"/>
        </patternFill>
      </fill>
    </dxf>
    <dxf>
      <fill>
        <patternFill patternType="solid">
          <fgColor rgb="00A5D6A7"/>
          <bgColor rgb="00A5D6A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Lunes</t>
        </is>
      </c>
      <c r="B1" s="2" t="inlineStr">
        <is>
          <t>Aula 1</t>
        </is>
      </c>
      <c r="C1" s="2" t="inlineStr">
        <is>
          <t>Aula 2</t>
        </is>
      </c>
      <c r="D1" s="2" t="inlineStr">
        <is>
          <t>Aula 3</t>
        </is>
      </c>
      <c r="E1" s="2" t="inlineStr">
        <is>
          <t>Aula 4</t>
        </is>
      </c>
      <c r="F1" s="2" t="inlineStr">
        <is>
          <t>Aula 5</t>
        </is>
      </c>
      <c r="G1" s="2" t="inlineStr">
        <is>
          <t>Aula 6</t>
        </is>
      </c>
      <c r="H1" s="2" t="inlineStr">
        <is>
          <t>Aula 7</t>
        </is>
      </c>
      <c r="I1" s="2" t="inlineStr">
        <is>
          <t>Aula 8</t>
        </is>
      </c>
      <c r="J1" s="2" t="inlineStr">
        <is>
          <t>Aula 9</t>
        </is>
      </c>
      <c r="K1" s="3" t="inlineStr">
        <is>
          <t>Lab</t>
        </is>
      </c>
    </row>
    <row r="2">
      <c r="A2" s="4" t="inlineStr">
        <is>
          <t>Turno 1</t>
        </is>
      </c>
      <c r="B2" s="5">
        <f>SUBSTITUTE(TRIM(IF('C111'!B5="Aula 1","C111 ","")&amp;IF('C112'!B5="Aula 1","C112 ","")&amp;IF('C113'!B5="Aula 1","C113 ","")&amp;IF('C121'!B5="Aula 1","C121 ","")&amp;IF('C122'!B5="Aula 1","C122 ",""))," ",",")</f>
        <v/>
      </c>
      <c r="C2" s="5">
        <f>SUBSTITUTE(TRIM(IF('C111'!B5="Aula 2","C111 ","")&amp;IF('C112'!B5="Aula 2","C112 ","")&amp;IF('C113'!B5="Aula 2","C113 ","")&amp;IF('C121'!B5="Aula 2","C121 ","")&amp;IF('C122'!B5="Aula 2","C122 ",""))," ",",")</f>
        <v/>
      </c>
      <c r="D2" s="5">
        <f>SUBSTITUTE(TRIM(IF('C111'!B5="Aula 3","C111 ","")&amp;IF('C112'!B5="Aula 3","C112 ","")&amp;IF('C113'!B5="Aula 3","C113 ","")&amp;IF('C121'!B5="Aula 3","C121 ","")&amp;IF('C122'!B5="Aula 3","C122 ",""))," ",",")</f>
        <v/>
      </c>
      <c r="E2" s="5">
        <f>SUBSTITUTE(TRIM(IF('C111'!B5="Aula 4","C111 ","")&amp;IF('C112'!B5="Aula 4","C112 ","")&amp;IF('C113'!B5="Aula 4","C113 ","")&amp;IF('C121'!B5="Aula 4","C121 ","")&amp;IF('C122'!B5="Aula 4","C122 ",""))," ",",")</f>
        <v/>
      </c>
      <c r="F2" s="5">
        <f>SUBSTITUTE(TRIM(IF('C111'!B5="Aula 5","C111 ","")&amp;IF('C112'!B5="Aula 5","C112 ","")&amp;IF('C113'!B5="Aula 5","C113 ","")&amp;IF('C121'!B5="Aula 5","C121 ","")&amp;IF('C122'!B5="Aula 5","C122 ",""))," ",",")</f>
        <v/>
      </c>
      <c r="G2" s="5">
        <f>SUBSTITUTE(TRIM(IF('C111'!B5="Aula 6","C111 ","")&amp;IF('C112'!B5="Aula 6","C112 ","")&amp;IF('C113'!B5="Aula 6","C113 ","")&amp;IF('C121'!B5="Aula 6","C121 ","")&amp;IF('C122'!B5="Aula 6","C122 ",""))," ",",")</f>
        <v/>
      </c>
      <c r="H2" s="5">
        <f>SUBSTITUTE(TRIM(IF('C111'!B5="Aula 7","C111 ","")&amp;IF('C112'!B5="Aula 7","C112 ","")&amp;IF('C113'!B5="Aula 7","C113 ","")&amp;IF('C121'!B5="Aula 7","C121 ","")&amp;IF('C122'!B5="Aula 7","C122 ",""))," ",",")</f>
        <v/>
      </c>
      <c r="I2" s="5">
        <f>SUBSTITUTE(TRIM(IF('C111'!B5="Aula 8","C111 ","")&amp;IF('C112'!B5="Aula 8","C112 ","")&amp;IF('C113'!B5="Aula 8","C113 ","")&amp;IF('C121'!B5="Aula 8","C121 ","")&amp;IF('C122'!B5="Aula 8","C122 ",""))," ",",")</f>
        <v/>
      </c>
      <c r="J2" s="5">
        <f>SUBSTITUTE(TRIM(IF('C111'!B5="Aula 9","C111 ","")&amp;IF('C112'!B5="Aula 9","C112 ","")&amp;IF('C113'!B5="Aula 9","C113 ","")&amp;IF('C121'!B5="Aula 9","C121 ","")&amp;IF('C122'!B5="Aula 9","C122 ",""))," ",",")</f>
        <v/>
      </c>
      <c r="K2" s="6">
        <f>SUBSTITUTE(TRIM(IF('C111'!B5="Lab","C111 ","")&amp;IF('C112'!B5="Lab","C112 ","")&amp;IF('C113'!B5="Lab","C113 ","")&amp;IF('C121'!B5="Lab","C121 ","")&amp;IF('C122'!B5="Lab","C122 ",""))," ",",")</f>
        <v/>
      </c>
    </row>
    <row r="3">
      <c r="A3" s="4" t="inlineStr">
        <is>
          <t>Turno 2</t>
        </is>
      </c>
      <c r="B3" s="5">
        <f>SUBSTITUTE(TRIM(IF('C111'!B7="Aula 1","C111 ","")&amp;IF('C112'!B7="Aula 1","C112 ","")&amp;IF('C113'!B7="Aula 1","C113 ","")&amp;IF('C121'!B7="Aula 1","C121 ","")&amp;IF('C122'!B7="Aula 1","C122 ",""))," ",",")</f>
        <v/>
      </c>
      <c r="C3" s="5">
        <f>SUBSTITUTE(TRIM(IF('C111'!B7="Aula 2","C111 ","")&amp;IF('C112'!B7="Aula 2","C112 ","")&amp;IF('C113'!B7="Aula 2","C113 ","")&amp;IF('C121'!B7="Aula 2","C121 ","")&amp;IF('C122'!B7="Aula 2","C122 ",""))," ",",")</f>
        <v/>
      </c>
      <c r="D3" s="5">
        <f>SUBSTITUTE(TRIM(IF('C111'!B7="Aula 3","C111 ","")&amp;IF('C112'!B7="Aula 3","C112 ","")&amp;IF('C113'!B7="Aula 3","C113 ","")&amp;IF('C121'!B7="Aula 3","C121 ","")&amp;IF('C122'!B7="Aula 3","C122 ",""))," ",",")</f>
        <v/>
      </c>
      <c r="E3" s="5">
        <f>SUBSTITUTE(TRIM(IF('C111'!B7="Aula 4","C111 ","")&amp;IF('C112'!B7="Aula 4","C112 ","")&amp;IF('C113'!B7="Aula 4","C113 ","")&amp;IF('C121'!B7="Aula 4","C121 ","")&amp;IF('C122'!B7="Aula 4","C122 ",""))," ",",")</f>
        <v/>
      </c>
      <c r="F3" s="5">
        <f>SUBSTITUTE(TRIM(IF('C111'!B7="Aula 5","C111 ","")&amp;IF('C112'!B7="Aula 5","C112 ","")&amp;IF('C113'!B7="Aula 5","C113 ","")&amp;IF('C121'!B7="Aula 5","C121 ","")&amp;IF('C122'!B7="Aula 5","C122 ",""))," ",",")</f>
        <v/>
      </c>
      <c r="G3" s="5">
        <f>SUBSTITUTE(TRIM(IF('C111'!B7="Aula 6","C111 ","")&amp;IF('C112'!B7="Aula 6","C112 ","")&amp;IF('C113'!B7="Aula 6","C113 ","")&amp;IF('C121'!B7="Aula 6","C121 ","")&amp;IF('C122'!B7="Aula 6","C122 ",""))," ",",")</f>
        <v/>
      </c>
      <c r="H3" s="5">
        <f>SUBSTITUTE(TRIM(IF('C111'!B7="Aula 7","C111 ","")&amp;IF('C112'!B7="Aula 7","C112 ","")&amp;IF('C113'!B7="Aula 7","C113 ","")&amp;IF('C121'!B7="Aula 7","C121 ","")&amp;IF('C122'!B7="Aula 7","C122 ",""))," ",",")</f>
        <v/>
      </c>
      <c r="I3" s="5">
        <f>SUBSTITUTE(TRIM(IF('C111'!B7="Aula 8","C111 ","")&amp;IF('C112'!B7="Aula 8","C112 ","")&amp;IF('C113'!B7="Aula 8","C113 ","")&amp;IF('C121'!B7="Aula 8","C121 ","")&amp;IF('C122'!B7="Aula 8","C122 ",""))," ",",")</f>
        <v/>
      </c>
      <c r="J3" s="5">
        <f>SUBSTITUTE(TRIM(IF('C111'!B7="Aula 9","C111 ","")&amp;IF('C112'!B7="Aula 9","C112 ","")&amp;IF('C113'!B7="Aula 9","C113 ","")&amp;IF('C121'!B7="Aula 9","C121 ","")&amp;IF('C122'!B7="Aula 9","C122 ",""))," ",",")</f>
        <v/>
      </c>
      <c r="K3" s="6">
        <f>SUBSTITUTE(TRIM(IF('C111'!B7="Lab","C111 ","")&amp;IF('C112'!B7="Lab","C112 ","")&amp;IF('C113'!B7="Lab","C113 ","")&amp;IF('C121'!B7="Lab","C121 ","")&amp;IF('C122'!B7="Lab","C122 ",""))," ",",")</f>
        <v/>
      </c>
    </row>
    <row r="4">
      <c r="A4" s="4" t="inlineStr">
        <is>
          <t>Turno 3</t>
        </is>
      </c>
      <c r="B4" s="5">
        <f>SUBSTITUTE(TRIM(IF('C111'!B9="Aula 1","C111 ","")&amp;IF('C112'!B9="Aula 1","C112 ","")&amp;IF('C113'!B9="Aula 1","C113 ","")&amp;IF('C121'!B9="Aula 1","C121 ","")&amp;IF('C122'!B9="Aula 1","C122 ",""))," ",",")</f>
        <v/>
      </c>
      <c r="C4" s="5">
        <f>SUBSTITUTE(TRIM(IF('C111'!B9="Aula 2","C111 ","")&amp;IF('C112'!B9="Aula 2","C112 ","")&amp;IF('C113'!B9="Aula 2","C113 ","")&amp;IF('C121'!B9="Aula 2","C121 ","")&amp;IF('C122'!B9="Aula 2","C122 ",""))," ",",")</f>
        <v/>
      </c>
      <c r="D4" s="5">
        <f>SUBSTITUTE(TRIM(IF('C111'!B9="Aula 3","C111 ","")&amp;IF('C112'!B9="Aula 3","C112 ","")&amp;IF('C113'!B9="Aula 3","C113 ","")&amp;IF('C121'!B9="Aula 3","C121 ","")&amp;IF('C122'!B9="Aula 3","C122 ",""))," ",",")</f>
        <v/>
      </c>
      <c r="E4" s="5">
        <f>SUBSTITUTE(TRIM(IF('C111'!B9="Aula 4","C111 ","")&amp;IF('C112'!B9="Aula 4","C112 ","")&amp;IF('C113'!B9="Aula 4","C113 ","")&amp;IF('C121'!B9="Aula 4","C121 ","")&amp;IF('C122'!B9="Aula 4","C122 ",""))," ",",")</f>
        <v/>
      </c>
      <c r="F4" s="5">
        <f>SUBSTITUTE(TRIM(IF('C111'!B9="Aula 5","C111 ","")&amp;IF('C112'!B9="Aula 5","C112 ","")&amp;IF('C113'!B9="Aula 5","C113 ","")&amp;IF('C121'!B9="Aula 5","C121 ","")&amp;IF('C122'!B9="Aula 5","C122 ",""))," ",",")</f>
        <v/>
      </c>
      <c r="G4" s="5">
        <f>SUBSTITUTE(TRIM(IF('C111'!B9="Aula 6","C111 ","")&amp;IF('C112'!B9="Aula 6","C112 ","")&amp;IF('C113'!B9="Aula 6","C113 ","")&amp;IF('C121'!B9="Aula 6","C121 ","")&amp;IF('C122'!B9="Aula 6","C122 ",""))," ",",")</f>
        <v/>
      </c>
      <c r="H4" s="5">
        <f>SUBSTITUTE(TRIM(IF('C111'!B9="Aula 7","C111 ","")&amp;IF('C112'!B9="Aula 7","C112 ","")&amp;IF('C113'!B9="Aula 7","C113 ","")&amp;IF('C121'!B9="Aula 7","C121 ","")&amp;IF('C122'!B9="Aula 7","C122 ",""))," ",",")</f>
        <v/>
      </c>
      <c r="I4" s="5">
        <f>SUBSTITUTE(TRIM(IF('C111'!B9="Aula 8","C111 ","")&amp;IF('C112'!B9="Aula 8","C112 ","")&amp;IF('C113'!B9="Aula 8","C113 ","")&amp;IF('C121'!B9="Aula 8","C121 ","")&amp;IF('C122'!B9="Aula 8","C122 ",""))," ",",")</f>
        <v/>
      </c>
      <c r="J4" s="5">
        <f>SUBSTITUTE(TRIM(IF('C111'!B9="Aula 9","C111 ","")&amp;IF('C112'!B9="Aula 9","C112 ","")&amp;IF('C113'!B9="Aula 9","C113 ","")&amp;IF('C121'!B9="Aula 9","C121 ","")&amp;IF('C122'!B9="Aula 9","C122 ",""))," ",",")</f>
        <v/>
      </c>
      <c r="K4" s="6">
        <f>SUBSTITUTE(TRIM(IF('C111'!B9="Lab","C111 ","")&amp;IF('C112'!B9="Lab","C112 ","")&amp;IF('C113'!B9="Lab","C113 ","")&amp;IF('C121'!B9="Lab","C121 ","")&amp;IF('C122'!B9="Lab","C122 ",""))," ",",")</f>
        <v/>
      </c>
    </row>
    <row r="5">
      <c r="A5" s="4" t="inlineStr">
        <is>
          <t>Turno 4</t>
        </is>
      </c>
      <c r="B5" s="5">
        <f>SUBSTITUTE(TRIM(IF('C111'!B11="Aula 1","C111 ","")&amp;IF('C112'!B11="Aula 1","C112 ","")&amp;IF('C113'!B11="Aula 1","C113 ","")&amp;IF('C121'!B11="Aula 1","C121 ","")&amp;IF('C122'!B11="Aula 1","C122 ",""))," ",",")</f>
        <v/>
      </c>
      <c r="C5" s="5">
        <f>SUBSTITUTE(TRIM(IF('C111'!B11="Aula 2","C111 ","")&amp;IF('C112'!B11="Aula 2","C112 ","")&amp;IF('C113'!B11="Aula 2","C113 ","")&amp;IF('C121'!B11="Aula 2","C121 ","")&amp;IF('C122'!B11="Aula 2","C122 ",""))," ",",")</f>
        <v/>
      </c>
      <c r="D5" s="5">
        <f>SUBSTITUTE(TRIM(IF('C111'!B11="Aula 3","C111 ","")&amp;IF('C112'!B11="Aula 3","C112 ","")&amp;IF('C113'!B11="Aula 3","C113 ","")&amp;IF('C121'!B11="Aula 3","C121 ","")&amp;IF('C122'!B11="Aula 3","C122 ",""))," ",",")</f>
        <v/>
      </c>
      <c r="E5" s="5">
        <f>SUBSTITUTE(TRIM(IF('C111'!B11="Aula 4","C111 ","")&amp;IF('C112'!B11="Aula 4","C112 ","")&amp;IF('C113'!B11="Aula 4","C113 ","")&amp;IF('C121'!B11="Aula 4","C121 ","")&amp;IF('C122'!B11="Aula 4","C122 ",""))," ",",")</f>
        <v/>
      </c>
      <c r="F5" s="5">
        <f>SUBSTITUTE(TRIM(IF('C111'!B11="Aula 5","C111 ","")&amp;IF('C112'!B11="Aula 5","C112 ","")&amp;IF('C113'!B11="Aula 5","C113 ","")&amp;IF('C121'!B11="Aula 5","C121 ","")&amp;IF('C122'!B11="Aula 5","C122 ",""))," ",",")</f>
        <v/>
      </c>
      <c r="G5" s="5">
        <f>SUBSTITUTE(TRIM(IF('C111'!B11="Aula 6","C111 ","")&amp;IF('C112'!B11="Aula 6","C112 ","")&amp;IF('C113'!B11="Aula 6","C113 ","")&amp;IF('C121'!B11="Aula 6","C121 ","")&amp;IF('C122'!B11="Aula 6","C122 ",""))," ",",")</f>
        <v/>
      </c>
      <c r="H5" s="5">
        <f>SUBSTITUTE(TRIM(IF('C111'!B11="Aula 7","C111 ","")&amp;IF('C112'!B11="Aula 7","C112 ","")&amp;IF('C113'!B11="Aula 7","C113 ","")&amp;IF('C121'!B11="Aula 7","C121 ","")&amp;IF('C122'!B11="Aula 7","C122 ",""))," ",",")</f>
        <v/>
      </c>
      <c r="I5" s="5">
        <f>SUBSTITUTE(TRIM(IF('C111'!B11="Aula 8","C111 ","")&amp;IF('C112'!B11="Aula 8","C112 ","")&amp;IF('C113'!B11="Aula 8","C113 ","")&amp;IF('C121'!B11="Aula 8","C121 ","")&amp;IF('C122'!B11="Aula 8","C122 ",""))," ",",")</f>
        <v/>
      </c>
      <c r="J5" s="5">
        <f>SUBSTITUTE(TRIM(IF('C111'!B11="Aula 9","C111 ","")&amp;IF('C112'!B11="Aula 9","C112 ","")&amp;IF('C113'!B11="Aula 9","C113 ","")&amp;IF('C121'!B11="Aula 9","C121 ","")&amp;IF('C122'!B11="Aula 9","C122 ",""))," ",",")</f>
        <v/>
      </c>
      <c r="K5" s="6">
        <f>SUBSTITUTE(TRIM(IF('C111'!B11="Lab","C111 ","")&amp;IF('C112'!B11="Lab","C112 ","")&amp;IF('C113'!B11="Lab","C113 ","")&amp;IF('C121'!B11="Lab","C121 ","")&amp;IF('C122'!B11="Lab","C122 ",""))," ",",")</f>
        <v/>
      </c>
    </row>
    <row r="6">
      <c r="A6" s="4" t="inlineStr">
        <is>
          <t>Turno 5</t>
        </is>
      </c>
      <c r="B6" s="5">
        <f>SUBSTITUTE(TRIM(IF('C111'!B13="Aula 1","C111 ","")&amp;IF('C112'!B13="Aula 1","C112 ","")&amp;IF('C113'!B13="Aula 1","C113 ","")&amp;IF('C121'!B13="Aula 1","C121 ","")&amp;IF('C122'!B13="Aula 1","C122 ",""))," ",",")</f>
        <v/>
      </c>
      <c r="C6" s="5">
        <f>SUBSTITUTE(TRIM(IF('C111'!B13="Aula 2","C111 ","")&amp;IF('C112'!B13="Aula 2","C112 ","")&amp;IF('C113'!B13="Aula 2","C113 ","")&amp;IF('C121'!B13="Aula 2","C121 ","")&amp;IF('C122'!B13="Aula 2","C122 ",""))," ",",")</f>
        <v/>
      </c>
      <c r="D6" s="5">
        <f>SUBSTITUTE(TRIM(IF('C111'!B13="Aula 3","C111 ","")&amp;IF('C112'!B13="Aula 3","C112 ","")&amp;IF('C113'!B13="Aula 3","C113 ","")&amp;IF('C121'!B13="Aula 3","C121 ","")&amp;IF('C122'!B13="Aula 3","C122 ",""))," ",",")</f>
        <v/>
      </c>
      <c r="E6" s="5">
        <f>SUBSTITUTE(TRIM(IF('C111'!B13="Aula 4","C111 ","")&amp;IF('C112'!B13="Aula 4","C112 ","")&amp;IF('C113'!B13="Aula 4","C113 ","")&amp;IF('C121'!B13="Aula 4","C121 ","")&amp;IF('C122'!B13="Aula 4","C122 ",""))," ",",")</f>
        <v/>
      </c>
      <c r="F6" s="5">
        <f>SUBSTITUTE(TRIM(IF('C111'!B13="Aula 5","C111 ","")&amp;IF('C112'!B13="Aula 5","C112 ","")&amp;IF('C113'!B13="Aula 5","C113 ","")&amp;IF('C121'!B13="Aula 5","C121 ","")&amp;IF('C122'!B13="Aula 5","C122 ",""))," ",",")</f>
        <v/>
      </c>
      <c r="G6" s="5">
        <f>SUBSTITUTE(TRIM(IF('C111'!B13="Aula 6","C111 ","")&amp;IF('C112'!B13="Aula 6","C112 ","")&amp;IF('C113'!B13="Aula 6","C113 ","")&amp;IF('C121'!B13="Aula 6","C121 ","")&amp;IF('C122'!B13="Aula 6","C122 ",""))," ",",")</f>
        <v/>
      </c>
      <c r="H6" s="5">
        <f>SUBSTITUTE(TRIM(IF('C111'!B13="Aula 7","C111 ","")&amp;IF('C112'!B13="Aula 7","C112 ","")&amp;IF('C113'!B13="Aula 7","C113 ","")&amp;IF('C121'!B13="Aula 7","C121 ","")&amp;IF('C122'!B13="Aula 7","C122 ",""))," ",",")</f>
        <v/>
      </c>
      <c r="I6" s="5">
        <f>SUBSTITUTE(TRIM(IF('C111'!B13="Aula 8","C111 ","")&amp;IF('C112'!B13="Aula 8","C112 ","")&amp;IF('C113'!B13="Aula 8","C113 ","")&amp;IF('C121'!B13="Aula 8","C121 ","")&amp;IF('C122'!B13="Aula 8","C122 ",""))," ",",")</f>
        <v/>
      </c>
      <c r="J6" s="5">
        <f>SUBSTITUTE(TRIM(IF('C111'!B13="Aula 9","C111 ","")&amp;IF('C112'!B13="Aula 9","C112 ","")&amp;IF('C113'!B13="Aula 9","C113 ","")&amp;IF('C121'!B13="Aula 9","C121 ","")&amp;IF('C122'!B13="Aula 9","C122 ",""))," ",",")</f>
        <v/>
      </c>
      <c r="K6" s="6">
        <f>SUBSTITUTE(TRIM(IF('C111'!B13="Lab","C111 ","")&amp;IF('C112'!B13="Lab","C112 ","")&amp;IF('C113'!B13="Lab","C113 ","")&amp;IF('C121'!B13="Lab","C121 ","")&amp;IF('C122'!B13="Lab","C122 ",""))," ",",")</f>
        <v/>
      </c>
    </row>
    <row r="7">
      <c r="A7" s="7" t="inlineStr">
        <is>
          <t>Turno 6</t>
        </is>
      </c>
      <c r="B7" s="8">
        <f>SUBSTITUTE(TRIM(IF('C111'!B15="Aula 1","C111 ","")&amp;IF('C112'!B15="Aula 1","C112 ","")&amp;IF('C113'!B15="Aula 1","C113 ","")&amp;IF('C121'!B15="Aula 1","C121 ","")&amp;IF('C122'!B15="Aula 1","C122 ",""))," ",",")</f>
        <v/>
      </c>
      <c r="C7" s="8">
        <f>SUBSTITUTE(TRIM(IF('C111'!B15="Aula 2","C111 ","")&amp;IF('C112'!B15="Aula 2","C112 ","")&amp;IF('C113'!B15="Aula 2","C113 ","")&amp;IF('C121'!B15="Aula 2","C121 ","")&amp;IF('C122'!B15="Aula 2","C122 ",""))," ",",")</f>
        <v/>
      </c>
      <c r="D7" s="8">
        <f>SUBSTITUTE(TRIM(IF('C111'!B15="Aula 3","C111 ","")&amp;IF('C112'!B15="Aula 3","C112 ","")&amp;IF('C113'!B15="Aula 3","C113 ","")&amp;IF('C121'!B15="Aula 3","C121 ","")&amp;IF('C122'!B15="Aula 3","C122 ",""))," ",",")</f>
        <v/>
      </c>
      <c r="E7" s="8">
        <f>SUBSTITUTE(TRIM(IF('C111'!B15="Aula 4","C111 ","")&amp;IF('C112'!B15="Aula 4","C112 ","")&amp;IF('C113'!B15="Aula 4","C113 ","")&amp;IF('C121'!B15="Aula 4","C121 ","")&amp;IF('C122'!B15="Aula 4","C122 ",""))," ",",")</f>
        <v/>
      </c>
      <c r="F7" s="8">
        <f>SUBSTITUTE(TRIM(IF('C111'!B15="Aula 5","C111 ","")&amp;IF('C112'!B15="Aula 5","C112 ","")&amp;IF('C113'!B15="Aula 5","C113 ","")&amp;IF('C121'!B15="Aula 5","C121 ","")&amp;IF('C122'!B15="Aula 5","C122 ",""))," ",",")</f>
        <v/>
      </c>
      <c r="G7" s="8">
        <f>SUBSTITUTE(TRIM(IF('C111'!B15="Aula 6","C111 ","")&amp;IF('C112'!B15="Aula 6","C112 ","")&amp;IF('C113'!B15="Aula 6","C113 ","")&amp;IF('C121'!B15="Aula 6","C121 ","")&amp;IF('C122'!B15="Aula 6","C122 ",""))," ",",")</f>
        <v/>
      </c>
      <c r="H7" s="8">
        <f>SUBSTITUTE(TRIM(IF('C111'!B15="Aula 7","C111 ","")&amp;IF('C112'!B15="Aula 7","C112 ","")&amp;IF('C113'!B15="Aula 7","C113 ","")&amp;IF('C121'!B15="Aula 7","C121 ","")&amp;IF('C122'!B15="Aula 7","C122 ",""))," ",",")</f>
        <v/>
      </c>
      <c r="I7" s="8">
        <f>SUBSTITUTE(TRIM(IF('C111'!B15="Aula 8","C111 ","")&amp;IF('C112'!B15="Aula 8","C112 ","")&amp;IF('C113'!B15="Aula 8","C113 ","")&amp;IF('C121'!B15="Aula 8","C121 ","")&amp;IF('C122'!B15="Aula 8","C122 ",""))," ",",")</f>
        <v/>
      </c>
      <c r="J7" s="8">
        <f>SUBSTITUTE(TRIM(IF('C111'!B15="Aula 9","C111 ","")&amp;IF('C112'!B15="Aula 9","C112 ","")&amp;IF('C113'!B15="Aula 9","C113 ","")&amp;IF('C121'!B15="Aula 9","C121 ","")&amp;IF('C122'!B15="Aula 9","C122 ",""))," ",",")</f>
        <v/>
      </c>
      <c r="K7" s="9">
        <f>SUBSTITUTE(TRIM(IF('C111'!B15="Lab","C111 ","")&amp;IF('C112'!B15="Lab","C112 ","")&amp;IF('C113'!B15="Lab","C113 ","")&amp;IF('C121'!B15="Lab","C121 ","")&amp;IF('C122'!B15="Lab","C122 ",""))," ",",")</f>
        <v/>
      </c>
    </row>
    <row r="8"/>
    <row r="9">
      <c r="A9" s="1" t="inlineStr">
        <is>
          <t>Martes</t>
        </is>
      </c>
      <c r="B9" s="2" t="inlineStr">
        <is>
          <t>Aula 1</t>
        </is>
      </c>
      <c r="C9" s="2" t="inlineStr">
        <is>
          <t>Aula 2</t>
        </is>
      </c>
      <c r="D9" s="2" t="inlineStr">
        <is>
          <t>Aula 3</t>
        </is>
      </c>
      <c r="E9" s="2" t="inlineStr">
        <is>
          <t>Aula 4</t>
        </is>
      </c>
      <c r="F9" s="2" t="inlineStr">
        <is>
          <t>Aula 5</t>
        </is>
      </c>
      <c r="G9" s="2" t="inlineStr">
        <is>
          <t>Aula 6</t>
        </is>
      </c>
      <c r="H9" s="2" t="inlineStr">
        <is>
          <t>Aula 7</t>
        </is>
      </c>
      <c r="I9" s="2" t="inlineStr">
        <is>
          <t>Aula 8</t>
        </is>
      </c>
      <c r="J9" s="2" t="inlineStr">
        <is>
          <t>Aula 9</t>
        </is>
      </c>
      <c r="K9" s="3" t="inlineStr">
        <is>
          <t>Lab</t>
        </is>
      </c>
    </row>
    <row r="10">
      <c r="A10" s="4" t="inlineStr">
        <is>
          <t>Turno 1</t>
        </is>
      </c>
      <c r="B10" s="5">
        <f>SUBSTITUTE(TRIM(IF('C111'!C5="Aula 1","C111 ","")&amp;IF('C112'!C5="Aula 1","C112 ","")&amp;IF('C113'!C5="Aula 1","C113 ","")&amp;IF('C121'!C5="Aula 1","C121 ","")&amp;IF('C122'!C5="Aula 1","C122 ",""))," ",",")</f>
        <v/>
      </c>
      <c r="C10" s="5">
        <f>SUBSTITUTE(TRIM(IF('C111'!C5="Aula 2","C111 ","")&amp;IF('C112'!C5="Aula 2","C112 ","")&amp;IF('C113'!C5="Aula 2","C113 ","")&amp;IF('C121'!C5="Aula 2","C121 ","")&amp;IF('C122'!C5="Aula 2","C122 ",""))," ",",")</f>
        <v/>
      </c>
      <c r="D10" s="5">
        <f>SUBSTITUTE(TRIM(IF('C111'!C5="Aula 3","C111 ","")&amp;IF('C112'!C5="Aula 3","C112 ","")&amp;IF('C113'!C5="Aula 3","C113 ","")&amp;IF('C121'!C5="Aula 3","C121 ","")&amp;IF('C122'!C5="Aula 3","C122 ",""))," ",",")</f>
        <v/>
      </c>
      <c r="E10" s="5">
        <f>SUBSTITUTE(TRIM(IF('C111'!C5="Aula 4","C111 ","")&amp;IF('C112'!C5="Aula 4","C112 ","")&amp;IF('C113'!C5="Aula 4","C113 ","")&amp;IF('C121'!C5="Aula 4","C121 ","")&amp;IF('C122'!C5="Aula 4","C122 ",""))," ",",")</f>
        <v/>
      </c>
      <c r="F10" s="5">
        <f>SUBSTITUTE(TRIM(IF('C111'!C5="Aula 5","C111 ","")&amp;IF('C112'!C5="Aula 5","C112 ","")&amp;IF('C113'!C5="Aula 5","C113 ","")&amp;IF('C121'!C5="Aula 5","C121 ","")&amp;IF('C122'!C5="Aula 5","C122 ",""))," ",",")</f>
        <v/>
      </c>
      <c r="G10" s="5">
        <f>SUBSTITUTE(TRIM(IF('C111'!C5="Aula 6","C111 ","")&amp;IF('C112'!C5="Aula 6","C112 ","")&amp;IF('C113'!C5="Aula 6","C113 ","")&amp;IF('C121'!C5="Aula 6","C121 ","")&amp;IF('C122'!C5="Aula 6","C122 ",""))," ",",")</f>
        <v/>
      </c>
      <c r="H10" s="5">
        <f>SUBSTITUTE(TRIM(IF('C111'!C5="Aula 7","C111 ","")&amp;IF('C112'!C5="Aula 7","C112 ","")&amp;IF('C113'!C5="Aula 7","C113 ","")&amp;IF('C121'!C5="Aula 7","C121 ","")&amp;IF('C122'!C5="Aula 7","C122 ",""))," ",",")</f>
        <v/>
      </c>
      <c r="I10" s="5">
        <f>SUBSTITUTE(TRIM(IF('C111'!C5="Aula 8","C111 ","")&amp;IF('C112'!C5="Aula 8","C112 ","")&amp;IF('C113'!C5="Aula 8","C113 ","")&amp;IF('C121'!C5="Aula 8","C121 ","")&amp;IF('C122'!C5="Aula 8","C122 ",""))," ",",")</f>
        <v/>
      </c>
      <c r="J10" s="5">
        <f>SUBSTITUTE(TRIM(IF('C111'!C5="Aula 9","C111 ","")&amp;IF('C112'!C5="Aula 9","C112 ","")&amp;IF('C113'!C5="Aula 9","C113 ","")&amp;IF('C121'!C5="Aula 9","C121 ","")&amp;IF('C122'!C5="Aula 9","C122 ",""))," ",",")</f>
        <v/>
      </c>
      <c r="K10" s="6">
        <f>SUBSTITUTE(TRIM(IF('C111'!C5="Lab","C111 ","")&amp;IF('C112'!C5="Lab","C112 ","")&amp;IF('C113'!C5="Lab","C113 ","")&amp;IF('C121'!C5="Lab","C121 ","")&amp;IF('C122'!C5="Lab","C122 ",""))," ",",")</f>
        <v/>
      </c>
    </row>
    <row r="11">
      <c r="A11" s="4" t="inlineStr">
        <is>
          <t>Turno 2</t>
        </is>
      </c>
      <c r="B11" s="5">
        <f>SUBSTITUTE(TRIM(IF('C111'!C7="Aula 1","C111 ","")&amp;IF('C112'!C7="Aula 1","C112 ","")&amp;IF('C113'!C7="Aula 1","C113 ","")&amp;IF('C121'!C7="Aula 1","C121 ","")&amp;IF('C122'!C7="Aula 1","C122 ",""))," ",",")</f>
        <v/>
      </c>
      <c r="C11" s="5">
        <f>SUBSTITUTE(TRIM(IF('C111'!C7="Aula 2","C111 ","")&amp;IF('C112'!C7="Aula 2","C112 ","")&amp;IF('C113'!C7="Aula 2","C113 ","")&amp;IF('C121'!C7="Aula 2","C121 ","")&amp;IF('C122'!C7="Aula 2","C122 ",""))," ",",")</f>
        <v/>
      </c>
      <c r="D11" s="5">
        <f>SUBSTITUTE(TRIM(IF('C111'!C7="Aula 3","C111 ","")&amp;IF('C112'!C7="Aula 3","C112 ","")&amp;IF('C113'!C7="Aula 3","C113 ","")&amp;IF('C121'!C7="Aula 3","C121 ","")&amp;IF('C122'!C7="Aula 3","C122 ",""))," ",",")</f>
        <v/>
      </c>
      <c r="E11" s="5">
        <f>SUBSTITUTE(TRIM(IF('C111'!C7="Aula 4","C111 ","")&amp;IF('C112'!C7="Aula 4","C112 ","")&amp;IF('C113'!C7="Aula 4","C113 ","")&amp;IF('C121'!C7="Aula 4","C121 ","")&amp;IF('C122'!C7="Aula 4","C122 ",""))," ",",")</f>
        <v/>
      </c>
      <c r="F11" s="5">
        <f>SUBSTITUTE(TRIM(IF('C111'!C7="Aula 5","C111 ","")&amp;IF('C112'!C7="Aula 5","C112 ","")&amp;IF('C113'!C7="Aula 5","C113 ","")&amp;IF('C121'!C7="Aula 5","C121 ","")&amp;IF('C122'!C7="Aula 5","C122 ",""))," ",",")</f>
        <v/>
      </c>
      <c r="G11" s="5">
        <f>SUBSTITUTE(TRIM(IF('C111'!C7="Aula 6","C111 ","")&amp;IF('C112'!C7="Aula 6","C112 ","")&amp;IF('C113'!C7="Aula 6","C113 ","")&amp;IF('C121'!C7="Aula 6","C121 ","")&amp;IF('C122'!C7="Aula 6","C122 ",""))," ",",")</f>
        <v/>
      </c>
      <c r="H11" s="5">
        <f>SUBSTITUTE(TRIM(IF('C111'!C7="Aula 7","C111 ","")&amp;IF('C112'!C7="Aula 7","C112 ","")&amp;IF('C113'!C7="Aula 7","C113 ","")&amp;IF('C121'!C7="Aula 7","C121 ","")&amp;IF('C122'!C7="Aula 7","C122 ",""))," ",",")</f>
        <v/>
      </c>
      <c r="I11" s="5">
        <f>SUBSTITUTE(TRIM(IF('C111'!C7="Aula 8","C111 ","")&amp;IF('C112'!C7="Aula 8","C112 ","")&amp;IF('C113'!C7="Aula 8","C113 ","")&amp;IF('C121'!C7="Aula 8","C121 ","")&amp;IF('C122'!C7="Aula 8","C122 ",""))," ",",")</f>
        <v/>
      </c>
      <c r="J11" s="5">
        <f>SUBSTITUTE(TRIM(IF('C111'!C7="Aula 9","C111 ","")&amp;IF('C112'!C7="Aula 9","C112 ","")&amp;IF('C113'!C7="Aula 9","C113 ","")&amp;IF('C121'!C7="Aula 9","C121 ","")&amp;IF('C122'!C7="Aula 9","C122 ",""))," ",",")</f>
        <v/>
      </c>
      <c r="K11" s="6">
        <f>SUBSTITUTE(TRIM(IF('C111'!C7="Lab","C111 ","")&amp;IF('C112'!C7="Lab","C112 ","")&amp;IF('C113'!C7="Lab","C113 ","")&amp;IF('C121'!C7="Lab","C121 ","")&amp;IF('C122'!C7="Lab","C122 ",""))," ",",")</f>
        <v/>
      </c>
    </row>
    <row r="12">
      <c r="A12" s="4" t="inlineStr">
        <is>
          <t>Turno 3</t>
        </is>
      </c>
      <c r="B12" s="5">
        <f>SUBSTITUTE(TRIM(IF('C111'!C9="Aula 1","C111 ","")&amp;IF('C112'!C9="Aula 1","C112 ","")&amp;IF('C113'!C9="Aula 1","C113 ","")&amp;IF('C121'!C9="Aula 1","C121 ","")&amp;IF('C122'!C9="Aula 1","C122 ",""))," ",",")</f>
        <v/>
      </c>
      <c r="C12" s="5">
        <f>SUBSTITUTE(TRIM(IF('C111'!C9="Aula 2","C111 ","")&amp;IF('C112'!C9="Aula 2","C112 ","")&amp;IF('C113'!C9="Aula 2","C113 ","")&amp;IF('C121'!C9="Aula 2","C121 ","")&amp;IF('C122'!C9="Aula 2","C122 ",""))," ",",")</f>
        <v/>
      </c>
      <c r="D12" s="5">
        <f>SUBSTITUTE(TRIM(IF('C111'!C9="Aula 3","C111 ","")&amp;IF('C112'!C9="Aula 3","C112 ","")&amp;IF('C113'!C9="Aula 3","C113 ","")&amp;IF('C121'!C9="Aula 3","C121 ","")&amp;IF('C122'!C9="Aula 3","C122 ",""))," ",",")</f>
        <v/>
      </c>
      <c r="E12" s="5">
        <f>SUBSTITUTE(TRIM(IF('C111'!C9="Aula 4","C111 ","")&amp;IF('C112'!C9="Aula 4","C112 ","")&amp;IF('C113'!C9="Aula 4","C113 ","")&amp;IF('C121'!C9="Aula 4","C121 ","")&amp;IF('C122'!C9="Aula 4","C122 ",""))," ",",")</f>
        <v/>
      </c>
      <c r="F12" s="5">
        <f>SUBSTITUTE(TRIM(IF('C111'!C9="Aula 5","C111 ","")&amp;IF('C112'!C9="Aula 5","C112 ","")&amp;IF('C113'!C9="Aula 5","C113 ","")&amp;IF('C121'!C9="Aula 5","C121 ","")&amp;IF('C122'!C9="Aula 5","C122 ",""))," ",",")</f>
        <v/>
      </c>
      <c r="G12" s="5">
        <f>SUBSTITUTE(TRIM(IF('C111'!C9="Aula 6","C111 ","")&amp;IF('C112'!C9="Aula 6","C112 ","")&amp;IF('C113'!C9="Aula 6","C113 ","")&amp;IF('C121'!C9="Aula 6","C121 ","")&amp;IF('C122'!C9="Aula 6","C122 ",""))," ",",")</f>
        <v/>
      </c>
      <c r="H12" s="5">
        <f>SUBSTITUTE(TRIM(IF('C111'!C9="Aula 7","C111 ","")&amp;IF('C112'!C9="Aula 7","C112 ","")&amp;IF('C113'!C9="Aula 7","C113 ","")&amp;IF('C121'!C9="Aula 7","C121 ","")&amp;IF('C122'!C9="Aula 7","C122 ",""))," ",",")</f>
        <v/>
      </c>
      <c r="I12" s="5">
        <f>SUBSTITUTE(TRIM(IF('C111'!C9="Aula 8","C111 ","")&amp;IF('C112'!C9="Aula 8","C112 ","")&amp;IF('C113'!C9="Aula 8","C113 ","")&amp;IF('C121'!C9="Aula 8","C121 ","")&amp;IF('C122'!C9="Aula 8","C122 ",""))," ",",")</f>
        <v/>
      </c>
      <c r="J12" s="5">
        <f>SUBSTITUTE(TRIM(IF('C111'!C9="Aula 9","C111 ","")&amp;IF('C112'!C9="Aula 9","C112 ","")&amp;IF('C113'!C9="Aula 9","C113 ","")&amp;IF('C121'!C9="Aula 9","C121 ","")&amp;IF('C122'!C9="Aula 9","C122 ",""))," ",",")</f>
        <v/>
      </c>
      <c r="K12" s="6">
        <f>SUBSTITUTE(TRIM(IF('C111'!C9="Lab","C111 ","")&amp;IF('C112'!C9="Lab","C112 ","")&amp;IF('C113'!C9="Lab","C113 ","")&amp;IF('C121'!C9="Lab","C121 ","")&amp;IF('C122'!C9="Lab","C122 ",""))," ",",")</f>
        <v/>
      </c>
    </row>
    <row r="13">
      <c r="A13" s="4" t="inlineStr">
        <is>
          <t>Turno 4</t>
        </is>
      </c>
      <c r="B13" s="5">
        <f>SUBSTITUTE(TRIM(IF('C111'!C11="Aula 1","C111 ","")&amp;IF('C112'!C11="Aula 1","C112 ","")&amp;IF('C113'!C11="Aula 1","C113 ","")&amp;IF('C121'!C11="Aula 1","C121 ","")&amp;IF('C122'!C11="Aula 1","C122 ",""))," ",",")</f>
        <v/>
      </c>
      <c r="C13" s="5">
        <f>SUBSTITUTE(TRIM(IF('C111'!C11="Aula 2","C111 ","")&amp;IF('C112'!C11="Aula 2","C112 ","")&amp;IF('C113'!C11="Aula 2","C113 ","")&amp;IF('C121'!C11="Aula 2","C121 ","")&amp;IF('C122'!C11="Aula 2","C122 ",""))," ",",")</f>
        <v/>
      </c>
      <c r="D13" s="5">
        <f>SUBSTITUTE(TRIM(IF('C111'!C11="Aula 3","C111 ","")&amp;IF('C112'!C11="Aula 3","C112 ","")&amp;IF('C113'!C11="Aula 3","C113 ","")&amp;IF('C121'!C11="Aula 3","C121 ","")&amp;IF('C122'!C11="Aula 3","C122 ",""))," ",",")</f>
        <v/>
      </c>
      <c r="E13" s="5">
        <f>SUBSTITUTE(TRIM(IF('C111'!C11="Aula 4","C111 ","")&amp;IF('C112'!C11="Aula 4","C112 ","")&amp;IF('C113'!C11="Aula 4","C113 ","")&amp;IF('C121'!C11="Aula 4","C121 ","")&amp;IF('C122'!C11="Aula 4","C122 ",""))," ",",")</f>
        <v/>
      </c>
      <c r="F13" s="5">
        <f>SUBSTITUTE(TRIM(IF('C111'!C11="Aula 5","C111 ","")&amp;IF('C112'!C11="Aula 5","C112 ","")&amp;IF('C113'!C11="Aula 5","C113 ","")&amp;IF('C121'!C11="Aula 5","C121 ","")&amp;IF('C122'!C11="Aula 5","C122 ",""))," ",",")</f>
        <v/>
      </c>
      <c r="G13" s="5">
        <f>SUBSTITUTE(TRIM(IF('C111'!C11="Aula 6","C111 ","")&amp;IF('C112'!C11="Aula 6","C112 ","")&amp;IF('C113'!C11="Aula 6","C113 ","")&amp;IF('C121'!C11="Aula 6","C121 ","")&amp;IF('C122'!C11="Aula 6","C122 ",""))," ",",")</f>
        <v/>
      </c>
      <c r="H13" s="5">
        <f>SUBSTITUTE(TRIM(IF('C111'!C11="Aula 7","C111 ","")&amp;IF('C112'!C11="Aula 7","C112 ","")&amp;IF('C113'!C11="Aula 7","C113 ","")&amp;IF('C121'!C11="Aula 7","C121 ","")&amp;IF('C122'!C11="Aula 7","C122 ",""))," ",",")</f>
        <v/>
      </c>
      <c r="I13" s="5">
        <f>SUBSTITUTE(TRIM(IF('C111'!C11="Aula 8","C111 ","")&amp;IF('C112'!C11="Aula 8","C112 ","")&amp;IF('C113'!C11="Aula 8","C113 ","")&amp;IF('C121'!C11="Aula 8","C121 ","")&amp;IF('C122'!C11="Aula 8","C122 ",""))," ",",")</f>
        <v/>
      </c>
      <c r="J13" s="5">
        <f>SUBSTITUTE(TRIM(IF('C111'!C11="Aula 9","C111 ","")&amp;IF('C112'!C11="Aula 9","C112 ","")&amp;IF('C113'!C11="Aula 9","C113 ","")&amp;IF('C121'!C11="Aula 9","C121 ","")&amp;IF('C122'!C11="Aula 9","C122 ",""))," ",",")</f>
        <v/>
      </c>
      <c r="K13" s="6">
        <f>SUBSTITUTE(TRIM(IF('C111'!C11="Lab","C111 ","")&amp;IF('C112'!C11="Lab","C112 ","")&amp;IF('C113'!C11="Lab","C113 ","")&amp;IF('C121'!C11="Lab","C121 ","")&amp;IF('C122'!C11="Lab","C122 ",""))," ",",")</f>
        <v/>
      </c>
    </row>
    <row r="14">
      <c r="A14" s="4" t="inlineStr">
        <is>
          <t>Turno 5</t>
        </is>
      </c>
      <c r="B14" s="5">
        <f>SUBSTITUTE(TRIM(IF('C111'!C13="Aula 1","C111 ","")&amp;IF('C112'!C13="Aula 1","C112 ","")&amp;IF('C113'!C13="Aula 1","C113 ","")&amp;IF('C121'!C13="Aula 1","C121 ","")&amp;IF('C122'!C13="Aula 1","C122 ",""))," ",",")</f>
        <v/>
      </c>
      <c r="C14" s="5">
        <f>SUBSTITUTE(TRIM(IF('C111'!C13="Aula 2","C111 ","")&amp;IF('C112'!C13="Aula 2","C112 ","")&amp;IF('C113'!C13="Aula 2","C113 ","")&amp;IF('C121'!C13="Aula 2","C121 ","")&amp;IF('C122'!C13="Aula 2","C122 ",""))," ",",")</f>
        <v/>
      </c>
      <c r="D14" s="5">
        <f>SUBSTITUTE(TRIM(IF('C111'!C13="Aula 3","C111 ","")&amp;IF('C112'!C13="Aula 3","C112 ","")&amp;IF('C113'!C13="Aula 3","C113 ","")&amp;IF('C121'!C13="Aula 3","C121 ","")&amp;IF('C122'!C13="Aula 3","C122 ",""))," ",",")</f>
        <v/>
      </c>
      <c r="E14" s="5">
        <f>SUBSTITUTE(TRIM(IF('C111'!C13="Aula 4","C111 ","")&amp;IF('C112'!C13="Aula 4","C112 ","")&amp;IF('C113'!C13="Aula 4","C113 ","")&amp;IF('C121'!C13="Aula 4","C121 ","")&amp;IF('C122'!C13="Aula 4","C122 ",""))," ",",")</f>
        <v/>
      </c>
      <c r="F14" s="5">
        <f>SUBSTITUTE(TRIM(IF('C111'!C13="Aula 5","C111 ","")&amp;IF('C112'!C13="Aula 5","C112 ","")&amp;IF('C113'!C13="Aula 5","C113 ","")&amp;IF('C121'!C13="Aula 5","C121 ","")&amp;IF('C122'!C13="Aula 5","C122 ",""))," ",",")</f>
        <v/>
      </c>
      <c r="G14" s="5">
        <f>SUBSTITUTE(TRIM(IF('C111'!C13="Aula 6","C111 ","")&amp;IF('C112'!C13="Aula 6","C112 ","")&amp;IF('C113'!C13="Aula 6","C113 ","")&amp;IF('C121'!C13="Aula 6","C121 ","")&amp;IF('C122'!C13="Aula 6","C122 ",""))," ",",")</f>
        <v/>
      </c>
      <c r="H14" s="5">
        <f>SUBSTITUTE(TRIM(IF('C111'!C13="Aula 7","C111 ","")&amp;IF('C112'!C13="Aula 7","C112 ","")&amp;IF('C113'!C13="Aula 7","C113 ","")&amp;IF('C121'!C13="Aula 7","C121 ","")&amp;IF('C122'!C13="Aula 7","C122 ",""))," ",",")</f>
        <v/>
      </c>
      <c r="I14" s="5">
        <f>SUBSTITUTE(TRIM(IF('C111'!C13="Aula 8","C111 ","")&amp;IF('C112'!C13="Aula 8","C112 ","")&amp;IF('C113'!C13="Aula 8","C113 ","")&amp;IF('C121'!C13="Aula 8","C121 ","")&amp;IF('C122'!C13="Aula 8","C122 ",""))," ",",")</f>
        <v/>
      </c>
      <c r="J14" s="5">
        <f>SUBSTITUTE(TRIM(IF('C111'!C13="Aula 9","C111 ","")&amp;IF('C112'!C13="Aula 9","C112 ","")&amp;IF('C113'!C13="Aula 9","C113 ","")&amp;IF('C121'!C13="Aula 9","C121 ","")&amp;IF('C122'!C13="Aula 9","C122 ",""))," ",",")</f>
        <v/>
      </c>
      <c r="K14" s="6">
        <f>SUBSTITUTE(TRIM(IF('C111'!C13="Lab","C111 ","")&amp;IF('C112'!C13="Lab","C112 ","")&amp;IF('C113'!C13="Lab","C113 ","")&amp;IF('C121'!C13="Lab","C121 ","")&amp;IF('C122'!C13="Lab","C122 ",""))," ",",")</f>
        <v/>
      </c>
    </row>
    <row r="15">
      <c r="A15" s="7" t="inlineStr">
        <is>
          <t>Turno 6</t>
        </is>
      </c>
      <c r="B15" s="8">
        <f>SUBSTITUTE(TRIM(IF('C111'!C15="Aula 1","C111 ","")&amp;IF('C112'!C15="Aula 1","C112 ","")&amp;IF('C113'!C15="Aula 1","C113 ","")&amp;IF('C121'!C15="Aula 1","C121 ","")&amp;IF('C122'!C15="Aula 1","C122 ",""))," ",",")</f>
        <v/>
      </c>
      <c r="C15" s="8">
        <f>SUBSTITUTE(TRIM(IF('C111'!C15="Aula 2","C111 ","")&amp;IF('C112'!C15="Aula 2","C112 ","")&amp;IF('C113'!C15="Aula 2","C113 ","")&amp;IF('C121'!C15="Aula 2","C121 ","")&amp;IF('C122'!C15="Aula 2","C122 ",""))," ",",")</f>
        <v/>
      </c>
      <c r="D15" s="8">
        <f>SUBSTITUTE(TRIM(IF('C111'!C15="Aula 3","C111 ","")&amp;IF('C112'!C15="Aula 3","C112 ","")&amp;IF('C113'!C15="Aula 3","C113 ","")&amp;IF('C121'!C15="Aula 3","C121 ","")&amp;IF('C122'!C15="Aula 3","C122 ",""))," ",",")</f>
        <v/>
      </c>
      <c r="E15" s="8">
        <f>SUBSTITUTE(TRIM(IF('C111'!C15="Aula 4","C111 ","")&amp;IF('C112'!C15="Aula 4","C112 ","")&amp;IF('C113'!C15="Aula 4","C113 ","")&amp;IF('C121'!C15="Aula 4","C121 ","")&amp;IF('C122'!C15="Aula 4","C122 ",""))," ",",")</f>
        <v/>
      </c>
      <c r="F15" s="8">
        <f>SUBSTITUTE(TRIM(IF('C111'!C15="Aula 5","C111 ","")&amp;IF('C112'!C15="Aula 5","C112 ","")&amp;IF('C113'!C15="Aula 5","C113 ","")&amp;IF('C121'!C15="Aula 5","C121 ","")&amp;IF('C122'!C15="Aula 5","C122 ",""))," ",",")</f>
        <v/>
      </c>
      <c r="G15" s="8">
        <f>SUBSTITUTE(TRIM(IF('C111'!C15="Aula 6","C111 ","")&amp;IF('C112'!C15="Aula 6","C112 ","")&amp;IF('C113'!C15="Aula 6","C113 ","")&amp;IF('C121'!C15="Aula 6","C121 ","")&amp;IF('C122'!C15="Aula 6","C122 ",""))," ",",")</f>
        <v/>
      </c>
      <c r="H15" s="8">
        <f>SUBSTITUTE(TRIM(IF('C111'!C15="Aula 7","C111 ","")&amp;IF('C112'!C15="Aula 7","C112 ","")&amp;IF('C113'!C15="Aula 7","C113 ","")&amp;IF('C121'!C15="Aula 7","C121 ","")&amp;IF('C122'!C15="Aula 7","C122 ",""))," ",",")</f>
        <v/>
      </c>
      <c r="I15" s="8">
        <f>SUBSTITUTE(TRIM(IF('C111'!C15="Aula 8","C111 ","")&amp;IF('C112'!C15="Aula 8","C112 ","")&amp;IF('C113'!C15="Aula 8","C113 ","")&amp;IF('C121'!C15="Aula 8","C121 ","")&amp;IF('C122'!C15="Aula 8","C122 ",""))," ",",")</f>
        <v/>
      </c>
      <c r="J15" s="8">
        <f>SUBSTITUTE(TRIM(IF('C111'!C15="Aula 9","C111 ","")&amp;IF('C112'!C15="Aula 9","C112 ","")&amp;IF('C113'!C15="Aula 9","C113 ","")&amp;IF('C121'!C15="Aula 9","C121 ","")&amp;IF('C122'!C15="Aula 9","C122 ",""))," ",",")</f>
        <v/>
      </c>
      <c r="K15" s="9">
        <f>SUBSTITUTE(TRIM(IF('C111'!C15="Lab","C111 ","")&amp;IF('C112'!C15="Lab","C112 ","")&amp;IF('C113'!C15="Lab","C113 ","")&amp;IF('C121'!C15="Lab","C121 ","")&amp;IF('C122'!C15="Lab","C122 ",""))," ",",")</f>
        <v/>
      </c>
    </row>
    <row r="16"/>
    <row r="17">
      <c r="A17" s="1" t="inlineStr">
        <is>
          <t>Miércoles</t>
        </is>
      </c>
      <c r="B17" s="2" t="inlineStr">
        <is>
          <t>Aula 1</t>
        </is>
      </c>
      <c r="C17" s="2" t="inlineStr">
        <is>
          <t>Aula 2</t>
        </is>
      </c>
      <c r="D17" s="2" t="inlineStr">
        <is>
          <t>Aula 3</t>
        </is>
      </c>
      <c r="E17" s="2" t="inlineStr">
        <is>
          <t>Aula 4</t>
        </is>
      </c>
      <c r="F17" s="2" t="inlineStr">
        <is>
          <t>Aula 5</t>
        </is>
      </c>
      <c r="G17" s="2" t="inlineStr">
        <is>
          <t>Aula 6</t>
        </is>
      </c>
      <c r="H17" s="2" t="inlineStr">
        <is>
          <t>Aula 7</t>
        </is>
      </c>
      <c r="I17" s="2" t="inlineStr">
        <is>
          <t>Aula 8</t>
        </is>
      </c>
      <c r="J17" s="2" t="inlineStr">
        <is>
          <t>Aula 9</t>
        </is>
      </c>
      <c r="K17" s="3" t="inlineStr">
        <is>
          <t>Lab</t>
        </is>
      </c>
    </row>
    <row r="18">
      <c r="A18" s="4" t="inlineStr">
        <is>
          <t>Turno 1</t>
        </is>
      </c>
      <c r="B18" s="5">
        <f>SUBSTITUTE(TRIM(IF('C111'!D5="Aula 1","C111 ","")&amp;IF('C112'!D5="Aula 1","C112 ","")&amp;IF('C113'!D5="Aula 1","C113 ","")&amp;IF('C121'!D5="Aula 1","C121 ","")&amp;IF('C122'!D5="Aula 1","C122 ",""))," ",",")</f>
        <v/>
      </c>
      <c r="C18" s="5">
        <f>SUBSTITUTE(TRIM(IF('C111'!D5="Aula 2","C111 ","")&amp;IF('C112'!D5="Aula 2","C112 ","")&amp;IF('C113'!D5="Aula 2","C113 ","")&amp;IF('C121'!D5="Aula 2","C121 ","")&amp;IF('C122'!D5="Aula 2","C122 ",""))," ",",")</f>
        <v/>
      </c>
      <c r="D18" s="5">
        <f>SUBSTITUTE(TRIM(IF('C111'!D5="Aula 3","C111 ","")&amp;IF('C112'!D5="Aula 3","C112 ","")&amp;IF('C113'!D5="Aula 3","C113 ","")&amp;IF('C121'!D5="Aula 3","C121 ","")&amp;IF('C122'!D5="Aula 3","C122 ",""))," ",",")</f>
        <v/>
      </c>
      <c r="E18" s="5">
        <f>SUBSTITUTE(TRIM(IF('C111'!D5="Aula 4","C111 ","")&amp;IF('C112'!D5="Aula 4","C112 ","")&amp;IF('C113'!D5="Aula 4","C113 ","")&amp;IF('C121'!D5="Aula 4","C121 ","")&amp;IF('C122'!D5="Aula 4","C122 ",""))," ",",")</f>
        <v/>
      </c>
      <c r="F18" s="5">
        <f>SUBSTITUTE(TRIM(IF('C111'!D5="Aula 5","C111 ","")&amp;IF('C112'!D5="Aula 5","C112 ","")&amp;IF('C113'!D5="Aula 5","C113 ","")&amp;IF('C121'!D5="Aula 5","C121 ","")&amp;IF('C122'!D5="Aula 5","C122 ",""))," ",",")</f>
        <v/>
      </c>
      <c r="G18" s="5">
        <f>SUBSTITUTE(TRIM(IF('C111'!D5="Aula 6","C111 ","")&amp;IF('C112'!D5="Aula 6","C112 ","")&amp;IF('C113'!D5="Aula 6","C113 ","")&amp;IF('C121'!D5="Aula 6","C121 ","")&amp;IF('C122'!D5="Aula 6","C122 ",""))," ",",")</f>
        <v/>
      </c>
      <c r="H18" s="5">
        <f>SUBSTITUTE(TRIM(IF('C111'!D5="Aula 7","C111 ","")&amp;IF('C112'!D5="Aula 7","C112 ","")&amp;IF('C113'!D5="Aula 7","C113 ","")&amp;IF('C121'!D5="Aula 7","C121 ","")&amp;IF('C122'!D5="Aula 7","C122 ",""))," ",",")</f>
        <v/>
      </c>
      <c r="I18" s="5">
        <f>SUBSTITUTE(TRIM(IF('C111'!D5="Aula 8","C111 ","")&amp;IF('C112'!D5="Aula 8","C112 ","")&amp;IF('C113'!D5="Aula 8","C113 ","")&amp;IF('C121'!D5="Aula 8","C121 ","")&amp;IF('C122'!D5="Aula 8","C122 ",""))," ",",")</f>
        <v/>
      </c>
      <c r="J18" s="5">
        <f>SUBSTITUTE(TRIM(IF('C111'!D5="Aula 9","C111 ","")&amp;IF('C112'!D5="Aula 9","C112 ","")&amp;IF('C113'!D5="Aula 9","C113 ","")&amp;IF('C121'!D5="Aula 9","C121 ","")&amp;IF('C122'!D5="Aula 9","C122 ",""))," ",",")</f>
        <v/>
      </c>
      <c r="K18" s="6">
        <f>SUBSTITUTE(TRIM(IF('C111'!D5="Lab","C111 ","")&amp;IF('C112'!D5="Lab","C112 ","")&amp;IF('C113'!D5="Lab","C113 ","")&amp;IF('C121'!D5="Lab","C121 ","")&amp;IF('C122'!D5="Lab","C122 ",""))," ",",")</f>
        <v/>
      </c>
    </row>
    <row r="19">
      <c r="A19" s="4" t="inlineStr">
        <is>
          <t>Turno 2</t>
        </is>
      </c>
      <c r="B19" s="5">
        <f>SUBSTITUTE(TRIM(IF('C111'!D7="Aula 1","C111 ","")&amp;IF('C112'!D7="Aula 1","C112 ","")&amp;IF('C113'!D7="Aula 1","C113 ","")&amp;IF('C121'!D7="Aula 1","C121 ","")&amp;IF('C122'!D7="Aula 1","C122 ",""))," ",",")</f>
        <v/>
      </c>
      <c r="C19" s="5">
        <f>SUBSTITUTE(TRIM(IF('C111'!D7="Aula 2","C111 ","")&amp;IF('C112'!D7="Aula 2","C112 ","")&amp;IF('C113'!D7="Aula 2","C113 ","")&amp;IF('C121'!D7="Aula 2","C121 ","")&amp;IF('C122'!D7="Aula 2","C122 ",""))," ",",")</f>
        <v/>
      </c>
      <c r="D19" s="5">
        <f>SUBSTITUTE(TRIM(IF('C111'!D7="Aula 3","C111 ","")&amp;IF('C112'!D7="Aula 3","C112 ","")&amp;IF('C113'!D7="Aula 3","C113 ","")&amp;IF('C121'!D7="Aula 3","C121 ","")&amp;IF('C122'!D7="Aula 3","C122 ",""))," ",",")</f>
        <v/>
      </c>
      <c r="E19" s="5">
        <f>SUBSTITUTE(TRIM(IF('C111'!D7="Aula 4","C111 ","")&amp;IF('C112'!D7="Aula 4","C112 ","")&amp;IF('C113'!D7="Aula 4","C113 ","")&amp;IF('C121'!D7="Aula 4","C121 ","")&amp;IF('C122'!D7="Aula 4","C122 ",""))," ",",")</f>
        <v/>
      </c>
      <c r="F19" s="5">
        <f>SUBSTITUTE(TRIM(IF('C111'!D7="Aula 5","C111 ","")&amp;IF('C112'!D7="Aula 5","C112 ","")&amp;IF('C113'!D7="Aula 5","C113 ","")&amp;IF('C121'!D7="Aula 5","C121 ","")&amp;IF('C122'!D7="Aula 5","C122 ",""))," ",",")</f>
        <v/>
      </c>
      <c r="G19" s="5">
        <f>SUBSTITUTE(TRIM(IF('C111'!D7="Aula 6","C111 ","")&amp;IF('C112'!D7="Aula 6","C112 ","")&amp;IF('C113'!D7="Aula 6","C113 ","")&amp;IF('C121'!D7="Aula 6","C121 ","")&amp;IF('C122'!D7="Aula 6","C122 ",""))," ",",")</f>
        <v/>
      </c>
      <c r="H19" s="5">
        <f>SUBSTITUTE(TRIM(IF('C111'!D7="Aula 7","C111 ","")&amp;IF('C112'!D7="Aula 7","C112 ","")&amp;IF('C113'!D7="Aula 7","C113 ","")&amp;IF('C121'!D7="Aula 7","C121 ","")&amp;IF('C122'!D7="Aula 7","C122 ",""))," ",",")</f>
        <v/>
      </c>
      <c r="I19" s="5">
        <f>SUBSTITUTE(TRIM(IF('C111'!D7="Aula 8","C111 ","")&amp;IF('C112'!D7="Aula 8","C112 ","")&amp;IF('C113'!D7="Aula 8","C113 ","")&amp;IF('C121'!D7="Aula 8","C121 ","")&amp;IF('C122'!D7="Aula 8","C122 ",""))," ",",")</f>
        <v/>
      </c>
      <c r="J19" s="5">
        <f>SUBSTITUTE(TRIM(IF('C111'!D7="Aula 9","C111 ","")&amp;IF('C112'!D7="Aula 9","C112 ","")&amp;IF('C113'!D7="Aula 9","C113 ","")&amp;IF('C121'!D7="Aula 9","C121 ","")&amp;IF('C122'!D7="Aula 9","C122 ",""))," ",",")</f>
        <v/>
      </c>
      <c r="K19" s="6">
        <f>SUBSTITUTE(TRIM(IF('C111'!D7="Lab","C111 ","")&amp;IF('C112'!D7="Lab","C112 ","")&amp;IF('C113'!D7="Lab","C113 ","")&amp;IF('C121'!D7="Lab","C121 ","")&amp;IF('C122'!D7="Lab","C122 ",""))," ",",")</f>
        <v/>
      </c>
    </row>
    <row r="20">
      <c r="A20" s="4" t="inlineStr">
        <is>
          <t>Turno 3</t>
        </is>
      </c>
      <c r="B20" s="5">
        <f>SUBSTITUTE(TRIM(IF('C111'!D9="Aula 1","C111 ","")&amp;IF('C112'!D9="Aula 1","C112 ","")&amp;IF('C113'!D9="Aula 1","C113 ","")&amp;IF('C121'!D9="Aula 1","C121 ","")&amp;IF('C122'!D9="Aula 1","C122 ",""))," ",",")</f>
        <v/>
      </c>
      <c r="C20" s="5">
        <f>SUBSTITUTE(TRIM(IF('C111'!D9="Aula 2","C111 ","")&amp;IF('C112'!D9="Aula 2","C112 ","")&amp;IF('C113'!D9="Aula 2","C113 ","")&amp;IF('C121'!D9="Aula 2","C121 ","")&amp;IF('C122'!D9="Aula 2","C122 ",""))," ",",")</f>
        <v/>
      </c>
      <c r="D20" s="5">
        <f>SUBSTITUTE(TRIM(IF('C111'!D9="Aula 3","C111 ","")&amp;IF('C112'!D9="Aula 3","C112 ","")&amp;IF('C113'!D9="Aula 3","C113 ","")&amp;IF('C121'!D9="Aula 3","C121 ","")&amp;IF('C122'!D9="Aula 3","C122 ",""))," ",",")</f>
        <v/>
      </c>
      <c r="E20" s="5">
        <f>SUBSTITUTE(TRIM(IF('C111'!D9="Aula 4","C111 ","")&amp;IF('C112'!D9="Aula 4","C112 ","")&amp;IF('C113'!D9="Aula 4","C113 ","")&amp;IF('C121'!D9="Aula 4","C121 ","")&amp;IF('C122'!D9="Aula 4","C122 ",""))," ",",")</f>
        <v/>
      </c>
      <c r="F20" s="5">
        <f>SUBSTITUTE(TRIM(IF('C111'!D9="Aula 5","C111 ","")&amp;IF('C112'!D9="Aula 5","C112 ","")&amp;IF('C113'!D9="Aula 5","C113 ","")&amp;IF('C121'!D9="Aula 5","C121 ","")&amp;IF('C122'!D9="Aula 5","C122 ",""))," ",",")</f>
        <v/>
      </c>
      <c r="G20" s="5">
        <f>SUBSTITUTE(TRIM(IF('C111'!D9="Aula 6","C111 ","")&amp;IF('C112'!D9="Aula 6","C112 ","")&amp;IF('C113'!D9="Aula 6","C113 ","")&amp;IF('C121'!D9="Aula 6","C121 ","")&amp;IF('C122'!D9="Aula 6","C122 ",""))," ",",")</f>
        <v/>
      </c>
      <c r="H20" s="5">
        <f>SUBSTITUTE(TRIM(IF('C111'!D9="Aula 7","C111 ","")&amp;IF('C112'!D9="Aula 7","C112 ","")&amp;IF('C113'!D9="Aula 7","C113 ","")&amp;IF('C121'!D9="Aula 7","C121 ","")&amp;IF('C122'!D9="Aula 7","C122 ",""))," ",",")</f>
        <v/>
      </c>
      <c r="I20" s="5">
        <f>SUBSTITUTE(TRIM(IF('C111'!D9="Aula 8","C111 ","")&amp;IF('C112'!D9="Aula 8","C112 ","")&amp;IF('C113'!D9="Aula 8","C113 ","")&amp;IF('C121'!D9="Aula 8","C121 ","")&amp;IF('C122'!D9="Aula 8","C122 ",""))," ",",")</f>
        <v/>
      </c>
      <c r="J20" s="5">
        <f>SUBSTITUTE(TRIM(IF('C111'!D9="Aula 9","C111 ","")&amp;IF('C112'!D9="Aula 9","C112 ","")&amp;IF('C113'!D9="Aula 9","C113 ","")&amp;IF('C121'!D9="Aula 9","C121 ","")&amp;IF('C122'!D9="Aula 9","C122 ",""))," ",",")</f>
        <v/>
      </c>
      <c r="K20" s="6">
        <f>SUBSTITUTE(TRIM(IF('C111'!D9="Lab","C111 ","")&amp;IF('C112'!D9="Lab","C112 ","")&amp;IF('C113'!D9="Lab","C113 ","")&amp;IF('C121'!D9="Lab","C121 ","")&amp;IF('C122'!D9="Lab","C122 ",""))," ",",")</f>
        <v/>
      </c>
    </row>
    <row r="21">
      <c r="A21" s="4" t="inlineStr">
        <is>
          <t>Turno 4</t>
        </is>
      </c>
      <c r="B21" s="5">
        <f>SUBSTITUTE(TRIM(IF('C111'!D11="Aula 1","C111 ","")&amp;IF('C112'!D11="Aula 1","C112 ","")&amp;IF('C113'!D11="Aula 1","C113 ","")&amp;IF('C121'!D11="Aula 1","C121 ","")&amp;IF('C122'!D11="Aula 1","C122 ",""))," ",",")</f>
        <v/>
      </c>
      <c r="C21" s="5">
        <f>SUBSTITUTE(TRIM(IF('C111'!D11="Aula 2","C111 ","")&amp;IF('C112'!D11="Aula 2","C112 ","")&amp;IF('C113'!D11="Aula 2","C113 ","")&amp;IF('C121'!D11="Aula 2","C121 ","")&amp;IF('C122'!D11="Aula 2","C122 ",""))," ",",")</f>
        <v/>
      </c>
      <c r="D21" s="5">
        <f>SUBSTITUTE(TRIM(IF('C111'!D11="Aula 3","C111 ","")&amp;IF('C112'!D11="Aula 3","C112 ","")&amp;IF('C113'!D11="Aula 3","C113 ","")&amp;IF('C121'!D11="Aula 3","C121 ","")&amp;IF('C122'!D11="Aula 3","C122 ",""))," ",",")</f>
        <v/>
      </c>
      <c r="E21" s="5">
        <f>SUBSTITUTE(TRIM(IF('C111'!D11="Aula 4","C111 ","")&amp;IF('C112'!D11="Aula 4","C112 ","")&amp;IF('C113'!D11="Aula 4","C113 ","")&amp;IF('C121'!D11="Aula 4","C121 ","")&amp;IF('C122'!D11="Aula 4","C122 ",""))," ",",")</f>
        <v/>
      </c>
      <c r="F21" s="5">
        <f>SUBSTITUTE(TRIM(IF('C111'!D11="Aula 5","C111 ","")&amp;IF('C112'!D11="Aula 5","C112 ","")&amp;IF('C113'!D11="Aula 5","C113 ","")&amp;IF('C121'!D11="Aula 5","C121 ","")&amp;IF('C122'!D11="Aula 5","C122 ",""))," ",",")</f>
        <v/>
      </c>
      <c r="G21" s="5">
        <f>SUBSTITUTE(TRIM(IF('C111'!D11="Aula 6","C111 ","")&amp;IF('C112'!D11="Aula 6","C112 ","")&amp;IF('C113'!D11="Aula 6","C113 ","")&amp;IF('C121'!D11="Aula 6","C121 ","")&amp;IF('C122'!D11="Aula 6","C122 ",""))," ",",")</f>
        <v/>
      </c>
      <c r="H21" s="5">
        <f>SUBSTITUTE(TRIM(IF('C111'!D11="Aula 7","C111 ","")&amp;IF('C112'!D11="Aula 7","C112 ","")&amp;IF('C113'!D11="Aula 7","C113 ","")&amp;IF('C121'!D11="Aula 7","C121 ","")&amp;IF('C122'!D11="Aula 7","C122 ",""))," ",",")</f>
        <v/>
      </c>
      <c r="I21" s="5">
        <f>SUBSTITUTE(TRIM(IF('C111'!D11="Aula 8","C111 ","")&amp;IF('C112'!D11="Aula 8","C112 ","")&amp;IF('C113'!D11="Aula 8","C113 ","")&amp;IF('C121'!D11="Aula 8","C121 ","")&amp;IF('C122'!D11="Aula 8","C122 ",""))," ",",")</f>
        <v/>
      </c>
      <c r="J21" s="5">
        <f>SUBSTITUTE(TRIM(IF('C111'!D11="Aula 9","C111 ","")&amp;IF('C112'!D11="Aula 9","C112 ","")&amp;IF('C113'!D11="Aula 9","C113 ","")&amp;IF('C121'!D11="Aula 9","C121 ","")&amp;IF('C122'!D11="Aula 9","C122 ",""))," ",",")</f>
        <v/>
      </c>
      <c r="K21" s="6">
        <f>SUBSTITUTE(TRIM(IF('C111'!D11="Lab","C111 ","")&amp;IF('C112'!D11="Lab","C112 ","")&amp;IF('C113'!D11="Lab","C113 ","")&amp;IF('C121'!D11="Lab","C121 ","")&amp;IF('C122'!D11="Lab","C122 ",""))," ",",")</f>
        <v/>
      </c>
    </row>
    <row r="22">
      <c r="A22" s="4" t="inlineStr">
        <is>
          <t>Turno 5</t>
        </is>
      </c>
      <c r="B22" s="5">
        <f>SUBSTITUTE(TRIM(IF('C111'!D13="Aula 1","C111 ","")&amp;IF('C112'!D13="Aula 1","C112 ","")&amp;IF('C113'!D13="Aula 1","C113 ","")&amp;IF('C121'!D13="Aula 1","C121 ","")&amp;IF('C122'!D13="Aula 1","C122 ",""))," ",",")</f>
        <v/>
      </c>
      <c r="C22" s="5">
        <f>SUBSTITUTE(TRIM(IF('C111'!D13="Aula 2","C111 ","")&amp;IF('C112'!D13="Aula 2","C112 ","")&amp;IF('C113'!D13="Aula 2","C113 ","")&amp;IF('C121'!D13="Aula 2","C121 ","")&amp;IF('C122'!D13="Aula 2","C122 ",""))," ",",")</f>
        <v/>
      </c>
      <c r="D22" s="5">
        <f>SUBSTITUTE(TRIM(IF('C111'!D13="Aula 3","C111 ","")&amp;IF('C112'!D13="Aula 3","C112 ","")&amp;IF('C113'!D13="Aula 3","C113 ","")&amp;IF('C121'!D13="Aula 3","C121 ","")&amp;IF('C122'!D13="Aula 3","C122 ",""))," ",",")</f>
        <v/>
      </c>
      <c r="E22" s="5">
        <f>SUBSTITUTE(TRIM(IF('C111'!D13="Aula 4","C111 ","")&amp;IF('C112'!D13="Aula 4","C112 ","")&amp;IF('C113'!D13="Aula 4","C113 ","")&amp;IF('C121'!D13="Aula 4","C121 ","")&amp;IF('C122'!D13="Aula 4","C122 ",""))," ",",")</f>
        <v/>
      </c>
      <c r="F22" s="5">
        <f>SUBSTITUTE(TRIM(IF('C111'!D13="Aula 5","C111 ","")&amp;IF('C112'!D13="Aula 5","C112 ","")&amp;IF('C113'!D13="Aula 5","C113 ","")&amp;IF('C121'!D13="Aula 5","C121 ","")&amp;IF('C122'!D13="Aula 5","C122 ",""))," ",",")</f>
        <v/>
      </c>
      <c r="G22" s="5">
        <f>SUBSTITUTE(TRIM(IF('C111'!D13="Aula 6","C111 ","")&amp;IF('C112'!D13="Aula 6","C112 ","")&amp;IF('C113'!D13="Aula 6","C113 ","")&amp;IF('C121'!D13="Aula 6","C121 ","")&amp;IF('C122'!D13="Aula 6","C122 ",""))," ",",")</f>
        <v/>
      </c>
      <c r="H22" s="5">
        <f>SUBSTITUTE(TRIM(IF('C111'!D13="Aula 7","C111 ","")&amp;IF('C112'!D13="Aula 7","C112 ","")&amp;IF('C113'!D13="Aula 7","C113 ","")&amp;IF('C121'!D13="Aula 7","C121 ","")&amp;IF('C122'!D13="Aula 7","C122 ",""))," ",",")</f>
        <v/>
      </c>
      <c r="I22" s="5">
        <f>SUBSTITUTE(TRIM(IF('C111'!D13="Aula 8","C111 ","")&amp;IF('C112'!D13="Aula 8","C112 ","")&amp;IF('C113'!D13="Aula 8","C113 ","")&amp;IF('C121'!D13="Aula 8","C121 ","")&amp;IF('C122'!D13="Aula 8","C122 ",""))," ",",")</f>
        <v/>
      </c>
      <c r="J22" s="5">
        <f>SUBSTITUTE(TRIM(IF('C111'!D13="Aula 9","C111 ","")&amp;IF('C112'!D13="Aula 9","C112 ","")&amp;IF('C113'!D13="Aula 9","C113 ","")&amp;IF('C121'!D13="Aula 9","C121 ","")&amp;IF('C122'!D13="Aula 9","C122 ",""))," ",",")</f>
        <v/>
      </c>
      <c r="K22" s="6">
        <f>SUBSTITUTE(TRIM(IF('C111'!D13="Lab","C111 ","")&amp;IF('C112'!D13="Lab","C112 ","")&amp;IF('C113'!D13="Lab","C113 ","")&amp;IF('C121'!D13="Lab","C121 ","")&amp;IF('C122'!D13="Lab","C122 ",""))," ",",")</f>
        <v/>
      </c>
    </row>
    <row r="23">
      <c r="A23" s="7" t="inlineStr">
        <is>
          <t>Turno 6</t>
        </is>
      </c>
      <c r="B23" s="8">
        <f>SUBSTITUTE(TRIM(IF('C111'!D15="Aula 1","C111 ","")&amp;IF('C112'!D15="Aula 1","C112 ","")&amp;IF('C113'!D15="Aula 1","C113 ","")&amp;IF('C121'!D15="Aula 1","C121 ","")&amp;IF('C122'!D15="Aula 1","C122 ",""))," ",",")</f>
        <v/>
      </c>
      <c r="C23" s="8">
        <f>SUBSTITUTE(TRIM(IF('C111'!D15="Aula 2","C111 ","")&amp;IF('C112'!D15="Aula 2","C112 ","")&amp;IF('C113'!D15="Aula 2","C113 ","")&amp;IF('C121'!D15="Aula 2","C121 ","")&amp;IF('C122'!D15="Aula 2","C122 ",""))," ",",")</f>
        <v/>
      </c>
      <c r="D23" s="8">
        <f>SUBSTITUTE(TRIM(IF('C111'!D15="Aula 3","C111 ","")&amp;IF('C112'!D15="Aula 3","C112 ","")&amp;IF('C113'!D15="Aula 3","C113 ","")&amp;IF('C121'!D15="Aula 3","C121 ","")&amp;IF('C122'!D15="Aula 3","C122 ",""))," ",",")</f>
        <v/>
      </c>
      <c r="E23" s="8">
        <f>SUBSTITUTE(TRIM(IF('C111'!D15="Aula 4","C111 ","")&amp;IF('C112'!D15="Aula 4","C112 ","")&amp;IF('C113'!D15="Aula 4","C113 ","")&amp;IF('C121'!D15="Aula 4","C121 ","")&amp;IF('C122'!D15="Aula 4","C122 ",""))," ",",")</f>
        <v/>
      </c>
      <c r="F23" s="8">
        <f>SUBSTITUTE(TRIM(IF('C111'!D15="Aula 5","C111 ","")&amp;IF('C112'!D15="Aula 5","C112 ","")&amp;IF('C113'!D15="Aula 5","C113 ","")&amp;IF('C121'!D15="Aula 5","C121 ","")&amp;IF('C122'!D15="Aula 5","C122 ",""))," ",",")</f>
        <v/>
      </c>
      <c r="G23" s="8">
        <f>SUBSTITUTE(TRIM(IF('C111'!D15="Aula 6","C111 ","")&amp;IF('C112'!D15="Aula 6","C112 ","")&amp;IF('C113'!D15="Aula 6","C113 ","")&amp;IF('C121'!D15="Aula 6","C121 ","")&amp;IF('C122'!D15="Aula 6","C122 ",""))," ",",")</f>
        <v/>
      </c>
      <c r="H23" s="8">
        <f>SUBSTITUTE(TRIM(IF('C111'!D15="Aula 7","C111 ","")&amp;IF('C112'!D15="Aula 7","C112 ","")&amp;IF('C113'!D15="Aula 7","C113 ","")&amp;IF('C121'!D15="Aula 7","C121 ","")&amp;IF('C122'!D15="Aula 7","C122 ",""))," ",",")</f>
        <v/>
      </c>
      <c r="I23" s="8">
        <f>SUBSTITUTE(TRIM(IF('C111'!D15="Aula 8","C111 ","")&amp;IF('C112'!D15="Aula 8","C112 ","")&amp;IF('C113'!D15="Aula 8","C113 ","")&amp;IF('C121'!D15="Aula 8","C121 ","")&amp;IF('C122'!D15="Aula 8","C122 ",""))," ",",")</f>
        <v/>
      </c>
      <c r="J23" s="8">
        <f>SUBSTITUTE(TRIM(IF('C111'!D15="Aula 9","C111 ","")&amp;IF('C112'!D15="Aula 9","C112 ","")&amp;IF('C113'!D15="Aula 9","C113 ","")&amp;IF('C121'!D15="Aula 9","C121 ","")&amp;IF('C122'!D15="Aula 9","C122 ",""))," ",",")</f>
        <v/>
      </c>
      <c r="K23" s="9">
        <f>SUBSTITUTE(TRIM(IF('C111'!D15="Lab","C111 ","")&amp;IF('C112'!D15="Lab","C112 ","")&amp;IF('C113'!D15="Lab","C113 ","")&amp;IF('C121'!D15="Lab","C121 ","")&amp;IF('C122'!D15="Lab","C122 ",""))," ",",")</f>
        <v/>
      </c>
    </row>
    <row r="24"/>
    <row r="25">
      <c r="A25" s="1" t="inlineStr">
        <is>
          <t>Jueves</t>
        </is>
      </c>
      <c r="B25" s="2" t="inlineStr">
        <is>
          <t>Aula 1</t>
        </is>
      </c>
      <c r="C25" s="2" t="inlineStr">
        <is>
          <t>Aula 2</t>
        </is>
      </c>
      <c r="D25" s="2" t="inlineStr">
        <is>
          <t>Aula 3</t>
        </is>
      </c>
      <c r="E25" s="2" t="inlineStr">
        <is>
          <t>Aula 4</t>
        </is>
      </c>
      <c r="F25" s="2" t="inlineStr">
        <is>
          <t>Aula 5</t>
        </is>
      </c>
      <c r="G25" s="2" t="inlineStr">
        <is>
          <t>Aula 6</t>
        </is>
      </c>
      <c r="H25" s="2" t="inlineStr">
        <is>
          <t>Aula 7</t>
        </is>
      </c>
      <c r="I25" s="2" t="inlineStr">
        <is>
          <t>Aula 8</t>
        </is>
      </c>
      <c r="J25" s="2" t="inlineStr">
        <is>
          <t>Aula 9</t>
        </is>
      </c>
      <c r="K25" s="3" t="inlineStr">
        <is>
          <t>Lab</t>
        </is>
      </c>
    </row>
    <row r="26">
      <c r="A26" s="4" t="inlineStr">
        <is>
          <t>Turno 1</t>
        </is>
      </c>
      <c r="B26" s="5">
        <f>SUBSTITUTE(TRIM(IF('C111'!E5="Aula 1","C111 ","")&amp;IF('C112'!E5="Aula 1","C112 ","")&amp;IF('C113'!E5="Aula 1","C113 ","")&amp;IF('C121'!E5="Aula 1","C121 ","")&amp;IF('C122'!E5="Aula 1","C122 ",""))," ",",")</f>
        <v/>
      </c>
      <c r="C26" s="5">
        <f>SUBSTITUTE(TRIM(IF('C111'!E5="Aula 2","C111 ","")&amp;IF('C112'!E5="Aula 2","C112 ","")&amp;IF('C113'!E5="Aula 2","C113 ","")&amp;IF('C121'!E5="Aula 2","C121 ","")&amp;IF('C122'!E5="Aula 2","C122 ",""))," ",",")</f>
        <v/>
      </c>
      <c r="D26" s="5">
        <f>SUBSTITUTE(TRIM(IF('C111'!E5="Aula 3","C111 ","")&amp;IF('C112'!E5="Aula 3","C112 ","")&amp;IF('C113'!E5="Aula 3","C113 ","")&amp;IF('C121'!E5="Aula 3","C121 ","")&amp;IF('C122'!E5="Aula 3","C122 ",""))," ",",")</f>
        <v/>
      </c>
      <c r="E26" s="5">
        <f>SUBSTITUTE(TRIM(IF('C111'!E5="Aula 4","C111 ","")&amp;IF('C112'!E5="Aula 4","C112 ","")&amp;IF('C113'!E5="Aula 4","C113 ","")&amp;IF('C121'!E5="Aula 4","C121 ","")&amp;IF('C122'!E5="Aula 4","C122 ",""))," ",",")</f>
        <v/>
      </c>
      <c r="F26" s="5">
        <f>SUBSTITUTE(TRIM(IF('C111'!E5="Aula 5","C111 ","")&amp;IF('C112'!E5="Aula 5","C112 ","")&amp;IF('C113'!E5="Aula 5","C113 ","")&amp;IF('C121'!E5="Aula 5","C121 ","")&amp;IF('C122'!E5="Aula 5","C122 ",""))," ",",")</f>
        <v/>
      </c>
      <c r="G26" s="5">
        <f>SUBSTITUTE(TRIM(IF('C111'!E5="Aula 6","C111 ","")&amp;IF('C112'!E5="Aula 6","C112 ","")&amp;IF('C113'!E5="Aula 6","C113 ","")&amp;IF('C121'!E5="Aula 6","C121 ","")&amp;IF('C122'!E5="Aula 6","C122 ",""))," ",",")</f>
        <v/>
      </c>
      <c r="H26" s="5">
        <f>SUBSTITUTE(TRIM(IF('C111'!E5="Aula 7","C111 ","")&amp;IF('C112'!E5="Aula 7","C112 ","")&amp;IF('C113'!E5="Aula 7","C113 ","")&amp;IF('C121'!E5="Aula 7","C121 ","")&amp;IF('C122'!E5="Aula 7","C122 ",""))," ",",")</f>
        <v/>
      </c>
      <c r="I26" s="5">
        <f>SUBSTITUTE(TRIM(IF('C111'!E5="Aula 8","C111 ","")&amp;IF('C112'!E5="Aula 8","C112 ","")&amp;IF('C113'!E5="Aula 8","C113 ","")&amp;IF('C121'!E5="Aula 8","C121 ","")&amp;IF('C122'!E5="Aula 8","C122 ",""))," ",",")</f>
        <v/>
      </c>
      <c r="J26" s="5">
        <f>SUBSTITUTE(TRIM(IF('C111'!E5="Aula 9","C111 ","")&amp;IF('C112'!E5="Aula 9","C112 ","")&amp;IF('C113'!E5="Aula 9","C113 ","")&amp;IF('C121'!E5="Aula 9","C121 ","")&amp;IF('C122'!E5="Aula 9","C122 ",""))," ",",")</f>
        <v/>
      </c>
      <c r="K26" s="6">
        <f>SUBSTITUTE(TRIM(IF('C111'!E5="Lab","C111 ","")&amp;IF('C112'!E5="Lab","C112 ","")&amp;IF('C113'!E5="Lab","C113 ","")&amp;IF('C121'!E5="Lab","C121 ","")&amp;IF('C122'!E5="Lab","C122 ",""))," ",",")</f>
        <v/>
      </c>
    </row>
    <row r="27">
      <c r="A27" s="4" t="inlineStr">
        <is>
          <t>Turno 2</t>
        </is>
      </c>
      <c r="B27" s="5">
        <f>SUBSTITUTE(TRIM(IF('C111'!E7="Aula 1","C111 ","")&amp;IF('C112'!E7="Aula 1","C112 ","")&amp;IF('C113'!E7="Aula 1","C113 ","")&amp;IF('C121'!E7="Aula 1","C121 ","")&amp;IF('C122'!E7="Aula 1","C122 ",""))," ",",")</f>
        <v/>
      </c>
      <c r="C27" s="5">
        <f>SUBSTITUTE(TRIM(IF('C111'!E7="Aula 2","C111 ","")&amp;IF('C112'!E7="Aula 2","C112 ","")&amp;IF('C113'!E7="Aula 2","C113 ","")&amp;IF('C121'!E7="Aula 2","C121 ","")&amp;IF('C122'!E7="Aula 2","C122 ",""))," ",",")</f>
        <v/>
      </c>
      <c r="D27" s="5">
        <f>SUBSTITUTE(TRIM(IF('C111'!E7="Aula 3","C111 ","")&amp;IF('C112'!E7="Aula 3","C112 ","")&amp;IF('C113'!E7="Aula 3","C113 ","")&amp;IF('C121'!E7="Aula 3","C121 ","")&amp;IF('C122'!E7="Aula 3","C122 ",""))," ",",")</f>
        <v/>
      </c>
      <c r="E27" s="5">
        <f>SUBSTITUTE(TRIM(IF('C111'!E7="Aula 4","C111 ","")&amp;IF('C112'!E7="Aula 4","C112 ","")&amp;IF('C113'!E7="Aula 4","C113 ","")&amp;IF('C121'!E7="Aula 4","C121 ","")&amp;IF('C122'!E7="Aula 4","C122 ",""))," ",",")</f>
        <v/>
      </c>
      <c r="F27" s="5">
        <f>SUBSTITUTE(TRIM(IF('C111'!E7="Aula 5","C111 ","")&amp;IF('C112'!E7="Aula 5","C112 ","")&amp;IF('C113'!E7="Aula 5","C113 ","")&amp;IF('C121'!E7="Aula 5","C121 ","")&amp;IF('C122'!E7="Aula 5","C122 ",""))," ",",")</f>
        <v/>
      </c>
      <c r="G27" s="5">
        <f>SUBSTITUTE(TRIM(IF('C111'!E7="Aula 6","C111 ","")&amp;IF('C112'!E7="Aula 6","C112 ","")&amp;IF('C113'!E7="Aula 6","C113 ","")&amp;IF('C121'!E7="Aula 6","C121 ","")&amp;IF('C122'!E7="Aula 6","C122 ",""))," ",",")</f>
        <v/>
      </c>
      <c r="H27" s="5">
        <f>SUBSTITUTE(TRIM(IF('C111'!E7="Aula 7","C111 ","")&amp;IF('C112'!E7="Aula 7","C112 ","")&amp;IF('C113'!E7="Aula 7","C113 ","")&amp;IF('C121'!E7="Aula 7","C121 ","")&amp;IF('C122'!E7="Aula 7","C122 ",""))," ",",")</f>
        <v/>
      </c>
      <c r="I27" s="5">
        <f>SUBSTITUTE(TRIM(IF('C111'!E7="Aula 8","C111 ","")&amp;IF('C112'!E7="Aula 8","C112 ","")&amp;IF('C113'!E7="Aula 8","C113 ","")&amp;IF('C121'!E7="Aula 8","C121 ","")&amp;IF('C122'!E7="Aula 8","C122 ",""))," ",",")</f>
        <v/>
      </c>
      <c r="J27" s="5">
        <f>SUBSTITUTE(TRIM(IF('C111'!E7="Aula 9","C111 ","")&amp;IF('C112'!E7="Aula 9","C112 ","")&amp;IF('C113'!E7="Aula 9","C113 ","")&amp;IF('C121'!E7="Aula 9","C121 ","")&amp;IF('C122'!E7="Aula 9","C122 ",""))," ",",")</f>
        <v/>
      </c>
      <c r="K27" s="6">
        <f>SUBSTITUTE(TRIM(IF('C111'!E7="Lab","C111 ","")&amp;IF('C112'!E7="Lab","C112 ","")&amp;IF('C113'!E7="Lab","C113 ","")&amp;IF('C121'!E7="Lab","C121 ","")&amp;IF('C122'!E7="Lab","C122 ",""))," ",",")</f>
        <v/>
      </c>
    </row>
    <row r="28">
      <c r="A28" s="4" t="inlineStr">
        <is>
          <t>Turno 3</t>
        </is>
      </c>
      <c r="B28" s="5">
        <f>SUBSTITUTE(TRIM(IF('C111'!E9="Aula 1","C111 ","")&amp;IF('C112'!E9="Aula 1","C112 ","")&amp;IF('C113'!E9="Aula 1","C113 ","")&amp;IF('C121'!E9="Aula 1","C121 ","")&amp;IF('C122'!E9="Aula 1","C122 ",""))," ",",")</f>
        <v/>
      </c>
      <c r="C28" s="5">
        <f>SUBSTITUTE(TRIM(IF('C111'!E9="Aula 2","C111 ","")&amp;IF('C112'!E9="Aula 2","C112 ","")&amp;IF('C113'!E9="Aula 2","C113 ","")&amp;IF('C121'!E9="Aula 2","C121 ","")&amp;IF('C122'!E9="Aula 2","C122 ",""))," ",",")</f>
        <v/>
      </c>
      <c r="D28" s="5">
        <f>SUBSTITUTE(TRIM(IF('C111'!E9="Aula 3","C111 ","")&amp;IF('C112'!E9="Aula 3","C112 ","")&amp;IF('C113'!E9="Aula 3","C113 ","")&amp;IF('C121'!E9="Aula 3","C121 ","")&amp;IF('C122'!E9="Aula 3","C122 ",""))," ",",")</f>
        <v/>
      </c>
      <c r="E28" s="5">
        <f>SUBSTITUTE(TRIM(IF('C111'!E9="Aula 4","C111 ","")&amp;IF('C112'!E9="Aula 4","C112 ","")&amp;IF('C113'!E9="Aula 4","C113 ","")&amp;IF('C121'!E9="Aula 4","C121 ","")&amp;IF('C122'!E9="Aula 4","C122 ",""))," ",",")</f>
        <v/>
      </c>
      <c r="F28" s="5">
        <f>SUBSTITUTE(TRIM(IF('C111'!E9="Aula 5","C111 ","")&amp;IF('C112'!E9="Aula 5","C112 ","")&amp;IF('C113'!E9="Aula 5","C113 ","")&amp;IF('C121'!E9="Aula 5","C121 ","")&amp;IF('C122'!E9="Aula 5","C122 ",""))," ",",")</f>
        <v/>
      </c>
      <c r="G28" s="5">
        <f>SUBSTITUTE(TRIM(IF('C111'!E9="Aula 6","C111 ","")&amp;IF('C112'!E9="Aula 6","C112 ","")&amp;IF('C113'!E9="Aula 6","C113 ","")&amp;IF('C121'!E9="Aula 6","C121 ","")&amp;IF('C122'!E9="Aula 6","C122 ",""))," ",",")</f>
        <v/>
      </c>
      <c r="H28" s="5">
        <f>SUBSTITUTE(TRIM(IF('C111'!E9="Aula 7","C111 ","")&amp;IF('C112'!E9="Aula 7","C112 ","")&amp;IF('C113'!E9="Aula 7","C113 ","")&amp;IF('C121'!E9="Aula 7","C121 ","")&amp;IF('C122'!E9="Aula 7","C122 ",""))," ",",")</f>
        <v/>
      </c>
      <c r="I28" s="5">
        <f>SUBSTITUTE(TRIM(IF('C111'!E9="Aula 8","C111 ","")&amp;IF('C112'!E9="Aula 8","C112 ","")&amp;IF('C113'!E9="Aula 8","C113 ","")&amp;IF('C121'!E9="Aula 8","C121 ","")&amp;IF('C122'!E9="Aula 8","C122 ",""))," ",",")</f>
        <v/>
      </c>
      <c r="J28" s="5">
        <f>SUBSTITUTE(TRIM(IF('C111'!E9="Aula 9","C111 ","")&amp;IF('C112'!E9="Aula 9","C112 ","")&amp;IF('C113'!E9="Aula 9","C113 ","")&amp;IF('C121'!E9="Aula 9","C121 ","")&amp;IF('C122'!E9="Aula 9","C122 ",""))," ",",")</f>
        <v/>
      </c>
      <c r="K28" s="6">
        <f>SUBSTITUTE(TRIM(IF('C111'!E9="Lab","C111 ","")&amp;IF('C112'!E9="Lab","C112 ","")&amp;IF('C113'!E9="Lab","C113 ","")&amp;IF('C121'!E9="Lab","C121 ","")&amp;IF('C122'!E9="Lab","C122 ",""))," ",",")</f>
        <v/>
      </c>
    </row>
    <row r="29">
      <c r="A29" s="4" t="inlineStr">
        <is>
          <t>Turno 4</t>
        </is>
      </c>
      <c r="B29" s="5">
        <f>SUBSTITUTE(TRIM(IF('C111'!E11="Aula 1","C111 ","")&amp;IF('C112'!E11="Aula 1","C112 ","")&amp;IF('C113'!E11="Aula 1","C113 ","")&amp;IF('C121'!E11="Aula 1","C121 ","")&amp;IF('C122'!E11="Aula 1","C122 ",""))," ",",")</f>
        <v/>
      </c>
      <c r="C29" s="5">
        <f>SUBSTITUTE(TRIM(IF('C111'!E11="Aula 2","C111 ","")&amp;IF('C112'!E11="Aula 2","C112 ","")&amp;IF('C113'!E11="Aula 2","C113 ","")&amp;IF('C121'!E11="Aula 2","C121 ","")&amp;IF('C122'!E11="Aula 2","C122 ",""))," ",",")</f>
        <v/>
      </c>
      <c r="D29" s="5">
        <f>SUBSTITUTE(TRIM(IF('C111'!E11="Aula 3","C111 ","")&amp;IF('C112'!E11="Aula 3","C112 ","")&amp;IF('C113'!E11="Aula 3","C113 ","")&amp;IF('C121'!E11="Aula 3","C121 ","")&amp;IF('C122'!E11="Aula 3","C122 ",""))," ",",")</f>
        <v/>
      </c>
      <c r="E29" s="5">
        <f>SUBSTITUTE(TRIM(IF('C111'!E11="Aula 4","C111 ","")&amp;IF('C112'!E11="Aula 4","C112 ","")&amp;IF('C113'!E11="Aula 4","C113 ","")&amp;IF('C121'!E11="Aula 4","C121 ","")&amp;IF('C122'!E11="Aula 4","C122 ",""))," ",",")</f>
        <v/>
      </c>
      <c r="F29" s="5">
        <f>SUBSTITUTE(TRIM(IF('C111'!E11="Aula 5","C111 ","")&amp;IF('C112'!E11="Aula 5","C112 ","")&amp;IF('C113'!E11="Aula 5","C113 ","")&amp;IF('C121'!E11="Aula 5","C121 ","")&amp;IF('C122'!E11="Aula 5","C122 ",""))," ",",")</f>
        <v/>
      </c>
      <c r="G29" s="5">
        <f>SUBSTITUTE(TRIM(IF('C111'!E11="Aula 6","C111 ","")&amp;IF('C112'!E11="Aula 6","C112 ","")&amp;IF('C113'!E11="Aula 6","C113 ","")&amp;IF('C121'!E11="Aula 6","C121 ","")&amp;IF('C122'!E11="Aula 6","C122 ",""))," ",",")</f>
        <v/>
      </c>
      <c r="H29" s="5">
        <f>SUBSTITUTE(TRIM(IF('C111'!E11="Aula 7","C111 ","")&amp;IF('C112'!E11="Aula 7","C112 ","")&amp;IF('C113'!E11="Aula 7","C113 ","")&amp;IF('C121'!E11="Aula 7","C121 ","")&amp;IF('C122'!E11="Aula 7","C122 ",""))," ",",")</f>
        <v/>
      </c>
      <c r="I29" s="5">
        <f>SUBSTITUTE(TRIM(IF('C111'!E11="Aula 8","C111 ","")&amp;IF('C112'!E11="Aula 8","C112 ","")&amp;IF('C113'!E11="Aula 8","C113 ","")&amp;IF('C121'!E11="Aula 8","C121 ","")&amp;IF('C122'!E11="Aula 8","C122 ",""))," ",",")</f>
        <v/>
      </c>
      <c r="J29" s="5">
        <f>SUBSTITUTE(TRIM(IF('C111'!E11="Aula 9","C111 ","")&amp;IF('C112'!E11="Aula 9","C112 ","")&amp;IF('C113'!E11="Aula 9","C113 ","")&amp;IF('C121'!E11="Aula 9","C121 ","")&amp;IF('C122'!E11="Aula 9","C122 ",""))," ",",")</f>
        <v/>
      </c>
      <c r="K29" s="6">
        <f>SUBSTITUTE(TRIM(IF('C111'!E11="Lab","C111 ","")&amp;IF('C112'!E11="Lab","C112 ","")&amp;IF('C113'!E11="Lab","C113 ","")&amp;IF('C121'!E11="Lab","C121 ","")&amp;IF('C122'!E11="Lab","C122 ",""))," ",",")</f>
        <v/>
      </c>
    </row>
    <row r="30">
      <c r="A30" s="4" t="inlineStr">
        <is>
          <t>Turno 5</t>
        </is>
      </c>
      <c r="B30" s="5">
        <f>SUBSTITUTE(TRIM(IF('C111'!E13="Aula 1","C111 ","")&amp;IF('C112'!E13="Aula 1","C112 ","")&amp;IF('C113'!E13="Aula 1","C113 ","")&amp;IF('C121'!E13="Aula 1","C121 ","")&amp;IF('C122'!E13="Aula 1","C122 ",""))," ",",")</f>
        <v/>
      </c>
      <c r="C30" s="5">
        <f>SUBSTITUTE(TRIM(IF('C111'!E13="Aula 2","C111 ","")&amp;IF('C112'!E13="Aula 2","C112 ","")&amp;IF('C113'!E13="Aula 2","C113 ","")&amp;IF('C121'!E13="Aula 2","C121 ","")&amp;IF('C122'!E13="Aula 2","C122 ",""))," ",",")</f>
        <v/>
      </c>
      <c r="D30" s="5">
        <f>SUBSTITUTE(TRIM(IF('C111'!E13="Aula 3","C111 ","")&amp;IF('C112'!E13="Aula 3","C112 ","")&amp;IF('C113'!E13="Aula 3","C113 ","")&amp;IF('C121'!E13="Aula 3","C121 ","")&amp;IF('C122'!E13="Aula 3","C122 ",""))," ",",")</f>
        <v/>
      </c>
      <c r="E30" s="5">
        <f>SUBSTITUTE(TRIM(IF('C111'!E13="Aula 4","C111 ","")&amp;IF('C112'!E13="Aula 4","C112 ","")&amp;IF('C113'!E13="Aula 4","C113 ","")&amp;IF('C121'!E13="Aula 4","C121 ","")&amp;IF('C122'!E13="Aula 4","C122 ",""))," ",",")</f>
        <v/>
      </c>
      <c r="F30" s="5">
        <f>SUBSTITUTE(TRIM(IF('C111'!E13="Aula 5","C111 ","")&amp;IF('C112'!E13="Aula 5","C112 ","")&amp;IF('C113'!E13="Aula 5","C113 ","")&amp;IF('C121'!E13="Aula 5","C121 ","")&amp;IF('C122'!E13="Aula 5","C122 ",""))," ",",")</f>
        <v/>
      </c>
      <c r="G30" s="5">
        <f>SUBSTITUTE(TRIM(IF('C111'!E13="Aula 6","C111 ","")&amp;IF('C112'!E13="Aula 6","C112 ","")&amp;IF('C113'!E13="Aula 6","C113 ","")&amp;IF('C121'!E13="Aula 6","C121 ","")&amp;IF('C122'!E13="Aula 6","C122 ",""))," ",",")</f>
        <v/>
      </c>
      <c r="H30" s="5">
        <f>SUBSTITUTE(TRIM(IF('C111'!E13="Aula 7","C111 ","")&amp;IF('C112'!E13="Aula 7","C112 ","")&amp;IF('C113'!E13="Aula 7","C113 ","")&amp;IF('C121'!E13="Aula 7","C121 ","")&amp;IF('C122'!E13="Aula 7","C122 ",""))," ",",")</f>
        <v/>
      </c>
      <c r="I30" s="5">
        <f>SUBSTITUTE(TRIM(IF('C111'!E13="Aula 8","C111 ","")&amp;IF('C112'!E13="Aula 8","C112 ","")&amp;IF('C113'!E13="Aula 8","C113 ","")&amp;IF('C121'!E13="Aula 8","C121 ","")&amp;IF('C122'!E13="Aula 8","C122 ",""))," ",",")</f>
        <v/>
      </c>
      <c r="J30" s="5">
        <f>SUBSTITUTE(TRIM(IF('C111'!E13="Aula 9","C111 ","")&amp;IF('C112'!E13="Aula 9","C112 ","")&amp;IF('C113'!E13="Aula 9","C113 ","")&amp;IF('C121'!E13="Aula 9","C121 ","")&amp;IF('C122'!E13="Aula 9","C122 ",""))," ",",")</f>
        <v/>
      </c>
      <c r="K30" s="6">
        <f>SUBSTITUTE(TRIM(IF('C111'!E13="Lab","C111 ","")&amp;IF('C112'!E13="Lab","C112 ","")&amp;IF('C113'!E13="Lab","C113 ","")&amp;IF('C121'!E13="Lab","C121 ","")&amp;IF('C122'!E13="Lab","C122 ",""))," ",",")</f>
        <v/>
      </c>
    </row>
    <row r="31">
      <c r="A31" s="7" t="inlineStr">
        <is>
          <t>Turno 6</t>
        </is>
      </c>
      <c r="B31" s="8">
        <f>SUBSTITUTE(TRIM(IF('C111'!E15="Aula 1","C111 ","")&amp;IF('C112'!E15="Aula 1","C112 ","")&amp;IF('C113'!E15="Aula 1","C113 ","")&amp;IF('C121'!E15="Aula 1","C121 ","")&amp;IF('C122'!E15="Aula 1","C122 ",""))," ",",")</f>
        <v/>
      </c>
      <c r="C31" s="8">
        <f>SUBSTITUTE(TRIM(IF('C111'!E15="Aula 2","C111 ","")&amp;IF('C112'!E15="Aula 2","C112 ","")&amp;IF('C113'!E15="Aula 2","C113 ","")&amp;IF('C121'!E15="Aula 2","C121 ","")&amp;IF('C122'!E15="Aula 2","C122 ",""))," ",",")</f>
        <v/>
      </c>
      <c r="D31" s="8">
        <f>SUBSTITUTE(TRIM(IF('C111'!E15="Aula 3","C111 ","")&amp;IF('C112'!E15="Aula 3","C112 ","")&amp;IF('C113'!E15="Aula 3","C113 ","")&amp;IF('C121'!E15="Aula 3","C121 ","")&amp;IF('C122'!E15="Aula 3","C122 ",""))," ",",")</f>
        <v/>
      </c>
      <c r="E31" s="8">
        <f>SUBSTITUTE(TRIM(IF('C111'!E15="Aula 4","C111 ","")&amp;IF('C112'!E15="Aula 4","C112 ","")&amp;IF('C113'!E15="Aula 4","C113 ","")&amp;IF('C121'!E15="Aula 4","C121 ","")&amp;IF('C122'!E15="Aula 4","C122 ",""))," ",",")</f>
        <v/>
      </c>
      <c r="F31" s="8">
        <f>SUBSTITUTE(TRIM(IF('C111'!E15="Aula 5","C111 ","")&amp;IF('C112'!E15="Aula 5","C112 ","")&amp;IF('C113'!E15="Aula 5","C113 ","")&amp;IF('C121'!E15="Aula 5","C121 ","")&amp;IF('C122'!E15="Aula 5","C122 ",""))," ",",")</f>
        <v/>
      </c>
      <c r="G31" s="8">
        <f>SUBSTITUTE(TRIM(IF('C111'!E15="Aula 6","C111 ","")&amp;IF('C112'!E15="Aula 6","C112 ","")&amp;IF('C113'!E15="Aula 6","C113 ","")&amp;IF('C121'!E15="Aula 6","C121 ","")&amp;IF('C122'!E15="Aula 6","C122 ",""))," ",",")</f>
        <v/>
      </c>
      <c r="H31" s="8">
        <f>SUBSTITUTE(TRIM(IF('C111'!E15="Aula 7","C111 ","")&amp;IF('C112'!E15="Aula 7","C112 ","")&amp;IF('C113'!E15="Aula 7","C113 ","")&amp;IF('C121'!E15="Aula 7","C121 ","")&amp;IF('C122'!E15="Aula 7","C122 ",""))," ",",")</f>
        <v/>
      </c>
      <c r="I31" s="8">
        <f>SUBSTITUTE(TRIM(IF('C111'!E15="Aula 8","C111 ","")&amp;IF('C112'!E15="Aula 8","C112 ","")&amp;IF('C113'!E15="Aula 8","C113 ","")&amp;IF('C121'!E15="Aula 8","C121 ","")&amp;IF('C122'!E15="Aula 8","C122 ",""))," ",",")</f>
        <v/>
      </c>
      <c r="J31" s="8">
        <f>SUBSTITUTE(TRIM(IF('C111'!E15="Aula 9","C111 ","")&amp;IF('C112'!E15="Aula 9","C112 ","")&amp;IF('C113'!E15="Aula 9","C113 ","")&amp;IF('C121'!E15="Aula 9","C121 ","")&amp;IF('C122'!E15="Aula 9","C122 ",""))," ",",")</f>
        <v/>
      </c>
      <c r="K31" s="9">
        <f>SUBSTITUTE(TRIM(IF('C111'!E15="Lab","C111 ","")&amp;IF('C112'!E15="Lab","C112 ","")&amp;IF('C113'!E15="Lab","C113 ","")&amp;IF('C121'!E15="Lab","C121 ","")&amp;IF('C122'!E15="Lab","C122 ",""))," ",",")</f>
        <v/>
      </c>
    </row>
    <row r="32"/>
    <row r="33">
      <c r="A33" s="1" t="inlineStr">
        <is>
          <t>Viernes</t>
        </is>
      </c>
      <c r="B33" s="2" t="inlineStr">
        <is>
          <t>Aula 1</t>
        </is>
      </c>
      <c r="C33" s="2" t="inlineStr">
        <is>
          <t>Aula 2</t>
        </is>
      </c>
      <c r="D33" s="2" t="inlineStr">
        <is>
          <t>Aula 3</t>
        </is>
      </c>
      <c r="E33" s="2" t="inlineStr">
        <is>
          <t>Aula 4</t>
        </is>
      </c>
      <c r="F33" s="2" t="inlineStr">
        <is>
          <t>Aula 5</t>
        </is>
      </c>
      <c r="G33" s="2" t="inlineStr">
        <is>
          <t>Aula 6</t>
        </is>
      </c>
      <c r="H33" s="2" t="inlineStr">
        <is>
          <t>Aula 7</t>
        </is>
      </c>
      <c r="I33" s="2" t="inlineStr">
        <is>
          <t>Aula 8</t>
        </is>
      </c>
      <c r="J33" s="2" t="inlineStr">
        <is>
          <t>Aula 9</t>
        </is>
      </c>
      <c r="K33" s="3" t="inlineStr">
        <is>
          <t>Lab</t>
        </is>
      </c>
    </row>
    <row r="34">
      <c r="A34" s="4" t="inlineStr">
        <is>
          <t>Turno 1</t>
        </is>
      </c>
      <c r="B34" s="5">
        <f>SUBSTITUTE(TRIM(IF('C111'!F5="Aula 1","C111 ","")&amp;IF('C112'!F5="Aula 1","C112 ","")&amp;IF('C113'!F5="Aula 1","C113 ","")&amp;IF('C121'!F5="Aula 1","C121 ","")&amp;IF('C122'!F5="Aula 1","C122 ",""))," ",",")</f>
        <v/>
      </c>
      <c r="C34" s="5">
        <f>SUBSTITUTE(TRIM(IF('C111'!F5="Aula 2","C111 ","")&amp;IF('C112'!F5="Aula 2","C112 ","")&amp;IF('C113'!F5="Aula 2","C113 ","")&amp;IF('C121'!F5="Aula 2","C121 ","")&amp;IF('C122'!F5="Aula 2","C122 ",""))," ",",")</f>
        <v/>
      </c>
      <c r="D34" s="5">
        <f>SUBSTITUTE(TRIM(IF('C111'!F5="Aula 3","C111 ","")&amp;IF('C112'!F5="Aula 3","C112 ","")&amp;IF('C113'!F5="Aula 3","C113 ","")&amp;IF('C121'!F5="Aula 3","C121 ","")&amp;IF('C122'!F5="Aula 3","C122 ",""))," ",",")</f>
        <v/>
      </c>
      <c r="E34" s="5">
        <f>SUBSTITUTE(TRIM(IF('C111'!F5="Aula 4","C111 ","")&amp;IF('C112'!F5="Aula 4","C112 ","")&amp;IF('C113'!F5="Aula 4","C113 ","")&amp;IF('C121'!F5="Aula 4","C121 ","")&amp;IF('C122'!F5="Aula 4","C122 ",""))," ",",")</f>
        <v/>
      </c>
      <c r="F34" s="5">
        <f>SUBSTITUTE(TRIM(IF('C111'!F5="Aula 5","C111 ","")&amp;IF('C112'!F5="Aula 5","C112 ","")&amp;IF('C113'!F5="Aula 5","C113 ","")&amp;IF('C121'!F5="Aula 5","C121 ","")&amp;IF('C122'!F5="Aula 5","C122 ",""))," ",",")</f>
        <v/>
      </c>
      <c r="G34" s="5">
        <f>SUBSTITUTE(TRIM(IF('C111'!F5="Aula 6","C111 ","")&amp;IF('C112'!F5="Aula 6","C112 ","")&amp;IF('C113'!F5="Aula 6","C113 ","")&amp;IF('C121'!F5="Aula 6","C121 ","")&amp;IF('C122'!F5="Aula 6","C122 ",""))," ",",")</f>
        <v/>
      </c>
      <c r="H34" s="5">
        <f>SUBSTITUTE(TRIM(IF('C111'!F5="Aula 7","C111 ","")&amp;IF('C112'!F5="Aula 7","C112 ","")&amp;IF('C113'!F5="Aula 7","C113 ","")&amp;IF('C121'!F5="Aula 7","C121 ","")&amp;IF('C122'!F5="Aula 7","C122 ",""))," ",",")</f>
        <v/>
      </c>
      <c r="I34" s="5">
        <f>SUBSTITUTE(TRIM(IF('C111'!F5="Aula 8","C111 ","")&amp;IF('C112'!F5="Aula 8","C112 ","")&amp;IF('C113'!F5="Aula 8","C113 ","")&amp;IF('C121'!F5="Aula 8","C121 ","")&amp;IF('C122'!F5="Aula 8","C122 ",""))," ",",")</f>
        <v/>
      </c>
      <c r="J34" s="5">
        <f>SUBSTITUTE(TRIM(IF('C111'!F5="Aula 9","C111 ","")&amp;IF('C112'!F5="Aula 9","C112 ","")&amp;IF('C113'!F5="Aula 9","C113 ","")&amp;IF('C121'!F5="Aula 9","C121 ","")&amp;IF('C122'!F5="Aula 9","C122 ",""))," ",",")</f>
        <v/>
      </c>
      <c r="K34" s="6">
        <f>SUBSTITUTE(TRIM(IF('C111'!F5="Lab","C111 ","")&amp;IF('C112'!F5="Lab","C112 ","")&amp;IF('C113'!F5="Lab","C113 ","")&amp;IF('C121'!F5="Lab","C121 ","")&amp;IF('C122'!F5="Lab","C122 ",""))," ",",")</f>
        <v/>
      </c>
    </row>
    <row r="35">
      <c r="A35" s="4" t="inlineStr">
        <is>
          <t>Turno 2</t>
        </is>
      </c>
      <c r="B35" s="5">
        <f>SUBSTITUTE(TRIM(IF('C111'!F7="Aula 1","C111 ","")&amp;IF('C112'!F7="Aula 1","C112 ","")&amp;IF('C113'!F7="Aula 1","C113 ","")&amp;IF('C121'!F7="Aula 1","C121 ","")&amp;IF('C122'!F7="Aula 1","C122 ",""))," ",",")</f>
        <v/>
      </c>
      <c r="C35" s="5">
        <f>SUBSTITUTE(TRIM(IF('C111'!F7="Aula 2","C111 ","")&amp;IF('C112'!F7="Aula 2","C112 ","")&amp;IF('C113'!F7="Aula 2","C113 ","")&amp;IF('C121'!F7="Aula 2","C121 ","")&amp;IF('C122'!F7="Aula 2","C122 ",""))," ",",")</f>
        <v/>
      </c>
      <c r="D35" s="5">
        <f>SUBSTITUTE(TRIM(IF('C111'!F7="Aula 3","C111 ","")&amp;IF('C112'!F7="Aula 3","C112 ","")&amp;IF('C113'!F7="Aula 3","C113 ","")&amp;IF('C121'!F7="Aula 3","C121 ","")&amp;IF('C122'!F7="Aula 3","C122 ",""))," ",",")</f>
        <v/>
      </c>
      <c r="E35" s="5">
        <f>SUBSTITUTE(TRIM(IF('C111'!F7="Aula 4","C111 ","")&amp;IF('C112'!F7="Aula 4","C112 ","")&amp;IF('C113'!F7="Aula 4","C113 ","")&amp;IF('C121'!F7="Aula 4","C121 ","")&amp;IF('C122'!F7="Aula 4","C122 ",""))," ",",")</f>
        <v/>
      </c>
      <c r="F35" s="5">
        <f>SUBSTITUTE(TRIM(IF('C111'!F7="Aula 5","C111 ","")&amp;IF('C112'!F7="Aula 5","C112 ","")&amp;IF('C113'!F7="Aula 5","C113 ","")&amp;IF('C121'!F7="Aula 5","C121 ","")&amp;IF('C122'!F7="Aula 5","C122 ",""))," ",",")</f>
        <v/>
      </c>
      <c r="G35" s="5">
        <f>SUBSTITUTE(TRIM(IF('C111'!F7="Aula 6","C111 ","")&amp;IF('C112'!F7="Aula 6","C112 ","")&amp;IF('C113'!F7="Aula 6","C113 ","")&amp;IF('C121'!F7="Aula 6","C121 ","")&amp;IF('C122'!F7="Aula 6","C122 ",""))," ",",")</f>
        <v/>
      </c>
      <c r="H35" s="5">
        <f>SUBSTITUTE(TRIM(IF('C111'!F7="Aula 7","C111 ","")&amp;IF('C112'!F7="Aula 7","C112 ","")&amp;IF('C113'!F7="Aula 7","C113 ","")&amp;IF('C121'!F7="Aula 7","C121 ","")&amp;IF('C122'!F7="Aula 7","C122 ",""))," ",",")</f>
        <v/>
      </c>
      <c r="I35" s="5">
        <f>SUBSTITUTE(TRIM(IF('C111'!F7="Aula 8","C111 ","")&amp;IF('C112'!F7="Aula 8","C112 ","")&amp;IF('C113'!F7="Aula 8","C113 ","")&amp;IF('C121'!F7="Aula 8","C121 ","")&amp;IF('C122'!F7="Aula 8","C122 ",""))," ",",")</f>
        <v/>
      </c>
      <c r="J35" s="5">
        <f>SUBSTITUTE(TRIM(IF('C111'!F7="Aula 9","C111 ","")&amp;IF('C112'!F7="Aula 9","C112 ","")&amp;IF('C113'!F7="Aula 9","C113 ","")&amp;IF('C121'!F7="Aula 9","C121 ","")&amp;IF('C122'!F7="Aula 9","C122 ",""))," ",",")</f>
        <v/>
      </c>
      <c r="K35" s="6">
        <f>SUBSTITUTE(TRIM(IF('C111'!F7="Lab","C111 ","")&amp;IF('C112'!F7="Lab","C112 ","")&amp;IF('C113'!F7="Lab","C113 ","")&amp;IF('C121'!F7="Lab","C121 ","")&amp;IF('C122'!F7="Lab","C122 ",""))," ",",")</f>
        <v/>
      </c>
    </row>
    <row r="36">
      <c r="A36" s="4" t="inlineStr">
        <is>
          <t>Turno 3</t>
        </is>
      </c>
      <c r="B36" s="5">
        <f>SUBSTITUTE(TRIM(IF('C111'!F9="Aula 1","C111 ","")&amp;IF('C112'!F9="Aula 1","C112 ","")&amp;IF('C113'!F9="Aula 1","C113 ","")&amp;IF('C121'!F9="Aula 1","C121 ","")&amp;IF('C122'!F9="Aula 1","C122 ",""))," ",",")</f>
        <v/>
      </c>
      <c r="C36" s="5">
        <f>SUBSTITUTE(TRIM(IF('C111'!F9="Aula 2","C111 ","")&amp;IF('C112'!F9="Aula 2","C112 ","")&amp;IF('C113'!F9="Aula 2","C113 ","")&amp;IF('C121'!F9="Aula 2","C121 ","")&amp;IF('C122'!F9="Aula 2","C122 ",""))," ",",")</f>
        <v/>
      </c>
      <c r="D36" s="5">
        <f>SUBSTITUTE(TRIM(IF('C111'!F9="Aula 3","C111 ","")&amp;IF('C112'!F9="Aula 3","C112 ","")&amp;IF('C113'!F9="Aula 3","C113 ","")&amp;IF('C121'!F9="Aula 3","C121 ","")&amp;IF('C122'!F9="Aula 3","C122 ",""))," ",",")</f>
        <v/>
      </c>
      <c r="E36" s="5">
        <f>SUBSTITUTE(TRIM(IF('C111'!F9="Aula 4","C111 ","")&amp;IF('C112'!F9="Aula 4","C112 ","")&amp;IF('C113'!F9="Aula 4","C113 ","")&amp;IF('C121'!F9="Aula 4","C121 ","")&amp;IF('C122'!F9="Aula 4","C122 ",""))," ",",")</f>
        <v/>
      </c>
      <c r="F36" s="5">
        <f>SUBSTITUTE(TRIM(IF('C111'!F9="Aula 5","C111 ","")&amp;IF('C112'!F9="Aula 5","C112 ","")&amp;IF('C113'!F9="Aula 5","C113 ","")&amp;IF('C121'!F9="Aula 5","C121 ","")&amp;IF('C122'!F9="Aula 5","C122 ",""))," ",",")</f>
        <v/>
      </c>
      <c r="G36" s="5">
        <f>SUBSTITUTE(TRIM(IF('C111'!F9="Aula 6","C111 ","")&amp;IF('C112'!F9="Aula 6","C112 ","")&amp;IF('C113'!F9="Aula 6","C113 ","")&amp;IF('C121'!F9="Aula 6","C121 ","")&amp;IF('C122'!F9="Aula 6","C122 ",""))," ",",")</f>
        <v/>
      </c>
      <c r="H36" s="5">
        <f>SUBSTITUTE(TRIM(IF('C111'!F9="Aula 7","C111 ","")&amp;IF('C112'!F9="Aula 7","C112 ","")&amp;IF('C113'!F9="Aula 7","C113 ","")&amp;IF('C121'!F9="Aula 7","C121 ","")&amp;IF('C122'!F9="Aula 7","C122 ",""))," ",",")</f>
        <v/>
      </c>
      <c r="I36" s="5">
        <f>SUBSTITUTE(TRIM(IF('C111'!F9="Aula 8","C111 ","")&amp;IF('C112'!F9="Aula 8","C112 ","")&amp;IF('C113'!F9="Aula 8","C113 ","")&amp;IF('C121'!F9="Aula 8","C121 ","")&amp;IF('C122'!F9="Aula 8","C122 ",""))," ",",")</f>
        <v/>
      </c>
      <c r="J36" s="5">
        <f>SUBSTITUTE(TRIM(IF('C111'!F9="Aula 9","C111 ","")&amp;IF('C112'!F9="Aula 9","C112 ","")&amp;IF('C113'!F9="Aula 9","C113 ","")&amp;IF('C121'!F9="Aula 9","C121 ","")&amp;IF('C122'!F9="Aula 9","C122 ",""))," ",",")</f>
        <v/>
      </c>
      <c r="K36" s="6">
        <f>SUBSTITUTE(TRIM(IF('C111'!F9="Lab","C111 ","")&amp;IF('C112'!F9="Lab","C112 ","")&amp;IF('C113'!F9="Lab","C113 ","")&amp;IF('C121'!F9="Lab","C121 ","")&amp;IF('C122'!F9="Lab","C122 ",""))," ",",")</f>
        <v/>
      </c>
    </row>
    <row r="37">
      <c r="A37" s="4" t="inlineStr">
        <is>
          <t>Turno 4</t>
        </is>
      </c>
      <c r="B37" s="5">
        <f>SUBSTITUTE(TRIM(IF('C111'!F11="Aula 1","C111 ","")&amp;IF('C112'!F11="Aula 1","C112 ","")&amp;IF('C113'!F11="Aula 1","C113 ","")&amp;IF('C121'!F11="Aula 1","C121 ","")&amp;IF('C122'!F11="Aula 1","C122 ",""))," ",",")</f>
        <v/>
      </c>
      <c r="C37" s="5">
        <f>SUBSTITUTE(TRIM(IF('C111'!F11="Aula 2","C111 ","")&amp;IF('C112'!F11="Aula 2","C112 ","")&amp;IF('C113'!F11="Aula 2","C113 ","")&amp;IF('C121'!F11="Aula 2","C121 ","")&amp;IF('C122'!F11="Aula 2","C122 ",""))," ",",")</f>
        <v/>
      </c>
      <c r="D37" s="5">
        <f>SUBSTITUTE(TRIM(IF('C111'!F11="Aula 3","C111 ","")&amp;IF('C112'!F11="Aula 3","C112 ","")&amp;IF('C113'!F11="Aula 3","C113 ","")&amp;IF('C121'!F11="Aula 3","C121 ","")&amp;IF('C122'!F11="Aula 3","C122 ",""))," ",",")</f>
        <v/>
      </c>
      <c r="E37" s="5">
        <f>SUBSTITUTE(TRIM(IF('C111'!F11="Aula 4","C111 ","")&amp;IF('C112'!F11="Aula 4","C112 ","")&amp;IF('C113'!F11="Aula 4","C113 ","")&amp;IF('C121'!F11="Aula 4","C121 ","")&amp;IF('C122'!F11="Aula 4","C122 ",""))," ",",")</f>
        <v/>
      </c>
      <c r="F37" s="5">
        <f>SUBSTITUTE(TRIM(IF('C111'!F11="Aula 5","C111 ","")&amp;IF('C112'!F11="Aula 5","C112 ","")&amp;IF('C113'!F11="Aula 5","C113 ","")&amp;IF('C121'!F11="Aula 5","C121 ","")&amp;IF('C122'!F11="Aula 5","C122 ",""))," ",",")</f>
        <v/>
      </c>
      <c r="G37" s="5">
        <f>SUBSTITUTE(TRIM(IF('C111'!F11="Aula 6","C111 ","")&amp;IF('C112'!F11="Aula 6","C112 ","")&amp;IF('C113'!F11="Aula 6","C113 ","")&amp;IF('C121'!F11="Aula 6","C121 ","")&amp;IF('C122'!F11="Aula 6","C122 ",""))," ",",")</f>
        <v/>
      </c>
      <c r="H37" s="5">
        <f>SUBSTITUTE(TRIM(IF('C111'!F11="Aula 7","C111 ","")&amp;IF('C112'!F11="Aula 7","C112 ","")&amp;IF('C113'!F11="Aula 7","C113 ","")&amp;IF('C121'!F11="Aula 7","C121 ","")&amp;IF('C122'!F11="Aula 7","C122 ",""))," ",",")</f>
        <v/>
      </c>
      <c r="I37" s="5">
        <f>SUBSTITUTE(TRIM(IF('C111'!F11="Aula 8","C111 ","")&amp;IF('C112'!F11="Aula 8","C112 ","")&amp;IF('C113'!F11="Aula 8","C113 ","")&amp;IF('C121'!F11="Aula 8","C121 ","")&amp;IF('C122'!F11="Aula 8","C122 ",""))," ",",")</f>
        <v/>
      </c>
      <c r="J37" s="5">
        <f>SUBSTITUTE(TRIM(IF('C111'!F11="Aula 9","C111 ","")&amp;IF('C112'!F11="Aula 9","C112 ","")&amp;IF('C113'!F11="Aula 9","C113 ","")&amp;IF('C121'!F11="Aula 9","C121 ","")&amp;IF('C122'!F11="Aula 9","C122 ",""))," ",",")</f>
        <v/>
      </c>
      <c r="K37" s="6">
        <f>SUBSTITUTE(TRIM(IF('C111'!F11="Lab","C111 ","")&amp;IF('C112'!F11="Lab","C112 ","")&amp;IF('C113'!F11="Lab","C113 ","")&amp;IF('C121'!F11="Lab","C121 ","")&amp;IF('C122'!F11="Lab","C122 ",""))," ",",")</f>
        <v/>
      </c>
    </row>
    <row r="38">
      <c r="A38" s="4" t="inlineStr">
        <is>
          <t>Turno 5</t>
        </is>
      </c>
      <c r="B38" s="5">
        <f>SUBSTITUTE(TRIM(IF('C111'!F13="Aula 1","C111 ","")&amp;IF('C112'!F13="Aula 1","C112 ","")&amp;IF('C113'!F13="Aula 1","C113 ","")&amp;IF('C121'!F13="Aula 1","C121 ","")&amp;IF('C122'!F13="Aula 1","C122 ",""))," ",",")</f>
        <v/>
      </c>
      <c r="C38" s="5">
        <f>SUBSTITUTE(TRIM(IF('C111'!F13="Aula 2","C111 ","")&amp;IF('C112'!F13="Aula 2","C112 ","")&amp;IF('C113'!F13="Aula 2","C113 ","")&amp;IF('C121'!F13="Aula 2","C121 ","")&amp;IF('C122'!F13="Aula 2","C122 ",""))," ",",")</f>
        <v/>
      </c>
      <c r="D38" s="5">
        <f>SUBSTITUTE(TRIM(IF('C111'!F13="Aula 3","C111 ","")&amp;IF('C112'!F13="Aula 3","C112 ","")&amp;IF('C113'!F13="Aula 3","C113 ","")&amp;IF('C121'!F13="Aula 3","C121 ","")&amp;IF('C122'!F13="Aula 3","C122 ",""))," ",",")</f>
        <v/>
      </c>
      <c r="E38" s="5">
        <f>SUBSTITUTE(TRIM(IF('C111'!F13="Aula 4","C111 ","")&amp;IF('C112'!F13="Aula 4","C112 ","")&amp;IF('C113'!F13="Aula 4","C113 ","")&amp;IF('C121'!F13="Aula 4","C121 ","")&amp;IF('C122'!F13="Aula 4","C122 ",""))," ",",")</f>
        <v/>
      </c>
      <c r="F38" s="5">
        <f>SUBSTITUTE(TRIM(IF('C111'!F13="Aula 5","C111 ","")&amp;IF('C112'!F13="Aula 5","C112 ","")&amp;IF('C113'!F13="Aula 5","C113 ","")&amp;IF('C121'!F13="Aula 5","C121 ","")&amp;IF('C122'!F13="Aula 5","C122 ",""))," ",",")</f>
        <v/>
      </c>
      <c r="G38" s="5">
        <f>SUBSTITUTE(TRIM(IF('C111'!F13="Aula 6","C111 ","")&amp;IF('C112'!F13="Aula 6","C112 ","")&amp;IF('C113'!F13="Aula 6","C113 ","")&amp;IF('C121'!F13="Aula 6","C121 ","")&amp;IF('C122'!F13="Aula 6","C122 ",""))," ",",")</f>
        <v/>
      </c>
      <c r="H38" s="5">
        <f>SUBSTITUTE(TRIM(IF('C111'!F13="Aula 7","C111 ","")&amp;IF('C112'!F13="Aula 7","C112 ","")&amp;IF('C113'!F13="Aula 7","C113 ","")&amp;IF('C121'!F13="Aula 7","C121 ","")&amp;IF('C122'!F13="Aula 7","C122 ",""))," ",",")</f>
        <v/>
      </c>
      <c r="I38" s="5">
        <f>SUBSTITUTE(TRIM(IF('C111'!F13="Aula 8","C111 ","")&amp;IF('C112'!F13="Aula 8","C112 ","")&amp;IF('C113'!F13="Aula 8","C113 ","")&amp;IF('C121'!F13="Aula 8","C121 ","")&amp;IF('C122'!F13="Aula 8","C122 ",""))," ",",")</f>
        <v/>
      </c>
      <c r="J38" s="5">
        <f>SUBSTITUTE(TRIM(IF('C111'!F13="Aula 9","C111 ","")&amp;IF('C112'!F13="Aula 9","C112 ","")&amp;IF('C113'!F13="Aula 9","C113 ","")&amp;IF('C121'!F13="Aula 9","C121 ","")&amp;IF('C122'!F13="Aula 9","C122 ",""))," ",",")</f>
        <v/>
      </c>
      <c r="K38" s="6">
        <f>SUBSTITUTE(TRIM(IF('C111'!F13="Lab","C111 ","")&amp;IF('C112'!F13="Lab","C112 ","")&amp;IF('C113'!F13="Lab","C113 ","")&amp;IF('C121'!F13="Lab","C121 ","")&amp;IF('C122'!F13="Lab","C122 ",""))," ",",")</f>
        <v/>
      </c>
    </row>
    <row r="39">
      <c r="A39" s="7" t="inlineStr">
        <is>
          <t>Turno 6</t>
        </is>
      </c>
      <c r="B39" s="8">
        <f>SUBSTITUTE(TRIM(IF('C111'!F15="Aula 1","C111 ","")&amp;IF('C112'!F15="Aula 1","C112 ","")&amp;IF('C113'!F15="Aula 1","C113 ","")&amp;IF('C121'!F15="Aula 1","C121 ","")&amp;IF('C122'!F15="Aula 1","C122 ",""))," ",",")</f>
        <v/>
      </c>
      <c r="C39" s="8">
        <f>SUBSTITUTE(TRIM(IF('C111'!F15="Aula 2","C111 ","")&amp;IF('C112'!F15="Aula 2","C112 ","")&amp;IF('C113'!F15="Aula 2","C113 ","")&amp;IF('C121'!F15="Aula 2","C121 ","")&amp;IF('C122'!F15="Aula 2","C122 ",""))," ",",")</f>
        <v/>
      </c>
      <c r="D39" s="8">
        <f>SUBSTITUTE(TRIM(IF('C111'!F15="Aula 3","C111 ","")&amp;IF('C112'!F15="Aula 3","C112 ","")&amp;IF('C113'!F15="Aula 3","C113 ","")&amp;IF('C121'!F15="Aula 3","C121 ","")&amp;IF('C122'!F15="Aula 3","C122 ",""))," ",",")</f>
        <v/>
      </c>
      <c r="E39" s="8">
        <f>SUBSTITUTE(TRIM(IF('C111'!F15="Aula 4","C111 ","")&amp;IF('C112'!F15="Aula 4","C112 ","")&amp;IF('C113'!F15="Aula 4","C113 ","")&amp;IF('C121'!F15="Aula 4","C121 ","")&amp;IF('C122'!F15="Aula 4","C122 ",""))," ",",")</f>
        <v/>
      </c>
      <c r="F39" s="8">
        <f>SUBSTITUTE(TRIM(IF('C111'!F15="Aula 5","C111 ","")&amp;IF('C112'!F15="Aula 5","C112 ","")&amp;IF('C113'!F15="Aula 5","C113 ","")&amp;IF('C121'!F15="Aula 5","C121 ","")&amp;IF('C122'!F15="Aula 5","C122 ",""))," ",",")</f>
        <v/>
      </c>
      <c r="G39" s="8">
        <f>SUBSTITUTE(TRIM(IF('C111'!F15="Aula 6","C111 ","")&amp;IF('C112'!F15="Aula 6","C112 ","")&amp;IF('C113'!F15="Aula 6","C113 ","")&amp;IF('C121'!F15="Aula 6","C121 ","")&amp;IF('C122'!F15="Aula 6","C122 ",""))," ",",")</f>
        <v/>
      </c>
      <c r="H39" s="8">
        <f>SUBSTITUTE(TRIM(IF('C111'!F15="Aula 7","C111 ","")&amp;IF('C112'!F15="Aula 7","C112 ","")&amp;IF('C113'!F15="Aula 7","C113 ","")&amp;IF('C121'!F15="Aula 7","C121 ","")&amp;IF('C122'!F15="Aula 7","C122 ",""))," ",",")</f>
        <v/>
      </c>
      <c r="I39" s="8">
        <f>SUBSTITUTE(TRIM(IF('C111'!F15="Aula 8","C111 ","")&amp;IF('C112'!F15="Aula 8","C112 ","")&amp;IF('C113'!F15="Aula 8","C113 ","")&amp;IF('C121'!F15="Aula 8","C121 ","")&amp;IF('C122'!F15="Aula 8","C122 ",""))," ",",")</f>
        <v/>
      </c>
      <c r="J39" s="8">
        <f>SUBSTITUTE(TRIM(IF('C111'!F15="Aula 9","C111 ","")&amp;IF('C112'!F15="Aula 9","C112 ","")&amp;IF('C113'!F15="Aula 9","C113 ","")&amp;IF('C121'!F15="Aula 9","C121 ","")&amp;IF('C122'!F15="Aula 9","C122 ",""))," ",",")</f>
        <v/>
      </c>
      <c r="K39" s="9">
        <f>SUBSTITUTE(TRIM(IF('C111'!F15="Lab","C111 ","")&amp;IF('C112'!F15="Lab","C112 ","")&amp;IF('C113'!F15="Lab","C113 ","")&amp;IF('C121'!F15="Lab","C121 ","")&amp;IF('C122'!F15="Lab","C122 ",""))," ",",")</f>
        <v/>
      </c>
    </row>
    <row r="41">
      <c r="A41" t="inlineStr">
        <is>
          <t>Leyenda</t>
        </is>
      </c>
    </row>
    <row r="42">
      <c r="A42" s="10" t="n"/>
      <c r="B42" t="inlineStr">
        <is>
          <t>Año C1</t>
        </is>
      </c>
    </row>
    <row r="43">
      <c r="A43" s="11" t="n"/>
      <c r="B43" t="inlineStr">
        <is>
          <t>Conflicto (varios años en la misma aula)</t>
        </is>
      </c>
    </row>
  </sheetData>
  <conditionalFormatting sqref="B2">
    <cfRule type="expression" priority="1" dxfId="0">
      <formula>Datos!C1="C1"</formula>
    </cfRule>
    <cfRule type="expression" priority="2" dxfId="1">
      <formula>Datos!C1="MIX"</formula>
    </cfRule>
  </conditionalFormatting>
  <conditionalFormatting sqref="C2">
    <cfRule type="expression" priority="3" dxfId="0">
      <formula>Datos!C2="C1"</formula>
    </cfRule>
    <cfRule type="expression" priority="4" dxfId="1">
      <formula>Datos!C2="MIX"</formula>
    </cfRule>
  </conditionalFormatting>
  <conditionalFormatting sqref="D2">
    <cfRule type="expression" priority="5" dxfId="0">
      <formula>Datos!C3="C1"</formula>
    </cfRule>
    <cfRule type="expression" priority="6" dxfId="1">
      <formula>Datos!C3="MIX"</formula>
    </cfRule>
  </conditionalFormatting>
  <conditionalFormatting sqref="E2">
    <cfRule type="expression" priority="7" dxfId="0">
      <formula>Datos!C4="C1"</formula>
    </cfRule>
    <cfRule type="expression" priority="8" dxfId="1">
      <formula>Datos!C4="MIX"</formula>
    </cfRule>
  </conditionalFormatting>
  <conditionalFormatting sqref="F2">
    <cfRule type="expression" priority="9" dxfId="0">
      <formula>Datos!C5="C1"</formula>
    </cfRule>
    <cfRule type="expression" priority="10" dxfId="1">
      <formula>Datos!C5="MIX"</formula>
    </cfRule>
  </conditionalFormatting>
  <conditionalFormatting sqref="G2">
    <cfRule type="expression" priority="11" dxfId="0">
      <formula>Datos!C6="C1"</formula>
    </cfRule>
    <cfRule type="expression" priority="12" dxfId="1">
      <formula>Datos!C6="MIX"</formula>
    </cfRule>
  </conditionalFormatting>
  <conditionalFormatting sqref="H2">
    <cfRule type="expression" priority="13" dxfId="0">
      <formula>Datos!C7="C1"</formula>
    </cfRule>
    <cfRule type="expression" priority="14" dxfId="1">
      <formula>Datos!C7="MIX"</formula>
    </cfRule>
  </conditionalFormatting>
  <conditionalFormatting sqref="I2">
    <cfRule type="expression" priority="15" dxfId="0">
      <formula>Datos!C8="C1"</formula>
    </cfRule>
    <cfRule type="expression" priority="16" dxfId="1">
      <formula>Datos!C8="MIX"</formula>
    </cfRule>
  </conditionalFormatting>
  <conditionalFormatting sqref="J2">
    <cfRule type="expression" priority="17" dxfId="0">
      <formula>Datos!C9="C1"</formula>
    </cfRule>
    <cfRule type="expression" priority="18" dxfId="1">
      <formula>Datos!C9="MIX"</formula>
    </cfRule>
  </conditionalFormatting>
  <conditionalFormatting sqref="K2">
    <cfRule type="expression" priority="19" dxfId="0">
      <formula>Datos!C10="C1"</formula>
    </cfRule>
    <cfRule type="expression" priority="20" dxfId="1">
      <formula>Datos!C10="MIX"</formula>
    </cfRule>
  </conditionalFormatting>
  <conditionalFormatting sqref="B3">
    <cfRule type="expression" priority="21" dxfId="0">
      <formula>Datos!C11="C1"</formula>
    </cfRule>
    <cfRule type="expression" priority="22" dxfId="1">
      <formula>Datos!C11="MIX"</formula>
    </cfRule>
  </conditionalFormatting>
  <conditionalFormatting sqref="C3">
    <cfRule type="expression" priority="23" dxfId="0">
      <formula>Datos!C12="C1"</formula>
    </cfRule>
    <cfRule type="expression" priority="24" dxfId="1">
      <formula>Datos!C12="MIX"</formula>
    </cfRule>
  </conditionalFormatting>
  <conditionalFormatting sqref="D3">
    <cfRule type="expression" priority="25" dxfId="0">
      <formula>Datos!C13="C1"</formula>
    </cfRule>
    <cfRule type="expression" priority="26" dxfId="1">
      <formula>Datos!C13="MIX"</formula>
    </cfRule>
  </conditionalFormatting>
  <conditionalFormatting sqref="E3">
    <cfRule type="expression" priority="27" dxfId="0">
      <formula>Datos!C14="C1"</formula>
    </cfRule>
    <cfRule type="expression" priority="28" dxfId="1">
      <formula>Datos!C14="MIX"</formula>
    </cfRule>
  </conditionalFormatting>
  <conditionalFormatting sqref="F3">
    <cfRule type="expression" priority="29" dxfId="0">
      <formula>Datos!C15="C1"</formula>
    </cfRule>
    <cfRule type="expression" priority="30" dxfId="1">
      <formula>Datos!C15="MIX"</formula>
    </cfRule>
  </conditionalFormatting>
  <conditionalFormatting sqref="G3">
    <cfRule type="expression" priority="31" dxfId="0">
      <formula>Datos!C16="C1"</formula>
    </cfRule>
    <cfRule type="expression" priority="32" dxfId="1">
      <formula>Datos!C16="MIX"</formula>
    </cfRule>
  </conditionalFormatting>
  <conditionalFormatting sqref="H3">
    <cfRule type="expression" priority="33" dxfId="0">
      <formula>Datos!C17="C1"</formula>
    </cfRule>
    <cfRule type="expression" priority="34" dxfId="1">
      <formula>Datos!C17="MIX"</formula>
    </cfRule>
  </conditionalFormatting>
  <conditionalFormatting sqref="I3">
    <cfRule type="expression" priority="35" dxfId="0">
      <formula>Datos!C18="C1"</formula>
    </cfRule>
    <cfRule type="expression" priority="36" dxfId="1">
      <formula>Datos!C18="MIX"</formula>
    </cfRule>
  </conditionalFormatting>
  <conditionalFormatting sqref="J3">
    <cfRule type="expression" priority="37" dxfId="0">
      <formula>Datos!C19="C1"</formula>
    </cfRule>
    <cfRule type="expression" priority="38" dxfId="1">
      <formula>Datos!C19="MIX"</formula>
    </cfRule>
  </conditionalFormatting>
  <conditionalFormatting sqref="K3">
    <cfRule type="expression" priority="39" dxfId="0">
      <formula>Datos!C20="C1"</formula>
    </cfRule>
    <cfRule type="expression" priority="40" dxfId="1">
      <formula>Datos!C20="MIX"</formula>
    </cfRule>
  </conditionalFormatting>
  <conditionalFormatting sqref="B4">
    <cfRule type="expression" priority="41" dxfId="0">
      <formula>Datos!C21="C1"</formula>
    </cfRule>
    <cfRule type="expression" priority="42" dxfId="1">
      <formula>Datos!C21="MIX"</formula>
    </cfRule>
  </conditionalFormatting>
  <conditionalFormatting sqref="C4">
    <cfRule type="expression" priority="43" dxfId="0">
      <formula>Datos!C22="C1"</formula>
    </cfRule>
    <cfRule type="expression" priority="44" dxfId="1">
      <formula>Datos!C22="MIX"</formula>
    </cfRule>
  </conditionalFormatting>
  <conditionalFormatting sqref="D4">
    <cfRule type="expression" priority="45" dxfId="0">
      <formula>Datos!C23="C1"</formula>
    </cfRule>
    <cfRule type="expression" priority="46" dxfId="1">
      <formula>Datos!C23="MIX"</formula>
    </cfRule>
  </conditionalFormatting>
  <conditionalFormatting sqref="E4">
    <cfRule type="expression" priority="47" dxfId="0">
      <formula>Datos!C24="C1"</formula>
    </cfRule>
    <cfRule type="expression" priority="48" dxfId="1">
      <formula>Datos!C24="MIX"</formula>
    </cfRule>
  </conditionalFormatting>
  <conditionalFormatting sqref="F4">
    <cfRule type="expression" priority="49" dxfId="0">
      <formula>Datos!C25="C1"</formula>
    </cfRule>
    <cfRule type="expression" priority="50" dxfId="1">
      <formula>Datos!C25="MIX"</formula>
    </cfRule>
  </conditionalFormatting>
  <conditionalFormatting sqref="G4">
    <cfRule type="expression" priority="51" dxfId="0">
      <formula>Datos!C26="C1"</formula>
    </cfRule>
    <cfRule type="expression" priority="52" dxfId="1">
      <formula>Datos!C26="MIX"</formula>
    </cfRule>
  </conditionalFormatting>
  <conditionalFormatting sqref="H4">
    <cfRule type="expression" priority="53" dxfId="0">
      <formula>Datos!C27="C1"</formula>
    </cfRule>
    <cfRule type="expression" priority="54" dxfId="1">
      <formula>Datos!C27="MIX"</formula>
    </cfRule>
  </conditionalFormatting>
  <conditionalFormatting sqref="I4">
    <cfRule type="expression" priority="55" dxfId="0">
      <formula>Datos!C28="C1"</formula>
    </cfRule>
    <cfRule type="expression" priority="56" dxfId="1">
      <formula>Datos!C28="MIX"</formula>
    </cfRule>
  </conditionalFormatting>
  <conditionalFormatting sqref="J4">
    <cfRule type="expression" priority="57" dxfId="0">
      <formula>Datos!C29="C1"</formula>
    </cfRule>
    <cfRule type="expression" priority="58" dxfId="1">
      <formula>Datos!C29="MIX"</formula>
    </cfRule>
  </conditionalFormatting>
  <conditionalFormatting sqref="K4">
    <cfRule type="expression" priority="59" dxfId="0">
      <formula>Datos!C30="C1"</formula>
    </cfRule>
    <cfRule type="expression" priority="60" dxfId="1">
      <formula>Datos!C30="MIX"</formula>
    </cfRule>
  </conditionalFormatting>
  <conditionalFormatting sqref="B5">
    <cfRule type="expression" priority="61" dxfId="0">
      <formula>Datos!C31="C1"</formula>
    </cfRule>
    <cfRule type="expression" priority="62" dxfId="1">
      <formula>Datos!C31="MIX"</formula>
    </cfRule>
  </conditionalFormatting>
  <conditionalFormatting sqref="C5">
    <cfRule type="expression" priority="63" dxfId="0">
      <formula>Datos!C32="C1"</formula>
    </cfRule>
    <cfRule type="expression" priority="64" dxfId="1">
      <formula>Datos!C32="MIX"</formula>
    </cfRule>
  </conditionalFormatting>
  <conditionalFormatting sqref="D5">
    <cfRule type="expression" priority="65" dxfId="0">
      <formula>Datos!C33="C1"</formula>
    </cfRule>
    <cfRule type="expression" priority="66" dxfId="1">
      <formula>Datos!C33="MIX"</formula>
    </cfRule>
  </conditionalFormatting>
  <conditionalFormatting sqref="E5">
    <cfRule type="expression" priority="67" dxfId="0">
      <formula>Datos!C34="C1"</formula>
    </cfRule>
    <cfRule type="expression" priority="68" dxfId="1">
      <formula>Datos!C34="MIX"</formula>
    </cfRule>
  </conditionalFormatting>
  <conditionalFormatting sqref="F5">
    <cfRule type="expression" priority="69" dxfId="0">
      <formula>Datos!C35="C1"</formula>
    </cfRule>
    <cfRule type="expression" priority="70" dxfId="1">
      <formula>Datos!C35="MIX"</formula>
    </cfRule>
  </conditionalFormatting>
  <conditionalFormatting sqref="G5">
    <cfRule type="expression" priority="71" dxfId="0">
      <formula>Datos!C36="C1"</formula>
    </cfRule>
    <cfRule type="expression" priority="72" dxfId="1">
      <formula>Datos!C36="MIX"</formula>
    </cfRule>
  </conditionalFormatting>
  <conditionalFormatting sqref="H5">
    <cfRule type="expression" priority="73" dxfId="0">
      <formula>Datos!C37="C1"</formula>
    </cfRule>
    <cfRule type="expression" priority="74" dxfId="1">
      <formula>Datos!C37="MIX"</formula>
    </cfRule>
  </conditionalFormatting>
  <conditionalFormatting sqref="I5">
    <cfRule type="expression" priority="75" dxfId="0">
      <formula>Datos!C38="C1"</formula>
    </cfRule>
    <cfRule type="expression" priority="76" dxfId="1">
      <formula>Datos!C38="MIX"</formula>
    </cfRule>
  </conditionalFormatting>
  <conditionalFormatting sqref="J5">
    <cfRule type="expression" priority="77" dxfId="0">
      <formula>Datos!C39="C1"</formula>
    </cfRule>
    <cfRule type="expression" priority="78" dxfId="1">
      <formula>Datos!C39="MIX"</formula>
    </cfRule>
  </conditionalFormatting>
  <conditionalFormatting sqref="K5">
    <cfRule type="expression" priority="79" dxfId="0">
      <formula>Datos!C40="C1"</formula>
    </cfRule>
    <cfRule type="expression" priority="80" dxfId="1">
      <formula>Datos!C40="MIX"</formula>
    </cfRule>
  </conditionalFormatting>
  <conditionalFormatting sqref="B6">
    <cfRule type="expression" priority="81" dxfId="0">
      <formula>Datos!C41="C1"</formula>
    </cfRule>
    <cfRule type="expression" priority="82" dxfId="1">
      <formula>Datos!C41="MIX"</formula>
    </cfRule>
  </conditionalFormatting>
  <conditionalFormatting sqref="C6">
    <cfRule type="expression" priority="83" dxfId="0">
      <formula>Datos!C42="C1"</formula>
    </cfRule>
    <cfRule type="expression" priority="84" dxfId="1">
      <formula>Datos!C42="MIX"</formula>
    </cfRule>
  </conditionalFormatting>
  <conditionalFormatting sqref="D6">
    <cfRule type="expression" priority="85" dxfId="0">
      <formula>Datos!C43="C1"</formula>
    </cfRule>
    <cfRule type="expression" priority="86" dxfId="1">
      <formula>Datos!C43="MIX"</formula>
    </cfRule>
  </conditionalFormatting>
  <conditionalFormatting sqref="E6">
    <cfRule type="expression" priority="87" dxfId="0">
      <formula>Datos!C44="C1"</formula>
    </cfRule>
    <cfRule type="expression" priority="88" dxfId="1">
      <formula>Datos!C44="MIX"</formula>
    </cfRule>
  </conditionalFormatting>
  <conditionalFormatting sqref="F6">
    <cfRule type="expression" priority="89" dxfId="0">
      <formula>Datos!C45="C1"</formula>
    </cfRule>
    <cfRule type="expression" priority="90" dxfId="1">
      <formula>Datos!C45="MIX"</formula>
    </cfRule>
  </conditionalFormatting>
  <conditionalFormatting sqref="G6">
    <cfRule type="expression" priority="91" dxfId="0">
      <formula>Datos!C46="C1"</formula>
    </cfRule>
    <cfRule type="expression" priority="92" dxfId="1">
      <formula>Datos!C46="MIX"</formula>
    </cfRule>
  </conditionalFormatting>
  <conditionalFormatting sqref="H6">
    <cfRule type="expression" priority="93" dxfId="0">
      <formula>Datos!C47="C1"</formula>
    </cfRule>
    <cfRule type="expression" priority="94" dxfId="1">
      <formula>Datos!C47="MIX"</formula>
    </cfRule>
  </conditionalFormatting>
  <conditionalFormatting sqref="I6">
    <cfRule type="expression" priority="95" dxfId="0">
      <formula>Datos!C48="C1"</formula>
    </cfRule>
    <cfRule type="expression" priority="96" dxfId="1">
      <formula>Datos!C48="MIX"</formula>
    </cfRule>
  </conditionalFormatting>
  <conditionalFormatting sqref="J6">
    <cfRule type="expression" priority="97" dxfId="0">
      <formula>Datos!C49="C1"</formula>
    </cfRule>
    <cfRule type="expression" priority="98" dxfId="1">
      <formula>Datos!C49="MIX"</formula>
    </cfRule>
  </conditionalFormatting>
  <conditionalFormatting sqref="K6">
    <cfRule type="expression" priority="99" dxfId="0">
      <formula>Datos!C50="C1"</formula>
    </cfRule>
    <cfRule type="expression" priority="100" dxfId="1">
      <formula>Datos!C50="MIX"</formula>
    </cfRule>
  </conditionalFormatting>
  <conditionalFormatting sqref="B7">
    <cfRule type="expression" priority="101" dxfId="0">
      <formula>Datos!C51="C1"</formula>
    </cfRule>
    <cfRule type="expression" priority="102" dxfId="1">
      <formula>Datos!C51="MIX"</formula>
    </cfRule>
  </conditionalFormatting>
  <conditionalFormatting sqref="C7">
    <cfRule type="expression" priority="103" dxfId="0">
      <formula>Datos!C52="C1"</formula>
    </cfRule>
    <cfRule type="expression" priority="104" dxfId="1">
      <formula>Datos!C52="MIX"</formula>
    </cfRule>
  </conditionalFormatting>
  <conditionalFormatting sqref="D7">
    <cfRule type="expression" priority="105" dxfId="0">
      <formula>Datos!C53="C1"</formula>
    </cfRule>
    <cfRule type="expression" priority="106" dxfId="1">
      <formula>Datos!C53="MIX"</formula>
    </cfRule>
  </conditionalFormatting>
  <conditionalFormatting sqref="E7">
    <cfRule type="expression" priority="107" dxfId="0">
      <formula>Datos!C54="C1"</formula>
    </cfRule>
    <cfRule type="expression" priority="108" dxfId="1">
      <formula>Datos!C54="MIX"</formula>
    </cfRule>
  </conditionalFormatting>
  <conditionalFormatting sqref="F7">
    <cfRule type="expression" priority="109" dxfId="0">
      <formula>Datos!C55="C1"</formula>
    </cfRule>
    <cfRule type="expression" priority="110" dxfId="1">
      <formula>Datos!C55="MIX"</formula>
    </cfRule>
  </conditionalFormatting>
  <conditionalFormatting sqref="G7">
    <cfRule type="expression" priority="111" dxfId="0">
      <formula>Datos!C56="C1"</formula>
    </cfRule>
    <cfRule type="expression" priority="112" dxfId="1">
      <formula>Datos!C56="MIX"</formula>
    </cfRule>
  </conditionalFormatting>
  <conditionalFormatting sqref="H7">
    <cfRule type="expression" priority="113" dxfId="0">
      <formula>Datos!C57="C1"</formula>
    </cfRule>
    <cfRule type="expression" priority="114" dxfId="1">
      <formula>Datos!C57="MIX"</formula>
    </cfRule>
  </conditionalFormatting>
  <conditionalFormatting sqref="I7">
    <cfRule type="expression" priority="115" dxfId="0">
      <formula>Datos!C58="C1"</formula>
    </cfRule>
    <cfRule type="expression" priority="116" dxfId="1">
      <formula>Datos!C58="MIX"</formula>
    </cfRule>
  </conditionalFormatting>
  <conditionalFormatting sqref="J7">
    <cfRule type="expression" priority="117" dxfId="0">
      <formula>Datos!C59="C1"</formula>
    </cfRule>
    <cfRule type="expression" priority="118" dxfId="1">
      <formula>Datos!C59="MIX"</formula>
    </cfRule>
  </conditionalFormatting>
  <conditionalFormatting sqref="K7">
    <cfRule type="expression" priority="119" dxfId="0">
      <formula>Datos!C60="C1"</formula>
    </cfRule>
    <cfRule type="expression" priority="120" dxfId="1">
      <formula>Datos!C60="MIX"</formula>
    </cfRule>
  </conditionalFormatting>
  <conditionalFormatting sqref="B10">
    <cfRule type="expression" priority="121" dxfId="0">
      <formula>Datos!C61="C1"</formula>
    </cfRule>
    <cfRule type="expression" priority="122" dxfId="1">
      <formula>Datos!C61="MIX"</formula>
    </cfRule>
  </conditionalFormatting>
  <conditionalFormatting sqref="C10">
    <cfRule type="expression" priority="123" dxfId="0">
      <formula>Datos!C62="C1"</formula>
    </cfRule>
    <cfRule type="expression" priority="124" dxfId="1">
      <formula>Datos!C62="MIX"</formula>
    </cfRule>
  </conditionalFormatting>
  <conditionalFormatting sqref="D10">
    <cfRule type="expression" priority="125" dxfId="0">
      <formula>Datos!C63="C1"</formula>
    </cfRule>
    <cfRule type="expression" priority="126" dxfId="1">
      <formula>Datos!C63="MIX"</formula>
    </cfRule>
  </conditionalFormatting>
  <conditionalFormatting sqref="E10">
    <cfRule type="expression" priority="127" dxfId="0">
      <formula>Datos!C64="C1"</formula>
    </cfRule>
    <cfRule type="expression" priority="128" dxfId="1">
      <formula>Datos!C64="MIX"</formula>
    </cfRule>
  </conditionalFormatting>
  <conditionalFormatting sqref="F10">
    <cfRule type="expression" priority="129" dxfId="0">
      <formula>Datos!C65="C1"</formula>
    </cfRule>
    <cfRule type="expression" priority="130" dxfId="1">
      <formula>Datos!C65="MIX"</formula>
    </cfRule>
  </conditionalFormatting>
  <conditionalFormatting sqref="G10">
    <cfRule type="expression" priority="131" dxfId="0">
      <formula>Datos!C66="C1"</formula>
    </cfRule>
    <cfRule type="expression" priority="132" dxfId="1">
      <formula>Datos!C66="MIX"</formula>
    </cfRule>
  </conditionalFormatting>
  <conditionalFormatting sqref="H10">
    <cfRule type="expression" priority="133" dxfId="0">
      <formula>Datos!C67="C1"</formula>
    </cfRule>
    <cfRule type="expression" priority="134" dxfId="1">
      <formula>Datos!C67="MIX"</formula>
    </cfRule>
  </conditionalFormatting>
  <conditionalFormatting sqref="I10">
    <cfRule type="expression" priority="135" dxfId="0">
      <formula>Datos!C68="C1"</formula>
    </cfRule>
    <cfRule type="expression" priority="136" dxfId="1">
      <formula>Datos!C68="MIX"</formula>
    </cfRule>
  </conditionalFormatting>
  <conditionalFormatting sqref="J10">
    <cfRule type="expression" priority="137" dxfId="0">
      <formula>Datos!C69="C1"</formula>
    </cfRule>
    <cfRule type="expression" priority="138" dxfId="1">
      <formula>Datos!C69="MIX"</formula>
    </cfRule>
  </conditionalFormatting>
  <conditionalFormatting sqref="K10">
    <cfRule type="expression" priority="139" dxfId="0">
      <formula>Datos!C70="C1"</formula>
    </cfRule>
    <cfRule type="expression" priority="140" dxfId="1">
      <formula>Datos!C70="MIX"</formula>
    </cfRule>
  </conditionalFormatting>
  <conditionalFormatting sqref="B11">
    <cfRule type="expression" priority="141" dxfId="0">
      <formula>Datos!C71="C1"</formula>
    </cfRule>
    <cfRule type="expression" priority="142" dxfId="1">
      <formula>Datos!C71="MIX"</formula>
    </cfRule>
  </conditionalFormatting>
  <conditionalFormatting sqref="C11">
    <cfRule type="expression" priority="143" dxfId="0">
      <formula>Datos!C72="C1"</formula>
    </cfRule>
    <cfRule type="expression" priority="144" dxfId="1">
      <formula>Datos!C72="MIX"</formula>
    </cfRule>
  </conditionalFormatting>
  <conditionalFormatting sqref="D11">
    <cfRule type="expression" priority="145" dxfId="0">
      <formula>Datos!C73="C1"</formula>
    </cfRule>
    <cfRule type="expression" priority="146" dxfId="1">
      <formula>Datos!C73="MIX"</formula>
    </cfRule>
  </conditionalFormatting>
  <conditionalFormatting sqref="E11">
    <cfRule type="expression" priority="147" dxfId="0">
      <formula>Datos!C74="C1"</formula>
    </cfRule>
    <cfRule type="expression" priority="148" dxfId="1">
      <formula>Datos!C74="MIX"</formula>
    </cfRule>
  </conditionalFormatting>
  <conditionalFormatting sqref="F11">
    <cfRule type="expression" priority="149" dxfId="0">
      <formula>Datos!C75="C1"</formula>
    </cfRule>
    <cfRule type="expression" priority="150" dxfId="1">
      <formula>Datos!C75="MIX"</formula>
    </cfRule>
  </conditionalFormatting>
  <conditionalFormatting sqref="G11">
    <cfRule type="expression" priority="151" dxfId="0">
      <formula>Datos!C76="C1"</formula>
    </cfRule>
    <cfRule type="expression" priority="152" dxfId="1">
      <formula>Datos!C76="MIX"</formula>
    </cfRule>
  </conditionalFormatting>
  <conditionalFormatting sqref="H11">
    <cfRule type="expression" priority="153" dxfId="0">
      <formula>Datos!C77="C1"</formula>
    </cfRule>
    <cfRule type="expression" priority="154" dxfId="1">
      <formula>Datos!C77="MIX"</formula>
    </cfRule>
  </conditionalFormatting>
  <conditionalFormatting sqref="I11">
    <cfRule type="expression" priority="155" dxfId="0">
      <formula>Datos!C78="C1"</formula>
    </cfRule>
    <cfRule type="expression" priority="156" dxfId="1">
      <formula>Datos!C78="MIX"</formula>
    </cfRule>
  </conditionalFormatting>
  <conditionalFormatting sqref="J11">
    <cfRule type="expression" priority="157" dxfId="0">
      <formula>Datos!C79="C1"</formula>
    </cfRule>
    <cfRule type="expression" priority="158" dxfId="1">
      <formula>Datos!C79="MIX"</formula>
    </cfRule>
  </conditionalFormatting>
  <conditionalFormatting sqref="K11">
    <cfRule type="expression" priority="159" dxfId="0">
      <formula>Datos!C80="C1"</formula>
    </cfRule>
    <cfRule type="expression" priority="160" dxfId="1">
      <formula>Datos!C80="MIX"</formula>
    </cfRule>
  </conditionalFormatting>
  <conditionalFormatting sqref="B12">
    <cfRule type="expression" priority="161" dxfId="0">
      <formula>Datos!C81="C1"</formula>
    </cfRule>
    <cfRule type="expression" priority="162" dxfId="1">
      <formula>Datos!C81="MIX"</formula>
    </cfRule>
  </conditionalFormatting>
  <conditionalFormatting sqref="C12">
    <cfRule type="expression" priority="163" dxfId="0">
      <formula>Datos!C82="C1"</formula>
    </cfRule>
    <cfRule type="expression" priority="164" dxfId="1">
      <formula>Datos!C82="MIX"</formula>
    </cfRule>
  </conditionalFormatting>
  <conditionalFormatting sqref="D12">
    <cfRule type="expression" priority="165" dxfId="0">
      <formula>Datos!C83="C1"</formula>
    </cfRule>
    <cfRule type="expression" priority="166" dxfId="1">
      <formula>Datos!C83="MIX"</formula>
    </cfRule>
  </conditionalFormatting>
  <conditionalFormatting sqref="E12">
    <cfRule type="expression" priority="167" dxfId="0">
      <formula>Datos!C84="C1"</formula>
    </cfRule>
    <cfRule type="expression" priority="168" dxfId="1">
      <formula>Datos!C84="MIX"</formula>
    </cfRule>
  </conditionalFormatting>
  <conditionalFormatting sqref="F12">
    <cfRule type="expression" priority="169" dxfId="0">
      <formula>Datos!C85="C1"</formula>
    </cfRule>
    <cfRule type="expression" priority="170" dxfId="1">
      <formula>Datos!C85="MIX"</formula>
    </cfRule>
  </conditionalFormatting>
  <conditionalFormatting sqref="G12">
    <cfRule type="expression" priority="171" dxfId="0">
      <formula>Datos!C86="C1"</formula>
    </cfRule>
    <cfRule type="expression" priority="172" dxfId="1">
      <formula>Datos!C86="MIX"</formula>
    </cfRule>
  </conditionalFormatting>
  <conditionalFormatting sqref="H12">
    <cfRule type="expression" priority="173" dxfId="0">
      <formula>Datos!C87="C1"</formula>
    </cfRule>
    <cfRule type="expression" priority="174" dxfId="1">
      <formula>Datos!C87="MIX"</formula>
    </cfRule>
  </conditionalFormatting>
  <conditionalFormatting sqref="I12">
    <cfRule type="expression" priority="175" dxfId="0">
      <formula>Datos!C88="C1"</formula>
    </cfRule>
    <cfRule type="expression" priority="176" dxfId="1">
      <formula>Datos!C88="MIX"</formula>
    </cfRule>
  </conditionalFormatting>
  <conditionalFormatting sqref="J12">
    <cfRule type="expression" priority="177" dxfId="0">
      <formula>Datos!C89="C1"</formula>
    </cfRule>
    <cfRule type="expression" priority="178" dxfId="1">
      <formula>Datos!C89="MIX"</formula>
    </cfRule>
  </conditionalFormatting>
  <conditionalFormatting sqref="K12">
    <cfRule type="expression" priority="179" dxfId="0">
      <formula>Datos!C90="C1"</formula>
    </cfRule>
    <cfRule type="expression" priority="180" dxfId="1">
      <formula>Datos!C90="MIX"</formula>
    </cfRule>
  </conditionalFormatting>
  <conditionalFormatting sqref="B13">
    <cfRule type="expression" priority="181" dxfId="0">
      <formula>Datos!C91="C1"</formula>
    </cfRule>
    <cfRule type="expression" priority="182" dxfId="1">
      <formula>Datos!C91="MIX"</formula>
    </cfRule>
  </conditionalFormatting>
  <conditionalFormatting sqref="C13">
    <cfRule type="expression" priority="183" dxfId="0">
      <formula>Datos!C92="C1"</formula>
    </cfRule>
    <cfRule type="expression" priority="184" dxfId="1">
      <formula>Datos!C92="MIX"</formula>
    </cfRule>
  </conditionalFormatting>
  <conditionalFormatting sqref="D13">
    <cfRule type="expression" priority="185" dxfId="0">
      <formula>Datos!C93="C1"</formula>
    </cfRule>
    <cfRule type="expression" priority="186" dxfId="1">
      <formula>Datos!C93="MIX"</formula>
    </cfRule>
  </conditionalFormatting>
  <conditionalFormatting sqref="E13">
    <cfRule type="expression" priority="187" dxfId="0">
      <formula>Datos!C94="C1"</formula>
    </cfRule>
    <cfRule type="expression" priority="188" dxfId="1">
      <formula>Datos!C94="MIX"</formula>
    </cfRule>
  </conditionalFormatting>
  <conditionalFormatting sqref="F13">
    <cfRule type="expression" priority="189" dxfId="0">
      <formula>Datos!C95="C1"</formula>
    </cfRule>
    <cfRule type="expression" priority="190" dxfId="1">
      <formula>Datos!C95="MIX"</formula>
    </cfRule>
  </conditionalFormatting>
  <conditionalFormatting sqref="G13">
    <cfRule type="expression" priority="191" dxfId="0">
      <formula>Datos!C96="C1"</formula>
    </cfRule>
    <cfRule type="expression" priority="192" dxfId="1">
      <formula>Datos!C96="MIX"</formula>
    </cfRule>
  </conditionalFormatting>
  <conditionalFormatting sqref="H13">
    <cfRule type="expression" priority="193" dxfId="0">
      <formula>Datos!C97="C1"</formula>
    </cfRule>
    <cfRule type="expression" priority="194" dxfId="1">
      <formula>Datos!C97="MIX"</formula>
    </cfRule>
  </conditionalFormatting>
  <conditionalFormatting sqref="I13">
    <cfRule type="expression" priority="195" dxfId="0">
      <formula>Datos!C98="C1"</formula>
    </cfRule>
    <cfRule type="expression" priority="196" dxfId="1">
      <formula>Datos!C98="MIX"</formula>
    </cfRule>
  </conditionalFormatting>
  <conditionalFormatting sqref="J13">
    <cfRule type="expression" priority="197" dxfId="0">
      <formula>Datos!C99="C1"</formula>
    </cfRule>
    <cfRule type="expression" priority="198" dxfId="1">
      <formula>Datos!C99="MIX"</formula>
    </cfRule>
  </conditionalFormatting>
  <conditionalFormatting sqref="K13">
    <cfRule type="expression" priority="199" dxfId="0">
      <formula>Datos!C100="C1"</formula>
    </cfRule>
    <cfRule type="expression" priority="200" dxfId="1">
      <formula>Datos!C100="MIX"</formula>
    </cfRule>
  </conditionalFormatting>
  <conditionalFormatting sqref="B14">
    <cfRule type="expression" priority="201" dxfId="0">
      <formula>Datos!C101="C1"</formula>
    </cfRule>
    <cfRule type="expression" priority="202" dxfId="1">
      <formula>Datos!C101="MIX"</formula>
    </cfRule>
  </conditionalFormatting>
  <conditionalFormatting sqref="C14">
    <cfRule type="expression" priority="203" dxfId="0">
      <formula>Datos!C102="C1"</formula>
    </cfRule>
    <cfRule type="expression" priority="204" dxfId="1">
      <formula>Datos!C102="MIX"</formula>
    </cfRule>
  </conditionalFormatting>
  <conditionalFormatting sqref="D14">
    <cfRule type="expression" priority="205" dxfId="0">
      <formula>Datos!C103="C1"</formula>
    </cfRule>
    <cfRule type="expression" priority="206" dxfId="1">
      <formula>Datos!C103="MIX"</formula>
    </cfRule>
  </conditionalFormatting>
  <conditionalFormatting sqref="E14">
    <cfRule type="expression" priority="207" dxfId="0">
      <formula>Datos!C104="C1"</formula>
    </cfRule>
    <cfRule type="expression" priority="208" dxfId="1">
      <formula>Datos!C104="MIX"</formula>
    </cfRule>
  </conditionalFormatting>
  <conditionalFormatting sqref="F14">
    <cfRule type="expression" priority="209" dxfId="0">
      <formula>Datos!C105="C1"</formula>
    </cfRule>
    <cfRule type="expression" priority="210" dxfId="1">
      <formula>Datos!C105="MIX"</formula>
    </cfRule>
  </conditionalFormatting>
  <conditionalFormatting sqref="G14">
    <cfRule type="expression" priority="211" dxfId="0">
      <formula>Datos!C106="C1"</formula>
    </cfRule>
    <cfRule type="expression" priority="212" dxfId="1">
      <formula>Datos!C106="MIX"</formula>
    </cfRule>
  </conditionalFormatting>
  <conditionalFormatting sqref="H14">
    <cfRule type="expression" priority="213" dxfId="0">
      <formula>Datos!C107="C1"</formula>
    </cfRule>
    <cfRule type="expression" priority="214" dxfId="1">
      <formula>Datos!C107="MIX"</formula>
    </cfRule>
  </conditionalFormatting>
  <conditionalFormatting sqref="I14">
    <cfRule type="expression" priority="215" dxfId="0">
      <formula>Datos!C108="C1"</formula>
    </cfRule>
    <cfRule type="expression" priority="216" dxfId="1">
      <formula>Datos!C108="MIX"</formula>
    </cfRule>
  </conditionalFormatting>
  <conditionalFormatting sqref="J14">
    <cfRule type="expression" priority="217" dxfId="0">
      <formula>Datos!C109="C1"</formula>
    </cfRule>
    <cfRule type="expression" priority="218" dxfId="1">
      <formula>Datos!C109="MIX"</formula>
    </cfRule>
  </conditionalFormatting>
  <conditionalFormatting sqref="K14">
    <cfRule type="expression" priority="219" dxfId="0">
      <formula>Datos!C110="C1"</formula>
    </cfRule>
    <cfRule type="expression" priority="220" dxfId="1">
      <formula>Datos!C110="MIX"</formula>
    </cfRule>
  </conditionalFormatting>
  <conditionalFormatting sqref="B15">
    <cfRule type="expression" priority="221" dxfId="0">
      <formula>Datos!C111="C1"</formula>
    </cfRule>
    <cfRule type="expression" priority="222" dxfId="1">
      <formula>Datos!C111="MIX"</formula>
    </cfRule>
  </conditionalFormatting>
  <conditionalFormatting sqref="C15">
    <cfRule type="expression" priority="223" dxfId="0">
      <formula>Datos!C112="C1"</formula>
    </cfRule>
    <cfRule type="expression" priority="224" dxfId="1">
      <formula>Datos!C112="MIX"</formula>
    </cfRule>
  </conditionalFormatting>
  <conditionalFormatting sqref="D15">
    <cfRule type="expression" priority="225" dxfId="0">
      <formula>Datos!C113="C1"</formula>
    </cfRule>
    <cfRule type="expression" priority="226" dxfId="1">
      <formula>Datos!C113="MIX"</formula>
    </cfRule>
  </conditionalFormatting>
  <conditionalFormatting sqref="E15">
    <cfRule type="expression" priority="227" dxfId="0">
      <formula>Datos!C114="C1"</formula>
    </cfRule>
    <cfRule type="expression" priority="228" dxfId="1">
      <formula>Datos!C114="MIX"</formula>
    </cfRule>
  </conditionalFormatting>
  <conditionalFormatting sqref="F15">
    <cfRule type="expression" priority="229" dxfId="0">
      <formula>Datos!C115="C1"</formula>
    </cfRule>
    <cfRule type="expression" priority="230" dxfId="1">
      <formula>Datos!C115="MIX"</formula>
    </cfRule>
  </conditionalFormatting>
  <conditionalFormatting sqref="G15">
    <cfRule type="expression" priority="231" dxfId="0">
      <formula>Datos!C116="C1"</formula>
    </cfRule>
    <cfRule type="expression" priority="232" dxfId="1">
      <formula>Datos!C116="MIX"</formula>
    </cfRule>
  </conditionalFormatting>
  <conditionalFormatting sqref="H15">
    <cfRule type="expression" priority="233" dxfId="0">
      <formula>Datos!C117="C1"</formula>
    </cfRule>
    <cfRule type="expression" priority="234" dxfId="1">
      <formula>Datos!C117="MIX"</formula>
    </cfRule>
  </conditionalFormatting>
  <conditionalFormatting sqref="I15">
    <cfRule type="expression" priority="235" dxfId="0">
      <formula>Datos!C118="C1"</formula>
    </cfRule>
    <cfRule type="expression" priority="236" dxfId="1">
      <formula>Datos!C118="MIX"</formula>
    </cfRule>
  </conditionalFormatting>
  <conditionalFormatting sqref="J15">
    <cfRule type="expression" priority="237" dxfId="0">
      <formula>Datos!C119="C1"</formula>
    </cfRule>
    <cfRule type="expression" priority="238" dxfId="1">
      <formula>Datos!C119="MIX"</formula>
    </cfRule>
  </conditionalFormatting>
  <conditionalFormatting sqref="K15">
    <cfRule type="expression" priority="239" dxfId="0">
      <formula>Datos!C120="C1"</formula>
    </cfRule>
    <cfRule type="expression" priority="240" dxfId="1">
      <formula>Datos!C120="MIX"</formula>
    </cfRule>
  </conditionalFormatting>
  <conditionalFormatting sqref="B18">
    <cfRule type="expression" priority="241" dxfId="0">
      <formula>Datos!C121="C1"</formula>
    </cfRule>
    <cfRule type="expression" priority="242" dxfId="1">
      <formula>Datos!C121="MIX"</formula>
    </cfRule>
  </conditionalFormatting>
  <conditionalFormatting sqref="C18">
    <cfRule type="expression" priority="243" dxfId="0">
      <formula>Datos!C122="C1"</formula>
    </cfRule>
    <cfRule type="expression" priority="244" dxfId="1">
      <formula>Datos!C122="MIX"</formula>
    </cfRule>
  </conditionalFormatting>
  <conditionalFormatting sqref="D18">
    <cfRule type="expression" priority="245" dxfId="0">
      <formula>Datos!C123="C1"</formula>
    </cfRule>
    <cfRule type="expression" priority="246" dxfId="1">
      <formula>Datos!C123="MIX"</formula>
    </cfRule>
  </conditionalFormatting>
  <conditionalFormatting sqref="E18">
    <cfRule type="expression" priority="247" dxfId="0">
      <formula>Datos!C124="C1"</formula>
    </cfRule>
    <cfRule type="expression" priority="248" dxfId="1">
      <formula>Datos!C124="MIX"</formula>
    </cfRule>
  </conditionalFormatting>
  <conditionalFormatting sqref="F18">
    <cfRule type="expression" priority="249" dxfId="0">
      <formula>Datos!C125="C1"</formula>
    </cfRule>
    <cfRule type="expression" priority="250" dxfId="1">
      <formula>Datos!C125="MIX"</formula>
    </cfRule>
  </conditionalFormatting>
  <conditionalFormatting sqref="G18">
    <cfRule type="expression" priority="251" dxfId="0">
      <formula>Datos!C126="C1"</formula>
    </cfRule>
    <cfRule type="expression" priority="252" dxfId="1">
      <formula>Datos!C126="MIX"</formula>
    </cfRule>
  </conditionalFormatting>
  <conditionalFormatting sqref="H18">
    <cfRule type="expression" priority="253" dxfId="0">
      <formula>Datos!C127="C1"</formula>
    </cfRule>
    <cfRule type="expression" priority="254" dxfId="1">
      <formula>Datos!C127="MIX"</formula>
    </cfRule>
  </conditionalFormatting>
  <conditionalFormatting sqref="I18">
    <cfRule type="expression" priority="255" dxfId="0">
      <formula>Datos!C128="C1"</formula>
    </cfRule>
    <cfRule type="expression" priority="256" dxfId="1">
      <formula>Datos!C128="MIX"</formula>
    </cfRule>
  </conditionalFormatting>
  <conditionalFormatting sqref="J18">
    <cfRule type="expression" priority="257" dxfId="0">
      <formula>Datos!C129="C1"</formula>
    </cfRule>
    <cfRule type="expression" priority="258" dxfId="1">
      <formula>Datos!C129="MIX"</formula>
    </cfRule>
  </conditionalFormatting>
  <conditionalFormatting sqref="K18">
    <cfRule type="expression" priority="259" dxfId="0">
      <formula>Datos!C130="C1"</formula>
    </cfRule>
    <cfRule type="expression" priority="260" dxfId="1">
      <formula>Datos!C130="MIX"</formula>
    </cfRule>
  </conditionalFormatting>
  <conditionalFormatting sqref="B19">
    <cfRule type="expression" priority="261" dxfId="0">
      <formula>Datos!C131="C1"</formula>
    </cfRule>
    <cfRule type="expression" priority="262" dxfId="1">
      <formula>Datos!C131="MIX"</formula>
    </cfRule>
  </conditionalFormatting>
  <conditionalFormatting sqref="C19">
    <cfRule type="expression" priority="263" dxfId="0">
      <formula>Datos!C132="C1"</formula>
    </cfRule>
    <cfRule type="expression" priority="264" dxfId="1">
      <formula>Datos!C132="MIX"</formula>
    </cfRule>
  </conditionalFormatting>
  <conditionalFormatting sqref="D19">
    <cfRule type="expression" priority="265" dxfId="0">
      <formula>Datos!C133="C1"</formula>
    </cfRule>
    <cfRule type="expression" priority="266" dxfId="1">
      <formula>Datos!C133="MIX"</formula>
    </cfRule>
  </conditionalFormatting>
  <conditionalFormatting sqref="E19">
    <cfRule type="expression" priority="267" dxfId="0">
      <formula>Datos!C134="C1"</formula>
    </cfRule>
    <cfRule type="expression" priority="268" dxfId="1">
      <formula>Datos!C134="MIX"</formula>
    </cfRule>
  </conditionalFormatting>
  <conditionalFormatting sqref="F19">
    <cfRule type="expression" priority="269" dxfId="0">
      <formula>Datos!C135="C1"</formula>
    </cfRule>
    <cfRule type="expression" priority="270" dxfId="1">
      <formula>Datos!C135="MIX"</formula>
    </cfRule>
  </conditionalFormatting>
  <conditionalFormatting sqref="G19">
    <cfRule type="expression" priority="271" dxfId="0">
      <formula>Datos!C136="C1"</formula>
    </cfRule>
    <cfRule type="expression" priority="272" dxfId="1">
      <formula>Datos!C136="MIX"</formula>
    </cfRule>
  </conditionalFormatting>
  <conditionalFormatting sqref="H19">
    <cfRule type="expression" priority="273" dxfId="0">
      <formula>Datos!C137="C1"</formula>
    </cfRule>
    <cfRule type="expression" priority="274" dxfId="1">
      <formula>Datos!C137="MIX"</formula>
    </cfRule>
  </conditionalFormatting>
  <conditionalFormatting sqref="I19">
    <cfRule type="expression" priority="275" dxfId="0">
      <formula>Datos!C138="C1"</formula>
    </cfRule>
    <cfRule type="expression" priority="276" dxfId="1">
      <formula>Datos!C138="MIX"</formula>
    </cfRule>
  </conditionalFormatting>
  <conditionalFormatting sqref="J19">
    <cfRule type="expression" priority="277" dxfId="0">
      <formula>Datos!C139="C1"</formula>
    </cfRule>
    <cfRule type="expression" priority="278" dxfId="1">
      <formula>Datos!C139="MIX"</formula>
    </cfRule>
  </conditionalFormatting>
  <conditionalFormatting sqref="K19">
    <cfRule type="expression" priority="279" dxfId="0">
      <formula>Datos!C140="C1"</formula>
    </cfRule>
    <cfRule type="expression" priority="280" dxfId="1">
      <formula>Datos!C140="MIX"</formula>
    </cfRule>
  </conditionalFormatting>
  <conditionalFormatting sqref="B20">
    <cfRule type="expression" priority="281" dxfId="0">
      <formula>Datos!C141="C1"</formula>
    </cfRule>
    <cfRule type="expression" priority="282" dxfId="1">
      <formula>Datos!C141="MIX"</formula>
    </cfRule>
  </conditionalFormatting>
  <conditionalFormatting sqref="C20">
    <cfRule type="expression" priority="283" dxfId="0">
      <formula>Datos!C142="C1"</formula>
    </cfRule>
    <cfRule type="expression" priority="284" dxfId="1">
      <formula>Datos!C142="MIX"</formula>
    </cfRule>
  </conditionalFormatting>
  <conditionalFormatting sqref="D20">
    <cfRule type="expression" priority="285" dxfId="0">
      <formula>Datos!C143="C1"</formula>
    </cfRule>
    <cfRule type="expression" priority="286" dxfId="1">
      <formula>Datos!C143="MIX"</formula>
    </cfRule>
  </conditionalFormatting>
  <conditionalFormatting sqref="E20">
    <cfRule type="expression" priority="287" dxfId="0">
      <formula>Datos!C144="C1"</formula>
    </cfRule>
    <cfRule type="expression" priority="288" dxfId="1">
      <formula>Datos!C144="MIX"</formula>
    </cfRule>
  </conditionalFormatting>
  <conditionalFormatting sqref="F20">
    <cfRule type="expression" priority="289" dxfId="0">
      <formula>Datos!C145="C1"</formula>
    </cfRule>
    <cfRule type="expression" priority="290" dxfId="1">
      <formula>Datos!C145="MIX"</formula>
    </cfRule>
  </conditionalFormatting>
  <conditionalFormatting sqref="G20">
    <cfRule type="expression" priority="291" dxfId="0">
      <formula>Datos!C146="C1"</formula>
    </cfRule>
    <cfRule type="expression" priority="292" dxfId="1">
      <formula>Datos!C146="MIX"</formula>
    </cfRule>
  </conditionalFormatting>
  <conditionalFormatting sqref="H20">
    <cfRule type="expression" priority="293" dxfId="0">
      <formula>Datos!C147="C1"</formula>
    </cfRule>
    <cfRule type="expression" priority="294" dxfId="1">
      <formula>Datos!C147="MIX"</formula>
    </cfRule>
  </conditionalFormatting>
  <conditionalFormatting sqref="I20">
    <cfRule type="expression" priority="295" dxfId="0">
      <formula>Datos!C148="C1"</formula>
    </cfRule>
    <cfRule type="expression" priority="296" dxfId="1">
      <formula>Datos!C148="MIX"</formula>
    </cfRule>
  </conditionalFormatting>
  <conditionalFormatting sqref="J20">
    <cfRule type="expression" priority="297" dxfId="0">
      <formula>Datos!C149="C1"</formula>
    </cfRule>
    <cfRule type="expression" priority="298" dxfId="1">
      <formula>Datos!C149="MIX"</formula>
    </cfRule>
  </conditionalFormatting>
  <conditionalFormatting sqref="K20">
    <cfRule type="expression" priority="299" dxfId="0">
      <formula>Datos!C150="C1"</formula>
    </cfRule>
    <cfRule type="expression" priority="300" dxfId="1">
      <formula>Datos!C150="MIX"</formula>
    </cfRule>
  </conditionalFormatting>
  <conditionalFormatting sqref="B21">
    <cfRule type="expression" priority="301" dxfId="0">
      <formula>Datos!C151="C1"</formula>
    </cfRule>
    <cfRule type="expression" priority="302" dxfId="1">
      <formula>Datos!C151="MIX"</formula>
    </cfRule>
  </conditionalFormatting>
  <conditionalFormatting sqref="C21">
    <cfRule type="expression" priority="303" dxfId="0">
      <formula>Datos!C152="C1"</formula>
    </cfRule>
    <cfRule type="expression" priority="304" dxfId="1">
      <formula>Datos!C152="MIX"</formula>
    </cfRule>
  </conditionalFormatting>
  <conditionalFormatting sqref="D21">
    <cfRule type="expression" priority="305" dxfId="0">
      <formula>Datos!C153="C1"</formula>
    </cfRule>
    <cfRule type="expression" priority="306" dxfId="1">
      <formula>Datos!C153="MIX"</formula>
    </cfRule>
  </conditionalFormatting>
  <conditionalFormatting sqref="E21">
    <cfRule type="expression" priority="307" dxfId="0">
      <formula>Datos!C154="C1"</formula>
    </cfRule>
    <cfRule type="expression" priority="308" dxfId="1">
      <formula>Datos!C154="MIX"</formula>
    </cfRule>
  </conditionalFormatting>
  <conditionalFormatting sqref="F21">
    <cfRule type="expression" priority="309" dxfId="0">
      <formula>Datos!C155="C1"</formula>
    </cfRule>
    <cfRule type="expression" priority="310" dxfId="1">
      <formula>Datos!C155="MIX"</formula>
    </cfRule>
  </conditionalFormatting>
  <conditionalFormatting sqref="G21">
    <cfRule type="expression" priority="311" dxfId="0">
      <formula>Datos!C156="C1"</formula>
    </cfRule>
    <cfRule type="expression" priority="312" dxfId="1">
      <formula>Datos!C156="MIX"</formula>
    </cfRule>
  </conditionalFormatting>
  <conditionalFormatting sqref="H21">
    <cfRule type="expression" priority="313" dxfId="0">
      <formula>Datos!C157="C1"</formula>
    </cfRule>
    <cfRule type="expression" priority="314" dxfId="1">
      <formula>Datos!C157="MIX"</formula>
    </cfRule>
  </conditionalFormatting>
  <conditionalFormatting sqref="I21">
    <cfRule type="expression" priority="315" dxfId="0">
      <formula>Datos!C158="C1"</formula>
    </cfRule>
    <cfRule type="expression" priority="316" dxfId="1">
      <formula>Datos!C158="MIX"</formula>
    </cfRule>
  </conditionalFormatting>
  <conditionalFormatting sqref="J21">
    <cfRule type="expression" priority="317" dxfId="0">
      <formula>Datos!C159="C1"</formula>
    </cfRule>
    <cfRule type="expression" priority="318" dxfId="1">
      <formula>Datos!C159="MIX"</formula>
    </cfRule>
  </conditionalFormatting>
  <conditionalFormatting sqref="K21">
    <cfRule type="expression" priority="319" dxfId="0">
      <formula>Datos!C160="C1"</formula>
    </cfRule>
    <cfRule type="expression" priority="320" dxfId="1">
      <formula>Datos!C160="MIX"</formula>
    </cfRule>
  </conditionalFormatting>
  <conditionalFormatting sqref="B22">
    <cfRule type="expression" priority="321" dxfId="0">
      <formula>Datos!C161="C1"</formula>
    </cfRule>
    <cfRule type="expression" priority="322" dxfId="1">
      <formula>Datos!C161="MIX"</formula>
    </cfRule>
  </conditionalFormatting>
  <conditionalFormatting sqref="C22">
    <cfRule type="expression" priority="323" dxfId="0">
      <formula>Datos!C162="C1"</formula>
    </cfRule>
    <cfRule type="expression" priority="324" dxfId="1">
      <formula>Datos!C162="MIX"</formula>
    </cfRule>
  </conditionalFormatting>
  <conditionalFormatting sqref="D22">
    <cfRule type="expression" priority="325" dxfId="0">
      <formula>Datos!C163="C1"</formula>
    </cfRule>
    <cfRule type="expression" priority="326" dxfId="1">
      <formula>Datos!C163="MIX"</formula>
    </cfRule>
  </conditionalFormatting>
  <conditionalFormatting sqref="E22">
    <cfRule type="expression" priority="327" dxfId="0">
      <formula>Datos!C164="C1"</formula>
    </cfRule>
    <cfRule type="expression" priority="328" dxfId="1">
      <formula>Datos!C164="MIX"</formula>
    </cfRule>
  </conditionalFormatting>
  <conditionalFormatting sqref="F22">
    <cfRule type="expression" priority="329" dxfId="0">
      <formula>Datos!C165="C1"</formula>
    </cfRule>
    <cfRule type="expression" priority="330" dxfId="1">
      <formula>Datos!C165="MIX"</formula>
    </cfRule>
  </conditionalFormatting>
  <conditionalFormatting sqref="G22">
    <cfRule type="expression" priority="331" dxfId="0">
      <formula>Datos!C166="C1"</formula>
    </cfRule>
    <cfRule type="expression" priority="332" dxfId="1">
      <formula>Datos!C166="MIX"</formula>
    </cfRule>
  </conditionalFormatting>
  <conditionalFormatting sqref="H22">
    <cfRule type="expression" priority="333" dxfId="0">
      <formula>Datos!C167="C1"</formula>
    </cfRule>
    <cfRule type="expression" priority="334" dxfId="1">
      <formula>Datos!C167="MIX"</formula>
    </cfRule>
  </conditionalFormatting>
  <conditionalFormatting sqref="I22">
    <cfRule type="expression" priority="335" dxfId="0">
      <formula>Datos!C168="C1"</formula>
    </cfRule>
    <cfRule type="expression" priority="336" dxfId="1">
      <formula>Datos!C168="MIX"</formula>
    </cfRule>
  </conditionalFormatting>
  <conditionalFormatting sqref="J22">
    <cfRule type="expression" priority="337" dxfId="0">
      <formula>Datos!C169="C1"</formula>
    </cfRule>
    <cfRule type="expression" priority="338" dxfId="1">
      <formula>Datos!C169="MIX"</formula>
    </cfRule>
  </conditionalFormatting>
  <conditionalFormatting sqref="K22">
    <cfRule type="expression" priority="339" dxfId="0">
      <formula>Datos!C170="C1"</formula>
    </cfRule>
    <cfRule type="expression" priority="340" dxfId="1">
      <formula>Datos!C170="MIX"</formula>
    </cfRule>
  </conditionalFormatting>
  <conditionalFormatting sqref="B23">
    <cfRule type="expression" priority="341" dxfId="0">
      <formula>Datos!C171="C1"</formula>
    </cfRule>
    <cfRule type="expression" priority="342" dxfId="1">
      <formula>Datos!C171="MIX"</formula>
    </cfRule>
  </conditionalFormatting>
  <conditionalFormatting sqref="C23">
    <cfRule type="expression" priority="343" dxfId="0">
      <formula>Datos!C172="C1"</formula>
    </cfRule>
    <cfRule type="expression" priority="344" dxfId="1">
      <formula>Datos!C172="MIX"</formula>
    </cfRule>
  </conditionalFormatting>
  <conditionalFormatting sqref="D23">
    <cfRule type="expression" priority="345" dxfId="0">
      <formula>Datos!C173="C1"</formula>
    </cfRule>
    <cfRule type="expression" priority="346" dxfId="1">
      <formula>Datos!C173="MIX"</formula>
    </cfRule>
  </conditionalFormatting>
  <conditionalFormatting sqref="E23">
    <cfRule type="expression" priority="347" dxfId="0">
      <formula>Datos!C174="C1"</formula>
    </cfRule>
    <cfRule type="expression" priority="348" dxfId="1">
      <formula>Datos!C174="MIX"</formula>
    </cfRule>
  </conditionalFormatting>
  <conditionalFormatting sqref="F23">
    <cfRule type="expression" priority="349" dxfId="0">
      <formula>Datos!C175="C1"</formula>
    </cfRule>
    <cfRule type="expression" priority="350" dxfId="1">
      <formula>Datos!C175="MIX"</formula>
    </cfRule>
  </conditionalFormatting>
  <conditionalFormatting sqref="G23">
    <cfRule type="expression" priority="351" dxfId="0">
      <formula>Datos!C176="C1"</formula>
    </cfRule>
    <cfRule type="expression" priority="352" dxfId="1">
      <formula>Datos!C176="MIX"</formula>
    </cfRule>
  </conditionalFormatting>
  <conditionalFormatting sqref="H23">
    <cfRule type="expression" priority="353" dxfId="0">
      <formula>Datos!C177="C1"</formula>
    </cfRule>
    <cfRule type="expression" priority="354" dxfId="1">
      <formula>Datos!C177="MIX"</formula>
    </cfRule>
  </conditionalFormatting>
  <conditionalFormatting sqref="I23">
    <cfRule type="expression" priority="355" dxfId="0">
      <formula>Datos!C178="C1"</formula>
    </cfRule>
    <cfRule type="expression" priority="356" dxfId="1">
      <formula>Datos!C178="MIX"</formula>
    </cfRule>
  </conditionalFormatting>
  <conditionalFormatting sqref="J23">
    <cfRule type="expression" priority="357" dxfId="0">
      <formula>Datos!C179="C1"</formula>
    </cfRule>
    <cfRule type="expression" priority="358" dxfId="1">
      <formula>Datos!C179="MIX"</formula>
    </cfRule>
  </conditionalFormatting>
  <conditionalFormatting sqref="K23">
    <cfRule type="expression" priority="359" dxfId="0">
      <formula>Datos!C180="C1"</formula>
    </cfRule>
    <cfRule type="expression" priority="360" dxfId="1">
      <formula>Datos!C180="MIX"</formula>
    </cfRule>
  </conditionalFormatting>
  <conditionalFormatting sqref="B26">
    <cfRule type="expression" priority="361" dxfId="0">
      <formula>Datos!C181="C1"</formula>
    </cfRule>
    <cfRule type="expression" priority="362" dxfId="1">
      <formula>Datos!C181="MIX"</formula>
    </cfRule>
  </conditionalFormatting>
  <conditionalFormatting sqref="C26">
    <cfRule type="expression" priority="363" dxfId="0">
      <formula>Datos!C182="C1"</formula>
    </cfRule>
    <cfRule type="expression" priority="364" dxfId="1">
      <formula>Datos!C182="MIX"</formula>
    </cfRule>
  </conditionalFormatting>
  <conditionalFormatting sqref="D26">
    <cfRule type="expression" priority="365" dxfId="0">
      <formula>Datos!C183="C1"</formula>
    </cfRule>
    <cfRule type="expression" priority="366" dxfId="1">
      <formula>Datos!C183="MIX"</formula>
    </cfRule>
  </conditionalFormatting>
  <conditionalFormatting sqref="E26">
    <cfRule type="expression" priority="367" dxfId="0">
      <formula>Datos!C184="C1"</formula>
    </cfRule>
    <cfRule type="expression" priority="368" dxfId="1">
      <formula>Datos!C184="MIX"</formula>
    </cfRule>
  </conditionalFormatting>
  <conditionalFormatting sqref="F26">
    <cfRule type="expression" priority="369" dxfId="0">
      <formula>Datos!C185="C1"</formula>
    </cfRule>
    <cfRule type="expression" priority="370" dxfId="1">
      <formula>Datos!C185="MIX"</formula>
    </cfRule>
  </conditionalFormatting>
  <conditionalFormatting sqref="G26">
    <cfRule type="expression" priority="371" dxfId="0">
      <formula>Datos!C186="C1"</formula>
    </cfRule>
    <cfRule type="expression" priority="372" dxfId="1">
      <formula>Datos!C186="MIX"</formula>
    </cfRule>
  </conditionalFormatting>
  <conditionalFormatting sqref="H26">
    <cfRule type="expression" priority="373" dxfId="0">
      <formula>Datos!C187="C1"</formula>
    </cfRule>
    <cfRule type="expression" priority="374" dxfId="1">
      <formula>Datos!C187="MIX"</formula>
    </cfRule>
  </conditionalFormatting>
  <conditionalFormatting sqref="I26">
    <cfRule type="expression" priority="375" dxfId="0">
      <formula>Datos!C188="C1"</formula>
    </cfRule>
    <cfRule type="expression" priority="376" dxfId="1">
      <formula>Datos!C188="MIX"</formula>
    </cfRule>
  </conditionalFormatting>
  <conditionalFormatting sqref="J26">
    <cfRule type="expression" priority="377" dxfId="0">
      <formula>Datos!C189="C1"</formula>
    </cfRule>
    <cfRule type="expression" priority="378" dxfId="1">
      <formula>Datos!C189="MIX"</formula>
    </cfRule>
  </conditionalFormatting>
  <conditionalFormatting sqref="K26">
    <cfRule type="expression" priority="379" dxfId="0">
      <formula>Datos!C190="C1"</formula>
    </cfRule>
    <cfRule type="expression" priority="380" dxfId="1">
      <formula>Datos!C190="MIX"</formula>
    </cfRule>
  </conditionalFormatting>
  <conditionalFormatting sqref="B27">
    <cfRule type="expression" priority="381" dxfId="0">
      <formula>Datos!C191="C1"</formula>
    </cfRule>
    <cfRule type="expression" priority="382" dxfId="1">
      <formula>Datos!C191="MIX"</formula>
    </cfRule>
  </conditionalFormatting>
  <conditionalFormatting sqref="C27">
    <cfRule type="expression" priority="383" dxfId="0">
      <formula>Datos!C192="C1"</formula>
    </cfRule>
    <cfRule type="expression" priority="384" dxfId="1">
      <formula>Datos!C192="MIX"</formula>
    </cfRule>
  </conditionalFormatting>
  <conditionalFormatting sqref="D27">
    <cfRule type="expression" priority="385" dxfId="0">
      <formula>Datos!C193="C1"</formula>
    </cfRule>
    <cfRule type="expression" priority="386" dxfId="1">
      <formula>Datos!C193="MIX"</formula>
    </cfRule>
  </conditionalFormatting>
  <conditionalFormatting sqref="E27">
    <cfRule type="expression" priority="387" dxfId="0">
      <formula>Datos!C194="C1"</formula>
    </cfRule>
    <cfRule type="expression" priority="388" dxfId="1">
      <formula>Datos!C194="MIX"</formula>
    </cfRule>
  </conditionalFormatting>
  <conditionalFormatting sqref="F27">
    <cfRule type="expression" priority="389" dxfId="0">
      <formula>Datos!C195="C1"</formula>
    </cfRule>
    <cfRule type="expression" priority="390" dxfId="1">
      <formula>Datos!C195="MIX"</formula>
    </cfRule>
  </conditionalFormatting>
  <conditionalFormatting sqref="G27">
    <cfRule type="expression" priority="391" dxfId="0">
      <formula>Datos!C196="C1"</formula>
    </cfRule>
    <cfRule type="expression" priority="392" dxfId="1">
      <formula>Datos!C196="MIX"</formula>
    </cfRule>
  </conditionalFormatting>
  <conditionalFormatting sqref="H27">
    <cfRule type="expression" priority="393" dxfId="0">
      <formula>Datos!C197="C1"</formula>
    </cfRule>
    <cfRule type="expression" priority="394" dxfId="1">
      <formula>Datos!C197="MIX"</formula>
    </cfRule>
  </conditionalFormatting>
  <conditionalFormatting sqref="I27">
    <cfRule type="expression" priority="395" dxfId="0">
      <formula>Datos!C198="C1"</formula>
    </cfRule>
    <cfRule type="expression" priority="396" dxfId="1">
      <formula>Datos!C198="MIX"</formula>
    </cfRule>
  </conditionalFormatting>
  <conditionalFormatting sqref="J27">
    <cfRule type="expression" priority="397" dxfId="0">
      <formula>Datos!C199="C1"</formula>
    </cfRule>
    <cfRule type="expression" priority="398" dxfId="1">
      <formula>Datos!C199="MIX"</formula>
    </cfRule>
  </conditionalFormatting>
  <conditionalFormatting sqref="K27">
    <cfRule type="expression" priority="399" dxfId="0">
      <formula>Datos!C200="C1"</formula>
    </cfRule>
    <cfRule type="expression" priority="400" dxfId="1">
      <formula>Datos!C200="MIX"</formula>
    </cfRule>
  </conditionalFormatting>
  <conditionalFormatting sqref="B28">
    <cfRule type="expression" priority="401" dxfId="0">
      <formula>Datos!C201="C1"</formula>
    </cfRule>
    <cfRule type="expression" priority="402" dxfId="1">
      <formula>Datos!C201="MIX"</formula>
    </cfRule>
  </conditionalFormatting>
  <conditionalFormatting sqref="C28">
    <cfRule type="expression" priority="403" dxfId="0">
      <formula>Datos!C202="C1"</formula>
    </cfRule>
    <cfRule type="expression" priority="404" dxfId="1">
      <formula>Datos!C202="MIX"</formula>
    </cfRule>
  </conditionalFormatting>
  <conditionalFormatting sqref="D28">
    <cfRule type="expression" priority="405" dxfId="0">
      <formula>Datos!C203="C1"</formula>
    </cfRule>
    <cfRule type="expression" priority="406" dxfId="1">
      <formula>Datos!C203="MIX"</formula>
    </cfRule>
  </conditionalFormatting>
  <conditionalFormatting sqref="E28">
    <cfRule type="expression" priority="407" dxfId="0">
      <formula>Datos!C204="C1"</formula>
    </cfRule>
    <cfRule type="expression" priority="408" dxfId="1">
      <formula>Datos!C204="MIX"</formula>
    </cfRule>
  </conditionalFormatting>
  <conditionalFormatting sqref="F28">
    <cfRule type="expression" priority="409" dxfId="0">
      <formula>Datos!C205="C1"</formula>
    </cfRule>
    <cfRule type="expression" priority="410" dxfId="1">
      <formula>Datos!C205="MIX"</formula>
    </cfRule>
  </conditionalFormatting>
  <conditionalFormatting sqref="G28">
    <cfRule type="expression" priority="411" dxfId="0">
      <formula>Datos!C206="C1"</formula>
    </cfRule>
    <cfRule type="expression" priority="412" dxfId="1">
      <formula>Datos!C206="MIX"</formula>
    </cfRule>
  </conditionalFormatting>
  <conditionalFormatting sqref="H28">
    <cfRule type="expression" priority="413" dxfId="0">
      <formula>Datos!C207="C1"</formula>
    </cfRule>
    <cfRule type="expression" priority="414" dxfId="1">
      <formula>Datos!C207="MIX"</formula>
    </cfRule>
  </conditionalFormatting>
  <conditionalFormatting sqref="I28">
    <cfRule type="expression" priority="415" dxfId="0">
      <formula>Datos!C208="C1"</formula>
    </cfRule>
    <cfRule type="expression" priority="416" dxfId="1">
      <formula>Datos!C208="MIX"</formula>
    </cfRule>
  </conditionalFormatting>
  <conditionalFormatting sqref="J28">
    <cfRule type="expression" priority="417" dxfId="0">
      <formula>Datos!C209="C1"</formula>
    </cfRule>
    <cfRule type="expression" priority="418" dxfId="1">
      <formula>Datos!C209="MIX"</formula>
    </cfRule>
  </conditionalFormatting>
  <conditionalFormatting sqref="K28">
    <cfRule type="expression" priority="419" dxfId="0">
      <formula>Datos!C210="C1"</formula>
    </cfRule>
    <cfRule type="expression" priority="420" dxfId="1">
      <formula>Datos!C210="MIX"</formula>
    </cfRule>
  </conditionalFormatting>
  <conditionalFormatting sqref="B29">
    <cfRule type="expression" priority="421" dxfId="0">
      <formula>Datos!C211="C1"</formula>
    </cfRule>
    <cfRule type="expression" priority="422" dxfId="1">
      <formula>Datos!C211="MIX"</formula>
    </cfRule>
  </conditionalFormatting>
  <conditionalFormatting sqref="C29">
    <cfRule type="expression" priority="423" dxfId="0">
      <formula>Datos!C212="C1"</formula>
    </cfRule>
    <cfRule type="expression" priority="424" dxfId="1">
      <formula>Datos!C212="MIX"</formula>
    </cfRule>
  </conditionalFormatting>
  <conditionalFormatting sqref="D29">
    <cfRule type="expression" priority="425" dxfId="0">
      <formula>Datos!C213="C1"</formula>
    </cfRule>
    <cfRule type="expression" priority="426" dxfId="1">
      <formula>Datos!C213="MIX"</formula>
    </cfRule>
  </conditionalFormatting>
  <conditionalFormatting sqref="E29">
    <cfRule type="expression" priority="427" dxfId="0">
      <formula>Datos!C214="C1"</formula>
    </cfRule>
    <cfRule type="expression" priority="428" dxfId="1">
      <formula>Datos!C214="MIX"</formula>
    </cfRule>
  </conditionalFormatting>
  <conditionalFormatting sqref="F29">
    <cfRule type="expression" priority="429" dxfId="0">
      <formula>Datos!C215="C1"</formula>
    </cfRule>
    <cfRule type="expression" priority="430" dxfId="1">
      <formula>Datos!C215="MIX"</formula>
    </cfRule>
  </conditionalFormatting>
  <conditionalFormatting sqref="G29">
    <cfRule type="expression" priority="431" dxfId="0">
      <formula>Datos!C216="C1"</formula>
    </cfRule>
    <cfRule type="expression" priority="432" dxfId="1">
      <formula>Datos!C216="MIX"</formula>
    </cfRule>
  </conditionalFormatting>
  <conditionalFormatting sqref="H29">
    <cfRule type="expression" priority="433" dxfId="0">
      <formula>Datos!C217="C1"</formula>
    </cfRule>
    <cfRule type="expression" priority="434" dxfId="1">
      <formula>Datos!C217="MIX"</formula>
    </cfRule>
  </conditionalFormatting>
  <conditionalFormatting sqref="I29">
    <cfRule type="expression" priority="435" dxfId="0">
      <formula>Datos!C218="C1"</formula>
    </cfRule>
    <cfRule type="expression" priority="436" dxfId="1">
      <formula>Datos!C218="MIX"</formula>
    </cfRule>
  </conditionalFormatting>
  <conditionalFormatting sqref="J29">
    <cfRule type="expression" priority="437" dxfId="0">
      <formula>Datos!C219="C1"</formula>
    </cfRule>
    <cfRule type="expression" priority="438" dxfId="1">
      <formula>Datos!C219="MIX"</formula>
    </cfRule>
  </conditionalFormatting>
  <conditionalFormatting sqref="K29">
    <cfRule type="expression" priority="439" dxfId="0">
      <formula>Datos!C220="C1"</formula>
    </cfRule>
    <cfRule type="expression" priority="440" dxfId="1">
      <formula>Datos!C220="MIX"</formula>
    </cfRule>
  </conditionalFormatting>
  <conditionalFormatting sqref="B30">
    <cfRule type="expression" priority="441" dxfId="0">
      <formula>Datos!C221="C1"</formula>
    </cfRule>
    <cfRule type="expression" priority="442" dxfId="1">
      <formula>Datos!C221="MIX"</formula>
    </cfRule>
  </conditionalFormatting>
  <conditionalFormatting sqref="C30">
    <cfRule type="expression" priority="443" dxfId="0">
      <formula>Datos!C222="C1"</formula>
    </cfRule>
    <cfRule type="expression" priority="444" dxfId="1">
      <formula>Datos!C222="MIX"</formula>
    </cfRule>
  </conditionalFormatting>
  <conditionalFormatting sqref="D30">
    <cfRule type="expression" priority="445" dxfId="0">
      <formula>Datos!C223="C1"</formula>
    </cfRule>
    <cfRule type="expression" priority="446" dxfId="1">
      <formula>Datos!C223="MIX"</formula>
    </cfRule>
  </conditionalFormatting>
  <conditionalFormatting sqref="E30">
    <cfRule type="expression" priority="447" dxfId="0">
      <formula>Datos!C224="C1"</formula>
    </cfRule>
    <cfRule type="expression" priority="448" dxfId="1">
      <formula>Datos!C224="MIX"</formula>
    </cfRule>
  </conditionalFormatting>
  <conditionalFormatting sqref="F30">
    <cfRule type="expression" priority="449" dxfId="0">
      <formula>Datos!C225="C1"</formula>
    </cfRule>
    <cfRule type="expression" priority="450" dxfId="1">
      <formula>Datos!C225="MIX"</formula>
    </cfRule>
  </conditionalFormatting>
  <conditionalFormatting sqref="G30">
    <cfRule type="expression" priority="451" dxfId="0">
      <formula>Datos!C226="C1"</formula>
    </cfRule>
    <cfRule type="expression" priority="452" dxfId="1">
      <formula>Datos!C226="MIX"</formula>
    </cfRule>
  </conditionalFormatting>
  <conditionalFormatting sqref="H30">
    <cfRule type="expression" priority="453" dxfId="0">
      <formula>Datos!C227="C1"</formula>
    </cfRule>
    <cfRule type="expression" priority="454" dxfId="1">
      <formula>Datos!C227="MIX"</formula>
    </cfRule>
  </conditionalFormatting>
  <conditionalFormatting sqref="I30">
    <cfRule type="expression" priority="455" dxfId="0">
      <formula>Datos!C228="C1"</formula>
    </cfRule>
    <cfRule type="expression" priority="456" dxfId="1">
      <formula>Datos!C228="MIX"</formula>
    </cfRule>
  </conditionalFormatting>
  <conditionalFormatting sqref="J30">
    <cfRule type="expression" priority="457" dxfId="0">
      <formula>Datos!C229="C1"</formula>
    </cfRule>
    <cfRule type="expression" priority="458" dxfId="1">
      <formula>Datos!C229="MIX"</formula>
    </cfRule>
  </conditionalFormatting>
  <conditionalFormatting sqref="K30">
    <cfRule type="expression" priority="459" dxfId="0">
      <formula>Datos!C230="C1"</formula>
    </cfRule>
    <cfRule type="expression" priority="460" dxfId="1">
      <formula>Datos!C230="MIX"</formula>
    </cfRule>
  </conditionalFormatting>
  <conditionalFormatting sqref="B31">
    <cfRule type="expression" priority="461" dxfId="0">
      <formula>Datos!C231="C1"</formula>
    </cfRule>
    <cfRule type="expression" priority="462" dxfId="1">
      <formula>Datos!C231="MIX"</formula>
    </cfRule>
  </conditionalFormatting>
  <conditionalFormatting sqref="C31">
    <cfRule type="expression" priority="463" dxfId="0">
      <formula>Datos!C232="C1"</formula>
    </cfRule>
    <cfRule type="expression" priority="464" dxfId="1">
      <formula>Datos!C232="MIX"</formula>
    </cfRule>
  </conditionalFormatting>
  <conditionalFormatting sqref="D31">
    <cfRule type="expression" priority="465" dxfId="0">
      <formula>Datos!C233="C1"</formula>
    </cfRule>
    <cfRule type="expression" priority="466" dxfId="1">
      <formula>Datos!C233="MIX"</formula>
    </cfRule>
  </conditionalFormatting>
  <conditionalFormatting sqref="E31">
    <cfRule type="expression" priority="467" dxfId="0">
      <formula>Datos!C234="C1"</formula>
    </cfRule>
    <cfRule type="expression" priority="468" dxfId="1">
      <formula>Datos!C234="MIX"</formula>
    </cfRule>
  </conditionalFormatting>
  <conditionalFormatting sqref="F31">
    <cfRule type="expression" priority="469" dxfId="0">
      <formula>Datos!C235="C1"</formula>
    </cfRule>
    <cfRule type="expression" priority="470" dxfId="1">
      <formula>Datos!C235="MIX"</formula>
    </cfRule>
  </conditionalFormatting>
  <conditionalFormatting sqref="G31">
    <cfRule type="expression" priority="471" dxfId="0">
      <formula>Datos!C236="C1"</formula>
    </cfRule>
    <cfRule type="expression" priority="472" dxfId="1">
      <formula>Datos!C236="MIX"</formula>
    </cfRule>
  </conditionalFormatting>
  <conditionalFormatting sqref="H31">
    <cfRule type="expression" priority="473" dxfId="0">
      <formula>Datos!C237="C1"</formula>
    </cfRule>
    <cfRule type="expression" priority="474" dxfId="1">
      <formula>Datos!C237="MIX"</formula>
    </cfRule>
  </conditionalFormatting>
  <conditionalFormatting sqref="I31">
    <cfRule type="expression" priority="475" dxfId="0">
      <formula>Datos!C238="C1"</formula>
    </cfRule>
    <cfRule type="expression" priority="476" dxfId="1">
      <formula>Datos!C238="MIX"</formula>
    </cfRule>
  </conditionalFormatting>
  <conditionalFormatting sqref="J31">
    <cfRule type="expression" priority="477" dxfId="0">
      <formula>Datos!C239="C1"</formula>
    </cfRule>
    <cfRule type="expression" priority="478" dxfId="1">
      <formula>Datos!C239="MIX"</formula>
    </cfRule>
  </conditionalFormatting>
  <conditionalFormatting sqref="K31">
    <cfRule type="expression" priority="479" dxfId="0">
      <formula>Datos!C240="C1"</formula>
    </cfRule>
    <cfRule type="expression" priority="480" dxfId="1">
      <formula>Datos!C240="MIX"</formula>
    </cfRule>
  </conditionalFormatting>
  <conditionalFormatting sqref="B34">
    <cfRule type="expression" priority="481" dxfId="0">
      <formula>Datos!C241="C1"</formula>
    </cfRule>
    <cfRule type="expression" priority="482" dxfId="1">
      <formula>Datos!C241="MIX"</formula>
    </cfRule>
  </conditionalFormatting>
  <conditionalFormatting sqref="C34">
    <cfRule type="expression" priority="483" dxfId="0">
      <formula>Datos!C242="C1"</formula>
    </cfRule>
    <cfRule type="expression" priority="484" dxfId="1">
      <formula>Datos!C242="MIX"</formula>
    </cfRule>
  </conditionalFormatting>
  <conditionalFormatting sqref="D34">
    <cfRule type="expression" priority="485" dxfId="0">
      <formula>Datos!C243="C1"</formula>
    </cfRule>
    <cfRule type="expression" priority="486" dxfId="1">
      <formula>Datos!C243="MIX"</formula>
    </cfRule>
  </conditionalFormatting>
  <conditionalFormatting sqref="E34">
    <cfRule type="expression" priority="487" dxfId="0">
      <formula>Datos!C244="C1"</formula>
    </cfRule>
    <cfRule type="expression" priority="488" dxfId="1">
      <formula>Datos!C244="MIX"</formula>
    </cfRule>
  </conditionalFormatting>
  <conditionalFormatting sqref="F34">
    <cfRule type="expression" priority="489" dxfId="0">
      <formula>Datos!C245="C1"</formula>
    </cfRule>
    <cfRule type="expression" priority="490" dxfId="1">
      <formula>Datos!C245="MIX"</formula>
    </cfRule>
  </conditionalFormatting>
  <conditionalFormatting sqref="G34">
    <cfRule type="expression" priority="491" dxfId="0">
      <formula>Datos!C246="C1"</formula>
    </cfRule>
    <cfRule type="expression" priority="492" dxfId="1">
      <formula>Datos!C246="MIX"</formula>
    </cfRule>
  </conditionalFormatting>
  <conditionalFormatting sqref="H34">
    <cfRule type="expression" priority="493" dxfId="0">
      <formula>Datos!C247="C1"</formula>
    </cfRule>
    <cfRule type="expression" priority="494" dxfId="1">
      <formula>Datos!C247="MIX"</formula>
    </cfRule>
  </conditionalFormatting>
  <conditionalFormatting sqref="I34">
    <cfRule type="expression" priority="495" dxfId="0">
      <formula>Datos!C248="C1"</formula>
    </cfRule>
    <cfRule type="expression" priority="496" dxfId="1">
      <formula>Datos!C248="MIX"</formula>
    </cfRule>
  </conditionalFormatting>
  <conditionalFormatting sqref="J34">
    <cfRule type="expression" priority="497" dxfId="0">
      <formula>Datos!C249="C1"</formula>
    </cfRule>
    <cfRule type="expression" priority="498" dxfId="1">
      <formula>Datos!C249="MIX"</formula>
    </cfRule>
  </conditionalFormatting>
  <conditionalFormatting sqref="K34">
    <cfRule type="expression" priority="499" dxfId="0">
      <formula>Datos!C250="C1"</formula>
    </cfRule>
    <cfRule type="expression" priority="500" dxfId="1">
      <formula>Datos!C250="MIX"</formula>
    </cfRule>
  </conditionalFormatting>
  <conditionalFormatting sqref="B35">
    <cfRule type="expression" priority="501" dxfId="0">
      <formula>Datos!C251="C1"</formula>
    </cfRule>
    <cfRule type="expression" priority="502" dxfId="1">
      <formula>Datos!C251="MIX"</formula>
    </cfRule>
  </conditionalFormatting>
  <conditionalFormatting sqref="C35">
    <cfRule type="expression" priority="503" dxfId="0">
      <formula>Datos!C252="C1"</formula>
    </cfRule>
    <cfRule type="expression" priority="504" dxfId="1">
      <formula>Datos!C252="MIX"</formula>
    </cfRule>
  </conditionalFormatting>
  <conditionalFormatting sqref="D35">
    <cfRule type="expression" priority="505" dxfId="0">
      <formula>Datos!C253="C1"</formula>
    </cfRule>
    <cfRule type="expression" priority="506" dxfId="1">
      <formula>Datos!C253="MIX"</formula>
    </cfRule>
  </conditionalFormatting>
  <conditionalFormatting sqref="E35">
    <cfRule type="expression" priority="507" dxfId="0">
      <formula>Datos!C254="C1"</formula>
    </cfRule>
    <cfRule type="expression" priority="508" dxfId="1">
      <formula>Datos!C254="MIX"</formula>
    </cfRule>
  </conditionalFormatting>
  <conditionalFormatting sqref="F35">
    <cfRule type="expression" priority="509" dxfId="0">
      <formula>Datos!C255="C1"</formula>
    </cfRule>
    <cfRule type="expression" priority="510" dxfId="1">
      <formula>Datos!C255="MIX"</formula>
    </cfRule>
  </conditionalFormatting>
  <conditionalFormatting sqref="G35">
    <cfRule type="expression" priority="511" dxfId="0">
      <formula>Datos!C256="C1"</formula>
    </cfRule>
    <cfRule type="expression" priority="512" dxfId="1">
      <formula>Datos!C256="MIX"</formula>
    </cfRule>
  </conditionalFormatting>
  <conditionalFormatting sqref="H35">
    <cfRule type="expression" priority="513" dxfId="0">
      <formula>Datos!C257="C1"</formula>
    </cfRule>
    <cfRule type="expression" priority="514" dxfId="1">
      <formula>Datos!C257="MIX"</formula>
    </cfRule>
  </conditionalFormatting>
  <conditionalFormatting sqref="I35">
    <cfRule type="expression" priority="515" dxfId="0">
      <formula>Datos!C258="C1"</formula>
    </cfRule>
    <cfRule type="expression" priority="516" dxfId="1">
      <formula>Datos!C258="MIX"</formula>
    </cfRule>
  </conditionalFormatting>
  <conditionalFormatting sqref="J35">
    <cfRule type="expression" priority="517" dxfId="0">
      <formula>Datos!C259="C1"</formula>
    </cfRule>
    <cfRule type="expression" priority="518" dxfId="1">
      <formula>Datos!C259="MIX"</formula>
    </cfRule>
  </conditionalFormatting>
  <conditionalFormatting sqref="K35">
    <cfRule type="expression" priority="519" dxfId="0">
      <formula>Datos!C260="C1"</formula>
    </cfRule>
    <cfRule type="expression" priority="520" dxfId="1">
      <formula>Datos!C260="MIX"</formula>
    </cfRule>
  </conditionalFormatting>
  <conditionalFormatting sqref="B36">
    <cfRule type="expression" priority="521" dxfId="0">
      <formula>Datos!C261="C1"</formula>
    </cfRule>
    <cfRule type="expression" priority="522" dxfId="1">
      <formula>Datos!C261="MIX"</formula>
    </cfRule>
  </conditionalFormatting>
  <conditionalFormatting sqref="C36">
    <cfRule type="expression" priority="523" dxfId="0">
      <formula>Datos!C262="C1"</formula>
    </cfRule>
    <cfRule type="expression" priority="524" dxfId="1">
      <formula>Datos!C262="MIX"</formula>
    </cfRule>
  </conditionalFormatting>
  <conditionalFormatting sqref="D36">
    <cfRule type="expression" priority="525" dxfId="0">
      <formula>Datos!C263="C1"</formula>
    </cfRule>
    <cfRule type="expression" priority="526" dxfId="1">
      <formula>Datos!C263="MIX"</formula>
    </cfRule>
  </conditionalFormatting>
  <conditionalFormatting sqref="E36">
    <cfRule type="expression" priority="527" dxfId="0">
      <formula>Datos!C264="C1"</formula>
    </cfRule>
    <cfRule type="expression" priority="528" dxfId="1">
      <formula>Datos!C264="MIX"</formula>
    </cfRule>
  </conditionalFormatting>
  <conditionalFormatting sqref="F36">
    <cfRule type="expression" priority="529" dxfId="0">
      <formula>Datos!C265="C1"</formula>
    </cfRule>
    <cfRule type="expression" priority="530" dxfId="1">
      <formula>Datos!C265="MIX"</formula>
    </cfRule>
  </conditionalFormatting>
  <conditionalFormatting sqref="G36">
    <cfRule type="expression" priority="531" dxfId="0">
      <formula>Datos!C266="C1"</formula>
    </cfRule>
    <cfRule type="expression" priority="532" dxfId="1">
      <formula>Datos!C266="MIX"</formula>
    </cfRule>
  </conditionalFormatting>
  <conditionalFormatting sqref="H36">
    <cfRule type="expression" priority="533" dxfId="0">
      <formula>Datos!C267="C1"</formula>
    </cfRule>
    <cfRule type="expression" priority="534" dxfId="1">
      <formula>Datos!C267="MIX"</formula>
    </cfRule>
  </conditionalFormatting>
  <conditionalFormatting sqref="I36">
    <cfRule type="expression" priority="535" dxfId="0">
      <formula>Datos!C268="C1"</formula>
    </cfRule>
    <cfRule type="expression" priority="536" dxfId="1">
      <formula>Datos!C268="MIX"</formula>
    </cfRule>
  </conditionalFormatting>
  <conditionalFormatting sqref="J36">
    <cfRule type="expression" priority="537" dxfId="0">
      <formula>Datos!C269="C1"</formula>
    </cfRule>
    <cfRule type="expression" priority="538" dxfId="1">
      <formula>Datos!C269="MIX"</formula>
    </cfRule>
  </conditionalFormatting>
  <conditionalFormatting sqref="K36">
    <cfRule type="expression" priority="539" dxfId="0">
      <formula>Datos!C270="C1"</formula>
    </cfRule>
    <cfRule type="expression" priority="540" dxfId="1">
      <formula>Datos!C270="MIX"</formula>
    </cfRule>
  </conditionalFormatting>
  <conditionalFormatting sqref="B37">
    <cfRule type="expression" priority="541" dxfId="0">
      <formula>Datos!C271="C1"</formula>
    </cfRule>
    <cfRule type="expression" priority="542" dxfId="1">
      <formula>Datos!C271="MIX"</formula>
    </cfRule>
  </conditionalFormatting>
  <conditionalFormatting sqref="C37">
    <cfRule type="expression" priority="543" dxfId="0">
      <formula>Datos!C272="C1"</formula>
    </cfRule>
    <cfRule type="expression" priority="544" dxfId="1">
      <formula>Datos!C272="MIX"</formula>
    </cfRule>
  </conditionalFormatting>
  <conditionalFormatting sqref="D37">
    <cfRule type="expression" priority="545" dxfId="0">
      <formula>Datos!C273="C1"</formula>
    </cfRule>
    <cfRule type="expression" priority="546" dxfId="1">
      <formula>Datos!C273="MIX"</formula>
    </cfRule>
  </conditionalFormatting>
  <conditionalFormatting sqref="E37">
    <cfRule type="expression" priority="547" dxfId="0">
      <formula>Datos!C274="C1"</formula>
    </cfRule>
    <cfRule type="expression" priority="548" dxfId="1">
      <formula>Datos!C274="MIX"</formula>
    </cfRule>
  </conditionalFormatting>
  <conditionalFormatting sqref="F37">
    <cfRule type="expression" priority="549" dxfId="0">
      <formula>Datos!C275="C1"</formula>
    </cfRule>
    <cfRule type="expression" priority="550" dxfId="1">
      <formula>Datos!C275="MIX"</formula>
    </cfRule>
  </conditionalFormatting>
  <conditionalFormatting sqref="G37">
    <cfRule type="expression" priority="551" dxfId="0">
      <formula>Datos!C276="C1"</formula>
    </cfRule>
    <cfRule type="expression" priority="552" dxfId="1">
      <formula>Datos!C276="MIX"</formula>
    </cfRule>
  </conditionalFormatting>
  <conditionalFormatting sqref="H37">
    <cfRule type="expression" priority="553" dxfId="0">
      <formula>Datos!C277="C1"</formula>
    </cfRule>
    <cfRule type="expression" priority="554" dxfId="1">
      <formula>Datos!C277="MIX"</formula>
    </cfRule>
  </conditionalFormatting>
  <conditionalFormatting sqref="I37">
    <cfRule type="expression" priority="555" dxfId="0">
      <formula>Datos!C278="C1"</formula>
    </cfRule>
    <cfRule type="expression" priority="556" dxfId="1">
      <formula>Datos!C278="MIX"</formula>
    </cfRule>
  </conditionalFormatting>
  <conditionalFormatting sqref="J37">
    <cfRule type="expression" priority="557" dxfId="0">
      <formula>Datos!C279="C1"</formula>
    </cfRule>
    <cfRule type="expression" priority="558" dxfId="1">
      <formula>Datos!C279="MIX"</formula>
    </cfRule>
  </conditionalFormatting>
  <conditionalFormatting sqref="K37">
    <cfRule type="expression" priority="559" dxfId="0">
      <formula>Datos!C280="C1"</formula>
    </cfRule>
    <cfRule type="expression" priority="560" dxfId="1">
      <formula>Datos!C280="MIX"</formula>
    </cfRule>
  </conditionalFormatting>
  <conditionalFormatting sqref="B38">
    <cfRule type="expression" priority="561" dxfId="0">
      <formula>Datos!C281="C1"</formula>
    </cfRule>
    <cfRule type="expression" priority="562" dxfId="1">
      <formula>Datos!C281="MIX"</formula>
    </cfRule>
  </conditionalFormatting>
  <conditionalFormatting sqref="C38">
    <cfRule type="expression" priority="563" dxfId="0">
      <formula>Datos!C282="C1"</formula>
    </cfRule>
    <cfRule type="expression" priority="564" dxfId="1">
      <formula>Datos!C282="MIX"</formula>
    </cfRule>
  </conditionalFormatting>
  <conditionalFormatting sqref="D38">
    <cfRule type="expression" priority="565" dxfId="0">
      <formula>Datos!C283="C1"</formula>
    </cfRule>
    <cfRule type="expression" priority="566" dxfId="1">
      <formula>Datos!C283="MIX"</formula>
    </cfRule>
  </conditionalFormatting>
  <conditionalFormatting sqref="E38">
    <cfRule type="expression" priority="567" dxfId="0">
      <formula>Datos!C284="C1"</formula>
    </cfRule>
    <cfRule type="expression" priority="568" dxfId="1">
      <formula>Datos!C284="MIX"</formula>
    </cfRule>
  </conditionalFormatting>
  <conditionalFormatting sqref="F38">
    <cfRule type="expression" priority="569" dxfId="0">
      <formula>Datos!C285="C1"</formula>
    </cfRule>
    <cfRule type="expression" priority="570" dxfId="1">
      <formula>Datos!C285="MIX"</formula>
    </cfRule>
  </conditionalFormatting>
  <conditionalFormatting sqref="G38">
    <cfRule type="expression" priority="571" dxfId="0">
      <formula>Datos!C286="C1"</formula>
    </cfRule>
    <cfRule type="expression" priority="572" dxfId="1">
      <formula>Datos!C286="MIX"</formula>
    </cfRule>
  </conditionalFormatting>
  <conditionalFormatting sqref="H38">
    <cfRule type="expression" priority="573" dxfId="0">
      <formula>Datos!C287="C1"</formula>
    </cfRule>
    <cfRule type="expression" priority="574" dxfId="1">
      <formula>Datos!C287="MIX"</formula>
    </cfRule>
  </conditionalFormatting>
  <conditionalFormatting sqref="I38">
    <cfRule type="expression" priority="575" dxfId="0">
      <formula>Datos!C288="C1"</formula>
    </cfRule>
    <cfRule type="expression" priority="576" dxfId="1">
      <formula>Datos!C288="MIX"</formula>
    </cfRule>
  </conditionalFormatting>
  <conditionalFormatting sqref="J38">
    <cfRule type="expression" priority="577" dxfId="0">
      <formula>Datos!C289="C1"</formula>
    </cfRule>
    <cfRule type="expression" priority="578" dxfId="1">
      <formula>Datos!C289="MIX"</formula>
    </cfRule>
  </conditionalFormatting>
  <conditionalFormatting sqref="K38">
    <cfRule type="expression" priority="579" dxfId="0">
      <formula>Datos!C290="C1"</formula>
    </cfRule>
    <cfRule type="expression" priority="580" dxfId="1">
      <formula>Datos!C290="MIX"</formula>
    </cfRule>
  </conditionalFormatting>
  <conditionalFormatting sqref="B39">
    <cfRule type="expression" priority="581" dxfId="0">
      <formula>Datos!C291="C1"</formula>
    </cfRule>
    <cfRule type="expression" priority="582" dxfId="1">
      <formula>Datos!C291="MIX"</formula>
    </cfRule>
  </conditionalFormatting>
  <conditionalFormatting sqref="C39">
    <cfRule type="expression" priority="583" dxfId="0">
      <formula>Datos!C292="C1"</formula>
    </cfRule>
    <cfRule type="expression" priority="584" dxfId="1">
      <formula>Datos!C292="MIX"</formula>
    </cfRule>
  </conditionalFormatting>
  <conditionalFormatting sqref="D39">
    <cfRule type="expression" priority="585" dxfId="0">
      <formula>Datos!C293="C1"</formula>
    </cfRule>
    <cfRule type="expression" priority="586" dxfId="1">
      <formula>Datos!C293="MIX"</formula>
    </cfRule>
  </conditionalFormatting>
  <conditionalFormatting sqref="E39">
    <cfRule type="expression" priority="587" dxfId="0">
      <formula>Datos!C294="C1"</formula>
    </cfRule>
    <cfRule type="expression" priority="588" dxfId="1">
      <formula>Datos!C294="MIX"</formula>
    </cfRule>
  </conditionalFormatting>
  <conditionalFormatting sqref="F39">
    <cfRule type="expression" priority="589" dxfId="0">
      <formula>Datos!C295="C1"</formula>
    </cfRule>
    <cfRule type="expression" priority="590" dxfId="1">
      <formula>Datos!C295="MIX"</formula>
    </cfRule>
  </conditionalFormatting>
  <conditionalFormatting sqref="G39">
    <cfRule type="expression" priority="591" dxfId="0">
      <formula>Datos!C296="C1"</formula>
    </cfRule>
    <cfRule type="expression" priority="592" dxfId="1">
      <formula>Datos!C296="MIX"</formula>
    </cfRule>
  </conditionalFormatting>
  <conditionalFormatting sqref="H39">
    <cfRule type="expression" priority="593" dxfId="0">
      <formula>Datos!C297="C1"</formula>
    </cfRule>
    <cfRule type="expression" priority="594" dxfId="1">
      <formula>Datos!C297="MIX"</formula>
    </cfRule>
  </conditionalFormatting>
  <conditionalFormatting sqref="I39">
    <cfRule type="expression" priority="595" dxfId="0">
      <formula>Datos!C298="C1"</formula>
    </cfRule>
    <cfRule type="expression" priority="596" dxfId="1">
      <formula>Datos!C298="MIX"</formula>
    </cfRule>
  </conditionalFormatting>
  <conditionalFormatting sqref="J39">
    <cfRule type="expression" priority="597" dxfId="0">
      <formula>Datos!C299="C1"</formula>
    </cfRule>
    <cfRule type="expression" priority="598" dxfId="1">
      <formula>Datos!C299="MIX"</formula>
    </cfRule>
  </conditionalFormatting>
  <conditionalFormatting sqref="K39">
    <cfRule type="expression" priority="599" dxfId="0">
      <formula>Datos!C300="C1"</formula>
    </cfRule>
    <cfRule type="expression" priority="600" dxfId="1">
      <formula>Datos!C300="MIX"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Aula 1</t>
        </is>
      </c>
      <c r="C1">
        <f>IF((IF((COUNTIF('C111'!B5,"Aula 1")+COUNTIF('C112'!B5,"Aula 1")+COUNTIF('C113'!B5,"Aula 1")+COUNTIF('C121'!B5,"Aula 1")+COUNTIF('C122'!B5,"Aula 1"))&gt;0,1,0))=0,"",IF((IF((COUNTIF('C111'!B5,"Aula 1")+COUNTIF('C112'!B5,"Aula 1")+COUNTIF('C113'!B5,"Aula 1")+COUNTIF('C121'!B5,"Aula 1")+COUNTIF('C122'!B5,"Aula 1"))&gt;0,1,0))=1,IF((COUNTIF('C111'!B5,"Aula 1")+COUNTIF('C112'!B5,"Aula 1")+COUNTIF('C113'!B5,"Aula 1")+COUNTIF('C121'!B5,"Aula 1")+COUNTIF('C122'!B5,"Aula 1"))&gt;0,"C1",""),"MIX"))</f>
        <v/>
      </c>
    </row>
    <row r="2">
      <c r="A2" t="inlineStr">
        <is>
          <t>Aula 2</t>
        </is>
      </c>
      <c r="C2">
        <f>IF((IF((COUNTIF('C111'!B5,"Aula 2")+COUNTIF('C112'!B5,"Aula 2")+COUNTIF('C113'!B5,"Aula 2")+COUNTIF('C121'!B5,"Aula 2")+COUNTIF('C122'!B5,"Aula 2"))&gt;0,1,0))=0,"",IF((IF((COUNTIF('C111'!B5,"Aula 2")+COUNTIF('C112'!B5,"Aula 2")+COUNTIF('C113'!B5,"Aula 2")+COUNTIF('C121'!B5,"Aula 2")+COUNTIF('C122'!B5,"Aula 2"))&gt;0,1,0))=1,IF((COUNTIF('C111'!B5,"Aula 2")+COUNTIF('C112'!B5,"Aula 2")+COUNTIF('C113'!B5,"Aula 2")+COUNTIF('C121'!B5,"Aula 2")+COUNTIF('C122'!B5,"Aula 2"))&gt;0,"C1",""),"MIX"))</f>
        <v/>
      </c>
    </row>
    <row r="3">
      <c r="A3" t="inlineStr">
        <is>
          <t>Aula 3</t>
        </is>
      </c>
      <c r="C3">
        <f>IF((IF((COUNTIF('C111'!B5,"Aula 3")+COUNTIF('C112'!B5,"Aula 3")+COUNTIF('C113'!B5,"Aula 3")+COUNTIF('C121'!B5,"Aula 3")+COUNTIF('C122'!B5,"Aula 3"))&gt;0,1,0))=0,"",IF((IF((COUNTIF('C111'!B5,"Aula 3")+COUNTIF('C112'!B5,"Aula 3")+COUNTIF('C113'!B5,"Aula 3")+COUNTIF('C121'!B5,"Aula 3")+COUNTIF('C122'!B5,"Aula 3"))&gt;0,1,0))=1,IF((COUNTIF('C111'!B5,"Aula 3")+COUNTIF('C112'!B5,"Aula 3")+COUNTIF('C113'!B5,"Aula 3")+COUNTIF('C121'!B5,"Aula 3")+COUNTIF('C122'!B5,"Aula 3"))&gt;0,"C1",""),"MIX"))</f>
        <v/>
      </c>
    </row>
    <row r="4">
      <c r="A4" t="inlineStr">
        <is>
          <t>Aula 4</t>
        </is>
      </c>
      <c r="C4">
        <f>IF((IF((COUNTIF('C111'!B5,"Aula 4")+COUNTIF('C112'!B5,"Aula 4")+COUNTIF('C113'!B5,"Aula 4")+COUNTIF('C121'!B5,"Aula 4")+COUNTIF('C122'!B5,"Aula 4"))&gt;0,1,0))=0,"",IF((IF((COUNTIF('C111'!B5,"Aula 4")+COUNTIF('C112'!B5,"Aula 4")+COUNTIF('C113'!B5,"Aula 4")+COUNTIF('C121'!B5,"Aula 4")+COUNTIF('C122'!B5,"Aula 4"))&gt;0,1,0))=1,IF((COUNTIF('C111'!B5,"Aula 4")+COUNTIF('C112'!B5,"Aula 4")+COUNTIF('C113'!B5,"Aula 4")+COUNTIF('C121'!B5,"Aula 4")+COUNTIF('C122'!B5,"Aula 4"))&gt;0,"C1",""),"MIX"))</f>
        <v/>
      </c>
    </row>
    <row r="5">
      <c r="A5" t="inlineStr">
        <is>
          <t>Aula 5</t>
        </is>
      </c>
      <c r="C5">
        <f>IF((IF((COUNTIF('C111'!B5,"Aula 5")+COUNTIF('C112'!B5,"Aula 5")+COUNTIF('C113'!B5,"Aula 5")+COUNTIF('C121'!B5,"Aula 5")+COUNTIF('C122'!B5,"Aula 5"))&gt;0,1,0))=0,"",IF((IF((COUNTIF('C111'!B5,"Aula 5")+COUNTIF('C112'!B5,"Aula 5")+COUNTIF('C113'!B5,"Aula 5")+COUNTIF('C121'!B5,"Aula 5")+COUNTIF('C122'!B5,"Aula 5"))&gt;0,1,0))=1,IF((COUNTIF('C111'!B5,"Aula 5")+COUNTIF('C112'!B5,"Aula 5")+COUNTIF('C113'!B5,"Aula 5")+COUNTIF('C121'!B5,"Aula 5")+COUNTIF('C122'!B5,"Aula 5"))&gt;0,"C1",""),"MIX"))</f>
        <v/>
      </c>
    </row>
    <row r="6">
      <c r="A6" t="inlineStr">
        <is>
          <t>Aula 6</t>
        </is>
      </c>
      <c r="C6">
        <f>IF((IF((COUNTIF('C111'!B5,"Aula 6")+COUNTIF('C112'!B5,"Aula 6")+COUNTIF('C113'!B5,"Aula 6")+COUNTIF('C121'!B5,"Aula 6")+COUNTIF('C122'!B5,"Aula 6"))&gt;0,1,0))=0,"",IF((IF((COUNTIF('C111'!B5,"Aula 6")+COUNTIF('C112'!B5,"Aula 6")+COUNTIF('C113'!B5,"Aula 6")+COUNTIF('C121'!B5,"Aula 6")+COUNTIF('C122'!B5,"Aula 6"))&gt;0,1,0))=1,IF((COUNTIF('C111'!B5,"Aula 6")+COUNTIF('C112'!B5,"Aula 6")+COUNTIF('C113'!B5,"Aula 6")+COUNTIF('C121'!B5,"Aula 6")+COUNTIF('C122'!B5,"Aula 6"))&gt;0,"C1",""),"MIX"))</f>
        <v/>
      </c>
    </row>
    <row r="7">
      <c r="A7" t="inlineStr">
        <is>
          <t>Aula 7</t>
        </is>
      </c>
      <c r="C7">
        <f>IF((IF((COUNTIF('C111'!B5,"Aula 7")+COUNTIF('C112'!B5,"Aula 7")+COUNTIF('C113'!B5,"Aula 7")+COUNTIF('C121'!B5,"Aula 7")+COUNTIF('C122'!B5,"Aula 7"))&gt;0,1,0))=0,"",IF((IF((COUNTIF('C111'!B5,"Aula 7")+COUNTIF('C112'!B5,"Aula 7")+COUNTIF('C113'!B5,"Aula 7")+COUNTIF('C121'!B5,"Aula 7")+COUNTIF('C122'!B5,"Aula 7"))&gt;0,1,0))=1,IF((COUNTIF('C111'!B5,"Aula 7")+COUNTIF('C112'!B5,"Aula 7")+COUNTIF('C113'!B5,"Aula 7")+COUNTIF('C121'!B5,"Aula 7")+COUNTIF('C122'!B5,"Aula 7"))&gt;0,"C1",""),"MIX"))</f>
        <v/>
      </c>
    </row>
    <row r="8">
      <c r="A8" t="inlineStr">
        <is>
          <t>Aula 8</t>
        </is>
      </c>
      <c r="C8">
        <f>IF((IF((COUNTIF('C111'!B5,"Aula 8")+COUNTIF('C112'!B5,"Aula 8")+COUNTIF('C113'!B5,"Aula 8")+COUNTIF('C121'!B5,"Aula 8")+COUNTIF('C122'!B5,"Aula 8"))&gt;0,1,0))=0,"",IF((IF((COUNTIF('C111'!B5,"Aula 8")+COUNTIF('C112'!B5,"Aula 8")+COUNTIF('C113'!B5,"Aula 8")+COUNTIF('C121'!B5,"Aula 8")+COUNTIF('C122'!B5,"Aula 8"))&gt;0,1,0))=1,IF((COUNTIF('C111'!B5,"Aula 8")+COUNTIF('C112'!B5,"Aula 8")+COUNTIF('C113'!B5,"Aula 8")+COUNTIF('C121'!B5,"Aula 8")+COUNTIF('C122'!B5,"Aula 8"))&gt;0,"C1",""),"MIX"))</f>
        <v/>
      </c>
    </row>
    <row r="9">
      <c r="A9" t="inlineStr">
        <is>
          <t>Aula 9</t>
        </is>
      </c>
      <c r="C9">
        <f>IF((IF((COUNTIF('C111'!B5,"Aula 9")+COUNTIF('C112'!B5,"Aula 9")+COUNTIF('C113'!B5,"Aula 9")+COUNTIF('C121'!B5,"Aula 9")+COUNTIF('C122'!B5,"Aula 9"))&gt;0,1,0))=0,"",IF((IF((COUNTIF('C111'!B5,"Aula 9")+COUNTIF('C112'!B5,"Aula 9")+COUNTIF('C113'!B5,"Aula 9")+COUNTIF('C121'!B5,"Aula 9")+COUNTIF('C122'!B5,"Aula 9"))&gt;0,1,0))=1,IF((COUNTIF('C111'!B5,"Aula 9")+COUNTIF('C112'!B5,"Aula 9")+COUNTIF('C113'!B5,"Aula 9")+COUNTIF('C121'!B5,"Aula 9")+COUNTIF('C122'!B5,"Aula 9"))&gt;0,"C1",""),"MIX"))</f>
        <v/>
      </c>
    </row>
    <row r="10">
      <c r="A10" t="inlineStr">
        <is>
          <t>Lab</t>
        </is>
      </c>
      <c r="C10">
        <f>IF((IF((COUNTIF('C111'!B5,"Lab")+COUNTIF('C112'!B5,"Lab")+COUNTIF('C113'!B5,"Lab")+COUNTIF('C121'!B5,"Lab")+COUNTIF('C122'!B5,"Lab"))&gt;0,1,0))=0,"",IF((IF((COUNTIF('C111'!B5,"Lab")+COUNTIF('C112'!B5,"Lab")+COUNTIF('C113'!B5,"Lab")+COUNTIF('C121'!B5,"Lab")+COUNTIF('C122'!B5,"Lab"))&gt;0,1,0))=1,IF((COUNTIF('C111'!B5,"Lab")+COUNTIF('C112'!B5,"Lab")+COUNTIF('C113'!B5,"Lab")+COUNTIF('C121'!B5,"Lab")+COUNTIF('C122'!B5,"Lab"))&gt;0,"C1",""),"MIX"))</f>
        <v/>
      </c>
    </row>
    <row r="11">
      <c r="C11">
        <f>IF((IF((COUNTIF('C111'!B7,"Aula 1")+COUNTIF('C112'!B7,"Aula 1")+COUNTIF('C113'!B7,"Aula 1")+COUNTIF('C121'!B7,"Aula 1")+COUNTIF('C122'!B7,"Aula 1"))&gt;0,1,0))=0,"",IF((IF((COUNTIF('C111'!B7,"Aula 1")+COUNTIF('C112'!B7,"Aula 1")+COUNTIF('C113'!B7,"Aula 1")+COUNTIF('C121'!B7,"Aula 1")+COUNTIF('C122'!B7,"Aula 1"))&gt;0,1,0))=1,IF((COUNTIF('C111'!B7,"Aula 1")+COUNTIF('C112'!B7,"Aula 1")+COUNTIF('C113'!B7,"Aula 1")+COUNTIF('C121'!B7,"Aula 1")+COUNTIF('C122'!B7,"Aula 1"))&gt;0,"C1",""),"MIX"))</f>
        <v/>
      </c>
    </row>
    <row r="12">
      <c r="C12">
        <f>IF((IF((COUNTIF('C111'!B7,"Aula 2")+COUNTIF('C112'!B7,"Aula 2")+COUNTIF('C113'!B7,"Aula 2")+COUNTIF('C121'!B7,"Aula 2")+COUNTIF('C122'!B7,"Aula 2"))&gt;0,1,0))=0,"",IF((IF((COUNTIF('C111'!B7,"Aula 2")+COUNTIF('C112'!B7,"Aula 2")+COUNTIF('C113'!B7,"Aula 2")+COUNTIF('C121'!B7,"Aula 2")+COUNTIF('C122'!B7,"Aula 2"))&gt;0,1,0))=1,IF((COUNTIF('C111'!B7,"Aula 2")+COUNTIF('C112'!B7,"Aula 2")+COUNTIF('C113'!B7,"Aula 2")+COUNTIF('C121'!B7,"Aula 2")+COUNTIF('C122'!B7,"Aula 2"))&gt;0,"C1",""),"MIX"))</f>
        <v/>
      </c>
    </row>
    <row r="13">
      <c r="C13">
        <f>IF((IF((COUNTIF('C111'!B7,"Aula 3")+COUNTIF('C112'!B7,"Aula 3")+COUNTIF('C113'!B7,"Aula 3")+COUNTIF('C121'!B7,"Aula 3")+COUNTIF('C122'!B7,"Aula 3"))&gt;0,1,0))=0,"",IF((IF((COUNTIF('C111'!B7,"Aula 3")+COUNTIF('C112'!B7,"Aula 3")+COUNTIF('C113'!B7,"Aula 3")+COUNTIF('C121'!B7,"Aula 3")+COUNTIF('C122'!B7,"Aula 3"))&gt;0,1,0))=1,IF((COUNTIF('C111'!B7,"Aula 3")+COUNTIF('C112'!B7,"Aula 3")+COUNTIF('C113'!B7,"Aula 3")+COUNTIF('C121'!B7,"Aula 3")+COUNTIF('C122'!B7,"Aula 3"))&gt;0,"C1",""),"MIX"))</f>
        <v/>
      </c>
    </row>
    <row r="14">
      <c r="C14">
        <f>IF((IF((COUNTIF('C111'!B7,"Aula 4")+COUNTIF('C112'!B7,"Aula 4")+COUNTIF('C113'!B7,"Aula 4")+COUNTIF('C121'!B7,"Aula 4")+COUNTIF('C122'!B7,"Aula 4"))&gt;0,1,0))=0,"",IF((IF((COUNTIF('C111'!B7,"Aula 4")+COUNTIF('C112'!B7,"Aula 4")+COUNTIF('C113'!B7,"Aula 4")+COUNTIF('C121'!B7,"Aula 4")+COUNTIF('C122'!B7,"Aula 4"))&gt;0,1,0))=1,IF((COUNTIF('C111'!B7,"Aula 4")+COUNTIF('C112'!B7,"Aula 4")+COUNTIF('C113'!B7,"Aula 4")+COUNTIF('C121'!B7,"Aula 4")+COUNTIF('C122'!B7,"Aula 4"))&gt;0,"C1",""),"MIX"))</f>
        <v/>
      </c>
    </row>
    <row r="15">
      <c r="C15">
        <f>IF((IF((COUNTIF('C111'!B7,"Aula 5")+COUNTIF('C112'!B7,"Aula 5")+COUNTIF('C113'!B7,"Aula 5")+COUNTIF('C121'!B7,"Aula 5")+COUNTIF('C122'!B7,"Aula 5"))&gt;0,1,0))=0,"",IF((IF((COUNTIF('C111'!B7,"Aula 5")+COUNTIF('C112'!B7,"Aula 5")+COUNTIF('C113'!B7,"Aula 5")+COUNTIF('C121'!B7,"Aula 5")+COUNTIF('C122'!B7,"Aula 5"))&gt;0,1,0))=1,IF((COUNTIF('C111'!B7,"Aula 5")+COUNTIF('C112'!B7,"Aula 5")+COUNTIF('C113'!B7,"Aula 5")+COUNTIF('C121'!B7,"Aula 5")+COUNTIF('C122'!B7,"Aula 5"))&gt;0,"C1",""),"MIX"))</f>
        <v/>
      </c>
    </row>
    <row r="16">
      <c r="C16">
        <f>IF((IF((COUNTIF('C111'!B7,"Aula 6")+COUNTIF('C112'!B7,"Aula 6")+COUNTIF('C113'!B7,"Aula 6")+COUNTIF('C121'!B7,"Aula 6")+COUNTIF('C122'!B7,"Aula 6"))&gt;0,1,0))=0,"",IF((IF((COUNTIF('C111'!B7,"Aula 6")+COUNTIF('C112'!B7,"Aula 6")+COUNTIF('C113'!B7,"Aula 6")+COUNTIF('C121'!B7,"Aula 6")+COUNTIF('C122'!B7,"Aula 6"))&gt;0,1,0))=1,IF((COUNTIF('C111'!B7,"Aula 6")+COUNTIF('C112'!B7,"Aula 6")+COUNTIF('C113'!B7,"Aula 6")+COUNTIF('C121'!B7,"Aula 6")+COUNTIF('C122'!B7,"Aula 6"))&gt;0,"C1",""),"MIX"))</f>
        <v/>
      </c>
    </row>
    <row r="17">
      <c r="C17">
        <f>IF((IF((COUNTIF('C111'!B7,"Aula 7")+COUNTIF('C112'!B7,"Aula 7")+COUNTIF('C113'!B7,"Aula 7")+COUNTIF('C121'!B7,"Aula 7")+COUNTIF('C122'!B7,"Aula 7"))&gt;0,1,0))=0,"",IF((IF((COUNTIF('C111'!B7,"Aula 7")+COUNTIF('C112'!B7,"Aula 7")+COUNTIF('C113'!B7,"Aula 7")+COUNTIF('C121'!B7,"Aula 7")+COUNTIF('C122'!B7,"Aula 7"))&gt;0,1,0))=1,IF((COUNTIF('C111'!B7,"Aula 7")+COUNTIF('C112'!B7,"Aula 7")+COUNTIF('C113'!B7,"Aula 7")+COUNTIF('C121'!B7,"Aula 7")+COUNTIF('C122'!B7,"Aula 7"))&gt;0,"C1",""),"MIX"))</f>
        <v/>
      </c>
    </row>
    <row r="18">
      <c r="C18">
        <f>IF((IF((COUNTIF('C111'!B7,"Aula 8")+COUNTIF('C112'!B7,"Aula 8")+COUNTIF('C113'!B7,"Aula 8")+COUNTIF('C121'!B7,"Aula 8")+COUNTIF('C122'!B7,"Aula 8"))&gt;0,1,0))=0,"",IF((IF((COUNTIF('C111'!B7,"Aula 8")+COUNTIF('C112'!B7,"Aula 8")+COUNTIF('C113'!B7,"Aula 8")+COUNTIF('C121'!B7,"Aula 8")+COUNTIF('C122'!B7,"Aula 8"))&gt;0,1,0))=1,IF((COUNTIF('C111'!B7,"Aula 8")+COUNTIF('C112'!B7,"Aula 8")+COUNTIF('C113'!B7,"Aula 8")+COUNTIF('C121'!B7,"Aula 8")+COUNTIF('C122'!B7,"Aula 8"))&gt;0,"C1",""),"MIX"))</f>
        <v/>
      </c>
    </row>
    <row r="19">
      <c r="C19">
        <f>IF((IF((COUNTIF('C111'!B7,"Aula 9")+COUNTIF('C112'!B7,"Aula 9")+COUNTIF('C113'!B7,"Aula 9")+COUNTIF('C121'!B7,"Aula 9")+COUNTIF('C122'!B7,"Aula 9"))&gt;0,1,0))=0,"",IF((IF((COUNTIF('C111'!B7,"Aula 9")+COUNTIF('C112'!B7,"Aula 9")+COUNTIF('C113'!B7,"Aula 9")+COUNTIF('C121'!B7,"Aula 9")+COUNTIF('C122'!B7,"Aula 9"))&gt;0,1,0))=1,IF((COUNTIF('C111'!B7,"Aula 9")+COUNTIF('C112'!B7,"Aula 9")+COUNTIF('C113'!B7,"Aula 9")+COUNTIF('C121'!B7,"Aula 9")+COUNTIF('C122'!B7,"Aula 9"))&gt;0,"C1",""),"MIX"))</f>
        <v/>
      </c>
    </row>
    <row r="20">
      <c r="C20">
        <f>IF((IF((COUNTIF('C111'!B7,"Lab")+COUNTIF('C112'!B7,"Lab")+COUNTIF('C113'!B7,"Lab")+COUNTIF('C121'!B7,"Lab")+COUNTIF('C122'!B7,"Lab"))&gt;0,1,0))=0,"",IF((IF((COUNTIF('C111'!B7,"Lab")+COUNTIF('C112'!B7,"Lab")+COUNTIF('C113'!B7,"Lab")+COUNTIF('C121'!B7,"Lab")+COUNTIF('C122'!B7,"Lab"))&gt;0,1,0))=1,IF((COUNTIF('C111'!B7,"Lab")+COUNTIF('C112'!B7,"Lab")+COUNTIF('C113'!B7,"Lab")+COUNTIF('C121'!B7,"Lab")+COUNTIF('C122'!B7,"Lab"))&gt;0,"C1",""),"MIX"))</f>
        <v/>
      </c>
    </row>
    <row r="21">
      <c r="C21">
        <f>IF((IF((COUNTIF('C111'!B9,"Aula 1")+COUNTIF('C112'!B9,"Aula 1")+COUNTIF('C113'!B9,"Aula 1")+COUNTIF('C121'!B9,"Aula 1")+COUNTIF('C122'!B9,"Aula 1"))&gt;0,1,0))=0,"",IF((IF((COUNTIF('C111'!B9,"Aula 1")+COUNTIF('C112'!B9,"Aula 1")+COUNTIF('C113'!B9,"Aula 1")+COUNTIF('C121'!B9,"Aula 1")+COUNTIF('C122'!B9,"Aula 1"))&gt;0,1,0))=1,IF((COUNTIF('C111'!B9,"Aula 1")+COUNTIF('C112'!B9,"Aula 1")+COUNTIF('C113'!B9,"Aula 1")+COUNTIF('C121'!B9,"Aula 1")+COUNTIF('C122'!B9,"Aula 1"))&gt;0,"C1",""),"MIX"))</f>
        <v/>
      </c>
    </row>
    <row r="22">
      <c r="C22">
        <f>IF((IF((COUNTIF('C111'!B9,"Aula 2")+COUNTIF('C112'!B9,"Aula 2")+COUNTIF('C113'!B9,"Aula 2")+COUNTIF('C121'!B9,"Aula 2")+COUNTIF('C122'!B9,"Aula 2"))&gt;0,1,0))=0,"",IF((IF((COUNTIF('C111'!B9,"Aula 2")+COUNTIF('C112'!B9,"Aula 2")+COUNTIF('C113'!B9,"Aula 2")+COUNTIF('C121'!B9,"Aula 2")+COUNTIF('C122'!B9,"Aula 2"))&gt;0,1,0))=1,IF((COUNTIF('C111'!B9,"Aula 2")+COUNTIF('C112'!B9,"Aula 2")+COUNTIF('C113'!B9,"Aula 2")+COUNTIF('C121'!B9,"Aula 2")+COUNTIF('C122'!B9,"Aula 2"))&gt;0,"C1",""),"MIX"))</f>
        <v/>
      </c>
    </row>
    <row r="23">
      <c r="C23">
        <f>IF((IF((COUNTIF('C111'!B9,"Aula 3")+COUNTIF('C112'!B9,"Aula 3")+COUNTIF('C113'!B9,"Aula 3")+COUNTIF('C121'!B9,"Aula 3")+COUNTIF('C122'!B9,"Aula 3"))&gt;0,1,0))=0,"",IF((IF((COUNTIF('C111'!B9,"Aula 3")+COUNTIF('C112'!B9,"Aula 3")+COUNTIF('C113'!B9,"Aula 3")+COUNTIF('C121'!B9,"Aula 3")+COUNTIF('C122'!B9,"Aula 3"))&gt;0,1,0))=1,IF((COUNTIF('C111'!B9,"Aula 3")+COUNTIF('C112'!B9,"Aula 3")+COUNTIF('C113'!B9,"Aula 3")+COUNTIF('C121'!B9,"Aula 3")+COUNTIF('C122'!B9,"Aula 3"))&gt;0,"C1",""),"MIX"))</f>
        <v/>
      </c>
    </row>
    <row r="24">
      <c r="C24">
        <f>IF((IF((COUNTIF('C111'!B9,"Aula 4")+COUNTIF('C112'!B9,"Aula 4")+COUNTIF('C113'!B9,"Aula 4")+COUNTIF('C121'!B9,"Aula 4")+COUNTIF('C122'!B9,"Aula 4"))&gt;0,1,0))=0,"",IF((IF((COUNTIF('C111'!B9,"Aula 4")+COUNTIF('C112'!B9,"Aula 4")+COUNTIF('C113'!B9,"Aula 4")+COUNTIF('C121'!B9,"Aula 4")+COUNTIF('C122'!B9,"Aula 4"))&gt;0,1,0))=1,IF((COUNTIF('C111'!B9,"Aula 4")+COUNTIF('C112'!B9,"Aula 4")+COUNTIF('C113'!B9,"Aula 4")+COUNTIF('C121'!B9,"Aula 4")+COUNTIF('C122'!B9,"Aula 4"))&gt;0,"C1",""),"MIX"))</f>
        <v/>
      </c>
    </row>
    <row r="25">
      <c r="C25">
        <f>IF((IF((COUNTIF('C111'!B9,"Aula 5")+COUNTIF('C112'!B9,"Aula 5")+COUNTIF('C113'!B9,"Aula 5")+COUNTIF('C121'!B9,"Aula 5")+COUNTIF('C122'!B9,"Aula 5"))&gt;0,1,0))=0,"",IF((IF((COUNTIF('C111'!B9,"Aula 5")+COUNTIF('C112'!B9,"Aula 5")+COUNTIF('C113'!B9,"Aula 5")+COUNTIF('C121'!B9,"Aula 5")+COUNTIF('C122'!B9,"Aula 5"))&gt;0,1,0))=1,IF((COUNTIF('C111'!B9,"Aula 5")+COUNTIF('C112'!B9,"Aula 5")+COUNTIF('C113'!B9,"Aula 5")+COUNTIF('C121'!B9,"Aula 5")+COUNTIF('C122'!B9,"Aula 5"))&gt;0,"C1",""),"MIX"))</f>
        <v/>
      </c>
    </row>
    <row r="26">
      <c r="C26">
        <f>IF((IF((COUNTIF('C111'!B9,"Aula 6")+COUNTIF('C112'!B9,"Aula 6")+COUNTIF('C113'!B9,"Aula 6")+COUNTIF('C121'!B9,"Aula 6")+COUNTIF('C122'!B9,"Aula 6"))&gt;0,1,0))=0,"",IF((IF((COUNTIF('C111'!B9,"Aula 6")+COUNTIF('C112'!B9,"Aula 6")+COUNTIF('C113'!B9,"Aula 6")+COUNTIF('C121'!B9,"Aula 6")+COUNTIF('C122'!B9,"Aula 6"))&gt;0,1,0))=1,IF((COUNTIF('C111'!B9,"Aula 6")+COUNTIF('C112'!B9,"Aula 6")+COUNTIF('C113'!B9,"Aula 6")+COUNTIF('C121'!B9,"Aula 6")+COUNTIF('C122'!B9,"Aula 6"))&gt;0,"C1",""),"MIX"))</f>
        <v/>
      </c>
    </row>
    <row r="27">
      <c r="C27">
        <f>IF((IF((COUNTIF('C111'!B9,"Aula 7")+COUNTIF('C112'!B9,"Aula 7")+COUNTIF('C113'!B9,"Aula 7")+COUNTIF('C121'!B9,"Aula 7")+COUNTIF('C122'!B9,"Aula 7"))&gt;0,1,0))=0,"",IF((IF((COUNTIF('C111'!B9,"Aula 7")+COUNTIF('C112'!B9,"Aula 7")+COUNTIF('C113'!B9,"Aula 7")+COUNTIF('C121'!B9,"Aula 7")+COUNTIF('C122'!B9,"Aula 7"))&gt;0,1,0))=1,IF((COUNTIF('C111'!B9,"Aula 7")+COUNTIF('C112'!B9,"Aula 7")+COUNTIF('C113'!B9,"Aula 7")+COUNTIF('C121'!B9,"Aula 7")+COUNTIF('C122'!B9,"Aula 7"))&gt;0,"C1",""),"MIX"))</f>
        <v/>
      </c>
    </row>
    <row r="28">
      <c r="C28">
        <f>IF((IF((COUNTIF('C111'!B9,"Aula 8")+COUNTIF('C112'!B9,"Aula 8")+COUNTIF('C113'!B9,"Aula 8")+COUNTIF('C121'!B9,"Aula 8")+COUNTIF('C122'!B9,"Aula 8"))&gt;0,1,0))=0,"",IF((IF((COUNTIF('C111'!B9,"Aula 8")+COUNTIF('C112'!B9,"Aula 8")+COUNTIF('C113'!B9,"Aula 8")+COUNTIF('C121'!B9,"Aula 8")+COUNTIF('C122'!B9,"Aula 8"))&gt;0,1,0))=1,IF((COUNTIF('C111'!B9,"Aula 8")+COUNTIF('C112'!B9,"Aula 8")+COUNTIF('C113'!B9,"Aula 8")+COUNTIF('C121'!B9,"Aula 8")+COUNTIF('C122'!B9,"Aula 8"))&gt;0,"C1",""),"MIX"))</f>
        <v/>
      </c>
    </row>
    <row r="29">
      <c r="C29">
        <f>IF((IF((COUNTIF('C111'!B9,"Aula 9")+COUNTIF('C112'!B9,"Aula 9")+COUNTIF('C113'!B9,"Aula 9")+COUNTIF('C121'!B9,"Aula 9")+COUNTIF('C122'!B9,"Aula 9"))&gt;0,1,0))=0,"",IF((IF((COUNTIF('C111'!B9,"Aula 9")+COUNTIF('C112'!B9,"Aula 9")+COUNTIF('C113'!B9,"Aula 9")+COUNTIF('C121'!B9,"Aula 9")+COUNTIF('C122'!B9,"Aula 9"))&gt;0,1,0))=1,IF((COUNTIF('C111'!B9,"Aula 9")+COUNTIF('C112'!B9,"Aula 9")+COUNTIF('C113'!B9,"Aula 9")+COUNTIF('C121'!B9,"Aula 9")+COUNTIF('C122'!B9,"Aula 9"))&gt;0,"C1",""),"MIX"))</f>
        <v/>
      </c>
    </row>
    <row r="30">
      <c r="C30">
        <f>IF((IF((COUNTIF('C111'!B9,"Lab")+COUNTIF('C112'!B9,"Lab")+COUNTIF('C113'!B9,"Lab")+COUNTIF('C121'!B9,"Lab")+COUNTIF('C122'!B9,"Lab"))&gt;0,1,0))=0,"",IF((IF((COUNTIF('C111'!B9,"Lab")+COUNTIF('C112'!B9,"Lab")+COUNTIF('C113'!B9,"Lab")+COUNTIF('C121'!B9,"Lab")+COUNTIF('C122'!B9,"Lab"))&gt;0,1,0))=1,IF((COUNTIF('C111'!B9,"Lab")+COUNTIF('C112'!B9,"Lab")+COUNTIF('C113'!B9,"Lab")+COUNTIF('C121'!B9,"Lab")+COUNTIF('C122'!B9,"Lab"))&gt;0,"C1",""),"MIX"))</f>
        <v/>
      </c>
    </row>
    <row r="31">
      <c r="C31">
        <f>IF((IF((COUNTIF('C111'!B11,"Aula 1")+COUNTIF('C112'!B11,"Aula 1")+COUNTIF('C113'!B11,"Aula 1")+COUNTIF('C121'!B11,"Aula 1")+COUNTIF('C122'!B11,"Aula 1"))&gt;0,1,0))=0,"",IF((IF((COUNTIF('C111'!B11,"Aula 1")+COUNTIF('C112'!B11,"Aula 1")+COUNTIF('C113'!B11,"Aula 1")+COUNTIF('C121'!B11,"Aula 1")+COUNTIF('C122'!B11,"Aula 1"))&gt;0,1,0))=1,IF((COUNTIF('C111'!B11,"Aula 1")+COUNTIF('C112'!B11,"Aula 1")+COUNTIF('C113'!B11,"Aula 1")+COUNTIF('C121'!B11,"Aula 1")+COUNTIF('C122'!B11,"Aula 1"))&gt;0,"C1",""),"MIX"))</f>
        <v/>
      </c>
    </row>
    <row r="32">
      <c r="C32">
        <f>IF((IF((COUNTIF('C111'!B11,"Aula 2")+COUNTIF('C112'!B11,"Aula 2")+COUNTIF('C113'!B11,"Aula 2")+COUNTIF('C121'!B11,"Aula 2")+COUNTIF('C122'!B11,"Aula 2"))&gt;0,1,0))=0,"",IF((IF((COUNTIF('C111'!B11,"Aula 2")+COUNTIF('C112'!B11,"Aula 2")+COUNTIF('C113'!B11,"Aula 2")+COUNTIF('C121'!B11,"Aula 2")+COUNTIF('C122'!B11,"Aula 2"))&gt;0,1,0))=1,IF((COUNTIF('C111'!B11,"Aula 2")+COUNTIF('C112'!B11,"Aula 2")+COUNTIF('C113'!B11,"Aula 2")+COUNTIF('C121'!B11,"Aula 2")+COUNTIF('C122'!B11,"Aula 2"))&gt;0,"C1",""),"MIX"))</f>
        <v/>
      </c>
    </row>
    <row r="33">
      <c r="C33">
        <f>IF((IF((COUNTIF('C111'!B11,"Aula 3")+COUNTIF('C112'!B11,"Aula 3")+COUNTIF('C113'!B11,"Aula 3")+COUNTIF('C121'!B11,"Aula 3")+COUNTIF('C122'!B11,"Aula 3"))&gt;0,1,0))=0,"",IF((IF((COUNTIF('C111'!B11,"Aula 3")+COUNTIF('C112'!B11,"Aula 3")+COUNTIF('C113'!B11,"Aula 3")+COUNTIF('C121'!B11,"Aula 3")+COUNTIF('C122'!B11,"Aula 3"))&gt;0,1,0))=1,IF((COUNTIF('C111'!B11,"Aula 3")+COUNTIF('C112'!B11,"Aula 3")+COUNTIF('C113'!B11,"Aula 3")+COUNTIF('C121'!B11,"Aula 3")+COUNTIF('C122'!B11,"Aula 3"))&gt;0,"C1",""),"MIX"))</f>
        <v/>
      </c>
    </row>
    <row r="34">
      <c r="C34">
        <f>IF((IF((COUNTIF('C111'!B11,"Aula 4")+COUNTIF('C112'!B11,"Aula 4")+COUNTIF('C113'!B11,"Aula 4")+COUNTIF('C121'!B11,"Aula 4")+COUNTIF('C122'!B11,"Aula 4"))&gt;0,1,0))=0,"",IF((IF((COUNTIF('C111'!B11,"Aula 4")+COUNTIF('C112'!B11,"Aula 4")+COUNTIF('C113'!B11,"Aula 4")+COUNTIF('C121'!B11,"Aula 4")+COUNTIF('C122'!B11,"Aula 4"))&gt;0,1,0))=1,IF((COUNTIF('C111'!B11,"Aula 4")+COUNTIF('C112'!B11,"Aula 4")+COUNTIF('C113'!B11,"Aula 4")+COUNTIF('C121'!B11,"Aula 4")+COUNTIF('C122'!B11,"Aula 4"))&gt;0,"C1",""),"MIX"))</f>
        <v/>
      </c>
    </row>
    <row r="35">
      <c r="C35">
        <f>IF((IF((COUNTIF('C111'!B11,"Aula 5")+COUNTIF('C112'!B11,"Aula 5")+COUNTIF('C113'!B11,"Aula 5")+COUNTIF('C121'!B11,"Aula 5")+COUNTIF('C122'!B11,"Aula 5"))&gt;0,1,0))=0,"",IF((IF((COUNTIF('C111'!B11,"Aula 5")+COUNTIF('C112'!B11,"Aula 5")+COUNTIF('C113'!B11,"Aula 5")+COUNTIF('C121'!B11,"Aula 5")+COUNTIF('C122'!B11,"Aula 5"))&gt;0,1,0))=1,IF((COUNTIF('C111'!B11,"Aula 5")+COUNTIF('C112'!B11,"Aula 5")+COUNTIF('C113'!B11,"Aula 5")+COUNTIF('C121'!B11,"Aula 5")+COUNTIF('C122'!B11,"Aula 5"))&gt;0,"C1",""),"MIX"))</f>
        <v/>
      </c>
    </row>
    <row r="36">
      <c r="C36">
        <f>IF((IF((COUNTIF('C111'!B11,"Aula 6")+COUNTIF('C112'!B11,"Aula 6")+COUNTIF('C113'!B11,"Aula 6")+COUNTIF('C121'!B11,"Aula 6")+COUNTIF('C122'!B11,"Aula 6"))&gt;0,1,0))=0,"",IF((IF((COUNTIF('C111'!B11,"Aula 6")+COUNTIF('C112'!B11,"Aula 6")+COUNTIF('C113'!B11,"Aula 6")+COUNTIF('C121'!B11,"Aula 6")+COUNTIF('C122'!B11,"Aula 6"))&gt;0,1,0))=1,IF((COUNTIF('C111'!B11,"Aula 6")+COUNTIF('C112'!B11,"Aula 6")+COUNTIF('C113'!B11,"Aula 6")+COUNTIF('C121'!B11,"Aula 6")+COUNTIF('C122'!B11,"Aula 6"))&gt;0,"C1",""),"MIX"))</f>
        <v/>
      </c>
    </row>
    <row r="37">
      <c r="C37">
        <f>IF((IF((COUNTIF('C111'!B11,"Aula 7")+COUNTIF('C112'!B11,"Aula 7")+COUNTIF('C113'!B11,"Aula 7")+COUNTIF('C121'!B11,"Aula 7")+COUNTIF('C122'!B11,"Aula 7"))&gt;0,1,0))=0,"",IF((IF((COUNTIF('C111'!B11,"Aula 7")+COUNTIF('C112'!B11,"Aula 7")+COUNTIF('C113'!B11,"Aula 7")+COUNTIF('C121'!B11,"Aula 7")+COUNTIF('C122'!B11,"Aula 7"))&gt;0,1,0))=1,IF((COUNTIF('C111'!B11,"Aula 7")+COUNTIF('C112'!B11,"Aula 7")+COUNTIF('C113'!B11,"Aula 7")+COUNTIF('C121'!B11,"Aula 7")+COUNTIF('C122'!B11,"Aula 7"))&gt;0,"C1",""),"MIX"))</f>
        <v/>
      </c>
    </row>
    <row r="38">
      <c r="C38">
        <f>IF((IF((COUNTIF('C111'!B11,"Aula 8")+COUNTIF('C112'!B11,"Aula 8")+COUNTIF('C113'!B11,"Aula 8")+COUNTIF('C121'!B11,"Aula 8")+COUNTIF('C122'!B11,"Aula 8"))&gt;0,1,0))=0,"",IF((IF((COUNTIF('C111'!B11,"Aula 8")+COUNTIF('C112'!B11,"Aula 8")+COUNTIF('C113'!B11,"Aula 8")+COUNTIF('C121'!B11,"Aula 8")+COUNTIF('C122'!B11,"Aula 8"))&gt;0,1,0))=1,IF((COUNTIF('C111'!B11,"Aula 8")+COUNTIF('C112'!B11,"Aula 8")+COUNTIF('C113'!B11,"Aula 8")+COUNTIF('C121'!B11,"Aula 8")+COUNTIF('C122'!B11,"Aula 8"))&gt;0,"C1",""),"MIX"))</f>
        <v/>
      </c>
    </row>
    <row r="39">
      <c r="C39">
        <f>IF((IF((COUNTIF('C111'!B11,"Aula 9")+COUNTIF('C112'!B11,"Aula 9")+COUNTIF('C113'!B11,"Aula 9")+COUNTIF('C121'!B11,"Aula 9")+COUNTIF('C122'!B11,"Aula 9"))&gt;0,1,0))=0,"",IF((IF((COUNTIF('C111'!B11,"Aula 9")+COUNTIF('C112'!B11,"Aula 9")+COUNTIF('C113'!B11,"Aula 9")+COUNTIF('C121'!B11,"Aula 9")+COUNTIF('C122'!B11,"Aula 9"))&gt;0,1,0))=1,IF((COUNTIF('C111'!B11,"Aula 9")+COUNTIF('C112'!B11,"Aula 9")+COUNTIF('C113'!B11,"Aula 9")+COUNTIF('C121'!B11,"Aula 9")+COUNTIF('C122'!B11,"Aula 9"))&gt;0,"C1",""),"MIX"))</f>
        <v/>
      </c>
    </row>
    <row r="40">
      <c r="C40">
        <f>IF((IF((COUNTIF('C111'!B11,"Lab")+COUNTIF('C112'!B11,"Lab")+COUNTIF('C113'!B11,"Lab")+COUNTIF('C121'!B11,"Lab")+COUNTIF('C122'!B11,"Lab"))&gt;0,1,0))=0,"",IF((IF((COUNTIF('C111'!B11,"Lab")+COUNTIF('C112'!B11,"Lab")+COUNTIF('C113'!B11,"Lab")+COUNTIF('C121'!B11,"Lab")+COUNTIF('C122'!B11,"Lab"))&gt;0,1,0))=1,IF((COUNTIF('C111'!B11,"Lab")+COUNTIF('C112'!B11,"Lab")+COUNTIF('C113'!B11,"Lab")+COUNTIF('C121'!B11,"Lab")+COUNTIF('C122'!B11,"Lab"))&gt;0,"C1",""),"MIX"))</f>
        <v/>
      </c>
    </row>
    <row r="41">
      <c r="C41">
        <f>IF((IF((COUNTIF('C111'!B13,"Aula 1")+COUNTIF('C112'!B13,"Aula 1")+COUNTIF('C113'!B13,"Aula 1")+COUNTIF('C121'!B13,"Aula 1")+COUNTIF('C122'!B13,"Aula 1"))&gt;0,1,0))=0,"",IF((IF((COUNTIF('C111'!B13,"Aula 1")+COUNTIF('C112'!B13,"Aula 1")+COUNTIF('C113'!B13,"Aula 1")+COUNTIF('C121'!B13,"Aula 1")+COUNTIF('C122'!B13,"Aula 1"))&gt;0,1,0))=1,IF((COUNTIF('C111'!B13,"Aula 1")+COUNTIF('C112'!B13,"Aula 1")+COUNTIF('C113'!B13,"Aula 1")+COUNTIF('C121'!B13,"Aula 1")+COUNTIF('C122'!B13,"Aula 1"))&gt;0,"C1",""),"MIX"))</f>
        <v/>
      </c>
    </row>
    <row r="42">
      <c r="C42">
        <f>IF((IF((COUNTIF('C111'!B13,"Aula 2")+COUNTIF('C112'!B13,"Aula 2")+COUNTIF('C113'!B13,"Aula 2")+COUNTIF('C121'!B13,"Aula 2")+COUNTIF('C122'!B13,"Aula 2"))&gt;0,1,0))=0,"",IF((IF((COUNTIF('C111'!B13,"Aula 2")+COUNTIF('C112'!B13,"Aula 2")+COUNTIF('C113'!B13,"Aula 2")+COUNTIF('C121'!B13,"Aula 2")+COUNTIF('C122'!B13,"Aula 2"))&gt;0,1,0))=1,IF((COUNTIF('C111'!B13,"Aula 2")+COUNTIF('C112'!B13,"Aula 2")+COUNTIF('C113'!B13,"Aula 2")+COUNTIF('C121'!B13,"Aula 2")+COUNTIF('C122'!B13,"Aula 2"))&gt;0,"C1",""),"MIX"))</f>
        <v/>
      </c>
    </row>
    <row r="43">
      <c r="C43">
        <f>IF((IF((COUNTIF('C111'!B13,"Aula 3")+COUNTIF('C112'!B13,"Aula 3")+COUNTIF('C113'!B13,"Aula 3")+COUNTIF('C121'!B13,"Aula 3")+COUNTIF('C122'!B13,"Aula 3"))&gt;0,1,0))=0,"",IF((IF((COUNTIF('C111'!B13,"Aula 3")+COUNTIF('C112'!B13,"Aula 3")+COUNTIF('C113'!B13,"Aula 3")+COUNTIF('C121'!B13,"Aula 3")+COUNTIF('C122'!B13,"Aula 3"))&gt;0,1,0))=1,IF((COUNTIF('C111'!B13,"Aula 3")+COUNTIF('C112'!B13,"Aula 3")+COUNTIF('C113'!B13,"Aula 3")+COUNTIF('C121'!B13,"Aula 3")+COUNTIF('C122'!B13,"Aula 3"))&gt;0,"C1",""),"MIX"))</f>
        <v/>
      </c>
    </row>
    <row r="44">
      <c r="C44">
        <f>IF((IF((COUNTIF('C111'!B13,"Aula 4")+COUNTIF('C112'!B13,"Aula 4")+COUNTIF('C113'!B13,"Aula 4")+COUNTIF('C121'!B13,"Aula 4")+COUNTIF('C122'!B13,"Aula 4"))&gt;0,1,0))=0,"",IF((IF((COUNTIF('C111'!B13,"Aula 4")+COUNTIF('C112'!B13,"Aula 4")+COUNTIF('C113'!B13,"Aula 4")+COUNTIF('C121'!B13,"Aula 4")+COUNTIF('C122'!B13,"Aula 4"))&gt;0,1,0))=1,IF((COUNTIF('C111'!B13,"Aula 4")+COUNTIF('C112'!B13,"Aula 4")+COUNTIF('C113'!B13,"Aula 4")+COUNTIF('C121'!B13,"Aula 4")+COUNTIF('C122'!B13,"Aula 4"))&gt;0,"C1",""),"MIX"))</f>
        <v/>
      </c>
    </row>
    <row r="45">
      <c r="C45">
        <f>IF((IF((COUNTIF('C111'!B13,"Aula 5")+COUNTIF('C112'!B13,"Aula 5")+COUNTIF('C113'!B13,"Aula 5")+COUNTIF('C121'!B13,"Aula 5")+COUNTIF('C122'!B13,"Aula 5"))&gt;0,1,0))=0,"",IF((IF((COUNTIF('C111'!B13,"Aula 5")+COUNTIF('C112'!B13,"Aula 5")+COUNTIF('C113'!B13,"Aula 5")+COUNTIF('C121'!B13,"Aula 5")+COUNTIF('C122'!B13,"Aula 5"))&gt;0,1,0))=1,IF((COUNTIF('C111'!B13,"Aula 5")+COUNTIF('C112'!B13,"Aula 5")+COUNTIF('C113'!B13,"Aula 5")+COUNTIF('C121'!B13,"Aula 5")+COUNTIF('C122'!B13,"Aula 5"))&gt;0,"C1",""),"MIX"))</f>
        <v/>
      </c>
    </row>
    <row r="46">
      <c r="C46">
        <f>IF((IF((COUNTIF('C111'!B13,"Aula 6")+COUNTIF('C112'!B13,"Aula 6")+COUNTIF('C113'!B13,"Aula 6")+COUNTIF('C121'!B13,"Aula 6")+COUNTIF('C122'!B13,"Aula 6"))&gt;0,1,0))=0,"",IF((IF((COUNTIF('C111'!B13,"Aula 6")+COUNTIF('C112'!B13,"Aula 6")+COUNTIF('C113'!B13,"Aula 6")+COUNTIF('C121'!B13,"Aula 6")+COUNTIF('C122'!B13,"Aula 6"))&gt;0,1,0))=1,IF((COUNTIF('C111'!B13,"Aula 6")+COUNTIF('C112'!B13,"Aula 6")+COUNTIF('C113'!B13,"Aula 6")+COUNTIF('C121'!B13,"Aula 6")+COUNTIF('C122'!B13,"Aula 6"))&gt;0,"C1",""),"MIX"))</f>
        <v/>
      </c>
    </row>
    <row r="47">
      <c r="C47">
        <f>IF((IF((COUNTIF('C111'!B13,"Aula 7")+COUNTIF('C112'!B13,"Aula 7")+COUNTIF('C113'!B13,"Aula 7")+COUNTIF('C121'!B13,"Aula 7")+COUNTIF('C122'!B13,"Aula 7"))&gt;0,1,0))=0,"",IF((IF((COUNTIF('C111'!B13,"Aula 7")+COUNTIF('C112'!B13,"Aula 7")+COUNTIF('C113'!B13,"Aula 7")+COUNTIF('C121'!B13,"Aula 7")+COUNTIF('C122'!B13,"Aula 7"))&gt;0,1,0))=1,IF((COUNTIF('C111'!B13,"Aula 7")+COUNTIF('C112'!B13,"Aula 7")+COUNTIF('C113'!B13,"Aula 7")+COUNTIF('C121'!B13,"Aula 7")+COUNTIF('C122'!B13,"Aula 7"))&gt;0,"C1",""),"MIX"))</f>
        <v/>
      </c>
    </row>
    <row r="48">
      <c r="C48">
        <f>IF((IF((COUNTIF('C111'!B13,"Aula 8")+COUNTIF('C112'!B13,"Aula 8")+COUNTIF('C113'!B13,"Aula 8")+COUNTIF('C121'!B13,"Aula 8")+COUNTIF('C122'!B13,"Aula 8"))&gt;0,1,0))=0,"",IF((IF((COUNTIF('C111'!B13,"Aula 8")+COUNTIF('C112'!B13,"Aula 8")+COUNTIF('C113'!B13,"Aula 8")+COUNTIF('C121'!B13,"Aula 8")+COUNTIF('C122'!B13,"Aula 8"))&gt;0,1,0))=1,IF((COUNTIF('C111'!B13,"Aula 8")+COUNTIF('C112'!B13,"Aula 8")+COUNTIF('C113'!B13,"Aula 8")+COUNTIF('C121'!B13,"Aula 8")+COUNTIF('C122'!B13,"Aula 8"))&gt;0,"C1",""),"MIX"))</f>
        <v/>
      </c>
    </row>
    <row r="49">
      <c r="C49">
        <f>IF((IF((COUNTIF('C111'!B13,"Aula 9")+COUNTIF('C112'!B13,"Aula 9")+COUNTIF('C113'!B13,"Aula 9")+COUNTIF('C121'!B13,"Aula 9")+COUNTIF('C122'!B13,"Aula 9"))&gt;0,1,0))=0,"",IF((IF((COUNTIF('C111'!B13,"Aula 9")+COUNTIF('C112'!B13,"Aula 9")+COUNTIF('C113'!B13,"Aula 9")+COUNTIF('C121'!B13,"Aula 9")+COUNTIF('C122'!B13,"Aula 9"))&gt;0,1,0))=1,IF((COUNTIF('C111'!B13,"Aula 9")+COUNTIF('C112'!B13,"Aula 9")+COUNTIF('C113'!B13,"Aula 9")+COUNTIF('C121'!B13,"Aula 9")+COUNTIF('C122'!B13,"Aula 9"))&gt;0,"C1",""),"MIX"))</f>
        <v/>
      </c>
    </row>
    <row r="50">
      <c r="C50">
        <f>IF((IF((COUNTIF('C111'!B13,"Lab")+COUNTIF('C112'!B13,"Lab")+COUNTIF('C113'!B13,"Lab")+COUNTIF('C121'!B13,"Lab")+COUNTIF('C122'!B13,"Lab"))&gt;0,1,0))=0,"",IF((IF((COUNTIF('C111'!B13,"Lab")+COUNTIF('C112'!B13,"Lab")+COUNTIF('C113'!B13,"Lab")+COUNTIF('C121'!B13,"Lab")+COUNTIF('C122'!B13,"Lab"))&gt;0,1,0))=1,IF((COUNTIF('C111'!B13,"Lab")+COUNTIF('C112'!B13,"Lab")+COUNTIF('C113'!B13,"Lab")+COUNTIF('C121'!B13,"Lab")+COUNTIF('C122'!B13,"Lab"))&gt;0,"C1",""),"MIX"))</f>
        <v/>
      </c>
    </row>
    <row r="51">
      <c r="C51">
        <f>IF((IF((COUNTIF('C111'!B15,"Aula 1")+COUNTIF('C112'!B15,"Aula 1")+COUNTIF('C113'!B15,"Aula 1")+COUNTIF('C121'!B15,"Aula 1")+COUNTIF('C122'!B15,"Aula 1"))&gt;0,1,0))=0,"",IF((IF((COUNTIF('C111'!B15,"Aula 1")+COUNTIF('C112'!B15,"Aula 1")+COUNTIF('C113'!B15,"Aula 1")+COUNTIF('C121'!B15,"Aula 1")+COUNTIF('C122'!B15,"Aula 1"))&gt;0,1,0))=1,IF((COUNTIF('C111'!B15,"Aula 1")+COUNTIF('C112'!B15,"Aula 1")+COUNTIF('C113'!B15,"Aula 1")+COUNTIF('C121'!B15,"Aula 1")+COUNTIF('C122'!B15,"Aula 1"))&gt;0,"C1",""),"MIX"))</f>
        <v/>
      </c>
    </row>
    <row r="52">
      <c r="C52">
        <f>IF((IF((COUNTIF('C111'!B15,"Aula 2")+COUNTIF('C112'!B15,"Aula 2")+COUNTIF('C113'!B15,"Aula 2")+COUNTIF('C121'!B15,"Aula 2")+COUNTIF('C122'!B15,"Aula 2"))&gt;0,1,0))=0,"",IF((IF((COUNTIF('C111'!B15,"Aula 2")+COUNTIF('C112'!B15,"Aula 2")+COUNTIF('C113'!B15,"Aula 2")+COUNTIF('C121'!B15,"Aula 2")+COUNTIF('C122'!B15,"Aula 2"))&gt;0,1,0))=1,IF((COUNTIF('C111'!B15,"Aula 2")+COUNTIF('C112'!B15,"Aula 2")+COUNTIF('C113'!B15,"Aula 2")+COUNTIF('C121'!B15,"Aula 2")+COUNTIF('C122'!B15,"Aula 2"))&gt;0,"C1",""),"MIX"))</f>
        <v/>
      </c>
    </row>
    <row r="53">
      <c r="C53">
        <f>IF((IF((COUNTIF('C111'!B15,"Aula 3")+COUNTIF('C112'!B15,"Aula 3")+COUNTIF('C113'!B15,"Aula 3")+COUNTIF('C121'!B15,"Aula 3")+COUNTIF('C122'!B15,"Aula 3"))&gt;0,1,0))=0,"",IF((IF((COUNTIF('C111'!B15,"Aula 3")+COUNTIF('C112'!B15,"Aula 3")+COUNTIF('C113'!B15,"Aula 3")+COUNTIF('C121'!B15,"Aula 3")+COUNTIF('C122'!B15,"Aula 3"))&gt;0,1,0))=1,IF((COUNTIF('C111'!B15,"Aula 3")+COUNTIF('C112'!B15,"Aula 3")+COUNTIF('C113'!B15,"Aula 3")+COUNTIF('C121'!B15,"Aula 3")+COUNTIF('C122'!B15,"Aula 3"))&gt;0,"C1",""),"MIX"))</f>
        <v/>
      </c>
    </row>
    <row r="54">
      <c r="C54">
        <f>IF((IF((COUNTIF('C111'!B15,"Aula 4")+COUNTIF('C112'!B15,"Aula 4")+COUNTIF('C113'!B15,"Aula 4")+COUNTIF('C121'!B15,"Aula 4")+COUNTIF('C122'!B15,"Aula 4"))&gt;0,1,0))=0,"",IF((IF((COUNTIF('C111'!B15,"Aula 4")+COUNTIF('C112'!B15,"Aula 4")+COUNTIF('C113'!B15,"Aula 4")+COUNTIF('C121'!B15,"Aula 4")+COUNTIF('C122'!B15,"Aula 4"))&gt;0,1,0))=1,IF((COUNTIF('C111'!B15,"Aula 4")+COUNTIF('C112'!B15,"Aula 4")+COUNTIF('C113'!B15,"Aula 4")+COUNTIF('C121'!B15,"Aula 4")+COUNTIF('C122'!B15,"Aula 4"))&gt;0,"C1",""),"MIX"))</f>
        <v/>
      </c>
    </row>
    <row r="55">
      <c r="C55">
        <f>IF((IF((COUNTIF('C111'!B15,"Aula 5")+COUNTIF('C112'!B15,"Aula 5")+COUNTIF('C113'!B15,"Aula 5")+COUNTIF('C121'!B15,"Aula 5")+COUNTIF('C122'!B15,"Aula 5"))&gt;0,1,0))=0,"",IF((IF((COUNTIF('C111'!B15,"Aula 5")+COUNTIF('C112'!B15,"Aula 5")+COUNTIF('C113'!B15,"Aula 5")+COUNTIF('C121'!B15,"Aula 5")+COUNTIF('C122'!B15,"Aula 5"))&gt;0,1,0))=1,IF((COUNTIF('C111'!B15,"Aula 5")+COUNTIF('C112'!B15,"Aula 5")+COUNTIF('C113'!B15,"Aula 5")+COUNTIF('C121'!B15,"Aula 5")+COUNTIF('C122'!B15,"Aula 5"))&gt;0,"C1",""),"MIX"))</f>
        <v/>
      </c>
    </row>
    <row r="56">
      <c r="C56">
        <f>IF((IF((COUNTIF('C111'!B15,"Aula 6")+COUNTIF('C112'!B15,"Aula 6")+COUNTIF('C113'!B15,"Aula 6")+COUNTIF('C121'!B15,"Aula 6")+COUNTIF('C122'!B15,"Aula 6"))&gt;0,1,0))=0,"",IF((IF((COUNTIF('C111'!B15,"Aula 6")+COUNTIF('C112'!B15,"Aula 6")+COUNTIF('C113'!B15,"Aula 6")+COUNTIF('C121'!B15,"Aula 6")+COUNTIF('C122'!B15,"Aula 6"))&gt;0,1,0))=1,IF((COUNTIF('C111'!B15,"Aula 6")+COUNTIF('C112'!B15,"Aula 6")+COUNTIF('C113'!B15,"Aula 6")+COUNTIF('C121'!B15,"Aula 6")+COUNTIF('C122'!B15,"Aula 6"))&gt;0,"C1",""),"MIX"))</f>
        <v/>
      </c>
    </row>
    <row r="57">
      <c r="C57">
        <f>IF((IF((COUNTIF('C111'!B15,"Aula 7")+COUNTIF('C112'!B15,"Aula 7")+COUNTIF('C113'!B15,"Aula 7")+COUNTIF('C121'!B15,"Aula 7")+COUNTIF('C122'!B15,"Aula 7"))&gt;0,1,0))=0,"",IF((IF((COUNTIF('C111'!B15,"Aula 7")+COUNTIF('C112'!B15,"Aula 7")+COUNTIF('C113'!B15,"Aula 7")+COUNTIF('C121'!B15,"Aula 7")+COUNTIF('C122'!B15,"Aula 7"))&gt;0,1,0))=1,IF((COUNTIF('C111'!B15,"Aula 7")+COUNTIF('C112'!B15,"Aula 7")+COUNTIF('C113'!B15,"Aula 7")+COUNTIF('C121'!B15,"Aula 7")+COUNTIF('C122'!B15,"Aula 7"))&gt;0,"C1",""),"MIX"))</f>
        <v/>
      </c>
    </row>
    <row r="58">
      <c r="C58">
        <f>IF((IF((COUNTIF('C111'!B15,"Aula 8")+COUNTIF('C112'!B15,"Aula 8")+COUNTIF('C113'!B15,"Aula 8")+COUNTIF('C121'!B15,"Aula 8")+COUNTIF('C122'!B15,"Aula 8"))&gt;0,1,0))=0,"",IF((IF((COUNTIF('C111'!B15,"Aula 8")+COUNTIF('C112'!B15,"Aula 8")+COUNTIF('C113'!B15,"Aula 8")+COUNTIF('C121'!B15,"Aula 8")+COUNTIF('C122'!B15,"Aula 8"))&gt;0,1,0))=1,IF((COUNTIF('C111'!B15,"Aula 8")+COUNTIF('C112'!B15,"Aula 8")+COUNTIF('C113'!B15,"Aula 8")+COUNTIF('C121'!B15,"Aula 8")+COUNTIF('C122'!B15,"Aula 8"))&gt;0,"C1",""),"MIX"))</f>
        <v/>
      </c>
    </row>
    <row r="59">
      <c r="C59">
        <f>IF((IF((COUNTIF('C111'!B15,"Aula 9")+COUNTIF('C112'!B15,"Aula 9")+COUNTIF('C113'!B15,"Aula 9")+COUNTIF('C121'!B15,"Aula 9")+COUNTIF('C122'!B15,"Aula 9"))&gt;0,1,0))=0,"",IF((IF((COUNTIF('C111'!B15,"Aula 9")+COUNTIF('C112'!B15,"Aula 9")+COUNTIF('C113'!B15,"Aula 9")+COUNTIF('C121'!B15,"Aula 9")+COUNTIF('C122'!B15,"Aula 9"))&gt;0,1,0))=1,IF((COUNTIF('C111'!B15,"Aula 9")+COUNTIF('C112'!B15,"Aula 9")+COUNTIF('C113'!B15,"Aula 9")+COUNTIF('C121'!B15,"Aula 9")+COUNTIF('C122'!B15,"Aula 9"))&gt;0,"C1",""),"MIX"))</f>
        <v/>
      </c>
    </row>
    <row r="60">
      <c r="C60">
        <f>IF((IF((COUNTIF('C111'!B15,"Lab")+COUNTIF('C112'!B15,"Lab")+COUNTIF('C113'!B15,"Lab")+COUNTIF('C121'!B15,"Lab")+COUNTIF('C122'!B15,"Lab"))&gt;0,1,0))=0,"",IF((IF((COUNTIF('C111'!B15,"Lab")+COUNTIF('C112'!B15,"Lab")+COUNTIF('C113'!B15,"Lab")+COUNTIF('C121'!B15,"Lab")+COUNTIF('C122'!B15,"Lab"))&gt;0,1,0))=1,IF((COUNTIF('C111'!B15,"Lab")+COUNTIF('C112'!B15,"Lab")+COUNTIF('C113'!B15,"Lab")+COUNTIF('C121'!B15,"Lab")+COUNTIF('C122'!B15,"Lab"))&gt;0,"C1",""),"MIX"))</f>
        <v/>
      </c>
    </row>
    <row r="61">
      <c r="C61">
        <f>IF((IF((COUNTIF('C111'!C5,"Aula 1")+COUNTIF('C112'!C5,"Aula 1")+COUNTIF('C113'!C5,"Aula 1")+COUNTIF('C121'!C5,"Aula 1")+COUNTIF('C122'!C5,"Aula 1"))&gt;0,1,0))=0,"",IF((IF((COUNTIF('C111'!C5,"Aula 1")+COUNTIF('C112'!C5,"Aula 1")+COUNTIF('C113'!C5,"Aula 1")+COUNTIF('C121'!C5,"Aula 1")+COUNTIF('C122'!C5,"Aula 1"))&gt;0,1,0))=1,IF((COUNTIF('C111'!C5,"Aula 1")+COUNTIF('C112'!C5,"Aula 1")+COUNTIF('C113'!C5,"Aula 1")+COUNTIF('C121'!C5,"Aula 1")+COUNTIF('C122'!C5,"Aula 1"))&gt;0,"C1",""),"MIX"))</f>
        <v/>
      </c>
    </row>
    <row r="62">
      <c r="C62">
        <f>IF((IF((COUNTIF('C111'!C5,"Aula 2")+COUNTIF('C112'!C5,"Aula 2")+COUNTIF('C113'!C5,"Aula 2")+COUNTIF('C121'!C5,"Aula 2")+COUNTIF('C122'!C5,"Aula 2"))&gt;0,1,0))=0,"",IF((IF((COUNTIF('C111'!C5,"Aula 2")+COUNTIF('C112'!C5,"Aula 2")+COUNTIF('C113'!C5,"Aula 2")+COUNTIF('C121'!C5,"Aula 2")+COUNTIF('C122'!C5,"Aula 2"))&gt;0,1,0))=1,IF((COUNTIF('C111'!C5,"Aula 2")+COUNTIF('C112'!C5,"Aula 2")+COUNTIF('C113'!C5,"Aula 2")+COUNTIF('C121'!C5,"Aula 2")+COUNTIF('C122'!C5,"Aula 2"))&gt;0,"C1",""),"MIX"))</f>
        <v/>
      </c>
    </row>
    <row r="63">
      <c r="C63">
        <f>IF((IF((COUNTIF('C111'!C5,"Aula 3")+COUNTIF('C112'!C5,"Aula 3")+COUNTIF('C113'!C5,"Aula 3")+COUNTIF('C121'!C5,"Aula 3")+COUNTIF('C122'!C5,"Aula 3"))&gt;0,1,0))=0,"",IF((IF((COUNTIF('C111'!C5,"Aula 3")+COUNTIF('C112'!C5,"Aula 3")+COUNTIF('C113'!C5,"Aula 3")+COUNTIF('C121'!C5,"Aula 3")+COUNTIF('C122'!C5,"Aula 3"))&gt;0,1,0))=1,IF((COUNTIF('C111'!C5,"Aula 3")+COUNTIF('C112'!C5,"Aula 3")+COUNTIF('C113'!C5,"Aula 3")+COUNTIF('C121'!C5,"Aula 3")+COUNTIF('C122'!C5,"Aula 3"))&gt;0,"C1",""),"MIX"))</f>
        <v/>
      </c>
    </row>
    <row r="64">
      <c r="C64">
        <f>IF((IF((COUNTIF('C111'!C5,"Aula 4")+COUNTIF('C112'!C5,"Aula 4")+COUNTIF('C113'!C5,"Aula 4")+COUNTIF('C121'!C5,"Aula 4")+COUNTIF('C122'!C5,"Aula 4"))&gt;0,1,0))=0,"",IF((IF((COUNTIF('C111'!C5,"Aula 4")+COUNTIF('C112'!C5,"Aula 4")+COUNTIF('C113'!C5,"Aula 4")+COUNTIF('C121'!C5,"Aula 4")+COUNTIF('C122'!C5,"Aula 4"))&gt;0,1,0))=1,IF((COUNTIF('C111'!C5,"Aula 4")+COUNTIF('C112'!C5,"Aula 4")+COUNTIF('C113'!C5,"Aula 4")+COUNTIF('C121'!C5,"Aula 4")+COUNTIF('C122'!C5,"Aula 4"))&gt;0,"C1",""),"MIX"))</f>
        <v/>
      </c>
    </row>
    <row r="65">
      <c r="C65">
        <f>IF((IF((COUNTIF('C111'!C5,"Aula 5")+COUNTIF('C112'!C5,"Aula 5")+COUNTIF('C113'!C5,"Aula 5")+COUNTIF('C121'!C5,"Aula 5")+COUNTIF('C122'!C5,"Aula 5"))&gt;0,1,0))=0,"",IF((IF((COUNTIF('C111'!C5,"Aula 5")+COUNTIF('C112'!C5,"Aula 5")+COUNTIF('C113'!C5,"Aula 5")+COUNTIF('C121'!C5,"Aula 5")+COUNTIF('C122'!C5,"Aula 5"))&gt;0,1,0))=1,IF((COUNTIF('C111'!C5,"Aula 5")+COUNTIF('C112'!C5,"Aula 5")+COUNTIF('C113'!C5,"Aula 5")+COUNTIF('C121'!C5,"Aula 5")+COUNTIF('C122'!C5,"Aula 5"))&gt;0,"C1",""),"MIX"))</f>
        <v/>
      </c>
    </row>
    <row r="66">
      <c r="C66">
        <f>IF((IF((COUNTIF('C111'!C5,"Aula 6")+COUNTIF('C112'!C5,"Aula 6")+COUNTIF('C113'!C5,"Aula 6")+COUNTIF('C121'!C5,"Aula 6")+COUNTIF('C122'!C5,"Aula 6"))&gt;0,1,0))=0,"",IF((IF((COUNTIF('C111'!C5,"Aula 6")+COUNTIF('C112'!C5,"Aula 6")+COUNTIF('C113'!C5,"Aula 6")+COUNTIF('C121'!C5,"Aula 6")+COUNTIF('C122'!C5,"Aula 6"))&gt;0,1,0))=1,IF((COUNTIF('C111'!C5,"Aula 6")+COUNTIF('C112'!C5,"Aula 6")+COUNTIF('C113'!C5,"Aula 6")+COUNTIF('C121'!C5,"Aula 6")+COUNTIF('C122'!C5,"Aula 6"))&gt;0,"C1",""),"MIX"))</f>
        <v/>
      </c>
    </row>
    <row r="67">
      <c r="C67">
        <f>IF((IF((COUNTIF('C111'!C5,"Aula 7")+COUNTIF('C112'!C5,"Aula 7")+COUNTIF('C113'!C5,"Aula 7")+COUNTIF('C121'!C5,"Aula 7")+COUNTIF('C122'!C5,"Aula 7"))&gt;0,1,0))=0,"",IF((IF((COUNTIF('C111'!C5,"Aula 7")+COUNTIF('C112'!C5,"Aula 7")+COUNTIF('C113'!C5,"Aula 7")+COUNTIF('C121'!C5,"Aula 7")+COUNTIF('C122'!C5,"Aula 7"))&gt;0,1,0))=1,IF((COUNTIF('C111'!C5,"Aula 7")+COUNTIF('C112'!C5,"Aula 7")+COUNTIF('C113'!C5,"Aula 7")+COUNTIF('C121'!C5,"Aula 7")+COUNTIF('C122'!C5,"Aula 7"))&gt;0,"C1",""),"MIX"))</f>
        <v/>
      </c>
    </row>
    <row r="68">
      <c r="C68">
        <f>IF((IF((COUNTIF('C111'!C5,"Aula 8")+COUNTIF('C112'!C5,"Aula 8")+COUNTIF('C113'!C5,"Aula 8")+COUNTIF('C121'!C5,"Aula 8")+COUNTIF('C122'!C5,"Aula 8"))&gt;0,1,0))=0,"",IF((IF((COUNTIF('C111'!C5,"Aula 8")+COUNTIF('C112'!C5,"Aula 8")+COUNTIF('C113'!C5,"Aula 8")+COUNTIF('C121'!C5,"Aula 8")+COUNTIF('C122'!C5,"Aula 8"))&gt;0,1,0))=1,IF((COUNTIF('C111'!C5,"Aula 8")+COUNTIF('C112'!C5,"Aula 8")+COUNTIF('C113'!C5,"Aula 8")+COUNTIF('C121'!C5,"Aula 8")+COUNTIF('C122'!C5,"Aula 8"))&gt;0,"C1",""),"MIX"))</f>
        <v/>
      </c>
    </row>
    <row r="69">
      <c r="C69">
        <f>IF((IF((COUNTIF('C111'!C5,"Aula 9")+COUNTIF('C112'!C5,"Aula 9")+COUNTIF('C113'!C5,"Aula 9")+COUNTIF('C121'!C5,"Aula 9")+COUNTIF('C122'!C5,"Aula 9"))&gt;0,1,0))=0,"",IF((IF((COUNTIF('C111'!C5,"Aula 9")+COUNTIF('C112'!C5,"Aula 9")+COUNTIF('C113'!C5,"Aula 9")+COUNTIF('C121'!C5,"Aula 9")+COUNTIF('C122'!C5,"Aula 9"))&gt;0,1,0))=1,IF((COUNTIF('C111'!C5,"Aula 9")+COUNTIF('C112'!C5,"Aula 9")+COUNTIF('C113'!C5,"Aula 9")+COUNTIF('C121'!C5,"Aula 9")+COUNTIF('C122'!C5,"Aula 9"))&gt;0,"C1",""),"MIX"))</f>
        <v/>
      </c>
    </row>
    <row r="70">
      <c r="C70">
        <f>IF((IF((COUNTIF('C111'!C5,"Lab")+COUNTIF('C112'!C5,"Lab")+COUNTIF('C113'!C5,"Lab")+COUNTIF('C121'!C5,"Lab")+COUNTIF('C122'!C5,"Lab"))&gt;0,1,0))=0,"",IF((IF((COUNTIF('C111'!C5,"Lab")+COUNTIF('C112'!C5,"Lab")+COUNTIF('C113'!C5,"Lab")+COUNTIF('C121'!C5,"Lab")+COUNTIF('C122'!C5,"Lab"))&gt;0,1,0))=1,IF((COUNTIF('C111'!C5,"Lab")+COUNTIF('C112'!C5,"Lab")+COUNTIF('C113'!C5,"Lab")+COUNTIF('C121'!C5,"Lab")+COUNTIF('C122'!C5,"Lab"))&gt;0,"C1",""),"MIX"))</f>
        <v/>
      </c>
    </row>
    <row r="71">
      <c r="C71">
        <f>IF((IF((COUNTIF('C111'!C7,"Aula 1")+COUNTIF('C112'!C7,"Aula 1")+COUNTIF('C113'!C7,"Aula 1")+COUNTIF('C121'!C7,"Aula 1")+COUNTIF('C122'!C7,"Aula 1"))&gt;0,1,0))=0,"",IF((IF((COUNTIF('C111'!C7,"Aula 1")+COUNTIF('C112'!C7,"Aula 1")+COUNTIF('C113'!C7,"Aula 1")+COUNTIF('C121'!C7,"Aula 1")+COUNTIF('C122'!C7,"Aula 1"))&gt;0,1,0))=1,IF((COUNTIF('C111'!C7,"Aula 1")+COUNTIF('C112'!C7,"Aula 1")+COUNTIF('C113'!C7,"Aula 1")+COUNTIF('C121'!C7,"Aula 1")+COUNTIF('C122'!C7,"Aula 1"))&gt;0,"C1",""),"MIX"))</f>
        <v/>
      </c>
    </row>
    <row r="72">
      <c r="C72">
        <f>IF((IF((COUNTIF('C111'!C7,"Aula 2")+COUNTIF('C112'!C7,"Aula 2")+COUNTIF('C113'!C7,"Aula 2")+COUNTIF('C121'!C7,"Aula 2")+COUNTIF('C122'!C7,"Aula 2"))&gt;0,1,0))=0,"",IF((IF((COUNTIF('C111'!C7,"Aula 2")+COUNTIF('C112'!C7,"Aula 2")+COUNTIF('C113'!C7,"Aula 2")+COUNTIF('C121'!C7,"Aula 2")+COUNTIF('C122'!C7,"Aula 2"))&gt;0,1,0))=1,IF((COUNTIF('C111'!C7,"Aula 2")+COUNTIF('C112'!C7,"Aula 2")+COUNTIF('C113'!C7,"Aula 2")+COUNTIF('C121'!C7,"Aula 2")+COUNTIF('C122'!C7,"Aula 2"))&gt;0,"C1",""),"MIX"))</f>
        <v/>
      </c>
    </row>
    <row r="73">
      <c r="C73">
        <f>IF((IF((COUNTIF('C111'!C7,"Aula 3")+COUNTIF('C112'!C7,"Aula 3")+COUNTIF('C113'!C7,"Aula 3")+COUNTIF('C121'!C7,"Aula 3")+COUNTIF('C122'!C7,"Aula 3"))&gt;0,1,0))=0,"",IF((IF((COUNTIF('C111'!C7,"Aula 3")+COUNTIF('C112'!C7,"Aula 3")+COUNTIF('C113'!C7,"Aula 3")+COUNTIF('C121'!C7,"Aula 3")+COUNTIF('C122'!C7,"Aula 3"))&gt;0,1,0))=1,IF((COUNTIF('C111'!C7,"Aula 3")+COUNTIF('C112'!C7,"Aula 3")+COUNTIF('C113'!C7,"Aula 3")+COUNTIF('C121'!C7,"Aula 3")+COUNTIF('C122'!C7,"Aula 3"))&gt;0,"C1",""),"MIX"))</f>
        <v/>
      </c>
    </row>
    <row r="74">
      <c r="C74">
        <f>IF((IF((COUNTIF('C111'!C7,"Aula 4")+COUNTIF('C112'!C7,"Aula 4")+COUNTIF('C113'!C7,"Aula 4")+COUNTIF('C121'!C7,"Aula 4")+COUNTIF('C122'!C7,"Aula 4"))&gt;0,1,0))=0,"",IF((IF((COUNTIF('C111'!C7,"Aula 4")+COUNTIF('C112'!C7,"Aula 4")+COUNTIF('C113'!C7,"Aula 4")+COUNTIF('C121'!C7,"Aula 4")+COUNTIF('C122'!C7,"Aula 4"))&gt;0,1,0))=1,IF((COUNTIF('C111'!C7,"Aula 4")+COUNTIF('C112'!C7,"Aula 4")+COUNTIF('C113'!C7,"Aula 4")+COUNTIF('C121'!C7,"Aula 4")+COUNTIF('C122'!C7,"Aula 4"))&gt;0,"C1",""),"MIX"))</f>
        <v/>
      </c>
    </row>
    <row r="75">
      <c r="C75">
        <f>IF((IF((COUNTIF('C111'!C7,"Aula 5")+COUNTIF('C112'!C7,"Aula 5")+COUNTIF('C113'!C7,"Aula 5")+COUNTIF('C121'!C7,"Aula 5")+COUNTIF('C122'!C7,"Aula 5"))&gt;0,1,0))=0,"",IF((IF((COUNTIF('C111'!C7,"Aula 5")+COUNTIF('C112'!C7,"Aula 5")+COUNTIF('C113'!C7,"Aula 5")+COUNTIF('C121'!C7,"Aula 5")+COUNTIF('C122'!C7,"Aula 5"))&gt;0,1,0))=1,IF((COUNTIF('C111'!C7,"Aula 5")+COUNTIF('C112'!C7,"Aula 5")+COUNTIF('C113'!C7,"Aula 5")+COUNTIF('C121'!C7,"Aula 5")+COUNTIF('C122'!C7,"Aula 5"))&gt;0,"C1",""),"MIX"))</f>
        <v/>
      </c>
    </row>
    <row r="76">
      <c r="C76">
        <f>IF((IF((COUNTIF('C111'!C7,"Aula 6")+COUNTIF('C112'!C7,"Aula 6")+COUNTIF('C113'!C7,"Aula 6")+COUNTIF('C121'!C7,"Aula 6")+COUNTIF('C122'!C7,"Aula 6"))&gt;0,1,0))=0,"",IF((IF((COUNTIF('C111'!C7,"Aula 6")+COUNTIF('C112'!C7,"Aula 6")+COUNTIF('C113'!C7,"Aula 6")+COUNTIF('C121'!C7,"Aula 6")+COUNTIF('C122'!C7,"Aula 6"))&gt;0,1,0))=1,IF((COUNTIF('C111'!C7,"Aula 6")+COUNTIF('C112'!C7,"Aula 6")+COUNTIF('C113'!C7,"Aula 6")+COUNTIF('C121'!C7,"Aula 6")+COUNTIF('C122'!C7,"Aula 6"))&gt;0,"C1",""),"MIX"))</f>
        <v/>
      </c>
    </row>
    <row r="77">
      <c r="C77">
        <f>IF((IF((COUNTIF('C111'!C7,"Aula 7")+COUNTIF('C112'!C7,"Aula 7")+COUNTIF('C113'!C7,"Aula 7")+COUNTIF('C121'!C7,"Aula 7")+COUNTIF('C122'!C7,"Aula 7"))&gt;0,1,0))=0,"",IF((IF((COUNTIF('C111'!C7,"Aula 7")+COUNTIF('C112'!C7,"Aula 7")+COUNTIF('C113'!C7,"Aula 7")+COUNTIF('C121'!C7,"Aula 7")+COUNTIF('C122'!C7,"Aula 7"))&gt;0,1,0))=1,IF((COUNTIF('C111'!C7,"Aula 7")+COUNTIF('C112'!C7,"Aula 7")+COUNTIF('C113'!C7,"Aula 7")+COUNTIF('C121'!C7,"Aula 7")+COUNTIF('C122'!C7,"Aula 7"))&gt;0,"C1",""),"MIX"))</f>
        <v/>
      </c>
    </row>
    <row r="78">
      <c r="C78">
        <f>IF((IF((COUNTIF('C111'!C7,"Aula 8")+COUNTIF('C112'!C7,"Aula 8")+COUNTIF('C113'!C7,"Aula 8")+COUNTIF('C121'!C7,"Aula 8")+COUNTIF('C122'!C7,"Aula 8"))&gt;0,1,0))=0,"",IF((IF((COUNTIF('C111'!C7,"Aula 8")+COUNTIF('C112'!C7,"Aula 8")+COUNTIF('C113'!C7,"Aula 8")+COUNTIF('C121'!C7,"Aula 8")+COUNTIF('C122'!C7,"Aula 8"))&gt;0,1,0))=1,IF((COUNTIF('C111'!C7,"Aula 8")+COUNTIF('C112'!C7,"Aula 8")+COUNTIF('C113'!C7,"Aula 8")+COUNTIF('C121'!C7,"Aula 8")+COUNTIF('C122'!C7,"Aula 8"))&gt;0,"C1",""),"MIX"))</f>
        <v/>
      </c>
    </row>
    <row r="79">
      <c r="C79">
        <f>IF((IF((COUNTIF('C111'!C7,"Aula 9")+COUNTIF('C112'!C7,"Aula 9")+COUNTIF('C113'!C7,"Aula 9")+COUNTIF('C121'!C7,"Aula 9")+COUNTIF('C122'!C7,"Aula 9"))&gt;0,1,0))=0,"",IF((IF((COUNTIF('C111'!C7,"Aula 9")+COUNTIF('C112'!C7,"Aula 9")+COUNTIF('C113'!C7,"Aula 9")+COUNTIF('C121'!C7,"Aula 9")+COUNTIF('C122'!C7,"Aula 9"))&gt;0,1,0))=1,IF((COUNTIF('C111'!C7,"Aula 9")+COUNTIF('C112'!C7,"Aula 9")+COUNTIF('C113'!C7,"Aula 9")+COUNTIF('C121'!C7,"Aula 9")+COUNTIF('C122'!C7,"Aula 9"))&gt;0,"C1",""),"MIX"))</f>
        <v/>
      </c>
    </row>
    <row r="80">
      <c r="C80">
        <f>IF((IF((COUNTIF('C111'!C7,"Lab")+COUNTIF('C112'!C7,"Lab")+COUNTIF('C113'!C7,"Lab")+COUNTIF('C121'!C7,"Lab")+COUNTIF('C122'!C7,"Lab"))&gt;0,1,0))=0,"",IF((IF((COUNTIF('C111'!C7,"Lab")+COUNTIF('C112'!C7,"Lab")+COUNTIF('C113'!C7,"Lab")+COUNTIF('C121'!C7,"Lab")+COUNTIF('C122'!C7,"Lab"))&gt;0,1,0))=1,IF((COUNTIF('C111'!C7,"Lab")+COUNTIF('C112'!C7,"Lab")+COUNTIF('C113'!C7,"Lab")+COUNTIF('C121'!C7,"Lab")+COUNTIF('C122'!C7,"Lab"))&gt;0,"C1",""),"MIX"))</f>
        <v/>
      </c>
    </row>
    <row r="81">
      <c r="C81">
        <f>IF((IF((COUNTIF('C111'!C9,"Aula 1")+COUNTIF('C112'!C9,"Aula 1")+COUNTIF('C113'!C9,"Aula 1")+COUNTIF('C121'!C9,"Aula 1")+COUNTIF('C122'!C9,"Aula 1"))&gt;0,1,0))=0,"",IF((IF((COUNTIF('C111'!C9,"Aula 1")+COUNTIF('C112'!C9,"Aula 1")+COUNTIF('C113'!C9,"Aula 1")+COUNTIF('C121'!C9,"Aula 1")+COUNTIF('C122'!C9,"Aula 1"))&gt;0,1,0))=1,IF((COUNTIF('C111'!C9,"Aula 1")+COUNTIF('C112'!C9,"Aula 1")+COUNTIF('C113'!C9,"Aula 1")+COUNTIF('C121'!C9,"Aula 1")+COUNTIF('C122'!C9,"Aula 1"))&gt;0,"C1",""),"MIX"))</f>
        <v/>
      </c>
    </row>
    <row r="82">
      <c r="C82">
        <f>IF((IF((COUNTIF('C111'!C9,"Aula 2")+COUNTIF('C112'!C9,"Aula 2")+COUNTIF('C113'!C9,"Aula 2")+COUNTIF('C121'!C9,"Aula 2")+COUNTIF('C122'!C9,"Aula 2"))&gt;0,1,0))=0,"",IF((IF((COUNTIF('C111'!C9,"Aula 2")+COUNTIF('C112'!C9,"Aula 2")+COUNTIF('C113'!C9,"Aula 2")+COUNTIF('C121'!C9,"Aula 2")+COUNTIF('C122'!C9,"Aula 2"))&gt;0,1,0))=1,IF((COUNTIF('C111'!C9,"Aula 2")+COUNTIF('C112'!C9,"Aula 2")+COUNTIF('C113'!C9,"Aula 2")+COUNTIF('C121'!C9,"Aula 2")+COUNTIF('C122'!C9,"Aula 2"))&gt;0,"C1",""),"MIX"))</f>
        <v/>
      </c>
    </row>
    <row r="83">
      <c r="C83">
        <f>IF((IF((COUNTIF('C111'!C9,"Aula 3")+COUNTIF('C112'!C9,"Aula 3")+COUNTIF('C113'!C9,"Aula 3")+COUNTIF('C121'!C9,"Aula 3")+COUNTIF('C122'!C9,"Aula 3"))&gt;0,1,0))=0,"",IF((IF((COUNTIF('C111'!C9,"Aula 3")+COUNTIF('C112'!C9,"Aula 3")+COUNTIF('C113'!C9,"Aula 3")+COUNTIF('C121'!C9,"Aula 3")+COUNTIF('C122'!C9,"Aula 3"))&gt;0,1,0))=1,IF((COUNTIF('C111'!C9,"Aula 3")+COUNTIF('C112'!C9,"Aula 3")+COUNTIF('C113'!C9,"Aula 3")+COUNTIF('C121'!C9,"Aula 3")+COUNTIF('C122'!C9,"Aula 3"))&gt;0,"C1",""),"MIX"))</f>
        <v/>
      </c>
    </row>
    <row r="84">
      <c r="C84">
        <f>IF((IF((COUNTIF('C111'!C9,"Aula 4")+COUNTIF('C112'!C9,"Aula 4")+COUNTIF('C113'!C9,"Aula 4")+COUNTIF('C121'!C9,"Aula 4")+COUNTIF('C122'!C9,"Aula 4"))&gt;0,1,0))=0,"",IF((IF((COUNTIF('C111'!C9,"Aula 4")+COUNTIF('C112'!C9,"Aula 4")+COUNTIF('C113'!C9,"Aula 4")+COUNTIF('C121'!C9,"Aula 4")+COUNTIF('C122'!C9,"Aula 4"))&gt;0,1,0))=1,IF((COUNTIF('C111'!C9,"Aula 4")+COUNTIF('C112'!C9,"Aula 4")+COUNTIF('C113'!C9,"Aula 4")+COUNTIF('C121'!C9,"Aula 4")+COUNTIF('C122'!C9,"Aula 4"))&gt;0,"C1",""),"MIX"))</f>
        <v/>
      </c>
    </row>
    <row r="85">
      <c r="C85">
        <f>IF((IF((COUNTIF('C111'!C9,"Aula 5")+COUNTIF('C112'!C9,"Aula 5")+COUNTIF('C113'!C9,"Aula 5")+COUNTIF('C121'!C9,"Aula 5")+COUNTIF('C122'!C9,"Aula 5"))&gt;0,1,0))=0,"",IF((IF((COUNTIF('C111'!C9,"Aula 5")+COUNTIF('C112'!C9,"Aula 5")+COUNTIF('C113'!C9,"Aula 5")+COUNTIF('C121'!C9,"Aula 5")+COUNTIF('C122'!C9,"Aula 5"))&gt;0,1,0))=1,IF((COUNTIF('C111'!C9,"Aula 5")+COUNTIF('C112'!C9,"Aula 5")+COUNTIF('C113'!C9,"Aula 5")+COUNTIF('C121'!C9,"Aula 5")+COUNTIF('C122'!C9,"Aula 5"))&gt;0,"C1",""),"MIX"))</f>
        <v/>
      </c>
    </row>
    <row r="86">
      <c r="C86">
        <f>IF((IF((COUNTIF('C111'!C9,"Aula 6")+COUNTIF('C112'!C9,"Aula 6")+COUNTIF('C113'!C9,"Aula 6")+COUNTIF('C121'!C9,"Aula 6")+COUNTIF('C122'!C9,"Aula 6"))&gt;0,1,0))=0,"",IF((IF((COUNTIF('C111'!C9,"Aula 6")+COUNTIF('C112'!C9,"Aula 6")+COUNTIF('C113'!C9,"Aula 6")+COUNTIF('C121'!C9,"Aula 6")+COUNTIF('C122'!C9,"Aula 6"))&gt;0,1,0))=1,IF((COUNTIF('C111'!C9,"Aula 6")+COUNTIF('C112'!C9,"Aula 6")+COUNTIF('C113'!C9,"Aula 6")+COUNTIF('C121'!C9,"Aula 6")+COUNTIF('C122'!C9,"Aula 6"))&gt;0,"C1",""),"MIX"))</f>
        <v/>
      </c>
    </row>
    <row r="87">
      <c r="C87">
        <f>IF((IF((COUNTIF('C111'!C9,"Aula 7")+COUNTIF('C112'!C9,"Aula 7")+COUNTIF('C113'!C9,"Aula 7")+COUNTIF('C121'!C9,"Aula 7")+COUNTIF('C122'!C9,"Aula 7"))&gt;0,1,0))=0,"",IF((IF((COUNTIF('C111'!C9,"Aula 7")+COUNTIF('C112'!C9,"Aula 7")+COUNTIF('C113'!C9,"Aula 7")+COUNTIF('C121'!C9,"Aula 7")+COUNTIF('C122'!C9,"Aula 7"))&gt;0,1,0))=1,IF((COUNTIF('C111'!C9,"Aula 7")+COUNTIF('C112'!C9,"Aula 7")+COUNTIF('C113'!C9,"Aula 7")+COUNTIF('C121'!C9,"Aula 7")+COUNTIF('C122'!C9,"Aula 7"))&gt;0,"C1",""),"MIX"))</f>
        <v/>
      </c>
    </row>
    <row r="88">
      <c r="C88">
        <f>IF((IF((COUNTIF('C111'!C9,"Aula 8")+COUNTIF('C112'!C9,"Aula 8")+COUNTIF('C113'!C9,"Aula 8")+COUNTIF('C121'!C9,"Aula 8")+COUNTIF('C122'!C9,"Aula 8"))&gt;0,1,0))=0,"",IF((IF((COUNTIF('C111'!C9,"Aula 8")+COUNTIF('C112'!C9,"Aula 8")+COUNTIF('C113'!C9,"Aula 8")+COUNTIF('C121'!C9,"Aula 8")+COUNTIF('C122'!C9,"Aula 8"))&gt;0,1,0))=1,IF((COUNTIF('C111'!C9,"Aula 8")+COUNTIF('C112'!C9,"Aula 8")+COUNTIF('C113'!C9,"Aula 8")+COUNTIF('C121'!C9,"Aula 8")+COUNTIF('C122'!C9,"Aula 8"))&gt;0,"C1",""),"MIX"))</f>
        <v/>
      </c>
    </row>
    <row r="89">
      <c r="C89">
        <f>IF((IF((COUNTIF('C111'!C9,"Aula 9")+COUNTIF('C112'!C9,"Aula 9")+COUNTIF('C113'!C9,"Aula 9")+COUNTIF('C121'!C9,"Aula 9")+COUNTIF('C122'!C9,"Aula 9"))&gt;0,1,0))=0,"",IF((IF((COUNTIF('C111'!C9,"Aula 9")+COUNTIF('C112'!C9,"Aula 9")+COUNTIF('C113'!C9,"Aula 9")+COUNTIF('C121'!C9,"Aula 9")+COUNTIF('C122'!C9,"Aula 9"))&gt;0,1,0))=1,IF((COUNTIF('C111'!C9,"Aula 9")+COUNTIF('C112'!C9,"Aula 9")+COUNTIF('C113'!C9,"Aula 9")+COUNTIF('C121'!C9,"Aula 9")+COUNTIF('C122'!C9,"Aula 9"))&gt;0,"C1",""),"MIX"))</f>
        <v/>
      </c>
    </row>
    <row r="90">
      <c r="C90">
        <f>IF((IF((COUNTIF('C111'!C9,"Lab")+COUNTIF('C112'!C9,"Lab")+COUNTIF('C113'!C9,"Lab")+COUNTIF('C121'!C9,"Lab")+COUNTIF('C122'!C9,"Lab"))&gt;0,1,0))=0,"",IF((IF((COUNTIF('C111'!C9,"Lab")+COUNTIF('C112'!C9,"Lab")+COUNTIF('C113'!C9,"Lab")+COUNTIF('C121'!C9,"Lab")+COUNTIF('C122'!C9,"Lab"))&gt;0,1,0))=1,IF((COUNTIF('C111'!C9,"Lab")+COUNTIF('C112'!C9,"Lab")+COUNTIF('C113'!C9,"Lab")+COUNTIF('C121'!C9,"Lab")+COUNTIF('C122'!C9,"Lab"))&gt;0,"C1",""),"MIX"))</f>
        <v/>
      </c>
    </row>
    <row r="91">
      <c r="C91">
        <f>IF((IF((COUNTIF('C111'!C11,"Aula 1")+COUNTIF('C112'!C11,"Aula 1")+COUNTIF('C113'!C11,"Aula 1")+COUNTIF('C121'!C11,"Aula 1")+COUNTIF('C122'!C11,"Aula 1"))&gt;0,1,0))=0,"",IF((IF((COUNTIF('C111'!C11,"Aula 1")+COUNTIF('C112'!C11,"Aula 1")+COUNTIF('C113'!C11,"Aula 1")+COUNTIF('C121'!C11,"Aula 1")+COUNTIF('C122'!C11,"Aula 1"))&gt;0,1,0))=1,IF((COUNTIF('C111'!C11,"Aula 1")+COUNTIF('C112'!C11,"Aula 1")+COUNTIF('C113'!C11,"Aula 1")+COUNTIF('C121'!C11,"Aula 1")+COUNTIF('C122'!C11,"Aula 1"))&gt;0,"C1",""),"MIX"))</f>
        <v/>
      </c>
    </row>
    <row r="92">
      <c r="C92">
        <f>IF((IF((COUNTIF('C111'!C11,"Aula 2")+COUNTIF('C112'!C11,"Aula 2")+COUNTIF('C113'!C11,"Aula 2")+COUNTIF('C121'!C11,"Aula 2")+COUNTIF('C122'!C11,"Aula 2"))&gt;0,1,0))=0,"",IF((IF((COUNTIF('C111'!C11,"Aula 2")+COUNTIF('C112'!C11,"Aula 2")+COUNTIF('C113'!C11,"Aula 2")+COUNTIF('C121'!C11,"Aula 2")+COUNTIF('C122'!C11,"Aula 2"))&gt;0,1,0))=1,IF((COUNTIF('C111'!C11,"Aula 2")+COUNTIF('C112'!C11,"Aula 2")+COUNTIF('C113'!C11,"Aula 2")+COUNTIF('C121'!C11,"Aula 2")+COUNTIF('C122'!C11,"Aula 2"))&gt;0,"C1",""),"MIX"))</f>
        <v/>
      </c>
    </row>
    <row r="93">
      <c r="C93">
        <f>IF((IF((COUNTIF('C111'!C11,"Aula 3")+COUNTIF('C112'!C11,"Aula 3")+COUNTIF('C113'!C11,"Aula 3")+COUNTIF('C121'!C11,"Aula 3")+COUNTIF('C122'!C11,"Aula 3"))&gt;0,1,0))=0,"",IF((IF((COUNTIF('C111'!C11,"Aula 3")+COUNTIF('C112'!C11,"Aula 3")+COUNTIF('C113'!C11,"Aula 3")+COUNTIF('C121'!C11,"Aula 3")+COUNTIF('C122'!C11,"Aula 3"))&gt;0,1,0))=1,IF((COUNTIF('C111'!C11,"Aula 3")+COUNTIF('C112'!C11,"Aula 3")+COUNTIF('C113'!C11,"Aula 3")+COUNTIF('C121'!C11,"Aula 3")+COUNTIF('C122'!C11,"Aula 3"))&gt;0,"C1",""),"MIX"))</f>
        <v/>
      </c>
    </row>
    <row r="94">
      <c r="C94">
        <f>IF((IF((COUNTIF('C111'!C11,"Aula 4")+COUNTIF('C112'!C11,"Aula 4")+COUNTIF('C113'!C11,"Aula 4")+COUNTIF('C121'!C11,"Aula 4")+COUNTIF('C122'!C11,"Aula 4"))&gt;0,1,0))=0,"",IF((IF((COUNTIF('C111'!C11,"Aula 4")+COUNTIF('C112'!C11,"Aula 4")+COUNTIF('C113'!C11,"Aula 4")+COUNTIF('C121'!C11,"Aula 4")+COUNTIF('C122'!C11,"Aula 4"))&gt;0,1,0))=1,IF((COUNTIF('C111'!C11,"Aula 4")+COUNTIF('C112'!C11,"Aula 4")+COUNTIF('C113'!C11,"Aula 4")+COUNTIF('C121'!C11,"Aula 4")+COUNTIF('C122'!C11,"Aula 4"))&gt;0,"C1",""),"MIX"))</f>
        <v/>
      </c>
    </row>
    <row r="95">
      <c r="C95">
        <f>IF((IF((COUNTIF('C111'!C11,"Aula 5")+COUNTIF('C112'!C11,"Aula 5")+COUNTIF('C113'!C11,"Aula 5")+COUNTIF('C121'!C11,"Aula 5")+COUNTIF('C122'!C11,"Aula 5"))&gt;0,1,0))=0,"",IF((IF((COUNTIF('C111'!C11,"Aula 5")+COUNTIF('C112'!C11,"Aula 5")+COUNTIF('C113'!C11,"Aula 5")+COUNTIF('C121'!C11,"Aula 5")+COUNTIF('C122'!C11,"Aula 5"))&gt;0,1,0))=1,IF((COUNTIF('C111'!C11,"Aula 5")+COUNTIF('C112'!C11,"Aula 5")+COUNTIF('C113'!C11,"Aula 5")+COUNTIF('C121'!C11,"Aula 5")+COUNTIF('C122'!C11,"Aula 5"))&gt;0,"C1",""),"MIX"))</f>
        <v/>
      </c>
    </row>
    <row r="96">
      <c r="C96">
        <f>IF((IF((COUNTIF('C111'!C11,"Aula 6")+COUNTIF('C112'!C11,"Aula 6")+COUNTIF('C113'!C11,"Aula 6")+COUNTIF('C121'!C11,"Aula 6")+COUNTIF('C122'!C11,"Aula 6"))&gt;0,1,0))=0,"",IF((IF((COUNTIF('C111'!C11,"Aula 6")+COUNTIF('C112'!C11,"Aula 6")+COUNTIF('C113'!C11,"Aula 6")+COUNTIF('C121'!C11,"Aula 6")+COUNTIF('C122'!C11,"Aula 6"))&gt;0,1,0))=1,IF((COUNTIF('C111'!C11,"Aula 6")+COUNTIF('C112'!C11,"Aula 6")+COUNTIF('C113'!C11,"Aula 6")+COUNTIF('C121'!C11,"Aula 6")+COUNTIF('C122'!C11,"Aula 6"))&gt;0,"C1",""),"MIX"))</f>
        <v/>
      </c>
    </row>
    <row r="97">
      <c r="C97">
        <f>IF((IF((COUNTIF('C111'!C11,"Aula 7")+COUNTIF('C112'!C11,"Aula 7")+COUNTIF('C113'!C11,"Aula 7")+COUNTIF('C121'!C11,"Aula 7")+COUNTIF('C122'!C11,"Aula 7"))&gt;0,1,0))=0,"",IF((IF((COUNTIF('C111'!C11,"Aula 7")+COUNTIF('C112'!C11,"Aula 7")+COUNTIF('C113'!C11,"Aula 7")+COUNTIF('C121'!C11,"Aula 7")+COUNTIF('C122'!C11,"Aula 7"))&gt;0,1,0))=1,IF((COUNTIF('C111'!C11,"Aula 7")+COUNTIF('C112'!C11,"Aula 7")+COUNTIF('C113'!C11,"Aula 7")+COUNTIF('C121'!C11,"Aula 7")+COUNTIF('C122'!C11,"Aula 7"))&gt;0,"C1",""),"MIX"))</f>
        <v/>
      </c>
    </row>
    <row r="98">
      <c r="C98">
        <f>IF((IF((COUNTIF('C111'!C11,"Aula 8")+COUNTIF('C112'!C11,"Aula 8")+COUNTIF('C113'!C11,"Aula 8")+COUNTIF('C121'!C11,"Aula 8")+COUNTIF('C122'!C11,"Aula 8"))&gt;0,1,0))=0,"",IF((IF((COUNTIF('C111'!C11,"Aula 8")+COUNTIF('C112'!C11,"Aula 8")+COUNTIF('C113'!C11,"Aula 8")+COUNTIF('C121'!C11,"Aula 8")+COUNTIF('C122'!C11,"Aula 8"))&gt;0,1,0))=1,IF((COUNTIF('C111'!C11,"Aula 8")+COUNTIF('C112'!C11,"Aula 8")+COUNTIF('C113'!C11,"Aula 8")+COUNTIF('C121'!C11,"Aula 8")+COUNTIF('C122'!C11,"Aula 8"))&gt;0,"C1",""),"MIX"))</f>
        <v/>
      </c>
    </row>
    <row r="99">
      <c r="C99">
        <f>IF((IF((COUNTIF('C111'!C11,"Aula 9")+COUNTIF('C112'!C11,"Aula 9")+COUNTIF('C113'!C11,"Aula 9")+COUNTIF('C121'!C11,"Aula 9")+COUNTIF('C122'!C11,"Aula 9"))&gt;0,1,0))=0,"",IF((IF((COUNTIF('C111'!C11,"Aula 9")+COUNTIF('C112'!C11,"Aula 9")+COUNTIF('C113'!C11,"Aula 9")+COUNTIF('C121'!C11,"Aula 9")+COUNTIF('C122'!C11,"Aula 9"))&gt;0,1,0))=1,IF((COUNTIF('C111'!C11,"Aula 9")+COUNTIF('C112'!C11,"Aula 9")+COUNTIF('C113'!C11,"Aula 9")+COUNTIF('C121'!C11,"Aula 9")+COUNTIF('C122'!C11,"Aula 9"))&gt;0,"C1",""),"MIX"))</f>
        <v/>
      </c>
    </row>
    <row r="100">
      <c r="C100">
        <f>IF((IF((COUNTIF('C111'!C11,"Lab")+COUNTIF('C112'!C11,"Lab")+COUNTIF('C113'!C11,"Lab")+COUNTIF('C121'!C11,"Lab")+COUNTIF('C122'!C11,"Lab"))&gt;0,1,0))=0,"",IF((IF((COUNTIF('C111'!C11,"Lab")+COUNTIF('C112'!C11,"Lab")+COUNTIF('C113'!C11,"Lab")+COUNTIF('C121'!C11,"Lab")+COUNTIF('C122'!C11,"Lab"))&gt;0,1,0))=1,IF((COUNTIF('C111'!C11,"Lab")+COUNTIF('C112'!C11,"Lab")+COUNTIF('C113'!C11,"Lab")+COUNTIF('C121'!C11,"Lab")+COUNTIF('C122'!C11,"Lab"))&gt;0,"C1",""),"MIX"))</f>
        <v/>
      </c>
    </row>
    <row r="101">
      <c r="C101">
        <f>IF((IF((COUNTIF('C111'!C13,"Aula 1")+COUNTIF('C112'!C13,"Aula 1")+COUNTIF('C113'!C13,"Aula 1")+COUNTIF('C121'!C13,"Aula 1")+COUNTIF('C122'!C13,"Aula 1"))&gt;0,1,0))=0,"",IF((IF((COUNTIF('C111'!C13,"Aula 1")+COUNTIF('C112'!C13,"Aula 1")+COUNTIF('C113'!C13,"Aula 1")+COUNTIF('C121'!C13,"Aula 1")+COUNTIF('C122'!C13,"Aula 1"))&gt;0,1,0))=1,IF((COUNTIF('C111'!C13,"Aula 1")+COUNTIF('C112'!C13,"Aula 1")+COUNTIF('C113'!C13,"Aula 1")+COUNTIF('C121'!C13,"Aula 1")+COUNTIF('C122'!C13,"Aula 1"))&gt;0,"C1",""),"MIX"))</f>
        <v/>
      </c>
    </row>
    <row r="102">
      <c r="C102">
        <f>IF((IF((COUNTIF('C111'!C13,"Aula 2")+COUNTIF('C112'!C13,"Aula 2")+COUNTIF('C113'!C13,"Aula 2")+COUNTIF('C121'!C13,"Aula 2")+COUNTIF('C122'!C13,"Aula 2"))&gt;0,1,0))=0,"",IF((IF((COUNTIF('C111'!C13,"Aula 2")+COUNTIF('C112'!C13,"Aula 2")+COUNTIF('C113'!C13,"Aula 2")+COUNTIF('C121'!C13,"Aula 2")+COUNTIF('C122'!C13,"Aula 2"))&gt;0,1,0))=1,IF((COUNTIF('C111'!C13,"Aula 2")+COUNTIF('C112'!C13,"Aula 2")+COUNTIF('C113'!C13,"Aula 2")+COUNTIF('C121'!C13,"Aula 2")+COUNTIF('C122'!C13,"Aula 2"))&gt;0,"C1",""),"MIX"))</f>
        <v/>
      </c>
    </row>
    <row r="103">
      <c r="C103">
        <f>IF((IF((COUNTIF('C111'!C13,"Aula 3")+COUNTIF('C112'!C13,"Aula 3")+COUNTIF('C113'!C13,"Aula 3")+COUNTIF('C121'!C13,"Aula 3")+COUNTIF('C122'!C13,"Aula 3"))&gt;0,1,0))=0,"",IF((IF((COUNTIF('C111'!C13,"Aula 3")+COUNTIF('C112'!C13,"Aula 3")+COUNTIF('C113'!C13,"Aula 3")+COUNTIF('C121'!C13,"Aula 3")+COUNTIF('C122'!C13,"Aula 3"))&gt;0,1,0))=1,IF((COUNTIF('C111'!C13,"Aula 3")+COUNTIF('C112'!C13,"Aula 3")+COUNTIF('C113'!C13,"Aula 3")+COUNTIF('C121'!C13,"Aula 3")+COUNTIF('C122'!C13,"Aula 3"))&gt;0,"C1",""),"MIX"))</f>
        <v/>
      </c>
    </row>
    <row r="104">
      <c r="C104">
        <f>IF((IF((COUNTIF('C111'!C13,"Aula 4")+COUNTIF('C112'!C13,"Aula 4")+COUNTIF('C113'!C13,"Aula 4")+COUNTIF('C121'!C13,"Aula 4")+COUNTIF('C122'!C13,"Aula 4"))&gt;0,1,0))=0,"",IF((IF((COUNTIF('C111'!C13,"Aula 4")+COUNTIF('C112'!C13,"Aula 4")+COUNTIF('C113'!C13,"Aula 4")+COUNTIF('C121'!C13,"Aula 4")+COUNTIF('C122'!C13,"Aula 4"))&gt;0,1,0))=1,IF((COUNTIF('C111'!C13,"Aula 4")+COUNTIF('C112'!C13,"Aula 4")+COUNTIF('C113'!C13,"Aula 4")+COUNTIF('C121'!C13,"Aula 4")+COUNTIF('C122'!C13,"Aula 4"))&gt;0,"C1",""),"MIX"))</f>
        <v/>
      </c>
    </row>
    <row r="105">
      <c r="C105">
        <f>IF((IF((COUNTIF('C111'!C13,"Aula 5")+COUNTIF('C112'!C13,"Aula 5")+COUNTIF('C113'!C13,"Aula 5")+COUNTIF('C121'!C13,"Aula 5")+COUNTIF('C122'!C13,"Aula 5"))&gt;0,1,0))=0,"",IF((IF((COUNTIF('C111'!C13,"Aula 5")+COUNTIF('C112'!C13,"Aula 5")+COUNTIF('C113'!C13,"Aula 5")+COUNTIF('C121'!C13,"Aula 5")+COUNTIF('C122'!C13,"Aula 5"))&gt;0,1,0))=1,IF((COUNTIF('C111'!C13,"Aula 5")+COUNTIF('C112'!C13,"Aula 5")+COUNTIF('C113'!C13,"Aula 5")+COUNTIF('C121'!C13,"Aula 5")+COUNTIF('C122'!C13,"Aula 5"))&gt;0,"C1",""),"MIX"))</f>
        <v/>
      </c>
    </row>
    <row r="106">
      <c r="C106">
        <f>IF((IF((COUNTIF('C111'!C13,"Aula 6")+COUNTIF('C112'!C13,"Aula 6")+COUNTIF('C113'!C13,"Aula 6")+COUNTIF('C121'!C13,"Aula 6")+COUNTIF('C122'!C13,"Aula 6"))&gt;0,1,0))=0,"",IF((IF((COUNTIF('C111'!C13,"Aula 6")+COUNTIF('C112'!C13,"Aula 6")+COUNTIF('C113'!C13,"Aula 6")+COUNTIF('C121'!C13,"Aula 6")+COUNTIF('C122'!C13,"Aula 6"))&gt;0,1,0))=1,IF((COUNTIF('C111'!C13,"Aula 6")+COUNTIF('C112'!C13,"Aula 6")+COUNTIF('C113'!C13,"Aula 6")+COUNTIF('C121'!C13,"Aula 6")+COUNTIF('C122'!C13,"Aula 6"))&gt;0,"C1",""),"MIX"))</f>
        <v/>
      </c>
    </row>
    <row r="107">
      <c r="C107">
        <f>IF((IF((COUNTIF('C111'!C13,"Aula 7")+COUNTIF('C112'!C13,"Aula 7")+COUNTIF('C113'!C13,"Aula 7")+COUNTIF('C121'!C13,"Aula 7")+COUNTIF('C122'!C13,"Aula 7"))&gt;0,1,0))=0,"",IF((IF((COUNTIF('C111'!C13,"Aula 7")+COUNTIF('C112'!C13,"Aula 7")+COUNTIF('C113'!C13,"Aula 7")+COUNTIF('C121'!C13,"Aula 7")+COUNTIF('C122'!C13,"Aula 7"))&gt;0,1,0))=1,IF((COUNTIF('C111'!C13,"Aula 7")+COUNTIF('C112'!C13,"Aula 7")+COUNTIF('C113'!C13,"Aula 7")+COUNTIF('C121'!C13,"Aula 7")+COUNTIF('C122'!C13,"Aula 7"))&gt;0,"C1",""),"MIX"))</f>
        <v/>
      </c>
    </row>
    <row r="108">
      <c r="C108">
        <f>IF((IF((COUNTIF('C111'!C13,"Aula 8")+COUNTIF('C112'!C13,"Aula 8")+COUNTIF('C113'!C13,"Aula 8")+COUNTIF('C121'!C13,"Aula 8")+COUNTIF('C122'!C13,"Aula 8"))&gt;0,1,0))=0,"",IF((IF((COUNTIF('C111'!C13,"Aula 8")+COUNTIF('C112'!C13,"Aula 8")+COUNTIF('C113'!C13,"Aula 8")+COUNTIF('C121'!C13,"Aula 8")+COUNTIF('C122'!C13,"Aula 8"))&gt;0,1,0))=1,IF((COUNTIF('C111'!C13,"Aula 8")+COUNTIF('C112'!C13,"Aula 8")+COUNTIF('C113'!C13,"Aula 8")+COUNTIF('C121'!C13,"Aula 8")+COUNTIF('C122'!C13,"Aula 8"))&gt;0,"C1",""),"MIX"))</f>
        <v/>
      </c>
    </row>
    <row r="109">
      <c r="C109">
        <f>IF((IF((COUNTIF('C111'!C13,"Aula 9")+COUNTIF('C112'!C13,"Aula 9")+COUNTIF('C113'!C13,"Aula 9")+COUNTIF('C121'!C13,"Aula 9")+COUNTIF('C122'!C13,"Aula 9"))&gt;0,1,0))=0,"",IF((IF((COUNTIF('C111'!C13,"Aula 9")+COUNTIF('C112'!C13,"Aula 9")+COUNTIF('C113'!C13,"Aula 9")+COUNTIF('C121'!C13,"Aula 9")+COUNTIF('C122'!C13,"Aula 9"))&gt;0,1,0))=1,IF((COUNTIF('C111'!C13,"Aula 9")+COUNTIF('C112'!C13,"Aula 9")+COUNTIF('C113'!C13,"Aula 9")+COUNTIF('C121'!C13,"Aula 9")+COUNTIF('C122'!C13,"Aula 9"))&gt;0,"C1",""),"MIX"))</f>
        <v/>
      </c>
    </row>
    <row r="110">
      <c r="C110">
        <f>IF((IF((COUNTIF('C111'!C13,"Lab")+COUNTIF('C112'!C13,"Lab")+COUNTIF('C113'!C13,"Lab")+COUNTIF('C121'!C13,"Lab")+COUNTIF('C122'!C13,"Lab"))&gt;0,1,0))=0,"",IF((IF((COUNTIF('C111'!C13,"Lab")+COUNTIF('C112'!C13,"Lab")+COUNTIF('C113'!C13,"Lab")+COUNTIF('C121'!C13,"Lab")+COUNTIF('C122'!C13,"Lab"))&gt;0,1,0))=1,IF((COUNTIF('C111'!C13,"Lab")+COUNTIF('C112'!C13,"Lab")+COUNTIF('C113'!C13,"Lab")+COUNTIF('C121'!C13,"Lab")+COUNTIF('C122'!C13,"Lab"))&gt;0,"C1",""),"MIX"))</f>
        <v/>
      </c>
    </row>
    <row r="111">
      <c r="C111">
        <f>IF((IF((COUNTIF('C111'!C15,"Aula 1")+COUNTIF('C112'!C15,"Aula 1")+COUNTIF('C113'!C15,"Aula 1")+COUNTIF('C121'!C15,"Aula 1")+COUNTIF('C122'!C15,"Aula 1"))&gt;0,1,0))=0,"",IF((IF((COUNTIF('C111'!C15,"Aula 1")+COUNTIF('C112'!C15,"Aula 1")+COUNTIF('C113'!C15,"Aula 1")+COUNTIF('C121'!C15,"Aula 1")+COUNTIF('C122'!C15,"Aula 1"))&gt;0,1,0))=1,IF((COUNTIF('C111'!C15,"Aula 1")+COUNTIF('C112'!C15,"Aula 1")+COUNTIF('C113'!C15,"Aula 1")+COUNTIF('C121'!C15,"Aula 1")+COUNTIF('C122'!C15,"Aula 1"))&gt;0,"C1",""),"MIX"))</f>
        <v/>
      </c>
    </row>
    <row r="112">
      <c r="C112">
        <f>IF((IF((COUNTIF('C111'!C15,"Aula 2")+COUNTIF('C112'!C15,"Aula 2")+COUNTIF('C113'!C15,"Aula 2")+COUNTIF('C121'!C15,"Aula 2")+COUNTIF('C122'!C15,"Aula 2"))&gt;0,1,0))=0,"",IF((IF((COUNTIF('C111'!C15,"Aula 2")+COUNTIF('C112'!C15,"Aula 2")+COUNTIF('C113'!C15,"Aula 2")+COUNTIF('C121'!C15,"Aula 2")+COUNTIF('C122'!C15,"Aula 2"))&gt;0,1,0))=1,IF((COUNTIF('C111'!C15,"Aula 2")+COUNTIF('C112'!C15,"Aula 2")+COUNTIF('C113'!C15,"Aula 2")+COUNTIF('C121'!C15,"Aula 2")+COUNTIF('C122'!C15,"Aula 2"))&gt;0,"C1",""),"MIX"))</f>
        <v/>
      </c>
    </row>
    <row r="113">
      <c r="C113">
        <f>IF((IF((COUNTIF('C111'!C15,"Aula 3")+COUNTIF('C112'!C15,"Aula 3")+COUNTIF('C113'!C15,"Aula 3")+COUNTIF('C121'!C15,"Aula 3")+COUNTIF('C122'!C15,"Aula 3"))&gt;0,1,0))=0,"",IF((IF((COUNTIF('C111'!C15,"Aula 3")+COUNTIF('C112'!C15,"Aula 3")+COUNTIF('C113'!C15,"Aula 3")+COUNTIF('C121'!C15,"Aula 3")+COUNTIF('C122'!C15,"Aula 3"))&gt;0,1,0))=1,IF((COUNTIF('C111'!C15,"Aula 3")+COUNTIF('C112'!C15,"Aula 3")+COUNTIF('C113'!C15,"Aula 3")+COUNTIF('C121'!C15,"Aula 3")+COUNTIF('C122'!C15,"Aula 3"))&gt;0,"C1",""),"MIX"))</f>
        <v/>
      </c>
    </row>
    <row r="114">
      <c r="C114">
        <f>IF((IF((COUNTIF('C111'!C15,"Aula 4")+COUNTIF('C112'!C15,"Aula 4")+COUNTIF('C113'!C15,"Aula 4")+COUNTIF('C121'!C15,"Aula 4")+COUNTIF('C122'!C15,"Aula 4"))&gt;0,1,0))=0,"",IF((IF((COUNTIF('C111'!C15,"Aula 4")+COUNTIF('C112'!C15,"Aula 4")+COUNTIF('C113'!C15,"Aula 4")+COUNTIF('C121'!C15,"Aula 4")+COUNTIF('C122'!C15,"Aula 4"))&gt;0,1,0))=1,IF((COUNTIF('C111'!C15,"Aula 4")+COUNTIF('C112'!C15,"Aula 4")+COUNTIF('C113'!C15,"Aula 4")+COUNTIF('C121'!C15,"Aula 4")+COUNTIF('C122'!C15,"Aula 4"))&gt;0,"C1",""),"MIX"))</f>
        <v/>
      </c>
    </row>
    <row r="115">
      <c r="C115">
        <f>IF((IF((COUNTIF('C111'!C15,"Aula 5")+COUNTIF('C112'!C15,"Aula 5")+COUNTIF('C113'!C15,"Aula 5")+COUNTIF('C121'!C15,"Aula 5")+COUNTIF('C122'!C15,"Aula 5"))&gt;0,1,0))=0,"",IF((IF((COUNTIF('C111'!C15,"Aula 5")+COUNTIF('C112'!C15,"Aula 5")+COUNTIF('C113'!C15,"Aula 5")+COUNTIF('C121'!C15,"Aula 5")+COUNTIF('C122'!C15,"Aula 5"))&gt;0,1,0))=1,IF((COUNTIF('C111'!C15,"Aula 5")+COUNTIF('C112'!C15,"Aula 5")+COUNTIF('C113'!C15,"Aula 5")+COUNTIF('C121'!C15,"Aula 5")+COUNTIF('C122'!C15,"Aula 5"))&gt;0,"C1",""),"MIX"))</f>
        <v/>
      </c>
    </row>
    <row r="116">
      <c r="C116">
        <f>IF((IF((COUNTIF('C111'!C15,"Aula 6")+COUNTIF('C112'!C15,"Aula 6")+COUNTIF('C113'!C15,"Aula 6")+COUNTIF('C121'!C15,"Aula 6")+COUNTIF('C122'!C15,"Aula 6"))&gt;0,1,0))=0,"",IF((IF((COUNTIF('C111'!C15,"Aula 6")+COUNTIF('C112'!C15,"Aula 6")+COUNTIF('C113'!C15,"Aula 6")+COUNTIF('C121'!C15,"Aula 6")+COUNTIF('C122'!C15,"Aula 6"))&gt;0,1,0))=1,IF((COUNTIF('C111'!C15,"Aula 6")+COUNTIF('C112'!C15,"Aula 6")+COUNTIF('C113'!C15,"Aula 6")+COUNTIF('C121'!C15,"Aula 6")+COUNTIF('C122'!C15,"Aula 6"))&gt;0,"C1",""),"MIX"))</f>
        <v/>
      </c>
    </row>
    <row r="117">
      <c r="C117">
        <f>IF((IF((COUNTIF('C111'!C15,"Aula 7")+COUNTIF('C112'!C15,"Aula 7")+COUNTIF('C113'!C15,"Aula 7")+COUNTIF('C121'!C15,"Aula 7")+COUNTIF('C122'!C15,"Aula 7"))&gt;0,1,0))=0,"",IF((IF((COUNTIF('C111'!C15,"Aula 7")+COUNTIF('C112'!C15,"Aula 7")+COUNTIF('C113'!C15,"Aula 7")+COUNTIF('C121'!C15,"Aula 7")+COUNTIF('C122'!C15,"Aula 7"))&gt;0,1,0))=1,IF((COUNTIF('C111'!C15,"Aula 7")+COUNTIF('C112'!C15,"Aula 7")+COUNTIF('C113'!C15,"Aula 7")+COUNTIF('C121'!C15,"Aula 7")+COUNTIF('C122'!C15,"Aula 7"))&gt;0,"C1",""),"MIX"))</f>
        <v/>
      </c>
    </row>
    <row r="118">
      <c r="C118">
        <f>IF((IF((COUNTIF('C111'!C15,"Aula 8")+COUNTIF('C112'!C15,"Aula 8")+COUNTIF('C113'!C15,"Aula 8")+COUNTIF('C121'!C15,"Aula 8")+COUNTIF('C122'!C15,"Aula 8"))&gt;0,1,0))=0,"",IF((IF((COUNTIF('C111'!C15,"Aula 8")+COUNTIF('C112'!C15,"Aula 8")+COUNTIF('C113'!C15,"Aula 8")+COUNTIF('C121'!C15,"Aula 8")+COUNTIF('C122'!C15,"Aula 8"))&gt;0,1,0))=1,IF((COUNTIF('C111'!C15,"Aula 8")+COUNTIF('C112'!C15,"Aula 8")+COUNTIF('C113'!C15,"Aula 8")+COUNTIF('C121'!C15,"Aula 8")+COUNTIF('C122'!C15,"Aula 8"))&gt;0,"C1",""),"MIX"))</f>
        <v/>
      </c>
    </row>
    <row r="119">
      <c r="C119">
        <f>IF((IF((COUNTIF('C111'!C15,"Aula 9")+COUNTIF('C112'!C15,"Aula 9")+COUNTIF('C113'!C15,"Aula 9")+COUNTIF('C121'!C15,"Aula 9")+COUNTIF('C122'!C15,"Aula 9"))&gt;0,1,0))=0,"",IF((IF((COUNTIF('C111'!C15,"Aula 9")+COUNTIF('C112'!C15,"Aula 9")+COUNTIF('C113'!C15,"Aula 9")+COUNTIF('C121'!C15,"Aula 9")+COUNTIF('C122'!C15,"Aula 9"))&gt;0,1,0))=1,IF((COUNTIF('C111'!C15,"Aula 9")+COUNTIF('C112'!C15,"Aula 9")+COUNTIF('C113'!C15,"Aula 9")+COUNTIF('C121'!C15,"Aula 9")+COUNTIF('C122'!C15,"Aula 9"))&gt;0,"C1",""),"MIX"))</f>
        <v/>
      </c>
    </row>
    <row r="120">
      <c r="C120">
        <f>IF((IF((COUNTIF('C111'!C15,"Lab")+COUNTIF('C112'!C15,"Lab")+COUNTIF('C113'!C15,"Lab")+COUNTIF('C121'!C15,"Lab")+COUNTIF('C122'!C15,"Lab"))&gt;0,1,0))=0,"",IF((IF((COUNTIF('C111'!C15,"Lab")+COUNTIF('C112'!C15,"Lab")+COUNTIF('C113'!C15,"Lab")+COUNTIF('C121'!C15,"Lab")+COUNTIF('C122'!C15,"Lab"))&gt;0,1,0))=1,IF((COUNTIF('C111'!C15,"Lab")+COUNTIF('C112'!C15,"Lab")+COUNTIF('C113'!C15,"Lab")+COUNTIF('C121'!C15,"Lab")+COUNTIF('C122'!C15,"Lab"))&gt;0,"C1",""),"MIX"))</f>
        <v/>
      </c>
    </row>
    <row r="121">
      <c r="C121">
        <f>IF((IF((COUNTIF('C111'!D5,"Aula 1")+COUNTIF('C112'!D5,"Aula 1")+COUNTIF('C113'!D5,"Aula 1")+COUNTIF('C121'!D5,"Aula 1")+COUNTIF('C122'!D5,"Aula 1"))&gt;0,1,0))=0,"",IF((IF((COUNTIF('C111'!D5,"Aula 1")+COUNTIF('C112'!D5,"Aula 1")+COUNTIF('C113'!D5,"Aula 1")+COUNTIF('C121'!D5,"Aula 1")+COUNTIF('C122'!D5,"Aula 1"))&gt;0,1,0))=1,IF((COUNTIF('C111'!D5,"Aula 1")+COUNTIF('C112'!D5,"Aula 1")+COUNTIF('C113'!D5,"Aula 1")+COUNTIF('C121'!D5,"Aula 1")+COUNTIF('C122'!D5,"Aula 1"))&gt;0,"C1",""),"MIX"))</f>
        <v/>
      </c>
    </row>
    <row r="122">
      <c r="C122">
        <f>IF((IF((COUNTIF('C111'!D5,"Aula 2")+COUNTIF('C112'!D5,"Aula 2")+COUNTIF('C113'!D5,"Aula 2")+COUNTIF('C121'!D5,"Aula 2")+COUNTIF('C122'!D5,"Aula 2"))&gt;0,1,0))=0,"",IF((IF((COUNTIF('C111'!D5,"Aula 2")+COUNTIF('C112'!D5,"Aula 2")+COUNTIF('C113'!D5,"Aula 2")+COUNTIF('C121'!D5,"Aula 2")+COUNTIF('C122'!D5,"Aula 2"))&gt;0,1,0))=1,IF((COUNTIF('C111'!D5,"Aula 2")+COUNTIF('C112'!D5,"Aula 2")+COUNTIF('C113'!D5,"Aula 2")+COUNTIF('C121'!D5,"Aula 2")+COUNTIF('C122'!D5,"Aula 2"))&gt;0,"C1",""),"MIX"))</f>
        <v/>
      </c>
    </row>
    <row r="123">
      <c r="C123">
        <f>IF((IF((COUNTIF('C111'!D5,"Aula 3")+COUNTIF('C112'!D5,"Aula 3")+COUNTIF('C113'!D5,"Aula 3")+COUNTIF('C121'!D5,"Aula 3")+COUNTIF('C122'!D5,"Aula 3"))&gt;0,1,0))=0,"",IF((IF((COUNTIF('C111'!D5,"Aula 3")+COUNTIF('C112'!D5,"Aula 3")+COUNTIF('C113'!D5,"Aula 3")+COUNTIF('C121'!D5,"Aula 3")+COUNTIF('C122'!D5,"Aula 3"))&gt;0,1,0))=1,IF((COUNTIF('C111'!D5,"Aula 3")+COUNTIF('C112'!D5,"Aula 3")+COUNTIF('C113'!D5,"Aula 3")+COUNTIF('C121'!D5,"Aula 3")+COUNTIF('C122'!D5,"Aula 3"))&gt;0,"C1",""),"MIX"))</f>
        <v/>
      </c>
    </row>
    <row r="124">
      <c r="C124">
        <f>IF((IF((COUNTIF('C111'!D5,"Aula 4")+COUNTIF('C112'!D5,"Aula 4")+COUNTIF('C113'!D5,"Aula 4")+COUNTIF('C121'!D5,"Aula 4")+COUNTIF('C122'!D5,"Aula 4"))&gt;0,1,0))=0,"",IF((IF((COUNTIF('C111'!D5,"Aula 4")+COUNTIF('C112'!D5,"Aula 4")+COUNTIF('C113'!D5,"Aula 4")+COUNTIF('C121'!D5,"Aula 4")+COUNTIF('C122'!D5,"Aula 4"))&gt;0,1,0))=1,IF((COUNTIF('C111'!D5,"Aula 4")+COUNTIF('C112'!D5,"Aula 4")+COUNTIF('C113'!D5,"Aula 4")+COUNTIF('C121'!D5,"Aula 4")+COUNTIF('C122'!D5,"Aula 4"))&gt;0,"C1",""),"MIX"))</f>
        <v/>
      </c>
    </row>
    <row r="125">
      <c r="C125">
        <f>IF((IF((COUNTIF('C111'!D5,"Aula 5")+COUNTIF('C112'!D5,"Aula 5")+COUNTIF('C113'!D5,"Aula 5")+COUNTIF('C121'!D5,"Aula 5")+COUNTIF('C122'!D5,"Aula 5"))&gt;0,1,0))=0,"",IF((IF((COUNTIF('C111'!D5,"Aula 5")+COUNTIF('C112'!D5,"Aula 5")+COUNTIF('C113'!D5,"Aula 5")+COUNTIF('C121'!D5,"Aula 5")+COUNTIF('C122'!D5,"Aula 5"))&gt;0,1,0))=1,IF((COUNTIF('C111'!D5,"Aula 5")+COUNTIF('C112'!D5,"Aula 5")+COUNTIF('C113'!D5,"Aula 5")+COUNTIF('C121'!D5,"Aula 5")+COUNTIF('C122'!D5,"Aula 5"))&gt;0,"C1",""),"MIX"))</f>
        <v/>
      </c>
    </row>
    <row r="126">
      <c r="C126">
        <f>IF((IF((COUNTIF('C111'!D5,"Aula 6")+COUNTIF('C112'!D5,"Aula 6")+COUNTIF('C113'!D5,"Aula 6")+COUNTIF('C121'!D5,"Aula 6")+COUNTIF('C122'!D5,"Aula 6"))&gt;0,1,0))=0,"",IF((IF((COUNTIF('C111'!D5,"Aula 6")+COUNTIF('C112'!D5,"Aula 6")+COUNTIF('C113'!D5,"Aula 6")+COUNTIF('C121'!D5,"Aula 6")+COUNTIF('C122'!D5,"Aula 6"))&gt;0,1,0))=1,IF((COUNTIF('C111'!D5,"Aula 6")+COUNTIF('C112'!D5,"Aula 6")+COUNTIF('C113'!D5,"Aula 6")+COUNTIF('C121'!D5,"Aula 6")+COUNTIF('C122'!D5,"Aula 6"))&gt;0,"C1",""),"MIX"))</f>
        <v/>
      </c>
    </row>
    <row r="127">
      <c r="C127">
        <f>IF((IF((COUNTIF('C111'!D5,"Aula 7")+COUNTIF('C112'!D5,"Aula 7")+COUNTIF('C113'!D5,"Aula 7")+COUNTIF('C121'!D5,"Aula 7")+COUNTIF('C122'!D5,"Aula 7"))&gt;0,1,0))=0,"",IF((IF((COUNTIF('C111'!D5,"Aula 7")+COUNTIF('C112'!D5,"Aula 7")+COUNTIF('C113'!D5,"Aula 7")+COUNTIF('C121'!D5,"Aula 7")+COUNTIF('C122'!D5,"Aula 7"))&gt;0,1,0))=1,IF((COUNTIF('C111'!D5,"Aula 7")+COUNTIF('C112'!D5,"Aula 7")+COUNTIF('C113'!D5,"Aula 7")+COUNTIF('C121'!D5,"Aula 7")+COUNTIF('C122'!D5,"Aula 7"))&gt;0,"C1",""),"MIX"))</f>
        <v/>
      </c>
    </row>
    <row r="128">
      <c r="C128">
        <f>IF((IF((COUNTIF('C111'!D5,"Aula 8")+COUNTIF('C112'!D5,"Aula 8")+COUNTIF('C113'!D5,"Aula 8")+COUNTIF('C121'!D5,"Aula 8")+COUNTIF('C122'!D5,"Aula 8"))&gt;0,1,0))=0,"",IF((IF((COUNTIF('C111'!D5,"Aula 8")+COUNTIF('C112'!D5,"Aula 8")+COUNTIF('C113'!D5,"Aula 8")+COUNTIF('C121'!D5,"Aula 8")+COUNTIF('C122'!D5,"Aula 8"))&gt;0,1,0))=1,IF((COUNTIF('C111'!D5,"Aula 8")+COUNTIF('C112'!D5,"Aula 8")+COUNTIF('C113'!D5,"Aula 8")+COUNTIF('C121'!D5,"Aula 8")+COUNTIF('C122'!D5,"Aula 8"))&gt;0,"C1",""),"MIX"))</f>
        <v/>
      </c>
    </row>
    <row r="129">
      <c r="C129">
        <f>IF((IF((COUNTIF('C111'!D5,"Aula 9")+COUNTIF('C112'!D5,"Aula 9")+COUNTIF('C113'!D5,"Aula 9")+COUNTIF('C121'!D5,"Aula 9")+COUNTIF('C122'!D5,"Aula 9"))&gt;0,1,0))=0,"",IF((IF((COUNTIF('C111'!D5,"Aula 9")+COUNTIF('C112'!D5,"Aula 9")+COUNTIF('C113'!D5,"Aula 9")+COUNTIF('C121'!D5,"Aula 9")+COUNTIF('C122'!D5,"Aula 9"))&gt;0,1,0))=1,IF((COUNTIF('C111'!D5,"Aula 9")+COUNTIF('C112'!D5,"Aula 9")+COUNTIF('C113'!D5,"Aula 9")+COUNTIF('C121'!D5,"Aula 9")+COUNTIF('C122'!D5,"Aula 9"))&gt;0,"C1",""),"MIX"))</f>
        <v/>
      </c>
    </row>
    <row r="130">
      <c r="C130">
        <f>IF((IF((COUNTIF('C111'!D5,"Lab")+COUNTIF('C112'!D5,"Lab")+COUNTIF('C113'!D5,"Lab")+COUNTIF('C121'!D5,"Lab")+COUNTIF('C122'!D5,"Lab"))&gt;0,1,0))=0,"",IF((IF((COUNTIF('C111'!D5,"Lab")+COUNTIF('C112'!D5,"Lab")+COUNTIF('C113'!D5,"Lab")+COUNTIF('C121'!D5,"Lab")+COUNTIF('C122'!D5,"Lab"))&gt;0,1,0))=1,IF((COUNTIF('C111'!D5,"Lab")+COUNTIF('C112'!D5,"Lab")+COUNTIF('C113'!D5,"Lab")+COUNTIF('C121'!D5,"Lab")+COUNTIF('C122'!D5,"Lab"))&gt;0,"C1",""),"MIX"))</f>
        <v/>
      </c>
    </row>
    <row r="131">
      <c r="C131">
        <f>IF((IF((COUNTIF('C111'!D7,"Aula 1")+COUNTIF('C112'!D7,"Aula 1")+COUNTIF('C113'!D7,"Aula 1")+COUNTIF('C121'!D7,"Aula 1")+COUNTIF('C122'!D7,"Aula 1"))&gt;0,1,0))=0,"",IF((IF((COUNTIF('C111'!D7,"Aula 1")+COUNTIF('C112'!D7,"Aula 1")+COUNTIF('C113'!D7,"Aula 1")+COUNTIF('C121'!D7,"Aula 1")+COUNTIF('C122'!D7,"Aula 1"))&gt;0,1,0))=1,IF((COUNTIF('C111'!D7,"Aula 1")+COUNTIF('C112'!D7,"Aula 1")+COUNTIF('C113'!D7,"Aula 1")+COUNTIF('C121'!D7,"Aula 1")+COUNTIF('C122'!D7,"Aula 1"))&gt;0,"C1",""),"MIX"))</f>
        <v/>
      </c>
    </row>
    <row r="132">
      <c r="C132">
        <f>IF((IF((COUNTIF('C111'!D7,"Aula 2")+COUNTIF('C112'!D7,"Aula 2")+COUNTIF('C113'!D7,"Aula 2")+COUNTIF('C121'!D7,"Aula 2")+COUNTIF('C122'!D7,"Aula 2"))&gt;0,1,0))=0,"",IF((IF((COUNTIF('C111'!D7,"Aula 2")+COUNTIF('C112'!D7,"Aula 2")+COUNTIF('C113'!D7,"Aula 2")+COUNTIF('C121'!D7,"Aula 2")+COUNTIF('C122'!D7,"Aula 2"))&gt;0,1,0))=1,IF((COUNTIF('C111'!D7,"Aula 2")+COUNTIF('C112'!D7,"Aula 2")+COUNTIF('C113'!D7,"Aula 2")+COUNTIF('C121'!D7,"Aula 2")+COUNTIF('C122'!D7,"Aula 2"))&gt;0,"C1",""),"MIX"))</f>
        <v/>
      </c>
    </row>
    <row r="133">
      <c r="C133">
        <f>IF((IF((COUNTIF('C111'!D7,"Aula 3")+COUNTIF('C112'!D7,"Aula 3")+COUNTIF('C113'!D7,"Aula 3")+COUNTIF('C121'!D7,"Aula 3")+COUNTIF('C122'!D7,"Aula 3"))&gt;0,1,0))=0,"",IF((IF((COUNTIF('C111'!D7,"Aula 3")+COUNTIF('C112'!D7,"Aula 3")+COUNTIF('C113'!D7,"Aula 3")+COUNTIF('C121'!D7,"Aula 3")+COUNTIF('C122'!D7,"Aula 3"))&gt;0,1,0))=1,IF((COUNTIF('C111'!D7,"Aula 3")+COUNTIF('C112'!D7,"Aula 3")+COUNTIF('C113'!D7,"Aula 3")+COUNTIF('C121'!D7,"Aula 3")+COUNTIF('C122'!D7,"Aula 3"))&gt;0,"C1",""),"MIX"))</f>
        <v/>
      </c>
    </row>
    <row r="134">
      <c r="C134">
        <f>IF((IF((COUNTIF('C111'!D7,"Aula 4")+COUNTIF('C112'!D7,"Aula 4")+COUNTIF('C113'!D7,"Aula 4")+COUNTIF('C121'!D7,"Aula 4")+COUNTIF('C122'!D7,"Aula 4"))&gt;0,1,0))=0,"",IF((IF((COUNTIF('C111'!D7,"Aula 4")+COUNTIF('C112'!D7,"Aula 4")+COUNTIF('C113'!D7,"Aula 4")+COUNTIF('C121'!D7,"Aula 4")+COUNTIF('C122'!D7,"Aula 4"))&gt;0,1,0))=1,IF((COUNTIF('C111'!D7,"Aula 4")+COUNTIF('C112'!D7,"Aula 4")+COUNTIF('C113'!D7,"Aula 4")+COUNTIF('C121'!D7,"Aula 4")+COUNTIF('C122'!D7,"Aula 4"))&gt;0,"C1",""),"MIX"))</f>
        <v/>
      </c>
    </row>
    <row r="135">
      <c r="C135">
        <f>IF((IF((COUNTIF('C111'!D7,"Aula 5")+COUNTIF('C112'!D7,"Aula 5")+COUNTIF('C113'!D7,"Aula 5")+COUNTIF('C121'!D7,"Aula 5")+COUNTIF('C122'!D7,"Aula 5"))&gt;0,1,0))=0,"",IF((IF((COUNTIF('C111'!D7,"Aula 5")+COUNTIF('C112'!D7,"Aula 5")+COUNTIF('C113'!D7,"Aula 5")+COUNTIF('C121'!D7,"Aula 5")+COUNTIF('C122'!D7,"Aula 5"))&gt;0,1,0))=1,IF((COUNTIF('C111'!D7,"Aula 5")+COUNTIF('C112'!D7,"Aula 5")+COUNTIF('C113'!D7,"Aula 5")+COUNTIF('C121'!D7,"Aula 5")+COUNTIF('C122'!D7,"Aula 5"))&gt;0,"C1",""),"MIX"))</f>
        <v/>
      </c>
    </row>
    <row r="136">
      <c r="C136">
        <f>IF((IF((COUNTIF('C111'!D7,"Aula 6")+COUNTIF('C112'!D7,"Aula 6")+COUNTIF('C113'!D7,"Aula 6")+COUNTIF('C121'!D7,"Aula 6")+COUNTIF('C122'!D7,"Aula 6"))&gt;0,1,0))=0,"",IF((IF((COUNTIF('C111'!D7,"Aula 6")+COUNTIF('C112'!D7,"Aula 6")+COUNTIF('C113'!D7,"Aula 6")+COUNTIF('C121'!D7,"Aula 6")+COUNTIF('C122'!D7,"Aula 6"))&gt;0,1,0))=1,IF((COUNTIF('C111'!D7,"Aula 6")+COUNTIF('C112'!D7,"Aula 6")+COUNTIF('C113'!D7,"Aula 6")+COUNTIF('C121'!D7,"Aula 6")+COUNTIF('C122'!D7,"Aula 6"))&gt;0,"C1",""),"MIX"))</f>
        <v/>
      </c>
    </row>
    <row r="137">
      <c r="C137">
        <f>IF((IF((COUNTIF('C111'!D7,"Aula 7")+COUNTIF('C112'!D7,"Aula 7")+COUNTIF('C113'!D7,"Aula 7")+COUNTIF('C121'!D7,"Aula 7")+COUNTIF('C122'!D7,"Aula 7"))&gt;0,1,0))=0,"",IF((IF((COUNTIF('C111'!D7,"Aula 7")+COUNTIF('C112'!D7,"Aula 7")+COUNTIF('C113'!D7,"Aula 7")+COUNTIF('C121'!D7,"Aula 7")+COUNTIF('C122'!D7,"Aula 7"))&gt;0,1,0))=1,IF((COUNTIF('C111'!D7,"Aula 7")+COUNTIF('C112'!D7,"Aula 7")+COUNTIF('C113'!D7,"Aula 7")+COUNTIF('C121'!D7,"Aula 7")+COUNTIF('C122'!D7,"Aula 7"))&gt;0,"C1",""),"MIX"))</f>
        <v/>
      </c>
    </row>
    <row r="138">
      <c r="C138">
        <f>IF((IF((COUNTIF('C111'!D7,"Aula 8")+COUNTIF('C112'!D7,"Aula 8")+COUNTIF('C113'!D7,"Aula 8")+COUNTIF('C121'!D7,"Aula 8")+COUNTIF('C122'!D7,"Aula 8"))&gt;0,1,0))=0,"",IF((IF((COUNTIF('C111'!D7,"Aula 8")+COUNTIF('C112'!D7,"Aula 8")+COUNTIF('C113'!D7,"Aula 8")+COUNTIF('C121'!D7,"Aula 8")+COUNTIF('C122'!D7,"Aula 8"))&gt;0,1,0))=1,IF((COUNTIF('C111'!D7,"Aula 8")+COUNTIF('C112'!D7,"Aula 8")+COUNTIF('C113'!D7,"Aula 8")+COUNTIF('C121'!D7,"Aula 8")+COUNTIF('C122'!D7,"Aula 8"))&gt;0,"C1",""),"MIX"))</f>
        <v/>
      </c>
    </row>
    <row r="139">
      <c r="C139">
        <f>IF((IF((COUNTIF('C111'!D7,"Aula 9")+COUNTIF('C112'!D7,"Aula 9")+COUNTIF('C113'!D7,"Aula 9")+COUNTIF('C121'!D7,"Aula 9")+COUNTIF('C122'!D7,"Aula 9"))&gt;0,1,0))=0,"",IF((IF((COUNTIF('C111'!D7,"Aula 9")+COUNTIF('C112'!D7,"Aula 9")+COUNTIF('C113'!D7,"Aula 9")+COUNTIF('C121'!D7,"Aula 9")+COUNTIF('C122'!D7,"Aula 9"))&gt;0,1,0))=1,IF((COUNTIF('C111'!D7,"Aula 9")+COUNTIF('C112'!D7,"Aula 9")+COUNTIF('C113'!D7,"Aula 9")+COUNTIF('C121'!D7,"Aula 9")+COUNTIF('C122'!D7,"Aula 9"))&gt;0,"C1",""),"MIX"))</f>
        <v/>
      </c>
    </row>
    <row r="140">
      <c r="C140">
        <f>IF((IF((COUNTIF('C111'!D7,"Lab")+COUNTIF('C112'!D7,"Lab")+COUNTIF('C113'!D7,"Lab")+COUNTIF('C121'!D7,"Lab")+COUNTIF('C122'!D7,"Lab"))&gt;0,1,0))=0,"",IF((IF((COUNTIF('C111'!D7,"Lab")+COUNTIF('C112'!D7,"Lab")+COUNTIF('C113'!D7,"Lab")+COUNTIF('C121'!D7,"Lab")+COUNTIF('C122'!D7,"Lab"))&gt;0,1,0))=1,IF((COUNTIF('C111'!D7,"Lab")+COUNTIF('C112'!D7,"Lab")+COUNTIF('C113'!D7,"Lab")+COUNTIF('C121'!D7,"Lab")+COUNTIF('C122'!D7,"Lab"))&gt;0,"C1",""),"MIX"))</f>
        <v/>
      </c>
    </row>
    <row r="141">
      <c r="C141">
        <f>IF((IF((COUNTIF('C111'!D9,"Aula 1")+COUNTIF('C112'!D9,"Aula 1")+COUNTIF('C113'!D9,"Aula 1")+COUNTIF('C121'!D9,"Aula 1")+COUNTIF('C122'!D9,"Aula 1"))&gt;0,1,0))=0,"",IF((IF((COUNTIF('C111'!D9,"Aula 1")+COUNTIF('C112'!D9,"Aula 1")+COUNTIF('C113'!D9,"Aula 1")+COUNTIF('C121'!D9,"Aula 1")+COUNTIF('C122'!D9,"Aula 1"))&gt;0,1,0))=1,IF((COUNTIF('C111'!D9,"Aula 1")+COUNTIF('C112'!D9,"Aula 1")+COUNTIF('C113'!D9,"Aula 1")+COUNTIF('C121'!D9,"Aula 1")+COUNTIF('C122'!D9,"Aula 1"))&gt;0,"C1",""),"MIX"))</f>
        <v/>
      </c>
    </row>
    <row r="142">
      <c r="C142">
        <f>IF((IF((COUNTIF('C111'!D9,"Aula 2")+COUNTIF('C112'!D9,"Aula 2")+COUNTIF('C113'!D9,"Aula 2")+COUNTIF('C121'!D9,"Aula 2")+COUNTIF('C122'!D9,"Aula 2"))&gt;0,1,0))=0,"",IF((IF((COUNTIF('C111'!D9,"Aula 2")+COUNTIF('C112'!D9,"Aula 2")+COUNTIF('C113'!D9,"Aula 2")+COUNTIF('C121'!D9,"Aula 2")+COUNTIF('C122'!D9,"Aula 2"))&gt;0,1,0))=1,IF((COUNTIF('C111'!D9,"Aula 2")+COUNTIF('C112'!D9,"Aula 2")+COUNTIF('C113'!D9,"Aula 2")+COUNTIF('C121'!D9,"Aula 2")+COUNTIF('C122'!D9,"Aula 2"))&gt;0,"C1",""),"MIX"))</f>
        <v/>
      </c>
    </row>
    <row r="143">
      <c r="C143">
        <f>IF((IF((COUNTIF('C111'!D9,"Aula 3")+COUNTIF('C112'!D9,"Aula 3")+COUNTIF('C113'!D9,"Aula 3")+COUNTIF('C121'!D9,"Aula 3")+COUNTIF('C122'!D9,"Aula 3"))&gt;0,1,0))=0,"",IF((IF((COUNTIF('C111'!D9,"Aula 3")+COUNTIF('C112'!D9,"Aula 3")+COUNTIF('C113'!D9,"Aula 3")+COUNTIF('C121'!D9,"Aula 3")+COUNTIF('C122'!D9,"Aula 3"))&gt;0,1,0))=1,IF((COUNTIF('C111'!D9,"Aula 3")+COUNTIF('C112'!D9,"Aula 3")+COUNTIF('C113'!D9,"Aula 3")+COUNTIF('C121'!D9,"Aula 3")+COUNTIF('C122'!D9,"Aula 3"))&gt;0,"C1",""),"MIX"))</f>
        <v/>
      </c>
    </row>
    <row r="144">
      <c r="C144">
        <f>IF((IF((COUNTIF('C111'!D9,"Aula 4")+COUNTIF('C112'!D9,"Aula 4")+COUNTIF('C113'!D9,"Aula 4")+COUNTIF('C121'!D9,"Aula 4")+COUNTIF('C122'!D9,"Aula 4"))&gt;0,1,0))=0,"",IF((IF((COUNTIF('C111'!D9,"Aula 4")+COUNTIF('C112'!D9,"Aula 4")+COUNTIF('C113'!D9,"Aula 4")+COUNTIF('C121'!D9,"Aula 4")+COUNTIF('C122'!D9,"Aula 4"))&gt;0,1,0))=1,IF((COUNTIF('C111'!D9,"Aula 4")+COUNTIF('C112'!D9,"Aula 4")+COUNTIF('C113'!D9,"Aula 4")+COUNTIF('C121'!D9,"Aula 4")+COUNTIF('C122'!D9,"Aula 4"))&gt;0,"C1",""),"MIX"))</f>
        <v/>
      </c>
    </row>
    <row r="145">
      <c r="C145">
        <f>IF((IF((COUNTIF('C111'!D9,"Aula 5")+COUNTIF('C112'!D9,"Aula 5")+COUNTIF('C113'!D9,"Aula 5")+COUNTIF('C121'!D9,"Aula 5")+COUNTIF('C122'!D9,"Aula 5"))&gt;0,1,0))=0,"",IF((IF((COUNTIF('C111'!D9,"Aula 5")+COUNTIF('C112'!D9,"Aula 5")+COUNTIF('C113'!D9,"Aula 5")+COUNTIF('C121'!D9,"Aula 5")+COUNTIF('C122'!D9,"Aula 5"))&gt;0,1,0))=1,IF((COUNTIF('C111'!D9,"Aula 5")+COUNTIF('C112'!D9,"Aula 5")+COUNTIF('C113'!D9,"Aula 5")+COUNTIF('C121'!D9,"Aula 5")+COUNTIF('C122'!D9,"Aula 5"))&gt;0,"C1",""),"MIX"))</f>
        <v/>
      </c>
    </row>
    <row r="146">
      <c r="C146">
        <f>IF((IF((COUNTIF('C111'!D9,"Aula 6")+COUNTIF('C112'!D9,"Aula 6")+COUNTIF('C113'!D9,"Aula 6")+COUNTIF('C121'!D9,"Aula 6")+COUNTIF('C122'!D9,"Aula 6"))&gt;0,1,0))=0,"",IF((IF((COUNTIF('C111'!D9,"Aula 6")+COUNTIF('C112'!D9,"Aula 6")+COUNTIF('C113'!D9,"Aula 6")+COUNTIF('C121'!D9,"Aula 6")+COUNTIF('C122'!D9,"Aula 6"))&gt;0,1,0))=1,IF((COUNTIF('C111'!D9,"Aula 6")+COUNTIF('C112'!D9,"Aula 6")+COUNTIF('C113'!D9,"Aula 6")+COUNTIF('C121'!D9,"Aula 6")+COUNTIF('C122'!D9,"Aula 6"))&gt;0,"C1",""),"MIX"))</f>
        <v/>
      </c>
    </row>
    <row r="147">
      <c r="C147">
        <f>IF((IF((COUNTIF('C111'!D9,"Aula 7")+COUNTIF('C112'!D9,"Aula 7")+COUNTIF('C113'!D9,"Aula 7")+COUNTIF('C121'!D9,"Aula 7")+COUNTIF('C122'!D9,"Aula 7"))&gt;0,1,0))=0,"",IF((IF((COUNTIF('C111'!D9,"Aula 7")+COUNTIF('C112'!D9,"Aula 7")+COUNTIF('C113'!D9,"Aula 7")+COUNTIF('C121'!D9,"Aula 7")+COUNTIF('C122'!D9,"Aula 7"))&gt;0,1,0))=1,IF((COUNTIF('C111'!D9,"Aula 7")+COUNTIF('C112'!D9,"Aula 7")+COUNTIF('C113'!D9,"Aula 7")+COUNTIF('C121'!D9,"Aula 7")+COUNTIF('C122'!D9,"Aula 7"))&gt;0,"C1",""),"MIX"))</f>
        <v/>
      </c>
    </row>
    <row r="148">
      <c r="C148">
        <f>IF((IF((COUNTIF('C111'!D9,"Aula 8")+COUNTIF('C112'!D9,"Aula 8")+COUNTIF('C113'!D9,"Aula 8")+COUNTIF('C121'!D9,"Aula 8")+COUNTIF('C122'!D9,"Aula 8"))&gt;0,1,0))=0,"",IF((IF((COUNTIF('C111'!D9,"Aula 8")+COUNTIF('C112'!D9,"Aula 8")+COUNTIF('C113'!D9,"Aula 8")+COUNTIF('C121'!D9,"Aula 8")+COUNTIF('C122'!D9,"Aula 8"))&gt;0,1,0))=1,IF((COUNTIF('C111'!D9,"Aula 8")+COUNTIF('C112'!D9,"Aula 8")+COUNTIF('C113'!D9,"Aula 8")+COUNTIF('C121'!D9,"Aula 8")+COUNTIF('C122'!D9,"Aula 8"))&gt;0,"C1",""),"MIX"))</f>
        <v/>
      </c>
    </row>
    <row r="149">
      <c r="C149">
        <f>IF((IF((COUNTIF('C111'!D9,"Aula 9")+COUNTIF('C112'!D9,"Aula 9")+COUNTIF('C113'!D9,"Aula 9")+COUNTIF('C121'!D9,"Aula 9")+COUNTIF('C122'!D9,"Aula 9"))&gt;0,1,0))=0,"",IF((IF((COUNTIF('C111'!D9,"Aula 9")+COUNTIF('C112'!D9,"Aula 9")+COUNTIF('C113'!D9,"Aula 9")+COUNTIF('C121'!D9,"Aula 9")+COUNTIF('C122'!D9,"Aula 9"))&gt;0,1,0))=1,IF((COUNTIF('C111'!D9,"Aula 9")+COUNTIF('C112'!D9,"Aula 9")+COUNTIF('C113'!D9,"Aula 9")+COUNTIF('C121'!D9,"Aula 9")+COUNTIF('C122'!D9,"Aula 9"))&gt;0,"C1",""),"MIX"))</f>
        <v/>
      </c>
    </row>
    <row r="150">
      <c r="C150">
        <f>IF((IF((COUNTIF('C111'!D9,"Lab")+COUNTIF('C112'!D9,"Lab")+COUNTIF('C113'!D9,"Lab")+COUNTIF('C121'!D9,"Lab")+COUNTIF('C122'!D9,"Lab"))&gt;0,1,0))=0,"",IF((IF((COUNTIF('C111'!D9,"Lab")+COUNTIF('C112'!D9,"Lab")+COUNTIF('C113'!D9,"Lab")+COUNTIF('C121'!D9,"Lab")+COUNTIF('C122'!D9,"Lab"))&gt;0,1,0))=1,IF((COUNTIF('C111'!D9,"Lab")+COUNTIF('C112'!D9,"Lab")+COUNTIF('C113'!D9,"Lab")+COUNTIF('C121'!D9,"Lab")+COUNTIF('C122'!D9,"Lab"))&gt;0,"C1",""),"MIX"))</f>
        <v/>
      </c>
    </row>
    <row r="151">
      <c r="C151">
        <f>IF((IF((COUNTIF('C111'!D11,"Aula 1")+COUNTIF('C112'!D11,"Aula 1")+COUNTIF('C113'!D11,"Aula 1")+COUNTIF('C121'!D11,"Aula 1")+COUNTIF('C122'!D11,"Aula 1"))&gt;0,1,0))=0,"",IF((IF((COUNTIF('C111'!D11,"Aula 1")+COUNTIF('C112'!D11,"Aula 1")+COUNTIF('C113'!D11,"Aula 1")+COUNTIF('C121'!D11,"Aula 1")+COUNTIF('C122'!D11,"Aula 1"))&gt;0,1,0))=1,IF((COUNTIF('C111'!D11,"Aula 1")+COUNTIF('C112'!D11,"Aula 1")+COUNTIF('C113'!D11,"Aula 1")+COUNTIF('C121'!D11,"Aula 1")+COUNTIF('C122'!D11,"Aula 1"))&gt;0,"C1",""),"MIX"))</f>
        <v/>
      </c>
    </row>
    <row r="152">
      <c r="C152">
        <f>IF((IF((COUNTIF('C111'!D11,"Aula 2")+COUNTIF('C112'!D11,"Aula 2")+COUNTIF('C113'!D11,"Aula 2")+COUNTIF('C121'!D11,"Aula 2")+COUNTIF('C122'!D11,"Aula 2"))&gt;0,1,0))=0,"",IF((IF((COUNTIF('C111'!D11,"Aula 2")+COUNTIF('C112'!D11,"Aula 2")+COUNTIF('C113'!D11,"Aula 2")+COUNTIF('C121'!D11,"Aula 2")+COUNTIF('C122'!D11,"Aula 2"))&gt;0,1,0))=1,IF((COUNTIF('C111'!D11,"Aula 2")+COUNTIF('C112'!D11,"Aula 2")+COUNTIF('C113'!D11,"Aula 2")+COUNTIF('C121'!D11,"Aula 2")+COUNTIF('C122'!D11,"Aula 2"))&gt;0,"C1",""),"MIX"))</f>
        <v/>
      </c>
    </row>
    <row r="153">
      <c r="C153">
        <f>IF((IF((COUNTIF('C111'!D11,"Aula 3")+COUNTIF('C112'!D11,"Aula 3")+COUNTIF('C113'!D11,"Aula 3")+COUNTIF('C121'!D11,"Aula 3")+COUNTIF('C122'!D11,"Aula 3"))&gt;0,1,0))=0,"",IF((IF((COUNTIF('C111'!D11,"Aula 3")+COUNTIF('C112'!D11,"Aula 3")+COUNTIF('C113'!D11,"Aula 3")+COUNTIF('C121'!D11,"Aula 3")+COUNTIF('C122'!D11,"Aula 3"))&gt;0,1,0))=1,IF((COUNTIF('C111'!D11,"Aula 3")+COUNTIF('C112'!D11,"Aula 3")+COUNTIF('C113'!D11,"Aula 3")+COUNTIF('C121'!D11,"Aula 3")+COUNTIF('C122'!D11,"Aula 3"))&gt;0,"C1",""),"MIX"))</f>
        <v/>
      </c>
    </row>
    <row r="154">
      <c r="C154">
        <f>IF((IF((COUNTIF('C111'!D11,"Aula 4")+COUNTIF('C112'!D11,"Aula 4")+COUNTIF('C113'!D11,"Aula 4")+COUNTIF('C121'!D11,"Aula 4")+COUNTIF('C122'!D11,"Aula 4"))&gt;0,1,0))=0,"",IF((IF((COUNTIF('C111'!D11,"Aula 4")+COUNTIF('C112'!D11,"Aula 4")+COUNTIF('C113'!D11,"Aula 4")+COUNTIF('C121'!D11,"Aula 4")+COUNTIF('C122'!D11,"Aula 4"))&gt;0,1,0))=1,IF((COUNTIF('C111'!D11,"Aula 4")+COUNTIF('C112'!D11,"Aula 4")+COUNTIF('C113'!D11,"Aula 4")+COUNTIF('C121'!D11,"Aula 4")+COUNTIF('C122'!D11,"Aula 4"))&gt;0,"C1",""),"MIX"))</f>
        <v/>
      </c>
    </row>
    <row r="155">
      <c r="C155">
        <f>IF((IF((COUNTIF('C111'!D11,"Aula 5")+COUNTIF('C112'!D11,"Aula 5")+COUNTIF('C113'!D11,"Aula 5")+COUNTIF('C121'!D11,"Aula 5")+COUNTIF('C122'!D11,"Aula 5"))&gt;0,1,0))=0,"",IF((IF((COUNTIF('C111'!D11,"Aula 5")+COUNTIF('C112'!D11,"Aula 5")+COUNTIF('C113'!D11,"Aula 5")+COUNTIF('C121'!D11,"Aula 5")+COUNTIF('C122'!D11,"Aula 5"))&gt;0,1,0))=1,IF((COUNTIF('C111'!D11,"Aula 5")+COUNTIF('C112'!D11,"Aula 5")+COUNTIF('C113'!D11,"Aula 5")+COUNTIF('C121'!D11,"Aula 5")+COUNTIF('C122'!D11,"Aula 5"))&gt;0,"C1",""),"MIX"))</f>
        <v/>
      </c>
    </row>
    <row r="156">
      <c r="C156">
        <f>IF((IF((COUNTIF('C111'!D11,"Aula 6")+COUNTIF('C112'!D11,"Aula 6")+COUNTIF('C113'!D11,"Aula 6")+COUNTIF('C121'!D11,"Aula 6")+COUNTIF('C122'!D11,"Aula 6"))&gt;0,1,0))=0,"",IF((IF((COUNTIF('C111'!D11,"Aula 6")+COUNTIF('C112'!D11,"Aula 6")+COUNTIF('C113'!D11,"Aula 6")+COUNTIF('C121'!D11,"Aula 6")+COUNTIF('C122'!D11,"Aula 6"))&gt;0,1,0))=1,IF((COUNTIF('C111'!D11,"Aula 6")+COUNTIF('C112'!D11,"Aula 6")+COUNTIF('C113'!D11,"Aula 6")+COUNTIF('C121'!D11,"Aula 6")+COUNTIF('C122'!D11,"Aula 6"))&gt;0,"C1",""),"MIX"))</f>
        <v/>
      </c>
    </row>
    <row r="157">
      <c r="C157">
        <f>IF((IF((COUNTIF('C111'!D11,"Aula 7")+COUNTIF('C112'!D11,"Aula 7")+COUNTIF('C113'!D11,"Aula 7")+COUNTIF('C121'!D11,"Aula 7")+COUNTIF('C122'!D11,"Aula 7"))&gt;0,1,0))=0,"",IF((IF((COUNTIF('C111'!D11,"Aula 7")+COUNTIF('C112'!D11,"Aula 7")+COUNTIF('C113'!D11,"Aula 7")+COUNTIF('C121'!D11,"Aula 7")+COUNTIF('C122'!D11,"Aula 7"))&gt;0,1,0))=1,IF((COUNTIF('C111'!D11,"Aula 7")+COUNTIF('C112'!D11,"Aula 7")+COUNTIF('C113'!D11,"Aula 7")+COUNTIF('C121'!D11,"Aula 7")+COUNTIF('C122'!D11,"Aula 7"))&gt;0,"C1",""),"MIX"))</f>
        <v/>
      </c>
    </row>
    <row r="158">
      <c r="C158">
        <f>IF((IF((COUNTIF('C111'!D11,"Aula 8")+COUNTIF('C112'!D11,"Aula 8")+COUNTIF('C113'!D11,"Aula 8")+COUNTIF('C121'!D11,"Aula 8")+COUNTIF('C122'!D11,"Aula 8"))&gt;0,1,0))=0,"",IF((IF((COUNTIF('C111'!D11,"Aula 8")+COUNTIF('C112'!D11,"Aula 8")+COUNTIF('C113'!D11,"Aula 8")+COUNTIF('C121'!D11,"Aula 8")+COUNTIF('C122'!D11,"Aula 8"))&gt;0,1,0))=1,IF((COUNTIF('C111'!D11,"Aula 8")+COUNTIF('C112'!D11,"Aula 8")+COUNTIF('C113'!D11,"Aula 8")+COUNTIF('C121'!D11,"Aula 8")+COUNTIF('C122'!D11,"Aula 8"))&gt;0,"C1",""),"MIX"))</f>
        <v/>
      </c>
    </row>
    <row r="159">
      <c r="C159">
        <f>IF((IF((COUNTIF('C111'!D11,"Aula 9")+COUNTIF('C112'!D11,"Aula 9")+COUNTIF('C113'!D11,"Aula 9")+COUNTIF('C121'!D11,"Aula 9")+COUNTIF('C122'!D11,"Aula 9"))&gt;0,1,0))=0,"",IF((IF((COUNTIF('C111'!D11,"Aula 9")+COUNTIF('C112'!D11,"Aula 9")+COUNTIF('C113'!D11,"Aula 9")+COUNTIF('C121'!D11,"Aula 9")+COUNTIF('C122'!D11,"Aula 9"))&gt;0,1,0))=1,IF((COUNTIF('C111'!D11,"Aula 9")+COUNTIF('C112'!D11,"Aula 9")+COUNTIF('C113'!D11,"Aula 9")+COUNTIF('C121'!D11,"Aula 9")+COUNTIF('C122'!D11,"Aula 9"))&gt;0,"C1",""),"MIX"))</f>
        <v/>
      </c>
    </row>
    <row r="160">
      <c r="C160">
        <f>IF((IF((COUNTIF('C111'!D11,"Lab")+COUNTIF('C112'!D11,"Lab")+COUNTIF('C113'!D11,"Lab")+COUNTIF('C121'!D11,"Lab")+COUNTIF('C122'!D11,"Lab"))&gt;0,1,0))=0,"",IF((IF((COUNTIF('C111'!D11,"Lab")+COUNTIF('C112'!D11,"Lab")+COUNTIF('C113'!D11,"Lab")+COUNTIF('C121'!D11,"Lab")+COUNTIF('C122'!D11,"Lab"))&gt;0,1,0))=1,IF((COUNTIF('C111'!D11,"Lab")+COUNTIF('C112'!D11,"Lab")+COUNTIF('C113'!D11,"Lab")+COUNTIF('C121'!D11,"Lab")+COUNTIF('C122'!D11,"Lab"))&gt;0,"C1",""),"MIX"))</f>
        <v/>
      </c>
    </row>
    <row r="161">
      <c r="C161">
        <f>IF((IF((COUNTIF('C111'!D13,"Aula 1")+COUNTIF('C112'!D13,"Aula 1")+COUNTIF('C113'!D13,"Aula 1")+COUNTIF('C121'!D13,"Aula 1")+COUNTIF('C122'!D13,"Aula 1"))&gt;0,1,0))=0,"",IF((IF((COUNTIF('C111'!D13,"Aula 1")+COUNTIF('C112'!D13,"Aula 1")+COUNTIF('C113'!D13,"Aula 1")+COUNTIF('C121'!D13,"Aula 1")+COUNTIF('C122'!D13,"Aula 1"))&gt;0,1,0))=1,IF((COUNTIF('C111'!D13,"Aula 1")+COUNTIF('C112'!D13,"Aula 1")+COUNTIF('C113'!D13,"Aula 1")+COUNTIF('C121'!D13,"Aula 1")+COUNTIF('C122'!D13,"Aula 1"))&gt;0,"C1",""),"MIX"))</f>
        <v/>
      </c>
    </row>
    <row r="162">
      <c r="C162">
        <f>IF((IF((COUNTIF('C111'!D13,"Aula 2")+COUNTIF('C112'!D13,"Aula 2")+COUNTIF('C113'!D13,"Aula 2")+COUNTIF('C121'!D13,"Aula 2")+COUNTIF('C122'!D13,"Aula 2"))&gt;0,1,0))=0,"",IF((IF((COUNTIF('C111'!D13,"Aula 2")+COUNTIF('C112'!D13,"Aula 2")+COUNTIF('C113'!D13,"Aula 2")+COUNTIF('C121'!D13,"Aula 2")+COUNTIF('C122'!D13,"Aula 2"))&gt;0,1,0))=1,IF((COUNTIF('C111'!D13,"Aula 2")+COUNTIF('C112'!D13,"Aula 2")+COUNTIF('C113'!D13,"Aula 2")+COUNTIF('C121'!D13,"Aula 2")+COUNTIF('C122'!D13,"Aula 2"))&gt;0,"C1",""),"MIX"))</f>
        <v/>
      </c>
    </row>
    <row r="163">
      <c r="C163">
        <f>IF((IF((COUNTIF('C111'!D13,"Aula 3")+COUNTIF('C112'!D13,"Aula 3")+COUNTIF('C113'!D13,"Aula 3")+COUNTIF('C121'!D13,"Aula 3")+COUNTIF('C122'!D13,"Aula 3"))&gt;0,1,0))=0,"",IF((IF((COUNTIF('C111'!D13,"Aula 3")+COUNTIF('C112'!D13,"Aula 3")+COUNTIF('C113'!D13,"Aula 3")+COUNTIF('C121'!D13,"Aula 3")+COUNTIF('C122'!D13,"Aula 3"))&gt;0,1,0))=1,IF((COUNTIF('C111'!D13,"Aula 3")+COUNTIF('C112'!D13,"Aula 3")+COUNTIF('C113'!D13,"Aula 3")+COUNTIF('C121'!D13,"Aula 3")+COUNTIF('C122'!D13,"Aula 3"))&gt;0,"C1",""),"MIX"))</f>
        <v/>
      </c>
    </row>
    <row r="164">
      <c r="C164">
        <f>IF((IF((COUNTIF('C111'!D13,"Aula 4")+COUNTIF('C112'!D13,"Aula 4")+COUNTIF('C113'!D13,"Aula 4")+COUNTIF('C121'!D13,"Aula 4")+COUNTIF('C122'!D13,"Aula 4"))&gt;0,1,0))=0,"",IF((IF((COUNTIF('C111'!D13,"Aula 4")+COUNTIF('C112'!D13,"Aula 4")+COUNTIF('C113'!D13,"Aula 4")+COUNTIF('C121'!D13,"Aula 4")+COUNTIF('C122'!D13,"Aula 4"))&gt;0,1,0))=1,IF((COUNTIF('C111'!D13,"Aula 4")+COUNTIF('C112'!D13,"Aula 4")+COUNTIF('C113'!D13,"Aula 4")+COUNTIF('C121'!D13,"Aula 4")+COUNTIF('C122'!D13,"Aula 4"))&gt;0,"C1",""),"MIX"))</f>
        <v/>
      </c>
    </row>
    <row r="165">
      <c r="C165">
        <f>IF((IF((COUNTIF('C111'!D13,"Aula 5")+COUNTIF('C112'!D13,"Aula 5")+COUNTIF('C113'!D13,"Aula 5")+COUNTIF('C121'!D13,"Aula 5")+COUNTIF('C122'!D13,"Aula 5"))&gt;0,1,0))=0,"",IF((IF((COUNTIF('C111'!D13,"Aula 5")+COUNTIF('C112'!D13,"Aula 5")+COUNTIF('C113'!D13,"Aula 5")+COUNTIF('C121'!D13,"Aula 5")+COUNTIF('C122'!D13,"Aula 5"))&gt;0,1,0))=1,IF((COUNTIF('C111'!D13,"Aula 5")+COUNTIF('C112'!D13,"Aula 5")+COUNTIF('C113'!D13,"Aula 5")+COUNTIF('C121'!D13,"Aula 5")+COUNTIF('C122'!D13,"Aula 5"))&gt;0,"C1",""),"MIX"))</f>
        <v/>
      </c>
    </row>
    <row r="166">
      <c r="C166">
        <f>IF((IF((COUNTIF('C111'!D13,"Aula 6")+COUNTIF('C112'!D13,"Aula 6")+COUNTIF('C113'!D13,"Aula 6")+COUNTIF('C121'!D13,"Aula 6")+COUNTIF('C122'!D13,"Aula 6"))&gt;0,1,0))=0,"",IF((IF((COUNTIF('C111'!D13,"Aula 6")+COUNTIF('C112'!D13,"Aula 6")+COUNTIF('C113'!D13,"Aula 6")+COUNTIF('C121'!D13,"Aula 6")+COUNTIF('C122'!D13,"Aula 6"))&gt;0,1,0))=1,IF((COUNTIF('C111'!D13,"Aula 6")+COUNTIF('C112'!D13,"Aula 6")+COUNTIF('C113'!D13,"Aula 6")+COUNTIF('C121'!D13,"Aula 6")+COUNTIF('C122'!D13,"Aula 6"))&gt;0,"C1",""),"MIX"))</f>
        <v/>
      </c>
    </row>
    <row r="167">
      <c r="C167">
        <f>IF((IF((COUNTIF('C111'!D13,"Aula 7")+COUNTIF('C112'!D13,"Aula 7")+COUNTIF('C113'!D13,"Aula 7")+COUNTIF('C121'!D13,"Aula 7")+COUNTIF('C122'!D13,"Aula 7"))&gt;0,1,0))=0,"",IF((IF((COUNTIF('C111'!D13,"Aula 7")+COUNTIF('C112'!D13,"Aula 7")+COUNTIF('C113'!D13,"Aula 7")+COUNTIF('C121'!D13,"Aula 7")+COUNTIF('C122'!D13,"Aula 7"))&gt;0,1,0))=1,IF((COUNTIF('C111'!D13,"Aula 7")+COUNTIF('C112'!D13,"Aula 7")+COUNTIF('C113'!D13,"Aula 7")+COUNTIF('C121'!D13,"Aula 7")+COUNTIF('C122'!D13,"Aula 7"))&gt;0,"C1",""),"MIX"))</f>
        <v/>
      </c>
    </row>
    <row r="168">
      <c r="C168">
        <f>IF((IF((COUNTIF('C111'!D13,"Aula 8")+COUNTIF('C112'!D13,"Aula 8")+COUNTIF('C113'!D13,"Aula 8")+COUNTIF('C121'!D13,"Aula 8")+COUNTIF('C122'!D13,"Aula 8"))&gt;0,1,0))=0,"",IF((IF((COUNTIF('C111'!D13,"Aula 8")+COUNTIF('C112'!D13,"Aula 8")+COUNTIF('C113'!D13,"Aula 8")+COUNTIF('C121'!D13,"Aula 8")+COUNTIF('C122'!D13,"Aula 8"))&gt;0,1,0))=1,IF((COUNTIF('C111'!D13,"Aula 8")+COUNTIF('C112'!D13,"Aula 8")+COUNTIF('C113'!D13,"Aula 8")+COUNTIF('C121'!D13,"Aula 8")+COUNTIF('C122'!D13,"Aula 8"))&gt;0,"C1",""),"MIX"))</f>
        <v/>
      </c>
    </row>
    <row r="169">
      <c r="C169">
        <f>IF((IF((COUNTIF('C111'!D13,"Aula 9")+COUNTIF('C112'!D13,"Aula 9")+COUNTIF('C113'!D13,"Aula 9")+COUNTIF('C121'!D13,"Aula 9")+COUNTIF('C122'!D13,"Aula 9"))&gt;0,1,0))=0,"",IF((IF((COUNTIF('C111'!D13,"Aula 9")+COUNTIF('C112'!D13,"Aula 9")+COUNTIF('C113'!D13,"Aula 9")+COUNTIF('C121'!D13,"Aula 9")+COUNTIF('C122'!D13,"Aula 9"))&gt;0,1,0))=1,IF((COUNTIF('C111'!D13,"Aula 9")+COUNTIF('C112'!D13,"Aula 9")+COUNTIF('C113'!D13,"Aula 9")+COUNTIF('C121'!D13,"Aula 9")+COUNTIF('C122'!D13,"Aula 9"))&gt;0,"C1",""),"MIX"))</f>
        <v/>
      </c>
    </row>
    <row r="170">
      <c r="C170">
        <f>IF((IF((COUNTIF('C111'!D13,"Lab")+COUNTIF('C112'!D13,"Lab")+COUNTIF('C113'!D13,"Lab")+COUNTIF('C121'!D13,"Lab")+COUNTIF('C122'!D13,"Lab"))&gt;0,1,0))=0,"",IF((IF((COUNTIF('C111'!D13,"Lab")+COUNTIF('C112'!D13,"Lab")+COUNTIF('C113'!D13,"Lab")+COUNTIF('C121'!D13,"Lab")+COUNTIF('C122'!D13,"Lab"))&gt;0,1,0))=1,IF((COUNTIF('C111'!D13,"Lab")+COUNTIF('C112'!D13,"Lab")+COUNTIF('C113'!D13,"Lab")+COUNTIF('C121'!D13,"Lab")+COUNTIF('C122'!D13,"Lab"))&gt;0,"C1",""),"MIX"))</f>
        <v/>
      </c>
    </row>
    <row r="171">
      <c r="C171">
        <f>IF((IF((COUNTIF('C111'!D15,"Aula 1")+COUNTIF('C112'!D15,"Aula 1")+COUNTIF('C113'!D15,"Aula 1")+COUNTIF('C121'!D15,"Aula 1")+COUNTIF('C122'!D15,"Aula 1"))&gt;0,1,0))=0,"",IF((IF((COUNTIF('C111'!D15,"Aula 1")+COUNTIF('C112'!D15,"Aula 1")+COUNTIF('C113'!D15,"Aula 1")+COUNTIF('C121'!D15,"Aula 1")+COUNTIF('C122'!D15,"Aula 1"))&gt;0,1,0))=1,IF((COUNTIF('C111'!D15,"Aula 1")+COUNTIF('C112'!D15,"Aula 1")+COUNTIF('C113'!D15,"Aula 1")+COUNTIF('C121'!D15,"Aula 1")+COUNTIF('C122'!D15,"Aula 1"))&gt;0,"C1",""),"MIX"))</f>
        <v/>
      </c>
    </row>
    <row r="172">
      <c r="C172">
        <f>IF((IF((COUNTIF('C111'!D15,"Aula 2")+COUNTIF('C112'!D15,"Aula 2")+COUNTIF('C113'!D15,"Aula 2")+COUNTIF('C121'!D15,"Aula 2")+COUNTIF('C122'!D15,"Aula 2"))&gt;0,1,0))=0,"",IF((IF((COUNTIF('C111'!D15,"Aula 2")+COUNTIF('C112'!D15,"Aula 2")+COUNTIF('C113'!D15,"Aula 2")+COUNTIF('C121'!D15,"Aula 2")+COUNTIF('C122'!D15,"Aula 2"))&gt;0,1,0))=1,IF((COUNTIF('C111'!D15,"Aula 2")+COUNTIF('C112'!D15,"Aula 2")+COUNTIF('C113'!D15,"Aula 2")+COUNTIF('C121'!D15,"Aula 2")+COUNTIF('C122'!D15,"Aula 2"))&gt;0,"C1",""),"MIX"))</f>
        <v/>
      </c>
    </row>
    <row r="173">
      <c r="C173">
        <f>IF((IF((COUNTIF('C111'!D15,"Aula 3")+COUNTIF('C112'!D15,"Aula 3")+COUNTIF('C113'!D15,"Aula 3")+COUNTIF('C121'!D15,"Aula 3")+COUNTIF('C122'!D15,"Aula 3"))&gt;0,1,0))=0,"",IF((IF((COUNTIF('C111'!D15,"Aula 3")+COUNTIF('C112'!D15,"Aula 3")+COUNTIF('C113'!D15,"Aula 3")+COUNTIF('C121'!D15,"Aula 3")+COUNTIF('C122'!D15,"Aula 3"))&gt;0,1,0))=1,IF((COUNTIF('C111'!D15,"Aula 3")+COUNTIF('C112'!D15,"Aula 3")+COUNTIF('C113'!D15,"Aula 3")+COUNTIF('C121'!D15,"Aula 3")+COUNTIF('C122'!D15,"Aula 3"))&gt;0,"C1",""),"MIX"))</f>
        <v/>
      </c>
    </row>
    <row r="174">
      <c r="C174">
        <f>IF((IF((COUNTIF('C111'!D15,"Aula 4")+COUNTIF('C112'!D15,"Aula 4")+COUNTIF('C113'!D15,"Aula 4")+COUNTIF('C121'!D15,"Aula 4")+COUNTIF('C122'!D15,"Aula 4"))&gt;0,1,0))=0,"",IF((IF((COUNTIF('C111'!D15,"Aula 4")+COUNTIF('C112'!D15,"Aula 4")+COUNTIF('C113'!D15,"Aula 4")+COUNTIF('C121'!D15,"Aula 4")+COUNTIF('C122'!D15,"Aula 4"))&gt;0,1,0))=1,IF((COUNTIF('C111'!D15,"Aula 4")+COUNTIF('C112'!D15,"Aula 4")+COUNTIF('C113'!D15,"Aula 4")+COUNTIF('C121'!D15,"Aula 4")+COUNTIF('C122'!D15,"Aula 4"))&gt;0,"C1",""),"MIX"))</f>
        <v/>
      </c>
    </row>
    <row r="175">
      <c r="C175">
        <f>IF((IF((COUNTIF('C111'!D15,"Aula 5")+COUNTIF('C112'!D15,"Aula 5")+COUNTIF('C113'!D15,"Aula 5")+COUNTIF('C121'!D15,"Aula 5")+COUNTIF('C122'!D15,"Aula 5"))&gt;0,1,0))=0,"",IF((IF((COUNTIF('C111'!D15,"Aula 5")+COUNTIF('C112'!D15,"Aula 5")+COUNTIF('C113'!D15,"Aula 5")+COUNTIF('C121'!D15,"Aula 5")+COUNTIF('C122'!D15,"Aula 5"))&gt;0,1,0))=1,IF((COUNTIF('C111'!D15,"Aula 5")+COUNTIF('C112'!D15,"Aula 5")+COUNTIF('C113'!D15,"Aula 5")+COUNTIF('C121'!D15,"Aula 5")+COUNTIF('C122'!D15,"Aula 5"))&gt;0,"C1",""),"MIX"))</f>
        <v/>
      </c>
    </row>
    <row r="176">
      <c r="C176">
        <f>IF((IF((COUNTIF('C111'!D15,"Aula 6")+COUNTIF('C112'!D15,"Aula 6")+COUNTIF('C113'!D15,"Aula 6")+COUNTIF('C121'!D15,"Aula 6")+COUNTIF('C122'!D15,"Aula 6"))&gt;0,1,0))=0,"",IF((IF((COUNTIF('C111'!D15,"Aula 6")+COUNTIF('C112'!D15,"Aula 6")+COUNTIF('C113'!D15,"Aula 6")+COUNTIF('C121'!D15,"Aula 6")+COUNTIF('C122'!D15,"Aula 6"))&gt;0,1,0))=1,IF((COUNTIF('C111'!D15,"Aula 6")+COUNTIF('C112'!D15,"Aula 6")+COUNTIF('C113'!D15,"Aula 6")+COUNTIF('C121'!D15,"Aula 6")+COUNTIF('C122'!D15,"Aula 6"))&gt;0,"C1",""),"MIX"))</f>
        <v/>
      </c>
    </row>
    <row r="177">
      <c r="C177">
        <f>IF((IF((COUNTIF('C111'!D15,"Aula 7")+COUNTIF('C112'!D15,"Aula 7")+COUNTIF('C113'!D15,"Aula 7")+COUNTIF('C121'!D15,"Aula 7")+COUNTIF('C122'!D15,"Aula 7"))&gt;0,1,0))=0,"",IF((IF((COUNTIF('C111'!D15,"Aula 7")+COUNTIF('C112'!D15,"Aula 7")+COUNTIF('C113'!D15,"Aula 7")+COUNTIF('C121'!D15,"Aula 7")+COUNTIF('C122'!D15,"Aula 7"))&gt;0,1,0))=1,IF((COUNTIF('C111'!D15,"Aula 7")+COUNTIF('C112'!D15,"Aula 7")+COUNTIF('C113'!D15,"Aula 7")+COUNTIF('C121'!D15,"Aula 7")+COUNTIF('C122'!D15,"Aula 7"))&gt;0,"C1",""),"MIX"))</f>
        <v/>
      </c>
    </row>
    <row r="178">
      <c r="C178">
        <f>IF((IF((COUNTIF('C111'!D15,"Aula 8")+COUNTIF('C112'!D15,"Aula 8")+COUNTIF('C113'!D15,"Aula 8")+COUNTIF('C121'!D15,"Aula 8")+COUNTIF('C122'!D15,"Aula 8"))&gt;0,1,0))=0,"",IF((IF((COUNTIF('C111'!D15,"Aula 8")+COUNTIF('C112'!D15,"Aula 8")+COUNTIF('C113'!D15,"Aula 8")+COUNTIF('C121'!D15,"Aula 8")+COUNTIF('C122'!D15,"Aula 8"))&gt;0,1,0))=1,IF((COUNTIF('C111'!D15,"Aula 8")+COUNTIF('C112'!D15,"Aula 8")+COUNTIF('C113'!D15,"Aula 8")+COUNTIF('C121'!D15,"Aula 8")+COUNTIF('C122'!D15,"Aula 8"))&gt;0,"C1",""),"MIX"))</f>
        <v/>
      </c>
    </row>
    <row r="179">
      <c r="C179">
        <f>IF((IF((COUNTIF('C111'!D15,"Aula 9")+COUNTIF('C112'!D15,"Aula 9")+COUNTIF('C113'!D15,"Aula 9")+COUNTIF('C121'!D15,"Aula 9")+COUNTIF('C122'!D15,"Aula 9"))&gt;0,1,0))=0,"",IF((IF((COUNTIF('C111'!D15,"Aula 9")+COUNTIF('C112'!D15,"Aula 9")+COUNTIF('C113'!D15,"Aula 9")+COUNTIF('C121'!D15,"Aula 9")+COUNTIF('C122'!D15,"Aula 9"))&gt;0,1,0))=1,IF((COUNTIF('C111'!D15,"Aula 9")+COUNTIF('C112'!D15,"Aula 9")+COUNTIF('C113'!D15,"Aula 9")+COUNTIF('C121'!D15,"Aula 9")+COUNTIF('C122'!D15,"Aula 9"))&gt;0,"C1",""),"MIX"))</f>
        <v/>
      </c>
    </row>
    <row r="180">
      <c r="C180">
        <f>IF((IF((COUNTIF('C111'!D15,"Lab")+COUNTIF('C112'!D15,"Lab")+COUNTIF('C113'!D15,"Lab")+COUNTIF('C121'!D15,"Lab")+COUNTIF('C122'!D15,"Lab"))&gt;0,1,0))=0,"",IF((IF((COUNTIF('C111'!D15,"Lab")+COUNTIF('C112'!D15,"Lab")+COUNTIF('C113'!D15,"Lab")+COUNTIF('C121'!D15,"Lab")+COUNTIF('C122'!D15,"Lab"))&gt;0,1,0))=1,IF((COUNTIF('C111'!D15,"Lab")+COUNTIF('C112'!D15,"Lab")+COUNTIF('C113'!D15,"Lab")+COUNTIF('C121'!D15,"Lab")+COUNTIF('C122'!D15,"Lab"))&gt;0,"C1",""),"MIX"))</f>
        <v/>
      </c>
    </row>
    <row r="181">
      <c r="C181">
        <f>IF((IF((COUNTIF('C111'!E5,"Aula 1")+COUNTIF('C112'!E5,"Aula 1")+COUNTIF('C113'!E5,"Aula 1")+COUNTIF('C121'!E5,"Aula 1")+COUNTIF('C122'!E5,"Aula 1"))&gt;0,1,0))=0,"",IF((IF((COUNTIF('C111'!E5,"Aula 1")+COUNTIF('C112'!E5,"Aula 1")+COUNTIF('C113'!E5,"Aula 1")+COUNTIF('C121'!E5,"Aula 1")+COUNTIF('C122'!E5,"Aula 1"))&gt;0,1,0))=1,IF((COUNTIF('C111'!E5,"Aula 1")+COUNTIF('C112'!E5,"Aula 1")+COUNTIF('C113'!E5,"Aula 1")+COUNTIF('C121'!E5,"Aula 1")+COUNTIF('C122'!E5,"Aula 1"))&gt;0,"C1",""),"MIX"))</f>
        <v/>
      </c>
    </row>
    <row r="182">
      <c r="C182">
        <f>IF((IF((COUNTIF('C111'!E5,"Aula 2")+COUNTIF('C112'!E5,"Aula 2")+COUNTIF('C113'!E5,"Aula 2")+COUNTIF('C121'!E5,"Aula 2")+COUNTIF('C122'!E5,"Aula 2"))&gt;0,1,0))=0,"",IF((IF((COUNTIF('C111'!E5,"Aula 2")+COUNTIF('C112'!E5,"Aula 2")+COUNTIF('C113'!E5,"Aula 2")+COUNTIF('C121'!E5,"Aula 2")+COUNTIF('C122'!E5,"Aula 2"))&gt;0,1,0))=1,IF((COUNTIF('C111'!E5,"Aula 2")+COUNTIF('C112'!E5,"Aula 2")+COUNTIF('C113'!E5,"Aula 2")+COUNTIF('C121'!E5,"Aula 2")+COUNTIF('C122'!E5,"Aula 2"))&gt;0,"C1",""),"MIX"))</f>
        <v/>
      </c>
    </row>
    <row r="183">
      <c r="C183">
        <f>IF((IF((COUNTIF('C111'!E5,"Aula 3")+COUNTIF('C112'!E5,"Aula 3")+COUNTIF('C113'!E5,"Aula 3")+COUNTIF('C121'!E5,"Aula 3")+COUNTIF('C122'!E5,"Aula 3"))&gt;0,1,0))=0,"",IF((IF((COUNTIF('C111'!E5,"Aula 3")+COUNTIF('C112'!E5,"Aula 3")+COUNTIF('C113'!E5,"Aula 3")+COUNTIF('C121'!E5,"Aula 3")+COUNTIF('C122'!E5,"Aula 3"))&gt;0,1,0))=1,IF((COUNTIF('C111'!E5,"Aula 3")+COUNTIF('C112'!E5,"Aula 3")+COUNTIF('C113'!E5,"Aula 3")+COUNTIF('C121'!E5,"Aula 3")+COUNTIF('C122'!E5,"Aula 3"))&gt;0,"C1",""),"MIX"))</f>
        <v/>
      </c>
    </row>
    <row r="184">
      <c r="C184">
        <f>IF((IF((COUNTIF('C111'!E5,"Aula 4")+COUNTIF('C112'!E5,"Aula 4")+COUNTIF('C113'!E5,"Aula 4")+COUNTIF('C121'!E5,"Aula 4")+COUNTIF('C122'!E5,"Aula 4"))&gt;0,1,0))=0,"",IF((IF((COUNTIF('C111'!E5,"Aula 4")+COUNTIF('C112'!E5,"Aula 4")+COUNTIF('C113'!E5,"Aula 4")+COUNTIF('C121'!E5,"Aula 4")+COUNTIF('C122'!E5,"Aula 4"))&gt;0,1,0))=1,IF((COUNTIF('C111'!E5,"Aula 4")+COUNTIF('C112'!E5,"Aula 4")+COUNTIF('C113'!E5,"Aula 4")+COUNTIF('C121'!E5,"Aula 4")+COUNTIF('C122'!E5,"Aula 4"))&gt;0,"C1",""),"MIX"))</f>
        <v/>
      </c>
    </row>
    <row r="185">
      <c r="C185">
        <f>IF((IF((COUNTIF('C111'!E5,"Aula 5")+COUNTIF('C112'!E5,"Aula 5")+COUNTIF('C113'!E5,"Aula 5")+COUNTIF('C121'!E5,"Aula 5")+COUNTIF('C122'!E5,"Aula 5"))&gt;0,1,0))=0,"",IF((IF((COUNTIF('C111'!E5,"Aula 5")+COUNTIF('C112'!E5,"Aula 5")+COUNTIF('C113'!E5,"Aula 5")+COUNTIF('C121'!E5,"Aula 5")+COUNTIF('C122'!E5,"Aula 5"))&gt;0,1,0))=1,IF((COUNTIF('C111'!E5,"Aula 5")+COUNTIF('C112'!E5,"Aula 5")+COUNTIF('C113'!E5,"Aula 5")+COUNTIF('C121'!E5,"Aula 5")+COUNTIF('C122'!E5,"Aula 5"))&gt;0,"C1",""),"MIX"))</f>
        <v/>
      </c>
    </row>
    <row r="186">
      <c r="C186">
        <f>IF((IF((COUNTIF('C111'!E5,"Aula 6")+COUNTIF('C112'!E5,"Aula 6")+COUNTIF('C113'!E5,"Aula 6")+COUNTIF('C121'!E5,"Aula 6")+COUNTIF('C122'!E5,"Aula 6"))&gt;0,1,0))=0,"",IF((IF((COUNTIF('C111'!E5,"Aula 6")+COUNTIF('C112'!E5,"Aula 6")+COUNTIF('C113'!E5,"Aula 6")+COUNTIF('C121'!E5,"Aula 6")+COUNTIF('C122'!E5,"Aula 6"))&gt;0,1,0))=1,IF((COUNTIF('C111'!E5,"Aula 6")+COUNTIF('C112'!E5,"Aula 6")+COUNTIF('C113'!E5,"Aula 6")+COUNTIF('C121'!E5,"Aula 6")+COUNTIF('C122'!E5,"Aula 6"))&gt;0,"C1",""),"MIX"))</f>
        <v/>
      </c>
    </row>
    <row r="187">
      <c r="C187">
        <f>IF((IF((COUNTIF('C111'!E5,"Aula 7")+COUNTIF('C112'!E5,"Aula 7")+COUNTIF('C113'!E5,"Aula 7")+COUNTIF('C121'!E5,"Aula 7")+COUNTIF('C122'!E5,"Aula 7"))&gt;0,1,0))=0,"",IF((IF((COUNTIF('C111'!E5,"Aula 7")+COUNTIF('C112'!E5,"Aula 7")+COUNTIF('C113'!E5,"Aula 7")+COUNTIF('C121'!E5,"Aula 7")+COUNTIF('C122'!E5,"Aula 7"))&gt;0,1,0))=1,IF((COUNTIF('C111'!E5,"Aula 7")+COUNTIF('C112'!E5,"Aula 7")+COUNTIF('C113'!E5,"Aula 7")+COUNTIF('C121'!E5,"Aula 7")+COUNTIF('C122'!E5,"Aula 7"))&gt;0,"C1",""),"MIX"))</f>
        <v/>
      </c>
    </row>
    <row r="188">
      <c r="C188">
        <f>IF((IF((COUNTIF('C111'!E5,"Aula 8")+COUNTIF('C112'!E5,"Aula 8")+COUNTIF('C113'!E5,"Aula 8")+COUNTIF('C121'!E5,"Aula 8")+COUNTIF('C122'!E5,"Aula 8"))&gt;0,1,0))=0,"",IF((IF((COUNTIF('C111'!E5,"Aula 8")+COUNTIF('C112'!E5,"Aula 8")+COUNTIF('C113'!E5,"Aula 8")+COUNTIF('C121'!E5,"Aula 8")+COUNTIF('C122'!E5,"Aula 8"))&gt;0,1,0))=1,IF((COUNTIF('C111'!E5,"Aula 8")+COUNTIF('C112'!E5,"Aula 8")+COUNTIF('C113'!E5,"Aula 8")+COUNTIF('C121'!E5,"Aula 8")+COUNTIF('C122'!E5,"Aula 8"))&gt;0,"C1",""),"MIX"))</f>
        <v/>
      </c>
    </row>
    <row r="189">
      <c r="C189">
        <f>IF((IF((COUNTIF('C111'!E5,"Aula 9")+COUNTIF('C112'!E5,"Aula 9")+COUNTIF('C113'!E5,"Aula 9")+COUNTIF('C121'!E5,"Aula 9")+COUNTIF('C122'!E5,"Aula 9"))&gt;0,1,0))=0,"",IF((IF((COUNTIF('C111'!E5,"Aula 9")+COUNTIF('C112'!E5,"Aula 9")+COUNTIF('C113'!E5,"Aula 9")+COUNTIF('C121'!E5,"Aula 9")+COUNTIF('C122'!E5,"Aula 9"))&gt;0,1,0))=1,IF((COUNTIF('C111'!E5,"Aula 9")+COUNTIF('C112'!E5,"Aula 9")+COUNTIF('C113'!E5,"Aula 9")+COUNTIF('C121'!E5,"Aula 9")+COUNTIF('C122'!E5,"Aula 9"))&gt;0,"C1",""),"MIX"))</f>
        <v/>
      </c>
    </row>
    <row r="190">
      <c r="C190">
        <f>IF((IF((COUNTIF('C111'!E5,"Lab")+COUNTIF('C112'!E5,"Lab")+COUNTIF('C113'!E5,"Lab")+COUNTIF('C121'!E5,"Lab")+COUNTIF('C122'!E5,"Lab"))&gt;0,1,0))=0,"",IF((IF((COUNTIF('C111'!E5,"Lab")+COUNTIF('C112'!E5,"Lab")+COUNTIF('C113'!E5,"Lab")+COUNTIF('C121'!E5,"Lab")+COUNTIF('C122'!E5,"Lab"))&gt;0,1,0))=1,IF((COUNTIF('C111'!E5,"Lab")+COUNTIF('C112'!E5,"Lab")+COUNTIF('C113'!E5,"Lab")+COUNTIF('C121'!E5,"Lab")+COUNTIF('C122'!E5,"Lab"))&gt;0,"C1",""),"MIX"))</f>
        <v/>
      </c>
    </row>
    <row r="191">
      <c r="C191">
        <f>IF((IF((COUNTIF('C111'!E7,"Aula 1")+COUNTIF('C112'!E7,"Aula 1")+COUNTIF('C113'!E7,"Aula 1")+COUNTIF('C121'!E7,"Aula 1")+COUNTIF('C122'!E7,"Aula 1"))&gt;0,1,0))=0,"",IF((IF((COUNTIF('C111'!E7,"Aula 1")+COUNTIF('C112'!E7,"Aula 1")+COUNTIF('C113'!E7,"Aula 1")+COUNTIF('C121'!E7,"Aula 1")+COUNTIF('C122'!E7,"Aula 1"))&gt;0,1,0))=1,IF((COUNTIF('C111'!E7,"Aula 1")+COUNTIF('C112'!E7,"Aula 1")+COUNTIF('C113'!E7,"Aula 1")+COUNTIF('C121'!E7,"Aula 1")+COUNTIF('C122'!E7,"Aula 1"))&gt;0,"C1",""),"MIX"))</f>
        <v/>
      </c>
    </row>
    <row r="192">
      <c r="C192">
        <f>IF((IF((COUNTIF('C111'!E7,"Aula 2")+COUNTIF('C112'!E7,"Aula 2")+COUNTIF('C113'!E7,"Aula 2")+COUNTIF('C121'!E7,"Aula 2")+COUNTIF('C122'!E7,"Aula 2"))&gt;0,1,0))=0,"",IF((IF((COUNTIF('C111'!E7,"Aula 2")+COUNTIF('C112'!E7,"Aula 2")+COUNTIF('C113'!E7,"Aula 2")+COUNTIF('C121'!E7,"Aula 2")+COUNTIF('C122'!E7,"Aula 2"))&gt;0,1,0))=1,IF((COUNTIF('C111'!E7,"Aula 2")+COUNTIF('C112'!E7,"Aula 2")+COUNTIF('C113'!E7,"Aula 2")+COUNTIF('C121'!E7,"Aula 2")+COUNTIF('C122'!E7,"Aula 2"))&gt;0,"C1",""),"MIX"))</f>
        <v/>
      </c>
    </row>
    <row r="193">
      <c r="C193">
        <f>IF((IF((COUNTIF('C111'!E7,"Aula 3")+COUNTIF('C112'!E7,"Aula 3")+COUNTIF('C113'!E7,"Aula 3")+COUNTIF('C121'!E7,"Aula 3")+COUNTIF('C122'!E7,"Aula 3"))&gt;0,1,0))=0,"",IF((IF((COUNTIF('C111'!E7,"Aula 3")+COUNTIF('C112'!E7,"Aula 3")+COUNTIF('C113'!E7,"Aula 3")+COUNTIF('C121'!E7,"Aula 3")+COUNTIF('C122'!E7,"Aula 3"))&gt;0,1,0))=1,IF((COUNTIF('C111'!E7,"Aula 3")+COUNTIF('C112'!E7,"Aula 3")+COUNTIF('C113'!E7,"Aula 3")+COUNTIF('C121'!E7,"Aula 3")+COUNTIF('C122'!E7,"Aula 3"))&gt;0,"C1",""),"MIX"))</f>
        <v/>
      </c>
    </row>
    <row r="194">
      <c r="C194">
        <f>IF((IF((COUNTIF('C111'!E7,"Aula 4")+COUNTIF('C112'!E7,"Aula 4")+COUNTIF('C113'!E7,"Aula 4")+COUNTIF('C121'!E7,"Aula 4")+COUNTIF('C122'!E7,"Aula 4"))&gt;0,1,0))=0,"",IF((IF((COUNTIF('C111'!E7,"Aula 4")+COUNTIF('C112'!E7,"Aula 4")+COUNTIF('C113'!E7,"Aula 4")+COUNTIF('C121'!E7,"Aula 4")+COUNTIF('C122'!E7,"Aula 4"))&gt;0,1,0))=1,IF((COUNTIF('C111'!E7,"Aula 4")+COUNTIF('C112'!E7,"Aula 4")+COUNTIF('C113'!E7,"Aula 4")+COUNTIF('C121'!E7,"Aula 4")+COUNTIF('C122'!E7,"Aula 4"))&gt;0,"C1",""),"MIX"))</f>
        <v/>
      </c>
    </row>
    <row r="195">
      <c r="C195">
        <f>IF((IF((COUNTIF('C111'!E7,"Aula 5")+COUNTIF('C112'!E7,"Aula 5")+COUNTIF('C113'!E7,"Aula 5")+COUNTIF('C121'!E7,"Aula 5")+COUNTIF('C122'!E7,"Aula 5"))&gt;0,1,0))=0,"",IF((IF((COUNTIF('C111'!E7,"Aula 5")+COUNTIF('C112'!E7,"Aula 5")+COUNTIF('C113'!E7,"Aula 5")+COUNTIF('C121'!E7,"Aula 5")+COUNTIF('C122'!E7,"Aula 5"))&gt;0,1,0))=1,IF((COUNTIF('C111'!E7,"Aula 5")+COUNTIF('C112'!E7,"Aula 5")+COUNTIF('C113'!E7,"Aula 5")+COUNTIF('C121'!E7,"Aula 5")+COUNTIF('C122'!E7,"Aula 5"))&gt;0,"C1",""),"MIX"))</f>
        <v/>
      </c>
    </row>
    <row r="196">
      <c r="C196">
        <f>IF((IF((COUNTIF('C111'!E7,"Aula 6")+COUNTIF('C112'!E7,"Aula 6")+COUNTIF('C113'!E7,"Aula 6")+COUNTIF('C121'!E7,"Aula 6")+COUNTIF('C122'!E7,"Aula 6"))&gt;0,1,0))=0,"",IF((IF((COUNTIF('C111'!E7,"Aula 6")+COUNTIF('C112'!E7,"Aula 6")+COUNTIF('C113'!E7,"Aula 6")+COUNTIF('C121'!E7,"Aula 6")+COUNTIF('C122'!E7,"Aula 6"))&gt;0,1,0))=1,IF((COUNTIF('C111'!E7,"Aula 6")+COUNTIF('C112'!E7,"Aula 6")+COUNTIF('C113'!E7,"Aula 6")+COUNTIF('C121'!E7,"Aula 6")+COUNTIF('C122'!E7,"Aula 6"))&gt;0,"C1",""),"MIX"))</f>
        <v/>
      </c>
    </row>
    <row r="197">
      <c r="C197">
        <f>IF((IF((COUNTIF('C111'!E7,"Aula 7")+COUNTIF('C112'!E7,"Aula 7")+COUNTIF('C113'!E7,"Aula 7")+COUNTIF('C121'!E7,"Aula 7")+COUNTIF('C122'!E7,"Aula 7"))&gt;0,1,0))=0,"",IF((IF((COUNTIF('C111'!E7,"Aula 7")+COUNTIF('C112'!E7,"Aula 7")+COUNTIF('C113'!E7,"Aula 7")+COUNTIF('C121'!E7,"Aula 7")+COUNTIF('C122'!E7,"Aula 7"))&gt;0,1,0))=1,IF((COUNTIF('C111'!E7,"Aula 7")+COUNTIF('C112'!E7,"Aula 7")+COUNTIF('C113'!E7,"Aula 7")+COUNTIF('C121'!E7,"Aula 7")+COUNTIF('C122'!E7,"Aula 7"))&gt;0,"C1",""),"MIX"))</f>
        <v/>
      </c>
    </row>
    <row r="198">
      <c r="C198">
        <f>IF((IF((COUNTIF('C111'!E7,"Aula 8")+COUNTIF('C112'!E7,"Aula 8")+COUNTIF('C113'!E7,"Aula 8")+COUNTIF('C121'!E7,"Aula 8")+COUNTIF('C122'!E7,"Aula 8"))&gt;0,1,0))=0,"",IF((IF((COUNTIF('C111'!E7,"Aula 8")+COUNTIF('C112'!E7,"Aula 8")+COUNTIF('C113'!E7,"Aula 8")+COUNTIF('C121'!E7,"Aula 8")+COUNTIF('C122'!E7,"Aula 8"))&gt;0,1,0))=1,IF((COUNTIF('C111'!E7,"Aula 8")+COUNTIF('C112'!E7,"Aula 8")+COUNTIF('C113'!E7,"Aula 8")+COUNTIF('C121'!E7,"Aula 8")+COUNTIF('C122'!E7,"Aula 8"))&gt;0,"C1",""),"MIX"))</f>
        <v/>
      </c>
    </row>
    <row r="199">
      <c r="C199">
        <f>IF((IF((COUNTIF('C111'!E7,"Aula 9")+COUNTIF('C112'!E7,"Aula 9")+COUNTIF('C113'!E7,"Aula 9")+COUNTIF('C121'!E7,"Aula 9")+COUNTIF('C122'!E7,"Aula 9"))&gt;0,1,0))=0,"",IF((IF((COUNTIF('C111'!E7,"Aula 9")+COUNTIF('C112'!E7,"Aula 9")+COUNTIF('C113'!E7,"Aula 9")+COUNTIF('C121'!E7,"Aula 9")+COUNTIF('C122'!E7,"Aula 9"))&gt;0,1,0))=1,IF((COUNTIF('C111'!E7,"Aula 9")+COUNTIF('C112'!E7,"Aula 9")+COUNTIF('C113'!E7,"Aula 9")+COUNTIF('C121'!E7,"Aula 9")+COUNTIF('C122'!E7,"Aula 9"))&gt;0,"C1",""),"MIX"))</f>
        <v/>
      </c>
    </row>
    <row r="200">
      <c r="C200">
        <f>IF((IF((COUNTIF('C111'!E7,"Lab")+COUNTIF('C112'!E7,"Lab")+COUNTIF('C113'!E7,"Lab")+COUNTIF('C121'!E7,"Lab")+COUNTIF('C122'!E7,"Lab"))&gt;0,1,0))=0,"",IF((IF((COUNTIF('C111'!E7,"Lab")+COUNTIF('C112'!E7,"Lab")+COUNTIF('C113'!E7,"Lab")+COUNTIF('C121'!E7,"Lab")+COUNTIF('C122'!E7,"Lab"))&gt;0,1,0))=1,IF((COUNTIF('C111'!E7,"Lab")+COUNTIF('C112'!E7,"Lab")+COUNTIF('C113'!E7,"Lab")+COUNTIF('C121'!E7,"Lab")+COUNTIF('C122'!E7,"Lab"))&gt;0,"C1",""),"MIX"))</f>
        <v/>
      </c>
    </row>
    <row r="201">
      <c r="C201">
        <f>IF((IF((COUNTIF('C111'!E9,"Aula 1")+COUNTIF('C112'!E9,"Aula 1")+COUNTIF('C113'!E9,"Aula 1")+COUNTIF('C121'!E9,"Aula 1")+COUNTIF('C122'!E9,"Aula 1"))&gt;0,1,0))=0,"",IF((IF((COUNTIF('C111'!E9,"Aula 1")+COUNTIF('C112'!E9,"Aula 1")+COUNTIF('C113'!E9,"Aula 1")+COUNTIF('C121'!E9,"Aula 1")+COUNTIF('C122'!E9,"Aula 1"))&gt;0,1,0))=1,IF((COUNTIF('C111'!E9,"Aula 1")+COUNTIF('C112'!E9,"Aula 1")+COUNTIF('C113'!E9,"Aula 1")+COUNTIF('C121'!E9,"Aula 1")+COUNTIF('C122'!E9,"Aula 1"))&gt;0,"C1",""),"MIX"))</f>
        <v/>
      </c>
    </row>
    <row r="202">
      <c r="C202">
        <f>IF((IF((COUNTIF('C111'!E9,"Aula 2")+COUNTIF('C112'!E9,"Aula 2")+COUNTIF('C113'!E9,"Aula 2")+COUNTIF('C121'!E9,"Aula 2")+COUNTIF('C122'!E9,"Aula 2"))&gt;0,1,0))=0,"",IF((IF((COUNTIF('C111'!E9,"Aula 2")+COUNTIF('C112'!E9,"Aula 2")+COUNTIF('C113'!E9,"Aula 2")+COUNTIF('C121'!E9,"Aula 2")+COUNTIF('C122'!E9,"Aula 2"))&gt;0,1,0))=1,IF((COUNTIF('C111'!E9,"Aula 2")+COUNTIF('C112'!E9,"Aula 2")+COUNTIF('C113'!E9,"Aula 2")+COUNTIF('C121'!E9,"Aula 2")+COUNTIF('C122'!E9,"Aula 2"))&gt;0,"C1",""),"MIX"))</f>
        <v/>
      </c>
    </row>
    <row r="203">
      <c r="C203">
        <f>IF((IF((COUNTIF('C111'!E9,"Aula 3")+COUNTIF('C112'!E9,"Aula 3")+COUNTIF('C113'!E9,"Aula 3")+COUNTIF('C121'!E9,"Aula 3")+COUNTIF('C122'!E9,"Aula 3"))&gt;0,1,0))=0,"",IF((IF((COUNTIF('C111'!E9,"Aula 3")+COUNTIF('C112'!E9,"Aula 3")+COUNTIF('C113'!E9,"Aula 3")+COUNTIF('C121'!E9,"Aula 3")+COUNTIF('C122'!E9,"Aula 3"))&gt;0,1,0))=1,IF((COUNTIF('C111'!E9,"Aula 3")+COUNTIF('C112'!E9,"Aula 3")+COUNTIF('C113'!E9,"Aula 3")+COUNTIF('C121'!E9,"Aula 3")+COUNTIF('C122'!E9,"Aula 3"))&gt;0,"C1",""),"MIX"))</f>
        <v/>
      </c>
    </row>
    <row r="204">
      <c r="C204">
        <f>IF((IF((COUNTIF('C111'!E9,"Aula 4")+COUNTIF('C112'!E9,"Aula 4")+COUNTIF('C113'!E9,"Aula 4")+COUNTIF('C121'!E9,"Aula 4")+COUNTIF('C122'!E9,"Aula 4"))&gt;0,1,0))=0,"",IF((IF((COUNTIF('C111'!E9,"Aula 4")+COUNTIF('C112'!E9,"Aula 4")+COUNTIF('C113'!E9,"Aula 4")+COUNTIF('C121'!E9,"Aula 4")+COUNTIF('C122'!E9,"Aula 4"))&gt;0,1,0))=1,IF((COUNTIF('C111'!E9,"Aula 4")+COUNTIF('C112'!E9,"Aula 4")+COUNTIF('C113'!E9,"Aula 4")+COUNTIF('C121'!E9,"Aula 4")+COUNTIF('C122'!E9,"Aula 4"))&gt;0,"C1",""),"MIX"))</f>
        <v/>
      </c>
    </row>
    <row r="205">
      <c r="C205">
        <f>IF((IF((COUNTIF('C111'!E9,"Aula 5")+COUNTIF('C112'!E9,"Aula 5")+COUNTIF('C113'!E9,"Aula 5")+COUNTIF('C121'!E9,"Aula 5")+COUNTIF('C122'!E9,"Aula 5"))&gt;0,1,0))=0,"",IF((IF((COUNTIF('C111'!E9,"Aula 5")+COUNTIF('C112'!E9,"Aula 5")+COUNTIF('C113'!E9,"Aula 5")+COUNTIF('C121'!E9,"Aula 5")+COUNTIF('C122'!E9,"Aula 5"))&gt;0,1,0))=1,IF((COUNTIF('C111'!E9,"Aula 5")+COUNTIF('C112'!E9,"Aula 5")+COUNTIF('C113'!E9,"Aula 5")+COUNTIF('C121'!E9,"Aula 5")+COUNTIF('C122'!E9,"Aula 5"))&gt;0,"C1",""),"MIX"))</f>
        <v/>
      </c>
    </row>
    <row r="206">
      <c r="C206">
        <f>IF((IF((COUNTIF('C111'!E9,"Aula 6")+COUNTIF('C112'!E9,"Aula 6")+COUNTIF('C113'!E9,"Aula 6")+COUNTIF('C121'!E9,"Aula 6")+COUNTIF('C122'!E9,"Aula 6"))&gt;0,1,0))=0,"",IF((IF((COUNTIF('C111'!E9,"Aula 6")+COUNTIF('C112'!E9,"Aula 6")+COUNTIF('C113'!E9,"Aula 6")+COUNTIF('C121'!E9,"Aula 6")+COUNTIF('C122'!E9,"Aula 6"))&gt;0,1,0))=1,IF((COUNTIF('C111'!E9,"Aula 6")+COUNTIF('C112'!E9,"Aula 6")+COUNTIF('C113'!E9,"Aula 6")+COUNTIF('C121'!E9,"Aula 6")+COUNTIF('C122'!E9,"Aula 6"))&gt;0,"C1",""),"MIX"))</f>
        <v/>
      </c>
    </row>
    <row r="207">
      <c r="C207">
        <f>IF((IF((COUNTIF('C111'!E9,"Aula 7")+COUNTIF('C112'!E9,"Aula 7")+COUNTIF('C113'!E9,"Aula 7")+COUNTIF('C121'!E9,"Aula 7")+COUNTIF('C122'!E9,"Aula 7"))&gt;0,1,0))=0,"",IF((IF((COUNTIF('C111'!E9,"Aula 7")+COUNTIF('C112'!E9,"Aula 7")+COUNTIF('C113'!E9,"Aula 7")+COUNTIF('C121'!E9,"Aula 7")+COUNTIF('C122'!E9,"Aula 7"))&gt;0,1,0))=1,IF((COUNTIF('C111'!E9,"Aula 7")+COUNTIF('C112'!E9,"Aula 7")+COUNTIF('C113'!E9,"Aula 7")+COUNTIF('C121'!E9,"Aula 7")+COUNTIF('C122'!E9,"Aula 7"))&gt;0,"C1",""),"MIX"))</f>
        <v/>
      </c>
    </row>
    <row r="208">
      <c r="C208">
        <f>IF((IF((COUNTIF('C111'!E9,"Aula 8")+COUNTIF('C112'!E9,"Aula 8")+COUNTIF('C113'!E9,"Aula 8")+COUNTIF('C121'!E9,"Aula 8")+COUNTIF('C122'!E9,"Aula 8"))&gt;0,1,0))=0,"",IF((IF((COUNTIF('C111'!E9,"Aula 8")+COUNTIF('C112'!E9,"Aula 8")+COUNTIF('C113'!E9,"Aula 8")+COUNTIF('C121'!E9,"Aula 8")+COUNTIF('C122'!E9,"Aula 8"))&gt;0,1,0))=1,IF((COUNTIF('C111'!E9,"Aula 8")+COUNTIF('C112'!E9,"Aula 8")+COUNTIF('C113'!E9,"Aula 8")+COUNTIF('C121'!E9,"Aula 8")+COUNTIF('C122'!E9,"Aula 8"))&gt;0,"C1",""),"MIX"))</f>
        <v/>
      </c>
    </row>
    <row r="209">
      <c r="C209">
        <f>IF((IF((COUNTIF('C111'!E9,"Aula 9")+COUNTIF('C112'!E9,"Aula 9")+COUNTIF('C113'!E9,"Aula 9")+COUNTIF('C121'!E9,"Aula 9")+COUNTIF('C122'!E9,"Aula 9"))&gt;0,1,0))=0,"",IF((IF((COUNTIF('C111'!E9,"Aula 9")+COUNTIF('C112'!E9,"Aula 9")+COUNTIF('C113'!E9,"Aula 9")+COUNTIF('C121'!E9,"Aula 9")+COUNTIF('C122'!E9,"Aula 9"))&gt;0,1,0))=1,IF((COUNTIF('C111'!E9,"Aula 9")+COUNTIF('C112'!E9,"Aula 9")+COUNTIF('C113'!E9,"Aula 9")+COUNTIF('C121'!E9,"Aula 9")+COUNTIF('C122'!E9,"Aula 9"))&gt;0,"C1",""),"MIX"))</f>
        <v/>
      </c>
    </row>
    <row r="210">
      <c r="C210">
        <f>IF((IF((COUNTIF('C111'!E9,"Lab")+COUNTIF('C112'!E9,"Lab")+COUNTIF('C113'!E9,"Lab")+COUNTIF('C121'!E9,"Lab")+COUNTIF('C122'!E9,"Lab"))&gt;0,1,0))=0,"",IF((IF((COUNTIF('C111'!E9,"Lab")+COUNTIF('C112'!E9,"Lab")+COUNTIF('C113'!E9,"Lab")+COUNTIF('C121'!E9,"Lab")+COUNTIF('C122'!E9,"Lab"))&gt;0,1,0))=1,IF((COUNTIF('C111'!E9,"Lab")+COUNTIF('C112'!E9,"Lab")+COUNTIF('C113'!E9,"Lab")+COUNTIF('C121'!E9,"Lab")+COUNTIF('C122'!E9,"Lab"))&gt;0,"C1",""),"MIX"))</f>
        <v/>
      </c>
    </row>
    <row r="211">
      <c r="C211">
        <f>IF((IF((COUNTIF('C111'!E11,"Aula 1")+COUNTIF('C112'!E11,"Aula 1")+COUNTIF('C113'!E11,"Aula 1")+COUNTIF('C121'!E11,"Aula 1")+COUNTIF('C122'!E11,"Aula 1"))&gt;0,1,0))=0,"",IF((IF((COUNTIF('C111'!E11,"Aula 1")+COUNTIF('C112'!E11,"Aula 1")+COUNTIF('C113'!E11,"Aula 1")+COUNTIF('C121'!E11,"Aula 1")+COUNTIF('C122'!E11,"Aula 1"))&gt;0,1,0))=1,IF((COUNTIF('C111'!E11,"Aula 1")+COUNTIF('C112'!E11,"Aula 1")+COUNTIF('C113'!E11,"Aula 1")+COUNTIF('C121'!E11,"Aula 1")+COUNTIF('C122'!E11,"Aula 1"))&gt;0,"C1",""),"MIX"))</f>
        <v/>
      </c>
    </row>
    <row r="212">
      <c r="C212">
        <f>IF((IF((COUNTIF('C111'!E11,"Aula 2")+COUNTIF('C112'!E11,"Aula 2")+COUNTIF('C113'!E11,"Aula 2")+COUNTIF('C121'!E11,"Aula 2")+COUNTIF('C122'!E11,"Aula 2"))&gt;0,1,0))=0,"",IF((IF((COUNTIF('C111'!E11,"Aula 2")+COUNTIF('C112'!E11,"Aula 2")+COUNTIF('C113'!E11,"Aula 2")+COUNTIF('C121'!E11,"Aula 2")+COUNTIF('C122'!E11,"Aula 2"))&gt;0,1,0))=1,IF((COUNTIF('C111'!E11,"Aula 2")+COUNTIF('C112'!E11,"Aula 2")+COUNTIF('C113'!E11,"Aula 2")+COUNTIF('C121'!E11,"Aula 2")+COUNTIF('C122'!E11,"Aula 2"))&gt;0,"C1",""),"MIX"))</f>
        <v/>
      </c>
    </row>
    <row r="213">
      <c r="C213">
        <f>IF((IF((COUNTIF('C111'!E11,"Aula 3")+COUNTIF('C112'!E11,"Aula 3")+COUNTIF('C113'!E11,"Aula 3")+COUNTIF('C121'!E11,"Aula 3")+COUNTIF('C122'!E11,"Aula 3"))&gt;0,1,0))=0,"",IF((IF((COUNTIF('C111'!E11,"Aula 3")+COUNTIF('C112'!E11,"Aula 3")+COUNTIF('C113'!E11,"Aula 3")+COUNTIF('C121'!E11,"Aula 3")+COUNTIF('C122'!E11,"Aula 3"))&gt;0,1,0))=1,IF((COUNTIF('C111'!E11,"Aula 3")+COUNTIF('C112'!E11,"Aula 3")+COUNTIF('C113'!E11,"Aula 3")+COUNTIF('C121'!E11,"Aula 3")+COUNTIF('C122'!E11,"Aula 3"))&gt;0,"C1",""),"MIX"))</f>
        <v/>
      </c>
    </row>
    <row r="214">
      <c r="C214">
        <f>IF((IF((COUNTIF('C111'!E11,"Aula 4")+COUNTIF('C112'!E11,"Aula 4")+COUNTIF('C113'!E11,"Aula 4")+COUNTIF('C121'!E11,"Aula 4")+COUNTIF('C122'!E11,"Aula 4"))&gt;0,1,0))=0,"",IF((IF((COUNTIF('C111'!E11,"Aula 4")+COUNTIF('C112'!E11,"Aula 4")+COUNTIF('C113'!E11,"Aula 4")+COUNTIF('C121'!E11,"Aula 4")+COUNTIF('C122'!E11,"Aula 4"))&gt;0,1,0))=1,IF((COUNTIF('C111'!E11,"Aula 4")+COUNTIF('C112'!E11,"Aula 4")+COUNTIF('C113'!E11,"Aula 4")+COUNTIF('C121'!E11,"Aula 4")+COUNTIF('C122'!E11,"Aula 4"))&gt;0,"C1",""),"MIX"))</f>
        <v/>
      </c>
    </row>
    <row r="215">
      <c r="C215">
        <f>IF((IF((COUNTIF('C111'!E11,"Aula 5")+COUNTIF('C112'!E11,"Aula 5")+COUNTIF('C113'!E11,"Aula 5")+COUNTIF('C121'!E11,"Aula 5")+COUNTIF('C122'!E11,"Aula 5"))&gt;0,1,0))=0,"",IF((IF((COUNTIF('C111'!E11,"Aula 5")+COUNTIF('C112'!E11,"Aula 5")+COUNTIF('C113'!E11,"Aula 5")+COUNTIF('C121'!E11,"Aula 5")+COUNTIF('C122'!E11,"Aula 5"))&gt;0,1,0))=1,IF((COUNTIF('C111'!E11,"Aula 5")+COUNTIF('C112'!E11,"Aula 5")+COUNTIF('C113'!E11,"Aula 5")+COUNTIF('C121'!E11,"Aula 5")+COUNTIF('C122'!E11,"Aula 5"))&gt;0,"C1",""),"MIX"))</f>
        <v/>
      </c>
    </row>
    <row r="216">
      <c r="C216">
        <f>IF((IF((COUNTIF('C111'!E11,"Aula 6")+COUNTIF('C112'!E11,"Aula 6")+COUNTIF('C113'!E11,"Aula 6")+COUNTIF('C121'!E11,"Aula 6")+COUNTIF('C122'!E11,"Aula 6"))&gt;0,1,0))=0,"",IF((IF((COUNTIF('C111'!E11,"Aula 6")+COUNTIF('C112'!E11,"Aula 6")+COUNTIF('C113'!E11,"Aula 6")+COUNTIF('C121'!E11,"Aula 6")+COUNTIF('C122'!E11,"Aula 6"))&gt;0,1,0))=1,IF((COUNTIF('C111'!E11,"Aula 6")+COUNTIF('C112'!E11,"Aula 6")+COUNTIF('C113'!E11,"Aula 6")+COUNTIF('C121'!E11,"Aula 6")+COUNTIF('C122'!E11,"Aula 6"))&gt;0,"C1",""),"MIX"))</f>
        <v/>
      </c>
    </row>
    <row r="217">
      <c r="C217">
        <f>IF((IF((COUNTIF('C111'!E11,"Aula 7")+COUNTIF('C112'!E11,"Aula 7")+COUNTIF('C113'!E11,"Aula 7")+COUNTIF('C121'!E11,"Aula 7")+COUNTIF('C122'!E11,"Aula 7"))&gt;0,1,0))=0,"",IF((IF((COUNTIF('C111'!E11,"Aula 7")+COUNTIF('C112'!E11,"Aula 7")+COUNTIF('C113'!E11,"Aula 7")+COUNTIF('C121'!E11,"Aula 7")+COUNTIF('C122'!E11,"Aula 7"))&gt;0,1,0))=1,IF((COUNTIF('C111'!E11,"Aula 7")+COUNTIF('C112'!E11,"Aula 7")+COUNTIF('C113'!E11,"Aula 7")+COUNTIF('C121'!E11,"Aula 7")+COUNTIF('C122'!E11,"Aula 7"))&gt;0,"C1",""),"MIX"))</f>
        <v/>
      </c>
    </row>
    <row r="218">
      <c r="C218">
        <f>IF((IF((COUNTIF('C111'!E11,"Aula 8")+COUNTIF('C112'!E11,"Aula 8")+COUNTIF('C113'!E11,"Aula 8")+COUNTIF('C121'!E11,"Aula 8")+COUNTIF('C122'!E11,"Aula 8"))&gt;0,1,0))=0,"",IF((IF((COUNTIF('C111'!E11,"Aula 8")+COUNTIF('C112'!E11,"Aula 8")+COUNTIF('C113'!E11,"Aula 8")+COUNTIF('C121'!E11,"Aula 8")+COUNTIF('C122'!E11,"Aula 8"))&gt;0,1,0))=1,IF((COUNTIF('C111'!E11,"Aula 8")+COUNTIF('C112'!E11,"Aula 8")+COUNTIF('C113'!E11,"Aula 8")+COUNTIF('C121'!E11,"Aula 8")+COUNTIF('C122'!E11,"Aula 8"))&gt;0,"C1",""),"MIX"))</f>
        <v/>
      </c>
    </row>
    <row r="219">
      <c r="C219">
        <f>IF((IF((COUNTIF('C111'!E11,"Aula 9")+COUNTIF('C112'!E11,"Aula 9")+COUNTIF('C113'!E11,"Aula 9")+COUNTIF('C121'!E11,"Aula 9")+COUNTIF('C122'!E11,"Aula 9"))&gt;0,1,0))=0,"",IF((IF((COUNTIF('C111'!E11,"Aula 9")+COUNTIF('C112'!E11,"Aula 9")+COUNTIF('C113'!E11,"Aula 9")+COUNTIF('C121'!E11,"Aula 9")+COUNTIF('C122'!E11,"Aula 9"))&gt;0,1,0))=1,IF((COUNTIF('C111'!E11,"Aula 9")+COUNTIF('C112'!E11,"Aula 9")+COUNTIF('C113'!E11,"Aula 9")+COUNTIF('C121'!E11,"Aula 9")+COUNTIF('C122'!E11,"Aula 9"))&gt;0,"C1",""),"MIX"))</f>
        <v/>
      </c>
    </row>
    <row r="220">
      <c r="C220">
        <f>IF((IF((COUNTIF('C111'!E11,"Lab")+COUNTIF('C112'!E11,"Lab")+COUNTIF('C113'!E11,"Lab")+COUNTIF('C121'!E11,"Lab")+COUNTIF('C122'!E11,"Lab"))&gt;0,1,0))=0,"",IF((IF((COUNTIF('C111'!E11,"Lab")+COUNTIF('C112'!E11,"Lab")+COUNTIF('C113'!E11,"Lab")+COUNTIF('C121'!E11,"Lab")+COUNTIF('C122'!E11,"Lab"))&gt;0,1,0))=1,IF((COUNTIF('C111'!E11,"Lab")+COUNTIF('C112'!E11,"Lab")+COUNTIF('C113'!E11,"Lab")+COUNTIF('C121'!E11,"Lab")+COUNTIF('C122'!E11,"Lab"))&gt;0,"C1",""),"MIX"))</f>
        <v/>
      </c>
    </row>
    <row r="221">
      <c r="C221">
        <f>IF((IF((COUNTIF('C111'!E13,"Aula 1")+COUNTIF('C112'!E13,"Aula 1")+COUNTIF('C113'!E13,"Aula 1")+COUNTIF('C121'!E13,"Aula 1")+COUNTIF('C122'!E13,"Aula 1"))&gt;0,1,0))=0,"",IF((IF((COUNTIF('C111'!E13,"Aula 1")+COUNTIF('C112'!E13,"Aula 1")+COUNTIF('C113'!E13,"Aula 1")+COUNTIF('C121'!E13,"Aula 1")+COUNTIF('C122'!E13,"Aula 1"))&gt;0,1,0))=1,IF((COUNTIF('C111'!E13,"Aula 1")+COUNTIF('C112'!E13,"Aula 1")+COUNTIF('C113'!E13,"Aula 1")+COUNTIF('C121'!E13,"Aula 1")+COUNTIF('C122'!E13,"Aula 1"))&gt;0,"C1",""),"MIX"))</f>
        <v/>
      </c>
    </row>
    <row r="222">
      <c r="C222">
        <f>IF((IF((COUNTIF('C111'!E13,"Aula 2")+COUNTIF('C112'!E13,"Aula 2")+COUNTIF('C113'!E13,"Aula 2")+COUNTIF('C121'!E13,"Aula 2")+COUNTIF('C122'!E13,"Aula 2"))&gt;0,1,0))=0,"",IF((IF((COUNTIF('C111'!E13,"Aula 2")+COUNTIF('C112'!E13,"Aula 2")+COUNTIF('C113'!E13,"Aula 2")+COUNTIF('C121'!E13,"Aula 2")+COUNTIF('C122'!E13,"Aula 2"))&gt;0,1,0))=1,IF((COUNTIF('C111'!E13,"Aula 2")+COUNTIF('C112'!E13,"Aula 2")+COUNTIF('C113'!E13,"Aula 2")+COUNTIF('C121'!E13,"Aula 2")+COUNTIF('C122'!E13,"Aula 2"))&gt;0,"C1",""),"MIX"))</f>
        <v/>
      </c>
    </row>
    <row r="223">
      <c r="C223">
        <f>IF((IF((COUNTIF('C111'!E13,"Aula 3")+COUNTIF('C112'!E13,"Aula 3")+COUNTIF('C113'!E13,"Aula 3")+COUNTIF('C121'!E13,"Aula 3")+COUNTIF('C122'!E13,"Aula 3"))&gt;0,1,0))=0,"",IF((IF((COUNTIF('C111'!E13,"Aula 3")+COUNTIF('C112'!E13,"Aula 3")+COUNTIF('C113'!E13,"Aula 3")+COUNTIF('C121'!E13,"Aula 3")+COUNTIF('C122'!E13,"Aula 3"))&gt;0,1,0))=1,IF((COUNTIF('C111'!E13,"Aula 3")+COUNTIF('C112'!E13,"Aula 3")+COUNTIF('C113'!E13,"Aula 3")+COUNTIF('C121'!E13,"Aula 3")+COUNTIF('C122'!E13,"Aula 3"))&gt;0,"C1",""),"MIX"))</f>
        <v/>
      </c>
    </row>
    <row r="224">
      <c r="C224">
        <f>IF((IF((COUNTIF('C111'!E13,"Aula 4")+COUNTIF('C112'!E13,"Aula 4")+COUNTIF('C113'!E13,"Aula 4")+COUNTIF('C121'!E13,"Aula 4")+COUNTIF('C122'!E13,"Aula 4"))&gt;0,1,0))=0,"",IF((IF((COUNTIF('C111'!E13,"Aula 4")+COUNTIF('C112'!E13,"Aula 4")+COUNTIF('C113'!E13,"Aula 4")+COUNTIF('C121'!E13,"Aula 4")+COUNTIF('C122'!E13,"Aula 4"))&gt;0,1,0))=1,IF((COUNTIF('C111'!E13,"Aula 4")+COUNTIF('C112'!E13,"Aula 4")+COUNTIF('C113'!E13,"Aula 4")+COUNTIF('C121'!E13,"Aula 4")+COUNTIF('C122'!E13,"Aula 4"))&gt;0,"C1",""),"MIX"))</f>
        <v/>
      </c>
    </row>
    <row r="225">
      <c r="C225">
        <f>IF((IF((COUNTIF('C111'!E13,"Aula 5")+COUNTIF('C112'!E13,"Aula 5")+COUNTIF('C113'!E13,"Aula 5")+COUNTIF('C121'!E13,"Aula 5")+COUNTIF('C122'!E13,"Aula 5"))&gt;0,1,0))=0,"",IF((IF((COUNTIF('C111'!E13,"Aula 5")+COUNTIF('C112'!E13,"Aula 5")+COUNTIF('C113'!E13,"Aula 5")+COUNTIF('C121'!E13,"Aula 5")+COUNTIF('C122'!E13,"Aula 5"))&gt;0,1,0))=1,IF((COUNTIF('C111'!E13,"Aula 5")+COUNTIF('C112'!E13,"Aula 5")+COUNTIF('C113'!E13,"Aula 5")+COUNTIF('C121'!E13,"Aula 5")+COUNTIF('C122'!E13,"Aula 5"))&gt;0,"C1",""),"MIX"))</f>
        <v/>
      </c>
    </row>
    <row r="226">
      <c r="C226">
        <f>IF((IF((COUNTIF('C111'!E13,"Aula 6")+COUNTIF('C112'!E13,"Aula 6")+COUNTIF('C113'!E13,"Aula 6")+COUNTIF('C121'!E13,"Aula 6")+COUNTIF('C122'!E13,"Aula 6"))&gt;0,1,0))=0,"",IF((IF((COUNTIF('C111'!E13,"Aula 6")+COUNTIF('C112'!E13,"Aula 6")+COUNTIF('C113'!E13,"Aula 6")+COUNTIF('C121'!E13,"Aula 6")+COUNTIF('C122'!E13,"Aula 6"))&gt;0,1,0))=1,IF((COUNTIF('C111'!E13,"Aula 6")+COUNTIF('C112'!E13,"Aula 6")+COUNTIF('C113'!E13,"Aula 6")+COUNTIF('C121'!E13,"Aula 6")+COUNTIF('C122'!E13,"Aula 6"))&gt;0,"C1",""),"MIX"))</f>
        <v/>
      </c>
    </row>
    <row r="227">
      <c r="C227">
        <f>IF((IF((COUNTIF('C111'!E13,"Aula 7")+COUNTIF('C112'!E13,"Aula 7")+COUNTIF('C113'!E13,"Aula 7")+COUNTIF('C121'!E13,"Aula 7")+COUNTIF('C122'!E13,"Aula 7"))&gt;0,1,0))=0,"",IF((IF((COUNTIF('C111'!E13,"Aula 7")+COUNTIF('C112'!E13,"Aula 7")+COUNTIF('C113'!E13,"Aula 7")+COUNTIF('C121'!E13,"Aula 7")+COUNTIF('C122'!E13,"Aula 7"))&gt;0,1,0))=1,IF((COUNTIF('C111'!E13,"Aula 7")+COUNTIF('C112'!E13,"Aula 7")+COUNTIF('C113'!E13,"Aula 7")+COUNTIF('C121'!E13,"Aula 7")+COUNTIF('C122'!E13,"Aula 7"))&gt;0,"C1",""),"MIX"))</f>
        <v/>
      </c>
    </row>
    <row r="228">
      <c r="C228">
        <f>IF((IF((COUNTIF('C111'!E13,"Aula 8")+COUNTIF('C112'!E13,"Aula 8")+COUNTIF('C113'!E13,"Aula 8")+COUNTIF('C121'!E13,"Aula 8")+COUNTIF('C122'!E13,"Aula 8"))&gt;0,1,0))=0,"",IF((IF((COUNTIF('C111'!E13,"Aula 8")+COUNTIF('C112'!E13,"Aula 8")+COUNTIF('C113'!E13,"Aula 8")+COUNTIF('C121'!E13,"Aula 8")+COUNTIF('C122'!E13,"Aula 8"))&gt;0,1,0))=1,IF((COUNTIF('C111'!E13,"Aula 8")+COUNTIF('C112'!E13,"Aula 8")+COUNTIF('C113'!E13,"Aula 8")+COUNTIF('C121'!E13,"Aula 8")+COUNTIF('C122'!E13,"Aula 8"))&gt;0,"C1",""),"MIX"))</f>
        <v/>
      </c>
    </row>
    <row r="229">
      <c r="C229">
        <f>IF((IF((COUNTIF('C111'!E13,"Aula 9")+COUNTIF('C112'!E13,"Aula 9")+COUNTIF('C113'!E13,"Aula 9")+COUNTIF('C121'!E13,"Aula 9")+COUNTIF('C122'!E13,"Aula 9"))&gt;0,1,0))=0,"",IF((IF((COUNTIF('C111'!E13,"Aula 9")+COUNTIF('C112'!E13,"Aula 9")+COUNTIF('C113'!E13,"Aula 9")+COUNTIF('C121'!E13,"Aula 9")+COUNTIF('C122'!E13,"Aula 9"))&gt;0,1,0))=1,IF((COUNTIF('C111'!E13,"Aula 9")+COUNTIF('C112'!E13,"Aula 9")+COUNTIF('C113'!E13,"Aula 9")+COUNTIF('C121'!E13,"Aula 9")+COUNTIF('C122'!E13,"Aula 9"))&gt;0,"C1",""),"MIX"))</f>
        <v/>
      </c>
    </row>
    <row r="230">
      <c r="C230">
        <f>IF((IF((COUNTIF('C111'!E13,"Lab")+COUNTIF('C112'!E13,"Lab")+COUNTIF('C113'!E13,"Lab")+COUNTIF('C121'!E13,"Lab")+COUNTIF('C122'!E13,"Lab"))&gt;0,1,0))=0,"",IF((IF((COUNTIF('C111'!E13,"Lab")+COUNTIF('C112'!E13,"Lab")+COUNTIF('C113'!E13,"Lab")+COUNTIF('C121'!E13,"Lab")+COUNTIF('C122'!E13,"Lab"))&gt;0,1,0))=1,IF((COUNTIF('C111'!E13,"Lab")+COUNTIF('C112'!E13,"Lab")+COUNTIF('C113'!E13,"Lab")+COUNTIF('C121'!E13,"Lab")+COUNTIF('C122'!E13,"Lab"))&gt;0,"C1",""),"MIX"))</f>
        <v/>
      </c>
    </row>
    <row r="231">
      <c r="C231">
        <f>IF((IF((COUNTIF('C111'!E15,"Aula 1")+COUNTIF('C112'!E15,"Aula 1")+COUNTIF('C113'!E15,"Aula 1")+COUNTIF('C121'!E15,"Aula 1")+COUNTIF('C122'!E15,"Aula 1"))&gt;0,1,0))=0,"",IF((IF((COUNTIF('C111'!E15,"Aula 1")+COUNTIF('C112'!E15,"Aula 1")+COUNTIF('C113'!E15,"Aula 1")+COUNTIF('C121'!E15,"Aula 1")+COUNTIF('C122'!E15,"Aula 1"))&gt;0,1,0))=1,IF((COUNTIF('C111'!E15,"Aula 1")+COUNTIF('C112'!E15,"Aula 1")+COUNTIF('C113'!E15,"Aula 1")+COUNTIF('C121'!E15,"Aula 1")+COUNTIF('C122'!E15,"Aula 1"))&gt;0,"C1",""),"MIX"))</f>
        <v/>
      </c>
    </row>
    <row r="232">
      <c r="C232">
        <f>IF((IF((COUNTIF('C111'!E15,"Aula 2")+COUNTIF('C112'!E15,"Aula 2")+COUNTIF('C113'!E15,"Aula 2")+COUNTIF('C121'!E15,"Aula 2")+COUNTIF('C122'!E15,"Aula 2"))&gt;0,1,0))=0,"",IF((IF((COUNTIF('C111'!E15,"Aula 2")+COUNTIF('C112'!E15,"Aula 2")+COUNTIF('C113'!E15,"Aula 2")+COUNTIF('C121'!E15,"Aula 2")+COUNTIF('C122'!E15,"Aula 2"))&gt;0,1,0))=1,IF((COUNTIF('C111'!E15,"Aula 2")+COUNTIF('C112'!E15,"Aula 2")+COUNTIF('C113'!E15,"Aula 2")+COUNTIF('C121'!E15,"Aula 2")+COUNTIF('C122'!E15,"Aula 2"))&gt;0,"C1",""),"MIX"))</f>
        <v/>
      </c>
    </row>
    <row r="233">
      <c r="C233">
        <f>IF((IF((COUNTIF('C111'!E15,"Aula 3")+COUNTIF('C112'!E15,"Aula 3")+COUNTIF('C113'!E15,"Aula 3")+COUNTIF('C121'!E15,"Aula 3")+COUNTIF('C122'!E15,"Aula 3"))&gt;0,1,0))=0,"",IF((IF((COUNTIF('C111'!E15,"Aula 3")+COUNTIF('C112'!E15,"Aula 3")+COUNTIF('C113'!E15,"Aula 3")+COUNTIF('C121'!E15,"Aula 3")+COUNTIF('C122'!E15,"Aula 3"))&gt;0,1,0))=1,IF((COUNTIF('C111'!E15,"Aula 3")+COUNTIF('C112'!E15,"Aula 3")+COUNTIF('C113'!E15,"Aula 3")+COUNTIF('C121'!E15,"Aula 3")+COUNTIF('C122'!E15,"Aula 3"))&gt;0,"C1",""),"MIX"))</f>
        <v/>
      </c>
    </row>
    <row r="234">
      <c r="C234">
        <f>IF((IF((COUNTIF('C111'!E15,"Aula 4")+COUNTIF('C112'!E15,"Aula 4")+COUNTIF('C113'!E15,"Aula 4")+COUNTIF('C121'!E15,"Aula 4")+COUNTIF('C122'!E15,"Aula 4"))&gt;0,1,0))=0,"",IF((IF((COUNTIF('C111'!E15,"Aula 4")+COUNTIF('C112'!E15,"Aula 4")+COUNTIF('C113'!E15,"Aula 4")+COUNTIF('C121'!E15,"Aula 4")+COUNTIF('C122'!E15,"Aula 4"))&gt;0,1,0))=1,IF((COUNTIF('C111'!E15,"Aula 4")+COUNTIF('C112'!E15,"Aula 4")+COUNTIF('C113'!E15,"Aula 4")+COUNTIF('C121'!E15,"Aula 4")+COUNTIF('C122'!E15,"Aula 4"))&gt;0,"C1",""),"MIX"))</f>
        <v/>
      </c>
    </row>
    <row r="235">
      <c r="C235">
        <f>IF((IF((COUNTIF('C111'!E15,"Aula 5")+COUNTIF('C112'!E15,"Aula 5")+COUNTIF('C113'!E15,"Aula 5")+COUNTIF('C121'!E15,"Aula 5")+COUNTIF('C122'!E15,"Aula 5"))&gt;0,1,0))=0,"",IF((IF((COUNTIF('C111'!E15,"Aula 5")+COUNTIF('C112'!E15,"Aula 5")+COUNTIF('C113'!E15,"Aula 5")+COUNTIF('C121'!E15,"Aula 5")+COUNTIF('C122'!E15,"Aula 5"))&gt;0,1,0))=1,IF((COUNTIF('C111'!E15,"Aula 5")+COUNTIF('C112'!E15,"Aula 5")+COUNTIF('C113'!E15,"Aula 5")+COUNTIF('C121'!E15,"Aula 5")+COUNTIF('C122'!E15,"Aula 5"))&gt;0,"C1",""),"MIX"))</f>
        <v/>
      </c>
    </row>
    <row r="236">
      <c r="C236">
        <f>IF((IF((COUNTIF('C111'!E15,"Aula 6")+COUNTIF('C112'!E15,"Aula 6")+COUNTIF('C113'!E15,"Aula 6")+COUNTIF('C121'!E15,"Aula 6")+COUNTIF('C122'!E15,"Aula 6"))&gt;0,1,0))=0,"",IF((IF((COUNTIF('C111'!E15,"Aula 6")+COUNTIF('C112'!E15,"Aula 6")+COUNTIF('C113'!E15,"Aula 6")+COUNTIF('C121'!E15,"Aula 6")+COUNTIF('C122'!E15,"Aula 6"))&gt;0,1,0))=1,IF((COUNTIF('C111'!E15,"Aula 6")+COUNTIF('C112'!E15,"Aula 6")+COUNTIF('C113'!E15,"Aula 6")+COUNTIF('C121'!E15,"Aula 6")+COUNTIF('C122'!E15,"Aula 6"))&gt;0,"C1",""),"MIX"))</f>
        <v/>
      </c>
    </row>
    <row r="237">
      <c r="C237">
        <f>IF((IF((COUNTIF('C111'!E15,"Aula 7")+COUNTIF('C112'!E15,"Aula 7")+COUNTIF('C113'!E15,"Aula 7")+COUNTIF('C121'!E15,"Aula 7")+COUNTIF('C122'!E15,"Aula 7"))&gt;0,1,0))=0,"",IF((IF((COUNTIF('C111'!E15,"Aula 7")+COUNTIF('C112'!E15,"Aula 7")+COUNTIF('C113'!E15,"Aula 7")+COUNTIF('C121'!E15,"Aula 7")+COUNTIF('C122'!E15,"Aula 7"))&gt;0,1,0))=1,IF((COUNTIF('C111'!E15,"Aula 7")+COUNTIF('C112'!E15,"Aula 7")+COUNTIF('C113'!E15,"Aula 7")+COUNTIF('C121'!E15,"Aula 7")+COUNTIF('C122'!E15,"Aula 7"))&gt;0,"C1",""),"MIX"))</f>
        <v/>
      </c>
    </row>
    <row r="238">
      <c r="C238">
        <f>IF((IF((COUNTIF('C111'!E15,"Aula 8")+COUNTIF('C112'!E15,"Aula 8")+COUNTIF('C113'!E15,"Aula 8")+COUNTIF('C121'!E15,"Aula 8")+COUNTIF('C122'!E15,"Aula 8"))&gt;0,1,0))=0,"",IF((IF((COUNTIF('C111'!E15,"Aula 8")+COUNTIF('C112'!E15,"Aula 8")+COUNTIF('C113'!E15,"Aula 8")+COUNTIF('C121'!E15,"Aula 8")+COUNTIF('C122'!E15,"Aula 8"))&gt;0,1,0))=1,IF((COUNTIF('C111'!E15,"Aula 8")+COUNTIF('C112'!E15,"Aula 8")+COUNTIF('C113'!E15,"Aula 8")+COUNTIF('C121'!E15,"Aula 8")+COUNTIF('C122'!E15,"Aula 8"))&gt;0,"C1",""),"MIX"))</f>
        <v/>
      </c>
    </row>
    <row r="239">
      <c r="C239">
        <f>IF((IF((COUNTIF('C111'!E15,"Aula 9")+COUNTIF('C112'!E15,"Aula 9")+COUNTIF('C113'!E15,"Aula 9")+COUNTIF('C121'!E15,"Aula 9")+COUNTIF('C122'!E15,"Aula 9"))&gt;0,1,0))=0,"",IF((IF((COUNTIF('C111'!E15,"Aula 9")+COUNTIF('C112'!E15,"Aula 9")+COUNTIF('C113'!E15,"Aula 9")+COUNTIF('C121'!E15,"Aula 9")+COUNTIF('C122'!E15,"Aula 9"))&gt;0,1,0))=1,IF((COUNTIF('C111'!E15,"Aula 9")+COUNTIF('C112'!E15,"Aula 9")+COUNTIF('C113'!E15,"Aula 9")+COUNTIF('C121'!E15,"Aula 9")+COUNTIF('C122'!E15,"Aula 9"))&gt;0,"C1",""),"MIX"))</f>
        <v/>
      </c>
    </row>
    <row r="240">
      <c r="C240">
        <f>IF((IF((COUNTIF('C111'!E15,"Lab")+COUNTIF('C112'!E15,"Lab")+COUNTIF('C113'!E15,"Lab")+COUNTIF('C121'!E15,"Lab")+COUNTIF('C122'!E15,"Lab"))&gt;0,1,0))=0,"",IF((IF((COUNTIF('C111'!E15,"Lab")+COUNTIF('C112'!E15,"Lab")+COUNTIF('C113'!E15,"Lab")+COUNTIF('C121'!E15,"Lab")+COUNTIF('C122'!E15,"Lab"))&gt;0,1,0))=1,IF((COUNTIF('C111'!E15,"Lab")+COUNTIF('C112'!E15,"Lab")+COUNTIF('C113'!E15,"Lab")+COUNTIF('C121'!E15,"Lab")+COUNTIF('C122'!E15,"Lab"))&gt;0,"C1",""),"MIX"))</f>
        <v/>
      </c>
    </row>
    <row r="241">
      <c r="C241">
        <f>IF((IF((COUNTIF('C111'!F5,"Aula 1")+COUNTIF('C112'!F5,"Aula 1")+COUNTIF('C113'!F5,"Aula 1")+COUNTIF('C121'!F5,"Aula 1")+COUNTIF('C122'!F5,"Aula 1"))&gt;0,1,0))=0,"",IF((IF((COUNTIF('C111'!F5,"Aula 1")+COUNTIF('C112'!F5,"Aula 1")+COUNTIF('C113'!F5,"Aula 1")+COUNTIF('C121'!F5,"Aula 1")+COUNTIF('C122'!F5,"Aula 1"))&gt;0,1,0))=1,IF((COUNTIF('C111'!F5,"Aula 1")+COUNTIF('C112'!F5,"Aula 1")+COUNTIF('C113'!F5,"Aula 1")+COUNTIF('C121'!F5,"Aula 1")+COUNTIF('C122'!F5,"Aula 1"))&gt;0,"C1",""),"MIX"))</f>
        <v/>
      </c>
    </row>
    <row r="242">
      <c r="C242">
        <f>IF((IF((COUNTIF('C111'!F5,"Aula 2")+COUNTIF('C112'!F5,"Aula 2")+COUNTIF('C113'!F5,"Aula 2")+COUNTIF('C121'!F5,"Aula 2")+COUNTIF('C122'!F5,"Aula 2"))&gt;0,1,0))=0,"",IF((IF((COUNTIF('C111'!F5,"Aula 2")+COUNTIF('C112'!F5,"Aula 2")+COUNTIF('C113'!F5,"Aula 2")+COUNTIF('C121'!F5,"Aula 2")+COUNTIF('C122'!F5,"Aula 2"))&gt;0,1,0))=1,IF((COUNTIF('C111'!F5,"Aula 2")+COUNTIF('C112'!F5,"Aula 2")+COUNTIF('C113'!F5,"Aula 2")+COUNTIF('C121'!F5,"Aula 2")+COUNTIF('C122'!F5,"Aula 2"))&gt;0,"C1",""),"MIX"))</f>
        <v/>
      </c>
    </row>
    <row r="243">
      <c r="C243">
        <f>IF((IF((COUNTIF('C111'!F5,"Aula 3")+COUNTIF('C112'!F5,"Aula 3")+COUNTIF('C113'!F5,"Aula 3")+COUNTIF('C121'!F5,"Aula 3")+COUNTIF('C122'!F5,"Aula 3"))&gt;0,1,0))=0,"",IF((IF((COUNTIF('C111'!F5,"Aula 3")+COUNTIF('C112'!F5,"Aula 3")+COUNTIF('C113'!F5,"Aula 3")+COUNTIF('C121'!F5,"Aula 3")+COUNTIF('C122'!F5,"Aula 3"))&gt;0,1,0))=1,IF((COUNTIF('C111'!F5,"Aula 3")+COUNTIF('C112'!F5,"Aula 3")+COUNTIF('C113'!F5,"Aula 3")+COUNTIF('C121'!F5,"Aula 3")+COUNTIF('C122'!F5,"Aula 3"))&gt;0,"C1",""),"MIX"))</f>
        <v/>
      </c>
    </row>
    <row r="244">
      <c r="C244">
        <f>IF((IF((COUNTIF('C111'!F5,"Aula 4")+COUNTIF('C112'!F5,"Aula 4")+COUNTIF('C113'!F5,"Aula 4")+COUNTIF('C121'!F5,"Aula 4")+COUNTIF('C122'!F5,"Aula 4"))&gt;0,1,0))=0,"",IF((IF((COUNTIF('C111'!F5,"Aula 4")+COUNTIF('C112'!F5,"Aula 4")+COUNTIF('C113'!F5,"Aula 4")+COUNTIF('C121'!F5,"Aula 4")+COUNTIF('C122'!F5,"Aula 4"))&gt;0,1,0))=1,IF((COUNTIF('C111'!F5,"Aula 4")+COUNTIF('C112'!F5,"Aula 4")+COUNTIF('C113'!F5,"Aula 4")+COUNTIF('C121'!F5,"Aula 4")+COUNTIF('C122'!F5,"Aula 4"))&gt;0,"C1",""),"MIX"))</f>
        <v/>
      </c>
    </row>
    <row r="245">
      <c r="C245">
        <f>IF((IF((COUNTIF('C111'!F5,"Aula 5")+COUNTIF('C112'!F5,"Aula 5")+COUNTIF('C113'!F5,"Aula 5")+COUNTIF('C121'!F5,"Aula 5")+COUNTIF('C122'!F5,"Aula 5"))&gt;0,1,0))=0,"",IF((IF((COUNTIF('C111'!F5,"Aula 5")+COUNTIF('C112'!F5,"Aula 5")+COUNTIF('C113'!F5,"Aula 5")+COUNTIF('C121'!F5,"Aula 5")+COUNTIF('C122'!F5,"Aula 5"))&gt;0,1,0))=1,IF((COUNTIF('C111'!F5,"Aula 5")+COUNTIF('C112'!F5,"Aula 5")+COUNTIF('C113'!F5,"Aula 5")+COUNTIF('C121'!F5,"Aula 5")+COUNTIF('C122'!F5,"Aula 5"))&gt;0,"C1",""),"MIX"))</f>
        <v/>
      </c>
    </row>
    <row r="246">
      <c r="C246">
        <f>IF((IF((COUNTIF('C111'!F5,"Aula 6")+COUNTIF('C112'!F5,"Aula 6")+COUNTIF('C113'!F5,"Aula 6")+COUNTIF('C121'!F5,"Aula 6")+COUNTIF('C122'!F5,"Aula 6"))&gt;0,1,0))=0,"",IF((IF((COUNTIF('C111'!F5,"Aula 6")+COUNTIF('C112'!F5,"Aula 6")+COUNTIF('C113'!F5,"Aula 6")+COUNTIF('C121'!F5,"Aula 6")+COUNTIF('C122'!F5,"Aula 6"))&gt;0,1,0))=1,IF((COUNTIF('C111'!F5,"Aula 6")+COUNTIF('C112'!F5,"Aula 6")+COUNTIF('C113'!F5,"Aula 6")+COUNTIF('C121'!F5,"Aula 6")+COUNTIF('C122'!F5,"Aula 6"))&gt;0,"C1",""),"MIX"))</f>
        <v/>
      </c>
    </row>
    <row r="247">
      <c r="C247">
        <f>IF((IF((COUNTIF('C111'!F5,"Aula 7")+COUNTIF('C112'!F5,"Aula 7")+COUNTIF('C113'!F5,"Aula 7")+COUNTIF('C121'!F5,"Aula 7")+COUNTIF('C122'!F5,"Aula 7"))&gt;0,1,0))=0,"",IF((IF((COUNTIF('C111'!F5,"Aula 7")+COUNTIF('C112'!F5,"Aula 7")+COUNTIF('C113'!F5,"Aula 7")+COUNTIF('C121'!F5,"Aula 7")+COUNTIF('C122'!F5,"Aula 7"))&gt;0,1,0))=1,IF((COUNTIF('C111'!F5,"Aula 7")+COUNTIF('C112'!F5,"Aula 7")+COUNTIF('C113'!F5,"Aula 7")+COUNTIF('C121'!F5,"Aula 7")+COUNTIF('C122'!F5,"Aula 7"))&gt;0,"C1",""),"MIX"))</f>
        <v/>
      </c>
    </row>
    <row r="248">
      <c r="C248">
        <f>IF((IF((COUNTIF('C111'!F5,"Aula 8")+COUNTIF('C112'!F5,"Aula 8")+COUNTIF('C113'!F5,"Aula 8")+COUNTIF('C121'!F5,"Aula 8")+COUNTIF('C122'!F5,"Aula 8"))&gt;0,1,0))=0,"",IF((IF((COUNTIF('C111'!F5,"Aula 8")+COUNTIF('C112'!F5,"Aula 8")+COUNTIF('C113'!F5,"Aula 8")+COUNTIF('C121'!F5,"Aula 8")+COUNTIF('C122'!F5,"Aula 8"))&gt;0,1,0))=1,IF((COUNTIF('C111'!F5,"Aula 8")+COUNTIF('C112'!F5,"Aula 8")+COUNTIF('C113'!F5,"Aula 8")+COUNTIF('C121'!F5,"Aula 8")+COUNTIF('C122'!F5,"Aula 8"))&gt;0,"C1",""),"MIX"))</f>
        <v/>
      </c>
    </row>
    <row r="249">
      <c r="C249">
        <f>IF((IF((COUNTIF('C111'!F5,"Aula 9")+COUNTIF('C112'!F5,"Aula 9")+COUNTIF('C113'!F5,"Aula 9")+COUNTIF('C121'!F5,"Aula 9")+COUNTIF('C122'!F5,"Aula 9"))&gt;0,1,0))=0,"",IF((IF((COUNTIF('C111'!F5,"Aula 9")+COUNTIF('C112'!F5,"Aula 9")+COUNTIF('C113'!F5,"Aula 9")+COUNTIF('C121'!F5,"Aula 9")+COUNTIF('C122'!F5,"Aula 9"))&gt;0,1,0))=1,IF((COUNTIF('C111'!F5,"Aula 9")+COUNTIF('C112'!F5,"Aula 9")+COUNTIF('C113'!F5,"Aula 9")+COUNTIF('C121'!F5,"Aula 9")+COUNTIF('C122'!F5,"Aula 9"))&gt;0,"C1",""),"MIX"))</f>
        <v/>
      </c>
    </row>
    <row r="250">
      <c r="C250">
        <f>IF((IF((COUNTIF('C111'!F5,"Lab")+COUNTIF('C112'!F5,"Lab")+COUNTIF('C113'!F5,"Lab")+COUNTIF('C121'!F5,"Lab")+COUNTIF('C122'!F5,"Lab"))&gt;0,1,0))=0,"",IF((IF((COUNTIF('C111'!F5,"Lab")+COUNTIF('C112'!F5,"Lab")+COUNTIF('C113'!F5,"Lab")+COUNTIF('C121'!F5,"Lab")+COUNTIF('C122'!F5,"Lab"))&gt;0,1,0))=1,IF((COUNTIF('C111'!F5,"Lab")+COUNTIF('C112'!F5,"Lab")+COUNTIF('C113'!F5,"Lab")+COUNTIF('C121'!F5,"Lab")+COUNTIF('C122'!F5,"Lab"))&gt;0,"C1",""),"MIX"))</f>
        <v/>
      </c>
    </row>
    <row r="251">
      <c r="C251">
        <f>IF((IF((COUNTIF('C111'!F7,"Aula 1")+COUNTIF('C112'!F7,"Aula 1")+COUNTIF('C113'!F7,"Aula 1")+COUNTIF('C121'!F7,"Aula 1")+COUNTIF('C122'!F7,"Aula 1"))&gt;0,1,0))=0,"",IF((IF((COUNTIF('C111'!F7,"Aula 1")+COUNTIF('C112'!F7,"Aula 1")+COUNTIF('C113'!F7,"Aula 1")+COUNTIF('C121'!F7,"Aula 1")+COUNTIF('C122'!F7,"Aula 1"))&gt;0,1,0))=1,IF((COUNTIF('C111'!F7,"Aula 1")+COUNTIF('C112'!F7,"Aula 1")+COUNTIF('C113'!F7,"Aula 1")+COUNTIF('C121'!F7,"Aula 1")+COUNTIF('C122'!F7,"Aula 1"))&gt;0,"C1",""),"MIX"))</f>
        <v/>
      </c>
    </row>
    <row r="252">
      <c r="C252">
        <f>IF((IF((COUNTIF('C111'!F7,"Aula 2")+COUNTIF('C112'!F7,"Aula 2")+COUNTIF('C113'!F7,"Aula 2")+COUNTIF('C121'!F7,"Aula 2")+COUNTIF('C122'!F7,"Aula 2"))&gt;0,1,0))=0,"",IF((IF((COUNTIF('C111'!F7,"Aula 2")+COUNTIF('C112'!F7,"Aula 2")+COUNTIF('C113'!F7,"Aula 2")+COUNTIF('C121'!F7,"Aula 2")+COUNTIF('C122'!F7,"Aula 2"))&gt;0,1,0))=1,IF((COUNTIF('C111'!F7,"Aula 2")+COUNTIF('C112'!F7,"Aula 2")+COUNTIF('C113'!F7,"Aula 2")+COUNTIF('C121'!F7,"Aula 2")+COUNTIF('C122'!F7,"Aula 2"))&gt;0,"C1",""),"MIX"))</f>
        <v/>
      </c>
    </row>
    <row r="253">
      <c r="C253">
        <f>IF((IF((COUNTIF('C111'!F7,"Aula 3")+COUNTIF('C112'!F7,"Aula 3")+COUNTIF('C113'!F7,"Aula 3")+COUNTIF('C121'!F7,"Aula 3")+COUNTIF('C122'!F7,"Aula 3"))&gt;0,1,0))=0,"",IF((IF((COUNTIF('C111'!F7,"Aula 3")+COUNTIF('C112'!F7,"Aula 3")+COUNTIF('C113'!F7,"Aula 3")+COUNTIF('C121'!F7,"Aula 3")+COUNTIF('C122'!F7,"Aula 3"))&gt;0,1,0))=1,IF((COUNTIF('C111'!F7,"Aula 3")+COUNTIF('C112'!F7,"Aula 3")+COUNTIF('C113'!F7,"Aula 3")+COUNTIF('C121'!F7,"Aula 3")+COUNTIF('C122'!F7,"Aula 3"))&gt;0,"C1",""),"MIX"))</f>
        <v/>
      </c>
    </row>
    <row r="254">
      <c r="C254">
        <f>IF((IF((COUNTIF('C111'!F7,"Aula 4")+COUNTIF('C112'!F7,"Aula 4")+COUNTIF('C113'!F7,"Aula 4")+COUNTIF('C121'!F7,"Aula 4")+COUNTIF('C122'!F7,"Aula 4"))&gt;0,1,0))=0,"",IF((IF((COUNTIF('C111'!F7,"Aula 4")+COUNTIF('C112'!F7,"Aula 4")+COUNTIF('C113'!F7,"Aula 4")+COUNTIF('C121'!F7,"Aula 4")+COUNTIF('C122'!F7,"Aula 4"))&gt;0,1,0))=1,IF((COUNTIF('C111'!F7,"Aula 4")+COUNTIF('C112'!F7,"Aula 4")+COUNTIF('C113'!F7,"Aula 4")+COUNTIF('C121'!F7,"Aula 4")+COUNTIF('C122'!F7,"Aula 4"))&gt;0,"C1",""),"MIX"))</f>
        <v/>
      </c>
    </row>
    <row r="255">
      <c r="C255">
        <f>IF((IF((COUNTIF('C111'!F7,"Aula 5")+COUNTIF('C112'!F7,"Aula 5")+COUNTIF('C113'!F7,"Aula 5")+COUNTIF('C121'!F7,"Aula 5")+COUNTIF('C122'!F7,"Aula 5"))&gt;0,1,0))=0,"",IF((IF((COUNTIF('C111'!F7,"Aula 5")+COUNTIF('C112'!F7,"Aula 5")+COUNTIF('C113'!F7,"Aula 5")+COUNTIF('C121'!F7,"Aula 5")+COUNTIF('C122'!F7,"Aula 5"))&gt;0,1,0))=1,IF((COUNTIF('C111'!F7,"Aula 5")+COUNTIF('C112'!F7,"Aula 5")+COUNTIF('C113'!F7,"Aula 5")+COUNTIF('C121'!F7,"Aula 5")+COUNTIF('C122'!F7,"Aula 5"))&gt;0,"C1",""),"MIX"))</f>
        <v/>
      </c>
    </row>
    <row r="256">
      <c r="C256">
        <f>IF((IF((COUNTIF('C111'!F7,"Aula 6")+COUNTIF('C112'!F7,"Aula 6")+COUNTIF('C113'!F7,"Aula 6")+COUNTIF('C121'!F7,"Aula 6")+COUNTIF('C122'!F7,"Aula 6"))&gt;0,1,0))=0,"",IF((IF((COUNTIF('C111'!F7,"Aula 6")+COUNTIF('C112'!F7,"Aula 6")+COUNTIF('C113'!F7,"Aula 6")+COUNTIF('C121'!F7,"Aula 6")+COUNTIF('C122'!F7,"Aula 6"))&gt;0,1,0))=1,IF((COUNTIF('C111'!F7,"Aula 6")+COUNTIF('C112'!F7,"Aula 6")+COUNTIF('C113'!F7,"Aula 6")+COUNTIF('C121'!F7,"Aula 6")+COUNTIF('C122'!F7,"Aula 6"))&gt;0,"C1",""),"MIX"))</f>
        <v/>
      </c>
    </row>
    <row r="257">
      <c r="C257">
        <f>IF((IF((COUNTIF('C111'!F7,"Aula 7")+COUNTIF('C112'!F7,"Aula 7")+COUNTIF('C113'!F7,"Aula 7")+COUNTIF('C121'!F7,"Aula 7")+COUNTIF('C122'!F7,"Aula 7"))&gt;0,1,0))=0,"",IF((IF((COUNTIF('C111'!F7,"Aula 7")+COUNTIF('C112'!F7,"Aula 7")+COUNTIF('C113'!F7,"Aula 7")+COUNTIF('C121'!F7,"Aula 7")+COUNTIF('C122'!F7,"Aula 7"))&gt;0,1,0))=1,IF((COUNTIF('C111'!F7,"Aula 7")+COUNTIF('C112'!F7,"Aula 7")+COUNTIF('C113'!F7,"Aula 7")+COUNTIF('C121'!F7,"Aula 7")+COUNTIF('C122'!F7,"Aula 7"))&gt;0,"C1",""),"MIX"))</f>
        <v/>
      </c>
    </row>
    <row r="258">
      <c r="C258">
        <f>IF((IF((COUNTIF('C111'!F7,"Aula 8")+COUNTIF('C112'!F7,"Aula 8")+COUNTIF('C113'!F7,"Aula 8")+COUNTIF('C121'!F7,"Aula 8")+COUNTIF('C122'!F7,"Aula 8"))&gt;0,1,0))=0,"",IF((IF((COUNTIF('C111'!F7,"Aula 8")+COUNTIF('C112'!F7,"Aula 8")+COUNTIF('C113'!F7,"Aula 8")+COUNTIF('C121'!F7,"Aula 8")+COUNTIF('C122'!F7,"Aula 8"))&gt;0,1,0))=1,IF((COUNTIF('C111'!F7,"Aula 8")+COUNTIF('C112'!F7,"Aula 8")+COUNTIF('C113'!F7,"Aula 8")+COUNTIF('C121'!F7,"Aula 8")+COUNTIF('C122'!F7,"Aula 8"))&gt;0,"C1",""),"MIX"))</f>
        <v/>
      </c>
    </row>
    <row r="259">
      <c r="C259">
        <f>IF((IF((COUNTIF('C111'!F7,"Aula 9")+COUNTIF('C112'!F7,"Aula 9")+COUNTIF('C113'!F7,"Aula 9")+COUNTIF('C121'!F7,"Aula 9")+COUNTIF('C122'!F7,"Aula 9"))&gt;0,1,0))=0,"",IF((IF((COUNTIF('C111'!F7,"Aula 9")+COUNTIF('C112'!F7,"Aula 9")+COUNTIF('C113'!F7,"Aula 9")+COUNTIF('C121'!F7,"Aula 9")+COUNTIF('C122'!F7,"Aula 9"))&gt;0,1,0))=1,IF((COUNTIF('C111'!F7,"Aula 9")+COUNTIF('C112'!F7,"Aula 9")+COUNTIF('C113'!F7,"Aula 9")+COUNTIF('C121'!F7,"Aula 9")+COUNTIF('C122'!F7,"Aula 9"))&gt;0,"C1",""),"MIX"))</f>
        <v/>
      </c>
    </row>
    <row r="260">
      <c r="C260">
        <f>IF((IF((COUNTIF('C111'!F7,"Lab")+COUNTIF('C112'!F7,"Lab")+COUNTIF('C113'!F7,"Lab")+COUNTIF('C121'!F7,"Lab")+COUNTIF('C122'!F7,"Lab"))&gt;0,1,0))=0,"",IF((IF((COUNTIF('C111'!F7,"Lab")+COUNTIF('C112'!F7,"Lab")+COUNTIF('C113'!F7,"Lab")+COUNTIF('C121'!F7,"Lab")+COUNTIF('C122'!F7,"Lab"))&gt;0,1,0))=1,IF((COUNTIF('C111'!F7,"Lab")+COUNTIF('C112'!F7,"Lab")+COUNTIF('C113'!F7,"Lab")+COUNTIF('C121'!F7,"Lab")+COUNTIF('C122'!F7,"Lab"))&gt;0,"C1",""),"MIX"))</f>
        <v/>
      </c>
    </row>
    <row r="261">
      <c r="C261">
        <f>IF((IF((COUNTIF('C111'!F9,"Aula 1")+COUNTIF('C112'!F9,"Aula 1")+COUNTIF('C113'!F9,"Aula 1")+COUNTIF('C121'!F9,"Aula 1")+COUNTIF('C122'!F9,"Aula 1"))&gt;0,1,0))=0,"",IF((IF((COUNTIF('C111'!F9,"Aula 1")+COUNTIF('C112'!F9,"Aula 1")+COUNTIF('C113'!F9,"Aula 1")+COUNTIF('C121'!F9,"Aula 1")+COUNTIF('C122'!F9,"Aula 1"))&gt;0,1,0))=1,IF((COUNTIF('C111'!F9,"Aula 1")+COUNTIF('C112'!F9,"Aula 1")+COUNTIF('C113'!F9,"Aula 1")+COUNTIF('C121'!F9,"Aula 1")+COUNTIF('C122'!F9,"Aula 1"))&gt;0,"C1",""),"MIX"))</f>
        <v/>
      </c>
    </row>
    <row r="262">
      <c r="C262">
        <f>IF((IF((COUNTIF('C111'!F9,"Aula 2")+COUNTIF('C112'!F9,"Aula 2")+COUNTIF('C113'!F9,"Aula 2")+COUNTIF('C121'!F9,"Aula 2")+COUNTIF('C122'!F9,"Aula 2"))&gt;0,1,0))=0,"",IF((IF((COUNTIF('C111'!F9,"Aula 2")+COUNTIF('C112'!F9,"Aula 2")+COUNTIF('C113'!F9,"Aula 2")+COUNTIF('C121'!F9,"Aula 2")+COUNTIF('C122'!F9,"Aula 2"))&gt;0,1,0))=1,IF((COUNTIF('C111'!F9,"Aula 2")+COUNTIF('C112'!F9,"Aula 2")+COUNTIF('C113'!F9,"Aula 2")+COUNTIF('C121'!F9,"Aula 2")+COUNTIF('C122'!F9,"Aula 2"))&gt;0,"C1",""),"MIX"))</f>
        <v/>
      </c>
    </row>
    <row r="263">
      <c r="C263">
        <f>IF((IF((COUNTIF('C111'!F9,"Aula 3")+COUNTIF('C112'!F9,"Aula 3")+COUNTIF('C113'!F9,"Aula 3")+COUNTIF('C121'!F9,"Aula 3")+COUNTIF('C122'!F9,"Aula 3"))&gt;0,1,0))=0,"",IF((IF((COUNTIF('C111'!F9,"Aula 3")+COUNTIF('C112'!F9,"Aula 3")+COUNTIF('C113'!F9,"Aula 3")+COUNTIF('C121'!F9,"Aula 3")+COUNTIF('C122'!F9,"Aula 3"))&gt;0,1,0))=1,IF((COUNTIF('C111'!F9,"Aula 3")+COUNTIF('C112'!F9,"Aula 3")+COUNTIF('C113'!F9,"Aula 3")+COUNTIF('C121'!F9,"Aula 3")+COUNTIF('C122'!F9,"Aula 3"))&gt;0,"C1",""),"MIX"))</f>
        <v/>
      </c>
    </row>
    <row r="264">
      <c r="C264">
        <f>IF((IF((COUNTIF('C111'!F9,"Aula 4")+COUNTIF('C112'!F9,"Aula 4")+COUNTIF('C113'!F9,"Aula 4")+COUNTIF('C121'!F9,"Aula 4")+COUNTIF('C122'!F9,"Aula 4"))&gt;0,1,0))=0,"",IF((IF((COUNTIF('C111'!F9,"Aula 4")+COUNTIF('C112'!F9,"Aula 4")+COUNTIF('C113'!F9,"Aula 4")+COUNTIF('C121'!F9,"Aula 4")+COUNTIF('C122'!F9,"Aula 4"))&gt;0,1,0))=1,IF((COUNTIF('C111'!F9,"Aula 4")+COUNTIF('C112'!F9,"Aula 4")+COUNTIF('C113'!F9,"Aula 4")+COUNTIF('C121'!F9,"Aula 4")+COUNTIF('C122'!F9,"Aula 4"))&gt;0,"C1",""),"MIX"))</f>
        <v/>
      </c>
    </row>
    <row r="265">
      <c r="C265">
        <f>IF((IF((COUNTIF('C111'!F9,"Aula 5")+COUNTIF('C112'!F9,"Aula 5")+COUNTIF('C113'!F9,"Aula 5")+COUNTIF('C121'!F9,"Aula 5")+COUNTIF('C122'!F9,"Aula 5"))&gt;0,1,0))=0,"",IF((IF((COUNTIF('C111'!F9,"Aula 5")+COUNTIF('C112'!F9,"Aula 5")+COUNTIF('C113'!F9,"Aula 5")+COUNTIF('C121'!F9,"Aula 5")+COUNTIF('C122'!F9,"Aula 5"))&gt;0,1,0))=1,IF((COUNTIF('C111'!F9,"Aula 5")+COUNTIF('C112'!F9,"Aula 5")+COUNTIF('C113'!F9,"Aula 5")+COUNTIF('C121'!F9,"Aula 5")+COUNTIF('C122'!F9,"Aula 5"))&gt;0,"C1",""),"MIX"))</f>
        <v/>
      </c>
    </row>
    <row r="266">
      <c r="C266">
        <f>IF((IF((COUNTIF('C111'!F9,"Aula 6")+COUNTIF('C112'!F9,"Aula 6")+COUNTIF('C113'!F9,"Aula 6")+COUNTIF('C121'!F9,"Aula 6")+COUNTIF('C122'!F9,"Aula 6"))&gt;0,1,0))=0,"",IF((IF((COUNTIF('C111'!F9,"Aula 6")+COUNTIF('C112'!F9,"Aula 6")+COUNTIF('C113'!F9,"Aula 6")+COUNTIF('C121'!F9,"Aula 6")+COUNTIF('C122'!F9,"Aula 6"))&gt;0,1,0))=1,IF((COUNTIF('C111'!F9,"Aula 6")+COUNTIF('C112'!F9,"Aula 6")+COUNTIF('C113'!F9,"Aula 6")+COUNTIF('C121'!F9,"Aula 6")+COUNTIF('C122'!F9,"Aula 6"))&gt;0,"C1",""),"MIX"))</f>
        <v/>
      </c>
    </row>
    <row r="267">
      <c r="C267">
        <f>IF((IF((COUNTIF('C111'!F9,"Aula 7")+COUNTIF('C112'!F9,"Aula 7")+COUNTIF('C113'!F9,"Aula 7")+COUNTIF('C121'!F9,"Aula 7")+COUNTIF('C122'!F9,"Aula 7"))&gt;0,1,0))=0,"",IF((IF((COUNTIF('C111'!F9,"Aula 7")+COUNTIF('C112'!F9,"Aula 7")+COUNTIF('C113'!F9,"Aula 7")+COUNTIF('C121'!F9,"Aula 7")+COUNTIF('C122'!F9,"Aula 7"))&gt;0,1,0))=1,IF((COUNTIF('C111'!F9,"Aula 7")+COUNTIF('C112'!F9,"Aula 7")+COUNTIF('C113'!F9,"Aula 7")+COUNTIF('C121'!F9,"Aula 7")+COUNTIF('C122'!F9,"Aula 7"))&gt;0,"C1",""),"MIX"))</f>
        <v/>
      </c>
    </row>
    <row r="268">
      <c r="C268">
        <f>IF((IF((COUNTIF('C111'!F9,"Aula 8")+COUNTIF('C112'!F9,"Aula 8")+COUNTIF('C113'!F9,"Aula 8")+COUNTIF('C121'!F9,"Aula 8")+COUNTIF('C122'!F9,"Aula 8"))&gt;0,1,0))=0,"",IF((IF((COUNTIF('C111'!F9,"Aula 8")+COUNTIF('C112'!F9,"Aula 8")+COUNTIF('C113'!F9,"Aula 8")+COUNTIF('C121'!F9,"Aula 8")+COUNTIF('C122'!F9,"Aula 8"))&gt;0,1,0))=1,IF((COUNTIF('C111'!F9,"Aula 8")+COUNTIF('C112'!F9,"Aula 8")+COUNTIF('C113'!F9,"Aula 8")+COUNTIF('C121'!F9,"Aula 8")+COUNTIF('C122'!F9,"Aula 8"))&gt;0,"C1",""),"MIX"))</f>
        <v/>
      </c>
    </row>
    <row r="269">
      <c r="C269">
        <f>IF((IF((COUNTIF('C111'!F9,"Aula 9")+COUNTIF('C112'!F9,"Aula 9")+COUNTIF('C113'!F9,"Aula 9")+COUNTIF('C121'!F9,"Aula 9")+COUNTIF('C122'!F9,"Aula 9"))&gt;0,1,0))=0,"",IF((IF((COUNTIF('C111'!F9,"Aula 9")+COUNTIF('C112'!F9,"Aula 9")+COUNTIF('C113'!F9,"Aula 9")+COUNTIF('C121'!F9,"Aula 9")+COUNTIF('C122'!F9,"Aula 9"))&gt;0,1,0))=1,IF((COUNTIF('C111'!F9,"Aula 9")+COUNTIF('C112'!F9,"Aula 9")+COUNTIF('C113'!F9,"Aula 9")+COUNTIF('C121'!F9,"Aula 9")+COUNTIF('C122'!F9,"Aula 9"))&gt;0,"C1",""),"MIX"))</f>
        <v/>
      </c>
    </row>
    <row r="270">
      <c r="C270">
        <f>IF((IF((COUNTIF('C111'!F9,"Lab")+COUNTIF('C112'!F9,"Lab")+COUNTIF('C113'!F9,"Lab")+COUNTIF('C121'!F9,"Lab")+COUNTIF('C122'!F9,"Lab"))&gt;0,1,0))=0,"",IF((IF((COUNTIF('C111'!F9,"Lab")+COUNTIF('C112'!F9,"Lab")+COUNTIF('C113'!F9,"Lab")+COUNTIF('C121'!F9,"Lab")+COUNTIF('C122'!F9,"Lab"))&gt;0,1,0))=1,IF((COUNTIF('C111'!F9,"Lab")+COUNTIF('C112'!F9,"Lab")+COUNTIF('C113'!F9,"Lab")+COUNTIF('C121'!F9,"Lab")+COUNTIF('C122'!F9,"Lab"))&gt;0,"C1",""),"MIX"))</f>
        <v/>
      </c>
    </row>
    <row r="271">
      <c r="C271">
        <f>IF((IF((COUNTIF('C111'!F11,"Aula 1")+COUNTIF('C112'!F11,"Aula 1")+COUNTIF('C113'!F11,"Aula 1")+COUNTIF('C121'!F11,"Aula 1")+COUNTIF('C122'!F11,"Aula 1"))&gt;0,1,0))=0,"",IF((IF((COUNTIF('C111'!F11,"Aula 1")+COUNTIF('C112'!F11,"Aula 1")+COUNTIF('C113'!F11,"Aula 1")+COUNTIF('C121'!F11,"Aula 1")+COUNTIF('C122'!F11,"Aula 1"))&gt;0,1,0))=1,IF((COUNTIF('C111'!F11,"Aula 1")+COUNTIF('C112'!F11,"Aula 1")+COUNTIF('C113'!F11,"Aula 1")+COUNTIF('C121'!F11,"Aula 1")+COUNTIF('C122'!F11,"Aula 1"))&gt;0,"C1",""),"MIX"))</f>
        <v/>
      </c>
    </row>
    <row r="272">
      <c r="C272">
        <f>IF((IF((COUNTIF('C111'!F11,"Aula 2")+COUNTIF('C112'!F11,"Aula 2")+COUNTIF('C113'!F11,"Aula 2")+COUNTIF('C121'!F11,"Aula 2")+COUNTIF('C122'!F11,"Aula 2"))&gt;0,1,0))=0,"",IF((IF((COUNTIF('C111'!F11,"Aula 2")+COUNTIF('C112'!F11,"Aula 2")+COUNTIF('C113'!F11,"Aula 2")+COUNTIF('C121'!F11,"Aula 2")+COUNTIF('C122'!F11,"Aula 2"))&gt;0,1,0))=1,IF((COUNTIF('C111'!F11,"Aula 2")+COUNTIF('C112'!F11,"Aula 2")+COUNTIF('C113'!F11,"Aula 2")+COUNTIF('C121'!F11,"Aula 2")+COUNTIF('C122'!F11,"Aula 2"))&gt;0,"C1",""),"MIX"))</f>
        <v/>
      </c>
    </row>
    <row r="273">
      <c r="C273">
        <f>IF((IF((COUNTIF('C111'!F11,"Aula 3")+COUNTIF('C112'!F11,"Aula 3")+COUNTIF('C113'!F11,"Aula 3")+COUNTIF('C121'!F11,"Aula 3")+COUNTIF('C122'!F11,"Aula 3"))&gt;0,1,0))=0,"",IF((IF((COUNTIF('C111'!F11,"Aula 3")+COUNTIF('C112'!F11,"Aula 3")+COUNTIF('C113'!F11,"Aula 3")+COUNTIF('C121'!F11,"Aula 3")+COUNTIF('C122'!F11,"Aula 3"))&gt;0,1,0))=1,IF((COUNTIF('C111'!F11,"Aula 3")+COUNTIF('C112'!F11,"Aula 3")+COUNTIF('C113'!F11,"Aula 3")+COUNTIF('C121'!F11,"Aula 3")+COUNTIF('C122'!F11,"Aula 3"))&gt;0,"C1",""),"MIX"))</f>
        <v/>
      </c>
    </row>
    <row r="274">
      <c r="C274">
        <f>IF((IF((COUNTIF('C111'!F11,"Aula 4")+COUNTIF('C112'!F11,"Aula 4")+COUNTIF('C113'!F11,"Aula 4")+COUNTIF('C121'!F11,"Aula 4")+COUNTIF('C122'!F11,"Aula 4"))&gt;0,1,0))=0,"",IF((IF((COUNTIF('C111'!F11,"Aula 4")+COUNTIF('C112'!F11,"Aula 4")+COUNTIF('C113'!F11,"Aula 4")+COUNTIF('C121'!F11,"Aula 4")+COUNTIF('C122'!F11,"Aula 4"))&gt;0,1,0))=1,IF((COUNTIF('C111'!F11,"Aula 4")+COUNTIF('C112'!F11,"Aula 4")+COUNTIF('C113'!F11,"Aula 4")+COUNTIF('C121'!F11,"Aula 4")+COUNTIF('C122'!F11,"Aula 4"))&gt;0,"C1",""),"MIX"))</f>
        <v/>
      </c>
    </row>
    <row r="275">
      <c r="C275">
        <f>IF((IF((COUNTIF('C111'!F11,"Aula 5")+COUNTIF('C112'!F11,"Aula 5")+COUNTIF('C113'!F11,"Aula 5")+COUNTIF('C121'!F11,"Aula 5")+COUNTIF('C122'!F11,"Aula 5"))&gt;0,1,0))=0,"",IF((IF((COUNTIF('C111'!F11,"Aula 5")+COUNTIF('C112'!F11,"Aula 5")+COUNTIF('C113'!F11,"Aula 5")+COUNTIF('C121'!F11,"Aula 5")+COUNTIF('C122'!F11,"Aula 5"))&gt;0,1,0))=1,IF((COUNTIF('C111'!F11,"Aula 5")+COUNTIF('C112'!F11,"Aula 5")+COUNTIF('C113'!F11,"Aula 5")+COUNTIF('C121'!F11,"Aula 5")+COUNTIF('C122'!F11,"Aula 5"))&gt;0,"C1",""),"MIX"))</f>
        <v/>
      </c>
    </row>
    <row r="276">
      <c r="C276">
        <f>IF((IF((COUNTIF('C111'!F11,"Aula 6")+COUNTIF('C112'!F11,"Aula 6")+COUNTIF('C113'!F11,"Aula 6")+COUNTIF('C121'!F11,"Aula 6")+COUNTIF('C122'!F11,"Aula 6"))&gt;0,1,0))=0,"",IF((IF((COUNTIF('C111'!F11,"Aula 6")+COUNTIF('C112'!F11,"Aula 6")+COUNTIF('C113'!F11,"Aula 6")+COUNTIF('C121'!F11,"Aula 6")+COUNTIF('C122'!F11,"Aula 6"))&gt;0,1,0))=1,IF((COUNTIF('C111'!F11,"Aula 6")+COUNTIF('C112'!F11,"Aula 6")+COUNTIF('C113'!F11,"Aula 6")+COUNTIF('C121'!F11,"Aula 6")+COUNTIF('C122'!F11,"Aula 6"))&gt;0,"C1",""),"MIX"))</f>
        <v/>
      </c>
    </row>
    <row r="277">
      <c r="C277">
        <f>IF((IF((COUNTIF('C111'!F11,"Aula 7")+COUNTIF('C112'!F11,"Aula 7")+COUNTIF('C113'!F11,"Aula 7")+COUNTIF('C121'!F11,"Aula 7")+COUNTIF('C122'!F11,"Aula 7"))&gt;0,1,0))=0,"",IF((IF((COUNTIF('C111'!F11,"Aula 7")+COUNTIF('C112'!F11,"Aula 7")+COUNTIF('C113'!F11,"Aula 7")+COUNTIF('C121'!F11,"Aula 7")+COUNTIF('C122'!F11,"Aula 7"))&gt;0,1,0))=1,IF((COUNTIF('C111'!F11,"Aula 7")+COUNTIF('C112'!F11,"Aula 7")+COUNTIF('C113'!F11,"Aula 7")+COUNTIF('C121'!F11,"Aula 7")+COUNTIF('C122'!F11,"Aula 7"))&gt;0,"C1",""),"MIX"))</f>
        <v/>
      </c>
    </row>
    <row r="278">
      <c r="C278">
        <f>IF((IF((COUNTIF('C111'!F11,"Aula 8")+COUNTIF('C112'!F11,"Aula 8")+COUNTIF('C113'!F11,"Aula 8")+COUNTIF('C121'!F11,"Aula 8")+COUNTIF('C122'!F11,"Aula 8"))&gt;0,1,0))=0,"",IF((IF((COUNTIF('C111'!F11,"Aula 8")+COUNTIF('C112'!F11,"Aula 8")+COUNTIF('C113'!F11,"Aula 8")+COUNTIF('C121'!F11,"Aula 8")+COUNTIF('C122'!F11,"Aula 8"))&gt;0,1,0))=1,IF((COUNTIF('C111'!F11,"Aula 8")+COUNTIF('C112'!F11,"Aula 8")+COUNTIF('C113'!F11,"Aula 8")+COUNTIF('C121'!F11,"Aula 8")+COUNTIF('C122'!F11,"Aula 8"))&gt;0,"C1",""),"MIX"))</f>
        <v/>
      </c>
    </row>
    <row r="279">
      <c r="C279">
        <f>IF((IF((COUNTIF('C111'!F11,"Aula 9")+COUNTIF('C112'!F11,"Aula 9")+COUNTIF('C113'!F11,"Aula 9")+COUNTIF('C121'!F11,"Aula 9")+COUNTIF('C122'!F11,"Aula 9"))&gt;0,1,0))=0,"",IF((IF((COUNTIF('C111'!F11,"Aula 9")+COUNTIF('C112'!F11,"Aula 9")+COUNTIF('C113'!F11,"Aula 9")+COUNTIF('C121'!F11,"Aula 9")+COUNTIF('C122'!F11,"Aula 9"))&gt;0,1,0))=1,IF((COUNTIF('C111'!F11,"Aula 9")+COUNTIF('C112'!F11,"Aula 9")+COUNTIF('C113'!F11,"Aula 9")+COUNTIF('C121'!F11,"Aula 9")+COUNTIF('C122'!F11,"Aula 9"))&gt;0,"C1",""),"MIX"))</f>
        <v/>
      </c>
    </row>
    <row r="280">
      <c r="C280">
        <f>IF((IF((COUNTIF('C111'!F11,"Lab")+COUNTIF('C112'!F11,"Lab")+COUNTIF('C113'!F11,"Lab")+COUNTIF('C121'!F11,"Lab")+COUNTIF('C122'!F11,"Lab"))&gt;0,1,0))=0,"",IF((IF((COUNTIF('C111'!F11,"Lab")+COUNTIF('C112'!F11,"Lab")+COUNTIF('C113'!F11,"Lab")+COUNTIF('C121'!F11,"Lab")+COUNTIF('C122'!F11,"Lab"))&gt;0,1,0))=1,IF((COUNTIF('C111'!F11,"Lab")+COUNTIF('C112'!F11,"Lab")+COUNTIF('C113'!F11,"Lab")+COUNTIF('C121'!F11,"Lab")+COUNTIF('C122'!F11,"Lab"))&gt;0,"C1",""),"MIX"))</f>
        <v/>
      </c>
    </row>
    <row r="281">
      <c r="C281">
        <f>IF((IF((COUNTIF('C111'!F13,"Aula 1")+COUNTIF('C112'!F13,"Aula 1")+COUNTIF('C113'!F13,"Aula 1")+COUNTIF('C121'!F13,"Aula 1")+COUNTIF('C122'!F13,"Aula 1"))&gt;0,1,0))=0,"",IF((IF((COUNTIF('C111'!F13,"Aula 1")+COUNTIF('C112'!F13,"Aula 1")+COUNTIF('C113'!F13,"Aula 1")+COUNTIF('C121'!F13,"Aula 1")+COUNTIF('C122'!F13,"Aula 1"))&gt;0,1,0))=1,IF((COUNTIF('C111'!F13,"Aula 1")+COUNTIF('C112'!F13,"Aula 1")+COUNTIF('C113'!F13,"Aula 1")+COUNTIF('C121'!F13,"Aula 1")+COUNTIF('C122'!F13,"Aula 1"))&gt;0,"C1",""),"MIX"))</f>
        <v/>
      </c>
    </row>
    <row r="282">
      <c r="C282">
        <f>IF((IF((COUNTIF('C111'!F13,"Aula 2")+COUNTIF('C112'!F13,"Aula 2")+COUNTIF('C113'!F13,"Aula 2")+COUNTIF('C121'!F13,"Aula 2")+COUNTIF('C122'!F13,"Aula 2"))&gt;0,1,0))=0,"",IF((IF((COUNTIF('C111'!F13,"Aula 2")+COUNTIF('C112'!F13,"Aula 2")+COUNTIF('C113'!F13,"Aula 2")+COUNTIF('C121'!F13,"Aula 2")+COUNTIF('C122'!F13,"Aula 2"))&gt;0,1,0))=1,IF((COUNTIF('C111'!F13,"Aula 2")+COUNTIF('C112'!F13,"Aula 2")+COUNTIF('C113'!F13,"Aula 2")+COUNTIF('C121'!F13,"Aula 2")+COUNTIF('C122'!F13,"Aula 2"))&gt;0,"C1",""),"MIX"))</f>
        <v/>
      </c>
    </row>
    <row r="283">
      <c r="C283">
        <f>IF((IF((COUNTIF('C111'!F13,"Aula 3")+COUNTIF('C112'!F13,"Aula 3")+COUNTIF('C113'!F13,"Aula 3")+COUNTIF('C121'!F13,"Aula 3")+COUNTIF('C122'!F13,"Aula 3"))&gt;0,1,0))=0,"",IF((IF((COUNTIF('C111'!F13,"Aula 3")+COUNTIF('C112'!F13,"Aula 3")+COUNTIF('C113'!F13,"Aula 3")+COUNTIF('C121'!F13,"Aula 3")+COUNTIF('C122'!F13,"Aula 3"))&gt;0,1,0))=1,IF((COUNTIF('C111'!F13,"Aula 3")+COUNTIF('C112'!F13,"Aula 3")+COUNTIF('C113'!F13,"Aula 3")+COUNTIF('C121'!F13,"Aula 3")+COUNTIF('C122'!F13,"Aula 3"))&gt;0,"C1",""),"MIX"))</f>
        <v/>
      </c>
    </row>
    <row r="284">
      <c r="C284">
        <f>IF((IF((COUNTIF('C111'!F13,"Aula 4")+COUNTIF('C112'!F13,"Aula 4")+COUNTIF('C113'!F13,"Aula 4")+COUNTIF('C121'!F13,"Aula 4")+COUNTIF('C122'!F13,"Aula 4"))&gt;0,1,0))=0,"",IF((IF((COUNTIF('C111'!F13,"Aula 4")+COUNTIF('C112'!F13,"Aula 4")+COUNTIF('C113'!F13,"Aula 4")+COUNTIF('C121'!F13,"Aula 4")+COUNTIF('C122'!F13,"Aula 4"))&gt;0,1,0))=1,IF((COUNTIF('C111'!F13,"Aula 4")+COUNTIF('C112'!F13,"Aula 4")+COUNTIF('C113'!F13,"Aula 4")+COUNTIF('C121'!F13,"Aula 4")+COUNTIF('C122'!F13,"Aula 4"))&gt;0,"C1",""),"MIX"))</f>
        <v/>
      </c>
    </row>
    <row r="285">
      <c r="C285">
        <f>IF((IF((COUNTIF('C111'!F13,"Aula 5")+COUNTIF('C112'!F13,"Aula 5")+COUNTIF('C113'!F13,"Aula 5")+COUNTIF('C121'!F13,"Aula 5")+COUNTIF('C122'!F13,"Aula 5"))&gt;0,1,0))=0,"",IF((IF((COUNTIF('C111'!F13,"Aula 5")+COUNTIF('C112'!F13,"Aula 5")+COUNTIF('C113'!F13,"Aula 5")+COUNTIF('C121'!F13,"Aula 5")+COUNTIF('C122'!F13,"Aula 5"))&gt;0,1,0))=1,IF((COUNTIF('C111'!F13,"Aula 5")+COUNTIF('C112'!F13,"Aula 5")+COUNTIF('C113'!F13,"Aula 5")+COUNTIF('C121'!F13,"Aula 5")+COUNTIF('C122'!F13,"Aula 5"))&gt;0,"C1",""),"MIX"))</f>
        <v/>
      </c>
    </row>
    <row r="286">
      <c r="C286">
        <f>IF((IF((COUNTIF('C111'!F13,"Aula 6")+COUNTIF('C112'!F13,"Aula 6")+COUNTIF('C113'!F13,"Aula 6")+COUNTIF('C121'!F13,"Aula 6")+COUNTIF('C122'!F13,"Aula 6"))&gt;0,1,0))=0,"",IF((IF((COUNTIF('C111'!F13,"Aula 6")+COUNTIF('C112'!F13,"Aula 6")+COUNTIF('C113'!F13,"Aula 6")+COUNTIF('C121'!F13,"Aula 6")+COUNTIF('C122'!F13,"Aula 6"))&gt;0,1,0))=1,IF((COUNTIF('C111'!F13,"Aula 6")+COUNTIF('C112'!F13,"Aula 6")+COUNTIF('C113'!F13,"Aula 6")+COUNTIF('C121'!F13,"Aula 6")+COUNTIF('C122'!F13,"Aula 6"))&gt;0,"C1",""),"MIX"))</f>
        <v/>
      </c>
    </row>
    <row r="287">
      <c r="C287">
        <f>IF((IF((COUNTIF('C111'!F13,"Aula 7")+COUNTIF('C112'!F13,"Aula 7")+COUNTIF('C113'!F13,"Aula 7")+COUNTIF('C121'!F13,"Aula 7")+COUNTIF('C122'!F13,"Aula 7"))&gt;0,1,0))=0,"",IF((IF((COUNTIF('C111'!F13,"Aula 7")+COUNTIF('C112'!F13,"Aula 7")+COUNTIF('C113'!F13,"Aula 7")+COUNTIF('C121'!F13,"Aula 7")+COUNTIF('C122'!F13,"Aula 7"))&gt;0,1,0))=1,IF((COUNTIF('C111'!F13,"Aula 7")+COUNTIF('C112'!F13,"Aula 7")+COUNTIF('C113'!F13,"Aula 7")+COUNTIF('C121'!F13,"Aula 7")+COUNTIF('C122'!F13,"Aula 7"))&gt;0,"C1",""),"MIX"))</f>
        <v/>
      </c>
    </row>
    <row r="288">
      <c r="C288">
        <f>IF((IF((COUNTIF('C111'!F13,"Aula 8")+COUNTIF('C112'!F13,"Aula 8")+COUNTIF('C113'!F13,"Aula 8")+COUNTIF('C121'!F13,"Aula 8")+COUNTIF('C122'!F13,"Aula 8"))&gt;0,1,0))=0,"",IF((IF((COUNTIF('C111'!F13,"Aula 8")+COUNTIF('C112'!F13,"Aula 8")+COUNTIF('C113'!F13,"Aula 8")+COUNTIF('C121'!F13,"Aula 8")+COUNTIF('C122'!F13,"Aula 8"))&gt;0,1,0))=1,IF((COUNTIF('C111'!F13,"Aula 8")+COUNTIF('C112'!F13,"Aula 8")+COUNTIF('C113'!F13,"Aula 8")+COUNTIF('C121'!F13,"Aula 8")+COUNTIF('C122'!F13,"Aula 8"))&gt;0,"C1",""),"MIX"))</f>
        <v/>
      </c>
    </row>
    <row r="289">
      <c r="C289">
        <f>IF((IF((COUNTIF('C111'!F13,"Aula 9")+COUNTIF('C112'!F13,"Aula 9")+COUNTIF('C113'!F13,"Aula 9")+COUNTIF('C121'!F13,"Aula 9")+COUNTIF('C122'!F13,"Aula 9"))&gt;0,1,0))=0,"",IF((IF((COUNTIF('C111'!F13,"Aula 9")+COUNTIF('C112'!F13,"Aula 9")+COUNTIF('C113'!F13,"Aula 9")+COUNTIF('C121'!F13,"Aula 9")+COUNTIF('C122'!F13,"Aula 9"))&gt;0,1,0))=1,IF((COUNTIF('C111'!F13,"Aula 9")+COUNTIF('C112'!F13,"Aula 9")+COUNTIF('C113'!F13,"Aula 9")+COUNTIF('C121'!F13,"Aula 9")+COUNTIF('C122'!F13,"Aula 9"))&gt;0,"C1",""),"MIX"))</f>
        <v/>
      </c>
    </row>
    <row r="290">
      <c r="C290">
        <f>IF((IF((COUNTIF('C111'!F13,"Lab")+COUNTIF('C112'!F13,"Lab")+COUNTIF('C113'!F13,"Lab")+COUNTIF('C121'!F13,"Lab")+COUNTIF('C122'!F13,"Lab"))&gt;0,1,0))=0,"",IF((IF((COUNTIF('C111'!F13,"Lab")+COUNTIF('C112'!F13,"Lab")+COUNTIF('C113'!F13,"Lab")+COUNTIF('C121'!F13,"Lab")+COUNTIF('C122'!F13,"Lab"))&gt;0,1,0))=1,IF((COUNTIF('C111'!F13,"Lab")+COUNTIF('C112'!F13,"Lab")+COUNTIF('C113'!F13,"Lab")+COUNTIF('C121'!F13,"Lab")+COUNTIF('C122'!F13,"Lab"))&gt;0,"C1",""),"MIX"))</f>
        <v/>
      </c>
    </row>
    <row r="291">
      <c r="C291">
        <f>IF((IF((COUNTIF('C111'!F15,"Aula 1")+COUNTIF('C112'!F15,"Aula 1")+COUNTIF('C113'!F15,"Aula 1")+COUNTIF('C121'!F15,"Aula 1")+COUNTIF('C122'!F15,"Aula 1"))&gt;0,1,0))=0,"",IF((IF((COUNTIF('C111'!F15,"Aula 1")+COUNTIF('C112'!F15,"Aula 1")+COUNTIF('C113'!F15,"Aula 1")+COUNTIF('C121'!F15,"Aula 1")+COUNTIF('C122'!F15,"Aula 1"))&gt;0,1,0))=1,IF((COUNTIF('C111'!F15,"Aula 1")+COUNTIF('C112'!F15,"Aula 1")+COUNTIF('C113'!F15,"Aula 1")+COUNTIF('C121'!F15,"Aula 1")+COUNTIF('C122'!F15,"Aula 1"))&gt;0,"C1",""),"MIX"))</f>
        <v/>
      </c>
    </row>
    <row r="292">
      <c r="C292">
        <f>IF((IF((COUNTIF('C111'!F15,"Aula 2")+COUNTIF('C112'!F15,"Aula 2")+COUNTIF('C113'!F15,"Aula 2")+COUNTIF('C121'!F15,"Aula 2")+COUNTIF('C122'!F15,"Aula 2"))&gt;0,1,0))=0,"",IF((IF((COUNTIF('C111'!F15,"Aula 2")+COUNTIF('C112'!F15,"Aula 2")+COUNTIF('C113'!F15,"Aula 2")+COUNTIF('C121'!F15,"Aula 2")+COUNTIF('C122'!F15,"Aula 2"))&gt;0,1,0))=1,IF((COUNTIF('C111'!F15,"Aula 2")+COUNTIF('C112'!F15,"Aula 2")+COUNTIF('C113'!F15,"Aula 2")+COUNTIF('C121'!F15,"Aula 2")+COUNTIF('C122'!F15,"Aula 2"))&gt;0,"C1",""),"MIX"))</f>
        <v/>
      </c>
    </row>
    <row r="293">
      <c r="C293">
        <f>IF((IF((COUNTIF('C111'!F15,"Aula 3")+COUNTIF('C112'!F15,"Aula 3")+COUNTIF('C113'!F15,"Aula 3")+COUNTIF('C121'!F15,"Aula 3")+COUNTIF('C122'!F15,"Aula 3"))&gt;0,1,0))=0,"",IF((IF((COUNTIF('C111'!F15,"Aula 3")+COUNTIF('C112'!F15,"Aula 3")+COUNTIF('C113'!F15,"Aula 3")+COUNTIF('C121'!F15,"Aula 3")+COUNTIF('C122'!F15,"Aula 3"))&gt;0,1,0))=1,IF((COUNTIF('C111'!F15,"Aula 3")+COUNTIF('C112'!F15,"Aula 3")+COUNTIF('C113'!F15,"Aula 3")+COUNTIF('C121'!F15,"Aula 3")+COUNTIF('C122'!F15,"Aula 3"))&gt;0,"C1",""),"MIX"))</f>
        <v/>
      </c>
    </row>
    <row r="294">
      <c r="C294">
        <f>IF((IF((COUNTIF('C111'!F15,"Aula 4")+COUNTIF('C112'!F15,"Aula 4")+COUNTIF('C113'!F15,"Aula 4")+COUNTIF('C121'!F15,"Aula 4")+COUNTIF('C122'!F15,"Aula 4"))&gt;0,1,0))=0,"",IF((IF((COUNTIF('C111'!F15,"Aula 4")+COUNTIF('C112'!F15,"Aula 4")+COUNTIF('C113'!F15,"Aula 4")+COUNTIF('C121'!F15,"Aula 4")+COUNTIF('C122'!F15,"Aula 4"))&gt;0,1,0))=1,IF((COUNTIF('C111'!F15,"Aula 4")+COUNTIF('C112'!F15,"Aula 4")+COUNTIF('C113'!F15,"Aula 4")+COUNTIF('C121'!F15,"Aula 4")+COUNTIF('C122'!F15,"Aula 4"))&gt;0,"C1",""),"MIX"))</f>
        <v/>
      </c>
    </row>
    <row r="295">
      <c r="C295">
        <f>IF((IF((COUNTIF('C111'!F15,"Aula 5")+COUNTIF('C112'!F15,"Aula 5")+COUNTIF('C113'!F15,"Aula 5")+COUNTIF('C121'!F15,"Aula 5")+COUNTIF('C122'!F15,"Aula 5"))&gt;0,1,0))=0,"",IF((IF((COUNTIF('C111'!F15,"Aula 5")+COUNTIF('C112'!F15,"Aula 5")+COUNTIF('C113'!F15,"Aula 5")+COUNTIF('C121'!F15,"Aula 5")+COUNTIF('C122'!F15,"Aula 5"))&gt;0,1,0))=1,IF((COUNTIF('C111'!F15,"Aula 5")+COUNTIF('C112'!F15,"Aula 5")+COUNTIF('C113'!F15,"Aula 5")+COUNTIF('C121'!F15,"Aula 5")+COUNTIF('C122'!F15,"Aula 5"))&gt;0,"C1",""),"MIX"))</f>
        <v/>
      </c>
    </row>
    <row r="296">
      <c r="C296">
        <f>IF((IF((COUNTIF('C111'!F15,"Aula 6")+COUNTIF('C112'!F15,"Aula 6")+COUNTIF('C113'!F15,"Aula 6")+COUNTIF('C121'!F15,"Aula 6")+COUNTIF('C122'!F15,"Aula 6"))&gt;0,1,0))=0,"",IF((IF((COUNTIF('C111'!F15,"Aula 6")+COUNTIF('C112'!F15,"Aula 6")+COUNTIF('C113'!F15,"Aula 6")+COUNTIF('C121'!F15,"Aula 6")+COUNTIF('C122'!F15,"Aula 6"))&gt;0,1,0))=1,IF((COUNTIF('C111'!F15,"Aula 6")+COUNTIF('C112'!F15,"Aula 6")+COUNTIF('C113'!F15,"Aula 6")+COUNTIF('C121'!F15,"Aula 6")+COUNTIF('C122'!F15,"Aula 6"))&gt;0,"C1",""),"MIX"))</f>
        <v/>
      </c>
    </row>
    <row r="297">
      <c r="C297">
        <f>IF((IF((COUNTIF('C111'!F15,"Aula 7")+COUNTIF('C112'!F15,"Aula 7")+COUNTIF('C113'!F15,"Aula 7")+COUNTIF('C121'!F15,"Aula 7")+COUNTIF('C122'!F15,"Aula 7"))&gt;0,1,0))=0,"",IF((IF((COUNTIF('C111'!F15,"Aula 7")+COUNTIF('C112'!F15,"Aula 7")+COUNTIF('C113'!F15,"Aula 7")+COUNTIF('C121'!F15,"Aula 7")+COUNTIF('C122'!F15,"Aula 7"))&gt;0,1,0))=1,IF((COUNTIF('C111'!F15,"Aula 7")+COUNTIF('C112'!F15,"Aula 7")+COUNTIF('C113'!F15,"Aula 7")+COUNTIF('C121'!F15,"Aula 7")+COUNTIF('C122'!F15,"Aula 7"))&gt;0,"C1",""),"MIX"))</f>
        <v/>
      </c>
    </row>
    <row r="298">
      <c r="C298">
        <f>IF((IF((COUNTIF('C111'!F15,"Aula 8")+COUNTIF('C112'!F15,"Aula 8")+COUNTIF('C113'!F15,"Aula 8")+COUNTIF('C121'!F15,"Aula 8")+COUNTIF('C122'!F15,"Aula 8"))&gt;0,1,0))=0,"",IF((IF((COUNTIF('C111'!F15,"Aula 8")+COUNTIF('C112'!F15,"Aula 8")+COUNTIF('C113'!F15,"Aula 8")+COUNTIF('C121'!F15,"Aula 8")+COUNTIF('C122'!F15,"Aula 8"))&gt;0,1,0))=1,IF((COUNTIF('C111'!F15,"Aula 8")+COUNTIF('C112'!F15,"Aula 8")+COUNTIF('C113'!F15,"Aula 8")+COUNTIF('C121'!F15,"Aula 8")+COUNTIF('C122'!F15,"Aula 8"))&gt;0,"C1",""),"MIX"))</f>
        <v/>
      </c>
    </row>
    <row r="299">
      <c r="C299">
        <f>IF((IF((COUNTIF('C111'!F15,"Aula 9")+COUNTIF('C112'!F15,"Aula 9")+COUNTIF('C113'!F15,"Aula 9")+COUNTIF('C121'!F15,"Aula 9")+COUNTIF('C122'!F15,"Aula 9"))&gt;0,1,0))=0,"",IF((IF((COUNTIF('C111'!F15,"Aula 9")+COUNTIF('C112'!F15,"Aula 9")+COUNTIF('C113'!F15,"Aula 9")+COUNTIF('C121'!F15,"Aula 9")+COUNTIF('C122'!F15,"Aula 9"))&gt;0,1,0))=1,IF((COUNTIF('C111'!F15,"Aula 9")+COUNTIF('C112'!F15,"Aula 9")+COUNTIF('C113'!F15,"Aula 9")+COUNTIF('C121'!F15,"Aula 9")+COUNTIF('C122'!F15,"Aula 9"))&gt;0,"C1",""),"MIX"))</f>
        <v/>
      </c>
    </row>
    <row r="300">
      <c r="C300">
        <f>IF((IF((COUNTIF('C111'!F15,"Lab")+COUNTIF('C112'!F15,"Lab")+COUNTIF('C113'!F15,"Lab")+COUNTIF('C121'!F15,"Lab")+COUNTIF('C122'!F15,"Lab"))&gt;0,1,0))=0,"",IF((IF((COUNTIF('C111'!F15,"Lab")+COUNTIF('C112'!F15,"Lab")+COUNTIF('C113'!F15,"Lab")+COUNTIF('C121'!F15,"Lab")+COUNTIF('C122'!F15,"Lab"))&gt;0,1,0))=1,IF((COUNTIF('C111'!F15,"Lab")+COUNTIF('C112'!F15,"Lab")+COUNTIF('C113'!F15,"Lab")+COUNTIF('C121'!F15,"Lab")+COUNTIF('C122'!F15,"Lab"))&gt;0,"C1",""),"MIX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2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C111</t>
        </is>
      </c>
    </row>
    <row r="2"/>
    <row r="3" ht="22" customHeight="1">
      <c r="A3" s="12" t="n"/>
      <c r="B3" s="13" t="inlineStr">
        <is>
          <t>Lunes</t>
        </is>
      </c>
      <c r="C3" s="14" t="inlineStr">
        <is>
          <t>Martes</t>
        </is>
      </c>
      <c r="D3" s="14" t="inlineStr">
        <is>
          <t>Miércoles</t>
        </is>
      </c>
      <c r="E3" s="14" t="inlineStr">
        <is>
          <t>Jueves</t>
        </is>
      </c>
      <c r="F3" s="15" t="inlineStr">
        <is>
          <t>Viernes</t>
        </is>
      </c>
      <c r="I3" s="13" t="inlineStr">
        <is>
          <t>Asignatura</t>
        </is>
      </c>
      <c r="J3" s="14" t="inlineStr">
        <is>
          <t>Nombre</t>
        </is>
      </c>
      <c r="K3" s="14" t="inlineStr">
        <is>
          <t>Frec</t>
        </is>
      </c>
      <c r="L3" s="14" t="inlineStr">
        <is>
          <t>Asignadas</t>
        </is>
      </c>
      <c r="M3" s="15" t="inlineStr">
        <is>
          <t>Faltan</t>
        </is>
      </c>
    </row>
    <row r="4" ht="22" customHeight="1">
      <c r="A4" s="16" t="inlineStr">
        <is>
          <t>Turno 1</t>
        </is>
      </c>
      <c r="B4" s="17" t="inlineStr">
        <is>
          <t>AMI-C</t>
        </is>
      </c>
      <c r="C4" s="18" t="inlineStr">
        <is>
          <t>Pro-C</t>
        </is>
      </c>
      <c r="D4" s="18" t="inlineStr">
        <is>
          <t>A1-C</t>
        </is>
      </c>
      <c r="E4" s="18" t="inlineStr">
        <is>
          <t>F-C</t>
        </is>
      </c>
      <c r="F4" s="19" t="inlineStr">
        <is>
          <t>L-CP</t>
        </is>
      </c>
      <c r="I4" s="17" t="inlineStr">
        <is>
          <t>AMI-C</t>
        </is>
      </c>
      <c r="J4" s="18" t="inlineStr">
        <is>
          <t>Análisis Matemático I (Conf)</t>
        </is>
      </c>
      <c r="K4" s="18" t="n">
        <v>1</v>
      </c>
      <c r="L4" s="18">
        <f>COUNTIF(B4:F15,I4)</f>
        <v/>
      </c>
      <c r="M4" s="19">
        <f>K4-L4</f>
        <v/>
      </c>
    </row>
    <row r="5" ht="22" customHeight="1">
      <c r="A5" s="20" t="n"/>
      <c r="B5" s="21" t="inlineStr">
        <is>
          <t>Aula 1</t>
        </is>
      </c>
      <c r="C5" s="22" t="inlineStr">
        <is>
          <t>Aula 1</t>
        </is>
      </c>
      <c r="D5" s="22" t="inlineStr">
        <is>
          <t>Aula 1</t>
        </is>
      </c>
      <c r="E5" s="22" t="inlineStr">
        <is>
          <t>Aula 1</t>
        </is>
      </c>
      <c r="F5" s="23" t="inlineStr">
        <is>
          <t>Aula 2</t>
        </is>
      </c>
      <c r="I5" s="17" t="inlineStr">
        <is>
          <t>AMI-CP</t>
        </is>
      </c>
      <c r="J5" s="18" t="inlineStr">
        <is>
          <t>Análisis Matemático I (C.P.)</t>
        </is>
      </c>
      <c r="K5" s="18" t="n">
        <v>2</v>
      </c>
      <c r="L5" s="18">
        <f>COUNTIF(B4:F15,I5)</f>
        <v/>
      </c>
      <c r="M5" s="19">
        <f>K5-L5</f>
        <v/>
      </c>
    </row>
    <row r="6" ht="22" customHeight="1">
      <c r="A6" s="24" t="inlineStr">
        <is>
          <t>Turno 2</t>
        </is>
      </c>
      <c r="B6" s="17" t="inlineStr">
        <is>
          <t>AMI-CP</t>
        </is>
      </c>
      <c r="C6" s="18" t="inlineStr">
        <is>
          <t>Pro-CP</t>
        </is>
      </c>
      <c r="D6" s="18" t="inlineStr">
        <is>
          <t>A1-C</t>
        </is>
      </c>
      <c r="E6" s="18" t="inlineStr">
        <is>
          <t>F-CP</t>
        </is>
      </c>
      <c r="F6" s="19" t="inlineStr">
        <is>
          <t>EF</t>
        </is>
      </c>
      <c r="I6" s="17" t="inlineStr">
        <is>
          <t>Pro-C</t>
        </is>
      </c>
      <c r="J6" s="18" t="inlineStr">
        <is>
          <t>Programación (Conf)</t>
        </is>
      </c>
      <c r="K6" s="18" t="n">
        <v>1</v>
      </c>
      <c r="L6" s="18">
        <f>COUNTIF(B4:F15,I6)</f>
        <v/>
      </c>
      <c r="M6" s="19">
        <f>K6-L6</f>
        <v/>
      </c>
    </row>
    <row r="7" ht="22" customHeight="1">
      <c r="A7" s="20" t="n"/>
      <c r="B7" s="21" t="inlineStr">
        <is>
          <t>Aula 2</t>
        </is>
      </c>
      <c r="C7" s="22" t="inlineStr">
        <is>
          <t>Aula 2</t>
        </is>
      </c>
      <c r="D7" s="22" t="inlineStr">
        <is>
          <t>Aula 1</t>
        </is>
      </c>
      <c r="E7" s="22" t="inlineStr">
        <is>
          <t>Aula 2</t>
        </is>
      </c>
      <c r="F7" s="23" t="inlineStr">
        <is>
          <t>Lab</t>
        </is>
      </c>
      <c r="I7" s="17" t="inlineStr">
        <is>
          <t>Pro-CP</t>
        </is>
      </c>
      <c r="J7" s="18" t="inlineStr">
        <is>
          <t>Programación (C.P.)</t>
        </is>
      </c>
      <c r="K7" s="18" t="n">
        <v>2</v>
      </c>
      <c r="L7" s="18">
        <f>COUNTIF(B4:F15,I7)</f>
        <v/>
      </c>
      <c r="M7" s="19">
        <f>K7-L7</f>
        <v/>
      </c>
    </row>
    <row r="8" ht="22" customHeight="1">
      <c r="A8" s="24" t="inlineStr">
        <is>
          <t>Turno 3</t>
        </is>
      </c>
      <c r="B8" s="17" t="inlineStr">
        <is>
          <t>AMI-CP</t>
        </is>
      </c>
      <c r="C8" s="18" t="inlineStr">
        <is>
          <t>Pro-CP</t>
        </is>
      </c>
      <c r="D8" s="18" t="inlineStr">
        <is>
          <t>A1-CP</t>
        </is>
      </c>
      <c r="E8" s="18" t="inlineStr">
        <is>
          <t>L-C</t>
        </is>
      </c>
      <c r="F8" s="19" t="n"/>
      <c r="I8" s="17" t="inlineStr">
        <is>
          <t>A1-C</t>
        </is>
      </c>
      <c r="J8" s="18" t="inlineStr">
        <is>
          <t>Álgebra I (Conf)</t>
        </is>
      </c>
      <c r="K8" s="18" t="n">
        <v>2</v>
      </c>
      <c r="L8" s="18">
        <f>COUNTIF(B4:F15,I8)</f>
        <v/>
      </c>
      <c r="M8" s="19">
        <f>K8-L8</f>
        <v/>
      </c>
    </row>
    <row r="9" ht="22" customHeight="1">
      <c r="A9" s="20" t="n"/>
      <c r="B9" s="21" t="inlineStr">
        <is>
          <t>Aula 2</t>
        </is>
      </c>
      <c r="C9" s="22" t="inlineStr">
        <is>
          <t>Aula 2</t>
        </is>
      </c>
      <c r="D9" s="22" t="inlineStr">
        <is>
          <t>Aula 2</t>
        </is>
      </c>
      <c r="E9" s="22" t="inlineStr">
        <is>
          <t>Aula 1</t>
        </is>
      </c>
      <c r="F9" s="23" t="n"/>
      <c r="I9" s="17" t="inlineStr">
        <is>
          <t>A1-CP</t>
        </is>
      </c>
      <c r="J9" s="18" t="inlineStr">
        <is>
          <t>Álgebra I (C.P.)</t>
        </is>
      </c>
      <c r="K9" s="18" t="n">
        <v>1</v>
      </c>
      <c r="L9" s="18">
        <f>COUNTIF(B4:F15,I9)</f>
        <v/>
      </c>
      <c r="M9" s="19">
        <f>K9-L9</f>
        <v/>
      </c>
    </row>
    <row r="10" ht="22" customHeight="1">
      <c r="A10" s="24" t="inlineStr">
        <is>
          <t>Turno 4</t>
        </is>
      </c>
      <c r="B10" s="17" t="n"/>
      <c r="C10" s="18" t="n"/>
      <c r="D10" s="18" t="n"/>
      <c r="E10" s="18" t="n"/>
      <c r="F10" s="19" t="n"/>
      <c r="I10" s="17" t="inlineStr">
        <is>
          <t>F-C</t>
        </is>
      </c>
      <c r="J10" s="18" t="inlineStr">
        <is>
          <t>Filosofía (Conf)</t>
        </is>
      </c>
      <c r="K10" s="18" t="n">
        <v>1</v>
      </c>
      <c r="L10" s="18">
        <f>COUNTIF(B4:F15,I10)</f>
        <v/>
      </c>
      <c r="M10" s="19">
        <f>K10-L10</f>
        <v/>
      </c>
    </row>
    <row r="11" ht="22" customHeight="1">
      <c r="A11" s="20" t="n"/>
      <c r="B11" s="21" t="n"/>
      <c r="C11" s="22" t="n"/>
      <c r="D11" s="22" t="n"/>
      <c r="E11" s="22" t="n"/>
      <c r="F11" s="23" t="n"/>
      <c r="I11" s="17" t="inlineStr">
        <is>
          <t>F-CP</t>
        </is>
      </c>
      <c r="J11" s="18" t="inlineStr">
        <is>
          <t>Filosofía (C.P.)</t>
        </is>
      </c>
      <c r="K11" s="18" t="n">
        <v>1</v>
      </c>
      <c r="L11" s="18">
        <f>COUNTIF(B4:F15,I11)</f>
        <v/>
      </c>
      <c r="M11" s="19">
        <f>K11-L11</f>
        <v/>
      </c>
    </row>
    <row r="12" ht="22" customHeight="1">
      <c r="A12" s="24" t="inlineStr">
        <is>
          <t>Turno 5</t>
        </is>
      </c>
      <c r="B12" s="17" t="n"/>
      <c r="C12" s="18" t="n"/>
      <c r="D12" s="18" t="n"/>
      <c r="E12" s="18" t="n"/>
      <c r="F12" s="19" t="n"/>
      <c r="I12" s="17" t="inlineStr">
        <is>
          <t>L-C</t>
        </is>
      </c>
      <c r="J12" s="18" t="inlineStr">
        <is>
          <t>Lógica (Conf)</t>
        </is>
      </c>
      <c r="K12" s="18" t="n">
        <v>1</v>
      </c>
      <c r="L12" s="18">
        <f>COUNTIF(B4:F15,I12)</f>
        <v/>
      </c>
      <c r="M12" s="19">
        <f>K12-L12</f>
        <v/>
      </c>
    </row>
    <row r="13" ht="22" customHeight="1">
      <c r="A13" s="20" t="n"/>
      <c r="B13" s="21" t="n"/>
      <c r="C13" s="22" t="n"/>
      <c r="D13" s="22" t="n"/>
      <c r="E13" s="22" t="n"/>
      <c r="F13" s="23" t="n"/>
      <c r="I13" s="17" t="inlineStr">
        <is>
          <t>L-CP</t>
        </is>
      </c>
      <c r="J13" s="18" t="inlineStr">
        <is>
          <t>Lógica (C.P.)</t>
        </is>
      </c>
      <c r="K13" s="18" t="n">
        <v>1</v>
      </c>
      <c r="L13" s="18">
        <f>COUNTIF(B4:F15,I13)</f>
        <v/>
      </c>
      <c r="M13" s="19">
        <f>K13-L13</f>
        <v/>
      </c>
    </row>
    <row r="14" ht="22" customHeight="1">
      <c r="A14" s="24" t="inlineStr">
        <is>
          <t>Turno 6</t>
        </is>
      </c>
      <c r="B14" s="17" t="n"/>
      <c r="C14" s="18" t="n"/>
      <c r="D14" s="18" t="n"/>
      <c r="E14" s="18" t="n"/>
      <c r="F14" s="19" t="n"/>
      <c r="I14" s="25" t="inlineStr">
        <is>
          <t>EF</t>
        </is>
      </c>
      <c r="J14" s="26" t="inlineStr">
        <is>
          <t>Educación Física</t>
        </is>
      </c>
      <c r="K14" s="26" t="n">
        <v>1</v>
      </c>
      <c r="L14" s="26">
        <f>COUNTIF(B4:F15,I14)</f>
        <v/>
      </c>
      <c r="M14" s="27">
        <f>K14-L14</f>
        <v/>
      </c>
    </row>
    <row r="15" ht="22" customHeight="1">
      <c r="A15" s="28" t="n"/>
      <c r="B15" s="29" t="n"/>
      <c r="C15" s="30" t="n"/>
      <c r="D15" s="30" t="n"/>
      <c r="E15" s="30" t="n"/>
      <c r="F15" s="31" t="n"/>
    </row>
    <row r="16">
      <c r="I16" t="inlineStr">
        <is>
          <t>Leyenda</t>
        </is>
      </c>
    </row>
    <row r="17">
      <c r="I17" s="32" t="n"/>
      <c r="J17" t="inlineStr">
        <is>
          <t>Aula fuera del listado de la facultad</t>
        </is>
      </c>
    </row>
    <row r="18">
      <c r="I18" s="33" t="n"/>
      <c r="J18" t="inlineStr">
        <is>
          <t>Asignatura fuera de la tabla del grupo</t>
        </is>
      </c>
    </row>
    <row r="19">
      <c r="I19" s="34" t="n"/>
      <c r="J19" t="inlineStr">
        <is>
          <t>Sobre-planificada (asignadas &gt; frecuencia)</t>
        </is>
      </c>
    </row>
    <row r="20">
      <c r="I20" s="35" t="n"/>
      <c r="J20" t="inlineStr">
        <is>
          <t>Frecuencia exacta cumplida</t>
        </is>
      </c>
    </row>
  </sheetData>
  <conditionalFormatting sqref="B4:F4 B6:F6 B8:F8 B10:F10 B12:F12 B14:F14">
    <cfRule type="expression" priority="1" dxfId="2">
      <formula>AND(B4&lt;&gt;"",COUNTIF($I$4:$I$14,B4)=0)</formula>
    </cfRule>
  </conditionalFormatting>
  <conditionalFormatting sqref="B5:F5 B7:F7 B9:F9 B11:F11 B13:F13 B15:F15">
    <cfRule type="expression" priority="2" dxfId="3">
      <formula>AND(B5&lt;&gt;"",COUNTIF(AulasValidas,B5)=0)</formula>
    </cfRule>
  </conditionalFormatting>
  <conditionalFormatting sqref="I4:M14">
    <cfRule type="expression" priority="3" dxfId="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2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C112</t>
        </is>
      </c>
    </row>
    <row r="2"/>
    <row r="3" ht="22" customHeight="1">
      <c r="A3" s="12" t="n"/>
      <c r="B3" s="13" t="inlineStr">
        <is>
          <t>Lunes</t>
        </is>
      </c>
      <c r="C3" s="14" t="inlineStr">
        <is>
          <t>Martes</t>
        </is>
      </c>
      <c r="D3" s="14" t="inlineStr">
        <is>
          <t>Miércoles</t>
        </is>
      </c>
      <c r="E3" s="14" t="inlineStr">
        <is>
          <t>Jueves</t>
        </is>
      </c>
      <c r="F3" s="15" t="inlineStr">
        <is>
          <t>Viernes</t>
        </is>
      </c>
      <c r="I3" s="13" t="inlineStr">
        <is>
          <t>Asignatura</t>
        </is>
      </c>
      <c r="J3" s="14" t="inlineStr">
        <is>
          <t>Nombre</t>
        </is>
      </c>
      <c r="K3" s="14" t="inlineStr">
        <is>
          <t>Frec</t>
        </is>
      </c>
      <c r="L3" s="14" t="inlineStr">
        <is>
          <t>Asignadas</t>
        </is>
      </c>
      <c r="M3" s="15" t="inlineStr">
        <is>
          <t>Faltan</t>
        </is>
      </c>
    </row>
    <row r="4" ht="22" customHeight="1">
      <c r="A4" s="16" t="inlineStr">
        <is>
          <t>Turno 1</t>
        </is>
      </c>
      <c r="B4" s="17" t="inlineStr">
        <is>
          <t>AMI-C</t>
        </is>
      </c>
      <c r="C4" s="18" t="inlineStr">
        <is>
          <t>Pro-C</t>
        </is>
      </c>
      <c r="D4" s="18" t="inlineStr">
        <is>
          <t>A1-C</t>
        </is>
      </c>
      <c r="E4" s="18" t="inlineStr">
        <is>
          <t>F-C</t>
        </is>
      </c>
      <c r="F4" s="19" t="inlineStr">
        <is>
          <t>L-CP</t>
        </is>
      </c>
      <c r="I4" s="17" t="inlineStr">
        <is>
          <t>AMI-C</t>
        </is>
      </c>
      <c r="J4" s="18" t="inlineStr">
        <is>
          <t>Análisis Matemático I (Conf)</t>
        </is>
      </c>
      <c r="K4" s="18" t="n">
        <v>1</v>
      </c>
      <c r="L4" s="18">
        <f>COUNTIF(B4:F15,I4)</f>
        <v/>
      </c>
      <c r="M4" s="19">
        <f>K4-L4</f>
        <v/>
      </c>
    </row>
    <row r="5" ht="22" customHeight="1">
      <c r="A5" s="20" t="n"/>
      <c r="B5" s="21" t="inlineStr">
        <is>
          <t>Aula 1</t>
        </is>
      </c>
      <c r="C5" s="22" t="inlineStr">
        <is>
          <t>Aula 1</t>
        </is>
      </c>
      <c r="D5" s="22" t="inlineStr">
        <is>
          <t>Aula 1</t>
        </is>
      </c>
      <c r="E5" s="22" t="inlineStr">
        <is>
          <t>Aula 1</t>
        </is>
      </c>
      <c r="F5" s="23" t="inlineStr">
        <is>
          <t>Aula 3</t>
        </is>
      </c>
      <c r="I5" s="17" t="inlineStr">
        <is>
          <t>AMI-CP</t>
        </is>
      </c>
      <c r="J5" s="18" t="inlineStr">
        <is>
          <t>Análisis Matemático I (C.P.)</t>
        </is>
      </c>
      <c r="K5" s="18" t="n">
        <v>2</v>
      </c>
      <c r="L5" s="18">
        <f>COUNTIF(B4:F15,I5)</f>
        <v/>
      </c>
      <c r="M5" s="19">
        <f>K5-L5</f>
        <v/>
      </c>
    </row>
    <row r="6" ht="22" customHeight="1">
      <c r="A6" s="24" t="inlineStr">
        <is>
          <t>Turno 2</t>
        </is>
      </c>
      <c r="B6" s="17" t="inlineStr">
        <is>
          <t>AMI-CP</t>
        </is>
      </c>
      <c r="C6" s="18" t="inlineStr">
        <is>
          <t>Pro-CP</t>
        </is>
      </c>
      <c r="D6" s="18" t="inlineStr">
        <is>
          <t>A1-C</t>
        </is>
      </c>
      <c r="E6" s="18" t="inlineStr">
        <is>
          <t>F-CP</t>
        </is>
      </c>
      <c r="F6" s="19" t="inlineStr">
        <is>
          <t>EF</t>
        </is>
      </c>
      <c r="I6" s="17" t="inlineStr">
        <is>
          <t>Pro-C</t>
        </is>
      </c>
      <c r="J6" s="18" t="inlineStr">
        <is>
          <t>Programación (Conf)</t>
        </is>
      </c>
      <c r="K6" s="18" t="n">
        <v>1</v>
      </c>
      <c r="L6" s="18">
        <f>COUNTIF(B4:F15,I6)</f>
        <v/>
      </c>
      <c r="M6" s="19">
        <f>K6-L6</f>
        <v/>
      </c>
    </row>
    <row r="7" ht="22" customHeight="1">
      <c r="A7" s="20" t="n"/>
      <c r="B7" s="21" t="inlineStr">
        <is>
          <t>Aula 3</t>
        </is>
      </c>
      <c r="C7" s="22" t="inlineStr">
        <is>
          <t>Aula 3</t>
        </is>
      </c>
      <c r="D7" s="22" t="inlineStr">
        <is>
          <t>Aula 1</t>
        </is>
      </c>
      <c r="E7" s="22" t="inlineStr">
        <is>
          <t>Aula 3</t>
        </is>
      </c>
      <c r="F7" s="23" t="inlineStr">
        <is>
          <t>Lab</t>
        </is>
      </c>
      <c r="I7" s="17" t="inlineStr">
        <is>
          <t>Pro-CP</t>
        </is>
      </c>
      <c r="J7" s="18" t="inlineStr">
        <is>
          <t>Programación (C.P.)</t>
        </is>
      </c>
      <c r="K7" s="18" t="n">
        <v>2</v>
      </c>
      <c r="L7" s="18">
        <f>COUNTIF(B4:F15,I7)</f>
        <v/>
      </c>
      <c r="M7" s="19">
        <f>K7-L7</f>
        <v/>
      </c>
    </row>
    <row r="8" ht="22" customHeight="1">
      <c r="A8" s="24" t="inlineStr">
        <is>
          <t>Turno 3</t>
        </is>
      </c>
      <c r="B8" s="17" t="inlineStr">
        <is>
          <t>AMI-CP</t>
        </is>
      </c>
      <c r="C8" s="18" t="inlineStr">
        <is>
          <t>Pro-CP</t>
        </is>
      </c>
      <c r="D8" s="18" t="inlineStr">
        <is>
          <t>A1-CP</t>
        </is>
      </c>
      <c r="E8" s="18" t="inlineStr">
        <is>
          <t>L-C</t>
        </is>
      </c>
      <c r="F8" s="19" t="n"/>
      <c r="I8" s="17" t="inlineStr">
        <is>
          <t>A1-C</t>
        </is>
      </c>
      <c r="J8" s="18" t="inlineStr">
        <is>
          <t>Álgebra I (Conf)</t>
        </is>
      </c>
      <c r="K8" s="18" t="n">
        <v>2</v>
      </c>
      <c r="L8" s="18">
        <f>COUNTIF(B4:F15,I8)</f>
        <v/>
      </c>
      <c r="M8" s="19">
        <f>K8-L8</f>
        <v/>
      </c>
    </row>
    <row r="9" ht="22" customHeight="1">
      <c r="A9" s="20" t="n"/>
      <c r="B9" s="21" t="inlineStr">
        <is>
          <t>Aula 3</t>
        </is>
      </c>
      <c r="C9" s="22" t="inlineStr">
        <is>
          <t>Aula 3</t>
        </is>
      </c>
      <c r="D9" s="22" t="inlineStr">
        <is>
          <t>Aula 3</t>
        </is>
      </c>
      <c r="E9" s="22" t="inlineStr">
        <is>
          <t>Aula 1</t>
        </is>
      </c>
      <c r="F9" s="23" t="n"/>
      <c r="I9" s="17" t="inlineStr">
        <is>
          <t>A1-CP</t>
        </is>
      </c>
      <c r="J9" s="18" t="inlineStr">
        <is>
          <t>Álgebra I (C.P.)</t>
        </is>
      </c>
      <c r="K9" s="18" t="n">
        <v>1</v>
      </c>
      <c r="L9" s="18">
        <f>COUNTIF(B4:F15,I9)</f>
        <v/>
      </c>
      <c r="M9" s="19">
        <f>K9-L9</f>
        <v/>
      </c>
    </row>
    <row r="10" ht="22" customHeight="1">
      <c r="A10" s="24" t="inlineStr">
        <is>
          <t>Turno 4</t>
        </is>
      </c>
      <c r="B10" s="17" t="n"/>
      <c r="C10" s="18" t="n"/>
      <c r="D10" s="18" t="n"/>
      <c r="E10" s="18" t="n"/>
      <c r="F10" s="19" t="n"/>
      <c r="I10" s="17" t="inlineStr">
        <is>
          <t>F-C</t>
        </is>
      </c>
      <c r="J10" s="18" t="inlineStr">
        <is>
          <t>Filosofía (Conf)</t>
        </is>
      </c>
      <c r="K10" s="18" t="n">
        <v>1</v>
      </c>
      <c r="L10" s="18">
        <f>COUNTIF(B4:F15,I10)</f>
        <v/>
      </c>
      <c r="M10" s="19">
        <f>K10-L10</f>
        <v/>
      </c>
    </row>
    <row r="11" ht="22" customHeight="1">
      <c r="A11" s="20" t="n"/>
      <c r="B11" s="21" t="n"/>
      <c r="C11" s="22" t="n"/>
      <c r="D11" s="22" t="n"/>
      <c r="E11" s="22" t="n"/>
      <c r="F11" s="23" t="n"/>
      <c r="I11" s="17" t="inlineStr">
        <is>
          <t>F-CP</t>
        </is>
      </c>
      <c r="J11" s="18" t="inlineStr">
        <is>
          <t>Filosofía (C.P.)</t>
        </is>
      </c>
      <c r="K11" s="18" t="n">
        <v>1</v>
      </c>
      <c r="L11" s="18">
        <f>COUNTIF(B4:F15,I11)</f>
        <v/>
      </c>
      <c r="M11" s="19">
        <f>K11-L11</f>
        <v/>
      </c>
    </row>
    <row r="12" ht="22" customHeight="1">
      <c r="A12" s="24" t="inlineStr">
        <is>
          <t>Turno 5</t>
        </is>
      </c>
      <c r="B12" s="17" t="n"/>
      <c r="C12" s="18" t="n"/>
      <c r="D12" s="18" t="n"/>
      <c r="E12" s="18" t="n"/>
      <c r="F12" s="19" t="n"/>
      <c r="I12" s="17" t="inlineStr">
        <is>
          <t>L-C</t>
        </is>
      </c>
      <c r="J12" s="18" t="inlineStr">
        <is>
          <t>Lógica (Conf)</t>
        </is>
      </c>
      <c r="K12" s="18" t="n">
        <v>1</v>
      </c>
      <c r="L12" s="18">
        <f>COUNTIF(B4:F15,I12)</f>
        <v/>
      </c>
      <c r="M12" s="19">
        <f>K12-L12</f>
        <v/>
      </c>
    </row>
    <row r="13" ht="22" customHeight="1">
      <c r="A13" s="20" t="n"/>
      <c r="B13" s="21" t="n"/>
      <c r="C13" s="22" t="n"/>
      <c r="D13" s="22" t="n"/>
      <c r="E13" s="22" t="n"/>
      <c r="F13" s="23" t="n"/>
      <c r="I13" s="17" t="inlineStr">
        <is>
          <t>L-CP</t>
        </is>
      </c>
      <c r="J13" s="18" t="inlineStr">
        <is>
          <t>Lógica (C.P.)</t>
        </is>
      </c>
      <c r="K13" s="18" t="n">
        <v>1</v>
      </c>
      <c r="L13" s="18">
        <f>COUNTIF(B4:F15,I13)</f>
        <v/>
      </c>
      <c r="M13" s="19">
        <f>K13-L13</f>
        <v/>
      </c>
    </row>
    <row r="14" ht="22" customHeight="1">
      <c r="A14" s="24" t="inlineStr">
        <is>
          <t>Turno 6</t>
        </is>
      </c>
      <c r="B14" s="17" t="n"/>
      <c r="C14" s="18" t="n"/>
      <c r="D14" s="18" t="n"/>
      <c r="E14" s="18" t="n"/>
      <c r="F14" s="19" t="n"/>
      <c r="I14" s="25" t="inlineStr">
        <is>
          <t>EF</t>
        </is>
      </c>
      <c r="J14" s="26" t="inlineStr">
        <is>
          <t>Educación Física</t>
        </is>
      </c>
      <c r="K14" s="26" t="n">
        <v>1</v>
      </c>
      <c r="L14" s="26">
        <f>COUNTIF(B4:F15,I14)</f>
        <v/>
      </c>
      <c r="M14" s="27">
        <f>K14-L14</f>
        <v/>
      </c>
    </row>
    <row r="15" ht="22" customHeight="1">
      <c r="A15" s="28" t="n"/>
      <c r="B15" s="29" t="n"/>
      <c r="C15" s="30" t="n"/>
      <c r="D15" s="30" t="n"/>
      <c r="E15" s="30" t="n"/>
      <c r="F15" s="31" t="n"/>
    </row>
    <row r="16">
      <c r="I16" t="inlineStr">
        <is>
          <t>Leyenda</t>
        </is>
      </c>
    </row>
    <row r="17">
      <c r="I17" s="32" t="n"/>
      <c r="J17" t="inlineStr">
        <is>
          <t>Aula fuera del listado de la facultad</t>
        </is>
      </c>
    </row>
    <row r="18">
      <c r="I18" s="33" t="n"/>
      <c r="J18" t="inlineStr">
        <is>
          <t>Asignatura fuera de la tabla del grupo</t>
        </is>
      </c>
    </row>
    <row r="19">
      <c r="I19" s="34" t="n"/>
      <c r="J19" t="inlineStr">
        <is>
          <t>Sobre-planificada (asignadas &gt; frecuencia)</t>
        </is>
      </c>
    </row>
    <row r="20">
      <c r="I20" s="35" t="n"/>
      <c r="J20" t="inlineStr">
        <is>
          <t>Frecuencia exacta cumplida</t>
        </is>
      </c>
    </row>
  </sheetData>
  <conditionalFormatting sqref="B4:F4 B6:F6 B8:F8 B10:F10 B12:F12 B14:F14">
    <cfRule type="expression" priority="1" dxfId="2">
      <formula>AND(B4&lt;&gt;"",COUNTIF($I$4:$I$14,B4)=0)</formula>
    </cfRule>
  </conditionalFormatting>
  <conditionalFormatting sqref="B5:F5 B7:F7 B9:F9 B11:F11 B13:F13 B15:F15">
    <cfRule type="expression" priority="2" dxfId="3">
      <formula>AND(B5&lt;&gt;"",COUNTIF(AulasValidas,B5)=0)</formula>
    </cfRule>
  </conditionalFormatting>
  <conditionalFormatting sqref="I4:M14">
    <cfRule type="expression" priority="3" dxfId="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2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C113</t>
        </is>
      </c>
    </row>
    <row r="2"/>
    <row r="3" ht="22" customHeight="1">
      <c r="A3" s="12" t="n"/>
      <c r="B3" s="13" t="inlineStr">
        <is>
          <t>Lunes</t>
        </is>
      </c>
      <c r="C3" s="14" t="inlineStr">
        <is>
          <t>Martes</t>
        </is>
      </c>
      <c r="D3" s="14" t="inlineStr">
        <is>
          <t>Miércoles</t>
        </is>
      </c>
      <c r="E3" s="14" t="inlineStr">
        <is>
          <t>Jueves</t>
        </is>
      </c>
      <c r="F3" s="15" t="inlineStr">
        <is>
          <t>Viernes</t>
        </is>
      </c>
      <c r="I3" s="13" t="inlineStr">
        <is>
          <t>Asignatura</t>
        </is>
      </c>
      <c r="J3" s="14" t="inlineStr">
        <is>
          <t>Nombre</t>
        </is>
      </c>
      <c r="K3" s="14" t="inlineStr">
        <is>
          <t>Frec</t>
        </is>
      </c>
      <c r="L3" s="14" t="inlineStr">
        <is>
          <t>Asignadas</t>
        </is>
      </c>
      <c r="M3" s="15" t="inlineStr">
        <is>
          <t>Faltan</t>
        </is>
      </c>
    </row>
    <row r="4" ht="22" customHeight="1">
      <c r="A4" s="16" t="inlineStr">
        <is>
          <t>Turno 1</t>
        </is>
      </c>
      <c r="B4" s="17" t="inlineStr">
        <is>
          <t>AMI-C</t>
        </is>
      </c>
      <c r="C4" s="18" t="inlineStr">
        <is>
          <t>Pro-C</t>
        </is>
      </c>
      <c r="D4" s="18" t="inlineStr">
        <is>
          <t>A1-C</t>
        </is>
      </c>
      <c r="E4" s="18" t="inlineStr">
        <is>
          <t>F-C</t>
        </is>
      </c>
      <c r="F4" s="19" t="inlineStr">
        <is>
          <t>L-CP</t>
        </is>
      </c>
      <c r="I4" s="17" t="inlineStr">
        <is>
          <t>AMI-C</t>
        </is>
      </c>
      <c r="J4" s="18" t="inlineStr">
        <is>
          <t>Análisis Matemático I (Conf)</t>
        </is>
      </c>
      <c r="K4" s="18" t="n">
        <v>1</v>
      </c>
      <c r="L4" s="18">
        <f>COUNTIF(B4:F15,I4)</f>
        <v/>
      </c>
      <c r="M4" s="19">
        <f>K4-L4</f>
        <v/>
      </c>
    </row>
    <row r="5" ht="22" customHeight="1">
      <c r="A5" s="20" t="n"/>
      <c r="B5" s="21" t="inlineStr">
        <is>
          <t>Aula 1</t>
        </is>
      </c>
      <c r="C5" s="22" t="inlineStr">
        <is>
          <t>Aula 1</t>
        </is>
      </c>
      <c r="D5" s="22" t="inlineStr">
        <is>
          <t>Aula 1</t>
        </is>
      </c>
      <c r="E5" s="22" t="inlineStr">
        <is>
          <t>Aula 1</t>
        </is>
      </c>
      <c r="F5" s="23" t="inlineStr">
        <is>
          <t>Aula 4</t>
        </is>
      </c>
      <c r="I5" s="17" t="inlineStr">
        <is>
          <t>AMI-CP</t>
        </is>
      </c>
      <c r="J5" s="18" t="inlineStr">
        <is>
          <t>Análisis Matemático I (C.P.)</t>
        </is>
      </c>
      <c r="K5" s="18" t="n">
        <v>2</v>
      </c>
      <c r="L5" s="18">
        <f>COUNTIF(B4:F15,I5)</f>
        <v/>
      </c>
      <c r="M5" s="19">
        <f>K5-L5</f>
        <v/>
      </c>
    </row>
    <row r="6" ht="22" customHeight="1">
      <c r="A6" s="24" t="inlineStr">
        <is>
          <t>Turno 2</t>
        </is>
      </c>
      <c r="B6" s="17" t="inlineStr">
        <is>
          <t>AMI-CP</t>
        </is>
      </c>
      <c r="C6" s="18" t="inlineStr">
        <is>
          <t>Pro-CP</t>
        </is>
      </c>
      <c r="D6" s="18" t="inlineStr">
        <is>
          <t>A1-C</t>
        </is>
      </c>
      <c r="E6" s="18" t="inlineStr">
        <is>
          <t>F-CP</t>
        </is>
      </c>
      <c r="F6" s="19" t="inlineStr">
        <is>
          <t>EF</t>
        </is>
      </c>
      <c r="I6" s="17" t="inlineStr">
        <is>
          <t>Pro-C</t>
        </is>
      </c>
      <c r="J6" s="18" t="inlineStr">
        <is>
          <t>Programación (Conf)</t>
        </is>
      </c>
      <c r="K6" s="18" t="n">
        <v>1</v>
      </c>
      <c r="L6" s="18">
        <f>COUNTIF(B4:F15,I6)</f>
        <v/>
      </c>
      <c r="M6" s="19">
        <f>K6-L6</f>
        <v/>
      </c>
    </row>
    <row r="7" ht="22" customHeight="1">
      <c r="A7" s="20" t="n"/>
      <c r="B7" s="21" t="inlineStr">
        <is>
          <t>Aula 4</t>
        </is>
      </c>
      <c r="C7" s="22" t="inlineStr">
        <is>
          <t>Aula 4</t>
        </is>
      </c>
      <c r="D7" s="22" t="inlineStr">
        <is>
          <t>Aula 1</t>
        </is>
      </c>
      <c r="E7" s="22" t="inlineStr">
        <is>
          <t>Aula 4</t>
        </is>
      </c>
      <c r="F7" s="23" t="inlineStr">
        <is>
          <t>Lab</t>
        </is>
      </c>
      <c r="I7" s="17" t="inlineStr">
        <is>
          <t>Pro-CP</t>
        </is>
      </c>
      <c r="J7" s="18" t="inlineStr">
        <is>
          <t>Programación (C.P.)</t>
        </is>
      </c>
      <c r="K7" s="18" t="n">
        <v>2</v>
      </c>
      <c r="L7" s="18">
        <f>COUNTIF(B4:F15,I7)</f>
        <v/>
      </c>
      <c r="M7" s="19">
        <f>K7-L7</f>
        <v/>
      </c>
    </row>
    <row r="8" ht="22" customHeight="1">
      <c r="A8" s="24" t="inlineStr">
        <is>
          <t>Turno 3</t>
        </is>
      </c>
      <c r="B8" s="17" t="inlineStr">
        <is>
          <t>AMI-CP</t>
        </is>
      </c>
      <c r="C8" s="18" t="inlineStr">
        <is>
          <t>Pro-CP</t>
        </is>
      </c>
      <c r="D8" s="18" t="inlineStr">
        <is>
          <t>A1-CP</t>
        </is>
      </c>
      <c r="E8" s="18" t="inlineStr">
        <is>
          <t>L-C</t>
        </is>
      </c>
      <c r="F8" s="19" t="n"/>
      <c r="I8" s="17" t="inlineStr">
        <is>
          <t>A1-C</t>
        </is>
      </c>
      <c r="J8" s="18" t="inlineStr">
        <is>
          <t>Álgebra I (Conf)</t>
        </is>
      </c>
      <c r="K8" s="18" t="n">
        <v>2</v>
      </c>
      <c r="L8" s="18">
        <f>COUNTIF(B4:F15,I8)</f>
        <v/>
      </c>
      <c r="M8" s="19">
        <f>K8-L8</f>
        <v/>
      </c>
    </row>
    <row r="9" ht="22" customHeight="1">
      <c r="A9" s="20" t="n"/>
      <c r="B9" s="21" t="inlineStr">
        <is>
          <t>Aula 4</t>
        </is>
      </c>
      <c r="C9" s="22" t="inlineStr">
        <is>
          <t>Aula 4</t>
        </is>
      </c>
      <c r="D9" s="22" t="inlineStr">
        <is>
          <t>Aula 4</t>
        </is>
      </c>
      <c r="E9" s="22" t="inlineStr">
        <is>
          <t>Aula 1</t>
        </is>
      </c>
      <c r="F9" s="23" t="n"/>
      <c r="I9" s="17" t="inlineStr">
        <is>
          <t>A1-CP</t>
        </is>
      </c>
      <c r="J9" s="18" t="inlineStr">
        <is>
          <t>Álgebra I (C.P.)</t>
        </is>
      </c>
      <c r="K9" s="18" t="n">
        <v>1</v>
      </c>
      <c r="L9" s="18">
        <f>COUNTIF(B4:F15,I9)</f>
        <v/>
      </c>
      <c r="M9" s="19">
        <f>K9-L9</f>
        <v/>
      </c>
    </row>
    <row r="10" ht="22" customHeight="1">
      <c r="A10" s="24" t="inlineStr">
        <is>
          <t>Turno 4</t>
        </is>
      </c>
      <c r="B10" s="17" t="n"/>
      <c r="C10" s="18" t="n"/>
      <c r="D10" s="18" t="n"/>
      <c r="E10" s="18" t="n"/>
      <c r="F10" s="19" t="n"/>
      <c r="I10" s="17" t="inlineStr">
        <is>
          <t>F-C</t>
        </is>
      </c>
      <c r="J10" s="18" t="inlineStr">
        <is>
          <t>Filosofía (Conf)</t>
        </is>
      </c>
      <c r="K10" s="18" t="n">
        <v>1</v>
      </c>
      <c r="L10" s="18">
        <f>COUNTIF(B4:F15,I10)</f>
        <v/>
      </c>
      <c r="M10" s="19">
        <f>K10-L10</f>
        <v/>
      </c>
    </row>
    <row r="11" ht="22" customHeight="1">
      <c r="A11" s="20" t="n"/>
      <c r="B11" s="21" t="n"/>
      <c r="C11" s="22" t="n"/>
      <c r="D11" s="22" t="n"/>
      <c r="E11" s="22" t="n"/>
      <c r="F11" s="23" t="n"/>
      <c r="I11" s="17" t="inlineStr">
        <is>
          <t>F-CP</t>
        </is>
      </c>
      <c r="J11" s="18" t="inlineStr">
        <is>
          <t>Filosofía (C.P.)</t>
        </is>
      </c>
      <c r="K11" s="18" t="n">
        <v>1</v>
      </c>
      <c r="L11" s="18">
        <f>COUNTIF(B4:F15,I11)</f>
        <v/>
      </c>
      <c r="M11" s="19">
        <f>K11-L11</f>
        <v/>
      </c>
    </row>
    <row r="12" ht="22" customHeight="1">
      <c r="A12" s="24" t="inlineStr">
        <is>
          <t>Turno 5</t>
        </is>
      </c>
      <c r="B12" s="17" t="n"/>
      <c r="C12" s="18" t="n"/>
      <c r="D12" s="18" t="n"/>
      <c r="E12" s="18" t="n"/>
      <c r="F12" s="19" t="n"/>
      <c r="I12" s="17" t="inlineStr">
        <is>
          <t>L-C</t>
        </is>
      </c>
      <c r="J12" s="18" t="inlineStr">
        <is>
          <t>Lógica (Conf)</t>
        </is>
      </c>
      <c r="K12" s="18" t="n">
        <v>1</v>
      </c>
      <c r="L12" s="18">
        <f>COUNTIF(B4:F15,I12)</f>
        <v/>
      </c>
      <c r="M12" s="19">
        <f>K12-L12</f>
        <v/>
      </c>
    </row>
    <row r="13" ht="22" customHeight="1">
      <c r="A13" s="20" t="n"/>
      <c r="B13" s="21" t="n"/>
      <c r="C13" s="22" t="n"/>
      <c r="D13" s="22" t="n"/>
      <c r="E13" s="22" t="n"/>
      <c r="F13" s="23" t="n"/>
      <c r="I13" s="17" t="inlineStr">
        <is>
          <t>L-CP</t>
        </is>
      </c>
      <c r="J13" s="18" t="inlineStr">
        <is>
          <t>Lógica (C.P.)</t>
        </is>
      </c>
      <c r="K13" s="18" t="n">
        <v>1</v>
      </c>
      <c r="L13" s="18">
        <f>COUNTIF(B4:F15,I13)</f>
        <v/>
      </c>
      <c r="M13" s="19">
        <f>K13-L13</f>
        <v/>
      </c>
    </row>
    <row r="14" ht="22" customHeight="1">
      <c r="A14" s="24" t="inlineStr">
        <is>
          <t>Turno 6</t>
        </is>
      </c>
      <c r="B14" s="17" t="n"/>
      <c r="C14" s="18" t="n"/>
      <c r="D14" s="18" t="n"/>
      <c r="E14" s="18" t="n"/>
      <c r="F14" s="19" t="n"/>
      <c r="I14" s="25" t="inlineStr">
        <is>
          <t>EF</t>
        </is>
      </c>
      <c r="J14" s="26" t="inlineStr">
        <is>
          <t>Educación Física</t>
        </is>
      </c>
      <c r="K14" s="26" t="n">
        <v>1</v>
      </c>
      <c r="L14" s="26">
        <f>COUNTIF(B4:F15,I14)</f>
        <v/>
      </c>
      <c r="M14" s="27">
        <f>K14-L14</f>
        <v/>
      </c>
    </row>
    <row r="15" ht="22" customHeight="1">
      <c r="A15" s="28" t="n"/>
      <c r="B15" s="29" t="n"/>
      <c r="C15" s="30" t="n"/>
      <c r="D15" s="30" t="n"/>
      <c r="E15" s="30" t="n"/>
      <c r="F15" s="31" t="n"/>
    </row>
    <row r="16">
      <c r="I16" t="inlineStr">
        <is>
          <t>Leyenda</t>
        </is>
      </c>
    </row>
    <row r="17">
      <c r="I17" s="32" t="n"/>
      <c r="J17" t="inlineStr">
        <is>
          <t>Aula fuera del listado de la facultad</t>
        </is>
      </c>
    </row>
    <row r="18">
      <c r="I18" s="33" t="n"/>
      <c r="J18" t="inlineStr">
        <is>
          <t>Asignatura fuera de la tabla del grupo</t>
        </is>
      </c>
    </row>
    <row r="19">
      <c r="I19" s="34" t="n"/>
      <c r="J19" t="inlineStr">
        <is>
          <t>Sobre-planificada (asignadas &gt; frecuencia)</t>
        </is>
      </c>
    </row>
    <row r="20">
      <c r="I20" s="35" t="n"/>
      <c r="J20" t="inlineStr">
        <is>
          <t>Frecuencia exacta cumplida</t>
        </is>
      </c>
    </row>
  </sheetData>
  <conditionalFormatting sqref="B4:F4 B6:F6 B8:F8 B10:F10 B12:F12 B14:F14">
    <cfRule type="expression" priority="1" dxfId="2">
      <formula>AND(B4&lt;&gt;"",COUNTIF($I$4:$I$14,B4)=0)</formula>
    </cfRule>
  </conditionalFormatting>
  <conditionalFormatting sqref="B5:F5 B7:F7 B9:F9 B11:F11 B13:F13 B15:F15">
    <cfRule type="expression" priority="2" dxfId="3">
      <formula>AND(B5&lt;&gt;"",COUNTIF(AulasValidas,B5)=0)</formula>
    </cfRule>
  </conditionalFormatting>
  <conditionalFormatting sqref="I4:M14">
    <cfRule type="expression" priority="3" dxfId="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2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C121</t>
        </is>
      </c>
    </row>
    <row r="2"/>
    <row r="3" ht="22" customHeight="1">
      <c r="A3" s="12" t="n"/>
      <c r="B3" s="13" t="inlineStr">
        <is>
          <t>Lunes</t>
        </is>
      </c>
      <c r="C3" s="14" t="inlineStr">
        <is>
          <t>Martes</t>
        </is>
      </c>
      <c r="D3" s="14" t="inlineStr">
        <is>
          <t>Miércoles</t>
        </is>
      </c>
      <c r="E3" s="14" t="inlineStr">
        <is>
          <t>Jueves</t>
        </is>
      </c>
      <c r="F3" s="15" t="inlineStr">
        <is>
          <t>Viernes</t>
        </is>
      </c>
      <c r="I3" s="13" t="inlineStr">
        <is>
          <t>Asignatura</t>
        </is>
      </c>
      <c r="J3" s="14" t="inlineStr">
        <is>
          <t>Nombre</t>
        </is>
      </c>
      <c r="K3" s="14" t="inlineStr">
        <is>
          <t>Frec</t>
        </is>
      </c>
      <c r="L3" s="14" t="inlineStr">
        <is>
          <t>Asignadas</t>
        </is>
      </c>
      <c r="M3" s="15" t="inlineStr">
        <is>
          <t>Faltan</t>
        </is>
      </c>
    </row>
    <row r="4" ht="22" customHeight="1">
      <c r="A4" s="16" t="inlineStr">
        <is>
          <t>Turno 1</t>
        </is>
      </c>
      <c r="B4" s="17" t="n"/>
      <c r="C4" s="18" t="n"/>
      <c r="D4" s="18" t="n"/>
      <c r="E4" s="18" t="n"/>
      <c r="F4" s="19" t="n"/>
      <c r="I4" s="17" t="inlineStr">
        <is>
          <t>AMI-C</t>
        </is>
      </c>
      <c r="J4" s="18" t="inlineStr">
        <is>
          <t>Análisis Matemático I (Conf)</t>
        </is>
      </c>
      <c r="K4" s="18" t="n">
        <v>1</v>
      </c>
      <c r="L4" s="18">
        <f>COUNTIF(B4:F15,I4)</f>
        <v/>
      </c>
      <c r="M4" s="19">
        <f>K4-L4</f>
        <v/>
      </c>
    </row>
    <row r="5" ht="22" customHeight="1">
      <c r="A5" s="20" t="n"/>
      <c r="B5" s="21" t="n"/>
      <c r="C5" s="22" t="n"/>
      <c r="D5" s="22" t="n"/>
      <c r="E5" s="22" t="n"/>
      <c r="F5" s="23" t="n"/>
      <c r="I5" s="17" t="inlineStr">
        <is>
          <t>AMI-CP</t>
        </is>
      </c>
      <c r="J5" s="18" t="inlineStr">
        <is>
          <t>Análisis Matemático I (C.P.)</t>
        </is>
      </c>
      <c r="K5" s="18" t="n">
        <v>2</v>
      </c>
      <c r="L5" s="18">
        <f>COUNTIF(B4:F15,I5)</f>
        <v/>
      </c>
      <c r="M5" s="19">
        <f>K5-L5</f>
        <v/>
      </c>
    </row>
    <row r="6" ht="22" customHeight="1">
      <c r="A6" s="24" t="inlineStr">
        <is>
          <t>Turno 2</t>
        </is>
      </c>
      <c r="B6" s="17" t="n"/>
      <c r="C6" s="18" t="n"/>
      <c r="D6" s="18" t="n"/>
      <c r="E6" s="18" t="n"/>
      <c r="F6" s="19" t="n"/>
      <c r="I6" s="17" t="inlineStr">
        <is>
          <t>Pro-C</t>
        </is>
      </c>
      <c r="J6" s="18" t="inlineStr">
        <is>
          <t>Programación (Conf)</t>
        </is>
      </c>
      <c r="K6" s="18" t="n">
        <v>1</v>
      </c>
      <c r="L6" s="18">
        <f>COUNTIF(B4:F15,I6)</f>
        <v/>
      </c>
      <c r="M6" s="19">
        <f>K6-L6</f>
        <v/>
      </c>
    </row>
    <row r="7" ht="22" customHeight="1">
      <c r="A7" s="20" t="n"/>
      <c r="B7" s="21" t="n"/>
      <c r="C7" s="22" t="n"/>
      <c r="D7" s="22" t="n"/>
      <c r="E7" s="22" t="n"/>
      <c r="F7" s="23" t="n"/>
      <c r="I7" s="17" t="inlineStr">
        <is>
          <t>Pro-CP</t>
        </is>
      </c>
      <c r="J7" s="18" t="inlineStr">
        <is>
          <t>Programación (C.P.)</t>
        </is>
      </c>
      <c r="K7" s="18" t="n">
        <v>2</v>
      </c>
      <c r="L7" s="18">
        <f>COUNTIF(B4:F15,I7)</f>
        <v/>
      </c>
      <c r="M7" s="19">
        <f>K7-L7</f>
        <v/>
      </c>
    </row>
    <row r="8" ht="22" customHeight="1">
      <c r="A8" s="24" t="inlineStr">
        <is>
          <t>Turno 3</t>
        </is>
      </c>
      <c r="B8" s="17" t="n"/>
      <c r="C8" s="18" t="n"/>
      <c r="D8" s="18" t="n"/>
      <c r="E8" s="18" t="n"/>
      <c r="F8" s="19" t="n"/>
      <c r="I8" s="17" t="inlineStr">
        <is>
          <t>A1-C</t>
        </is>
      </c>
      <c r="J8" s="18" t="inlineStr">
        <is>
          <t>Álgebra I (Conf)</t>
        </is>
      </c>
      <c r="K8" s="18" t="n">
        <v>2</v>
      </c>
      <c r="L8" s="18">
        <f>COUNTIF(B4:F15,I8)</f>
        <v/>
      </c>
      <c r="M8" s="19">
        <f>K8-L8</f>
        <v/>
      </c>
    </row>
    <row r="9" ht="22" customHeight="1">
      <c r="A9" s="20" t="n"/>
      <c r="B9" s="21" t="n"/>
      <c r="C9" s="22" t="n"/>
      <c r="D9" s="22" t="n"/>
      <c r="E9" s="22" t="n"/>
      <c r="F9" s="23" t="n"/>
      <c r="I9" s="17" t="inlineStr">
        <is>
          <t>A1-CP</t>
        </is>
      </c>
      <c r="J9" s="18" t="inlineStr">
        <is>
          <t>Álgebra I (C.P.)</t>
        </is>
      </c>
      <c r="K9" s="18" t="n">
        <v>1</v>
      </c>
      <c r="L9" s="18">
        <f>COUNTIF(B4:F15,I9)</f>
        <v/>
      </c>
      <c r="M9" s="19">
        <f>K9-L9</f>
        <v/>
      </c>
    </row>
    <row r="10" ht="22" customHeight="1">
      <c r="A10" s="24" t="inlineStr">
        <is>
          <t>Turno 4</t>
        </is>
      </c>
      <c r="B10" s="17" t="n"/>
      <c r="C10" s="18" t="n"/>
      <c r="D10" s="18" t="n"/>
      <c r="E10" s="18" t="n"/>
      <c r="F10" s="19" t="n"/>
      <c r="I10" s="17" t="inlineStr">
        <is>
          <t>F-C</t>
        </is>
      </c>
      <c r="J10" s="18" t="inlineStr">
        <is>
          <t>Filosofía (Conf)</t>
        </is>
      </c>
      <c r="K10" s="18" t="n">
        <v>1</v>
      </c>
      <c r="L10" s="18">
        <f>COUNTIF(B4:F15,I10)</f>
        <v/>
      </c>
      <c r="M10" s="19">
        <f>K10-L10</f>
        <v/>
      </c>
    </row>
    <row r="11" ht="22" customHeight="1">
      <c r="A11" s="20" t="n"/>
      <c r="B11" s="21" t="n"/>
      <c r="C11" s="22" t="n"/>
      <c r="D11" s="22" t="n"/>
      <c r="E11" s="22" t="n"/>
      <c r="F11" s="23" t="n"/>
      <c r="I11" s="17" t="inlineStr">
        <is>
          <t>F-CP</t>
        </is>
      </c>
      <c r="J11" s="18" t="inlineStr">
        <is>
          <t>Filosofía (C.P.)</t>
        </is>
      </c>
      <c r="K11" s="18" t="n">
        <v>1</v>
      </c>
      <c r="L11" s="18">
        <f>COUNTIF(B4:F15,I11)</f>
        <v/>
      </c>
      <c r="M11" s="19">
        <f>K11-L11</f>
        <v/>
      </c>
    </row>
    <row r="12" ht="22" customHeight="1">
      <c r="A12" s="24" t="inlineStr">
        <is>
          <t>Turno 5</t>
        </is>
      </c>
      <c r="B12" s="17" t="n"/>
      <c r="C12" s="18" t="n"/>
      <c r="D12" s="18" t="n"/>
      <c r="E12" s="18" t="n"/>
      <c r="F12" s="19" t="n"/>
      <c r="I12" s="17" t="inlineStr">
        <is>
          <t>L-C</t>
        </is>
      </c>
      <c r="J12" s="18" t="inlineStr">
        <is>
          <t>Lógica (Conf)</t>
        </is>
      </c>
      <c r="K12" s="18" t="n">
        <v>1</v>
      </c>
      <c r="L12" s="18">
        <f>COUNTIF(B4:F15,I12)</f>
        <v/>
      </c>
      <c r="M12" s="19">
        <f>K12-L12</f>
        <v/>
      </c>
    </row>
    <row r="13" ht="22" customHeight="1">
      <c r="A13" s="20" t="n"/>
      <c r="B13" s="21" t="n"/>
      <c r="C13" s="22" t="n"/>
      <c r="D13" s="22" t="n"/>
      <c r="E13" s="22" t="n"/>
      <c r="F13" s="23" t="n"/>
      <c r="I13" s="17" t="inlineStr">
        <is>
          <t>L-CP</t>
        </is>
      </c>
      <c r="J13" s="18" t="inlineStr">
        <is>
          <t>Lógica (C.P.)</t>
        </is>
      </c>
      <c r="K13" s="18" t="n">
        <v>1</v>
      </c>
      <c r="L13" s="18">
        <f>COUNTIF(B4:F15,I13)</f>
        <v/>
      </c>
      <c r="M13" s="19">
        <f>K13-L13</f>
        <v/>
      </c>
    </row>
    <row r="14" ht="22" customHeight="1">
      <c r="A14" s="24" t="inlineStr">
        <is>
          <t>Turno 6</t>
        </is>
      </c>
      <c r="B14" s="17" t="n"/>
      <c r="C14" s="18" t="n"/>
      <c r="D14" s="18" t="n"/>
      <c r="E14" s="18" t="n"/>
      <c r="F14" s="19" t="n"/>
      <c r="I14" s="25" t="inlineStr">
        <is>
          <t>EF</t>
        </is>
      </c>
      <c r="J14" s="26" t="inlineStr">
        <is>
          <t>Educación Física</t>
        </is>
      </c>
      <c r="K14" s="26" t="n">
        <v>1</v>
      </c>
      <c r="L14" s="26">
        <f>COUNTIF(B4:F15,I14)</f>
        <v/>
      </c>
      <c r="M14" s="27">
        <f>K14-L14</f>
        <v/>
      </c>
    </row>
    <row r="15" ht="22" customHeight="1">
      <c r="A15" s="28" t="n"/>
      <c r="B15" s="29" t="n"/>
      <c r="C15" s="30" t="n"/>
      <c r="D15" s="30" t="n"/>
      <c r="E15" s="30" t="n"/>
      <c r="F15" s="31" t="n"/>
    </row>
    <row r="16">
      <c r="I16" t="inlineStr">
        <is>
          <t>Leyenda</t>
        </is>
      </c>
    </row>
    <row r="17">
      <c r="I17" s="32" t="n"/>
      <c r="J17" t="inlineStr">
        <is>
          <t>Aula fuera del listado de la facultad</t>
        </is>
      </c>
    </row>
    <row r="18">
      <c r="I18" s="33" t="n"/>
      <c r="J18" t="inlineStr">
        <is>
          <t>Asignatura fuera de la tabla del grupo</t>
        </is>
      </c>
    </row>
    <row r="19">
      <c r="I19" s="34" t="n"/>
      <c r="J19" t="inlineStr">
        <is>
          <t>Sobre-planificada (asignadas &gt; frecuencia)</t>
        </is>
      </c>
    </row>
    <row r="20">
      <c r="I20" s="35" t="n"/>
      <c r="J20" t="inlineStr">
        <is>
          <t>Frecuencia exacta cumplida</t>
        </is>
      </c>
    </row>
  </sheetData>
  <conditionalFormatting sqref="B4:F4 B6:F6 B8:F8 B10:F10 B12:F12 B14:F14">
    <cfRule type="expression" priority="1" dxfId="2">
      <formula>AND(B4&lt;&gt;"",COUNTIF($I$4:$I$14,B4)=0)</formula>
    </cfRule>
  </conditionalFormatting>
  <conditionalFormatting sqref="B5:F5 B7:F7 B9:F9 B11:F11 B13:F13 B15:F15">
    <cfRule type="expression" priority="2" dxfId="3">
      <formula>AND(B5&lt;&gt;"",COUNTIF(AulasValidas,B5)=0)</formula>
    </cfRule>
  </conditionalFormatting>
  <conditionalFormatting sqref="I4:M14">
    <cfRule type="expression" priority="3" dxfId="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2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C122</t>
        </is>
      </c>
    </row>
    <row r="2"/>
    <row r="3" ht="22" customHeight="1">
      <c r="A3" s="12" t="n"/>
      <c r="B3" s="13" t="inlineStr">
        <is>
          <t>Lunes</t>
        </is>
      </c>
      <c r="C3" s="14" t="inlineStr">
        <is>
          <t>Martes</t>
        </is>
      </c>
      <c r="D3" s="14" t="inlineStr">
        <is>
          <t>Miércoles</t>
        </is>
      </c>
      <c r="E3" s="14" t="inlineStr">
        <is>
          <t>Jueves</t>
        </is>
      </c>
      <c r="F3" s="15" t="inlineStr">
        <is>
          <t>Viernes</t>
        </is>
      </c>
      <c r="I3" s="13" t="inlineStr">
        <is>
          <t>Asignatura</t>
        </is>
      </c>
      <c r="J3" s="14" t="inlineStr">
        <is>
          <t>Nombre</t>
        </is>
      </c>
      <c r="K3" s="14" t="inlineStr">
        <is>
          <t>Frec</t>
        </is>
      </c>
      <c r="L3" s="14" t="inlineStr">
        <is>
          <t>Asignadas</t>
        </is>
      </c>
      <c r="M3" s="15" t="inlineStr">
        <is>
          <t>Faltan</t>
        </is>
      </c>
    </row>
    <row r="4" ht="22" customHeight="1">
      <c r="A4" s="16" t="inlineStr">
        <is>
          <t>Turno 1</t>
        </is>
      </c>
      <c r="B4" s="17" t="n"/>
      <c r="C4" s="18" t="n"/>
      <c r="D4" s="18" t="n"/>
      <c r="E4" s="18" t="n"/>
      <c r="F4" s="19" t="n"/>
      <c r="I4" s="17" t="inlineStr">
        <is>
          <t>AMI-C</t>
        </is>
      </c>
      <c r="J4" s="18" t="inlineStr">
        <is>
          <t>Análisis Matemático I (Conf)</t>
        </is>
      </c>
      <c r="K4" s="18" t="n">
        <v>1</v>
      </c>
      <c r="L4" s="18">
        <f>COUNTIF(B4:F15,I4)</f>
        <v/>
      </c>
      <c r="M4" s="19">
        <f>K4-L4</f>
        <v/>
      </c>
    </row>
    <row r="5" ht="22" customHeight="1">
      <c r="A5" s="20" t="n"/>
      <c r="B5" s="21" t="n"/>
      <c r="C5" s="22" t="n"/>
      <c r="D5" s="22" t="n"/>
      <c r="E5" s="22" t="n"/>
      <c r="F5" s="23" t="n"/>
      <c r="I5" s="17" t="inlineStr">
        <is>
          <t>AMI-CP</t>
        </is>
      </c>
      <c r="J5" s="18" t="inlineStr">
        <is>
          <t>Análisis Matemático I (C.P.)</t>
        </is>
      </c>
      <c r="K5" s="18" t="n">
        <v>2</v>
      </c>
      <c r="L5" s="18">
        <f>COUNTIF(B4:F15,I5)</f>
        <v/>
      </c>
      <c r="M5" s="19">
        <f>K5-L5</f>
        <v/>
      </c>
    </row>
    <row r="6" ht="22" customHeight="1">
      <c r="A6" s="24" t="inlineStr">
        <is>
          <t>Turno 2</t>
        </is>
      </c>
      <c r="B6" s="17" t="n"/>
      <c r="C6" s="18" t="n"/>
      <c r="D6" s="18" t="n"/>
      <c r="E6" s="18" t="n"/>
      <c r="F6" s="19" t="n"/>
      <c r="I6" s="17" t="inlineStr">
        <is>
          <t>Pro-C</t>
        </is>
      </c>
      <c r="J6" s="18" t="inlineStr">
        <is>
          <t>Programación (Conf)</t>
        </is>
      </c>
      <c r="K6" s="18" t="n">
        <v>1</v>
      </c>
      <c r="L6" s="18">
        <f>COUNTIF(B4:F15,I6)</f>
        <v/>
      </c>
      <c r="M6" s="19">
        <f>K6-L6</f>
        <v/>
      </c>
    </row>
    <row r="7" ht="22" customHeight="1">
      <c r="A7" s="20" t="n"/>
      <c r="B7" s="21" t="n"/>
      <c r="C7" s="22" t="n"/>
      <c r="D7" s="22" t="n"/>
      <c r="E7" s="22" t="n"/>
      <c r="F7" s="23" t="n"/>
      <c r="I7" s="17" t="inlineStr">
        <is>
          <t>Pro-CP</t>
        </is>
      </c>
      <c r="J7" s="18" t="inlineStr">
        <is>
          <t>Programación (C.P.)</t>
        </is>
      </c>
      <c r="K7" s="18" t="n">
        <v>2</v>
      </c>
      <c r="L7" s="18">
        <f>COUNTIF(B4:F15,I7)</f>
        <v/>
      </c>
      <c r="M7" s="19">
        <f>K7-L7</f>
        <v/>
      </c>
    </row>
    <row r="8" ht="22" customHeight="1">
      <c r="A8" s="24" t="inlineStr">
        <is>
          <t>Turno 3</t>
        </is>
      </c>
      <c r="B8" s="17" t="n"/>
      <c r="C8" s="18" t="n"/>
      <c r="D8" s="18" t="n"/>
      <c r="E8" s="18" t="n"/>
      <c r="F8" s="19" t="n"/>
      <c r="I8" s="17" t="inlineStr">
        <is>
          <t>A1-C</t>
        </is>
      </c>
      <c r="J8" s="18" t="inlineStr">
        <is>
          <t>Álgebra I (Conf)</t>
        </is>
      </c>
      <c r="K8" s="18" t="n">
        <v>2</v>
      </c>
      <c r="L8" s="18">
        <f>COUNTIF(B4:F15,I8)</f>
        <v/>
      </c>
      <c r="M8" s="19">
        <f>K8-L8</f>
        <v/>
      </c>
    </row>
    <row r="9" ht="22" customHeight="1">
      <c r="A9" s="20" t="n"/>
      <c r="B9" s="21" t="n"/>
      <c r="C9" s="22" t="n"/>
      <c r="D9" s="22" t="n"/>
      <c r="E9" s="22" t="n"/>
      <c r="F9" s="23" t="n"/>
      <c r="I9" s="17" t="inlineStr">
        <is>
          <t>A1-CP</t>
        </is>
      </c>
      <c r="J9" s="18" t="inlineStr">
        <is>
          <t>Álgebra I (C.P.)</t>
        </is>
      </c>
      <c r="K9" s="18" t="n">
        <v>1</v>
      </c>
      <c r="L9" s="18">
        <f>COUNTIF(B4:F15,I9)</f>
        <v/>
      </c>
      <c r="M9" s="19">
        <f>K9-L9</f>
        <v/>
      </c>
    </row>
    <row r="10" ht="22" customHeight="1">
      <c r="A10" s="24" t="inlineStr">
        <is>
          <t>Turno 4</t>
        </is>
      </c>
      <c r="B10" s="17" t="n"/>
      <c r="C10" s="18" t="n"/>
      <c r="D10" s="18" t="n"/>
      <c r="E10" s="18" t="n"/>
      <c r="F10" s="19" t="n"/>
      <c r="I10" s="17" t="inlineStr">
        <is>
          <t>F-C</t>
        </is>
      </c>
      <c r="J10" s="18" t="inlineStr">
        <is>
          <t>Filosofía (Conf)</t>
        </is>
      </c>
      <c r="K10" s="18" t="n">
        <v>1</v>
      </c>
      <c r="L10" s="18">
        <f>COUNTIF(B4:F15,I10)</f>
        <v/>
      </c>
      <c r="M10" s="19">
        <f>K10-L10</f>
        <v/>
      </c>
    </row>
    <row r="11" ht="22" customHeight="1">
      <c r="A11" s="20" t="n"/>
      <c r="B11" s="21" t="n"/>
      <c r="C11" s="22" t="n"/>
      <c r="D11" s="22" t="n"/>
      <c r="E11" s="22" t="n"/>
      <c r="F11" s="23" t="n"/>
      <c r="I11" s="17" t="inlineStr">
        <is>
          <t>F-CP</t>
        </is>
      </c>
      <c r="J11" s="18" t="inlineStr">
        <is>
          <t>Filosofía (C.P.)</t>
        </is>
      </c>
      <c r="K11" s="18" t="n">
        <v>1</v>
      </c>
      <c r="L11" s="18">
        <f>COUNTIF(B4:F15,I11)</f>
        <v/>
      </c>
      <c r="M11" s="19">
        <f>K11-L11</f>
        <v/>
      </c>
    </row>
    <row r="12" ht="22" customHeight="1">
      <c r="A12" s="24" t="inlineStr">
        <is>
          <t>Turno 5</t>
        </is>
      </c>
      <c r="B12" s="17" t="n"/>
      <c r="C12" s="18" t="n"/>
      <c r="D12" s="18" t="n"/>
      <c r="E12" s="18" t="n"/>
      <c r="F12" s="19" t="n"/>
      <c r="I12" s="17" t="inlineStr">
        <is>
          <t>L-C</t>
        </is>
      </c>
      <c r="J12" s="18" t="inlineStr">
        <is>
          <t>Lógica (Conf)</t>
        </is>
      </c>
      <c r="K12" s="18" t="n">
        <v>1</v>
      </c>
      <c r="L12" s="18">
        <f>COUNTIF(B4:F15,I12)</f>
        <v/>
      </c>
      <c r="M12" s="19">
        <f>K12-L12</f>
        <v/>
      </c>
    </row>
    <row r="13" ht="22" customHeight="1">
      <c r="A13" s="20" t="n"/>
      <c r="B13" s="21" t="n"/>
      <c r="C13" s="22" t="n"/>
      <c r="D13" s="22" t="n"/>
      <c r="E13" s="22" t="n"/>
      <c r="F13" s="23" t="n"/>
      <c r="I13" s="17" t="inlineStr">
        <is>
          <t>L-CP</t>
        </is>
      </c>
      <c r="J13" s="18" t="inlineStr">
        <is>
          <t>Lógica (C.P.)</t>
        </is>
      </c>
      <c r="K13" s="18" t="n">
        <v>1</v>
      </c>
      <c r="L13" s="18">
        <f>COUNTIF(B4:F15,I13)</f>
        <v/>
      </c>
      <c r="M13" s="19">
        <f>K13-L13</f>
        <v/>
      </c>
    </row>
    <row r="14" ht="22" customHeight="1">
      <c r="A14" s="24" t="inlineStr">
        <is>
          <t>Turno 6</t>
        </is>
      </c>
      <c r="B14" s="17" t="n"/>
      <c r="C14" s="18" t="n"/>
      <c r="D14" s="18" t="n"/>
      <c r="E14" s="18" t="n"/>
      <c r="F14" s="19" t="n"/>
      <c r="I14" s="25" t="inlineStr">
        <is>
          <t>EF</t>
        </is>
      </c>
      <c r="J14" s="26" t="inlineStr">
        <is>
          <t>Educación Física</t>
        </is>
      </c>
      <c r="K14" s="26" t="n">
        <v>1</v>
      </c>
      <c r="L14" s="26">
        <f>COUNTIF(B4:F15,I14)</f>
        <v/>
      </c>
      <c r="M14" s="27">
        <f>K14-L14</f>
        <v/>
      </c>
    </row>
    <row r="15" ht="22" customHeight="1">
      <c r="A15" s="28" t="n"/>
      <c r="B15" s="29" t="n"/>
      <c r="C15" s="30" t="n"/>
      <c r="D15" s="30" t="n"/>
      <c r="E15" s="30" t="n"/>
      <c r="F15" s="31" t="n"/>
    </row>
    <row r="16">
      <c r="I16" t="inlineStr">
        <is>
          <t>Leyenda</t>
        </is>
      </c>
    </row>
    <row r="17">
      <c r="I17" s="32" t="n"/>
      <c r="J17" t="inlineStr">
        <is>
          <t>Aula fuera del listado de la facultad</t>
        </is>
      </c>
    </row>
    <row r="18">
      <c r="I18" s="33" t="n"/>
      <c r="J18" t="inlineStr">
        <is>
          <t>Asignatura fuera de la tabla del grupo</t>
        </is>
      </c>
    </row>
    <row r="19">
      <c r="I19" s="34" t="n"/>
      <c r="J19" t="inlineStr">
        <is>
          <t>Sobre-planificada (asignadas &gt; frecuencia)</t>
        </is>
      </c>
    </row>
    <row r="20">
      <c r="I20" s="35" t="n"/>
      <c r="J20" t="inlineStr">
        <is>
          <t>Frecuencia exacta cumplida</t>
        </is>
      </c>
    </row>
  </sheetData>
  <conditionalFormatting sqref="B4:F4 B6:F6 B8:F8 B10:F10 B12:F12 B14:F14">
    <cfRule type="expression" priority="1" dxfId="2">
      <formula>AND(B4&lt;&gt;"",COUNTIF($I$4:$I$14,B4)=0)</formula>
    </cfRule>
  </conditionalFormatting>
  <conditionalFormatting sqref="B5:F5 B7:F7 B9:F9 B11:F11 B13:F13 B15:F15">
    <cfRule type="expression" priority="2" dxfId="3">
      <formula>AND(B5&lt;&gt;"",COUNTIF(AulasValidas,B5)=0)</formula>
    </cfRule>
  </conditionalFormatting>
  <conditionalFormatting sqref="I4:M14">
    <cfRule type="expression" priority="3" dxfId="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2026-08-07T11:37:12Z</dcterms:created>
  <dcterms:modified xmlns:dcterms="http://purl.org/dc/terms/" xmlns:xsi="http://www.w3.org/2001/XMLSchema-instance" xsi:type="dcterms:W3CDTF">2026-08-07T11:37:13Z</dcterms:modified>
</cp:coreProperties>
</file>