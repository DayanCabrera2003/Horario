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cupacion de - par" sheetId="1" state="visible" r:id="rId1"/>
    <sheet xmlns:r="http://schemas.openxmlformats.org/officeDocument/2006/relationships" name="Ocupacion de - impar" sheetId="2" state="visible" r:id="rId2"/>
    <sheet xmlns:r="http://schemas.openxmlformats.org/officeDocument/2006/relationships" name="Horario del - Prof. Alvarez" sheetId="3" state="visible" r:id="rId3"/>
    <sheet xmlns:r="http://schemas.openxmlformats.org/officeDocument/2006/relationships" name="Horario del - Prof. Benitez" sheetId="4" state="visible" r:id="rId4"/>
    <sheet xmlns:r="http://schemas.openxmlformats.org/officeDocument/2006/relationships" name="Horario del - Prof. Castro" sheetId="5" state="visible" r:id="rId5"/>
    <sheet xmlns:r="http://schemas.openxmlformats.org/officeDocument/2006/relationships" name="Horario del - Prof. Diaz" sheetId="6" state="visible" r:id="rId6"/>
    <sheet xmlns:r="http://schemas.openxmlformats.org/officeDocument/2006/relationships" name="Brigadas" sheetId="7" state="visible" r:id="rId7"/>
    <sheet xmlns:r="http://schemas.openxmlformats.org/officeDocument/2006/relationships" name="Instalaciones" sheetId="8" state="visible" r:id="rId8"/>
    <sheet xmlns:r="http://schemas.openxmlformats.org/officeDocument/2006/relationships" name="Anos de carrera" sheetId="9" state="visible" r:id="rId9"/>
    <sheet xmlns:r="http://schemas.openxmlformats.org/officeDocument/2006/relationships" name="Horarios disponibles por ano" sheetId="10" state="visible" r:id="rId10"/>
    <sheet xmlns:r="http://schemas.openxmlformats.org/officeDocument/2006/relationships" name="Franja" sheetId="11" state="visible" r:id="rId11"/>
  </sheets>
  <definedNames>
    <definedName name="Brigadas">Brigadas!$A$4:$J$11</definedName>
    <definedName name="Instalaciones">Instalaciones!$A$4:$D$7</definedName>
    <definedName name="Anos">'Anos de carrera'!$A$4:$C$9</definedName>
    <definedName name="Disponibles">'Horarios disponibles por ano'!$A$4:$C$14</definedName>
    <definedName name="Franja">Franja!$A$4:$D$9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5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" applyProtection="1" pivotButton="0" quotePrefix="0" xfId="0">
      <protection locked="0" hidden="0"/>
    </xf>
    <xf numFmtId="0" fontId="3" fillId="0" borderId="0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EA9DB"/>
    <outlinePr summaryBelow="1" summaryRight="1"/>
    <pageSetUpPr/>
  </sheetPr>
  <dimension ref="A1:C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42" customWidth="1" min="3" max="3"/>
  </cols>
  <sheetData>
    <row r="1">
      <c r="A1" s="1" t="inlineStr">
        <is>
          <t>Ocupacion de - par</t>
        </is>
      </c>
    </row>
    <row r="3">
      <c r="A3" s="2" t="inlineStr">
        <is>
          <t>Instalacion</t>
        </is>
      </c>
      <c r="B3" s="2" t="inlineStr">
        <is>
          <t>10 a.m.</t>
        </is>
      </c>
      <c r="C3" s="2" t="inlineStr">
        <is>
          <t>11 a.m.</t>
        </is>
      </c>
    </row>
    <row r="4">
      <c r="A4" s="3" t="inlineStr">
        <is>
          <t>Pista 1</t>
        </is>
      </c>
      <c r="B4" s="3">
        <f>IF(COUNTIF(Brigadas!$K$4:$K$11,"par"&amp;"|"&amp;$A4&amp;"|"&amp;B$3)&gt;1,IFERROR(INDEX(Brigadas!$A$4:$A$11,MATCH("par"&amp;"|"&amp;$A4&amp;"|"&amp;B$3,Brigadas!$K$4:$K$11,0)),"")&amp;" (+"&amp;(COUNTIF(Brigadas!$K$4:$K$11,"par"&amp;"|"&amp;$A4&amp;"|"&amp;B$3)-1)&amp;")",IFERROR(INDEX(Brigadas!$A$4:$A$11,MATCH("par"&amp;"|"&amp;$A4&amp;"|"&amp;B$3,Brigadas!$K$4:$K$11,0)),""))</f>
        <v/>
      </c>
      <c r="C4" s="3">
        <f>IF(COUNTIF(Brigadas!$K$4:$K$11,"par"&amp;"|"&amp;$A4&amp;"|"&amp;C$3)&gt;1,IFERROR(INDEX(Brigadas!$A$4:$A$11,MATCH("par"&amp;"|"&amp;$A4&amp;"|"&amp;C$3,Brigadas!$K$4:$K$11,0)),"")&amp;" (+"&amp;(COUNTIF(Brigadas!$K$4:$K$11,"par"&amp;"|"&amp;$A4&amp;"|"&amp;C$3)-1)&amp;")",IFERROR(INDEX(Brigadas!$A$4:$A$11,MATCH("par"&amp;"|"&amp;$A4&amp;"|"&amp;C$3,Brigadas!$K$4:$K$11,0)),""))</f>
        <v/>
      </c>
    </row>
    <row r="5">
      <c r="A5" s="3" t="inlineStr">
        <is>
          <t>Gimnasio</t>
        </is>
      </c>
      <c r="B5" s="3">
        <f>IF(COUNTIF(Brigadas!$K$4:$K$11,"par"&amp;"|"&amp;$A5&amp;"|"&amp;B$3)&gt;1,IFERROR(INDEX(Brigadas!$A$4:$A$11,MATCH("par"&amp;"|"&amp;$A5&amp;"|"&amp;B$3,Brigadas!$K$4:$K$11,0)),"")&amp;" (+"&amp;(COUNTIF(Brigadas!$K$4:$K$11,"par"&amp;"|"&amp;$A5&amp;"|"&amp;B$3)-1)&amp;")",IFERROR(INDEX(Brigadas!$A$4:$A$11,MATCH("par"&amp;"|"&amp;$A5&amp;"|"&amp;B$3,Brigadas!$K$4:$K$11,0)),""))</f>
        <v/>
      </c>
      <c r="C5" s="3">
        <f>IF(COUNTIF(Brigadas!$K$4:$K$11,"par"&amp;"|"&amp;$A5&amp;"|"&amp;C$3)&gt;1,IFERROR(INDEX(Brigadas!$A$4:$A$11,MATCH("par"&amp;"|"&amp;$A5&amp;"|"&amp;C$3,Brigadas!$K$4:$K$11,0)),"")&amp;" (+"&amp;(COUNTIF(Brigadas!$K$4:$K$11,"par"&amp;"|"&amp;$A5&amp;"|"&amp;C$3)-1)&amp;")",IFERROR(INDEX(Brigadas!$A$4:$A$11,MATCH("par"&amp;"|"&amp;$A5&amp;"|"&amp;C$3,Brigadas!$K$4:$K$11,0)),""))</f>
        <v/>
      </c>
    </row>
    <row r="6">
      <c r="A6" s="3" t="inlineStr">
        <is>
          <t>Pista 2</t>
        </is>
      </c>
      <c r="B6" s="3">
        <f>IF(COUNTIF(Brigadas!$K$4:$K$11,"par"&amp;"|"&amp;$A6&amp;"|"&amp;B$3)&gt;1,IFERROR(INDEX(Brigadas!$A$4:$A$11,MATCH("par"&amp;"|"&amp;$A6&amp;"|"&amp;B$3,Brigadas!$K$4:$K$11,0)),"")&amp;" (+"&amp;(COUNTIF(Brigadas!$K$4:$K$11,"par"&amp;"|"&amp;$A6&amp;"|"&amp;B$3)-1)&amp;")",IFERROR(INDEX(Brigadas!$A$4:$A$11,MATCH("par"&amp;"|"&amp;$A6&amp;"|"&amp;B$3,Brigadas!$K$4:$K$11,0)),""))</f>
        <v/>
      </c>
      <c r="C6" s="3">
        <f>IF(COUNTIF(Brigadas!$K$4:$K$11,"par"&amp;"|"&amp;$A6&amp;"|"&amp;C$3)&gt;1,IFERROR(INDEX(Brigadas!$A$4:$A$11,MATCH("par"&amp;"|"&amp;$A6&amp;"|"&amp;C$3,Brigadas!$K$4:$K$11,0)),"")&amp;" (+"&amp;(COUNTIF(Brigadas!$K$4:$K$11,"par"&amp;"|"&amp;$A6&amp;"|"&amp;C$3)-1)&amp;")",IFERROR(INDEX(Brigadas!$A$4:$A$11,MATCH("par"&amp;"|"&amp;$A6&amp;"|"&amp;C$3,Brigadas!$K$4:$K$11,0)),""))</f>
        <v/>
      </c>
    </row>
    <row r="7">
      <c r="A7" s="3" t="inlineStr">
        <is>
          <t>Piscina</t>
        </is>
      </c>
      <c r="B7" s="3">
        <f>IF(COUNTIF(Brigadas!$K$4:$K$11,"par"&amp;"|"&amp;$A7&amp;"|"&amp;B$3)&gt;1,IFERROR(INDEX(Brigadas!$A$4:$A$11,MATCH("par"&amp;"|"&amp;$A7&amp;"|"&amp;B$3,Brigadas!$K$4:$K$11,0)),"")&amp;" (+"&amp;(COUNTIF(Brigadas!$K$4:$K$11,"par"&amp;"|"&amp;$A7&amp;"|"&amp;B$3)-1)&amp;")",IFERROR(INDEX(Brigadas!$A$4:$A$11,MATCH("par"&amp;"|"&amp;$A7&amp;"|"&amp;B$3,Brigadas!$K$4:$K$11,0)),""))</f>
        <v/>
      </c>
      <c r="C7" s="3">
        <f>IF(COUNTIF(Brigadas!$K$4:$K$11,"par"&amp;"|"&amp;$A7&amp;"|"&amp;C$3)&gt;1,IFERROR(INDEX(Brigadas!$A$4:$A$11,MATCH("par"&amp;"|"&amp;$A7&amp;"|"&amp;C$3,Brigadas!$K$4:$K$11,0)),"")&amp;" (+"&amp;(COUNTIF(Brigadas!$K$4:$K$11,"par"&amp;"|"&amp;$A7&amp;"|"&amp;C$3)-1)&amp;")",IFERROR(INDEX(Brigadas!$A$4:$A$11,MATCH("par"&amp;"|"&amp;$A7&amp;"|"&amp;C$3,Brigadas!$K$4:$K$11,0)),""))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EA9DB"/>
    <outlinePr summaryBelow="1" summaryRight="1"/>
    <pageSetUpPr/>
  </sheetPr>
  <dimension ref="A1:C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42" customWidth="1" min="3" max="3"/>
  </cols>
  <sheetData>
    <row r="1">
      <c r="A1" s="1" t="inlineStr">
        <is>
          <t>Ocupacion de - impar</t>
        </is>
      </c>
    </row>
    <row r="3">
      <c r="A3" s="2" t="inlineStr">
        <is>
          <t>Instalacion</t>
        </is>
      </c>
      <c r="B3" s="2" t="inlineStr">
        <is>
          <t>3 p.m.</t>
        </is>
      </c>
      <c r="C3" s="2" t="inlineStr">
        <is>
          <t>11 a.m.</t>
        </is>
      </c>
    </row>
    <row r="4">
      <c r="A4" s="3" t="inlineStr">
        <is>
          <t>Piscina</t>
        </is>
      </c>
      <c r="B4" s="3">
        <f>IF(COUNTIF(Brigadas!$K$4:$K$11,"impar"&amp;"|"&amp;$A4&amp;"|"&amp;B$3)&gt;1,IFERROR(INDEX(Brigadas!$A$4:$A$11,MATCH("impar"&amp;"|"&amp;$A4&amp;"|"&amp;B$3,Brigadas!$K$4:$K$11,0)),"")&amp;" (+"&amp;(COUNTIF(Brigadas!$K$4:$K$11,"impar"&amp;"|"&amp;$A4&amp;"|"&amp;B$3)-1)&amp;")",IFERROR(INDEX(Brigadas!$A$4:$A$11,MATCH("impar"&amp;"|"&amp;$A4&amp;"|"&amp;B$3,Brigadas!$K$4:$K$11,0)),""))</f>
        <v/>
      </c>
      <c r="C4" s="3">
        <f>IF(COUNTIF(Brigadas!$K$4:$K$11,"impar"&amp;"|"&amp;$A4&amp;"|"&amp;C$3)&gt;1,IFERROR(INDEX(Brigadas!$A$4:$A$11,MATCH("impar"&amp;"|"&amp;$A4&amp;"|"&amp;C$3,Brigadas!$K$4:$K$11,0)),"")&amp;" (+"&amp;(COUNTIF(Brigadas!$K$4:$K$11,"impar"&amp;"|"&amp;$A4&amp;"|"&amp;C$3)-1)&amp;")",IFERROR(INDEX(Brigadas!$A$4:$A$11,MATCH("impar"&amp;"|"&amp;$A4&amp;"|"&amp;C$3,Brigadas!$K$4:$K$11,0)),""))</f>
        <v/>
      </c>
    </row>
    <row r="5">
      <c r="A5" s="3" t="inlineStr">
        <is>
          <t>Pista 2</t>
        </is>
      </c>
      <c r="B5" s="3">
        <f>IF(COUNTIF(Brigadas!$K$4:$K$11,"impar"&amp;"|"&amp;$A5&amp;"|"&amp;B$3)&gt;1,IFERROR(INDEX(Brigadas!$A$4:$A$11,MATCH("impar"&amp;"|"&amp;$A5&amp;"|"&amp;B$3,Brigadas!$K$4:$K$11,0)),"")&amp;" (+"&amp;(COUNTIF(Brigadas!$K$4:$K$11,"impar"&amp;"|"&amp;$A5&amp;"|"&amp;B$3)-1)&amp;")",IFERROR(INDEX(Brigadas!$A$4:$A$11,MATCH("impar"&amp;"|"&amp;$A5&amp;"|"&amp;B$3,Brigadas!$K$4:$K$11,0)),""))</f>
        <v/>
      </c>
      <c r="C5" s="3">
        <f>IF(COUNTIF(Brigadas!$K$4:$K$11,"impar"&amp;"|"&amp;$A5&amp;"|"&amp;C$3)&gt;1,IFERROR(INDEX(Brigadas!$A$4:$A$11,MATCH("impar"&amp;"|"&amp;$A5&amp;"|"&amp;C$3,Brigadas!$K$4:$K$11,0)),"")&amp;" (+"&amp;(COUNTIF(Brigadas!$K$4:$K$11,"impar"&amp;"|"&amp;$A5&amp;"|"&amp;C$3)-1)&amp;")",IFERROR(INDEX(Brigadas!$A$4:$A$11,MATCH("impar"&amp;"|"&amp;$A5&amp;"|"&amp;C$3,Brigadas!$K$4:$K$11,0)),""))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EA9DB"/>
    <outlinePr summaryBelow="1" summaryRight="1"/>
    <pageSetUpPr/>
  </sheetPr>
  <dimension ref="A1:B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</cols>
  <sheetData>
    <row r="1">
      <c r="A1" s="1" t="inlineStr">
        <is>
          <t>Horario del - Prof. Alvarez</t>
        </is>
      </c>
    </row>
    <row r="3">
      <c r="A3" s="2" t="inlineStr">
        <is>
          <t>Horario</t>
        </is>
      </c>
      <c r="B3" s="2" t="inlineStr">
        <is>
          <t>par</t>
        </is>
      </c>
    </row>
    <row r="4">
      <c r="A4" s="3" t="inlineStr">
        <is>
          <t>10 a.m.</t>
        </is>
      </c>
      <c r="B4" s="3">
        <f>IF(COUNTIF(Brigadas!$K$4:$K$11,"Prof. Alvarez"&amp;"|"&amp;$A4&amp;"|"&amp;B$3)&gt;1,IFERROR(INDEX(Brigadas!$A$4:$A$11,MATCH("Prof. Alvarez"&amp;"|"&amp;$A4&amp;"|"&amp;B$3,Brigadas!$K$4:$K$11,0)),"")&amp;" (+"&amp;(COUNTIF(Brigadas!$K$4:$K$11,"Prof. Alvarez"&amp;"|"&amp;$A4&amp;"|"&amp;B$3)-1)&amp;")",IFERROR(INDEX(Brigadas!$A$4:$A$11,MATCH("Prof. Alvarez"&amp;"|"&amp;$A4&amp;"|"&amp;B$3,Brigadas!$K$4:$K$11,0)),""))</f>
        <v/>
      </c>
    </row>
    <row r="5">
      <c r="A5" s="3" t="inlineStr">
        <is>
          <t>11 a.m.</t>
        </is>
      </c>
      <c r="B5" s="3">
        <f>IF(COUNTIF(Brigadas!$K$4:$K$11,"Prof. Alvarez"&amp;"|"&amp;$A5&amp;"|"&amp;B$3)&gt;1,IFERROR(INDEX(Brigadas!$A$4:$A$11,MATCH("Prof. Alvarez"&amp;"|"&amp;$A5&amp;"|"&amp;B$3,Brigadas!$K$4:$K$11,0)),"")&amp;" (+"&amp;(COUNTIF(Brigadas!$K$4:$K$11,"Prof. Alvarez"&amp;"|"&amp;$A5&amp;"|"&amp;B$3)-1)&amp;")",IFERROR(INDEX(Brigadas!$A$4:$A$11,MATCH("Prof. Alvarez"&amp;"|"&amp;$A5&amp;"|"&amp;B$3,Brigadas!$K$4:$K$11,0)),""))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EA9DB"/>
    <outlinePr summaryBelow="1" summaryRight="1"/>
    <pageSetUpPr/>
  </sheetPr>
  <dimension ref="A1:B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</cols>
  <sheetData>
    <row r="1">
      <c r="A1" s="1" t="inlineStr">
        <is>
          <t>Horario del - Prof. Benitez</t>
        </is>
      </c>
    </row>
    <row r="3">
      <c r="A3" s="2" t="inlineStr">
        <is>
          <t>Horario</t>
        </is>
      </c>
      <c r="B3" s="2" t="inlineStr">
        <is>
          <t>impar</t>
        </is>
      </c>
    </row>
    <row r="4">
      <c r="A4" s="3" t="inlineStr">
        <is>
          <t>3 p.m.</t>
        </is>
      </c>
      <c r="B4" s="3">
        <f>IF(COUNTIF(Brigadas!$K$4:$K$11,"Prof. Benitez"&amp;"|"&amp;$A4&amp;"|"&amp;B$3)&gt;1,IFERROR(INDEX(Brigadas!$A$4:$A$11,MATCH("Prof. Benitez"&amp;"|"&amp;$A4&amp;"|"&amp;B$3,Brigadas!$K$4:$K$11,0)),"")&amp;" (+"&amp;(COUNTIF(Brigadas!$K$4:$K$11,"Prof. Benitez"&amp;"|"&amp;$A4&amp;"|"&amp;B$3)-1)&amp;")",IFERROR(INDEX(Brigadas!$A$4:$A$11,MATCH("Prof. Benitez"&amp;"|"&amp;$A4&amp;"|"&amp;B$3,Brigadas!$K$4:$K$11,0)),""))</f>
        <v/>
      </c>
    </row>
    <row r="5">
      <c r="A5" s="3" t="inlineStr">
        <is>
          <t>11 a.m.</t>
        </is>
      </c>
      <c r="B5" s="3">
        <f>IF(COUNTIF(Brigadas!$K$4:$K$11,"Prof. Benitez"&amp;"|"&amp;$A5&amp;"|"&amp;B$3)&gt;1,IFERROR(INDEX(Brigadas!$A$4:$A$11,MATCH("Prof. Benitez"&amp;"|"&amp;$A5&amp;"|"&amp;B$3,Brigadas!$K$4:$K$11,0)),"")&amp;" (+"&amp;(COUNTIF(Brigadas!$K$4:$K$11,"Prof. Benitez"&amp;"|"&amp;$A5&amp;"|"&amp;B$3)-1)&amp;")",IFERROR(INDEX(Brigadas!$A$4:$A$11,MATCH("Prof. Benitez"&amp;"|"&amp;$A5&amp;"|"&amp;B$3,Brigadas!$K$4:$K$11,0)),""))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EA9DB"/>
    <outlinePr summaryBelow="1" summaryRight="1"/>
    <pageSetUpPr/>
  </sheetPr>
  <dimension ref="A1:C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42" customWidth="1" min="3" max="3"/>
  </cols>
  <sheetData>
    <row r="1">
      <c r="A1" s="1" t="inlineStr">
        <is>
          <t>Horario del - Prof. Castro</t>
        </is>
      </c>
    </row>
    <row r="3">
      <c r="A3" s="2" t="inlineStr">
        <is>
          <t>Horario</t>
        </is>
      </c>
      <c r="B3" s="2" t="inlineStr">
        <is>
          <t>par</t>
        </is>
      </c>
      <c r="C3" s="2" t="inlineStr">
        <is>
          <t>impar</t>
        </is>
      </c>
    </row>
    <row r="4">
      <c r="A4" s="3" t="inlineStr">
        <is>
          <t>10 a.m.</t>
        </is>
      </c>
      <c r="B4" s="3">
        <f>IF(COUNTIF(Brigadas!$K$4:$K$11,"Prof. Castro"&amp;"|"&amp;$A4&amp;"|"&amp;B$3)&gt;1,IFERROR(INDEX(Brigadas!$A$4:$A$11,MATCH("Prof. Castro"&amp;"|"&amp;$A4&amp;"|"&amp;B$3,Brigadas!$K$4:$K$11,0)),"")&amp;" (+"&amp;(COUNTIF(Brigadas!$K$4:$K$11,"Prof. Castro"&amp;"|"&amp;$A4&amp;"|"&amp;B$3)-1)&amp;")",IFERROR(INDEX(Brigadas!$A$4:$A$11,MATCH("Prof. Castro"&amp;"|"&amp;$A4&amp;"|"&amp;B$3,Brigadas!$K$4:$K$11,0)),""))</f>
        <v/>
      </c>
      <c r="C4" s="3">
        <f>IF(COUNTIF(Brigadas!$K$4:$K$11,"Prof. Castro"&amp;"|"&amp;$A4&amp;"|"&amp;C$3)&gt;1,IFERROR(INDEX(Brigadas!$A$4:$A$11,MATCH("Prof. Castro"&amp;"|"&amp;$A4&amp;"|"&amp;C$3,Brigadas!$K$4:$K$11,0)),"")&amp;" (+"&amp;(COUNTIF(Brigadas!$K$4:$K$11,"Prof. Castro"&amp;"|"&amp;$A4&amp;"|"&amp;C$3)-1)&amp;")",IFERROR(INDEX(Brigadas!$A$4:$A$11,MATCH("Prof. Castro"&amp;"|"&amp;$A4&amp;"|"&amp;C$3,Brigadas!$K$4:$K$11,0)),""))</f>
        <v/>
      </c>
    </row>
    <row r="5">
      <c r="A5" s="3" t="inlineStr">
        <is>
          <t>11 a.m.</t>
        </is>
      </c>
      <c r="B5" s="3">
        <f>IF(COUNTIF(Brigadas!$K$4:$K$11,"Prof. Castro"&amp;"|"&amp;$A5&amp;"|"&amp;B$3)&gt;1,IFERROR(INDEX(Brigadas!$A$4:$A$11,MATCH("Prof. Castro"&amp;"|"&amp;$A5&amp;"|"&amp;B$3,Brigadas!$K$4:$K$11,0)),"")&amp;" (+"&amp;(COUNTIF(Brigadas!$K$4:$K$11,"Prof. Castro"&amp;"|"&amp;$A5&amp;"|"&amp;B$3)-1)&amp;")",IFERROR(INDEX(Brigadas!$A$4:$A$11,MATCH("Prof. Castro"&amp;"|"&amp;$A5&amp;"|"&amp;B$3,Brigadas!$K$4:$K$11,0)),""))</f>
        <v/>
      </c>
      <c r="C5" s="3">
        <f>IF(COUNTIF(Brigadas!$K$4:$K$11,"Prof. Castro"&amp;"|"&amp;$A5&amp;"|"&amp;C$3)&gt;1,IFERROR(INDEX(Brigadas!$A$4:$A$11,MATCH("Prof. Castro"&amp;"|"&amp;$A5&amp;"|"&amp;C$3,Brigadas!$K$4:$K$11,0)),"")&amp;" (+"&amp;(COUNTIF(Brigadas!$K$4:$K$11,"Prof. Castro"&amp;"|"&amp;$A5&amp;"|"&amp;C$3)-1)&amp;")",IFERROR(INDEX(Brigadas!$A$4:$A$11,MATCH("Prof. Castro"&amp;"|"&amp;$A5&amp;"|"&amp;C$3,Brigadas!$K$4:$K$11,0)),""))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EA9DB"/>
    <outlinePr summaryBelow="1" summaryRight="1"/>
    <pageSetUpPr/>
  </sheetPr>
  <dimension ref="A1:B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</cols>
  <sheetData>
    <row r="1">
      <c r="A1" s="1" t="inlineStr">
        <is>
          <t>Horario del - Prof. Diaz</t>
        </is>
      </c>
    </row>
    <row r="3">
      <c r="A3" s="2" t="inlineStr">
        <is>
          <t>Horario</t>
        </is>
      </c>
      <c r="B3" s="2" t="inlineStr">
        <is>
          <t>par</t>
        </is>
      </c>
    </row>
    <row r="4">
      <c r="A4" s="3" t="n"/>
      <c r="B4" s="3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K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6" customWidth="1" min="4" max="4"/>
    <col width="13" customWidth="1" min="5" max="5"/>
    <col width="14" customWidth="1" min="6" max="6"/>
    <col width="42" customWidth="1" min="7" max="7"/>
    <col width="42" customWidth="1" min="8" max="8"/>
    <col width="19" customWidth="1" min="9" max="9"/>
    <col width="42" customWidth="1" min="10" max="10"/>
    <col width="26" customWidth="1" min="11" max="11"/>
  </cols>
  <sheetData>
    <row r="1">
      <c r="A1" s="1" t="inlineStr">
        <is>
          <t>Brigadas</t>
        </is>
      </c>
    </row>
    <row r="3">
      <c r="A3" s="2" t="inlineStr">
        <is>
          <t>Brigada</t>
        </is>
      </c>
      <c r="B3" s="2" t="inlineStr">
        <is>
          <t>Ano</t>
        </is>
      </c>
      <c r="C3" s="2" t="inlineStr">
        <is>
          <t>Personas</t>
        </is>
      </c>
      <c r="D3" s="2" t="inlineStr">
        <is>
          <t>Profesor</t>
        </is>
      </c>
      <c r="E3" s="2" t="inlineStr">
        <is>
          <t>Horario</t>
        </is>
      </c>
      <c r="F3" s="2" t="inlineStr">
        <is>
          <t>Instalacion</t>
        </is>
      </c>
      <c r="G3" s="2" t="inlineStr">
        <is>
          <t>Semana</t>
        </is>
      </c>
      <c r="H3" s="2" t="inlineStr">
        <is>
          <t>Capacidad</t>
        </is>
      </c>
      <c r="I3" s="2" t="inlineStr">
        <is>
          <t>Ano#Horario</t>
        </is>
      </c>
      <c r="J3" s="2" t="inlineStr">
        <is>
          <t>Horario disponible</t>
        </is>
      </c>
      <c r="K3" s="2" t="inlineStr">
        <is>
          <t>(clave)</t>
        </is>
      </c>
    </row>
    <row r="4">
      <c r="A4" s="3" t="inlineStr">
        <is>
          <t>C111</t>
        </is>
      </c>
      <c r="B4" s="3" t="inlineStr">
        <is>
          <t>CC-1</t>
        </is>
      </c>
      <c r="C4" s="3" t="n">
        <v>28</v>
      </c>
      <c r="D4" s="3" t="inlineStr">
        <is>
          <t>Prof. Alvarez</t>
        </is>
      </c>
      <c r="E4" s="4" t="inlineStr">
        <is>
          <t>10 a.m.</t>
        </is>
      </c>
      <c r="F4" s="4" t="inlineStr">
        <is>
          <t>Pista 1</t>
        </is>
      </c>
      <c r="G4" s="3">
        <f>IFERROR(VLOOKUP($B4,'Anos de carrera'!$A$4:$C$9,3,FALSE),"")</f>
        <v/>
      </c>
      <c r="H4" s="3">
        <f>IFERROR(VLOOKUP($F4,Instalaciones!$A$4:$D$7,2,FALSE),0)</f>
        <v/>
      </c>
      <c r="I4" s="3">
        <f>($B4&amp;"#"&amp;$E4)</f>
        <v/>
      </c>
      <c r="J4" s="3">
        <f>IF(($E4=""),"",IF((IFERROR(VLOOKUP($I4,'Horarios disponibles por ano'!$A$4:$C$14,1,FALSE),"")=""),"no","si"))</f>
        <v/>
      </c>
      <c r="K4" s="3">
        <f>$G4&amp;"|"&amp;$F4&amp;"|"&amp;$E4</f>
        <v/>
      </c>
    </row>
    <row r="5">
      <c r="A5" s="3" t="inlineStr">
        <is>
          <t>C112</t>
        </is>
      </c>
      <c r="B5" s="3" t="inlineStr">
        <is>
          <t>CC-1</t>
        </is>
      </c>
      <c r="C5" s="3" t="n">
        <v>25</v>
      </c>
      <c r="D5" s="3" t="inlineStr">
        <is>
          <t>Prof. Alvarez</t>
        </is>
      </c>
      <c r="E5" s="4" t="inlineStr">
        <is>
          <t>11 a.m.</t>
        </is>
      </c>
      <c r="F5" s="4" t="inlineStr">
        <is>
          <t>Gimnasio</t>
        </is>
      </c>
      <c r="G5" s="3">
        <f>IFERROR(VLOOKUP($B5,'Anos de carrera'!$A$4:$C$9,3,FALSE),"")</f>
        <v/>
      </c>
      <c r="H5" s="3">
        <f>IFERROR(VLOOKUP($F5,Instalaciones!$A$4:$D$7,2,FALSE),0)</f>
        <v/>
      </c>
      <c r="I5" s="3">
        <f>($B5&amp;"#"&amp;$E5)</f>
        <v/>
      </c>
      <c r="J5" s="3">
        <f>IF(($E5=""),"",IF((IFERROR(VLOOKUP($I5,'Horarios disponibles por ano'!$A$4:$C$14,1,FALSE),"")=""),"no","si"))</f>
        <v/>
      </c>
      <c r="K5" s="3">
        <f>$G5&amp;"|"&amp;$F5&amp;"|"&amp;$E5</f>
        <v/>
      </c>
    </row>
    <row r="6">
      <c r="A6" s="3" t="inlineStr">
        <is>
          <t>C211</t>
        </is>
      </c>
      <c r="B6" s="3" t="inlineStr">
        <is>
          <t>CC-2</t>
        </is>
      </c>
      <c r="C6" s="3" t="n">
        <v>22</v>
      </c>
      <c r="D6" s="3" t="inlineStr">
        <is>
          <t>Prof. Benitez</t>
        </is>
      </c>
      <c r="E6" s="4" t="inlineStr">
        <is>
          <t>3 p.m.</t>
        </is>
      </c>
      <c r="F6" s="4" t="inlineStr">
        <is>
          <t>Piscina</t>
        </is>
      </c>
      <c r="G6" s="3">
        <f>IFERROR(VLOOKUP($B6,'Anos de carrera'!$A$4:$C$9,3,FALSE),"")</f>
        <v/>
      </c>
      <c r="H6" s="3">
        <f>IFERROR(VLOOKUP($F6,Instalaciones!$A$4:$D$7,2,FALSE),0)</f>
        <v/>
      </c>
      <c r="I6" s="3">
        <f>($B6&amp;"#"&amp;$E6)</f>
        <v/>
      </c>
      <c r="J6" s="3">
        <f>IF(($E6=""),"",IF((IFERROR(VLOOKUP($I6,'Horarios disponibles por ano'!$A$4:$C$14,1,FALSE),"")=""),"no","si"))</f>
        <v/>
      </c>
      <c r="K6" s="3">
        <f>$G6&amp;"|"&amp;$F6&amp;"|"&amp;$E6</f>
        <v/>
      </c>
    </row>
    <row r="7">
      <c r="A7" s="3" t="inlineStr">
        <is>
          <t>C212</t>
        </is>
      </c>
      <c r="B7" s="3" t="inlineStr">
        <is>
          <t>CC-2</t>
        </is>
      </c>
      <c r="C7" s="3" t="n">
        <v>20</v>
      </c>
      <c r="D7" s="3" t="inlineStr">
        <is>
          <t>Prof. Benitez</t>
        </is>
      </c>
      <c r="E7" s="4" t="inlineStr">
        <is>
          <t>11 a.m.</t>
        </is>
      </c>
      <c r="F7" s="4" t="inlineStr">
        <is>
          <t>Pista 2</t>
        </is>
      </c>
      <c r="G7" s="3">
        <f>IFERROR(VLOOKUP($B7,'Anos de carrera'!$A$4:$C$9,3,FALSE),"")</f>
        <v/>
      </c>
      <c r="H7" s="3">
        <f>IFERROR(VLOOKUP($F7,Instalaciones!$A$4:$D$7,2,FALSE),0)</f>
        <v/>
      </c>
      <c r="I7" s="3">
        <f>($B7&amp;"#"&amp;$E7)</f>
        <v/>
      </c>
      <c r="J7" s="3">
        <f>IF(($E7=""),"",IF((IFERROR(VLOOKUP($I7,'Horarios disponibles por ano'!$A$4:$C$14,1,FALSE),"")=""),"no","si"))</f>
        <v/>
      </c>
      <c r="K7" s="3">
        <f>$G7&amp;"|"&amp;$F7&amp;"|"&amp;$E7</f>
        <v/>
      </c>
    </row>
    <row r="8">
      <c r="A8" s="3" t="inlineStr">
        <is>
          <t>M11</t>
        </is>
      </c>
      <c r="B8" s="3" t="inlineStr">
        <is>
          <t>MAT-1</t>
        </is>
      </c>
      <c r="C8" s="3" t="n">
        <v>30</v>
      </c>
      <c r="D8" s="3" t="inlineStr">
        <is>
          <t>Prof. Castro</t>
        </is>
      </c>
      <c r="E8" s="4" t="inlineStr">
        <is>
          <t>10 a.m.</t>
        </is>
      </c>
      <c r="F8" s="4" t="inlineStr">
        <is>
          <t>Pista 2</t>
        </is>
      </c>
      <c r="G8" s="3">
        <f>IFERROR(VLOOKUP($B8,'Anos de carrera'!$A$4:$C$9,3,FALSE),"")</f>
        <v/>
      </c>
      <c r="H8" s="3">
        <f>IFERROR(VLOOKUP($F8,Instalaciones!$A$4:$D$7,2,FALSE),0)</f>
        <v/>
      </c>
      <c r="I8" s="3">
        <f>($B8&amp;"#"&amp;$E8)</f>
        <v/>
      </c>
      <c r="J8" s="3">
        <f>IF(($E8=""),"",IF((IFERROR(VLOOKUP($I8,'Horarios disponibles por ano'!$A$4:$C$14,1,FALSE),"")=""),"no","si"))</f>
        <v/>
      </c>
      <c r="K8" s="3">
        <f>$G8&amp;"|"&amp;$F8&amp;"|"&amp;$E8</f>
        <v/>
      </c>
    </row>
    <row r="9">
      <c r="A9" s="3" t="inlineStr">
        <is>
          <t>M21</t>
        </is>
      </c>
      <c r="B9" s="3" t="inlineStr">
        <is>
          <t>MAT-2</t>
        </is>
      </c>
      <c r="C9" s="3" t="n">
        <v>18</v>
      </c>
      <c r="D9" s="3" t="inlineStr">
        <is>
          <t>Prof. Castro</t>
        </is>
      </c>
      <c r="E9" s="4" t="inlineStr">
        <is>
          <t>11 a.m.</t>
        </is>
      </c>
      <c r="F9" s="4" t="inlineStr">
        <is>
          <t>Pista 2</t>
        </is>
      </c>
      <c r="G9" s="3">
        <f>IFERROR(VLOOKUP($B9,'Anos de carrera'!$A$4:$C$9,3,FALSE),"")</f>
        <v/>
      </c>
      <c r="H9" s="3">
        <f>IFERROR(VLOOKUP($F9,Instalaciones!$A$4:$D$7,2,FALSE),0)</f>
        <v/>
      </c>
      <c r="I9" s="3">
        <f>($B9&amp;"#"&amp;$E9)</f>
        <v/>
      </c>
      <c r="J9" s="3">
        <f>IF(($E9=""),"",IF((IFERROR(VLOOKUP($I9,'Horarios disponibles por ano'!$A$4:$C$14,1,FALSE),"")=""),"no","si"))</f>
        <v/>
      </c>
      <c r="K9" s="3">
        <f>$G9&amp;"|"&amp;$F9&amp;"|"&amp;$E9</f>
        <v/>
      </c>
    </row>
    <row r="10">
      <c r="A10" s="3" t="inlineStr">
        <is>
          <t>F11</t>
        </is>
      </c>
      <c r="B10" s="3" t="inlineStr">
        <is>
          <t>FIS-1</t>
        </is>
      </c>
      <c r="C10" s="3" t="n">
        <v>15</v>
      </c>
      <c r="D10" s="3" t="inlineStr">
        <is>
          <t>Prof. Alvarez</t>
        </is>
      </c>
      <c r="E10" s="4" t="inlineStr">
        <is>
          <t>10 a.m.</t>
        </is>
      </c>
      <c r="F10" s="4" t="inlineStr">
        <is>
          <t>Piscina</t>
        </is>
      </c>
      <c r="G10" s="3">
        <f>IFERROR(VLOOKUP($B10,'Anos de carrera'!$A$4:$C$9,3,FALSE),"")</f>
        <v/>
      </c>
      <c r="H10" s="3">
        <f>IFERROR(VLOOKUP($F10,Instalaciones!$A$4:$D$7,2,FALSE),0)</f>
        <v/>
      </c>
      <c r="I10" s="3">
        <f>($B10&amp;"#"&amp;$E10)</f>
        <v/>
      </c>
      <c r="J10" s="3">
        <f>IF(($E10=""),"",IF((IFERROR(VLOOKUP($I10,'Horarios disponibles por ano'!$A$4:$C$14,1,FALSE),"")=""),"no","si"))</f>
        <v/>
      </c>
      <c r="K10" s="3">
        <f>$G10&amp;"|"&amp;$F10&amp;"|"&amp;$E10</f>
        <v/>
      </c>
    </row>
    <row r="11">
      <c r="A11" s="3" t="inlineStr">
        <is>
          <t>F21</t>
        </is>
      </c>
      <c r="B11" s="3" t="inlineStr">
        <is>
          <t>FIS-2</t>
        </is>
      </c>
      <c r="C11" s="3" t="n">
        <v>12</v>
      </c>
      <c r="D11" s="3" t="inlineStr">
        <is>
          <t>Prof. Diaz</t>
        </is>
      </c>
      <c r="E11" s="4" t="n"/>
      <c r="F11" s="4" t="n"/>
      <c r="G11" s="3">
        <f>IFERROR(VLOOKUP($B11,'Anos de carrera'!$A$4:$C$9,3,FALSE),"")</f>
        <v/>
      </c>
      <c r="H11" s="3">
        <f>IFERROR(VLOOKUP($F11,Instalaciones!$A$4:$D$7,2,FALSE),0)</f>
        <v/>
      </c>
      <c r="I11" s="3">
        <f>($B11&amp;"#"&amp;$E11)</f>
        <v/>
      </c>
      <c r="J11" s="3">
        <f>IF(($E11=""),"",IF((IFERROR(VLOOKUP($I11,'Horarios disponibles por ano'!$A$4:$C$14,1,FALSE),"")=""),"no","si"))</f>
        <v/>
      </c>
      <c r="K11" s="3">
        <f>$G11&amp;"|"&amp;$F11&amp;"|"&amp;$E11</f>
        <v/>
      </c>
    </row>
    <row r="13">
      <c r="A13" s="5" t="inlineStr">
        <is>
          <t>Leyenda</t>
        </is>
      </c>
    </row>
    <row r="14">
      <c r="A14" s="6" t="n"/>
      <c r="B14" t="inlineStr">
        <is>
          <t>sin clase</t>
        </is>
      </c>
    </row>
    <row r="15">
      <c r="A15" s="6" t="n"/>
      <c r="B15" t="inlineStr">
        <is>
          <t>horario no disponible</t>
        </is>
      </c>
    </row>
    <row r="16">
      <c r="A16" s="6" t="n"/>
      <c r="B16" t="inlineStr">
        <is>
          <t>instalacion pequena</t>
        </is>
      </c>
    </row>
    <row r="17">
      <c r="A17" s="6" t="n"/>
      <c r="B17" t="inlineStr">
        <is>
          <t>instalacion ocupada</t>
        </is>
      </c>
    </row>
    <row r="18">
      <c r="A18" s="6" t="n"/>
      <c r="B18" t="inlineStr">
        <is>
          <t>profesor en dos brigadas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E4:E11">
    <cfRule type="expression" priority="1" dxfId="0" stopIfTrue="0">
      <formula>OR(($E4=""),($F4=""))</formula>
    </cfRule>
    <cfRule type="expression" priority="3" dxfId="0" stopIfTrue="0">
      <formula>($J4="no")</formula>
    </cfRule>
    <cfRule type="expression" priority="8" dxfId="0" stopIfTrue="0">
      <formula>AND(NOT(($E4="")),(SUMPRODUCT((Brigadas!$D$4:$D$11=$D4)*(Brigadas!$E$4:$E$11=$E4)*(Brigadas!$G$4:$G$11=$G4)*(ROW(Brigadas!$A$4:$A$11)&lt;&gt;ROW($A4)))&gt;0))</formula>
    </cfRule>
  </conditionalFormatting>
  <conditionalFormatting sqref="F4:F11">
    <cfRule type="expression" priority="1" dxfId="0" stopIfTrue="0">
      <formula>OR(($E4=""),($F4=""))</formula>
    </cfRule>
    <cfRule type="expression" priority="4" dxfId="0" stopIfTrue="0">
      <formula>AND(NOT(($F4="")),($H4&lt;$C4))</formula>
    </cfRule>
    <cfRule type="expression" priority="7" dxfId="0" stopIfTrue="0">
      <formula>AND(NOT(($F4="")),NOT(($E4="")),(SUMPRODUCT((Brigadas!$F$4:$F$11=$F4)*(Brigadas!$E$4:$E$11=$E4)*(Brigadas!$G$4:$G$11=$G4)*(ROW(Brigadas!$A$4:$A$11)&lt;&gt;ROW($A4)))&gt;0))</formula>
    </cfRule>
  </conditionalFormatting>
  <conditionalFormatting sqref="C4:C11">
    <cfRule type="expression" priority="4" dxfId="0" stopIfTrue="0">
      <formula>AND(NOT(($F4="")),($H4&lt;$C4))</formula>
    </cfRule>
  </conditionalFormatting>
  <conditionalFormatting sqref="H4:H11">
    <cfRule type="expression" priority="4" dxfId="0" stopIfTrue="0">
      <formula>AND(NOT(($F4="")),($H4&lt;$C4))</formula>
    </cfRule>
  </conditionalFormatting>
  <conditionalFormatting sqref="D4:D11">
    <cfRule type="expression" priority="8" dxfId="0" stopIfTrue="0">
      <formula>AND(NOT(($E4="")),(SUMPRODUCT((Brigadas!$D$4:$D$11=$D4)*(Brigadas!$E$4:$E$11=$E4)*(Brigadas!$G$4:$G$11=$G4)*(ROW(Brigadas!$A$4:$A$11)&lt;&gt;ROW($A4)))&gt;0))</formula>
    </cfRule>
  </conditionalFormatting>
  <dataValidations count="2">
    <dataValidation sqref="E4:E11" showDropDown="0" showInputMessage="0" showErrorMessage="1" allowBlank="1" errorTitle="Valor fuera del dominio" error="Ese valor no esta en la lista." type="list" errorStyle="information">
      <formula1>"10 a.m.,11 a.m.,3 p.m."</formula1>
    </dataValidation>
    <dataValidation sqref="F4:F11" showDropDown="0" showInputMessage="0" showErrorMessage="1" allowBlank="1" errorTitle="Valor fuera del dominio" error="Ese valor no esta en la lista." type="list" errorStyle="information">
      <formula1>"Pista 1,Pista 2,Gimnasio,Piscina"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EA9DB"/>
    <outlinePr summaryBelow="1" summaryRight="1"/>
    <pageSetUpPr/>
  </sheetPr>
  <dimension ref="A1:D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36" customWidth="1" min="3" max="3"/>
    <col width="32" customWidth="1" min="4" max="4"/>
  </cols>
  <sheetData>
    <row r="1">
      <c r="A1" s="1" t="inlineStr">
        <is>
          <t>Instalaciones</t>
        </is>
      </c>
    </row>
    <row r="3">
      <c r="A3" s="2" t="inlineStr">
        <is>
          <t>Instalacion</t>
        </is>
      </c>
      <c r="B3" s="2" t="inlineStr">
        <is>
          <t>Capacidad</t>
        </is>
      </c>
      <c r="C3" s="2" t="inlineStr">
        <is>
          <t>Brigadas</t>
        </is>
      </c>
      <c r="D3" s="2" t="inlineStr">
        <is>
          <t>La que menos tiene</t>
        </is>
      </c>
    </row>
    <row r="4">
      <c r="A4" s="3" t="inlineStr">
        <is>
          <t>Pista 1</t>
        </is>
      </c>
      <c r="B4" s="3" t="n">
        <v>40</v>
      </c>
      <c r="C4" s="3">
        <f>COUNTIF(Brigadas!$F$4:$F$11,$A4)</f>
        <v/>
      </c>
      <c r="D4" s="3">
        <f>MIN(Instalaciones!$C$4:$C$7)</f>
        <v/>
      </c>
    </row>
    <row r="5">
      <c r="A5" s="3" t="inlineStr">
        <is>
          <t>Pista 2</t>
        </is>
      </c>
      <c r="B5" s="3" t="n">
        <v>30</v>
      </c>
      <c r="C5" s="3">
        <f>COUNTIF(Brigadas!$F$4:$F$11,$A5)</f>
        <v/>
      </c>
      <c r="D5" s="3">
        <f>MIN(Instalaciones!$C$4:$C$7)</f>
        <v/>
      </c>
    </row>
    <row r="6">
      <c r="A6" s="3" t="inlineStr">
        <is>
          <t>Gimnasio</t>
        </is>
      </c>
      <c r="B6" s="3" t="n">
        <v>25</v>
      </c>
      <c r="C6" s="3">
        <f>COUNTIF(Brigadas!$F$4:$F$11,$A6)</f>
        <v/>
      </c>
      <c r="D6" s="3">
        <f>MIN(Instalaciones!$C$4:$C$7)</f>
        <v/>
      </c>
    </row>
    <row r="7">
      <c r="A7" s="3" t="inlineStr">
        <is>
          <t>Piscina</t>
        </is>
      </c>
      <c r="B7" s="3" t="n">
        <v>20</v>
      </c>
      <c r="C7" s="3">
        <f>COUNTIF(Brigadas!$F$4:$F$11,$A7)</f>
        <v/>
      </c>
      <c r="D7" s="3">
        <f>MIN(Instalaciones!$C$4:$C$7)</f>
        <v/>
      </c>
    </row>
    <row r="9">
      <c r="A9" s="5" t="inlineStr">
        <is>
          <t>Leyenda</t>
        </is>
      </c>
    </row>
    <row r="10">
      <c r="A10" s="7" t="n"/>
      <c r="B10" t="inlineStr">
        <is>
          <t>instalacion desequilibrada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C4:C7">
    <cfRule type="expression" priority="1" dxfId="1" stopIfTrue="0">
      <formula>($C4&gt;($D4+1))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8EA9DB"/>
    <outlinePr summaryBelow="1" summaryRight="1"/>
    <pageSetUpPr/>
  </sheetPr>
  <dimension ref="A1:C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3" customWidth="1" min="3" max="3"/>
  </cols>
  <sheetData>
    <row r="1">
      <c r="A1" s="1" t="inlineStr">
        <is>
          <t>Anos de carrera</t>
        </is>
      </c>
    </row>
    <row r="3">
      <c r="A3" s="2" t="inlineStr">
        <is>
          <t>Ano</t>
        </is>
      </c>
      <c r="B3" s="2" t="inlineStr">
        <is>
          <t>Carrera</t>
        </is>
      </c>
      <c r="C3" s="2" t="inlineStr">
        <is>
          <t>Semana</t>
        </is>
      </c>
    </row>
    <row r="4">
      <c r="A4" s="3" t="inlineStr">
        <is>
          <t>CC-1</t>
        </is>
      </c>
      <c r="B4" s="3" t="inlineStr">
        <is>
          <t>Ciencia de la Computacion</t>
        </is>
      </c>
      <c r="C4" s="3" t="inlineStr">
        <is>
          <t>par</t>
        </is>
      </c>
    </row>
    <row r="5">
      <c r="A5" s="3" t="inlineStr">
        <is>
          <t>CC-2</t>
        </is>
      </c>
      <c r="B5" s="3" t="inlineStr">
        <is>
          <t>Ciencia de la Computacion</t>
        </is>
      </c>
      <c r="C5" s="3" t="inlineStr">
        <is>
          <t>impar</t>
        </is>
      </c>
    </row>
    <row r="6">
      <c r="A6" s="3" t="inlineStr">
        <is>
          <t>MAT-1</t>
        </is>
      </c>
      <c r="B6" s="3" t="inlineStr">
        <is>
          <t>Matematica</t>
        </is>
      </c>
      <c r="C6" s="3" t="inlineStr">
        <is>
          <t>par</t>
        </is>
      </c>
    </row>
    <row r="7">
      <c r="A7" s="3" t="inlineStr">
        <is>
          <t>MAT-2</t>
        </is>
      </c>
      <c r="B7" s="3" t="inlineStr">
        <is>
          <t>Matematica</t>
        </is>
      </c>
      <c r="C7" s="3" t="inlineStr">
        <is>
          <t>impar</t>
        </is>
      </c>
    </row>
    <row r="8">
      <c r="A8" s="3" t="inlineStr">
        <is>
          <t>FIS-1</t>
        </is>
      </c>
      <c r="B8" s="3" t="inlineStr">
        <is>
          <t>Fisica</t>
        </is>
      </c>
      <c r="C8" s="3" t="inlineStr">
        <is>
          <t>par</t>
        </is>
      </c>
    </row>
    <row r="9">
      <c r="A9" s="3" t="inlineStr">
        <is>
          <t>FIS-2</t>
        </is>
      </c>
      <c r="B9" s="3" t="inlineStr">
        <is>
          <t>Fisica</t>
        </is>
      </c>
      <c r="C9" s="3" t="inlineStr">
        <is>
          <t>par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EA9DB"/>
    <outlinePr summaryBelow="1" summaryRight="1"/>
    <pageSetUpPr/>
  </sheetPr>
  <dimension ref="A1:C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1" t="inlineStr">
        <is>
          <t>Horarios disponibles por ano</t>
        </is>
      </c>
    </row>
    <row r="3">
      <c r="A3" s="2" t="inlineStr">
        <is>
          <t>Clave</t>
        </is>
      </c>
      <c r="B3" s="2" t="inlineStr">
        <is>
          <t>Ano</t>
        </is>
      </c>
      <c r="C3" s="2" t="inlineStr">
        <is>
          <t>Horario</t>
        </is>
      </c>
    </row>
    <row r="4">
      <c r="A4" s="3" t="inlineStr">
        <is>
          <t>CC-1#10 a.m.</t>
        </is>
      </c>
      <c r="B4" s="3" t="inlineStr">
        <is>
          <t>CC-1</t>
        </is>
      </c>
      <c r="C4" s="3" t="inlineStr">
        <is>
          <t>10 a.m.</t>
        </is>
      </c>
    </row>
    <row r="5">
      <c r="A5" s="3" t="inlineStr">
        <is>
          <t>CC-1#11 a.m.</t>
        </is>
      </c>
      <c r="B5" s="3" t="inlineStr">
        <is>
          <t>CC-1</t>
        </is>
      </c>
      <c r="C5" s="3" t="inlineStr">
        <is>
          <t>11 a.m.</t>
        </is>
      </c>
    </row>
    <row r="6">
      <c r="A6" s="3" t="inlineStr">
        <is>
          <t>CC-2#11 a.m.</t>
        </is>
      </c>
      <c r="B6" s="3" t="inlineStr">
        <is>
          <t>CC-2</t>
        </is>
      </c>
      <c r="C6" s="3" t="inlineStr">
        <is>
          <t>11 a.m.</t>
        </is>
      </c>
    </row>
    <row r="7">
      <c r="A7" s="3" t="inlineStr">
        <is>
          <t>CC-2#3 p.m.</t>
        </is>
      </c>
      <c r="B7" s="3" t="inlineStr">
        <is>
          <t>CC-2</t>
        </is>
      </c>
      <c r="C7" s="3" t="inlineStr">
        <is>
          <t>3 p.m.</t>
        </is>
      </c>
    </row>
    <row r="8">
      <c r="A8" s="3" t="inlineStr">
        <is>
          <t>MAT-1#10 a.m.</t>
        </is>
      </c>
      <c r="B8" s="3" t="inlineStr">
        <is>
          <t>MAT-1</t>
        </is>
      </c>
      <c r="C8" s="3" t="inlineStr">
        <is>
          <t>10 a.m.</t>
        </is>
      </c>
    </row>
    <row r="9">
      <c r="A9" s="3" t="inlineStr">
        <is>
          <t>MAT-2#10 a.m.</t>
        </is>
      </c>
      <c r="B9" s="3" t="inlineStr">
        <is>
          <t>MAT-2</t>
        </is>
      </c>
      <c r="C9" s="3" t="inlineStr">
        <is>
          <t>10 a.m.</t>
        </is>
      </c>
    </row>
    <row r="10">
      <c r="A10" s="3" t="inlineStr">
        <is>
          <t>MAT-2#11 a.m.</t>
        </is>
      </c>
      <c r="B10" s="3" t="inlineStr">
        <is>
          <t>MAT-2</t>
        </is>
      </c>
      <c r="C10" s="3" t="inlineStr">
        <is>
          <t>11 a.m.</t>
        </is>
      </c>
    </row>
    <row r="11">
      <c r="A11" s="3" t="inlineStr">
        <is>
          <t>MAT-2#3 p.m.</t>
        </is>
      </c>
      <c r="B11" s="3" t="inlineStr">
        <is>
          <t>MAT-2</t>
        </is>
      </c>
      <c r="C11" s="3" t="inlineStr">
        <is>
          <t>3 p.m.</t>
        </is>
      </c>
    </row>
    <row r="12">
      <c r="A12" s="3" t="inlineStr">
        <is>
          <t>FIS-1#11 a.m.</t>
        </is>
      </c>
      <c r="B12" s="3" t="inlineStr">
        <is>
          <t>FIS-1</t>
        </is>
      </c>
      <c r="C12" s="3" t="inlineStr">
        <is>
          <t>11 a.m.</t>
        </is>
      </c>
    </row>
    <row r="13">
      <c r="A13" s="3" t="inlineStr">
        <is>
          <t>FIS-1#3 p.m.</t>
        </is>
      </c>
      <c r="B13" s="3" t="inlineStr">
        <is>
          <t>FIS-1</t>
        </is>
      </c>
      <c r="C13" s="3" t="inlineStr">
        <is>
          <t>3 p.m.</t>
        </is>
      </c>
    </row>
    <row r="14">
      <c r="A14" s="3" t="inlineStr">
        <is>
          <t>FIS-2#3 p.m.</t>
        </is>
      </c>
      <c r="B14" s="3" t="inlineStr">
        <is>
          <t>FIS-2</t>
        </is>
      </c>
      <c r="C14" s="3" t="inlineStr">
        <is>
          <t>3 p.m.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EA9DB"/>
    <outlinePr summaryBelow="1" summaryRight="1"/>
    <pageSetUpPr/>
  </sheetPr>
  <dimension ref="A1:D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42" customWidth="1" min="3" max="3"/>
    <col width="25" customWidth="1" min="4" max="4"/>
  </cols>
  <sheetData>
    <row r="1">
      <c r="A1" s="1" t="inlineStr">
        <is>
          <t>Franja</t>
        </is>
      </c>
    </row>
    <row r="3">
      <c r="A3" s="2" t="inlineStr">
        <is>
          <t>Semana</t>
        </is>
      </c>
      <c r="B3" s="2" t="inlineStr">
        <is>
          <t>Horario</t>
        </is>
      </c>
      <c r="C3" s="2" t="inlineStr">
        <is>
          <t>Brigadas</t>
        </is>
      </c>
      <c r="D3" s="2" t="inlineStr">
        <is>
          <t>La que menos tiene</t>
        </is>
      </c>
    </row>
    <row r="4">
      <c r="A4" s="3" t="inlineStr">
        <is>
          <t>par</t>
        </is>
      </c>
      <c r="B4" s="3" t="inlineStr">
        <is>
          <t>10 a.m.</t>
        </is>
      </c>
      <c r="C4" s="3">
        <f>COUNTIFS(Brigadas!$G$4:$G$11,$A4,Brigadas!$E$4:$E$11,$B4)</f>
        <v/>
      </c>
      <c r="D4" s="3">
        <f>MIN(Franja!$C$4:$C$9)</f>
        <v/>
      </c>
    </row>
    <row r="5">
      <c r="A5" s="3" t="inlineStr">
        <is>
          <t>par</t>
        </is>
      </c>
      <c r="B5" s="3" t="inlineStr">
        <is>
          <t>11 a.m.</t>
        </is>
      </c>
      <c r="C5" s="3">
        <f>COUNTIFS(Brigadas!$G$4:$G$11,$A5,Brigadas!$E$4:$E$11,$B5)</f>
        <v/>
      </c>
      <c r="D5" s="3">
        <f>MIN(Franja!$C$4:$C$9)</f>
        <v/>
      </c>
    </row>
    <row r="6">
      <c r="A6" s="3" t="inlineStr">
        <is>
          <t>par</t>
        </is>
      </c>
      <c r="B6" s="3" t="inlineStr">
        <is>
          <t>3 p.m.</t>
        </is>
      </c>
      <c r="C6" s="3">
        <f>COUNTIFS(Brigadas!$G$4:$G$11,$A6,Brigadas!$E$4:$E$11,$B6)</f>
        <v/>
      </c>
      <c r="D6" s="3">
        <f>MIN(Franja!$C$4:$C$9)</f>
        <v/>
      </c>
    </row>
    <row r="7">
      <c r="A7" s="3" t="inlineStr">
        <is>
          <t>impar</t>
        </is>
      </c>
      <c r="B7" s="3" t="inlineStr">
        <is>
          <t>10 a.m.</t>
        </is>
      </c>
      <c r="C7" s="3">
        <f>COUNTIFS(Brigadas!$G$4:$G$11,$A7,Brigadas!$E$4:$E$11,$B7)</f>
        <v/>
      </c>
      <c r="D7" s="3">
        <f>MIN(Franja!$C$4:$C$9)</f>
        <v/>
      </c>
    </row>
    <row r="8">
      <c r="A8" s="3" t="inlineStr">
        <is>
          <t>impar</t>
        </is>
      </c>
      <c r="B8" s="3" t="inlineStr">
        <is>
          <t>11 a.m.</t>
        </is>
      </c>
      <c r="C8" s="3">
        <f>COUNTIFS(Brigadas!$G$4:$G$11,$A8,Brigadas!$E$4:$E$11,$B8)</f>
        <v/>
      </c>
      <c r="D8" s="3">
        <f>MIN(Franja!$C$4:$C$9)</f>
        <v/>
      </c>
    </row>
    <row r="9">
      <c r="A9" s="3" t="inlineStr">
        <is>
          <t>impar</t>
        </is>
      </c>
      <c r="B9" s="3" t="inlineStr">
        <is>
          <t>3 p.m.</t>
        </is>
      </c>
      <c r="C9" s="3">
        <f>COUNTIFS(Brigadas!$G$4:$G$11,$A9,Brigadas!$E$4:$E$11,$B9)</f>
        <v/>
      </c>
      <c r="D9" s="3">
        <f>MIN(Franja!$C$4:$C$9)</f>
        <v/>
      </c>
    </row>
    <row r="11">
      <c r="A11" s="5" t="inlineStr">
        <is>
          <t>Leyenda</t>
        </is>
      </c>
    </row>
    <row r="12">
      <c r="A12" s="7" t="n"/>
      <c r="B12" t="inlineStr">
        <is>
          <t>horario desequilibrado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/>
  <conditionalFormatting sqref="C4:C9">
    <cfRule type="expression" priority="1" dxfId="1" stopIfTrue="0">
      <formula>($C4&gt;($D4+1))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2026-10-07T12:16:13Z</dcterms:created>
  <dcterms:modified xmlns:dcterms="http://purl.org/dc/terms/" xmlns:xsi="http://www.w3.org/2001/XMLSchema-instance" xsi:type="dcterms:W3CDTF">2026-10-07T12:16:13Z</dcterms:modified>
</cp:coreProperties>
</file>