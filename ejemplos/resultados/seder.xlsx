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I - par" sheetId="1" state="visible" r:id="rId1"/>
    <sheet xmlns:r="http://schemas.openxmlformats.org/officeDocument/2006/relationships" name="OI - impar" sheetId="2" state="visible" r:id="rId2"/>
    <sheet xmlns:r="http://schemas.openxmlformats.org/officeDocument/2006/relationships" name="HP - Prof. Alvarez" sheetId="3" state="visible" r:id="rId3"/>
    <sheet xmlns:r="http://schemas.openxmlformats.org/officeDocument/2006/relationships" name="HP - Prof. Benitez" sheetId="4" state="visible" r:id="rId4"/>
    <sheet xmlns:r="http://schemas.openxmlformats.org/officeDocument/2006/relationships" name="HP - Prof. Castro" sheetId="5" state="visible" r:id="rId5"/>
    <sheet xmlns:r="http://schemas.openxmlformats.org/officeDocument/2006/relationships" name="HP - Prof. Diaz" sheetId="6" state="visible" r:id="rId6"/>
    <sheet xmlns:r="http://schemas.openxmlformats.org/officeDocument/2006/relationships" name="Reparto de brigadas" sheetId="7" state="visible" r:id="rId7"/>
    <sheet xmlns:r="http://schemas.openxmlformats.org/officeDocument/2006/relationships" name="Instalaciones" sheetId="8" state="visible" r:id="rId8"/>
    <sheet xmlns:r="http://schemas.openxmlformats.org/officeDocument/2006/relationships" name="Anos de carrera" sheetId="9" state="visible" r:id="rId9"/>
    <sheet xmlns:r="http://schemas.openxmlformats.org/officeDocument/2006/relationships" name="Horarios disponibles por ano" sheetId="10" state="visible" r:id="rId10"/>
    <sheet xmlns:r="http://schemas.openxmlformats.org/officeDocument/2006/relationships" name="Brigadas por horario" sheetId="11" state="visible" r:id="rId11"/>
    <sheet xmlns:r="http://schemas.openxmlformats.org/officeDocument/2006/relationships" name="Listas" sheetId="12" state="hidden" r:id="rId12"/>
  </sheets>
  <definedNames>
    <definedName name="Brigadas">'Reparto de brigadas'!$A$4:$J$11</definedName>
    <definedName name="Instalaciones">'Instalaciones'!$A$4:$D$7</definedName>
    <definedName name="Anos">'Anos de carrera'!$A$4:$C$9</definedName>
    <definedName name="Disponibles">'Horarios disponibles por ano'!$A$4:$C$14</definedName>
    <definedName name="Franja">'Brigadas por horario'!$A$4:$D$9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9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F4B183"/>
      </patternFill>
    </fill>
    <fill>
      <patternFill patternType="solid">
        <fgColor rgb="00F8CBAD"/>
      </patternFill>
    </fill>
    <fill>
      <patternFill patternType="solid">
        <fgColor rgb="00E6B8B7"/>
      </patternFill>
    </fill>
    <fill>
      <patternFill patternType="solid">
        <fgColor rgb="00FF9999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7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6B8B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D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8" customWidth="1" min="4" max="4"/>
  </cols>
  <sheetData>
    <row r="1">
      <c r="A1" s="1" t="inlineStr">
        <is>
          <t>Ocupacion de instalaciones - par</t>
        </is>
      </c>
    </row>
    <row r="3">
      <c r="A3" s="2" t="inlineStr">
        <is>
          <t>Instalacion</t>
        </is>
      </c>
      <c r="B3" s="2" t="inlineStr">
        <is>
          <t>10 a.m.</t>
        </is>
      </c>
      <c r="C3" s="2" t="inlineStr">
        <is>
          <t>11 a.m.</t>
        </is>
      </c>
      <c r="D3" s="2" t="inlineStr">
        <is>
          <t>3 p.m.</t>
        </is>
      </c>
    </row>
    <row r="4">
      <c r="A4" s="3" t="inlineStr">
        <is>
          <t>Pista 1</t>
        </is>
      </c>
      <c r="B4" s="3">
        <f>IF(SUMPRODUCT(1*EXACT('Reparto de brigadas'!$M$4:$M$11,"par"&amp;CHAR(31)&amp;$A4&amp;CHAR(31)&amp;B$3))&gt;1,IF(ISNA(MATCH(1,INDEX(EXACT('Reparto de brigadas'!$M$4:$M$11,"par"&amp;CHAR(31)&amp;$A4&amp;CHAR(31)&amp;B$3)*1,0),0)),"",IF(ISBLANK(INDEX('Reparto de brigadas'!$A$4:$A$11,MATCH(1,INDEX(EXACT('Reparto de brigadas'!$M$4:$M$11,"par"&amp;CHAR(31)&amp;$A4&amp;CHAR(31)&amp;B$3)*1,0),0))),"",INDEX('Reparto de brigadas'!$A$4:$A$11,MATCH(1,INDEX(EXACT('Reparto de brigadas'!$M$4:$M$11,"par"&amp;CHAR(31)&amp;$A4&amp;CHAR(31)&amp;B$3)*1,0),0))))&amp;" (+"&amp;(SUMPRODUCT(1*EXACT('Reparto de brigadas'!$M$4:$M$11,"par"&amp;CHAR(31)&amp;$A4&amp;CHAR(31)&amp;B$3))-1)&amp;")",IF(ISNA(MATCH(1,INDEX(EXACT('Reparto de brigadas'!$M$4:$M$11,"par"&amp;CHAR(31)&amp;$A4&amp;CHAR(31)&amp;B$3)*1,0),0)),"",IF(ISBLANK(INDEX('Reparto de brigadas'!$A$4:$A$11,MATCH(1,INDEX(EXACT('Reparto de brigadas'!$M$4:$M$11,"par"&amp;CHAR(31)&amp;$A4&amp;CHAR(31)&amp;B$3)*1,0),0))),"",INDEX('Reparto de brigadas'!$A$4:$A$11,MATCH(1,INDEX(EXACT('Reparto de brigadas'!$M$4:$M$11,"par"&amp;CHAR(31)&amp;$A4&amp;CHAR(31)&amp;B$3)*1,0),0)))))</f>
        <v/>
      </c>
      <c r="C4" s="3">
        <f>IF(SUMPRODUCT(1*EXACT('Reparto de brigadas'!$M$4:$M$11,"par"&amp;CHAR(31)&amp;$A4&amp;CHAR(31)&amp;C$3))&gt;1,IF(ISNA(MATCH(1,INDEX(EXACT('Reparto de brigadas'!$M$4:$M$11,"par"&amp;CHAR(31)&amp;$A4&amp;CHAR(31)&amp;C$3)*1,0),0)),"",IF(ISBLANK(INDEX('Reparto de brigadas'!$A$4:$A$11,MATCH(1,INDEX(EXACT('Reparto de brigadas'!$M$4:$M$11,"par"&amp;CHAR(31)&amp;$A4&amp;CHAR(31)&amp;C$3)*1,0),0))),"",INDEX('Reparto de brigadas'!$A$4:$A$11,MATCH(1,INDEX(EXACT('Reparto de brigadas'!$M$4:$M$11,"par"&amp;CHAR(31)&amp;$A4&amp;CHAR(31)&amp;C$3)*1,0),0))))&amp;" (+"&amp;(SUMPRODUCT(1*EXACT('Reparto de brigadas'!$M$4:$M$11,"par"&amp;CHAR(31)&amp;$A4&amp;CHAR(31)&amp;C$3))-1)&amp;")",IF(ISNA(MATCH(1,INDEX(EXACT('Reparto de brigadas'!$M$4:$M$11,"par"&amp;CHAR(31)&amp;$A4&amp;CHAR(31)&amp;C$3)*1,0),0)),"",IF(ISBLANK(INDEX('Reparto de brigadas'!$A$4:$A$11,MATCH(1,INDEX(EXACT('Reparto de brigadas'!$M$4:$M$11,"par"&amp;CHAR(31)&amp;$A4&amp;CHAR(31)&amp;C$3)*1,0),0))),"",INDEX('Reparto de brigadas'!$A$4:$A$11,MATCH(1,INDEX(EXACT('Reparto de brigadas'!$M$4:$M$11,"par"&amp;CHAR(31)&amp;$A4&amp;CHAR(31)&amp;C$3)*1,0),0)))))</f>
        <v/>
      </c>
      <c r="D4" s="3">
        <f>IF(SUMPRODUCT(1*EXACT('Reparto de brigadas'!$M$4:$M$11,"par"&amp;CHAR(31)&amp;$A4&amp;CHAR(31)&amp;D$3))&gt;1,IF(ISNA(MATCH(1,INDEX(EXACT('Reparto de brigadas'!$M$4:$M$11,"par"&amp;CHAR(31)&amp;$A4&amp;CHAR(31)&amp;D$3)*1,0),0)),"",IF(ISBLANK(INDEX('Reparto de brigadas'!$A$4:$A$11,MATCH(1,INDEX(EXACT('Reparto de brigadas'!$M$4:$M$11,"par"&amp;CHAR(31)&amp;$A4&amp;CHAR(31)&amp;D$3)*1,0),0))),"",INDEX('Reparto de brigadas'!$A$4:$A$11,MATCH(1,INDEX(EXACT('Reparto de brigadas'!$M$4:$M$11,"par"&amp;CHAR(31)&amp;$A4&amp;CHAR(31)&amp;D$3)*1,0),0))))&amp;" (+"&amp;(SUMPRODUCT(1*EXACT('Reparto de brigadas'!$M$4:$M$11,"par"&amp;CHAR(31)&amp;$A4&amp;CHAR(31)&amp;D$3))-1)&amp;")",IF(ISNA(MATCH(1,INDEX(EXACT('Reparto de brigadas'!$M$4:$M$11,"par"&amp;CHAR(31)&amp;$A4&amp;CHAR(31)&amp;D$3)*1,0),0)),"",IF(ISBLANK(INDEX('Reparto de brigadas'!$A$4:$A$11,MATCH(1,INDEX(EXACT('Reparto de brigadas'!$M$4:$M$11,"par"&amp;CHAR(31)&amp;$A4&amp;CHAR(31)&amp;D$3)*1,0),0))),"",INDEX('Reparto de brigadas'!$A$4:$A$11,MATCH(1,INDEX(EXACT('Reparto de brigadas'!$M$4:$M$11,"par"&amp;CHAR(31)&amp;$A4&amp;CHAR(31)&amp;D$3)*1,0),0)))))</f>
        <v/>
      </c>
    </row>
    <row r="5">
      <c r="A5" s="3" t="inlineStr">
        <is>
          <t>Pista 2</t>
        </is>
      </c>
      <c r="B5" s="3">
        <f>IF(SUMPRODUCT(1*EXACT('Reparto de brigadas'!$M$4:$M$11,"par"&amp;CHAR(31)&amp;$A5&amp;CHAR(31)&amp;B$3))&gt;1,IF(ISNA(MATCH(1,INDEX(EXACT('Reparto de brigadas'!$M$4:$M$11,"par"&amp;CHAR(31)&amp;$A5&amp;CHAR(31)&amp;B$3)*1,0),0)),"",IF(ISBLANK(INDEX('Reparto de brigadas'!$A$4:$A$11,MATCH(1,INDEX(EXACT('Reparto de brigadas'!$M$4:$M$11,"par"&amp;CHAR(31)&amp;$A5&amp;CHAR(31)&amp;B$3)*1,0),0))),"",INDEX('Reparto de brigadas'!$A$4:$A$11,MATCH(1,INDEX(EXACT('Reparto de brigadas'!$M$4:$M$11,"par"&amp;CHAR(31)&amp;$A5&amp;CHAR(31)&amp;B$3)*1,0),0))))&amp;" (+"&amp;(SUMPRODUCT(1*EXACT('Reparto de brigadas'!$M$4:$M$11,"par"&amp;CHAR(31)&amp;$A5&amp;CHAR(31)&amp;B$3))-1)&amp;")",IF(ISNA(MATCH(1,INDEX(EXACT('Reparto de brigadas'!$M$4:$M$11,"par"&amp;CHAR(31)&amp;$A5&amp;CHAR(31)&amp;B$3)*1,0),0)),"",IF(ISBLANK(INDEX('Reparto de brigadas'!$A$4:$A$11,MATCH(1,INDEX(EXACT('Reparto de brigadas'!$M$4:$M$11,"par"&amp;CHAR(31)&amp;$A5&amp;CHAR(31)&amp;B$3)*1,0),0))),"",INDEX('Reparto de brigadas'!$A$4:$A$11,MATCH(1,INDEX(EXACT('Reparto de brigadas'!$M$4:$M$11,"par"&amp;CHAR(31)&amp;$A5&amp;CHAR(31)&amp;B$3)*1,0),0)))))</f>
        <v/>
      </c>
      <c r="C5" s="3">
        <f>IF(SUMPRODUCT(1*EXACT('Reparto de brigadas'!$M$4:$M$11,"par"&amp;CHAR(31)&amp;$A5&amp;CHAR(31)&amp;C$3))&gt;1,IF(ISNA(MATCH(1,INDEX(EXACT('Reparto de brigadas'!$M$4:$M$11,"par"&amp;CHAR(31)&amp;$A5&amp;CHAR(31)&amp;C$3)*1,0),0)),"",IF(ISBLANK(INDEX('Reparto de brigadas'!$A$4:$A$11,MATCH(1,INDEX(EXACT('Reparto de brigadas'!$M$4:$M$11,"par"&amp;CHAR(31)&amp;$A5&amp;CHAR(31)&amp;C$3)*1,0),0))),"",INDEX('Reparto de brigadas'!$A$4:$A$11,MATCH(1,INDEX(EXACT('Reparto de brigadas'!$M$4:$M$11,"par"&amp;CHAR(31)&amp;$A5&amp;CHAR(31)&amp;C$3)*1,0),0))))&amp;" (+"&amp;(SUMPRODUCT(1*EXACT('Reparto de brigadas'!$M$4:$M$11,"par"&amp;CHAR(31)&amp;$A5&amp;CHAR(31)&amp;C$3))-1)&amp;")",IF(ISNA(MATCH(1,INDEX(EXACT('Reparto de brigadas'!$M$4:$M$11,"par"&amp;CHAR(31)&amp;$A5&amp;CHAR(31)&amp;C$3)*1,0),0)),"",IF(ISBLANK(INDEX('Reparto de brigadas'!$A$4:$A$11,MATCH(1,INDEX(EXACT('Reparto de brigadas'!$M$4:$M$11,"par"&amp;CHAR(31)&amp;$A5&amp;CHAR(31)&amp;C$3)*1,0),0))),"",INDEX('Reparto de brigadas'!$A$4:$A$11,MATCH(1,INDEX(EXACT('Reparto de brigadas'!$M$4:$M$11,"par"&amp;CHAR(31)&amp;$A5&amp;CHAR(31)&amp;C$3)*1,0),0)))))</f>
        <v/>
      </c>
      <c r="D5" s="3">
        <f>IF(SUMPRODUCT(1*EXACT('Reparto de brigadas'!$M$4:$M$11,"par"&amp;CHAR(31)&amp;$A5&amp;CHAR(31)&amp;D$3))&gt;1,IF(ISNA(MATCH(1,INDEX(EXACT('Reparto de brigadas'!$M$4:$M$11,"par"&amp;CHAR(31)&amp;$A5&amp;CHAR(31)&amp;D$3)*1,0),0)),"",IF(ISBLANK(INDEX('Reparto de brigadas'!$A$4:$A$11,MATCH(1,INDEX(EXACT('Reparto de brigadas'!$M$4:$M$11,"par"&amp;CHAR(31)&amp;$A5&amp;CHAR(31)&amp;D$3)*1,0),0))),"",INDEX('Reparto de brigadas'!$A$4:$A$11,MATCH(1,INDEX(EXACT('Reparto de brigadas'!$M$4:$M$11,"par"&amp;CHAR(31)&amp;$A5&amp;CHAR(31)&amp;D$3)*1,0),0))))&amp;" (+"&amp;(SUMPRODUCT(1*EXACT('Reparto de brigadas'!$M$4:$M$11,"par"&amp;CHAR(31)&amp;$A5&amp;CHAR(31)&amp;D$3))-1)&amp;")",IF(ISNA(MATCH(1,INDEX(EXACT('Reparto de brigadas'!$M$4:$M$11,"par"&amp;CHAR(31)&amp;$A5&amp;CHAR(31)&amp;D$3)*1,0),0)),"",IF(ISBLANK(INDEX('Reparto de brigadas'!$A$4:$A$11,MATCH(1,INDEX(EXACT('Reparto de brigadas'!$M$4:$M$11,"par"&amp;CHAR(31)&amp;$A5&amp;CHAR(31)&amp;D$3)*1,0),0))),"",INDEX('Reparto de brigadas'!$A$4:$A$11,MATCH(1,INDEX(EXACT('Reparto de brigadas'!$M$4:$M$11,"par"&amp;CHAR(31)&amp;$A5&amp;CHAR(31)&amp;D$3)*1,0),0)))))</f>
        <v/>
      </c>
    </row>
    <row r="6">
      <c r="A6" s="3" t="inlineStr">
        <is>
          <t>Gimnasio</t>
        </is>
      </c>
      <c r="B6" s="3">
        <f>IF(SUMPRODUCT(1*EXACT('Reparto de brigadas'!$M$4:$M$11,"par"&amp;CHAR(31)&amp;$A6&amp;CHAR(31)&amp;B$3))&gt;1,IF(ISNA(MATCH(1,INDEX(EXACT('Reparto de brigadas'!$M$4:$M$11,"par"&amp;CHAR(31)&amp;$A6&amp;CHAR(31)&amp;B$3)*1,0),0)),"",IF(ISBLANK(INDEX('Reparto de brigadas'!$A$4:$A$11,MATCH(1,INDEX(EXACT('Reparto de brigadas'!$M$4:$M$11,"par"&amp;CHAR(31)&amp;$A6&amp;CHAR(31)&amp;B$3)*1,0),0))),"",INDEX('Reparto de brigadas'!$A$4:$A$11,MATCH(1,INDEX(EXACT('Reparto de brigadas'!$M$4:$M$11,"par"&amp;CHAR(31)&amp;$A6&amp;CHAR(31)&amp;B$3)*1,0),0))))&amp;" (+"&amp;(SUMPRODUCT(1*EXACT('Reparto de brigadas'!$M$4:$M$11,"par"&amp;CHAR(31)&amp;$A6&amp;CHAR(31)&amp;B$3))-1)&amp;")",IF(ISNA(MATCH(1,INDEX(EXACT('Reparto de brigadas'!$M$4:$M$11,"par"&amp;CHAR(31)&amp;$A6&amp;CHAR(31)&amp;B$3)*1,0),0)),"",IF(ISBLANK(INDEX('Reparto de brigadas'!$A$4:$A$11,MATCH(1,INDEX(EXACT('Reparto de brigadas'!$M$4:$M$11,"par"&amp;CHAR(31)&amp;$A6&amp;CHAR(31)&amp;B$3)*1,0),0))),"",INDEX('Reparto de brigadas'!$A$4:$A$11,MATCH(1,INDEX(EXACT('Reparto de brigadas'!$M$4:$M$11,"par"&amp;CHAR(31)&amp;$A6&amp;CHAR(31)&amp;B$3)*1,0),0)))))</f>
        <v/>
      </c>
      <c r="C6" s="3">
        <f>IF(SUMPRODUCT(1*EXACT('Reparto de brigadas'!$M$4:$M$11,"par"&amp;CHAR(31)&amp;$A6&amp;CHAR(31)&amp;C$3))&gt;1,IF(ISNA(MATCH(1,INDEX(EXACT('Reparto de brigadas'!$M$4:$M$11,"par"&amp;CHAR(31)&amp;$A6&amp;CHAR(31)&amp;C$3)*1,0),0)),"",IF(ISBLANK(INDEX('Reparto de brigadas'!$A$4:$A$11,MATCH(1,INDEX(EXACT('Reparto de brigadas'!$M$4:$M$11,"par"&amp;CHAR(31)&amp;$A6&amp;CHAR(31)&amp;C$3)*1,0),0))),"",INDEX('Reparto de brigadas'!$A$4:$A$11,MATCH(1,INDEX(EXACT('Reparto de brigadas'!$M$4:$M$11,"par"&amp;CHAR(31)&amp;$A6&amp;CHAR(31)&amp;C$3)*1,0),0))))&amp;" (+"&amp;(SUMPRODUCT(1*EXACT('Reparto de brigadas'!$M$4:$M$11,"par"&amp;CHAR(31)&amp;$A6&amp;CHAR(31)&amp;C$3))-1)&amp;")",IF(ISNA(MATCH(1,INDEX(EXACT('Reparto de brigadas'!$M$4:$M$11,"par"&amp;CHAR(31)&amp;$A6&amp;CHAR(31)&amp;C$3)*1,0),0)),"",IF(ISBLANK(INDEX('Reparto de brigadas'!$A$4:$A$11,MATCH(1,INDEX(EXACT('Reparto de brigadas'!$M$4:$M$11,"par"&amp;CHAR(31)&amp;$A6&amp;CHAR(31)&amp;C$3)*1,0),0))),"",INDEX('Reparto de brigadas'!$A$4:$A$11,MATCH(1,INDEX(EXACT('Reparto de brigadas'!$M$4:$M$11,"par"&amp;CHAR(31)&amp;$A6&amp;CHAR(31)&amp;C$3)*1,0),0)))))</f>
        <v/>
      </c>
      <c r="D6" s="3">
        <f>IF(SUMPRODUCT(1*EXACT('Reparto de brigadas'!$M$4:$M$11,"par"&amp;CHAR(31)&amp;$A6&amp;CHAR(31)&amp;D$3))&gt;1,IF(ISNA(MATCH(1,INDEX(EXACT('Reparto de brigadas'!$M$4:$M$11,"par"&amp;CHAR(31)&amp;$A6&amp;CHAR(31)&amp;D$3)*1,0),0)),"",IF(ISBLANK(INDEX('Reparto de brigadas'!$A$4:$A$11,MATCH(1,INDEX(EXACT('Reparto de brigadas'!$M$4:$M$11,"par"&amp;CHAR(31)&amp;$A6&amp;CHAR(31)&amp;D$3)*1,0),0))),"",INDEX('Reparto de brigadas'!$A$4:$A$11,MATCH(1,INDEX(EXACT('Reparto de brigadas'!$M$4:$M$11,"par"&amp;CHAR(31)&amp;$A6&amp;CHAR(31)&amp;D$3)*1,0),0))))&amp;" (+"&amp;(SUMPRODUCT(1*EXACT('Reparto de brigadas'!$M$4:$M$11,"par"&amp;CHAR(31)&amp;$A6&amp;CHAR(31)&amp;D$3))-1)&amp;")",IF(ISNA(MATCH(1,INDEX(EXACT('Reparto de brigadas'!$M$4:$M$11,"par"&amp;CHAR(31)&amp;$A6&amp;CHAR(31)&amp;D$3)*1,0),0)),"",IF(ISBLANK(INDEX('Reparto de brigadas'!$A$4:$A$11,MATCH(1,INDEX(EXACT('Reparto de brigadas'!$M$4:$M$11,"par"&amp;CHAR(31)&amp;$A6&amp;CHAR(31)&amp;D$3)*1,0),0))),"",INDEX('Reparto de brigadas'!$A$4:$A$11,MATCH(1,INDEX(EXACT('Reparto de brigadas'!$M$4:$M$11,"par"&amp;CHAR(31)&amp;$A6&amp;CHAR(31)&amp;D$3)*1,0),0)))))</f>
        <v/>
      </c>
    </row>
    <row r="7">
      <c r="A7" s="3" t="inlineStr">
        <is>
          <t>Piscina</t>
        </is>
      </c>
      <c r="B7" s="3">
        <f>IF(SUMPRODUCT(1*EXACT('Reparto de brigadas'!$M$4:$M$11,"par"&amp;CHAR(31)&amp;$A7&amp;CHAR(31)&amp;B$3))&gt;1,IF(ISNA(MATCH(1,INDEX(EXACT('Reparto de brigadas'!$M$4:$M$11,"par"&amp;CHAR(31)&amp;$A7&amp;CHAR(31)&amp;B$3)*1,0),0)),"",IF(ISBLANK(INDEX('Reparto de brigadas'!$A$4:$A$11,MATCH(1,INDEX(EXACT('Reparto de brigadas'!$M$4:$M$11,"par"&amp;CHAR(31)&amp;$A7&amp;CHAR(31)&amp;B$3)*1,0),0))),"",INDEX('Reparto de brigadas'!$A$4:$A$11,MATCH(1,INDEX(EXACT('Reparto de brigadas'!$M$4:$M$11,"par"&amp;CHAR(31)&amp;$A7&amp;CHAR(31)&amp;B$3)*1,0),0))))&amp;" (+"&amp;(SUMPRODUCT(1*EXACT('Reparto de brigadas'!$M$4:$M$11,"par"&amp;CHAR(31)&amp;$A7&amp;CHAR(31)&amp;B$3))-1)&amp;")",IF(ISNA(MATCH(1,INDEX(EXACT('Reparto de brigadas'!$M$4:$M$11,"par"&amp;CHAR(31)&amp;$A7&amp;CHAR(31)&amp;B$3)*1,0),0)),"",IF(ISBLANK(INDEX('Reparto de brigadas'!$A$4:$A$11,MATCH(1,INDEX(EXACT('Reparto de brigadas'!$M$4:$M$11,"par"&amp;CHAR(31)&amp;$A7&amp;CHAR(31)&amp;B$3)*1,0),0))),"",INDEX('Reparto de brigadas'!$A$4:$A$11,MATCH(1,INDEX(EXACT('Reparto de brigadas'!$M$4:$M$11,"par"&amp;CHAR(31)&amp;$A7&amp;CHAR(31)&amp;B$3)*1,0),0)))))</f>
        <v/>
      </c>
      <c r="C7" s="3">
        <f>IF(SUMPRODUCT(1*EXACT('Reparto de brigadas'!$M$4:$M$11,"par"&amp;CHAR(31)&amp;$A7&amp;CHAR(31)&amp;C$3))&gt;1,IF(ISNA(MATCH(1,INDEX(EXACT('Reparto de brigadas'!$M$4:$M$11,"par"&amp;CHAR(31)&amp;$A7&amp;CHAR(31)&amp;C$3)*1,0),0)),"",IF(ISBLANK(INDEX('Reparto de brigadas'!$A$4:$A$11,MATCH(1,INDEX(EXACT('Reparto de brigadas'!$M$4:$M$11,"par"&amp;CHAR(31)&amp;$A7&amp;CHAR(31)&amp;C$3)*1,0),0))),"",INDEX('Reparto de brigadas'!$A$4:$A$11,MATCH(1,INDEX(EXACT('Reparto de brigadas'!$M$4:$M$11,"par"&amp;CHAR(31)&amp;$A7&amp;CHAR(31)&amp;C$3)*1,0),0))))&amp;" (+"&amp;(SUMPRODUCT(1*EXACT('Reparto de brigadas'!$M$4:$M$11,"par"&amp;CHAR(31)&amp;$A7&amp;CHAR(31)&amp;C$3))-1)&amp;")",IF(ISNA(MATCH(1,INDEX(EXACT('Reparto de brigadas'!$M$4:$M$11,"par"&amp;CHAR(31)&amp;$A7&amp;CHAR(31)&amp;C$3)*1,0),0)),"",IF(ISBLANK(INDEX('Reparto de brigadas'!$A$4:$A$11,MATCH(1,INDEX(EXACT('Reparto de brigadas'!$M$4:$M$11,"par"&amp;CHAR(31)&amp;$A7&amp;CHAR(31)&amp;C$3)*1,0),0))),"",INDEX('Reparto de brigadas'!$A$4:$A$11,MATCH(1,INDEX(EXACT('Reparto de brigadas'!$M$4:$M$11,"par"&amp;CHAR(31)&amp;$A7&amp;CHAR(31)&amp;C$3)*1,0),0)))))</f>
        <v/>
      </c>
      <c r="D7" s="3">
        <f>IF(SUMPRODUCT(1*EXACT('Reparto de brigadas'!$M$4:$M$11,"par"&amp;CHAR(31)&amp;$A7&amp;CHAR(31)&amp;D$3))&gt;1,IF(ISNA(MATCH(1,INDEX(EXACT('Reparto de brigadas'!$M$4:$M$11,"par"&amp;CHAR(31)&amp;$A7&amp;CHAR(31)&amp;D$3)*1,0),0)),"",IF(ISBLANK(INDEX('Reparto de brigadas'!$A$4:$A$11,MATCH(1,INDEX(EXACT('Reparto de brigadas'!$M$4:$M$11,"par"&amp;CHAR(31)&amp;$A7&amp;CHAR(31)&amp;D$3)*1,0),0))),"",INDEX('Reparto de brigadas'!$A$4:$A$11,MATCH(1,INDEX(EXACT('Reparto de brigadas'!$M$4:$M$11,"par"&amp;CHAR(31)&amp;$A7&amp;CHAR(31)&amp;D$3)*1,0),0))))&amp;" (+"&amp;(SUMPRODUCT(1*EXACT('Reparto de brigadas'!$M$4:$M$11,"par"&amp;CHAR(31)&amp;$A7&amp;CHAR(31)&amp;D$3))-1)&amp;")",IF(ISNA(MATCH(1,INDEX(EXACT('Reparto de brigadas'!$M$4:$M$11,"par"&amp;CHAR(31)&amp;$A7&amp;CHAR(31)&amp;D$3)*1,0),0)),"",IF(ISBLANK(INDEX('Reparto de brigadas'!$A$4:$A$11,MATCH(1,INDEX(EXACT('Reparto de brigadas'!$M$4:$M$11,"par"&amp;CHAR(31)&amp;$A7&amp;CHAR(31)&amp;D$3)*1,0),0))),"",INDEX('Reparto de brigadas'!$A$4:$A$11,MATCH(1,INDEX(EXACT('Reparto de brigadas'!$M$4:$M$11,"par"&amp;CHAR(31)&amp;$A7&amp;CHAR(31)&amp;D$3)*1,0),0)))))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D7">
    <cfRule type="expression" priority="1" dxfId="0" stopIfTrue="0">
      <formula>IFERROR(INDEX('Reparto de brigadas'!$L$4:$L$11,MATCH(1,INDEX(EXACT('Reparto de brigadas'!$M$4:$M$11,"par"&amp;CHAR(31)&amp;$A4&amp;CHAR(31)&amp;B$3)*1,0),0)),0)=3</formula>
    </cfRule>
    <cfRule type="expression" priority="2" dxfId="1" stopIfTrue="0">
      <formula>IFERROR(INDEX('Reparto de brigadas'!$L$4:$L$11,MATCH(1,INDEX(EXACT('Reparto de brigadas'!$M$4:$M$11,"par"&amp;CHAR(31)&amp;$A4&amp;CHAR(31)&amp;B$3)*1,0),0)),0)=2</formula>
    </cfRule>
    <cfRule type="expression" priority="3" dxfId="2" stopIfTrue="0">
      <formula>IFERROR(INDEX('Reparto de brigadas'!$L$4:$L$11,MATCH(1,INDEX(EXACT('Reparto de brigadas'!$M$4:$M$11,"par"&amp;CHAR(31)&amp;$A4&amp;CHAR(31)&amp;B$3)*1,0),0)),0)=1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D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1" customWidth="1" min="3" max="3"/>
    <col width="11" customWidth="1" min="4" max="4"/>
  </cols>
  <sheetData>
    <row r="1">
      <c r="A1" s="1" t="inlineStr">
        <is>
          <t>Ocupacion de instalaciones - impar</t>
        </is>
      </c>
    </row>
    <row r="3">
      <c r="A3" s="2" t="inlineStr">
        <is>
          <t>Instalacion</t>
        </is>
      </c>
      <c r="B3" s="2" t="inlineStr">
        <is>
          <t>10 a.m.</t>
        </is>
      </c>
      <c r="C3" s="2" t="inlineStr">
        <is>
          <t>11 a.m.</t>
        </is>
      </c>
      <c r="D3" s="2" t="inlineStr">
        <is>
          <t>3 p.m.</t>
        </is>
      </c>
    </row>
    <row r="4">
      <c r="A4" s="3" t="inlineStr">
        <is>
          <t>Pista 1</t>
        </is>
      </c>
      <c r="B4" s="3">
        <f>IF(SUMPRODUCT(1*EXACT('Reparto de brigadas'!$M$4:$M$11,"impar"&amp;CHAR(31)&amp;$A4&amp;CHAR(31)&amp;B$3))&gt;1,IF(ISNA(MATCH(1,INDEX(EXACT('Reparto de brigadas'!$M$4:$M$11,"impar"&amp;CHAR(31)&amp;$A4&amp;CHAR(31)&amp;B$3)*1,0),0)),"",IF(ISBLANK(INDEX('Reparto de brigadas'!$A$4:$A$11,MATCH(1,INDEX(EXACT('Reparto de brigadas'!$M$4:$M$11,"impar"&amp;CHAR(31)&amp;$A4&amp;CHAR(31)&amp;B$3)*1,0),0))),"",INDEX('Reparto de brigadas'!$A$4:$A$11,MATCH(1,INDEX(EXACT('Reparto de brigadas'!$M$4:$M$11,"impar"&amp;CHAR(31)&amp;$A4&amp;CHAR(31)&amp;B$3)*1,0),0))))&amp;" (+"&amp;(SUMPRODUCT(1*EXACT('Reparto de brigadas'!$M$4:$M$11,"impar"&amp;CHAR(31)&amp;$A4&amp;CHAR(31)&amp;B$3))-1)&amp;")",IF(ISNA(MATCH(1,INDEX(EXACT('Reparto de brigadas'!$M$4:$M$11,"impar"&amp;CHAR(31)&amp;$A4&amp;CHAR(31)&amp;B$3)*1,0),0)),"",IF(ISBLANK(INDEX('Reparto de brigadas'!$A$4:$A$11,MATCH(1,INDEX(EXACT('Reparto de brigadas'!$M$4:$M$11,"impar"&amp;CHAR(31)&amp;$A4&amp;CHAR(31)&amp;B$3)*1,0),0))),"",INDEX('Reparto de brigadas'!$A$4:$A$11,MATCH(1,INDEX(EXACT('Reparto de brigadas'!$M$4:$M$11,"impar"&amp;CHAR(31)&amp;$A4&amp;CHAR(31)&amp;B$3)*1,0),0)))))</f>
        <v/>
      </c>
      <c r="C4" s="3">
        <f>IF(SUMPRODUCT(1*EXACT('Reparto de brigadas'!$M$4:$M$11,"impar"&amp;CHAR(31)&amp;$A4&amp;CHAR(31)&amp;C$3))&gt;1,IF(ISNA(MATCH(1,INDEX(EXACT('Reparto de brigadas'!$M$4:$M$11,"impar"&amp;CHAR(31)&amp;$A4&amp;CHAR(31)&amp;C$3)*1,0),0)),"",IF(ISBLANK(INDEX('Reparto de brigadas'!$A$4:$A$11,MATCH(1,INDEX(EXACT('Reparto de brigadas'!$M$4:$M$11,"impar"&amp;CHAR(31)&amp;$A4&amp;CHAR(31)&amp;C$3)*1,0),0))),"",INDEX('Reparto de brigadas'!$A$4:$A$11,MATCH(1,INDEX(EXACT('Reparto de brigadas'!$M$4:$M$11,"impar"&amp;CHAR(31)&amp;$A4&amp;CHAR(31)&amp;C$3)*1,0),0))))&amp;" (+"&amp;(SUMPRODUCT(1*EXACT('Reparto de brigadas'!$M$4:$M$11,"impar"&amp;CHAR(31)&amp;$A4&amp;CHAR(31)&amp;C$3))-1)&amp;")",IF(ISNA(MATCH(1,INDEX(EXACT('Reparto de brigadas'!$M$4:$M$11,"impar"&amp;CHAR(31)&amp;$A4&amp;CHAR(31)&amp;C$3)*1,0),0)),"",IF(ISBLANK(INDEX('Reparto de brigadas'!$A$4:$A$11,MATCH(1,INDEX(EXACT('Reparto de brigadas'!$M$4:$M$11,"impar"&amp;CHAR(31)&amp;$A4&amp;CHAR(31)&amp;C$3)*1,0),0))),"",INDEX('Reparto de brigadas'!$A$4:$A$11,MATCH(1,INDEX(EXACT('Reparto de brigadas'!$M$4:$M$11,"impar"&amp;CHAR(31)&amp;$A4&amp;CHAR(31)&amp;C$3)*1,0),0)))))</f>
        <v/>
      </c>
      <c r="D4" s="3">
        <f>IF(SUMPRODUCT(1*EXACT('Reparto de brigadas'!$M$4:$M$11,"impar"&amp;CHAR(31)&amp;$A4&amp;CHAR(31)&amp;D$3))&gt;1,IF(ISNA(MATCH(1,INDEX(EXACT('Reparto de brigadas'!$M$4:$M$11,"impar"&amp;CHAR(31)&amp;$A4&amp;CHAR(31)&amp;D$3)*1,0),0)),"",IF(ISBLANK(INDEX('Reparto de brigadas'!$A$4:$A$11,MATCH(1,INDEX(EXACT('Reparto de brigadas'!$M$4:$M$11,"impar"&amp;CHAR(31)&amp;$A4&amp;CHAR(31)&amp;D$3)*1,0),0))),"",INDEX('Reparto de brigadas'!$A$4:$A$11,MATCH(1,INDEX(EXACT('Reparto de brigadas'!$M$4:$M$11,"impar"&amp;CHAR(31)&amp;$A4&amp;CHAR(31)&amp;D$3)*1,0),0))))&amp;" (+"&amp;(SUMPRODUCT(1*EXACT('Reparto de brigadas'!$M$4:$M$11,"impar"&amp;CHAR(31)&amp;$A4&amp;CHAR(31)&amp;D$3))-1)&amp;")",IF(ISNA(MATCH(1,INDEX(EXACT('Reparto de brigadas'!$M$4:$M$11,"impar"&amp;CHAR(31)&amp;$A4&amp;CHAR(31)&amp;D$3)*1,0),0)),"",IF(ISBLANK(INDEX('Reparto de brigadas'!$A$4:$A$11,MATCH(1,INDEX(EXACT('Reparto de brigadas'!$M$4:$M$11,"impar"&amp;CHAR(31)&amp;$A4&amp;CHAR(31)&amp;D$3)*1,0),0))),"",INDEX('Reparto de brigadas'!$A$4:$A$11,MATCH(1,INDEX(EXACT('Reparto de brigadas'!$M$4:$M$11,"impar"&amp;CHAR(31)&amp;$A4&amp;CHAR(31)&amp;D$3)*1,0),0)))))</f>
        <v/>
      </c>
    </row>
    <row r="5">
      <c r="A5" s="3" t="inlineStr">
        <is>
          <t>Pista 2</t>
        </is>
      </c>
      <c r="B5" s="3">
        <f>IF(SUMPRODUCT(1*EXACT('Reparto de brigadas'!$M$4:$M$11,"impar"&amp;CHAR(31)&amp;$A5&amp;CHAR(31)&amp;B$3))&gt;1,IF(ISNA(MATCH(1,INDEX(EXACT('Reparto de brigadas'!$M$4:$M$11,"impar"&amp;CHAR(31)&amp;$A5&amp;CHAR(31)&amp;B$3)*1,0),0)),"",IF(ISBLANK(INDEX('Reparto de brigadas'!$A$4:$A$11,MATCH(1,INDEX(EXACT('Reparto de brigadas'!$M$4:$M$11,"impar"&amp;CHAR(31)&amp;$A5&amp;CHAR(31)&amp;B$3)*1,0),0))),"",INDEX('Reparto de brigadas'!$A$4:$A$11,MATCH(1,INDEX(EXACT('Reparto de brigadas'!$M$4:$M$11,"impar"&amp;CHAR(31)&amp;$A5&amp;CHAR(31)&amp;B$3)*1,0),0))))&amp;" (+"&amp;(SUMPRODUCT(1*EXACT('Reparto de brigadas'!$M$4:$M$11,"impar"&amp;CHAR(31)&amp;$A5&amp;CHAR(31)&amp;B$3))-1)&amp;")",IF(ISNA(MATCH(1,INDEX(EXACT('Reparto de brigadas'!$M$4:$M$11,"impar"&amp;CHAR(31)&amp;$A5&amp;CHAR(31)&amp;B$3)*1,0),0)),"",IF(ISBLANK(INDEX('Reparto de brigadas'!$A$4:$A$11,MATCH(1,INDEX(EXACT('Reparto de brigadas'!$M$4:$M$11,"impar"&amp;CHAR(31)&amp;$A5&amp;CHAR(31)&amp;B$3)*1,0),0))),"",INDEX('Reparto de brigadas'!$A$4:$A$11,MATCH(1,INDEX(EXACT('Reparto de brigadas'!$M$4:$M$11,"impar"&amp;CHAR(31)&amp;$A5&amp;CHAR(31)&amp;B$3)*1,0),0)))))</f>
        <v/>
      </c>
      <c r="C5" s="3">
        <f>IF(SUMPRODUCT(1*EXACT('Reparto de brigadas'!$M$4:$M$11,"impar"&amp;CHAR(31)&amp;$A5&amp;CHAR(31)&amp;C$3))&gt;1,IF(ISNA(MATCH(1,INDEX(EXACT('Reparto de brigadas'!$M$4:$M$11,"impar"&amp;CHAR(31)&amp;$A5&amp;CHAR(31)&amp;C$3)*1,0),0)),"",IF(ISBLANK(INDEX('Reparto de brigadas'!$A$4:$A$11,MATCH(1,INDEX(EXACT('Reparto de brigadas'!$M$4:$M$11,"impar"&amp;CHAR(31)&amp;$A5&amp;CHAR(31)&amp;C$3)*1,0),0))),"",INDEX('Reparto de brigadas'!$A$4:$A$11,MATCH(1,INDEX(EXACT('Reparto de brigadas'!$M$4:$M$11,"impar"&amp;CHAR(31)&amp;$A5&amp;CHAR(31)&amp;C$3)*1,0),0))))&amp;" (+"&amp;(SUMPRODUCT(1*EXACT('Reparto de brigadas'!$M$4:$M$11,"impar"&amp;CHAR(31)&amp;$A5&amp;CHAR(31)&amp;C$3))-1)&amp;")",IF(ISNA(MATCH(1,INDEX(EXACT('Reparto de brigadas'!$M$4:$M$11,"impar"&amp;CHAR(31)&amp;$A5&amp;CHAR(31)&amp;C$3)*1,0),0)),"",IF(ISBLANK(INDEX('Reparto de brigadas'!$A$4:$A$11,MATCH(1,INDEX(EXACT('Reparto de brigadas'!$M$4:$M$11,"impar"&amp;CHAR(31)&amp;$A5&amp;CHAR(31)&amp;C$3)*1,0),0))),"",INDEX('Reparto de brigadas'!$A$4:$A$11,MATCH(1,INDEX(EXACT('Reparto de brigadas'!$M$4:$M$11,"impar"&amp;CHAR(31)&amp;$A5&amp;CHAR(31)&amp;C$3)*1,0),0)))))</f>
        <v/>
      </c>
      <c r="D5" s="3">
        <f>IF(SUMPRODUCT(1*EXACT('Reparto de brigadas'!$M$4:$M$11,"impar"&amp;CHAR(31)&amp;$A5&amp;CHAR(31)&amp;D$3))&gt;1,IF(ISNA(MATCH(1,INDEX(EXACT('Reparto de brigadas'!$M$4:$M$11,"impar"&amp;CHAR(31)&amp;$A5&amp;CHAR(31)&amp;D$3)*1,0),0)),"",IF(ISBLANK(INDEX('Reparto de brigadas'!$A$4:$A$11,MATCH(1,INDEX(EXACT('Reparto de brigadas'!$M$4:$M$11,"impar"&amp;CHAR(31)&amp;$A5&amp;CHAR(31)&amp;D$3)*1,0),0))),"",INDEX('Reparto de brigadas'!$A$4:$A$11,MATCH(1,INDEX(EXACT('Reparto de brigadas'!$M$4:$M$11,"impar"&amp;CHAR(31)&amp;$A5&amp;CHAR(31)&amp;D$3)*1,0),0))))&amp;" (+"&amp;(SUMPRODUCT(1*EXACT('Reparto de brigadas'!$M$4:$M$11,"impar"&amp;CHAR(31)&amp;$A5&amp;CHAR(31)&amp;D$3))-1)&amp;")",IF(ISNA(MATCH(1,INDEX(EXACT('Reparto de brigadas'!$M$4:$M$11,"impar"&amp;CHAR(31)&amp;$A5&amp;CHAR(31)&amp;D$3)*1,0),0)),"",IF(ISBLANK(INDEX('Reparto de brigadas'!$A$4:$A$11,MATCH(1,INDEX(EXACT('Reparto de brigadas'!$M$4:$M$11,"impar"&amp;CHAR(31)&amp;$A5&amp;CHAR(31)&amp;D$3)*1,0),0))),"",INDEX('Reparto de brigadas'!$A$4:$A$11,MATCH(1,INDEX(EXACT('Reparto de brigadas'!$M$4:$M$11,"impar"&amp;CHAR(31)&amp;$A5&amp;CHAR(31)&amp;D$3)*1,0),0)))))</f>
        <v/>
      </c>
    </row>
    <row r="6">
      <c r="A6" s="3" t="inlineStr">
        <is>
          <t>Gimnasio</t>
        </is>
      </c>
      <c r="B6" s="3">
        <f>IF(SUMPRODUCT(1*EXACT('Reparto de brigadas'!$M$4:$M$11,"impar"&amp;CHAR(31)&amp;$A6&amp;CHAR(31)&amp;B$3))&gt;1,IF(ISNA(MATCH(1,INDEX(EXACT('Reparto de brigadas'!$M$4:$M$11,"impar"&amp;CHAR(31)&amp;$A6&amp;CHAR(31)&amp;B$3)*1,0),0)),"",IF(ISBLANK(INDEX('Reparto de brigadas'!$A$4:$A$11,MATCH(1,INDEX(EXACT('Reparto de brigadas'!$M$4:$M$11,"impar"&amp;CHAR(31)&amp;$A6&amp;CHAR(31)&amp;B$3)*1,0),0))),"",INDEX('Reparto de brigadas'!$A$4:$A$11,MATCH(1,INDEX(EXACT('Reparto de brigadas'!$M$4:$M$11,"impar"&amp;CHAR(31)&amp;$A6&amp;CHAR(31)&amp;B$3)*1,0),0))))&amp;" (+"&amp;(SUMPRODUCT(1*EXACT('Reparto de brigadas'!$M$4:$M$11,"impar"&amp;CHAR(31)&amp;$A6&amp;CHAR(31)&amp;B$3))-1)&amp;")",IF(ISNA(MATCH(1,INDEX(EXACT('Reparto de brigadas'!$M$4:$M$11,"impar"&amp;CHAR(31)&amp;$A6&amp;CHAR(31)&amp;B$3)*1,0),0)),"",IF(ISBLANK(INDEX('Reparto de brigadas'!$A$4:$A$11,MATCH(1,INDEX(EXACT('Reparto de brigadas'!$M$4:$M$11,"impar"&amp;CHAR(31)&amp;$A6&amp;CHAR(31)&amp;B$3)*1,0),0))),"",INDEX('Reparto de brigadas'!$A$4:$A$11,MATCH(1,INDEX(EXACT('Reparto de brigadas'!$M$4:$M$11,"impar"&amp;CHAR(31)&amp;$A6&amp;CHAR(31)&amp;B$3)*1,0),0)))))</f>
        <v/>
      </c>
      <c r="C6" s="3">
        <f>IF(SUMPRODUCT(1*EXACT('Reparto de brigadas'!$M$4:$M$11,"impar"&amp;CHAR(31)&amp;$A6&amp;CHAR(31)&amp;C$3))&gt;1,IF(ISNA(MATCH(1,INDEX(EXACT('Reparto de brigadas'!$M$4:$M$11,"impar"&amp;CHAR(31)&amp;$A6&amp;CHAR(31)&amp;C$3)*1,0),0)),"",IF(ISBLANK(INDEX('Reparto de brigadas'!$A$4:$A$11,MATCH(1,INDEX(EXACT('Reparto de brigadas'!$M$4:$M$11,"impar"&amp;CHAR(31)&amp;$A6&amp;CHAR(31)&amp;C$3)*1,0),0))),"",INDEX('Reparto de brigadas'!$A$4:$A$11,MATCH(1,INDEX(EXACT('Reparto de brigadas'!$M$4:$M$11,"impar"&amp;CHAR(31)&amp;$A6&amp;CHAR(31)&amp;C$3)*1,0),0))))&amp;" (+"&amp;(SUMPRODUCT(1*EXACT('Reparto de brigadas'!$M$4:$M$11,"impar"&amp;CHAR(31)&amp;$A6&amp;CHAR(31)&amp;C$3))-1)&amp;")",IF(ISNA(MATCH(1,INDEX(EXACT('Reparto de brigadas'!$M$4:$M$11,"impar"&amp;CHAR(31)&amp;$A6&amp;CHAR(31)&amp;C$3)*1,0),0)),"",IF(ISBLANK(INDEX('Reparto de brigadas'!$A$4:$A$11,MATCH(1,INDEX(EXACT('Reparto de brigadas'!$M$4:$M$11,"impar"&amp;CHAR(31)&amp;$A6&amp;CHAR(31)&amp;C$3)*1,0),0))),"",INDEX('Reparto de brigadas'!$A$4:$A$11,MATCH(1,INDEX(EXACT('Reparto de brigadas'!$M$4:$M$11,"impar"&amp;CHAR(31)&amp;$A6&amp;CHAR(31)&amp;C$3)*1,0),0)))))</f>
        <v/>
      </c>
      <c r="D6" s="3">
        <f>IF(SUMPRODUCT(1*EXACT('Reparto de brigadas'!$M$4:$M$11,"impar"&amp;CHAR(31)&amp;$A6&amp;CHAR(31)&amp;D$3))&gt;1,IF(ISNA(MATCH(1,INDEX(EXACT('Reparto de brigadas'!$M$4:$M$11,"impar"&amp;CHAR(31)&amp;$A6&amp;CHAR(31)&amp;D$3)*1,0),0)),"",IF(ISBLANK(INDEX('Reparto de brigadas'!$A$4:$A$11,MATCH(1,INDEX(EXACT('Reparto de brigadas'!$M$4:$M$11,"impar"&amp;CHAR(31)&amp;$A6&amp;CHAR(31)&amp;D$3)*1,0),0))),"",INDEX('Reparto de brigadas'!$A$4:$A$11,MATCH(1,INDEX(EXACT('Reparto de brigadas'!$M$4:$M$11,"impar"&amp;CHAR(31)&amp;$A6&amp;CHAR(31)&amp;D$3)*1,0),0))))&amp;" (+"&amp;(SUMPRODUCT(1*EXACT('Reparto de brigadas'!$M$4:$M$11,"impar"&amp;CHAR(31)&amp;$A6&amp;CHAR(31)&amp;D$3))-1)&amp;")",IF(ISNA(MATCH(1,INDEX(EXACT('Reparto de brigadas'!$M$4:$M$11,"impar"&amp;CHAR(31)&amp;$A6&amp;CHAR(31)&amp;D$3)*1,0),0)),"",IF(ISBLANK(INDEX('Reparto de brigadas'!$A$4:$A$11,MATCH(1,INDEX(EXACT('Reparto de brigadas'!$M$4:$M$11,"impar"&amp;CHAR(31)&amp;$A6&amp;CHAR(31)&amp;D$3)*1,0),0))),"",INDEX('Reparto de brigadas'!$A$4:$A$11,MATCH(1,INDEX(EXACT('Reparto de brigadas'!$M$4:$M$11,"impar"&amp;CHAR(31)&amp;$A6&amp;CHAR(31)&amp;D$3)*1,0),0)))))</f>
        <v/>
      </c>
    </row>
    <row r="7">
      <c r="A7" s="3" t="inlineStr">
        <is>
          <t>Piscina</t>
        </is>
      </c>
      <c r="B7" s="3">
        <f>IF(SUMPRODUCT(1*EXACT('Reparto de brigadas'!$M$4:$M$11,"impar"&amp;CHAR(31)&amp;$A7&amp;CHAR(31)&amp;B$3))&gt;1,IF(ISNA(MATCH(1,INDEX(EXACT('Reparto de brigadas'!$M$4:$M$11,"impar"&amp;CHAR(31)&amp;$A7&amp;CHAR(31)&amp;B$3)*1,0),0)),"",IF(ISBLANK(INDEX('Reparto de brigadas'!$A$4:$A$11,MATCH(1,INDEX(EXACT('Reparto de brigadas'!$M$4:$M$11,"impar"&amp;CHAR(31)&amp;$A7&amp;CHAR(31)&amp;B$3)*1,0),0))),"",INDEX('Reparto de brigadas'!$A$4:$A$11,MATCH(1,INDEX(EXACT('Reparto de brigadas'!$M$4:$M$11,"impar"&amp;CHAR(31)&amp;$A7&amp;CHAR(31)&amp;B$3)*1,0),0))))&amp;" (+"&amp;(SUMPRODUCT(1*EXACT('Reparto de brigadas'!$M$4:$M$11,"impar"&amp;CHAR(31)&amp;$A7&amp;CHAR(31)&amp;B$3))-1)&amp;")",IF(ISNA(MATCH(1,INDEX(EXACT('Reparto de brigadas'!$M$4:$M$11,"impar"&amp;CHAR(31)&amp;$A7&amp;CHAR(31)&amp;B$3)*1,0),0)),"",IF(ISBLANK(INDEX('Reparto de brigadas'!$A$4:$A$11,MATCH(1,INDEX(EXACT('Reparto de brigadas'!$M$4:$M$11,"impar"&amp;CHAR(31)&amp;$A7&amp;CHAR(31)&amp;B$3)*1,0),0))),"",INDEX('Reparto de brigadas'!$A$4:$A$11,MATCH(1,INDEX(EXACT('Reparto de brigadas'!$M$4:$M$11,"impar"&amp;CHAR(31)&amp;$A7&amp;CHAR(31)&amp;B$3)*1,0),0)))))</f>
        <v/>
      </c>
      <c r="C7" s="3">
        <f>IF(SUMPRODUCT(1*EXACT('Reparto de brigadas'!$M$4:$M$11,"impar"&amp;CHAR(31)&amp;$A7&amp;CHAR(31)&amp;C$3))&gt;1,IF(ISNA(MATCH(1,INDEX(EXACT('Reparto de brigadas'!$M$4:$M$11,"impar"&amp;CHAR(31)&amp;$A7&amp;CHAR(31)&amp;C$3)*1,0),0)),"",IF(ISBLANK(INDEX('Reparto de brigadas'!$A$4:$A$11,MATCH(1,INDEX(EXACT('Reparto de brigadas'!$M$4:$M$11,"impar"&amp;CHAR(31)&amp;$A7&amp;CHAR(31)&amp;C$3)*1,0),0))),"",INDEX('Reparto de brigadas'!$A$4:$A$11,MATCH(1,INDEX(EXACT('Reparto de brigadas'!$M$4:$M$11,"impar"&amp;CHAR(31)&amp;$A7&amp;CHAR(31)&amp;C$3)*1,0),0))))&amp;" (+"&amp;(SUMPRODUCT(1*EXACT('Reparto de brigadas'!$M$4:$M$11,"impar"&amp;CHAR(31)&amp;$A7&amp;CHAR(31)&amp;C$3))-1)&amp;")",IF(ISNA(MATCH(1,INDEX(EXACT('Reparto de brigadas'!$M$4:$M$11,"impar"&amp;CHAR(31)&amp;$A7&amp;CHAR(31)&amp;C$3)*1,0),0)),"",IF(ISBLANK(INDEX('Reparto de brigadas'!$A$4:$A$11,MATCH(1,INDEX(EXACT('Reparto de brigadas'!$M$4:$M$11,"impar"&amp;CHAR(31)&amp;$A7&amp;CHAR(31)&amp;C$3)*1,0),0))),"",INDEX('Reparto de brigadas'!$A$4:$A$11,MATCH(1,INDEX(EXACT('Reparto de brigadas'!$M$4:$M$11,"impar"&amp;CHAR(31)&amp;$A7&amp;CHAR(31)&amp;C$3)*1,0),0)))))</f>
        <v/>
      </c>
      <c r="D7" s="3">
        <f>IF(SUMPRODUCT(1*EXACT('Reparto de brigadas'!$M$4:$M$11,"impar"&amp;CHAR(31)&amp;$A7&amp;CHAR(31)&amp;D$3))&gt;1,IF(ISNA(MATCH(1,INDEX(EXACT('Reparto de brigadas'!$M$4:$M$11,"impar"&amp;CHAR(31)&amp;$A7&amp;CHAR(31)&amp;D$3)*1,0),0)),"",IF(ISBLANK(INDEX('Reparto de brigadas'!$A$4:$A$11,MATCH(1,INDEX(EXACT('Reparto de brigadas'!$M$4:$M$11,"impar"&amp;CHAR(31)&amp;$A7&amp;CHAR(31)&amp;D$3)*1,0),0))),"",INDEX('Reparto de brigadas'!$A$4:$A$11,MATCH(1,INDEX(EXACT('Reparto de brigadas'!$M$4:$M$11,"impar"&amp;CHAR(31)&amp;$A7&amp;CHAR(31)&amp;D$3)*1,0),0))))&amp;" (+"&amp;(SUMPRODUCT(1*EXACT('Reparto de brigadas'!$M$4:$M$11,"impar"&amp;CHAR(31)&amp;$A7&amp;CHAR(31)&amp;D$3))-1)&amp;")",IF(ISNA(MATCH(1,INDEX(EXACT('Reparto de brigadas'!$M$4:$M$11,"impar"&amp;CHAR(31)&amp;$A7&amp;CHAR(31)&amp;D$3)*1,0),0)),"",IF(ISBLANK(INDEX('Reparto de brigadas'!$A$4:$A$11,MATCH(1,INDEX(EXACT('Reparto de brigadas'!$M$4:$M$11,"impar"&amp;CHAR(31)&amp;$A7&amp;CHAR(31)&amp;D$3)*1,0),0))),"",INDEX('Reparto de brigadas'!$A$4:$A$11,MATCH(1,INDEX(EXACT('Reparto de brigadas'!$M$4:$M$11,"impar"&amp;CHAR(31)&amp;$A7&amp;CHAR(31)&amp;D$3)*1,0),0)))))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D7">
    <cfRule type="expression" priority="1" dxfId="0" stopIfTrue="0">
      <formula>IFERROR(INDEX('Reparto de brigadas'!$L$4:$L$11,MATCH(1,INDEX(EXACT('Reparto de brigadas'!$M$4:$M$11,"impar"&amp;CHAR(31)&amp;$A4&amp;CHAR(31)&amp;B$3)*1,0),0)),0)=3</formula>
    </cfRule>
    <cfRule type="expression" priority="2" dxfId="1" stopIfTrue="0">
      <formula>IFERROR(INDEX('Reparto de brigadas'!$L$4:$L$11,MATCH(1,INDEX(EXACT('Reparto de brigadas'!$M$4:$M$11,"impar"&amp;CHAR(31)&amp;$A4&amp;CHAR(31)&amp;B$3)*1,0),0)),0)=2</formula>
    </cfRule>
    <cfRule type="expression" priority="3" dxfId="2" stopIfTrue="0">
      <formula>IFERROR(INDEX('Reparto de brigadas'!$L$4:$L$11,MATCH(1,INDEX(EXACT('Reparto de brigadas'!$M$4:$M$11,"impar"&amp;CHAR(31)&amp;$A4&amp;CHAR(31)&amp;B$3)*1,0),0)),0)=1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</cols>
  <sheetData>
    <row r="1">
      <c r="A1" s="1" t="inlineStr">
        <is>
          <t>Horario del profesor - Prof. Alvarez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IF(SUMPRODUCT(1*EXACT('Reparto de brigadas'!$N$4:$N$11,"Prof. Alvarez"&amp;CHAR(31)&amp;$A4&amp;CHAR(31)&amp;B$3))&gt;1,IF(ISNA(MATCH(1,INDEX(EXACT('Reparto de brigadas'!$N$4:$N$11,"Prof. Alvarez"&amp;CHAR(31)&amp;$A4&amp;CHAR(31)&amp;B$3)*1,0),0)),"",IF(ISBLANK(INDEX('Reparto de brigadas'!$A$4:$A$11,MATCH(1,INDEX(EXACT('Reparto de brigadas'!$N$4:$N$11,"Prof. Alvarez"&amp;CHAR(31)&amp;$A4&amp;CHAR(31)&amp;B$3)*1,0),0))),"",INDEX('Reparto de brigadas'!$A$4:$A$11,MATCH(1,INDEX(EXACT('Reparto de brigadas'!$N$4:$N$11,"Prof. Alvarez"&amp;CHAR(31)&amp;$A4&amp;CHAR(31)&amp;B$3)*1,0),0))))&amp;" (+"&amp;(SUMPRODUCT(1*EXACT('Reparto de brigadas'!$N$4:$N$11,"Prof. Alvarez"&amp;CHAR(31)&amp;$A4&amp;CHAR(31)&amp;B$3))-1)&amp;")",IF(ISNA(MATCH(1,INDEX(EXACT('Reparto de brigadas'!$N$4:$N$11,"Prof. Alvarez"&amp;CHAR(31)&amp;$A4&amp;CHAR(31)&amp;B$3)*1,0),0)),"",IF(ISBLANK(INDEX('Reparto de brigadas'!$A$4:$A$11,MATCH(1,INDEX(EXACT('Reparto de brigadas'!$N$4:$N$11,"Prof. Alvarez"&amp;CHAR(31)&amp;$A4&amp;CHAR(31)&amp;B$3)*1,0),0))),"",INDEX('Reparto de brigadas'!$A$4:$A$11,MATCH(1,INDEX(EXACT('Reparto de brigadas'!$N$4:$N$11,"Prof. Alvarez"&amp;CHAR(31)&amp;$A4&amp;CHAR(31)&amp;B$3)*1,0),0)))))</f>
        <v/>
      </c>
      <c r="C4" s="3">
        <f>IF(SUMPRODUCT(1*EXACT('Reparto de brigadas'!$N$4:$N$11,"Prof. Alvarez"&amp;CHAR(31)&amp;$A4&amp;CHAR(31)&amp;C$3))&gt;1,IF(ISNA(MATCH(1,INDEX(EXACT('Reparto de brigadas'!$N$4:$N$11,"Prof. Alvarez"&amp;CHAR(31)&amp;$A4&amp;CHAR(31)&amp;C$3)*1,0),0)),"",IF(ISBLANK(INDEX('Reparto de brigadas'!$A$4:$A$11,MATCH(1,INDEX(EXACT('Reparto de brigadas'!$N$4:$N$11,"Prof. Alvarez"&amp;CHAR(31)&amp;$A4&amp;CHAR(31)&amp;C$3)*1,0),0))),"",INDEX('Reparto de brigadas'!$A$4:$A$11,MATCH(1,INDEX(EXACT('Reparto de brigadas'!$N$4:$N$11,"Prof. Alvarez"&amp;CHAR(31)&amp;$A4&amp;CHAR(31)&amp;C$3)*1,0),0))))&amp;" (+"&amp;(SUMPRODUCT(1*EXACT('Reparto de brigadas'!$N$4:$N$11,"Prof. Alvarez"&amp;CHAR(31)&amp;$A4&amp;CHAR(31)&amp;C$3))-1)&amp;")",IF(ISNA(MATCH(1,INDEX(EXACT('Reparto de brigadas'!$N$4:$N$11,"Prof. Alvarez"&amp;CHAR(31)&amp;$A4&amp;CHAR(31)&amp;C$3)*1,0),0)),"",IF(ISBLANK(INDEX('Reparto de brigadas'!$A$4:$A$11,MATCH(1,INDEX(EXACT('Reparto de brigadas'!$N$4:$N$11,"Prof. Alvarez"&amp;CHAR(31)&amp;$A4&amp;CHAR(31)&amp;C$3)*1,0),0))),"",INDEX('Reparto de brigadas'!$A$4:$A$11,MATCH(1,INDEX(EXACT('Reparto de brigadas'!$N$4:$N$11,"Prof. Alvarez"&amp;CHAR(31)&amp;$A4&amp;CHAR(31)&amp;C$3)*1,0),0)))))</f>
        <v/>
      </c>
    </row>
    <row r="5">
      <c r="A5" s="3" t="inlineStr">
        <is>
          <t>11 a.m.</t>
        </is>
      </c>
      <c r="B5" s="3">
        <f>IF(SUMPRODUCT(1*EXACT('Reparto de brigadas'!$N$4:$N$11,"Prof. Alvarez"&amp;CHAR(31)&amp;$A5&amp;CHAR(31)&amp;B$3))&gt;1,IF(ISNA(MATCH(1,INDEX(EXACT('Reparto de brigadas'!$N$4:$N$11,"Prof. Alvarez"&amp;CHAR(31)&amp;$A5&amp;CHAR(31)&amp;B$3)*1,0),0)),"",IF(ISBLANK(INDEX('Reparto de brigadas'!$A$4:$A$11,MATCH(1,INDEX(EXACT('Reparto de brigadas'!$N$4:$N$11,"Prof. Alvarez"&amp;CHAR(31)&amp;$A5&amp;CHAR(31)&amp;B$3)*1,0),0))),"",INDEX('Reparto de brigadas'!$A$4:$A$11,MATCH(1,INDEX(EXACT('Reparto de brigadas'!$N$4:$N$11,"Prof. Alvarez"&amp;CHAR(31)&amp;$A5&amp;CHAR(31)&amp;B$3)*1,0),0))))&amp;" (+"&amp;(SUMPRODUCT(1*EXACT('Reparto de brigadas'!$N$4:$N$11,"Prof. Alvarez"&amp;CHAR(31)&amp;$A5&amp;CHAR(31)&amp;B$3))-1)&amp;")",IF(ISNA(MATCH(1,INDEX(EXACT('Reparto de brigadas'!$N$4:$N$11,"Prof. Alvarez"&amp;CHAR(31)&amp;$A5&amp;CHAR(31)&amp;B$3)*1,0),0)),"",IF(ISBLANK(INDEX('Reparto de brigadas'!$A$4:$A$11,MATCH(1,INDEX(EXACT('Reparto de brigadas'!$N$4:$N$11,"Prof. Alvarez"&amp;CHAR(31)&amp;$A5&amp;CHAR(31)&amp;B$3)*1,0),0))),"",INDEX('Reparto de brigadas'!$A$4:$A$11,MATCH(1,INDEX(EXACT('Reparto de brigadas'!$N$4:$N$11,"Prof. Alvarez"&amp;CHAR(31)&amp;$A5&amp;CHAR(31)&amp;B$3)*1,0),0)))))</f>
        <v/>
      </c>
      <c r="C5" s="3">
        <f>IF(SUMPRODUCT(1*EXACT('Reparto de brigadas'!$N$4:$N$11,"Prof. Alvarez"&amp;CHAR(31)&amp;$A5&amp;CHAR(31)&amp;C$3))&gt;1,IF(ISNA(MATCH(1,INDEX(EXACT('Reparto de brigadas'!$N$4:$N$11,"Prof. Alvarez"&amp;CHAR(31)&amp;$A5&amp;CHAR(31)&amp;C$3)*1,0),0)),"",IF(ISBLANK(INDEX('Reparto de brigadas'!$A$4:$A$11,MATCH(1,INDEX(EXACT('Reparto de brigadas'!$N$4:$N$11,"Prof. Alvarez"&amp;CHAR(31)&amp;$A5&amp;CHAR(31)&amp;C$3)*1,0),0))),"",INDEX('Reparto de brigadas'!$A$4:$A$11,MATCH(1,INDEX(EXACT('Reparto de brigadas'!$N$4:$N$11,"Prof. Alvarez"&amp;CHAR(31)&amp;$A5&amp;CHAR(31)&amp;C$3)*1,0),0))))&amp;" (+"&amp;(SUMPRODUCT(1*EXACT('Reparto de brigadas'!$N$4:$N$11,"Prof. Alvarez"&amp;CHAR(31)&amp;$A5&amp;CHAR(31)&amp;C$3))-1)&amp;")",IF(ISNA(MATCH(1,INDEX(EXACT('Reparto de brigadas'!$N$4:$N$11,"Prof. Alvarez"&amp;CHAR(31)&amp;$A5&amp;CHAR(31)&amp;C$3)*1,0),0)),"",IF(ISBLANK(INDEX('Reparto de brigadas'!$A$4:$A$11,MATCH(1,INDEX(EXACT('Reparto de brigadas'!$N$4:$N$11,"Prof. Alvarez"&amp;CHAR(31)&amp;$A5&amp;CHAR(31)&amp;C$3)*1,0),0))),"",INDEX('Reparto de brigadas'!$A$4:$A$11,MATCH(1,INDEX(EXACT('Reparto de brigadas'!$N$4:$N$11,"Prof. Alvarez"&amp;CHAR(31)&amp;$A5&amp;CHAR(31)&amp;C$3)*1,0),0)))))</f>
        <v/>
      </c>
    </row>
    <row r="6">
      <c r="A6" s="3" t="inlineStr">
        <is>
          <t>3 p.m.</t>
        </is>
      </c>
      <c r="B6" s="3">
        <f>IF(SUMPRODUCT(1*EXACT('Reparto de brigadas'!$N$4:$N$11,"Prof. Alvarez"&amp;CHAR(31)&amp;$A6&amp;CHAR(31)&amp;B$3))&gt;1,IF(ISNA(MATCH(1,INDEX(EXACT('Reparto de brigadas'!$N$4:$N$11,"Prof. Alvarez"&amp;CHAR(31)&amp;$A6&amp;CHAR(31)&amp;B$3)*1,0),0)),"",IF(ISBLANK(INDEX('Reparto de brigadas'!$A$4:$A$11,MATCH(1,INDEX(EXACT('Reparto de brigadas'!$N$4:$N$11,"Prof. Alvarez"&amp;CHAR(31)&amp;$A6&amp;CHAR(31)&amp;B$3)*1,0),0))),"",INDEX('Reparto de brigadas'!$A$4:$A$11,MATCH(1,INDEX(EXACT('Reparto de brigadas'!$N$4:$N$11,"Prof. Alvarez"&amp;CHAR(31)&amp;$A6&amp;CHAR(31)&amp;B$3)*1,0),0))))&amp;" (+"&amp;(SUMPRODUCT(1*EXACT('Reparto de brigadas'!$N$4:$N$11,"Prof. Alvarez"&amp;CHAR(31)&amp;$A6&amp;CHAR(31)&amp;B$3))-1)&amp;")",IF(ISNA(MATCH(1,INDEX(EXACT('Reparto de brigadas'!$N$4:$N$11,"Prof. Alvarez"&amp;CHAR(31)&amp;$A6&amp;CHAR(31)&amp;B$3)*1,0),0)),"",IF(ISBLANK(INDEX('Reparto de brigadas'!$A$4:$A$11,MATCH(1,INDEX(EXACT('Reparto de brigadas'!$N$4:$N$11,"Prof. Alvarez"&amp;CHAR(31)&amp;$A6&amp;CHAR(31)&amp;B$3)*1,0),0))),"",INDEX('Reparto de brigadas'!$A$4:$A$11,MATCH(1,INDEX(EXACT('Reparto de brigadas'!$N$4:$N$11,"Prof. Alvarez"&amp;CHAR(31)&amp;$A6&amp;CHAR(31)&amp;B$3)*1,0),0)))))</f>
        <v/>
      </c>
      <c r="C6" s="3">
        <f>IF(SUMPRODUCT(1*EXACT('Reparto de brigadas'!$N$4:$N$11,"Prof. Alvarez"&amp;CHAR(31)&amp;$A6&amp;CHAR(31)&amp;C$3))&gt;1,IF(ISNA(MATCH(1,INDEX(EXACT('Reparto de brigadas'!$N$4:$N$11,"Prof. Alvarez"&amp;CHAR(31)&amp;$A6&amp;CHAR(31)&amp;C$3)*1,0),0)),"",IF(ISBLANK(INDEX('Reparto de brigadas'!$A$4:$A$11,MATCH(1,INDEX(EXACT('Reparto de brigadas'!$N$4:$N$11,"Prof. Alvarez"&amp;CHAR(31)&amp;$A6&amp;CHAR(31)&amp;C$3)*1,0),0))),"",INDEX('Reparto de brigadas'!$A$4:$A$11,MATCH(1,INDEX(EXACT('Reparto de brigadas'!$N$4:$N$11,"Prof. Alvarez"&amp;CHAR(31)&amp;$A6&amp;CHAR(31)&amp;C$3)*1,0),0))))&amp;" (+"&amp;(SUMPRODUCT(1*EXACT('Reparto de brigadas'!$N$4:$N$11,"Prof. Alvarez"&amp;CHAR(31)&amp;$A6&amp;CHAR(31)&amp;C$3))-1)&amp;")",IF(ISNA(MATCH(1,INDEX(EXACT('Reparto de brigadas'!$N$4:$N$11,"Prof. Alvarez"&amp;CHAR(31)&amp;$A6&amp;CHAR(31)&amp;C$3)*1,0),0)),"",IF(ISBLANK(INDEX('Reparto de brigadas'!$A$4:$A$11,MATCH(1,INDEX(EXACT('Reparto de brigadas'!$N$4:$N$11,"Prof. Alvarez"&amp;CHAR(31)&amp;$A6&amp;CHAR(31)&amp;C$3)*1,0),0))),"",INDEX('Reparto de brigadas'!$A$4:$A$11,MATCH(1,INDEX(EXACT('Reparto de brigadas'!$N$4:$N$11,"Prof. Alvarez"&amp;CHAR(31)&amp;$A6&amp;CHAR(31)&amp;C$3)*1,0),0)))))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C6">
    <cfRule type="expression" priority="1" dxfId="0" stopIfTrue="0">
      <formula>IFERROR(INDEX('Reparto de brigadas'!$L$4:$L$11,MATCH(1,INDEX(EXACT('Reparto de brigadas'!$N$4:$N$11,"Prof. Alvarez"&amp;CHAR(31)&amp;$A4&amp;CHAR(31)&amp;B$3)*1,0),0)),0)=3</formula>
    </cfRule>
    <cfRule type="expression" priority="2" dxfId="1" stopIfTrue="0">
      <formula>IFERROR(INDEX('Reparto de brigadas'!$L$4:$L$11,MATCH(1,INDEX(EXACT('Reparto de brigadas'!$N$4:$N$11,"Prof. Alvarez"&amp;CHAR(31)&amp;$A4&amp;CHAR(31)&amp;B$3)*1,0),0)),0)=2</formula>
    </cfRule>
    <cfRule type="expression" priority="3" dxfId="2" stopIfTrue="0">
      <formula>IFERROR(INDEX('Reparto de brigadas'!$L$4:$L$11,MATCH(1,INDEX(EXACT('Reparto de brigadas'!$N$4:$N$11,"Prof. Alvarez"&amp;CHAR(31)&amp;$A4&amp;CHAR(31)&amp;B$3)*1,0),0)),0)=1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11" customWidth="1" min="3" max="3"/>
  </cols>
  <sheetData>
    <row r="1">
      <c r="A1" s="1" t="inlineStr">
        <is>
          <t>Horario del profesor - Prof. Benitez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IF(SUMPRODUCT(1*EXACT('Reparto de brigadas'!$N$4:$N$11,"Prof. Benitez"&amp;CHAR(31)&amp;$A4&amp;CHAR(31)&amp;B$3))&gt;1,IF(ISNA(MATCH(1,INDEX(EXACT('Reparto de brigadas'!$N$4:$N$11,"Prof. Benitez"&amp;CHAR(31)&amp;$A4&amp;CHAR(31)&amp;B$3)*1,0),0)),"",IF(ISBLANK(INDEX('Reparto de brigadas'!$A$4:$A$11,MATCH(1,INDEX(EXACT('Reparto de brigadas'!$N$4:$N$11,"Prof. Benitez"&amp;CHAR(31)&amp;$A4&amp;CHAR(31)&amp;B$3)*1,0),0))),"",INDEX('Reparto de brigadas'!$A$4:$A$11,MATCH(1,INDEX(EXACT('Reparto de brigadas'!$N$4:$N$11,"Prof. Benitez"&amp;CHAR(31)&amp;$A4&amp;CHAR(31)&amp;B$3)*1,0),0))))&amp;" (+"&amp;(SUMPRODUCT(1*EXACT('Reparto de brigadas'!$N$4:$N$11,"Prof. Benitez"&amp;CHAR(31)&amp;$A4&amp;CHAR(31)&amp;B$3))-1)&amp;")",IF(ISNA(MATCH(1,INDEX(EXACT('Reparto de brigadas'!$N$4:$N$11,"Prof. Benitez"&amp;CHAR(31)&amp;$A4&amp;CHAR(31)&amp;B$3)*1,0),0)),"",IF(ISBLANK(INDEX('Reparto de brigadas'!$A$4:$A$11,MATCH(1,INDEX(EXACT('Reparto de brigadas'!$N$4:$N$11,"Prof. Benitez"&amp;CHAR(31)&amp;$A4&amp;CHAR(31)&amp;B$3)*1,0),0))),"",INDEX('Reparto de brigadas'!$A$4:$A$11,MATCH(1,INDEX(EXACT('Reparto de brigadas'!$N$4:$N$11,"Prof. Benitez"&amp;CHAR(31)&amp;$A4&amp;CHAR(31)&amp;B$3)*1,0),0)))))</f>
        <v/>
      </c>
      <c r="C4" s="3">
        <f>IF(SUMPRODUCT(1*EXACT('Reparto de brigadas'!$N$4:$N$11,"Prof. Benitez"&amp;CHAR(31)&amp;$A4&amp;CHAR(31)&amp;C$3))&gt;1,IF(ISNA(MATCH(1,INDEX(EXACT('Reparto de brigadas'!$N$4:$N$11,"Prof. Benitez"&amp;CHAR(31)&amp;$A4&amp;CHAR(31)&amp;C$3)*1,0),0)),"",IF(ISBLANK(INDEX('Reparto de brigadas'!$A$4:$A$11,MATCH(1,INDEX(EXACT('Reparto de brigadas'!$N$4:$N$11,"Prof. Benitez"&amp;CHAR(31)&amp;$A4&amp;CHAR(31)&amp;C$3)*1,0),0))),"",INDEX('Reparto de brigadas'!$A$4:$A$11,MATCH(1,INDEX(EXACT('Reparto de brigadas'!$N$4:$N$11,"Prof. Benitez"&amp;CHAR(31)&amp;$A4&amp;CHAR(31)&amp;C$3)*1,0),0))))&amp;" (+"&amp;(SUMPRODUCT(1*EXACT('Reparto de brigadas'!$N$4:$N$11,"Prof. Benitez"&amp;CHAR(31)&amp;$A4&amp;CHAR(31)&amp;C$3))-1)&amp;")",IF(ISNA(MATCH(1,INDEX(EXACT('Reparto de brigadas'!$N$4:$N$11,"Prof. Benitez"&amp;CHAR(31)&amp;$A4&amp;CHAR(31)&amp;C$3)*1,0),0)),"",IF(ISBLANK(INDEX('Reparto de brigadas'!$A$4:$A$11,MATCH(1,INDEX(EXACT('Reparto de brigadas'!$N$4:$N$11,"Prof. Benitez"&amp;CHAR(31)&amp;$A4&amp;CHAR(31)&amp;C$3)*1,0),0))),"",INDEX('Reparto de brigadas'!$A$4:$A$11,MATCH(1,INDEX(EXACT('Reparto de brigadas'!$N$4:$N$11,"Prof. Benitez"&amp;CHAR(31)&amp;$A4&amp;CHAR(31)&amp;C$3)*1,0),0)))))</f>
        <v/>
      </c>
    </row>
    <row r="5">
      <c r="A5" s="3" t="inlineStr">
        <is>
          <t>11 a.m.</t>
        </is>
      </c>
      <c r="B5" s="3">
        <f>IF(SUMPRODUCT(1*EXACT('Reparto de brigadas'!$N$4:$N$11,"Prof. Benitez"&amp;CHAR(31)&amp;$A5&amp;CHAR(31)&amp;B$3))&gt;1,IF(ISNA(MATCH(1,INDEX(EXACT('Reparto de brigadas'!$N$4:$N$11,"Prof. Benitez"&amp;CHAR(31)&amp;$A5&amp;CHAR(31)&amp;B$3)*1,0),0)),"",IF(ISBLANK(INDEX('Reparto de brigadas'!$A$4:$A$11,MATCH(1,INDEX(EXACT('Reparto de brigadas'!$N$4:$N$11,"Prof. Benitez"&amp;CHAR(31)&amp;$A5&amp;CHAR(31)&amp;B$3)*1,0),0))),"",INDEX('Reparto de brigadas'!$A$4:$A$11,MATCH(1,INDEX(EXACT('Reparto de brigadas'!$N$4:$N$11,"Prof. Benitez"&amp;CHAR(31)&amp;$A5&amp;CHAR(31)&amp;B$3)*1,0),0))))&amp;" (+"&amp;(SUMPRODUCT(1*EXACT('Reparto de brigadas'!$N$4:$N$11,"Prof. Benitez"&amp;CHAR(31)&amp;$A5&amp;CHAR(31)&amp;B$3))-1)&amp;")",IF(ISNA(MATCH(1,INDEX(EXACT('Reparto de brigadas'!$N$4:$N$11,"Prof. Benitez"&amp;CHAR(31)&amp;$A5&amp;CHAR(31)&amp;B$3)*1,0),0)),"",IF(ISBLANK(INDEX('Reparto de brigadas'!$A$4:$A$11,MATCH(1,INDEX(EXACT('Reparto de brigadas'!$N$4:$N$11,"Prof. Benitez"&amp;CHAR(31)&amp;$A5&amp;CHAR(31)&amp;B$3)*1,0),0))),"",INDEX('Reparto de brigadas'!$A$4:$A$11,MATCH(1,INDEX(EXACT('Reparto de brigadas'!$N$4:$N$11,"Prof. Benitez"&amp;CHAR(31)&amp;$A5&amp;CHAR(31)&amp;B$3)*1,0),0)))))</f>
        <v/>
      </c>
      <c r="C5" s="3">
        <f>IF(SUMPRODUCT(1*EXACT('Reparto de brigadas'!$N$4:$N$11,"Prof. Benitez"&amp;CHAR(31)&amp;$A5&amp;CHAR(31)&amp;C$3))&gt;1,IF(ISNA(MATCH(1,INDEX(EXACT('Reparto de brigadas'!$N$4:$N$11,"Prof. Benitez"&amp;CHAR(31)&amp;$A5&amp;CHAR(31)&amp;C$3)*1,0),0)),"",IF(ISBLANK(INDEX('Reparto de brigadas'!$A$4:$A$11,MATCH(1,INDEX(EXACT('Reparto de brigadas'!$N$4:$N$11,"Prof. Benitez"&amp;CHAR(31)&amp;$A5&amp;CHAR(31)&amp;C$3)*1,0),0))),"",INDEX('Reparto de brigadas'!$A$4:$A$11,MATCH(1,INDEX(EXACT('Reparto de brigadas'!$N$4:$N$11,"Prof. Benitez"&amp;CHAR(31)&amp;$A5&amp;CHAR(31)&amp;C$3)*1,0),0))))&amp;" (+"&amp;(SUMPRODUCT(1*EXACT('Reparto de brigadas'!$N$4:$N$11,"Prof. Benitez"&amp;CHAR(31)&amp;$A5&amp;CHAR(31)&amp;C$3))-1)&amp;")",IF(ISNA(MATCH(1,INDEX(EXACT('Reparto de brigadas'!$N$4:$N$11,"Prof. Benitez"&amp;CHAR(31)&amp;$A5&amp;CHAR(31)&amp;C$3)*1,0),0)),"",IF(ISBLANK(INDEX('Reparto de brigadas'!$A$4:$A$11,MATCH(1,INDEX(EXACT('Reparto de brigadas'!$N$4:$N$11,"Prof. Benitez"&amp;CHAR(31)&amp;$A5&amp;CHAR(31)&amp;C$3)*1,0),0))),"",INDEX('Reparto de brigadas'!$A$4:$A$11,MATCH(1,INDEX(EXACT('Reparto de brigadas'!$N$4:$N$11,"Prof. Benitez"&amp;CHAR(31)&amp;$A5&amp;CHAR(31)&amp;C$3)*1,0),0)))))</f>
        <v/>
      </c>
    </row>
    <row r="6">
      <c r="A6" s="3" t="inlineStr">
        <is>
          <t>3 p.m.</t>
        </is>
      </c>
      <c r="B6" s="3">
        <f>IF(SUMPRODUCT(1*EXACT('Reparto de brigadas'!$N$4:$N$11,"Prof. Benitez"&amp;CHAR(31)&amp;$A6&amp;CHAR(31)&amp;B$3))&gt;1,IF(ISNA(MATCH(1,INDEX(EXACT('Reparto de brigadas'!$N$4:$N$11,"Prof. Benitez"&amp;CHAR(31)&amp;$A6&amp;CHAR(31)&amp;B$3)*1,0),0)),"",IF(ISBLANK(INDEX('Reparto de brigadas'!$A$4:$A$11,MATCH(1,INDEX(EXACT('Reparto de brigadas'!$N$4:$N$11,"Prof. Benitez"&amp;CHAR(31)&amp;$A6&amp;CHAR(31)&amp;B$3)*1,0),0))),"",INDEX('Reparto de brigadas'!$A$4:$A$11,MATCH(1,INDEX(EXACT('Reparto de brigadas'!$N$4:$N$11,"Prof. Benitez"&amp;CHAR(31)&amp;$A6&amp;CHAR(31)&amp;B$3)*1,0),0))))&amp;" (+"&amp;(SUMPRODUCT(1*EXACT('Reparto de brigadas'!$N$4:$N$11,"Prof. Benitez"&amp;CHAR(31)&amp;$A6&amp;CHAR(31)&amp;B$3))-1)&amp;")",IF(ISNA(MATCH(1,INDEX(EXACT('Reparto de brigadas'!$N$4:$N$11,"Prof. Benitez"&amp;CHAR(31)&amp;$A6&amp;CHAR(31)&amp;B$3)*1,0),0)),"",IF(ISBLANK(INDEX('Reparto de brigadas'!$A$4:$A$11,MATCH(1,INDEX(EXACT('Reparto de brigadas'!$N$4:$N$11,"Prof. Benitez"&amp;CHAR(31)&amp;$A6&amp;CHAR(31)&amp;B$3)*1,0),0))),"",INDEX('Reparto de brigadas'!$A$4:$A$11,MATCH(1,INDEX(EXACT('Reparto de brigadas'!$N$4:$N$11,"Prof. Benitez"&amp;CHAR(31)&amp;$A6&amp;CHAR(31)&amp;B$3)*1,0),0)))))</f>
        <v/>
      </c>
      <c r="C6" s="3">
        <f>IF(SUMPRODUCT(1*EXACT('Reparto de brigadas'!$N$4:$N$11,"Prof. Benitez"&amp;CHAR(31)&amp;$A6&amp;CHAR(31)&amp;C$3))&gt;1,IF(ISNA(MATCH(1,INDEX(EXACT('Reparto de brigadas'!$N$4:$N$11,"Prof. Benitez"&amp;CHAR(31)&amp;$A6&amp;CHAR(31)&amp;C$3)*1,0),0)),"",IF(ISBLANK(INDEX('Reparto de brigadas'!$A$4:$A$11,MATCH(1,INDEX(EXACT('Reparto de brigadas'!$N$4:$N$11,"Prof. Benitez"&amp;CHAR(31)&amp;$A6&amp;CHAR(31)&amp;C$3)*1,0),0))),"",INDEX('Reparto de brigadas'!$A$4:$A$11,MATCH(1,INDEX(EXACT('Reparto de brigadas'!$N$4:$N$11,"Prof. Benitez"&amp;CHAR(31)&amp;$A6&amp;CHAR(31)&amp;C$3)*1,0),0))))&amp;" (+"&amp;(SUMPRODUCT(1*EXACT('Reparto de brigadas'!$N$4:$N$11,"Prof. Benitez"&amp;CHAR(31)&amp;$A6&amp;CHAR(31)&amp;C$3))-1)&amp;")",IF(ISNA(MATCH(1,INDEX(EXACT('Reparto de brigadas'!$N$4:$N$11,"Prof. Benitez"&amp;CHAR(31)&amp;$A6&amp;CHAR(31)&amp;C$3)*1,0),0)),"",IF(ISBLANK(INDEX('Reparto de brigadas'!$A$4:$A$11,MATCH(1,INDEX(EXACT('Reparto de brigadas'!$N$4:$N$11,"Prof. Benitez"&amp;CHAR(31)&amp;$A6&amp;CHAR(31)&amp;C$3)*1,0),0))),"",INDEX('Reparto de brigadas'!$A$4:$A$11,MATCH(1,INDEX(EXACT('Reparto de brigadas'!$N$4:$N$11,"Prof. Benitez"&amp;CHAR(31)&amp;$A6&amp;CHAR(31)&amp;C$3)*1,0),0)))))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C6">
    <cfRule type="expression" priority="1" dxfId="0" stopIfTrue="0">
      <formula>IFERROR(INDEX('Reparto de brigadas'!$L$4:$L$11,MATCH(1,INDEX(EXACT('Reparto de brigadas'!$N$4:$N$11,"Prof. Benitez"&amp;CHAR(31)&amp;$A4&amp;CHAR(31)&amp;B$3)*1,0),0)),0)=3</formula>
    </cfRule>
    <cfRule type="expression" priority="2" dxfId="1" stopIfTrue="0">
      <formula>IFERROR(INDEX('Reparto de brigadas'!$L$4:$L$11,MATCH(1,INDEX(EXACT('Reparto de brigadas'!$N$4:$N$11,"Prof. Benitez"&amp;CHAR(31)&amp;$A4&amp;CHAR(31)&amp;B$3)*1,0),0)),0)=2</formula>
    </cfRule>
    <cfRule type="expression" priority="3" dxfId="2" stopIfTrue="0">
      <formula>IFERROR(INDEX('Reparto de brigadas'!$L$4:$L$11,MATCH(1,INDEX(EXACT('Reparto de brigadas'!$N$4:$N$11,"Prof. Benitez"&amp;CHAR(31)&amp;$A4&amp;CHAR(31)&amp;B$3)*1,0),0)),0)=1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</cols>
  <sheetData>
    <row r="1">
      <c r="A1" s="1" t="inlineStr">
        <is>
          <t>Horario del profesor - Prof. Castro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IF(SUMPRODUCT(1*EXACT('Reparto de brigadas'!$N$4:$N$11,"Prof. Castro"&amp;CHAR(31)&amp;$A4&amp;CHAR(31)&amp;B$3))&gt;1,IF(ISNA(MATCH(1,INDEX(EXACT('Reparto de brigadas'!$N$4:$N$11,"Prof. Castro"&amp;CHAR(31)&amp;$A4&amp;CHAR(31)&amp;B$3)*1,0),0)),"",IF(ISBLANK(INDEX('Reparto de brigadas'!$A$4:$A$11,MATCH(1,INDEX(EXACT('Reparto de brigadas'!$N$4:$N$11,"Prof. Castro"&amp;CHAR(31)&amp;$A4&amp;CHAR(31)&amp;B$3)*1,0),0))),"",INDEX('Reparto de brigadas'!$A$4:$A$11,MATCH(1,INDEX(EXACT('Reparto de brigadas'!$N$4:$N$11,"Prof. Castro"&amp;CHAR(31)&amp;$A4&amp;CHAR(31)&amp;B$3)*1,0),0))))&amp;" (+"&amp;(SUMPRODUCT(1*EXACT('Reparto de brigadas'!$N$4:$N$11,"Prof. Castro"&amp;CHAR(31)&amp;$A4&amp;CHAR(31)&amp;B$3))-1)&amp;")",IF(ISNA(MATCH(1,INDEX(EXACT('Reparto de brigadas'!$N$4:$N$11,"Prof. Castro"&amp;CHAR(31)&amp;$A4&amp;CHAR(31)&amp;B$3)*1,0),0)),"",IF(ISBLANK(INDEX('Reparto de brigadas'!$A$4:$A$11,MATCH(1,INDEX(EXACT('Reparto de brigadas'!$N$4:$N$11,"Prof. Castro"&amp;CHAR(31)&amp;$A4&amp;CHAR(31)&amp;B$3)*1,0),0))),"",INDEX('Reparto de brigadas'!$A$4:$A$11,MATCH(1,INDEX(EXACT('Reparto de brigadas'!$N$4:$N$11,"Prof. Castro"&amp;CHAR(31)&amp;$A4&amp;CHAR(31)&amp;B$3)*1,0),0)))))</f>
        <v/>
      </c>
      <c r="C4" s="3">
        <f>IF(SUMPRODUCT(1*EXACT('Reparto de brigadas'!$N$4:$N$11,"Prof. Castro"&amp;CHAR(31)&amp;$A4&amp;CHAR(31)&amp;C$3))&gt;1,IF(ISNA(MATCH(1,INDEX(EXACT('Reparto de brigadas'!$N$4:$N$11,"Prof. Castro"&amp;CHAR(31)&amp;$A4&amp;CHAR(31)&amp;C$3)*1,0),0)),"",IF(ISBLANK(INDEX('Reparto de brigadas'!$A$4:$A$11,MATCH(1,INDEX(EXACT('Reparto de brigadas'!$N$4:$N$11,"Prof. Castro"&amp;CHAR(31)&amp;$A4&amp;CHAR(31)&amp;C$3)*1,0),0))),"",INDEX('Reparto de brigadas'!$A$4:$A$11,MATCH(1,INDEX(EXACT('Reparto de brigadas'!$N$4:$N$11,"Prof. Castro"&amp;CHAR(31)&amp;$A4&amp;CHAR(31)&amp;C$3)*1,0),0))))&amp;" (+"&amp;(SUMPRODUCT(1*EXACT('Reparto de brigadas'!$N$4:$N$11,"Prof. Castro"&amp;CHAR(31)&amp;$A4&amp;CHAR(31)&amp;C$3))-1)&amp;")",IF(ISNA(MATCH(1,INDEX(EXACT('Reparto de brigadas'!$N$4:$N$11,"Prof. Castro"&amp;CHAR(31)&amp;$A4&amp;CHAR(31)&amp;C$3)*1,0),0)),"",IF(ISBLANK(INDEX('Reparto de brigadas'!$A$4:$A$11,MATCH(1,INDEX(EXACT('Reparto de brigadas'!$N$4:$N$11,"Prof. Castro"&amp;CHAR(31)&amp;$A4&amp;CHAR(31)&amp;C$3)*1,0),0))),"",INDEX('Reparto de brigadas'!$A$4:$A$11,MATCH(1,INDEX(EXACT('Reparto de brigadas'!$N$4:$N$11,"Prof. Castro"&amp;CHAR(31)&amp;$A4&amp;CHAR(31)&amp;C$3)*1,0),0)))))</f>
        <v/>
      </c>
    </row>
    <row r="5">
      <c r="A5" s="3" t="inlineStr">
        <is>
          <t>11 a.m.</t>
        </is>
      </c>
      <c r="B5" s="3">
        <f>IF(SUMPRODUCT(1*EXACT('Reparto de brigadas'!$N$4:$N$11,"Prof. Castro"&amp;CHAR(31)&amp;$A5&amp;CHAR(31)&amp;B$3))&gt;1,IF(ISNA(MATCH(1,INDEX(EXACT('Reparto de brigadas'!$N$4:$N$11,"Prof. Castro"&amp;CHAR(31)&amp;$A5&amp;CHAR(31)&amp;B$3)*1,0),0)),"",IF(ISBLANK(INDEX('Reparto de brigadas'!$A$4:$A$11,MATCH(1,INDEX(EXACT('Reparto de brigadas'!$N$4:$N$11,"Prof. Castro"&amp;CHAR(31)&amp;$A5&amp;CHAR(31)&amp;B$3)*1,0),0))),"",INDEX('Reparto de brigadas'!$A$4:$A$11,MATCH(1,INDEX(EXACT('Reparto de brigadas'!$N$4:$N$11,"Prof. Castro"&amp;CHAR(31)&amp;$A5&amp;CHAR(31)&amp;B$3)*1,0),0))))&amp;" (+"&amp;(SUMPRODUCT(1*EXACT('Reparto de brigadas'!$N$4:$N$11,"Prof. Castro"&amp;CHAR(31)&amp;$A5&amp;CHAR(31)&amp;B$3))-1)&amp;")",IF(ISNA(MATCH(1,INDEX(EXACT('Reparto de brigadas'!$N$4:$N$11,"Prof. Castro"&amp;CHAR(31)&amp;$A5&amp;CHAR(31)&amp;B$3)*1,0),0)),"",IF(ISBLANK(INDEX('Reparto de brigadas'!$A$4:$A$11,MATCH(1,INDEX(EXACT('Reparto de brigadas'!$N$4:$N$11,"Prof. Castro"&amp;CHAR(31)&amp;$A5&amp;CHAR(31)&amp;B$3)*1,0),0))),"",INDEX('Reparto de brigadas'!$A$4:$A$11,MATCH(1,INDEX(EXACT('Reparto de brigadas'!$N$4:$N$11,"Prof. Castro"&amp;CHAR(31)&amp;$A5&amp;CHAR(31)&amp;B$3)*1,0),0)))))</f>
        <v/>
      </c>
      <c r="C5" s="3">
        <f>IF(SUMPRODUCT(1*EXACT('Reparto de brigadas'!$N$4:$N$11,"Prof. Castro"&amp;CHAR(31)&amp;$A5&amp;CHAR(31)&amp;C$3))&gt;1,IF(ISNA(MATCH(1,INDEX(EXACT('Reparto de brigadas'!$N$4:$N$11,"Prof. Castro"&amp;CHAR(31)&amp;$A5&amp;CHAR(31)&amp;C$3)*1,0),0)),"",IF(ISBLANK(INDEX('Reparto de brigadas'!$A$4:$A$11,MATCH(1,INDEX(EXACT('Reparto de brigadas'!$N$4:$N$11,"Prof. Castro"&amp;CHAR(31)&amp;$A5&amp;CHAR(31)&amp;C$3)*1,0),0))),"",INDEX('Reparto de brigadas'!$A$4:$A$11,MATCH(1,INDEX(EXACT('Reparto de brigadas'!$N$4:$N$11,"Prof. Castro"&amp;CHAR(31)&amp;$A5&amp;CHAR(31)&amp;C$3)*1,0),0))))&amp;" (+"&amp;(SUMPRODUCT(1*EXACT('Reparto de brigadas'!$N$4:$N$11,"Prof. Castro"&amp;CHAR(31)&amp;$A5&amp;CHAR(31)&amp;C$3))-1)&amp;")",IF(ISNA(MATCH(1,INDEX(EXACT('Reparto de brigadas'!$N$4:$N$11,"Prof. Castro"&amp;CHAR(31)&amp;$A5&amp;CHAR(31)&amp;C$3)*1,0),0)),"",IF(ISBLANK(INDEX('Reparto de brigadas'!$A$4:$A$11,MATCH(1,INDEX(EXACT('Reparto de brigadas'!$N$4:$N$11,"Prof. Castro"&amp;CHAR(31)&amp;$A5&amp;CHAR(31)&amp;C$3)*1,0),0))),"",INDEX('Reparto de brigadas'!$A$4:$A$11,MATCH(1,INDEX(EXACT('Reparto de brigadas'!$N$4:$N$11,"Prof. Castro"&amp;CHAR(31)&amp;$A5&amp;CHAR(31)&amp;C$3)*1,0),0)))))</f>
        <v/>
      </c>
    </row>
    <row r="6">
      <c r="A6" s="3" t="inlineStr">
        <is>
          <t>3 p.m.</t>
        </is>
      </c>
      <c r="B6" s="3">
        <f>IF(SUMPRODUCT(1*EXACT('Reparto de brigadas'!$N$4:$N$11,"Prof. Castro"&amp;CHAR(31)&amp;$A6&amp;CHAR(31)&amp;B$3))&gt;1,IF(ISNA(MATCH(1,INDEX(EXACT('Reparto de brigadas'!$N$4:$N$11,"Prof. Castro"&amp;CHAR(31)&amp;$A6&amp;CHAR(31)&amp;B$3)*1,0),0)),"",IF(ISBLANK(INDEX('Reparto de brigadas'!$A$4:$A$11,MATCH(1,INDEX(EXACT('Reparto de brigadas'!$N$4:$N$11,"Prof. Castro"&amp;CHAR(31)&amp;$A6&amp;CHAR(31)&amp;B$3)*1,0),0))),"",INDEX('Reparto de brigadas'!$A$4:$A$11,MATCH(1,INDEX(EXACT('Reparto de brigadas'!$N$4:$N$11,"Prof. Castro"&amp;CHAR(31)&amp;$A6&amp;CHAR(31)&amp;B$3)*1,0),0))))&amp;" (+"&amp;(SUMPRODUCT(1*EXACT('Reparto de brigadas'!$N$4:$N$11,"Prof. Castro"&amp;CHAR(31)&amp;$A6&amp;CHAR(31)&amp;B$3))-1)&amp;")",IF(ISNA(MATCH(1,INDEX(EXACT('Reparto de brigadas'!$N$4:$N$11,"Prof. Castro"&amp;CHAR(31)&amp;$A6&amp;CHAR(31)&amp;B$3)*1,0),0)),"",IF(ISBLANK(INDEX('Reparto de brigadas'!$A$4:$A$11,MATCH(1,INDEX(EXACT('Reparto de brigadas'!$N$4:$N$11,"Prof. Castro"&amp;CHAR(31)&amp;$A6&amp;CHAR(31)&amp;B$3)*1,0),0))),"",INDEX('Reparto de brigadas'!$A$4:$A$11,MATCH(1,INDEX(EXACT('Reparto de brigadas'!$N$4:$N$11,"Prof. Castro"&amp;CHAR(31)&amp;$A6&amp;CHAR(31)&amp;B$3)*1,0),0)))))</f>
        <v/>
      </c>
      <c r="C6" s="3">
        <f>IF(SUMPRODUCT(1*EXACT('Reparto de brigadas'!$N$4:$N$11,"Prof. Castro"&amp;CHAR(31)&amp;$A6&amp;CHAR(31)&amp;C$3))&gt;1,IF(ISNA(MATCH(1,INDEX(EXACT('Reparto de brigadas'!$N$4:$N$11,"Prof. Castro"&amp;CHAR(31)&amp;$A6&amp;CHAR(31)&amp;C$3)*1,0),0)),"",IF(ISBLANK(INDEX('Reparto de brigadas'!$A$4:$A$11,MATCH(1,INDEX(EXACT('Reparto de brigadas'!$N$4:$N$11,"Prof. Castro"&amp;CHAR(31)&amp;$A6&amp;CHAR(31)&amp;C$3)*1,0),0))),"",INDEX('Reparto de brigadas'!$A$4:$A$11,MATCH(1,INDEX(EXACT('Reparto de brigadas'!$N$4:$N$11,"Prof. Castro"&amp;CHAR(31)&amp;$A6&amp;CHAR(31)&amp;C$3)*1,0),0))))&amp;" (+"&amp;(SUMPRODUCT(1*EXACT('Reparto de brigadas'!$N$4:$N$11,"Prof. Castro"&amp;CHAR(31)&amp;$A6&amp;CHAR(31)&amp;C$3))-1)&amp;")",IF(ISNA(MATCH(1,INDEX(EXACT('Reparto de brigadas'!$N$4:$N$11,"Prof. Castro"&amp;CHAR(31)&amp;$A6&amp;CHAR(31)&amp;C$3)*1,0),0)),"",IF(ISBLANK(INDEX('Reparto de brigadas'!$A$4:$A$11,MATCH(1,INDEX(EXACT('Reparto de brigadas'!$N$4:$N$11,"Prof. Castro"&amp;CHAR(31)&amp;$A6&amp;CHAR(31)&amp;C$3)*1,0),0))),"",INDEX('Reparto de brigadas'!$A$4:$A$11,MATCH(1,INDEX(EXACT('Reparto de brigadas'!$N$4:$N$11,"Prof. Castro"&amp;CHAR(31)&amp;$A6&amp;CHAR(31)&amp;C$3)*1,0),0)))))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C6">
    <cfRule type="expression" priority="1" dxfId="0" stopIfTrue="0">
      <formula>IFERROR(INDEX('Reparto de brigadas'!$L$4:$L$11,MATCH(1,INDEX(EXACT('Reparto de brigadas'!$N$4:$N$11,"Prof. Castro"&amp;CHAR(31)&amp;$A4&amp;CHAR(31)&amp;B$3)*1,0),0)),0)=3</formula>
    </cfRule>
    <cfRule type="expression" priority="2" dxfId="1" stopIfTrue="0">
      <formula>IFERROR(INDEX('Reparto de brigadas'!$L$4:$L$11,MATCH(1,INDEX(EXACT('Reparto de brigadas'!$N$4:$N$11,"Prof. Castro"&amp;CHAR(31)&amp;$A4&amp;CHAR(31)&amp;B$3)*1,0),0)),0)=2</formula>
    </cfRule>
    <cfRule type="expression" priority="3" dxfId="2" stopIfTrue="0">
      <formula>IFERROR(INDEX('Reparto de brigadas'!$L$4:$L$11,MATCH(1,INDEX(EXACT('Reparto de brigadas'!$N$4:$N$11,"Prof. Castro"&amp;CHAR(31)&amp;$A4&amp;CHAR(31)&amp;B$3)*1,0),0)),0)=1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7" customWidth="1" min="3" max="3"/>
  </cols>
  <sheetData>
    <row r="1">
      <c r="A1" s="1" t="inlineStr">
        <is>
          <t>Horario del profesor - Prof. Diaz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IF(SUMPRODUCT(1*EXACT('Reparto de brigadas'!$N$4:$N$11,"Prof. Diaz"&amp;CHAR(31)&amp;$A4&amp;CHAR(31)&amp;B$3))&gt;1,IF(ISNA(MATCH(1,INDEX(EXACT('Reparto de brigadas'!$N$4:$N$11,"Prof. Diaz"&amp;CHAR(31)&amp;$A4&amp;CHAR(31)&amp;B$3)*1,0),0)),"",IF(ISBLANK(INDEX('Reparto de brigadas'!$A$4:$A$11,MATCH(1,INDEX(EXACT('Reparto de brigadas'!$N$4:$N$11,"Prof. Diaz"&amp;CHAR(31)&amp;$A4&amp;CHAR(31)&amp;B$3)*1,0),0))),"",INDEX('Reparto de brigadas'!$A$4:$A$11,MATCH(1,INDEX(EXACT('Reparto de brigadas'!$N$4:$N$11,"Prof. Diaz"&amp;CHAR(31)&amp;$A4&amp;CHAR(31)&amp;B$3)*1,0),0))))&amp;" (+"&amp;(SUMPRODUCT(1*EXACT('Reparto de brigadas'!$N$4:$N$11,"Prof. Diaz"&amp;CHAR(31)&amp;$A4&amp;CHAR(31)&amp;B$3))-1)&amp;")",IF(ISNA(MATCH(1,INDEX(EXACT('Reparto de brigadas'!$N$4:$N$11,"Prof. Diaz"&amp;CHAR(31)&amp;$A4&amp;CHAR(31)&amp;B$3)*1,0),0)),"",IF(ISBLANK(INDEX('Reparto de brigadas'!$A$4:$A$11,MATCH(1,INDEX(EXACT('Reparto de brigadas'!$N$4:$N$11,"Prof. Diaz"&amp;CHAR(31)&amp;$A4&amp;CHAR(31)&amp;B$3)*1,0),0))),"",INDEX('Reparto de brigadas'!$A$4:$A$11,MATCH(1,INDEX(EXACT('Reparto de brigadas'!$N$4:$N$11,"Prof. Diaz"&amp;CHAR(31)&amp;$A4&amp;CHAR(31)&amp;B$3)*1,0),0)))))</f>
        <v/>
      </c>
      <c r="C4" s="3">
        <f>IF(SUMPRODUCT(1*EXACT('Reparto de brigadas'!$N$4:$N$11,"Prof. Diaz"&amp;CHAR(31)&amp;$A4&amp;CHAR(31)&amp;C$3))&gt;1,IF(ISNA(MATCH(1,INDEX(EXACT('Reparto de brigadas'!$N$4:$N$11,"Prof. Diaz"&amp;CHAR(31)&amp;$A4&amp;CHAR(31)&amp;C$3)*1,0),0)),"",IF(ISBLANK(INDEX('Reparto de brigadas'!$A$4:$A$11,MATCH(1,INDEX(EXACT('Reparto de brigadas'!$N$4:$N$11,"Prof. Diaz"&amp;CHAR(31)&amp;$A4&amp;CHAR(31)&amp;C$3)*1,0),0))),"",INDEX('Reparto de brigadas'!$A$4:$A$11,MATCH(1,INDEX(EXACT('Reparto de brigadas'!$N$4:$N$11,"Prof. Diaz"&amp;CHAR(31)&amp;$A4&amp;CHAR(31)&amp;C$3)*1,0),0))))&amp;" (+"&amp;(SUMPRODUCT(1*EXACT('Reparto de brigadas'!$N$4:$N$11,"Prof. Diaz"&amp;CHAR(31)&amp;$A4&amp;CHAR(31)&amp;C$3))-1)&amp;")",IF(ISNA(MATCH(1,INDEX(EXACT('Reparto de brigadas'!$N$4:$N$11,"Prof. Diaz"&amp;CHAR(31)&amp;$A4&amp;CHAR(31)&amp;C$3)*1,0),0)),"",IF(ISBLANK(INDEX('Reparto de brigadas'!$A$4:$A$11,MATCH(1,INDEX(EXACT('Reparto de brigadas'!$N$4:$N$11,"Prof. Diaz"&amp;CHAR(31)&amp;$A4&amp;CHAR(31)&amp;C$3)*1,0),0))),"",INDEX('Reparto de brigadas'!$A$4:$A$11,MATCH(1,INDEX(EXACT('Reparto de brigadas'!$N$4:$N$11,"Prof. Diaz"&amp;CHAR(31)&amp;$A4&amp;CHAR(31)&amp;C$3)*1,0),0)))))</f>
        <v/>
      </c>
    </row>
    <row r="5">
      <c r="A5" s="3" t="inlineStr">
        <is>
          <t>11 a.m.</t>
        </is>
      </c>
      <c r="B5" s="3">
        <f>IF(SUMPRODUCT(1*EXACT('Reparto de brigadas'!$N$4:$N$11,"Prof. Diaz"&amp;CHAR(31)&amp;$A5&amp;CHAR(31)&amp;B$3))&gt;1,IF(ISNA(MATCH(1,INDEX(EXACT('Reparto de brigadas'!$N$4:$N$11,"Prof. Diaz"&amp;CHAR(31)&amp;$A5&amp;CHAR(31)&amp;B$3)*1,0),0)),"",IF(ISBLANK(INDEX('Reparto de brigadas'!$A$4:$A$11,MATCH(1,INDEX(EXACT('Reparto de brigadas'!$N$4:$N$11,"Prof. Diaz"&amp;CHAR(31)&amp;$A5&amp;CHAR(31)&amp;B$3)*1,0),0))),"",INDEX('Reparto de brigadas'!$A$4:$A$11,MATCH(1,INDEX(EXACT('Reparto de brigadas'!$N$4:$N$11,"Prof. Diaz"&amp;CHAR(31)&amp;$A5&amp;CHAR(31)&amp;B$3)*1,0),0))))&amp;" (+"&amp;(SUMPRODUCT(1*EXACT('Reparto de brigadas'!$N$4:$N$11,"Prof. Diaz"&amp;CHAR(31)&amp;$A5&amp;CHAR(31)&amp;B$3))-1)&amp;")",IF(ISNA(MATCH(1,INDEX(EXACT('Reparto de brigadas'!$N$4:$N$11,"Prof. Diaz"&amp;CHAR(31)&amp;$A5&amp;CHAR(31)&amp;B$3)*1,0),0)),"",IF(ISBLANK(INDEX('Reparto de brigadas'!$A$4:$A$11,MATCH(1,INDEX(EXACT('Reparto de brigadas'!$N$4:$N$11,"Prof. Diaz"&amp;CHAR(31)&amp;$A5&amp;CHAR(31)&amp;B$3)*1,0),0))),"",INDEX('Reparto de brigadas'!$A$4:$A$11,MATCH(1,INDEX(EXACT('Reparto de brigadas'!$N$4:$N$11,"Prof. Diaz"&amp;CHAR(31)&amp;$A5&amp;CHAR(31)&amp;B$3)*1,0),0)))))</f>
        <v/>
      </c>
      <c r="C5" s="3">
        <f>IF(SUMPRODUCT(1*EXACT('Reparto de brigadas'!$N$4:$N$11,"Prof. Diaz"&amp;CHAR(31)&amp;$A5&amp;CHAR(31)&amp;C$3))&gt;1,IF(ISNA(MATCH(1,INDEX(EXACT('Reparto de brigadas'!$N$4:$N$11,"Prof. Diaz"&amp;CHAR(31)&amp;$A5&amp;CHAR(31)&amp;C$3)*1,0),0)),"",IF(ISBLANK(INDEX('Reparto de brigadas'!$A$4:$A$11,MATCH(1,INDEX(EXACT('Reparto de brigadas'!$N$4:$N$11,"Prof. Diaz"&amp;CHAR(31)&amp;$A5&amp;CHAR(31)&amp;C$3)*1,0),0))),"",INDEX('Reparto de brigadas'!$A$4:$A$11,MATCH(1,INDEX(EXACT('Reparto de brigadas'!$N$4:$N$11,"Prof. Diaz"&amp;CHAR(31)&amp;$A5&amp;CHAR(31)&amp;C$3)*1,0),0))))&amp;" (+"&amp;(SUMPRODUCT(1*EXACT('Reparto de brigadas'!$N$4:$N$11,"Prof. Diaz"&amp;CHAR(31)&amp;$A5&amp;CHAR(31)&amp;C$3))-1)&amp;")",IF(ISNA(MATCH(1,INDEX(EXACT('Reparto de brigadas'!$N$4:$N$11,"Prof. Diaz"&amp;CHAR(31)&amp;$A5&amp;CHAR(31)&amp;C$3)*1,0),0)),"",IF(ISBLANK(INDEX('Reparto de brigadas'!$A$4:$A$11,MATCH(1,INDEX(EXACT('Reparto de brigadas'!$N$4:$N$11,"Prof. Diaz"&amp;CHAR(31)&amp;$A5&amp;CHAR(31)&amp;C$3)*1,0),0))),"",INDEX('Reparto de brigadas'!$A$4:$A$11,MATCH(1,INDEX(EXACT('Reparto de brigadas'!$N$4:$N$11,"Prof. Diaz"&amp;CHAR(31)&amp;$A5&amp;CHAR(31)&amp;C$3)*1,0),0)))))</f>
        <v/>
      </c>
    </row>
    <row r="6">
      <c r="A6" s="3" t="inlineStr">
        <is>
          <t>3 p.m.</t>
        </is>
      </c>
      <c r="B6" s="3">
        <f>IF(SUMPRODUCT(1*EXACT('Reparto de brigadas'!$N$4:$N$11,"Prof. Diaz"&amp;CHAR(31)&amp;$A6&amp;CHAR(31)&amp;B$3))&gt;1,IF(ISNA(MATCH(1,INDEX(EXACT('Reparto de brigadas'!$N$4:$N$11,"Prof. Diaz"&amp;CHAR(31)&amp;$A6&amp;CHAR(31)&amp;B$3)*1,0),0)),"",IF(ISBLANK(INDEX('Reparto de brigadas'!$A$4:$A$11,MATCH(1,INDEX(EXACT('Reparto de brigadas'!$N$4:$N$11,"Prof. Diaz"&amp;CHAR(31)&amp;$A6&amp;CHAR(31)&amp;B$3)*1,0),0))),"",INDEX('Reparto de brigadas'!$A$4:$A$11,MATCH(1,INDEX(EXACT('Reparto de brigadas'!$N$4:$N$11,"Prof. Diaz"&amp;CHAR(31)&amp;$A6&amp;CHAR(31)&amp;B$3)*1,0),0))))&amp;" (+"&amp;(SUMPRODUCT(1*EXACT('Reparto de brigadas'!$N$4:$N$11,"Prof. Diaz"&amp;CHAR(31)&amp;$A6&amp;CHAR(31)&amp;B$3))-1)&amp;")",IF(ISNA(MATCH(1,INDEX(EXACT('Reparto de brigadas'!$N$4:$N$11,"Prof. Diaz"&amp;CHAR(31)&amp;$A6&amp;CHAR(31)&amp;B$3)*1,0),0)),"",IF(ISBLANK(INDEX('Reparto de brigadas'!$A$4:$A$11,MATCH(1,INDEX(EXACT('Reparto de brigadas'!$N$4:$N$11,"Prof. Diaz"&amp;CHAR(31)&amp;$A6&amp;CHAR(31)&amp;B$3)*1,0),0))),"",INDEX('Reparto de brigadas'!$A$4:$A$11,MATCH(1,INDEX(EXACT('Reparto de brigadas'!$N$4:$N$11,"Prof. Diaz"&amp;CHAR(31)&amp;$A6&amp;CHAR(31)&amp;B$3)*1,0),0)))))</f>
        <v/>
      </c>
      <c r="C6" s="3">
        <f>IF(SUMPRODUCT(1*EXACT('Reparto de brigadas'!$N$4:$N$11,"Prof. Diaz"&amp;CHAR(31)&amp;$A6&amp;CHAR(31)&amp;C$3))&gt;1,IF(ISNA(MATCH(1,INDEX(EXACT('Reparto de brigadas'!$N$4:$N$11,"Prof. Diaz"&amp;CHAR(31)&amp;$A6&amp;CHAR(31)&amp;C$3)*1,0),0)),"",IF(ISBLANK(INDEX('Reparto de brigadas'!$A$4:$A$11,MATCH(1,INDEX(EXACT('Reparto de brigadas'!$N$4:$N$11,"Prof. Diaz"&amp;CHAR(31)&amp;$A6&amp;CHAR(31)&amp;C$3)*1,0),0))),"",INDEX('Reparto de brigadas'!$A$4:$A$11,MATCH(1,INDEX(EXACT('Reparto de brigadas'!$N$4:$N$11,"Prof. Diaz"&amp;CHAR(31)&amp;$A6&amp;CHAR(31)&amp;C$3)*1,0),0))))&amp;" (+"&amp;(SUMPRODUCT(1*EXACT('Reparto de brigadas'!$N$4:$N$11,"Prof. Diaz"&amp;CHAR(31)&amp;$A6&amp;CHAR(31)&amp;C$3))-1)&amp;")",IF(ISNA(MATCH(1,INDEX(EXACT('Reparto de brigadas'!$N$4:$N$11,"Prof. Diaz"&amp;CHAR(31)&amp;$A6&amp;CHAR(31)&amp;C$3)*1,0),0)),"",IF(ISBLANK(INDEX('Reparto de brigadas'!$A$4:$A$11,MATCH(1,INDEX(EXACT('Reparto de brigadas'!$N$4:$N$11,"Prof. Diaz"&amp;CHAR(31)&amp;$A6&amp;CHAR(31)&amp;C$3)*1,0),0))),"",INDEX('Reparto de brigadas'!$A$4:$A$11,MATCH(1,INDEX(EXACT('Reparto de brigadas'!$N$4:$N$11,"Prof. Diaz"&amp;CHAR(31)&amp;$A6&amp;CHAR(31)&amp;C$3)*1,0),0)))))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C6">
    <cfRule type="expression" priority="1" dxfId="0" stopIfTrue="0">
      <formula>IFERROR(INDEX('Reparto de brigadas'!$L$4:$L$11,MATCH(1,INDEX(EXACT('Reparto de brigadas'!$N$4:$N$11,"Prof. Diaz"&amp;CHAR(31)&amp;$A4&amp;CHAR(31)&amp;B$3)*1,0),0)),0)=3</formula>
    </cfRule>
    <cfRule type="expression" priority="2" dxfId="1" stopIfTrue="0">
      <formula>IFERROR(INDEX('Reparto de brigadas'!$L$4:$L$11,MATCH(1,INDEX(EXACT('Reparto de brigadas'!$N$4:$N$11,"Prof. Diaz"&amp;CHAR(31)&amp;$A4&amp;CHAR(31)&amp;B$3)*1,0),0)),0)=2</formula>
    </cfRule>
    <cfRule type="expression" priority="3" dxfId="2" stopIfTrue="0">
      <formula>IFERROR(INDEX('Reparto de brigadas'!$L$4:$L$11,MATCH(1,INDEX(EXACT('Reparto de brigadas'!$N$4:$N$11,"Prof. Diaz"&amp;CHAR(31)&amp;$A4&amp;CHAR(31)&amp;B$3)*1,0),0)),0)=1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N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10" customWidth="1" min="3" max="3"/>
    <col width="15" customWidth="1" min="4" max="4"/>
    <col width="9" customWidth="1" min="5" max="5"/>
    <col width="13" customWidth="1" min="6" max="6"/>
    <col width="8" customWidth="1" min="7" max="7"/>
    <col width="11" customWidth="1" min="8" max="8"/>
    <col width="15" customWidth="1" min="9" max="9"/>
    <col width="20" customWidth="1" min="10" max="10"/>
    <col width="40" customWidth="1" min="11" max="11"/>
    <col hidden="1" width="24" customWidth="1" min="12" max="12"/>
    <col hidden="1" width="37" customWidth="1" min="13" max="13"/>
    <col hidden="1" width="34" customWidth="1" min="14" max="14"/>
  </cols>
  <sheetData>
    <row r="1">
      <c r="A1" s="1" t="inlineStr">
        <is>
          <t>Reparto de brigadas</t>
        </is>
      </c>
    </row>
    <row r="3">
      <c r="A3" s="2" t="inlineStr">
        <is>
          <t>Brigada</t>
        </is>
      </c>
      <c r="B3" s="2" t="inlineStr">
        <is>
          <t>Ano</t>
        </is>
      </c>
      <c r="C3" s="2" t="inlineStr">
        <is>
          <t>Personas</t>
        </is>
      </c>
      <c r="D3" s="2" t="inlineStr">
        <is>
          <t>Profesor</t>
        </is>
      </c>
      <c r="E3" s="2" t="inlineStr">
        <is>
          <t>Horario</t>
        </is>
      </c>
      <c r="F3" s="2" t="inlineStr">
        <is>
          <t>Instalacion</t>
        </is>
      </c>
      <c r="G3" s="2" t="inlineStr">
        <is>
          <t>Semana</t>
        </is>
      </c>
      <c r="H3" s="2" t="inlineStr">
        <is>
          <t>Capacidad</t>
        </is>
      </c>
      <c r="I3" s="2" t="inlineStr">
        <is>
          <t>Ano#Horario</t>
        </is>
      </c>
      <c r="J3" s="2" t="inlineStr">
        <is>
          <t>Horario disponible</t>
        </is>
      </c>
      <c r="K3" s="2" t="inlineStr">
        <is>
          <t>Estado</t>
        </is>
      </c>
      <c r="L3" s="2" t="inlineStr">
        <is>
          <t>(nivel de las marcas)</t>
        </is>
      </c>
      <c r="M3" s="2" t="inlineStr">
        <is>
          <t>(clave semana|instalacion|horario)</t>
        </is>
      </c>
      <c r="N3" s="2" t="inlineStr">
        <is>
          <t>(clave profesor|horario|semana)</t>
        </is>
      </c>
    </row>
    <row r="4">
      <c r="A4" s="3" t="inlineStr">
        <is>
          <t>C111</t>
        </is>
      </c>
      <c r="B4" s="3" t="inlineStr">
        <is>
          <t>CC-1</t>
        </is>
      </c>
      <c r="C4" s="3" t="n">
        <v>28</v>
      </c>
      <c r="D4" s="3" t="inlineStr">
        <is>
          <t>Prof. Alvarez</t>
        </is>
      </c>
      <c r="E4" s="4" t="inlineStr">
        <is>
          <t>10 a.m.</t>
        </is>
      </c>
      <c r="F4" s="4" t="inlineStr">
        <is>
          <t>Pista 1</t>
        </is>
      </c>
      <c r="G4" s="3">
        <f>IF(ISNA(MATCH(1,INDEX(EXACT('Anos de carrera'!$A$4:$A$9,$B4)*1,0),0)),"",IF(ISBLANK(INDEX('Anos de carrera'!$C$4:$C$9,MATCH(1,INDEX(EXACT('Anos de carrera'!$A$4:$A$9,$B4)*1,0),0))),"",INDEX('Anos de carrera'!$C$4:$C$9,MATCH(1,INDEX(EXACT('Anos de carrera'!$A$4:$A$9,$B4)*1,0),0))))</f>
        <v/>
      </c>
      <c r="H4" s="3">
        <f>IF(ISNA(MATCH(1,INDEX(EXACT('Instalaciones'!$A$4:$A$7,$F4)*1,0),0)),0,IF(ISBLANK(INDEX('Instalaciones'!$B$4:$B$7,MATCH(1,INDEX(EXACT('Instalaciones'!$A$4:$A$7,$F4)*1,0),0))),"",INDEX('Instalaciones'!$B$4:$B$7,MATCH(1,INDEX(EXACT('Instalaciones'!$A$4:$A$7,$F4)*1,0),0))))</f>
        <v/>
      </c>
      <c r="I4" s="3">
        <f>(IF(ISNUMBER($B4),IF($B4=0,"0",ROUND($B4,9-INT(LOG10(ABS($B4))))&amp;""),$B4&amp;"")&amp;"#"&amp;IF(ISNUMBER($E4),IF($E4=0,"0",ROUND($E4,9-INT(LOG10(ABS($E4))))&amp;""),$E4&amp;""))</f>
        <v/>
      </c>
      <c r="J4" s="3">
        <f>IF(($E4=""),"",IF(EXACT(IF(ISNA(MATCH(1,INDEX(EXACT('Horarios disponibles por ano'!$A$4:$A$14,$I4)*1,0),0)),"",IF(ISBLANK(INDEX('Horarios disponibles por ano'!$A$4:$A$14,MATCH(1,INDEX(EXACT('Horarios disponibles por ano'!$A$4:$A$14,$I4)*1,0),0))),"",INDEX('Horarios disponibles por ano'!$A$4:$A$14,MATCH(1,INDEX(EXACT('Horarios disponibles por ano'!$A$4:$A$14,$I4)*1,0),0)))),""),"no","si"))</f>
        <v/>
      </c>
      <c r="K4" s="3">
        <f>MID(IF(OR(($E4=""),($F4="")),"; "&amp;"Esta brigada todavia no tiene clase esta semana","")&amp;IF(EXACT($J4,"no"),"; "&amp;"Su ano no tiene este horario disponible","")&amp;IF(AND(NOT(($F4="")),(IFERROR(VALUE($H4&amp;""),0)&lt;IFERROR(VALUE($C4&amp;""),0))),"; "&amp;IF(ISNUMBER(("La instalacion es para "&amp;IF(ISNUMBER($H4),IF($H4=0,"0",ROUND($H4,9-INT(LOG10(ABS($H4))))&amp;""),$H4&amp;"")&amp;" personas y la brigada tiene "&amp;IF(ISNUMBER($C4),IF($C4=0,"0",ROUND($C4,9-INT(LOG10(ABS($C4))))&amp;""),$C4&amp;""))),IF(("La instalacion es para "&amp;IF(ISNUMBER($H4),IF($H4=0,"0",ROUND($H4,9-INT(LOG10(ABS($H4))))&amp;""),$H4&amp;"")&amp;" personas y la brigada tiene "&amp;IF(ISNUMBER($C4),IF($C4=0,"0",ROUND($C4,9-INT(LOG10(ABS($C4))))&amp;""),$C4&amp;""))=0,"0",ROUND(("La instalacion es para "&amp;IF(ISNUMBER($H4),IF($H4=0,"0",ROUND($H4,9-INT(LOG10(ABS($H4))))&amp;""),$H4&amp;"")&amp;" personas y la brigada tiene "&amp;IF(ISNUMBER($C4),IF($C4=0,"0",ROUND($C4,9-INT(LOG10(ABS($C4))))&amp;""),$C4&amp;"")),9-INT(LOG10(ABS(("La instalacion es para "&amp;IF(ISNUMBER($H4),IF($H4=0,"0",ROUND($H4,9-INT(LOG10(ABS($H4))))&amp;""),$H4&amp;"")&amp;" personas y la brigada tiene "&amp;IF(ISNUMBER($C4),IF($C4=0,"0",ROUND($C4,9-INT(LOG10(ABS($C4))))&amp;""),$C4&amp;""))))))&amp;""),("La instalacion es para "&amp;IF(ISNUMBER($H4),IF($H4=0,"0",ROUND($H4,9-INT(LOG10(ABS($H4))))&amp;""),$H4&amp;"")&amp;" personas y la brigada tiene "&amp;IF(ISNUMBER($C4),IF($C4=0,"0",ROUND($C4,9-INT(LOG10(ABS($C4))))&amp;""),$C4&amp;""))&amp;""),"")&amp;IF(AND(NOT(($F4="")),NOT(($E4="")),(SUMPRODUCT(1*((EXACT('Reparto de brigadas'!$G$4:$G$11,$G4)))*((EXACT('Reparto de brigadas'!$E$4:$E$11,$E4)))*((EXACT('Reparto de brigadas'!$F$4:$F$11,$F4)))*((ROW('Reparto de brigadas'!$A$4:$A$11)&lt;&gt;ROW($A4))))&gt;0)),"; "&amp;"Otra brigada usa esta instalacion en ese horario y esa semana","")&amp;IF(AND(NOT(($E4="")),(SUMPRODUCT(1*((EXACT('Reparto de brigadas'!$G$4:$G$11,$G4)))*((EXACT('Reparto de brigadas'!$E$4:$E$11,$E4)))*((EXACT('Reparto de brigadas'!$D$4:$D$11,$D4)))*((ROW('Reparto de brigadas'!$A$4:$A$11)&lt;&gt;ROW($A4))))&gt;0)),"; "&amp;"Este profesor tiene otra brigada en ese horario y esa semana",""),3,32767)</f>
        <v/>
      </c>
      <c r="L4" s="3">
        <f>IF(OR(OR(($E4=""),($F4="")),EXACT($J4,"no"),AND(NOT(($F4="")),(IFERROR(VALUE($H4&amp;""),0)&lt;IFERROR(VALUE($C4&amp;""),0))),AND(NOT(($F4="")),NOT(($E4="")),(SUMPRODUCT(1*((EXACT('Reparto de brigadas'!$G$4:$G$11,$G4)))*((EXACT('Reparto de brigadas'!$E$4:$E$11,$E4)))*((EXACT('Reparto de brigadas'!$F$4:$F$11,$F4)))*((ROW('Reparto de brigadas'!$A$4:$A$11)&lt;&gt;ROW($A4))))&gt;0)),AND(NOT(($E4="")),(SUMPRODUCT(1*((EXACT('Reparto de brigadas'!$G$4:$G$11,$G4)))*((EXACT('Reparto de brigadas'!$E$4:$E$11,$E4)))*((EXACT('Reparto de brigadas'!$D$4:$D$11,$D4)))*((ROW('Reparto de brigadas'!$A$4:$A$11)&lt;&gt;ROW($A4))))&gt;0))),3,0)</f>
        <v/>
      </c>
      <c r="M4" s="3">
        <f>$G4&amp;CHAR(31)&amp;$F4&amp;CHAR(31)&amp;$E4</f>
        <v/>
      </c>
      <c r="N4" s="3">
        <f>$D4&amp;CHAR(31)&amp;$E4&amp;CHAR(31)&amp;$G4</f>
        <v/>
      </c>
    </row>
    <row r="5">
      <c r="A5" s="3" t="inlineStr">
        <is>
          <t>C112</t>
        </is>
      </c>
      <c r="B5" s="3" t="inlineStr">
        <is>
          <t>CC-1</t>
        </is>
      </c>
      <c r="C5" s="3" t="n">
        <v>25</v>
      </c>
      <c r="D5" s="3" t="inlineStr">
        <is>
          <t>Prof. Alvarez</t>
        </is>
      </c>
      <c r="E5" s="4" t="inlineStr">
        <is>
          <t>11 a.m.</t>
        </is>
      </c>
      <c r="F5" s="4" t="inlineStr">
        <is>
          <t>Gimnasio</t>
        </is>
      </c>
      <c r="G5" s="3">
        <f>IF(ISNA(MATCH(1,INDEX(EXACT('Anos de carrera'!$A$4:$A$9,$B5)*1,0),0)),"",IF(ISBLANK(INDEX('Anos de carrera'!$C$4:$C$9,MATCH(1,INDEX(EXACT('Anos de carrera'!$A$4:$A$9,$B5)*1,0),0))),"",INDEX('Anos de carrera'!$C$4:$C$9,MATCH(1,INDEX(EXACT('Anos de carrera'!$A$4:$A$9,$B5)*1,0),0))))</f>
        <v/>
      </c>
      <c r="H5" s="3">
        <f>IF(ISNA(MATCH(1,INDEX(EXACT('Instalaciones'!$A$4:$A$7,$F5)*1,0),0)),0,IF(ISBLANK(INDEX('Instalaciones'!$B$4:$B$7,MATCH(1,INDEX(EXACT('Instalaciones'!$A$4:$A$7,$F5)*1,0),0))),"",INDEX('Instalaciones'!$B$4:$B$7,MATCH(1,INDEX(EXACT('Instalaciones'!$A$4:$A$7,$F5)*1,0),0))))</f>
        <v/>
      </c>
      <c r="I5" s="3">
        <f>(IF(ISNUMBER($B5),IF($B5=0,"0",ROUND($B5,9-INT(LOG10(ABS($B5))))&amp;""),$B5&amp;"")&amp;"#"&amp;IF(ISNUMBER($E5),IF($E5=0,"0",ROUND($E5,9-INT(LOG10(ABS($E5))))&amp;""),$E5&amp;""))</f>
        <v/>
      </c>
      <c r="J5" s="3">
        <f>IF(($E5=""),"",IF(EXACT(IF(ISNA(MATCH(1,INDEX(EXACT('Horarios disponibles por ano'!$A$4:$A$14,$I5)*1,0),0)),"",IF(ISBLANK(INDEX('Horarios disponibles por ano'!$A$4:$A$14,MATCH(1,INDEX(EXACT('Horarios disponibles por ano'!$A$4:$A$14,$I5)*1,0),0))),"",INDEX('Horarios disponibles por ano'!$A$4:$A$14,MATCH(1,INDEX(EXACT('Horarios disponibles por ano'!$A$4:$A$14,$I5)*1,0),0)))),""),"no","si"))</f>
        <v/>
      </c>
      <c r="K5" s="3">
        <f>MID(IF(OR(($E5=""),($F5="")),"; "&amp;"Esta brigada todavia no tiene clase esta semana","")&amp;IF(EXACT($J5,"no"),"; "&amp;"Su ano no tiene este horario disponible","")&amp;IF(AND(NOT(($F5="")),(IFERROR(VALUE($H5&amp;""),0)&lt;IFERROR(VALUE($C5&amp;""),0))),"; "&amp;IF(ISNUMBER(("La instalacion es para "&amp;IF(ISNUMBER($H5),IF($H5=0,"0",ROUND($H5,9-INT(LOG10(ABS($H5))))&amp;""),$H5&amp;"")&amp;" personas y la brigada tiene "&amp;IF(ISNUMBER($C5),IF($C5=0,"0",ROUND($C5,9-INT(LOG10(ABS($C5))))&amp;""),$C5&amp;""))),IF(("La instalacion es para "&amp;IF(ISNUMBER($H5),IF($H5=0,"0",ROUND($H5,9-INT(LOG10(ABS($H5))))&amp;""),$H5&amp;"")&amp;" personas y la brigada tiene "&amp;IF(ISNUMBER($C5),IF($C5=0,"0",ROUND($C5,9-INT(LOG10(ABS($C5))))&amp;""),$C5&amp;""))=0,"0",ROUND(("La instalacion es para "&amp;IF(ISNUMBER($H5),IF($H5=0,"0",ROUND($H5,9-INT(LOG10(ABS($H5))))&amp;""),$H5&amp;"")&amp;" personas y la brigada tiene "&amp;IF(ISNUMBER($C5),IF($C5=0,"0",ROUND($C5,9-INT(LOG10(ABS($C5))))&amp;""),$C5&amp;"")),9-INT(LOG10(ABS(("La instalacion es para "&amp;IF(ISNUMBER($H5),IF($H5=0,"0",ROUND($H5,9-INT(LOG10(ABS($H5))))&amp;""),$H5&amp;"")&amp;" personas y la brigada tiene "&amp;IF(ISNUMBER($C5),IF($C5=0,"0",ROUND($C5,9-INT(LOG10(ABS($C5))))&amp;""),$C5&amp;""))))))&amp;""),("La instalacion es para "&amp;IF(ISNUMBER($H5),IF($H5=0,"0",ROUND($H5,9-INT(LOG10(ABS($H5))))&amp;""),$H5&amp;"")&amp;" personas y la brigada tiene "&amp;IF(ISNUMBER($C5),IF($C5=0,"0",ROUND($C5,9-INT(LOG10(ABS($C5))))&amp;""),$C5&amp;""))&amp;""),"")&amp;IF(AND(NOT(($F5="")),NOT(($E5="")),(SUMPRODUCT(1*((EXACT('Reparto de brigadas'!$G$4:$G$11,$G5)))*((EXACT('Reparto de brigadas'!$E$4:$E$11,$E5)))*((EXACT('Reparto de brigadas'!$F$4:$F$11,$F5)))*((ROW('Reparto de brigadas'!$A$4:$A$11)&lt;&gt;ROW($A5))))&gt;0)),"; "&amp;"Otra brigada usa esta instalacion en ese horario y esa semana","")&amp;IF(AND(NOT(($E5="")),(SUMPRODUCT(1*((EXACT('Reparto de brigadas'!$G$4:$G$11,$G5)))*((EXACT('Reparto de brigadas'!$E$4:$E$11,$E5)))*((EXACT('Reparto de brigadas'!$D$4:$D$11,$D5)))*((ROW('Reparto de brigadas'!$A$4:$A$11)&lt;&gt;ROW($A5))))&gt;0)),"; "&amp;"Este profesor tiene otra brigada en ese horario y esa semana",""),3,32767)</f>
        <v/>
      </c>
      <c r="L5" s="3">
        <f>IF(OR(OR(($E5=""),($F5="")),EXACT($J5,"no"),AND(NOT(($F5="")),(IFERROR(VALUE($H5&amp;""),0)&lt;IFERROR(VALUE($C5&amp;""),0))),AND(NOT(($F5="")),NOT(($E5="")),(SUMPRODUCT(1*((EXACT('Reparto de brigadas'!$G$4:$G$11,$G5)))*((EXACT('Reparto de brigadas'!$E$4:$E$11,$E5)))*((EXACT('Reparto de brigadas'!$F$4:$F$11,$F5)))*((ROW('Reparto de brigadas'!$A$4:$A$11)&lt;&gt;ROW($A5))))&gt;0)),AND(NOT(($E5="")),(SUMPRODUCT(1*((EXACT('Reparto de brigadas'!$G$4:$G$11,$G5)))*((EXACT('Reparto de brigadas'!$E$4:$E$11,$E5)))*((EXACT('Reparto de brigadas'!$D$4:$D$11,$D5)))*((ROW('Reparto de brigadas'!$A$4:$A$11)&lt;&gt;ROW($A5))))&gt;0))),3,0)</f>
        <v/>
      </c>
      <c r="M5" s="3">
        <f>$G5&amp;CHAR(31)&amp;$F5&amp;CHAR(31)&amp;$E5</f>
        <v/>
      </c>
      <c r="N5" s="3">
        <f>$D5&amp;CHAR(31)&amp;$E5&amp;CHAR(31)&amp;$G5</f>
        <v/>
      </c>
    </row>
    <row r="6">
      <c r="A6" s="3" t="inlineStr">
        <is>
          <t>C211</t>
        </is>
      </c>
      <c r="B6" s="3" t="inlineStr">
        <is>
          <t>CC-2</t>
        </is>
      </c>
      <c r="C6" s="3" t="n">
        <v>22</v>
      </c>
      <c r="D6" s="3" t="inlineStr">
        <is>
          <t>Prof. Benitez</t>
        </is>
      </c>
      <c r="E6" s="4" t="inlineStr">
        <is>
          <t>3 p.m.</t>
        </is>
      </c>
      <c r="F6" s="4" t="inlineStr">
        <is>
          <t>Piscina</t>
        </is>
      </c>
      <c r="G6" s="3">
        <f>IF(ISNA(MATCH(1,INDEX(EXACT('Anos de carrera'!$A$4:$A$9,$B6)*1,0),0)),"",IF(ISBLANK(INDEX('Anos de carrera'!$C$4:$C$9,MATCH(1,INDEX(EXACT('Anos de carrera'!$A$4:$A$9,$B6)*1,0),0))),"",INDEX('Anos de carrera'!$C$4:$C$9,MATCH(1,INDEX(EXACT('Anos de carrera'!$A$4:$A$9,$B6)*1,0),0))))</f>
        <v/>
      </c>
      <c r="H6" s="3">
        <f>IF(ISNA(MATCH(1,INDEX(EXACT('Instalaciones'!$A$4:$A$7,$F6)*1,0),0)),0,IF(ISBLANK(INDEX('Instalaciones'!$B$4:$B$7,MATCH(1,INDEX(EXACT('Instalaciones'!$A$4:$A$7,$F6)*1,0),0))),"",INDEX('Instalaciones'!$B$4:$B$7,MATCH(1,INDEX(EXACT('Instalaciones'!$A$4:$A$7,$F6)*1,0),0))))</f>
        <v/>
      </c>
      <c r="I6" s="3">
        <f>(IF(ISNUMBER($B6),IF($B6=0,"0",ROUND($B6,9-INT(LOG10(ABS($B6))))&amp;""),$B6&amp;"")&amp;"#"&amp;IF(ISNUMBER($E6),IF($E6=0,"0",ROUND($E6,9-INT(LOG10(ABS($E6))))&amp;""),$E6&amp;""))</f>
        <v/>
      </c>
      <c r="J6" s="3">
        <f>IF(($E6=""),"",IF(EXACT(IF(ISNA(MATCH(1,INDEX(EXACT('Horarios disponibles por ano'!$A$4:$A$14,$I6)*1,0),0)),"",IF(ISBLANK(INDEX('Horarios disponibles por ano'!$A$4:$A$14,MATCH(1,INDEX(EXACT('Horarios disponibles por ano'!$A$4:$A$14,$I6)*1,0),0))),"",INDEX('Horarios disponibles por ano'!$A$4:$A$14,MATCH(1,INDEX(EXACT('Horarios disponibles por ano'!$A$4:$A$14,$I6)*1,0),0)))),""),"no","si"))</f>
        <v/>
      </c>
      <c r="K6" s="3">
        <f>MID(IF(OR(($E6=""),($F6="")),"; "&amp;"Esta brigada todavia no tiene clase esta semana","")&amp;IF(EXACT($J6,"no"),"; "&amp;"Su ano no tiene este horario disponible","")&amp;IF(AND(NOT(($F6="")),(IFERROR(VALUE($H6&amp;""),0)&lt;IFERROR(VALUE($C6&amp;""),0))),"; "&amp;IF(ISNUMBER(("La instalacion es para "&amp;IF(ISNUMBER($H6),IF($H6=0,"0",ROUND($H6,9-INT(LOG10(ABS($H6))))&amp;""),$H6&amp;"")&amp;" personas y la brigada tiene "&amp;IF(ISNUMBER($C6),IF($C6=0,"0",ROUND($C6,9-INT(LOG10(ABS($C6))))&amp;""),$C6&amp;""))),IF(("La instalacion es para "&amp;IF(ISNUMBER($H6),IF($H6=0,"0",ROUND($H6,9-INT(LOG10(ABS($H6))))&amp;""),$H6&amp;"")&amp;" personas y la brigada tiene "&amp;IF(ISNUMBER($C6),IF($C6=0,"0",ROUND($C6,9-INT(LOG10(ABS($C6))))&amp;""),$C6&amp;""))=0,"0",ROUND(("La instalacion es para "&amp;IF(ISNUMBER($H6),IF($H6=0,"0",ROUND($H6,9-INT(LOG10(ABS($H6))))&amp;""),$H6&amp;"")&amp;" personas y la brigada tiene "&amp;IF(ISNUMBER($C6),IF($C6=0,"0",ROUND($C6,9-INT(LOG10(ABS($C6))))&amp;""),$C6&amp;"")),9-INT(LOG10(ABS(("La instalacion es para "&amp;IF(ISNUMBER($H6),IF($H6=0,"0",ROUND($H6,9-INT(LOG10(ABS($H6))))&amp;""),$H6&amp;"")&amp;" personas y la brigada tiene "&amp;IF(ISNUMBER($C6),IF($C6=0,"0",ROUND($C6,9-INT(LOG10(ABS($C6))))&amp;""),$C6&amp;""))))))&amp;""),("La instalacion es para "&amp;IF(ISNUMBER($H6),IF($H6=0,"0",ROUND($H6,9-INT(LOG10(ABS($H6))))&amp;""),$H6&amp;"")&amp;" personas y la brigada tiene "&amp;IF(ISNUMBER($C6),IF($C6=0,"0",ROUND($C6,9-INT(LOG10(ABS($C6))))&amp;""),$C6&amp;""))&amp;""),"")&amp;IF(AND(NOT(($F6="")),NOT(($E6="")),(SUMPRODUCT(1*((EXACT('Reparto de brigadas'!$G$4:$G$11,$G6)))*((EXACT('Reparto de brigadas'!$E$4:$E$11,$E6)))*((EXACT('Reparto de brigadas'!$F$4:$F$11,$F6)))*((ROW('Reparto de brigadas'!$A$4:$A$11)&lt;&gt;ROW($A6))))&gt;0)),"; "&amp;"Otra brigada usa esta instalacion en ese horario y esa semana","")&amp;IF(AND(NOT(($E6="")),(SUMPRODUCT(1*((EXACT('Reparto de brigadas'!$G$4:$G$11,$G6)))*((EXACT('Reparto de brigadas'!$E$4:$E$11,$E6)))*((EXACT('Reparto de brigadas'!$D$4:$D$11,$D6)))*((ROW('Reparto de brigadas'!$A$4:$A$11)&lt;&gt;ROW($A6))))&gt;0)),"; "&amp;"Este profesor tiene otra brigada en ese horario y esa semana",""),3,32767)</f>
        <v/>
      </c>
      <c r="L6" s="3">
        <f>IF(OR(OR(($E6=""),($F6="")),EXACT($J6,"no"),AND(NOT(($F6="")),(IFERROR(VALUE($H6&amp;""),0)&lt;IFERROR(VALUE($C6&amp;""),0))),AND(NOT(($F6="")),NOT(($E6="")),(SUMPRODUCT(1*((EXACT('Reparto de brigadas'!$G$4:$G$11,$G6)))*((EXACT('Reparto de brigadas'!$E$4:$E$11,$E6)))*((EXACT('Reparto de brigadas'!$F$4:$F$11,$F6)))*((ROW('Reparto de brigadas'!$A$4:$A$11)&lt;&gt;ROW($A6))))&gt;0)),AND(NOT(($E6="")),(SUMPRODUCT(1*((EXACT('Reparto de brigadas'!$G$4:$G$11,$G6)))*((EXACT('Reparto de brigadas'!$E$4:$E$11,$E6)))*((EXACT('Reparto de brigadas'!$D$4:$D$11,$D6)))*((ROW('Reparto de brigadas'!$A$4:$A$11)&lt;&gt;ROW($A6))))&gt;0))),3,0)</f>
        <v/>
      </c>
      <c r="M6" s="3">
        <f>$G6&amp;CHAR(31)&amp;$F6&amp;CHAR(31)&amp;$E6</f>
        <v/>
      </c>
      <c r="N6" s="3">
        <f>$D6&amp;CHAR(31)&amp;$E6&amp;CHAR(31)&amp;$G6</f>
        <v/>
      </c>
    </row>
    <row r="7">
      <c r="A7" s="3" t="inlineStr">
        <is>
          <t>C212</t>
        </is>
      </c>
      <c r="B7" s="3" t="inlineStr">
        <is>
          <t>CC-2</t>
        </is>
      </c>
      <c r="C7" s="3" t="n">
        <v>20</v>
      </c>
      <c r="D7" s="3" t="inlineStr">
        <is>
          <t>Prof. Benitez</t>
        </is>
      </c>
      <c r="E7" s="4" t="inlineStr">
        <is>
          <t>11 a.m.</t>
        </is>
      </c>
      <c r="F7" s="4" t="inlineStr">
        <is>
          <t>Pista 2</t>
        </is>
      </c>
      <c r="G7" s="3">
        <f>IF(ISNA(MATCH(1,INDEX(EXACT('Anos de carrera'!$A$4:$A$9,$B7)*1,0),0)),"",IF(ISBLANK(INDEX('Anos de carrera'!$C$4:$C$9,MATCH(1,INDEX(EXACT('Anos de carrera'!$A$4:$A$9,$B7)*1,0),0))),"",INDEX('Anos de carrera'!$C$4:$C$9,MATCH(1,INDEX(EXACT('Anos de carrera'!$A$4:$A$9,$B7)*1,0),0))))</f>
        <v/>
      </c>
      <c r="H7" s="3">
        <f>IF(ISNA(MATCH(1,INDEX(EXACT('Instalaciones'!$A$4:$A$7,$F7)*1,0),0)),0,IF(ISBLANK(INDEX('Instalaciones'!$B$4:$B$7,MATCH(1,INDEX(EXACT('Instalaciones'!$A$4:$A$7,$F7)*1,0),0))),"",INDEX('Instalaciones'!$B$4:$B$7,MATCH(1,INDEX(EXACT('Instalaciones'!$A$4:$A$7,$F7)*1,0),0))))</f>
        <v/>
      </c>
      <c r="I7" s="3">
        <f>(IF(ISNUMBER($B7),IF($B7=0,"0",ROUND($B7,9-INT(LOG10(ABS($B7))))&amp;""),$B7&amp;"")&amp;"#"&amp;IF(ISNUMBER($E7),IF($E7=0,"0",ROUND($E7,9-INT(LOG10(ABS($E7))))&amp;""),$E7&amp;""))</f>
        <v/>
      </c>
      <c r="J7" s="3">
        <f>IF(($E7=""),"",IF(EXACT(IF(ISNA(MATCH(1,INDEX(EXACT('Horarios disponibles por ano'!$A$4:$A$14,$I7)*1,0),0)),"",IF(ISBLANK(INDEX('Horarios disponibles por ano'!$A$4:$A$14,MATCH(1,INDEX(EXACT('Horarios disponibles por ano'!$A$4:$A$14,$I7)*1,0),0))),"",INDEX('Horarios disponibles por ano'!$A$4:$A$14,MATCH(1,INDEX(EXACT('Horarios disponibles por ano'!$A$4:$A$14,$I7)*1,0),0)))),""),"no","si"))</f>
        <v/>
      </c>
      <c r="K7" s="3">
        <f>MID(IF(OR(($E7=""),($F7="")),"; "&amp;"Esta brigada todavia no tiene clase esta semana","")&amp;IF(EXACT($J7,"no"),"; "&amp;"Su ano no tiene este horario disponible","")&amp;IF(AND(NOT(($F7="")),(IFERROR(VALUE($H7&amp;""),0)&lt;IFERROR(VALUE($C7&amp;""),0))),"; "&amp;IF(ISNUMBER(("La instalacion es para "&amp;IF(ISNUMBER($H7),IF($H7=0,"0",ROUND($H7,9-INT(LOG10(ABS($H7))))&amp;""),$H7&amp;"")&amp;" personas y la brigada tiene "&amp;IF(ISNUMBER($C7),IF($C7=0,"0",ROUND($C7,9-INT(LOG10(ABS($C7))))&amp;""),$C7&amp;""))),IF(("La instalacion es para "&amp;IF(ISNUMBER($H7),IF($H7=0,"0",ROUND($H7,9-INT(LOG10(ABS($H7))))&amp;""),$H7&amp;"")&amp;" personas y la brigada tiene "&amp;IF(ISNUMBER($C7),IF($C7=0,"0",ROUND($C7,9-INT(LOG10(ABS($C7))))&amp;""),$C7&amp;""))=0,"0",ROUND(("La instalacion es para "&amp;IF(ISNUMBER($H7),IF($H7=0,"0",ROUND($H7,9-INT(LOG10(ABS($H7))))&amp;""),$H7&amp;"")&amp;" personas y la brigada tiene "&amp;IF(ISNUMBER($C7),IF($C7=0,"0",ROUND($C7,9-INT(LOG10(ABS($C7))))&amp;""),$C7&amp;"")),9-INT(LOG10(ABS(("La instalacion es para "&amp;IF(ISNUMBER($H7),IF($H7=0,"0",ROUND($H7,9-INT(LOG10(ABS($H7))))&amp;""),$H7&amp;"")&amp;" personas y la brigada tiene "&amp;IF(ISNUMBER($C7),IF($C7=0,"0",ROUND($C7,9-INT(LOG10(ABS($C7))))&amp;""),$C7&amp;""))))))&amp;""),("La instalacion es para "&amp;IF(ISNUMBER($H7),IF($H7=0,"0",ROUND($H7,9-INT(LOG10(ABS($H7))))&amp;""),$H7&amp;"")&amp;" personas y la brigada tiene "&amp;IF(ISNUMBER($C7),IF($C7=0,"0",ROUND($C7,9-INT(LOG10(ABS($C7))))&amp;""),$C7&amp;""))&amp;""),"")&amp;IF(AND(NOT(($F7="")),NOT(($E7="")),(SUMPRODUCT(1*((EXACT('Reparto de brigadas'!$G$4:$G$11,$G7)))*((EXACT('Reparto de brigadas'!$E$4:$E$11,$E7)))*((EXACT('Reparto de brigadas'!$F$4:$F$11,$F7)))*((ROW('Reparto de brigadas'!$A$4:$A$11)&lt;&gt;ROW($A7))))&gt;0)),"; "&amp;"Otra brigada usa esta instalacion en ese horario y esa semana","")&amp;IF(AND(NOT(($E7="")),(SUMPRODUCT(1*((EXACT('Reparto de brigadas'!$G$4:$G$11,$G7)))*((EXACT('Reparto de brigadas'!$E$4:$E$11,$E7)))*((EXACT('Reparto de brigadas'!$D$4:$D$11,$D7)))*((ROW('Reparto de brigadas'!$A$4:$A$11)&lt;&gt;ROW($A7))))&gt;0)),"; "&amp;"Este profesor tiene otra brigada en ese horario y esa semana",""),3,32767)</f>
        <v/>
      </c>
      <c r="L7" s="3">
        <f>IF(OR(OR(($E7=""),($F7="")),EXACT($J7,"no"),AND(NOT(($F7="")),(IFERROR(VALUE($H7&amp;""),0)&lt;IFERROR(VALUE($C7&amp;""),0))),AND(NOT(($F7="")),NOT(($E7="")),(SUMPRODUCT(1*((EXACT('Reparto de brigadas'!$G$4:$G$11,$G7)))*((EXACT('Reparto de brigadas'!$E$4:$E$11,$E7)))*((EXACT('Reparto de brigadas'!$F$4:$F$11,$F7)))*((ROW('Reparto de brigadas'!$A$4:$A$11)&lt;&gt;ROW($A7))))&gt;0)),AND(NOT(($E7="")),(SUMPRODUCT(1*((EXACT('Reparto de brigadas'!$G$4:$G$11,$G7)))*((EXACT('Reparto de brigadas'!$E$4:$E$11,$E7)))*((EXACT('Reparto de brigadas'!$D$4:$D$11,$D7)))*((ROW('Reparto de brigadas'!$A$4:$A$11)&lt;&gt;ROW($A7))))&gt;0))),3,0)</f>
        <v/>
      </c>
      <c r="M7" s="3">
        <f>$G7&amp;CHAR(31)&amp;$F7&amp;CHAR(31)&amp;$E7</f>
        <v/>
      </c>
      <c r="N7" s="3">
        <f>$D7&amp;CHAR(31)&amp;$E7&amp;CHAR(31)&amp;$G7</f>
        <v/>
      </c>
    </row>
    <row r="8">
      <c r="A8" s="3" t="inlineStr">
        <is>
          <t>M11</t>
        </is>
      </c>
      <c r="B8" s="3" t="inlineStr">
        <is>
          <t>MAT-1</t>
        </is>
      </c>
      <c r="C8" s="3" t="n">
        <v>30</v>
      </c>
      <c r="D8" s="3" t="inlineStr">
        <is>
          <t>Prof. Castro</t>
        </is>
      </c>
      <c r="E8" s="4" t="inlineStr">
        <is>
          <t>10 a.m.</t>
        </is>
      </c>
      <c r="F8" s="4" t="inlineStr">
        <is>
          <t>Pista 2</t>
        </is>
      </c>
      <c r="G8" s="3">
        <f>IF(ISNA(MATCH(1,INDEX(EXACT('Anos de carrera'!$A$4:$A$9,$B8)*1,0),0)),"",IF(ISBLANK(INDEX('Anos de carrera'!$C$4:$C$9,MATCH(1,INDEX(EXACT('Anos de carrera'!$A$4:$A$9,$B8)*1,0),0))),"",INDEX('Anos de carrera'!$C$4:$C$9,MATCH(1,INDEX(EXACT('Anos de carrera'!$A$4:$A$9,$B8)*1,0),0))))</f>
        <v/>
      </c>
      <c r="H8" s="3">
        <f>IF(ISNA(MATCH(1,INDEX(EXACT('Instalaciones'!$A$4:$A$7,$F8)*1,0),0)),0,IF(ISBLANK(INDEX('Instalaciones'!$B$4:$B$7,MATCH(1,INDEX(EXACT('Instalaciones'!$A$4:$A$7,$F8)*1,0),0))),"",INDEX('Instalaciones'!$B$4:$B$7,MATCH(1,INDEX(EXACT('Instalaciones'!$A$4:$A$7,$F8)*1,0),0))))</f>
        <v/>
      </c>
      <c r="I8" s="3">
        <f>(IF(ISNUMBER($B8),IF($B8=0,"0",ROUND($B8,9-INT(LOG10(ABS($B8))))&amp;""),$B8&amp;"")&amp;"#"&amp;IF(ISNUMBER($E8),IF($E8=0,"0",ROUND($E8,9-INT(LOG10(ABS($E8))))&amp;""),$E8&amp;""))</f>
        <v/>
      </c>
      <c r="J8" s="3">
        <f>IF(($E8=""),"",IF(EXACT(IF(ISNA(MATCH(1,INDEX(EXACT('Horarios disponibles por ano'!$A$4:$A$14,$I8)*1,0),0)),"",IF(ISBLANK(INDEX('Horarios disponibles por ano'!$A$4:$A$14,MATCH(1,INDEX(EXACT('Horarios disponibles por ano'!$A$4:$A$14,$I8)*1,0),0))),"",INDEX('Horarios disponibles por ano'!$A$4:$A$14,MATCH(1,INDEX(EXACT('Horarios disponibles por ano'!$A$4:$A$14,$I8)*1,0),0)))),""),"no","si"))</f>
        <v/>
      </c>
      <c r="K8" s="3">
        <f>MID(IF(OR(($E8=""),($F8="")),"; "&amp;"Esta brigada todavia no tiene clase esta semana","")&amp;IF(EXACT($J8,"no"),"; "&amp;"Su ano no tiene este horario disponible","")&amp;IF(AND(NOT(($F8="")),(IFERROR(VALUE($H8&amp;""),0)&lt;IFERROR(VALUE($C8&amp;""),0))),"; "&amp;IF(ISNUMBER(("La instalacion es para "&amp;IF(ISNUMBER($H8),IF($H8=0,"0",ROUND($H8,9-INT(LOG10(ABS($H8))))&amp;""),$H8&amp;"")&amp;" personas y la brigada tiene "&amp;IF(ISNUMBER($C8),IF($C8=0,"0",ROUND($C8,9-INT(LOG10(ABS($C8))))&amp;""),$C8&amp;""))),IF(("La instalacion es para "&amp;IF(ISNUMBER($H8),IF($H8=0,"0",ROUND($H8,9-INT(LOG10(ABS($H8))))&amp;""),$H8&amp;"")&amp;" personas y la brigada tiene "&amp;IF(ISNUMBER($C8),IF($C8=0,"0",ROUND($C8,9-INT(LOG10(ABS($C8))))&amp;""),$C8&amp;""))=0,"0",ROUND(("La instalacion es para "&amp;IF(ISNUMBER($H8),IF($H8=0,"0",ROUND($H8,9-INT(LOG10(ABS($H8))))&amp;""),$H8&amp;"")&amp;" personas y la brigada tiene "&amp;IF(ISNUMBER($C8),IF($C8=0,"0",ROUND($C8,9-INT(LOG10(ABS($C8))))&amp;""),$C8&amp;"")),9-INT(LOG10(ABS(("La instalacion es para "&amp;IF(ISNUMBER($H8),IF($H8=0,"0",ROUND($H8,9-INT(LOG10(ABS($H8))))&amp;""),$H8&amp;"")&amp;" personas y la brigada tiene "&amp;IF(ISNUMBER($C8),IF($C8=0,"0",ROUND($C8,9-INT(LOG10(ABS($C8))))&amp;""),$C8&amp;""))))))&amp;""),("La instalacion es para "&amp;IF(ISNUMBER($H8),IF($H8=0,"0",ROUND($H8,9-INT(LOG10(ABS($H8))))&amp;""),$H8&amp;"")&amp;" personas y la brigada tiene "&amp;IF(ISNUMBER($C8),IF($C8=0,"0",ROUND($C8,9-INT(LOG10(ABS($C8))))&amp;""),$C8&amp;""))&amp;""),"")&amp;IF(AND(NOT(($F8="")),NOT(($E8="")),(SUMPRODUCT(1*((EXACT('Reparto de brigadas'!$G$4:$G$11,$G8)))*((EXACT('Reparto de brigadas'!$E$4:$E$11,$E8)))*((EXACT('Reparto de brigadas'!$F$4:$F$11,$F8)))*((ROW('Reparto de brigadas'!$A$4:$A$11)&lt;&gt;ROW($A8))))&gt;0)),"; "&amp;"Otra brigada usa esta instalacion en ese horario y esa semana","")&amp;IF(AND(NOT(($E8="")),(SUMPRODUCT(1*((EXACT('Reparto de brigadas'!$G$4:$G$11,$G8)))*((EXACT('Reparto de brigadas'!$E$4:$E$11,$E8)))*((EXACT('Reparto de brigadas'!$D$4:$D$11,$D8)))*((ROW('Reparto de brigadas'!$A$4:$A$11)&lt;&gt;ROW($A8))))&gt;0)),"; "&amp;"Este profesor tiene otra brigada en ese horario y esa semana",""),3,32767)</f>
        <v/>
      </c>
      <c r="L8" s="3">
        <f>IF(OR(OR(($E8=""),($F8="")),EXACT($J8,"no"),AND(NOT(($F8="")),(IFERROR(VALUE($H8&amp;""),0)&lt;IFERROR(VALUE($C8&amp;""),0))),AND(NOT(($F8="")),NOT(($E8="")),(SUMPRODUCT(1*((EXACT('Reparto de brigadas'!$G$4:$G$11,$G8)))*((EXACT('Reparto de brigadas'!$E$4:$E$11,$E8)))*((EXACT('Reparto de brigadas'!$F$4:$F$11,$F8)))*((ROW('Reparto de brigadas'!$A$4:$A$11)&lt;&gt;ROW($A8))))&gt;0)),AND(NOT(($E8="")),(SUMPRODUCT(1*((EXACT('Reparto de brigadas'!$G$4:$G$11,$G8)))*((EXACT('Reparto de brigadas'!$E$4:$E$11,$E8)))*((EXACT('Reparto de brigadas'!$D$4:$D$11,$D8)))*((ROW('Reparto de brigadas'!$A$4:$A$11)&lt;&gt;ROW($A8))))&gt;0))),3,0)</f>
        <v/>
      </c>
      <c r="M8" s="3">
        <f>$G8&amp;CHAR(31)&amp;$F8&amp;CHAR(31)&amp;$E8</f>
        <v/>
      </c>
      <c r="N8" s="3">
        <f>$D8&amp;CHAR(31)&amp;$E8&amp;CHAR(31)&amp;$G8</f>
        <v/>
      </c>
    </row>
    <row r="9">
      <c r="A9" s="3" t="inlineStr">
        <is>
          <t>M21</t>
        </is>
      </c>
      <c r="B9" s="3" t="inlineStr">
        <is>
          <t>MAT-2</t>
        </is>
      </c>
      <c r="C9" s="3" t="n">
        <v>18</v>
      </c>
      <c r="D9" s="3" t="inlineStr">
        <is>
          <t>Prof. Castro</t>
        </is>
      </c>
      <c r="E9" s="4" t="inlineStr">
        <is>
          <t>11 a.m.</t>
        </is>
      </c>
      <c r="F9" s="4" t="inlineStr">
        <is>
          <t>Pista 2</t>
        </is>
      </c>
      <c r="G9" s="3">
        <f>IF(ISNA(MATCH(1,INDEX(EXACT('Anos de carrera'!$A$4:$A$9,$B9)*1,0),0)),"",IF(ISBLANK(INDEX('Anos de carrera'!$C$4:$C$9,MATCH(1,INDEX(EXACT('Anos de carrera'!$A$4:$A$9,$B9)*1,0),0))),"",INDEX('Anos de carrera'!$C$4:$C$9,MATCH(1,INDEX(EXACT('Anos de carrera'!$A$4:$A$9,$B9)*1,0),0))))</f>
        <v/>
      </c>
      <c r="H9" s="3">
        <f>IF(ISNA(MATCH(1,INDEX(EXACT('Instalaciones'!$A$4:$A$7,$F9)*1,0),0)),0,IF(ISBLANK(INDEX('Instalaciones'!$B$4:$B$7,MATCH(1,INDEX(EXACT('Instalaciones'!$A$4:$A$7,$F9)*1,0),0))),"",INDEX('Instalaciones'!$B$4:$B$7,MATCH(1,INDEX(EXACT('Instalaciones'!$A$4:$A$7,$F9)*1,0),0))))</f>
        <v/>
      </c>
      <c r="I9" s="3">
        <f>(IF(ISNUMBER($B9),IF($B9=0,"0",ROUND($B9,9-INT(LOG10(ABS($B9))))&amp;""),$B9&amp;"")&amp;"#"&amp;IF(ISNUMBER($E9),IF($E9=0,"0",ROUND($E9,9-INT(LOG10(ABS($E9))))&amp;""),$E9&amp;""))</f>
        <v/>
      </c>
      <c r="J9" s="3">
        <f>IF(($E9=""),"",IF(EXACT(IF(ISNA(MATCH(1,INDEX(EXACT('Horarios disponibles por ano'!$A$4:$A$14,$I9)*1,0),0)),"",IF(ISBLANK(INDEX('Horarios disponibles por ano'!$A$4:$A$14,MATCH(1,INDEX(EXACT('Horarios disponibles por ano'!$A$4:$A$14,$I9)*1,0),0))),"",INDEX('Horarios disponibles por ano'!$A$4:$A$14,MATCH(1,INDEX(EXACT('Horarios disponibles por ano'!$A$4:$A$14,$I9)*1,0),0)))),""),"no","si"))</f>
        <v/>
      </c>
      <c r="K9" s="3">
        <f>MID(IF(OR(($E9=""),($F9="")),"; "&amp;"Esta brigada todavia no tiene clase esta semana","")&amp;IF(EXACT($J9,"no"),"; "&amp;"Su ano no tiene este horario disponible","")&amp;IF(AND(NOT(($F9="")),(IFERROR(VALUE($H9&amp;""),0)&lt;IFERROR(VALUE($C9&amp;""),0))),"; "&amp;IF(ISNUMBER(("La instalacion es para "&amp;IF(ISNUMBER($H9),IF($H9=0,"0",ROUND($H9,9-INT(LOG10(ABS($H9))))&amp;""),$H9&amp;"")&amp;" personas y la brigada tiene "&amp;IF(ISNUMBER($C9),IF($C9=0,"0",ROUND($C9,9-INT(LOG10(ABS($C9))))&amp;""),$C9&amp;""))),IF(("La instalacion es para "&amp;IF(ISNUMBER($H9),IF($H9=0,"0",ROUND($H9,9-INT(LOG10(ABS($H9))))&amp;""),$H9&amp;"")&amp;" personas y la brigada tiene "&amp;IF(ISNUMBER($C9),IF($C9=0,"0",ROUND($C9,9-INT(LOG10(ABS($C9))))&amp;""),$C9&amp;""))=0,"0",ROUND(("La instalacion es para "&amp;IF(ISNUMBER($H9),IF($H9=0,"0",ROUND($H9,9-INT(LOG10(ABS($H9))))&amp;""),$H9&amp;"")&amp;" personas y la brigada tiene "&amp;IF(ISNUMBER($C9),IF($C9=0,"0",ROUND($C9,9-INT(LOG10(ABS($C9))))&amp;""),$C9&amp;"")),9-INT(LOG10(ABS(("La instalacion es para "&amp;IF(ISNUMBER($H9),IF($H9=0,"0",ROUND($H9,9-INT(LOG10(ABS($H9))))&amp;""),$H9&amp;"")&amp;" personas y la brigada tiene "&amp;IF(ISNUMBER($C9),IF($C9=0,"0",ROUND($C9,9-INT(LOG10(ABS($C9))))&amp;""),$C9&amp;""))))))&amp;""),("La instalacion es para "&amp;IF(ISNUMBER($H9),IF($H9=0,"0",ROUND($H9,9-INT(LOG10(ABS($H9))))&amp;""),$H9&amp;"")&amp;" personas y la brigada tiene "&amp;IF(ISNUMBER($C9),IF($C9=0,"0",ROUND($C9,9-INT(LOG10(ABS($C9))))&amp;""),$C9&amp;""))&amp;""),"")&amp;IF(AND(NOT(($F9="")),NOT(($E9="")),(SUMPRODUCT(1*((EXACT('Reparto de brigadas'!$G$4:$G$11,$G9)))*((EXACT('Reparto de brigadas'!$E$4:$E$11,$E9)))*((EXACT('Reparto de brigadas'!$F$4:$F$11,$F9)))*((ROW('Reparto de brigadas'!$A$4:$A$11)&lt;&gt;ROW($A9))))&gt;0)),"; "&amp;"Otra brigada usa esta instalacion en ese horario y esa semana","")&amp;IF(AND(NOT(($E9="")),(SUMPRODUCT(1*((EXACT('Reparto de brigadas'!$G$4:$G$11,$G9)))*((EXACT('Reparto de brigadas'!$E$4:$E$11,$E9)))*((EXACT('Reparto de brigadas'!$D$4:$D$11,$D9)))*((ROW('Reparto de brigadas'!$A$4:$A$11)&lt;&gt;ROW($A9))))&gt;0)),"; "&amp;"Este profesor tiene otra brigada en ese horario y esa semana",""),3,32767)</f>
        <v/>
      </c>
      <c r="L9" s="3">
        <f>IF(OR(OR(($E9=""),($F9="")),EXACT($J9,"no"),AND(NOT(($F9="")),(IFERROR(VALUE($H9&amp;""),0)&lt;IFERROR(VALUE($C9&amp;""),0))),AND(NOT(($F9="")),NOT(($E9="")),(SUMPRODUCT(1*((EXACT('Reparto de brigadas'!$G$4:$G$11,$G9)))*((EXACT('Reparto de brigadas'!$E$4:$E$11,$E9)))*((EXACT('Reparto de brigadas'!$F$4:$F$11,$F9)))*((ROW('Reparto de brigadas'!$A$4:$A$11)&lt;&gt;ROW($A9))))&gt;0)),AND(NOT(($E9="")),(SUMPRODUCT(1*((EXACT('Reparto de brigadas'!$G$4:$G$11,$G9)))*((EXACT('Reparto de brigadas'!$E$4:$E$11,$E9)))*((EXACT('Reparto de brigadas'!$D$4:$D$11,$D9)))*((ROW('Reparto de brigadas'!$A$4:$A$11)&lt;&gt;ROW($A9))))&gt;0))),3,0)</f>
        <v/>
      </c>
      <c r="M9" s="3">
        <f>$G9&amp;CHAR(31)&amp;$F9&amp;CHAR(31)&amp;$E9</f>
        <v/>
      </c>
      <c r="N9" s="3">
        <f>$D9&amp;CHAR(31)&amp;$E9&amp;CHAR(31)&amp;$G9</f>
        <v/>
      </c>
    </row>
    <row r="10">
      <c r="A10" s="3" t="inlineStr">
        <is>
          <t>F11</t>
        </is>
      </c>
      <c r="B10" s="3" t="inlineStr">
        <is>
          <t>FIS-1</t>
        </is>
      </c>
      <c r="C10" s="3" t="n">
        <v>15</v>
      </c>
      <c r="D10" s="3" t="inlineStr">
        <is>
          <t>Prof. Alvarez</t>
        </is>
      </c>
      <c r="E10" s="4" t="inlineStr">
        <is>
          <t>10 a.m.</t>
        </is>
      </c>
      <c r="F10" s="4" t="inlineStr">
        <is>
          <t>Piscina</t>
        </is>
      </c>
      <c r="G10" s="3">
        <f>IF(ISNA(MATCH(1,INDEX(EXACT('Anos de carrera'!$A$4:$A$9,$B10)*1,0),0)),"",IF(ISBLANK(INDEX('Anos de carrera'!$C$4:$C$9,MATCH(1,INDEX(EXACT('Anos de carrera'!$A$4:$A$9,$B10)*1,0),0))),"",INDEX('Anos de carrera'!$C$4:$C$9,MATCH(1,INDEX(EXACT('Anos de carrera'!$A$4:$A$9,$B10)*1,0),0))))</f>
        <v/>
      </c>
      <c r="H10" s="3">
        <f>IF(ISNA(MATCH(1,INDEX(EXACT('Instalaciones'!$A$4:$A$7,$F10)*1,0),0)),0,IF(ISBLANK(INDEX('Instalaciones'!$B$4:$B$7,MATCH(1,INDEX(EXACT('Instalaciones'!$A$4:$A$7,$F10)*1,0),0))),"",INDEX('Instalaciones'!$B$4:$B$7,MATCH(1,INDEX(EXACT('Instalaciones'!$A$4:$A$7,$F10)*1,0),0))))</f>
        <v/>
      </c>
      <c r="I10" s="3">
        <f>(IF(ISNUMBER($B10),IF($B10=0,"0",ROUND($B10,9-INT(LOG10(ABS($B10))))&amp;""),$B10&amp;"")&amp;"#"&amp;IF(ISNUMBER($E10),IF($E10=0,"0",ROUND($E10,9-INT(LOG10(ABS($E10))))&amp;""),$E10&amp;""))</f>
        <v/>
      </c>
      <c r="J10" s="3">
        <f>IF(($E10=""),"",IF(EXACT(IF(ISNA(MATCH(1,INDEX(EXACT('Horarios disponibles por ano'!$A$4:$A$14,$I10)*1,0),0)),"",IF(ISBLANK(INDEX('Horarios disponibles por ano'!$A$4:$A$14,MATCH(1,INDEX(EXACT('Horarios disponibles por ano'!$A$4:$A$14,$I10)*1,0),0))),"",INDEX('Horarios disponibles por ano'!$A$4:$A$14,MATCH(1,INDEX(EXACT('Horarios disponibles por ano'!$A$4:$A$14,$I10)*1,0),0)))),""),"no","si"))</f>
        <v/>
      </c>
      <c r="K10" s="3">
        <f>MID(IF(OR(($E10=""),($F10="")),"; "&amp;"Esta brigada todavia no tiene clase esta semana","")&amp;IF(EXACT($J10,"no"),"; "&amp;"Su ano no tiene este horario disponible","")&amp;IF(AND(NOT(($F10="")),(IFERROR(VALUE($H10&amp;""),0)&lt;IFERROR(VALUE($C10&amp;""),0))),"; "&amp;IF(ISNUMBER(("La instalacion es para "&amp;IF(ISNUMBER($H10),IF($H10=0,"0",ROUND($H10,9-INT(LOG10(ABS($H10))))&amp;""),$H10&amp;"")&amp;" personas y la brigada tiene "&amp;IF(ISNUMBER($C10),IF($C10=0,"0",ROUND($C10,9-INT(LOG10(ABS($C10))))&amp;""),$C10&amp;""))),IF(("La instalacion es para "&amp;IF(ISNUMBER($H10),IF($H10=0,"0",ROUND($H10,9-INT(LOG10(ABS($H10))))&amp;""),$H10&amp;"")&amp;" personas y la brigada tiene "&amp;IF(ISNUMBER($C10),IF($C10=0,"0",ROUND($C10,9-INT(LOG10(ABS($C10))))&amp;""),$C10&amp;""))=0,"0",ROUND(("La instalacion es para "&amp;IF(ISNUMBER($H10),IF($H10=0,"0",ROUND($H10,9-INT(LOG10(ABS($H10))))&amp;""),$H10&amp;"")&amp;" personas y la brigada tiene "&amp;IF(ISNUMBER($C10),IF($C10=0,"0",ROUND($C10,9-INT(LOG10(ABS($C10))))&amp;""),$C10&amp;"")),9-INT(LOG10(ABS(("La instalacion es para "&amp;IF(ISNUMBER($H10),IF($H10=0,"0",ROUND($H10,9-INT(LOG10(ABS($H10))))&amp;""),$H10&amp;"")&amp;" personas y la brigada tiene "&amp;IF(ISNUMBER($C10),IF($C10=0,"0",ROUND($C10,9-INT(LOG10(ABS($C10))))&amp;""),$C10&amp;""))))))&amp;""),("La instalacion es para "&amp;IF(ISNUMBER($H10),IF($H10=0,"0",ROUND($H10,9-INT(LOG10(ABS($H10))))&amp;""),$H10&amp;"")&amp;" personas y la brigada tiene "&amp;IF(ISNUMBER($C10),IF($C10=0,"0",ROUND($C10,9-INT(LOG10(ABS($C10))))&amp;""),$C10&amp;""))&amp;""),"")&amp;IF(AND(NOT(($F10="")),NOT(($E10="")),(SUMPRODUCT(1*((EXACT('Reparto de brigadas'!$G$4:$G$11,$G10)))*((EXACT('Reparto de brigadas'!$E$4:$E$11,$E10)))*((EXACT('Reparto de brigadas'!$F$4:$F$11,$F10)))*((ROW('Reparto de brigadas'!$A$4:$A$11)&lt;&gt;ROW($A10))))&gt;0)),"; "&amp;"Otra brigada usa esta instalacion en ese horario y esa semana","")&amp;IF(AND(NOT(($E10="")),(SUMPRODUCT(1*((EXACT('Reparto de brigadas'!$G$4:$G$11,$G10)))*((EXACT('Reparto de brigadas'!$E$4:$E$11,$E10)))*((EXACT('Reparto de brigadas'!$D$4:$D$11,$D10)))*((ROW('Reparto de brigadas'!$A$4:$A$11)&lt;&gt;ROW($A10))))&gt;0)),"; "&amp;"Este profesor tiene otra brigada en ese horario y esa semana",""),3,32767)</f>
        <v/>
      </c>
      <c r="L10" s="3">
        <f>IF(OR(OR(($E10=""),($F10="")),EXACT($J10,"no"),AND(NOT(($F10="")),(IFERROR(VALUE($H10&amp;""),0)&lt;IFERROR(VALUE($C10&amp;""),0))),AND(NOT(($F10="")),NOT(($E10="")),(SUMPRODUCT(1*((EXACT('Reparto de brigadas'!$G$4:$G$11,$G10)))*((EXACT('Reparto de brigadas'!$E$4:$E$11,$E10)))*((EXACT('Reparto de brigadas'!$F$4:$F$11,$F10)))*((ROW('Reparto de brigadas'!$A$4:$A$11)&lt;&gt;ROW($A10))))&gt;0)),AND(NOT(($E10="")),(SUMPRODUCT(1*((EXACT('Reparto de brigadas'!$G$4:$G$11,$G10)))*((EXACT('Reparto de brigadas'!$E$4:$E$11,$E10)))*((EXACT('Reparto de brigadas'!$D$4:$D$11,$D10)))*((ROW('Reparto de brigadas'!$A$4:$A$11)&lt;&gt;ROW($A10))))&gt;0))),3,0)</f>
        <v/>
      </c>
      <c r="M10" s="3">
        <f>$G10&amp;CHAR(31)&amp;$F10&amp;CHAR(31)&amp;$E10</f>
        <v/>
      </c>
      <c r="N10" s="3">
        <f>$D10&amp;CHAR(31)&amp;$E10&amp;CHAR(31)&amp;$G10</f>
        <v/>
      </c>
    </row>
    <row r="11">
      <c r="A11" s="3" t="inlineStr">
        <is>
          <t>F21</t>
        </is>
      </c>
      <c r="B11" s="3" t="inlineStr">
        <is>
          <t>FIS-2</t>
        </is>
      </c>
      <c r="C11" s="3" t="n">
        <v>12</v>
      </c>
      <c r="D11" s="3" t="inlineStr">
        <is>
          <t>Prof. Diaz</t>
        </is>
      </c>
      <c r="E11" s="4" t="n"/>
      <c r="F11" s="4" t="n"/>
      <c r="G11" s="3">
        <f>IF(ISNA(MATCH(1,INDEX(EXACT('Anos de carrera'!$A$4:$A$9,$B11)*1,0),0)),"",IF(ISBLANK(INDEX('Anos de carrera'!$C$4:$C$9,MATCH(1,INDEX(EXACT('Anos de carrera'!$A$4:$A$9,$B11)*1,0),0))),"",INDEX('Anos de carrera'!$C$4:$C$9,MATCH(1,INDEX(EXACT('Anos de carrera'!$A$4:$A$9,$B11)*1,0),0))))</f>
        <v/>
      </c>
      <c r="H11" s="3">
        <f>IF(ISNA(MATCH(1,INDEX(EXACT('Instalaciones'!$A$4:$A$7,$F11)*1,0),0)),0,IF(ISBLANK(INDEX('Instalaciones'!$B$4:$B$7,MATCH(1,INDEX(EXACT('Instalaciones'!$A$4:$A$7,$F11)*1,0),0))),"",INDEX('Instalaciones'!$B$4:$B$7,MATCH(1,INDEX(EXACT('Instalaciones'!$A$4:$A$7,$F11)*1,0),0))))</f>
        <v/>
      </c>
      <c r="I11" s="3">
        <f>(IF(ISNUMBER($B11),IF($B11=0,"0",ROUND($B11,9-INT(LOG10(ABS($B11))))&amp;""),$B11&amp;"")&amp;"#"&amp;IF(ISNUMBER($E11),IF($E11=0,"0",ROUND($E11,9-INT(LOG10(ABS($E11))))&amp;""),$E11&amp;""))</f>
        <v/>
      </c>
      <c r="J11" s="3">
        <f>IF(($E11=""),"",IF(EXACT(IF(ISNA(MATCH(1,INDEX(EXACT('Horarios disponibles por ano'!$A$4:$A$14,$I11)*1,0),0)),"",IF(ISBLANK(INDEX('Horarios disponibles por ano'!$A$4:$A$14,MATCH(1,INDEX(EXACT('Horarios disponibles por ano'!$A$4:$A$14,$I11)*1,0),0))),"",INDEX('Horarios disponibles por ano'!$A$4:$A$14,MATCH(1,INDEX(EXACT('Horarios disponibles por ano'!$A$4:$A$14,$I11)*1,0),0)))),""),"no","si"))</f>
        <v/>
      </c>
      <c r="K11" s="3">
        <f>MID(IF(OR(($E11=""),($F11="")),"; "&amp;"Esta brigada todavia no tiene clase esta semana","")&amp;IF(EXACT($J11,"no"),"; "&amp;"Su ano no tiene este horario disponible","")&amp;IF(AND(NOT(($F11="")),(IFERROR(VALUE($H11&amp;""),0)&lt;IFERROR(VALUE($C11&amp;""),0))),"; "&amp;IF(ISNUMBER(("La instalacion es para "&amp;IF(ISNUMBER($H11),IF($H11=0,"0",ROUND($H11,9-INT(LOG10(ABS($H11))))&amp;""),$H11&amp;"")&amp;" personas y la brigada tiene "&amp;IF(ISNUMBER($C11),IF($C11=0,"0",ROUND($C11,9-INT(LOG10(ABS($C11))))&amp;""),$C11&amp;""))),IF(("La instalacion es para "&amp;IF(ISNUMBER($H11),IF($H11=0,"0",ROUND($H11,9-INT(LOG10(ABS($H11))))&amp;""),$H11&amp;"")&amp;" personas y la brigada tiene "&amp;IF(ISNUMBER($C11),IF($C11=0,"0",ROUND($C11,9-INT(LOG10(ABS($C11))))&amp;""),$C11&amp;""))=0,"0",ROUND(("La instalacion es para "&amp;IF(ISNUMBER($H11),IF($H11=0,"0",ROUND($H11,9-INT(LOG10(ABS($H11))))&amp;""),$H11&amp;"")&amp;" personas y la brigada tiene "&amp;IF(ISNUMBER($C11),IF($C11=0,"0",ROUND($C11,9-INT(LOG10(ABS($C11))))&amp;""),$C11&amp;"")),9-INT(LOG10(ABS(("La instalacion es para "&amp;IF(ISNUMBER($H11),IF($H11=0,"0",ROUND($H11,9-INT(LOG10(ABS($H11))))&amp;""),$H11&amp;"")&amp;" personas y la brigada tiene "&amp;IF(ISNUMBER($C11),IF($C11=0,"0",ROUND($C11,9-INT(LOG10(ABS($C11))))&amp;""),$C11&amp;""))))))&amp;""),("La instalacion es para "&amp;IF(ISNUMBER($H11),IF($H11=0,"0",ROUND($H11,9-INT(LOG10(ABS($H11))))&amp;""),$H11&amp;"")&amp;" personas y la brigada tiene "&amp;IF(ISNUMBER($C11),IF($C11=0,"0",ROUND($C11,9-INT(LOG10(ABS($C11))))&amp;""),$C11&amp;""))&amp;""),"")&amp;IF(AND(NOT(($F11="")),NOT(($E11="")),(SUMPRODUCT(1*((EXACT('Reparto de brigadas'!$G$4:$G$11,$G11)))*((EXACT('Reparto de brigadas'!$E$4:$E$11,$E11)))*((EXACT('Reparto de brigadas'!$F$4:$F$11,$F11)))*((ROW('Reparto de brigadas'!$A$4:$A$11)&lt;&gt;ROW($A11))))&gt;0)),"; "&amp;"Otra brigada usa esta instalacion en ese horario y esa semana","")&amp;IF(AND(NOT(($E11="")),(SUMPRODUCT(1*((EXACT('Reparto de brigadas'!$G$4:$G$11,$G11)))*((EXACT('Reparto de brigadas'!$E$4:$E$11,$E11)))*((EXACT('Reparto de brigadas'!$D$4:$D$11,$D11)))*((ROW('Reparto de brigadas'!$A$4:$A$11)&lt;&gt;ROW($A11))))&gt;0)),"; "&amp;"Este profesor tiene otra brigada en ese horario y esa semana",""),3,32767)</f>
        <v/>
      </c>
      <c r="L11" s="3">
        <f>IF(OR(OR(($E11=""),($F11="")),EXACT($J11,"no"),AND(NOT(($F11="")),(IFERROR(VALUE($H11&amp;""),0)&lt;IFERROR(VALUE($C11&amp;""),0))),AND(NOT(($F11="")),NOT(($E11="")),(SUMPRODUCT(1*((EXACT('Reparto de brigadas'!$G$4:$G$11,$G11)))*((EXACT('Reparto de brigadas'!$E$4:$E$11,$E11)))*((EXACT('Reparto de brigadas'!$F$4:$F$11,$F11)))*((ROW('Reparto de brigadas'!$A$4:$A$11)&lt;&gt;ROW($A11))))&gt;0)),AND(NOT(($E11="")),(SUMPRODUCT(1*((EXACT('Reparto de brigadas'!$G$4:$G$11,$G11)))*((EXACT('Reparto de brigadas'!$E$4:$E$11,$E11)))*((EXACT('Reparto de brigadas'!$D$4:$D$11,$D11)))*((ROW('Reparto de brigadas'!$A$4:$A$11)&lt;&gt;ROW($A11))))&gt;0))),3,0)</f>
        <v/>
      </c>
      <c r="M11" s="3">
        <f>$G11&amp;CHAR(31)&amp;$F11&amp;CHAR(31)&amp;$E11</f>
        <v/>
      </c>
      <c r="N11" s="3">
        <f>$D11&amp;CHAR(31)&amp;$E11&amp;CHAR(31)&amp;$G11</f>
        <v/>
      </c>
    </row>
    <row r="13">
      <c r="A13" s="5" t="inlineStr">
        <is>
          <t>Leyenda</t>
        </is>
      </c>
    </row>
    <row r="14">
      <c r="A14" s="6" t="n"/>
      <c r="B14" t="inlineStr">
        <is>
          <t>Esta brigada todavia no tiene clase esta semana</t>
        </is>
      </c>
    </row>
    <row r="15">
      <c r="A15" s="7" t="n"/>
      <c r="B15" t="inlineStr">
        <is>
          <t>Su ano no tiene este horario disponible</t>
        </is>
      </c>
    </row>
    <row r="16">
      <c r="A16" s="8" t="n"/>
      <c r="B16" t="inlineStr">
        <is>
          <t>instalacion pequena</t>
        </is>
      </c>
    </row>
    <row r="17">
      <c r="A17" s="9" t="n"/>
      <c r="B17" t="inlineStr">
        <is>
          <t>Otra brigada usa esta instalacion en ese horario y esa semana</t>
        </is>
      </c>
    </row>
    <row r="18">
      <c r="A18" s="10" t="n"/>
      <c r="B18" t="inlineStr">
        <is>
          <t>Este profesor tiene otra brigada en ese horario y esa semana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E4:E11">
    <cfRule type="expression" priority="1" dxfId="0" stopIfTrue="0">
      <formula>OR(($E4=""),($F4=""))</formula>
    </cfRule>
    <cfRule type="expression" priority="3" dxfId="3" stopIfTrue="0">
      <formula>EXACT($J4,"no")</formula>
    </cfRule>
    <cfRule type="expression" priority="8" dxfId="4" stopIfTrue="0">
      <formula>AND(NOT(($E4="")),(SUMPRODUCT(1*((EXACT('Reparto de brigadas'!$G$4:$G$11,$G4)))*((EXACT('Reparto de brigadas'!$E$4:$E$11,$E4)))*((EXACT('Reparto de brigadas'!$D$4:$D$11,$D4)))*((ROW('Reparto de brigadas'!$A$4:$A$11)&lt;&gt;ROW($A4))))&gt;0))</formula>
    </cfRule>
  </conditionalFormatting>
  <conditionalFormatting sqref="F4:F11">
    <cfRule type="expression" priority="1" dxfId="0" stopIfTrue="0">
      <formula>OR(($E4=""),($F4=""))</formula>
    </cfRule>
    <cfRule type="expression" priority="4" dxfId="5" stopIfTrue="0">
      <formula>AND(NOT(($F4="")),(IFERROR(VALUE($H4&amp;""),0)&lt;IFERROR(VALUE($C4&amp;""),0)))</formula>
    </cfRule>
    <cfRule type="expression" priority="7" dxfId="6" stopIfTrue="0">
      <formula>AND(NOT(($F4="")),NOT(($E4="")),(SUMPRODUCT(1*((EXACT('Reparto de brigadas'!$G$4:$G$11,$G4)))*((EXACT('Reparto de brigadas'!$E$4:$E$11,$E4)))*((EXACT('Reparto de brigadas'!$F$4:$F$11,$F4)))*((ROW('Reparto de brigadas'!$A$4:$A$11)&lt;&gt;ROW($A4))))&gt;0))</formula>
    </cfRule>
  </conditionalFormatting>
  <conditionalFormatting sqref="C4:C11">
    <cfRule type="expression" priority="4" dxfId="5" stopIfTrue="0">
      <formula>AND(NOT(($F4="")),(IFERROR(VALUE($H4&amp;""),0)&lt;IFERROR(VALUE($C4&amp;""),0)))</formula>
    </cfRule>
  </conditionalFormatting>
  <conditionalFormatting sqref="H4:H11">
    <cfRule type="expression" priority="4" dxfId="5" stopIfTrue="0">
      <formula>AND(NOT(($F4="")),(IFERROR(VALUE($H4&amp;""),0)&lt;IFERROR(VALUE($C4&amp;""),0)))</formula>
    </cfRule>
  </conditionalFormatting>
  <conditionalFormatting sqref="D4:D11">
    <cfRule type="expression" priority="8" dxfId="4" stopIfTrue="0">
      <formula>AND(NOT(($E4="")),(SUMPRODUCT(1*((EXACT('Reparto de brigadas'!$G$4:$G$11,$G4)))*((EXACT('Reparto de brigadas'!$E$4:$E$11,$E4)))*((EXACT('Reparto de brigadas'!$D$4:$D$11,$D4)))*((ROW('Reparto de brigadas'!$A$4:$A$11)&lt;&gt;ROW($A4))))&gt;0))</formula>
    </cfRule>
  </conditionalFormatting>
  <dataValidations count="2">
    <dataValidation sqref="E4:E11" showDropDown="0" showInputMessage="0" showErrorMessage="1" allowBlank="1" errorTitle="Valor fuera del dominio" error="Ese valor no esta en la lista." type="list" errorStyle="information">
      <formula1>'Listas'!$A$4:$A$6</formula1>
    </dataValidation>
    <dataValidation sqref="F4:F11" showDropDown="0" showInputMessage="0" showErrorMessage="1" allowBlank="1" errorTitle="Valor fuera del dominio" error="Ese valor no esta en la lista." type="list" errorStyle="information">
      <formula1>'Listas'!$B$4:$B$7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20" customWidth="1" min="4" max="4"/>
    <col width="33" customWidth="1" min="5" max="5"/>
    <col hidden="1" width="24" customWidth="1" min="6" max="6"/>
  </cols>
  <sheetData>
    <row r="1">
      <c r="A1" s="1" t="inlineStr">
        <is>
          <t>Instalaciones</t>
        </is>
      </c>
    </row>
    <row r="3">
      <c r="A3" s="2" t="inlineStr">
        <is>
          <t>Instalacion</t>
        </is>
      </c>
      <c r="B3" s="2" t="inlineStr">
        <is>
          <t>Capacidad</t>
        </is>
      </c>
      <c r="C3" s="2" t="inlineStr">
        <is>
          <t>Brigadas</t>
        </is>
      </c>
      <c r="D3" s="2" t="inlineStr">
        <is>
          <t>La que menos tiene</t>
        </is>
      </c>
      <c r="E3" s="2" t="inlineStr">
        <is>
          <t>Estado</t>
        </is>
      </c>
      <c r="F3" s="2" t="inlineStr">
        <is>
          <t>(nivel de las marcas)</t>
        </is>
      </c>
    </row>
    <row r="4">
      <c r="A4" s="3" t="inlineStr">
        <is>
          <t>Pista 1</t>
        </is>
      </c>
      <c r="B4" s="3" t="n">
        <v>40</v>
      </c>
      <c r="C4" s="3">
        <f>SUMPRODUCT(1*((EXACT('Reparto de brigadas'!$F$4:$F$11,$A4))))</f>
        <v/>
      </c>
      <c r="D4" s="3">
        <f>IF(SUMPRODUCT(1)=0,"",SUMPRODUCT(MIN(IFERROR(VALUE('Instalaciones'!$C$4:$C$7&amp;""),0)+(1-(1))*1E+300)))</f>
        <v/>
      </c>
      <c r="E4" s="3">
        <f>MID(IF((IFERROR(VALUE($C4&amp;""),0)&gt;IFERROR(VALUE((IFERROR(VALUE($D4&amp;""),0)+1)&amp;""),0)),"; "&amp;IF(ISNUMBER(("Tiene "&amp;IF(ISNUMBER($C4),IF($C4=0,"0",ROUND($C4,9-INT(LOG10(ABS($C4))))&amp;""),$C4&amp;"")&amp;" brigadas y otra tiene "&amp;IF(ISNUMBER($D4),IF($D4=0,"0",ROUND($D4,9-INT(LOG10(ABS($D4))))&amp;""),$D4&amp;""))),IF(("Tiene "&amp;IF(ISNUMBER($C4),IF($C4=0,"0",ROUND($C4,9-INT(LOG10(ABS($C4))))&amp;""),$C4&amp;"")&amp;" brigadas y otra tiene "&amp;IF(ISNUMBER($D4),IF($D4=0,"0",ROUND($D4,9-INT(LOG10(ABS($D4))))&amp;""),$D4&amp;""))=0,"0",ROUND(("Tiene "&amp;IF(ISNUMBER($C4),IF($C4=0,"0",ROUND($C4,9-INT(LOG10(ABS($C4))))&amp;""),$C4&amp;"")&amp;" brigadas y otra tiene "&amp;IF(ISNUMBER($D4),IF($D4=0,"0",ROUND($D4,9-INT(LOG10(ABS($D4))))&amp;""),$D4&amp;"")),9-INT(LOG10(ABS(("Tiene "&amp;IF(ISNUMBER($C4),IF($C4=0,"0",ROUND($C4,9-INT(LOG10(ABS($C4))))&amp;""),$C4&amp;"")&amp;" brigadas y otra tiene "&amp;IF(ISNUMBER($D4),IF($D4=0,"0",ROUND($D4,9-INT(LOG10(ABS($D4))))&amp;""),$D4&amp;""))))))&amp;""),("Tiene "&amp;IF(ISNUMBER($C4),IF($C4=0,"0",ROUND($C4,9-INT(LOG10(ABS($C4))))&amp;""),$C4&amp;"")&amp;" brigadas y otra tiene "&amp;IF(ISNUMBER($D4),IF($D4=0,"0",ROUND($D4,9-INT(LOG10(ABS($D4))))&amp;""),$D4&amp;""))&amp;""),""),3,32767)</f>
        <v/>
      </c>
      <c r="F4" s="3">
        <f>IF(OR((IFERROR(VALUE($C4&amp;""),0)&gt;IFERROR(VALUE((IFERROR(VALUE($D4&amp;""),0)+1)&amp;""),0))),2,0)</f>
        <v/>
      </c>
    </row>
    <row r="5">
      <c r="A5" s="3" t="inlineStr">
        <is>
          <t>Pista 2</t>
        </is>
      </c>
      <c r="B5" s="3" t="n">
        <v>30</v>
      </c>
      <c r="C5" s="3">
        <f>SUMPRODUCT(1*((EXACT('Reparto de brigadas'!$F$4:$F$11,$A5))))</f>
        <v/>
      </c>
      <c r="D5" s="3">
        <f>IF(SUMPRODUCT(1)=0,"",SUMPRODUCT(MIN(IFERROR(VALUE('Instalaciones'!$C$4:$C$7&amp;""),0)+(1-(1))*1E+300)))</f>
        <v/>
      </c>
      <c r="E5" s="3">
        <f>MID(IF((IFERROR(VALUE($C5&amp;""),0)&gt;IFERROR(VALUE((IFERROR(VALUE($D5&amp;""),0)+1)&amp;""),0)),"; "&amp;IF(ISNUMBER(("Tiene "&amp;IF(ISNUMBER($C5),IF($C5=0,"0",ROUND($C5,9-INT(LOG10(ABS($C5))))&amp;""),$C5&amp;"")&amp;" brigadas y otra tiene "&amp;IF(ISNUMBER($D5),IF($D5=0,"0",ROUND($D5,9-INT(LOG10(ABS($D5))))&amp;""),$D5&amp;""))),IF(("Tiene "&amp;IF(ISNUMBER($C5),IF($C5=0,"0",ROUND($C5,9-INT(LOG10(ABS($C5))))&amp;""),$C5&amp;"")&amp;" brigadas y otra tiene "&amp;IF(ISNUMBER($D5),IF($D5=0,"0",ROUND($D5,9-INT(LOG10(ABS($D5))))&amp;""),$D5&amp;""))=0,"0",ROUND(("Tiene "&amp;IF(ISNUMBER($C5),IF($C5=0,"0",ROUND($C5,9-INT(LOG10(ABS($C5))))&amp;""),$C5&amp;"")&amp;" brigadas y otra tiene "&amp;IF(ISNUMBER($D5),IF($D5=0,"0",ROUND($D5,9-INT(LOG10(ABS($D5))))&amp;""),$D5&amp;"")),9-INT(LOG10(ABS(("Tiene "&amp;IF(ISNUMBER($C5),IF($C5=0,"0",ROUND($C5,9-INT(LOG10(ABS($C5))))&amp;""),$C5&amp;"")&amp;" brigadas y otra tiene "&amp;IF(ISNUMBER($D5),IF($D5=0,"0",ROUND($D5,9-INT(LOG10(ABS($D5))))&amp;""),$D5&amp;""))))))&amp;""),("Tiene "&amp;IF(ISNUMBER($C5),IF($C5=0,"0",ROUND($C5,9-INT(LOG10(ABS($C5))))&amp;""),$C5&amp;"")&amp;" brigadas y otra tiene "&amp;IF(ISNUMBER($D5),IF($D5=0,"0",ROUND($D5,9-INT(LOG10(ABS($D5))))&amp;""),$D5&amp;""))&amp;""),""),3,32767)</f>
        <v/>
      </c>
      <c r="F5" s="3">
        <f>IF(OR((IFERROR(VALUE($C5&amp;""),0)&gt;IFERROR(VALUE((IFERROR(VALUE($D5&amp;""),0)+1)&amp;""),0))),2,0)</f>
        <v/>
      </c>
    </row>
    <row r="6">
      <c r="A6" s="3" t="inlineStr">
        <is>
          <t>Gimnasio</t>
        </is>
      </c>
      <c r="B6" s="3" t="n">
        <v>25</v>
      </c>
      <c r="C6" s="3">
        <f>SUMPRODUCT(1*((EXACT('Reparto de brigadas'!$F$4:$F$11,$A6))))</f>
        <v/>
      </c>
      <c r="D6" s="3">
        <f>IF(SUMPRODUCT(1)=0,"",SUMPRODUCT(MIN(IFERROR(VALUE('Instalaciones'!$C$4:$C$7&amp;""),0)+(1-(1))*1E+300)))</f>
        <v/>
      </c>
      <c r="E6" s="3">
        <f>MID(IF((IFERROR(VALUE($C6&amp;""),0)&gt;IFERROR(VALUE((IFERROR(VALUE($D6&amp;""),0)+1)&amp;""),0)),"; "&amp;IF(ISNUMBER(("Tiene "&amp;IF(ISNUMBER($C6),IF($C6=0,"0",ROUND($C6,9-INT(LOG10(ABS($C6))))&amp;""),$C6&amp;"")&amp;" brigadas y otra tiene "&amp;IF(ISNUMBER($D6),IF($D6=0,"0",ROUND($D6,9-INT(LOG10(ABS($D6))))&amp;""),$D6&amp;""))),IF(("Tiene "&amp;IF(ISNUMBER($C6),IF($C6=0,"0",ROUND($C6,9-INT(LOG10(ABS($C6))))&amp;""),$C6&amp;"")&amp;" brigadas y otra tiene "&amp;IF(ISNUMBER($D6),IF($D6=0,"0",ROUND($D6,9-INT(LOG10(ABS($D6))))&amp;""),$D6&amp;""))=0,"0",ROUND(("Tiene "&amp;IF(ISNUMBER($C6),IF($C6=0,"0",ROUND($C6,9-INT(LOG10(ABS($C6))))&amp;""),$C6&amp;"")&amp;" brigadas y otra tiene "&amp;IF(ISNUMBER($D6),IF($D6=0,"0",ROUND($D6,9-INT(LOG10(ABS($D6))))&amp;""),$D6&amp;"")),9-INT(LOG10(ABS(("Tiene "&amp;IF(ISNUMBER($C6),IF($C6=0,"0",ROUND($C6,9-INT(LOG10(ABS($C6))))&amp;""),$C6&amp;"")&amp;" brigadas y otra tiene "&amp;IF(ISNUMBER($D6),IF($D6=0,"0",ROUND($D6,9-INT(LOG10(ABS($D6))))&amp;""),$D6&amp;""))))))&amp;""),("Tiene "&amp;IF(ISNUMBER($C6),IF($C6=0,"0",ROUND($C6,9-INT(LOG10(ABS($C6))))&amp;""),$C6&amp;"")&amp;" brigadas y otra tiene "&amp;IF(ISNUMBER($D6),IF($D6=0,"0",ROUND($D6,9-INT(LOG10(ABS($D6))))&amp;""),$D6&amp;""))&amp;""),""),3,32767)</f>
        <v/>
      </c>
      <c r="F6" s="3">
        <f>IF(OR((IFERROR(VALUE($C6&amp;""),0)&gt;IFERROR(VALUE((IFERROR(VALUE($D6&amp;""),0)+1)&amp;""),0))),2,0)</f>
        <v/>
      </c>
    </row>
    <row r="7">
      <c r="A7" s="3" t="inlineStr">
        <is>
          <t>Piscina</t>
        </is>
      </c>
      <c r="B7" s="3" t="n">
        <v>20</v>
      </c>
      <c r="C7" s="3">
        <f>SUMPRODUCT(1*((EXACT('Reparto de brigadas'!$F$4:$F$11,$A7))))</f>
        <v/>
      </c>
      <c r="D7" s="3">
        <f>IF(SUMPRODUCT(1)=0,"",SUMPRODUCT(MIN(IFERROR(VALUE('Instalaciones'!$C$4:$C$7&amp;""),0)+(1-(1))*1E+300)))</f>
        <v/>
      </c>
      <c r="E7" s="3">
        <f>MID(IF((IFERROR(VALUE($C7&amp;""),0)&gt;IFERROR(VALUE((IFERROR(VALUE($D7&amp;""),0)+1)&amp;""),0)),"; "&amp;IF(ISNUMBER(("Tiene "&amp;IF(ISNUMBER($C7),IF($C7=0,"0",ROUND($C7,9-INT(LOG10(ABS($C7))))&amp;""),$C7&amp;"")&amp;" brigadas y otra tiene "&amp;IF(ISNUMBER($D7),IF($D7=0,"0",ROUND($D7,9-INT(LOG10(ABS($D7))))&amp;""),$D7&amp;""))),IF(("Tiene "&amp;IF(ISNUMBER($C7),IF($C7=0,"0",ROUND($C7,9-INT(LOG10(ABS($C7))))&amp;""),$C7&amp;"")&amp;" brigadas y otra tiene "&amp;IF(ISNUMBER($D7),IF($D7=0,"0",ROUND($D7,9-INT(LOG10(ABS($D7))))&amp;""),$D7&amp;""))=0,"0",ROUND(("Tiene "&amp;IF(ISNUMBER($C7),IF($C7=0,"0",ROUND($C7,9-INT(LOG10(ABS($C7))))&amp;""),$C7&amp;"")&amp;" brigadas y otra tiene "&amp;IF(ISNUMBER($D7),IF($D7=0,"0",ROUND($D7,9-INT(LOG10(ABS($D7))))&amp;""),$D7&amp;"")),9-INT(LOG10(ABS(("Tiene "&amp;IF(ISNUMBER($C7),IF($C7=0,"0",ROUND($C7,9-INT(LOG10(ABS($C7))))&amp;""),$C7&amp;"")&amp;" brigadas y otra tiene "&amp;IF(ISNUMBER($D7),IF($D7=0,"0",ROUND($D7,9-INT(LOG10(ABS($D7))))&amp;""),$D7&amp;""))))))&amp;""),("Tiene "&amp;IF(ISNUMBER($C7),IF($C7=0,"0",ROUND($C7,9-INT(LOG10(ABS($C7))))&amp;""),$C7&amp;"")&amp;" brigadas y otra tiene "&amp;IF(ISNUMBER($D7),IF($D7=0,"0",ROUND($D7,9-INT(LOG10(ABS($D7))))&amp;""),$D7&amp;""))&amp;""),""),3,32767)</f>
        <v/>
      </c>
      <c r="F7" s="3">
        <f>IF(OR((IFERROR(VALUE($C7&amp;""),0)&gt;IFERROR(VALUE((IFERROR(VALUE($D7&amp;""),0)+1)&amp;""),0))),2,0)</f>
        <v/>
      </c>
    </row>
    <row r="9">
      <c r="A9" s="5" t="inlineStr">
        <is>
          <t>Leyenda</t>
        </is>
      </c>
    </row>
    <row r="10">
      <c r="A10" s="11" t="n"/>
      <c r="B10" t="inlineStr">
        <is>
          <t>instalacion desequilibrada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7">
    <cfRule type="expression" priority="1" dxfId="1" stopIfTrue="0">
      <formula>(IFERROR(VALUE($C4&amp;""),0)&gt;IFERROR(VALUE((IFERROR(VALUE($D4&amp;""),0)+1)&amp;""),0))</formula>
    </cfRule>
  </conditionalFormatting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7" customWidth="1" min="2" max="2"/>
    <col width="8" customWidth="1" min="3" max="3"/>
  </cols>
  <sheetData>
    <row r="1">
      <c r="A1" s="1" t="inlineStr">
        <is>
          <t>Anos de carrera</t>
        </is>
      </c>
    </row>
    <row r="3">
      <c r="A3" s="2" t="inlineStr">
        <is>
          <t>Ano</t>
        </is>
      </c>
      <c r="B3" s="2" t="inlineStr">
        <is>
          <t>Carrera</t>
        </is>
      </c>
      <c r="C3" s="2" t="inlineStr">
        <is>
          <t>Semana</t>
        </is>
      </c>
    </row>
    <row r="4">
      <c r="A4" s="3" t="inlineStr">
        <is>
          <t>CC-1</t>
        </is>
      </c>
      <c r="B4" s="3" t="inlineStr">
        <is>
          <t>Ciencia de la Computacion</t>
        </is>
      </c>
      <c r="C4" s="3" t="inlineStr">
        <is>
          <t>par</t>
        </is>
      </c>
    </row>
    <row r="5">
      <c r="A5" s="3" t="inlineStr">
        <is>
          <t>CC-2</t>
        </is>
      </c>
      <c r="B5" s="3" t="inlineStr">
        <is>
          <t>Ciencia de la Computacion</t>
        </is>
      </c>
      <c r="C5" s="3" t="inlineStr">
        <is>
          <t>impar</t>
        </is>
      </c>
    </row>
    <row r="6">
      <c r="A6" s="3" t="inlineStr">
        <is>
          <t>MAT-1</t>
        </is>
      </c>
      <c r="B6" s="3" t="inlineStr">
        <is>
          <t>Matematica</t>
        </is>
      </c>
      <c r="C6" s="3" t="inlineStr">
        <is>
          <t>par</t>
        </is>
      </c>
    </row>
    <row r="7">
      <c r="A7" s="3" t="inlineStr">
        <is>
          <t>MAT-2</t>
        </is>
      </c>
      <c r="B7" s="3" t="inlineStr">
        <is>
          <t>Matematica</t>
        </is>
      </c>
      <c r="C7" s="3" t="inlineStr">
        <is>
          <t>impar</t>
        </is>
      </c>
    </row>
    <row r="8">
      <c r="A8" s="3" t="inlineStr">
        <is>
          <t>FIS-1</t>
        </is>
      </c>
      <c r="B8" s="3" t="inlineStr">
        <is>
          <t>Fisica</t>
        </is>
      </c>
      <c r="C8" s="3" t="inlineStr">
        <is>
          <t>par</t>
        </is>
      </c>
    </row>
    <row r="9">
      <c r="A9" s="3" t="inlineStr">
        <is>
          <t>FIS-2</t>
        </is>
      </c>
      <c r="B9" s="3" t="inlineStr">
        <is>
          <t>Fisica</t>
        </is>
      </c>
      <c r="C9" s="3" t="inlineStr">
        <is>
          <t>par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7" customWidth="1" min="2" max="2"/>
    <col width="9" customWidth="1" min="3" max="3"/>
  </cols>
  <sheetData>
    <row r="1">
      <c r="A1" s="1" t="inlineStr">
        <is>
          <t>Horarios disponibles por ano</t>
        </is>
      </c>
    </row>
    <row r="3">
      <c r="A3" s="2" t="inlineStr">
        <is>
          <t>Clave</t>
        </is>
      </c>
      <c r="B3" s="2" t="inlineStr">
        <is>
          <t>Ano</t>
        </is>
      </c>
      <c r="C3" s="2" t="inlineStr">
        <is>
          <t>Horario</t>
        </is>
      </c>
    </row>
    <row r="4">
      <c r="A4" s="3" t="inlineStr">
        <is>
          <t>CC-1#10 a.m.</t>
        </is>
      </c>
      <c r="B4" s="3" t="inlineStr">
        <is>
          <t>CC-1</t>
        </is>
      </c>
      <c r="C4" s="3" t="inlineStr">
        <is>
          <t>10 a.m.</t>
        </is>
      </c>
    </row>
    <row r="5">
      <c r="A5" s="3" t="inlineStr">
        <is>
          <t>CC-1#11 a.m.</t>
        </is>
      </c>
      <c r="B5" s="3" t="inlineStr">
        <is>
          <t>CC-1</t>
        </is>
      </c>
      <c r="C5" s="3" t="inlineStr">
        <is>
          <t>11 a.m.</t>
        </is>
      </c>
    </row>
    <row r="6">
      <c r="A6" s="3" t="inlineStr">
        <is>
          <t>CC-2#11 a.m.</t>
        </is>
      </c>
      <c r="B6" s="3" t="inlineStr">
        <is>
          <t>CC-2</t>
        </is>
      </c>
      <c r="C6" s="3" t="inlineStr">
        <is>
          <t>11 a.m.</t>
        </is>
      </c>
    </row>
    <row r="7">
      <c r="A7" s="3" t="inlineStr">
        <is>
          <t>CC-2#3 p.m.</t>
        </is>
      </c>
      <c r="B7" s="3" t="inlineStr">
        <is>
          <t>CC-2</t>
        </is>
      </c>
      <c r="C7" s="3" t="inlineStr">
        <is>
          <t>3 p.m.</t>
        </is>
      </c>
    </row>
    <row r="8">
      <c r="A8" s="3" t="inlineStr">
        <is>
          <t>MAT-1#10 a.m.</t>
        </is>
      </c>
      <c r="B8" s="3" t="inlineStr">
        <is>
          <t>MAT-1</t>
        </is>
      </c>
      <c r="C8" s="3" t="inlineStr">
        <is>
          <t>10 a.m.</t>
        </is>
      </c>
    </row>
    <row r="9">
      <c r="A9" s="3" t="inlineStr">
        <is>
          <t>MAT-2#10 a.m.</t>
        </is>
      </c>
      <c r="B9" s="3" t="inlineStr">
        <is>
          <t>MAT-2</t>
        </is>
      </c>
      <c r="C9" s="3" t="inlineStr">
        <is>
          <t>10 a.m.</t>
        </is>
      </c>
    </row>
    <row r="10">
      <c r="A10" s="3" t="inlineStr">
        <is>
          <t>MAT-2#11 a.m.</t>
        </is>
      </c>
      <c r="B10" s="3" t="inlineStr">
        <is>
          <t>MAT-2</t>
        </is>
      </c>
      <c r="C10" s="3" t="inlineStr">
        <is>
          <t>11 a.m.</t>
        </is>
      </c>
    </row>
    <row r="11">
      <c r="A11" s="3" t="inlineStr">
        <is>
          <t>MAT-2#3 p.m.</t>
        </is>
      </c>
      <c r="B11" s="3" t="inlineStr">
        <is>
          <t>MAT-2</t>
        </is>
      </c>
      <c r="C11" s="3" t="inlineStr">
        <is>
          <t>3 p.m.</t>
        </is>
      </c>
    </row>
    <row r="12">
      <c r="A12" s="3" t="inlineStr">
        <is>
          <t>FIS-1#11 a.m.</t>
        </is>
      </c>
      <c r="B12" s="3" t="inlineStr">
        <is>
          <t>FIS-1</t>
        </is>
      </c>
      <c r="C12" s="3" t="inlineStr">
        <is>
          <t>11 a.m.</t>
        </is>
      </c>
    </row>
    <row r="13">
      <c r="A13" s="3" t="inlineStr">
        <is>
          <t>FIS-1#3 p.m.</t>
        </is>
      </c>
      <c r="B13" s="3" t="inlineStr">
        <is>
          <t>FIS-1</t>
        </is>
      </c>
      <c r="C13" s="3" t="inlineStr">
        <is>
          <t>3 p.m.</t>
        </is>
      </c>
    </row>
    <row r="14">
      <c r="A14" s="3" t="inlineStr">
        <is>
          <t>FIS-2#3 p.m.</t>
        </is>
      </c>
      <c r="B14" s="3" t="inlineStr">
        <is>
          <t>FIS-2</t>
        </is>
      </c>
      <c r="C14" s="3" t="inlineStr">
        <is>
          <t>3 p.m.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1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20" customWidth="1" min="4" max="4"/>
    <col width="40" customWidth="1" min="5" max="5"/>
    <col hidden="1" width="24" customWidth="1" min="6" max="6"/>
  </cols>
  <sheetData>
    <row r="1">
      <c r="A1" s="1" t="inlineStr">
        <is>
          <t>Brigadas por horario</t>
        </is>
      </c>
    </row>
    <row r="3">
      <c r="A3" s="2" t="inlineStr">
        <is>
          <t>Semana</t>
        </is>
      </c>
      <c r="B3" s="2" t="inlineStr">
        <is>
          <t>Horario</t>
        </is>
      </c>
      <c r="C3" s="2" t="inlineStr">
        <is>
          <t>Brigadas</t>
        </is>
      </c>
      <c r="D3" s="2" t="inlineStr">
        <is>
          <t>La que menos tiene</t>
        </is>
      </c>
      <c r="E3" s="2" t="inlineStr">
        <is>
          <t>Estado</t>
        </is>
      </c>
      <c r="F3" s="2" t="inlineStr">
        <is>
          <t>(nivel de las marcas)</t>
        </is>
      </c>
    </row>
    <row r="4">
      <c r="A4" s="3" t="inlineStr">
        <is>
          <t>par</t>
        </is>
      </c>
      <c r="B4" s="3" t="inlineStr">
        <is>
          <t>10 a.m.</t>
        </is>
      </c>
      <c r="C4" s="3">
        <f>SUMPRODUCT(1*((EXACT('Reparto de brigadas'!$G$4:$G$11,$A4)))*((EXACT('Reparto de brigadas'!$E$4:$E$11,$B4))))</f>
        <v/>
      </c>
      <c r="D4" s="3">
        <f>IF(SUMPRODUCT(1)=0,"",SUMPRODUCT(MIN(IFERROR(VALUE('Brigadas por horario'!$C$4:$C$9&amp;""),0)+(1-(1))*1E+300)))</f>
        <v/>
      </c>
      <c r="E4" s="3">
        <f>MID(IF((IFERROR(VALUE($C4&amp;""),0)&gt;IFERROR(VALUE((IFERROR(VALUE($D4&amp;""),0)+1)&amp;""),0)),"; "&amp;IF(ISNUMBER(("Tiene "&amp;IF(ISNUMBER($C4),IF($C4=0,"0",ROUND($C4,9-INT(LOG10(ABS($C4))))&amp;""),$C4&amp;"")&amp;" brigadas y otro horario tiene "&amp;IF(ISNUMBER($D4),IF($D4=0,"0",ROUND($D4,9-INT(LOG10(ABS($D4))))&amp;""),$D4&amp;""))),IF(("Tiene "&amp;IF(ISNUMBER($C4),IF($C4=0,"0",ROUND($C4,9-INT(LOG10(ABS($C4))))&amp;""),$C4&amp;"")&amp;" brigadas y otro horario tiene "&amp;IF(ISNUMBER($D4),IF($D4=0,"0",ROUND($D4,9-INT(LOG10(ABS($D4))))&amp;""),$D4&amp;""))=0,"0",ROUND(("Tiene "&amp;IF(ISNUMBER($C4),IF($C4=0,"0",ROUND($C4,9-INT(LOG10(ABS($C4))))&amp;""),$C4&amp;"")&amp;" brigadas y otro horario tiene "&amp;IF(ISNUMBER($D4),IF($D4=0,"0",ROUND($D4,9-INT(LOG10(ABS($D4))))&amp;""),$D4&amp;"")),9-INT(LOG10(ABS(("Tiene "&amp;IF(ISNUMBER($C4),IF($C4=0,"0",ROUND($C4,9-INT(LOG10(ABS($C4))))&amp;""),$C4&amp;"")&amp;" brigadas y otro horario tiene "&amp;IF(ISNUMBER($D4),IF($D4=0,"0",ROUND($D4,9-INT(LOG10(ABS($D4))))&amp;""),$D4&amp;""))))))&amp;""),("Tiene "&amp;IF(ISNUMBER($C4),IF($C4=0,"0",ROUND($C4,9-INT(LOG10(ABS($C4))))&amp;""),$C4&amp;"")&amp;" brigadas y otro horario tiene "&amp;IF(ISNUMBER($D4),IF($D4=0,"0",ROUND($D4,9-INT(LOG10(ABS($D4))))&amp;""),$D4&amp;""))&amp;""),""),3,32767)</f>
        <v/>
      </c>
      <c r="F4" s="3">
        <f>IF(OR((IFERROR(VALUE($C4&amp;""),0)&gt;IFERROR(VALUE((IFERROR(VALUE($D4&amp;""),0)+1)&amp;""),0))),2,0)</f>
        <v/>
      </c>
    </row>
    <row r="5">
      <c r="A5" s="3" t="inlineStr">
        <is>
          <t>par</t>
        </is>
      </c>
      <c r="B5" s="3" t="inlineStr">
        <is>
          <t>11 a.m.</t>
        </is>
      </c>
      <c r="C5" s="3">
        <f>SUMPRODUCT(1*((EXACT('Reparto de brigadas'!$G$4:$G$11,$A5)))*((EXACT('Reparto de brigadas'!$E$4:$E$11,$B5))))</f>
        <v/>
      </c>
      <c r="D5" s="3">
        <f>IF(SUMPRODUCT(1)=0,"",SUMPRODUCT(MIN(IFERROR(VALUE('Brigadas por horario'!$C$4:$C$9&amp;""),0)+(1-(1))*1E+300)))</f>
        <v/>
      </c>
      <c r="E5" s="3">
        <f>MID(IF((IFERROR(VALUE($C5&amp;""),0)&gt;IFERROR(VALUE((IFERROR(VALUE($D5&amp;""),0)+1)&amp;""),0)),"; "&amp;IF(ISNUMBER(("Tiene "&amp;IF(ISNUMBER($C5),IF($C5=0,"0",ROUND($C5,9-INT(LOG10(ABS($C5))))&amp;""),$C5&amp;"")&amp;" brigadas y otro horario tiene "&amp;IF(ISNUMBER($D5),IF($D5=0,"0",ROUND($D5,9-INT(LOG10(ABS($D5))))&amp;""),$D5&amp;""))),IF(("Tiene "&amp;IF(ISNUMBER($C5),IF($C5=0,"0",ROUND($C5,9-INT(LOG10(ABS($C5))))&amp;""),$C5&amp;"")&amp;" brigadas y otro horario tiene "&amp;IF(ISNUMBER($D5),IF($D5=0,"0",ROUND($D5,9-INT(LOG10(ABS($D5))))&amp;""),$D5&amp;""))=0,"0",ROUND(("Tiene "&amp;IF(ISNUMBER($C5),IF($C5=0,"0",ROUND($C5,9-INT(LOG10(ABS($C5))))&amp;""),$C5&amp;"")&amp;" brigadas y otro horario tiene "&amp;IF(ISNUMBER($D5),IF($D5=0,"0",ROUND($D5,9-INT(LOG10(ABS($D5))))&amp;""),$D5&amp;"")),9-INT(LOG10(ABS(("Tiene "&amp;IF(ISNUMBER($C5),IF($C5=0,"0",ROUND($C5,9-INT(LOG10(ABS($C5))))&amp;""),$C5&amp;"")&amp;" brigadas y otro horario tiene "&amp;IF(ISNUMBER($D5),IF($D5=0,"0",ROUND($D5,9-INT(LOG10(ABS($D5))))&amp;""),$D5&amp;""))))))&amp;""),("Tiene "&amp;IF(ISNUMBER($C5),IF($C5=0,"0",ROUND($C5,9-INT(LOG10(ABS($C5))))&amp;""),$C5&amp;"")&amp;" brigadas y otro horario tiene "&amp;IF(ISNUMBER($D5),IF($D5=0,"0",ROUND($D5,9-INT(LOG10(ABS($D5))))&amp;""),$D5&amp;""))&amp;""),""),3,32767)</f>
        <v/>
      </c>
      <c r="F5" s="3">
        <f>IF(OR((IFERROR(VALUE($C5&amp;""),0)&gt;IFERROR(VALUE((IFERROR(VALUE($D5&amp;""),0)+1)&amp;""),0))),2,0)</f>
        <v/>
      </c>
    </row>
    <row r="6">
      <c r="A6" s="3" t="inlineStr">
        <is>
          <t>par</t>
        </is>
      </c>
      <c r="B6" s="3" t="inlineStr">
        <is>
          <t>3 p.m.</t>
        </is>
      </c>
      <c r="C6" s="3">
        <f>SUMPRODUCT(1*((EXACT('Reparto de brigadas'!$G$4:$G$11,$A6)))*((EXACT('Reparto de brigadas'!$E$4:$E$11,$B6))))</f>
        <v/>
      </c>
      <c r="D6" s="3">
        <f>IF(SUMPRODUCT(1)=0,"",SUMPRODUCT(MIN(IFERROR(VALUE('Brigadas por horario'!$C$4:$C$9&amp;""),0)+(1-(1))*1E+300)))</f>
        <v/>
      </c>
      <c r="E6" s="3">
        <f>MID(IF((IFERROR(VALUE($C6&amp;""),0)&gt;IFERROR(VALUE((IFERROR(VALUE($D6&amp;""),0)+1)&amp;""),0)),"; "&amp;IF(ISNUMBER(("Tiene "&amp;IF(ISNUMBER($C6),IF($C6=0,"0",ROUND($C6,9-INT(LOG10(ABS($C6))))&amp;""),$C6&amp;"")&amp;" brigadas y otro horario tiene "&amp;IF(ISNUMBER($D6),IF($D6=0,"0",ROUND($D6,9-INT(LOG10(ABS($D6))))&amp;""),$D6&amp;""))),IF(("Tiene "&amp;IF(ISNUMBER($C6),IF($C6=0,"0",ROUND($C6,9-INT(LOG10(ABS($C6))))&amp;""),$C6&amp;"")&amp;" brigadas y otro horario tiene "&amp;IF(ISNUMBER($D6),IF($D6=0,"0",ROUND($D6,9-INT(LOG10(ABS($D6))))&amp;""),$D6&amp;""))=0,"0",ROUND(("Tiene "&amp;IF(ISNUMBER($C6),IF($C6=0,"0",ROUND($C6,9-INT(LOG10(ABS($C6))))&amp;""),$C6&amp;"")&amp;" brigadas y otro horario tiene "&amp;IF(ISNUMBER($D6),IF($D6=0,"0",ROUND($D6,9-INT(LOG10(ABS($D6))))&amp;""),$D6&amp;"")),9-INT(LOG10(ABS(("Tiene "&amp;IF(ISNUMBER($C6),IF($C6=0,"0",ROUND($C6,9-INT(LOG10(ABS($C6))))&amp;""),$C6&amp;"")&amp;" brigadas y otro horario tiene "&amp;IF(ISNUMBER($D6),IF($D6=0,"0",ROUND($D6,9-INT(LOG10(ABS($D6))))&amp;""),$D6&amp;""))))))&amp;""),("Tiene "&amp;IF(ISNUMBER($C6),IF($C6=0,"0",ROUND($C6,9-INT(LOG10(ABS($C6))))&amp;""),$C6&amp;"")&amp;" brigadas y otro horario tiene "&amp;IF(ISNUMBER($D6),IF($D6=0,"0",ROUND($D6,9-INT(LOG10(ABS($D6))))&amp;""),$D6&amp;""))&amp;""),""),3,32767)</f>
        <v/>
      </c>
      <c r="F6" s="3">
        <f>IF(OR((IFERROR(VALUE($C6&amp;""),0)&gt;IFERROR(VALUE((IFERROR(VALUE($D6&amp;""),0)+1)&amp;""),0))),2,0)</f>
        <v/>
      </c>
    </row>
    <row r="7">
      <c r="A7" s="3" t="inlineStr">
        <is>
          <t>impar</t>
        </is>
      </c>
      <c r="B7" s="3" t="inlineStr">
        <is>
          <t>10 a.m.</t>
        </is>
      </c>
      <c r="C7" s="3">
        <f>SUMPRODUCT(1*((EXACT('Reparto de brigadas'!$G$4:$G$11,$A7)))*((EXACT('Reparto de brigadas'!$E$4:$E$11,$B7))))</f>
        <v/>
      </c>
      <c r="D7" s="3">
        <f>IF(SUMPRODUCT(1)=0,"",SUMPRODUCT(MIN(IFERROR(VALUE('Brigadas por horario'!$C$4:$C$9&amp;""),0)+(1-(1))*1E+300)))</f>
        <v/>
      </c>
      <c r="E7" s="3">
        <f>MID(IF((IFERROR(VALUE($C7&amp;""),0)&gt;IFERROR(VALUE((IFERROR(VALUE($D7&amp;""),0)+1)&amp;""),0)),"; "&amp;IF(ISNUMBER(("Tiene "&amp;IF(ISNUMBER($C7),IF($C7=0,"0",ROUND($C7,9-INT(LOG10(ABS($C7))))&amp;""),$C7&amp;"")&amp;" brigadas y otro horario tiene "&amp;IF(ISNUMBER($D7),IF($D7=0,"0",ROUND($D7,9-INT(LOG10(ABS($D7))))&amp;""),$D7&amp;""))),IF(("Tiene "&amp;IF(ISNUMBER($C7),IF($C7=0,"0",ROUND($C7,9-INT(LOG10(ABS($C7))))&amp;""),$C7&amp;"")&amp;" brigadas y otro horario tiene "&amp;IF(ISNUMBER($D7),IF($D7=0,"0",ROUND($D7,9-INT(LOG10(ABS($D7))))&amp;""),$D7&amp;""))=0,"0",ROUND(("Tiene "&amp;IF(ISNUMBER($C7),IF($C7=0,"0",ROUND($C7,9-INT(LOG10(ABS($C7))))&amp;""),$C7&amp;"")&amp;" brigadas y otro horario tiene "&amp;IF(ISNUMBER($D7),IF($D7=0,"0",ROUND($D7,9-INT(LOG10(ABS($D7))))&amp;""),$D7&amp;"")),9-INT(LOG10(ABS(("Tiene "&amp;IF(ISNUMBER($C7),IF($C7=0,"0",ROUND($C7,9-INT(LOG10(ABS($C7))))&amp;""),$C7&amp;"")&amp;" brigadas y otro horario tiene "&amp;IF(ISNUMBER($D7),IF($D7=0,"0",ROUND($D7,9-INT(LOG10(ABS($D7))))&amp;""),$D7&amp;""))))))&amp;""),("Tiene "&amp;IF(ISNUMBER($C7),IF($C7=0,"0",ROUND($C7,9-INT(LOG10(ABS($C7))))&amp;""),$C7&amp;"")&amp;" brigadas y otro horario tiene "&amp;IF(ISNUMBER($D7),IF($D7=0,"0",ROUND($D7,9-INT(LOG10(ABS($D7))))&amp;""),$D7&amp;""))&amp;""),""),3,32767)</f>
        <v/>
      </c>
      <c r="F7" s="3">
        <f>IF(OR((IFERROR(VALUE($C7&amp;""),0)&gt;IFERROR(VALUE((IFERROR(VALUE($D7&amp;""),0)+1)&amp;""),0))),2,0)</f>
        <v/>
      </c>
    </row>
    <row r="8">
      <c r="A8" s="3" t="inlineStr">
        <is>
          <t>impar</t>
        </is>
      </c>
      <c r="B8" s="3" t="inlineStr">
        <is>
          <t>11 a.m.</t>
        </is>
      </c>
      <c r="C8" s="3">
        <f>SUMPRODUCT(1*((EXACT('Reparto de brigadas'!$G$4:$G$11,$A8)))*((EXACT('Reparto de brigadas'!$E$4:$E$11,$B8))))</f>
        <v/>
      </c>
      <c r="D8" s="3">
        <f>IF(SUMPRODUCT(1)=0,"",SUMPRODUCT(MIN(IFERROR(VALUE('Brigadas por horario'!$C$4:$C$9&amp;""),0)+(1-(1))*1E+300)))</f>
        <v/>
      </c>
      <c r="E8" s="3">
        <f>MID(IF((IFERROR(VALUE($C8&amp;""),0)&gt;IFERROR(VALUE((IFERROR(VALUE($D8&amp;""),0)+1)&amp;""),0)),"; "&amp;IF(ISNUMBER(("Tiene "&amp;IF(ISNUMBER($C8),IF($C8=0,"0",ROUND($C8,9-INT(LOG10(ABS($C8))))&amp;""),$C8&amp;"")&amp;" brigadas y otro horario tiene "&amp;IF(ISNUMBER($D8),IF($D8=0,"0",ROUND($D8,9-INT(LOG10(ABS($D8))))&amp;""),$D8&amp;""))),IF(("Tiene "&amp;IF(ISNUMBER($C8),IF($C8=0,"0",ROUND($C8,9-INT(LOG10(ABS($C8))))&amp;""),$C8&amp;"")&amp;" brigadas y otro horario tiene "&amp;IF(ISNUMBER($D8),IF($D8=0,"0",ROUND($D8,9-INT(LOG10(ABS($D8))))&amp;""),$D8&amp;""))=0,"0",ROUND(("Tiene "&amp;IF(ISNUMBER($C8),IF($C8=0,"0",ROUND($C8,9-INT(LOG10(ABS($C8))))&amp;""),$C8&amp;"")&amp;" brigadas y otro horario tiene "&amp;IF(ISNUMBER($D8),IF($D8=0,"0",ROUND($D8,9-INT(LOG10(ABS($D8))))&amp;""),$D8&amp;"")),9-INT(LOG10(ABS(("Tiene "&amp;IF(ISNUMBER($C8),IF($C8=0,"0",ROUND($C8,9-INT(LOG10(ABS($C8))))&amp;""),$C8&amp;"")&amp;" brigadas y otro horario tiene "&amp;IF(ISNUMBER($D8),IF($D8=0,"0",ROUND($D8,9-INT(LOG10(ABS($D8))))&amp;""),$D8&amp;""))))))&amp;""),("Tiene "&amp;IF(ISNUMBER($C8),IF($C8=0,"0",ROUND($C8,9-INT(LOG10(ABS($C8))))&amp;""),$C8&amp;"")&amp;" brigadas y otro horario tiene "&amp;IF(ISNUMBER($D8),IF($D8=0,"0",ROUND($D8,9-INT(LOG10(ABS($D8))))&amp;""),$D8&amp;""))&amp;""),""),3,32767)</f>
        <v/>
      </c>
      <c r="F8" s="3">
        <f>IF(OR((IFERROR(VALUE($C8&amp;""),0)&gt;IFERROR(VALUE((IFERROR(VALUE($D8&amp;""),0)+1)&amp;""),0))),2,0)</f>
        <v/>
      </c>
    </row>
    <row r="9">
      <c r="A9" s="3" t="inlineStr">
        <is>
          <t>impar</t>
        </is>
      </c>
      <c r="B9" s="3" t="inlineStr">
        <is>
          <t>3 p.m.</t>
        </is>
      </c>
      <c r="C9" s="3">
        <f>SUMPRODUCT(1*((EXACT('Reparto de brigadas'!$G$4:$G$11,$A9)))*((EXACT('Reparto de brigadas'!$E$4:$E$11,$B9))))</f>
        <v/>
      </c>
      <c r="D9" s="3">
        <f>IF(SUMPRODUCT(1)=0,"",SUMPRODUCT(MIN(IFERROR(VALUE('Brigadas por horario'!$C$4:$C$9&amp;""),0)+(1-(1))*1E+300)))</f>
        <v/>
      </c>
      <c r="E9" s="3">
        <f>MID(IF((IFERROR(VALUE($C9&amp;""),0)&gt;IFERROR(VALUE((IFERROR(VALUE($D9&amp;""),0)+1)&amp;""),0)),"; "&amp;IF(ISNUMBER(("Tiene "&amp;IF(ISNUMBER($C9),IF($C9=0,"0",ROUND($C9,9-INT(LOG10(ABS($C9))))&amp;""),$C9&amp;"")&amp;" brigadas y otro horario tiene "&amp;IF(ISNUMBER($D9),IF($D9=0,"0",ROUND($D9,9-INT(LOG10(ABS($D9))))&amp;""),$D9&amp;""))),IF(("Tiene "&amp;IF(ISNUMBER($C9),IF($C9=0,"0",ROUND($C9,9-INT(LOG10(ABS($C9))))&amp;""),$C9&amp;"")&amp;" brigadas y otro horario tiene "&amp;IF(ISNUMBER($D9),IF($D9=0,"0",ROUND($D9,9-INT(LOG10(ABS($D9))))&amp;""),$D9&amp;""))=0,"0",ROUND(("Tiene "&amp;IF(ISNUMBER($C9),IF($C9=0,"0",ROUND($C9,9-INT(LOG10(ABS($C9))))&amp;""),$C9&amp;"")&amp;" brigadas y otro horario tiene "&amp;IF(ISNUMBER($D9),IF($D9=0,"0",ROUND($D9,9-INT(LOG10(ABS($D9))))&amp;""),$D9&amp;"")),9-INT(LOG10(ABS(("Tiene "&amp;IF(ISNUMBER($C9),IF($C9=0,"0",ROUND($C9,9-INT(LOG10(ABS($C9))))&amp;""),$C9&amp;"")&amp;" brigadas y otro horario tiene "&amp;IF(ISNUMBER($D9),IF($D9=0,"0",ROUND($D9,9-INT(LOG10(ABS($D9))))&amp;""),$D9&amp;""))))))&amp;""),("Tiene "&amp;IF(ISNUMBER($C9),IF($C9=0,"0",ROUND($C9,9-INT(LOG10(ABS($C9))))&amp;""),$C9&amp;"")&amp;" brigadas y otro horario tiene "&amp;IF(ISNUMBER($D9),IF($D9=0,"0",ROUND($D9,9-INT(LOG10(ABS($D9))))&amp;""),$D9&amp;""))&amp;""),""),3,32767)</f>
        <v/>
      </c>
      <c r="F9" s="3">
        <f>IF(OR((IFERROR(VALUE($C9&amp;""),0)&gt;IFERROR(VALUE((IFERROR(VALUE($D9&amp;""),0)+1)&amp;""),0))),2,0)</f>
        <v/>
      </c>
    </row>
    <row r="11">
      <c r="A11" s="5" t="inlineStr">
        <is>
          <t>Leyenda</t>
        </is>
      </c>
    </row>
    <row r="12">
      <c r="A12" s="11" t="n"/>
      <c r="B12" t="inlineStr">
        <is>
          <t>horario desequilibrado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9">
    <cfRule type="expression" priority="1" dxfId="1" stopIfTrue="0">
      <formula>(IFERROR(VALUE($C4&amp;""),0)&gt;IFERROR(VALUE((IFERROR(VALUE($D4&amp;""),0)+1)&amp;""),0))</formula>
    </cfRule>
  </conditionalFormatting>
  <pageMargins left="0.75" right="0.75" top="1" bottom="1" header="0.5" footer="0.5"/>
  <pageSetup fitToHeight="0" fitToWidth="1"/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/>
  </sheetPr>
  <dimension ref="A1:B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</cols>
  <sheetData>
    <row r="1">
      <c r="A1" s="1" t="inlineStr">
        <is>
          <t>Listas de los desplegables</t>
        </is>
      </c>
    </row>
    <row r="3">
      <c r="A3" s="3" t="n"/>
    </row>
    <row r="4">
      <c r="A4" s="3" t="inlineStr">
        <is>
          <t>10 a.m.</t>
        </is>
      </c>
      <c r="B4" t="inlineStr">
        <is>
          <t>Pista 1</t>
        </is>
      </c>
    </row>
    <row r="5">
      <c r="A5" s="3" t="inlineStr">
        <is>
          <t>11 a.m.</t>
        </is>
      </c>
      <c r="B5" t="inlineStr">
        <is>
          <t>Pista 2</t>
        </is>
      </c>
    </row>
    <row r="6">
      <c r="A6" s="3" t="inlineStr">
        <is>
          <t>3 p.m.</t>
        </is>
      </c>
      <c r="B6" t="inlineStr">
        <is>
          <t>Gimnasio</t>
        </is>
      </c>
    </row>
    <row r="7">
      <c r="A7" s="3" t="n"/>
      <c r="B7" t="inlineStr">
        <is>
          <t>Piscina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2026-10-18T02:24:39Z</dcterms:created>
  <dcterms:modified xmlns:dcterms="http://purl.org/dc/terms/" xmlns:xsi="http://www.w3.org/2001/XMLSchema-instance" xsi:type="dcterms:W3CDTF">2026-10-18T02:24:39Z</dcterms:modified>
</cp:coreProperties>
</file>