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 - par" sheetId="1" state="visible" r:id="rId1"/>
    <sheet xmlns:r="http://schemas.openxmlformats.org/officeDocument/2006/relationships" name="OI - impar" sheetId="2" state="visible" r:id="rId2"/>
    <sheet xmlns:r="http://schemas.openxmlformats.org/officeDocument/2006/relationships" name="HP - Prof. Alvarez" sheetId="3" state="visible" r:id="rId3"/>
    <sheet xmlns:r="http://schemas.openxmlformats.org/officeDocument/2006/relationships" name="HP - Prof. Benitez" sheetId="4" state="visible" r:id="rId4"/>
    <sheet xmlns:r="http://schemas.openxmlformats.org/officeDocument/2006/relationships" name="HP - Prof. Castro" sheetId="5" state="visible" r:id="rId5"/>
    <sheet xmlns:r="http://schemas.openxmlformats.org/officeDocument/2006/relationships" name="HP - Prof. Diaz" sheetId="6" state="visible" r:id="rId6"/>
    <sheet xmlns:r="http://schemas.openxmlformats.org/officeDocument/2006/relationships" name="Reparto de brigadas" sheetId="7" state="visible" r:id="rId7"/>
    <sheet xmlns:r="http://schemas.openxmlformats.org/officeDocument/2006/relationships" name="Instalaciones" sheetId="8" state="visible" r:id="rId8"/>
    <sheet xmlns:r="http://schemas.openxmlformats.org/officeDocument/2006/relationships" name="Anos de carrera" sheetId="9" state="visible" r:id="rId9"/>
    <sheet xmlns:r="http://schemas.openxmlformats.org/officeDocument/2006/relationships" name="Horarios disponibles por ano" sheetId="10" state="visible" r:id="rId10"/>
    <sheet xmlns:r="http://schemas.openxmlformats.org/officeDocument/2006/relationships" name="Brigadas por horario" sheetId="11" state="visible" r:id="rId11"/>
    <sheet xmlns:r="http://schemas.openxmlformats.org/officeDocument/2006/relationships" name="Listas" sheetId="12" state="hidden" r:id="rId12"/>
  </sheets>
  <definedNames>
    <definedName name="Brigadas">OFFSET('Reparto de brigadas'!$A$4,0,0,COUNTA('Reparto de brigadas'!$A$4:$A$31),9)</definedName>
    <definedName name="Instalaciones">OFFSET('Instalaciones'!$A$4,0,0,COUNTA('Instalaciones'!$A$4:$A$27),4)</definedName>
    <definedName name="Anos">OFFSET('Anos de carrera'!$A$4,0,0,COUNTA('Anos de carrera'!$A$4:$A$29),3)</definedName>
    <definedName name="Disponibles">OFFSET('Horarios disponibles por ano'!$A$4,0,0,COUNTA('Horarios disponibles por ano'!$A$4:$A$34),2)</definedName>
    <definedName name="Franja">'Brigadas por horario'!$A$4:$D$9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8CBAD"/>
      </patternFill>
    </fill>
    <fill>
      <patternFill patternType="solid">
        <fgColor rgb="00E6B8B7"/>
      </patternFill>
    </fill>
    <fill>
      <patternFill patternType="solid">
        <fgColor rgb="00FF999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999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6B8B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</cols>
  <sheetData>
    <row r="1">
      <c r="A1" s="1" t="inlineStr">
        <is>
          <t>Ocupacion de instalaciones - par</t>
        </is>
      </c>
    </row>
    <row r="3">
      <c r="A3" s="2" t="inlineStr">
        <is>
          <t>Instalacion</t>
        </is>
      </c>
      <c r="B3" s="2" t="inlineStr">
        <is>
          <t>10 a.m.</t>
        </is>
      </c>
      <c r="C3" s="2" t="inlineStr">
        <is>
          <t>11 a.m.</t>
        </is>
      </c>
      <c r="D3" s="2" t="inlineStr">
        <is>
          <t>3 p.m.</t>
        </is>
      </c>
    </row>
    <row r="4">
      <c r="A4" s="3" t="inlineStr">
        <is>
          <t>Pista 1</t>
        </is>
      </c>
      <c r="B4" s="3">
        <f>IF(SUMPRODUCT(1*EXACT('Reparto de brigadas'!$L$4:$L$31,"par"&amp;CHAR(31)&amp;$A4&amp;CHAR(31)&amp;B$3))&gt;1,IF(ISNA(MATCH(1,INDEX(EXACT('Reparto de brigadas'!$L$4:$L$31,"par"&amp;CHAR(31)&amp;$A4&amp;CHAR(31)&amp;B$3)*1,0),0)),"",IF(ISBLANK(INDEX('Reparto de brigadas'!$A$4:$A$31,MATCH(1,INDEX(EXACT('Reparto de brigadas'!$L$4:$L$31,"par"&amp;CHAR(31)&amp;$A4&amp;CHAR(31)&amp;B$3)*1,0),0))),"",INDEX('Reparto de brigadas'!$A$4:$A$31,MATCH(1,INDEX(EXACT('Reparto de brigadas'!$L$4:$L$31,"par"&amp;CHAR(31)&amp;$A4&amp;CHAR(31)&amp;B$3)*1,0),0))))&amp;" / "&amp;IF(ISBLANK(INDEX('Reparto de brigadas'!$A$4:$A$31,(MATCH(1,INDEX(EXACT('Reparto de brigadas'!$L$4:$L$31,"par"&amp;CHAR(31)&amp;$A4&amp;CHAR(31)&amp;B$3)*1,0),0)+MATCH(1,INDEX(EXACT(INDEX('Reparto de brigadas'!$L$4:$L$31,MATCH(1,INDEX(EXACT('Reparto de brigadas'!$L$4:$L$31,"par"&amp;CHAR(31)&amp;$A4&amp;CHAR(31)&amp;B$3)*1,0),0)+1):INDEX('Reparto de brigadas'!$L$4:$L$31,ROWS('Reparto de brigadas'!$L$4:$L$31)),"par"&amp;CHAR(31)&amp;$A4&amp;CHAR(31)&amp;B$3)*1,0),0)))),"",INDEX('Reparto de brigadas'!$A$4:$A$31,(MATCH(1,INDEX(EXACT('Reparto de brigadas'!$L$4:$L$31,"par"&amp;CHAR(31)&amp;$A4&amp;CHAR(31)&amp;B$3)*1,0),0)+MATCH(1,INDEX(EXACT(INDEX('Reparto de brigadas'!$L$4:$L$31,MATCH(1,INDEX(EXACT('Reparto de brigadas'!$L$4:$L$31,"par"&amp;CHAR(31)&amp;$A4&amp;CHAR(31)&amp;B$3)*1,0),0)+1):INDEX('Reparto de brigadas'!$L$4:$L$31,ROWS('Reparto de brigadas'!$L$4:$L$31)),"par"&amp;CHAR(31)&amp;$A4&amp;CHAR(31)&amp;B$3)*1,0),0))))&amp;IF(SUMPRODUCT(1*EXACT('Reparto de brigadas'!$L$4:$L$31,"par"&amp;CHAR(31)&amp;$A4&amp;CHAR(31)&amp;B$3))&gt;2," (+"&amp;(SUMPRODUCT(1*EXACT('Reparto de brigadas'!$L$4:$L$31,"par"&amp;CHAR(31)&amp;$A4&amp;CHAR(31)&amp;B$3))-2)&amp;")",""),IF(ISNA(MATCH(1,INDEX(EXACT('Reparto de brigadas'!$L$4:$L$31,"par"&amp;CHAR(31)&amp;$A4&amp;CHAR(31)&amp;B$3)*1,0),0)),"",IF(ISBLANK(INDEX('Reparto de brigadas'!$A$4:$A$31,MATCH(1,INDEX(EXACT('Reparto de brigadas'!$L$4:$L$31,"par"&amp;CHAR(31)&amp;$A4&amp;CHAR(31)&amp;B$3)*1,0),0))),"",INDEX('Reparto de brigadas'!$A$4:$A$31,MATCH(1,INDEX(EXACT('Reparto de brigadas'!$L$4:$L$31,"par"&amp;CHAR(31)&amp;$A4&amp;CHAR(31)&amp;B$3)*1,0),0)))))</f>
        <v/>
      </c>
      <c r="C4" s="3">
        <f>IF(SUMPRODUCT(1*EXACT('Reparto de brigadas'!$L$4:$L$31,"par"&amp;CHAR(31)&amp;$A4&amp;CHAR(31)&amp;C$3))&gt;1,IF(ISNA(MATCH(1,INDEX(EXACT('Reparto de brigadas'!$L$4:$L$31,"par"&amp;CHAR(31)&amp;$A4&amp;CHAR(31)&amp;C$3)*1,0),0)),"",IF(ISBLANK(INDEX('Reparto de brigadas'!$A$4:$A$31,MATCH(1,INDEX(EXACT('Reparto de brigadas'!$L$4:$L$31,"par"&amp;CHAR(31)&amp;$A4&amp;CHAR(31)&amp;C$3)*1,0),0))),"",INDEX('Reparto de brigadas'!$A$4:$A$31,MATCH(1,INDEX(EXACT('Reparto de brigadas'!$L$4:$L$31,"par"&amp;CHAR(31)&amp;$A4&amp;CHAR(31)&amp;C$3)*1,0),0))))&amp;" / "&amp;IF(ISBLANK(INDEX('Reparto de brigadas'!$A$4:$A$31,(MATCH(1,INDEX(EXACT('Reparto de brigadas'!$L$4:$L$31,"par"&amp;CHAR(31)&amp;$A4&amp;CHAR(31)&amp;C$3)*1,0),0)+MATCH(1,INDEX(EXACT(INDEX('Reparto de brigadas'!$L$4:$L$31,MATCH(1,INDEX(EXACT('Reparto de brigadas'!$L$4:$L$31,"par"&amp;CHAR(31)&amp;$A4&amp;CHAR(31)&amp;C$3)*1,0),0)+1):INDEX('Reparto de brigadas'!$L$4:$L$31,ROWS('Reparto de brigadas'!$L$4:$L$31)),"par"&amp;CHAR(31)&amp;$A4&amp;CHAR(31)&amp;C$3)*1,0),0)))),"",INDEX('Reparto de brigadas'!$A$4:$A$31,(MATCH(1,INDEX(EXACT('Reparto de brigadas'!$L$4:$L$31,"par"&amp;CHAR(31)&amp;$A4&amp;CHAR(31)&amp;C$3)*1,0),0)+MATCH(1,INDEX(EXACT(INDEX('Reparto de brigadas'!$L$4:$L$31,MATCH(1,INDEX(EXACT('Reparto de brigadas'!$L$4:$L$31,"par"&amp;CHAR(31)&amp;$A4&amp;CHAR(31)&amp;C$3)*1,0),0)+1):INDEX('Reparto de brigadas'!$L$4:$L$31,ROWS('Reparto de brigadas'!$L$4:$L$31)),"par"&amp;CHAR(31)&amp;$A4&amp;CHAR(31)&amp;C$3)*1,0),0))))&amp;IF(SUMPRODUCT(1*EXACT('Reparto de brigadas'!$L$4:$L$31,"par"&amp;CHAR(31)&amp;$A4&amp;CHAR(31)&amp;C$3))&gt;2," (+"&amp;(SUMPRODUCT(1*EXACT('Reparto de brigadas'!$L$4:$L$31,"par"&amp;CHAR(31)&amp;$A4&amp;CHAR(31)&amp;C$3))-2)&amp;")",""),IF(ISNA(MATCH(1,INDEX(EXACT('Reparto de brigadas'!$L$4:$L$31,"par"&amp;CHAR(31)&amp;$A4&amp;CHAR(31)&amp;C$3)*1,0),0)),"",IF(ISBLANK(INDEX('Reparto de brigadas'!$A$4:$A$31,MATCH(1,INDEX(EXACT('Reparto de brigadas'!$L$4:$L$31,"par"&amp;CHAR(31)&amp;$A4&amp;CHAR(31)&amp;C$3)*1,0),0))),"",INDEX('Reparto de brigadas'!$A$4:$A$31,MATCH(1,INDEX(EXACT('Reparto de brigadas'!$L$4:$L$31,"par"&amp;CHAR(31)&amp;$A4&amp;CHAR(31)&amp;C$3)*1,0),0)))))</f>
        <v/>
      </c>
      <c r="D4" s="3">
        <f>IF(SUMPRODUCT(1*EXACT('Reparto de brigadas'!$L$4:$L$31,"par"&amp;CHAR(31)&amp;$A4&amp;CHAR(31)&amp;D$3))&gt;1,IF(ISNA(MATCH(1,INDEX(EXACT('Reparto de brigadas'!$L$4:$L$31,"par"&amp;CHAR(31)&amp;$A4&amp;CHAR(31)&amp;D$3)*1,0),0)),"",IF(ISBLANK(INDEX('Reparto de brigadas'!$A$4:$A$31,MATCH(1,INDEX(EXACT('Reparto de brigadas'!$L$4:$L$31,"par"&amp;CHAR(31)&amp;$A4&amp;CHAR(31)&amp;D$3)*1,0),0))),"",INDEX('Reparto de brigadas'!$A$4:$A$31,MATCH(1,INDEX(EXACT('Reparto de brigadas'!$L$4:$L$31,"par"&amp;CHAR(31)&amp;$A4&amp;CHAR(31)&amp;D$3)*1,0),0))))&amp;" / "&amp;IF(ISBLANK(INDEX('Reparto de brigadas'!$A$4:$A$31,(MATCH(1,INDEX(EXACT('Reparto de brigadas'!$L$4:$L$31,"par"&amp;CHAR(31)&amp;$A4&amp;CHAR(31)&amp;D$3)*1,0),0)+MATCH(1,INDEX(EXACT(INDEX('Reparto de brigadas'!$L$4:$L$31,MATCH(1,INDEX(EXACT('Reparto de brigadas'!$L$4:$L$31,"par"&amp;CHAR(31)&amp;$A4&amp;CHAR(31)&amp;D$3)*1,0),0)+1):INDEX('Reparto de brigadas'!$L$4:$L$31,ROWS('Reparto de brigadas'!$L$4:$L$31)),"par"&amp;CHAR(31)&amp;$A4&amp;CHAR(31)&amp;D$3)*1,0),0)))),"",INDEX('Reparto de brigadas'!$A$4:$A$31,(MATCH(1,INDEX(EXACT('Reparto de brigadas'!$L$4:$L$31,"par"&amp;CHAR(31)&amp;$A4&amp;CHAR(31)&amp;D$3)*1,0),0)+MATCH(1,INDEX(EXACT(INDEX('Reparto de brigadas'!$L$4:$L$31,MATCH(1,INDEX(EXACT('Reparto de brigadas'!$L$4:$L$31,"par"&amp;CHAR(31)&amp;$A4&amp;CHAR(31)&amp;D$3)*1,0),0)+1):INDEX('Reparto de brigadas'!$L$4:$L$31,ROWS('Reparto de brigadas'!$L$4:$L$31)),"par"&amp;CHAR(31)&amp;$A4&amp;CHAR(31)&amp;D$3)*1,0),0))))&amp;IF(SUMPRODUCT(1*EXACT('Reparto de brigadas'!$L$4:$L$31,"par"&amp;CHAR(31)&amp;$A4&amp;CHAR(31)&amp;D$3))&gt;2," (+"&amp;(SUMPRODUCT(1*EXACT('Reparto de brigadas'!$L$4:$L$31,"par"&amp;CHAR(31)&amp;$A4&amp;CHAR(31)&amp;D$3))-2)&amp;")",""),IF(ISNA(MATCH(1,INDEX(EXACT('Reparto de brigadas'!$L$4:$L$31,"par"&amp;CHAR(31)&amp;$A4&amp;CHAR(31)&amp;D$3)*1,0),0)),"",IF(ISBLANK(INDEX('Reparto de brigadas'!$A$4:$A$31,MATCH(1,INDEX(EXACT('Reparto de brigadas'!$L$4:$L$31,"par"&amp;CHAR(31)&amp;$A4&amp;CHAR(31)&amp;D$3)*1,0),0))),"",INDEX('Reparto de brigadas'!$A$4:$A$31,MATCH(1,INDEX(EXACT('Reparto de brigadas'!$L$4:$L$31,"par"&amp;CHAR(31)&amp;$A4&amp;CHAR(31)&amp;D$3)*1,0),0)))))</f>
        <v/>
      </c>
    </row>
    <row r="5">
      <c r="A5" s="3" t="inlineStr">
        <is>
          <t>Pista 2</t>
        </is>
      </c>
      <c r="B5" s="3">
        <f>IF(SUMPRODUCT(1*EXACT('Reparto de brigadas'!$L$4:$L$31,"par"&amp;CHAR(31)&amp;$A5&amp;CHAR(31)&amp;B$3))&gt;1,IF(ISNA(MATCH(1,INDEX(EXACT('Reparto de brigadas'!$L$4:$L$31,"par"&amp;CHAR(31)&amp;$A5&amp;CHAR(31)&amp;B$3)*1,0),0)),"",IF(ISBLANK(INDEX('Reparto de brigadas'!$A$4:$A$31,MATCH(1,INDEX(EXACT('Reparto de brigadas'!$L$4:$L$31,"par"&amp;CHAR(31)&amp;$A5&amp;CHAR(31)&amp;B$3)*1,0),0))),"",INDEX('Reparto de brigadas'!$A$4:$A$31,MATCH(1,INDEX(EXACT('Reparto de brigadas'!$L$4:$L$31,"par"&amp;CHAR(31)&amp;$A5&amp;CHAR(31)&amp;B$3)*1,0),0))))&amp;" / "&amp;IF(ISBLANK(INDEX('Reparto de brigadas'!$A$4:$A$31,(MATCH(1,INDEX(EXACT('Reparto de brigadas'!$L$4:$L$31,"par"&amp;CHAR(31)&amp;$A5&amp;CHAR(31)&amp;B$3)*1,0),0)+MATCH(1,INDEX(EXACT(INDEX('Reparto de brigadas'!$L$4:$L$31,MATCH(1,INDEX(EXACT('Reparto de brigadas'!$L$4:$L$31,"par"&amp;CHAR(31)&amp;$A5&amp;CHAR(31)&amp;B$3)*1,0),0)+1):INDEX('Reparto de brigadas'!$L$4:$L$31,ROWS('Reparto de brigadas'!$L$4:$L$31)),"par"&amp;CHAR(31)&amp;$A5&amp;CHAR(31)&amp;B$3)*1,0),0)))),"",INDEX('Reparto de brigadas'!$A$4:$A$31,(MATCH(1,INDEX(EXACT('Reparto de brigadas'!$L$4:$L$31,"par"&amp;CHAR(31)&amp;$A5&amp;CHAR(31)&amp;B$3)*1,0),0)+MATCH(1,INDEX(EXACT(INDEX('Reparto de brigadas'!$L$4:$L$31,MATCH(1,INDEX(EXACT('Reparto de brigadas'!$L$4:$L$31,"par"&amp;CHAR(31)&amp;$A5&amp;CHAR(31)&amp;B$3)*1,0),0)+1):INDEX('Reparto de brigadas'!$L$4:$L$31,ROWS('Reparto de brigadas'!$L$4:$L$31)),"par"&amp;CHAR(31)&amp;$A5&amp;CHAR(31)&amp;B$3)*1,0),0))))&amp;IF(SUMPRODUCT(1*EXACT('Reparto de brigadas'!$L$4:$L$31,"par"&amp;CHAR(31)&amp;$A5&amp;CHAR(31)&amp;B$3))&gt;2," (+"&amp;(SUMPRODUCT(1*EXACT('Reparto de brigadas'!$L$4:$L$31,"par"&amp;CHAR(31)&amp;$A5&amp;CHAR(31)&amp;B$3))-2)&amp;")",""),IF(ISNA(MATCH(1,INDEX(EXACT('Reparto de brigadas'!$L$4:$L$31,"par"&amp;CHAR(31)&amp;$A5&amp;CHAR(31)&amp;B$3)*1,0),0)),"",IF(ISBLANK(INDEX('Reparto de brigadas'!$A$4:$A$31,MATCH(1,INDEX(EXACT('Reparto de brigadas'!$L$4:$L$31,"par"&amp;CHAR(31)&amp;$A5&amp;CHAR(31)&amp;B$3)*1,0),0))),"",INDEX('Reparto de brigadas'!$A$4:$A$31,MATCH(1,INDEX(EXACT('Reparto de brigadas'!$L$4:$L$31,"par"&amp;CHAR(31)&amp;$A5&amp;CHAR(31)&amp;B$3)*1,0),0)))))</f>
        <v/>
      </c>
      <c r="C5" s="3">
        <f>IF(SUMPRODUCT(1*EXACT('Reparto de brigadas'!$L$4:$L$31,"par"&amp;CHAR(31)&amp;$A5&amp;CHAR(31)&amp;C$3))&gt;1,IF(ISNA(MATCH(1,INDEX(EXACT('Reparto de brigadas'!$L$4:$L$31,"par"&amp;CHAR(31)&amp;$A5&amp;CHAR(31)&amp;C$3)*1,0),0)),"",IF(ISBLANK(INDEX('Reparto de brigadas'!$A$4:$A$31,MATCH(1,INDEX(EXACT('Reparto de brigadas'!$L$4:$L$31,"par"&amp;CHAR(31)&amp;$A5&amp;CHAR(31)&amp;C$3)*1,0),0))),"",INDEX('Reparto de brigadas'!$A$4:$A$31,MATCH(1,INDEX(EXACT('Reparto de brigadas'!$L$4:$L$31,"par"&amp;CHAR(31)&amp;$A5&amp;CHAR(31)&amp;C$3)*1,0),0))))&amp;" / "&amp;IF(ISBLANK(INDEX('Reparto de brigadas'!$A$4:$A$31,(MATCH(1,INDEX(EXACT('Reparto de brigadas'!$L$4:$L$31,"par"&amp;CHAR(31)&amp;$A5&amp;CHAR(31)&amp;C$3)*1,0),0)+MATCH(1,INDEX(EXACT(INDEX('Reparto de brigadas'!$L$4:$L$31,MATCH(1,INDEX(EXACT('Reparto de brigadas'!$L$4:$L$31,"par"&amp;CHAR(31)&amp;$A5&amp;CHAR(31)&amp;C$3)*1,0),0)+1):INDEX('Reparto de brigadas'!$L$4:$L$31,ROWS('Reparto de brigadas'!$L$4:$L$31)),"par"&amp;CHAR(31)&amp;$A5&amp;CHAR(31)&amp;C$3)*1,0),0)))),"",INDEX('Reparto de brigadas'!$A$4:$A$31,(MATCH(1,INDEX(EXACT('Reparto de brigadas'!$L$4:$L$31,"par"&amp;CHAR(31)&amp;$A5&amp;CHAR(31)&amp;C$3)*1,0),0)+MATCH(1,INDEX(EXACT(INDEX('Reparto de brigadas'!$L$4:$L$31,MATCH(1,INDEX(EXACT('Reparto de brigadas'!$L$4:$L$31,"par"&amp;CHAR(31)&amp;$A5&amp;CHAR(31)&amp;C$3)*1,0),0)+1):INDEX('Reparto de brigadas'!$L$4:$L$31,ROWS('Reparto de brigadas'!$L$4:$L$31)),"par"&amp;CHAR(31)&amp;$A5&amp;CHAR(31)&amp;C$3)*1,0),0))))&amp;IF(SUMPRODUCT(1*EXACT('Reparto de brigadas'!$L$4:$L$31,"par"&amp;CHAR(31)&amp;$A5&amp;CHAR(31)&amp;C$3))&gt;2," (+"&amp;(SUMPRODUCT(1*EXACT('Reparto de brigadas'!$L$4:$L$31,"par"&amp;CHAR(31)&amp;$A5&amp;CHAR(31)&amp;C$3))-2)&amp;")",""),IF(ISNA(MATCH(1,INDEX(EXACT('Reparto de brigadas'!$L$4:$L$31,"par"&amp;CHAR(31)&amp;$A5&amp;CHAR(31)&amp;C$3)*1,0),0)),"",IF(ISBLANK(INDEX('Reparto de brigadas'!$A$4:$A$31,MATCH(1,INDEX(EXACT('Reparto de brigadas'!$L$4:$L$31,"par"&amp;CHAR(31)&amp;$A5&amp;CHAR(31)&amp;C$3)*1,0),0))),"",INDEX('Reparto de brigadas'!$A$4:$A$31,MATCH(1,INDEX(EXACT('Reparto de brigadas'!$L$4:$L$31,"par"&amp;CHAR(31)&amp;$A5&amp;CHAR(31)&amp;C$3)*1,0),0)))))</f>
        <v/>
      </c>
      <c r="D5" s="3">
        <f>IF(SUMPRODUCT(1*EXACT('Reparto de brigadas'!$L$4:$L$31,"par"&amp;CHAR(31)&amp;$A5&amp;CHAR(31)&amp;D$3))&gt;1,IF(ISNA(MATCH(1,INDEX(EXACT('Reparto de brigadas'!$L$4:$L$31,"par"&amp;CHAR(31)&amp;$A5&amp;CHAR(31)&amp;D$3)*1,0),0)),"",IF(ISBLANK(INDEX('Reparto de brigadas'!$A$4:$A$31,MATCH(1,INDEX(EXACT('Reparto de brigadas'!$L$4:$L$31,"par"&amp;CHAR(31)&amp;$A5&amp;CHAR(31)&amp;D$3)*1,0),0))),"",INDEX('Reparto de brigadas'!$A$4:$A$31,MATCH(1,INDEX(EXACT('Reparto de brigadas'!$L$4:$L$31,"par"&amp;CHAR(31)&amp;$A5&amp;CHAR(31)&amp;D$3)*1,0),0))))&amp;" / "&amp;IF(ISBLANK(INDEX('Reparto de brigadas'!$A$4:$A$31,(MATCH(1,INDEX(EXACT('Reparto de brigadas'!$L$4:$L$31,"par"&amp;CHAR(31)&amp;$A5&amp;CHAR(31)&amp;D$3)*1,0),0)+MATCH(1,INDEX(EXACT(INDEX('Reparto de brigadas'!$L$4:$L$31,MATCH(1,INDEX(EXACT('Reparto de brigadas'!$L$4:$L$31,"par"&amp;CHAR(31)&amp;$A5&amp;CHAR(31)&amp;D$3)*1,0),0)+1):INDEX('Reparto de brigadas'!$L$4:$L$31,ROWS('Reparto de brigadas'!$L$4:$L$31)),"par"&amp;CHAR(31)&amp;$A5&amp;CHAR(31)&amp;D$3)*1,0),0)))),"",INDEX('Reparto de brigadas'!$A$4:$A$31,(MATCH(1,INDEX(EXACT('Reparto de brigadas'!$L$4:$L$31,"par"&amp;CHAR(31)&amp;$A5&amp;CHAR(31)&amp;D$3)*1,0),0)+MATCH(1,INDEX(EXACT(INDEX('Reparto de brigadas'!$L$4:$L$31,MATCH(1,INDEX(EXACT('Reparto de brigadas'!$L$4:$L$31,"par"&amp;CHAR(31)&amp;$A5&amp;CHAR(31)&amp;D$3)*1,0),0)+1):INDEX('Reparto de brigadas'!$L$4:$L$31,ROWS('Reparto de brigadas'!$L$4:$L$31)),"par"&amp;CHAR(31)&amp;$A5&amp;CHAR(31)&amp;D$3)*1,0),0))))&amp;IF(SUMPRODUCT(1*EXACT('Reparto de brigadas'!$L$4:$L$31,"par"&amp;CHAR(31)&amp;$A5&amp;CHAR(31)&amp;D$3))&gt;2," (+"&amp;(SUMPRODUCT(1*EXACT('Reparto de brigadas'!$L$4:$L$31,"par"&amp;CHAR(31)&amp;$A5&amp;CHAR(31)&amp;D$3))-2)&amp;")",""),IF(ISNA(MATCH(1,INDEX(EXACT('Reparto de brigadas'!$L$4:$L$31,"par"&amp;CHAR(31)&amp;$A5&amp;CHAR(31)&amp;D$3)*1,0),0)),"",IF(ISBLANK(INDEX('Reparto de brigadas'!$A$4:$A$31,MATCH(1,INDEX(EXACT('Reparto de brigadas'!$L$4:$L$31,"par"&amp;CHAR(31)&amp;$A5&amp;CHAR(31)&amp;D$3)*1,0),0))),"",INDEX('Reparto de brigadas'!$A$4:$A$31,MATCH(1,INDEX(EXACT('Reparto de brigadas'!$L$4:$L$31,"par"&amp;CHAR(31)&amp;$A5&amp;CHAR(31)&amp;D$3)*1,0),0)))))</f>
        <v/>
      </c>
    </row>
    <row r="6">
      <c r="A6" s="3" t="inlineStr">
        <is>
          <t>Gimnasio</t>
        </is>
      </c>
      <c r="B6" s="3">
        <f>IF(SUMPRODUCT(1*EXACT('Reparto de brigadas'!$L$4:$L$31,"par"&amp;CHAR(31)&amp;$A6&amp;CHAR(31)&amp;B$3))&gt;1,IF(ISNA(MATCH(1,INDEX(EXACT('Reparto de brigadas'!$L$4:$L$31,"par"&amp;CHAR(31)&amp;$A6&amp;CHAR(31)&amp;B$3)*1,0),0)),"",IF(ISBLANK(INDEX('Reparto de brigadas'!$A$4:$A$31,MATCH(1,INDEX(EXACT('Reparto de brigadas'!$L$4:$L$31,"par"&amp;CHAR(31)&amp;$A6&amp;CHAR(31)&amp;B$3)*1,0),0))),"",INDEX('Reparto de brigadas'!$A$4:$A$31,MATCH(1,INDEX(EXACT('Reparto de brigadas'!$L$4:$L$31,"par"&amp;CHAR(31)&amp;$A6&amp;CHAR(31)&amp;B$3)*1,0),0))))&amp;" / "&amp;IF(ISBLANK(INDEX('Reparto de brigadas'!$A$4:$A$31,(MATCH(1,INDEX(EXACT('Reparto de brigadas'!$L$4:$L$31,"par"&amp;CHAR(31)&amp;$A6&amp;CHAR(31)&amp;B$3)*1,0),0)+MATCH(1,INDEX(EXACT(INDEX('Reparto de brigadas'!$L$4:$L$31,MATCH(1,INDEX(EXACT('Reparto de brigadas'!$L$4:$L$31,"par"&amp;CHAR(31)&amp;$A6&amp;CHAR(31)&amp;B$3)*1,0),0)+1):INDEX('Reparto de brigadas'!$L$4:$L$31,ROWS('Reparto de brigadas'!$L$4:$L$31)),"par"&amp;CHAR(31)&amp;$A6&amp;CHAR(31)&amp;B$3)*1,0),0)))),"",INDEX('Reparto de brigadas'!$A$4:$A$31,(MATCH(1,INDEX(EXACT('Reparto de brigadas'!$L$4:$L$31,"par"&amp;CHAR(31)&amp;$A6&amp;CHAR(31)&amp;B$3)*1,0),0)+MATCH(1,INDEX(EXACT(INDEX('Reparto de brigadas'!$L$4:$L$31,MATCH(1,INDEX(EXACT('Reparto de brigadas'!$L$4:$L$31,"par"&amp;CHAR(31)&amp;$A6&amp;CHAR(31)&amp;B$3)*1,0),0)+1):INDEX('Reparto de brigadas'!$L$4:$L$31,ROWS('Reparto de brigadas'!$L$4:$L$31)),"par"&amp;CHAR(31)&amp;$A6&amp;CHAR(31)&amp;B$3)*1,0),0))))&amp;IF(SUMPRODUCT(1*EXACT('Reparto de brigadas'!$L$4:$L$31,"par"&amp;CHAR(31)&amp;$A6&amp;CHAR(31)&amp;B$3))&gt;2," (+"&amp;(SUMPRODUCT(1*EXACT('Reparto de brigadas'!$L$4:$L$31,"par"&amp;CHAR(31)&amp;$A6&amp;CHAR(31)&amp;B$3))-2)&amp;")",""),IF(ISNA(MATCH(1,INDEX(EXACT('Reparto de brigadas'!$L$4:$L$31,"par"&amp;CHAR(31)&amp;$A6&amp;CHAR(31)&amp;B$3)*1,0),0)),"",IF(ISBLANK(INDEX('Reparto de brigadas'!$A$4:$A$31,MATCH(1,INDEX(EXACT('Reparto de brigadas'!$L$4:$L$31,"par"&amp;CHAR(31)&amp;$A6&amp;CHAR(31)&amp;B$3)*1,0),0))),"",INDEX('Reparto de brigadas'!$A$4:$A$31,MATCH(1,INDEX(EXACT('Reparto de brigadas'!$L$4:$L$31,"par"&amp;CHAR(31)&amp;$A6&amp;CHAR(31)&amp;B$3)*1,0),0)))))</f>
        <v/>
      </c>
      <c r="C6" s="3">
        <f>IF(SUMPRODUCT(1*EXACT('Reparto de brigadas'!$L$4:$L$31,"par"&amp;CHAR(31)&amp;$A6&amp;CHAR(31)&amp;C$3))&gt;1,IF(ISNA(MATCH(1,INDEX(EXACT('Reparto de brigadas'!$L$4:$L$31,"par"&amp;CHAR(31)&amp;$A6&amp;CHAR(31)&amp;C$3)*1,0),0)),"",IF(ISBLANK(INDEX('Reparto de brigadas'!$A$4:$A$31,MATCH(1,INDEX(EXACT('Reparto de brigadas'!$L$4:$L$31,"par"&amp;CHAR(31)&amp;$A6&amp;CHAR(31)&amp;C$3)*1,0),0))),"",INDEX('Reparto de brigadas'!$A$4:$A$31,MATCH(1,INDEX(EXACT('Reparto de brigadas'!$L$4:$L$31,"par"&amp;CHAR(31)&amp;$A6&amp;CHAR(31)&amp;C$3)*1,0),0))))&amp;" / "&amp;IF(ISBLANK(INDEX('Reparto de brigadas'!$A$4:$A$31,(MATCH(1,INDEX(EXACT('Reparto de brigadas'!$L$4:$L$31,"par"&amp;CHAR(31)&amp;$A6&amp;CHAR(31)&amp;C$3)*1,0),0)+MATCH(1,INDEX(EXACT(INDEX('Reparto de brigadas'!$L$4:$L$31,MATCH(1,INDEX(EXACT('Reparto de brigadas'!$L$4:$L$31,"par"&amp;CHAR(31)&amp;$A6&amp;CHAR(31)&amp;C$3)*1,0),0)+1):INDEX('Reparto de brigadas'!$L$4:$L$31,ROWS('Reparto de brigadas'!$L$4:$L$31)),"par"&amp;CHAR(31)&amp;$A6&amp;CHAR(31)&amp;C$3)*1,0),0)))),"",INDEX('Reparto de brigadas'!$A$4:$A$31,(MATCH(1,INDEX(EXACT('Reparto de brigadas'!$L$4:$L$31,"par"&amp;CHAR(31)&amp;$A6&amp;CHAR(31)&amp;C$3)*1,0),0)+MATCH(1,INDEX(EXACT(INDEX('Reparto de brigadas'!$L$4:$L$31,MATCH(1,INDEX(EXACT('Reparto de brigadas'!$L$4:$L$31,"par"&amp;CHAR(31)&amp;$A6&amp;CHAR(31)&amp;C$3)*1,0),0)+1):INDEX('Reparto de brigadas'!$L$4:$L$31,ROWS('Reparto de brigadas'!$L$4:$L$31)),"par"&amp;CHAR(31)&amp;$A6&amp;CHAR(31)&amp;C$3)*1,0),0))))&amp;IF(SUMPRODUCT(1*EXACT('Reparto de brigadas'!$L$4:$L$31,"par"&amp;CHAR(31)&amp;$A6&amp;CHAR(31)&amp;C$3))&gt;2," (+"&amp;(SUMPRODUCT(1*EXACT('Reparto de brigadas'!$L$4:$L$31,"par"&amp;CHAR(31)&amp;$A6&amp;CHAR(31)&amp;C$3))-2)&amp;")",""),IF(ISNA(MATCH(1,INDEX(EXACT('Reparto de brigadas'!$L$4:$L$31,"par"&amp;CHAR(31)&amp;$A6&amp;CHAR(31)&amp;C$3)*1,0),0)),"",IF(ISBLANK(INDEX('Reparto de brigadas'!$A$4:$A$31,MATCH(1,INDEX(EXACT('Reparto de brigadas'!$L$4:$L$31,"par"&amp;CHAR(31)&amp;$A6&amp;CHAR(31)&amp;C$3)*1,0),0))),"",INDEX('Reparto de brigadas'!$A$4:$A$31,MATCH(1,INDEX(EXACT('Reparto de brigadas'!$L$4:$L$31,"par"&amp;CHAR(31)&amp;$A6&amp;CHAR(31)&amp;C$3)*1,0),0)))))</f>
        <v/>
      </c>
      <c r="D6" s="3">
        <f>IF(SUMPRODUCT(1*EXACT('Reparto de brigadas'!$L$4:$L$31,"par"&amp;CHAR(31)&amp;$A6&amp;CHAR(31)&amp;D$3))&gt;1,IF(ISNA(MATCH(1,INDEX(EXACT('Reparto de brigadas'!$L$4:$L$31,"par"&amp;CHAR(31)&amp;$A6&amp;CHAR(31)&amp;D$3)*1,0),0)),"",IF(ISBLANK(INDEX('Reparto de brigadas'!$A$4:$A$31,MATCH(1,INDEX(EXACT('Reparto de brigadas'!$L$4:$L$31,"par"&amp;CHAR(31)&amp;$A6&amp;CHAR(31)&amp;D$3)*1,0),0))),"",INDEX('Reparto de brigadas'!$A$4:$A$31,MATCH(1,INDEX(EXACT('Reparto de brigadas'!$L$4:$L$31,"par"&amp;CHAR(31)&amp;$A6&amp;CHAR(31)&amp;D$3)*1,0),0))))&amp;" / "&amp;IF(ISBLANK(INDEX('Reparto de brigadas'!$A$4:$A$31,(MATCH(1,INDEX(EXACT('Reparto de brigadas'!$L$4:$L$31,"par"&amp;CHAR(31)&amp;$A6&amp;CHAR(31)&amp;D$3)*1,0),0)+MATCH(1,INDEX(EXACT(INDEX('Reparto de brigadas'!$L$4:$L$31,MATCH(1,INDEX(EXACT('Reparto de brigadas'!$L$4:$L$31,"par"&amp;CHAR(31)&amp;$A6&amp;CHAR(31)&amp;D$3)*1,0),0)+1):INDEX('Reparto de brigadas'!$L$4:$L$31,ROWS('Reparto de brigadas'!$L$4:$L$31)),"par"&amp;CHAR(31)&amp;$A6&amp;CHAR(31)&amp;D$3)*1,0),0)))),"",INDEX('Reparto de brigadas'!$A$4:$A$31,(MATCH(1,INDEX(EXACT('Reparto de brigadas'!$L$4:$L$31,"par"&amp;CHAR(31)&amp;$A6&amp;CHAR(31)&amp;D$3)*1,0),0)+MATCH(1,INDEX(EXACT(INDEX('Reparto de brigadas'!$L$4:$L$31,MATCH(1,INDEX(EXACT('Reparto de brigadas'!$L$4:$L$31,"par"&amp;CHAR(31)&amp;$A6&amp;CHAR(31)&amp;D$3)*1,0),0)+1):INDEX('Reparto de brigadas'!$L$4:$L$31,ROWS('Reparto de brigadas'!$L$4:$L$31)),"par"&amp;CHAR(31)&amp;$A6&amp;CHAR(31)&amp;D$3)*1,0),0))))&amp;IF(SUMPRODUCT(1*EXACT('Reparto de brigadas'!$L$4:$L$31,"par"&amp;CHAR(31)&amp;$A6&amp;CHAR(31)&amp;D$3))&gt;2," (+"&amp;(SUMPRODUCT(1*EXACT('Reparto de brigadas'!$L$4:$L$31,"par"&amp;CHAR(31)&amp;$A6&amp;CHAR(31)&amp;D$3))-2)&amp;")",""),IF(ISNA(MATCH(1,INDEX(EXACT('Reparto de brigadas'!$L$4:$L$31,"par"&amp;CHAR(31)&amp;$A6&amp;CHAR(31)&amp;D$3)*1,0),0)),"",IF(ISBLANK(INDEX('Reparto de brigadas'!$A$4:$A$31,MATCH(1,INDEX(EXACT('Reparto de brigadas'!$L$4:$L$31,"par"&amp;CHAR(31)&amp;$A6&amp;CHAR(31)&amp;D$3)*1,0),0))),"",INDEX('Reparto de brigadas'!$A$4:$A$31,MATCH(1,INDEX(EXACT('Reparto de brigadas'!$L$4:$L$31,"par"&amp;CHAR(31)&amp;$A6&amp;CHAR(31)&amp;D$3)*1,0),0)))))</f>
        <v/>
      </c>
    </row>
    <row r="7">
      <c r="A7" s="3" t="inlineStr">
        <is>
          <t>Piscina</t>
        </is>
      </c>
      <c r="B7" s="3">
        <f>IF(SUMPRODUCT(1*EXACT('Reparto de brigadas'!$L$4:$L$31,"par"&amp;CHAR(31)&amp;$A7&amp;CHAR(31)&amp;B$3))&gt;1,IF(ISNA(MATCH(1,INDEX(EXACT('Reparto de brigadas'!$L$4:$L$31,"par"&amp;CHAR(31)&amp;$A7&amp;CHAR(31)&amp;B$3)*1,0),0)),"",IF(ISBLANK(INDEX('Reparto de brigadas'!$A$4:$A$31,MATCH(1,INDEX(EXACT('Reparto de brigadas'!$L$4:$L$31,"par"&amp;CHAR(31)&amp;$A7&amp;CHAR(31)&amp;B$3)*1,0),0))),"",INDEX('Reparto de brigadas'!$A$4:$A$31,MATCH(1,INDEX(EXACT('Reparto de brigadas'!$L$4:$L$31,"par"&amp;CHAR(31)&amp;$A7&amp;CHAR(31)&amp;B$3)*1,0),0))))&amp;" / "&amp;IF(ISBLANK(INDEX('Reparto de brigadas'!$A$4:$A$31,(MATCH(1,INDEX(EXACT('Reparto de brigadas'!$L$4:$L$31,"par"&amp;CHAR(31)&amp;$A7&amp;CHAR(31)&amp;B$3)*1,0),0)+MATCH(1,INDEX(EXACT(INDEX('Reparto de brigadas'!$L$4:$L$31,MATCH(1,INDEX(EXACT('Reparto de brigadas'!$L$4:$L$31,"par"&amp;CHAR(31)&amp;$A7&amp;CHAR(31)&amp;B$3)*1,0),0)+1):INDEX('Reparto de brigadas'!$L$4:$L$31,ROWS('Reparto de brigadas'!$L$4:$L$31)),"par"&amp;CHAR(31)&amp;$A7&amp;CHAR(31)&amp;B$3)*1,0),0)))),"",INDEX('Reparto de brigadas'!$A$4:$A$31,(MATCH(1,INDEX(EXACT('Reparto de brigadas'!$L$4:$L$31,"par"&amp;CHAR(31)&amp;$A7&amp;CHAR(31)&amp;B$3)*1,0),0)+MATCH(1,INDEX(EXACT(INDEX('Reparto de brigadas'!$L$4:$L$31,MATCH(1,INDEX(EXACT('Reparto de brigadas'!$L$4:$L$31,"par"&amp;CHAR(31)&amp;$A7&amp;CHAR(31)&amp;B$3)*1,0),0)+1):INDEX('Reparto de brigadas'!$L$4:$L$31,ROWS('Reparto de brigadas'!$L$4:$L$31)),"par"&amp;CHAR(31)&amp;$A7&amp;CHAR(31)&amp;B$3)*1,0),0))))&amp;IF(SUMPRODUCT(1*EXACT('Reparto de brigadas'!$L$4:$L$31,"par"&amp;CHAR(31)&amp;$A7&amp;CHAR(31)&amp;B$3))&gt;2," (+"&amp;(SUMPRODUCT(1*EXACT('Reparto de brigadas'!$L$4:$L$31,"par"&amp;CHAR(31)&amp;$A7&amp;CHAR(31)&amp;B$3))-2)&amp;")",""),IF(ISNA(MATCH(1,INDEX(EXACT('Reparto de brigadas'!$L$4:$L$31,"par"&amp;CHAR(31)&amp;$A7&amp;CHAR(31)&amp;B$3)*1,0),0)),"",IF(ISBLANK(INDEX('Reparto de brigadas'!$A$4:$A$31,MATCH(1,INDEX(EXACT('Reparto de brigadas'!$L$4:$L$31,"par"&amp;CHAR(31)&amp;$A7&amp;CHAR(31)&amp;B$3)*1,0),0))),"",INDEX('Reparto de brigadas'!$A$4:$A$31,MATCH(1,INDEX(EXACT('Reparto de brigadas'!$L$4:$L$31,"par"&amp;CHAR(31)&amp;$A7&amp;CHAR(31)&amp;B$3)*1,0),0)))))</f>
        <v/>
      </c>
      <c r="C7" s="3">
        <f>IF(SUMPRODUCT(1*EXACT('Reparto de brigadas'!$L$4:$L$31,"par"&amp;CHAR(31)&amp;$A7&amp;CHAR(31)&amp;C$3))&gt;1,IF(ISNA(MATCH(1,INDEX(EXACT('Reparto de brigadas'!$L$4:$L$31,"par"&amp;CHAR(31)&amp;$A7&amp;CHAR(31)&amp;C$3)*1,0),0)),"",IF(ISBLANK(INDEX('Reparto de brigadas'!$A$4:$A$31,MATCH(1,INDEX(EXACT('Reparto de brigadas'!$L$4:$L$31,"par"&amp;CHAR(31)&amp;$A7&amp;CHAR(31)&amp;C$3)*1,0),0))),"",INDEX('Reparto de brigadas'!$A$4:$A$31,MATCH(1,INDEX(EXACT('Reparto de brigadas'!$L$4:$L$31,"par"&amp;CHAR(31)&amp;$A7&amp;CHAR(31)&amp;C$3)*1,0),0))))&amp;" / "&amp;IF(ISBLANK(INDEX('Reparto de brigadas'!$A$4:$A$31,(MATCH(1,INDEX(EXACT('Reparto de brigadas'!$L$4:$L$31,"par"&amp;CHAR(31)&amp;$A7&amp;CHAR(31)&amp;C$3)*1,0),0)+MATCH(1,INDEX(EXACT(INDEX('Reparto de brigadas'!$L$4:$L$31,MATCH(1,INDEX(EXACT('Reparto de brigadas'!$L$4:$L$31,"par"&amp;CHAR(31)&amp;$A7&amp;CHAR(31)&amp;C$3)*1,0),0)+1):INDEX('Reparto de brigadas'!$L$4:$L$31,ROWS('Reparto de brigadas'!$L$4:$L$31)),"par"&amp;CHAR(31)&amp;$A7&amp;CHAR(31)&amp;C$3)*1,0),0)))),"",INDEX('Reparto de brigadas'!$A$4:$A$31,(MATCH(1,INDEX(EXACT('Reparto de brigadas'!$L$4:$L$31,"par"&amp;CHAR(31)&amp;$A7&amp;CHAR(31)&amp;C$3)*1,0),0)+MATCH(1,INDEX(EXACT(INDEX('Reparto de brigadas'!$L$4:$L$31,MATCH(1,INDEX(EXACT('Reparto de brigadas'!$L$4:$L$31,"par"&amp;CHAR(31)&amp;$A7&amp;CHAR(31)&amp;C$3)*1,0),0)+1):INDEX('Reparto de brigadas'!$L$4:$L$31,ROWS('Reparto de brigadas'!$L$4:$L$31)),"par"&amp;CHAR(31)&amp;$A7&amp;CHAR(31)&amp;C$3)*1,0),0))))&amp;IF(SUMPRODUCT(1*EXACT('Reparto de brigadas'!$L$4:$L$31,"par"&amp;CHAR(31)&amp;$A7&amp;CHAR(31)&amp;C$3))&gt;2," (+"&amp;(SUMPRODUCT(1*EXACT('Reparto de brigadas'!$L$4:$L$31,"par"&amp;CHAR(31)&amp;$A7&amp;CHAR(31)&amp;C$3))-2)&amp;")",""),IF(ISNA(MATCH(1,INDEX(EXACT('Reparto de brigadas'!$L$4:$L$31,"par"&amp;CHAR(31)&amp;$A7&amp;CHAR(31)&amp;C$3)*1,0),0)),"",IF(ISBLANK(INDEX('Reparto de brigadas'!$A$4:$A$31,MATCH(1,INDEX(EXACT('Reparto de brigadas'!$L$4:$L$31,"par"&amp;CHAR(31)&amp;$A7&amp;CHAR(31)&amp;C$3)*1,0),0))),"",INDEX('Reparto de brigadas'!$A$4:$A$31,MATCH(1,INDEX(EXACT('Reparto de brigadas'!$L$4:$L$31,"par"&amp;CHAR(31)&amp;$A7&amp;CHAR(31)&amp;C$3)*1,0),0)))))</f>
        <v/>
      </c>
      <c r="D7" s="3">
        <f>IF(SUMPRODUCT(1*EXACT('Reparto de brigadas'!$L$4:$L$31,"par"&amp;CHAR(31)&amp;$A7&amp;CHAR(31)&amp;D$3))&gt;1,IF(ISNA(MATCH(1,INDEX(EXACT('Reparto de brigadas'!$L$4:$L$31,"par"&amp;CHAR(31)&amp;$A7&amp;CHAR(31)&amp;D$3)*1,0),0)),"",IF(ISBLANK(INDEX('Reparto de brigadas'!$A$4:$A$31,MATCH(1,INDEX(EXACT('Reparto de brigadas'!$L$4:$L$31,"par"&amp;CHAR(31)&amp;$A7&amp;CHAR(31)&amp;D$3)*1,0),0))),"",INDEX('Reparto de brigadas'!$A$4:$A$31,MATCH(1,INDEX(EXACT('Reparto de brigadas'!$L$4:$L$31,"par"&amp;CHAR(31)&amp;$A7&amp;CHAR(31)&amp;D$3)*1,0),0))))&amp;" / "&amp;IF(ISBLANK(INDEX('Reparto de brigadas'!$A$4:$A$31,(MATCH(1,INDEX(EXACT('Reparto de brigadas'!$L$4:$L$31,"par"&amp;CHAR(31)&amp;$A7&amp;CHAR(31)&amp;D$3)*1,0),0)+MATCH(1,INDEX(EXACT(INDEX('Reparto de brigadas'!$L$4:$L$31,MATCH(1,INDEX(EXACT('Reparto de brigadas'!$L$4:$L$31,"par"&amp;CHAR(31)&amp;$A7&amp;CHAR(31)&amp;D$3)*1,0),0)+1):INDEX('Reparto de brigadas'!$L$4:$L$31,ROWS('Reparto de brigadas'!$L$4:$L$31)),"par"&amp;CHAR(31)&amp;$A7&amp;CHAR(31)&amp;D$3)*1,0),0)))),"",INDEX('Reparto de brigadas'!$A$4:$A$31,(MATCH(1,INDEX(EXACT('Reparto de brigadas'!$L$4:$L$31,"par"&amp;CHAR(31)&amp;$A7&amp;CHAR(31)&amp;D$3)*1,0),0)+MATCH(1,INDEX(EXACT(INDEX('Reparto de brigadas'!$L$4:$L$31,MATCH(1,INDEX(EXACT('Reparto de brigadas'!$L$4:$L$31,"par"&amp;CHAR(31)&amp;$A7&amp;CHAR(31)&amp;D$3)*1,0),0)+1):INDEX('Reparto de brigadas'!$L$4:$L$31,ROWS('Reparto de brigadas'!$L$4:$L$31)),"par"&amp;CHAR(31)&amp;$A7&amp;CHAR(31)&amp;D$3)*1,0),0))))&amp;IF(SUMPRODUCT(1*EXACT('Reparto de brigadas'!$L$4:$L$31,"par"&amp;CHAR(31)&amp;$A7&amp;CHAR(31)&amp;D$3))&gt;2," (+"&amp;(SUMPRODUCT(1*EXACT('Reparto de brigadas'!$L$4:$L$31,"par"&amp;CHAR(31)&amp;$A7&amp;CHAR(31)&amp;D$3))-2)&amp;")",""),IF(ISNA(MATCH(1,INDEX(EXACT('Reparto de brigadas'!$L$4:$L$31,"par"&amp;CHAR(31)&amp;$A7&amp;CHAR(31)&amp;D$3)*1,0),0)),"",IF(ISBLANK(INDEX('Reparto de brigadas'!$A$4:$A$31,MATCH(1,INDEX(EXACT('Reparto de brigadas'!$L$4:$L$31,"par"&amp;CHAR(31)&amp;$A7&amp;CHAR(31)&amp;D$3)*1,0),0))),"",INDEX('Reparto de brigadas'!$A$4:$A$31,MATCH(1,INDEX(EXACT('Reparto de brigadas'!$L$4:$L$31,"par"&amp;CHAR(31)&amp;$A7&amp;CHAR(31)&amp;D$3)*1,0),0)))))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D7">
    <cfRule type="expression" priority="1" dxfId="0" stopIfTrue="0">
      <formula>IFERROR(INDEX('Reparto de brigadas'!$K$4:$K$31,MATCH(1,INDEX(EXACT('Reparto de brigadas'!$L$4:$L$31,"par"&amp;CHAR(31)&amp;$A4&amp;CHAR(31)&amp;B$3)*1,0),0)),0)=3</formula>
    </cfRule>
    <cfRule type="expression" priority="2" dxfId="1" stopIfTrue="0">
      <formula>IFERROR(INDEX('Reparto de brigadas'!$K$4:$K$31,MATCH(1,INDEX(EXACT('Reparto de brigadas'!$L$4:$L$31,"par"&amp;CHAR(31)&amp;$A4&amp;CHAR(31)&amp;B$3)*1,0),0)),0)=2</formula>
    </cfRule>
    <cfRule type="expression" priority="3" dxfId="2" stopIfTrue="0">
      <formula>IFERROR(INDEX('Reparto de brigadas'!$K$4:$K$31,MATCH(1,INDEX(EXACT('Reparto de brigadas'!$L$4:$L$31,"par"&amp;CHAR(31)&amp;$A4&amp;CHAR(31)&amp;B$3)*1,0),0)),0)=1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</cols>
  <sheetData>
    <row r="1">
      <c r="A1" s="1" t="inlineStr">
        <is>
          <t>Ocupacion de instalaciones - impar</t>
        </is>
      </c>
    </row>
    <row r="3">
      <c r="A3" s="2" t="inlineStr">
        <is>
          <t>Instalacion</t>
        </is>
      </c>
      <c r="B3" s="2" t="inlineStr">
        <is>
          <t>10 a.m.</t>
        </is>
      </c>
      <c r="C3" s="2" t="inlineStr">
        <is>
          <t>11 a.m.</t>
        </is>
      </c>
      <c r="D3" s="2" t="inlineStr">
        <is>
          <t>3 p.m.</t>
        </is>
      </c>
    </row>
    <row r="4">
      <c r="A4" s="3" t="inlineStr">
        <is>
          <t>Pista 1</t>
        </is>
      </c>
      <c r="B4" s="3">
        <f>IF(SUMPRODUCT(1*EXACT('Reparto de brigadas'!$L$4:$L$31,"impar"&amp;CHAR(31)&amp;$A4&amp;CHAR(31)&amp;B$3))&gt;1,IF(ISNA(MATCH(1,INDEX(EXACT('Reparto de brigadas'!$L$4:$L$31,"impar"&amp;CHAR(31)&amp;$A4&amp;CHAR(31)&amp;B$3)*1,0),0)),"",IF(ISBLANK(INDEX('Reparto de brigadas'!$A$4:$A$31,MATCH(1,INDEX(EXACT('Reparto de brigadas'!$L$4:$L$31,"impar"&amp;CHAR(31)&amp;$A4&amp;CHAR(31)&amp;B$3)*1,0),0))),"",INDEX('Reparto de brigadas'!$A$4:$A$31,MATCH(1,INDEX(EXACT('Reparto de brigadas'!$L$4:$L$31,"impar"&amp;CHAR(31)&amp;$A4&amp;CHAR(31)&amp;B$3)*1,0),0))))&amp;" / "&amp;IF(ISBLANK(INDEX('Reparto de brigadas'!$A$4:$A$31,(MATCH(1,INDEX(EXACT('Reparto de brigadas'!$L$4:$L$31,"impar"&amp;CHAR(31)&amp;$A4&amp;CHAR(31)&amp;B$3)*1,0),0)+MATCH(1,INDEX(EXACT(INDEX('Reparto de brigadas'!$L$4:$L$31,MATCH(1,INDEX(EXACT('Reparto de brigadas'!$L$4:$L$31,"impar"&amp;CHAR(31)&amp;$A4&amp;CHAR(31)&amp;B$3)*1,0),0)+1):INDEX('Reparto de brigadas'!$L$4:$L$31,ROWS('Reparto de brigadas'!$L$4:$L$31)),"impar"&amp;CHAR(31)&amp;$A4&amp;CHAR(31)&amp;B$3)*1,0),0)))),"",INDEX('Reparto de brigadas'!$A$4:$A$31,(MATCH(1,INDEX(EXACT('Reparto de brigadas'!$L$4:$L$31,"impar"&amp;CHAR(31)&amp;$A4&amp;CHAR(31)&amp;B$3)*1,0),0)+MATCH(1,INDEX(EXACT(INDEX('Reparto de brigadas'!$L$4:$L$31,MATCH(1,INDEX(EXACT('Reparto de brigadas'!$L$4:$L$31,"impar"&amp;CHAR(31)&amp;$A4&amp;CHAR(31)&amp;B$3)*1,0),0)+1):INDEX('Reparto de brigadas'!$L$4:$L$31,ROWS('Reparto de brigadas'!$L$4:$L$31)),"impar"&amp;CHAR(31)&amp;$A4&amp;CHAR(31)&amp;B$3)*1,0),0))))&amp;IF(SUMPRODUCT(1*EXACT('Reparto de brigadas'!$L$4:$L$31,"impar"&amp;CHAR(31)&amp;$A4&amp;CHAR(31)&amp;B$3))&gt;2," (+"&amp;(SUMPRODUCT(1*EXACT('Reparto de brigadas'!$L$4:$L$31,"impar"&amp;CHAR(31)&amp;$A4&amp;CHAR(31)&amp;B$3))-2)&amp;")",""),IF(ISNA(MATCH(1,INDEX(EXACT('Reparto de brigadas'!$L$4:$L$31,"impar"&amp;CHAR(31)&amp;$A4&amp;CHAR(31)&amp;B$3)*1,0),0)),"",IF(ISBLANK(INDEX('Reparto de brigadas'!$A$4:$A$31,MATCH(1,INDEX(EXACT('Reparto de brigadas'!$L$4:$L$31,"impar"&amp;CHAR(31)&amp;$A4&amp;CHAR(31)&amp;B$3)*1,0),0))),"",INDEX('Reparto de brigadas'!$A$4:$A$31,MATCH(1,INDEX(EXACT('Reparto de brigadas'!$L$4:$L$31,"impar"&amp;CHAR(31)&amp;$A4&amp;CHAR(31)&amp;B$3)*1,0),0)))))</f>
        <v/>
      </c>
      <c r="C4" s="3">
        <f>IF(SUMPRODUCT(1*EXACT('Reparto de brigadas'!$L$4:$L$31,"impar"&amp;CHAR(31)&amp;$A4&amp;CHAR(31)&amp;C$3))&gt;1,IF(ISNA(MATCH(1,INDEX(EXACT('Reparto de brigadas'!$L$4:$L$31,"impar"&amp;CHAR(31)&amp;$A4&amp;CHAR(31)&amp;C$3)*1,0),0)),"",IF(ISBLANK(INDEX('Reparto de brigadas'!$A$4:$A$31,MATCH(1,INDEX(EXACT('Reparto de brigadas'!$L$4:$L$31,"impar"&amp;CHAR(31)&amp;$A4&amp;CHAR(31)&amp;C$3)*1,0),0))),"",INDEX('Reparto de brigadas'!$A$4:$A$31,MATCH(1,INDEX(EXACT('Reparto de brigadas'!$L$4:$L$31,"impar"&amp;CHAR(31)&amp;$A4&amp;CHAR(31)&amp;C$3)*1,0),0))))&amp;" / "&amp;IF(ISBLANK(INDEX('Reparto de brigadas'!$A$4:$A$31,(MATCH(1,INDEX(EXACT('Reparto de brigadas'!$L$4:$L$31,"impar"&amp;CHAR(31)&amp;$A4&amp;CHAR(31)&amp;C$3)*1,0),0)+MATCH(1,INDEX(EXACT(INDEX('Reparto de brigadas'!$L$4:$L$31,MATCH(1,INDEX(EXACT('Reparto de brigadas'!$L$4:$L$31,"impar"&amp;CHAR(31)&amp;$A4&amp;CHAR(31)&amp;C$3)*1,0),0)+1):INDEX('Reparto de brigadas'!$L$4:$L$31,ROWS('Reparto de brigadas'!$L$4:$L$31)),"impar"&amp;CHAR(31)&amp;$A4&amp;CHAR(31)&amp;C$3)*1,0),0)))),"",INDEX('Reparto de brigadas'!$A$4:$A$31,(MATCH(1,INDEX(EXACT('Reparto de brigadas'!$L$4:$L$31,"impar"&amp;CHAR(31)&amp;$A4&amp;CHAR(31)&amp;C$3)*1,0),0)+MATCH(1,INDEX(EXACT(INDEX('Reparto de brigadas'!$L$4:$L$31,MATCH(1,INDEX(EXACT('Reparto de brigadas'!$L$4:$L$31,"impar"&amp;CHAR(31)&amp;$A4&amp;CHAR(31)&amp;C$3)*1,0),0)+1):INDEX('Reparto de brigadas'!$L$4:$L$31,ROWS('Reparto de brigadas'!$L$4:$L$31)),"impar"&amp;CHAR(31)&amp;$A4&amp;CHAR(31)&amp;C$3)*1,0),0))))&amp;IF(SUMPRODUCT(1*EXACT('Reparto de brigadas'!$L$4:$L$31,"impar"&amp;CHAR(31)&amp;$A4&amp;CHAR(31)&amp;C$3))&gt;2," (+"&amp;(SUMPRODUCT(1*EXACT('Reparto de brigadas'!$L$4:$L$31,"impar"&amp;CHAR(31)&amp;$A4&amp;CHAR(31)&amp;C$3))-2)&amp;")",""),IF(ISNA(MATCH(1,INDEX(EXACT('Reparto de brigadas'!$L$4:$L$31,"impar"&amp;CHAR(31)&amp;$A4&amp;CHAR(31)&amp;C$3)*1,0),0)),"",IF(ISBLANK(INDEX('Reparto de brigadas'!$A$4:$A$31,MATCH(1,INDEX(EXACT('Reparto de brigadas'!$L$4:$L$31,"impar"&amp;CHAR(31)&amp;$A4&amp;CHAR(31)&amp;C$3)*1,0),0))),"",INDEX('Reparto de brigadas'!$A$4:$A$31,MATCH(1,INDEX(EXACT('Reparto de brigadas'!$L$4:$L$31,"impar"&amp;CHAR(31)&amp;$A4&amp;CHAR(31)&amp;C$3)*1,0),0)))))</f>
        <v/>
      </c>
      <c r="D4" s="3">
        <f>IF(SUMPRODUCT(1*EXACT('Reparto de brigadas'!$L$4:$L$31,"impar"&amp;CHAR(31)&amp;$A4&amp;CHAR(31)&amp;D$3))&gt;1,IF(ISNA(MATCH(1,INDEX(EXACT('Reparto de brigadas'!$L$4:$L$31,"impar"&amp;CHAR(31)&amp;$A4&amp;CHAR(31)&amp;D$3)*1,0),0)),"",IF(ISBLANK(INDEX('Reparto de brigadas'!$A$4:$A$31,MATCH(1,INDEX(EXACT('Reparto de brigadas'!$L$4:$L$31,"impar"&amp;CHAR(31)&amp;$A4&amp;CHAR(31)&amp;D$3)*1,0),0))),"",INDEX('Reparto de brigadas'!$A$4:$A$31,MATCH(1,INDEX(EXACT('Reparto de brigadas'!$L$4:$L$31,"impar"&amp;CHAR(31)&amp;$A4&amp;CHAR(31)&amp;D$3)*1,0),0))))&amp;" / "&amp;IF(ISBLANK(INDEX('Reparto de brigadas'!$A$4:$A$31,(MATCH(1,INDEX(EXACT('Reparto de brigadas'!$L$4:$L$31,"impar"&amp;CHAR(31)&amp;$A4&amp;CHAR(31)&amp;D$3)*1,0),0)+MATCH(1,INDEX(EXACT(INDEX('Reparto de brigadas'!$L$4:$L$31,MATCH(1,INDEX(EXACT('Reparto de brigadas'!$L$4:$L$31,"impar"&amp;CHAR(31)&amp;$A4&amp;CHAR(31)&amp;D$3)*1,0),0)+1):INDEX('Reparto de brigadas'!$L$4:$L$31,ROWS('Reparto de brigadas'!$L$4:$L$31)),"impar"&amp;CHAR(31)&amp;$A4&amp;CHAR(31)&amp;D$3)*1,0),0)))),"",INDEX('Reparto de brigadas'!$A$4:$A$31,(MATCH(1,INDEX(EXACT('Reparto de brigadas'!$L$4:$L$31,"impar"&amp;CHAR(31)&amp;$A4&amp;CHAR(31)&amp;D$3)*1,0),0)+MATCH(1,INDEX(EXACT(INDEX('Reparto de brigadas'!$L$4:$L$31,MATCH(1,INDEX(EXACT('Reparto de brigadas'!$L$4:$L$31,"impar"&amp;CHAR(31)&amp;$A4&amp;CHAR(31)&amp;D$3)*1,0),0)+1):INDEX('Reparto de brigadas'!$L$4:$L$31,ROWS('Reparto de brigadas'!$L$4:$L$31)),"impar"&amp;CHAR(31)&amp;$A4&amp;CHAR(31)&amp;D$3)*1,0),0))))&amp;IF(SUMPRODUCT(1*EXACT('Reparto de brigadas'!$L$4:$L$31,"impar"&amp;CHAR(31)&amp;$A4&amp;CHAR(31)&amp;D$3))&gt;2," (+"&amp;(SUMPRODUCT(1*EXACT('Reparto de brigadas'!$L$4:$L$31,"impar"&amp;CHAR(31)&amp;$A4&amp;CHAR(31)&amp;D$3))-2)&amp;")",""),IF(ISNA(MATCH(1,INDEX(EXACT('Reparto de brigadas'!$L$4:$L$31,"impar"&amp;CHAR(31)&amp;$A4&amp;CHAR(31)&amp;D$3)*1,0),0)),"",IF(ISBLANK(INDEX('Reparto de brigadas'!$A$4:$A$31,MATCH(1,INDEX(EXACT('Reparto de brigadas'!$L$4:$L$31,"impar"&amp;CHAR(31)&amp;$A4&amp;CHAR(31)&amp;D$3)*1,0),0))),"",INDEX('Reparto de brigadas'!$A$4:$A$31,MATCH(1,INDEX(EXACT('Reparto de brigadas'!$L$4:$L$31,"impar"&amp;CHAR(31)&amp;$A4&amp;CHAR(31)&amp;D$3)*1,0),0)))))</f>
        <v/>
      </c>
    </row>
    <row r="5">
      <c r="A5" s="3" t="inlineStr">
        <is>
          <t>Pista 2</t>
        </is>
      </c>
      <c r="B5" s="3">
        <f>IF(SUMPRODUCT(1*EXACT('Reparto de brigadas'!$L$4:$L$31,"impar"&amp;CHAR(31)&amp;$A5&amp;CHAR(31)&amp;B$3))&gt;1,IF(ISNA(MATCH(1,INDEX(EXACT('Reparto de brigadas'!$L$4:$L$31,"impar"&amp;CHAR(31)&amp;$A5&amp;CHAR(31)&amp;B$3)*1,0),0)),"",IF(ISBLANK(INDEX('Reparto de brigadas'!$A$4:$A$31,MATCH(1,INDEX(EXACT('Reparto de brigadas'!$L$4:$L$31,"impar"&amp;CHAR(31)&amp;$A5&amp;CHAR(31)&amp;B$3)*1,0),0))),"",INDEX('Reparto de brigadas'!$A$4:$A$31,MATCH(1,INDEX(EXACT('Reparto de brigadas'!$L$4:$L$31,"impar"&amp;CHAR(31)&amp;$A5&amp;CHAR(31)&amp;B$3)*1,0),0))))&amp;" / "&amp;IF(ISBLANK(INDEX('Reparto de brigadas'!$A$4:$A$31,(MATCH(1,INDEX(EXACT('Reparto de brigadas'!$L$4:$L$31,"impar"&amp;CHAR(31)&amp;$A5&amp;CHAR(31)&amp;B$3)*1,0),0)+MATCH(1,INDEX(EXACT(INDEX('Reparto de brigadas'!$L$4:$L$31,MATCH(1,INDEX(EXACT('Reparto de brigadas'!$L$4:$L$31,"impar"&amp;CHAR(31)&amp;$A5&amp;CHAR(31)&amp;B$3)*1,0),0)+1):INDEX('Reparto de brigadas'!$L$4:$L$31,ROWS('Reparto de brigadas'!$L$4:$L$31)),"impar"&amp;CHAR(31)&amp;$A5&amp;CHAR(31)&amp;B$3)*1,0),0)))),"",INDEX('Reparto de brigadas'!$A$4:$A$31,(MATCH(1,INDEX(EXACT('Reparto de brigadas'!$L$4:$L$31,"impar"&amp;CHAR(31)&amp;$A5&amp;CHAR(31)&amp;B$3)*1,0),0)+MATCH(1,INDEX(EXACT(INDEX('Reparto de brigadas'!$L$4:$L$31,MATCH(1,INDEX(EXACT('Reparto de brigadas'!$L$4:$L$31,"impar"&amp;CHAR(31)&amp;$A5&amp;CHAR(31)&amp;B$3)*1,0),0)+1):INDEX('Reparto de brigadas'!$L$4:$L$31,ROWS('Reparto de brigadas'!$L$4:$L$31)),"impar"&amp;CHAR(31)&amp;$A5&amp;CHAR(31)&amp;B$3)*1,0),0))))&amp;IF(SUMPRODUCT(1*EXACT('Reparto de brigadas'!$L$4:$L$31,"impar"&amp;CHAR(31)&amp;$A5&amp;CHAR(31)&amp;B$3))&gt;2," (+"&amp;(SUMPRODUCT(1*EXACT('Reparto de brigadas'!$L$4:$L$31,"impar"&amp;CHAR(31)&amp;$A5&amp;CHAR(31)&amp;B$3))-2)&amp;")",""),IF(ISNA(MATCH(1,INDEX(EXACT('Reparto de brigadas'!$L$4:$L$31,"impar"&amp;CHAR(31)&amp;$A5&amp;CHAR(31)&amp;B$3)*1,0),0)),"",IF(ISBLANK(INDEX('Reparto de brigadas'!$A$4:$A$31,MATCH(1,INDEX(EXACT('Reparto de brigadas'!$L$4:$L$31,"impar"&amp;CHAR(31)&amp;$A5&amp;CHAR(31)&amp;B$3)*1,0),0))),"",INDEX('Reparto de brigadas'!$A$4:$A$31,MATCH(1,INDEX(EXACT('Reparto de brigadas'!$L$4:$L$31,"impar"&amp;CHAR(31)&amp;$A5&amp;CHAR(31)&amp;B$3)*1,0),0)))))</f>
        <v/>
      </c>
      <c r="C5" s="3">
        <f>IF(SUMPRODUCT(1*EXACT('Reparto de brigadas'!$L$4:$L$31,"impar"&amp;CHAR(31)&amp;$A5&amp;CHAR(31)&amp;C$3))&gt;1,IF(ISNA(MATCH(1,INDEX(EXACT('Reparto de brigadas'!$L$4:$L$31,"impar"&amp;CHAR(31)&amp;$A5&amp;CHAR(31)&amp;C$3)*1,0),0)),"",IF(ISBLANK(INDEX('Reparto de brigadas'!$A$4:$A$31,MATCH(1,INDEX(EXACT('Reparto de brigadas'!$L$4:$L$31,"impar"&amp;CHAR(31)&amp;$A5&amp;CHAR(31)&amp;C$3)*1,0),0))),"",INDEX('Reparto de brigadas'!$A$4:$A$31,MATCH(1,INDEX(EXACT('Reparto de brigadas'!$L$4:$L$31,"impar"&amp;CHAR(31)&amp;$A5&amp;CHAR(31)&amp;C$3)*1,0),0))))&amp;" / "&amp;IF(ISBLANK(INDEX('Reparto de brigadas'!$A$4:$A$31,(MATCH(1,INDEX(EXACT('Reparto de brigadas'!$L$4:$L$31,"impar"&amp;CHAR(31)&amp;$A5&amp;CHAR(31)&amp;C$3)*1,0),0)+MATCH(1,INDEX(EXACT(INDEX('Reparto de brigadas'!$L$4:$L$31,MATCH(1,INDEX(EXACT('Reparto de brigadas'!$L$4:$L$31,"impar"&amp;CHAR(31)&amp;$A5&amp;CHAR(31)&amp;C$3)*1,0),0)+1):INDEX('Reparto de brigadas'!$L$4:$L$31,ROWS('Reparto de brigadas'!$L$4:$L$31)),"impar"&amp;CHAR(31)&amp;$A5&amp;CHAR(31)&amp;C$3)*1,0),0)))),"",INDEX('Reparto de brigadas'!$A$4:$A$31,(MATCH(1,INDEX(EXACT('Reparto de brigadas'!$L$4:$L$31,"impar"&amp;CHAR(31)&amp;$A5&amp;CHAR(31)&amp;C$3)*1,0),0)+MATCH(1,INDEX(EXACT(INDEX('Reparto de brigadas'!$L$4:$L$31,MATCH(1,INDEX(EXACT('Reparto de brigadas'!$L$4:$L$31,"impar"&amp;CHAR(31)&amp;$A5&amp;CHAR(31)&amp;C$3)*1,0),0)+1):INDEX('Reparto de brigadas'!$L$4:$L$31,ROWS('Reparto de brigadas'!$L$4:$L$31)),"impar"&amp;CHAR(31)&amp;$A5&amp;CHAR(31)&amp;C$3)*1,0),0))))&amp;IF(SUMPRODUCT(1*EXACT('Reparto de brigadas'!$L$4:$L$31,"impar"&amp;CHAR(31)&amp;$A5&amp;CHAR(31)&amp;C$3))&gt;2," (+"&amp;(SUMPRODUCT(1*EXACT('Reparto de brigadas'!$L$4:$L$31,"impar"&amp;CHAR(31)&amp;$A5&amp;CHAR(31)&amp;C$3))-2)&amp;")",""),IF(ISNA(MATCH(1,INDEX(EXACT('Reparto de brigadas'!$L$4:$L$31,"impar"&amp;CHAR(31)&amp;$A5&amp;CHAR(31)&amp;C$3)*1,0),0)),"",IF(ISBLANK(INDEX('Reparto de brigadas'!$A$4:$A$31,MATCH(1,INDEX(EXACT('Reparto de brigadas'!$L$4:$L$31,"impar"&amp;CHAR(31)&amp;$A5&amp;CHAR(31)&amp;C$3)*1,0),0))),"",INDEX('Reparto de brigadas'!$A$4:$A$31,MATCH(1,INDEX(EXACT('Reparto de brigadas'!$L$4:$L$31,"impar"&amp;CHAR(31)&amp;$A5&amp;CHAR(31)&amp;C$3)*1,0),0)))))</f>
        <v/>
      </c>
      <c r="D5" s="3">
        <f>IF(SUMPRODUCT(1*EXACT('Reparto de brigadas'!$L$4:$L$31,"impar"&amp;CHAR(31)&amp;$A5&amp;CHAR(31)&amp;D$3))&gt;1,IF(ISNA(MATCH(1,INDEX(EXACT('Reparto de brigadas'!$L$4:$L$31,"impar"&amp;CHAR(31)&amp;$A5&amp;CHAR(31)&amp;D$3)*1,0),0)),"",IF(ISBLANK(INDEX('Reparto de brigadas'!$A$4:$A$31,MATCH(1,INDEX(EXACT('Reparto de brigadas'!$L$4:$L$31,"impar"&amp;CHAR(31)&amp;$A5&amp;CHAR(31)&amp;D$3)*1,0),0))),"",INDEX('Reparto de brigadas'!$A$4:$A$31,MATCH(1,INDEX(EXACT('Reparto de brigadas'!$L$4:$L$31,"impar"&amp;CHAR(31)&amp;$A5&amp;CHAR(31)&amp;D$3)*1,0),0))))&amp;" / "&amp;IF(ISBLANK(INDEX('Reparto de brigadas'!$A$4:$A$31,(MATCH(1,INDEX(EXACT('Reparto de brigadas'!$L$4:$L$31,"impar"&amp;CHAR(31)&amp;$A5&amp;CHAR(31)&amp;D$3)*1,0),0)+MATCH(1,INDEX(EXACT(INDEX('Reparto de brigadas'!$L$4:$L$31,MATCH(1,INDEX(EXACT('Reparto de brigadas'!$L$4:$L$31,"impar"&amp;CHAR(31)&amp;$A5&amp;CHAR(31)&amp;D$3)*1,0),0)+1):INDEX('Reparto de brigadas'!$L$4:$L$31,ROWS('Reparto de brigadas'!$L$4:$L$31)),"impar"&amp;CHAR(31)&amp;$A5&amp;CHAR(31)&amp;D$3)*1,0),0)))),"",INDEX('Reparto de brigadas'!$A$4:$A$31,(MATCH(1,INDEX(EXACT('Reparto de brigadas'!$L$4:$L$31,"impar"&amp;CHAR(31)&amp;$A5&amp;CHAR(31)&amp;D$3)*1,0),0)+MATCH(1,INDEX(EXACT(INDEX('Reparto de brigadas'!$L$4:$L$31,MATCH(1,INDEX(EXACT('Reparto de brigadas'!$L$4:$L$31,"impar"&amp;CHAR(31)&amp;$A5&amp;CHAR(31)&amp;D$3)*1,0),0)+1):INDEX('Reparto de brigadas'!$L$4:$L$31,ROWS('Reparto de brigadas'!$L$4:$L$31)),"impar"&amp;CHAR(31)&amp;$A5&amp;CHAR(31)&amp;D$3)*1,0),0))))&amp;IF(SUMPRODUCT(1*EXACT('Reparto de brigadas'!$L$4:$L$31,"impar"&amp;CHAR(31)&amp;$A5&amp;CHAR(31)&amp;D$3))&gt;2," (+"&amp;(SUMPRODUCT(1*EXACT('Reparto de brigadas'!$L$4:$L$31,"impar"&amp;CHAR(31)&amp;$A5&amp;CHAR(31)&amp;D$3))-2)&amp;")",""),IF(ISNA(MATCH(1,INDEX(EXACT('Reparto de brigadas'!$L$4:$L$31,"impar"&amp;CHAR(31)&amp;$A5&amp;CHAR(31)&amp;D$3)*1,0),0)),"",IF(ISBLANK(INDEX('Reparto de brigadas'!$A$4:$A$31,MATCH(1,INDEX(EXACT('Reparto de brigadas'!$L$4:$L$31,"impar"&amp;CHAR(31)&amp;$A5&amp;CHAR(31)&amp;D$3)*1,0),0))),"",INDEX('Reparto de brigadas'!$A$4:$A$31,MATCH(1,INDEX(EXACT('Reparto de brigadas'!$L$4:$L$31,"impar"&amp;CHAR(31)&amp;$A5&amp;CHAR(31)&amp;D$3)*1,0),0)))))</f>
        <v/>
      </c>
    </row>
    <row r="6">
      <c r="A6" s="3" t="inlineStr">
        <is>
          <t>Gimnasio</t>
        </is>
      </c>
      <c r="B6" s="3">
        <f>IF(SUMPRODUCT(1*EXACT('Reparto de brigadas'!$L$4:$L$31,"impar"&amp;CHAR(31)&amp;$A6&amp;CHAR(31)&amp;B$3))&gt;1,IF(ISNA(MATCH(1,INDEX(EXACT('Reparto de brigadas'!$L$4:$L$31,"impar"&amp;CHAR(31)&amp;$A6&amp;CHAR(31)&amp;B$3)*1,0),0)),"",IF(ISBLANK(INDEX('Reparto de brigadas'!$A$4:$A$31,MATCH(1,INDEX(EXACT('Reparto de brigadas'!$L$4:$L$31,"impar"&amp;CHAR(31)&amp;$A6&amp;CHAR(31)&amp;B$3)*1,0),0))),"",INDEX('Reparto de brigadas'!$A$4:$A$31,MATCH(1,INDEX(EXACT('Reparto de brigadas'!$L$4:$L$31,"impar"&amp;CHAR(31)&amp;$A6&amp;CHAR(31)&amp;B$3)*1,0),0))))&amp;" / "&amp;IF(ISBLANK(INDEX('Reparto de brigadas'!$A$4:$A$31,(MATCH(1,INDEX(EXACT('Reparto de brigadas'!$L$4:$L$31,"impar"&amp;CHAR(31)&amp;$A6&amp;CHAR(31)&amp;B$3)*1,0),0)+MATCH(1,INDEX(EXACT(INDEX('Reparto de brigadas'!$L$4:$L$31,MATCH(1,INDEX(EXACT('Reparto de brigadas'!$L$4:$L$31,"impar"&amp;CHAR(31)&amp;$A6&amp;CHAR(31)&amp;B$3)*1,0),0)+1):INDEX('Reparto de brigadas'!$L$4:$L$31,ROWS('Reparto de brigadas'!$L$4:$L$31)),"impar"&amp;CHAR(31)&amp;$A6&amp;CHAR(31)&amp;B$3)*1,0),0)))),"",INDEX('Reparto de brigadas'!$A$4:$A$31,(MATCH(1,INDEX(EXACT('Reparto de brigadas'!$L$4:$L$31,"impar"&amp;CHAR(31)&amp;$A6&amp;CHAR(31)&amp;B$3)*1,0),0)+MATCH(1,INDEX(EXACT(INDEX('Reparto de brigadas'!$L$4:$L$31,MATCH(1,INDEX(EXACT('Reparto de brigadas'!$L$4:$L$31,"impar"&amp;CHAR(31)&amp;$A6&amp;CHAR(31)&amp;B$3)*1,0),0)+1):INDEX('Reparto de brigadas'!$L$4:$L$31,ROWS('Reparto de brigadas'!$L$4:$L$31)),"impar"&amp;CHAR(31)&amp;$A6&amp;CHAR(31)&amp;B$3)*1,0),0))))&amp;IF(SUMPRODUCT(1*EXACT('Reparto de brigadas'!$L$4:$L$31,"impar"&amp;CHAR(31)&amp;$A6&amp;CHAR(31)&amp;B$3))&gt;2," (+"&amp;(SUMPRODUCT(1*EXACT('Reparto de brigadas'!$L$4:$L$31,"impar"&amp;CHAR(31)&amp;$A6&amp;CHAR(31)&amp;B$3))-2)&amp;")",""),IF(ISNA(MATCH(1,INDEX(EXACT('Reparto de brigadas'!$L$4:$L$31,"impar"&amp;CHAR(31)&amp;$A6&amp;CHAR(31)&amp;B$3)*1,0),0)),"",IF(ISBLANK(INDEX('Reparto de brigadas'!$A$4:$A$31,MATCH(1,INDEX(EXACT('Reparto de brigadas'!$L$4:$L$31,"impar"&amp;CHAR(31)&amp;$A6&amp;CHAR(31)&amp;B$3)*1,0),0))),"",INDEX('Reparto de brigadas'!$A$4:$A$31,MATCH(1,INDEX(EXACT('Reparto de brigadas'!$L$4:$L$31,"impar"&amp;CHAR(31)&amp;$A6&amp;CHAR(31)&amp;B$3)*1,0),0)))))</f>
        <v/>
      </c>
      <c r="C6" s="3">
        <f>IF(SUMPRODUCT(1*EXACT('Reparto de brigadas'!$L$4:$L$31,"impar"&amp;CHAR(31)&amp;$A6&amp;CHAR(31)&amp;C$3))&gt;1,IF(ISNA(MATCH(1,INDEX(EXACT('Reparto de brigadas'!$L$4:$L$31,"impar"&amp;CHAR(31)&amp;$A6&amp;CHAR(31)&amp;C$3)*1,0),0)),"",IF(ISBLANK(INDEX('Reparto de brigadas'!$A$4:$A$31,MATCH(1,INDEX(EXACT('Reparto de brigadas'!$L$4:$L$31,"impar"&amp;CHAR(31)&amp;$A6&amp;CHAR(31)&amp;C$3)*1,0),0))),"",INDEX('Reparto de brigadas'!$A$4:$A$31,MATCH(1,INDEX(EXACT('Reparto de brigadas'!$L$4:$L$31,"impar"&amp;CHAR(31)&amp;$A6&amp;CHAR(31)&amp;C$3)*1,0),0))))&amp;" / "&amp;IF(ISBLANK(INDEX('Reparto de brigadas'!$A$4:$A$31,(MATCH(1,INDEX(EXACT('Reparto de brigadas'!$L$4:$L$31,"impar"&amp;CHAR(31)&amp;$A6&amp;CHAR(31)&amp;C$3)*1,0),0)+MATCH(1,INDEX(EXACT(INDEX('Reparto de brigadas'!$L$4:$L$31,MATCH(1,INDEX(EXACT('Reparto de brigadas'!$L$4:$L$31,"impar"&amp;CHAR(31)&amp;$A6&amp;CHAR(31)&amp;C$3)*1,0),0)+1):INDEX('Reparto de brigadas'!$L$4:$L$31,ROWS('Reparto de brigadas'!$L$4:$L$31)),"impar"&amp;CHAR(31)&amp;$A6&amp;CHAR(31)&amp;C$3)*1,0),0)))),"",INDEX('Reparto de brigadas'!$A$4:$A$31,(MATCH(1,INDEX(EXACT('Reparto de brigadas'!$L$4:$L$31,"impar"&amp;CHAR(31)&amp;$A6&amp;CHAR(31)&amp;C$3)*1,0),0)+MATCH(1,INDEX(EXACT(INDEX('Reparto de brigadas'!$L$4:$L$31,MATCH(1,INDEX(EXACT('Reparto de brigadas'!$L$4:$L$31,"impar"&amp;CHAR(31)&amp;$A6&amp;CHAR(31)&amp;C$3)*1,0),0)+1):INDEX('Reparto de brigadas'!$L$4:$L$31,ROWS('Reparto de brigadas'!$L$4:$L$31)),"impar"&amp;CHAR(31)&amp;$A6&amp;CHAR(31)&amp;C$3)*1,0),0))))&amp;IF(SUMPRODUCT(1*EXACT('Reparto de brigadas'!$L$4:$L$31,"impar"&amp;CHAR(31)&amp;$A6&amp;CHAR(31)&amp;C$3))&gt;2," (+"&amp;(SUMPRODUCT(1*EXACT('Reparto de brigadas'!$L$4:$L$31,"impar"&amp;CHAR(31)&amp;$A6&amp;CHAR(31)&amp;C$3))-2)&amp;")",""),IF(ISNA(MATCH(1,INDEX(EXACT('Reparto de brigadas'!$L$4:$L$31,"impar"&amp;CHAR(31)&amp;$A6&amp;CHAR(31)&amp;C$3)*1,0),0)),"",IF(ISBLANK(INDEX('Reparto de brigadas'!$A$4:$A$31,MATCH(1,INDEX(EXACT('Reparto de brigadas'!$L$4:$L$31,"impar"&amp;CHAR(31)&amp;$A6&amp;CHAR(31)&amp;C$3)*1,0),0))),"",INDEX('Reparto de brigadas'!$A$4:$A$31,MATCH(1,INDEX(EXACT('Reparto de brigadas'!$L$4:$L$31,"impar"&amp;CHAR(31)&amp;$A6&amp;CHAR(31)&amp;C$3)*1,0),0)))))</f>
        <v/>
      </c>
      <c r="D6" s="3">
        <f>IF(SUMPRODUCT(1*EXACT('Reparto de brigadas'!$L$4:$L$31,"impar"&amp;CHAR(31)&amp;$A6&amp;CHAR(31)&amp;D$3))&gt;1,IF(ISNA(MATCH(1,INDEX(EXACT('Reparto de brigadas'!$L$4:$L$31,"impar"&amp;CHAR(31)&amp;$A6&amp;CHAR(31)&amp;D$3)*1,0),0)),"",IF(ISBLANK(INDEX('Reparto de brigadas'!$A$4:$A$31,MATCH(1,INDEX(EXACT('Reparto de brigadas'!$L$4:$L$31,"impar"&amp;CHAR(31)&amp;$A6&amp;CHAR(31)&amp;D$3)*1,0),0))),"",INDEX('Reparto de brigadas'!$A$4:$A$31,MATCH(1,INDEX(EXACT('Reparto de brigadas'!$L$4:$L$31,"impar"&amp;CHAR(31)&amp;$A6&amp;CHAR(31)&amp;D$3)*1,0),0))))&amp;" / "&amp;IF(ISBLANK(INDEX('Reparto de brigadas'!$A$4:$A$31,(MATCH(1,INDEX(EXACT('Reparto de brigadas'!$L$4:$L$31,"impar"&amp;CHAR(31)&amp;$A6&amp;CHAR(31)&amp;D$3)*1,0),0)+MATCH(1,INDEX(EXACT(INDEX('Reparto de brigadas'!$L$4:$L$31,MATCH(1,INDEX(EXACT('Reparto de brigadas'!$L$4:$L$31,"impar"&amp;CHAR(31)&amp;$A6&amp;CHAR(31)&amp;D$3)*1,0),0)+1):INDEX('Reparto de brigadas'!$L$4:$L$31,ROWS('Reparto de brigadas'!$L$4:$L$31)),"impar"&amp;CHAR(31)&amp;$A6&amp;CHAR(31)&amp;D$3)*1,0),0)))),"",INDEX('Reparto de brigadas'!$A$4:$A$31,(MATCH(1,INDEX(EXACT('Reparto de brigadas'!$L$4:$L$31,"impar"&amp;CHAR(31)&amp;$A6&amp;CHAR(31)&amp;D$3)*1,0),0)+MATCH(1,INDEX(EXACT(INDEX('Reparto de brigadas'!$L$4:$L$31,MATCH(1,INDEX(EXACT('Reparto de brigadas'!$L$4:$L$31,"impar"&amp;CHAR(31)&amp;$A6&amp;CHAR(31)&amp;D$3)*1,0),0)+1):INDEX('Reparto de brigadas'!$L$4:$L$31,ROWS('Reparto de brigadas'!$L$4:$L$31)),"impar"&amp;CHAR(31)&amp;$A6&amp;CHAR(31)&amp;D$3)*1,0),0))))&amp;IF(SUMPRODUCT(1*EXACT('Reparto de brigadas'!$L$4:$L$31,"impar"&amp;CHAR(31)&amp;$A6&amp;CHAR(31)&amp;D$3))&gt;2," (+"&amp;(SUMPRODUCT(1*EXACT('Reparto de brigadas'!$L$4:$L$31,"impar"&amp;CHAR(31)&amp;$A6&amp;CHAR(31)&amp;D$3))-2)&amp;")",""),IF(ISNA(MATCH(1,INDEX(EXACT('Reparto de brigadas'!$L$4:$L$31,"impar"&amp;CHAR(31)&amp;$A6&amp;CHAR(31)&amp;D$3)*1,0),0)),"",IF(ISBLANK(INDEX('Reparto de brigadas'!$A$4:$A$31,MATCH(1,INDEX(EXACT('Reparto de brigadas'!$L$4:$L$31,"impar"&amp;CHAR(31)&amp;$A6&amp;CHAR(31)&amp;D$3)*1,0),0))),"",INDEX('Reparto de brigadas'!$A$4:$A$31,MATCH(1,INDEX(EXACT('Reparto de brigadas'!$L$4:$L$31,"impar"&amp;CHAR(31)&amp;$A6&amp;CHAR(31)&amp;D$3)*1,0),0)))))</f>
        <v/>
      </c>
    </row>
    <row r="7">
      <c r="A7" s="3" t="inlineStr">
        <is>
          <t>Piscina</t>
        </is>
      </c>
      <c r="B7" s="3">
        <f>IF(SUMPRODUCT(1*EXACT('Reparto de brigadas'!$L$4:$L$31,"impar"&amp;CHAR(31)&amp;$A7&amp;CHAR(31)&amp;B$3))&gt;1,IF(ISNA(MATCH(1,INDEX(EXACT('Reparto de brigadas'!$L$4:$L$31,"impar"&amp;CHAR(31)&amp;$A7&amp;CHAR(31)&amp;B$3)*1,0),0)),"",IF(ISBLANK(INDEX('Reparto de brigadas'!$A$4:$A$31,MATCH(1,INDEX(EXACT('Reparto de brigadas'!$L$4:$L$31,"impar"&amp;CHAR(31)&amp;$A7&amp;CHAR(31)&amp;B$3)*1,0),0))),"",INDEX('Reparto de brigadas'!$A$4:$A$31,MATCH(1,INDEX(EXACT('Reparto de brigadas'!$L$4:$L$31,"impar"&amp;CHAR(31)&amp;$A7&amp;CHAR(31)&amp;B$3)*1,0),0))))&amp;" / "&amp;IF(ISBLANK(INDEX('Reparto de brigadas'!$A$4:$A$31,(MATCH(1,INDEX(EXACT('Reparto de brigadas'!$L$4:$L$31,"impar"&amp;CHAR(31)&amp;$A7&amp;CHAR(31)&amp;B$3)*1,0),0)+MATCH(1,INDEX(EXACT(INDEX('Reparto de brigadas'!$L$4:$L$31,MATCH(1,INDEX(EXACT('Reparto de brigadas'!$L$4:$L$31,"impar"&amp;CHAR(31)&amp;$A7&amp;CHAR(31)&amp;B$3)*1,0),0)+1):INDEX('Reparto de brigadas'!$L$4:$L$31,ROWS('Reparto de brigadas'!$L$4:$L$31)),"impar"&amp;CHAR(31)&amp;$A7&amp;CHAR(31)&amp;B$3)*1,0),0)))),"",INDEX('Reparto de brigadas'!$A$4:$A$31,(MATCH(1,INDEX(EXACT('Reparto de brigadas'!$L$4:$L$31,"impar"&amp;CHAR(31)&amp;$A7&amp;CHAR(31)&amp;B$3)*1,0),0)+MATCH(1,INDEX(EXACT(INDEX('Reparto de brigadas'!$L$4:$L$31,MATCH(1,INDEX(EXACT('Reparto de brigadas'!$L$4:$L$31,"impar"&amp;CHAR(31)&amp;$A7&amp;CHAR(31)&amp;B$3)*1,0),0)+1):INDEX('Reparto de brigadas'!$L$4:$L$31,ROWS('Reparto de brigadas'!$L$4:$L$31)),"impar"&amp;CHAR(31)&amp;$A7&amp;CHAR(31)&amp;B$3)*1,0),0))))&amp;IF(SUMPRODUCT(1*EXACT('Reparto de brigadas'!$L$4:$L$31,"impar"&amp;CHAR(31)&amp;$A7&amp;CHAR(31)&amp;B$3))&gt;2," (+"&amp;(SUMPRODUCT(1*EXACT('Reparto de brigadas'!$L$4:$L$31,"impar"&amp;CHAR(31)&amp;$A7&amp;CHAR(31)&amp;B$3))-2)&amp;")",""),IF(ISNA(MATCH(1,INDEX(EXACT('Reparto de brigadas'!$L$4:$L$31,"impar"&amp;CHAR(31)&amp;$A7&amp;CHAR(31)&amp;B$3)*1,0),0)),"",IF(ISBLANK(INDEX('Reparto de brigadas'!$A$4:$A$31,MATCH(1,INDEX(EXACT('Reparto de brigadas'!$L$4:$L$31,"impar"&amp;CHAR(31)&amp;$A7&amp;CHAR(31)&amp;B$3)*1,0),0))),"",INDEX('Reparto de brigadas'!$A$4:$A$31,MATCH(1,INDEX(EXACT('Reparto de brigadas'!$L$4:$L$31,"impar"&amp;CHAR(31)&amp;$A7&amp;CHAR(31)&amp;B$3)*1,0),0)))))</f>
        <v/>
      </c>
      <c r="C7" s="3">
        <f>IF(SUMPRODUCT(1*EXACT('Reparto de brigadas'!$L$4:$L$31,"impar"&amp;CHAR(31)&amp;$A7&amp;CHAR(31)&amp;C$3))&gt;1,IF(ISNA(MATCH(1,INDEX(EXACT('Reparto de brigadas'!$L$4:$L$31,"impar"&amp;CHAR(31)&amp;$A7&amp;CHAR(31)&amp;C$3)*1,0),0)),"",IF(ISBLANK(INDEX('Reparto de brigadas'!$A$4:$A$31,MATCH(1,INDEX(EXACT('Reparto de brigadas'!$L$4:$L$31,"impar"&amp;CHAR(31)&amp;$A7&amp;CHAR(31)&amp;C$3)*1,0),0))),"",INDEX('Reparto de brigadas'!$A$4:$A$31,MATCH(1,INDEX(EXACT('Reparto de brigadas'!$L$4:$L$31,"impar"&amp;CHAR(31)&amp;$A7&amp;CHAR(31)&amp;C$3)*1,0),0))))&amp;" / "&amp;IF(ISBLANK(INDEX('Reparto de brigadas'!$A$4:$A$31,(MATCH(1,INDEX(EXACT('Reparto de brigadas'!$L$4:$L$31,"impar"&amp;CHAR(31)&amp;$A7&amp;CHAR(31)&amp;C$3)*1,0),0)+MATCH(1,INDEX(EXACT(INDEX('Reparto de brigadas'!$L$4:$L$31,MATCH(1,INDEX(EXACT('Reparto de brigadas'!$L$4:$L$31,"impar"&amp;CHAR(31)&amp;$A7&amp;CHAR(31)&amp;C$3)*1,0),0)+1):INDEX('Reparto de brigadas'!$L$4:$L$31,ROWS('Reparto de brigadas'!$L$4:$L$31)),"impar"&amp;CHAR(31)&amp;$A7&amp;CHAR(31)&amp;C$3)*1,0),0)))),"",INDEX('Reparto de brigadas'!$A$4:$A$31,(MATCH(1,INDEX(EXACT('Reparto de brigadas'!$L$4:$L$31,"impar"&amp;CHAR(31)&amp;$A7&amp;CHAR(31)&amp;C$3)*1,0),0)+MATCH(1,INDEX(EXACT(INDEX('Reparto de brigadas'!$L$4:$L$31,MATCH(1,INDEX(EXACT('Reparto de brigadas'!$L$4:$L$31,"impar"&amp;CHAR(31)&amp;$A7&amp;CHAR(31)&amp;C$3)*1,0),0)+1):INDEX('Reparto de brigadas'!$L$4:$L$31,ROWS('Reparto de brigadas'!$L$4:$L$31)),"impar"&amp;CHAR(31)&amp;$A7&amp;CHAR(31)&amp;C$3)*1,0),0))))&amp;IF(SUMPRODUCT(1*EXACT('Reparto de brigadas'!$L$4:$L$31,"impar"&amp;CHAR(31)&amp;$A7&amp;CHAR(31)&amp;C$3))&gt;2," (+"&amp;(SUMPRODUCT(1*EXACT('Reparto de brigadas'!$L$4:$L$31,"impar"&amp;CHAR(31)&amp;$A7&amp;CHAR(31)&amp;C$3))-2)&amp;")",""),IF(ISNA(MATCH(1,INDEX(EXACT('Reparto de brigadas'!$L$4:$L$31,"impar"&amp;CHAR(31)&amp;$A7&amp;CHAR(31)&amp;C$3)*1,0),0)),"",IF(ISBLANK(INDEX('Reparto de brigadas'!$A$4:$A$31,MATCH(1,INDEX(EXACT('Reparto de brigadas'!$L$4:$L$31,"impar"&amp;CHAR(31)&amp;$A7&amp;CHAR(31)&amp;C$3)*1,0),0))),"",INDEX('Reparto de brigadas'!$A$4:$A$31,MATCH(1,INDEX(EXACT('Reparto de brigadas'!$L$4:$L$31,"impar"&amp;CHAR(31)&amp;$A7&amp;CHAR(31)&amp;C$3)*1,0),0)))))</f>
        <v/>
      </c>
      <c r="D7" s="3">
        <f>IF(SUMPRODUCT(1*EXACT('Reparto de brigadas'!$L$4:$L$31,"impar"&amp;CHAR(31)&amp;$A7&amp;CHAR(31)&amp;D$3))&gt;1,IF(ISNA(MATCH(1,INDEX(EXACT('Reparto de brigadas'!$L$4:$L$31,"impar"&amp;CHAR(31)&amp;$A7&amp;CHAR(31)&amp;D$3)*1,0),0)),"",IF(ISBLANK(INDEX('Reparto de brigadas'!$A$4:$A$31,MATCH(1,INDEX(EXACT('Reparto de brigadas'!$L$4:$L$31,"impar"&amp;CHAR(31)&amp;$A7&amp;CHAR(31)&amp;D$3)*1,0),0))),"",INDEX('Reparto de brigadas'!$A$4:$A$31,MATCH(1,INDEX(EXACT('Reparto de brigadas'!$L$4:$L$31,"impar"&amp;CHAR(31)&amp;$A7&amp;CHAR(31)&amp;D$3)*1,0),0))))&amp;" / "&amp;IF(ISBLANK(INDEX('Reparto de brigadas'!$A$4:$A$31,(MATCH(1,INDEX(EXACT('Reparto de brigadas'!$L$4:$L$31,"impar"&amp;CHAR(31)&amp;$A7&amp;CHAR(31)&amp;D$3)*1,0),0)+MATCH(1,INDEX(EXACT(INDEX('Reparto de brigadas'!$L$4:$L$31,MATCH(1,INDEX(EXACT('Reparto de brigadas'!$L$4:$L$31,"impar"&amp;CHAR(31)&amp;$A7&amp;CHAR(31)&amp;D$3)*1,0),0)+1):INDEX('Reparto de brigadas'!$L$4:$L$31,ROWS('Reparto de brigadas'!$L$4:$L$31)),"impar"&amp;CHAR(31)&amp;$A7&amp;CHAR(31)&amp;D$3)*1,0),0)))),"",INDEX('Reparto de brigadas'!$A$4:$A$31,(MATCH(1,INDEX(EXACT('Reparto de brigadas'!$L$4:$L$31,"impar"&amp;CHAR(31)&amp;$A7&amp;CHAR(31)&amp;D$3)*1,0),0)+MATCH(1,INDEX(EXACT(INDEX('Reparto de brigadas'!$L$4:$L$31,MATCH(1,INDEX(EXACT('Reparto de brigadas'!$L$4:$L$31,"impar"&amp;CHAR(31)&amp;$A7&amp;CHAR(31)&amp;D$3)*1,0),0)+1):INDEX('Reparto de brigadas'!$L$4:$L$31,ROWS('Reparto de brigadas'!$L$4:$L$31)),"impar"&amp;CHAR(31)&amp;$A7&amp;CHAR(31)&amp;D$3)*1,0),0))))&amp;IF(SUMPRODUCT(1*EXACT('Reparto de brigadas'!$L$4:$L$31,"impar"&amp;CHAR(31)&amp;$A7&amp;CHAR(31)&amp;D$3))&gt;2," (+"&amp;(SUMPRODUCT(1*EXACT('Reparto de brigadas'!$L$4:$L$31,"impar"&amp;CHAR(31)&amp;$A7&amp;CHAR(31)&amp;D$3))-2)&amp;")",""),IF(ISNA(MATCH(1,INDEX(EXACT('Reparto de brigadas'!$L$4:$L$31,"impar"&amp;CHAR(31)&amp;$A7&amp;CHAR(31)&amp;D$3)*1,0),0)),"",IF(ISBLANK(INDEX('Reparto de brigadas'!$A$4:$A$31,MATCH(1,INDEX(EXACT('Reparto de brigadas'!$L$4:$L$31,"impar"&amp;CHAR(31)&amp;$A7&amp;CHAR(31)&amp;D$3)*1,0),0))),"",INDEX('Reparto de brigadas'!$A$4:$A$31,MATCH(1,INDEX(EXACT('Reparto de brigadas'!$L$4:$L$31,"impar"&amp;CHAR(31)&amp;$A7&amp;CHAR(31)&amp;D$3)*1,0),0)))))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D7">
    <cfRule type="expression" priority="1" dxfId="0" stopIfTrue="0">
      <formula>IFERROR(INDEX('Reparto de brigadas'!$K$4:$K$31,MATCH(1,INDEX(EXACT('Reparto de brigadas'!$L$4:$L$31,"impar"&amp;CHAR(31)&amp;$A4&amp;CHAR(31)&amp;B$3)*1,0),0)),0)=3</formula>
    </cfRule>
    <cfRule type="expression" priority="2" dxfId="1" stopIfTrue="0">
      <formula>IFERROR(INDEX('Reparto de brigadas'!$K$4:$K$31,MATCH(1,INDEX(EXACT('Reparto de brigadas'!$L$4:$L$31,"impar"&amp;CHAR(31)&amp;$A4&amp;CHAR(31)&amp;B$3)*1,0),0)),0)=2</formula>
    </cfRule>
    <cfRule type="expression" priority="3" dxfId="2" stopIfTrue="0">
      <formula>IFERROR(INDEX('Reparto de brigadas'!$K$4:$K$31,MATCH(1,INDEX(EXACT('Reparto de brigadas'!$L$4:$L$31,"impar"&amp;CHAR(31)&amp;$A4&amp;CHAR(31)&amp;B$3)*1,0),0)),0)=1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</cols>
  <sheetData>
    <row r="1">
      <c r="A1" s="1" t="inlineStr">
        <is>
          <t>Horario del profesor - Prof. Alvarez</t>
        </is>
      </c>
    </row>
    <row r="3">
      <c r="A3" s="2" t="inlineStr">
        <is>
          <t>Horario</t>
        </is>
      </c>
      <c r="B3" s="2" t="inlineStr">
        <is>
          <t>par</t>
        </is>
      </c>
      <c r="C3" s="2" t="inlineStr">
        <is>
          <t>impar</t>
        </is>
      </c>
    </row>
    <row r="4">
      <c r="A4" s="3" t="inlineStr">
        <is>
          <t>10 a.m.</t>
        </is>
      </c>
      <c r="B4" s="3">
        <f>IF(SUMPRODUCT(1*EXACT('Reparto de brigadas'!$M$4:$M$31,"Prof. Alvarez"&amp;CHAR(31)&amp;$A4&amp;CHAR(31)&amp;B$3))&gt;1,IF(ISNA(MATCH(1,INDEX(EXACT('Reparto de brigadas'!$M$4:$M$31,"Prof. Alvarez"&amp;CHAR(31)&amp;$A4&amp;CHAR(31)&amp;B$3)*1,0),0)),"",IF(ISBLANK(INDEX('Reparto de brigadas'!$A$4:$A$31,MATCH(1,INDEX(EXACT('Reparto de brigadas'!$M$4:$M$31,"Prof. Alvarez"&amp;CHAR(31)&amp;$A4&amp;CHAR(31)&amp;B$3)*1,0),0))),"",INDEX('Reparto de brigadas'!$A$4:$A$31,MATCH(1,INDEX(EXACT('Reparto de brigadas'!$M$4:$M$31,"Prof. Alvarez"&amp;CHAR(31)&amp;$A4&amp;CHAR(31)&amp;B$3)*1,0),0))))&amp;" / "&amp;IF(ISBLANK(INDEX('Reparto de brigadas'!$A$4:$A$31,(MATCH(1,INDEX(EXACT('Reparto de brigadas'!$M$4:$M$31,"Prof. Alvarez"&amp;CHAR(31)&amp;$A4&amp;CHAR(31)&amp;B$3)*1,0),0)+MATCH(1,INDEX(EXACT(INDEX('Reparto de brigadas'!$M$4:$M$31,MATCH(1,INDEX(EXACT('Reparto de brigadas'!$M$4:$M$31,"Prof. Alvarez"&amp;CHAR(31)&amp;$A4&amp;CHAR(31)&amp;B$3)*1,0),0)+1):INDEX('Reparto de brigadas'!$M$4:$M$31,ROWS('Reparto de brigadas'!$M$4:$M$31)),"Prof. Alvarez"&amp;CHAR(31)&amp;$A4&amp;CHAR(31)&amp;B$3)*1,0),0)))),"",INDEX('Reparto de brigadas'!$A$4:$A$31,(MATCH(1,INDEX(EXACT('Reparto de brigadas'!$M$4:$M$31,"Prof. Alvarez"&amp;CHAR(31)&amp;$A4&amp;CHAR(31)&amp;B$3)*1,0),0)+MATCH(1,INDEX(EXACT(INDEX('Reparto de brigadas'!$M$4:$M$31,MATCH(1,INDEX(EXACT('Reparto de brigadas'!$M$4:$M$31,"Prof. Alvarez"&amp;CHAR(31)&amp;$A4&amp;CHAR(31)&amp;B$3)*1,0),0)+1):INDEX('Reparto de brigadas'!$M$4:$M$31,ROWS('Reparto de brigadas'!$M$4:$M$31)),"Prof. Alvarez"&amp;CHAR(31)&amp;$A4&amp;CHAR(31)&amp;B$3)*1,0),0))))&amp;IF(SUMPRODUCT(1*EXACT('Reparto de brigadas'!$M$4:$M$31,"Prof. Alvarez"&amp;CHAR(31)&amp;$A4&amp;CHAR(31)&amp;B$3))&gt;2," (+"&amp;(SUMPRODUCT(1*EXACT('Reparto de brigadas'!$M$4:$M$31,"Prof. Alvarez"&amp;CHAR(31)&amp;$A4&amp;CHAR(31)&amp;B$3))-2)&amp;")",""),IF(ISNA(MATCH(1,INDEX(EXACT('Reparto de brigadas'!$M$4:$M$31,"Prof. Alvarez"&amp;CHAR(31)&amp;$A4&amp;CHAR(31)&amp;B$3)*1,0),0)),"",IF(ISBLANK(INDEX('Reparto de brigadas'!$A$4:$A$31,MATCH(1,INDEX(EXACT('Reparto de brigadas'!$M$4:$M$31,"Prof. Alvarez"&amp;CHAR(31)&amp;$A4&amp;CHAR(31)&amp;B$3)*1,0),0))),"",INDEX('Reparto de brigadas'!$A$4:$A$31,MATCH(1,INDEX(EXACT('Reparto de brigadas'!$M$4:$M$31,"Prof. Alvarez"&amp;CHAR(31)&amp;$A4&amp;CHAR(31)&amp;B$3)*1,0),0)))))</f>
        <v/>
      </c>
      <c r="C4" s="3">
        <f>IF(SUMPRODUCT(1*EXACT('Reparto de brigadas'!$M$4:$M$31,"Prof. Alvarez"&amp;CHAR(31)&amp;$A4&amp;CHAR(31)&amp;C$3))&gt;1,IF(ISNA(MATCH(1,INDEX(EXACT('Reparto de brigadas'!$M$4:$M$31,"Prof. Alvarez"&amp;CHAR(31)&amp;$A4&amp;CHAR(31)&amp;C$3)*1,0),0)),"",IF(ISBLANK(INDEX('Reparto de brigadas'!$A$4:$A$31,MATCH(1,INDEX(EXACT('Reparto de brigadas'!$M$4:$M$31,"Prof. Alvarez"&amp;CHAR(31)&amp;$A4&amp;CHAR(31)&amp;C$3)*1,0),0))),"",INDEX('Reparto de brigadas'!$A$4:$A$31,MATCH(1,INDEX(EXACT('Reparto de brigadas'!$M$4:$M$31,"Prof. Alvarez"&amp;CHAR(31)&amp;$A4&amp;CHAR(31)&amp;C$3)*1,0),0))))&amp;" / "&amp;IF(ISBLANK(INDEX('Reparto de brigadas'!$A$4:$A$31,(MATCH(1,INDEX(EXACT('Reparto de brigadas'!$M$4:$M$31,"Prof. Alvarez"&amp;CHAR(31)&amp;$A4&amp;CHAR(31)&amp;C$3)*1,0),0)+MATCH(1,INDEX(EXACT(INDEX('Reparto de brigadas'!$M$4:$M$31,MATCH(1,INDEX(EXACT('Reparto de brigadas'!$M$4:$M$31,"Prof. Alvarez"&amp;CHAR(31)&amp;$A4&amp;CHAR(31)&amp;C$3)*1,0),0)+1):INDEX('Reparto de brigadas'!$M$4:$M$31,ROWS('Reparto de brigadas'!$M$4:$M$31)),"Prof. Alvarez"&amp;CHAR(31)&amp;$A4&amp;CHAR(31)&amp;C$3)*1,0),0)))),"",INDEX('Reparto de brigadas'!$A$4:$A$31,(MATCH(1,INDEX(EXACT('Reparto de brigadas'!$M$4:$M$31,"Prof. Alvarez"&amp;CHAR(31)&amp;$A4&amp;CHAR(31)&amp;C$3)*1,0),0)+MATCH(1,INDEX(EXACT(INDEX('Reparto de brigadas'!$M$4:$M$31,MATCH(1,INDEX(EXACT('Reparto de brigadas'!$M$4:$M$31,"Prof. Alvarez"&amp;CHAR(31)&amp;$A4&amp;CHAR(31)&amp;C$3)*1,0),0)+1):INDEX('Reparto de brigadas'!$M$4:$M$31,ROWS('Reparto de brigadas'!$M$4:$M$31)),"Prof. Alvarez"&amp;CHAR(31)&amp;$A4&amp;CHAR(31)&amp;C$3)*1,0),0))))&amp;IF(SUMPRODUCT(1*EXACT('Reparto de brigadas'!$M$4:$M$31,"Prof. Alvarez"&amp;CHAR(31)&amp;$A4&amp;CHAR(31)&amp;C$3))&gt;2," (+"&amp;(SUMPRODUCT(1*EXACT('Reparto de brigadas'!$M$4:$M$31,"Prof. Alvarez"&amp;CHAR(31)&amp;$A4&amp;CHAR(31)&amp;C$3))-2)&amp;")",""),IF(ISNA(MATCH(1,INDEX(EXACT('Reparto de brigadas'!$M$4:$M$31,"Prof. Alvarez"&amp;CHAR(31)&amp;$A4&amp;CHAR(31)&amp;C$3)*1,0),0)),"",IF(ISBLANK(INDEX('Reparto de brigadas'!$A$4:$A$31,MATCH(1,INDEX(EXACT('Reparto de brigadas'!$M$4:$M$31,"Prof. Alvarez"&amp;CHAR(31)&amp;$A4&amp;CHAR(31)&amp;C$3)*1,0),0))),"",INDEX('Reparto de brigadas'!$A$4:$A$31,MATCH(1,INDEX(EXACT('Reparto de brigadas'!$M$4:$M$31,"Prof. Alvarez"&amp;CHAR(31)&amp;$A4&amp;CHAR(31)&amp;C$3)*1,0),0)))))</f>
        <v/>
      </c>
    </row>
    <row r="5">
      <c r="A5" s="3" t="inlineStr">
        <is>
          <t>11 a.m.</t>
        </is>
      </c>
      <c r="B5" s="3">
        <f>IF(SUMPRODUCT(1*EXACT('Reparto de brigadas'!$M$4:$M$31,"Prof. Alvarez"&amp;CHAR(31)&amp;$A5&amp;CHAR(31)&amp;B$3))&gt;1,IF(ISNA(MATCH(1,INDEX(EXACT('Reparto de brigadas'!$M$4:$M$31,"Prof. Alvarez"&amp;CHAR(31)&amp;$A5&amp;CHAR(31)&amp;B$3)*1,0),0)),"",IF(ISBLANK(INDEX('Reparto de brigadas'!$A$4:$A$31,MATCH(1,INDEX(EXACT('Reparto de brigadas'!$M$4:$M$31,"Prof. Alvarez"&amp;CHAR(31)&amp;$A5&amp;CHAR(31)&amp;B$3)*1,0),0))),"",INDEX('Reparto de brigadas'!$A$4:$A$31,MATCH(1,INDEX(EXACT('Reparto de brigadas'!$M$4:$M$31,"Prof. Alvarez"&amp;CHAR(31)&amp;$A5&amp;CHAR(31)&amp;B$3)*1,0),0))))&amp;" / "&amp;IF(ISBLANK(INDEX('Reparto de brigadas'!$A$4:$A$31,(MATCH(1,INDEX(EXACT('Reparto de brigadas'!$M$4:$M$31,"Prof. Alvarez"&amp;CHAR(31)&amp;$A5&amp;CHAR(31)&amp;B$3)*1,0),0)+MATCH(1,INDEX(EXACT(INDEX('Reparto de brigadas'!$M$4:$M$31,MATCH(1,INDEX(EXACT('Reparto de brigadas'!$M$4:$M$31,"Prof. Alvarez"&amp;CHAR(31)&amp;$A5&amp;CHAR(31)&amp;B$3)*1,0),0)+1):INDEX('Reparto de brigadas'!$M$4:$M$31,ROWS('Reparto de brigadas'!$M$4:$M$31)),"Prof. Alvarez"&amp;CHAR(31)&amp;$A5&amp;CHAR(31)&amp;B$3)*1,0),0)))),"",INDEX('Reparto de brigadas'!$A$4:$A$31,(MATCH(1,INDEX(EXACT('Reparto de brigadas'!$M$4:$M$31,"Prof. Alvarez"&amp;CHAR(31)&amp;$A5&amp;CHAR(31)&amp;B$3)*1,0),0)+MATCH(1,INDEX(EXACT(INDEX('Reparto de brigadas'!$M$4:$M$31,MATCH(1,INDEX(EXACT('Reparto de brigadas'!$M$4:$M$31,"Prof. Alvarez"&amp;CHAR(31)&amp;$A5&amp;CHAR(31)&amp;B$3)*1,0),0)+1):INDEX('Reparto de brigadas'!$M$4:$M$31,ROWS('Reparto de brigadas'!$M$4:$M$31)),"Prof. Alvarez"&amp;CHAR(31)&amp;$A5&amp;CHAR(31)&amp;B$3)*1,0),0))))&amp;IF(SUMPRODUCT(1*EXACT('Reparto de brigadas'!$M$4:$M$31,"Prof. Alvarez"&amp;CHAR(31)&amp;$A5&amp;CHAR(31)&amp;B$3))&gt;2," (+"&amp;(SUMPRODUCT(1*EXACT('Reparto de brigadas'!$M$4:$M$31,"Prof. Alvarez"&amp;CHAR(31)&amp;$A5&amp;CHAR(31)&amp;B$3))-2)&amp;")",""),IF(ISNA(MATCH(1,INDEX(EXACT('Reparto de brigadas'!$M$4:$M$31,"Prof. Alvarez"&amp;CHAR(31)&amp;$A5&amp;CHAR(31)&amp;B$3)*1,0),0)),"",IF(ISBLANK(INDEX('Reparto de brigadas'!$A$4:$A$31,MATCH(1,INDEX(EXACT('Reparto de brigadas'!$M$4:$M$31,"Prof. Alvarez"&amp;CHAR(31)&amp;$A5&amp;CHAR(31)&amp;B$3)*1,0),0))),"",INDEX('Reparto de brigadas'!$A$4:$A$31,MATCH(1,INDEX(EXACT('Reparto de brigadas'!$M$4:$M$31,"Prof. Alvarez"&amp;CHAR(31)&amp;$A5&amp;CHAR(31)&amp;B$3)*1,0),0)))))</f>
        <v/>
      </c>
      <c r="C5" s="3">
        <f>IF(SUMPRODUCT(1*EXACT('Reparto de brigadas'!$M$4:$M$31,"Prof. Alvarez"&amp;CHAR(31)&amp;$A5&amp;CHAR(31)&amp;C$3))&gt;1,IF(ISNA(MATCH(1,INDEX(EXACT('Reparto de brigadas'!$M$4:$M$31,"Prof. Alvarez"&amp;CHAR(31)&amp;$A5&amp;CHAR(31)&amp;C$3)*1,0),0)),"",IF(ISBLANK(INDEX('Reparto de brigadas'!$A$4:$A$31,MATCH(1,INDEX(EXACT('Reparto de brigadas'!$M$4:$M$31,"Prof. Alvarez"&amp;CHAR(31)&amp;$A5&amp;CHAR(31)&amp;C$3)*1,0),0))),"",INDEX('Reparto de brigadas'!$A$4:$A$31,MATCH(1,INDEX(EXACT('Reparto de brigadas'!$M$4:$M$31,"Prof. Alvarez"&amp;CHAR(31)&amp;$A5&amp;CHAR(31)&amp;C$3)*1,0),0))))&amp;" / "&amp;IF(ISBLANK(INDEX('Reparto de brigadas'!$A$4:$A$31,(MATCH(1,INDEX(EXACT('Reparto de brigadas'!$M$4:$M$31,"Prof. Alvarez"&amp;CHAR(31)&amp;$A5&amp;CHAR(31)&amp;C$3)*1,0),0)+MATCH(1,INDEX(EXACT(INDEX('Reparto de brigadas'!$M$4:$M$31,MATCH(1,INDEX(EXACT('Reparto de brigadas'!$M$4:$M$31,"Prof. Alvarez"&amp;CHAR(31)&amp;$A5&amp;CHAR(31)&amp;C$3)*1,0),0)+1):INDEX('Reparto de brigadas'!$M$4:$M$31,ROWS('Reparto de brigadas'!$M$4:$M$31)),"Prof. Alvarez"&amp;CHAR(31)&amp;$A5&amp;CHAR(31)&amp;C$3)*1,0),0)))),"",INDEX('Reparto de brigadas'!$A$4:$A$31,(MATCH(1,INDEX(EXACT('Reparto de brigadas'!$M$4:$M$31,"Prof. Alvarez"&amp;CHAR(31)&amp;$A5&amp;CHAR(31)&amp;C$3)*1,0),0)+MATCH(1,INDEX(EXACT(INDEX('Reparto de brigadas'!$M$4:$M$31,MATCH(1,INDEX(EXACT('Reparto de brigadas'!$M$4:$M$31,"Prof. Alvarez"&amp;CHAR(31)&amp;$A5&amp;CHAR(31)&amp;C$3)*1,0),0)+1):INDEX('Reparto de brigadas'!$M$4:$M$31,ROWS('Reparto de brigadas'!$M$4:$M$31)),"Prof. Alvarez"&amp;CHAR(31)&amp;$A5&amp;CHAR(31)&amp;C$3)*1,0),0))))&amp;IF(SUMPRODUCT(1*EXACT('Reparto de brigadas'!$M$4:$M$31,"Prof. Alvarez"&amp;CHAR(31)&amp;$A5&amp;CHAR(31)&amp;C$3))&gt;2," (+"&amp;(SUMPRODUCT(1*EXACT('Reparto de brigadas'!$M$4:$M$31,"Prof. Alvarez"&amp;CHAR(31)&amp;$A5&amp;CHAR(31)&amp;C$3))-2)&amp;")",""),IF(ISNA(MATCH(1,INDEX(EXACT('Reparto de brigadas'!$M$4:$M$31,"Prof. Alvarez"&amp;CHAR(31)&amp;$A5&amp;CHAR(31)&amp;C$3)*1,0),0)),"",IF(ISBLANK(INDEX('Reparto de brigadas'!$A$4:$A$31,MATCH(1,INDEX(EXACT('Reparto de brigadas'!$M$4:$M$31,"Prof. Alvarez"&amp;CHAR(31)&amp;$A5&amp;CHAR(31)&amp;C$3)*1,0),0))),"",INDEX('Reparto de brigadas'!$A$4:$A$31,MATCH(1,INDEX(EXACT('Reparto de brigadas'!$M$4:$M$31,"Prof. Alvarez"&amp;CHAR(31)&amp;$A5&amp;CHAR(31)&amp;C$3)*1,0),0)))))</f>
        <v/>
      </c>
    </row>
    <row r="6">
      <c r="A6" s="3" t="inlineStr">
        <is>
          <t>3 p.m.</t>
        </is>
      </c>
      <c r="B6" s="3">
        <f>IF(SUMPRODUCT(1*EXACT('Reparto de brigadas'!$M$4:$M$31,"Prof. Alvarez"&amp;CHAR(31)&amp;$A6&amp;CHAR(31)&amp;B$3))&gt;1,IF(ISNA(MATCH(1,INDEX(EXACT('Reparto de brigadas'!$M$4:$M$31,"Prof. Alvarez"&amp;CHAR(31)&amp;$A6&amp;CHAR(31)&amp;B$3)*1,0),0)),"",IF(ISBLANK(INDEX('Reparto de brigadas'!$A$4:$A$31,MATCH(1,INDEX(EXACT('Reparto de brigadas'!$M$4:$M$31,"Prof. Alvarez"&amp;CHAR(31)&amp;$A6&amp;CHAR(31)&amp;B$3)*1,0),0))),"",INDEX('Reparto de brigadas'!$A$4:$A$31,MATCH(1,INDEX(EXACT('Reparto de brigadas'!$M$4:$M$31,"Prof. Alvarez"&amp;CHAR(31)&amp;$A6&amp;CHAR(31)&amp;B$3)*1,0),0))))&amp;" / "&amp;IF(ISBLANK(INDEX('Reparto de brigadas'!$A$4:$A$31,(MATCH(1,INDEX(EXACT('Reparto de brigadas'!$M$4:$M$31,"Prof. Alvarez"&amp;CHAR(31)&amp;$A6&amp;CHAR(31)&amp;B$3)*1,0),0)+MATCH(1,INDEX(EXACT(INDEX('Reparto de brigadas'!$M$4:$M$31,MATCH(1,INDEX(EXACT('Reparto de brigadas'!$M$4:$M$31,"Prof. Alvarez"&amp;CHAR(31)&amp;$A6&amp;CHAR(31)&amp;B$3)*1,0),0)+1):INDEX('Reparto de brigadas'!$M$4:$M$31,ROWS('Reparto de brigadas'!$M$4:$M$31)),"Prof. Alvarez"&amp;CHAR(31)&amp;$A6&amp;CHAR(31)&amp;B$3)*1,0),0)))),"",INDEX('Reparto de brigadas'!$A$4:$A$31,(MATCH(1,INDEX(EXACT('Reparto de brigadas'!$M$4:$M$31,"Prof. Alvarez"&amp;CHAR(31)&amp;$A6&amp;CHAR(31)&amp;B$3)*1,0),0)+MATCH(1,INDEX(EXACT(INDEX('Reparto de brigadas'!$M$4:$M$31,MATCH(1,INDEX(EXACT('Reparto de brigadas'!$M$4:$M$31,"Prof. Alvarez"&amp;CHAR(31)&amp;$A6&amp;CHAR(31)&amp;B$3)*1,0),0)+1):INDEX('Reparto de brigadas'!$M$4:$M$31,ROWS('Reparto de brigadas'!$M$4:$M$31)),"Prof. Alvarez"&amp;CHAR(31)&amp;$A6&amp;CHAR(31)&amp;B$3)*1,0),0))))&amp;IF(SUMPRODUCT(1*EXACT('Reparto de brigadas'!$M$4:$M$31,"Prof. Alvarez"&amp;CHAR(31)&amp;$A6&amp;CHAR(31)&amp;B$3))&gt;2," (+"&amp;(SUMPRODUCT(1*EXACT('Reparto de brigadas'!$M$4:$M$31,"Prof. Alvarez"&amp;CHAR(31)&amp;$A6&amp;CHAR(31)&amp;B$3))-2)&amp;")",""),IF(ISNA(MATCH(1,INDEX(EXACT('Reparto de brigadas'!$M$4:$M$31,"Prof. Alvarez"&amp;CHAR(31)&amp;$A6&amp;CHAR(31)&amp;B$3)*1,0),0)),"",IF(ISBLANK(INDEX('Reparto de brigadas'!$A$4:$A$31,MATCH(1,INDEX(EXACT('Reparto de brigadas'!$M$4:$M$31,"Prof. Alvarez"&amp;CHAR(31)&amp;$A6&amp;CHAR(31)&amp;B$3)*1,0),0))),"",INDEX('Reparto de brigadas'!$A$4:$A$31,MATCH(1,INDEX(EXACT('Reparto de brigadas'!$M$4:$M$31,"Prof. Alvarez"&amp;CHAR(31)&amp;$A6&amp;CHAR(31)&amp;B$3)*1,0),0)))))</f>
        <v/>
      </c>
      <c r="C6" s="3">
        <f>IF(SUMPRODUCT(1*EXACT('Reparto de brigadas'!$M$4:$M$31,"Prof. Alvarez"&amp;CHAR(31)&amp;$A6&amp;CHAR(31)&amp;C$3))&gt;1,IF(ISNA(MATCH(1,INDEX(EXACT('Reparto de brigadas'!$M$4:$M$31,"Prof. Alvarez"&amp;CHAR(31)&amp;$A6&amp;CHAR(31)&amp;C$3)*1,0),0)),"",IF(ISBLANK(INDEX('Reparto de brigadas'!$A$4:$A$31,MATCH(1,INDEX(EXACT('Reparto de brigadas'!$M$4:$M$31,"Prof. Alvarez"&amp;CHAR(31)&amp;$A6&amp;CHAR(31)&amp;C$3)*1,0),0))),"",INDEX('Reparto de brigadas'!$A$4:$A$31,MATCH(1,INDEX(EXACT('Reparto de brigadas'!$M$4:$M$31,"Prof. Alvarez"&amp;CHAR(31)&amp;$A6&amp;CHAR(31)&amp;C$3)*1,0),0))))&amp;" / "&amp;IF(ISBLANK(INDEX('Reparto de brigadas'!$A$4:$A$31,(MATCH(1,INDEX(EXACT('Reparto de brigadas'!$M$4:$M$31,"Prof. Alvarez"&amp;CHAR(31)&amp;$A6&amp;CHAR(31)&amp;C$3)*1,0),0)+MATCH(1,INDEX(EXACT(INDEX('Reparto de brigadas'!$M$4:$M$31,MATCH(1,INDEX(EXACT('Reparto de brigadas'!$M$4:$M$31,"Prof. Alvarez"&amp;CHAR(31)&amp;$A6&amp;CHAR(31)&amp;C$3)*1,0),0)+1):INDEX('Reparto de brigadas'!$M$4:$M$31,ROWS('Reparto de brigadas'!$M$4:$M$31)),"Prof. Alvarez"&amp;CHAR(31)&amp;$A6&amp;CHAR(31)&amp;C$3)*1,0),0)))),"",INDEX('Reparto de brigadas'!$A$4:$A$31,(MATCH(1,INDEX(EXACT('Reparto de brigadas'!$M$4:$M$31,"Prof. Alvarez"&amp;CHAR(31)&amp;$A6&amp;CHAR(31)&amp;C$3)*1,0),0)+MATCH(1,INDEX(EXACT(INDEX('Reparto de brigadas'!$M$4:$M$31,MATCH(1,INDEX(EXACT('Reparto de brigadas'!$M$4:$M$31,"Prof. Alvarez"&amp;CHAR(31)&amp;$A6&amp;CHAR(31)&amp;C$3)*1,0),0)+1):INDEX('Reparto de brigadas'!$M$4:$M$31,ROWS('Reparto de brigadas'!$M$4:$M$31)),"Prof. Alvarez"&amp;CHAR(31)&amp;$A6&amp;CHAR(31)&amp;C$3)*1,0),0))))&amp;IF(SUMPRODUCT(1*EXACT('Reparto de brigadas'!$M$4:$M$31,"Prof. Alvarez"&amp;CHAR(31)&amp;$A6&amp;CHAR(31)&amp;C$3))&gt;2," (+"&amp;(SUMPRODUCT(1*EXACT('Reparto de brigadas'!$M$4:$M$31,"Prof. Alvarez"&amp;CHAR(31)&amp;$A6&amp;CHAR(31)&amp;C$3))-2)&amp;")",""),IF(ISNA(MATCH(1,INDEX(EXACT('Reparto de brigadas'!$M$4:$M$31,"Prof. Alvarez"&amp;CHAR(31)&amp;$A6&amp;CHAR(31)&amp;C$3)*1,0),0)),"",IF(ISBLANK(INDEX('Reparto de brigadas'!$A$4:$A$31,MATCH(1,INDEX(EXACT('Reparto de brigadas'!$M$4:$M$31,"Prof. Alvarez"&amp;CHAR(31)&amp;$A6&amp;CHAR(31)&amp;C$3)*1,0),0))),"",INDEX('Reparto de brigadas'!$A$4:$A$31,MATCH(1,INDEX(EXACT('Reparto de brigadas'!$M$4:$M$31,"Prof. Alvarez"&amp;CHAR(31)&amp;$A6&amp;CHAR(31)&amp;C$3)*1,0),0)))))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C6">
    <cfRule type="expression" priority="1" dxfId="0" stopIfTrue="0">
      <formula>IFERROR(INDEX('Reparto de brigadas'!$K$4:$K$31,MATCH(1,INDEX(EXACT('Reparto de brigadas'!$M$4:$M$31,"Prof. Alvarez"&amp;CHAR(31)&amp;$A4&amp;CHAR(31)&amp;B$3)*1,0),0)),0)=3</formula>
    </cfRule>
    <cfRule type="expression" priority="2" dxfId="1" stopIfTrue="0">
      <formula>IFERROR(INDEX('Reparto de brigadas'!$K$4:$K$31,MATCH(1,INDEX(EXACT('Reparto de brigadas'!$M$4:$M$31,"Prof. Alvarez"&amp;CHAR(31)&amp;$A4&amp;CHAR(31)&amp;B$3)*1,0),0)),0)=2</formula>
    </cfRule>
    <cfRule type="expression" priority="3" dxfId="2" stopIfTrue="0">
      <formula>IFERROR(INDEX('Reparto de brigadas'!$K$4:$K$31,MATCH(1,INDEX(EXACT('Reparto de brigadas'!$M$4:$M$31,"Prof. Alvarez"&amp;CHAR(31)&amp;$A4&amp;CHAR(31)&amp;B$3)*1,0),0)),0)=1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</cols>
  <sheetData>
    <row r="1">
      <c r="A1" s="1" t="inlineStr">
        <is>
          <t>Horario del profesor - Prof. Benitez</t>
        </is>
      </c>
    </row>
    <row r="3">
      <c r="A3" s="2" t="inlineStr">
        <is>
          <t>Horario</t>
        </is>
      </c>
      <c r="B3" s="2" t="inlineStr">
        <is>
          <t>par</t>
        </is>
      </c>
      <c r="C3" s="2" t="inlineStr">
        <is>
          <t>impar</t>
        </is>
      </c>
    </row>
    <row r="4">
      <c r="A4" s="3" t="inlineStr">
        <is>
          <t>10 a.m.</t>
        </is>
      </c>
      <c r="B4" s="3">
        <f>IF(SUMPRODUCT(1*EXACT('Reparto de brigadas'!$M$4:$M$31,"Prof. Benitez"&amp;CHAR(31)&amp;$A4&amp;CHAR(31)&amp;B$3))&gt;1,IF(ISNA(MATCH(1,INDEX(EXACT('Reparto de brigadas'!$M$4:$M$31,"Prof. Benitez"&amp;CHAR(31)&amp;$A4&amp;CHAR(31)&amp;B$3)*1,0),0)),"",IF(ISBLANK(INDEX('Reparto de brigadas'!$A$4:$A$31,MATCH(1,INDEX(EXACT('Reparto de brigadas'!$M$4:$M$31,"Prof. Benitez"&amp;CHAR(31)&amp;$A4&amp;CHAR(31)&amp;B$3)*1,0),0))),"",INDEX('Reparto de brigadas'!$A$4:$A$31,MATCH(1,INDEX(EXACT('Reparto de brigadas'!$M$4:$M$31,"Prof. Benitez"&amp;CHAR(31)&amp;$A4&amp;CHAR(31)&amp;B$3)*1,0),0))))&amp;" / "&amp;IF(ISBLANK(INDEX('Reparto de brigadas'!$A$4:$A$31,(MATCH(1,INDEX(EXACT('Reparto de brigadas'!$M$4:$M$31,"Prof. Benitez"&amp;CHAR(31)&amp;$A4&amp;CHAR(31)&amp;B$3)*1,0),0)+MATCH(1,INDEX(EXACT(INDEX('Reparto de brigadas'!$M$4:$M$31,MATCH(1,INDEX(EXACT('Reparto de brigadas'!$M$4:$M$31,"Prof. Benitez"&amp;CHAR(31)&amp;$A4&amp;CHAR(31)&amp;B$3)*1,0),0)+1):INDEX('Reparto de brigadas'!$M$4:$M$31,ROWS('Reparto de brigadas'!$M$4:$M$31)),"Prof. Benitez"&amp;CHAR(31)&amp;$A4&amp;CHAR(31)&amp;B$3)*1,0),0)))),"",INDEX('Reparto de brigadas'!$A$4:$A$31,(MATCH(1,INDEX(EXACT('Reparto de brigadas'!$M$4:$M$31,"Prof. Benitez"&amp;CHAR(31)&amp;$A4&amp;CHAR(31)&amp;B$3)*1,0),0)+MATCH(1,INDEX(EXACT(INDEX('Reparto de brigadas'!$M$4:$M$31,MATCH(1,INDEX(EXACT('Reparto de brigadas'!$M$4:$M$31,"Prof. Benitez"&amp;CHAR(31)&amp;$A4&amp;CHAR(31)&amp;B$3)*1,0),0)+1):INDEX('Reparto de brigadas'!$M$4:$M$31,ROWS('Reparto de brigadas'!$M$4:$M$31)),"Prof. Benitez"&amp;CHAR(31)&amp;$A4&amp;CHAR(31)&amp;B$3)*1,0),0))))&amp;IF(SUMPRODUCT(1*EXACT('Reparto de brigadas'!$M$4:$M$31,"Prof. Benitez"&amp;CHAR(31)&amp;$A4&amp;CHAR(31)&amp;B$3))&gt;2," (+"&amp;(SUMPRODUCT(1*EXACT('Reparto de brigadas'!$M$4:$M$31,"Prof. Benitez"&amp;CHAR(31)&amp;$A4&amp;CHAR(31)&amp;B$3))-2)&amp;")",""),IF(ISNA(MATCH(1,INDEX(EXACT('Reparto de brigadas'!$M$4:$M$31,"Prof. Benitez"&amp;CHAR(31)&amp;$A4&amp;CHAR(31)&amp;B$3)*1,0),0)),"",IF(ISBLANK(INDEX('Reparto de brigadas'!$A$4:$A$31,MATCH(1,INDEX(EXACT('Reparto de brigadas'!$M$4:$M$31,"Prof. Benitez"&amp;CHAR(31)&amp;$A4&amp;CHAR(31)&amp;B$3)*1,0),0))),"",INDEX('Reparto de brigadas'!$A$4:$A$31,MATCH(1,INDEX(EXACT('Reparto de brigadas'!$M$4:$M$31,"Prof. Benitez"&amp;CHAR(31)&amp;$A4&amp;CHAR(31)&amp;B$3)*1,0),0)))))</f>
        <v/>
      </c>
      <c r="C4" s="3">
        <f>IF(SUMPRODUCT(1*EXACT('Reparto de brigadas'!$M$4:$M$31,"Prof. Benitez"&amp;CHAR(31)&amp;$A4&amp;CHAR(31)&amp;C$3))&gt;1,IF(ISNA(MATCH(1,INDEX(EXACT('Reparto de brigadas'!$M$4:$M$31,"Prof. Benitez"&amp;CHAR(31)&amp;$A4&amp;CHAR(31)&amp;C$3)*1,0),0)),"",IF(ISBLANK(INDEX('Reparto de brigadas'!$A$4:$A$31,MATCH(1,INDEX(EXACT('Reparto de brigadas'!$M$4:$M$31,"Prof. Benitez"&amp;CHAR(31)&amp;$A4&amp;CHAR(31)&amp;C$3)*1,0),0))),"",INDEX('Reparto de brigadas'!$A$4:$A$31,MATCH(1,INDEX(EXACT('Reparto de brigadas'!$M$4:$M$31,"Prof. Benitez"&amp;CHAR(31)&amp;$A4&amp;CHAR(31)&amp;C$3)*1,0),0))))&amp;" / "&amp;IF(ISBLANK(INDEX('Reparto de brigadas'!$A$4:$A$31,(MATCH(1,INDEX(EXACT('Reparto de brigadas'!$M$4:$M$31,"Prof. Benitez"&amp;CHAR(31)&amp;$A4&amp;CHAR(31)&amp;C$3)*1,0),0)+MATCH(1,INDEX(EXACT(INDEX('Reparto de brigadas'!$M$4:$M$31,MATCH(1,INDEX(EXACT('Reparto de brigadas'!$M$4:$M$31,"Prof. Benitez"&amp;CHAR(31)&amp;$A4&amp;CHAR(31)&amp;C$3)*1,0),0)+1):INDEX('Reparto de brigadas'!$M$4:$M$31,ROWS('Reparto de brigadas'!$M$4:$M$31)),"Prof. Benitez"&amp;CHAR(31)&amp;$A4&amp;CHAR(31)&amp;C$3)*1,0),0)))),"",INDEX('Reparto de brigadas'!$A$4:$A$31,(MATCH(1,INDEX(EXACT('Reparto de brigadas'!$M$4:$M$31,"Prof. Benitez"&amp;CHAR(31)&amp;$A4&amp;CHAR(31)&amp;C$3)*1,0),0)+MATCH(1,INDEX(EXACT(INDEX('Reparto de brigadas'!$M$4:$M$31,MATCH(1,INDEX(EXACT('Reparto de brigadas'!$M$4:$M$31,"Prof. Benitez"&amp;CHAR(31)&amp;$A4&amp;CHAR(31)&amp;C$3)*1,0),0)+1):INDEX('Reparto de brigadas'!$M$4:$M$31,ROWS('Reparto de brigadas'!$M$4:$M$31)),"Prof. Benitez"&amp;CHAR(31)&amp;$A4&amp;CHAR(31)&amp;C$3)*1,0),0))))&amp;IF(SUMPRODUCT(1*EXACT('Reparto de brigadas'!$M$4:$M$31,"Prof. Benitez"&amp;CHAR(31)&amp;$A4&amp;CHAR(31)&amp;C$3))&gt;2," (+"&amp;(SUMPRODUCT(1*EXACT('Reparto de brigadas'!$M$4:$M$31,"Prof. Benitez"&amp;CHAR(31)&amp;$A4&amp;CHAR(31)&amp;C$3))-2)&amp;")",""),IF(ISNA(MATCH(1,INDEX(EXACT('Reparto de brigadas'!$M$4:$M$31,"Prof. Benitez"&amp;CHAR(31)&amp;$A4&amp;CHAR(31)&amp;C$3)*1,0),0)),"",IF(ISBLANK(INDEX('Reparto de brigadas'!$A$4:$A$31,MATCH(1,INDEX(EXACT('Reparto de brigadas'!$M$4:$M$31,"Prof. Benitez"&amp;CHAR(31)&amp;$A4&amp;CHAR(31)&amp;C$3)*1,0),0))),"",INDEX('Reparto de brigadas'!$A$4:$A$31,MATCH(1,INDEX(EXACT('Reparto de brigadas'!$M$4:$M$31,"Prof. Benitez"&amp;CHAR(31)&amp;$A4&amp;CHAR(31)&amp;C$3)*1,0),0)))))</f>
        <v/>
      </c>
    </row>
    <row r="5">
      <c r="A5" s="3" t="inlineStr">
        <is>
          <t>11 a.m.</t>
        </is>
      </c>
      <c r="B5" s="3">
        <f>IF(SUMPRODUCT(1*EXACT('Reparto de brigadas'!$M$4:$M$31,"Prof. Benitez"&amp;CHAR(31)&amp;$A5&amp;CHAR(31)&amp;B$3))&gt;1,IF(ISNA(MATCH(1,INDEX(EXACT('Reparto de brigadas'!$M$4:$M$31,"Prof. Benitez"&amp;CHAR(31)&amp;$A5&amp;CHAR(31)&amp;B$3)*1,0),0)),"",IF(ISBLANK(INDEX('Reparto de brigadas'!$A$4:$A$31,MATCH(1,INDEX(EXACT('Reparto de brigadas'!$M$4:$M$31,"Prof. Benitez"&amp;CHAR(31)&amp;$A5&amp;CHAR(31)&amp;B$3)*1,0),0))),"",INDEX('Reparto de brigadas'!$A$4:$A$31,MATCH(1,INDEX(EXACT('Reparto de brigadas'!$M$4:$M$31,"Prof. Benitez"&amp;CHAR(31)&amp;$A5&amp;CHAR(31)&amp;B$3)*1,0),0))))&amp;" / "&amp;IF(ISBLANK(INDEX('Reparto de brigadas'!$A$4:$A$31,(MATCH(1,INDEX(EXACT('Reparto de brigadas'!$M$4:$M$31,"Prof. Benitez"&amp;CHAR(31)&amp;$A5&amp;CHAR(31)&amp;B$3)*1,0),0)+MATCH(1,INDEX(EXACT(INDEX('Reparto de brigadas'!$M$4:$M$31,MATCH(1,INDEX(EXACT('Reparto de brigadas'!$M$4:$M$31,"Prof. Benitez"&amp;CHAR(31)&amp;$A5&amp;CHAR(31)&amp;B$3)*1,0),0)+1):INDEX('Reparto de brigadas'!$M$4:$M$31,ROWS('Reparto de brigadas'!$M$4:$M$31)),"Prof. Benitez"&amp;CHAR(31)&amp;$A5&amp;CHAR(31)&amp;B$3)*1,0),0)))),"",INDEX('Reparto de brigadas'!$A$4:$A$31,(MATCH(1,INDEX(EXACT('Reparto de brigadas'!$M$4:$M$31,"Prof. Benitez"&amp;CHAR(31)&amp;$A5&amp;CHAR(31)&amp;B$3)*1,0),0)+MATCH(1,INDEX(EXACT(INDEX('Reparto de brigadas'!$M$4:$M$31,MATCH(1,INDEX(EXACT('Reparto de brigadas'!$M$4:$M$31,"Prof. Benitez"&amp;CHAR(31)&amp;$A5&amp;CHAR(31)&amp;B$3)*1,0),0)+1):INDEX('Reparto de brigadas'!$M$4:$M$31,ROWS('Reparto de brigadas'!$M$4:$M$31)),"Prof. Benitez"&amp;CHAR(31)&amp;$A5&amp;CHAR(31)&amp;B$3)*1,0),0))))&amp;IF(SUMPRODUCT(1*EXACT('Reparto de brigadas'!$M$4:$M$31,"Prof. Benitez"&amp;CHAR(31)&amp;$A5&amp;CHAR(31)&amp;B$3))&gt;2," (+"&amp;(SUMPRODUCT(1*EXACT('Reparto de brigadas'!$M$4:$M$31,"Prof. Benitez"&amp;CHAR(31)&amp;$A5&amp;CHAR(31)&amp;B$3))-2)&amp;")",""),IF(ISNA(MATCH(1,INDEX(EXACT('Reparto de brigadas'!$M$4:$M$31,"Prof. Benitez"&amp;CHAR(31)&amp;$A5&amp;CHAR(31)&amp;B$3)*1,0),0)),"",IF(ISBLANK(INDEX('Reparto de brigadas'!$A$4:$A$31,MATCH(1,INDEX(EXACT('Reparto de brigadas'!$M$4:$M$31,"Prof. Benitez"&amp;CHAR(31)&amp;$A5&amp;CHAR(31)&amp;B$3)*1,0),0))),"",INDEX('Reparto de brigadas'!$A$4:$A$31,MATCH(1,INDEX(EXACT('Reparto de brigadas'!$M$4:$M$31,"Prof. Benitez"&amp;CHAR(31)&amp;$A5&amp;CHAR(31)&amp;B$3)*1,0),0)))))</f>
        <v/>
      </c>
      <c r="C5" s="3">
        <f>IF(SUMPRODUCT(1*EXACT('Reparto de brigadas'!$M$4:$M$31,"Prof. Benitez"&amp;CHAR(31)&amp;$A5&amp;CHAR(31)&amp;C$3))&gt;1,IF(ISNA(MATCH(1,INDEX(EXACT('Reparto de brigadas'!$M$4:$M$31,"Prof. Benitez"&amp;CHAR(31)&amp;$A5&amp;CHAR(31)&amp;C$3)*1,0),0)),"",IF(ISBLANK(INDEX('Reparto de brigadas'!$A$4:$A$31,MATCH(1,INDEX(EXACT('Reparto de brigadas'!$M$4:$M$31,"Prof. Benitez"&amp;CHAR(31)&amp;$A5&amp;CHAR(31)&amp;C$3)*1,0),0))),"",INDEX('Reparto de brigadas'!$A$4:$A$31,MATCH(1,INDEX(EXACT('Reparto de brigadas'!$M$4:$M$31,"Prof. Benitez"&amp;CHAR(31)&amp;$A5&amp;CHAR(31)&amp;C$3)*1,0),0))))&amp;" / "&amp;IF(ISBLANK(INDEX('Reparto de brigadas'!$A$4:$A$31,(MATCH(1,INDEX(EXACT('Reparto de brigadas'!$M$4:$M$31,"Prof. Benitez"&amp;CHAR(31)&amp;$A5&amp;CHAR(31)&amp;C$3)*1,0),0)+MATCH(1,INDEX(EXACT(INDEX('Reparto de brigadas'!$M$4:$M$31,MATCH(1,INDEX(EXACT('Reparto de brigadas'!$M$4:$M$31,"Prof. Benitez"&amp;CHAR(31)&amp;$A5&amp;CHAR(31)&amp;C$3)*1,0),0)+1):INDEX('Reparto de brigadas'!$M$4:$M$31,ROWS('Reparto de brigadas'!$M$4:$M$31)),"Prof. Benitez"&amp;CHAR(31)&amp;$A5&amp;CHAR(31)&amp;C$3)*1,0),0)))),"",INDEX('Reparto de brigadas'!$A$4:$A$31,(MATCH(1,INDEX(EXACT('Reparto de brigadas'!$M$4:$M$31,"Prof. Benitez"&amp;CHAR(31)&amp;$A5&amp;CHAR(31)&amp;C$3)*1,0),0)+MATCH(1,INDEX(EXACT(INDEX('Reparto de brigadas'!$M$4:$M$31,MATCH(1,INDEX(EXACT('Reparto de brigadas'!$M$4:$M$31,"Prof. Benitez"&amp;CHAR(31)&amp;$A5&amp;CHAR(31)&amp;C$3)*1,0),0)+1):INDEX('Reparto de brigadas'!$M$4:$M$31,ROWS('Reparto de brigadas'!$M$4:$M$31)),"Prof. Benitez"&amp;CHAR(31)&amp;$A5&amp;CHAR(31)&amp;C$3)*1,0),0))))&amp;IF(SUMPRODUCT(1*EXACT('Reparto de brigadas'!$M$4:$M$31,"Prof. Benitez"&amp;CHAR(31)&amp;$A5&amp;CHAR(31)&amp;C$3))&gt;2," (+"&amp;(SUMPRODUCT(1*EXACT('Reparto de brigadas'!$M$4:$M$31,"Prof. Benitez"&amp;CHAR(31)&amp;$A5&amp;CHAR(31)&amp;C$3))-2)&amp;")",""),IF(ISNA(MATCH(1,INDEX(EXACT('Reparto de brigadas'!$M$4:$M$31,"Prof. Benitez"&amp;CHAR(31)&amp;$A5&amp;CHAR(31)&amp;C$3)*1,0),0)),"",IF(ISBLANK(INDEX('Reparto de brigadas'!$A$4:$A$31,MATCH(1,INDEX(EXACT('Reparto de brigadas'!$M$4:$M$31,"Prof. Benitez"&amp;CHAR(31)&amp;$A5&amp;CHAR(31)&amp;C$3)*1,0),0))),"",INDEX('Reparto de brigadas'!$A$4:$A$31,MATCH(1,INDEX(EXACT('Reparto de brigadas'!$M$4:$M$31,"Prof. Benitez"&amp;CHAR(31)&amp;$A5&amp;CHAR(31)&amp;C$3)*1,0),0)))))</f>
        <v/>
      </c>
    </row>
    <row r="6">
      <c r="A6" s="3" t="inlineStr">
        <is>
          <t>3 p.m.</t>
        </is>
      </c>
      <c r="B6" s="3">
        <f>IF(SUMPRODUCT(1*EXACT('Reparto de brigadas'!$M$4:$M$31,"Prof. Benitez"&amp;CHAR(31)&amp;$A6&amp;CHAR(31)&amp;B$3))&gt;1,IF(ISNA(MATCH(1,INDEX(EXACT('Reparto de brigadas'!$M$4:$M$31,"Prof. Benitez"&amp;CHAR(31)&amp;$A6&amp;CHAR(31)&amp;B$3)*1,0),0)),"",IF(ISBLANK(INDEX('Reparto de brigadas'!$A$4:$A$31,MATCH(1,INDEX(EXACT('Reparto de brigadas'!$M$4:$M$31,"Prof. Benitez"&amp;CHAR(31)&amp;$A6&amp;CHAR(31)&amp;B$3)*1,0),0))),"",INDEX('Reparto de brigadas'!$A$4:$A$31,MATCH(1,INDEX(EXACT('Reparto de brigadas'!$M$4:$M$31,"Prof. Benitez"&amp;CHAR(31)&amp;$A6&amp;CHAR(31)&amp;B$3)*1,0),0))))&amp;" / "&amp;IF(ISBLANK(INDEX('Reparto de brigadas'!$A$4:$A$31,(MATCH(1,INDEX(EXACT('Reparto de brigadas'!$M$4:$M$31,"Prof. Benitez"&amp;CHAR(31)&amp;$A6&amp;CHAR(31)&amp;B$3)*1,0),0)+MATCH(1,INDEX(EXACT(INDEX('Reparto de brigadas'!$M$4:$M$31,MATCH(1,INDEX(EXACT('Reparto de brigadas'!$M$4:$M$31,"Prof. Benitez"&amp;CHAR(31)&amp;$A6&amp;CHAR(31)&amp;B$3)*1,0),0)+1):INDEX('Reparto de brigadas'!$M$4:$M$31,ROWS('Reparto de brigadas'!$M$4:$M$31)),"Prof. Benitez"&amp;CHAR(31)&amp;$A6&amp;CHAR(31)&amp;B$3)*1,0),0)))),"",INDEX('Reparto de brigadas'!$A$4:$A$31,(MATCH(1,INDEX(EXACT('Reparto de brigadas'!$M$4:$M$31,"Prof. Benitez"&amp;CHAR(31)&amp;$A6&amp;CHAR(31)&amp;B$3)*1,0),0)+MATCH(1,INDEX(EXACT(INDEX('Reparto de brigadas'!$M$4:$M$31,MATCH(1,INDEX(EXACT('Reparto de brigadas'!$M$4:$M$31,"Prof. Benitez"&amp;CHAR(31)&amp;$A6&amp;CHAR(31)&amp;B$3)*1,0),0)+1):INDEX('Reparto de brigadas'!$M$4:$M$31,ROWS('Reparto de brigadas'!$M$4:$M$31)),"Prof. Benitez"&amp;CHAR(31)&amp;$A6&amp;CHAR(31)&amp;B$3)*1,0),0))))&amp;IF(SUMPRODUCT(1*EXACT('Reparto de brigadas'!$M$4:$M$31,"Prof. Benitez"&amp;CHAR(31)&amp;$A6&amp;CHAR(31)&amp;B$3))&gt;2," (+"&amp;(SUMPRODUCT(1*EXACT('Reparto de brigadas'!$M$4:$M$31,"Prof. Benitez"&amp;CHAR(31)&amp;$A6&amp;CHAR(31)&amp;B$3))-2)&amp;")",""),IF(ISNA(MATCH(1,INDEX(EXACT('Reparto de brigadas'!$M$4:$M$31,"Prof. Benitez"&amp;CHAR(31)&amp;$A6&amp;CHAR(31)&amp;B$3)*1,0),0)),"",IF(ISBLANK(INDEX('Reparto de brigadas'!$A$4:$A$31,MATCH(1,INDEX(EXACT('Reparto de brigadas'!$M$4:$M$31,"Prof. Benitez"&amp;CHAR(31)&amp;$A6&amp;CHAR(31)&amp;B$3)*1,0),0))),"",INDEX('Reparto de brigadas'!$A$4:$A$31,MATCH(1,INDEX(EXACT('Reparto de brigadas'!$M$4:$M$31,"Prof. Benitez"&amp;CHAR(31)&amp;$A6&amp;CHAR(31)&amp;B$3)*1,0),0)))))</f>
        <v/>
      </c>
      <c r="C6" s="3">
        <f>IF(SUMPRODUCT(1*EXACT('Reparto de brigadas'!$M$4:$M$31,"Prof. Benitez"&amp;CHAR(31)&amp;$A6&amp;CHAR(31)&amp;C$3))&gt;1,IF(ISNA(MATCH(1,INDEX(EXACT('Reparto de brigadas'!$M$4:$M$31,"Prof. Benitez"&amp;CHAR(31)&amp;$A6&amp;CHAR(31)&amp;C$3)*1,0),0)),"",IF(ISBLANK(INDEX('Reparto de brigadas'!$A$4:$A$31,MATCH(1,INDEX(EXACT('Reparto de brigadas'!$M$4:$M$31,"Prof. Benitez"&amp;CHAR(31)&amp;$A6&amp;CHAR(31)&amp;C$3)*1,0),0))),"",INDEX('Reparto de brigadas'!$A$4:$A$31,MATCH(1,INDEX(EXACT('Reparto de brigadas'!$M$4:$M$31,"Prof. Benitez"&amp;CHAR(31)&amp;$A6&amp;CHAR(31)&amp;C$3)*1,0),0))))&amp;" / "&amp;IF(ISBLANK(INDEX('Reparto de brigadas'!$A$4:$A$31,(MATCH(1,INDEX(EXACT('Reparto de brigadas'!$M$4:$M$31,"Prof. Benitez"&amp;CHAR(31)&amp;$A6&amp;CHAR(31)&amp;C$3)*1,0),0)+MATCH(1,INDEX(EXACT(INDEX('Reparto de brigadas'!$M$4:$M$31,MATCH(1,INDEX(EXACT('Reparto de brigadas'!$M$4:$M$31,"Prof. Benitez"&amp;CHAR(31)&amp;$A6&amp;CHAR(31)&amp;C$3)*1,0),0)+1):INDEX('Reparto de brigadas'!$M$4:$M$31,ROWS('Reparto de brigadas'!$M$4:$M$31)),"Prof. Benitez"&amp;CHAR(31)&amp;$A6&amp;CHAR(31)&amp;C$3)*1,0),0)))),"",INDEX('Reparto de brigadas'!$A$4:$A$31,(MATCH(1,INDEX(EXACT('Reparto de brigadas'!$M$4:$M$31,"Prof. Benitez"&amp;CHAR(31)&amp;$A6&amp;CHAR(31)&amp;C$3)*1,0),0)+MATCH(1,INDEX(EXACT(INDEX('Reparto de brigadas'!$M$4:$M$31,MATCH(1,INDEX(EXACT('Reparto de brigadas'!$M$4:$M$31,"Prof. Benitez"&amp;CHAR(31)&amp;$A6&amp;CHAR(31)&amp;C$3)*1,0),0)+1):INDEX('Reparto de brigadas'!$M$4:$M$31,ROWS('Reparto de brigadas'!$M$4:$M$31)),"Prof. Benitez"&amp;CHAR(31)&amp;$A6&amp;CHAR(31)&amp;C$3)*1,0),0))))&amp;IF(SUMPRODUCT(1*EXACT('Reparto de brigadas'!$M$4:$M$31,"Prof. Benitez"&amp;CHAR(31)&amp;$A6&amp;CHAR(31)&amp;C$3))&gt;2," (+"&amp;(SUMPRODUCT(1*EXACT('Reparto de brigadas'!$M$4:$M$31,"Prof. Benitez"&amp;CHAR(31)&amp;$A6&amp;CHAR(31)&amp;C$3))-2)&amp;")",""),IF(ISNA(MATCH(1,INDEX(EXACT('Reparto de brigadas'!$M$4:$M$31,"Prof. Benitez"&amp;CHAR(31)&amp;$A6&amp;CHAR(31)&amp;C$3)*1,0),0)),"",IF(ISBLANK(INDEX('Reparto de brigadas'!$A$4:$A$31,MATCH(1,INDEX(EXACT('Reparto de brigadas'!$M$4:$M$31,"Prof. Benitez"&amp;CHAR(31)&amp;$A6&amp;CHAR(31)&amp;C$3)*1,0),0))),"",INDEX('Reparto de brigadas'!$A$4:$A$31,MATCH(1,INDEX(EXACT('Reparto de brigadas'!$M$4:$M$31,"Prof. Benitez"&amp;CHAR(31)&amp;$A6&amp;CHAR(31)&amp;C$3)*1,0),0)))))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C6">
    <cfRule type="expression" priority="1" dxfId="0" stopIfTrue="0">
      <formula>IFERROR(INDEX('Reparto de brigadas'!$K$4:$K$31,MATCH(1,INDEX(EXACT('Reparto de brigadas'!$M$4:$M$31,"Prof. Benitez"&amp;CHAR(31)&amp;$A4&amp;CHAR(31)&amp;B$3)*1,0),0)),0)=3</formula>
    </cfRule>
    <cfRule type="expression" priority="2" dxfId="1" stopIfTrue="0">
      <formula>IFERROR(INDEX('Reparto de brigadas'!$K$4:$K$31,MATCH(1,INDEX(EXACT('Reparto de brigadas'!$M$4:$M$31,"Prof. Benitez"&amp;CHAR(31)&amp;$A4&amp;CHAR(31)&amp;B$3)*1,0),0)),0)=2</formula>
    </cfRule>
    <cfRule type="expression" priority="3" dxfId="2" stopIfTrue="0">
      <formula>IFERROR(INDEX('Reparto de brigadas'!$K$4:$K$31,MATCH(1,INDEX(EXACT('Reparto de brigadas'!$M$4:$M$31,"Prof. Benitez"&amp;CHAR(31)&amp;$A4&amp;CHAR(31)&amp;B$3)*1,0),0)),0)=1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s="1" t="inlineStr">
        <is>
          <t>Horario del profesor - Prof. Castro</t>
        </is>
      </c>
    </row>
    <row r="3">
      <c r="A3" s="2" t="inlineStr">
        <is>
          <t>Horario</t>
        </is>
      </c>
      <c r="B3" s="2" t="inlineStr">
        <is>
          <t>par</t>
        </is>
      </c>
      <c r="C3" s="2" t="inlineStr">
        <is>
          <t>impar</t>
        </is>
      </c>
    </row>
    <row r="4">
      <c r="A4" s="3" t="inlineStr">
        <is>
          <t>10 a.m.</t>
        </is>
      </c>
      <c r="B4" s="3">
        <f>IF(SUMPRODUCT(1*EXACT('Reparto de brigadas'!$M$4:$M$31,"Prof. Castro"&amp;CHAR(31)&amp;$A4&amp;CHAR(31)&amp;B$3))&gt;1,IF(ISNA(MATCH(1,INDEX(EXACT('Reparto de brigadas'!$M$4:$M$31,"Prof. Castro"&amp;CHAR(31)&amp;$A4&amp;CHAR(31)&amp;B$3)*1,0),0)),"",IF(ISBLANK(INDEX('Reparto de brigadas'!$A$4:$A$31,MATCH(1,INDEX(EXACT('Reparto de brigadas'!$M$4:$M$31,"Prof. Castro"&amp;CHAR(31)&amp;$A4&amp;CHAR(31)&amp;B$3)*1,0),0))),"",INDEX('Reparto de brigadas'!$A$4:$A$31,MATCH(1,INDEX(EXACT('Reparto de brigadas'!$M$4:$M$31,"Prof. Castro"&amp;CHAR(31)&amp;$A4&amp;CHAR(31)&amp;B$3)*1,0),0))))&amp;" / "&amp;IF(ISBLANK(INDEX('Reparto de brigadas'!$A$4:$A$31,(MATCH(1,INDEX(EXACT('Reparto de brigadas'!$M$4:$M$31,"Prof. Castro"&amp;CHAR(31)&amp;$A4&amp;CHAR(31)&amp;B$3)*1,0),0)+MATCH(1,INDEX(EXACT(INDEX('Reparto de brigadas'!$M$4:$M$31,MATCH(1,INDEX(EXACT('Reparto de brigadas'!$M$4:$M$31,"Prof. Castro"&amp;CHAR(31)&amp;$A4&amp;CHAR(31)&amp;B$3)*1,0),0)+1):INDEX('Reparto de brigadas'!$M$4:$M$31,ROWS('Reparto de brigadas'!$M$4:$M$31)),"Prof. Castro"&amp;CHAR(31)&amp;$A4&amp;CHAR(31)&amp;B$3)*1,0),0)))),"",INDEX('Reparto de brigadas'!$A$4:$A$31,(MATCH(1,INDEX(EXACT('Reparto de brigadas'!$M$4:$M$31,"Prof. Castro"&amp;CHAR(31)&amp;$A4&amp;CHAR(31)&amp;B$3)*1,0),0)+MATCH(1,INDEX(EXACT(INDEX('Reparto de brigadas'!$M$4:$M$31,MATCH(1,INDEX(EXACT('Reparto de brigadas'!$M$4:$M$31,"Prof. Castro"&amp;CHAR(31)&amp;$A4&amp;CHAR(31)&amp;B$3)*1,0),0)+1):INDEX('Reparto de brigadas'!$M$4:$M$31,ROWS('Reparto de brigadas'!$M$4:$M$31)),"Prof. Castro"&amp;CHAR(31)&amp;$A4&amp;CHAR(31)&amp;B$3)*1,0),0))))&amp;IF(SUMPRODUCT(1*EXACT('Reparto de brigadas'!$M$4:$M$31,"Prof. Castro"&amp;CHAR(31)&amp;$A4&amp;CHAR(31)&amp;B$3))&gt;2," (+"&amp;(SUMPRODUCT(1*EXACT('Reparto de brigadas'!$M$4:$M$31,"Prof. Castro"&amp;CHAR(31)&amp;$A4&amp;CHAR(31)&amp;B$3))-2)&amp;")",""),IF(ISNA(MATCH(1,INDEX(EXACT('Reparto de brigadas'!$M$4:$M$31,"Prof. Castro"&amp;CHAR(31)&amp;$A4&amp;CHAR(31)&amp;B$3)*1,0),0)),"",IF(ISBLANK(INDEX('Reparto de brigadas'!$A$4:$A$31,MATCH(1,INDEX(EXACT('Reparto de brigadas'!$M$4:$M$31,"Prof. Castro"&amp;CHAR(31)&amp;$A4&amp;CHAR(31)&amp;B$3)*1,0),0))),"",INDEX('Reparto de brigadas'!$A$4:$A$31,MATCH(1,INDEX(EXACT('Reparto de brigadas'!$M$4:$M$31,"Prof. Castro"&amp;CHAR(31)&amp;$A4&amp;CHAR(31)&amp;B$3)*1,0),0)))))</f>
        <v/>
      </c>
      <c r="C4" s="3">
        <f>IF(SUMPRODUCT(1*EXACT('Reparto de brigadas'!$M$4:$M$31,"Prof. Castro"&amp;CHAR(31)&amp;$A4&amp;CHAR(31)&amp;C$3))&gt;1,IF(ISNA(MATCH(1,INDEX(EXACT('Reparto de brigadas'!$M$4:$M$31,"Prof. Castro"&amp;CHAR(31)&amp;$A4&amp;CHAR(31)&amp;C$3)*1,0),0)),"",IF(ISBLANK(INDEX('Reparto de brigadas'!$A$4:$A$31,MATCH(1,INDEX(EXACT('Reparto de brigadas'!$M$4:$M$31,"Prof. Castro"&amp;CHAR(31)&amp;$A4&amp;CHAR(31)&amp;C$3)*1,0),0))),"",INDEX('Reparto de brigadas'!$A$4:$A$31,MATCH(1,INDEX(EXACT('Reparto de brigadas'!$M$4:$M$31,"Prof. Castro"&amp;CHAR(31)&amp;$A4&amp;CHAR(31)&amp;C$3)*1,0),0))))&amp;" / "&amp;IF(ISBLANK(INDEX('Reparto de brigadas'!$A$4:$A$31,(MATCH(1,INDEX(EXACT('Reparto de brigadas'!$M$4:$M$31,"Prof. Castro"&amp;CHAR(31)&amp;$A4&amp;CHAR(31)&amp;C$3)*1,0),0)+MATCH(1,INDEX(EXACT(INDEX('Reparto de brigadas'!$M$4:$M$31,MATCH(1,INDEX(EXACT('Reparto de brigadas'!$M$4:$M$31,"Prof. Castro"&amp;CHAR(31)&amp;$A4&amp;CHAR(31)&amp;C$3)*1,0),0)+1):INDEX('Reparto de brigadas'!$M$4:$M$31,ROWS('Reparto de brigadas'!$M$4:$M$31)),"Prof. Castro"&amp;CHAR(31)&amp;$A4&amp;CHAR(31)&amp;C$3)*1,0),0)))),"",INDEX('Reparto de brigadas'!$A$4:$A$31,(MATCH(1,INDEX(EXACT('Reparto de brigadas'!$M$4:$M$31,"Prof. Castro"&amp;CHAR(31)&amp;$A4&amp;CHAR(31)&amp;C$3)*1,0),0)+MATCH(1,INDEX(EXACT(INDEX('Reparto de brigadas'!$M$4:$M$31,MATCH(1,INDEX(EXACT('Reparto de brigadas'!$M$4:$M$31,"Prof. Castro"&amp;CHAR(31)&amp;$A4&amp;CHAR(31)&amp;C$3)*1,0),0)+1):INDEX('Reparto de brigadas'!$M$4:$M$31,ROWS('Reparto de brigadas'!$M$4:$M$31)),"Prof. Castro"&amp;CHAR(31)&amp;$A4&amp;CHAR(31)&amp;C$3)*1,0),0))))&amp;IF(SUMPRODUCT(1*EXACT('Reparto de brigadas'!$M$4:$M$31,"Prof. Castro"&amp;CHAR(31)&amp;$A4&amp;CHAR(31)&amp;C$3))&gt;2," (+"&amp;(SUMPRODUCT(1*EXACT('Reparto de brigadas'!$M$4:$M$31,"Prof. Castro"&amp;CHAR(31)&amp;$A4&amp;CHAR(31)&amp;C$3))-2)&amp;")",""),IF(ISNA(MATCH(1,INDEX(EXACT('Reparto de brigadas'!$M$4:$M$31,"Prof. Castro"&amp;CHAR(31)&amp;$A4&amp;CHAR(31)&amp;C$3)*1,0),0)),"",IF(ISBLANK(INDEX('Reparto de brigadas'!$A$4:$A$31,MATCH(1,INDEX(EXACT('Reparto de brigadas'!$M$4:$M$31,"Prof. Castro"&amp;CHAR(31)&amp;$A4&amp;CHAR(31)&amp;C$3)*1,0),0))),"",INDEX('Reparto de brigadas'!$A$4:$A$31,MATCH(1,INDEX(EXACT('Reparto de brigadas'!$M$4:$M$31,"Prof. Castro"&amp;CHAR(31)&amp;$A4&amp;CHAR(31)&amp;C$3)*1,0),0)))))</f>
        <v/>
      </c>
    </row>
    <row r="5">
      <c r="A5" s="3" t="inlineStr">
        <is>
          <t>11 a.m.</t>
        </is>
      </c>
      <c r="B5" s="3">
        <f>IF(SUMPRODUCT(1*EXACT('Reparto de brigadas'!$M$4:$M$31,"Prof. Castro"&amp;CHAR(31)&amp;$A5&amp;CHAR(31)&amp;B$3))&gt;1,IF(ISNA(MATCH(1,INDEX(EXACT('Reparto de brigadas'!$M$4:$M$31,"Prof. Castro"&amp;CHAR(31)&amp;$A5&amp;CHAR(31)&amp;B$3)*1,0),0)),"",IF(ISBLANK(INDEX('Reparto de brigadas'!$A$4:$A$31,MATCH(1,INDEX(EXACT('Reparto de brigadas'!$M$4:$M$31,"Prof. Castro"&amp;CHAR(31)&amp;$A5&amp;CHAR(31)&amp;B$3)*1,0),0))),"",INDEX('Reparto de brigadas'!$A$4:$A$31,MATCH(1,INDEX(EXACT('Reparto de brigadas'!$M$4:$M$31,"Prof. Castro"&amp;CHAR(31)&amp;$A5&amp;CHAR(31)&amp;B$3)*1,0),0))))&amp;" / "&amp;IF(ISBLANK(INDEX('Reparto de brigadas'!$A$4:$A$31,(MATCH(1,INDEX(EXACT('Reparto de brigadas'!$M$4:$M$31,"Prof. Castro"&amp;CHAR(31)&amp;$A5&amp;CHAR(31)&amp;B$3)*1,0),0)+MATCH(1,INDEX(EXACT(INDEX('Reparto de brigadas'!$M$4:$M$31,MATCH(1,INDEX(EXACT('Reparto de brigadas'!$M$4:$M$31,"Prof. Castro"&amp;CHAR(31)&amp;$A5&amp;CHAR(31)&amp;B$3)*1,0),0)+1):INDEX('Reparto de brigadas'!$M$4:$M$31,ROWS('Reparto de brigadas'!$M$4:$M$31)),"Prof. Castro"&amp;CHAR(31)&amp;$A5&amp;CHAR(31)&amp;B$3)*1,0),0)))),"",INDEX('Reparto de brigadas'!$A$4:$A$31,(MATCH(1,INDEX(EXACT('Reparto de brigadas'!$M$4:$M$31,"Prof. Castro"&amp;CHAR(31)&amp;$A5&amp;CHAR(31)&amp;B$3)*1,0),0)+MATCH(1,INDEX(EXACT(INDEX('Reparto de brigadas'!$M$4:$M$31,MATCH(1,INDEX(EXACT('Reparto de brigadas'!$M$4:$M$31,"Prof. Castro"&amp;CHAR(31)&amp;$A5&amp;CHAR(31)&amp;B$3)*1,0),0)+1):INDEX('Reparto de brigadas'!$M$4:$M$31,ROWS('Reparto de brigadas'!$M$4:$M$31)),"Prof. Castro"&amp;CHAR(31)&amp;$A5&amp;CHAR(31)&amp;B$3)*1,0),0))))&amp;IF(SUMPRODUCT(1*EXACT('Reparto de brigadas'!$M$4:$M$31,"Prof. Castro"&amp;CHAR(31)&amp;$A5&amp;CHAR(31)&amp;B$3))&gt;2," (+"&amp;(SUMPRODUCT(1*EXACT('Reparto de brigadas'!$M$4:$M$31,"Prof. Castro"&amp;CHAR(31)&amp;$A5&amp;CHAR(31)&amp;B$3))-2)&amp;")",""),IF(ISNA(MATCH(1,INDEX(EXACT('Reparto de brigadas'!$M$4:$M$31,"Prof. Castro"&amp;CHAR(31)&amp;$A5&amp;CHAR(31)&amp;B$3)*1,0),0)),"",IF(ISBLANK(INDEX('Reparto de brigadas'!$A$4:$A$31,MATCH(1,INDEX(EXACT('Reparto de brigadas'!$M$4:$M$31,"Prof. Castro"&amp;CHAR(31)&amp;$A5&amp;CHAR(31)&amp;B$3)*1,0),0))),"",INDEX('Reparto de brigadas'!$A$4:$A$31,MATCH(1,INDEX(EXACT('Reparto de brigadas'!$M$4:$M$31,"Prof. Castro"&amp;CHAR(31)&amp;$A5&amp;CHAR(31)&amp;B$3)*1,0),0)))))</f>
        <v/>
      </c>
      <c r="C5" s="3">
        <f>IF(SUMPRODUCT(1*EXACT('Reparto de brigadas'!$M$4:$M$31,"Prof. Castro"&amp;CHAR(31)&amp;$A5&amp;CHAR(31)&amp;C$3))&gt;1,IF(ISNA(MATCH(1,INDEX(EXACT('Reparto de brigadas'!$M$4:$M$31,"Prof. Castro"&amp;CHAR(31)&amp;$A5&amp;CHAR(31)&amp;C$3)*1,0),0)),"",IF(ISBLANK(INDEX('Reparto de brigadas'!$A$4:$A$31,MATCH(1,INDEX(EXACT('Reparto de brigadas'!$M$4:$M$31,"Prof. Castro"&amp;CHAR(31)&amp;$A5&amp;CHAR(31)&amp;C$3)*1,0),0))),"",INDEX('Reparto de brigadas'!$A$4:$A$31,MATCH(1,INDEX(EXACT('Reparto de brigadas'!$M$4:$M$31,"Prof. Castro"&amp;CHAR(31)&amp;$A5&amp;CHAR(31)&amp;C$3)*1,0),0))))&amp;" / "&amp;IF(ISBLANK(INDEX('Reparto de brigadas'!$A$4:$A$31,(MATCH(1,INDEX(EXACT('Reparto de brigadas'!$M$4:$M$31,"Prof. Castro"&amp;CHAR(31)&amp;$A5&amp;CHAR(31)&amp;C$3)*1,0),0)+MATCH(1,INDEX(EXACT(INDEX('Reparto de brigadas'!$M$4:$M$31,MATCH(1,INDEX(EXACT('Reparto de brigadas'!$M$4:$M$31,"Prof. Castro"&amp;CHAR(31)&amp;$A5&amp;CHAR(31)&amp;C$3)*1,0),0)+1):INDEX('Reparto de brigadas'!$M$4:$M$31,ROWS('Reparto de brigadas'!$M$4:$M$31)),"Prof. Castro"&amp;CHAR(31)&amp;$A5&amp;CHAR(31)&amp;C$3)*1,0),0)))),"",INDEX('Reparto de brigadas'!$A$4:$A$31,(MATCH(1,INDEX(EXACT('Reparto de brigadas'!$M$4:$M$31,"Prof. Castro"&amp;CHAR(31)&amp;$A5&amp;CHAR(31)&amp;C$3)*1,0),0)+MATCH(1,INDEX(EXACT(INDEX('Reparto de brigadas'!$M$4:$M$31,MATCH(1,INDEX(EXACT('Reparto de brigadas'!$M$4:$M$31,"Prof. Castro"&amp;CHAR(31)&amp;$A5&amp;CHAR(31)&amp;C$3)*1,0),0)+1):INDEX('Reparto de brigadas'!$M$4:$M$31,ROWS('Reparto de brigadas'!$M$4:$M$31)),"Prof. Castro"&amp;CHAR(31)&amp;$A5&amp;CHAR(31)&amp;C$3)*1,0),0))))&amp;IF(SUMPRODUCT(1*EXACT('Reparto de brigadas'!$M$4:$M$31,"Prof. Castro"&amp;CHAR(31)&amp;$A5&amp;CHAR(31)&amp;C$3))&gt;2," (+"&amp;(SUMPRODUCT(1*EXACT('Reparto de brigadas'!$M$4:$M$31,"Prof. Castro"&amp;CHAR(31)&amp;$A5&amp;CHAR(31)&amp;C$3))-2)&amp;")",""),IF(ISNA(MATCH(1,INDEX(EXACT('Reparto de brigadas'!$M$4:$M$31,"Prof. Castro"&amp;CHAR(31)&amp;$A5&amp;CHAR(31)&amp;C$3)*1,0),0)),"",IF(ISBLANK(INDEX('Reparto de brigadas'!$A$4:$A$31,MATCH(1,INDEX(EXACT('Reparto de brigadas'!$M$4:$M$31,"Prof. Castro"&amp;CHAR(31)&amp;$A5&amp;CHAR(31)&amp;C$3)*1,0),0))),"",INDEX('Reparto de brigadas'!$A$4:$A$31,MATCH(1,INDEX(EXACT('Reparto de brigadas'!$M$4:$M$31,"Prof. Castro"&amp;CHAR(31)&amp;$A5&amp;CHAR(31)&amp;C$3)*1,0),0)))))</f>
        <v/>
      </c>
    </row>
    <row r="6">
      <c r="A6" s="3" t="inlineStr">
        <is>
          <t>3 p.m.</t>
        </is>
      </c>
      <c r="B6" s="3">
        <f>IF(SUMPRODUCT(1*EXACT('Reparto de brigadas'!$M$4:$M$31,"Prof. Castro"&amp;CHAR(31)&amp;$A6&amp;CHAR(31)&amp;B$3))&gt;1,IF(ISNA(MATCH(1,INDEX(EXACT('Reparto de brigadas'!$M$4:$M$31,"Prof. Castro"&amp;CHAR(31)&amp;$A6&amp;CHAR(31)&amp;B$3)*1,0),0)),"",IF(ISBLANK(INDEX('Reparto de brigadas'!$A$4:$A$31,MATCH(1,INDEX(EXACT('Reparto de brigadas'!$M$4:$M$31,"Prof. Castro"&amp;CHAR(31)&amp;$A6&amp;CHAR(31)&amp;B$3)*1,0),0))),"",INDEX('Reparto de brigadas'!$A$4:$A$31,MATCH(1,INDEX(EXACT('Reparto de brigadas'!$M$4:$M$31,"Prof. Castro"&amp;CHAR(31)&amp;$A6&amp;CHAR(31)&amp;B$3)*1,0),0))))&amp;" / "&amp;IF(ISBLANK(INDEX('Reparto de brigadas'!$A$4:$A$31,(MATCH(1,INDEX(EXACT('Reparto de brigadas'!$M$4:$M$31,"Prof. Castro"&amp;CHAR(31)&amp;$A6&amp;CHAR(31)&amp;B$3)*1,0),0)+MATCH(1,INDEX(EXACT(INDEX('Reparto de brigadas'!$M$4:$M$31,MATCH(1,INDEX(EXACT('Reparto de brigadas'!$M$4:$M$31,"Prof. Castro"&amp;CHAR(31)&amp;$A6&amp;CHAR(31)&amp;B$3)*1,0),0)+1):INDEX('Reparto de brigadas'!$M$4:$M$31,ROWS('Reparto de brigadas'!$M$4:$M$31)),"Prof. Castro"&amp;CHAR(31)&amp;$A6&amp;CHAR(31)&amp;B$3)*1,0),0)))),"",INDEX('Reparto de brigadas'!$A$4:$A$31,(MATCH(1,INDEX(EXACT('Reparto de brigadas'!$M$4:$M$31,"Prof. Castro"&amp;CHAR(31)&amp;$A6&amp;CHAR(31)&amp;B$3)*1,0),0)+MATCH(1,INDEX(EXACT(INDEX('Reparto de brigadas'!$M$4:$M$31,MATCH(1,INDEX(EXACT('Reparto de brigadas'!$M$4:$M$31,"Prof. Castro"&amp;CHAR(31)&amp;$A6&amp;CHAR(31)&amp;B$3)*1,0),0)+1):INDEX('Reparto de brigadas'!$M$4:$M$31,ROWS('Reparto de brigadas'!$M$4:$M$31)),"Prof. Castro"&amp;CHAR(31)&amp;$A6&amp;CHAR(31)&amp;B$3)*1,0),0))))&amp;IF(SUMPRODUCT(1*EXACT('Reparto de brigadas'!$M$4:$M$31,"Prof. Castro"&amp;CHAR(31)&amp;$A6&amp;CHAR(31)&amp;B$3))&gt;2," (+"&amp;(SUMPRODUCT(1*EXACT('Reparto de brigadas'!$M$4:$M$31,"Prof. Castro"&amp;CHAR(31)&amp;$A6&amp;CHAR(31)&amp;B$3))-2)&amp;")",""),IF(ISNA(MATCH(1,INDEX(EXACT('Reparto de brigadas'!$M$4:$M$31,"Prof. Castro"&amp;CHAR(31)&amp;$A6&amp;CHAR(31)&amp;B$3)*1,0),0)),"",IF(ISBLANK(INDEX('Reparto de brigadas'!$A$4:$A$31,MATCH(1,INDEX(EXACT('Reparto de brigadas'!$M$4:$M$31,"Prof. Castro"&amp;CHAR(31)&amp;$A6&amp;CHAR(31)&amp;B$3)*1,0),0))),"",INDEX('Reparto de brigadas'!$A$4:$A$31,MATCH(1,INDEX(EXACT('Reparto de brigadas'!$M$4:$M$31,"Prof. Castro"&amp;CHAR(31)&amp;$A6&amp;CHAR(31)&amp;B$3)*1,0),0)))))</f>
        <v/>
      </c>
      <c r="C6" s="3">
        <f>IF(SUMPRODUCT(1*EXACT('Reparto de brigadas'!$M$4:$M$31,"Prof. Castro"&amp;CHAR(31)&amp;$A6&amp;CHAR(31)&amp;C$3))&gt;1,IF(ISNA(MATCH(1,INDEX(EXACT('Reparto de brigadas'!$M$4:$M$31,"Prof. Castro"&amp;CHAR(31)&amp;$A6&amp;CHAR(31)&amp;C$3)*1,0),0)),"",IF(ISBLANK(INDEX('Reparto de brigadas'!$A$4:$A$31,MATCH(1,INDEX(EXACT('Reparto de brigadas'!$M$4:$M$31,"Prof. Castro"&amp;CHAR(31)&amp;$A6&amp;CHAR(31)&amp;C$3)*1,0),0))),"",INDEX('Reparto de brigadas'!$A$4:$A$31,MATCH(1,INDEX(EXACT('Reparto de brigadas'!$M$4:$M$31,"Prof. Castro"&amp;CHAR(31)&amp;$A6&amp;CHAR(31)&amp;C$3)*1,0),0))))&amp;" / "&amp;IF(ISBLANK(INDEX('Reparto de brigadas'!$A$4:$A$31,(MATCH(1,INDEX(EXACT('Reparto de brigadas'!$M$4:$M$31,"Prof. Castro"&amp;CHAR(31)&amp;$A6&amp;CHAR(31)&amp;C$3)*1,0),0)+MATCH(1,INDEX(EXACT(INDEX('Reparto de brigadas'!$M$4:$M$31,MATCH(1,INDEX(EXACT('Reparto de brigadas'!$M$4:$M$31,"Prof. Castro"&amp;CHAR(31)&amp;$A6&amp;CHAR(31)&amp;C$3)*1,0),0)+1):INDEX('Reparto de brigadas'!$M$4:$M$31,ROWS('Reparto de brigadas'!$M$4:$M$31)),"Prof. Castro"&amp;CHAR(31)&amp;$A6&amp;CHAR(31)&amp;C$3)*1,0),0)))),"",INDEX('Reparto de brigadas'!$A$4:$A$31,(MATCH(1,INDEX(EXACT('Reparto de brigadas'!$M$4:$M$31,"Prof. Castro"&amp;CHAR(31)&amp;$A6&amp;CHAR(31)&amp;C$3)*1,0),0)+MATCH(1,INDEX(EXACT(INDEX('Reparto de brigadas'!$M$4:$M$31,MATCH(1,INDEX(EXACT('Reparto de brigadas'!$M$4:$M$31,"Prof. Castro"&amp;CHAR(31)&amp;$A6&amp;CHAR(31)&amp;C$3)*1,0),0)+1):INDEX('Reparto de brigadas'!$M$4:$M$31,ROWS('Reparto de brigadas'!$M$4:$M$31)),"Prof. Castro"&amp;CHAR(31)&amp;$A6&amp;CHAR(31)&amp;C$3)*1,0),0))))&amp;IF(SUMPRODUCT(1*EXACT('Reparto de brigadas'!$M$4:$M$31,"Prof. Castro"&amp;CHAR(31)&amp;$A6&amp;CHAR(31)&amp;C$3))&gt;2," (+"&amp;(SUMPRODUCT(1*EXACT('Reparto de brigadas'!$M$4:$M$31,"Prof. Castro"&amp;CHAR(31)&amp;$A6&amp;CHAR(31)&amp;C$3))-2)&amp;")",""),IF(ISNA(MATCH(1,INDEX(EXACT('Reparto de brigadas'!$M$4:$M$31,"Prof. Castro"&amp;CHAR(31)&amp;$A6&amp;CHAR(31)&amp;C$3)*1,0),0)),"",IF(ISBLANK(INDEX('Reparto de brigadas'!$A$4:$A$31,MATCH(1,INDEX(EXACT('Reparto de brigadas'!$M$4:$M$31,"Prof. Castro"&amp;CHAR(31)&amp;$A6&amp;CHAR(31)&amp;C$3)*1,0),0))),"",INDEX('Reparto de brigadas'!$A$4:$A$31,MATCH(1,INDEX(EXACT('Reparto de brigadas'!$M$4:$M$31,"Prof. Castro"&amp;CHAR(31)&amp;$A6&amp;CHAR(31)&amp;C$3)*1,0),0)))))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C6">
    <cfRule type="expression" priority="1" dxfId="0" stopIfTrue="0">
      <formula>IFERROR(INDEX('Reparto de brigadas'!$K$4:$K$31,MATCH(1,INDEX(EXACT('Reparto de brigadas'!$M$4:$M$31,"Prof. Castro"&amp;CHAR(31)&amp;$A4&amp;CHAR(31)&amp;B$3)*1,0),0)),0)=3</formula>
    </cfRule>
    <cfRule type="expression" priority="2" dxfId="1" stopIfTrue="0">
      <formula>IFERROR(INDEX('Reparto de brigadas'!$K$4:$K$31,MATCH(1,INDEX(EXACT('Reparto de brigadas'!$M$4:$M$31,"Prof. Castro"&amp;CHAR(31)&amp;$A4&amp;CHAR(31)&amp;B$3)*1,0),0)),0)=2</formula>
    </cfRule>
    <cfRule type="expression" priority="3" dxfId="2" stopIfTrue="0">
      <formula>IFERROR(INDEX('Reparto de brigadas'!$K$4:$K$31,MATCH(1,INDEX(EXACT('Reparto de brigadas'!$M$4:$M$31,"Prof. Castro"&amp;CHAR(31)&amp;$A4&amp;CHAR(31)&amp;B$3)*1,0),0)),0)=1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</cols>
  <sheetData>
    <row r="1">
      <c r="A1" s="1" t="inlineStr">
        <is>
          <t>Horario del profesor - Prof. Diaz</t>
        </is>
      </c>
    </row>
    <row r="3">
      <c r="A3" s="2" t="inlineStr">
        <is>
          <t>Horario</t>
        </is>
      </c>
      <c r="B3" s="2" t="inlineStr">
        <is>
          <t>par</t>
        </is>
      </c>
      <c r="C3" s="2" t="inlineStr">
        <is>
          <t>impar</t>
        </is>
      </c>
    </row>
    <row r="4">
      <c r="A4" s="3" t="inlineStr">
        <is>
          <t>10 a.m.</t>
        </is>
      </c>
      <c r="B4" s="3">
        <f>IF(SUMPRODUCT(1*EXACT('Reparto de brigadas'!$M$4:$M$31,"Prof. Diaz"&amp;CHAR(31)&amp;$A4&amp;CHAR(31)&amp;B$3))&gt;1,IF(ISNA(MATCH(1,INDEX(EXACT('Reparto de brigadas'!$M$4:$M$31,"Prof. Diaz"&amp;CHAR(31)&amp;$A4&amp;CHAR(31)&amp;B$3)*1,0),0)),"",IF(ISBLANK(INDEX('Reparto de brigadas'!$A$4:$A$31,MATCH(1,INDEX(EXACT('Reparto de brigadas'!$M$4:$M$31,"Prof. Diaz"&amp;CHAR(31)&amp;$A4&amp;CHAR(31)&amp;B$3)*1,0),0))),"",INDEX('Reparto de brigadas'!$A$4:$A$31,MATCH(1,INDEX(EXACT('Reparto de brigadas'!$M$4:$M$31,"Prof. Diaz"&amp;CHAR(31)&amp;$A4&amp;CHAR(31)&amp;B$3)*1,0),0))))&amp;" / "&amp;IF(ISBLANK(INDEX('Reparto de brigadas'!$A$4:$A$31,(MATCH(1,INDEX(EXACT('Reparto de brigadas'!$M$4:$M$31,"Prof. Diaz"&amp;CHAR(31)&amp;$A4&amp;CHAR(31)&amp;B$3)*1,0),0)+MATCH(1,INDEX(EXACT(INDEX('Reparto de brigadas'!$M$4:$M$31,MATCH(1,INDEX(EXACT('Reparto de brigadas'!$M$4:$M$31,"Prof. Diaz"&amp;CHAR(31)&amp;$A4&amp;CHAR(31)&amp;B$3)*1,0),0)+1):INDEX('Reparto de brigadas'!$M$4:$M$31,ROWS('Reparto de brigadas'!$M$4:$M$31)),"Prof. Diaz"&amp;CHAR(31)&amp;$A4&amp;CHAR(31)&amp;B$3)*1,0),0)))),"",INDEX('Reparto de brigadas'!$A$4:$A$31,(MATCH(1,INDEX(EXACT('Reparto de brigadas'!$M$4:$M$31,"Prof. Diaz"&amp;CHAR(31)&amp;$A4&amp;CHAR(31)&amp;B$3)*1,0),0)+MATCH(1,INDEX(EXACT(INDEX('Reparto de brigadas'!$M$4:$M$31,MATCH(1,INDEX(EXACT('Reparto de brigadas'!$M$4:$M$31,"Prof. Diaz"&amp;CHAR(31)&amp;$A4&amp;CHAR(31)&amp;B$3)*1,0),0)+1):INDEX('Reparto de brigadas'!$M$4:$M$31,ROWS('Reparto de brigadas'!$M$4:$M$31)),"Prof. Diaz"&amp;CHAR(31)&amp;$A4&amp;CHAR(31)&amp;B$3)*1,0),0))))&amp;IF(SUMPRODUCT(1*EXACT('Reparto de brigadas'!$M$4:$M$31,"Prof. Diaz"&amp;CHAR(31)&amp;$A4&amp;CHAR(31)&amp;B$3))&gt;2," (+"&amp;(SUMPRODUCT(1*EXACT('Reparto de brigadas'!$M$4:$M$31,"Prof. Diaz"&amp;CHAR(31)&amp;$A4&amp;CHAR(31)&amp;B$3))-2)&amp;")",""),IF(ISNA(MATCH(1,INDEX(EXACT('Reparto de brigadas'!$M$4:$M$31,"Prof. Diaz"&amp;CHAR(31)&amp;$A4&amp;CHAR(31)&amp;B$3)*1,0),0)),"",IF(ISBLANK(INDEX('Reparto de brigadas'!$A$4:$A$31,MATCH(1,INDEX(EXACT('Reparto de brigadas'!$M$4:$M$31,"Prof. Diaz"&amp;CHAR(31)&amp;$A4&amp;CHAR(31)&amp;B$3)*1,0),0))),"",INDEX('Reparto de brigadas'!$A$4:$A$31,MATCH(1,INDEX(EXACT('Reparto de brigadas'!$M$4:$M$31,"Prof. Diaz"&amp;CHAR(31)&amp;$A4&amp;CHAR(31)&amp;B$3)*1,0),0)))))</f>
        <v/>
      </c>
      <c r="C4" s="3">
        <f>IF(SUMPRODUCT(1*EXACT('Reparto de brigadas'!$M$4:$M$31,"Prof. Diaz"&amp;CHAR(31)&amp;$A4&amp;CHAR(31)&amp;C$3))&gt;1,IF(ISNA(MATCH(1,INDEX(EXACT('Reparto de brigadas'!$M$4:$M$31,"Prof. Diaz"&amp;CHAR(31)&amp;$A4&amp;CHAR(31)&amp;C$3)*1,0),0)),"",IF(ISBLANK(INDEX('Reparto de brigadas'!$A$4:$A$31,MATCH(1,INDEX(EXACT('Reparto de brigadas'!$M$4:$M$31,"Prof. Diaz"&amp;CHAR(31)&amp;$A4&amp;CHAR(31)&amp;C$3)*1,0),0))),"",INDEX('Reparto de brigadas'!$A$4:$A$31,MATCH(1,INDEX(EXACT('Reparto de brigadas'!$M$4:$M$31,"Prof. Diaz"&amp;CHAR(31)&amp;$A4&amp;CHAR(31)&amp;C$3)*1,0),0))))&amp;" / "&amp;IF(ISBLANK(INDEX('Reparto de brigadas'!$A$4:$A$31,(MATCH(1,INDEX(EXACT('Reparto de brigadas'!$M$4:$M$31,"Prof. Diaz"&amp;CHAR(31)&amp;$A4&amp;CHAR(31)&amp;C$3)*1,0),0)+MATCH(1,INDEX(EXACT(INDEX('Reparto de brigadas'!$M$4:$M$31,MATCH(1,INDEX(EXACT('Reparto de brigadas'!$M$4:$M$31,"Prof. Diaz"&amp;CHAR(31)&amp;$A4&amp;CHAR(31)&amp;C$3)*1,0),0)+1):INDEX('Reparto de brigadas'!$M$4:$M$31,ROWS('Reparto de brigadas'!$M$4:$M$31)),"Prof. Diaz"&amp;CHAR(31)&amp;$A4&amp;CHAR(31)&amp;C$3)*1,0),0)))),"",INDEX('Reparto de brigadas'!$A$4:$A$31,(MATCH(1,INDEX(EXACT('Reparto de brigadas'!$M$4:$M$31,"Prof. Diaz"&amp;CHAR(31)&amp;$A4&amp;CHAR(31)&amp;C$3)*1,0),0)+MATCH(1,INDEX(EXACT(INDEX('Reparto de brigadas'!$M$4:$M$31,MATCH(1,INDEX(EXACT('Reparto de brigadas'!$M$4:$M$31,"Prof. Diaz"&amp;CHAR(31)&amp;$A4&amp;CHAR(31)&amp;C$3)*1,0),0)+1):INDEX('Reparto de brigadas'!$M$4:$M$31,ROWS('Reparto de brigadas'!$M$4:$M$31)),"Prof. Diaz"&amp;CHAR(31)&amp;$A4&amp;CHAR(31)&amp;C$3)*1,0),0))))&amp;IF(SUMPRODUCT(1*EXACT('Reparto de brigadas'!$M$4:$M$31,"Prof. Diaz"&amp;CHAR(31)&amp;$A4&amp;CHAR(31)&amp;C$3))&gt;2," (+"&amp;(SUMPRODUCT(1*EXACT('Reparto de brigadas'!$M$4:$M$31,"Prof. Diaz"&amp;CHAR(31)&amp;$A4&amp;CHAR(31)&amp;C$3))-2)&amp;")",""),IF(ISNA(MATCH(1,INDEX(EXACT('Reparto de brigadas'!$M$4:$M$31,"Prof. Diaz"&amp;CHAR(31)&amp;$A4&amp;CHAR(31)&amp;C$3)*1,0),0)),"",IF(ISBLANK(INDEX('Reparto de brigadas'!$A$4:$A$31,MATCH(1,INDEX(EXACT('Reparto de brigadas'!$M$4:$M$31,"Prof. Diaz"&amp;CHAR(31)&amp;$A4&amp;CHAR(31)&amp;C$3)*1,0),0))),"",INDEX('Reparto de brigadas'!$A$4:$A$31,MATCH(1,INDEX(EXACT('Reparto de brigadas'!$M$4:$M$31,"Prof. Diaz"&amp;CHAR(31)&amp;$A4&amp;CHAR(31)&amp;C$3)*1,0),0)))))</f>
        <v/>
      </c>
    </row>
    <row r="5">
      <c r="A5" s="3" t="inlineStr">
        <is>
          <t>11 a.m.</t>
        </is>
      </c>
      <c r="B5" s="3">
        <f>IF(SUMPRODUCT(1*EXACT('Reparto de brigadas'!$M$4:$M$31,"Prof. Diaz"&amp;CHAR(31)&amp;$A5&amp;CHAR(31)&amp;B$3))&gt;1,IF(ISNA(MATCH(1,INDEX(EXACT('Reparto de brigadas'!$M$4:$M$31,"Prof. Diaz"&amp;CHAR(31)&amp;$A5&amp;CHAR(31)&amp;B$3)*1,0),0)),"",IF(ISBLANK(INDEX('Reparto de brigadas'!$A$4:$A$31,MATCH(1,INDEX(EXACT('Reparto de brigadas'!$M$4:$M$31,"Prof. Diaz"&amp;CHAR(31)&amp;$A5&amp;CHAR(31)&amp;B$3)*1,0),0))),"",INDEX('Reparto de brigadas'!$A$4:$A$31,MATCH(1,INDEX(EXACT('Reparto de brigadas'!$M$4:$M$31,"Prof. Diaz"&amp;CHAR(31)&amp;$A5&amp;CHAR(31)&amp;B$3)*1,0),0))))&amp;" / "&amp;IF(ISBLANK(INDEX('Reparto de brigadas'!$A$4:$A$31,(MATCH(1,INDEX(EXACT('Reparto de brigadas'!$M$4:$M$31,"Prof. Diaz"&amp;CHAR(31)&amp;$A5&amp;CHAR(31)&amp;B$3)*1,0),0)+MATCH(1,INDEX(EXACT(INDEX('Reparto de brigadas'!$M$4:$M$31,MATCH(1,INDEX(EXACT('Reparto de brigadas'!$M$4:$M$31,"Prof. Diaz"&amp;CHAR(31)&amp;$A5&amp;CHAR(31)&amp;B$3)*1,0),0)+1):INDEX('Reparto de brigadas'!$M$4:$M$31,ROWS('Reparto de brigadas'!$M$4:$M$31)),"Prof. Diaz"&amp;CHAR(31)&amp;$A5&amp;CHAR(31)&amp;B$3)*1,0),0)))),"",INDEX('Reparto de brigadas'!$A$4:$A$31,(MATCH(1,INDEX(EXACT('Reparto de brigadas'!$M$4:$M$31,"Prof. Diaz"&amp;CHAR(31)&amp;$A5&amp;CHAR(31)&amp;B$3)*1,0),0)+MATCH(1,INDEX(EXACT(INDEX('Reparto de brigadas'!$M$4:$M$31,MATCH(1,INDEX(EXACT('Reparto de brigadas'!$M$4:$M$31,"Prof. Diaz"&amp;CHAR(31)&amp;$A5&amp;CHAR(31)&amp;B$3)*1,0),0)+1):INDEX('Reparto de brigadas'!$M$4:$M$31,ROWS('Reparto de brigadas'!$M$4:$M$31)),"Prof. Diaz"&amp;CHAR(31)&amp;$A5&amp;CHAR(31)&amp;B$3)*1,0),0))))&amp;IF(SUMPRODUCT(1*EXACT('Reparto de brigadas'!$M$4:$M$31,"Prof. Diaz"&amp;CHAR(31)&amp;$A5&amp;CHAR(31)&amp;B$3))&gt;2," (+"&amp;(SUMPRODUCT(1*EXACT('Reparto de brigadas'!$M$4:$M$31,"Prof. Diaz"&amp;CHAR(31)&amp;$A5&amp;CHAR(31)&amp;B$3))-2)&amp;")",""),IF(ISNA(MATCH(1,INDEX(EXACT('Reparto de brigadas'!$M$4:$M$31,"Prof. Diaz"&amp;CHAR(31)&amp;$A5&amp;CHAR(31)&amp;B$3)*1,0),0)),"",IF(ISBLANK(INDEX('Reparto de brigadas'!$A$4:$A$31,MATCH(1,INDEX(EXACT('Reparto de brigadas'!$M$4:$M$31,"Prof. Diaz"&amp;CHAR(31)&amp;$A5&amp;CHAR(31)&amp;B$3)*1,0),0))),"",INDEX('Reparto de brigadas'!$A$4:$A$31,MATCH(1,INDEX(EXACT('Reparto de brigadas'!$M$4:$M$31,"Prof. Diaz"&amp;CHAR(31)&amp;$A5&amp;CHAR(31)&amp;B$3)*1,0),0)))))</f>
        <v/>
      </c>
      <c r="C5" s="3">
        <f>IF(SUMPRODUCT(1*EXACT('Reparto de brigadas'!$M$4:$M$31,"Prof. Diaz"&amp;CHAR(31)&amp;$A5&amp;CHAR(31)&amp;C$3))&gt;1,IF(ISNA(MATCH(1,INDEX(EXACT('Reparto de brigadas'!$M$4:$M$31,"Prof. Diaz"&amp;CHAR(31)&amp;$A5&amp;CHAR(31)&amp;C$3)*1,0),0)),"",IF(ISBLANK(INDEX('Reparto de brigadas'!$A$4:$A$31,MATCH(1,INDEX(EXACT('Reparto de brigadas'!$M$4:$M$31,"Prof. Diaz"&amp;CHAR(31)&amp;$A5&amp;CHAR(31)&amp;C$3)*1,0),0))),"",INDEX('Reparto de brigadas'!$A$4:$A$31,MATCH(1,INDEX(EXACT('Reparto de brigadas'!$M$4:$M$31,"Prof. Diaz"&amp;CHAR(31)&amp;$A5&amp;CHAR(31)&amp;C$3)*1,0),0))))&amp;" / "&amp;IF(ISBLANK(INDEX('Reparto de brigadas'!$A$4:$A$31,(MATCH(1,INDEX(EXACT('Reparto de brigadas'!$M$4:$M$31,"Prof. Diaz"&amp;CHAR(31)&amp;$A5&amp;CHAR(31)&amp;C$3)*1,0),0)+MATCH(1,INDEX(EXACT(INDEX('Reparto de brigadas'!$M$4:$M$31,MATCH(1,INDEX(EXACT('Reparto de brigadas'!$M$4:$M$31,"Prof. Diaz"&amp;CHAR(31)&amp;$A5&amp;CHAR(31)&amp;C$3)*1,0),0)+1):INDEX('Reparto de brigadas'!$M$4:$M$31,ROWS('Reparto de brigadas'!$M$4:$M$31)),"Prof. Diaz"&amp;CHAR(31)&amp;$A5&amp;CHAR(31)&amp;C$3)*1,0),0)))),"",INDEX('Reparto de brigadas'!$A$4:$A$31,(MATCH(1,INDEX(EXACT('Reparto de brigadas'!$M$4:$M$31,"Prof. Diaz"&amp;CHAR(31)&amp;$A5&amp;CHAR(31)&amp;C$3)*1,0),0)+MATCH(1,INDEX(EXACT(INDEX('Reparto de brigadas'!$M$4:$M$31,MATCH(1,INDEX(EXACT('Reparto de brigadas'!$M$4:$M$31,"Prof. Diaz"&amp;CHAR(31)&amp;$A5&amp;CHAR(31)&amp;C$3)*1,0),0)+1):INDEX('Reparto de brigadas'!$M$4:$M$31,ROWS('Reparto de brigadas'!$M$4:$M$31)),"Prof. Diaz"&amp;CHAR(31)&amp;$A5&amp;CHAR(31)&amp;C$3)*1,0),0))))&amp;IF(SUMPRODUCT(1*EXACT('Reparto de brigadas'!$M$4:$M$31,"Prof. Diaz"&amp;CHAR(31)&amp;$A5&amp;CHAR(31)&amp;C$3))&gt;2," (+"&amp;(SUMPRODUCT(1*EXACT('Reparto de brigadas'!$M$4:$M$31,"Prof. Diaz"&amp;CHAR(31)&amp;$A5&amp;CHAR(31)&amp;C$3))-2)&amp;")",""),IF(ISNA(MATCH(1,INDEX(EXACT('Reparto de brigadas'!$M$4:$M$31,"Prof. Diaz"&amp;CHAR(31)&amp;$A5&amp;CHAR(31)&amp;C$3)*1,0),0)),"",IF(ISBLANK(INDEX('Reparto de brigadas'!$A$4:$A$31,MATCH(1,INDEX(EXACT('Reparto de brigadas'!$M$4:$M$31,"Prof. Diaz"&amp;CHAR(31)&amp;$A5&amp;CHAR(31)&amp;C$3)*1,0),0))),"",INDEX('Reparto de brigadas'!$A$4:$A$31,MATCH(1,INDEX(EXACT('Reparto de brigadas'!$M$4:$M$31,"Prof. Diaz"&amp;CHAR(31)&amp;$A5&amp;CHAR(31)&amp;C$3)*1,0),0)))))</f>
        <v/>
      </c>
    </row>
    <row r="6">
      <c r="A6" s="3" t="inlineStr">
        <is>
          <t>3 p.m.</t>
        </is>
      </c>
      <c r="B6" s="3">
        <f>IF(SUMPRODUCT(1*EXACT('Reparto de brigadas'!$M$4:$M$31,"Prof. Diaz"&amp;CHAR(31)&amp;$A6&amp;CHAR(31)&amp;B$3))&gt;1,IF(ISNA(MATCH(1,INDEX(EXACT('Reparto de brigadas'!$M$4:$M$31,"Prof. Diaz"&amp;CHAR(31)&amp;$A6&amp;CHAR(31)&amp;B$3)*1,0),0)),"",IF(ISBLANK(INDEX('Reparto de brigadas'!$A$4:$A$31,MATCH(1,INDEX(EXACT('Reparto de brigadas'!$M$4:$M$31,"Prof. Diaz"&amp;CHAR(31)&amp;$A6&amp;CHAR(31)&amp;B$3)*1,0),0))),"",INDEX('Reparto de brigadas'!$A$4:$A$31,MATCH(1,INDEX(EXACT('Reparto de brigadas'!$M$4:$M$31,"Prof. Diaz"&amp;CHAR(31)&amp;$A6&amp;CHAR(31)&amp;B$3)*1,0),0))))&amp;" / "&amp;IF(ISBLANK(INDEX('Reparto de brigadas'!$A$4:$A$31,(MATCH(1,INDEX(EXACT('Reparto de brigadas'!$M$4:$M$31,"Prof. Diaz"&amp;CHAR(31)&amp;$A6&amp;CHAR(31)&amp;B$3)*1,0),0)+MATCH(1,INDEX(EXACT(INDEX('Reparto de brigadas'!$M$4:$M$31,MATCH(1,INDEX(EXACT('Reparto de brigadas'!$M$4:$M$31,"Prof. Diaz"&amp;CHAR(31)&amp;$A6&amp;CHAR(31)&amp;B$3)*1,0),0)+1):INDEX('Reparto de brigadas'!$M$4:$M$31,ROWS('Reparto de brigadas'!$M$4:$M$31)),"Prof. Diaz"&amp;CHAR(31)&amp;$A6&amp;CHAR(31)&amp;B$3)*1,0),0)))),"",INDEX('Reparto de brigadas'!$A$4:$A$31,(MATCH(1,INDEX(EXACT('Reparto de brigadas'!$M$4:$M$31,"Prof. Diaz"&amp;CHAR(31)&amp;$A6&amp;CHAR(31)&amp;B$3)*1,0),0)+MATCH(1,INDEX(EXACT(INDEX('Reparto de brigadas'!$M$4:$M$31,MATCH(1,INDEX(EXACT('Reparto de brigadas'!$M$4:$M$31,"Prof. Diaz"&amp;CHAR(31)&amp;$A6&amp;CHAR(31)&amp;B$3)*1,0),0)+1):INDEX('Reparto de brigadas'!$M$4:$M$31,ROWS('Reparto de brigadas'!$M$4:$M$31)),"Prof. Diaz"&amp;CHAR(31)&amp;$A6&amp;CHAR(31)&amp;B$3)*1,0),0))))&amp;IF(SUMPRODUCT(1*EXACT('Reparto de brigadas'!$M$4:$M$31,"Prof. Diaz"&amp;CHAR(31)&amp;$A6&amp;CHAR(31)&amp;B$3))&gt;2," (+"&amp;(SUMPRODUCT(1*EXACT('Reparto de brigadas'!$M$4:$M$31,"Prof. Diaz"&amp;CHAR(31)&amp;$A6&amp;CHAR(31)&amp;B$3))-2)&amp;")",""),IF(ISNA(MATCH(1,INDEX(EXACT('Reparto de brigadas'!$M$4:$M$31,"Prof. Diaz"&amp;CHAR(31)&amp;$A6&amp;CHAR(31)&amp;B$3)*1,0),0)),"",IF(ISBLANK(INDEX('Reparto de brigadas'!$A$4:$A$31,MATCH(1,INDEX(EXACT('Reparto de brigadas'!$M$4:$M$31,"Prof. Diaz"&amp;CHAR(31)&amp;$A6&amp;CHAR(31)&amp;B$3)*1,0),0))),"",INDEX('Reparto de brigadas'!$A$4:$A$31,MATCH(1,INDEX(EXACT('Reparto de brigadas'!$M$4:$M$31,"Prof. Diaz"&amp;CHAR(31)&amp;$A6&amp;CHAR(31)&amp;B$3)*1,0),0)))))</f>
        <v/>
      </c>
      <c r="C6" s="3">
        <f>IF(SUMPRODUCT(1*EXACT('Reparto de brigadas'!$M$4:$M$31,"Prof. Diaz"&amp;CHAR(31)&amp;$A6&amp;CHAR(31)&amp;C$3))&gt;1,IF(ISNA(MATCH(1,INDEX(EXACT('Reparto de brigadas'!$M$4:$M$31,"Prof. Diaz"&amp;CHAR(31)&amp;$A6&amp;CHAR(31)&amp;C$3)*1,0),0)),"",IF(ISBLANK(INDEX('Reparto de brigadas'!$A$4:$A$31,MATCH(1,INDEX(EXACT('Reparto de brigadas'!$M$4:$M$31,"Prof. Diaz"&amp;CHAR(31)&amp;$A6&amp;CHAR(31)&amp;C$3)*1,0),0))),"",INDEX('Reparto de brigadas'!$A$4:$A$31,MATCH(1,INDEX(EXACT('Reparto de brigadas'!$M$4:$M$31,"Prof. Diaz"&amp;CHAR(31)&amp;$A6&amp;CHAR(31)&amp;C$3)*1,0),0))))&amp;" / "&amp;IF(ISBLANK(INDEX('Reparto de brigadas'!$A$4:$A$31,(MATCH(1,INDEX(EXACT('Reparto de brigadas'!$M$4:$M$31,"Prof. Diaz"&amp;CHAR(31)&amp;$A6&amp;CHAR(31)&amp;C$3)*1,0),0)+MATCH(1,INDEX(EXACT(INDEX('Reparto de brigadas'!$M$4:$M$31,MATCH(1,INDEX(EXACT('Reparto de brigadas'!$M$4:$M$31,"Prof. Diaz"&amp;CHAR(31)&amp;$A6&amp;CHAR(31)&amp;C$3)*1,0),0)+1):INDEX('Reparto de brigadas'!$M$4:$M$31,ROWS('Reparto de brigadas'!$M$4:$M$31)),"Prof. Diaz"&amp;CHAR(31)&amp;$A6&amp;CHAR(31)&amp;C$3)*1,0),0)))),"",INDEX('Reparto de brigadas'!$A$4:$A$31,(MATCH(1,INDEX(EXACT('Reparto de brigadas'!$M$4:$M$31,"Prof. Diaz"&amp;CHAR(31)&amp;$A6&amp;CHAR(31)&amp;C$3)*1,0),0)+MATCH(1,INDEX(EXACT(INDEX('Reparto de brigadas'!$M$4:$M$31,MATCH(1,INDEX(EXACT('Reparto de brigadas'!$M$4:$M$31,"Prof. Diaz"&amp;CHAR(31)&amp;$A6&amp;CHAR(31)&amp;C$3)*1,0),0)+1):INDEX('Reparto de brigadas'!$M$4:$M$31,ROWS('Reparto de brigadas'!$M$4:$M$31)),"Prof. Diaz"&amp;CHAR(31)&amp;$A6&amp;CHAR(31)&amp;C$3)*1,0),0))))&amp;IF(SUMPRODUCT(1*EXACT('Reparto de brigadas'!$M$4:$M$31,"Prof. Diaz"&amp;CHAR(31)&amp;$A6&amp;CHAR(31)&amp;C$3))&gt;2," (+"&amp;(SUMPRODUCT(1*EXACT('Reparto de brigadas'!$M$4:$M$31,"Prof. Diaz"&amp;CHAR(31)&amp;$A6&amp;CHAR(31)&amp;C$3))-2)&amp;")",""),IF(ISNA(MATCH(1,INDEX(EXACT('Reparto de brigadas'!$M$4:$M$31,"Prof. Diaz"&amp;CHAR(31)&amp;$A6&amp;CHAR(31)&amp;C$3)*1,0),0)),"",IF(ISBLANK(INDEX('Reparto de brigadas'!$A$4:$A$31,MATCH(1,INDEX(EXACT('Reparto de brigadas'!$M$4:$M$31,"Prof. Diaz"&amp;CHAR(31)&amp;$A6&amp;CHAR(31)&amp;C$3)*1,0),0))),"",INDEX('Reparto de brigadas'!$A$4:$A$31,MATCH(1,INDEX(EXACT('Reparto de brigadas'!$M$4:$M$31,"Prof. Diaz"&amp;CHAR(31)&amp;$A6&amp;CHAR(31)&amp;C$3)*1,0),0)))))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C6">
    <cfRule type="expression" priority="1" dxfId="0" stopIfTrue="0">
      <formula>IFERROR(INDEX('Reparto de brigadas'!$K$4:$K$31,MATCH(1,INDEX(EXACT('Reparto de brigadas'!$M$4:$M$31,"Prof. Diaz"&amp;CHAR(31)&amp;$A4&amp;CHAR(31)&amp;B$3)*1,0),0)),0)=3</formula>
    </cfRule>
    <cfRule type="expression" priority="2" dxfId="1" stopIfTrue="0">
      <formula>IFERROR(INDEX('Reparto de brigadas'!$K$4:$K$31,MATCH(1,INDEX(EXACT('Reparto de brigadas'!$M$4:$M$31,"Prof. Diaz"&amp;CHAR(31)&amp;$A4&amp;CHAR(31)&amp;B$3)*1,0),0)),0)=2</formula>
    </cfRule>
    <cfRule type="expression" priority="3" dxfId="2" stopIfTrue="0">
      <formula>IFERROR(INDEX('Reparto de brigadas'!$K$4:$K$31,MATCH(1,INDEX(EXACT('Reparto de brigadas'!$M$4:$M$31,"Prof. Diaz"&amp;CHAR(31)&amp;$A4&amp;CHAR(31)&amp;B$3)*1,0),0)),0)=1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15" customWidth="1" min="4" max="4"/>
    <col width="9" customWidth="1" min="5" max="5"/>
    <col width="13" customWidth="1" min="6" max="6"/>
    <col width="8" customWidth="1" min="7" max="7"/>
    <col width="11" customWidth="1" min="8" max="8"/>
    <col width="26" customWidth="1" min="9" max="9"/>
    <col width="40" customWidth="1" min="10" max="10"/>
    <col hidden="1" width="24" customWidth="1" min="11" max="11"/>
    <col hidden="1" width="37" customWidth="1" min="12" max="12"/>
    <col hidden="1" width="34" customWidth="1" min="13" max="13"/>
  </cols>
  <sheetData>
    <row r="1">
      <c r="A1" s="1" t="inlineStr">
        <is>
          <t>Reparto de brigadas</t>
        </is>
      </c>
    </row>
    <row r="3">
      <c r="A3" s="2" t="inlineStr">
        <is>
          <t>Brigada</t>
        </is>
      </c>
      <c r="B3" s="2" t="inlineStr">
        <is>
          <t>Ano</t>
        </is>
      </c>
      <c r="C3" s="2" t="inlineStr">
        <is>
          <t>Personas</t>
        </is>
      </c>
      <c r="D3" s="2" t="inlineStr">
        <is>
          <t>Profesor</t>
        </is>
      </c>
      <c r="E3" s="2" t="inlineStr">
        <is>
          <t>Horario</t>
        </is>
      </c>
      <c r="F3" s="2" t="inlineStr">
        <is>
          <t>Instalacion</t>
        </is>
      </c>
      <c r="G3" s="2" t="inlineStr">
        <is>
          <t>Semana</t>
        </is>
      </c>
      <c r="H3" s="2" t="inlineStr">
        <is>
          <t>Capacidad</t>
        </is>
      </c>
      <c r="I3" s="2" t="inlineStr">
        <is>
          <t>Su ano admite el horario</t>
        </is>
      </c>
      <c r="J3" s="2" t="inlineStr">
        <is>
          <t>Estado</t>
        </is>
      </c>
      <c r="K3" s="2" t="inlineStr">
        <is>
          <t>(nivel de las marcas)</t>
        </is>
      </c>
      <c r="L3" s="2" t="inlineStr">
        <is>
          <t>(clave semana|instalacion|horario)</t>
        </is>
      </c>
      <c r="M3" s="2" t="inlineStr">
        <is>
          <t>(clave profesor|horario|semana)</t>
        </is>
      </c>
    </row>
    <row r="4">
      <c r="A4" s="3" t="inlineStr">
        <is>
          <t>C111</t>
        </is>
      </c>
      <c r="B4" s="4" t="inlineStr">
        <is>
          <t>CC-1</t>
        </is>
      </c>
      <c r="C4" s="4" t="n">
        <v>28</v>
      </c>
      <c r="D4" s="4" t="inlineStr">
        <is>
          <t>Prof. Alvarez</t>
        </is>
      </c>
      <c r="E4" s="4" t="inlineStr">
        <is>
          <t>10 a.m.</t>
        </is>
      </c>
      <c r="F4" s="4" t="inlineStr">
        <is>
          <t>Pista 1</t>
        </is>
      </c>
      <c r="G4" s="3">
        <f>IF(AND($A4=""),"",IF(ISNA(MATCH(1,INDEX(EXACT('Anos de carrera'!$A$4:$A$29,$B4)*1*((('Anos de carrera'!$A$4:$A$29&lt;&gt;""))&gt;0),0),0)),"",IF(ISBLANK(INDEX('Anos de carrera'!$C$4:$C$29,MATCH(1,INDEX(EXACT('Anos de carrera'!$A$4:$A$29,$B4)*1*((('Anos de carrera'!$A$4:$A$29&lt;&gt;""))&gt;0),0),0))),"",INDEX('Anos de carrera'!$C$4:$C$29,MATCH(1,INDEX(EXACT('Anos de carrera'!$A$4:$A$29,$B4)*1*((('Anos de carrera'!$A$4:$A$29&lt;&gt;""))&gt;0),0),0)))))</f>
        <v/>
      </c>
      <c r="H4" s="3">
        <f>IF(AND($A4=""),"",IF(ISNA(MATCH(1,INDEX(EXACT('Instalaciones'!$A$4:$A$27,$F4)*1*((('Instalaciones'!$A$4:$A$27&lt;&gt;""))&gt;0),0),0)),0,IF(ISBLANK(INDEX('Instalaciones'!$B$4:$B$27,MATCH(1,INDEX(EXACT('Instalaciones'!$A$4:$A$27,$F4)*1*((('Instalaciones'!$A$4:$A$27&lt;&gt;""))&gt;0),0),0))),"",INDEX('Instalaciones'!$B$4:$B$27,MATCH(1,INDEX(EXACT('Instalaciones'!$A$4:$A$27,$F4)*1*((('Instalaciones'!$A$4:$A$27&lt;&gt;""))&gt;0),0),0)))))</f>
        <v/>
      </c>
      <c r="I4" s="3">
        <f>IF(AND($A4=""),"",IF(($E4=""),"",IF(EXACT(IF(ISNA(MATCH(1,INDEX(1*((('Horarios disponibles por ano'!$A$4:$A$34&lt;&gt;"")+('Horarios disponibles por ano'!$B$4:$B$34&lt;&gt;""))&gt;0)*(EXACT('Horarios disponibles por ano'!$A$4:$A$34,$B4))*(EXACT('Horarios disponibles por ano'!$B$4:$B$34,$E4)),0),0)),"",IF(ISBLANK(INDEX('Horarios disponibles por ano'!$B$4:$B$34,MATCH(1,INDEX(1*((('Horarios disponibles por ano'!$A$4:$A$34&lt;&gt;"")+('Horarios disponibles por ano'!$B$4:$B$34&lt;&gt;""))&gt;0)*(EXACT('Horarios disponibles por ano'!$A$4:$A$34,$B4))*(EXACT('Horarios disponibles por ano'!$B$4:$B$34,$E4)),0),0))),"",INDEX('Horarios disponibles por ano'!$B$4:$B$34,MATCH(1,INDEX(1*((('Horarios disponibles por ano'!$A$4:$A$34&lt;&gt;"")+('Horarios disponibles por ano'!$B$4:$B$34&lt;&gt;""))&gt;0)*(EXACT('Horarios disponibles por ano'!$A$4:$A$34,$B4))*(EXACT('Horarios disponibles por ano'!$B$4:$B$34,$E4)),0),0)))),""),"no","si")))</f>
        <v/>
      </c>
      <c r="J4" s="3">
        <f>IF(AND($A4=""),"",MID(IF(OR(($E4=""),($F4="")),"; "&amp;"Esta brigada todavia no tiene clase esta semana","")&amp;IF(EXACT($I4,"no"),"; "&amp;"Su ano no tiene este horario disponible","")&amp;IF(AND(NOT(($F4="")),(IFERROR(VALUE($H4&amp;""),0)&lt;IFERROR(VALUE($C4&amp;""),0))),"; "&amp;IF(ISNUMBER(("La instalacion es para "&amp;IF(ISNUMBER($H4),IF($H4=0,"0",ROUND($H4,9-INT(LOG10(ABS($H4))))&amp;""),$H4&amp;"")&amp;" personas y la brigada tiene "&amp;IF(ISNUMBER($C4),IF($C4=0,"0",ROUND($C4,9-INT(LOG10(ABS($C4))))&amp;""),$C4&amp;""))),IF(("La instalacion es para "&amp;IF(ISNUMBER($H4),IF($H4=0,"0",ROUND($H4,9-INT(LOG10(ABS($H4))))&amp;""),$H4&amp;"")&amp;" personas y la brigada tiene "&amp;IF(ISNUMBER($C4),IF($C4=0,"0",ROUND($C4,9-INT(LOG10(ABS($C4))))&amp;""),$C4&amp;""))=0,"0",ROUND(("La instalacion es para "&amp;IF(ISNUMBER($H4),IF($H4=0,"0",ROUND($H4,9-INT(LOG10(ABS($H4))))&amp;""),$H4&amp;"")&amp;" personas y la brigada tiene "&amp;IF(ISNUMBER($C4),IF($C4=0,"0",ROUND($C4,9-INT(LOG10(ABS($C4))))&amp;""),$C4&amp;"")),9-INT(LOG10(ABS(("La instalacion es para "&amp;IF(ISNUMBER($H4),IF($H4=0,"0",ROUND($H4,9-INT(LOG10(ABS($H4))))&amp;""),$H4&amp;"")&amp;" personas y la brigada tiene "&amp;IF(ISNUMBER($C4),IF($C4=0,"0",ROUND($C4,9-INT(LOG10(ABS($C4))))&amp;""),$C4&amp;""))))))&amp;""),("La instalacion es para "&amp;IF(ISNUMBER($H4),IF($H4=0,"0",ROUND($H4,9-INT(LOG10(ABS($H4))))&amp;""),$H4&amp;"")&amp;" personas y la brigada tiene "&amp;IF(ISNUMBER($C4),IF($C4=0,"0",ROUND($C4,9-INT(LOG10(ABS($C4))))&amp;""),$C4&amp;""))&amp;""),"")&amp;IF(AND(NOT(($F4="")),NOT(($E4="")),(SUMPRODUCT(1*(((('Reparto de brigadas'!$A$4:$A$31&lt;&gt;""))&gt;0))*((EXACT('Reparto de brigadas'!$G$4:$G$31,$G4)))*((EXACT('Reparto de brigadas'!$E$4:$E$31,$E4)))*((EXACT('Reparto de brigadas'!$F$4:$F$31,$F4)))*((ROW('Reparto de brigadas'!$A$4:$A$31)&lt;&gt;ROW($A4))))&gt;0)),"; "&amp;"Otra brigada usa esta instalacion en ese horario y esa semana","")&amp;IF(AND(NOT(($E4="")),(SUMPRODUCT(1*(((('Reparto de brigadas'!$A$4:$A$31&lt;&gt;""))&gt;0))*((EXACT('Reparto de brigadas'!$G$4:$G$31,$G4)))*((EXACT('Reparto de brigadas'!$E$4:$E$31,$E4)))*((EXACT('Reparto de brigadas'!$D$4:$D$31,$D4)))*((ROW('Reparto de brigadas'!$A$4:$A$31)&lt;&gt;ROW($A4))))&gt;0)),"; "&amp;"Este profesor tiene otra brigada en ese horario y esa semana",""),3,32767))</f>
        <v/>
      </c>
      <c r="K4" s="3">
        <f>IF(OR(OR(($E4=""),($F4="")),EXACT($I4,"no"),AND(NOT(($F4="")),(IFERROR(VALUE($H4&amp;""),0)&lt;IFERROR(VALUE($C4&amp;""),0))),AND(NOT(($F4="")),NOT(($E4="")),(SUMPRODUCT(1*(((('Reparto de brigadas'!$A$4:$A$31&lt;&gt;""))&gt;0))*((EXACT('Reparto de brigadas'!$G$4:$G$31,$G4)))*((EXACT('Reparto de brigadas'!$E$4:$E$31,$E4)))*((EXACT('Reparto de brigadas'!$F$4:$F$31,$F4)))*((ROW('Reparto de brigadas'!$A$4:$A$31)&lt;&gt;ROW($A4))))&gt;0)),AND(NOT(($E4="")),(SUMPRODUCT(1*(((('Reparto de brigadas'!$A$4:$A$31&lt;&gt;""))&gt;0))*((EXACT('Reparto de brigadas'!$G$4:$G$31,$G4)))*((EXACT('Reparto de brigadas'!$E$4:$E$31,$E4)))*((EXACT('Reparto de brigadas'!$D$4:$D$31,$D4)))*((ROW('Reparto de brigadas'!$A$4:$A$31)&lt;&gt;ROW($A4))))&gt;0))),3,0)</f>
        <v/>
      </c>
      <c r="L4" s="3">
        <f>$G4&amp;CHAR(31)&amp;$F4&amp;CHAR(31)&amp;$E4</f>
        <v/>
      </c>
      <c r="M4" s="3">
        <f>$D4&amp;CHAR(31)&amp;$E4&amp;CHAR(31)&amp;$G4</f>
        <v/>
      </c>
    </row>
    <row r="5">
      <c r="A5" s="3" t="inlineStr">
        <is>
          <t>C112</t>
        </is>
      </c>
      <c r="B5" s="4" t="inlineStr">
        <is>
          <t>CC-1</t>
        </is>
      </c>
      <c r="C5" s="4" t="n">
        <v>25</v>
      </c>
      <c r="D5" s="4" t="inlineStr">
        <is>
          <t>Prof. Alvarez</t>
        </is>
      </c>
      <c r="E5" s="4" t="inlineStr">
        <is>
          <t>11 a.m.</t>
        </is>
      </c>
      <c r="F5" s="4" t="inlineStr">
        <is>
          <t>Gimnasio</t>
        </is>
      </c>
      <c r="G5" s="3">
        <f>IF(AND($A5=""),"",IF(ISNA(MATCH(1,INDEX(EXACT('Anos de carrera'!$A$4:$A$29,$B5)*1*((('Anos de carrera'!$A$4:$A$29&lt;&gt;""))&gt;0),0),0)),"",IF(ISBLANK(INDEX('Anos de carrera'!$C$4:$C$29,MATCH(1,INDEX(EXACT('Anos de carrera'!$A$4:$A$29,$B5)*1*((('Anos de carrera'!$A$4:$A$29&lt;&gt;""))&gt;0),0),0))),"",INDEX('Anos de carrera'!$C$4:$C$29,MATCH(1,INDEX(EXACT('Anos de carrera'!$A$4:$A$29,$B5)*1*((('Anos de carrera'!$A$4:$A$29&lt;&gt;""))&gt;0),0),0)))))</f>
        <v/>
      </c>
      <c r="H5" s="3">
        <f>IF(AND($A5=""),"",IF(ISNA(MATCH(1,INDEX(EXACT('Instalaciones'!$A$4:$A$27,$F5)*1*((('Instalaciones'!$A$4:$A$27&lt;&gt;""))&gt;0),0),0)),0,IF(ISBLANK(INDEX('Instalaciones'!$B$4:$B$27,MATCH(1,INDEX(EXACT('Instalaciones'!$A$4:$A$27,$F5)*1*((('Instalaciones'!$A$4:$A$27&lt;&gt;""))&gt;0),0),0))),"",INDEX('Instalaciones'!$B$4:$B$27,MATCH(1,INDEX(EXACT('Instalaciones'!$A$4:$A$27,$F5)*1*((('Instalaciones'!$A$4:$A$27&lt;&gt;""))&gt;0),0),0)))))</f>
        <v/>
      </c>
      <c r="I5" s="3">
        <f>IF(AND($A5=""),"",IF(($E5=""),"",IF(EXACT(IF(ISNA(MATCH(1,INDEX(1*((('Horarios disponibles por ano'!$A$4:$A$34&lt;&gt;"")+('Horarios disponibles por ano'!$B$4:$B$34&lt;&gt;""))&gt;0)*(EXACT('Horarios disponibles por ano'!$A$4:$A$34,$B5))*(EXACT('Horarios disponibles por ano'!$B$4:$B$34,$E5)),0),0)),"",IF(ISBLANK(INDEX('Horarios disponibles por ano'!$B$4:$B$34,MATCH(1,INDEX(1*((('Horarios disponibles por ano'!$A$4:$A$34&lt;&gt;"")+('Horarios disponibles por ano'!$B$4:$B$34&lt;&gt;""))&gt;0)*(EXACT('Horarios disponibles por ano'!$A$4:$A$34,$B5))*(EXACT('Horarios disponibles por ano'!$B$4:$B$34,$E5)),0),0))),"",INDEX('Horarios disponibles por ano'!$B$4:$B$34,MATCH(1,INDEX(1*((('Horarios disponibles por ano'!$A$4:$A$34&lt;&gt;"")+('Horarios disponibles por ano'!$B$4:$B$34&lt;&gt;""))&gt;0)*(EXACT('Horarios disponibles por ano'!$A$4:$A$34,$B5))*(EXACT('Horarios disponibles por ano'!$B$4:$B$34,$E5)),0),0)))),""),"no","si")))</f>
        <v/>
      </c>
      <c r="J5" s="3">
        <f>IF(AND($A5=""),"",MID(IF(OR(($E5=""),($F5="")),"; "&amp;"Esta brigada todavia no tiene clase esta semana","")&amp;IF(EXACT($I5,"no"),"; "&amp;"Su ano no tiene este horario disponible","")&amp;IF(AND(NOT(($F5="")),(IFERROR(VALUE($H5&amp;""),0)&lt;IFERROR(VALUE($C5&amp;""),0))),"; "&amp;IF(ISNUMBER(("La instalacion es para "&amp;IF(ISNUMBER($H5),IF($H5=0,"0",ROUND($H5,9-INT(LOG10(ABS($H5))))&amp;""),$H5&amp;"")&amp;" personas y la brigada tiene "&amp;IF(ISNUMBER($C5),IF($C5=0,"0",ROUND($C5,9-INT(LOG10(ABS($C5))))&amp;""),$C5&amp;""))),IF(("La instalacion es para "&amp;IF(ISNUMBER($H5),IF($H5=0,"0",ROUND($H5,9-INT(LOG10(ABS($H5))))&amp;""),$H5&amp;"")&amp;" personas y la brigada tiene "&amp;IF(ISNUMBER($C5),IF($C5=0,"0",ROUND($C5,9-INT(LOG10(ABS($C5))))&amp;""),$C5&amp;""))=0,"0",ROUND(("La instalacion es para "&amp;IF(ISNUMBER($H5),IF($H5=0,"0",ROUND($H5,9-INT(LOG10(ABS($H5))))&amp;""),$H5&amp;"")&amp;" personas y la brigada tiene "&amp;IF(ISNUMBER($C5),IF($C5=0,"0",ROUND($C5,9-INT(LOG10(ABS($C5))))&amp;""),$C5&amp;"")),9-INT(LOG10(ABS(("La instalacion es para "&amp;IF(ISNUMBER($H5),IF($H5=0,"0",ROUND($H5,9-INT(LOG10(ABS($H5))))&amp;""),$H5&amp;"")&amp;" personas y la brigada tiene "&amp;IF(ISNUMBER($C5),IF($C5=0,"0",ROUND($C5,9-INT(LOG10(ABS($C5))))&amp;""),$C5&amp;""))))))&amp;""),("La instalacion es para "&amp;IF(ISNUMBER($H5),IF($H5=0,"0",ROUND($H5,9-INT(LOG10(ABS($H5))))&amp;""),$H5&amp;"")&amp;" personas y la brigada tiene "&amp;IF(ISNUMBER($C5),IF($C5=0,"0",ROUND($C5,9-INT(LOG10(ABS($C5))))&amp;""),$C5&amp;""))&amp;""),"")&amp;IF(AND(NOT(($F5="")),NOT(($E5="")),(SUMPRODUCT(1*(((('Reparto de brigadas'!$A$4:$A$31&lt;&gt;""))&gt;0))*((EXACT('Reparto de brigadas'!$G$4:$G$31,$G5)))*((EXACT('Reparto de brigadas'!$E$4:$E$31,$E5)))*((EXACT('Reparto de brigadas'!$F$4:$F$31,$F5)))*((ROW('Reparto de brigadas'!$A$4:$A$31)&lt;&gt;ROW($A5))))&gt;0)),"; "&amp;"Otra brigada usa esta instalacion en ese horario y esa semana","")&amp;IF(AND(NOT(($E5="")),(SUMPRODUCT(1*(((('Reparto de brigadas'!$A$4:$A$31&lt;&gt;""))&gt;0))*((EXACT('Reparto de brigadas'!$G$4:$G$31,$G5)))*((EXACT('Reparto de brigadas'!$E$4:$E$31,$E5)))*((EXACT('Reparto de brigadas'!$D$4:$D$31,$D5)))*((ROW('Reparto de brigadas'!$A$4:$A$31)&lt;&gt;ROW($A5))))&gt;0)),"; "&amp;"Este profesor tiene otra brigada en ese horario y esa semana",""),3,32767))</f>
        <v/>
      </c>
      <c r="K5" s="3">
        <f>IF(OR(OR(($E5=""),($F5="")),EXACT($I5,"no"),AND(NOT(($F5="")),(IFERROR(VALUE($H5&amp;""),0)&lt;IFERROR(VALUE($C5&amp;""),0))),AND(NOT(($F5="")),NOT(($E5="")),(SUMPRODUCT(1*(((('Reparto de brigadas'!$A$4:$A$31&lt;&gt;""))&gt;0))*((EXACT('Reparto de brigadas'!$G$4:$G$31,$G5)))*((EXACT('Reparto de brigadas'!$E$4:$E$31,$E5)))*((EXACT('Reparto de brigadas'!$F$4:$F$31,$F5)))*((ROW('Reparto de brigadas'!$A$4:$A$31)&lt;&gt;ROW($A5))))&gt;0)),AND(NOT(($E5="")),(SUMPRODUCT(1*(((('Reparto de brigadas'!$A$4:$A$31&lt;&gt;""))&gt;0))*((EXACT('Reparto de brigadas'!$G$4:$G$31,$G5)))*((EXACT('Reparto de brigadas'!$E$4:$E$31,$E5)))*((EXACT('Reparto de brigadas'!$D$4:$D$31,$D5)))*((ROW('Reparto de brigadas'!$A$4:$A$31)&lt;&gt;ROW($A5))))&gt;0))),3,0)</f>
        <v/>
      </c>
      <c r="L5" s="3">
        <f>$G5&amp;CHAR(31)&amp;$F5&amp;CHAR(31)&amp;$E5</f>
        <v/>
      </c>
      <c r="M5" s="3">
        <f>$D5&amp;CHAR(31)&amp;$E5&amp;CHAR(31)&amp;$G5</f>
        <v/>
      </c>
    </row>
    <row r="6">
      <c r="A6" s="3" t="inlineStr">
        <is>
          <t>C211</t>
        </is>
      </c>
      <c r="B6" s="4" t="inlineStr">
        <is>
          <t>CC-2</t>
        </is>
      </c>
      <c r="C6" s="4" t="n">
        <v>22</v>
      </c>
      <c r="D6" s="4" t="inlineStr">
        <is>
          <t>Prof. Benitez</t>
        </is>
      </c>
      <c r="E6" s="4" t="inlineStr">
        <is>
          <t>3 p.m.</t>
        </is>
      </c>
      <c r="F6" s="4" t="inlineStr">
        <is>
          <t>Piscina</t>
        </is>
      </c>
      <c r="G6" s="3">
        <f>IF(AND($A6=""),"",IF(ISNA(MATCH(1,INDEX(EXACT('Anos de carrera'!$A$4:$A$29,$B6)*1*((('Anos de carrera'!$A$4:$A$29&lt;&gt;""))&gt;0),0),0)),"",IF(ISBLANK(INDEX('Anos de carrera'!$C$4:$C$29,MATCH(1,INDEX(EXACT('Anos de carrera'!$A$4:$A$29,$B6)*1*((('Anos de carrera'!$A$4:$A$29&lt;&gt;""))&gt;0),0),0))),"",INDEX('Anos de carrera'!$C$4:$C$29,MATCH(1,INDEX(EXACT('Anos de carrera'!$A$4:$A$29,$B6)*1*((('Anos de carrera'!$A$4:$A$29&lt;&gt;""))&gt;0),0),0)))))</f>
        <v/>
      </c>
      <c r="H6" s="3">
        <f>IF(AND($A6=""),"",IF(ISNA(MATCH(1,INDEX(EXACT('Instalaciones'!$A$4:$A$27,$F6)*1*((('Instalaciones'!$A$4:$A$27&lt;&gt;""))&gt;0),0),0)),0,IF(ISBLANK(INDEX('Instalaciones'!$B$4:$B$27,MATCH(1,INDEX(EXACT('Instalaciones'!$A$4:$A$27,$F6)*1*((('Instalaciones'!$A$4:$A$27&lt;&gt;""))&gt;0),0),0))),"",INDEX('Instalaciones'!$B$4:$B$27,MATCH(1,INDEX(EXACT('Instalaciones'!$A$4:$A$27,$F6)*1*((('Instalaciones'!$A$4:$A$27&lt;&gt;""))&gt;0),0),0)))))</f>
        <v/>
      </c>
      <c r="I6" s="3">
        <f>IF(AND($A6=""),"",IF(($E6=""),"",IF(EXACT(IF(ISNA(MATCH(1,INDEX(1*((('Horarios disponibles por ano'!$A$4:$A$34&lt;&gt;"")+('Horarios disponibles por ano'!$B$4:$B$34&lt;&gt;""))&gt;0)*(EXACT('Horarios disponibles por ano'!$A$4:$A$34,$B6))*(EXACT('Horarios disponibles por ano'!$B$4:$B$34,$E6)),0),0)),"",IF(ISBLANK(INDEX('Horarios disponibles por ano'!$B$4:$B$34,MATCH(1,INDEX(1*((('Horarios disponibles por ano'!$A$4:$A$34&lt;&gt;"")+('Horarios disponibles por ano'!$B$4:$B$34&lt;&gt;""))&gt;0)*(EXACT('Horarios disponibles por ano'!$A$4:$A$34,$B6))*(EXACT('Horarios disponibles por ano'!$B$4:$B$34,$E6)),0),0))),"",INDEX('Horarios disponibles por ano'!$B$4:$B$34,MATCH(1,INDEX(1*((('Horarios disponibles por ano'!$A$4:$A$34&lt;&gt;"")+('Horarios disponibles por ano'!$B$4:$B$34&lt;&gt;""))&gt;0)*(EXACT('Horarios disponibles por ano'!$A$4:$A$34,$B6))*(EXACT('Horarios disponibles por ano'!$B$4:$B$34,$E6)),0),0)))),""),"no","si")))</f>
        <v/>
      </c>
      <c r="J6" s="3">
        <f>IF(AND($A6=""),"",MID(IF(OR(($E6=""),($F6="")),"; "&amp;"Esta brigada todavia no tiene clase esta semana","")&amp;IF(EXACT($I6,"no"),"; "&amp;"Su ano no tiene este horario disponible","")&amp;IF(AND(NOT(($F6="")),(IFERROR(VALUE($H6&amp;""),0)&lt;IFERROR(VALUE($C6&amp;""),0))),"; "&amp;IF(ISNUMBER(("La instalacion es para "&amp;IF(ISNUMBER($H6),IF($H6=0,"0",ROUND($H6,9-INT(LOG10(ABS($H6))))&amp;""),$H6&amp;"")&amp;" personas y la brigada tiene "&amp;IF(ISNUMBER($C6),IF($C6=0,"0",ROUND($C6,9-INT(LOG10(ABS($C6))))&amp;""),$C6&amp;""))),IF(("La instalacion es para "&amp;IF(ISNUMBER($H6),IF($H6=0,"0",ROUND($H6,9-INT(LOG10(ABS($H6))))&amp;""),$H6&amp;"")&amp;" personas y la brigada tiene "&amp;IF(ISNUMBER($C6),IF($C6=0,"0",ROUND($C6,9-INT(LOG10(ABS($C6))))&amp;""),$C6&amp;""))=0,"0",ROUND(("La instalacion es para "&amp;IF(ISNUMBER($H6),IF($H6=0,"0",ROUND($H6,9-INT(LOG10(ABS($H6))))&amp;""),$H6&amp;"")&amp;" personas y la brigada tiene "&amp;IF(ISNUMBER($C6),IF($C6=0,"0",ROUND($C6,9-INT(LOG10(ABS($C6))))&amp;""),$C6&amp;"")),9-INT(LOG10(ABS(("La instalacion es para "&amp;IF(ISNUMBER($H6),IF($H6=0,"0",ROUND($H6,9-INT(LOG10(ABS($H6))))&amp;""),$H6&amp;"")&amp;" personas y la brigada tiene "&amp;IF(ISNUMBER($C6),IF($C6=0,"0",ROUND($C6,9-INT(LOG10(ABS($C6))))&amp;""),$C6&amp;""))))))&amp;""),("La instalacion es para "&amp;IF(ISNUMBER($H6),IF($H6=0,"0",ROUND($H6,9-INT(LOG10(ABS($H6))))&amp;""),$H6&amp;"")&amp;" personas y la brigada tiene "&amp;IF(ISNUMBER($C6),IF($C6=0,"0",ROUND($C6,9-INT(LOG10(ABS($C6))))&amp;""),$C6&amp;""))&amp;""),"")&amp;IF(AND(NOT(($F6="")),NOT(($E6="")),(SUMPRODUCT(1*(((('Reparto de brigadas'!$A$4:$A$31&lt;&gt;""))&gt;0))*((EXACT('Reparto de brigadas'!$G$4:$G$31,$G6)))*((EXACT('Reparto de brigadas'!$E$4:$E$31,$E6)))*((EXACT('Reparto de brigadas'!$F$4:$F$31,$F6)))*((ROW('Reparto de brigadas'!$A$4:$A$31)&lt;&gt;ROW($A6))))&gt;0)),"; "&amp;"Otra brigada usa esta instalacion en ese horario y esa semana","")&amp;IF(AND(NOT(($E6="")),(SUMPRODUCT(1*(((('Reparto de brigadas'!$A$4:$A$31&lt;&gt;""))&gt;0))*((EXACT('Reparto de brigadas'!$G$4:$G$31,$G6)))*((EXACT('Reparto de brigadas'!$E$4:$E$31,$E6)))*((EXACT('Reparto de brigadas'!$D$4:$D$31,$D6)))*((ROW('Reparto de brigadas'!$A$4:$A$31)&lt;&gt;ROW($A6))))&gt;0)),"; "&amp;"Este profesor tiene otra brigada en ese horario y esa semana",""),3,32767))</f>
        <v/>
      </c>
      <c r="K6" s="3">
        <f>IF(OR(OR(($E6=""),($F6="")),EXACT($I6,"no"),AND(NOT(($F6="")),(IFERROR(VALUE($H6&amp;""),0)&lt;IFERROR(VALUE($C6&amp;""),0))),AND(NOT(($F6="")),NOT(($E6="")),(SUMPRODUCT(1*(((('Reparto de brigadas'!$A$4:$A$31&lt;&gt;""))&gt;0))*((EXACT('Reparto de brigadas'!$G$4:$G$31,$G6)))*((EXACT('Reparto de brigadas'!$E$4:$E$31,$E6)))*((EXACT('Reparto de brigadas'!$F$4:$F$31,$F6)))*((ROW('Reparto de brigadas'!$A$4:$A$31)&lt;&gt;ROW($A6))))&gt;0)),AND(NOT(($E6="")),(SUMPRODUCT(1*(((('Reparto de brigadas'!$A$4:$A$31&lt;&gt;""))&gt;0))*((EXACT('Reparto de brigadas'!$G$4:$G$31,$G6)))*((EXACT('Reparto de brigadas'!$E$4:$E$31,$E6)))*((EXACT('Reparto de brigadas'!$D$4:$D$31,$D6)))*((ROW('Reparto de brigadas'!$A$4:$A$31)&lt;&gt;ROW($A6))))&gt;0))),3,0)</f>
        <v/>
      </c>
      <c r="L6" s="3">
        <f>$G6&amp;CHAR(31)&amp;$F6&amp;CHAR(31)&amp;$E6</f>
        <v/>
      </c>
      <c r="M6" s="3">
        <f>$D6&amp;CHAR(31)&amp;$E6&amp;CHAR(31)&amp;$G6</f>
        <v/>
      </c>
    </row>
    <row r="7">
      <c r="A7" s="3" t="inlineStr">
        <is>
          <t>C212</t>
        </is>
      </c>
      <c r="B7" s="4" t="inlineStr">
        <is>
          <t>CC-2</t>
        </is>
      </c>
      <c r="C7" s="4" t="n">
        <v>20</v>
      </c>
      <c r="D7" s="4" t="inlineStr">
        <is>
          <t>Prof. Benitez</t>
        </is>
      </c>
      <c r="E7" s="4" t="inlineStr">
        <is>
          <t>11 a.m.</t>
        </is>
      </c>
      <c r="F7" s="4" t="inlineStr">
        <is>
          <t>Pista 2</t>
        </is>
      </c>
      <c r="G7" s="3">
        <f>IF(AND($A7=""),"",IF(ISNA(MATCH(1,INDEX(EXACT('Anos de carrera'!$A$4:$A$29,$B7)*1*((('Anos de carrera'!$A$4:$A$29&lt;&gt;""))&gt;0),0),0)),"",IF(ISBLANK(INDEX('Anos de carrera'!$C$4:$C$29,MATCH(1,INDEX(EXACT('Anos de carrera'!$A$4:$A$29,$B7)*1*((('Anos de carrera'!$A$4:$A$29&lt;&gt;""))&gt;0),0),0))),"",INDEX('Anos de carrera'!$C$4:$C$29,MATCH(1,INDEX(EXACT('Anos de carrera'!$A$4:$A$29,$B7)*1*((('Anos de carrera'!$A$4:$A$29&lt;&gt;""))&gt;0),0),0)))))</f>
        <v/>
      </c>
      <c r="H7" s="3">
        <f>IF(AND($A7=""),"",IF(ISNA(MATCH(1,INDEX(EXACT('Instalaciones'!$A$4:$A$27,$F7)*1*((('Instalaciones'!$A$4:$A$27&lt;&gt;""))&gt;0),0),0)),0,IF(ISBLANK(INDEX('Instalaciones'!$B$4:$B$27,MATCH(1,INDEX(EXACT('Instalaciones'!$A$4:$A$27,$F7)*1*((('Instalaciones'!$A$4:$A$27&lt;&gt;""))&gt;0),0),0))),"",INDEX('Instalaciones'!$B$4:$B$27,MATCH(1,INDEX(EXACT('Instalaciones'!$A$4:$A$27,$F7)*1*((('Instalaciones'!$A$4:$A$27&lt;&gt;""))&gt;0),0),0)))))</f>
        <v/>
      </c>
      <c r="I7" s="3">
        <f>IF(AND($A7=""),"",IF(($E7=""),"",IF(EXACT(IF(ISNA(MATCH(1,INDEX(1*((('Horarios disponibles por ano'!$A$4:$A$34&lt;&gt;"")+('Horarios disponibles por ano'!$B$4:$B$34&lt;&gt;""))&gt;0)*(EXACT('Horarios disponibles por ano'!$A$4:$A$34,$B7))*(EXACT('Horarios disponibles por ano'!$B$4:$B$34,$E7)),0),0)),"",IF(ISBLANK(INDEX('Horarios disponibles por ano'!$B$4:$B$34,MATCH(1,INDEX(1*((('Horarios disponibles por ano'!$A$4:$A$34&lt;&gt;"")+('Horarios disponibles por ano'!$B$4:$B$34&lt;&gt;""))&gt;0)*(EXACT('Horarios disponibles por ano'!$A$4:$A$34,$B7))*(EXACT('Horarios disponibles por ano'!$B$4:$B$34,$E7)),0),0))),"",INDEX('Horarios disponibles por ano'!$B$4:$B$34,MATCH(1,INDEX(1*((('Horarios disponibles por ano'!$A$4:$A$34&lt;&gt;"")+('Horarios disponibles por ano'!$B$4:$B$34&lt;&gt;""))&gt;0)*(EXACT('Horarios disponibles por ano'!$A$4:$A$34,$B7))*(EXACT('Horarios disponibles por ano'!$B$4:$B$34,$E7)),0),0)))),""),"no","si")))</f>
        <v/>
      </c>
      <c r="J7" s="3">
        <f>IF(AND($A7=""),"",MID(IF(OR(($E7=""),($F7="")),"; "&amp;"Esta brigada todavia no tiene clase esta semana","")&amp;IF(EXACT($I7,"no"),"; "&amp;"Su ano no tiene este horario disponible","")&amp;IF(AND(NOT(($F7="")),(IFERROR(VALUE($H7&amp;""),0)&lt;IFERROR(VALUE($C7&amp;""),0))),"; "&amp;IF(ISNUMBER(("La instalacion es para "&amp;IF(ISNUMBER($H7),IF($H7=0,"0",ROUND($H7,9-INT(LOG10(ABS($H7))))&amp;""),$H7&amp;"")&amp;" personas y la brigada tiene "&amp;IF(ISNUMBER($C7),IF($C7=0,"0",ROUND($C7,9-INT(LOG10(ABS($C7))))&amp;""),$C7&amp;""))),IF(("La instalacion es para "&amp;IF(ISNUMBER($H7),IF($H7=0,"0",ROUND($H7,9-INT(LOG10(ABS($H7))))&amp;""),$H7&amp;"")&amp;" personas y la brigada tiene "&amp;IF(ISNUMBER($C7),IF($C7=0,"0",ROUND($C7,9-INT(LOG10(ABS($C7))))&amp;""),$C7&amp;""))=0,"0",ROUND(("La instalacion es para "&amp;IF(ISNUMBER($H7),IF($H7=0,"0",ROUND($H7,9-INT(LOG10(ABS($H7))))&amp;""),$H7&amp;"")&amp;" personas y la brigada tiene "&amp;IF(ISNUMBER($C7),IF($C7=0,"0",ROUND($C7,9-INT(LOG10(ABS($C7))))&amp;""),$C7&amp;"")),9-INT(LOG10(ABS(("La instalacion es para "&amp;IF(ISNUMBER($H7),IF($H7=0,"0",ROUND($H7,9-INT(LOG10(ABS($H7))))&amp;""),$H7&amp;"")&amp;" personas y la brigada tiene "&amp;IF(ISNUMBER($C7),IF($C7=0,"0",ROUND($C7,9-INT(LOG10(ABS($C7))))&amp;""),$C7&amp;""))))))&amp;""),("La instalacion es para "&amp;IF(ISNUMBER($H7),IF($H7=0,"0",ROUND($H7,9-INT(LOG10(ABS($H7))))&amp;""),$H7&amp;"")&amp;" personas y la brigada tiene "&amp;IF(ISNUMBER($C7),IF($C7=0,"0",ROUND($C7,9-INT(LOG10(ABS($C7))))&amp;""),$C7&amp;""))&amp;""),"")&amp;IF(AND(NOT(($F7="")),NOT(($E7="")),(SUMPRODUCT(1*(((('Reparto de brigadas'!$A$4:$A$31&lt;&gt;""))&gt;0))*((EXACT('Reparto de brigadas'!$G$4:$G$31,$G7)))*((EXACT('Reparto de brigadas'!$E$4:$E$31,$E7)))*((EXACT('Reparto de brigadas'!$F$4:$F$31,$F7)))*((ROW('Reparto de brigadas'!$A$4:$A$31)&lt;&gt;ROW($A7))))&gt;0)),"; "&amp;"Otra brigada usa esta instalacion en ese horario y esa semana","")&amp;IF(AND(NOT(($E7="")),(SUMPRODUCT(1*(((('Reparto de brigadas'!$A$4:$A$31&lt;&gt;""))&gt;0))*((EXACT('Reparto de brigadas'!$G$4:$G$31,$G7)))*((EXACT('Reparto de brigadas'!$E$4:$E$31,$E7)))*((EXACT('Reparto de brigadas'!$D$4:$D$31,$D7)))*((ROW('Reparto de brigadas'!$A$4:$A$31)&lt;&gt;ROW($A7))))&gt;0)),"; "&amp;"Este profesor tiene otra brigada en ese horario y esa semana",""),3,32767))</f>
        <v/>
      </c>
      <c r="K7" s="3">
        <f>IF(OR(OR(($E7=""),($F7="")),EXACT($I7,"no"),AND(NOT(($F7="")),(IFERROR(VALUE($H7&amp;""),0)&lt;IFERROR(VALUE($C7&amp;""),0))),AND(NOT(($F7="")),NOT(($E7="")),(SUMPRODUCT(1*(((('Reparto de brigadas'!$A$4:$A$31&lt;&gt;""))&gt;0))*((EXACT('Reparto de brigadas'!$G$4:$G$31,$G7)))*((EXACT('Reparto de brigadas'!$E$4:$E$31,$E7)))*((EXACT('Reparto de brigadas'!$F$4:$F$31,$F7)))*((ROW('Reparto de brigadas'!$A$4:$A$31)&lt;&gt;ROW($A7))))&gt;0)),AND(NOT(($E7="")),(SUMPRODUCT(1*(((('Reparto de brigadas'!$A$4:$A$31&lt;&gt;""))&gt;0))*((EXACT('Reparto de brigadas'!$G$4:$G$31,$G7)))*((EXACT('Reparto de brigadas'!$E$4:$E$31,$E7)))*((EXACT('Reparto de brigadas'!$D$4:$D$31,$D7)))*((ROW('Reparto de brigadas'!$A$4:$A$31)&lt;&gt;ROW($A7))))&gt;0))),3,0)</f>
        <v/>
      </c>
      <c r="L7" s="3">
        <f>$G7&amp;CHAR(31)&amp;$F7&amp;CHAR(31)&amp;$E7</f>
        <v/>
      </c>
      <c r="M7" s="3">
        <f>$D7&amp;CHAR(31)&amp;$E7&amp;CHAR(31)&amp;$G7</f>
        <v/>
      </c>
    </row>
    <row r="8">
      <c r="A8" s="3" t="inlineStr">
        <is>
          <t>M11</t>
        </is>
      </c>
      <c r="B8" s="4" t="inlineStr">
        <is>
          <t>MAT-1</t>
        </is>
      </c>
      <c r="C8" s="4" t="n">
        <v>30</v>
      </c>
      <c r="D8" s="4" t="inlineStr">
        <is>
          <t>Prof. Castro</t>
        </is>
      </c>
      <c r="E8" s="4" t="inlineStr">
        <is>
          <t>10 a.m.</t>
        </is>
      </c>
      <c r="F8" s="4" t="inlineStr">
        <is>
          <t>Pista 2</t>
        </is>
      </c>
      <c r="G8" s="3">
        <f>IF(AND($A8=""),"",IF(ISNA(MATCH(1,INDEX(EXACT('Anos de carrera'!$A$4:$A$29,$B8)*1*((('Anos de carrera'!$A$4:$A$29&lt;&gt;""))&gt;0),0),0)),"",IF(ISBLANK(INDEX('Anos de carrera'!$C$4:$C$29,MATCH(1,INDEX(EXACT('Anos de carrera'!$A$4:$A$29,$B8)*1*((('Anos de carrera'!$A$4:$A$29&lt;&gt;""))&gt;0),0),0))),"",INDEX('Anos de carrera'!$C$4:$C$29,MATCH(1,INDEX(EXACT('Anos de carrera'!$A$4:$A$29,$B8)*1*((('Anos de carrera'!$A$4:$A$29&lt;&gt;""))&gt;0),0),0)))))</f>
        <v/>
      </c>
      <c r="H8" s="3">
        <f>IF(AND($A8=""),"",IF(ISNA(MATCH(1,INDEX(EXACT('Instalaciones'!$A$4:$A$27,$F8)*1*((('Instalaciones'!$A$4:$A$27&lt;&gt;""))&gt;0),0),0)),0,IF(ISBLANK(INDEX('Instalaciones'!$B$4:$B$27,MATCH(1,INDEX(EXACT('Instalaciones'!$A$4:$A$27,$F8)*1*((('Instalaciones'!$A$4:$A$27&lt;&gt;""))&gt;0),0),0))),"",INDEX('Instalaciones'!$B$4:$B$27,MATCH(1,INDEX(EXACT('Instalaciones'!$A$4:$A$27,$F8)*1*((('Instalaciones'!$A$4:$A$27&lt;&gt;""))&gt;0),0),0)))))</f>
        <v/>
      </c>
      <c r="I8" s="3">
        <f>IF(AND($A8=""),"",IF(($E8=""),"",IF(EXACT(IF(ISNA(MATCH(1,INDEX(1*((('Horarios disponibles por ano'!$A$4:$A$34&lt;&gt;"")+('Horarios disponibles por ano'!$B$4:$B$34&lt;&gt;""))&gt;0)*(EXACT('Horarios disponibles por ano'!$A$4:$A$34,$B8))*(EXACT('Horarios disponibles por ano'!$B$4:$B$34,$E8)),0),0)),"",IF(ISBLANK(INDEX('Horarios disponibles por ano'!$B$4:$B$34,MATCH(1,INDEX(1*((('Horarios disponibles por ano'!$A$4:$A$34&lt;&gt;"")+('Horarios disponibles por ano'!$B$4:$B$34&lt;&gt;""))&gt;0)*(EXACT('Horarios disponibles por ano'!$A$4:$A$34,$B8))*(EXACT('Horarios disponibles por ano'!$B$4:$B$34,$E8)),0),0))),"",INDEX('Horarios disponibles por ano'!$B$4:$B$34,MATCH(1,INDEX(1*((('Horarios disponibles por ano'!$A$4:$A$34&lt;&gt;"")+('Horarios disponibles por ano'!$B$4:$B$34&lt;&gt;""))&gt;0)*(EXACT('Horarios disponibles por ano'!$A$4:$A$34,$B8))*(EXACT('Horarios disponibles por ano'!$B$4:$B$34,$E8)),0),0)))),""),"no","si")))</f>
        <v/>
      </c>
      <c r="J8" s="3">
        <f>IF(AND($A8=""),"",MID(IF(OR(($E8=""),($F8="")),"; "&amp;"Esta brigada todavia no tiene clase esta semana","")&amp;IF(EXACT($I8,"no"),"; "&amp;"Su ano no tiene este horario disponible","")&amp;IF(AND(NOT(($F8="")),(IFERROR(VALUE($H8&amp;""),0)&lt;IFERROR(VALUE($C8&amp;""),0))),"; "&amp;IF(ISNUMBER(("La instalacion es para "&amp;IF(ISNUMBER($H8),IF($H8=0,"0",ROUND($H8,9-INT(LOG10(ABS($H8))))&amp;""),$H8&amp;"")&amp;" personas y la brigada tiene "&amp;IF(ISNUMBER($C8),IF($C8=0,"0",ROUND($C8,9-INT(LOG10(ABS($C8))))&amp;""),$C8&amp;""))),IF(("La instalacion es para "&amp;IF(ISNUMBER($H8),IF($H8=0,"0",ROUND($H8,9-INT(LOG10(ABS($H8))))&amp;""),$H8&amp;"")&amp;" personas y la brigada tiene "&amp;IF(ISNUMBER($C8),IF($C8=0,"0",ROUND($C8,9-INT(LOG10(ABS($C8))))&amp;""),$C8&amp;""))=0,"0",ROUND(("La instalacion es para "&amp;IF(ISNUMBER($H8),IF($H8=0,"0",ROUND($H8,9-INT(LOG10(ABS($H8))))&amp;""),$H8&amp;"")&amp;" personas y la brigada tiene "&amp;IF(ISNUMBER($C8),IF($C8=0,"0",ROUND($C8,9-INT(LOG10(ABS($C8))))&amp;""),$C8&amp;"")),9-INT(LOG10(ABS(("La instalacion es para "&amp;IF(ISNUMBER($H8),IF($H8=0,"0",ROUND($H8,9-INT(LOG10(ABS($H8))))&amp;""),$H8&amp;"")&amp;" personas y la brigada tiene "&amp;IF(ISNUMBER($C8),IF($C8=0,"0",ROUND($C8,9-INT(LOG10(ABS($C8))))&amp;""),$C8&amp;""))))))&amp;""),("La instalacion es para "&amp;IF(ISNUMBER($H8),IF($H8=0,"0",ROUND($H8,9-INT(LOG10(ABS($H8))))&amp;""),$H8&amp;"")&amp;" personas y la brigada tiene "&amp;IF(ISNUMBER($C8),IF($C8=0,"0",ROUND($C8,9-INT(LOG10(ABS($C8))))&amp;""),$C8&amp;""))&amp;""),"")&amp;IF(AND(NOT(($F8="")),NOT(($E8="")),(SUMPRODUCT(1*(((('Reparto de brigadas'!$A$4:$A$31&lt;&gt;""))&gt;0))*((EXACT('Reparto de brigadas'!$G$4:$G$31,$G8)))*((EXACT('Reparto de brigadas'!$E$4:$E$31,$E8)))*((EXACT('Reparto de brigadas'!$F$4:$F$31,$F8)))*((ROW('Reparto de brigadas'!$A$4:$A$31)&lt;&gt;ROW($A8))))&gt;0)),"; "&amp;"Otra brigada usa esta instalacion en ese horario y esa semana","")&amp;IF(AND(NOT(($E8="")),(SUMPRODUCT(1*(((('Reparto de brigadas'!$A$4:$A$31&lt;&gt;""))&gt;0))*((EXACT('Reparto de brigadas'!$G$4:$G$31,$G8)))*((EXACT('Reparto de brigadas'!$E$4:$E$31,$E8)))*((EXACT('Reparto de brigadas'!$D$4:$D$31,$D8)))*((ROW('Reparto de brigadas'!$A$4:$A$31)&lt;&gt;ROW($A8))))&gt;0)),"; "&amp;"Este profesor tiene otra brigada en ese horario y esa semana",""),3,32767))</f>
        <v/>
      </c>
      <c r="K8" s="3">
        <f>IF(OR(OR(($E8=""),($F8="")),EXACT($I8,"no"),AND(NOT(($F8="")),(IFERROR(VALUE($H8&amp;""),0)&lt;IFERROR(VALUE($C8&amp;""),0))),AND(NOT(($F8="")),NOT(($E8="")),(SUMPRODUCT(1*(((('Reparto de brigadas'!$A$4:$A$31&lt;&gt;""))&gt;0))*((EXACT('Reparto de brigadas'!$G$4:$G$31,$G8)))*((EXACT('Reparto de brigadas'!$E$4:$E$31,$E8)))*((EXACT('Reparto de brigadas'!$F$4:$F$31,$F8)))*((ROW('Reparto de brigadas'!$A$4:$A$31)&lt;&gt;ROW($A8))))&gt;0)),AND(NOT(($E8="")),(SUMPRODUCT(1*(((('Reparto de brigadas'!$A$4:$A$31&lt;&gt;""))&gt;0))*((EXACT('Reparto de brigadas'!$G$4:$G$31,$G8)))*((EXACT('Reparto de brigadas'!$E$4:$E$31,$E8)))*((EXACT('Reparto de brigadas'!$D$4:$D$31,$D8)))*((ROW('Reparto de brigadas'!$A$4:$A$31)&lt;&gt;ROW($A8))))&gt;0))),3,0)</f>
        <v/>
      </c>
      <c r="L8" s="3">
        <f>$G8&amp;CHAR(31)&amp;$F8&amp;CHAR(31)&amp;$E8</f>
        <v/>
      </c>
      <c r="M8" s="3">
        <f>$D8&amp;CHAR(31)&amp;$E8&amp;CHAR(31)&amp;$G8</f>
        <v/>
      </c>
    </row>
    <row r="9">
      <c r="A9" s="3" t="inlineStr">
        <is>
          <t>M21</t>
        </is>
      </c>
      <c r="B9" s="4" t="inlineStr">
        <is>
          <t>MAT-2</t>
        </is>
      </c>
      <c r="C9" s="4" t="n">
        <v>18</v>
      </c>
      <c r="D9" s="4" t="inlineStr">
        <is>
          <t>Prof. Castro</t>
        </is>
      </c>
      <c r="E9" s="4" t="inlineStr">
        <is>
          <t>11 a.m.</t>
        </is>
      </c>
      <c r="F9" s="4" t="inlineStr">
        <is>
          <t>Pista 2</t>
        </is>
      </c>
      <c r="G9" s="3">
        <f>IF(AND($A9=""),"",IF(ISNA(MATCH(1,INDEX(EXACT('Anos de carrera'!$A$4:$A$29,$B9)*1*((('Anos de carrera'!$A$4:$A$29&lt;&gt;""))&gt;0),0),0)),"",IF(ISBLANK(INDEX('Anos de carrera'!$C$4:$C$29,MATCH(1,INDEX(EXACT('Anos de carrera'!$A$4:$A$29,$B9)*1*((('Anos de carrera'!$A$4:$A$29&lt;&gt;""))&gt;0),0),0))),"",INDEX('Anos de carrera'!$C$4:$C$29,MATCH(1,INDEX(EXACT('Anos de carrera'!$A$4:$A$29,$B9)*1*((('Anos de carrera'!$A$4:$A$29&lt;&gt;""))&gt;0),0),0)))))</f>
        <v/>
      </c>
      <c r="H9" s="3">
        <f>IF(AND($A9=""),"",IF(ISNA(MATCH(1,INDEX(EXACT('Instalaciones'!$A$4:$A$27,$F9)*1*((('Instalaciones'!$A$4:$A$27&lt;&gt;""))&gt;0),0),0)),0,IF(ISBLANK(INDEX('Instalaciones'!$B$4:$B$27,MATCH(1,INDEX(EXACT('Instalaciones'!$A$4:$A$27,$F9)*1*((('Instalaciones'!$A$4:$A$27&lt;&gt;""))&gt;0),0),0))),"",INDEX('Instalaciones'!$B$4:$B$27,MATCH(1,INDEX(EXACT('Instalaciones'!$A$4:$A$27,$F9)*1*((('Instalaciones'!$A$4:$A$27&lt;&gt;""))&gt;0),0),0)))))</f>
        <v/>
      </c>
      <c r="I9" s="3">
        <f>IF(AND($A9=""),"",IF(($E9=""),"",IF(EXACT(IF(ISNA(MATCH(1,INDEX(1*((('Horarios disponibles por ano'!$A$4:$A$34&lt;&gt;"")+('Horarios disponibles por ano'!$B$4:$B$34&lt;&gt;""))&gt;0)*(EXACT('Horarios disponibles por ano'!$A$4:$A$34,$B9))*(EXACT('Horarios disponibles por ano'!$B$4:$B$34,$E9)),0),0)),"",IF(ISBLANK(INDEX('Horarios disponibles por ano'!$B$4:$B$34,MATCH(1,INDEX(1*((('Horarios disponibles por ano'!$A$4:$A$34&lt;&gt;"")+('Horarios disponibles por ano'!$B$4:$B$34&lt;&gt;""))&gt;0)*(EXACT('Horarios disponibles por ano'!$A$4:$A$34,$B9))*(EXACT('Horarios disponibles por ano'!$B$4:$B$34,$E9)),0),0))),"",INDEX('Horarios disponibles por ano'!$B$4:$B$34,MATCH(1,INDEX(1*((('Horarios disponibles por ano'!$A$4:$A$34&lt;&gt;"")+('Horarios disponibles por ano'!$B$4:$B$34&lt;&gt;""))&gt;0)*(EXACT('Horarios disponibles por ano'!$A$4:$A$34,$B9))*(EXACT('Horarios disponibles por ano'!$B$4:$B$34,$E9)),0),0)))),""),"no","si")))</f>
        <v/>
      </c>
      <c r="J9" s="3">
        <f>IF(AND($A9=""),"",MID(IF(OR(($E9=""),($F9="")),"; "&amp;"Esta brigada todavia no tiene clase esta semana","")&amp;IF(EXACT($I9,"no"),"; "&amp;"Su ano no tiene este horario disponible","")&amp;IF(AND(NOT(($F9="")),(IFERROR(VALUE($H9&amp;""),0)&lt;IFERROR(VALUE($C9&amp;""),0))),"; "&amp;IF(ISNUMBER(("La instalacion es para "&amp;IF(ISNUMBER($H9),IF($H9=0,"0",ROUND($H9,9-INT(LOG10(ABS($H9))))&amp;""),$H9&amp;"")&amp;" personas y la brigada tiene "&amp;IF(ISNUMBER($C9),IF($C9=0,"0",ROUND($C9,9-INT(LOG10(ABS($C9))))&amp;""),$C9&amp;""))),IF(("La instalacion es para "&amp;IF(ISNUMBER($H9),IF($H9=0,"0",ROUND($H9,9-INT(LOG10(ABS($H9))))&amp;""),$H9&amp;"")&amp;" personas y la brigada tiene "&amp;IF(ISNUMBER($C9),IF($C9=0,"0",ROUND($C9,9-INT(LOG10(ABS($C9))))&amp;""),$C9&amp;""))=0,"0",ROUND(("La instalacion es para "&amp;IF(ISNUMBER($H9),IF($H9=0,"0",ROUND($H9,9-INT(LOG10(ABS($H9))))&amp;""),$H9&amp;"")&amp;" personas y la brigada tiene "&amp;IF(ISNUMBER($C9),IF($C9=0,"0",ROUND($C9,9-INT(LOG10(ABS($C9))))&amp;""),$C9&amp;"")),9-INT(LOG10(ABS(("La instalacion es para "&amp;IF(ISNUMBER($H9),IF($H9=0,"0",ROUND($H9,9-INT(LOG10(ABS($H9))))&amp;""),$H9&amp;"")&amp;" personas y la brigada tiene "&amp;IF(ISNUMBER($C9),IF($C9=0,"0",ROUND($C9,9-INT(LOG10(ABS($C9))))&amp;""),$C9&amp;""))))))&amp;""),("La instalacion es para "&amp;IF(ISNUMBER($H9),IF($H9=0,"0",ROUND($H9,9-INT(LOG10(ABS($H9))))&amp;""),$H9&amp;"")&amp;" personas y la brigada tiene "&amp;IF(ISNUMBER($C9),IF($C9=0,"0",ROUND($C9,9-INT(LOG10(ABS($C9))))&amp;""),$C9&amp;""))&amp;""),"")&amp;IF(AND(NOT(($F9="")),NOT(($E9="")),(SUMPRODUCT(1*(((('Reparto de brigadas'!$A$4:$A$31&lt;&gt;""))&gt;0))*((EXACT('Reparto de brigadas'!$G$4:$G$31,$G9)))*((EXACT('Reparto de brigadas'!$E$4:$E$31,$E9)))*((EXACT('Reparto de brigadas'!$F$4:$F$31,$F9)))*((ROW('Reparto de brigadas'!$A$4:$A$31)&lt;&gt;ROW($A9))))&gt;0)),"; "&amp;"Otra brigada usa esta instalacion en ese horario y esa semana","")&amp;IF(AND(NOT(($E9="")),(SUMPRODUCT(1*(((('Reparto de brigadas'!$A$4:$A$31&lt;&gt;""))&gt;0))*((EXACT('Reparto de brigadas'!$G$4:$G$31,$G9)))*((EXACT('Reparto de brigadas'!$E$4:$E$31,$E9)))*((EXACT('Reparto de brigadas'!$D$4:$D$31,$D9)))*((ROW('Reparto de brigadas'!$A$4:$A$31)&lt;&gt;ROW($A9))))&gt;0)),"; "&amp;"Este profesor tiene otra brigada en ese horario y esa semana",""),3,32767))</f>
        <v/>
      </c>
      <c r="K9" s="3">
        <f>IF(OR(OR(($E9=""),($F9="")),EXACT($I9,"no"),AND(NOT(($F9="")),(IFERROR(VALUE($H9&amp;""),0)&lt;IFERROR(VALUE($C9&amp;""),0))),AND(NOT(($F9="")),NOT(($E9="")),(SUMPRODUCT(1*(((('Reparto de brigadas'!$A$4:$A$31&lt;&gt;""))&gt;0))*((EXACT('Reparto de brigadas'!$G$4:$G$31,$G9)))*((EXACT('Reparto de brigadas'!$E$4:$E$31,$E9)))*((EXACT('Reparto de brigadas'!$F$4:$F$31,$F9)))*((ROW('Reparto de brigadas'!$A$4:$A$31)&lt;&gt;ROW($A9))))&gt;0)),AND(NOT(($E9="")),(SUMPRODUCT(1*(((('Reparto de brigadas'!$A$4:$A$31&lt;&gt;""))&gt;0))*((EXACT('Reparto de brigadas'!$G$4:$G$31,$G9)))*((EXACT('Reparto de brigadas'!$E$4:$E$31,$E9)))*((EXACT('Reparto de brigadas'!$D$4:$D$31,$D9)))*((ROW('Reparto de brigadas'!$A$4:$A$31)&lt;&gt;ROW($A9))))&gt;0))),3,0)</f>
        <v/>
      </c>
      <c r="L9" s="3">
        <f>$G9&amp;CHAR(31)&amp;$F9&amp;CHAR(31)&amp;$E9</f>
        <v/>
      </c>
      <c r="M9" s="3">
        <f>$D9&amp;CHAR(31)&amp;$E9&amp;CHAR(31)&amp;$G9</f>
        <v/>
      </c>
    </row>
    <row r="10">
      <c r="A10" s="3" t="inlineStr">
        <is>
          <t>F11</t>
        </is>
      </c>
      <c r="B10" s="4" t="inlineStr">
        <is>
          <t>FIS-1</t>
        </is>
      </c>
      <c r="C10" s="4" t="n">
        <v>15</v>
      </c>
      <c r="D10" s="4" t="inlineStr">
        <is>
          <t>Prof. Alvarez</t>
        </is>
      </c>
      <c r="E10" s="4" t="inlineStr">
        <is>
          <t>10 a.m.</t>
        </is>
      </c>
      <c r="F10" s="4" t="inlineStr">
        <is>
          <t>Piscina</t>
        </is>
      </c>
      <c r="G10" s="3">
        <f>IF(AND($A10=""),"",IF(ISNA(MATCH(1,INDEX(EXACT('Anos de carrera'!$A$4:$A$29,$B10)*1*((('Anos de carrera'!$A$4:$A$29&lt;&gt;""))&gt;0),0),0)),"",IF(ISBLANK(INDEX('Anos de carrera'!$C$4:$C$29,MATCH(1,INDEX(EXACT('Anos de carrera'!$A$4:$A$29,$B10)*1*((('Anos de carrera'!$A$4:$A$29&lt;&gt;""))&gt;0),0),0))),"",INDEX('Anos de carrera'!$C$4:$C$29,MATCH(1,INDEX(EXACT('Anos de carrera'!$A$4:$A$29,$B10)*1*((('Anos de carrera'!$A$4:$A$29&lt;&gt;""))&gt;0),0),0)))))</f>
        <v/>
      </c>
      <c r="H10" s="3">
        <f>IF(AND($A10=""),"",IF(ISNA(MATCH(1,INDEX(EXACT('Instalaciones'!$A$4:$A$27,$F10)*1*((('Instalaciones'!$A$4:$A$27&lt;&gt;""))&gt;0),0),0)),0,IF(ISBLANK(INDEX('Instalaciones'!$B$4:$B$27,MATCH(1,INDEX(EXACT('Instalaciones'!$A$4:$A$27,$F10)*1*((('Instalaciones'!$A$4:$A$27&lt;&gt;""))&gt;0),0),0))),"",INDEX('Instalaciones'!$B$4:$B$27,MATCH(1,INDEX(EXACT('Instalaciones'!$A$4:$A$27,$F10)*1*((('Instalaciones'!$A$4:$A$27&lt;&gt;""))&gt;0),0),0)))))</f>
        <v/>
      </c>
      <c r="I10" s="3">
        <f>IF(AND($A10=""),"",IF(($E10=""),"",IF(EXACT(IF(ISNA(MATCH(1,INDEX(1*((('Horarios disponibles por ano'!$A$4:$A$34&lt;&gt;"")+('Horarios disponibles por ano'!$B$4:$B$34&lt;&gt;""))&gt;0)*(EXACT('Horarios disponibles por ano'!$A$4:$A$34,$B10))*(EXACT('Horarios disponibles por ano'!$B$4:$B$34,$E10)),0),0)),"",IF(ISBLANK(INDEX('Horarios disponibles por ano'!$B$4:$B$34,MATCH(1,INDEX(1*((('Horarios disponibles por ano'!$A$4:$A$34&lt;&gt;"")+('Horarios disponibles por ano'!$B$4:$B$34&lt;&gt;""))&gt;0)*(EXACT('Horarios disponibles por ano'!$A$4:$A$34,$B10))*(EXACT('Horarios disponibles por ano'!$B$4:$B$34,$E10)),0),0))),"",INDEX('Horarios disponibles por ano'!$B$4:$B$34,MATCH(1,INDEX(1*((('Horarios disponibles por ano'!$A$4:$A$34&lt;&gt;"")+('Horarios disponibles por ano'!$B$4:$B$34&lt;&gt;""))&gt;0)*(EXACT('Horarios disponibles por ano'!$A$4:$A$34,$B10))*(EXACT('Horarios disponibles por ano'!$B$4:$B$34,$E10)),0),0)))),""),"no","si")))</f>
        <v/>
      </c>
      <c r="J10" s="3">
        <f>IF(AND($A10=""),"",MID(IF(OR(($E10=""),($F10="")),"; "&amp;"Esta brigada todavia no tiene clase esta semana","")&amp;IF(EXACT($I10,"no"),"; "&amp;"Su ano no tiene este horario disponible","")&amp;IF(AND(NOT(($F10="")),(IFERROR(VALUE($H10&amp;""),0)&lt;IFERROR(VALUE($C10&amp;""),0))),"; "&amp;IF(ISNUMBER(("La instalacion es para "&amp;IF(ISNUMBER($H10),IF($H10=0,"0",ROUND($H10,9-INT(LOG10(ABS($H10))))&amp;""),$H10&amp;"")&amp;" personas y la brigada tiene "&amp;IF(ISNUMBER($C10),IF($C10=0,"0",ROUND($C10,9-INT(LOG10(ABS($C10))))&amp;""),$C10&amp;""))),IF(("La instalacion es para "&amp;IF(ISNUMBER($H10),IF($H10=0,"0",ROUND($H10,9-INT(LOG10(ABS($H10))))&amp;""),$H10&amp;"")&amp;" personas y la brigada tiene "&amp;IF(ISNUMBER($C10),IF($C10=0,"0",ROUND($C10,9-INT(LOG10(ABS($C10))))&amp;""),$C10&amp;""))=0,"0",ROUND(("La instalacion es para "&amp;IF(ISNUMBER($H10),IF($H10=0,"0",ROUND($H10,9-INT(LOG10(ABS($H10))))&amp;""),$H10&amp;"")&amp;" personas y la brigada tiene "&amp;IF(ISNUMBER($C10),IF($C10=0,"0",ROUND($C10,9-INT(LOG10(ABS($C10))))&amp;""),$C10&amp;"")),9-INT(LOG10(ABS(("La instalacion es para "&amp;IF(ISNUMBER($H10),IF($H10=0,"0",ROUND($H10,9-INT(LOG10(ABS($H10))))&amp;""),$H10&amp;"")&amp;" personas y la brigada tiene "&amp;IF(ISNUMBER($C10),IF($C10=0,"0",ROUND($C10,9-INT(LOG10(ABS($C10))))&amp;""),$C10&amp;""))))))&amp;""),("La instalacion es para "&amp;IF(ISNUMBER($H10),IF($H10=0,"0",ROUND($H10,9-INT(LOG10(ABS($H10))))&amp;""),$H10&amp;"")&amp;" personas y la brigada tiene "&amp;IF(ISNUMBER($C10),IF($C10=0,"0",ROUND($C10,9-INT(LOG10(ABS($C10))))&amp;""),$C10&amp;""))&amp;""),"")&amp;IF(AND(NOT(($F10="")),NOT(($E10="")),(SUMPRODUCT(1*(((('Reparto de brigadas'!$A$4:$A$31&lt;&gt;""))&gt;0))*((EXACT('Reparto de brigadas'!$G$4:$G$31,$G10)))*((EXACT('Reparto de brigadas'!$E$4:$E$31,$E10)))*((EXACT('Reparto de brigadas'!$F$4:$F$31,$F10)))*((ROW('Reparto de brigadas'!$A$4:$A$31)&lt;&gt;ROW($A10))))&gt;0)),"; "&amp;"Otra brigada usa esta instalacion en ese horario y esa semana","")&amp;IF(AND(NOT(($E10="")),(SUMPRODUCT(1*(((('Reparto de brigadas'!$A$4:$A$31&lt;&gt;""))&gt;0))*((EXACT('Reparto de brigadas'!$G$4:$G$31,$G10)))*((EXACT('Reparto de brigadas'!$E$4:$E$31,$E10)))*((EXACT('Reparto de brigadas'!$D$4:$D$31,$D10)))*((ROW('Reparto de brigadas'!$A$4:$A$31)&lt;&gt;ROW($A10))))&gt;0)),"; "&amp;"Este profesor tiene otra brigada en ese horario y esa semana",""),3,32767))</f>
        <v/>
      </c>
      <c r="K10" s="3">
        <f>IF(OR(OR(($E10=""),($F10="")),EXACT($I10,"no"),AND(NOT(($F10="")),(IFERROR(VALUE($H10&amp;""),0)&lt;IFERROR(VALUE($C10&amp;""),0))),AND(NOT(($F10="")),NOT(($E10="")),(SUMPRODUCT(1*(((('Reparto de brigadas'!$A$4:$A$31&lt;&gt;""))&gt;0))*((EXACT('Reparto de brigadas'!$G$4:$G$31,$G10)))*((EXACT('Reparto de brigadas'!$E$4:$E$31,$E10)))*((EXACT('Reparto de brigadas'!$F$4:$F$31,$F10)))*((ROW('Reparto de brigadas'!$A$4:$A$31)&lt;&gt;ROW($A10))))&gt;0)),AND(NOT(($E10="")),(SUMPRODUCT(1*(((('Reparto de brigadas'!$A$4:$A$31&lt;&gt;""))&gt;0))*((EXACT('Reparto de brigadas'!$G$4:$G$31,$G10)))*((EXACT('Reparto de brigadas'!$E$4:$E$31,$E10)))*((EXACT('Reparto de brigadas'!$D$4:$D$31,$D10)))*((ROW('Reparto de brigadas'!$A$4:$A$31)&lt;&gt;ROW($A10))))&gt;0))),3,0)</f>
        <v/>
      </c>
      <c r="L10" s="3">
        <f>$G10&amp;CHAR(31)&amp;$F10&amp;CHAR(31)&amp;$E10</f>
        <v/>
      </c>
      <c r="M10" s="3">
        <f>$D10&amp;CHAR(31)&amp;$E10&amp;CHAR(31)&amp;$G10</f>
        <v/>
      </c>
    </row>
    <row r="11">
      <c r="A11" s="3" t="inlineStr">
        <is>
          <t>F21</t>
        </is>
      </c>
      <c r="B11" s="4" t="inlineStr">
        <is>
          <t>FIS-2</t>
        </is>
      </c>
      <c r="C11" s="4" t="n">
        <v>12</v>
      </c>
      <c r="D11" s="4" t="inlineStr">
        <is>
          <t>Prof. Diaz</t>
        </is>
      </c>
      <c r="E11" s="4" t="n"/>
      <c r="F11" s="4" t="n"/>
      <c r="G11" s="3">
        <f>IF(AND($A11=""),"",IF(ISNA(MATCH(1,INDEX(EXACT('Anos de carrera'!$A$4:$A$29,$B11)*1*((('Anos de carrera'!$A$4:$A$29&lt;&gt;""))&gt;0),0),0)),"",IF(ISBLANK(INDEX('Anos de carrera'!$C$4:$C$29,MATCH(1,INDEX(EXACT('Anos de carrera'!$A$4:$A$29,$B11)*1*((('Anos de carrera'!$A$4:$A$29&lt;&gt;""))&gt;0),0),0))),"",INDEX('Anos de carrera'!$C$4:$C$29,MATCH(1,INDEX(EXACT('Anos de carrera'!$A$4:$A$29,$B11)*1*((('Anos de carrera'!$A$4:$A$29&lt;&gt;""))&gt;0),0),0)))))</f>
        <v/>
      </c>
      <c r="H11" s="3">
        <f>IF(AND($A11=""),"",IF(ISNA(MATCH(1,INDEX(EXACT('Instalaciones'!$A$4:$A$27,$F11)*1*((('Instalaciones'!$A$4:$A$27&lt;&gt;""))&gt;0),0),0)),0,IF(ISBLANK(INDEX('Instalaciones'!$B$4:$B$27,MATCH(1,INDEX(EXACT('Instalaciones'!$A$4:$A$27,$F11)*1*((('Instalaciones'!$A$4:$A$27&lt;&gt;""))&gt;0),0),0))),"",INDEX('Instalaciones'!$B$4:$B$27,MATCH(1,INDEX(EXACT('Instalaciones'!$A$4:$A$27,$F11)*1*((('Instalaciones'!$A$4:$A$27&lt;&gt;""))&gt;0),0),0)))))</f>
        <v/>
      </c>
      <c r="I11" s="3">
        <f>IF(AND($A11=""),"",IF(($E11=""),"",IF(EXACT(IF(ISNA(MATCH(1,INDEX(1*((('Horarios disponibles por ano'!$A$4:$A$34&lt;&gt;"")+('Horarios disponibles por ano'!$B$4:$B$34&lt;&gt;""))&gt;0)*(EXACT('Horarios disponibles por ano'!$A$4:$A$34,$B11))*(EXACT('Horarios disponibles por ano'!$B$4:$B$34,$E11)),0),0)),"",IF(ISBLANK(INDEX('Horarios disponibles por ano'!$B$4:$B$34,MATCH(1,INDEX(1*((('Horarios disponibles por ano'!$A$4:$A$34&lt;&gt;"")+('Horarios disponibles por ano'!$B$4:$B$34&lt;&gt;""))&gt;0)*(EXACT('Horarios disponibles por ano'!$A$4:$A$34,$B11))*(EXACT('Horarios disponibles por ano'!$B$4:$B$34,$E11)),0),0))),"",INDEX('Horarios disponibles por ano'!$B$4:$B$34,MATCH(1,INDEX(1*((('Horarios disponibles por ano'!$A$4:$A$34&lt;&gt;"")+('Horarios disponibles por ano'!$B$4:$B$34&lt;&gt;""))&gt;0)*(EXACT('Horarios disponibles por ano'!$A$4:$A$34,$B11))*(EXACT('Horarios disponibles por ano'!$B$4:$B$34,$E11)),0),0)))),""),"no","si")))</f>
        <v/>
      </c>
      <c r="J11" s="3">
        <f>IF(AND($A11=""),"",MID(IF(OR(($E11=""),($F11="")),"; "&amp;"Esta brigada todavia no tiene clase esta semana","")&amp;IF(EXACT($I11,"no"),"; "&amp;"Su ano no tiene este horario disponible","")&amp;IF(AND(NOT(($F11="")),(IFERROR(VALUE($H11&amp;""),0)&lt;IFERROR(VALUE($C11&amp;""),0))),"; "&amp;IF(ISNUMBER(("La instalacion es para "&amp;IF(ISNUMBER($H11),IF($H11=0,"0",ROUND($H11,9-INT(LOG10(ABS($H11))))&amp;""),$H11&amp;"")&amp;" personas y la brigada tiene "&amp;IF(ISNUMBER($C11),IF($C11=0,"0",ROUND($C11,9-INT(LOG10(ABS($C11))))&amp;""),$C11&amp;""))),IF(("La instalacion es para "&amp;IF(ISNUMBER($H11),IF($H11=0,"0",ROUND($H11,9-INT(LOG10(ABS($H11))))&amp;""),$H11&amp;"")&amp;" personas y la brigada tiene "&amp;IF(ISNUMBER($C11),IF($C11=0,"0",ROUND($C11,9-INT(LOG10(ABS($C11))))&amp;""),$C11&amp;""))=0,"0",ROUND(("La instalacion es para "&amp;IF(ISNUMBER($H11),IF($H11=0,"0",ROUND($H11,9-INT(LOG10(ABS($H11))))&amp;""),$H11&amp;"")&amp;" personas y la brigada tiene "&amp;IF(ISNUMBER($C11),IF($C11=0,"0",ROUND($C11,9-INT(LOG10(ABS($C11))))&amp;""),$C11&amp;"")),9-INT(LOG10(ABS(("La instalacion es para "&amp;IF(ISNUMBER($H11),IF($H11=0,"0",ROUND($H11,9-INT(LOG10(ABS($H11))))&amp;""),$H11&amp;"")&amp;" personas y la brigada tiene "&amp;IF(ISNUMBER($C11),IF($C11=0,"0",ROUND($C11,9-INT(LOG10(ABS($C11))))&amp;""),$C11&amp;""))))))&amp;""),("La instalacion es para "&amp;IF(ISNUMBER($H11),IF($H11=0,"0",ROUND($H11,9-INT(LOG10(ABS($H11))))&amp;""),$H11&amp;"")&amp;" personas y la brigada tiene "&amp;IF(ISNUMBER($C11),IF($C11=0,"0",ROUND($C11,9-INT(LOG10(ABS($C11))))&amp;""),$C11&amp;""))&amp;""),"")&amp;IF(AND(NOT(($F11="")),NOT(($E11="")),(SUMPRODUCT(1*(((('Reparto de brigadas'!$A$4:$A$31&lt;&gt;""))&gt;0))*((EXACT('Reparto de brigadas'!$G$4:$G$31,$G11)))*((EXACT('Reparto de brigadas'!$E$4:$E$31,$E11)))*((EXACT('Reparto de brigadas'!$F$4:$F$31,$F11)))*((ROW('Reparto de brigadas'!$A$4:$A$31)&lt;&gt;ROW($A11))))&gt;0)),"; "&amp;"Otra brigada usa esta instalacion en ese horario y esa semana","")&amp;IF(AND(NOT(($E11="")),(SUMPRODUCT(1*(((('Reparto de brigadas'!$A$4:$A$31&lt;&gt;""))&gt;0))*((EXACT('Reparto de brigadas'!$G$4:$G$31,$G11)))*((EXACT('Reparto de brigadas'!$E$4:$E$31,$E11)))*((EXACT('Reparto de brigadas'!$D$4:$D$31,$D11)))*((ROW('Reparto de brigadas'!$A$4:$A$31)&lt;&gt;ROW($A11))))&gt;0)),"; "&amp;"Este profesor tiene otra brigada en ese horario y esa semana",""),3,32767))</f>
        <v/>
      </c>
      <c r="K11" s="3">
        <f>IF(OR(OR(($E11=""),($F11="")),EXACT($I11,"no"),AND(NOT(($F11="")),(IFERROR(VALUE($H11&amp;""),0)&lt;IFERROR(VALUE($C11&amp;""),0))),AND(NOT(($F11="")),NOT(($E11="")),(SUMPRODUCT(1*(((('Reparto de brigadas'!$A$4:$A$31&lt;&gt;""))&gt;0))*((EXACT('Reparto de brigadas'!$G$4:$G$31,$G11)))*((EXACT('Reparto de brigadas'!$E$4:$E$31,$E11)))*((EXACT('Reparto de brigadas'!$F$4:$F$31,$F11)))*((ROW('Reparto de brigadas'!$A$4:$A$31)&lt;&gt;ROW($A11))))&gt;0)),AND(NOT(($E11="")),(SUMPRODUCT(1*(((('Reparto de brigadas'!$A$4:$A$31&lt;&gt;""))&gt;0))*((EXACT('Reparto de brigadas'!$G$4:$G$31,$G11)))*((EXACT('Reparto de brigadas'!$E$4:$E$31,$E11)))*((EXACT('Reparto de brigadas'!$D$4:$D$31,$D11)))*((ROW('Reparto de brigadas'!$A$4:$A$31)&lt;&gt;ROW($A11))))&gt;0))),3,0)</f>
        <v/>
      </c>
      <c r="L11" s="3">
        <f>$G11&amp;CHAR(31)&amp;$F11&amp;CHAR(31)&amp;$E11</f>
        <v/>
      </c>
      <c r="M11" s="3">
        <f>$D11&amp;CHAR(31)&amp;$E11&amp;CHAR(31)&amp;$G11</f>
        <v/>
      </c>
    </row>
    <row r="12">
      <c r="A12" s="4" t="n"/>
      <c r="B12" s="4" t="n"/>
      <c r="C12" s="4" t="n"/>
      <c r="D12" s="4" t="n"/>
      <c r="E12" s="4" t="n"/>
      <c r="F12" s="4" t="n"/>
      <c r="G12" s="3">
        <f>IF(AND($A12=""),"",IF(ISNA(MATCH(1,INDEX(EXACT('Anos de carrera'!$A$4:$A$29,$B12)*1*((('Anos de carrera'!$A$4:$A$29&lt;&gt;""))&gt;0),0),0)),"",IF(ISBLANK(INDEX('Anos de carrera'!$C$4:$C$29,MATCH(1,INDEX(EXACT('Anos de carrera'!$A$4:$A$29,$B12)*1*((('Anos de carrera'!$A$4:$A$29&lt;&gt;""))&gt;0),0),0))),"",INDEX('Anos de carrera'!$C$4:$C$29,MATCH(1,INDEX(EXACT('Anos de carrera'!$A$4:$A$29,$B12)*1*((('Anos de carrera'!$A$4:$A$29&lt;&gt;""))&gt;0),0),0)))))</f>
        <v/>
      </c>
      <c r="H12" s="3">
        <f>IF(AND($A12=""),"",IF(ISNA(MATCH(1,INDEX(EXACT('Instalaciones'!$A$4:$A$27,$F12)*1*((('Instalaciones'!$A$4:$A$27&lt;&gt;""))&gt;0),0),0)),0,IF(ISBLANK(INDEX('Instalaciones'!$B$4:$B$27,MATCH(1,INDEX(EXACT('Instalaciones'!$A$4:$A$27,$F12)*1*((('Instalaciones'!$A$4:$A$27&lt;&gt;""))&gt;0),0),0))),"",INDEX('Instalaciones'!$B$4:$B$27,MATCH(1,INDEX(EXACT('Instalaciones'!$A$4:$A$27,$F12)*1*((('Instalaciones'!$A$4:$A$27&lt;&gt;""))&gt;0),0),0)))))</f>
        <v/>
      </c>
      <c r="I12" s="3">
        <f>IF(AND($A12=""),"",IF(($E12=""),"",IF(EXACT(IF(ISNA(MATCH(1,INDEX(1*((('Horarios disponibles por ano'!$A$4:$A$34&lt;&gt;"")+('Horarios disponibles por ano'!$B$4:$B$34&lt;&gt;""))&gt;0)*(EXACT('Horarios disponibles por ano'!$A$4:$A$34,$B12))*(EXACT('Horarios disponibles por ano'!$B$4:$B$34,$E12)),0),0)),"",IF(ISBLANK(INDEX('Horarios disponibles por ano'!$B$4:$B$34,MATCH(1,INDEX(1*((('Horarios disponibles por ano'!$A$4:$A$34&lt;&gt;"")+('Horarios disponibles por ano'!$B$4:$B$34&lt;&gt;""))&gt;0)*(EXACT('Horarios disponibles por ano'!$A$4:$A$34,$B12))*(EXACT('Horarios disponibles por ano'!$B$4:$B$34,$E12)),0),0))),"",INDEX('Horarios disponibles por ano'!$B$4:$B$34,MATCH(1,INDEX(1*((('Horarios disponibles por ano'!$A$4:$A$34&lt;&gt;"")+('Horarios disponibles por ano'!$B$4:$B$34&lt;&gt;""))&gt;0)*(EXACT('Horarios disponibles por ano'!$A$4:$A$34,$B12))*(EXACT('Horarios disponibles por ano'!$B$4:$B$34,$E12)),0),0)))),""),"no","si")))</f>
        <v/>
      </c>
      <c r="J12" s="3">
        <f>IF(AND($A12=""),"",MID(IF(OR(($E12=""),($F12="")),"; "&amp;"Esta brigada todavia no tiene clase esta semana","")&amp;IF(EXACT($I12,"no"),"; "&amp;"Su ano no tiene este horario disponible","")&amp;IF(AND(NOT(($F12="")),(IFERROR(VALUE($H12&amp;""),0)&lt;IFERROR(VALUE($C12&amp;""),0))),"; "&amp;IF(ISNUMBER(("La instalacion es para "&amp;IF(ISNUMBER($H12),IF($H12=0,"0",ROUND($H12,9-INT(LOG10(ABS($H12))))&amp;""),$H12&amp;"")&amp;" personas y la brigada tiene "&amp;IF(ISNUMBER($C12),IF($C12=0,"0",ROUND($C12,9-INT(LOG10(ABS($C12))))&amp;""),$C12&amp;""))),IF(("La instalacion es para "&amp;IF(ISNUMBER($H12),IF($H12=0,"0",ROUND($H12,9-INT(LOG10(ABS($H12))))&amp;""),$H12&amp;"")&amp;" personas y la brigada tiene "&amp;IF(ISNUMBER($C12),IF($C12=0,"0",ROUND($C12,9-INT(LOG10(ABS($C12))))&amp;""),$C12&amp;""))=0,"0",ROUND(("La instalacion es para "&amp;IF(ISNUMBER($H12),IF($H12=0,"0",ROUND($H12,9-INT(LOG10(ABS($H12))))&amp;""),$H12&amp;"")&amp;" personas y la brigada tiene "&amp;IF(ISNUMBER($C12),IF($C12=0,"0",ROUND($C12,9-INT(LOG10(ABS($C12))))&amp;""),$C12&amp;"")),9-INT(LOG10(ABS(("La instalacion es para "&amp;IF(ISNUMBER($H12),IF($H12=0,"0",ROUND($H12,9-INT(LOG10(ABS($H12))))&amp;""),$H12&amp;"")&amp;" personas y la brigada tiene "&amp;IF(ISNUMBER($C12),IF($C12=0,"0",ROUND($C12,9-INT(LOG10(ABS($C12))))&amp;""),$C12&amp;""))))))&amp;""),("La instalacion es para "&amp;IF(ISNUMBER($H12),IF($H12=0,"0",ROUND($H12,9-INT(LOG10(ABS($H12))))&amp;""),$H12&amp;"")&amp;" personas y la brigada tiene "&amp;IF(ISNUMBER($C12),IF($C12=0,"0",ROUND($C12,9-INT(LOG10(ABS($C12))))&amp;""),$C12&amp;""))&amp;""),"")&amp;IF(AND(NOT(($F12="")),NOT(($E12="")),(SUMPRODUCT(1*(((('Reparto de brigadas'!$A$4:$A$31&lt;&gt;""))&gt;0))*((EXACT('Reparto de brigadas'!$G$4:$G$31,$G12)))*((EXACT('Reparto de brigadas'!$E$4:$E$31,$E12)))*((EXACT('Reparto de brigadas'!$F$4:$F$31,$F12)))*((ROW('Reparto de brigadas'!$A$4:$A$31)&lt;&gt;ROW($A12))))&gt;0)),"; "&amp;"Otra brigada usa esta instalacion en ese horario y esa semana","")&amp;IF(AND(NOT(($E12="")),(SUMPRODUCT(1*(((('Reparto de brigadas'!$A$4:$A$31&lt;&gt;""))&gt;0))*((EXACT('Reparto de brigadas'!$G$4:$G$31,$G12)))*((EXACT('Reparto de brigadas'!$E$4:$E$31,$E12)))*((EXACT('Reparto de brigadas'!$D$4:$D$31,$D12)))*((ROW('Reparto de brigadas'!$A$4:$A$31)&lt;&gt;ROW($A12))))&gt;0)),"; "&amp;"Este profesor tiene otra brigada en ese horario y esa semana",""),3,32767))</f>
        <v/>
      </c>
      <c r="K12" s="3">
        <f>IF(OR(OR(($E12=""),($F12="")),EXACT($I12,"no"),AND(NOT(($F12="")),(IFERROR(VALUE($H12&amp;""),0)&lt;IFERROR(VALUE($C12&amp;""),0))),AND(NOT(($F12="")),NOT(($E12="")),(SUMPRODUCT(1*(((('Reparto de brigadas'!$A$4:$A$31&lt;&gt;""))&gt;0))*((EXACT('Reparto de brigadas'!$G$4:$G$31,$G12)))*((EXACT('Reparto de brigadas'!$E$4:$E$31,$E12)))*((EXACT('Reparto de brigadas'!$F$4:$F$31,$F12)))*((ROW('Reparto de brigadas'!$A$4:$A$31)&lt;&gt;ROW($A12))))&gt;0)),AND(NOT(($E12="")),(SUMPRODUCT(1*(((('Reparto de brigadas'!$A$4:$A$31&lt;&gt;""))&gt;0))*((EXACT('Reparto de brigadas'!$G$4:$G$31,$G12)))*((EXACT('Reparto de brigadas'!$E$4:$E$31,$E12)))*((EXACT('Reparto de brigadas'!$D$4:$D$31,$D12)))*((ROW('Reparto de brigadas'!$A$4:$A$31)&lt;&gt;ROW($A12))))&gt;0))),3,0)</f>
        <v/>
      </c>
      <c r="L12" s="3">
        <f>$G12&amp;CHAR(31)&amp;$F12&amp;CHAR(31)&amp;$E12</f>
        <v/>
      </c>
      <c r="M12" s="3">
        <f>$D12&amp;CHAR(31)&amp;$E12&amp;CHAR(31)&amp;$G12</f>
        <v/>
      </c>
    </row>
    <row r="13">
      <c r="A13" s="4" t="n"/>
      <c r="B13" s="4" t="n"/>
      <c r="C13" s="4" t="n"/>
      <c r="D13" s="4" t="n"/>
      <c r="E13" s="4" t="n"/>
      <c r="F13" s="4" t="n"/>
      <c r="G13" s="3">
        <f>IF(AND($A13=""),"",IF(ISNA(MATCH(1,INDEX(EXACT('Anos de carrera'!$A$4:$A$29,$B13)*1*((('Anos de carrera'!$A$4:$A$29&lt;&gt;""))&gt;0),0),0)),"",IF(ISBLANK(INDEX('Anos de carrera'!$C$4:$C$29,MATCH(1,INDEX(EXACT('Anos de carrera'!$A$4:$A$29,$B13)*1*((('Anos de carrera'!$A$4:$A$29&lt;&gt;""))&gt;0),0),0))),"",INDEX('Anos de carrera'!$C$4:$C$29,MATCH(1,INDEX(EXACT('Anos de carrera'!$A$4:$A$29,$B13)*1*((('Anos de carrera'!$A$4:$A$29&lt;&gt;""))&gt;0),0),0)))))</f>
        <v/>
      </c>
      <c r="H13" s="3">
        <f>IF(AND($A13=""),"",IF(ISNA(MATCH(1,INDEX(EXACT('Instalaciones'!$A$4:$A$27,$F13)*1*((('Instalaciones'!$A$4:$A$27&lt;&gt;""))&gt;0),0),0)),0,IF(ISBLANK(INDEX('Instalaciones'!$B$4:$B$27,MATCH(1,INDEX(EXACT('Instalaciones'!$A$4:$A$27,$F13)*1*((('Instalaciones'!$A$4:$A$27&lt;&gt;""))&gt;0),0),0))),"",INDEX('Instalaciones'!$B$4:$B$27,MATCH(1,INDEX(EXACT('Instalaciones'!$A$4:$A$27,$F13)*1*((('Instalaciones'!$A$4:$A$27&lt;&gt;""))&gt;0),0),0)))))</f>
        <v/>
      </c>
      <c r="I13" s="3">
        <f>IF(AND($A13=""),"",IF(($E13=""),"",IF(EXACT(IF(ISNA(MATCH(1,INDEX(1*((('Horarios disponibles por ano'!$A$4:$A$34&lt;&gt;"")+('Horarios disponibles por ano'!$B$4:$B$34&lt;&gt;""))&gt;0)*(EXACT('Horarios disponibles por ano'!$A$4:$A$34,$B13))*(EXACT('Horarios disponibles por ano'!$B$4:$B$34,$E13)),0),0)),"",IF(ISBLANK(INDEX('Horarios disponibles por ano'!$B$4:$B$34,MATCH(1,INDEX(1*((('Horarios disponibles por ano'!$A$4:$A$34&lt;&gt;"")+('Horarios disponibles por ano'!$B$4:$B$34&lt;&gt;""))&gt;0)*(EXACT('Horarios disponibles por ano'!$A$4:$A$34,$B13))*(EXACT('Horarios disponibles por ano'!$B$4:$B$34,$E13)),0),0))),"",INDEX('Horarios disponibles por ano'!$B$4:$B$34,MATCH(1,INDEX(1*((('Horarios disponibles por ano'!$A$4:$A$34&lt;&gt;"")+('Horarios disponibles por ano'!$B$4:$B$34&lt;&gt;""))&gt;0)*(EXACT('Horarios disponibles por ano'!$A$4:$A$34,$B13))*(EXACT('Horarios disponibles por ano'!$B$4:$B$34,$E13)),0),0)))),""),"no","si")))</f>
        <v/>
      </c>
      <c r="J13" s="3">
        <f>IF(AND($A13=""),"",MID(IF(OR(($E13=""),($F13="")),"; "&amp;"Esta brigada todavia no tiene clase esta semana","")&amp;IF(EXACT($I13,"no"),"; "&amp;"Su ano no tiene este horario disponible","")&amp;IF(AND(NOT(($F13="")),(IFERROR(VALUE($H13&amp;""),0)&lt;IFERROR(VALUE($C13&amp;""),0))),"; "&amp;IF(ISNUMBER(("La instalacion es para "&amp;IF(ISNUMBER($H13),IF($H13=0,"0",ROUND($H13,9-INT(LOG10(ABS($H13))))&amp;""),$H13&amp;"")&amp;" personas y la brigada tiene "&amp;IF(ISNUMBER($C13),IF($C13=0,"0",ROUND($C13,9-INT(LOG10(ABS($C13))))&amp;""),$C13&amp;""))),IF(("La instalacion es para "&amp;IF(ISNUMBER($H13),IF($H13=0,"0",ROUND($H13,9-INT(LOG10(ABS($H13))))&amp;""),$H13&amp;"")&amp;" personas y la brigada tiene "&amp;IF(ISNUMBER($C13),IF($C13=0,"0",ROUND($C13,9-INT(LOG10(ABS($C13))))&amp;""),$C13&amp;""))=0,"0",ROUND(("La instalacion es para "&amp;IF(ISNUMBER($H13),IF($H13=0,"0",ROUND($H13,9-INT(LOG10(ABS($H13))))&amp;""),$H13&amp;"")&amp;" personas y la brigada tiene "&amp;IF(ISNUMBER($C13),IF($C13=0,"0",ROUND($C13,9-INT(LOG10(ABS($C13))))&amp;""),$C13&amp;"")),9-INT(LOG10(ABS(("La instalacion es para "&amp;IF(ISNUMBER($H13),IF($H13=0,"0",ROUND($H13,9-INT(LOG10(ABS($H13))))&amp;""),$H13&amp;"")&amp;" personas y la brigada tiene "&amp;IF(ISNUMBER($C13),IF($C13=0,"0",ROUND($C13,9-INT(LOG10(ABS($C13))))&amp;""),$C13&amp;""))))))&amp;""),("La instalacion es para "&amp;IF(ISNUMBER($H13),IF($H13=0,"0",ROUND($H13,9-INT(LOG10(ABS($H13))))&amp;""),$H13&amp;"")&amp;" personas y la brigada tiene "&amp;IF(ISNUMBER($C13),IF($C13=0,"0",ROUND($C13,9-INT(LOG10(ABS($C13))))&amp;""),$C13&amp;""))&amp;""),"")&amp;IF(AND(NOT(($F13="")),NOT(($E13="")),(SUMPRODUCT(1*(((('Reparto de brigadas'!$A$4:$A$31&lt;&gt;""))&gt;0))*((EXACT('Reparto de brigadas'!$G$4:$G$31,$G13)))*((EXACT('Reparto de brigadas'!$E$4:$E$31,$E13)))*((EXACT('Reparto de brigadas'!$F$4:$F$31,$F13)))*((ROW('Reparto de brigadas'!$A$4:$A$31)&lt;&gt;ROW($A13))))&gt;0)),"; "&amp;"Otra brigada usa esta instalacion en ese horario y esa semana","")&amp;IF(AND(NOT(($E13="")),(SUMPRODUCT(1*(((('Reparto de brigadas'!$A$4:$A$31&lt;&gt;""))&gt;0))*((EXACT('Reparto de brigadas'!$G$4:$G$31,$G13)))*((EXACT('Reparto de brigadas'!$E$4:$E$31,$E13)))*((EXACT('Reparto de brigadas'!$D$4:$D$31,$D13)))*((ROW('Reparto de brigadas'!$A$4:$A$31)&lt;&gt;ROW($A13))))&gt;0)),"; "&amp;"Este profesor tiene otra brigada en ese horario y esa semana",""),3,32767))</f>
        <v/>
      </c>
      <c r="K13" s="3">
        <f>IF(OR(OR(($E13=""),($F13="")),EXACT($I13,"no"),AND(NOT(($F13="")),(IFERROR(VALUE($H13&amp;""),0)&lt;IFERROR(VALUE($C13&amp;""),0))),AND(NOT(($F13="")),NOT(($E13="")),(SUMPRODUCT(1*(((('Reparto de brigadas'!$A$4:$A$31&lt;&gt;""))&gt;0))*((EXACT('Reparto de brigadas'!$G$4:$G$31,$G13)))*((EXACT('Reparto de brigadas'!$E$4:$E$31,$E13)))*((EXACT('Reparto de brigadas'!$F$4:$F$31,$F13)))*((ROW('Reparto de brigadas'!$A$4:$A$31)&lt;&gt;ROW($A13))))&gt;0)),AND(NOT(($E13="")),(SUMPRODUCT(1*(((('Reparto de brigadas'!$A$4:$A$31&lt;&gt;""))&gt;0))*((EXACT('Reparto de brigadas'!$G$4:$G$31,$G13)))*((EXACT('Reparto de brigadas'!$E$4:$E$31,$E13)))*((EXACT('Reparto de brigadas'!$D$4:$D$31,$D13)))*((ROW('Reparto de brigadas'!$A$4:$A$31)&lt;&gt;ROW($A13))))&gt;0))),3,0)</f>
        <v/>
      </c>
      <c r="L13" s="3">
        <f>$G13&amp;CHAR(31)&amp;$F13&amp;CHAR(31)&amp;$E13</f>
        <v/>
      </c>
      <c r="M13" s="3">
        <f>$D13&amp;CHAR(31)&amp;$E13&amp;CHAR(31)&amp;$G13</f>
        <v/>
      </c>
    </row>
    <row r="14">
      <c r="A14" s="4" t="n"/>
      <c r="B14" s="4" t="n"/>
      <c r="C14" s="4" t="n"/>
      <c r="D14" s="4" t="n"/>
      <c r="E14" s="4" t="n"/>
      <c r="F14" s="4" t="n"/>
      <c r="G14" s="3">
        <f>IF(AND($A14=""),"",IF(ISNA(MATCH(1,INDEX(EXACT('Anos de carrera'!$A$4:$A$29,$B14)*1*((('Anos de carrera'!$A$4:$A$29&lt;&gt;""))&gt;0),0),0)),"",IF(ISBLANK(INDEX('Anos de carrera'!$C$4:$C$29,MATCH(1,INDEX(EXACT('Anos de carrera'!$A$4:$A$29,$B14)*1*((('Anos de carrera'!$A$4:$A$29&lt;&gt;""))&gt;0),0),0))),"",INDEX('Anos de carrera'!$C$4:$C$29,MATCH(1,INDEX(EXACT('Anos de carrera'!$A$4:$A$29,$B14)*1*((('Anos de carrera'!$A$4:$A$29&lt;&gt;""))&gt;0),0),0)))))</f>
        <v/>
      </c>
      <c r="H14" s="3">
        <f>IF(AND($A14=""),"",IF(ISNA(MATCH(1,INDEX(EXACT('Instalaciones'!$A$4:$A$27,$F14)*1*((('Instalaciones'!$A$4:$A$27&lt;&gt;""))&gt;0),0),0)),0,IF(ISBLANK(INDEX('Instalaciones'!$B$4:$B$27,MATCH(1,INDEX(EXACT('Instalaciones'!$A$4:$A$27,$F14)*1*((('Instalaciones'!$A$4:$A$27&lt;&gt;""))&gt;0),0),0))),"",INDEX('Instalaciones'!$B$4:$B$27,MATCH(1,INDEX(EXACT('Instalaciones'!$A$4:$A$27,$F14)*1*((('Instalaciones'!$A$4:$A$27&lt;&gt;""))&gt;0),0),0)))))</f>
        <v/>
      </c>
      <c r="I14" s="3">
        <f>IF(AND($A14=""),"",IF(($E14=""),"",IF(EXACT(IF(ISNA(MATCH(1,INDEX(1*((('Horarios disponibles por ano'!$A$4:$A$34&lt;&gt;"")+('Horarios disponibles por ano'!$B$4:$B$34&lt;&gt;""))&gt;0)*(EXACT('Horarios disponibles por ano'!$A$4:$A$34,$B14))*(EXACT('Horarios disponibles por ano'!$B$4:$B$34,$E14)),0),0)),"",IF(ISBLANK(INDEX('Horarios disponibles por ano'!$B$4:$B$34,MATCH(1,INDEX(1*((('Horarios disponibles por ano'!$A$4:$A$34&lt;&gt;"")+('Horarios disponibles por ano'!$B$4:$B$34&lt;&gt;""))&gt;0)*(EXACT('Horarios disponibles por ano'!$A$4:$A$34,$B14))*(EXACT('Horarios disponibles por ano'!$B$4:$B$34,$E14)),0),0))),"",INDEX('Horarios disponibles por ano'!$B$4:$B$34,MATCH(1,INDEX(1*((('Horarios disponibles por ano'!$A$4:$A$34&lt;&gt;"")+('Horarios disponibles por ano'!$B$4:$B$34&lt;&gt;""))&gt;0)*(EXACT('Horarios disponibles por ano'!$A$4:$A$34,$B14))*(EXACT('Horarios disponibles por ano'!$B$4:$B$34,$E14)),0),0)))),""),"no","si")))</f>
        <v/>
      </c>
      <c r="J14" s="3">
        <f>IF(AND($A14=""),"",MID(IF(OR(($E14=""),($F14="")),"; "&amp;"Esta brigada todavia no tiene clase esta semana","")&amp;IF(EXACT($I14,"no"),"; "&amp;"Su ano no tiene este horario disponible","")&amp;IF(AND(NOT(($F14="")),(IFERROR(VALUE($H14&amp;""),0)&lt;IFERROR(VALUE($C14&amp;""),0))),"; "&amp;IF(ISNUMBER(("La instalacion es para "&amp;IF(ISNUMBER($H14),IF($H14=0,"0",ROUND($H14,9-INT(LOG10(ABS($H14))))&amp;""),$H14&amp;"")&amp;" personas y la brigada tiene "&amp;IF(ISNUMBER($C14),IF($C14=0,"0",ROUND($C14,9-INT(LOG10(ABS($C14))))&amp;""),$C14&amp;""))),IF(("La instalacion es para "&amp;IF(ISNUMBER($H14),IF($H14=0,"0",ROUND($H14,9-INT(LOG10(ABS($H14))))&amp;""),$H14&amp;"")&amp;" personas y la brigada tiene "&amp;IF(ISNUMBER($C14),IF($C14=0,"0",ROUND($C14,9-INT(LOG10(ABS($C14))))&amp;""),$C14&amp;""))=0,"0",ROUND(("La instalacion es para "&amp;IF(ISNUMBER($H14),IF($H14=0,"0",ROUND($H14,9-INT(LOG10(ABS($H14))))&amp;""),$H14&amp;"")&amp;" personas y la brigada tiene "&amp;IF(ISNUMBER($C14),IF($C14=0,"0",ROUND($C14,9-INT(LOG10(ABS($C14))))&amp;""),$C14&amp;"")),9-INT(LOG10(ABS(("La instalacion es para "&amp;IF(ISNUMBER($H14),IF($H14=0,"0",ROUND($H14,9-INT(LOG10(ABS($H14))))&amp;""),$H14&amp;"")&amp;" personas y la brigada tiene "&amp;IF(ISNUMBER($C14),IF($C14=0,"0",ROUND($C14,9-INT(LOG10(ABS($C14))))&amp;""),$C14&amp;""))))))&amp;""),("La instalacion es para "&amp;IF(ISNUMBER($H14),IF($H14=0,"0",ROUND($H14,9-INT(LOG10(ABS($H14))))&amp;""),$H14&amp;"")&amp;" personas y la brigada tiene "&amp;IF(ISNUMBER($C14),IF($C14=0,"0",ROUND($C14,9-INT(LOG10(ABS($C14))))&amp;""),$C14&amp;""))&amp;""),"")&amp;IF(AND(NOT(($F14="")),NOT(($E14="")),(SUMPRODUCT(1*(((('Reparto de brigadas'!$A$4:$A$31&lt;&gt;""))&gt;0))*((EXACT('Reparto de brigadas'!$G$4:$G$31,$G14)))*((EXACT('Reparto de brigadas'!$E$4:$E$31,$E14)))*((EXACT('Reparto de brigadas'!$F$4:$F$31,$F14)))*((ROW('Reparto de brigadas'!$A$4:$A$31)&lt;&gt;ROW($A14))))&gt;0)),"; "&amp;"Otra brigada usa esta instalacion en ese horario y esa semana","")&amp;IF(AND(NOT(($E14="")),(SUMPRODUCT(1*(((('Reparto de brigadas'!$A$4:$A$31&lt;&gt;""))&gt;0))*((EXACT('Reparto de brigadas'!$G$4:$G$31,$G14)))*((EXACT('Reparto de brigadas'!$E$4:$E$31,$E14)))*((EXACT('Reparto de brigadas'!$D$4:$D$31,$D14)))*((ROW('Reparto de brigadas'!$A$4:$A$31)&lt;&gt;ROW($A14))))&gt;0)),"; "&amp;"Este profesor tiene otra brigada en ese horario y esa semana",""),3,32767))</f>
        <v/>
      </c>
      <c r="K14" s="3">
        <f>IF(OR(OR(($E14=""),($F14="")),EXACT($I14,"no"),AND(NOT(($F14="")),(IFERROR(VALUE($H14&amp;""),0)&lt;IFERROR(VALUE($C14&amp;""),0))),AND(NOT(($F14="")),NOT(($E14="")),(SUMPRODUCT(1*(((('Reparto de brigadas'!$A$4:$A$31&lt;&gt;""))&gt;0))*((EXACT('Reparto de brigadas'!$G$4:$G$31,$G14)))*((EXACT('Reparto de brigadas'!$E$4:$E$31,$E14)))*((EXACT('Reparto de brigadas'!$F$4:$F$31,$F14)))*((ROW('Reparto de brigadas'!$A$4:$A$31)&lt;&gt;ROW($A14))))&gt;0)),AND(NOT(($E14="")),(SUMPRODUCT(1*(((('Reparto de brigadas'!$A$4:$A$31&lt;&gt;""))&gt;0))*((EXACT('Reparto de brigadas'!$G$4:$G$31,$G14)))*((EXACT('Reparto de brigadas'!$E$4:$E$31,$E14)))*((EXACT('Reparto de brigadas'!$D$4:$D$31,$D14)))*((ROW('Reparto de brigadas'!$A$4:$A$31)&lt;&gt;ROW($A14))))&gt;0))),3,0)</f>
        <v/>
      </c>
      <c r="L14" s="3">
        <f>$G14&amp;CHAR(31)&amp;$F14&amp;CHAR(31)&amp;$E14</f>
        <v/>
      </c>
      <c r="M14" s="3">
        <f>$D14&amp;CHAR(31)&amp;$E14&amp;CHAR(31)&amp;$G14</f>
        <v/>
      </c>
    </row>
    <row r="15">
      <c r="A15" s="4" t="n"/>
      <c r="B15" s="4" t="n"/>
      <c r="C15" s="4" t="n"/>
      <c r="D15" s="4" t="n"/>
      <c r="E15" s="4" t="n"/>
      <c r="F15" s="4" t="n"/>
      <c r="G15" s="3">
        <f>IF(AND($A15=""),"",IF(ISNA(MATCH(1,INDEX(EXACT('Anos de carrera'!$A$4:$A$29,$B15)*1*((('Anos de carrera'!$A$4:$A$29&lt;&gt;""))&gt;0),0),0)),"",IF(ISBLANK(INDEX('Anos de carrera'!$C$4:$C$29,MATCH(1,INDEX(EXACT('Anos de carrera'!$A$4:$A$29,$B15)*1*((('Anos de carrera'!$A$4:$A$29&lt;&gt;""))&gt;0),0),0))),"",INDEX('Anos de carrera'!$C$4:$C$29,MATCH(1,INDEX(EXACT('Anos de carrera'!$A$4:$A$29,$B15)*1*((('Anos de carrera'!$A$4:$A$29&lt;&gt;""))&gt;0),0),0)))))</f>
        <v/>
      </c>
      <c r="H15" s="3">
        <f>IF(AND($A15=""),"",IF(ISNA(MATCH(1,INDEX(EXACT('Instalaciones'!$A$4:$A$27,$F15)*1*((('Instalaciones'!$A$4:$A$27&lt;&gt;""))&gt;0),0),0)),0,IF(ISBLANK(INDEX('Instalaciones'!$B$4:$B$27,MATCH(1,INDEX(EXACT('Instalaciones'!$A$4:$A$27,$F15)*1*((('Instalaciones'!$A$4:$A$27&lt;&gt;""))&gt;0),0),0))),"",INDEX('Instalaciones'!$B$4:$B$27,MATCH(1,INDEX(EXACT('Instalaciones'!$A$4:$A$27,$F15)*1*((('Instalaciones'!$A$4:$A$27&lt;&gt;""))&gt;0),0),0)))))</f>
        <v/>
      </c>
      <c r="I15" s="3">
        <f>IF(AND($A15=""),"",IF(($E15=""),"",IF(EXACT(IF(ISNA(MATCH(1,INDEX(1*((('Horarios disponibles por ano'!$A$4:$A$34&lt;&gt;"")+('Horarios disponibles por ano'!$B$4:$B$34&lt;&gt;""))&gt;0)*(EXACT('Horarios disponibles por ano'!$A$4:$A$34,$B15))*(EXACT('Horarios disponibles por ano'!$B$4:$B$34,$E15)),0),0)),"",IF(ISBLANK(INDEX('Horarios disponibles por ano'!$B$4:$B$34,MATCH(1,INDEX(1*((('Horarios disponibles por ano'!$A$4:$A$34&lt;&gt;"")+('Horarios disponibles por ano'!$B$4:$B$34&lt;&gt;""))&gt;0)*(EXACT('Horarios disponibles por ano'!$A$4:$A$34,$B15))*(EXACT('Horarios disponibles por ano'!$B$4:$B$34,$E15)),0),0))),"",INDEX('Horarios disponibles por ano'!$B$4:$B$34,MATCH(1,INDEX(1*((('Horarios disponibles por ano'!$A$4:$A$34&lt;&gt;"")+('Horarios disponibles por ano'!$B$4:$B$34&lt;&gt;""))&gt;0)*(EXACT('Horarios disponibles por ano'!$A$4:$A$34,$B15))*(EXACT('Horarios disponibles por ano'!$B$4:$B$34,$E15)),0),0)))),""),"no","si")))</f>
        <v/>
      </c>
      <c r="J15" s="3">
        <f>IF(AND($A15=""),"",MID(IF(OR(($E15=""),($F15="")),"; "&amp;"Esta brigada todavia no tiene clase esta semana","")&amp;IF(EXACT($I15,"no"),"; "&amp;"Su ano no tiene este horario disponible","")&amp;IF(AND(NOT(($F15="")),(IFERROR(VALUE($H15&amp;""),0)&lt;IFERROR(VALUE($C15&amp;""),0))),"; "&amp;IF(ISNUMBER(("La instalacion es para "&amp;IF(ISNUMBER($H15),IF($H15=0,"0",ROUND($H15,9-INT(LOG10(ABS($H15))))&amp;""),$H15&amp;"")&amp;" personas y la brigada tiene "&amp;IF(ISNUMBER($C15),IF($C15=0,"0",ROUND($C15,9-INT(LOG10(ABS($C15))))&amp;""),$C15&amp;""))),IF(("La instalacion es para "&amp;IF(ISNUMBER($H15),IF($H15=0,"0",ROUND($H15,9-INT(LOG10(ABS($H15))))&amp;""),$H15&amp;"")&amp;" personas y la brigada tiene "&amp;IF(ISNUMBER($C15),IF($C15=0,"0",ROUND($C15,9-INT(LOG10(ABS($C15))))&amp;""),$C15&amp;""))=0,"0",ROUND(("La instalacion es para "&amp;IF(ISNUMBER($H15),IF($H15=0,"0",ROUND($H15,9-INT(LOG10(ABS($H15))))&amp;""),$H15&amp;"")&amp;" personas y la brigada tiene "&amp;IF(ISNUMBER($C15),IF($C15=0,"0",ROUND($C15,9-INT(LOG10(ABS($C15))))&amp;""),$C15&amp;"")),9-INT(LOG10(ABS(("La instalacion es para "&amp;IF(ISNUMBER($H15),IF($H15=0,"0",ROUND($H15,9-INT(LOG10(ABS($H15))))&amp;""),$H15&amp;"")&amp;" personas y la brigada tiene "&amp;IF(ISNUMBER($C15),IF($C15=0,"0",ROUND($C15,9-INT(LOG10(ABS($C15))))&amp;""),$C15&amp;""))))))&amp;""),("La instalacion es para "&amp;IF(ISNUMBER($H15),IF($H15=0,"0",ROUND($H15,9-INT(LOG10(ABS($H15))))&amp;""),$H15&amp;"")&amp;" personas y la brigada tiene "&amp;IF(ISNUMBER($C15),IF($C15=0,"0",ROUND($C15,9-INT(LOG10(ABS($C15))))&amp;""),$C15&amp;""))&amp;""),"")&amp;IF(AND(NOT(($F15="")),NOT(($E15="")),(SUMPRODUCT(1*(((('Reparto de brigadas'!$A$4:$A$31&lt;&gt;""))&gt;0))*((EXACT('Reparto de brigadas'!$G$4:$G$31,$G15)))*((EXACT('Reparto de brigadas'!$E$4:$E$31,$E15)))*((EXACT('Reparto de brigadas'!$F$4:$F$31,$F15)))*((ROW('Reparto de brigadas'!$A$4:$A$31)&lt;&gt;ROW($A15))))&gt;0)),"; "&amp;"Otra brigada usa esta instalacion en ese horario y esa semana","")&amp;IF(AND(NOT(($E15="")),(SUMPRODUCT(1*(((('Reparto de brigadas'!$A$4:$A$31&lt;&gt;""))&gt;0))*((EXACT('Reparto de brigadas'!$G$4:$G$31,$G15)))*((EXACT('Reparto de brigadas'!$E$4:$E$31,$E15)))*((EXACT('Reparto de brigadas'!$D$4:$D$31,$D15)))*((ROW('Reparto de brigadas'!$A$4:$A$31)&lt;&gt;ROW($A15))))&gt;0)),"; "&amp;"Este profesor tiene otra brigada en ese horario y esa semana",""),3,32767))</f>
        <v/>
      </c>
      <c r="K15" s="3">
        <f>IF(OR(OR(($E15=""),($F15="")),EXACT($I15,"no"),AND(NOT(($F15="")),(IFERROR(VALUE($H15&amp;""),0)&lt;IFERROR(VALUE($C15&amp;""),0))),AND(NOT(($F15="")),NOT(($E15="")),(SUMPRODUCT(1*(((('Reparto de brigadas'!$A$4:$A$31&lt;&gt;""))&gt;0))*((EXACT('Reparto de brigadas'!$G$4:$G$31,$G15)))*((EXACT('Reparto de brigadas'!$E$4:$E$31,$E15)))*((EXACT('Reparto de brigadas'!$F$4:$F$31,$F15)))*((ROW('Reparto de brigadas'!$A$4:$A$31)&lt;&gt;ROW($A15))))&gt;0)),AND(NOT(($E15="")),(SUMPRODUCT(1*(((('Reparto de brigadas'!$A$4:$A$31&lt;&gt;""))&gt;0))*((EXACT('Reparto de brigadas'!$G$4:$G$31,$G15)))*((EXACT('Reparto de brigadas'!$E$4:$E$31,$E15)))*((EXACT('Reparto de brigadas'!$D$4:$D$31,$D15)))*((ROW('Reparto de brigadas'!$A$4:$A$31)&lt;&gt;ROW($A15))))&gt;0))),3,0)</f>
        <v/>
      </c>
      <c r="L15" s="3">
        <f>$G15&amp;CHAR(31)&amp;$F15&amp;CHAR(31)&amp;$E15</f>
        <v/>
      </c>
      <c r="M15" s="3">
        <f>$D15&amp;CHAR(31)&amp;$E15&amp;CHAR(31)&amp;$G15</f>
        <v/>
      </c>
    </row>
    <row r="16">
      <c r="A16" s="4" t="n"/>
      <c r="B16" s="4" t="n"/>
      <c r="C16" s="4" t="n"/>
      <c r="D16" s="4" t="n"/>
      <c r="E16" s="4" t="n"/>
      <c r="F16" s="4" t="n"/>
      <c r="G16" s="3">
        <f>IF(AND($A16=""),"",IF(ISNA(MATCH(1,INDEX(EXACT('Anos de carrera'!$A$4:$A$29,$B16)*1*((('Anos de carrera'!$A$4:$A$29&lt;&gt;""))&gt;0),0),0)),"",IF(ISBLANK(INDEX('Anos de carrera'!$C$4:$C$29,MATCH(1,INDEX(EXACT('Anos de carrera'!$A$4:$A$29,$B16)*1*((('Anos de carrera'!$A$4:$A$29&lt;&gt;""))&gt;0),0),0))),"",INDEX('Anos de carrera'!$C$4:$C$29,MATCH(1,INDEX(EXACT('Anos de carrera'!$A$4:$A$29,$B16)*1*((('Anos de carrera'!$A$4:$A$29&lt;&gt;""))&gt;0),0),0)))))</f>
        <v/>
      </c>
      <c r="H16" s="3">
        <f>IF(AND($A16=""),"",IF(ISNA(MATCH(1,INDEX(EXACT('Instalaciones'!$A$4:$A$27,$F16)*1*((('Instalaciones'!$A$4:$A$27&lt;&gt;""))&gt;0),0),0)),0,IF(ISBLANK(INDEX('Instalaciones'!$B$4:$B$27,MATCH(1,INDEX(EXACT('Instalaciones'!$A$4:$A$27,$F16)*1*((('Instalaciones'!$A$4:$A$27&lt;&gt;""))&gt;0),0),0))),"",INDEX('Instalaciones'!$B$4:$B$27,MATCH(1,INDEX(EXACT('Instalaciones'!$A$4:$A$27,$F16)*1*((('Instalaciones'!$A$4:$A$27&lt;&gt;""))&gt;0),0),0)))))</f>
        <v/>
      </c>
      <c r="I16" s="3">
        <f>IF(AND($A16=""),"",IF(($E16=""),"",IF(EXACT(IF(ISNA(MATCH(1,INDEX(1*((('Horarios disponibles por ano'!$A$4:$A$34&lt;&gt;"")+('Horarios disponibles por ano'!$B$4:$B$34&lt;&gt;""))&gt;0)*(EXACT('Horarios disponibles por ano'!$A$4:$A$34,$B16))*(EXACT('Horarios disponibles por ano'!$B$4:$B$34,$E16)),0),0)),"",IF(ISBLANK(INDEX('Horarios disponibles por ano'!$B$4:$B$34,MATCH(1,INDEX(1*((('Horarios disponibles por ano'!$A$4:$A$34&lt;&gt;"")+('Horarios disponibles por ano'!$B$4:$B$34&lt;&gt;""))&gt;0)*(EXACT('Horarios disponibles por ano'!$A$4:$A$34,$B16))*(EXACT('Horarios disponibles por ano'!$B$4:$B$34,$E16)),0),0))),"",INDEX('Horarios disponibles por ano'!$B$4:$B$34,MATCH(1,INDEX(1*((('Horarios disponibles por ano'!$A$4:$A$34&lt;&gt;"")+('Horarios disponibles por ano'!$B$4:$B$34&lt;&gt;""))&gt;0)*(EXACT('Horarios disponibles por ano'!$A$4:$A$34,$B16))*(EXACT('Horarios disponibles por ano'!$B$4:$B$34,$E16)),0),0)))),""),"no","si")))</f>
        <v/>
      </c>
      <c r="J16" s="3">
        <f>IF(AND($A16=""),"",MID(IF(OR(($E16=""),($F16="")),"; "&amp;"Esta brigada todavia no tiene clase esta semana","")&amp;IF(EXACT($I16,"no"),"; "&amp;"Su ano no tiene este horario disponible","")&amp;IF(AND(NOT(($F16="")),(IFERROR(VALUE($H16&amp;""),0)&lt;IFERROR(VALUE($C16&amp;""),0))),"; "&amp;IF(ISNUMBER(("La instalacion es para "&amp;IF(ISNUMBER($H16),IF($H16=0,"0",ROUND($H16,9-INT(LOG10(ABS($H16))))&amp;""),$H16&amp;"")&amp;" personas y la brigada tiene "&amp;IF(ISNUMBER($C16),IF($C16=0,"0",ROUND($C16,9-INT(LOG10(ABS($C16))))&amp;""),$C16&amp;""))),IF(("La instalacion es para "&amp;IF(ISNUMBER($H16),IF($H16=0,"0",ROUND($H16,9-INT(LOG10(ABS($H16))))&amp;""),$H16&amp;"")&amp;" personas y la brigada tiene "&amp;IF(ISNUMBER($C16),IF($C16=0,"0",ROUND($C16,9-INT(LOG10(ABS($C16))))&amp;""),$C16&amp;""))=0,"0",ROUND(("La instalacion es para "&amp;IF(ISNUMBER($H16),IF($H16=0,"0",ROUND($H16,9-INT(LOG10(ABS($H16))))&amp;""),$H16&amp;"")&amp;" personas y la brigada tiene "&amp;IF(ISNUMBER($C16),IF($C16=0,"0",ROUND($C16,9-INT(LOG10(ABS($C16))))&amp;""),$C16&amp;"")),9-INT(LOG10(ABS(("La instalacion es para "&amp;IF(ISNUMBER($H16),IF($H16=0,"0",ROUND($H16,9-INT(LOG10(ABS($H16))))&amp;""),$H16&amp;"")&amp;" personas y la brigada tiene "&amp;IF(ISNUMBER($C16),IF($C16=0,"0",ROUND($C16,9-INT(LOG10(ABS($C16))))&amp;""),$C16&amp;""))))))&amp;""),("La instalacion es para "&amp;IF(ISNUMBER($H16),IF($H16=0,"0",ROUND($H16,9-INT(LOG10(ABS($H16))))&amp;""),$H16&amp;"")&amp;" personas y la brigada tiene "&amp;IF(ISNUMBER($C16),IF($C16=0,"0",ROUND($C16,9-INT(LOG10(ABS($C16))))&amp;""),$C16&amp;""))&amp;""),"")&amp;IF(AND(NOT(($F16="")),NOT(($E16="")),(SUMPRODUCT(1*(((('Reparto de brigadas'!$A$4:$A$31&lt;&gt;""))&gt;0))*((EXACT('Reparto de brigadas'!$G$4:$G$31,$G16)))*((EXACT('Reparto de brigadas'!$E$4:$E$31,$E16)))*((EXACT('Reparto de brigadas'!$F$4:$F$31,$F16)))*((ROW('Reparto de brigadas'!$A$4:$A$31)&lt;&gt;ROW($A16))))&gt;0)),"; "&amp;"Otra brigada usa esta instalacion en ese horario y esa semana","")&amp;IF(AND(NOT(($E16="")),(SUMPRODUCT(1*(((('Reparto de brigadas'!$A$4:$A$31&lt;&gt;""))&gt;0))*((EXACT('Reparto de brigadas'!$G$4:$G$31,$G16)))*((EXACT('Reparto de brigadas'!$E$4:$E$31,$E16)))*((EXACT('Reparto de brigadas'!$D$4:$D$31,$D16)))*((ROW('Reparto de brigadas'!$A$4:$A$31)&lt;&gt;ROW($A16))))&gt;0)),"; "&amp;"Este profesor tiene otra brigada en ese horario y esa semana",""),3,32767))</f>
        <v/>
      </c>
      <c r="K16" s="3">
        <f>IF(OR(OR(($E16=""),($F16="")),EXACT($I16,"no"),AND(NOT(($F16="")),(IFERROR(VALUE($H16&amp;""),0)&lt;IFERROR(VALUE($C16&amp;""),0))),AND(NOT(($F16="")),NOT(($E16="")),(SUMPRODUCT(1*(((('Reparto de brigadas'!$A$4:$A$31&lt;&gt;""))&gt;0))*((EXACT('Reparto de brigadas'!$G$4:$G$31,$G16)))*((EXACT('Reparto de brigadas'!$E$4:$E$31,$E16)))*((EXACT('Reparto de brigadas'!$F$4:$F$31,$F16)))*((ROW('Reparto de brigadas'!$A$4:$A$31)&lt;&gt;ROW($A16))))&gt;0)),AND(NOT(($E16="")),(SUMPRODUCT(1*(((('Reparto de brigadas'!$A$4:$A$31&lt;&gt;""))&gt;0))*((EXACT('Reparto de brigadas'!$G$4:$G$31,$G16)))*((EXACT('Reparto de brigadas'!$E$4:$E$31,$E16)))*((EXACT('Reparto de brigadas'!$D$4:$D$31,$D16)))*((ROW('Reparto de brigadas'!$A$4:$A$31)&lt;&gt;ROW($A16))))&gt;0))),3,0)</f>
        <v/>
      </c>
      <c r="L16" s="3">
        <f>$G16&amp;CHAR(31)&amp;$F16&amp;CHAR(31)&amp;$E16</f>
        <v/>
      </c>
      <c r="M16" s="3">
        <f>$D16&amp;CHAR(31)&amp;$E16&amp;CHAR(31)&amp;$G16</f>
        <v/>
      </c>
    </row>
    <row r="17">
      <c r="A17" s="4" t="n"/>
      <c r="B17" s="4" t="n"/>
      <c r="C17" s="4" t="n"/>
      <c r="D17" s="4" t="n"/>
      <c r="E17" s="4" t="n"/>
      <c r="F17" s="4" t="n"/>
      <c r="G17" s="3">
        <f>IF(AND($A17=""),"",IF(ISNA(MATCH(1,INDEX(EXACT('Anos de carrera'!$A$4:$A$29,$B17)*1*((('Anos de carrera'!$A$4:$A$29&lt;&gt;""))&gt;0),0),0)),"",IF(ISBLANK(INDEX('Anos de carrera'!$C$4:$C$29,MATCH(1,INDEX(EXACT('Anos de carrera'!$A$4:$A$29,$B17)*1*((('Anos de carrera'!$A$4:$A$29&lt;&gt;""))&gt;0),0),0))),"",INDEX('Anos de carrera'!$C$4:$C$29,MATCH(1,INDEX(EXACT('Anos de carrera'!$A$4:$A$29,$B17)*1*((('Anos de carrera'!$A$4:$A$29&lt;&gt;""))&gt;0),0),0)))))</f>
        <v/>
      </c>
      <c r="H17" s="3">
        <f>IF(AND($A17=""),"",IF(ISNA(MATCH(1,INDEX(EXACT('Instalaciones'!$A$4:$A$27,$F17)*1*((('Instalaciones'!$A$4:$A$27&lt;&gt;""))&gt;0),0),0)),0,IF(ISBLANK(INDEX('Instalaciones'!$B$4:$B$27,MATCH(1,INDEX(EXACT('Instalaciones'!$A$4:$A$27,$F17)*1*((('Instalaciones'!$A$4:$A$27&lt;&gt;""))&gt;0),0),0))),"",INDEX('Instalaciones'!$B$4:$B$27,MATCH(1,INDEX(EXACT('Instalaciones'!$A$4:$A$27,$F17)*1*((('Instalaciones'!$A$4:$A$27&lt;&gt;""))&gt;0),0),0)))))</f>
        <v/>
      </c>
      <c r="I17" s="3">
        <f>IF(AND($A17=""),"",IF(($E17=""),"",IF(EXACT(IF(ISNA(MATCH(1,INDEX(1*((('Horarios disponibles por ano'!$A$4:$A$34&lt;&gt;"")+('Horarios disponibles por ano'!$B$4:$B$34&lt;&gt;""))&gt;0)*(EXACT('Horarios disponibles por ano'!$A$4:$A$34,$B17))*(EXACT('Horarios disponibles por ano'!$B$4:$B$34,$E17)),0),0)),"",IF(ISBLANK(INDEX('Horarios disponibles por ano'!$B$4:$B$34,MATCH(1,INDEX(1*((('Horarios disponibles por ano'!$A$4:$A$34&lt;&gt;"")+('Horarios disponibles por ano'!$B$4:$B$34&lt;&gt;""))&gt;0)*(EXACT('Horarios disponibles por ano'!$A$4:$A$34,$B17))*(EXACT('Horarios disponibles por ano'!$B$4:$B$34,$E17)),0),0))),"",INDEX('Horarios disponibles por ano'!$B$4:$B$34,MATCH(1,INDEX(1*((('Horarios disponibles por ano'!$A$4:$A$34&lt;&gt;"")+('Horarios disponibles por ano'!$B$4:$B$34&lt;&gt;""))&gt;0)*(EXACT('Horarios disponibles por ano'!$A$4:$A$34,$B17))*(EXACT('Horarios disponibles por ano'!$B$4:$B$34,$E17)),0),0)))),""),"no","si")))</f>
        <v/>
      </c>
      <c r="J17" s="3">
        <f>IF(AND($A17=""),"",MID(IF(OR(($E17=""),($F17="")),"; "&amp;"Esta brigada todavia no tiene clase esta semana","")&amp;IF(EXACT($I17,"no"),"; "&amp;"Su ano no tiene este horario disponible","")&amp;IF(AND(NOT(($F17="")),(IFERROR(VALUE($H17&amp;""),0)&lt;IFERROR(VALUE($C17&amp;""),0))),"; "&amp;IF(ISNUMBER(("La instalacion es para "&amp;IF(ISNUMBER($H17),IF($H17=0,"0",ROUND($H17,9-INT(LOG10(ABS($H17))))&amp;""),$H17&amp;"")&amp;" personas y la brigada tiene "&amp;IF(ISNUMBER($C17),IF($C17=0,"0",ROUND($C17,9-INT(LOG10(ABS($C17))))&amp;""),$C17&amp;""))),IF(("La instalacion es para "&amp;IF(ISNUMBER($H17),IF($H17=0,"0",ROUND($H17,9-INT(LOG10(ABS($H17))))&amp;""),$H17&amp;"")&amp;" personas y la brigada tiene "&amp;IF(ISNUMBER($C17),IF($C17=0,"0",ROUND($C17,9-INT(LOG10(ABS($C17))))&amp;""),$C17&amp;""))=0,"0",ROUND(("La instalacion es para "&amp;IF(ISNUMBER($H17),IF($H17=0,"0",ROUND($H17,9-INT(LOG10(ABS($H17))))&amp;""),$H17&amp;"")&amp;" personas y la brigada tiene "&amp;IF(ISNUMBER($C17),IF($C17=0,"0",ROUND($C17,9-INT(LOG10(ABS($C17))))&amp;""),$C17&amp;"")),9-INT(LOG10(ABS(("La instalacion es para "&amp;IF(ISNUMBER($H17),IF($H17=0,"0",ROUND($H17,9-INT(LOG10(ABS($H17))))&amp;""),$H17&amp;"")&amp;" personas y la brigada tiene "&amp;IF(ISNUMBER($C17),IF($C17=0,"0",ROUND($C17,9-INT(LOG10(ABS($C17))))&amp;""),$C17&amp;""))))))&amp;""),("La instalacion es para "&amp;IF(ISNUMBER($H17),IF($H17=0,"0",ROUND($H17,9-INT(LOG10(ABS($H17))))&amp;""),$H17&amp;"")&amp;" personas y la brigada tiene "&amp;IF(ISNUMBER($C17),IF($C17=0,"0",ROUND($C17,9-INT(LOG10(ABS($C17))))&amp;""),$C17&amp;""))&amp;""),"")&amp;IF(AND(NOT(($F17="")),NOT(($E17="")),(SUMPRODUCT(1*(((('Reparto de brigadas'!$A$4:$A$31&lt;&gt;""))&gt;0))*((EXACT('Reparto de brigadas'!$G$4:$G$31,$G17)))*((EXACT('Reparto de brigadas'!$E$4:$E$31,$E17)))*((EXACT('Reparto de brigadas'!$F$4:$F$31,$F17)))*((ROW('Reparto de brigadas'!$A$4:$A$31)&lt;&gt;ROW($A17))))&gt;0)),"; "&amp;"Otra brigada usa esta instalacion en ese horario y esa semana","")&amp;IF(AND(NOT(($E17="")),(SUMPRODUCT(1*(((('Reparto de brigadas'!$A$4:$A$31&lt;&gt;""))&gt;0))*((EXACT('Reparto de brigadas'!$G$4:$G$31,$G17)))*((EXACT('Reparto de brigadas'!$E$4:$E$31,$E17)))*((EXACT('Reparto de brigadas'!$D$4:$D$31,$D17)))*((ROW('Reparto de brigadas'!$A$4:$A$31)&lt;&gt;ROW($A17))))&gt;0)),"; "&amp;"Este profesor tiene otra brigada en ese horario y esa semana",""),3,32767))</f>
        <v/>
      </c>
      <c r="K17" s="3">
        <f>IF(OR(OR(($E17=""),($F17="")),EXACT($I17,"no"),AND(NOT(($F17="")),(IFERROR(VALUE($H17&amp;""),0)&lt;IFERROR(VALUE($C17&amp;""),0))),AND(NOT(($F17="")),NOT(($E17="")),(SUMPRODUCT(1*(((('Reparto de brigadas'!$A$4:$A$31&lt;&gt;""))&gt;0))*((EXACT('Reparto de brigadas'!$G$4:$G$31,$G17)))*((EXACT('Reparto de brigadas'!$E$4:$E$31,$E17)))*((EXACT('Reparto de brigadas'!$F$4:$F$31,$F17)))*((ROW('Reparto de brigadas'!$A$4:$A$31)&lt;&gt;ROW($A17))))&gt;0)),AND(NOT(($E17="")),(SUMPRODUCT(1*(((('Reparto de brigadas'!$A$4:$A$31&lt;&gt;""))&gt;0))*((EXACT('Reparto de brigadas'!$G$4:$G$31,$G17)))*((EXACT('Reparto de brigadas'!$E$4:$E$31,$E17)))*((EXACT('Reparto de brigadas'!$D$4:$D$31,$D17)))*((ROW('Reparto de brigadas'!$A$4:$A$31)&lt;&gt;ROW($A17))))&gt;0))),3,0)</f>
        <v/>
      </c>
      <c r="L17" s="3">
        <f>$G17&amp;CHAR(31)&amp;$F17&amp;CHAR(31)&amp;$E17</f>
        <v/>
      </c>
      <c r="M17" s="3">
        <f>$D17&amp;CHAR(31)&amp;$E17&amp;CHAR(31)&amp;$G17</f>
        <v/>
      </c>
    </row>
    <row r="18">
      <c r="A18" s="4" t="n"/>
      <c r="B18" s="4" t="n"/>
      <c r="C18" s="4" t="n"/>
      <c r="D18" s="4" t="n"/>
      <c r="E18" s="4" t="n"/>
      <c r="F18" s="4" t="n"/>
      <c r="G18" s="3">
        <f>IF(AND($A18=""),"",IF(ISNA(MATCH(1,INDEX(EXACT('Anos de carrera'!$A$4:$A$29,$B18)*1*((('Anos de carrera'!$A$4:$A$29&lt;&gt;""))&gt;0),0),0)),"",IF(ISBLANK(INDEX('Anos de carrera'!$C$4:$C$29,MATCH(1,INDEX(EXACT('Anos de carrera'!$A$4:$A$29,$B18)*1*((('Anos de carrera'!$A$4:$A$29&lt;&gt;""))&gt;0),0),0))),"",INDEX('Anos de carrera'!$C$4:$C$29,MATCH(1,INDEX(EXACT('Anos de carrera'!$A$4:$A$29,$B18)*1*((('Anos de carrera'!$A$4:$A$29&lt;&gt;""))&gt;0),0),0)))))</f>
        <v/>
      </c>
      <c r="H18" s="3">
        <f>IF(AND($A18=""),"",IF(ISNA(MATCH(1,INDEX(EXACT('Instalaciones'!$A$4:$A$27,$F18)*1*((('Instalaciones'!$A$4:$A$27&lt;&gt;""))&gt;0),0),0)),0,IF(ISBLANK(INDEX('Instalaciones'!$B$4:$B$27,MATCH(1,INDEX(EXACT('Instalaciones'!$A$4:$A$27,$F18)*1*((('Instalaciones'!$A$4:$A$27&lt;&gt;""))&gt;0),0),0))),"",INDEX('Instalaciones'!$B$4:$B$27,MATCH(1,INDEX(EXACT('Instalaciones'!$A$4:$A$27,$F18)*1*((('Instalaciones'!$A$4:$A$27&lt;&gt;""))&gt;0),0),0)))))</f>
        <v/>
      </c>
      <c r="I18" s="3">
        <f>IF(AND($A18=""),"",IF(($E18=""),"",IF(EXACT(IF(ISNA(MATCH(1,INDEX(1*((('Horarios disponibles por ano'!$A$4:$A$34&lt;&gt;"")+('Horarios disponibles por ano'!$B$4:$B$34&lt;&gt;""))&gt;0)*(EXACT('Horarios disponibles por ano'!$A$4:$A$34,$B18))*(EXACT('Horarios disponibles por ano'!$B$4:$B$34,$E18)),0),0)),"",IF(ISBLANK(INDEX('Horarios disponibles por ano'!$B$4:$B$34,MATCH(1,INDEX(1*((('Horarios disponibles por ano'!$A$4:$A$34&lt;&gt;"")+('Horarios disponibles por ano'!$B$4:$B$34&lt;&gt;""))&gt;0)*(EXACT('Horarios disponibles por ano'!$A$4:$A$34,$B18))*(EXACT('Horarios disponibles por ano'!$B$4:$B$34,$E18)),0),0))),"",INDEX('Horarios disponibles por ano'!$B$4:$B$34,MATCH(1,INDEX(1*((('Horarios disponibles por ano'!$A$4:$A$34&lt;&gt;"")+('Horarios disponibles por ano'!$B$4:$B$34&lt;&gt;""))&gt;0)*(EXACT('Horarios disponibles por ano'!$A$4:$A$34,$B18))*(EXACT('Horarios disponibles por ano'!$B$4:$B$34,$E18)),0),0)))),""),"no","si")))</f>
        <v/>
      </c>
      <c r="J18" s="3">
        <f>IF(AND($A18=""),"",MID(IF(OR(($E18=""),($F18="")),"; "&amp;"Esta brigada todavia no tiene clase esta semana","")&amp;IF(EXACT($I18,"no"),"; "&amp;"Su ano no tiene este horario disponible","")&amp;IF(AND(NOT(($F18="")),(IFERROR(VALUE($H18&amp;""),0)&lt;IFERROR(VALUE($C18&amp;""),0))),"; "&amp;IF(ISNUMBER(("La instalacion es para "&amp;IF(ISNUMBER($H18),IF($H18=0,"0",ROUND($H18,9-INT(LOG10(ABS($H18))))&amp;""),$H18&amp;"")&amp;" personas y la brigada tiene "&amp;IF(ISNUMBER($C18),IF($C18=0,"0",ROUND($C18,9-INT(LOG10(ABS($C18))))&amp;""),$C18&amp;""))),IF(("La instalacion es para "&amp;IF(ISNUMBER($H18),IF($H18=0,"0",ROUND($H18,9-INT(LOG10(ABS($H18))))&amp;""),$H18&amp;"")&amp;" personas y la brigada tiene "&amp;IF(ISNUMBER($C18),IF($C18=0,"0",ROUND($C18,9-INT(LOG10(ABS($C18))))&amp;""),$C18&amp;""))=0,"0",ROUND(("La instalacion es para "&amp;IF(ISNUMBER($H18),IF($H18=0,"0",ROUND($H18,9-INT(LOG10(ABS($H18))))&amp;""),$H18&amp;"")&amp;" personas y la brigada tiene "&amp;IF(ISNUMBER($C18),IF($C18=0,"0",ROUND($C18,9-INT(LOG10(ABS($C18))))&amp;""),$C18&amp;"")),9-INT(LOG10(ABS(("La instalacion es para "&amp;IF(ISNUMBER($H18),IF($H18=0,"0",ROUND($H18,9-INT(LOG10(ABS($H18))))&amp;""),$H18&amp;"")&amp;" personas y la brigada tiene "&amp;IF(ISNUMBER($C18),IF($C18=0,"0",ROUND($C18,9-INT(LOG10(ABS($C18))))&amp;""),$C18&amp;""))))))&amp;""),("La instalacion es para "&amp;IF(ISNUMBER($H18),IF($H18=0,"0",ROUND($H18,9-INT(LOG10(ABS($H18))))&amp;""),$H18&amp;"")&amp;" personas y la brigada tiene "&amp;IF(ISNUMBER($C18),IF($C18=0,"0",ROUND($C18,9-INT(LOG10(ABS($C18))))&amp;""),$C18&amp;""))&amp;""),"")&amp;IF(AND(NOT(($F18="")),NOT(($E18="")),(SUMPRODUCT(1*(((('Reparto de brigadas'!$A$4:$A$31&lt;&gt;""))&gt;0))*((EXACT('Reparto de brigadas'!$G$4:$G$31,$G18)))*((EXACT('Reparto de brigadas'!$E$4:$E$31,$E18)))*((EXACT('Reparto de brigadas'!$F$4:$F$31,$F18)))*((ROW('Reparto de brigadas'!$A$4:$A$31)&lt;&gt;ROW($A18))))&gt;0)),"; "&amp;"Otra brigada usa esta instalacion en ese horario y esa semana","")&amp;IF(AND(NOT(($E18="")),(SUMPRODUCT(1*(((('Reparto de brigadas'!$A$4:$A$31&lt;&gt;""))&gt;0))*((EXACT('Reparto de brigadas'!$G$4:$G$31,$G18)))*((EXACT('Reparto de brigadas'!$E$4:$E$31,$E18)))*((EXACT('Reparto de brigadas'!$D$4:$D$31,$D18)))*((ROW('Reparto de brigadas'!$A$4:$A$31)&lt;&gt;ROW($A18))))&gt;0)),"; "&amp;"Este profesor tiene otra brigada en ese horario y esa semana",""),3,32767))</f>
        <v/>
      </c>
      <c r="K18" s="3">
        <f>IF(OR(OR(($E18=""),($F18="")),EXACT($I18,"no"),AND(NOT(($F18="")),(IFERROR(VALUE($H18&amp;""),0)&lt;IFERROR(VALUE($C18&amp;""),0))),AND(NOT(($F18="")),NOT(($E18="")),(SUMPRODUCT(1*(((('Reparto de brigadas'!$A$4:$A$31&lt;&gt;""))&gt;0))*((EXACT('Reparto de brigadas'!$G$4:$G$31,$G18)))*((EXACT('Reparto de brigadas'!$E$4:$E$31,$E18)))*((EXACT('Reparto de brigadas'!$F$4:$F$31,$F18)))*((ROW('Reparto de brigadas'!$A$4:$A$31)&lt;&gt;ROW($A18))))&gt;0)),AND(NOT(($E18="")),(SUMPRODUCT(1*(((('Reparto de brigadas'!$A$4:$A$31&lt;&gt;""))&gt;0))*((EXACT('Reparto de brigadas'!$G$4:$G$31,$G18)))*((EXACT('Reparto de brigadas'!$E$4:$E$31,$E18)))*((EXACT('Reparto de brigadas'!$D$4:$D$31,$D18)))*((ROW('Reparto de brigadas'!$A$4:$A$31)&lt;&gt;ROW($A18))))&gt;0))),3,0)</f>
        <v/>
      </c>
      <c r="L18" s="3">
        <f>$G18&amp;CHAR(31)&amp;$F18&amp;CHAR(31)&amp;$E18</f>
        <v/>
      </c>
      <c r="M18" s="3">
        <f>$D18&amp;CHAR(31)&amp;$E18&amp;CHAR(31)&amp;$G18</f>
        <v/>
      </c>
    </row>
    <row r="19">
      <c r="A19" s="4" t="n"/>
      <c r="B19" s="4" t="n"/>
      <c r="C19" s="4" t="n"/>
      <c r="D19" s="4" t="n"/>
      <c r="E19" s="4" t="n"/>
      <c r="F19" s="4" t="n"/>
      <c r="G19" s="3">
        <f>IF(AND($A19=""),"",IF(ISNA(MATCH(1,INDEX(EXACT('Anos de carrera'!$A$4:$A$29,$B19)*1*((('Anos de carrera'!$A$4:$A$29&lt;&gt;""))&gt;0),0),0)),"",IF(ISBLANK(INDEX('Anos de carrera'!$C$4:$C$29,MATCH(1,INDEX(EXACT('Anos de carrera'!$A$4:$A$29,$B19)*1*((('Anos de carrera'!$A$4:$A$29&lt;&gt;""))&gt;0),0),0))),"",INDEX('Anos de carrera'!$C$4:$C$29,MATCH(1,INDEX(EXACT('Anos de carrera'!$A$4:$A$29,$B19)*1*((('Anos de carrera'!$A$4:$A$29&lt;&gt;""))&gt;0),0),0)))))</f>
        <v/>
      </c>
      <c r="H19" s="3">
        <f>IF(AND($A19=""),"",IF(ISNA(MATCH(1,INDEX(EXACT('Instalaciones'!$A$4:$A$27,$F19)*1*((('Instalaciones'!$A$4:$A$27&lt;&gt;""))&gt;0),0),0)),0,IF(ISBLANK(INDEX('Instalaciones'!$B$4:$B$27,MATCH(1,INDEX(EXACT('Instalaciones'!$A$4:$A$27,$F19)*1*((('Instalaciones'!$A$4:$A$27&lt;&gt;""))&gt;0),0),0))),"",INDEX('Instalaciones'!$B$4:$B$27,MATCH(1,INDEX(EXACT('Instalaciones'!$A$4:$A$27,$F19)*1*((('Instalaciones'!$A$4:$A$27&lt;&gt;""))&gt;0),0),0)))))</f>
        <v/>
      </c>
      <c r="I19" s="3">
        <f>IF(AND($A19=""),"",IF(($E19=""),"",IF(EXACT(IF(ISNA(MATCH(1,INDEX(1*((('Horarios disponibles por ano'!$A$4:$A$34&lt;&gt;"")+('Horarios disponibles por ano'!$B$4:$B$34&lt;&gt;""))&gt;0)*(EXACT('Horarios disponibles por ano'!$A$4:$A$34,$B19))*(EXACT('Horarios disponibles por ano'!$B$4:$B$34,$E19)),0),0)),"",IF(ISBLANK(INDEX('Horarios disponibles por ano'!$B$4:$B$34,MATCH(1,INDEX(1*((('Horarios disponibles por ano'!$A$4:$A$34&lt;&gt;"")+('Horarios disponibles por ano'!$B$4:$B$34&lt;&gt;""))&gt;0)*(EXACT('Horarios disponibles por ano'!$A$4:$A$34,$B19))*(EXACT('Horarios disponibles por ano'!$B$4:$B$34,$E19)),0),0))),"",INDEX('Horarios disponibles por ano'!$B$4:$B$34,MATCH(1,INDEX(1*((('Horarios disponibles por ano'!$A$4:$A$34&lt;&gt;"")+('Horarios disponibles por ano'!$B$4:$B$34&lt;&gt;""))&gt;0)*(EXACT('Horarios disponibles por ano'!$A$4:$A$34,$B19))*(EXACT('Horarios disponibles por ano'!$B$4:$B$34,$E19)),0),0)))),""),"no","si")))</f>
        <v/>
      </c>
      <c r="J19" s="3">
        <f>IF(AND($A19=""),"",MID(IF(OR(($E19=""),($F19="")),"; "&amp;"Esta brigada todavia no tiene clase esta semana","")&amp;IF(EXACT($I19,"no"),"; "&amp;"Su ano no tiene este horario disponible","")&amp;IF(AND(NOT(($F19="")),(IFERROR(VALUE($H19&amp;""),0)&lt;IFERROR(VALUE($C19&amp;""),0))),"; "&amp;IF(ISNUMBER(("La instalacion es para "&amp;IF(ISNUMBER($H19),IF($H19=0,"0",ROUND($H19,9-INT(LOG10(ABS($H19))))&amp;""),$H19&amp;"")&amp;" personas y la brigada tiene "&amp;IF(ISNUMBER($C19),IF($C19=0,"0",ROUND($C19,9-INT(LOG10(ABS($C19))))&amp;""),$C19&amp;""))),IF(("La instalacion es para "&amp;IF(ISNUMBER($H19),IF($H19=0,"0",ROUND($H19,9-INT(LOG10(ABS($H19))))&amp;""),$H19&amp;"")&amp;" personas y la brigada tiene "&amp;IF(ISNUMBER($C19),IF($C19=0,"0",ROUND($C19,9-INT(LOG10(ABS($C19))))&amp;""),$C19&amp;""))=0,"0",ROUND(("La instalacion es para "&amp;IF(ISNUMBER($H19),IF($H19=0,"0",ROUND($H19,9-INT(LOG10(ABS($H19))))&amp;""),$H19&amp;"")&amp;" personas y la brigada tiene "&amp;IF(ISNUMBER($C19),IF($C19=0,"0",ROUND($C19,9-INT(LOG10(ABS($C19))))&amp;""),$C19&amp;"")),9-INT(LOG10(ABS(("La instalacion es para "&amp;IF(ISNUMBER($H19),IF($H19=0,"0",ROUND($H19,9-INT(LOG10(ABS($H19))))&amp;""),$H19&amp;"")&amp;" personas y la brigada tiene "&amp;IF(ISNUMBER($C19),IF($C19=0,"0",ROUND($C19,9-INT(LOG10(ABS($C19))))&amp;""),$C19&amp;""))))))&amp;""),("La instalacion es para "&amp;IF(ISNUMBER($H19),IF($H19=0,"0",ROUND($H19,9-INT(LOG10(ABS($H19))))&amp;""),$H19&amp;"")&amp;" personas y la brigada tiene "&amp;IF(ISNUMBER($C19),IF($C19=0,"0",ROUND($C19,9-INT(LOG10(ABS($C19))))&amp;""),$C19&amp;""))&amp;""),"")&amp;IF(AND(NOT(($F19="")),NOT(($E19="")),(SUMPRODUCT(1*(((('Reparto de brigadas'!$A$4:$A$31&lt;&gt;""))&gt;0))*((EXACT('Reparto de brigadas'!$G$4:$G$31,$G19)))*((EXACT('Reparto de brigadas'!$E$4:$E$31,$E19)))*((EXACT('Reparto de brigadas'!$F$4:$F$31,$F19)))*((ROW('Reparto de brigadas'!$A$4:$A$31)&lt;&gt;ROW($A19))))&gt;0)),"; "&amp;"Otra brigada usa esta instalacion en ese horario y esa semana","")&amp;IF(AND(NOT(($E19="")),(SUMPRODUCT(1*(((('Reparto de brigadas'!$A$4:$A$31&lt;&gt;""))&gt;0))*((EXACT('Reparto de brigadas'!$G$4:$G$31,$G19)))*((EXACT('Reparto de brigadas'!$E$4:$E$31,$E19)))*((EXACT('Reparto de brigadas'!$D$4:$D$31,$D19)))*((ROW('Reparto de brigadas'!$A$4:$A$31)&lt;&gt;ROW($A19))))&gt;0)),"; "&amp;"Este profesor tiene otra brigada en ese horario y esa semana",""),3,32767))</f>
        <v/>
      </c>
      <c r="K19" s="3">
        <f>IF(OR(OR(($E19=""),($F19="")),EXACT($I19,"no"),AND(NOT(($F19="")),(IFERROR(VALUE($H19&amp;""),0)&lt;IFERROR(VALUE($C19&amp;""),0))),AND(NOT(($F19="")),NOT(($E19="")),(SUMPRODUCT(1*(((('Reparto de brigadas'!$A$4:$A$31&lt;&gt;""))&gt;0))*((EXACT('Reparto de brigadas'!$G$4:$G$31,$G19)))*((EXACT('Reparto de brigadas'!$E$4:$E$31,$E19)))*((EXACT('Reparto de brigadas'!$F$4:$F$31,$F19)))*((ROW('Reparto de brigadas'!$A$4:$A$31)&lt;&gt;ROW($A19))))&gt;0)),AND(NOT(($E19="")),(SUMPRODUCT(1*(((('Reparto de brigadas'!$A$4:$A$31&lt;&gt;""))&gt;0))*((EXACT('Reparto de brigadas'!$G$4:$G$31,$G19)))*((EXACT('Reparto de brigadas'!$E$4:$E$31,$E19)))*((EXACT('Reparto de brigadas'!$D$4:$D$31,$D19)))*((ROW('Reparto de brigadas'!$A$4:$A$31)&lt;&gt;ROW($A19))))&gt;0))),3,0)</f>
        <v/>
      </c>
      <c r="L19" s="3">
        <f>$G19&amp;CHAR(31)&amp;$F19&amp;CHAR(31)&amp;$E19</f>
        <v/>
      </c>
      <c r="M19" s="3">
        <f>$D19&amp;CHAR(31)&amp;$E19&amp;CHAR(31)&amp;$G19</f>
        <v/>
      </c>
    </row>
    <row r="20">
      <c r="A20" s="4" t="n"/>
      <c r="B20" s="4" t="n"/>
      <c r="C20" s="4" t="n"/>
      <c r="D20" s="4" t="n"/>
      <c r="E20" s="4" t="n"/>
      <c r="F20" s="4" t="n"/>
      <c r="G20" s="3">
        <f>IF(AND($A20=""),"",IF(ISNA(MATCH(1,INDEX(EXACT('Anos de carrera'!$A$4:$A$29,$B20)*1*((('Anos de carrera'!$A$4:$A$29&lt;&gt;""))&gt;0),0),0)),"",IF(ISBLANK(INDEX('Anos de carrera'!$C$4:$C$29,MATCH(1,INDEX(EXACT('Anos de carrera'!$A$4:$A$29,$B20)*1*((('Anos de carrera'!$A$4:$A$29&lt;&gt;""))&gt;0),0),0))),"",INDEX('Anos de carrera'!$C$4:$C$29,MATCH(1,INDEX(EXACT('Anos de carrera'!$A$4:$A$29,$B20)*1*((('Anos de carrera'!$A$4:$A$29&lt;&gt;""))&gt;0),0),0)))))</f>
        <v/>
      </c>
      <c r="H20" s="3">
        <f>IF(AND($A20=""),"",IF(ISNA(MATCH(1,INDEX(EXACT('Instalaciones'!$A$4:$A$27,$F20)*1*((('Instalaciones'!$A$4:$A$27&lt;&gt;""))&gt;0),0),0)),0,IF(ISBLANK(INDEX('Instalaciones'!$B$4:$B$27,MATCH(1,INDEX(EXACT('Instalaciones'!$A$4:$A$27,$F20)*1*((('Instalaciones'!$A$4:$A$27&lt;&gt;""))&gt;0),0),0))),"",INDEX('Instalaciones'!$B$4:$B$27,MATCH(1,INDEX(EXACT('Instalaciones'!$A$4:$A$27,$F20)*1*((('Instalaciones'!$A$4:$A$27&lt;&gt;""))&gt;0),0),0)))))</f>
        <v/>
      </c>
      <c r="I20" s="3">
        <f>IF(AND($A20=""),"",IF(($E20=""),"",IF(EXACT(IF(ISNA(MATCH(1,INDEX(1*((('Horarios disponibles por ano'!$A$4:$A$34&lt;&gt;"")+('Horarios disponibles por ano'!$B$4:$B$34&lt;&gt;""))&gt;0)*(EXACT('Horarios disponibles por ano'!$A$4:$A$34,$B20))*(EXACT('Horarios disponibles por ano'!$B$4:$B$34,$E20)),0),0)),"",IF(ISBLANK(INDEX('Horarios disponibles por ano'!$B$4:$B$34,MATCH(1,INDEX(1*((('Horarios disponibles por ano'!$A$4:$A$34&lt;&gt;"")+('Horarios disponibles por ano'!$B$4:$B$34&lt;&gt;""))&gt;0)*(EXACT('Horarios disponibles por ano'!$A$4:$A$34,$B20))*(EXACT('Horarios disponibles por ano'!$B$4:$B$34,$E20)),0),0))),"",INDEX('Horarios disponibles por ano'!$B$4:$B$34,MATCH(1,INDEX(1*((('Horarios disponibles por ano'!$A$4:$A$34&lt;&gt;"")+('Horarios disponibles por ano'!$B$4:$B$34&lt;&gt;""))&gt;0)*(EXACT('Horarios disponibles por ano'!$A$4:$A$34,$B20))*(EXACT('Horarios disponibles por ano'!$B$4:$B$34,$E20)),0),0)))),""),"no","si")))</f>
        <v/>
      </c>
      <c r="J20" s="3">
        <f>IF(AND($A20=""),"",MID(IF(OR(($E20=""),($F20="")),"; "&amp;"Esta brigada todavia no tiene clase esta semana","")&amp;IF(EXACT($I20,"no"),"; "&amp;"Su ano no tiene este horario disponible","")&amp;IF(AND(NOT(($F20="")),(IFERROR(VALUE($H20&amp;""),0)&lt;IFERROR(VALUE($C20&amp;""),0))),"; "&amp;IF(ISNUMBER(("La instalacion es para "&amp;IF(ISNUMBER($H20),IF($H20=0,"0",ROUND($H20,9-INT(LOG10(ABS($H20))))&amp;""),$H20&amp;"")&amp;" personas y la brigada tiene "&amp;IF(ISNUMBER($C20),IF($C20=0,"0",ROUND($C20,9-INT(LOG10(ABS($C20))))&amp;""),$C20&amp;""))),IF(("La instalacion es para "&amp;IF(ISNUMBER($H20),IF($H20=0,"0",ROUND($H20,9-INT(LOG10(ABS($H20))))&amp;""),$H20&amp;"")&amp;" personas y la brigada tiene "&amp;IF(ISNUMBER($C20),IF($C20=0,"0",ROUND($C20,9-INT(LOG10(ABS($C20))))&amp;""),$C20&amp;""))=0,"0",ROUND(("La instalacion es para "&amp;IF(ISNUMBER($H20),IF($H20=0,"0",ROUND($H20,9-INT(LOG10(ABS($H20))))&amp;""),$H20&amp;"")&amp;" personas y la brigada tiene "&amp;IF(ISNUMBER($C20),IF($C20=0,"0",ROUND($C20,9-INT(LOG10(ABS($C20))))&amp;""),$C20&amp;"")),9-INT(LOG10(ABS(("La instalacion es para "&amp;IF(ISNUMBER($H20),IF($H20=0,"0",ROUND($H20,9-INT(LOG10(ABS($H20))))&amp;""),$H20&amp;"")&amp;" personas y la brigada tiene "&amp;IF(ISNUMBER($C20),IF($C20=0,"0",ROUND($C20,9-INT(LOG10(ABS($C20))))&amp;""),$C20&amp;""))))))&amp;""),("La instalacion es para "&amp;IF(ISNUMBER($H20),IF($H20=0,"0",ROUND($H20,9-INT(LOG10(ABS($H20))))&amp;""),$H20&amp;"")&amp;" personas y la brigada tiene "&amp;IF(ISNUMBER($C20),IF($C20=0,"0",ROUND($C20,9-INT(LOG10(ABS($C20))))&amp;""),$C20&amp;""))&amp;""),"")&amp;IF(AND(NOT(($F20="")),NOT(($E20="")),(SUMPRODUCT(1*(((('Reparto de brigadas'!$A$4:$A$31&lt;&gt;""))&gt;0))*((EXACT('Reparto de brigadas'!$G$4:$G$31,$G20)))*((EXACT('Reparto de brigadas'!$E$4:$E$31,$E20)))*((EXACT('Reparto de brigadas'!$F$4:$F$31,$F20)))*((ROW('Reparto de brigadas'!$A$4:$A$31)&lt;&gt;ROW($A20))))&gt;0)),"; "&amp;"Otra brigada usa esta instalacion en ese horario y esa semana","")&amp;IF(AND(NOT(($E20="")),(SUMPRODUCT(1*(((('Reparto de brigadas'!$A$4:$A$31&lt;&gt;""))&gt;0))*((EXACT('Reparto de brigadas'!$G$4:$G$31,$G20)))*((EXACT('Reparto de brigadas'!$E$4:$E$31,$E20)))*((EXACT('Reparto de brigadas'!$D$4:$D$31,$D20)))*((ROW('Reparto de brigadas'!$A$4:$A$31)&lt;&gt;ROW($A20))))&gt;0)),"; "&amp;"Este profesor tiene otra brigada en ese horario y esa semana",""),3,32767))</f>
        <v/>
      </c>
      <c r="K20" s="3">
        <f>IF(OR(OR(($E20=""),($F20="")),EXACT($I20,"no"),AND(NOT(($F20="")),(IFERROR(VALUE($H20&amp;""),0)&lt;IFERROR(VALUE($C20&amp;""),0))),AND(NOT(($F20="")),NOT(($E20="")),(SUMPRODUCT(1*(((('Reparto de brigadas'!$A$4:$A$31&lt;&gt;""))&gt;0))*((EXACT('Reparto de brigadas'!$G$4:$G$31,$G20)))*((EXACT('Reparto de brigadas'!$E$4:$E$31,$E20)))*((EXACT('Reparto de brigadas'!$F$4:$F$31,$F20)))*((ROW('Reparto de brigadas'!$A$4:$A$31)&lt;&gt;ROW($A20))))&gt;0)),AND(NOT(($E20="")),(SUMPRODUCT(1*(((('Reparto de brigadas'!$A$4:$A$31&lt;&gt;""))&gt;0))*((EXACT('Reparto de brigadas'!$G$4:$G$31,$G20)))*((EXACT('Reparto de brigadas'!$E$4:$E$31,$E20)))*((EXACT('Reparto de brigadas'!$D$4:$D$31,$D20)))*((ROW('Reparto de brigadas'!$A$4:$A$31)&lt;&gt;ROW($A20))))&gt;0))),3,0)</f>
        <v/>
      </c>
      <c r="L20" s="3">
        <f>$G20&amp;CHAR(31)&amp;$F20&amp;CHAR(31)&amp;$E20</f>
        <v/>
      </c>
      <c r="M20" s="3">
        <f>$D20&amp;CHAR(31)&amp;$E20&amp;CHAR(31)&amp;$G20</f>
        <v/>
      </c>
    </row>
    <row r="21">
      <c r="A21" s="4" t="n"/>
      <c r="B21" s="4" t="n"/>
      <c r="C21" s="4" t="n"/>
      <c r="D21" s="4" t="n"/>
      <c r="E21" s="4" t="n"/>
      <c r="F21" s="4" t="n"/>
      <c r="G21" s="3">
        <f>IF(AND($A21=""),"",IF(ISNA(MATCH(1,INDEX(EXACT('Anos de carrera'!$A$4:$A$29,$B21)*1*((('Anos de carrera'!$A$4:$A$29&lt;&gt;""))&gt;0),0),0)),"",IF(ISBLANK(INDEX('Anos de carrera'!$C$4:$C$29,MATCH(1,INDEX(EXACT('Anos de carrera'!$A$4:$A$29,$B21)*1*((('Anos de carrera'!$A$4:$A$29&lt;&gt;""))&gt;0),0),0))),"",INDEX('Anos de carrera'!$C$4:$C$29,MATCH(1,INDEX(EXACT('Anos de carrera'!$A$4:$A$29,$B21)*1*((('Anos de carrera'!$A$4:$A$29&lt;&gt;""))&gt;0),0),0)))))</f>
        <v/>
      </c>
      <c r="H21" s="3">
        <f>IF(AND($A21=""),"",IF(ISNA(MATCH(1,INDEX(EXACT('Instalaciones'!$A$4:$A$27,$F21)*1*((('Instalaciones'!$A$4:$A$27&lt;&gt;""))&gt;0),0),0)),0,IF(ISBLANK(INDEX('Instalaciones'!$B$4:$B$27,MATCH(1,INDEX(EXACT('Instalaciones'!$A$4:$A$27,$F21)*1*((('Instalaciones'!$A$4:$A$27&lt;&gt;""))&gt;0),0),0))),"",INDEX('Instalaciones'!$B$4:$B$27,MATCH(1,INDEX(EXACT('Instalaciones'!$A$4:$A$27,$F21)*1*((('Instalaciones'!$A$4:$A$27&lt;&gt;""))&gt;0),0),0)))))</f>
        <v/>
      </c>
      <c r="I21" s="3">
        <f>IF(AND($A21=""),"",IF(($E21=""),"",IF(EXACT(IF(ISNA(MATCH(1,INDEX(1*((('Horarios disponibles por ano'!$A$4:$A$34&lt;&gt;"")+('Horarios disponibles por ano'!$B$4:$B$34&lt;&gt;""))&gt;0)*(EXACT('Horarios disponibles por ano'!$A$4:$A$34,$B21))*(EXACT('Horarios disponibles por ano'!$B$4:$B$34,$E21)),0),0)),"",IF(ISBLANK(INDEX('Horarios disponibles por ano'!$B$4:$B$34,MATCH(1,INDEX(1*((('Horarios disponibles por ano'!$A$4:$A$34&lt;&gt;"")+('Horarios disponibles por ano'!$B$4:$B$34&lt;&gt;""))&gt;0)*(EXACT('Horarios disponibles por ano'!$A$4:$A$34,$B21))*(EXACT('Horarios disponibles por ano'!$B$4:$B$34,$E21)),0),0))),"",INDEX('Horarios disponibles por ano'!$B$4:$B$34,MATCH(1,INDEX(1*((('Horarios disponibles por ano'!$A$4:$A$34&lt;&gt;"")+('Horarios disponibles por ano'!$B$4:$B$34&lt;&gt;""))&gt;0)*(EXACT('Horarios disponibles por ano'!$A$4:$A$34,$B21))*(EXACT('Horarios disponibles por ano'!$B$4:$B$34,$E21)),0),0)))),""),"no","si")))</f>
        <v/>
      </c>
      <c r="J21" s="3">
        <f>IF(AND($A21=""),"",MID(IF(OR(($E21=""),($F21="")),"; "&amp;"Esta brigada todavia no tiene clase esta semana","")&amp;IF(EXACT($I21,"no"),"; "&amp;"Su ano no tiene este horario disponible","")&amp;IF(AND(NOT(($F21="")),(IFERROR(VALUE($H21&amp;""),0)&lt;IFERROR(VALUE($C21&amp;""),0))),"; "&amp;IF(ISNUMBER(("La instalacion es para "&amp;IF(ISNUMBER($H21),IF($H21=0,"0",ROUND($H21,9-INT(LOG10(ABS($H21))))&amp;""),$H21&amp;"")&amp;" personas y la brigada tiene "&amp;IF(ISNUMBER($C21),IF($C21=0,"0",ROUND($C21,9-INT(LOG10(ABS($C21))))&amp;""),$C21&amp;""))),IF(("La instalacion es para "&amp;IF(ISNUMBER($H21),IF($H21=0,"0",ROUND($H21,9-INT(LOG10(ABS($H21))))&amp;""),$H21&amp;"")&amp;" personas y la brigada tiene "&amp;IF(ISNUMBER($C21),IF($C21=0,"0",ROUND($C21,9-INT(LOG10(ABS($C21))))&amp;""),$C21&amp;""))=0,"0",ROUND(("La instalacion es para "&amp;IF(ISNUMBER($H21),IF($H21=0,"0",ROUND($H21,9-INT(LOG10(ABS($H21))))&amp;""),$H21&amp;"")&amp;" personas y la brigada tiene "&amp;IF(ISNUMBER($C21),IF($C21=0,"0",ROUND($C21,9-INT(LOG10(ABS($C21))))&amp;""),$C21&amp;"")),9-INT(LOG10(ABS(("La instalacion es para "&amp;IF(ISNUMBER($H21),IF($H21=0,"0",ROUND($H21,9-INT(LOG10(ABS($H21))))&amp;""),$H21&amp;"")&amp;" personas y la brigada tiene "&amp;IF(ISNUMBER($C21),IF($C21=0,"0",ROUND($C21,9-INT(LOG10(ABS($C21))))&amp;""),$C21&amp;""))))))&amp;""),("La instalacion es para "&amp;IF(ISNUMBER($H21),IF($H21=0,"0",ROUND($H21,9-INT(LOG10(ABS($H21))))&amp;""),$H21&amp;"")&amp;" personas y la brigada tiene "&amp;IF(ISNUMBER($C21),IF($C21=0,"0",ROUND($C21,9-INT(LOG10(ABS($C21))))&amp;""),$C21&amp;""))&amp;""),"")&amp;IF(AND(NOT(($F21="")),NOT(($E21="")),(SUMPRODUCT(1*(((('Reparto de brigadas'!$A$4:$A$31&lt;&gt;""))&gt;0))*((EXACT('Reparto de brigadas'!$G$4:$G$31,$G21)))*((EXACT('Reparto de brigadas'!$E$4:$E$31,$E21)))*((EXACT('Reparto de brigadas'!$F$4:$F$31,$F21)))*((ROW('Reparto de brigadas'!$A$4:$A$31)&lt;&gt;ROW($A21))))&gt;0)),"; "&amp;"Otra brigada usa esta instalacion en ese horario y esa semana","")&amp;IF(AND(NOT(($E21="")),(SUMPRODUCT(1*(((('Reparto de brigadas'!$A$4:$A$31&lt;&gt;""))&gt;0))*((EXACT('Reparto de brigadas'!$G$4:$G$31,$G21)))*((EXACT('Reparto de brigadas'!$E$4:$E$31,$E21)))*((EXACT('Reparto de brigadas'!$D$4:$D$31,$D21)))*((ROW('Reparto de brigadas'!$A$4:$A$31)&lt;&gt;ROW($A21))))&gt;0)),"; "&amp;"Este profesor tiene otra brigada en ese horario y esa semana",""),3,32767))</f>
        <v/>
      </c>
      <c r="K21" s="3">
        <f>IF(OR(OR(($E21=""),($F21="")),EXACT($I21,"no"),AND(NOT(($F21="")),(IFERROR(VALUE($H21&amp;""),0)&lt;IFERROR(VALUE($C21&amp;""),0))),AND(NOT(($F21="")),NOT(($E21="")),(SUMPRODUCT(1*(((('Reparto de brigadas'!$A$4:$A$31&lt;&gt;""))&gt;0))*((EXACT('Reparto de brigadas'!$G$4:$G$31,$G21)))*((EXACT('Reparto de brigadas'!$E$4:$E$31,$E21)))*((EXACT('Reparto de brigadas'!$F$4:$F$31,$F21)))*((ROW('Reparto de brigadas'!$A$4:$A$31)&lt;&gt;ROW($A21))))&gt;0)),AND(NOT(($E21="")),(SUMPRODUCT(1*(((('Reparto de brigadas'!$A$4:$A$31&lt;&gt;""))&gt;0))*((EXACT('Reparto de brigadas'!$G$4:$G$31,$G21)))*((EXACT('Reparto de brigadas'!$E$4:$E$31,$E21)))*((EXACT('Reparto de brigadas'!$D$4:$D$31,$D21)))*((ROW('Reparto de brigadas'!$A$4:$A$31)&lt;&gt;ROW($A21))))&gt;0))),3,0)</f>
        <v/>
      </c>
      <c r="L21" s="3">
        <f>$G21&amp;CHAR(31)&amp;$F21&amp;CHAR(31)&amp;$E21</f>
        <v/>
      </c>
      <c r="M21" s="3">
        <f>$D21&amp;CHAR(31)&amp;$E21&amp;CHAR(31)&amp;$G21</f>
        <v/>
      </c>
    </row>
    <row r="22">
      <c r="A22" s="4" t="n"/>
      <c r="B22" s="4" t="n"/>
      <c r="C22" s="4" t="n"/>
      <c r="D22" s="4" t="n"/>
      <c r="E22" s="4" t="n"/>
      <c r="F22" s="4" t="n"/>
      <c r="G22" s="3">
        <f>IF(AND($A22=""),"",IF(ISNA(MATCH(1,INDEX(EXACT('Anos de carrera'!$A$4:$A$29,$B22)*1*((('Anos de carrera'!$A$4:$A$29&lt;&gt;""))&gt;0),0),0)),"",IF(ISBLANK(INDEX('Anos de carrera'!$C$4:$C$29,MATCH(1,INDEX(EXACT('Anos de carrera'!$A$4:$A$29,$B22)*1*((('Anos de carrera'!$A$4:$A$29&lt;&gt;""))&gt;0),0),0))),"",INDEX('Anos de carrera'!$C$4:$C$29,MATCH(1,INDEX(EXACT('Anos de carrera'!$A$4:$A$29,$B22)*1*((('Anos de carrera'!$A$4:$A$29&lt;&gt;""))&gt;0),0),0)))))</f>
        <v/>
      </c>
      <c r="H22" s="3">
        <f>IF(AND($A22=""),"",IF(ISNA(MATCH(1,INDEX(EXACT('Instalaciones'!$A$4:$A$27,$F22)*1*((('Instalaciones'!$A$4:$A$27&lt;&gt;""))&gt;0),0),0)),0,IF(ISBLANK(INDEX('Instalaciones'!$B$4:$B$27,MATCH(1,INDEX(EXACT('Instalaciones'!$A$4:$A$27,$F22)*1*((('Instalaciones'!$A$4:$A$27&lt;&gt;""))&gt;0),0),0))),"",INDEX('Instalaciones'!$B$4:$B$27,MATCH(1,INDEX(EXACT('Instalaciones'!$A$4:$A$27,$F22)*1*((('Instalaciones'!$A$4:$A$27&lt;&gt;""))&gt;0),0),0)))))</f>
        <v/>
      </c>
      <c r="I22" s="3">
        <f>IF(AND($A22=""),"",IF(($E22=""),"",IF(EXACT(IF(ISNA(MATCH(1,INDEX(1*((('Horarios disponibles por ano'!$A$4:$A$34&lt;&gt;"")+('Horarios disponibles por ano'!$B$4:$B$34&lt;&gt;""))&gt;0)*(EXACT('Horarios disponibles por ano'!$A$4:$A$34,$B22))*(EXACT('Horarios disponibles por ano'!$B$4:$B$34,$E22)),0),0)),"",IF(ISBLANK(INDEX('Horarios disponibles por ano'!$B$4:$B$34,MATCH(1,INDEX(1*((('Horarios disponibles por ano'!$A$4:$A$34&lt;&gt;"")+('Horarios disponibles por ano'!$B$4:$B$34&lt;&gt;""))&gt;0)*(EXACT('Horarios disponibles por ano'!$A$4:$A$34,$B22))*(EXACT('Horarios disponibles por ano'!$B$4:$B$34,$E22)),0),0))),"",INDEX('Horarios disponibles por ano'!$B$4:$B$34,MATCH(1,INDEX(1*((('Horarios disponibles por ano'!$A$4:$A$34&lt;&gt;"")+('Horarios disponibles por ano'!$B$4:$B$34&lt;&gt;""))&gt;0)*(EXACT('Horarios disponibles por ano'!$A$4:$A$34,$B22))*(EXACT('Horarios disponibles por ano'!$B$4:$B$34,$E22)),0),0)))),""),"no","si")))</f>
        <v/>
      </c>
      <c r="J22" s="3">
        <f>IF(AND($A22=""),"",MID(IF(OR(($E22=""),($F22="")),"; "&amp;"Esta brigada todavia no tiene clase esta semana","")&amp;IF(EXACT($I22,"no"),"; "&amp;"Su ano no tiene este horario disponible","")&amp;IF(AND(NOT(($F22="")),(IFERROR(VALUE($H22&amp;""),0)&lt;IFERROR(VALUE($C22&amp;""),0))),"; "&amp;IF(ISNUMBER(("La instalacion es para "&amp;IF(ISNUMBER($H22),IF($H22=0,"0",ROUND($H22,9-INT(LOG10(ABS($H22))))&amp;""),$H22&amp;"")&amp;" personas y la brigada tiene "&amp;IF(ISNUMBER($C22),IF($C22=0,"0",ROUND($C22,9-INT(LOG10(ABS($C22))))&amp;""),$C22&amp;""))),IF(("La instalacion es para "&amp;IF(ISNUMBER($H22),IF($H22=0,"0",ROUND($H22,9-INT(LOG10(ABS($H22))))&amp;""),$H22&amp;"")&amp;" personas y la brigada tiene "&amp;IF(ISNUMBER($C22),IF($C22=0,"0",ROUND($C22,9-INT(LOG10(ABS($C22))))&amp;""),$C22&amp;""))=0,"0",ROUND(("La instalacion es para "&amp;IF(ISNUMBER($H22),IF($H22=0,"0",ROUND($H22,9-INT(LOG10(ABS($H22))))&amp;""),$H22&amp;"")&amp;" personas y la brigada tiene "&amp;IF(ISNUMBER($C22),IF($C22=0,"0",ROUND($C22,9-INT(LOG10(ABS($C22))))&amp;""),$C22&amp;"")),9-INT(LOG10(ABS(("La instalacion es para "&amp;IF(ISNUMBER($H22),IF($H22=0,"0",ROUND($H22,9-INT(LOG10(ABS($H22))))&amp;""),$H22&amp;"")&amp;" personas y la brigada tiene "&amp;IF(ISNUMBER($C22),IF($C22=0,"0",ROUND($C22,9-INT(LOG10(ABS($C22))))&amp;""),$C22&amp;""))))))&amp;""),("La instalacion es para "&amp;IF(ISNUMBER($H22),IF($H22=0,"0",ROUND($H22,9-INT(LOG10(ABS($H22))))&amp;""),$H22&amp;"")&amp;" personas y la brigada tiene "&amp;IF(ISNUMBER($C22),IF($C22=0,"0",ROUND($C22,9-INT(LOG10(ABS($C22))))&amp;""),$C22&amp;""))&amp;""),"")&amp;IF(AND(NOT(($F22="")),NOT(($E22="")),(SUMPRODUCT(1*(((('Reparto de brigadas'!$A$4:$A$31&lt;&gt;""))&gt;0))*((EXACT('Reparto de brigadas'!$G$4:$G$31,$G22)))*((EXACT('Reparto de brigadas'!$E$4:$E$31,$E22)))*((EXACT('Reparto de brigadas'!$F$4:$F$31,$F22)))*((ROW('Reparto de brigadas'!$A$4:$A$31)&lt;&gt;ROW($A22))))&gt;0)),"; "&amp;"Otra brigada usa esta instalacion en ese horario y esa semana","")&amp;IF(AND(NOT(($E22="")),(SUMPRODUCT(1*(((('Reparto de brigadas'!$A$4:$A$31&lt;&gt;""))&gt;0))*((EXACT('Reparto de brigadas'!$G$4:$G$31,$G22)))*((EXACT('Reparto de brigadas'!$E$4:$E$31,$E22)))*((EXACT('Reparto de brigadas'!$D$4:$D$31,$D22)))*((ROW('Reparto de brigadas'!$A$4:$A$31)&lt;&gt;ROW($A22))))&gt;0)),"; "&amp;"Este profesor tiene otra brigada en ese horario y esa semana",""),3,32767))</f>
        <v/>
      </c>
      <c r="K22" s="3">
        <f>IF(OR(OR(($E22=""),($F22="")),EXACT($I22,"no"),AND(NOT(($F22="")),(IFERROR(VALUE($H22&amp;""),0)&lt;IFERROR(VALUE($C22&amp;""),0))),AND(NOT(($F22="")),NOT(($E22="")),(SUMPRODUCT(1*(((('Reparto de brigadas'!$A$4:$A$31&lt;&gt;""))&gt;0))*((EXACT('Reparto de brigadas'!$G$4:$G$31,$G22)))*((EXACT('Reparto de brigadas'!$E$4:$E$31,$E22)))*((EXACT('Reparto de brigadas'!$F$4:$F$31,$F22)))*((ROW('Reparto de brigadas'!$A$4:$A$31)&lt;&gt;ROW($A22))))&gt;0)),AND(NOT(($E22="")),(SUMPRODUCT(1*(((('Reparto de brigadas'!$A$4:$A$31&lt;&gt;""))&gt;0))*((EXACT('Reparto de brigadas'!$G$4:$G$31,$G22)))*((EXACT('Reparto de brigadas'!$E$4:$E$31,$E22)))*((EXACT('Reparto de brigadas'!$D$4:$D$31,$D22)))*((ROW('Reparto de brigadas'!$A$4:$A$31)&lt;&gt;ROW($A22))))&gt;0))),3,0)</f>
        <v/>
      </c>
      <c r="L22" s="3">
        <f>$G22&amp;CHAR(31)&amp;$F22&amp;CHAR(31)&amp;$E22</f>
        <v/>
      </c>
      <c r="M22" s="3">
        <f>$D22&amp;CHAR(31)&amp;$E22&amp;CHAR(31)&amp;$G22</f>
        <v/>
      </c>
    </row>
    <row r="23">
      <c r="A23" s="4" t="n"/>
      <c r="B23" s="4" t="n"/>
      <c r="C23" s="4" t="n"/>
      <c r="D23" s="4" t="n"/>
      <c r="E23" s="4" t="n"/>
      <c r="F23" s="4" t="n"/>
      <c r="G23" s="3">
        <f>IF(AND($A23=""),"",IF(ISNA(MATCH(1,INDEX(EXACT('Anos de carrera'!$A$4:$A$29,$B23)*1*((('Anos de carrera'!$A$4:$A$29&lt;&gt;""))&gt;0),0),0)),"",IF(ISBLANK(INDEX('Anos de carrera'!$C$4:$C$29,MATCH(1,INDEX(EXACT('Anos de carrera'!$A$4:$A$29,$B23)*1*((('Anos de carrera'!$A$4:$A$29&lt;&gt;""))&gt;0),0),0))),"",INDEX('Anos de carrera'!$C$4:$C$29,MATCH(1,INDEX(EXACT('Anos de carrera'!$A$4:$A$29,$B23)*1*((('Anos de carrera'!$A$4:$A$29&lt;&gt;""))&gt;0),0),0)))))</f>
        <v/>
      </c>
      <c r="H23" s="3">
        <f>IF(AND($A23=""),"",IF(ISNA(MATCH(1,INDEX(EXACT('Instalaciones'!$A$4:$A$27,$F23)*1*((('Instalaciones'!$A$4:$A$27&lt;&gt;""))&gt;0),0),0)),0,IF(ISBLANK(INDEX('Instalaciones'!$B$4:$B$27,MATCH(1,INDEX(EXACT('Instalaciones'!$A$4:$A$27,$F23)*1*((('Instalaciones'!$A$4:$A$27&lt;&gt;""))&gt;0),0),0))),"",INDEX('Instalaciones'!$B$4:$B$27,MATCH(1,INDEX(EXACT('Instalaciones'!$A$4:$A$27,$F23)*1*((('Instalaciones'!$A$4:$A$27&lt;&gt;""))&gt;0),0),0)))))</f>
        <v/>
      </c>
      <c r="I23" s="3">
        <f>IF(AND($A23=""),"",IF(($E23=""),"",IF(EXACT(IF(ISNA(MATCH(1,INDEX(1*((('Horarios disponibles por ano'!$A$4:$A$34&lt;&gt;"")+('Horarios disponibles por ano'!$B$4:$B$34&lt;&gt;""))&gt;0)*(EXACT('Horarios disponibles por ano'!$A$4:$A$34,$B23))*(EXACT('Horarios disponibles por ano'!$B$4:$B$34,$E23)),0),0)),"",IF(ISBLANK(INDEX('Horarios disponibles por ano'!$B$4:$B$34,MATCH(1,INDEX(1*((('Horarios disponibles por ano'!$A$4:$A$34&lt;&gt;"")+('Horarios disponibles por ano'!$B$4:$B$34&lt;&gt;""))&gt;0)*(EXACT('Horarios disponibles por ano'!$A$4:$A$34,$B23))*(EXACT('Horarios disponibles por ano'!$B$4:$B$34,$E23)),0),0))),"",INDEX('Horarios disponibles por ano'!$B$4:$B$34,MATCH(1,INDEX(1*((('Horarios disponibles por ano'!$A$4:$A$34&lt;&gt;"")+('Horarios disponibles por ano'!$B$4:$B$34&lt;&gt;""))&gt;0)*(EXACT('Horarios disponibles por ano'!$A$4:$A$34,$B23))*(EXACT('Horarios disponibles por ano'!$B$4:$B$34,$E23)),0),0)))),""),"no","si")))</f>
        <v/>
      </c>
      <c r="J23" s="3">
        <f>IF(AND($A23=""),"",MID(IF(OR(($E23=""),($F23="")),"; "&amp;"Esta brigada todavia no tiene clase esta semana","")&amp;IF(EXACT($I23,"no"),"; "&amp;"Su ano no tiene este horario disponible","")&amp;IF(AND(NOT(($F23="")),(IFERROR(VALUE($H23&amp;""),0)&lt;IFERROR(VALUE($C23&amp;""),0))),"; "&amp;IF(ISNUMBER(("La instalacion es para "&amp;IF(ISNUMBER($H23),IF($H23=0,"0",ROUND($H23,9-INT(LOG10(ABS($H23))))&amp;""),$H23&amp;"")&amp;" personas y la brigada tiene "&amp;IF(ISNUMBER($C23),IF($C23=0,"0",ROUND($C23,9-INT(LOG10(ABS($C23))))&amp;""),$C23&amp;""))),IF(("La instalacion es para "&amp;IF(ISNUMBER($H23),IF($H23=0,"0",ROUND($H23,9-INT(LOG10(ABS($H23))))&amp;""),$H23&amp;"")&amp;" personas y la brigada tiene "&amp;IF(ISNUMBER($C23),IF($C23=0,"0",ROUND($C23,9-INT(LOG10(ABS($C23))))&amp;""),$C23&amp;""))=0,"0",ROUND(("La instalacion es para "&amp;IF(ISNUMBER($H23),IF($H23=0,"0",ROUND($H23,9-INT(LOG10(ABS($H23))))&amp;""),$H23&amp;"")&amp;" personas y la brigada tiene "&amp;IF(ISNUMBER($C23),IF($C23=0,"0",ROUND($C23,9-INT(LOG10(ABS($C23))))&amp;""),$C23&amp;"")),9-INT(LOG10(ABS(("La instalacion es para "&amp;IF(ISNUMBER($H23),IF($H23=0,"0",ROUND($H23,9-INT(LOG10(ABS($H23))))&amp;""),$H23&amp;"")&amp;" personas y la brigada tiene "&amp;IF(ISNUMBER($C23),IF($C23=0,"0",ROUND($C23,9-INT(LOG10(ABS($C23))))&amp;""),$C23&amp;""))))))&amp;""),("La instalacion es para "&amp;IF(ISNUMBER($H23),IF($H23=0,"0",ROUND($H23,9-INT(LOG10(ABS($H23))))&amp;""),$H23&amp;"")&amp;" personas y la brigada tiene "&amp;IF(ISNUMBER($C23),IF($C23=0,"0",ROUND($C23,9-INT(LOG10(ABS($C23))))&amp;""),$C23&amp;""))&amp;""),"")&amp;IF(AND(NOT(($F23="")),NOT(($E23="")),(SUMPRODUCT(1*(((('Reparto de brigadas'!$A$4:$A$31&lt;&gt;""))&gt;0))*((EXACT('Reparto de brigadas'!$G$4:$G$31,$G23)))*((EXACT('Reparto de brigadas'!$E$4:$E$31,$E23)))*((EXACT('Reparto de brigadas'!$F$4:$F$31,$F23)))*((ROW('Reparto de brigadas'!$A$4:$A$31)&lt;&gt;ROW($A23))))&gt;0)),"; "&amp;"Otra brigada usa esta instalacion en ese horario y esa semana","")&amp;IF(AND(NOT(($E23="")),(SUMPRODUCT(1*(((('Reparto de brigadas'!$A$4:$A$31&lt;&gt;""))&gt;0))*((EXACT('Reparto de brigadas'!$G$4:$G$31,$G23)))*((EXACT('Reparto de brigadas'!$E$4:$E$31,$E23)))*((EXACT('Reparto de brigadas'!$D$4:$D$31,$D23)))*((ROW('Reparto de brigadas'!$A$4:$A$31)&lt;&gt;ROW($A23))))&gt;0)),"; "&amp;"Este profesor tiene otra brigada en ese horario y esa semana",""),3,32767))</f>
        <v/>
      </c>
      <c r="K23" s="3">
        <f>IF(OR(OR(($E23=""),($F23="")),EXACT($I23,"no"),AND(NOT(($F23="")),(IFERROR(VALUE($H23&amp;""),0)&lt;IFERROR(VALUE($C23&amp;""),0))),AND(NOT(($F23="")),NOT(($E23="")),(SUMPRODUCT(1*(((('Reparto de brigadas'!$A$4:$A$31&lt;&gt;""))&gt;0))*((EXACT('Reparto de brigadas'!$G$4:$G$31,$G23)))*((EXACT('Reparto de brigadas'!$E$4:$E$31,$E23)))*((EXACT('Reparto de brigadas'!$F$4:$F$31,$F23)))*((ROW('Reparto de brigadas'!$A$4:$A$31)&lt;&gt;ROW($A23))))&gt;0)),AND(NOT(($E23="")),(SUMPRODUCT(1*(((('Reparto de brigadas'!$A$4:$A$31&lt;&gt;""))&gt;0))*((EXACT('Reparto de brigadas'!$G$4:$G$31,$G23)))*((EXACT('Reparto de brigadas'!$E$4:$E$31,$E23)))*((EXACT('Reparto de brigadas'!$D$4:$D$31,$D23)))*((ROW('Reparto de brigadas'!$A$4:$A$31)&lt;&gt;ROW($A23))))&gt;0))),3,0)</f>
        <v/>
      </c>
      <c r="L23" s="3">
        <f>$G23&amp;CHAR(31)&amp;$F23&amp;CHAR(31)&amp;$E23</f>
        <v/>
      </c>
      <c r="M23" s="3">
        <f>$D23&amp;CHAR(31)&amp;$E23&amp;CHAR(31)&amp;$G23</f>
        <v/>
      </c>
    </row>
    <row r="24">
      <c r="A24" s="4" t="n"/>
      <c r="B24" s="4" t="n"/>
      <c r="C24" s="4" t="n"/>
      <c r="D24" s="4" t="n"/>
      <c r="E24" s="4" t="n"/>
      <c r="F24" s="4" t="n"/>
      <c r="G24" s="3">
        <f>IF(AND($A24=""),"",IF(ISNA(MATCH(1,INDEX(EXACT('Anos de carrera'!$A$4:$A$29,$B24)*1*((('Anos de carrera'!$A$4:$A$29&lt;&gt;""))&gt;0),0),0)),"",IF(ISBLANK(INDEX('Anos de carrera'!$C$4:$C$29,MATCH(1,INDEX(EXACT('Anos de carrera'!$A$4:$A$29,$B24)*1*((('Anos de carrera'!$A$4:$A$29&lt;&gt;""))&gt;0),0),0))),"",INDEX('Anos de carrera'!$C$4:$C$29,MATCH(1,INDEX(EXACT('Anos de carrera'!$A$4:$A$29,$B24)*1*((('Anos de carrera'!$A$4:$A$29&lt;&gt;""))&gt;0),0),0)))))</f>
        <v/>
      </c>
      <c r="H24" s="3">
        <f>IF(AND($A24=""),"",IF(ISNA(MATCH(1,INDEX(EXACT('Instalaciones'!$A$4:$A$27,$F24)*1*((('Instalaciones'!$A$4:$A$27&lt;&gt;""))&gt;0),0),0)),0,IF(ISBLANK(INDEX('Instalaciones'!$B$4:$B$27,MATCH(1,INDEX(EXACT('Instalaciones'!$A$4:$A$27,$F24)*1*((('Instalaciones'!$A$4:$A$27&lt;&gt;""))&gt;0),0),0))),"",INDEX('Instalaciones'!$B$4:$B$27,MATCH(1,INDEX(EXACT('Instalaciones'!$A$4:$A$27,$F24)*1*((('Instalaciones'!$A$4:$A$27&lt;&gt;""))&gt;0),0),0)))))</f>
        <v/>
      </c>
      <c r="I24" s="3">
        <f>IF(AND($A24=""),"",IF(($E24=""),"",IF(EXACT(IF(ISNA(MATCH(1,INDEX(1*((('Horarios disponibles por ano'!$A$4:$A$34&lt;&gt;"")+('Horarios disponibles por ano'!$B$4:$B$34&lt;&gt;""))&gt;0)*(EXACT('Horarios disponibles por ano'!$A$4:$A$34,$B24))*(EXACT('Horarios disponibles por ano'!$B$4:$B$34,$E24)),0),0)),"",IF(ISBLANK(INDEX('Horarios disponibles por ano'!$B$4:$B$34,MATCH(1,INDEX(1*((('Horarios disponibles por ano'!$A$4:$A$34&lt;&gt;"")+('Horarios disponibles por ano'!$B$4:$B$34&lt;&gt;""))&gt;0)*(EXACT('Horarios disponibles por ano'!$A$4:$A$34,$B24))*(EXACT('Horarios disponibles por ano'!$B$4:$B$34,$E24)),0),0))),"",INDEX('Horarios disponibles por ano'!$B$4:$B$34,MATCH(1,INDEX(1*((('Horarios disponibles por ano'!$A$4:$A$34&lt;&gt;"")+('Horarios disponibles por ano'!$B$4:$B$34&lt;&gt;""))&gt;0)*(EXACT('Horarios disponibles por ano'!$A$4:$A$34,$B24))*(EXACT('Horarios disponibles por ano'!$B$4:$B$34,$E24)),0),0)))),""),"no","si")))</f>
        <v/>
      </c>
      <c r="J24" s="3">
        <f>IF(AND($A24=""),"",MID(IF(OR(($E24=""),($F24="")),"; "&amp;"Esta brigada todavia no tiene clase esta semana","")&amp;IF(EXACT($I24,"no"),"; "&amp;"Su ano no tiene este horario disponible","")&amp;IF(AND(NOT(($F24="")),(IFERROR(VALUE($H24&amp;""),0)&lt;IFERROR(VALUE($C24&amp;""),0))),"; "&amp;IF(ISNUMBER(("La instalacion es para "&amp;IF(ISNUMBER($H24),IF($H24=0,"0",ROUND($H24,9-INT(LOG10(ABS($H24))))&amp;""),$H24&amp;"")&amp;" personas y la brigada tiene "&amp;IF(ISNUMBER($C24),IF($C24=0,"0",ROUND($C24,9-INT(LOG10(ABS($C24))))&amp;""),$C24&amp;""))),IF(("La instalacion es para "&amp;IF(ISNUMBER($H24),IF($H24=0,"0",ROUND($H24,9-INT(LOG10(ABS($H24))))&amp;""),$H24&amp;"")&amp;" personas y la brigada tiene "&amp;IF(ISNUMBER($C24),IF($C24=0,"0",ROUND($C24,9-INT(LOG10(ABS($C24))))&amp;""),$C24&amp;""))=0,"0",ROUND(("La instalacion es para "&amp;IF(ISNUMBER($H24),IF($H24=0,"0",ROUND($H24,9-INT(LOG10(ABS($H24))))&amp;""),$H24&amp;"")&amp;" personas y la brigada tiene "&amp;IF(ISNUMBER($C24),IF($C24=0,"0",ROUND($C24,9-INT(LOG10(ABS($C24))))&amp;""),$C24&amp;"")),9-INT(LOG10(ABS(("La instalacion es para "&amp;IF(ISNUMBER($H24),IF($H24=0,"0",ROUND($H24,9-INT(LOG10(ABS($H24))))&amp;""),$H24&amp;"")&amp;" personas y la brigada tiene "&amp;IF(ISNUMBER($C24),IF($C24=0,"0",ROUND($C24,9-INT(LOG10(ABS($C24))))&amp;""),$C24&amp;""))))))&amp;""),("La instalacion es para "&amp;IF(ISNUMBER($H24),IF($H24=0,"0",ROUND($H24,9-INT(LOG10(ABS($H24))))&amp;""),$H24&amp;"")&amp;" personas y la brigada tiene "&amp;IF(ISNUMBER($C24),IF($C24=0,"0",ROUND($C24,9-INT(LOG10(ABS($C24))))&amp;""),$C24&amp;""))&amp;""),"")&amp;IF(AND(NOT(($F24="")),NOT(($E24="")),(SUMPRODUCT(1*(((('Reparto de brigadas'!$A$4:$A$31&lt;&gt;""))&gt;0))*((EXACT('Reparto de brigadas'!$G$4:$G$31,$G24)))*((EXACT('Reparto de brigadas'!$E$4:$E$31,$E24)))*((EXACT('Reparto de brigadas'!$F$4:$F$31,$F24)))*((ROW('Reparto de brigadas'!$A$4:$A$31)&lt;&gt;ROW($A24))))&gt;0)),"; "&amp;"Otra brigada usa esta instalacion en ese horario y esa semana","")&amp;IF(AND(NOT(($E24="")),(SUMPRODUCT(1*(((('Reparto de brigadas'!$A$4:$A$31&lt;&gt;""))&gt;0))*((EXACT('Reparto de brigadas'!$G$4:$G$31,$G24)))*((EXACT('Reparto de brigadas'!$E$4:$E$31,$E24)))*((EXACT('Reparto de brigadas'!$D$4:$D$31,$D24)))*((ROW('Reparto de brigadas'!$A$4:$A$31)&lt;&gt;ROW($A24))))&gt;0)),"; "&amp;"Este profesor tiene otra brigada en ese horario y esa semana",""),3,32767))</f>
        <v/>
      </c>
      <c r="K24" s="3">
        <f>IF(OR(OR(($E24=""),($F24="")),EXACT($I24,"no"),AND(NOT(($F24="")),(IFERROR(VALUE($H24&amp;""),0)&lt;IFERROR(VALUE($C24&amp;""),0))),AND(NOT(($F24="")),NOT(($E24="")),(SUMPRODUCT(1*(((('Reparto de brigadas'!$A$4:$A$31&lt;&gt;""))&gt;0))*((EXACT('Reparto de brigadas'!$G$4:$G$31,$G24)))*((EXACT('Reparto de brigadas'!$E$4:$E$31,$E24)))*((EXACT('Reparto de brigadas'!$F$4:$F$31,$F24)))*((ROW('Reparto de brigadas'!$A$4:$A$31)&lt;&gt;ROW($A24))))&gt;0)),AND(NOT(($E24="")),(SUMPRODUCT(1*(((('Reparto de brigadas'!$A$4:$A$31&lt;&gt;""))&gt;0))*((EXACT('Reparto de brigadas'!$G$4:$G$31,$G24)))*((EXACT('Reparto de brigadas'!$E$4:$E$31,$E24)))*((EXACT('Reparto de brigadas'!$D$4:$D$31,$D24)))*((ROW('Reparto de brigadas'!$A$4:$A$31)&lt;&gt;ROW($A24))))&gt;0))),3,0)</f>
        <v/>
      </c>
      <c r="L24" s="3">
        <f>$G24&amp;CHAR(31)&amp;$F24&amp;CHAR(31)&amp;$E24</f>
        <v/>
      </c>
      <c r="M24" s="3">
        <f>$D24&amp;CHAR(31)&amp;$E24&amp;CHAR(31)&amp;$G24</f>
        <v/>
      </c>
    </row>
    <row r="25">
      <c r="A25" s="4" t="n"/>
      <c r="B25" s="4" t="n"/>
      <c r="C25" s="4" t="n"/>
      <c r="D25" s="4" t="n"/>
      <c r="E25" s="4" t="n"/>
      <c r="F25" s="4" t="n"/>
      <c r="G25" s="3">
        <f>IF(AND($A25=""),"",IF(ISNA(MATCH(1,INDEX(EXACT('Anos de carrera'!$A$4:$A$29,$B25)*1*((('Anos de carrera'!$A$4:$A$29&lt;&gt;""))&gt;0),0),0)),"",IF(ISBLANK(INDEX('Anos de carrera'!$C$4:$C$29,MATCH(1,INDEX(EXACT('Anos de carrera'!$A$4:$A$29,$B25)*1*((('Anos de carrera'!$A$4:$A$29&lt;&gt;""))&gt;0),0),0))),"",INDEX('Anos de carrera'!$C$4:$C$29,MATCH(1,INDEX(EXACT('Anos de carrera'!$A$4:$A$29,$B25)*1*((('Anos de carrera'!$A$4:$A$29&lt;&gt;""))&gt;0),0),0)))))</f>
        <v/>
      </c>
      <c r="H25" s="3">
        <f>IF(AND($A25=""),"",IF(ISNA(MATCH(1,INDEX(EXACT('Instalaciones'!$A$4:$A$27,$F25)*1*((('Instalaciones'!$A$4:$A$27&lt;&gt;""))&gt;0),0),0)),0,IF(ISBLANK(INDEX('Instalaciones'!$B$4:$B$27,MATCH(1,INDEX(EXACT('Instalaciones'!$A$4:$A$27,$F25)*1*((('Instalaciones'!$A$4:$A$27&lt;&gt;""))&gt;0),0),0))),"",INDEX('Instalaciones'!$B$4:$B$27,MATCH(1,INDEX(EXACT('Instalaciones'!$A$4:$A$27,$F25)*1*((('Instalaciones'!$A$4:$A$27&lt;&gt;""))&gt;0),0),0)))))</f>
        <v/>
      </c>
      <c r="I25" s="3">
        <f>IF(AND($A25=""),"",IF(($E25=""),"",IF(EXACT(IF(ISNA(MATCH(1,INDEX(1*((('Horarios disponibles por ano'!$A$4:$A$34&lt;&gt;"")+('Horarios disponibles por ano'!$B$4:$B$34&lt;&gt;""))&gt;0)*(EXACT('Horarios disponibles por ano'!$A$4:$A$34,$B25))*(EXACT('Horarios disponibles por ano'!$B$4:$B$34,$E25)),0),0)),"",IF(ISBLANK(INDEX('Horarios disponibles por ano'!$B$4:$B$34,MATCH(1,INDEX(1*((('Horarios disponibles por ano'!$A$4:$A$34&lt;&gt;"")+('Horarios disponibles por ano'!$B$4:$B$34&lt;&gt;""))&gt;0)*(EXACT('Horarios disponibles por ano'!$A$4:$A$34,$B25))*(EXACT('Horarios disponibles por ano'!$B$4:$B$34,$E25)),0),0))),"",INDEX('Horarios disponibles por ano'!$B$4:$B$34,MATCH(1,INDEX(1*((('Horarios disponibles por ano'!$A$4:$A$34&lt;&gt;"")+('Horarios disponibles por ano'!$B$4:$B$34&lt;&gt;""))&gt;0)*(EXACT('Horarios disponibles por ano'!$A$4:$A$34,$B25))*(EXACT('Horarios disponibles por ano'!$B$4:$B$34,$E25)),0),0)))),""),"no","si")))</f>
        <v/>
      </c>
      <c r="J25" s="3">
        <f>IF(AND($A25=""),"",MID(IF(OR(($E25=""),($F25="")),"; "&amp;"Esta brigada todavia no tiene clase esta semana","")&amp;IF(EXACT($I25,"no"),"; "&amp;"Su ano no tiene este horario disponible","")&amp;IF(AND(NOT(($F25="")),(IFERROR(VALUE($H25&amp;""),0)&lt;IFERROR(VALUE($C25&amp;""),0))),"; "&amp;IF(ISNUMBER(("La instalacion es para "&amp;IF(ISNUMBER($H25),IF($H25=0,"0",ROUND($H25,9-INT(LOG10(ABS($H25))))&amp;""),$H25&amp;"")&amp;" personas y la brigada tiene "&amp;IF(ISNUMBER($C25),IF($C25=0,"0",ROUND($C25,9-INT(LOG10(ABS($C25))))&amp;""),$C25&amp;""))),IF(("La instalacion es para "&amp;IF(ISNUMBER($H25),IF($H25=0,"0",ROUND($H25,9-INT(LOG10(ABS($H25))))&amp;""),$H25&amp;"")&amp;" personas y la brigada tiene "&amp;IF(ISNUMBER($C25),IF($C25=0,"0",ROUND($C25,9-INT(LOG10(ABS($C25))))&amp;""),$C25&amp;""))=0,"0",ROUND(("La instalacion es para "&amp;IF(ISNUMBER($H25),IF($H25=0,"0",ROUND($H25,9-INT(LOG10(ABS($H25))))&amp;""),$H25&amp;"")&amp;" personas y la brigada tiene "&amp;IF(ISNUMBER($C25),IF($C25=0,"0",ROUND($C25,9-INT(LOG10(ABS($C25))))&amp;""),$C25&amp;"")),9-INT(LOG10(ABS(("La instalacion es para "&amp;IF(ISNUMBER($H25),IF($H25=0,"0",ROUND($H25,9-INT(LOG10(ABS($H25))))&amp;""),$H25&amp;"")&amp;" personas y la brigada tiene "&amp;IF(ISNUMBER($C25),IF($C25=0,"0",ROUND($C25,9-INT(LOG10(ABS($C25))))&amp;""),$C25&amp;""))))))&amp;""),("La instalacion es para "&amp;IF(ISNUMBER($H25),IF($H25=0,"0",ROUND($H25,9-INT(LOG10(ABS($H25))))&amp;""),$H25&amp;"")&amp;" personas y la brigada tiene "&amp;IF(ISNUMBER($C25),IF($C25=0,"0",ROUND($C25,9-INT(LOG10(ABS($C25))))&amp;""),$C25&amp;""))&amp;""),"")&amp;IF(AND(NOT(($F25="")),NOT(($E25="")),(SUMPRODUCT(1*(((('Reparto de brigadas'!$A$4:$A$31&lt;&gt;""))&gt;0))*((EXACT('Reparto de brigadas'!$G$4:$G$31,$G25)))*((EXACT('Reparto de brigadas'!$E$4:$E$31,$E25)))*((EXACT('Reparto de brigadas'!$F$4:$F$31,$F25)))*((ROW('Reparto de brigadas'!$A$4:$A$31)&lt;&gt;ROW($A25))))&gt;0)),"; "&amp;"Otra brigada usa esta instalacion en ese horario y esa semana","")&amp;IF(AND(NOT(($E25="")),(SUMPRODUCT(1*(((('Reparto de brigadas'!$A$4:$A$31&lt;&gt;""))&gt;0))*((EXACT('Reparto de brigadas'!$G$4:$G$31,$G25)))*((EXACT('Reparto de brigadas'!$E$4:$E$31,$E25)))*((EXACT('Reparto de brigadas'!$D$4:$D$31,$D25)))*((ROW('Reparto de brigadas'!$A$4:$A$31)&lt;&gt;ROW($A25))))&gt;0)),"; "&amp;"Este profesor tiene otra brigada en ese horario y esa semana",""),3,32767))</f>
        <v/>
      </c>
      <c r="K25" s="3">
        <f>IF(OR(OR(($E25=""),($F25="")),EXACT($I25,"no"),AND(NOT(($F25="")),(IFERROR(VALUE($H25&amp;""),0)&lt;IFERROR(VALUE($C25&amp;""),0))),AND(NOT(($F25="")),NOT(($E25="")),(SUMPRODUCT(1*(((('Reparto de brigadas'!$A$4:$A$31&lt;&gt;""))&gt;0))*((EXACT('Reparto de brigadas'!$G$4:$G$31,$G25)))*((EXACT('Reparto de brigadas'!$E$4:$E$31,$E25)))*((EXACT('Reparto de brigadas'!$F$4:$F$31,$F25)))*((ROW('Reparto de brigadas'!$A$4:$A$31)&lt;&gt;ROW($A25))))&gt;0)),AND(NOT(($E25="")),(SUMPRODUCT(1*(((('Reparto de brigadas'!$A$4:$A$31&lt;&gt;""))&gt;0))*((EXACT('Reparto de brigadas'!$G$4:$G$31,$G25)))*((EXACT('Reparto de brigadas'!$E$4:$E$31,$E25)))*((EXACT('Reparto de brigadas'!$D$4:$D$31,$D25)))*((ROW('Reparto de brigadas'!$A$4:$A$31)&lt;&gt;ROW($A25))))&gt;0))),3,0)</f>
        <v/>
      </c>
      <c r="L25" s="3">
        <f>$G25&amp;CHAR(31)&amp;$F25&amp;CHAR(31)&amp;$E25</f>
        <v/>
      </c>
      <c r="M25" s="3">
        <f>$D25&amp;CHAR(31)&amp;$E25&amp;CHAR(31)&amp;$G25</f>
        <v/>
      </c>
    </row>
    <row r="26">
      <c r="A26" s="4" t="n"/>
      <c r="B26" s="4" t="n"/>
      <c r="C26" s="4" t="n"/>
      <c r="D26" s="4" t="n"/>
      <c r="E26" s="4" t="n"/>
      <c r="F26" s="4" t="n"/>
      <c r="G26" s="3">
        <f>IF(AND($A26=""),"",IF(ISNA(MATCH(1,INDEX(EXACT('Anos de carrera'!$A$4:$A$29,$B26)*1*((('Anos de carrera'!$A$4:$A$29&lt;&gt;""))&gt;0),0),0)),"",IF(ISBLANK(INDEX('Anos de carrera'!$C$4:$C$29,MATCH(1,INDEX(EXACT('Anos de carrera'!$A$4:$A$29,$B26)*1*((('Anos de carrera'!$A$4:$A$29&lt;&gt;""))&gt;0),0),0))),"",INDEX('Anos de carrera'!$C$4:$C$29,MATCH(1,INDEX(EXACT('Anos de carrera'!$A$4:$A$29,$B26)*1*((('Anos de carrera'!$A$4:$A$29&lt;&gt;""))&gt;0),0),0)))))</f>
        <v/>
      </c>
      <c r="H26" s="3">
        <f>IF(AND($A26=""),"",IF(ISNA(MATCH(1,INDEX(EXACT('Instalaciones'!$A$4:$A$27,$F26)*1*((('Instalaciones'!$A$4:$A$27&lt;&gt;""))&gt;0),0),0)),0,IF(ISBLANK(INDEX('Instalaciones'!$B$4:$B$27,MATCH(1,INDEX(EXACT('Instalaciones'!$A$4:$A$27,$F26)*1*((('Instalaciones'!$A$4:$A$27&lt;&gt;""))&gt;0),0),0))),"",INDEX('Instalaciones'!$B$4:$B$27,MATCH(1,INDEX(EXACT('Instalaciones'!$A$4:$A$27,$F26)*1*((('Instalaciones'!$A$4:$A$27&lt;&gt;""))&gt;0),0),0)))))</f>
        <v/>
      </c>
      <c r="I26" s="3">
        <f>IF(AND($A26=""),"",IF(($E26=""),"",IF(EXACT(IF(ISNA(MATCH(1,INDEX(1*((('Horarios disponibles por ano'!$A$4:$A$34&lt;&gt;"")+('Horarios disponibles por ano'!$B$4:$B$34&lt;&gt;""))&gt;0)*(EXACT('Horarios disponibles por ano'!$A$4:$A$34,$B26))*(EXACT('Horarios disponibles por ano'!$B$4:$B$34,$E26)),0),0)),"",IF(ISBLANK(INDEX('Horarios disponibles por ano'!$B$4:$B$34,MATCH(1,INDEX(1*((('Horarios disponibles por ano'!$A$4:$A$34&lt;&gt;"")+('Horarios disponibles por ano'!$B$4:$B$34&lt;&gt;""))&gt;0)*(EXACT('Horarios disponibles por ano'!$A$4:$A$34,$B26))*(EXACT('Horarios disponibles por ano'!$B$4:$B$34,$E26)),0),0))),"",INDEX('Horarios disponibles por ano'!$B$4:$B$34,MATCH(1,INDEX(1*((('Horarios disponibles por ano'!$A$4:$A$34&lt;&gt;"")+('Horarios disponibles por ano'!$B$4:$B$34&lt;&gt;""))&gt;0)*(EXACT('Horarios disponibles por ano'!$A$4:$A$34,$B26))*(EXACT('Horarios disponibles por ano'!$B$4:$B$34,$E26)),0),0)))),""),"no","si")))</f>
        <v/>
      </c>
      <c r="J26" s="3">
        <f>IF(AND($A26=""),"",MID(IF(OR(($E26=""),($F26="")),"; "&amp;"Esta brigada todavia no tiene clase esta semana","")&amp;IF(EXACT($I26,"no"),"; "&amp;"Su ano no tiene este horario disponible","")&amp;IF(AND(NOT(($F26="")),(IFERROR(VALUE($H26&amp;""),0)&lt;IFERROR(VALUE($C26&amp;""),0))),"; "&amp;IF(ISNUMBER(("La instalacion es para "&amp;IF(ISNUMBER($H26),IF($H26=0,"0",ROUND($H26,9-INT(LOG10(ABS($H26))))&amp;""),$H26&amp;"")&amp;" personas y la brigada tiene "&amp;IF(ISNUMBER($C26),IF($C26=0,"0",ROUND($C26,9-INT(LOG10(ABS($C26))))&amp;""),$C26&amp;""))),IF(("La instalacion es para "&amp;IF(ISNUMBER($H26),IF($H26=0,"0",ROUND($H26,9-INT(LOG10(ABS($H26))))&amp;""),$H26&amp;"")&amp;" personas y la brigada tiene "&amp;IF(ISNUMBER($C26),IF($C26=0,"0",ROUND($C26,9-INT(LOG10(ABS($C26))))&amp;""),$C26&amp;""))=0,"0",ROUND(("La instalacion es para "&amp;IF(ISNUMBER($H26),IF($H26=0,"0",ROUND($H26,9-INT(LOG10(ABS($H26))))&amp;""),$H26&amp;"")&amp;" personas y la brigada tiene "&amp;IF(ISNUMBER($C26),IF($C26=0,"0",ROUND($C26,9-INT(LOG10(ABS($C26))))&amp;""),$C26&amp;"")),9-INT(LOG10(ABS(("La instalacion es para "&amp;IF(ISNUMBER($H26),IF($H26=0,"0",ROUND($H26,9-INT(LOG10(ABS($H26))))&amp;""),$H26&amp;"")&amp;" personas y la brigada tiene "&amp;IF(ISNUMBER($C26),IF($C26=0,"0",ROUND($C26,9-INT(LOG10(ABS($C26))))&amp;""),$C26&amp;""))))))&amp;""),("La instalacion es para "&amp;IF(ISNUMBER($H26),IF($H26=0,"0",ROUND($H26,9-INT(LOG10(ABS($H26))))&amp;""),$H26&amp;"")&amp;" personas y la brigada tiene "&amp;IF(ISNUMBER($C26),IF($C26=0,"0",ROUND($C26,9-INT(LOG10(ABS($C26))))&amp;""),$C26&amp;""))&amp;""),"")&amp;IF(AND(NOT(($F26="")),NOT(($E26="")),(SUMPRODUCT(1*(((('Reparto de brigadas'!$A$4:$A$31&lt;&gt;""))&gt;0))*((EXACT('Reparto de brigadas'!$G$4:$G$31,$G26)))*((EXACT('Reparto de brigadas'!$E$4:$E$31,$E26)))*((EXACT('Reparto de brigadas'!$F$4:$F$31,$F26)))*((ROW('Reparto de brigadas'!$A$4:$A$31)&lt;&gt;ROW($A26))))&gt;0)),"; "&amp;"Otra brigada usa esta instalacion en ese horario y esa semana","")&amp;IF(AND(NOT(($E26="")),(SUMPRODUCT(1*(((('Reparto de brigadas'!$A$4:$A$31&lt;&gt;""))&gt;0))*((EXACT('Reparto de brigadas'!$G$4:$G$31,$G26)))*((EXACT('Reparto de brigadas'!$E$4:$E$31,$E26)))*((EXACT('Reparto de brigadas'!$D$4:$D$31,$D26)))*((ROW('Reparto de brigadas'!$A$4:$A$31)&lt;&gt;ROW($A26))))&gt;0)),"; "&amp;"Este profesor tiene otra brigada en ese horario y esa semana",""),3,32767))</f>
        <v/>
      </c>
      <c r="K26" s="3">
        <f>IF(OR(OR(($E26=""),($F26="")),EXACT($I26,"no"),AND(NOT(($F26="")),(IFERROR(VALUE($H26&amp;""),0)&lt;IFERROR(VALUE($C26&amp;""),0))),AND(NOT(($F26="")),NOT(($E26="")),(SUMPRODUCT(1*(((('Reparto de brigadas'!$A$4:$A$31&lt;&gt;""))&gt;0))*((EXACT('Reparto de brigadas'!$G$4:$G$31,$G26)))*((EXACT('Reparto de brigadas'!$E$4:$E$31,$E26)))*((EXACT('Reparto de brigadas'!$F$4:$F$31,$F26)))*((ROW('Reparto de brigadas'!$A$4:$A$31)&lt;&gt;ROW($A26))))&gt;0)),AND(NOT(($E26="")),(SUMPRODUCT(1*(((('Reparto de brigadas'!$A$4:$A$31&lt;&gt;""))&gt;0))*((EXACT('Reparto de brigadas'!$G$4:$G$31,$G26)))*((EXACT('Reparto de brigadas'!$E$4:$E$31,$E26)))*((EXACT('Reparto de brigadas'!$D$4:$D$31,$D26)))*((ROW('Reparto de brigadas'!$A$4:$A$31)&lt;&gt;ROW($A26))))&gt;0))),3,0)</f>
        <v/>
      </c>
      <c r="L26" s="3">
        <f>$G26&amp;CHAR(31)&amp;$F26&amp;CHAR(31)&amp;$E26</f>
        <v/>
      </c>
      <c r="M26" s="3">
        <f>$D26&amp;CHAR(31)&amp;$E26&amp;CHAR(31)&amp;$G26</f>
        <v/>
      </c>
    </row>
    <row r="27">
      <c r="A27" s="4" t="n"/>
      <c r="B27" s="4" t="n"/>
      <c r="C27" s="4" t="n"/>
      <c r="D27" s="4" t="n"/>
      <c r="E27" s="4" t="n"/>
      <c r="F27" s="4" t="n"/>
      <c r="G27" s="3">
        <f>IF(AND($A27=""),"",IF(ISNA(MATCH(1,INDEX(EXACT('Anos de carrera'!$A$4:$A$29,$B27)*1*((('Anos de carrera'!$A$4:$A$29&lt;&gt;""))&gt;0),0),0)),"",IF(ISBLANK(INDEX('Anos de carrera'!$C$4:$C$29,MATCH(1,INDEX(EXACT('Anos de carrera'!$A$4:$A$29,$B27)*1*((('Anos de carrera'!$A$4:$A$29&lt;&gt;""))&gt;0),0),0))),"",INDEX('Anos de carrera'!$C$4:$C$29,MATCH(1,INDEX(EXACT('Anos de carrera'!$A$4:$A$29,$B27)*1*((('Anos de carrera'!$A$4:$A$29&lt;&gt;""))&gt;0),0),0)))))</f>
        <v/>
      </c>
      <c r="H27" s="3">
        <f>IF(AND($A27=""),"",IF(ISNA(MATCH(1,INDEX(EXACT('Instalaciones'!$A$4:$A$27,$F27)*1*((('Instalaciones'!$A$4:$A$27&lt;&gt;""))&gt;0),0),0)),0,IF(ISBLANK(INDEX('Instalaciones'!$B$4:$B$27,MATCH(1,INDEX(EXACT('Instalaciones'!$A$4:$A$27,$F27)*1*((('Instalaciones'!$A$4:$A$27&lt;&gt;""))&gt;0),0),0))),"",INDEX('Instalaciones'!$B$4:$B$27,MATCH(1,INDEX(EXACT('Instalaciones'!$A$4:$A$27,$F27)*1*((('Instalaciones'!$A$4:$A$27&lt;&gt;""))&gt;0),0),0)))))</f>
        <v/>
      </c>
      <c r="I27" s="3">
        <f>IF(AND($A27=""),"",IF(($E27=""),"",IF(EXACT(IF(ISNA(MATCH(1,INDEX(1*((('Horarios disponibles por ano'!$A$4:$A$34&lt;&gt;"")+('Horarios disponibles por ano'!$B$4:$B$34&lt;&gt;""))&gt;0)*(EXACT('Horarios disponibles por ano'!$A$4:$A$34,$B27))*(EXACT('Horarios disponibles por ano'!$B$4:$B$34,$E27)),0),0)),"",IF(ISBLANK(INDEX('Horarios disponibles por ano'!$B$4:$B$34,MATCH(1,INDEX(1*((('Horarios disponibles por ano'!$A$4:$A$34&lt;&gt;"")+('Horarios disponibles por ano'!$B$4:$B$34&lt;&gt;""))&gt;0)*(EXACT('Horarios disponibles por ano'!$A$4:$A$34,$B27))*(EXACT('Horarios disponibles por ano'!$B$4:$B$34,$E27)),0),0))),"",INDEX('Horarios disponibles por ano'!$B$4:$B$34,MATCH(1,INDEX(1*((('Horarios disponibles por ano'!$A$4:$A$34&lt;&gt;"")+('Horarios disponibles por ano'!$B$4:$B$34&lt;&gt;""))&gt;0)*(EXACT('Horarios disponibles por ano'!$A$4:$A$34,$B27))*(EXACT('Horarios disponibles por ano'!$B$4:$B$34,$E27)),0),0)))),""),"no","si")))</f>
        <v/>
      </c>
      <c r="J27" s="3">
        <f>IF(AND($A27=""),"",MID(IF(OR(($E27=""),($F27="")),"; "&amp;"Esta brigada todavia no tiene clase esta semana","")&amp;IF(EXACT($I27,"no"),"; "&amp;"Su ano no tiene este horario disponible","")&amp;IF(AND(NOT(($F27="")),(IFERROR(VALUE($H27&amp;""),0)&lt;IFERROR(VALUE($C27&amp;""),0))),"; "&amp;IF(ISNUMBER(("La instalacion es para "&amp;IF(ISNUMBER($H27),IF($H27=0,"0",ROUND($H27,9-INT(LOG10(ABS($H27))))&amp;""),$H27&amp;"")&amp;" personas y la brigada tiene "&amp;IF(ISNUMBER($C27),IF($C27=0,"0",ROUND($C27,9-INT(LOG10(ABS($C27))))&amp;""),$C27&amp;""))),IF(("La instalacion es para "&amp;IF(ISNUMBER($H27),IF($H27=0,"0",ROUND($H27,9-INT(LOG10(ABS($H27))))&amp;""),$H27&amp;"")&amp;" personas y la brigada tiene "&amp;IF(ISNUMBER($C27),IF($C27=0,"0",ROUND($C27,9-INT(LOG10(ABS($C27))))&amp;""),$C27&amp;""))=0,"0",ROUND(("La instalacion es para "&amp;IF(ISNUMBER($H27),IF($H27=0,"0",ROUND($H27,9-INT(LOG10(ABS($H27))))&amp;""),$H27&amp;"")&amp;" personas y la brigada tiene "&amp;IF(ISNUMBER($C27),IF($C27=0,"0",ROUND($C27,9-INT(LOG10(ABS($C27))))&amp;""),$C27&amp;"")),9-INT(LOG10(ABS(("La instalacion es para "&amp;IF(ISNUMBER($H27),IF($H27=0,"0",ROUND($H27,9-INT(LOG10(ABS($H27))))&amp;""),$H27&amp;"")&amp;" personas y la brigada tiene "&amp;IF(ISNUMBER($C27),IF($C27=0,"0",ROUND($C27,9-INT(LOG10(ABS($C27))))&amp;""),$C27&amp;""))))))&amp;""),("La instalacion es para "&amp;IF(ISNUMBER($H27),IF($H27=0,"0",ROUND($H27,9-INT(LOG10(ABS($H27))))&amp;""),$H27&amp;"")&amp;" personas y la brigada tiene "&amp;IF(ISNUMBER($C27),IF($C27=0,"0",ROUND($C27,9-INT(LOG10(ABS($C27))))&amp;""),$C27&amp;""))&amp;""),"")&amp;IF(AND(NOT(($F27="")),NOT(($E27="")),(SUMPRODUCT(1*(((('Reparto de brigadas'!$A$4:$A$31&lt;&gt;""))&gt;0))*((EXACT('Reparto de brigadas'!$G$4:$G$31,$G27)))*((EXACT('Reparto de brigadas'!$E$4:$E$31,$E27)))*((EXACT('Reparto de brigadas'!$F$4:$F$31,$F27)))*((ROW('Reparto de brigadas'!$A$4:$A$31)&lt;&gt;ROW($A27))))&gt;0)),"; "&amp;"Otra brigada usa esta instalacion en ese horario y esa semana","")&amp;IF(AND(NOT(($E27="")),(SUMPRODUCT(1*(((('Reparto de brigadas'!$A$4:$A$31&lt;&gt;""))&gt;0))*((EXACT('Reparto de brigadas'!$G$4:$G$31,$G27)))*((EXACT('Reparto de brigadas'!$E$4:$E$31,$E27)))*((EXACT('Reparto de brigadas'!$D$4:$D$31,$D27)))*((ROW('Reparto de brigadas'!$A$4:$A$31)&lt;&gt;ROW($A27))))&gt;0)),"; "&amp;"Este profesor tiene otra brigada en ese horario y esa semana",""),3,32767))</f>
        <v/>
      </c>
      <c r="K27" s="3">
        <f>IF(OR(OR(($E27=""),($F27="")),EXACT($I27,"no"),AND(NOT(($F27="")),(IFERROR(VALUE($H27&amp;""),0)&lt;IFERROR(VALUE($C27&amp;""),0))),AND(NOT(($F27="")),NOT(($E27="")),(SUMPRODUCT(1*(((('Reparto de brigadas'!$A$4:$A$31&lt;&gt;""))&gt;0))*((EXACT('Reparto de brigadas'!$G$4:$G$31,$G27)))*((EXACT('Reparto de brigadas'!$E$4:$E$31,$E27)))*((EXACT('Reparto de brigadas'!$F$4:$F$31,$F27)))*((ROW('Reparto de brigadas'!$A$4:$A$31)&lt;&gt;ROW($A27))))&gt;0)),AND(NOT(($E27="")),(SUMPRODUCT(1*(((('Reparto de brigadas'!$A$4:$A$31&lt;&gt;""))&gt;0))*((EXACT('Reparto de brigadas'!$G$4:$G$31,$G27)))*((EXACT('Reparto de brigadas'!$E$4:$E$31,$E27)))*((EXACT('Reparto de brigadas'!$D$4:$D$31,$D27)))*((ROW('Reparto de brigadas'!$A$4:$A$31)&lt;&gt;ROW($A27))))&gt;0))),3,0)</f>
        <v/>
      </c>
      <c r="L27" s="3">
        <f>$G27&amp;CHAR(31)&amp;$F27&amp;CHAR(31)&amp;$E27</f>
        <v/>
      </c>
      <c r="M27" s="3">
        <f>$D27&amp;CHAR(31)&amp;$E27&amp;CHAR(31)&amp;$G27</f>
        <v/>
      </c>
    </row>
    <row r="28">
      <c r="A28" s="4" t="n"/>
      <c r="B28" s="4" t="n"/>
      <c r="C28" s="4" t="n"/>
      <c r="D28" s="4" t="n"/>
      <c r="E28" s="4" t="n"/>
      <c r="F28" s="4" t="n"/>
      <c r="G28" s="3">
        <f>IF(AND($A28=""),"",IF(ISNA(MATCH(1,INDEX(EXACT('Anos de carrera'!$A$4:$A$29,$B28)*1*((('Anos de carrera'!$A$4:$A$29&lt;&gt;""))&gt;0),0),0)),"",IF(ISBLANK(INDEX('Anos de carrera'!$C$4:$C$29,MATCH(1,INDEX(EXACT('Anos de carrera'!$A$4:$A$29,$B28)*1*((('Anos de carrera'!$A$4:$A$29&lt;&gt;""))&gt;0),0),0))),"",INDEX('Anos de carrera'!$C$4:$C$29,MATCH(1,INDEX(EXACT('Anos de carrera'!$A$4:$A$29,$B28)*1*((('Anos de carrera'!$A$4:$A$29&lt;&gt;""))&gt;0),0),0)))))</f>
        <v/>
      </c>
      <c r="H28" s="3">
        <f>IF(AND($A28=""),"",IF(ISNA(MATCH(1,INDEX(EXACT('Instalaciones'!$A$4:$A$27,$F28)*1*((('Instalaciones'!$A$4:$A$27&lt;&gt;""))&gt;0),0),0)),0,IF(ISBLANK(INDEX('Instalaciones'!$B$4:$B$27,MATCH(1,INDEX(EXACT('Instalaciones'!$A$4:$A$27,$F28)*1*((('Instalaciones'!$A$4:$A$27&lt;&gt;""))&gt;0),0),0))),"",INDEX('Instalaciones'!$B$4:$B$27,MATCH(1,INDEX(EXACT('Instalaciones'!$A$4:$A$27,$F28)*1*((('Instalaciones'!$A$4:$A$27&lt;&gt;""))&gt;0),0),0)))))</f>
        <v/>
      </c>
      <c r="I28" s="3">
        <f>IF(AND($A28=""),"",IF(($E28=""),"",IF(EXACT(IF(ISNA(MATCH(1,INDEX(1*((('Horarios disponibles por ano'!$A$4:$A$34&lt;&gt;"")+('Horarios disponibles por ano'!$B$4:$B$34&lt;&gt;""))&gt;0)*(EXACT('Horarios disponibles por ano'!$A$4:$A$34,$B28))*(EXACT('Horarios disponibles por ano'!$B$4:$B$34,$E28)),0),0)),"",IF(ISBLANK(INDEX('Horarios disponibles por ano'!$B$4:$B$34,MATCH(1,INDEX(1*((('Horarios disponibles por ano'!$A$4:$A$34&lt;&gt;"")+('Horarios disponibles por ano'!$B$4:$B$34&lt;&gt;""))&gt;0)*(EXACT('Horarios disponibles por ano'!$A$4:$A$34,$B28))*(EXACT('Horarios disponibles por ano'!$B$4:$B$34,$E28)),0),0))),"",INDEX('Horarios disponibles por ano'!$B$4:$B$34,MATCH(1,INDEX(1*((('Horarios disponibles por ano'!$A$4:$A$34&lt;&gt;"")+('Horarios disponibles por ano'!$B$4:$B$34&lt;&gt;""))&gt;0)*(EXACT('Horarios disponibles por ano'!$A$4:$A$34,$B28))*(EXACT('Horarios disponibles por ano'!$B$4:$B$34,$E28)),0),0)))),""),"no","si")))</f>
        <v/>
      </c>
      <c r="J28" s="3">
        <f>IF(AND($A28=""),"",MID(IF(OR(($E28=""),($F28="")),"; "&amp;"Esta brigada todavia no tiene clase esta semana","")&amp;IF(EXACT($I28,"no"),"; "&amp;"Su ano no tiene este horario disponible","")&amp;IF(AND(NOT(($F28="")),(IFERROR(VALUE($H28&amp;""),0)&lt;IFERROR(VALUE($C28&amp;""),0))),"; "&amp;IF(ISNUMBER(("La instalacion es para "&amp;IF(ISNUMBER($H28),IF($H28=0,"0",ROUND($H28,9-INT(LOG10(ABS($H28))))&amp;""),$H28&amp;"")&amp;" personas y la brigada tiene "&amp;IF(ISNUMBER($C28),IF($C28=0,"0",ROUND($C28,9-INT(LOG10(ABS($C28))))&amp;""),$C28&amp;""))),IF(("La instalacion es para "&amp;IF(ISNUMBER($H28),IF($H28=0,"0",ROUND($H28,9-INT(LOG10(ABS($H28))))&amp;""),$H28&amp;"")&amp;" personas y la brigada tiene "&amp;IF(ISNUMBER($C28),IF($C28=0,"0",ROUND($C28,9-INT(LOG10(ABS($C28))))&amp;""),$C28&amp;""))=0,"0",ROUND(("La instalacion es para "&amp;IF(ISNUMBER($H28),IF($H28=0,"0",ROUND($H28,9-INT(LOG10(ABS($H28))))&amp;""),$H28&amp;"")&amp;" personas y la brigada tiene "&amp;IF(ISNUMBER($C28),IF($C28=0,"0",ROUND($C28,9-INT(LOG10(ABS($C28))))&amp;""),$C28&amp;"")),9-INT(LOG10(ABS(("La instalacion es para "&amp;IF(ISNUMBER($H28),IF($H28=0,"0",ROUND($H28,9-INT(LOG10(ABS($H28))))&amp;""),$H28&amp;"")&amp;" personas y la brigada tiene "&amp;IF(ISNUMBER($C28),IF($C28=0,"0",ROUND($C28,9-INT(LOG10(ABS($C28))))&amp;""),$C28&amp;""))))))&amp;""),("La instalacion es para "&amp;IF(ISNUMBER($H28),IF($H28=0,"0",ROUND($H28,9-INT(LOG10(ABS($H28))))&amp;""),$H28&amp;"")&amp;" personas y la brigada tiene "&amp;IF(ISNUMBER($C28),IF($C28=0,"0",ROUND($C28,9-INT(LOG10(ABS($C28))))&amp;""),$C28&amp;""))&amp;""),"")&amp;IF(AND(NOT(($F28="")),NOT(($E28="")),(SUMPRODUCT(1*(((('Reparto de brigadas'!$A$4:$A$31&lt;&gt;""))&gt;0))*((EXACT('Reparto de brigadas'!$G$4:$G$31,$G28)))*((EXACT('Reparto de brigadas'!$E$4:$E$31,$E28)))*((EXACT('Reparto de brigadas'!$F$4:$F$31,$F28)))*((ROW('Reparto de brigadas'!$A$4:$A$31)&lt;&gt;ROW($A28))))&gt;0)),"; "&amp;"Otra brigada usa esta instalacion en ese horario y esa semana","")&amp;IF(AND(NOT(($E28="")),(SUMPRODUCT(1*(((('Reparto de brigadas'!$A$4:$A$31&lt;&gt;""))&gt;0))*((EXACT('Reparto de brigadas'!$G$4:$G$31,$G28)))*((EXACT('Reparto de brigadas'!$E$4:$E$31,$E28)))*((EXACT('Reparto de brigadas'!$D$4:$D$31,$D28)))*((ROW('Reparto de brigadas'!$A$4:$A$31)&lt;&gt;ROW($A28))))&gt;0)),"; "&amp;"Este profesor tiene otra brigada en ese horario y esa semana",""),3,32767))</f>
        <v/>
      </c>
      <c r="K28" s="3">
        <f>IF(OR(OR(($E28=""),($F28="")),EXACT($I28,"no"),AND(NOT(($F28="")),(IFERROR(VALUE($H28&amp;""),0)&lt;IFERROR(VALUE($C28&amp;""),0))),AND(NOT(($F28="")),NOT(($E28="")),(SUMPRODUCT(1*(((('Reparto de brigadas'!$A$4:$A$31&lt;&gt;""))&gt;0))*((EXACT('Reparto de brigadas'!$G$4:$G$31,$G28)))*((EXACT('Reparto de brigadas'!$E$4:$E$31,$E28)))*((EXACT('Reparto de brigadas'!$F$4:$F$31,$F28)))*((ROW('Reparto de brigadas'!$A$4:$A$31)&lt;&gt;ROW($A28))))&gt;0)),AND(NOT(($E28="")),(SUMPRODUCT(1*(((('Reparto de brigadas'!$A$4:$A$31&lt;&gt;""))&gt;0))*((EXACT('Reparto de brigadas'!$G$4:$G$31,$G28)))*((EXACT('Reparto de brigadas'!$E$4:$E$31,$E28)))*((EXACT('Reparto de brigadas'!$D$4:$D$31,$D28)))*((ROW('Reparto de brigadas'!$A$4:$A$31)&lt;&gt;ROW($A28))))&gt;0))),3,0)</f>
        <v/>
      </c>
      <c r="L28" s="3">
        <f>$G28&amp;CHAR(31)&amp;$F28&amp;CHAR(31)&amp;$E28</f>
        <v/>
      </c>
      <c r="M28" s="3">
        <f>$D28&amp;CHAR(31)&amp;$E28&amp;CHAR(31)&amp;$G28</f>
        <v/>
      </c>
    </row>
    <row r="29">
      <c r="A29" s="4" t="n"/>
      <c r="B29" s="4" t="n"/>
      <c r="C29" s="4" t="n"/>
      <c r="D29" s="4" t="n"/>
      <c r="E29" s="4" t="n"/>
      <c r="F29" s="4" t="n"/>
      <c r="G29" s="3">
        <f>IF(AND($A29=""),"",IF(ISNA(MATCH(1,INDEX(EXACT('Anos de carrera'!$A$4:$A$29,$B29)*1*((('Anos de carrera'!$A$4:$A$29&lt;&gt;""))&gt;0),0),0)),"",IF(ISBLANK(INDEX('Anos de carrera'!$C$4:$C$29,MATCH(1,INDEX(EXACT('Anos de carrera'!$A$4:$A$29,$B29)*1*((('Anos de carrera'!$A$4:$A$29&lt;&gt;""))&gt;0),0),0))),"",INDEX('Anos de carrera'!$C$4:$C$29,MATCH(1,INDEX(EXACT('Anos de carrera'!$A$4:$A$29,$B29)*1*((('Anos de carrera'!$A$4:$A$29&lt;&gt;""))&gt;0),0),0)))))</f>
        <v/>
      </c>
      <c r="H29" s="3">
        <f>IF(AND($A29=""),"",IF(ISNA(MATCH(1,INDEX(EXACT('Instalaciones'!$A$4:$A$27,$F29)*1*((('Instalaciones'!$A$4:$A$27&lt;&gt;""))&gt;0),0),0)),0,IF(ISBLANK(INDEX('Instalaciones'!$B$4:$B$27,MATCH(1,INDEX(EXACT('Instalaciones'!$A$4:$A$27,$F29)*1*((('Instalaciones'!$A$4:$A$27&lt;&gt;""))&gt;0),0),0))),"",INDEX('Instalaciones'!$B$4:$B$27,MATCH(1,INDEX(EXACT('Instalaciones'!$A$4:$A$27,$F29)*1*((('Instalaciones'!$A$4:$A$27&lt;&gt;""))&gt;0),0),0)))))</f>
        <v/>
      </c>
      <c r="I29" s="3">
        <f>IF(AND($A29=""),"",IF(($E29=""),"",IF(EXACT(IF(ISNA(MATCH(1,INDEX(1*((('Horarios disponibles por ano'!$A$4:$A$34&lt;&gt;"")+('Horarios disponibles por ano'!$B$4:$B$34&lt;&gt;""))&gt;0)*(EXACT('Horarios disponibles por ano'!$A$4:$A$34,$B29))*(EXACT('Horarios disponibles por ano'!$B$4:$B$34,$E29)),0),0)),"",IF(ISBLANK(INDEX('Horarios disponibles por ano'!$B$4:$B$34,MATCH(1,INDEX(1*((('Horarios disponibles por ano'!$A$4:$A$34&lt;&gt;"")+('Horarios disponibles por ano'!$B$4:$B$34&lt;&gt;""))&gt;0)*(EXACT('Horarios disponibles por ano'!$A$4:$A$34,$B29))*(EXACT('Horarios disponibles por ano'!$B$4:$B$34,$E29)),0),0))),"",INDEX('Horarios disponibles por ano'!$B$4:$B$34,MATCH(1,INDEX(1*((('Horarios disponibles por ano'!$A$4:$A$34&lt;&gt;"")+('Horarios disponibles por ano'!$B$4:$B$34&lt;&gt;""))&gt;0)*(EXACT('Horarios disponibles por ano'!$A$4:$A$34,$B29))*(EXACT('Horarios disponibles por ano'!$B$4:$B$34,$E29)),0),0)))),""),"no","si")))</f>
        <v/>
      </c>
      <c r="J29" s="3">
        <f>IF(AND($A29=""),"",MID(IF(OR(($E29=""),($F29="")),"; "&amp;"Esta brigada todavia no tiene clase esta semana","")&amp;IF(EXACT($I29,"no"),"; "&amp;"Su ano no tiene este horario disponible","")&amp;IF(AND(NOT(($F29="")),(IFERROR(VALUE($H29&amp;""),0)&lt;IFERROR(VALUE($C29&amp;""),0))),"; "&amp;IF(ISNUMBER(("La instalacion es para "&amp;IF(ISNUMBER($H29),IF($H29=0,"0",ROUND($H29,9-INT(LOG10(ABS($H29))))&amp;""),$H29&amp;"")&amp;" personas y la brigada tiene "&amp;IF(ISNUMBER($C29),IF($C29=0,"0",ROUND($C29,9-INT(LOG10(ABS($C29))))&amp;""),$C29&amp;""))),IF(("La instalacion es para "&amp;IF(ISNUMBER($H29),IF($H29=0,"0",ROUND($H29,9-INT(LOG10(ABS($H29))))&amp;""),$H29&amp;"")&amp;" personas y la brigada tiene "&amp;IF(ISNUMBER($C29),IF($C29=0,"0",ROUND($C29,9-INT(LOG10(ABS($C29))))&amp;""),$C29&amp;""))=0,"0",ROUND(("La instalacion es para "&amp;IF(ISNUMBER($H29),IF($H29=0,"0",ROUND($H29,9-INT(LOG10(ABS($H29))))&amp;""),$H29&amp;"")&amp;" personas y la brigada tiene "&amp;IF(ISNUMBER($C29),IF($C29=0,"0",ROUND($C29,9-INT(LOG10(ABS($C29))))&amp;""),$C29&amp;"")),9-INT(LOG10(ABS(("La instalacion es para "&amp;IF(ISNUMBER($H29),IF($H29=0,"0",ROUND($H29,9-INT(LOG10(ABS($H29))))&amp;""),$H29&amp;"")&amp;" personas y la brigada tiene "&amp;IF(ISNUMBER($C29),IF($C29=0,"0",ROUND($C29,9-INT(LOG10(ABS($C29))))&amp;""),$C29&amp;""))))))&amp;""),("La instalacion es para "&amp;IF(ISNUMBER($H29),IF($H29=0,"0",ROUND($H29,9-INT(LOG10(ABS($H29))))&amp;""),$H29&amp;"")&amp;" personas y la brigada tiene "&amp;IF(ISNUMBER($C29),IF($C29=0,"0",ROUND($C29,9-INT(LOG10(ABS($C29))))&amp;""),$C29&amp;""))&amp;""),"")&amp;IF(AND(NOT(($F29="")),NOT(($E29="")),(SUMPRODUCT(1*(((('Reparto de brigadas'!$A$4:$A$31&lt;&gt;""))&gt;0))*((EXACT('Reparto de brigadas'!$G$4:$G$31,$G29)))*((EXACT('Reparto de brigadas'!$E$4:$E$31,$E29)))*((EXACT('Reparto de brigadas'!$F$4:$F$31,$F29)))*((ROW('Reparto de brigadas'!$A$4:$A$31)&lt;&gt;ROW($A29))))&gt;0)),"; "&amp;"Otra brigada usa esta instalacion en ese horario y esa semana","")&amp;IF(AND(NOT(($E29="")),(SUMPRODUCT(1*(((('Reparto de brigadas'!$A$4:$A$31&lt;&gt;""))&gt;0))*((EXACT('Reparto de brigadas'!$G$4:$G$31,$G29)))*((EXACT('Reparto de brigadas'!$E$4:$E$31,$E29)))*((EXACT('Reparto de brigadas'!$D$4:$D$31,$D29)))*((ROW('Reparto de brigadas'!$A$4:$A$31)&lt;&gt;ROW($A29))))&gt;0)),"; "&amp;"Este profesor tiene otra brigada en ese horario y esa semana",""),3,32767))</f>
        <v/>
      </c>
      <c r="K29" s="3">
        <f>IF(OR(OR(($E29=""),($F29="")),EXACT($I29,"no"),AND(NOT(($F29="")),(IFERROR(VALUE($H29&amp;""),0)&lt;IFERROR(VALUE($C29&amp;""),0))),AND(NOT(($F29="")),NOT(($E29="")),(SUMPRODUCT(1*(((('Reparto de brigadas'!$A$4:$A$31&lt;&gt;""))&gt;0))*((EXACT('Reparto de brigadas'!$G$4:$G$31,$G29)))*((EXACT('Reparto de brigadas'!$E$4:$E$31,$E29)))*((EXACT('Reparto de brigadas'!$F$4:$F$31,$F29)))*((ROW('Reparto de brigadas'!$A$4:$A$31)&lt;&gt;ROW($A29))))&gt;0)),AND(NOT(($E29="")),(SUMPRODUCT(1*(((('Reparto de brigadas'!$A$4:$A$31&lt;&gt;""))&gt;0))*((EXACT('Reparto de brigadas'!$G$4:$G$31,$G29)))*((EXACT('Reparto de brigadas'!$E$4:$E$31,$E29)))*((EXACT('Reparto de brigadas'!$D$4:$D$31,$D29)))*((ROW('Reparto de brigadas'!$A$4:$A$31)&lt;&gt;ROW($A29))))&gt;0))),3,0)</f>
        <v/>
      </c>
      <c r="L29" s="3">
        <f>$G29&amp;CHAR(31)&amp;$F29&amp;CHAR(31)&amp;$E29</f>
        <v/>
      </c>
      <c r="M29" s="3">
        <f>$D29&amp;CHAR(31)&amp;$E29&amp;CHAR(31)&amp;$G29</f>
        <v/>
      </c>
    </row>
    <row r="30">
      <c r="A30" s="4" t="n"/>
      <c r="B30" s="4" t="n"/>
      <c r="C30" s="4" t="n"/>
      <c r="D30" s="4" t="n"/>
      <c r="E30" s="4" t="n"/>
      <c r="F30" s="4" t="n"/>
      <c r="G30" s="3">
        <f>IF(AND($A30=""),"",IF(ISNA(MATCH(1,INDEX(EXACT('Anos de carrera'!$A$4:$A$29,$B30)*1*((('Anos de carrera'!$A$4:$A$29&lt;&gt;""))&gt;0),0),0)),"",IF(ISBLANK(INDEX('Anos de carrera'!$C$4:$C$29,MATCH(1,INDEX(EXACT('Anos de carrera'!$A$4:$A$29,$B30)*1*((('Anos de carrera'!$A$4:$A$29&lt;&gt;""))&gt;0),0),0))),"",INDEX('Anos de carrera'!$C$4:$C$29,MATCH(1,INDEX(EXACT('Anos de carrera'!$A$4:$A$29,$B30)*1*((('Anos de carrera'!$A$4:$A$29&lt;&gt;""))&gt;0),0),0)))))</f>
        <v/>
      </c>
      <c r="H30" s="3">
        <f>IF(AND($A30=""),"",IF(ISNA(MATCH(1,INDEX(EXACT('Instalaciones'!$A$4:$A$27,$F30)*1*((('Instalaciones'!$A$4:$A$27&lt;&gt;""))&gt;0),0),0)),0,IF(ISBLANK(INDEX('Instalaciones'!$B$4:$B$27,MATCH(1,INDEX(EXACT('Instalaciones'!$A$4:$A$27,$F30)*1*((('Instalaciones'!$A$4:$A$27&lt;&gt;""))&gt;0),0),0))),"",INDEX('Instalaciones'!$B$4:$B$27,MATCH(1,INDEX(EXACT('Instalaciones'!$A$4:$A$27,$F30)*1*((('Instalaciones'!$A$4:$A$27&lt;&gt;""))&gt;0),0),0)))))</f>
        <v/>
      </c>
      <c r="I30" s="3">
        <f>IF(AND($A30=""),"",IF(($E30=""),"",IF(EXACT(IF(ISNA(MATCH(1,INDEX(1*((('Horarios disponibles por ano'!$A$4:$A$34&lt;&gt;"")+('Horarios disponibles por ano'!$B$4:$B$34&lt;&gt;""))&gt;0)*(EXACT('Horarios disponibles por ano'!$A$4:$A$34,$B30))*(EXACT('Horarios disponibles por ano'!$B$4:$B$34,$E30)),0),0)),"",IF(ISBLANK(INDEX('Horarios disponibles por ano'!$B$4:$B$34,MATCH(1,INDEX(1*((('Horarios disponibles por ano'!$A$4:$A$34&lt;&gt;"")+('Horarios disponibles por ano'!$B$4:$B$34&lt;&gt;""))&gt;0)*(EXACT('Horarios disponibles por ano'!$A$4:$A$34,$B30))*(EXACT('Horarios disponibles por ano'!$B$4:$B$34,$E30)),0),0))),"",INDEX('Horarios disponibles por ano'!$B$4:$B$34,MATCH(1,INDEX(1*((('Horarios disponibles por ano'!$A$4:$A$34&lt;&gt;"")+('Horarios disponibles por ano'!$B$4:$B$34&lt;&gt;""))&gt;0)*(EXACT('Horarios disponibles por ano'!$A$4:$A$34,$B30))*(EXACT('Horarios disponibles por ano'!$B$4:$B$34,$E30)),0),0)))),""),"no","si")))</f>
        <v/>
      </c>
      <c r="J30" s="3">
        <f>IF(AND($A30=""),"",MID(IF(OR(($E30=""),($F30="")),"; "&amp;"Esta brigada todavia no tiene clase esta semana","")&amp;IF(EXACT($I30,"no"),"; "&amp;"Su ano no tiene este horario disponible","")&amp;IF(AND(NOT(($F30="")),(IFERROR(VALUE($H30&amp;""),0)&lt;IFERROR(VALUE($C30&amp;""),0))),"; "&amp;IF(ISNUMBER(("La instalacion es para "&amp;IF(ISNUMBER($H30),IF($H30=0,"0",ROUND($H30,9-INT(LOG10(ABS($H30))))&amp;""),$H30&amp;"")&amp;" personas y la brigada tiene "&amp;IF(ISNUMBER($C30),IF($C30=0,"0",ROUND($C30,9-INT(LOG10(ABS($C30))))&amp;""),$C30&amp;""))),IF(("La instalacion es para "&amp;IF(ISNUMBER($H30),IF($H30=0,"0",ROUND($H30,9-INT(LOG10(ABS($H30))))&amp;""),$H30&amp;"")&amp;" personas y la brigada tiene "&amp;IF(ISNUMBER($C30),IF($C30=0,"0",ROUND($C30,9-INT(LOG10(ABS($C30))))&amp;""),$C30&amp;""))=0,"0",ROUND(("La instalacion es para "&amp;IF(ISNUMBER($H30),IF($H30=0,"0",ROUND($H30,9-INT(LOG10(ABS($H30))))&amp;""),$H30&amp;"")&amp;" personas y la brigada tiene "&amp;IF(ISNUMBER($C30),IF($C30=0,"0",ROUND($C30,9-INT(LOG10(ABS($C30))))&amp;""),$C30&amp;"")),9-INT(LOG10(ABS(("La instalacion es para "&amp;IF(ISNUMBER($H30),IF($H30=0,"0",ROUND($H30,9-INT(LOG10(ABS($H30))))&amp;""),$H30&amp;"")&amp;" personas y la brigada tiene "&amp;IF(ISNUMBER($C30),IF($C30=0,"0",ROUND($C30,9-INT(LOG10(ABS($C30))))&amp;""),$C30&amp;""))))))&amp;""),("La instalacion es para "&amp;IF(ISNUMBER($H30),IF($H30=0,"0",ROUND($H30,9-INT(LOG10(ABS($H30))))&amp;""),$H30&amp;"")&amp;" personas y la brigada tiene "&amp;IF(ISNUMBER($C30),IF($C30=0,"0",ROUND($C30,9-INT(LOG10(ABS($C30))))&amp;""),$C30&amp;""))&amp;""),"")&amp;IF(AND(NOT(($F30="")),NOT(($E30="")),(SUMPRODUCT(1*(((('Reparto de brigadas'!$A$4:$A$31&lt;&gt;""))&gt;0))*((EXACT('Reparto de brigadas'!$G$4:$G$31,$G30)))*((EXACT('Reparto de brigadas'!$E$4:$E$31,$E30)))*((EXACT('Reparto de brigadas'!$F$4:$F$31,$F30)))*((ROW('Reparto de brigadas'!$A$4:$A$31)&lt;&gt;ROW($A30))))&gt;0)),"; "&amp;"Otra brigada usa esta instalacion en ese horario y esa semana","")&amp;IF(AND(NOT(($E30="")),(SUMPRODUCT(1*(((('Reparto de brigadas'!$A$4:$A$31&lt;&gt;""))&gt;0))*((EXACT('Reparto de brigadas'!$G$4:$G$31,$G30)))*((EXACT('Reparto de brigadas'!$E$4:$E$31,$E30)))*((EXACT('Reparto de brigadas'!$D$4:$D$31,$D30)))*((ROW('Reparto de brigadas'!$A$4:$A$31)&lt;&gt;ROW($A30))))&gt;0)),"; "&amp;"Este profesor tiene otra brigada en ese horario y esa semana",""),3,32767))</f>
        <v/>
      </c>
      <c r="K30" s="3">
        <f>IF(OR(OR(($E30=""),($F30="")),EXACT($I30,"no"),AND(NOT(($F30="")),(IFERROR(VALUE($H30&amp;""),0)&lt;IFERROR(VALUE($C30&amp;""),0))),AND(NOT(($F30="")),NOT(($E30="")),(SUMPRODUCT(1*(((('Reparto de brigadas'!$A$4:$A$31&lt;&gt;""))&gt;0))*((EXACT('Reparto de brigadas'!$G$4:$G$31,$G30)))*((EXACT('Reparto de brigadas'!$E$4:$E$31,$E30)))*((EXACT('Reparto de brigadas'!$F$4:$F$31,$F30)))*((ROW('Reparto de brigadas'!$A$4:$A$31)&lt;&gt;ROW($A30))))&gt;0)),AND(NOT(($E30="")),(SUMPRODUCT(1*(((('Reparto de brigadas'!$A$4:$A$31&lt;&gt;""))&gt;0))*((EXACT('Reparto de brigadas'!$G$4:$G$31,$G30)))*((EXACT('Reparto de brigadas'!$E$4:$E$31,$E30)))*((EXACT('Reparto de brigadas'!$D$4:$D$31,$D30)))*((ROW('Reparto de brigadas'!$A$4:$A$31)&lt;&gt;ROW($A30))))&gt;0))),3,0)</f>
        <v/>
      </c>
      <c r="L30" s="3">
        <f>$G30&amp;CHAR(31)&amp;$F30&amp;CHAR(31)&amp;$E30</f>
        <v/>
      </c>
      <c r="M30" s="3">
        <f>$D30&amp;CHAR(31)&amp;$E30&amp;CHAR(31)&amp;$G30</f>
        <v/>
      </c>
    </row>
    <row r="31">
      <c r="A31" s="4" t="n"/>
      <c r="B31" s="4" t="n"/>
      <c r="C31" s="4" t="n"/>
      <c r="D31" s="4" t="n"/>
      <c r="E31" s="4" t="n"/>
      <c r="F31" s="4" t="n"/>
      <c r="G31" s="3">
        <f>IF(AND($A31=""),"",IF(ISNA(MATCH(1,INDEX(EXACT('Anos de carrera'!$A$4:$A$29,$B31)*1*((('Anos de carrera'!$A$4:$A$29&lt;&gt;""))&gt;0),0),0)),"",IF(ISBLANK(INDEX('Anos de carrera'!$C$4:$C$29,MATCH(1,INDEX(EXACT('Anos de carrera'!$A$4:$A$29,$B31)*1*((('Anos de carrera'!$A$4:$A$29&lt;&gt;""))&gt;0),0),0))),"",INDEX('Anos de carrera'!$C$4:$C$29,MATCH(1,INDEX(EXACT('Anos de carrera'!$A$4:$A$29,$B31)*1*((('Anos de carrera'!$A$4:$A$29&lt;&gt;""))&gt;0),0),0)))))</f>
        <v/>
      </c>
      <c r="H31" s="3">
        <f>IF(AND($A31=""),"",IF(ISNA(MATCH(1,INDEX(EXACT('Instalaciones'!$A$4:$A$27,$F31)*1*((('Instalaciones'!$A$4:$A$27&lt;&gt;""))&gt;0),0),0)),0,IF(ISBLANK(INDEX('Instalaciones'!$B$4:$B$27,MATCH(1,INDEX(EXACT('Instalaciones'!$A$4:$A$27,$F31)*1*((('Instalaciones'!$A$4:$A$27&lt;&gt;""))&gt;0),0),0))),"",INDEX('Instalaciones'!$B$4:$B$27,MATCH(1,INDEX(EXACT('Instalaciones'!$A$4:$A$27,$F31)*1*((('Instalaciones'!$A$4:$A$27&lt;&gt;""))&gt;0),0),0)))))</f>
        <v/>
      </c>
      <c r="I31" s="3">
        <f>IF(AND($A31=""),"",IF(($E31=""),"",IF(EXACT(IF(ISNA(MATCH(1,INDEX(1*((('Horarios disponibles por ano'!$A$4:$A$34&lt;&gt;"")+('Horarios disponibles por ano'!$B$4:$B$34&lt;&gt;""))&gt;0)*(EXACT('Horarios disponibles por ano'!$A$4:$A$34,$B31))*(EXACT('Horarios disponibles por ano'!$B$4:$B$34,$E31)),0),0)),"",IF(ISBLANK(INDEX('Horarios disponibles por ano'!$B$4:$B$34,MATCH(1,INDEX(1*((('Horarios disponibles por ano'!$A$4:$A$34&lt;&gt;"")+('Horarios disponibles por ano'!$B$4:$B$34&lt;&gt;""))&gt;0)*(EXACT('Horarios disponibles por ano'!$A$4:$A$34,$B31))*(EXACT('Horarios disponibles por ano'!$B$4:$B$34,$E31)),0),0))),"",INDEX('Horarios disponibles por ano'!$B$4:$B$34,MATCH(1,INDEX(1*((('Horarios disponibles por ano'!$A$4:$A$34&lt;&gt;"")+('Horarios disponibles por ano'!$B$4:$B$34&lt;&gt;""))&gt;0)*(EXACT('Horarios disponibles por ano'!$A$4:$A$34,$B31))*(EXACT('Horarios disponibles por ano'!$B$4:$B$34,$E31)),0),0)))),""),"no","si")))</f>
        <v/>
      </c>
      <c r="J31" s="3">
        <f>IF(AND($A31=""),"",MID(IF(OR(($E31=""),($F31="")),"; "&amp;"Esta brigada todavia no tiene clase esta semana","")&amp;IF(EXACT($I31,"no"),"; "&amp;"Su ano no tiene este horario disponible","")&amp;IF(AND(NOT(($F31="")),(IFERROR(VALUE($H31&amp;""),0)&lt;IFERROR(VALUE($C31&amp;""),0))),"; "&amp;IF(ISNUMBER(("La instalacion es para "&amp;IF(ISNUMBER($H31),IF($H31=0,"0",ROUND($H31,9-INT(LOG10(ABS($H31))))&amp;""),$H31&amp;"")&amp;" personas y la brigada tiene "&amp;IF(ISNUMBER($C31),IF($C31=0,"0",ROUND($C31,9-INT(LOG10(ABS($C31))))&amp;""),$C31&amp;""))),IF(("La instalacion es para "&amp;IF(ISNUMBER($H31),IF($H31=0,"0",ROUND($H31,9-INT(LOG10(ABS($H31))))&amp;""),$H31&amp;"")&amp;" personas y la brigada tiene "&amp;IF(ISNUMBER($C31),IF($C31=0,"0",ROUND($C31,9-INT(LOG10(ABS($C31))))&amp;""),$C31&amp;""))=0,"0",ROUND(("La instalacion es para "&amp;IF(ISNUMBER($H31),IF($H31=0,"0",ROUND($H31,9-INT(LOG10(ABS($H31))))&amp;""),$H31&amp;"")&amp;" personas y la brigada tiene "&amp;IF(ISNUMBER($C31),IF($C31=0,"0",ROUND($C31,9-INT(LOG10(ABS($C31))))&amp;""),$C31&amp;"")),9-INT(LOG10(ABS(("La instalacion es para "&amp;IF(ISNUMBER($H31),IF($H31=0,"0",ROUND($H31,9-INT(LOG10(ABS($H31))))&amp;""),$H31&amp;"")&amp;" personas y la brigada tiene "&amp;IF(ISNUMBER($C31),IF($C31=0,"0",ROUND($C31,9-INT(LOG10(ABS($C31))))&amp;""),$C31&amp;""))))))&amp;""),("La instalacion es para "&amp;IF(ISNUMBER($H31),IF($H31=0,"0",ROUND($H31,9-INT(LOG10(ABS($H31))))&amp;""),$H31&amp;"")&amp;" personas y la brigada tiene "&amp;IF(ISNUMBER($C31),IF($C31=0,"0",ROUND($C31,9-INT(LOG10(ABS($C31))))&amp;""),$C31&amp;""))&amp;""),"")&amp;IF(AND(NOT(($F31="")),NOT(($E31="")),(SUMPRODUCT(1*(((('Reparto de brigadas'!$A$4:$A$31&lt;&gt;""))&gt;0))*((EXACT('Reparto de brigadas'!$G$4:$G$31,$G31)))*((EXACT('Reparto de brigadas'!$E$4:$E$31,$E31)))*((EXACT('Reparto de brigadas'!$F$4:$F$31,$F31)))*((ROW('Reparto de brigadas'!$A$4:$A$31)&lt;&gt;ROW($A31))))&gt;0)),"; "&amp;"Otra brigada usa esta instalacion en ese horario y esa semana","")&amp;IF(AND(NOT(($E31="")),(SUMPRODUCT(1*(((('Reparto de brigadas'!$A$4:$A$31&lt;&gt;""))&gt;0))*((EXACT('Reparto de brigadas'!$G$4:$G$31,$G31)))*((EXACT('Reparto de brigadas'!$E$4:$E$31,$E31)))*((EXACT('Reparto de brigadas'!$D$4:$D$31,$D31)))*((ROW('Reparto de brigadas'!$A$4:$A$31)&lt;&gt;ROW($A31))))&gt;0)),"; "&amp;"Este profesor tiene otra brigada en ese horario y esa semana",""),3,32767))</f>
        <v/>
      </c>
      <c r="K31" s="3">
        <f>IF(OR(OR(($E31=""),($F31="")),EXACT($I31,"no"),AND(NOT(($F31="")),(IFERROR(VALUE($H31&amp;""),0)&lt;IFERROR(VALUE($C31&amp;""),0))),AND(NOT(($F31="")),NOT(($E31="")),(SUMPRODUCT(1*(((('Reparto de brigadas'!$A$4:$A$31&lt;&gt;""))&gt;0))*((EXACT('Reparto de brigadas'!$G$4:$G$31,$G31)))*((EXACT('Reparto de brigadas'!$E$4:$E$31,$E31)))*((EXACT('Reparto de brigadas'!$F$4:$F$31,$F31)))*((ROW('Reparto de brigadas'!$A$4:$A$31)&lt;&gt;ROW($A31))))&gt;0)),AND(NOT(($E31="")),(SUMPRODUCT(1*(((('Reparto de brigadas'!$A$4:$A$31&lt;&gt;""))&gt;0))*((EXACT('Reparto de brigadas'!$G$4:$G$31,$G31)))*((EXACT('Reparto de brigadas'!$E$4:$E$31,$E31)))*((EXACT('Reparto de brigadas'!$D$4:$D$31,$D31)))*((ROW('Reparto de brigadas'!$A$4:$A$31)&lt;&gt;ROW($A31))))&gt;0))),3,0)</f>
        <v/>
      </c>
      <c r="L31" s="3">
        <f>$G31&amp;CHAR(31)&amp;$F31&amp;CHAR(31)&amp;$E31</f>
        <v/>
      </c>
      <c r="M31" s="3">
        <f>$D31&amp;CHAR(31)&amp;$E31&amp;CHAR(31)&amp;$G31</f>
        <v/>
      </c>
    </row>
    <row r="33">
      <c r="A33" s="5" t="inlineStr">
        <is>
          <t>Leyenda</t>
        </is>
      </c>
    </row>
    <row r="34">
      <c r="A34" s="6" t="n"/>
      <c r="B34" t="inlineStr">
        <is>
          <t>Esta brigada todavia no tiene clase esta semana</t>
        </is>
      </c>
    </row>
    <row r="35">
      <c r="A35" s="7" t="n"/>
      <c r="B35" t="inlineStr">
        <is>
          <t>Su ano no tiene este horario disponible</t>
        </is>
      </c>
    </row>
    <row r="36">
      <c r="A36" s="8" t="n"/>
      <c r="B36" t="inlineStr">
        <is>
          <t>instalacion pequena</t>
        </is>
      </c>
    </row>
    <row r="37">
      <c r="A37" s="9" t="n"/>
      <c r="B37" t="inlineStr">
        <is>
          <t>Otra brigada usa esta instalacion en ese horario y esa semana</t>
        </is>
      </c>
    </row>
    <row r="38">
      <c r="A38" s="10" t="n"/>
      <c r="B38" t="inlineStr">
        <is>
          <t>Este profesor tiene otra brigada en ese horario y esa semana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E4:E31">
    <cfRule type="expression" priority="1" dxfId="0" stopIfTrue="0">
      <formula>OR(($E4=""),($F4=""))</formula>
    </cfRule>
    <cfRule type="expression" priority="3" dxfId="3" stopIfTrue="0">
      <formula>EXACT($I4,"no")</formula>
    </cfRule>
    <cfRule type="expression" priority="8" dxfId="4" stopIfTrue="0">
      <formula>AND(NOT(($E4="")),(SUMPRODUCT(1*(((('Reparto de brigadas'!$A$4:$A$31&lt;&gt;""))&gt;0))*((EXACT('Reparto de brigadas'!$G$4:$G$31,$G4)))*((EXACT('Reparto de brigadas'!$E$4:$E$31,$E4)))*((EXACT('Reparto de brigadas'!$D$4:$D$31,$D4)))*((ROW('Reparto de brigadas'!$A$4:$A$31)&lt;&gt;ROW($A4))))&gt;0))</formula>
    </cfRule>
  </conditionalFormatting>
  <conditionalFormatting sqref="F4:F31">
    <cfRule type="expression" priority="1" dxfId="0" stopIfTrue="0">
      <formula>OR(($E4=""),($F4=""))</formula>
    </cfRule>
    <cfRule type="expression" priority="4" dxfId="5" stopIfTrue="0">
      <formula>AND(NOT(($F4="")),(IFERROR(VALUE($H4&amp;""),0)&lt;IFERROR(VALUE($C4&amp;""),0)))</formula>
    </cfRule>
    <cfRule type="expression" priority="7" dxfId="6" stopIfTrue="0">
      <formula>AND(NOT(($F4="")),NOT(($E4="")),(SUMPRODUCT(1*(((('Reparto de brigadas'!$A$4:$A$31&lt;&gt;""))&gt;0))*((EXACT('Reparto de brigadas'!$G$4:$G$31,$G4)))*((EXACT('Reparto de brigadas'!$E$4:$E$31,$E4)))*((EXACT('Reparto de brigadas'!$F$4:$F$31,$F4)))*((ROW('Reparto de brigadas'!$A$4:$A$31)&lt;&gt;ROW($A4))))&gt;0))</formula>
    </cfRule>
  </conditionalFormatting>
  <conditionalFormatting sqref="C4:C31">
    <cfRule type="expression" priority="4" dxfId="5" stopIfTrue="0">
      <formula>AND(NOT(($F4="")),(IFERROR(VALUE($H4&amp;""),0)&lt;IFERROR(VALUE($C4&amp;""),0)))</formula>
    </cfRule>
  </conditionalFormatting>
  <conditionalFormatting sqref="H4:H31">
    <cfRule type="expression" priority="4" dxfId="5" stopIfTrue="0">
      <formula>AND(NOT(($F4="")),(IFERROR(VALUE($H4&amp;""),0)&lt;IFERROR(VALUE($C4&amp;""),0)))</formula>
    </cfRule>
  </conditionalFormatting>
  <conditionalFormatting sqref="D4:D31">
    <cfRule type="expression" priority="8" dxfId="4" stopIfTrue="0">
      <formula>AND(NOT(($E4="")),(SUMPRODUCT(1*(((('Reparto de brigadas'!$A$4:$A$31&lt;&gt;""))&gt;0))*((EXACT('Reparto de brigadas'!$G$4:$G$31,$G4)))*((EXACT('Reparto de brigadas'!$E$4:$E$31,$E4)))*((EXACT('Reparto de brigadas'!$D$4:$D$31,$D4)))*((ROW('Reparto de brigadas'!$A$4:$A$31)&lt;&gt;ROW($A4))))&gt;0))</formula>
    </cfRule>
  </conditionalFormatting>
  <dataValidations count="3">
    <dataValidation sqref="B4:B31" showDropDown="0" showInputMessage="0" showErrorMessage="1" allowBlank="1" errorTitle="Valor fuera del dominio" error="Ese valor no esta en la lista." type="list" errorStyle="information">
      <formula1>'Listas'!$A$4:$A$9</formula1>
    </dataValidation>
    <dataValidation sqref="E4:E31" showDropDown="0" showInputMessage="0" showErrorMessage="1" allowBlank="1" errorTitle="Valor fuera del dominio" error="Ese valor no esta en la lista." type="list" errorStyle="information">
      <formula1>'Listas'!$B$4:$B$6</formula1>
    </dataValidation>
    <dataValidation sqref="F4:F31" showDropDown="0" showInputMessage="0" showErrorMessage="1" allowBlank="1" errorTitle="Valor fuera del dominio" error="Ese valor no esta en la lista." type="list" errorStyle="information">
      <formula1>'Listas'!$C$4:$C$7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0" customWidth="1" min="4" max="4"/>
    <col width="33" customWidth="1" min="5" max="5"/>
    <col hidden="1" width="24" customWidth="1" min="6" max="6"/>
  </cols>
  <sheetData>
    <row r="1">
      <c r="A1" s="1" t="inlineStr">
        <is>
          <t>Instalaciones</t>
        </is>
      </c>
    </row>
    <row r="3">
      <c r="A3" s="2" t="inlineStr">
        <is>
          <t>Instalacion</t>
        </is>
      </c>
      <c r="B3" s="2" t="inlineStr">
        <is>
          <t>Capacidad</t>
        </is>
      </c>
      <c r="C3" s="2" t="inlineStr">
        <is>
          <t>Brigadas</t>
        </is>
      </c>
      <c r="D3" s="2" t="inlineStr">
        <is>
          <t>La que menos tiene</t>
        </is>
      </c>
      <c r="E3" s="2" t="inlineStr">
        <is>
          <t>Estado</t>
        </is>
      </c>
      <c r="F3" s="2" t="inlineStr">
        <is>
          <t>(nivel de las marcas)</t>
        </is>
      </c>
    </row>
    <row r="4">
      <c r="A4" s="3" t="inlineStr">
        <is>
          <t>Pista 1</t>
        </is>
      </c>
      <c r="B4" s="4" t="n">
        <v>40</v>
      </c>
      <c r="C4" s="3">
        <f>IF(AND($A4=""),"",SUMPRODUCT(1*(((('Reparto de brigadas'!$A$4:$A$31&lt;&gt;""))&gt;0))*((EXACT('Reparto de brigadas'!$F$4:$F$31,$A4)))))</f>
        <v/>
      </c>
      <c r="D4" s="3">
        <f>IF(AND($A4=""),"",IF(SUMPRODUCT(1*(((('Instalaciones'!$A$4:$A$27&lt;&gt;""))&gt;0)))=0,"",SUMPRODUCT(MIN(IFERROR(VALUE('Instalaciones'!$C$4:$C$27&amp;""),0)+(1-(1*(((('Instalaciones'!$A$4:$A$27&lt;&gt;""))&gt;0))))*1E+300))))</f>
        <v/>
      </c>
      <c r="E4" s="3">
        <f>IF(AND($A4=""),"",MID(IF((IFERROR(VALUE($C4&amp;""),0)&gt;IFERROR(VALUE((IFERROR(VALUE($D4&amp;""),0)+1)&amp;""),0)),"; "&amp;IF(ISNUMBER(("Tiene "&amp;IF(ISNUMBER($C4),IF($C4=0,"0",ROUND($C4,9-INT(LOG10(ABS($C4))))&amp;""),$C4&amp;"")&amp;" brigadas y otra tiene "&amp;IF(ISNUMBER($D4),IF($D4=0,"0",ROUND($D4,9-INT(LOG10(ABS($D4))))&amp;""),$D4&amp;""))),IF(("Tiene "&amp;IF(ISNUMBER($C4),IF($C4=0,"0",ROUND($C4,9-INT(LOG10(ABS($C4))))&amp;""),$C4&amp;"")&amp;" brigadas y otra tiene "&amp;IF(ISNUMBER($D4),IF($D4=0,"0",ROUND($D4,9-INT(LOG10(ABS($D4))))&amp;""),$D4&amp;""))=0,"0",ROUND(("Tiene "&amp;IF(ISNUMBER($C4),IF($C4=0,"0",ROUND($C4,9-INT(LOG10(ABS($C4))))&amp;""),$C4&amp;"")&amp;" brigadas y otra tiene "&amp;IF(ISNUMBER($D4),IF($D4=0,"0",ROUND($D4,9-INT(LOG10(ABS($D4))))&amp;""),$D4&amp;"")),9-INT(LOG10(ABS(("Tiene "&amp;IF(ISNUMBER($C4),IF($C4=0,"0",ROUND($C4,9-INT(LOG10(ABS($C4))))&amp;""),$C4&amp;"")&amp;" brigadas y otra tiene "&amp;IF(ISNUMBER($D4),IF($D4=0,"0",ROUND($D4,9-INT(LOG10(ABS($D4))))&amp;""),$D4&amp;""))))))&amp;""),("Tiene "&amp;IF(ISNUMBER($C4),IF($C4=0,"0",ROUND($C4,9-INT(LOG10(ABS($C4))))&amp;""),$C4&amp;"")&amp;" brigadas y otra tiene "&amp;IF(ISNUMBER($D4),IF($D4=0,"0",ROUND($D4,9-INT(LOG10(ABS($D4))))&amp;""),$D4&amp;""))&amp;""),""),3,32767))</f>
        <v/>
      </c>
      <c r="F4" s="3">
        <f>IF(OR((IFERROR(VALUE($C4&amp;""),0)&gt;IFERROR(VALUE((IFERROR(VALUE($D4&amp;""),0)+1)&amp;""),0))),2,0)</f>
        <v/>
      </c>
    </row>
    <row r="5">
      <c r="A5" s="3" t="inlineStr">
        <is>
          <t>Pista 2</t>
        </is>
      </c>
      <c r="B5" s="4" t="n">
        <v>30</v>
      </c>
      <c r="C5" s="3">
        <f>IF(AND($A5=""),"",SUMPRODUCT(1*(((('Reparto de brigadas'!$A$4:$A$31&lt;&gt;""))&gt;0))*((EXACT('Reparto de brigadas'!$F$4:$F$31,$A5)))))</f>
        <v/>
      </c>
      <c r="D5" s="3">
        <f>IF(AND($A5=""),"",IF(SUMPRODUCT(1*(((('Instalaciones'!$A$4:$A$27&lt;&gt;""))&gt;0)))=0,"",SUMPRODUCT(MIN(IFERROR(VALUE('Instalaciones'!$C$4:$C$27&amp;""),0)+(1-(1*(((('Instalaciones'!$A$4:$A$27&lt;&gt;""))&gt;0))))*1E+300))))</f>
        <v/>
      </c>
      <c r="E5" s="3">
        <f>IF(AND($A5=""),"",MID(IF((IFERROR(VALUE($C5&amp;""),0)&gt;IFERROR(VALUE((IFERROR(VALUE($D5&amp;""),0)+1)&amp;""),0)),"; "&amp;IF(ISNUMBER(("Tiene "&amp;IF(ISNUMBER($C5),IF($C5=0,"0",ROUND($C5,9-INT(LOG10(ABS($C5))))&amp;""),$C5&amp;"")&amp;" brigadas y otra tiene "&amp;IF(ISNUMBER($D5),IF($D5=0,"0",ROUND($D5,9-INT(LOG10(ABS($D5))))&amp;""),$D5&amp;""))),IF(("Tiene "&amp;IF(ISNUMBER($C5),IF($C5=0,"0",ROUND($C5,9-INT(LOG10(ABS($C5))))&amp;""),$C5&amp;"")&amp;" brigadas y otra tiene "&amp;IF(ISNUMBER($D5),IF($D5=0,"0",ROUND($D5,9-INT(LOG10(ABS($D5))))&amp;""),$D5&amp;""))=0,"0",ROUND(("Tiene "&amp;IF(ISNUMBER($C5),IF($C5=0,"0",ROUND($C5,9-INT(LOG10(ABS($C5))))&amp;""),$C5&amp;"")&amp;" brigadas y otra tiene "&amp;IF(ISNUMBER($D5),IF($D5=0,"0",ROUND($D5,9-INT(LOG10(ABS($D5))))&amp;""),$D5&amp;"")),9-INT(LOG10(ABS(("Tiene "&amp;IF(ISNUMBER($C5),IF($C5=0,"0",ROUND($C5,9-INT(LOG10(ABS($C5))))&amp;""),$C5&amp;"")&amp;" brigadas y otra tiene "&amp;IF(ISNUMBER($D5),IF($D5=0,"0",ROUND($D5,9-INT(LOG10(ABS($D5))))&amp;""),$D5&amp;""))))))&amp;""),("Tiene "&amp;IF(ISNUMBER($C5),IF($C5=0,"0",ROUND($C5,9-INT(LOG10(ABS($C5))))&amp;""),$C5&amp;"")&amp;" brigadas y otra tiene "&amp;IF(ISNUMBER($D5),IF($D5=0,"0",ROUND($D5,9-INT(LOG10(ABS($D5))))&amp;""),$D5&amp;""))&amp;""),""),3,32767))</f>
        <v/>
      </c>
      <c r="F5" s="3">
        <f>IF(OR((IFERROR(VALUE($C5&amp;""),0)&gt;IFERROR(VALUE((IFERROR(VALUE($D5&amp;""),0)+1)&amp;""),0))),2,0)</f>
        <v/>
      </c>
    </row>
    <row r="6">
      <c r="A6" s="3" t="inlineStr">
        <is>
          <t>Gimnasio</t>
        </is>
      </c>
      <c r="B6" s="4" t="n">
        <v>25</v>
      </c>
      <c r="C6" s="3">
        <f>IF(AND($A6=""),"",SUMPRODUCT(1*(((('Reparto de brigadas'!$A$4:$A$31&lt;&gt;""))&gt;0))*((EXACT('Reparto de brigadas'!$F$4:$F$31,$A6)))))</f>
        <v/>
      </c>
      <c r="D6" s="3">
        <f>IF(AND($A6=""),"",IF(SUMPRODUCT(1*(((('Instalaciones'!$A$4:$A$27&lt;&gt;""))&gt;0)))=0,"",SUMPRODUCT(MIN(IFERROR(VALUE('Instalaciones'!$C$4:$C$27&amp;""),0)+(1-(1*(((('Instalaciones'!$A$4:$A$27&lt;&gt;""))&gt;0))))*1E+300))))</f>
        <v/>
      </c>
      <c r="E6" s="3">
        <f>IF(AND($A6=""),"",MID(IF((IFERROR(VALUE($C6&amp;""),0)&gt;IFERROR(VALUE((IFERROR(VALUE($D6&amp;""),0)+1)&amp;""),0)),"; "&amp;IF(ISNUMBER(("Tiene "&amp;IF(ISNUMBER($C6),IF($C6=0,"0",ROUND($C6,9-INT(LOG10(ABS($C6))))&amp;""),$C6&amp;"")&amp;" brigadas y otra tiene "&amp;IF(ISNUMBER($D6),IF($D6=0,"0",ROUND($D6,9-INT(LOG10(ABS($D6))))&amp;""),$D6&amp;""))),IF(("Tiene "&amp;IF(ISNUMBER($C6),IF($C6=0,"0",ROUND($C6,9-INT(LOG10(ABS($C6))))&amp;""),$C6&amp;"")&amp;" brigadas y otra tiene "&amp;IF(ISNUMBER($D6),IF($D6=0,"0",ROUND($D6,9-INT(LOG10(ABS($D6))))&amp;""),$D6&amp;""))=0,"0",ROUND(("Tiene "&amp;IF(ISNUMBER($C6),IF($C6=0,"0",ROUND($C6,9-INT(LOG10(ABS($C6))))&amp;""),$C6&amp;"")&amp;" brigadas y otra tiene "&amp;IF(ISNUMBER($D6),IF($D6=0,"0",ROUND($D6,9-INT(LOG10(ABS($D6))))&amp;""),$D6&amp;"")),9-INT(LOG10(ABS(("Tiene "&amp;IF(ISNUMBER($C6),IF($C6=0,"0",ROUND($C6,9-INT(LOG10(ABS($C6))))&amp;""),$C6&amp;"")&amp;" brigadas y otra tiene "&amp;IF(ISNUMBER($D6),IF($D6=0,"0",ROUND($D6,9-INT(LOG10(ABS($D6))))&amp;""),$D6&amp;""))))))&amp;""),("Tiene "&amp;IF(ISNUMBER($C6),IF($C6=0,"0",ROUND($C6,9-INT(LOG10(ABS($C6))))&amp;""),$C6&amp;"")&amp;" brigadas y otra tiene "&amp;IF(ISNUMBER($D6),IF($D6=0,"0",ROUND($D6,9-INT(LOG10(ABS($D6))))&amp;""),$D6&amp;""))&amp;""),""),3,32767))</f>
        <v/>
      </c>
      <c r="F6" s="3">
        <f>IF(OR((IFERROR(VALUE($C6&amp;""),0)&gt;IFERROR(VALUE((IFERROR(VALUE($D6&amp;""),0)+1)&amp;""),0))),2,0)</f>
        <v/>
      </c>
    </row>
    <row r="7">
      <c r="A7" s="3" t="inlineStr">
        <is>
          <t>Piscina</t>
        </is>
      </c>
      <c r="B7" s="4" t="n">
        <v>20</v>
      </c>
      <c r="C7" s="3">
        <f>IF(AND($A7=""),"",SUMPRODUCT(1*(((('Reparto de brigadas'!$A$4:$A$31&lt;&gt;""))&gt;0))*((EXACT('Reparto de brigadas'!$F$4:$F$31,$A7)))))</f>
        <v/>
      </c>
      <c r="D7" s="3">
        <f>IF(AND($A7=""),"",IF(SUMPRODUCT(1*(((('Instalaciones'!$A$4:$A$27&lt;&gt;""))&gt;0)))=0,"",SUMPRODUCT(MIN(IFERROR(VALUE('Instalaciones'!$C$4:$C$27&amp;""),0)+(1-(1*(((('Instalaciones'!$A$4:$A$27&lt;&gt;""))&gt;0))))*1E+300))))</f>
        <v/>
      </c>
      <c r="E7" s="3">
        <f>IF(AND($A7=""),"",MID(IF((IFERROR(VALUE($C7&amp;""),0)&gt;IFERROR(VALUE((IFERROR(VALUE($D7&amp;""),0)+1)&amp;""),0)),"; "&amp;IF(ISNUMBER(("Tiene "&amp;IF(ISNUMBER($C7),IF($C7=0,"0",ROUND($C7,9-INT(LOG10(ABS($C7))))&amp;""),$C7&amp;"")&amp;" brigadas y otra tiene "&amp;IF(ISNUMBER($D7),IF($D7=0,"0",ROUND($D7,9-INT(LOG10(ABS($D7))))&amp;""),$D7&amp;""))),IF(("Tiene "&amp;IF(ISNUMBER($C7),IF($C7=0,"0",ROUND($C7,9-INT(LOG10(ABS($C7))))&amp;""),$C7&amp;"")&amp;" brigadas y otra tiene "&amp;IF(ISNUMBER($D7),IF($D7=0,"0",ROUND($D7,9-INT(LOG10(ABS($D7))))&amp;""),$D7&amp;""))=0,"0",ROUND(("Tiene "&amp;IF(ISNUMBER($C7),IF($C7=0,"0",ROUND($C7,9-INT(LOG10(ABS($C7))))&amp;""),$C7&amp;"")&amp;" brigadas y otra tiene "&amp;IF(ISNUMBER($D7),IF($D7=0,"0",ROUND($D7,9-INT(LOG10(ABS($D7))))&amp;""),$D7&amp;"")),9-INT(LOG10(ABS(("Tiene "&amp;IF(ISNUMBER($C7),IF($C7=0,"0",ROUND($C7,9-INT(LOG10(ABS($C7))))&amp;""),$C7&amp;"")&amp;" brigadas y otra tiene "&amp;IF(ISNUMBER($D7),IF($D7=0,"0",ROUND($D7,9-INT(LOG10(ABS($D7))))&amp;""),$D7&amp;""))))))&amp;""),("Tiene "&amp;IF(ISNUMBER($C7),IF($C7=0,"0",ROUND($C7,9-INT(LOG10(ABS($C7))))&amp;""),$C7&amp;"")&amp;" brigadas y otra tiene "&amp;IF(ISNUMBER($D7),IF($D7=0,"0",ROUND($D7,9-INT(LOG10(ABS($D7))))&amp;""),$D7&amp;""))&amp;""),""),3,32767))</f>
        <v/>
      </c>
      <c r="F7" s="3">
        <f>IF(OR((IFERROR(VALUE($C7&amp;""),0)&gt;IFERROR(VALUE((IFERROR(VALUE($D7&amp;""),0)+1)&amp;""),0))),2,0)</f>
        <v/>
      </c>
    </row>
    <row r="8">
      <c r="A8" s="4" t="n"/>
      <c r="B8" s="4" t="n"/>
      <c r="C8" s="3">
        <f>IF(AND($A8=""),"",SUMPRODUCT(1*(((('Reparto de brigadas'!$A$4:$A$31&lt;&gt;""))&gt;0))*((EXACT('Reparto de brigadas'!$F$4:$F$31,$A8)))))</f>
        <v/>
      </c>
      <c r="D8" s="3">
        <f>IF(AND($A8=""),"",IF(SUMPRODUCT(1*(((('Instalaciones'!$A$4:$A$27&lt;&gt;""))&gt;0)))=0,"",SUMPRODUCT(MIN(IFERROR(VALUE('Instalaciones'!$C$4:$C$27&amp;""),0)+(1-(1*(((('Instalaciones'!$A$4:$A$27&lt;&gt;""))&gt;0))))*1E+300))))</f>
        <v/>
      </c>
      <c r="E8" s="3">
        <f>IF(AND($A8=""),"",MID(IF((IFERROR(VALUE($C8&amp;""),0)&gt;IFERROR(VALUE((IFERROR(VALUE($D8&amp;""),0)+1)&amp;""),0)),"; "&amp;IF(ISNUMBER(("Tiene "&amp;IF(ISNUMBER($C8),IF($C8=0,"0",ROUND($C8,9-INT(LOG10(ABS($C8))))&amp;""),$C8&amp;"")&amp;" brigadas y otra tiene "&amp;IF(ISNUMBER($D8),IF($D8=0,"0",ROUND($D8,9-INT(LOG10(ABS($D8))))&amp;""),$D8&amp;""))),IF(("Tiene "&amp;IF(ISNUMBER($C8),IF($C8=0,"0",ROUND($C8,9-INT(LOG10(ABS($C8))))&amp;""),$C8&amp;"")&amp;" brigadas y otra tiene "&amp;IF(ISNUMBER($D8),IF($D8=0,"0",ROUND($D8,9-INT(LOG10(ABS($D8))))&amp;""),$D8&amp;""))=0,"0",ROUND(("Tiene "&amp;IF(ISNUMBER($C8),IF($C8=0,"0",ROUND($C8,9-INT(LOG10(ABS($C8))))&amp;""),$C8&amp;"")&amp;" brigadas y otra tiene "&amp;IF(ISNUMBER($D8),IF($D8=0,"0",ROUND($D8,9-INT(LOG10(ABS($D8))))&amp;""),$D8&amp;"")),9-INT(LOG10(ABS(("Tiene "&amp;IF(ISNUMBER($C8),IF($C8=0,"0",ROUND($C8,9-INT(LOG10(ABS($C8))))&amp;""),$C8&amp;"")&amp;" brigadas y otra tiene "&amp;IF(ISNUMBER($D8),IF($D8=0,"0",ROUND($D8,9-INT(LOG10(ABS($D8))))&amp;""),$D8&amp;""))))))&amp;""),("Tiene "&amp;IF(ISNUMBER($C8),IF($C8=0,"0",ROUND($C8,9-INT(LOG10(ABS($C8))))&amp;""),$C8&amp;"")&amp;" brigadas y otra tiene "&amp;IF(ISNUMBER($D8),IF($D8=0,"0",ROUND($D8,9-INT(LOG10(ABS($D8))))&amp;""),$D8&amp;""))&amp;""),""),3,32767))</f>
        <v/>
      </c>
      <c r="F8" s="3">
        <f>IF(OR((IFERROR(VALUE($C8&amp;""),0)&gt;IFERROR(VALUE((IFERROR(VALUE($D8&amp;""),0)+1)&amp;""),0))),2,0)</f>
        <v/>
      </c>
    </row>
    <row r="9">
      <c r="A9" s="4" t="n"/>
      <c r="B9" s="4" t="n"/>
      <c r="C9" s="3">
        <f>IF(AND($A9=""),"",SUMPRODUCT(1*(((('Reparto de brigadas'!$A$4:$A$31&lt;&gt;""))&gt;0))*((EXACT('Reparto de brigadas'!$F$4:$F$31,$A9)))))</f>
        <v/>
      </c>
      <c r="D9" s="3">
        <f>IF(AND($A9=""),"",IF(SUMPRODUCT(1*(((('Instalaciones'!$A$4:$A$27&lt;&gt;""))&gt;0)))=0,"",SUMPRODUCT(MIN(IFERROR(VALUE('Instalaciones'!$C$4:$C$27&amp;""),0)+(1-(1*(((('Instalaciones'!$A$4:$A$27&lt;&gt;""))&gt;0))))*1E+300))))</f>
        <v/>
      </c>
      <c r="E9" s="3">
        <f>IF(AND($A9=""),"",MID(IF((IFERROR(VALUE($C9&amp;""),0)&gt;IFERROR(VALUE((IFERROR(VALUE($D9&amp;""),0)+1)&amp;""),0)),"; "&amp;IF(ISNUMBER(("Tiene "&amp;IF(ISNUMBER($C9),IF($C9=0,"0",ROUND($C9,9-INT(LOG10(ABS($C9))))&amp;""),$C9&amp;"")&amp;" brigadas y otra tiene "&amp;IF(ISNUMBER($D9),IF($D9=0,"0",ROUND($D9,9-INT(LOG10(ABS($D9))))&amp;""),$D9&amp;""))),IF(("Tiene "&amp;IF(ISNUMBER($C9),IF($C9=0,"0",ROUND($C9,9-INT(LOG10(ABS($C9))))&amp;""),$C9&amp;"")&amp;" brigadas y otra tiene "&amp;IF(ISNUMBER($D9),IF($D9=0,"0",ROUND($D9,9-INT(LOG10(ABS($D9))))&amp;""),$D9&amp;""))=0,"0",ROUND(("Tiene "&amp;IF(ISNUMBER($C9),IF($C9=0,"0",ROUND($C9,9-INT(LOG10(ABS($C9))))&amp;""),$C9&amp;"")&amp;" brigadas y otra tiene "&amp;IF(ISNUMBER($D9),IF($D9=0,"0",ROUND($D9,9-INT(LOG10(ABS($D9))))&amp;""),$D9&amp;"")),9-INT(LOG10(ABS(("Tiene "&amp;IF(ISNUMBER($C9),IF($C9=0,"0",ROUND($C9,9-INT(LOG10(ABS($C9))))&amp;""),$C9&amp;"")&amp;" brigadas y otra tiene "&amp;IF(ISNUMBER($D9),IF($D9=0,"0",ROUND($D9,9-INT(LOG10(ABS($D9))))&amp;""),$D9&amp;""))))))&amp;""),("Tiene "&amp;IF(ISNUMBER($C9),IF($C9=0,"0",ROUND($C9,9-INT(LOG10(ABS($C9))))&amp;""),$C9&amp;"")&amp;" brigadas y otra tiene "&amp;IF(ISNUMBER($D9),IF($D9=0,"0",ROUND($D9,9-INT(LOG10(ABS($D9))))&amp;""),$D9&amp;""))&amp;""),""),3,32767))</f>
        <v/>
      </c>
      <c r="F9" s="3">
        <f>IF(OR((IFERROR(VALUE($C9&amp;""),0)&gt;IFERROR(VALUE((IFERROR(VALUE($D9&amp;""),0)+1)&amp;""),0))),2,0)</f>
        <v/>
      </c>
    </row>
    <row r="10">
      <c r="A10" s="4" t="n"/>
      <c r="B10" s="4" t="n"/>
      <c r="C10" s="3">
        <f>IF(AND($A10=""),"",SUMPRODUCT(1*(((('Reparto de brigadas'!$A$4:$A$31&lt;&gt;""))&gt;0))*((EXACT('Reparto de brigadas'!$F$4:$F$31,$A10)))))</f>
        <v/>
      </c>
      <c r="D10" s="3">
        <f>IF(AND($A10=""),"",IF(SUMPRODUCT(1*(((('Instalaciones'!$A$4:$A$27&lt;&gt;""))&gt;0)))=0,"",SUMPRODUCT(MIN(IFERROR(VALUE('Instalaciones'!$C$4:$C$27&amp;""),0)+(1-(1*(((('Instalaciones'!$A$4:$A$27&lt;&gt;""))&gt;0))))*1E+300))))</f>
        <v/>
      </c>
      <c r="E10" s="3">
        <f>IF(AND($A10=""),"",MID(IF((IFERROR(VALUE($C10&amp;""),0)&gt;IFERROR(VALUE((IFERROR(VALUE($D10&amp;""),0)+1)&amp;""),0)),"; "&amp;IF(ISNUMBER(("Tiene "&amp;IF(ISNUMBER($C10),IF($C10=0,"0",ROUND($C10,9-INT(LOG10(ABS($C10))))&amp;""),$C10&amp;"")&amp;" brigadas y otra tiene "&amp;IF(ISNUMBER($D10),IF($D10=0,"0",ROUND($D10,9-INT(LOG10(ABS($D10))))&amp;""),$D10&amp;""))),IF(("Tiene "&amp;IF(ISNUMBER($C10),IF($C10=0,"0",ROUND($C10,9-INT(LOG10(ABS($C10))))&amp;""),$C10&amp;"")&amp;" brigadas y otra tiene "&amp;IF(ISNUMBER($D10),IF($D10=0,"0",ROUND($D10,9-INT(LOG10(ABS($D10))))&amp;""),$D10&amp;""))=0,"0",ROUND(("Tiene "&amp;IF(ISNUMBER($C10),IF($C10=0,"0",ROUND($C10,9-INT(LOG10(ABS($C10))))&amp;""),$C10&amp;"")&amp;" brigadas y otra tiene "&amp;IF(ISNUMBER($D10),IF($D10=0,"0",ROUND($D10,9-INT(LOG10(ABS($D10))))&amp;""),$D10&amp;"")),9-INT(LOG10(ABS(("Tiene "&amp;IF(ISNUMBER($C10),IF($C10=0,"0",ROUND($C10,9-INT(LOG10(ABS($C10))))&amp;""),$C10&amp;"")&amp;" brigadas y otra tiene "&amp;IF(ISNUMBER($D10),IF($D10=0,"0",ROUND($D10,9-INT(LOG10(ABS($D10))))&amp;""),$D10&amp;""))))))&amp;""),("Tiene "&amp;IF(ISNUMBER($C10),IF($C10=0,"0",ROUND($C10,9-INT(LOG10(ABS($C10))))&amp;""),$C10&amp;"")&amp;" brigadas y otra tiene "&amp;IF(ISNUMBER($D10),IF($D10=0,"0",ROUND($D10,9-INT(LOG10(ABS($D10))))&amp;""),$D10&amp;""))&amp;""),""),3,32767))</f>
        <v/>
      </c>
      <c r="F10" s="3">
        <f>IF(OR((IFERROR(VALUE($C10&amp;""),0)&gt;IFERROR(VALUE((IFERROR(VALUE($D10&amp;""),0)+1)&amp;""),0))),2,0)</f>
        <v/>
      </c>
    </row>
    <row r="11">
      <c r="A11" s="4" t="n"/>
      <c r="B11" s="4" t="n"/>
      <c r="C11" s="3">
        <f>IF(AND($A11=""),"",SUMPRODUCT(1*(((('Reparto de brigadas'!$A$4:$A$31&lt;&gt;""))&gt;0))*((EXACT('Reparto de brigadas'!$F$4:$F$31,$A11)))))</f>
        <v/>
      </c>
      <c r="D11" s="3">
        <f>IF(AND($A11=""),"",IF(SUMPRODUCT(1*(((('Instalaciones'!$A$4:$A$27&lt;&gt;""))&gt;0)))=0,"",SUMPRODUCT(MIN(IFERROR(VALUE('Instalaciones'!$C$4:$C$27&amp;""),0)+(1-(1*(((('Instalaciones'!$A$4:$A$27&lt;&gt;""))&gt;0))))*1E+300))))</f>
        <v/>
      </c>
      <c r="E11" s="3">
        <f>IF(AND($A11=""),"",MID(IF((IFERROR(VALUE($C11&amp;""),0)&gt;IFERROR(VALUE((IFERROR(VALUE($D11&amp;""),0)+1)&amp;""),0)),"; "&amp;IF(ISNUMBER(("Tiene "&amp;IF(ISNUMBER($C11),IF($C11=0,"0",ROUND($C11,9-INT(LOG10(ABS($C11))))&amp;""),$C11&amp;"")&amp;" brigadas y otra tiene "&amp;IF(ISNUMBER($D11),IF($D11=0,"0",ROUND($D11,9-INT(LOG10(ABS($D11))))&amp;""),$D11&amp;""))),IF(("Tiene "&amp;IF(ISNUMBER($C11),IF($C11=0,"0",ROUND($C11,9-INT(LOG10(ABS($C11))))&amp;""),$C11&amp;"")&amp;" brigadas y otra tiene "&amp;IF(ISNUMBER($D11),IF($D11=0,"0",ROUND($D11,9-INT(LOG10(ABS($D11))))&amp;""),$D11&amp;""))=0,"0",ROUND(("Tiene "&amp;IF(ISNUMBER($C11),IF($C11=0,"0",ROUND($C11,9-INT(LOG10(ABS($C11))))&amp;""),$C11&amp;"")&amp;" brigadas y otra tiene "&amp;IF(ISNUMBER($D11),IF($D11=0,"0",ROUND($D11,9-INT(LOG10(ABS($D11))))&amp;""),$D11&amp;"")),9-INT(LOG10(ABS(("Tiene "&amp;IF(ISNUMBER($C11),IF($C11=0,"0",ROUND($C11,9-INT(LOG10(ABS($C11))))&amp;""),$C11&amp;"")&amp;" brigadas y otra tiene "&amp;IF(ISNUMBER($D11),IF($D11=0,"0",ROUND($D11,9-INT(LOG10(ABS($D11))))&amp;""),$D11&amp;""))))))&amp;""),("Tiene "&amp;IF(ISNUMBER($C11),IF($C11=0,"0",ROUND($C11,9-INT(LOG10(ABS($C11))))&amp;""),$C11&amp;"")&amp;" brigadas y otra tiene "&amp;IF(ISNUMBER($D11),IF($D11=0,"0",ROUND($D11,9-INT(LOG10(ABS($D11))))&amp;""),$D11&amp;""))&amp;""),""),3,32767))</f>
        <v/>
      </c>
      <c r="F11" s="3">
        <f>IF(OR((IFERROR(VALUE($C11&amp;""),0)&gt;IFERROR(VALUE((IFERROR(VALUE($D11&amp;""),0)+1)&amp;""),0))),2,0)</f>
        <v/>
      </c>
    </row>
    <row r="12">
      <c r="A12" s="4" t="n"/>
      <c r="B12" s="4" t="n"/>
      <c r="C12" s="3">
        <f>IF(AND($A12=""),"",SUMPRODUCT(1*(((('Reparto de brigadas'!$A$4:$A$31&lt;&gt;""))&gt;0))*((EXACT('Reparto de brigadas'!$F$4:$F$31,$A12)))))</f>
        <v/>
      </c>
      <c r="D12" s="3">
        <f>IF(AND($A12=""),"",IF(SUMPRODUCT(1*(((('Instalaciones'!$A$4:$A$27&lt;&gt;""))&gt;0)))=0,"",SUMPRODUCT(MIN(IFERROR(VALUE('Instalaciones'!$C$4:$C$27&amp;""),0)+(1-(1*(((('Instalaciones'!$A$4:$A$27&lt;&gt;""))&gt;0))))*1E+300))))</f>
        <v/>
      </c>
      <c r="E12" s="3">
        <f>IF(AND($A12=""),"",MID(IF((IFERROR(VALUE($C12&amp;""),0)&gt;IFERROR(VALUE((IFERROR(VALUE($D12&amp;""),0)+1)&amp;""),0)),"; "&amp;IF(ISNUMBER(("Tiene "&amp;IF(ISNUMBER($C12),IF($C12=0,"0",ROUND($C12,9-INT(LOG10(ABS($C12))))&amp;""),$C12&amp;"")&amp;" brigadas y otra tiene "&amp;IF(ISNUMBER($D12),IF($D12=0,"0",ROUND($D12,9-INT(LOG10(ABS($D12))))&amp;""),$D12&amp;""))),IF(("Tiene "&amp;IF(ISNUMBER($C12),IF($C12=0,"0",ROUND($C12,9-INT(LOG10(ABS($C12))))&amp;""),$C12&amp;"")&amp;" brigadas y otra tiene "&amp;IF(ISNUMBER($D12),IF($D12=0,"0",ROUND($D12,9-INT(LOG10(ABS($D12))))&amp;""),$D12&amp;""))=0,"0",ROUND(("Tiene "&amp;IF(ISNUMBER($C12),IF($C12=0,"0",ROUND($C12,9-INT(LOG10(ABS($C12))))&amp;""),$C12&amp;"")&amp;" brigadas y otra tiene "&amp;IF(ISNUMBER($D12),IF($D12=0,"0",ROUND($D12,9-INT(LOG10(ABS($D12))))&amp;""),$D12&amp;"")),9-INT(LOG10(ABS(("Tiene "&amp;IF(ISNUMBER($C12),IF($C12=0,"0",ROUND($C12,9-INT(LOG10(ABS($C12))))&amp;""),$C12&amp;"")&amp;" brigadas y otra tiene "&amp;IF(ISNUMBER($D12),IF($D12=0,"0",ROUND($D12,9-INT(LOG10(ABS($D12))))&amp;""),$D12&amp;""))))))&amp;""),("Tiene "&amp;IF(ISNUMBER($C12),IF($C12=0,"0",ROUND($C12,9-INT(LOG10(ABS($C12))))&amp;""),$C12&amp;"")&amp;" brigadas y otra tiene "&amp;IF(ISNUMBER($D12),IF($D12=0,"0",ROUND($D12,9-INT(LOG10(ABS($D12))))&amp;""),$D12&amp;""))&amp;""),""),3,32767))</f>
        <v/>
      </c>
      <c r="F12" s="3">
        <f>IF(OR((IFERROR(VALUE($C12&amp;""),0)&gt;IFERROR(VALUE((IFERROR(VALUE($D12&amp;""),0)+1)&amp;""),0))),2,0)</f>
        <v/>
      </c>
    </row>
    <row r="13">
      <c r="A13" s="4" t="n"/>
      <c r="B13" s="4" t="n"/>
      <c r="C13" s="3">
        <f>IF(AND($A13=""),"",SUMPRODUCT(1*(((('Reparto de brigadas'!$A$4:$A$31&lt;&gt;""))&gt;0))*((EXACT('Reparto de brigadas'!$F$4:$F$31,$A13)))))</f>
        <v/>
      </c>
      <c r="D13" s="3">
        <f>IF(AND($A13=""),"",IF(SUMPRODUCT(1*(((('Instalaciones'!$A$4:$A$27&lt;&gt;""))&gt;0)))=0,"",SUMPRODUCT(MIN(IFERROR(VALUE('Instalaciones'!$C$4:$C$27&amp;""),0)+(1-(1*(((('Instalaciones'!$A$4:$A$27&lt;&gt;""))&gt;0))))*1E+300))))</f>
        <v/>
      </c>
      <c r="E13" s="3">
        <f>IF(AND($A13=""),"",MID(IF((IFERROR(VALUE($C13&amp;""),0)&gt;IFERROR(VALUE((IFERROR(VALUE($D13&amp;""),0)+1)&amp;""),0)),"; "&amp;IF(ISNUMBER(("Tiene "&amp;IF(ISNUMBER($C13),IF($C13=0,"0",ROUND($C13,9-INT(LOG10(ABS($C13))))&amp;""),$C13&amp;"")&amp;" brigadas y otra tiene "&amp;IF(ISNUMBER($D13),IF($D13=0,"0",ROUND($D13,9-INT(LOG10(ABS($D13))))&amp;""),$D13&amp;""))),IF(("Tiene "&amp;IF(ISNUMBER($C13),IF($C13=0,"0",ROUND($C13,9-INT(LOG10(ABS($C13))))&amp;""),$C13&amp;"")&amp;" brigadas y otra tiene "&amp;IF(ISNUMBER($D13),IF($D13=0,"0",ROUND($D13,9-INT(LOG10(ABS($D13))))&amp;""),$D13&amp;""))=0,"0",ROUND(("Tiene "&amp;IF(ISNUMBER($C13),IF($C13=0,"0",ROUND($C13,9-INT(LOG10(ABS($C13))))&amp;""),$C13&amp;"")&amp;" brigadas y otra tiene "&amp;IF(ISNUMBER($D13),IF($D13=0,"0",ROUND($D13,9-INT(LOG10(ABS($D13))))&amp;""),$D13&amp;"")),9-INT(LOG10(ABS(("Tiene "&amp;IF(ISNUMBER($C13),IF($C13=0,"0",ROUND($C13,9-INT(LOG10(ABS($C13))))&amp;""),$C13&amp;"")&amp;" brigadas y otra tiene "&amp;IF(ISNUMBER($D13),IF($D13=0,"0",ROUND($D13,9-INT(LOG10(ABS($D13))))&amp;""),$D13&amp;""))))))&amp;""),("Tiene "&amp;IF(ISNUMBER($C13),IF($C13=0,"0",ROUND($C13,9-INT(LOG10(ABS($C13))))&amp;""),$C13&amp;"")&amp;" brigadas y otra tiene "&amp;IF(ISNUMBER($D13),IF($D13=0,"0",ROUND($D13,9-INT(LOG10(ABS($D13))))&amp;""),$D13&amp;""))&amp;""),""),3,32767))</f>
        <v/>
      </c>
      <c r="F13" s="3">
        <f>IF(OR((IFERROR(VALUE($C13&amp;""),0)&gt;IFERROR(VALUE((IFERROR(VALUE($D13&amp;""),0)+1)&amp;""),0))),2,0)</f>
        <v/>
      </c>
    </row>
    <row r="14">
      <c r="A14" s="4" t="n"/>
      <c r="B14" s="4" t="n"/>
      <c r="C14" s="3">
        <f>IF(AND($A14=""),"",SUMPRODUCT(1*(((('Reparto de brigadas'!$A$4:$A$31&lt;&gt;""))&gt;0))*((EXACT('Reparto de brigadas'!$F$4:$F$31,$A14)))))</f>
        <v/>
      </c>
      <c r="D14" s="3">
        <f>IF(AND($A14=""),"",IF(SUMPRODUCT(1*(((('Instalaciones'!$A$4:$A$27&lt;&gt;""))&gt;0)))=0,"",SUMPRODUCT(MIN(IFERROR(VALUE('Instalaciones'!$C$4:$C$27&amp;""),0)+(1-(1*(((('Instalaciones'!$A$4:$A$27&lt;&gt;""))&gt;0))))*1E+300))))</f>
        <v/>
      </c>
      <c r="E14" s="3">
        <f>IF(AND($A14=""),"",MID(IF((IFERROR(VALUE($C14&amp;""),0)&gt;IFERROR(VALUE((IFERROR(VALUE($D14&amp;""),0)+1)&amp;""),0)),"; "&amp;IF(ISNUMBER(("Tiene "&amp;IF(ISNUMBER($C14),IF($C14=0,"0",ROUND($C14,9-INT(LOG10(ABS($C14))))&amp;""),$C14&amp;"")&amp;" brigadas y otra tiene "&amp;IF(ISNUMBER($D14),IF($D14=0,"0",ROUND($D14,9-INT(LOG10(ABS($D14))))&amp;""),$D14&amp;""))),IF(("Tiene "&amp;IF(ISNUMBER($C14),IF($C14=0,"0",ROUND($C14,9-INT(LOG10(ABS($C14))))&amp;""),$C14&amp;"")&amp;" brigadas y otra tiene "&amp;IF(ISNUMBER($D14),IF($D14=0,"0",ROUND($D14,9-INT(LOG10(ABS($D14))))&amp;""),$D14&amp;""))=0,"0",ROUND(("Tiene "&amp;IF(ISNUMBER($C14),IF($C14=0,"0",ROUND($C14,9-INT(LOG10(ABS($C14))))&amp;""),$C14&amp;"")&amp;" brigadas y otra tiene "&amp;IF(ISNUMBER($D14),IF($D14=0,"0",ROUND($D14,9-INT(LOG10(ABS($D14))))&amp;""),$D14&amp;"")),9-INT(LOG10(ABS(("Tiene "&amp;IF(ISNUMBER($C14),IF($C14=0,"0",ROUND($C14,9-INT(LOG10(ABS($C14))))&amp;""),$C14&amp;"")&amp;" brigadas y otra tiene "&amp;IF(ISNUMBER($D14),IF($D14=0,"0",ROUND($D14,9-INT(LOG10(ABS($D14))))&amp;""),$D14&amp;""))))))&amp;""),("Tiene "&amp;IF(ISNUMBER($C14),IF($C14=0,"0",ROUND($C14,9-INT(LOG10(ABS($C14))))&amp;""),$C14&amp;"")&amp;" brigadas y otra tiene "&amp;IF(ISNUMBER($D14),IF($D14=0,"0",ROUND($D14,9-INT(LOG10(ABS($D14))))&amp;""),$D14&amp;""))&amp;""),""),3,32767))</f>
        <v/>
      </c>
      <c r="F14" s="3">
        <f>IF(OR((IFERROR(VALUE($C14&amp;""),0)&gt;IFERROR(VALUE((IFERROR(VALUE($D14&amp;""),0)+1)&amp;""),0))),2,0)</f>
        <v/>
      </c>
    </row>
    <row r="15">
      <c r="A15" s="4" t="n"/>
      <c r="B15" s="4" t="n"/>
      <c r="C15" s="3">
        <f>IF(AND($A15=""),"",SUMPRODUCT(1*(((('Reparto de brigadas'!$A$4:$A$31&lt;&gt;""))&gt;0))*((EXACT('Reparto de brigadas'!$F$4:$F$31,$A15)))))</f>
        <v/>
      </c>
      <c r="D15" s="3">
        <f>IF(AND($A15=""),"",IF(SUMPRODUCT(1*(((('Instalaciones'!$A$4:$A$27&lt;&gt;""))&gt;0)))=0,"",SUMPRODUCT(MIN(IFERROR(VALUE('Instalaciones'!$C$4:$C$27&amp;""),0)+(1-(1*(((('Instalaciones'!$A$4:$A$27&lt;&gt;""))&gt;0))))*1E+300))))</f>
        <v/>
      </c>
      <c r="E15" s="3">
        <f>IF(AND($A15=""),"",MID(IF((IFERROR(VALUE($C15&amp;""),0)&gt;IFERROR(VALUE((IFERROR(VALUE($D15&amp;""),0)+1)&amp;""),0)),"; "&amp;IF(ISNUMBER(("Tiene "&amp;IF(ISNUMBER($C15),IF($C15=0,"0",ROUND($C15,9-INT(LOG10(ABS($C15))))&amp;""),$C15&amp;"")&amp;" brigadas y otra tiene "&amp;IF(ISNUMBER($D15),IF($D15=0,"0",ROUND($D15,9-INT(LOG10(ABS($D15))))&amp;""),$D15&amp;""))),IF(("Tiene "&amp;IF(ISNUMBER($C15),IF($C15=0,"0",ROUND($C15,9-INT(LOG10(ABS($C15))))&amp;""),$C15&amp;"")&amp;" brigadas y otra tiene "&amp;IF(ISNUMBER($D15),IF($D15=0,"0",ROUND($D15,9-INT(LOG10(ABS($D15))))&amp;""),$D15&amp;""))=0,"0",ROUND(("Tiene "&amp;IF(ISNUMBER($C15),IF($C15=0,"0",ROUND($C15,9-INT(LOG10(ABS($C15))))&amp;""),$C15&amp;"")&amp;" brigadas y otra tiene "&amp;IF(ISNUMBER($D15),IF($D15=0,"0",ROUND($D15,9-INT(LOG10(ABS($D15))))&amp;""),$D15&amp;"")),9-INT(LOG10(ABS(("Tiene "&amp;IF(ISNUMBER($C15),IF($C15=0,"0",ROUND($C15,9-INT(LOG10(ABS($C15))))&amp;""),$C15&amp;"")&amp;" brigadas y otra tiene "&amp;IF(ISNUMBER($D15),IF($D15=0,"0",ROUND($D15,9-INT(LOG10(ABS($D15))))&amp;""),$D15&amp;""))))))&amp;""),("Tiene "&amp;IF(ISNUMBER($C15),IF($C15=0,"0",ROUND($C15,9-INT(LOG10(ABS($C15))))&amp;""),$C15&amp;"")&amp;" brigadas y otra tiene "&amp;IF(ISNUMBER($D15),IF($D15=0,"0",ROUND($D15,9-INT(LOG10(ABS($D15))))&amp;""),$D15&amp;""))&amp;""),""),3,32767))</f>
        <v/>
      </c>
      <c r="F15" s="3">
        <f>IF(OR((IFERROR(VALUE($C15&amp;""),0)&gt;IFERROR(VALUE((IFERROR(VALUE($D15&amp;""),0)+1)&amp;""),0))),2,0)</f>
        <v/>
      </c>
    </row>
    <row r="16">
      <c r="A16" s="4" t="n"/>
      <c r="B16" s="4" t="n"/>
      <c r="C16" s="3">
        <f>IF(AND($A16=""),"",SUMPRODUCT(1*(((('Reparto de brigadas'!$A$4:$A$31&lt;&gt;""))&gt;0))*((EXACT('Reparto de brigadas'!$F$4:$F$31,$A16)))))</f>
        <v/>
      </c>
      <c r="D16" s="3">
        <f>IF(AND($A16=""),"",IF(SUMPRODUCT(1*(((('Instalaciones'!$A$4:$A$27&lt;&gt;""))&gt;0)))=0,"",SUMPRODUCT(MIN(IFERROR(VALUE('Instalaciones'!$C$4:$C$27&amp;""),0)+(1-(1*(((('Instalaciones'!$A$4:$A$27&lt;&gt;""))&gt;0))))*1E+300))))</f>
        <v/>
      </c>
      <c r="E16" s="3">
        <f>IF(AND($A16=""),"",MID(IF((IFERROR(VALUE($C16&amp;""),0)&gt;IFERROR(VALUE((IFERROR(VALUE($D16&amp;""),0)+1)&amp;""),0)),"; "&amp;IF(ISNUMBER(("Tiene "&amp;IF(ISNUMBER($C16),IF($C16=0,"0",ROUND($C16,9-INT(LOG10(ABS($C16))))&amp;""),$C16&amp;"")&amp;" brigadas y otra tiene "&amp;IF(ISNUMBER($D16),IF($D16=0,"0",ROUND($D16,9-INT(LOG10(ABS($D16))))&amp;""),$D16&amp;""))),IF(("Tiene "&amp;IF(ISNUMBER($C16),IF($C16=0,"0",ROUND($C16,9-INT(LOG10(ABS($C16))))&amp;""),$C16&amp;"")&amp;" brigadas y otra tiene "&amp;IF(ISNUMBER($D16),IF($D16=0,"0",ROUND($D16,9-INT(LOG10(ABS($D16))))&amp;""),$D16&amp;""))=0,"0",ROUND(("Tiene "&amp;IF(ISNUMBER($C16),IF($C16=0,"0",ROUND($C16,9-INT(LOG10(ABS($C16))))&amp;""),$C16&amp;"")&amp;" brigadas y otra tiene "&amp;IF(ISNUMBER($D16),IF($D16=0,"0",ROUND($D16,9-INT(LOG10(ABS($D16))))&amp;""),$D16&amp;"")),9-INT(LOG10(ABS(("Tiene "&amp;IF(ISNUMBER($C16),IF($C16=0,"0",ROUND($C16,9-INT(LOG10(ABS($C16))))&amp;""),$C16&amp;"")&amp;" brigadas y otra tiene "&amp;IF(ISNUMBER($D16),IF($D16=0,"0",ROUND($D16,9-INT(LOG10(ABS($D16))))&amp;""),$D16&amp;""))))))&amp;""),("Tiene "&amp;IF(ISNUMBER($C16),IF($C16=0,"0",ROUND($C16,9-INT(LOG10(ABS($C16))))&amp;""),$C16&amp;"")&amp;" brigadas y otra tiene "&amp;IF(ISNUMBER($D16),IF($D16=0,"0",ROUND($D16,9-INT(LOG10(ABS($D16))))&amp;""),$D16&amp;""))&amp;""),""),3,32767))</f>
        <v/>
      </c>
      <c r="F16" s="3">
        <f>IF(OR((IFERROR(VALUE($C16&amp;""),0)&gt;IFERROR(VALUE((IFERROR(VALUE($D16&amp;""),0)+1)&amp;""),0))),2,0)</f>
        <v/>
      </c>
    </row>
    <row r="17">
      <c r="A17" s="4" t="n"/>
      <c r="B17" s="4" t="n"/>
      <c r="C17" s="3">
        <f>IF(AND($A17=""),"",SUMPRODUCT(1*(((('Reparto de brigadas'!$A$4:$A$31&lt;&gt;""))&gt;0))*((EXACT('Reparto de brigadas'!$F$4:$F$31,$A17)))))</f>
        <v/>
      </c>
      <c r="D17" s="3">
        <f>IF(AND($A17=""),"",IF(SUMPRODUCT(1*(((('Instalaciones'!$A$4:$A$27&lt;&gt;""))&gt;0)))=0,"",SUMPRODUCT(MIN(IFERROR(VALUE('Instalaciones'!$C$4:$C$27&amp;""),0)+(1-(1*(((('Instalaciones'!$A$4:$A$27&lt;&gt;""))&gt;0))))*1E+300))))</f>
        <v/>
      </c>
      <c r="E17" s="3">
        <f>IF(AND($A17=""),"",MID(IF((IFERROR(VALUE($C17&amp;""),0)&gt;IFERROR(VALUE((IFERROR(VALUE($D17&amp;""),0)+1)&amp;""),0)),"; "&amp;IF(ISNUMBER(("Tiene "&amp;IF(ISNUMBER($C17),IF($C17=0,"0",ROUND($C17,9-INT(LOG10(ABS($C17))))&amp;""),$C17&amp;"")&amp;" brigadas y otra tiene "&amp;IF(ISNUMBER($D17),IF($D17=0,"0",ROUND($D17,9-INT(LOG10(ABS($D17))))&amp;""),$D17&amp;""))),IF(("Tiene "&amp;IF(ISNUMBER($C17),IF($C17=0,"0",ROUND($C17,9-INT(LOG10(ABS($C17))))&amp;""),$C17&amp;"")&amp;" brigadas y otra tiene "&amp;IF(ISNUMBER($D17),IF($D17=0,"0",ROUND($D17,9-INT(LOG10(ABS($D17))))&amp;""),$D17&amp;""))=0,"0",ROUND(("Tiene "&amp;IF(ISNUMBER($C17),IF($C17=0,"0",ROUND($C17,9-INT(LOG10(ABS($C17))))&amp;""),$C17&amp;"")&amp;" brigadas y otra tiene "&amp;IF(ISNUMBER($D17),IF($D17=0,"0",ROUND($D17,9-INT(LOG10(ABS($D17))))&amp;""),$D17&amp;"")),9-INT(LOG10(ABS(("Tiene "&amp;IF(ISNUMBER($C17),IF($C17=0,"0",ROUND($C17,9-INT(LOG10(ABS($C17))))&amp;""),$C17&amp;"")&amp;" brigadas y otra tiene "&amp;IF(ISNUMBER($D17),IF($D17=0,"0",ROUND($D17,9-INT(LOG10(ABS($D17))))&amp;""),$D17&amp;""))))))&amp;""),("Tiene "&amp;IF(ISNUMBER($C17),IF($C17=0,"0",ROUND($C17,9-INT(LOG10(ABS($C17))))&amp;""),$C17&amp;"")&amp;" brigadas y otra tiene "&amp;IF(ISNUMBER($D17),IF($D17=0,"0",ROUND($D17,9-INT(LOG10(ABS($D17))))&amp;""),$D17&amp;""))&amp;""),""),3,32767))</f>
        <v/>
      </c>
      <c r="F17" s="3">
        <f>IF(OR((IFERROR(VALUE($C17&amp;""),0)&gt;IFERROR(VALUE((IFERROR(VALUE($D17&amp;""),0)+1)&amp;""),0))),2,0)</f>
        <v/>
      </c>
    </row>
    <row r="18">
      <c r="A18" s="4" t="n"/>
      <c r="B18" s="4" t="n"/>
      <c r="C18" s="3">
        <f>IF(AND($A18=""),"",SUMPRODUCT(1*(((('Reparto de brigadas'!$A$4:$A$31&lt;&gt;""))&gt;0))*((EXACT('Reparto de brigadas'!$F$4:$F$31,$A18)))))</f>
        <v/>
      </c>
      <c r="D18" s="3">
        <f>IF(AND($A18=""),"",IF(SUMPRODUCT(1*(((('Instalaciones'!$A$4:$A$27&lt;&gt;""))&gt;0)))=0,"",SUMPRODUCT(MIN(IFERROR(VALUE('Instalaciones'!$C$4:$C$27&amp;""),0)+(1-(1*(((('Instalaciones'!$A$4:$A$27&lt;&gt;""))&gt;0))))*1E+300))))</f>
        <v/>
      </c>
      <c r="E18" s="3">
        <f>IF(AND($A18=""),"",MID(IF((IFERROR(VALUE($C18&amp;""),0)&gt;IFERROR(VALUE((IFERROR(VALUE($D18&amp;""),0)+1)&amp;""),0)),"; "&amp;IF(ISNUMBER(("Tiene "&amp;IF(ISNUMBER($C18),IF($C18=0,"0",ROUND($C18,9-INT(LOG10(ABS($C18))))&amp;""),$C18&amp;"")&amp;" brigadas y otra tiene "&amp;IF(ISNUMBER($D18),IF($D18=0,"0",ROUND($D18,9-INT(LOG10(ABS($D18))))&amp;""),$D18&amp;""))),IF(("Tiene "&amp;IF(ISNUMBER($C18),IF($C18=0,"0",ROUND($C18,9-INT(LOG10(ABS($C18))))&amp;""),$C18&amp;"")&amp;" brigadas y otra tiene "&amp;IF(ISNUMBER($D18),IF($D18=0,"0",ROUND($D18,9-INT(LOG10(ABS($D18))))&amp;""),$D18&amp;""))=0,"0",ROUND(("Tiene "&amp;IF(ISNUMBER($C18),IF($C18=0,"0",ROUND($C18,9-INT(LOG10(ABS($C18))))&amp;""),$C18&amp;"")&amp;" brigadas y otra tiene "&amp;IF(ISNUMBER($D18),IF($D18=0,"0",ROUND($D18,9-INT(LOG10(ABS($D18))))&amp;""),$D18&amp;"")),9-INT(LOG10(ABS(("Tiene "&amp;IF(ISNUMBER($C18),IF($C18=0,"0",ROUND($C18,9-INT(LOG10(ABS($C18))))&amp;""),$C18&amp;"")&amp;" brigadas y otra tiene "&amp;IF(ISNUMBER($D18),IF($D18=0,"0",ROUND($D18,9-INT(LOG10(ABS($D18))))&amp;""),$D18&amp;""))))))&amp;""),("Tiene "&amp;IF(ISNUMBER($C18),IF($C18=0,"0",ROUND($C18,9-INT(LOG10(ABS($C18))))&amp;""),$C18&amp;"")&amp;" brigadas y otra tiene "&amp;IF(ISNUMBER($D18),IF($D18=0,"0",ROUND($D18,9-INT(LOG10(ABS($D18))))&amp;""),$D18&amp;""))&amp;""),""),3,32767))</f>
        <v/>
      </c>
      <c r="F18" s="3">
        <f>IF(OR((IFERROR(VALUE($C18&amp;""),0)&gt;IFERROR(VALUE((IFERROR(VALUE($D18&amp;""),0)+1)&amp;""),0))),2,0)</f>
        <v/>
      </c>
    </row>
    <row r="19">
      <c r="A19" s="4" t="n"/>
      <c r="B19" s="4" t="n"/>
      <c r="C19" s="3">
        <f>IF(AND($A19=""),"",SUMPRODUCT(1*(((('Reparto de brigadas'!$A$4:$A$31&lt;&gt;""))&gt;0))*((EXACT('Reparto de brigadas'!$F$4:$F$31,$A19)))))</f>
        <v/>
      </c>
      <c r="D19" s="3">
        <f>IF(AND($A19=""),"",IF(SUMPRODUCT(1*(((('Instalaciones'!$A$4:$A$27&lt;&gt;""))&gt;0)))=0,"",SUMPRODUCT(MIN(IFERROR(VALUE('Instalaciones'!$C$4:$C$27&amp;""),0)+(1-(1*(((('Instalaciones'!$A$4:$A$27&lt;&gt;""))&gt;0))))*1E+300))))</f>
        <v/>
      </c>
      <c r="E19" s="3">
        <f>IF(AND($A19=""),"",MID(IF((IFERROR(VALUE($C19&amp;""),0)&gt;IFERROR(VALUE((IFERROR(VALUE($D19&amp;""),0)+1)&amp;""),0)),"; "&amp;IF(ISNUMBER(("Tiene "&amp;IF(ISNUMBER($C19),IF($C19=0,"0",ROUND($C19,9-INT(LOG10(ABS($C19))))&amp;""),$C19&amp;"")&amp;" brigadas y otra tiene "&amp;IF(ISNUMBER($D19),IF($D19=0,"0",ROUND($D19,9-INT(LOG10(ABS($D19))))&amp;""),$D19&amp;""))),IF(("Tiene "&amp;IF(ISNUMBER($C19),IF($C19=0,"0",ROUND($C19,9-INT(LOG10(ABS($C19))))&amp;""),$C19&amp;"")&amp;" brigadas y otra tiene "&amp;IF(ISNUMBER($D19),IF($D19=0,"0",ROUND($D19,9-INT(LOG10(ABS($D19))))&amp;""),$D19&amp;""))=0,"0",ROUND(("Tiene "&amp;IF(ISNUMBER($C19),IF($C19=0,"0",ROUND($C19,9-INT(LOG10(ABS($C19))))&amp;""),$C19&amp;"")&amp;" brigadas y otra tiene "&amp;IF(ISNUMBER($D19),IF($D19=0,"0",ROUND($D19,9-INT(LOG10(ABS($D19))))&amp;""),$D19&amp;"")),9-INT(LOG10(ABS(("Tiene "&amp;IF(ISNUMBER($C19),IF($C19=0,"0",ROUND($C19,9-INT(LOG10(ABS($C19))))&amp;""),$C19&amp;"")&amp;" brigadas y otra tiene "&amp;IF(ISNUMBER($D19),IF($D19=0,"0",ROUND($D19,9-INT(LOG10(ABS($D19))))&amp;""),$D19&amp;""))))))&amp;""),("Tiene "&amp;IF(ISNUMBER($C19),IF($C19=0,"0",ROUND($C19,9-INT(LOG10(ABS($C19))))&amp;""),$C19&amp;"")&amp;" brigadas y otra tiene "&amp;IF(ISNUMBER($D19),IF($D19=0,"0",ROUND($D19,9-INT(LOG10(ABS($D19))))&amp;""),$D19&amp;""))&amp;""),""),3,32767))</f>
        <v/>
      </c>
      <c r="F19" s="3">
        <f>IF(OR((IFERROR(VALUE($C19&amp;""),0)&gt;IFERROR(VALUE((IFERROR(VALUE($D19&amp;""),0)+1)&amp;""),0))),2,0)</f>
        <v/>
      </c>
    </row>
    <row r="20">
      <c r="A20" s="4" t="n"/>
      <c r="B20" s="4" t="n"/>
      <c r="C20" s="3">
        <f>IF(AND($A20=""),"",SUMPRODUCT(1*(((('Reparto de brigadas'!$A$4:$A$31&lt;&gt;""))&gt;0))*((EXACT('Reparto de brigadas'!$F$4:$F$31,$A20)))))</f>
        <v/>
      </c>
      <c r="D20" s="3">
        <f>IF(AND($A20=""),"",IF(SUMPRODUCT(1*(((('Instalaciones'!$A$4:$A$27&lt;&gt;""))&gt;0)))=0,"",SUMPRODUCT(MIN(IFERROR(VALUE('Instalaciones'!$C$4:$C$27&amp;""),0)+(1-(1*(((('Instalaciones'!$A$4:$A$27&lt;&gt;""))&gt;0))))*1E+300))))</f>
        <v/>
      </c>
      <c r="E20" s="3">
        <f>IF(AND($A20=""),"",MID(IF((IFERROR(VALUE($C20&amp;""),0)&gt;IFERROR(VALUE((IFERROR(VALUE($D20&amp;""),0)+1)&amp;""),0)),"; "&amp;IF(ISNUMBER(("Tiene "&amp;IF(ISNUMBER($C20),IF($C20=0,"0",ROUND($C20,9-INT(LOG10(ABS($C20))))&amp;""),$C20&amp;"")&amp;" brigadas y otra tiene "&amp;IF(ISNUMBER($D20),IF($D20=0,"0",ROUND($D20,9-INT(LOG10(ABS($D20))))&amp;""),$D20&amp;""))),IF(("Tiene "&amp;IF(ISNUMBER($C20),IF($C20=0,"0",ROUND($C20,9-INT(LOG10(ABS($C20))))&amp;""),$C20&amp;"")&amp;" brigadas y otra tiene "&amp;IF(ISNUMBER($D20),IF($D20=0,"0",ROUND($D20,9-INT(LOG10(ABS($D20))))&amp;""),$D20&amp;""))=0,"0",ROUND(("Tiene "&amp;IF(ISNUMBER($C20),IF($C20=0,"0",ROUND($C20,9-INT(LOG10(ABS($C20))))&amp;""),$C20&amp;"")&amp;" brigadas y otra tiene "&amp;IF(ISNUMBER($D20),IF($D20=0,"0",ROUND($D20,9-INT(LOG10(ABS($D20))))&amp;""),$D20&amp;"")),9-INT(LOG10(ABS(("Tiene "&amp;IF(ISNUMBER($C20),IF($C20=0,"0",ROUND($C20,9-INT(LOG10(ABS($C20))))&amp;""),$C20&amp;"")&amp;" brigadas y otra tiene "&amp;IF(ISNUMBER($D20),IF($D20=0,"0",ROUND($D20,9-INT(LOG10(ABS($D20))))&amp;""),$D20&amp;""))))))&amp;""),("Tiene "&amp;IF(ISNUMBER($C20),IF($C20=0,"0",ROUND($C20,9-INT(LOG10(ABS($C20))))&amp;""),$C20&amp;"")&amp;" brigadas y otra tiene "&amp;IF(ISNUMBER($D20),IF($D20=0,"0",ROUND($D20,9-INT(LOG10(ABS($D20))))&amp;""),$D20&amp;""))&amp;""),""),3,32767))</f>
        <v/>
      </c>
      <c r="F20" s="3">
        <f>IF(OR((IFERROR(VALUE($C20&amp;""),0)&gt;IFERROR(VALUE((IFERROR(VALUE($D20&amp;""),0)+1)&amp;""),0))),2,0)</f>
        <v/>
      </c>
    </row>
    <row r="21">
      <c r="A21" s="4" t="n"/>
      <c r="B21" s="4" t="n"/>
      <c r="C21" s="3">
        <f>IF(AND($A21=""),"",SUMPRODUCT(1*(((('Reparto de brigadas'!$A$4:$A$31&lt;&gt;""))&gt;0))*((EXACT('Reparto de brigadas'!$F$4:$F$31,$A21)))))</f>
        <v/>
      </c>
      <c r="D21" s="3">
        <f>IF(AND($A21=""),"",IF(SUMPRODUCT(1*(((('Instalaciones'!$A$4:$A$27&lt;&gt;""))&gt;0)))=0,"",SUMPRODUCT(MIN(IFERROR(VALUE('Instalaciones'!$C$4:$C$27&amp;""),0)+(1-(1*(((('Instalaciones'!$A$4:$A$27&lt;&gt;""))&gt;0))))*1E+300))))</f>
        <v/>
      </c>
      <c r="E21" s="3">
        <f>IF(AND($A21=""),"",MID(IF((IFERROR(VALUE($C21&amp;""),0)&gt;IFERROR(VALUE((IFERROR(VALUE($D21&amp;""),0)+1)&amp;""),0)),"; "&amp;IF(ISNUMBER(("Tiene "&amp;IF(ISNUMBER($C21),IF($C21=0,"0",ROUND($C21,9-INT(LOG10(ABS($C21))))&amp;""),$C21&amp;"")&amp;" brigadas y otra tiene "&amp;IF(ISNUMBER($D21),IF($D21=0,"0",ROUND($D21,9-INT(LOG10(ABS($D21))))&amp;""),$D21&amp;""))),IF(("Tiene "&amp;IF(ISNUMBER($C21),IF($C21=0,"0",ROUND($C21,9-INT(LOG10(ABS($C21))))&amp;""),$C21&amp;"")&amp;" brigadas y otra tiene "&amp;IF(ISNUMBER($D21),IF($D21=0,"0",ROUND($D21,9-INT(LOG10(ABS($D21))))&amp;""),$D21&amp;""))=0,"0",ROUND(("Tiene "&amp;IF(ISNUMBER($C21),IF($C21=0,"0",ROUND($C21,9-INT(LOG10(ABS($C21))))&amp;""),$C21&amp;"")&amp;" brigadas y otra tiene "&amp;IF(ISNUMBER($D21),IF($D21=0,"0",ROUND($D21,9-INT(LOG10(ABS($D21))))&amp;""),$D21&amp;"")),9-INT(LOG10(ABS(("Tiene "&amp;IF(ISNUMBER($C21),IF($C21=0,"0",ROUND($C21,9-INT(LOG10(ABS($C21))))&amp;""),$C21&amp;"")&amp;" brigadas y otra tiene "&amp;IF(ISNUMBER($D21),IF($D21=0,"0",ROUND($D21,9-INT(LOG10(ABS($D21))))&amp;""),$D21&amp;""))))))&amp;""),("Tiene "&amp;IF(ISNUMBER($C21),IF($C21=0,"0",ROUND($C21,9-INT(LOG10(ABS($C21))))&amp;""),$C21&amp;"")&amp;" brigadas y otra tiene "&amp;IF(ISNUMBER($D21),IF($D21=0,"0",ROUND($D21,9-INT(LOG10(ABS($D21))))&amp;""),$D21&amp;""))&amp;""),""),3,32767))</f>
        <v/>
      </c>
      <c r="F21" s="3">
        <f>IF(OR((IFERROR(VALUE($C21&amp;""),0)&gt;IFERROR(VALUE((IFERROR(VALUE($D21&amp;""),0)+1)&amp;""),0))),2,0)</f>
        <v/>
      </c>
    </row>
    <row r="22">
      <c r="A22" s="4" t="n"/>
      <c r="B22" s="4" t="n"/>
      <c r="C22" s="3">
        <f>IF(AND($A22=""),"",SUMPRODUCT(1*(((('Reparto de brigadas'!$A$4:$A$31&lt;&gt;""))&gt;0))*((EXACT('Reparto de brigadas'!$F$4:$F$31,$A22)))))</f>
        <v/>
      </c>
      <c r="D22" s="3">
        <f>IF(AND($A22=""),"",IF(SUMPRODUCT(1*(((('Instalaciones'!$A$4:$A$27&lt;&gt;""))&gt;0)))=0,"",SUMPRODUCT(MIN(IFERROR(VALUE('Instalaciones'!$C$4:$C$27&amp;""),0)+(1-(1*(((('Instalaciones'!$A$4:$A$27&lt;&gt;""))&gt;0))))*1E+300))))</f>
        <v/>
      </c>
      <c r="E22" s="3">
        <f>IF(AND($A22=""),"",MID(IF((IFERROR(VALUE($C22&amp;""),0)&gt;IFERROR(VALUE((IFERROR(VALUE($D22&amp;""),0)+1)&amp;""),0)),"; "&amp;IF(ISNUMBER(("Tiene "&amp;IF(ISNUMBER($C22),IF($C22=0,"0",ROUND($C22,9-INT(LOG10(ABS($C22))))&amp;""),$C22&amp;"")&amp;" brigadas y otra tiene "&amp;IF(ISNUMBER($D22),IF($D22=0,"0",ROUND($D22,9-INT(LOG10(ABS($D22))))&amp;""),$D22&amp;""))),IF(("Tiene "&amp;IF(ISNUMBER($C22),IF($C22=0,"0",ROUND($C22,9-INT(LOG10(ABS($C22))))&amp;""),$C22&amp;"")&amp;" brigadas y otra tiene "&amp;IF(ISNUMBER($D22),IF($D22=0,"0",ROUND($D22,9-INT(LOG10(ABS($D22))))&amp;""),$D22&amp;""))=0,"0",ROUND(("Tiene "&amp;IF(ISNUMBER($C22),IF($C22=0,"0",ROUND($C22,9-INT(LOG10(ABS($C22))))&amp;""),$C22&amp;"")&amp;" brigadas y otra tiene "&amp;IF(ISNUMBER($D22),IF($D22=0,"0",ROUND($D22,9-INT(LOG10(ABS($D22))))&amp;""),$D22&amp;"")),9-INT(LOG10(ABS(("Tiene "&amp;IF(ISNUMBER($C22),IF($C22=0,"0",ROUND($C22,9-INT(LOG10(ABS($C22))))&amp;""),$C22&amp;"")&amp;" brigadas y otra tiene "&amp;IF(ISNUMBER($D22),IF($D22=0,"0",ROUND($D22,9-INT(LOG10(ABS($D22))))&amp;""),$D22&amp;""))))))&amp;""),("Tiene "&amp;IF(ISNUMBER($C22),IF($C22=0,"0",ROUND($C22,9-INT(LOG10(ABS($C22))))&amp;""),$C22&amp;"")&amp;" brigadas y otra tiene "&amp;IF(ISNUMBER($D22),IF($D22=0,"0",ROUND($D22,9-INT(LOG10(ABS($D22))))&amp;""),$D22&amp;""))&amp;""),""),3,32767))</f>
        <v/>
      </c>
      <c r="F22" s="3">
        <f>IF(OR((IFERROR(VALUE($C22&amp;""),0)&gt;IFERROR(VALUE((IFERROR(VALUE($D22&amp;""),0)+1)&amp;""),0))),2,0)</f>
        <v/>
      </c>
    </row>
    <row r="23">
      <c r="A23" s="4" t="n"/>
      <c r="B23" s="4" t="n"/>
      <c r="C23" s="3">
        <f>IF(AND($A23=""),"",SUMPRODUCT(1*(((('Reparto de brigadas'!$A$4:$A$31&lt;&gt;""))&gt;0))*((EXACT('Reparto de brigadas'!$F$4:$F$31,$A23)))))</f>
        <v/>
      </c>
      <c r="D23" s="3">
        <f>IF(AND($A23=""),"",IF(SUMPRODUCT(1*(((('Instalaciones'!$A$4:$A$27&lt;&gt;""))&gt;0)))=0,"",SUMPRODUCT(MIN(IFERROR(VALUE('Instalaciones'!$C$4:$C$27&amp;""),0)+(1-(1*(((('Instalaciones'!$A$4:$A$27&lt;&gt;""))&gt;0))))*1E+300))))</f>
        <v/>
      </c>
      <c r="E23" s="3">
        <f>IF(AND($A23=""),"",MID(IF((IFERROR(VALUE($C23&amp;""),0)&gt;IFERROR(VALUE((IFERROR(VALUE($D23&amp;""),0)+1)&amp;""),0)),"; "&amp;IF(ISNUMBER(("Tiene "&amp;IF(ISNUMBER($C23),IF($C23=0,"0",ROUND($C23,9-INT(LOG10(ABS($C23))))&amp;""),$C23&amp;"")&amp;" brigadas y otra tiene "&amp;IF(ISNUMBER($D23),IF($D23=0,"0",ROUND($D23,9-INT(LOG10(ABS($D23))))&amp;""),$D23&amp;""))),IF(("Tiene "&amp;IF(ISNUMBER($C23),IF($C23=0,"0",ROUND($C23,9-INT(LOG10(ABS($C23))))&amp;""),$C23&amp;"")&amp;" brigadas y otra tiene "&amp;IF(ISNUMBER($D23),IF($D23=0,"0",ROUND($D23,9-INT(LOG10(ABS($D23))))&amp;""),$D23&amp;""))=0,"0",ROUND(("Tiene "&amp;IF(ISNUMBER($C23),IF($C23=0,"0",ROUND($C23,9-INT(LOG10(ABS($C23))))&amp;""),$C23&amp;"")&amp;" brigadas y otra tiene "&amp;IF(ISNUMBER($D23),IF($D23=0,"0",ROUND($D23,9-INT(LOG10(ABS($D23))))&amp;""),$D23&amp;"")),9-INT(LOG10(ABS(("Tiene "&amp;IF(ISNUMBER($C23),IF($C23=0,"0",ROUND($C23,9-INT(LOG10(ABS($C23))))&amp;""),$C23&amp;"")&amp;" brigadas y otra tiene "&amp;IF(ISNUMBER($D23),IF($D23=0,"0",ROUND($D23,9-INT(LOG10(ABS($D23))))&amp;""),$D23&amp;""))))))&amp;""),("Tiene "&amp;IF(ISNUMBER($C23),IF($C23=0,"0",ROUND($C23,9-INT(LOG10(ABS($C23))))&amp;""),$C23&amp;"")&amp;" brigadas y otra tiene "&amp;IF(ISNUMBER($D23),IF($D23=0,"0",ROUND($D23,9-INT(LOG10(ABS($D23))))&amp;""),$D23&amp;""))&amp;""),""),3,32767))</f>
        <v/>
      </c>
      <c r="F23" s="3">
        <f>IF(OR((IFERROR(VALUE($C23&amp;""),0)&gt;IFERROR(VALUE((IFERROR(VALUE($D23&amp;""),0)+1)&amp;""),0))),2,0)</f>
        <v/>
      </c>
    </row>
    <row r="24">
      <c r="A24" s="4" t="n"/>
      <c r="B24" s="4" t="n"/>
      <c r="C24" s="3">
        <f>IF(AND($A24=""),"",SUMPRODUCT(1*(((('Reparto de brigadas'!$A$4:$A$31&lt;&gt;""))&gt;0))*((EXACT('Reparto de brigadas'!$F$4:$F$31,$A24)))))</f>
        <v/>
      </c>
      <c r="D24" s="3">
        <f>IF(AND($A24=""),"",IF(SUMPRODUCT(1*(((('Instalaciones'!$A$4:$A$27&lt;&gt;""))&gt;0)))=0,"",SUMPRODUCT(MIN(IFERROR(VALUE('Instalaciones'!$C$4:$C$27&amp;""),0)+(1-(1*(((('Instalaciones'!$A$4:$A$27&lt;&gt;""))&gt;0))))*1E+300))))</f>
        <v/>
      </c>
      <c r="E24" s="3">
        <f>IF(AND($A24=""),"",MID(IF((IFERROR(VALUE($C24&amp;""),0)&gt;IFERROR(VALUE((IFERROR(VALUE($D24&amp;""),0)+1)&amp;""),0)),"; "&amp;IF(ISNUMBER(("Tiene "&amp;IF(ISNUMBER($C24),IF($C24=0,"0",ROUND($C24,9-INT(LOG10(ABS($C24))))&amp;""),$C24&amp;"")&amp;" brigadas y otra tiene "&amp;IF(ISNUMBER($D24),IF($D24=0,"0",ROUND($D24,9-INT(LOG10(ABS($D24))))&amp;""),$D24&amp;""))),IF(("Tiene "&amp;IF(ISNUMBER($C24),IF($C24=0,"0",ROUND($C24,9-INT(LOG10(ABS($C24))))&amp;""),$C24&amp;"")&amp;" brigadas y otra tiene "&amp;IF(ISNUMBER($D24),IF($D24=0,"0",ROUND($D24,9-INT(LOG10(ABS($D24))))&amp;""),$D24&amp;""))=0,"0",ROUND(("Tiene "&amp;IF(ISNUMBER($C24),IF($C24=0,"0",ROUND($C24,9-INT(LOG10(ABS($C24))))&amp;""),$C24&amp;"")&amp;" brigadas y otra tiene "&amp;IF(ISNUMBER($D24),IF($D24=0,"0",ROUND($D24,9-INT(LOG10(ABS($D24))))&amp;""),$D24&amp;"")),9-INT(LOG10(ABS(("Tiene "&amp;IF(ISNUMBER($C24),IF($C24=0,"0",ROUND($C24,9-INT(LOG10(ABS($C24))))&amp;""),$C24&amp;"")&amp;" brigadas y otra tiene "&amp;IF(ISNUMBER($D24),IF($D24=0,"0",ROUND($D24,9-INT(LOG10(ABS($D24))))&amp;""),$D24&amp;""))))))&amp;""),("Tiene "&amp;IF(ISNUMBER($C24),IF($C24=0,"0",ROUND($C24,9-INT(LOG10(ABS($C24))))&amp;""),$C24&amp;"")&amp;" brigadas y otra tiene "&amp;IF(ISNUMBER($D24),IF($D24=0,"0",ROUND($D24,9-INT(LOG10(ABS($D24))))&amp;""),$D24&amp;""))&amp;""),""),3,32767))</f>
        <v/>
      </c>
      <c r="F24" s="3">
        <f>IF(OR((IFERROR(VALUE($C24&amp;""),0)&gt;IFERROR(VALUE((IFERROR(VALUE($D24&amp;""),0)+1)&amp;""),0))),2,0)</f>
        <v/>
      </c>
    </row>
    <row r="25">
      <c r="A25" s="4" t="n"/>
      <c r="B25" s="4" t="n"/>
      <c r="C25" s="3">
        <f>IF(AND($A25=""),"",SUMPRODUCT(1*(((('Reparto de brigadas'!$A$4:$A$31&lt;&gt;""))&gt;0))*((EXACT('Reparto de brigadas'!$F$4:$F$31,$A25)))))</f>
        <v/>
      </c>
      <c r="D25" s="3">
        <f>IF(AND($A25=""),"",IF(SUMPRODUCT(1*(((('Instalaciones'!$A$4:$A$27&lt;&gt;""))&gt;0)))=0,"",SUMPRODUCT(MIN(IFERROR(VALUE('Instalaciones'!$C$4:$C$27&amp;""),0)+(1-(1*(((('Instalaciones'!$A$4:$A$27&lt;&gt;""))&gt;0))))*1E+300))))</f>
        <v/>
      </c>
      <c r="E25" s="3">
        <f>IF(AND($A25=""),"",MID(IF((IFERROR(VALUE($C25&amp;""),0)&gt;IFERROR(VALUE((IFERROR(VALUE($D25&amp;""),0)+1)&amp;""),0)),"; "&amp;IF(ISNUMBER(("Tiene "&amp;IF(ISNUMBER($C25),IF($C25=0,"0",ROUND($C25,9-INT(LOG10(ABS($C25))))&amp;""),$C25&amp;"")&amp;" brigadas y otra tiene "&amp;IF(ISNUMBER($D25),IF($D25=0,"0",ROUND($D25,9-INT(LOG10(ABS($D25))))&amp;""),$D25&amp;""))),IF(("Tiene "&amp;IF(ISNUMBER($C25),IF($C25=0,"0",ROUND($C25,9-INT(LOG10(ABS($C25))))&amp;""),$C25&amp;"")&amp;" brigadas y otra tiene "&amp;IF(ISNUMBER($D25),IF($D25=0,"0",ROUND($D25,9-INT(LOG10(ABS($D25))))&amp;""),$D25&amp;""))=0,"0",ROUND(("Tiene "&amp;IF(ISNUMBER($C25),IF($C25=0,"0",ROUND($C25,9-INT(LOG10(ABS($C25))))&amp;""),$C25&amp;"")&amp;" brigadas y otra tiene "&amp;IF(ISNUMBER($D25),IF($D25=0,"0",ROUND($D25,9-INT(LOG10(ABS($D25))))&amp;""),$D25&amp;"")),9-INT(LOG10(ABS(("Tiene "&amp;IF(ISNUMBER($C25),IF($C25=0,"0",ROUND($C25,9-INT(LOG10(ABS($C25))))&amp;""),$C25&amp;"")&amp;" brigadas y otra tiene "&amp;IF(ISNUMBER($D25),IF($D25=0,"0",ROUND($D25,9-INT(LOG10(ABS($D25))))&amp;""),$D25&amp;""))))))&amp;""),("Tiene "&amp;IF(ISNUMBER($C25),IF($C25=0,"0",ROUND($C25,9-INT(LOG10(ABS($C25))))&amp;""),$C25&amp;"")&amp;" brigadas y otra tiene "&amp;IF(ISNUMBER($D25),IF($D25=0,"0",ROUND($D25,9-INT(LOG10(ABS($D25))))&amp;""),$D25&amp;""))&amp;""),""),3,32767))</f>
        <v/>
      </c>
      <c r="F25" s="3">
        <f>IF(OR((IFERROR(VALUE($C25&amp;""),0)&gt;IFERROR(VALUE((IFERROR(VALUE($D25&amp;""),0)+1)&amp;""),0))),2,0)</f>
        <v/>
      </c>
    </row>
    <row r="26">
      <c r="A26" s="4" t="n"/>
      <c r="B26" s="4" t="n"/>
      <c r="C26" s="3">
        <f>IF(AND($A26=""),"",SUMPRODUCT(1*(((('Reparto de brigadas'!$A$4:$A$31&lt;&gt;""))&gt;0))*((EXACT('Reparto de brigadas'!$F$4:$F$31,$A26)))))</f>
        <v/>
      </c>
      <c r="D26" s="3">
        <f>IF(AND($A26=""),"",IF(SUMPRODUCT(1*(((('Instalaciones'!$A$4:$A$27&lt;&gt;""))&gt;0)))=0,"",SUMPRODUCT(MIN(IFERROR(VALUE('Instalaciones'!$C$4:$C$27&amp;""),0)+(1-(1*(((('Instalaciones'!$A$4:$A$27&lt;&gt;""))&gt;0))))*1E+300))))</f>
        <v/>
      </c>
      <c r="E26" s="3">
        <f>IF(AND($A26=""),"",MID(IF((IFERROR(VALUE($C26&amp;""),0)&gt;IFERROR(VALUE((IFERROR(VALUE($D26&amp;""),0)+1)&amp;""),0)),"; "&amp;IF(ISNUMBER(("Tiene "&amp;IF(ISNUMBER($C26),IF($C26=0,"0",ROUND($C26,9-INT(LOG10(ABS($C26))))&amp;""),$C26&amp;"")&amp;" brigadas y otra tiene "&amp;IF(ISNUMBER($D26),IF($D26=0,"0",ROUND($D26,9-INT(LOG10(ABS($D26))))&amp;""),$D26&amp;""))),IF(("Tiene "&amp;IF(ISNUMBER($C26),IF($C26=0,"0",ROUND($C26,9-INT(LOG10(ABS($C26))))&amp;""),$C26&amp;"")&amp;" brigadas y otra tiene "&amp;IF(ISNUMBER($D26),IF($D26=0,"0",ROUND($D26,9-INT(LOG10(ABS($D26))))&amp;""),$D26&amp;""))=0,"0",ROUND(("Tiene "&amp;IF(ISNUMBER($C26),IF($C26=0,"0",ROUND($C26,9-INT(LOG10(ABS($C26))))&amp;""),$C26&amp;"")&amp;" brigadas y otra tiene "&amp;IF(ISNUMBER($D26),IF($D26=0,"0",ROUND($D26,9-INT(LOG10(ABS($D26))))&amp;""),$D26&amp;"")),9-INT(LOG10(ABS(("Tiene "&amp;IF(ISNUMBER($C26),IF($C26=0,"0",ROUND($C26,9-INT(LOG10(ABS($C26))))&amp;""),$C26&amp;"")&amp;" brigadas y otra tiene "&amp;IF(ISNUMBER($D26),IF($D26=0,"0",ROUND($D26,9-INT(LOG10(ABS($D26))))&amp;""),$D26&amp;""))))))&amp;""),("Tiene "&amp;IF(ISNUMBER($C26),IF($C26=0,"0",ROUND($C26,9-INT(LOG10(ABS($C26))))&amp;""),$C26&amp;"")&amp;" brigadas y otra tiene "&amp;IF(ISNUMBER($D26),IF($D26=0,"0",ROUND($D26,9-INT(LOG10(ABS($D26))))&amp;""),$D26&amp;""))&amp;""),""),3,32767))</f>
        <v/>
      </c>
      <c r="F26" s="3">
        <f>IF(OR((IFERROR(VALUE($C26&amp;""),0)&gt;IFERROR(VALUE((IFERROR(VALUE($D26&amp;""),0)+1)&amp;""),0))),2,0)</f>
        <v/>
      </c>
    </row>
    <row r="27">
      <c r="A27" s="4" t="n"/>
      <c r="B27" s="4" t="n"/>
      <c r="C27" s="3">
        <f>IF(AND($A27=""),"",SUMPRODUCT(1*(((('Reparto de brigadas'!$A$4:$A$31&lt;&gt;""))&gt;0))*((EXACT('Reparto de brigadas'!$F$4:$F$31,$A27)))))</f>
        <v/>
      </c>
      <c r="D27" s="3">
        <f>IF(AND($A27=""),"",IF(SUMPRODUCT(1*(((('Instalaciones'!$A$4:$A$27&lt;&gt;""))&gt;0)))=0,"",SUMPRODUCT(MIN(IFERROR(VALUE('Instalaciones'!$C$4:$C$27&amp;""),0)+(1-(1*(((('Instalaciones'!$A$4:$A$27&lt;&gt;""))&gt;0))))*1E+300))))</f>
        <v/>
      </c>
      <c r="E27" s="3">
        <f>IF(AND($A27=""),"",MID(IF((IFERROR(VALUE($C27&amp;""),0)&gt;IFERROR(VALUE((IFERROR(VALUE($D27&amp;""),0)+1)&amp;""),0)),"; "&amp;IF(ISNUMBER(("Tiene "&amp;IF(ISNUMBER($C27),IF($C27=0,"0",ROUND($C27,9-INT(LOG10(ABS($C27))))&amp;""),$C27&amp;"")&amp;" brigadas y otra tiene "&amp;IF(ISNUMBER($D27),IF($D27=0,"0",ROUND($D27,9-INT(LOG10(ABS($D27))))&amp;""),$D27&amp;""))),IF(("Tiene "&amp;IF(ISNUMBER($C27),IF($C27=0,"0",ROUND($C27,9-INT(LOG10(ABS($C27))))&amp;""),$C27&amp;"")&amp;" brigadas y otra tiene "&amp;IF(ISNUMBER($D27),IF($D27=0,"0",ROUND($D27,9-INT(LOG10(ABS($D27))))&amp;""),$D27&amp;""))=0,"0",ROUND(("Tiene "&amp;IF(ISNUMBER($C27),IF($C27=0,"0",ROUND($C27,9-INT(LOG10(ABS($C27))))&amp;""),$C27&amp;"")&amp;" brigadas y otra tiene "&amp;IF(ISNUMBER($D27),IF($D27=0,"0",ROUND($D27,9-INT(LOG10(ABS($D27))))&amp;""),$D27&amp;"")),9-INT(LOG10(ABS(("Tiene "&amp;IF(ISNUMBER($C27),IF($C27=0,"0",ROUND($C27,9-INT(LOG10(ABS($C27))))&amp;""),$C27&amp;"")&amp;" brigadas y otra tiene "&amp;IF(ISNUMBER($D27),IF($D27=0,"0",ROUND($D27,9-INT(LOG10(ABS($D27))))&amp;""),$D27&amp;""))))))&amp;""),("Tiene "&amp;IF(ISNUMBER($C27),IF($C27=0,"0",ROUND($C27,9-INT(LOG10(ABS($C27))))&amp;""),$C27&amp;"")&amp;" brigadas y otra tiene "&amp;IF(ISNUMBER($D27),IF($D27=0,"0",ROUND($D27,9-INT(LOG10(ABS($D27))))&amp;""),$D27&amp;""))&amp;""),""),3,32767))</f>
        <v/>
      </c>
      <c r="F27" s="3">
        <f>IF(OR((IFERROR(VALUE($C27&amp;""),0)&gt;IFERROR(VALUE((IFERROR(VALUE($D27&amp;""),0)+1)&amp;""),0))),2,0)</f>
        <v/>
      </c>
    </row>
    <row r="29">
      <c r="A29" s="5" t="inlineStr">
        <is>
          <t>Leyenda</t>
        </is>
      </c>
    </row>
    <row r="30">
      <c r="A30" s="11" t="n"/>
      <c r="B30" t="inlineStr">
        <is>
          <t>instalacion desequilibrada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C4:C27">
    <cfRule type="expression" priority="1" dxfId="1" stopIfTrue="0">
      <formula>(IFERROR(VALUE($C4&amp;""),0)&gt;IFERROR(VALUE((IFERROR(VALUE($D4&amp;""),0)+1)&amp;""),0))</formula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</cols>
  <sheetData>
    <row r="1">
      <c r="A1" s="1" t="inlineStr">
        <is>
          <t>Anos de carrera</t>
        </is>
      </c>
    </row>
    <row r="3">
      <c r="A3" s="2" t="inlineStr">
        <is>
          <t>Ano</t>
        </is>
      </c>
      <c r="B3" s="2" t="inlineStr">
        <is>
          <t>Carrera</t>
        </is>
      </c>
      <c r="C3" s="2" t="inlineStr">
        <is>
          <t>Semana</t>
        </is>
      </c>
    </row>
    <row r="4">
      <c r="A4" s="3" t="inlineStr">
        <is>
          <t>CC-1</t>
        </is>
      </c>
      <c r="B4" s="4" t="inlineStr">
        <is>
          <t>Ciencia de la Computacion</t>
        </is>
      </c>
      <c r="C4" s="4" t="inlineStr">
        <is>
          <t>par</t>
        </is>
      </c>
    </row>
    <row r="5">
      <c r="A5" s="3" t="inlineStr">
        <is>
          <t>CC-2</t>
        </is>
      </c>
      <c r="B5" s="4" t="inlineStr">
        <is>
          <t>Ciencia de la Computacion</t>
        </is>
      </c>
      <c r="C5" s="4" t="inlineStr">
        <is>
          <t>impar</t>
        </is>
      </c>
    </row>
    <row r="6">
      <c r="A6" s="3" t="inlineStr">
        <is>
          <t>MAT-1</t>
        </is>
      </c>
      <c r="B6" s="4" t="inlineStr">
        <is>
          <t>Matematica</t>
        </is>
      </c>
      <c r="C6" s="4" t="inlineStr">
        <is>
          <t>par</t>
        </is>
      </c>
    </row>
    <row r="7">
      <c r="A7" s="3" t="inlineStr">
        <is>
          <t>MAT-2</t>
        </is>
      </c>
      <c r="B7" s="4" t="inlineStr">
        <is>
          <t>Matematica</t>
        </is>
      </c>
      <c r="C7" s="4" t="inlineStr">
        <is>
          <t>impar</t>
        </is>
      </c>
    </row>
    <row r="8">
      <c r="A8" s="3" t="inlineStr">
        <is>
          <t>FIS-1</t>
        </is>
      </c>
      <c r="B8" s="4" t="inlineStr">
        <is>
          <t>Fisica</t>
        </is>
      </c>
      <c r="C8" s="4" t="inlineStr">
        <is>
          <t>par</t>
        </is>
      </c>
    </row>
    <row r="9">
      <c r="A9" s="3" t="inlineStr">
        <is>
          <t>FIS-2</t>
        </is>
      </c>
      <c r="B9" s="4" t="inlineStr">
        <is>
          <t>Fisica</t>
        </is>
      </c>
      <c r="C9" s="4" t="inlineStr">
        <is>
          <t>par</t>
        </is>
      </c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dataValidations count="1">
    <dataValidation sqref="C4:C29" showDropDown="0" showInputMessage="0" showErrorMessage="1" allowBlank="1" errorTitle="Valor fuera del dominio" error="Ese valor no esta en la lista." type="list" errorStyle="information">
      <formula1>'Listas'!$D$4:$D$5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B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</cols>
  <sheetData>
    <row r="1">
      <c r="A1" s="1" t="inlineStr">
        <is>
          <t>Horarios disponibles por ano</t>
        </is>
      </c>
    </row>
    <row r="3">
      <c r="A3" s="2" t="inlineStr">
        <is>
          <t>Ano</t>
        </is>
      </c>
      <c r="B3" s="2" t="inlineStr">
        <is>
          <t>Horario</t>
        </is>
      </c>
    </row>
    <row r="4">
      <c r="A4" s="3" t="inlineStr">
        <is>
          <t>CC-1</t>
        </is>
      </c>
      <c r="B4" s="3" t="inlineStr">
        <is>
          <t>10 a.m.</t>
        </is>
      </c>
    </row>
    <row r="5">
      <c r="A5" s="3" t="inlineStr">
        <is>
          <t>CC-1</t>
        </is>
      </c>
      <c r="B5" s="3" t="inlineStr">
        <is>
          <t>11 a.m.</t>
        </is>
      </c>
    </row>
    <row r="6">
      <c r="A6" s="3" t="inlineStr">
        <is>
          <t>CC-2</t>
        </is>
      </c>
      <c r="B6" s="3" t="inlineStr">
        <is>
          <t>11 a.m.</t>
        </is>
      </c>
    </row>
    <row r="7">
      <c r="A7" s="3" t="inlineStr">
        <is>
          <t>CC-2</t>
        </is>
      </c>
      <c r="B7" s="3" t="inlineStr">
        <is>
          <t>3 p.m.</t>
        </is>
      </c>
    </row>
    <row r="8">
      <c r="A8" s="3" t="inlineStr">
        <is>
          <t>MAT-1</t>
        </is>
      </c>
      <c r="B8" s="3" t="inlineStr">
        <is>
          <t>10 a.m.</t>
        </is>
      </c>
    </row>
    <row r="9">
      <c r="A9" s="3" t="inlineStr">
        <is>
          <t>MAT-2</t>
        </is>
      </c>
      <c r="B9" s="3" t="inlineStr">
        <is>
          <t>10 a.m.</t>
        </is>
      </c>
    </row>
    <row r="10">
      <c r="A10" s="3" t="inlineStr">
        <is>
          <t>MAT-2</t>
        </is>
      </c>
      <c r="B10" s="3" t="inlineStr">
        <is>
          <t>11 a.m.</t>
        </is>
      </c>
    </row>
    <row r="11">
      <c r="A11" s="3" t="inlineStr">
        <is>
          <t>MAT-2</t>
        </is>
      </c>
      <c r="B11" s="3" t="inlineStr">
        <is>
          <t>3 p.m.</t>
        </is>
      </c>
    </row>
    <row r="12">
      <c r="A12" s="3" t="inlineStr">
        <is>
          <t>FIS-1</t>
        </is>
      </c>
      <c r="B12" s="3" t="inlineStr">
        <is>
          <t>11 a.m.</t>
        </is>
      </c>
    </row>
    <row r="13">
      <c r="A13" s="3" t="inlineStr">
        <is>
          <t>FIS-1</t>
        </is>
      </c>
      <c r="B13" s="3" t="inlineStr">
        <is>
          <t>3 p.m.</t>
        </is>
      </c>
    </row>
    <row r="14">
      <c r="A14" s="3" t="inlineStr">
        <is>
          <t>FIS-2</t>
        </is>
      </c>
      <c r="B14" s="3" t="inlineStr">
        <is>
          <t>3 p.m.</t>
        </is>
      </c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40" customWidth="1" min="5" max="5"/>
    <col hidden="1" width="24" customWidth="1" min="6" max="6"/>
  </cols>
  <sheetData>
    <row r="1">
      <c r="A1" s="1" t="inlineStr">
        <is>
          <t>Brigadas por horario</t>
        </is>
      </c>
    </row>
    <row r="3">
      <c r="A3" s="2" t="inlineStr">
        <is>
          <t>Semana</t>
        </is>
      </c>
      <c r="B3" s="2" t="inlineStr">
        <is>
          <t>Horario</t>
        </is>
      </c>
      <c r="C3" s="2" t="inlineStr">
        <is>
          <t>Brigadas</t>
        </is>
      </c>
      <c r="D3" s="2" t="inlineStr">
        <is>
          <t>La que menos tiene</t>
        </is>
      </c>
      <c r="E3" s="2" t="inlineStr">
        <is>
          <t>Estado</t>
        </is>
      </c>
      <c r="F3" s="2" t="inlineStr">
        <is>
          <t>(nivel de las marcas)</t>
        </is>
      </c>
    </row>
    <row r="4">
      <c r="A4" s="3" t="inlineStr">
        <is>
          <t>par</t>
        </is>
      </c>
      <c r="B4" s="3" t="inlineStr">
        <is>
          <t>10 a.m.</t>
        </is>
      </c>
      <c r="C4" s="3">
        <f>SUMPRODUCT(1*(((('Reparto de brigadas'!$A$4:$A$31&lt;&gt;""))&gt;0))*((EXACT('Reparto de brigadas'!$G$4:$G$31,$A4)))*((EXACT('Reparto de brigadas'!$E$4:$E$31,$B4))))</f>
        <v/>
      </c>
      <c r="D4" s="3">
        <f>IF(SUMPRODUCT(1)=0,"",SUMPRODUCT(MIN(IFERROR(VALUE('Brigadas por horario'!$C$4:$C$9&amp;""),0)+(1-(1))*1E+300)))</f>
        <v/>
      </c>
      <c r="E4" s="3">
        <f>MID(IF((IFERROR(VALUE($C4&amp;""),0)&gt;IFERROR(VALUE((IFERROR(VALUE($D4&amp;""),0)+1)&amp;""),0)),"; "&amp;IF(ISNUMBER(("Tiene "&amp;IF(ISNUMBER($C4),IF($C4=0,"0",ROUND($C4,9-INT(LOG10(ABS($C4))))&amp;""),$C4&amp;"")&amp;" brigadas y otro horario tiene "&amp;IF(ISNUMBER($D4),IF($D4=0,"0",ROUND($D4,9-INT(LOG10(ABS($D4))))&amp;""),$D4&amp;""))),IF(("Tiene "&amp;IF(ISNUMBER($C4),IF($C4=0,"0",ROUND($C4,9-INT(LOG10(ABS($C4))))&amp;""),$C4&amp;"")&amp;" brigadas y otro horario tiene "&amp;IF(ISNUMBER($D4),IF($D4=0,"0",ROUND($D4,9-INT(LOG10(ABS($D4))))&amp;""),$D4&amp;""))=0,"0",ROUND(("Tiene "&amp;IF(ISNUMBER($C4),IF($C4=0,"0",ROUND($C4,9-INT(LOG10(ABS($C4))))&amp;""),$C4&amp;"")&amp;" brigadas y otro horario tiene "&amp;IF(ISNUMBER($D4),IF($D4=0,"0",ROUND($D4,9-INT(LOG10(ABS($D4))))&amp;""),$D4&amp;"")),9-INT(LOG10(ABS(("Tiene "&amp;IF(ISNUMBER($C4),IF($C4=0,"0",ROUND($C4,9-INT(LOG10(ABS($C4))))&amp;""),$C4&amp;"")&amp;" brigadas y otro horario tiene "&amp;IF(ISNUMBER($D4),IF($D4=0,"0",ROUND($D4,9-INT(LOG10(ABS($D4))))&amp;""),$D4&amp;""))))))&amp;""),("Tiene "&amp;IF(ISNUMBER($C4),IF($C4=0,"0",ROUND($C4,9-INT(LOG10(ABS($C4))))&amp;""),$C4&amp;"")&amp;" brigadas y otro horario tiene "&amp;IF(ISNUMBER($D4),IF($D4=0,"0",ROUND($D4,9-INT(LOG10(ABS($D4))))&amp;""),$D4&amp;""))&amp;""),""),3,32767)</f>
        <v/>
      </c>
      <c r="F4" s="3">
        <f>IF(OR((IFERROR(VALUE($C4&amp;""),0)&gt;IFERROR(VALUE((IFERROR(VALUE($D4&amp;""),0)+1)&amp;""),0))),2,0)</f>
        <v/>
      </c>
    </row>
    <row r="5">
      <c r="A5" s="3" t="inlineStr">
        <is>
          <t>par</t>
        </is>
      </c>
      <c r="B5" s="3" t="inlineStr">
        <is>
          <t>11 a.m.</t>
        </is>
      </c>
      <c r="C5" s="3">
        <f>SUMPRODUCT(1*(((('Reparto de brigadas'!$A$4:$A$31&lt;&gt;""))&gt;0))*((EXACT('Reparto de brigadas'!$G$4:$G$31,$A5)))*((EXACT('Reparto de brigadas'!$E$4:$E$31,$B5))))</f>
        <v/>
      </c>
      <c r="D5" s="3">
        <f>IF(SUMPRODUCT(1)=0,"",SUMPRODUCT(MIN(IFERROR(VALUE('Brigadas por horario'!$C$4:$C$9&amp;""),0)+(1-(1))*1E+300)))</f>
        <v/>
      </c>
      <c r="E5" s="3">
        <f>MID(IF((IFERROR(VALUE($C5&amp;""),0)&gt;IFERROR(VALUE((IFERROR(VALUE($D5&amp;""),0)+1)&amp;""),0)),"; "&amp;IF(ISNUMBER(("Tiene "&amp;IF(ISNUMBER($C5),IF($C5=0,"0",ROUND($C5,9-INT(LOG10(ABS($C5))))&amp;""),$C5&amp;"")&amp;" brigadas y otro horario tiene "&amp;IF(ISNUMBER($D5),IF($D5=0,"0",ROUND($D5,9-INT(LOG10(ABS($D5))))&amp;""),$D5&amp;""))),IF(("Tiene "&amp;IF(ISNUMBER($C5),IF($C5=0,"0",ROUND($C5,9-INT(LOG10(ABS($C5))))&amp;""),$C5&amp;"")&amp;" brigadas y otro horario tiene "&amp;IF(ISNUMBER($D5),IF($D5=0,"0",ROUND($D5,9-INT(LOG10(ABS($D5))))&amp;""),$D5&amp;""))=0,"0",ROUND(("Tiene "&amp;IF(ISNUMBER($C5),IF($C5=0,"0",ROUND($C5,9-INT(LOG10(ABS($C5))))&amp;""),$C5&amp;"")&amp;" brigadas y otro horario tiene "&amp;IF(ISNUMBER($D5),IF($D5=0,"0",ROUND($D5,9-INT(LOG10(ABS($D5))))&amp;""),$D5&amp;"")),9-INT(LOG10(ABS(("Tiene "&amp;IF(ISNUMBER($C5),IF($C5=0,"0",ROUND($C5,9-INT(LOG10(ABS($C5))))&amp;""),$C5&amp;"")&amp;" brigadas y otro horario tiene "&amp;IF(ISNUMBER($D5),IF($D5=0,"0",ROUND($D5,9-INT(LOG10(ABS($D5))))&amp;""),$D5&amp;""))))))&amp;""),("Tiene "&amp;IF(ISNUMBER($C5),IF($C5=0,"0",ROUND($C5,9-INT(LOG10(ABS($C5))))&amp;""),$C5&amp;"")&amp;" brigadas y otro horario tiene "&amp;IF(ISNUMBER($D5),IF($D5=0,"0",ROUND($D5,9-INT(LOG10(ABS($D5))))&amp;""),$D5&amp;""))&amp;""),""),3,32767)</f>
        <v/>
      </c>
      <c r="F5" s="3">
        <f>IF(OR((IFERROR(VALUE($C5&amp;""),0)&gt;IFERROR(VALUE((IFERROR(VALUE($D5&amp;""),0)+1)&amp;""),0))),2,0)</f>
        <v/>
      </c>
    </row>
    <row r="6">
      <c r="A6" s="3" t="inlineStr">
        <is>
          <t>par</t>
        </is>
      </c>
      <c r="B6" s="3" t="inlineStr">
        <is>
          <t>3 p.m.</t>
        </is>
      </c>
      <c r="C6" s="3">
        <f>SUMPRODUCT(1*(((('Reparto de brigadas'!$A$4:$A$31&lt;&gt;""))&gt;0))*((EXACT('Reparto de brigadas'!$G$4:$G$31,$A6)))*((EXACT('Reparto de brigadas'!$E$4:$E$31,$B6))))</f>
        <v/>
      </c>
      <c r="D6" s="3">
        <f>IF(SUMPRODUCT(1)=0,"",SUMPRODUCT(MIN(IFERROR(VALUE('Brigadas por horario'!$C$4:$C$9&amp;""),0)+(1-(1))*1E+300)))</f>
        <v/>
      </c>
      <c r="E6" s="3">
        <f>MID(IF((IFERROR(VALUE($C6&amp;""),0)&gt;IFERROR(VALUE((IFERROR(VALUE($D6&amp;""),0)+1)&amp;""),0)),"; "&amp;IF(ISNUMBER(("Tiene "&amp;IF(ISNUMBER($C6),IF($C6=0,"0",ROUND($C6,9-INT(LOG10(ABS($C6))))&amp;""),$C6&amp;"")&amp;" brigadas y otro horario tiene "&amp;IF(ISNUMBER($D6),IF($D6=0,"0",ROUND($D6,9-INT(LOG10(ABS($D6))))&amp;""),$D6&amp;""))),IF(("Tiene "&amp;IF(ISNUMBER($C6),IF($C6=0,"0",ROUND($C6,9-INT(LOG10(ABS($C6))))&amp;""),$C6&amp;"")&amp;" brigadas y otro horario tiene "&amp;IF(ISNUMBER($D6),IF($D6=0,"0",ROUND($D6,9-INT(LOG10(ABS($D6))))&amp;""),$D6&amp;""))=0,"0",ROUND(("Tiene "&amp;IF(ISNUMBER($C6),IF($C6=0,"0",ROUND($C6,9-INT(LOG10(ABS($C6))))&amp;""),$C6&amp;"")&amp;" brigadas y otro horario tiene "&amp;IF(ISNUMBER($D6),IF($D6=0,"0",ROUND($D6,9-INT(LOG10(ABS($D6))))&amp;""),$D6&amp;"")),9-INT(LOG10(ABS(("Tiene "&amp;IF(ISNUMBER($C6),IF($C6=0,"0",ROUND($C6,9-INT(LOG10(ABS($C6))))&amp;""),$C6&amp;"")&amp;" brigadas y otro horario tiene "&amp;IF(ISNUMBER($D6),IF($D6=0,"0",ROUND($D6,9-INT(LOG10(ABS($D6))))&amp;""),$D6&amp;""))))))&amp;""),("Tiene "&amp;IF(ISNUMBER($C6),IF($C6=0,"0",ROUND($C6,9-INT(LOG10(ABS($C6))))&amp;""),$C6&amp;"")&amp;" brigadas y otro horario tiene "&amp;IF(ISNUMBER($D6),IF($D6=0,"0",ROUND($D6,9-INT(LOG10(ABS($D6))))&amp;""),$D6&amp;""))&amp;""),""),3,32767)</f>
        <v/>
      </c>
      <c r="F6" s="3">
        <f>IF(OR((IFERROR(VALUE($C6&amp;""),0)&gt;IFERROR(VALUE((IFERROR(VALUE($D6&amp;""),0)+1)&amp;""),0))),2,0)</f>
        <v/>
      </c>
    </row>
    <row r="7">
      <c r="A7" s="3" t="inlineStr">
        <is>
          <t>impar</t>
        </is>
      </c>
      <c r="B7" s="3" t="inlineStr">
        <is>
          <t>10 a.m.</t>
        </is>
      </c>
      <c r="C7" s="3">
        <f>SUMPRODUCT(1*(((('Reparto de brigadas'!$A$4:$A$31&lt;&gt;""))&gt;0))*((EXACT('Reparto de brigadas'!$G$4:$G$31,$A7)))*((EXACT('Reparto de brigadas'!$E$4:$E$31,$B7))))</f>
        <v/>
      </c>
      <c r="D7" s="3">
        <f>IF(SUMPRODUCT(1)=0,"",SUMPRODUCT(MIN(IFERROR(VALUE('Brigadas por horario'!$C$4:$C$9&amp;""),0)+(1-(1))*1E+300)))</f>
        <v/>
      </c>
      <c r="E7" s="3">
        <f>MID(IF((IFERROR(VALUE($C7&amp;""),0)&gt;IFERROR(VALUE((IFERROR(VALUE($D7&amp;""),0)+1)&amp;""),0)),"; "&amp;IF(ISNUMBER(("Tiene "&amp;IF(ISNUMBER($C7),IF($C7=0,"0",ROUND($C7,9-INT(LOG10(ABS($C7))))&amp;""),$C7&amp;"")&amp;" brigadas y otro horario tiene "&amp;IF(ISNUMBER($D7),IF($D7=0,"0",ROUND($D7,9-INT(LOG10(ABS($D7))))&amp;""),$D7&amp;""))),IF(("Tiene "&amp;IF(ISNUMBER($C7),IF($C7=0,"0",ROUND($C7,9-INT(LOG10(ABS($C7))))&amp;""),$C7&amp;"")&amp;" brigadas y otro horario tiene "&amp;IF(ISNUMBER($D7),IF($D7=0,"0",ROUND($D7,9-INT(LOG10(ABS($D7))))&amp;""),$D7&amp;""))=0,"0",ROUND(("Tiene "&amp;IF(ISNUMBER($C7),IF($C7=0,"0",ROUND($C7,9-INT(LOG10(ABS($C7))))&amp;""),$C7&amp;"")&amp;" brigadas y otro horario tiene "&amp;IF(ISNUMBER($D7),IF($D7=0,"0",ROUND($D7,9-INT(LOG10(ABS($D7))))&amp;""),$D7&amp;"")),9-INT(LOG10(ABS(("Tiene "&amp;IF(ISNUMBER($C7),IF($C7=0,"0",ROUND($C7,9-INT(LOG10(ABS($C7))))&amp;""),$C7&amp;"")&amp;" brigadas y otro horario tiene "&amp;IF(ISNUMBER($D7),IF($D7=0,"0",ROUND($D7,9-INT(LOG10(ABS($D7))))&amp;""),$D7&amp;""))))))&amp;""),("Tiene "&amp;IF(ISNUMBER($C7),IF($C7=0,"0",ROUND($C7,9-INT(LOG10(ABS($C7))))&amp;""),$C7&amp;"")&amp;" brigadas y otro horario tiene "&amp;IF(ISNUMBER($D7),IF($D7=0,"0",ROUND($D7,9-INT(LOG10(ABS($D7))))&amp;""),$D7&amp;""))&amp;""),""),3,32767)</f>
        <v/>
      </c>
      <c r="F7" s="3">
        <f>IF(OR((IFERROR(VALUE($C7&amp;""),0)&gt;IFERROR(VALUE((IFERROR(VALUE($D7&amp;""),0)+1)&amp;""),0))),2,0)</f>
        <v/>
      </c>
    </row>
    <row r="8">
      <c r="A8" s="3" t="inlineStr">
        <is>
          <t>impar</t>
        </is>
      </c>
      <c r="B8" s="3" t="inlineStr">
        <is>
          <t>11 a.m.</t>
        </is>
      </c>
      <c r="C8" s="3">
        <f>SUMPRODUCT(1*(((('Reparto de brigadas'!$A$4:$A$31&lt;&gt;""))&gt;0))*((EXACT('Reparto de brigadas'!$G$4:$G$31,$A8)))*((EXACT('Reparto de brigadas'!$E$4:$E$31,$B8))))</f>
        <v/>
      </c>
      <c r="D8" s="3">
        <f>IF(SUMPRODUCT(1)=0,"",SUMPRODUCT(MIN(IFERROR(VALUE('Brigadas por horario'!$C$4:$C$9&amp;""),0)+(1-(1))*1E+300)))</f>
        <v/>
      </c>
      <c r="E8" s="3">
        <f>MID(IF((IFERROR(VALUE($C8&amp;""),0)&gt;IFERROR(VALUE((IFERROR(VALUE($D8&amp;""),0)+1)&amp;""),0)),"; "&amp;IF(ISNUMBER(("Tiene "&amp;IF(ISNUMBER($C8),IF($C8=0,"0",ROUND($C8,9-INT(LOG10(ABS($C8))))&amp;""),$C8&amp;"")&amp;" brigadas y otro horario tiene "&amp;IF(ISNUMBER($D8),IF($D8=0,"0",ROUND($D8,9-INT(LOG10(ABS($D8))))&amp;""),$D8&amp;""))),IF(("Tiene "&amp;IF(ISNUMBER($C8),IF($C8=0,"0",ROUND($C8,9-INT(LOG10(ABS($C8))))&amp;""),$C8&amp;"")&amp;" brigadas y otro horario tiene "&amp;IF(ISNUMBER($D8),IF($D8=0,"0",ROUND($D8,9-INT(LOG10(ABS($D8))))&amp;""),$D8&amp;""))=0,"0",ROUND(("Tiene "&amp;IF(ISNUMBER($C8),IF($C8=0,"0",ROUND($C8,9-INT(LOG10(ABS($C8))))&amp;""),$C8&amp;"")&amp;" brigadas y otro horario tiene "&amp;IF(ISNUMBER($D8),IF($D8=0,"0",ROUND($D8,9-INT(LOG10(ABS($D8))))&amp;""),$D8&amp;"")),9-INT(LOG10(ABS(("Tiene "&amp;IF(ISNUMBER($C8),IF($C8=0,"0",ROUND($C8,9-INT(LOG10(ABS($C8))))&amp;""),$C8&amp;"")&amp;" brigadas y otro horario tiene "&amp;IF(ISNUMBER($D8),IF($D8=0,"0",ROUND($D8,9-INT(LOG10(ABS($D8))))&amp;""),$D8&amp;""))))))&amp;""),("Tiene "&amp;IF(ISNUMBER($C8),IF($C8=0,"0",ROUND($C8,9-INT(LOG10(ABS($C8))))&amp;""),$C8&amp;"")&amp;" brigadas y otro horario tiene "&amp;IF(ISNUMBER($D8),IF($D8=0,"0",ROUND($D8,9-INT(LOG10(ABS($D8))))&amp;""),$D8&amp;""))&amp;""),""),3,32767)</f>
        <v/>
      </c>
      <c r="F8" s="3">
        <f>IF(OR((IFERROR(VALUE($C8&amp;""),0)&gt;IFERROR(VALUE((IFERROR(VALUE($D8&amp;""),0)+1)&amp;""),0))),2,0)</f>
        <v/>
      </c>
    </row>
    <row r="9">
      <c r="A9" s="3" t="inlineStr">
        <is>
          <t>impar</t>
        </is>
      </c>
      <c r="B9" s="3" t="inlineStr">
        <is>
          <t>3 p.m.</t>
        </is>
      </c>
      <c r="C9" s="3">
        <f>SUMPRODUCT(1*(((('Reparto de brigadas'!$A$4:$A$31&lt;&gt;""))&gt;0))*((EXACT('Reparto de brigadas'!$G$4:$G$31,$A9)))*((EXACT('Reparto de brigadas'!$E$4:$E$31,$B9))))</f>
        <v/>
      </c>
      <c r="D9" s="3">
        <f>IF(SUMPRODUCT(1)=0,"",SUMPRODUCT(MIN(IFERROR(VALUE('Brigadas por horario'!$C$4:$C$9&amp;""),0)+(1-(1))*1E+300)))</f>
        <v/>
      </c>
      <c r="E9" s="3">
        <f>MID(IF((IFERROR(VALUE($C9&amp;""),0)&gt;IFERROR(VALUE((IFERROR(VALUE($D9&amp;""),0)+1)&amp;""),0)),"; "&amp;IF(ISNUMBER(("Tiene "&amp;IF(ISNUMBER($C9),IF($C9=0,"0",ROUND($C9,9-INT(LOG10(ABS($C9))))&amp;""),$C9&amp;"")&amp;" brigadas y otro horario tiene "&amp;IF(ISNUMBER($D9),IF($D9=0,"0",ROUND($D9,9-INT(LOG10(ABS($D9))))&amp;""),$D9&amp;""))),IF(("Tiene "&amp;IF(ISNUMBER($C9),IF($C9=0,"0",ROUND($C9,9-INT(LOG10(ABS($C9))))&amp;""),$C9&amp;"")&amp;" brigadas y otro horario tiene "&amp;IF(ISNUMBER($D9),IF($D9=0,"0",ROUND($D9,9-INT(LOG10(ABS($D9))))&amp;""),$D9&amp;""))=0,"0",ROUND(("Tiene "&amp;IF(ISNUMBER($C9),IF($C9=0,"0",ROUND($C9,9-INT(LOG10(ABS($C9))))&amp;""),$C9&amp;"")&amp;" brigadas y otro horario tiene "&amp;IF(ISNUMBER($D9),IF($D9=0,"0",ROUND($D9,9-INT(LOG10(ABS($D9))))&amp;""),$D9&amp;"")),9-INT(LOG10(ABS(("Tiene "&amp;IF(ISNUMBER($C9),IF($C9=0,"0",ROUND($C9,9-INT(LOG10(ABS($C9))))&amp;""),$C9&amp;"")&amp;" brigadas y otro horario tiene "&amp;IF(ISNUMBER($D9),IF($D9=0,"0",ROUND($D9,9-INT(LOG10(ABS($D9))))&amp;""),$D9&amp;""))))))&amp;""),("Tiene "&amp;IF(ISNUMBER($C9),IF($C9=0,"0",ROUND($C9,9-INT(LOG10(ABS($C9))))&amp;""),$C9&amp;"")&amp;" brigadas y otro horario tiene "&amp;IF(ISNUMBER($D9),IF($D9=0,"0",ROUND($D9,9-INT(LOG10(ABS($D9))))&amp;""),$D9&amp;""))&amp;""),""),3,32767)</f>
        <v/>
      </c>
      <c r="F9" s="3">
        <f>IF(OR((IFERROR(VALUE($C9&amp;""),0)&gt;IFERROR(VALUE((IFERROR(VALUE($D9&amp;""),0)+1)&amp;""),0))),2,0)</f>
        <v/>
      </c>
    </row>
    <row r="11">
      <c r="A11" s="5" t="inlineStr">
        <is>
          <t>Leyenda</t>
        </is>
      </c>
    </row>
    <row r="12">
      <c r="A12" s="11" t="n"/>
      <c r="B12" t="inlineStr">
        <is>
          <t>horario desequilibrado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C4:C9">
    <cfRule type="expression" priority="1" dxfId="1" stopIfTrue="0">
      <formula>(IFERROR(VALUE($C4&amp;""),0)&gt;IFERROR(VALUE((IFERROR(VALUE($D4&amp;""),0)+1)&amp;""),0))</formula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Listas de los desplegables</t>
        </is>
      </c>
    </row>
    <row r="3">
      <c r="A3" s="3" t="n"/>
    </row>
    <row r="4">
      <c r="A4" s="3" t="inlineStr">
        <is>
          <t>CC-1</t>
        </is>
      </c>
      <c r="B4" t="inlineStr">
        <is>
          <t>10 a.m.</t>
        </is>
      </c>
      <c r="C4" t="inlineStr">
        <is>
          <t>Pista 1</t>
        </is>
      </c>
      <c r="D4" t="inlineStr">
        <is>
          <t>par</t>
        </is>
      </c>
    </row>
    <row r="5">
      <c r="A5" s="3" t="inlineStr">
        <is>
          <t>CC-2</t>
        </is>
      </c>
      <c r="B5" t="inlineStr">
        <is>
          <t>11 a.m.</t>
        </is>
      </c>
      <c r="C5" t="inlineStr">
        <is>
          <t>Pista 2</t>
        </is>
      </c>
      <c r="D5" t="inlineStr">
        <is>
          <t>impar</t>
        </is>
      </c>
    </row>
    <row r="6">
      <c r="A6" s="3" t="inlineStr">
        <is>
          <t>MAT-1</t>
        </is>
      </c>
      <c r="B6" t="inlineStr">
        <is>
          <t>3 p.m.</t>
        </is>
      </c>
      <c r="C6" t="inlineStr">
        <is>
          <t>Gimnasio</t>
        </is>
      </c>
    </row>
    <row r="7">
      <c r="A7" s="3" t="inlineStr">
        <is>
          <t>MAT-2</t>
        </is>
      </c>
      <c r="C7" t="inlineStr">
        <is>
          <t>Piscina</t>
        </is>
      </c>
    </row>
    <row r="8">
      <c r="A8" s="3" t="inlineStr">
        <is>
          <t>FIS-1</t>
        </is>
      </c>
    </row>
    <row r="9">
      <c r="A9" s="3" t="inlineStr">
        <is>
          <t>FIS-2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2026-10-21T04:05:47Z</dcterms:created>
  <dcterms:modified xmlns:dcterms="http://purl.org/dc/terms/" xmlns:xsi="http://www.w3.org/2001/XMLSchema-instance" xsi:type="dcterms:W3CDTF">2026-10-21T04:05:47Z</dcterms:modified>
</cp:coreProperties>
</file>