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rario semanal" sheetId="1" state="visible" r:id="rId1"/>
    <sheet xmlns:r="http://schemas.openxmlformats.org/officeDocument/2006/relationships" name="Casilla por casilla" sheetId="2" state="visible" r:id="rId2"/>
    <sheet xmlns:r="http://schemas.openxmlformats.org/officeDocument/2006/relationships" name="Plan de la carrera" sheetId="3" state="visible" r:id="rId3"/>
    <sheet xmlns:r="http://schemas.openxmlformats.org/officeDocument/2006/relationships" name="Aulas" sheetId="4" state="visible" r:id="rId4"/>
    <sheet xmlns:r="http://schemas.openxmlformats.org/officeDocument/2006/relationships" name="Listas" sheetId="5" state="hidden" r:id="rId5"/>
  </sheets>
  <definedNames>
    <definedName name="Casillas">'Casilla por casilla'!$A$4:$G$12</definedName>
    <definedName name="Asignaturas">'Plan de la carrera'!$A$4:$C$7</definedName>
    <definedName name="Aulas">'Aulas'!$A$4:$A$6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D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8" customWidth="1" min="3" max="3"/>
    <col width="11" customWidth="1" min="4" max="4"/>
  </cols>
  <sheetData>
    <row r="1">
      <c r="A1" s="1" t="inlineStr">
        <is>
          <t>Horario semanal</t>
        </is>
      </c>
    </row>
    <row r="3">
      <c r="A3" s="2" t="inlineStr">
        <is>
          <t>Turno</t>
        </is>
      </c>
      <c r="B3" s="2" t="inlineStr">
        <is>
          <t>lunes</t>
        </is>
      </c>
      <c r="C3" s="2" t="inlineStr">
        <is>
          <t>martes</t>
        </is>
      </c>
      <c r="D3" s="2" t="inlineStr">
        <is>
          <t>miercoles</t>
        </is>
      </c>
    </row>
    <row r="4">
      <c r="A4" s="3" t="inlineStr">
        <is>
          <t>T1</t>
        </is>
      </c>
      <c r="B4" s="4" t="inlineStr">
        <is>
          <t>AL</t>
        </is>
      </c>
      <c r="C4" s="4" t="inlineStr">
        <is>
          <t>AL</t>
        </is>
      </c>
      <c r="D4" s="4" t="inlineStr">
        <is>
          <t>AL</t>
        </is>
      </c>
    </row>
    <row r="5">
      <c r="A5" s="3" t="inlineStr">
        <is>
          <t>T2</t>
        </is>
      </c>
      <c r="B5" s="4" t="inlineStr">
        <is>
          <t>L</t>
        </is>
      </c>
      <c r="C5" s="4" t="inlineStr">
        <is>
          <t>IP</t>
        </is>
      </c>
      <c r="D5" s="4" t="inlineStr">
        <is>
          <t>AL</t>
        </is>
      </c>
    </row>
    <row r="6">
      <c r="A6" s="3" t="inlineStr">
        <is>
          <t>T3</t>
        </is>
      </c>
      <c r="B6" s="4" t="n"/>
      <c r="C6" s="4" t="inlineStr">
        <is>
          <t>AM</t>
        </is>
      </c>
      <c r="D6" s="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D6">
    <cfRule type="expression" priority="1" dxfId="0" stopIfTrue="0">
      <formula>IFERROR(INDEX('Casilla por casilla'!$I$4:$I$12,MATCH(1,INDEX(EXACT('Casilla por casilla'!$J$4:$J$12,$A4&amp;CHAR(31)&amp;B$3)*1,0),0)),0)=3</formula>
    </cfRule>
    <cfRule type="expression" priority="2" dxfId="1" stopIfTrue="0">
      <formula>IFERROR(INDEX('Casilla por casilla'!$I$4:$I$12,MATCH(1,INDEX(EXACT('Casilla por casilla'!$J$4:$J$12,$A4&amp;CHAR(31)&amp;B$3)*1,0),0)),0)=2</formula>
    </cfRule>
    <cfRule type="expression" priority="3" dxfId="2" stopIfTrue="0">
      <formula>IFERROR(INDEX('Casilla por casilla'!$I$4:$I$12,MATCH(1,INDEX(EXACT('Casilla por casilla'!$J$4:$J$12,$A4&amp;CHAR(31)&amp;B$3)*1,0),0)),0)=1</formula>
    </cfRule>
  </conditionalFormatting>
  <dataValidations count="1">
    <dataValidation sqref="B4:D6" showDropDown="0" showInputMessage="0" showErrorMessage="1" allowBlank="1" errorTitle="Valor fuera del dominio" error="Ese valor no esta en la lista." type="list" errorStyle="information">
      <formula1>'Listas'!$A$4:$A$7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8" customWidth="1" min="4" max="4"/>
    <col width="25" customWidth="1" min="5" max="5"/>
    <col width="9" customWidth="1" min="6" max="6"/>
    <col width="8" customWidth="1" min="7" max="7"/>
    <col width="19" customWidth="1" min="8" max="8"/>
    <col hidden="1" width="24" customWidth="1" min="9" max="9"/>
    <col hidden="1" width="20" customWidth="1" min="10" max="10"/>
  </cols>
  <sheetData>
    <row r="1">
      <c r="A1" s="1" t="inlineStr">
        <is>
          <t>Casilla por casilla</t>
        </is>
      </c>
    </row>
    <row r="3">
      <c r="A3" s="2" t="inlineStr">
        <is>
          <t>Dia</t>
        </is>
      </c>
      <c r="B3" s="2" t="inlineStr">
        <is>
          <t>Turno</t>
        </is>
      </c>
      <c r="C3" s="2" t="inlineStr">
        <is>
          <t>Asignatura</t>
        </is>
      </c>
      <c r="D3" s="2" t="inlineStr">
        <is>
          <t>Aula</t>
        </is>
      </c>
      <c r="E3" s="2" t="inlineStr">
        <is>
          <t>Nombre</t>
        </is>
      </c>
      <c r="F3" s="2" t="inlineStr">
        <is>
          <t>Puestos</t>
        </is>
      </c>
      <c r="G3" s="2" t="inlineStr">
        <is>
          <t>Faltan</t>
        </is>
      </c>
      <c r="H3" s="2" t="inlineStr">
        <is>
          <t>Estado</t>
        </is>
      </c>
      <c r="I3" s="2" t="inlineStr">
        <is>
          <t>(nivel de las marcas)</t>
        </is>
      </c>
      <c r="J3" s="2" t="inlineStr">
        <is>
          <t>(clave turno|dia)</t>
        </is>
      </c>
    </row>
    <row r="4">
      <c r="A4" s="3" t="inlineStr">
        <is>
          <t>lunes</t>
        </is>
      </c>
      <c r="B4" s="3" t="inlineStr">
        <is>
          <t>T1</t>
        </is>
      </c>
      <c r="C4" s="3">
        <f>IF(ISBLANK('Horario semanal'!B4),"",'Horario semanal'!B4)</f>
        <v/>
      </c>
      <c r="D4" s="4" t="inlineStr">
        <is>
          <t>Aula 8</t>
        </is>
      </c>
      <c r="E4" s="3">
        <f>IF(ISNA(MATCH(1,INDEX(EXACT('Plan de la carrera'!$A$4:$A$7,$C4)*1,0),0)),"",IF(ISBLANK(INDEX('Plan de la carrera'!$B$4:$B$7,MATCH(1,INDEX(EXACT('Plan de la carrera'!$A$4:$A$7,$C4)*1,0),0))),"",INDEX('Plan de la carrera'!$B$4:$B$7,MATCH(1,INDEX(EXACT('Plan de la carrera'!$A$4:$A$7,$C4)*1,0),0))))</f>
        <v/>
      </c>
      <c r="F4" s="3">
        <f>SUMPRODUCT(1*((EXACT('Casilla por casilla'!$C$4:$C$12,$C4))))</f>
        <v/>
      </c>
      <c r="G4" s="3">
        <f>(IFERROR(VALUE(IF(ISNA(MATCH(1,INDEX(EXACT('Plan de la carrera'!$A$4:$A$7,$C4)*1,0),0)),0,IF(ISBLANK(INDEX('Plan de la carrera'!$C$4:$C$7,MATCH(1,INDEX(EXACT('Plan de la carrera'!$A$4:$A$7,$C4)*1,0),0))),"",INDEX('Plan de la carrera'!$C$4:$C$7,MATCH(1,INDEX(EXACT('Plan de la carrera'!$A$4:$A$7,$C4)*1,0),0))))&amp;""),0)-IFERROR(VALUE($F4&amp;""),0))</f>
        <v/>
      </c>
      <c r="H4" s="3">
        <f>MID(IF(AND(NOT(($D4="")),(SUMPRODUCT(1*((EXACT('Casilla por casilla'!$A$4:$A$12,$A4)))*((EXACT('Casilla por casilla'!$B$4:$B$12,$B4)))*((EXACT('Casilla por casilla'!$D$4:$D$12,$D4)))*((ROW('Casilla por casilla'!$A$4:$A$12)&lt;&gt;ROW($A4))))&gt;0)),"; "&amp;"Ese local esta ocupado por otro grupo a esa hora","")&amp;IF(AND(NOT(($C4="")),(IFERROR(VALUE($G4&amp;""),0)&lt;0)),"; "&amp;IF(ISNUMBER((IF(ISNUMBER(IF(IFERROR(VALUE((0-IFERROR(VALUE($G4&amp;""),0))&amp;""),0)=1,"Sobra","Sobran")),IF(IF(IFERROR(VALUE((0-IFERROR(VALUE($G4&amp;""),0))&amp;""),0)=1,"Sobra","Sobran")=0,"0",ROUND(IF(IFERROR(VALUE((0-IFERROR(VALUE($G4&amp;""),0))&amp;""),0)=1,"Sobra","Sobran"),9-INT(LOG10(ABS(IF(IFERROR(VALUE((0-IFERROR(VALUE($G4&amp;""),0))&amp;""),0)=1,"Sobra","Sobran")))))&amp;""),IF(IFERROR(VALUE((0-IFERROR(VALUE($G4&amp;""),0))&amp;""),0)=1,"Sobra","Sobran")&amp;"")&amp;" "&amp;IF(ISNUMBER((0-IFERROR(VALUE($G4&amp;""),0))),IF((0-IFERROR(VALUE($G4&amp;""),0))=0,"0",ROUND((0-IFERROR(VALUE($G4&amp;""),0)),9-INT(LOG10(ABS((0-IFERROR(VALUE($G4&amp;""),0))))))&amp;""),(0-IFERROR(VALUE($G4&amp;""),0))&amp;"")&amp;" "&amp;IF(ISNUMBER(IF(IFERROR(VALUE((0-IFERROR(VALUE($G4&amp;""),0))&amp;""),0)=1,"turno","turnos")),IF(IF(IFERROR(VALUE((0-IFERROR(VALUE($G4&amp;""),0))&amp;""),0)=1,"turno","turnos")=0,"0",ROUND(IF(IFERROR(VALUE((0-IFERROR(VALUE($G4&amp;""),0))&amp;""),0)=1,"turno","turnos"),9-INT(LOG10(ABS(IF(IFERROR(VALUE((0-IFERROR(VALUE($G4&amp;""),0))&amp;""),0)=1,"turno","turnos")))))&amp;""),IF(IFERROR(VALUE((0-IFERROR(VALUE($G4&amp;""),0))&amp;""),0)=1,"turno","turnos")&amp;""))),IF((IF(ISNUMBER(IF(IFERROR(VALUE((0-IFERROR(VALUE($G4&amp;""),0))&amp;""),0)=1,"Sobra","Sobran")),IF(IF(IFERROR(VALUE((0-IFERROR(VALUE($G4&amp;""),0))&amp;""),0)=1,"Sobra","Sobran")=0,"0",ROUND(IF(IFERROR(VALUE((0-IFERROR(VALUE($G4&amp;""),0))&amp;""),0)=1,"Sobra","Sobran"),9-INT(LOG10(ABS(IF(IFERROR(VALUE((0-IFERROR(VALUE($G4&amp;""),0))&amp;""),0)=1,"Sobra","Sobran")))))&amp;""),IF(IFERROR(VALUE((0-IFERROR(VALUE($G4&amp;""),0))&amp;""),0)=1,"Sobra","Sobran")&amp;"")&amp;" "&amp;IF(ISNUMBER((0-IFERROR(VALUE($G4&amp;""),0))),IF((0-IFERROR(VALUE($G4&amp;""),0))=0,"0",ROUND((0-IFERROR(VALUE($G4&amp;""),0)),9-INT(LOG10(ABS((0-IFERROR(VALUE($G4&amp;""),0))))))&amp;""),(0-IFERROR(VALUE($G4&amp;""),0))&amp;"")&amp;" "&amp;IF(ISNUMBER(IF(IFERROR(VALUE((0-IFERROR(VALUE($G4&amp;""),0))&amp;""),0)=1,"turno","turnos")),IF(IF(IFERROR(VALUE((0-IFERROR(VALUE($G4&amp;""),0))&amp;""),0)=1,"turno","turnos")=0,"0",ROUND(IF(IFERROR(VALUE((0-IFERROR(VALUE($G4&amp;""),0))&amp;""),0)=1,"turno","turnos"),9-INT(LOG10(ABS(IF(IFERROR(VALUE((0-IFERROR(VALUE($G4&amp;""),0))&amp;""),0)=1,"turno","turnos")))))&amp;""),IF(IFERROR(VALUE((0-IFERROR(VALUE($G4&amp;""),0))&amp;""),0)=1,"turno","turnos")&amp;""))=0,"0",ROUND((IF(ISNUMBER(IF(IFERROR(VALUE((0-IFERROR(VALUE($G4&amp;""),0))&amp;""),0)=1,"Sobra","Sobran")),IF(IF(IFERROR(VALUE((0-IFERROR(VALUE($G4&amp;""),0))&amp;""),0)=1,"Sobra","Sobran")=0,"0",ROUND(IF(IFERROR(VALUE((0-IFERROR(VALUE($G4&amp;""),0))&amp;""),0)=1,"Sobra","Sobran"),9-INT(LOG10(ABS(IF(IFERROR(VALUE((0-IFERROR(VALUE($G4&amp;""),0))&amp;""),0)=1,"Sobra","Sobran")))))&amp;""),IF(IFERROR(VALUE((0-IFERROR(VALUE($G4&amp;""),0))&amp;""),0)=1,"Sobra","Sobran")&amp;"")&amp;" "&amp;IF(ISNUMBER((0-IFERROR(VALUE($G4&amp;""),0))),IF((0-IFERROR(VALUE($G4&amp;""),0))=0,"0",ROUND((0-IFERROR(VALUE($G4&amp;""),0)),9-INT(LOG10(ABS((0-IFERROR(VALUE($G4&amp;""),0))))))&amp;""),(0-IFERROR(VALUE($G4&amp;""),0))&amp;"")&amp;" "&amp;IF(ISNUMBER(IF(IFERROR(VALUE((0-IFERROR(VALUE($G4&amp;""),0))&amp;""),0)=1,"turno","turnos")),IF(IF(IFERROR(VALUE((0-IFERROR(VALUE($G4&amp;""),0))&amp;""),0)=1,"turno","turnos")=0,"0",ROUND(IF(IFERROR(VALUE((0-IFERROR(VALUE($G4&amp;""),0))&amp;""),0)=1,"turno","turnos"),9-INT(LOG10(ABS(IF(IFERROR(VALUE((0-IFERROR(VALUE($G4&amp;""),0))&amp;""),0)=1,"turno","turnos")))))&amp;""),IF(IFERROR(VALUE((0-IFERROR(VALUE($G4&amp;""),0))&amp;""),0)=1,"turno","turnos")&amp;"")),9-INT(LOG10(ABS((IF(ISNUMBER(IF(IFERROR(VALUE((0-IFERROR(VALUE($G4&amp;""),0))&amp;""),0)=1,"Sobra","Sobran")),IF(IF(IFERROR(VALUE((0-IFERROR(VALUE($G4&amp;""),0))&amp;""),0)=1,"Sobra","Sobran")=0,"0",ROUND(IF(IFERROR(VALUE((0-IFERROR(VALUE($G4&amp;""),0))&amp;""),0)=1,"Sobra","Sobran"),9-INT(LOG10(ABS(IF(IFERROR(VALUE((0-IFERROR(VALUE($G4&amp;""),0))&amp;""),0)=1,"Sobra","Sobran")))))&amp;""),IF(IFERROR(VALUE((0-IFERROR(VALUE($G4&amp;""),0))&amp;""),0)=1,"Sobra","Sobran")&amp;"")&amp;" "&amp;IF(ISNUMBER((0-IFERROR(VALUE($G4&amp;""),0))),IF((0-IFERROR(VALUE($G4&amp;""),0))=0,"0",ROUND((0-IFERROR(VALUE($G4&amp;""),0)),9-INT(LOG10(ABS((0-IFERROR(VALUE($G4&amp;""),0))))))&amp;""),(0-IFERROR(VALUE($G4&amp;""),0))&amp;"")&amp;" "&amp;IF(ISNUMBER(IF(IFERROR(VALUE((0-IFERROR(VALUE($G4&amp;""),0))&amp;""),0)=1,"turno","turnos")),IF(IF(IFERROR(VALUE((0-IFERROR(VALUE($G4&amp;""),0))&amp;""),0)=1,"turno","turnos")=0,"0",ROUND(IF(IFERROR(VALUE((0-IFERROR(VALUE($G4&amp;""),0))&amp;""),0)=1,"turno","turnos"),9-INT(LOG10(ABS(IF(IFERROR(VALUE((0-IFERROR(VALUE($G4&amp;""),0))&amp;""),0)=1,"turno","turnos")))))&amp;""),IF(IFERROR(VALUE((0-IFERROR(VALUE($G4&amp;""),0))&amp;""),0)=1,"turno","turnos")&amp;""))))))&amp;""),(IF(ISNUMBER(IF(IFERROR(VALUE((0-IFERROR(VALUE($G4&amp;""),0))&amp;""),0)=1,"Sobra","Sobran")),IF(IF(IFERROR(VALUE((0-IFERROR(VALUE($G4&amp;""),0))&amp;""),0)=1,"Sobra","Sobran")=0,"0",ROUND(IF(IFERROR(VALUE((0-IFERROR(VALUE($G4&amp;""),0))&amp;""),0)=1,"Sobra","Sobran"),9-INT(LOG10(ABS(IF(IFERROR(VALUE((0-IFERROR(VALUE($G4&amp;""),0))&amp;""),0)=1,"Sobra","Sobran")))))&amp;""),IF(IFERROR(VALUE((0-IFERROR(VALUE($G4&amp;""),0))&amp;""),0)=1,"Sobra","Sobran")&amp;"")&amp;" "&amp;IF(ISNUMBER((0-IFERROR(VALUE($G4&amp;""),0))),IF((0-IFERROR(VALUE($G4&amp;""),0))=0,"0",ROUND((0-IFERROR(VALUE($G4&amp;""),0)),9-INT(LOG10(ABS((0-IFERROR(VALUE($G4&amp;""),0))))))&amp;""),(0-IFERROR(VALUE($G4&amp;""),0))&amp;"")&amp;" "&amp;IF(ISNUMBER(IF(IFERROR(VALUE((0-IFERROR(VALUE($G4&amp;""),0))&amp;""),0)=1,"turno","turnos")),IF(IF(IFERROR(VALUE((0-IFERROR(VALUE($G4&amp;""),0))&amp;""),0)=1,"turno","turnos")=0,"0",ROUND(IF(IFERROR(VALUE((0-IFERROR(VALUE($G4&amp;""),0))&amp;""),0)=1,"turno","turnos"),9-INT(LOG10(ABS(IF(IFERROR(VALUE((0-IFERROR(VALUE($G4&amp;""),0))&amp;""),0)=1,"turno","turnos")))))&amp;""),IF(IFERROR(VALUE((0-IFERROR(VALUE($G4&amp;""),0))&amp;""),0)=1,"turno","turnos")&amp;""))&amp;""),"")&amp;IF(($C4=""),"; "&amp;"Turno sin asignar",""),3,32767)</f>
        <v/>
      </c>
      <c r="I4" s="3">
        <f>IF(OR(AND(NOT(($D4="")),(SUMPRODUCT(1*((EXACT('Casilla por casilla'!$A$4:$A$12,$A4)))*((EXACT('Casilla por casilla'!$B$4:$B$12,$B4)))*((EXACT('Casilla por casilla'!$D$4:$D$12,$D4)))*((ROW('Casilla por casilla'!$A$4:$A$12)&lt;&gt;ROW($A4))))&gt;0))),3,IF(OR(AND(NOT(($C4="")),(IFERROR(VALUE($G4&amp;""),0)&lt;0))),2,IF(OR(($C4="")),1,0)))</f>
        <v/>
      </c>
      <c r="J4" s="3">
        <f>$B4&amp;CHAR(31)&amp;$A4</f>
        <v/>
      </c>
    </row>
    <row r="5">
      <c r="A5" s="3" t="inlineStr">
        <is>
          <t>martes</t>
        </is>
      </c>
      <c r="B5" s="3" t="inlineStr">
        <is>
          <t>T1</t>
        </is>
      </c>
      <c r="C5" s="3">
        <f>IF(ISBLANK('Horario semanal'!C4),"",'Horario semanal'!C4)</f>
        <v/>
      </c>
      <c r="D5" s="4" t="inlineStr">
        <is>
          <t>Aula 8</t>
        </is>
      </c>
      <c r="E5" s="3">
        <f>IF(ISNA(MATCH(1,INDEX(EXACT('Plan de la carrera'!$A$4:$A$7,$C5)*1,0),0)),"",IF(ISBLANK(INDEX('Plan de la carrera'!$B$4:$B$7,MATCH(1,INDEX(EXACT('Plan de la carrera'!$A$4:$A$7,$C5)*1,0),0))),"",INDEX('Plan de la carrera'!$B$4:$B$7,MATCH(1,INDEX(EXACT('Plan de la carrera'!$A$4:$A$7,$C5)*1,0),0))))</f>
        <v/>
      </c>
      <c r="F5" s="3">
        <f>SUMPRODUCT(1*((EXACT('Casilla por casilla'!$C$4:$C$12,$C5))))</f>
        <v/>
      </c>
      <c r="G5" s="3">
        <f>(IFERROR(VALUE(IF(ISNA(MATCH(1,INDEX(EXACT('Plan de la carrera'!$A$4:$A$7,$C5)*1,0),0)),0,IF(ISBLANK(INDEX('Plan de la carrera'!$C$4:$C$7,MATCH(1,INDEX(EXACT('Plan de la carrera'!$A$4:$A$7,$C5)*1,0),0))),"",INDEX('Plan de la carrera'!$C$4:$C$7,MATCH(1,INDEX(EXACT('Plan de la carrera'!$A$4:$A$7,$C5)*1,0),0))))&amp;""),0)-IFERROR(VALUE($F5&amp;""),0))</f>
        <v/>
      </c>
      <c r="H5" s="3">
        <f>MID(IF(AND(NOT(($D5="")),(SUMPRODUCT(1*((EXACT('Casilla por casilla'!$A$4:$A$12,$A5)))*((EXACT('Casilla por casilla'!$B$4:$B$12,$B5)))*((EXACT('Casilla por casilla'!$D$4:$D$12,$D5)))*((ROW('Casilla por casilla'!$A$4:$A$12)&lt;&gt;ROW($A5))))&gt;0)),"; "&amp;"Ese local esta ocupado por otro grupo a esa hora","")&amp;IF(AND(NOT(($C5="")),(IFERROR(VALUE($G5&amp;""),0)&lt;0)),"; "&amp;IF(ISNUMBER((IF(ISNUMBER(IF(IFERROR(VALUE((0-IFERROR(VALUE($G5&amp;""),0))&amp;""),0)=1,"Sobra","Sobran")),IF(IF(IFERROR(VALUE((0-IFERROR(VALUE($G5&amp;""),0))&amp;""),0)=1,"Sobra","Sobran")=0,"0",ROUND(IF(IFERROR(VALUE((0-IFERROR(VALUE($G5&amp;""),0))&amp;""),0)=1,"Sobra","Sobran"),9-INT(LOG10(ABS(IF(IFERROR(VALUE((0-IFERROR(VALUE($G5&amp;""),0))&amp;""),0)=1,"Sobra","Sobran")))))&amp;""),IF(IFERROR(VALUE((0-IFERROR(VALUE($G5&amp;""),0))&amp;""),0)=1,"Sobra","Sobran")&amp;"")&amp;" "&amp;IF(ISNUMBER((0-IFERROR(VALUE($G5&amp;""),0))),IF((0-IFERROR(VALUE($G5&amp;""),0))=0,"0",ROUND((0-IFERROR(VALUE($G5&amp;""),0)),9-INT(LOG10(ABS((0-IFERROR(VALUE($G5&amp;""),0))))))&amp;""),(0-IFERROR(VALUE($G5&amp;""),0))&amp;"")&amp;" "&amp;IF(ISNUMBER(IF(IFERROR(VALUE((0-IFERROR(VALUE($G5&amp;""),0))&amp;""),0)=1,"turno","turnos")),IF(IF(IFERROR(VALUE((0-IFERROR(VALUE($G5&amp;""),0))&amp;""),0)=1,"turno","turnos")=0,"0",ROUND(IF(IFERROR(VALUE((0-IFERROR(VALUE($G5&amp;""),0))&amp;""),0)=1,"turno","turnos"),9-INT(LOG10(ABS(IF(IFERROR(VALUE((0-IFERROR(VALUE($G5&amp;""),0))&amp;""),0)=1,"turno","turnos")))))&amp;""),IF(IFERROR(VALUE((0-IFERROR(VALUE($G5&amp;""),0))&amp;""),0)=1,"turno","turnos")&amp;""))),IF((IF(ISNUMBER(IF(IFERROR(VALUE((0-IFERROR(VALUE($G5&amp;""),0))&amp;""),0)=1,"Sobra","Sobran")),IF(IF(IFERROR(VALUE((0-IFERROR(VALUE($G5&amp;""),0))&amp;""),0)=1,"Sobra","Sobran")=0,"0",ROUND(IF(IFERROR(VALUE((0-IFERROR(VALUE($G5&amp;""),0))&amp;""),0)=1,"Sobra","Sobran"),9-INT(LOG10(ABS(IF(IFERROR(VALUE((0-IFERROR(VALUE($G5&amp;""),0))&amp;""),0)=1,"Sobra","Sobran")))))&amp;""),IF(IFERROR(VALUE((0-IFERROR(VALUE($G5&amp;""),0))&amp;""),0)=1,"Sobra","Sobran")&amp;"")&amp;" "&amp;IF(ISNUMBER((0-IFERROR(VALUE($G5&amp;""),0))),IF((0-IFERROR(VALUE($G5&amp;""),0))=0,"0",ROUND((0-IFERROR(VALUE($G5&amp;""),0)),9-INT(LOG10(ABS((0-IFERROR(VALUE($G5&amp;""),0))))))&amp;""),(0-IFERROR(VALUE($G5&amp;""),0))&amp;"")&amp;" "&amp;IF(ISNUMBER(IF(IFERROR(VALUE((0-IFERROR(VALUE($G5&amp;""),0))&amp;""),0)=1,"turno","turnos")),IF(IF(IFERROR(VALUE((0-IFERROR(VALUE($G5&amp;""),0))&amp;""),0)=1,"turno","turnos")=0,"0",ROUND(IF(IFERROR(VALUE((0-IFERROR(VALUE($G5&amp;""),0))&amp;""),0)=1,"turno","turnos"),9-INT(LOG10(ABS(IF(IFERROR(VALUE((0-IFERROR(VALUE($G5&amp;""),0))&amp;""),0)=1,"turno","turnos")))))&amp;""),IF(IFERROR(VALUE((0-IFERROR(VALUE($G5&amp;""),0))&amp;""),0)=1,"turno","turnos")&amp;""))=0,"0",ROUND((IF(ISNUMBER(IF(IFERROR(VALUE((0-IFERROR(VALUE($G5&amp;""),0))&amp;""),0)=1,"Sobra","Sobran")),IF(IF(IFERROR(VALUE((0-IFERROR(VALUE($G5&amp;""),0))&amp;""),0)=1,"Sobra","Sobran")=0,"0",ROUND(IF(IFERROR(VALUE((0-IFERROR(VALUE($G5&amp;""),0))&amp;""),0)=1,"Sobra","Sobran"),9-INT(LOG10(ABS(IF(IFERROR(VALUE((0-IFERROR(VALUE($G5&amp;""),0))&amp;""),0)=1,"Sobra","Sobran")))))&amp;""),IF(IFERROR(VALUE((0-IFERROR(VALUE($G5&amp;""),0))&amp;""),0)=1,"Sobra","Sobran")&amp;"")&amp;" "&amp;IF(ISNUMBER((0-IFERROR(VALUE($G5&amp;""),0))),IF((0-IFERROR(VALUE($G5&amp;""),0))=0,"0",ROUND((0-IFERROR(VALUE($G5&amp;""),0)),9-INT(LOG10(ABS((0-IFERROR(VALUE($G5&amp;""),0))))))&amp;""),(0-IFERROR(VALUE($G5&amp;""),0))&amp;"")&amp;" "&amp;IF(ISNUMBER(IF(IFERROR(VALUE((0-IFERROR(VALUE($G5&amp;""),0))&amp;""),0)=1,"turno","turnos")),IF(IF(IFERROR(VALUE((0-IFERROR(VALUE($G5&amp;""),0))&amp;""),0)=1,"turno","turnos")=0,"0",ROUND(IF(IFERROR(VALUE((0-IFERROR(VALUE($G5&amp;""),0))&amp;""),0)=1,"turno","turnos"),9-INT(LOG10(ABS(IF(IFERROR(VALUE((0-IFERROR(VALUE($G5&amp;""),0))&amp;""),0)=1,"turno","turnos")))))&amp;""),IF(IFERROR(VALUE((0-IFERROR(VALUE($G5&amp;""),0))&amp;""),0)=1,"turno","turnos")&amp;"")),9-INT(LOG10(ABS((IF(ISNUMBER(IF(IFERROR(VALUE((0-IFERROR(VALUE($G5&amp;""),0))&amp;""),0)=1,"Sobra","Sobran")),IF(IF(IFERROR(VALUE((0-IFERROR(VALUE($G5&amp;""),0))&amp;""),0)=1,"Sobra","Sobran")=0,"0",ROUND(IF(IFERROR(VALUE((0-IFERROR(VALUE($G5&amp;""),0))&amp;""),0)=1,"Sobra","Sobran"),9-INT(LOG10(ABS(IF(IFERROR(VALUE((0-IFERROR(VALUE($G5&amp;""),0))&amp;""),0)=1,"Sobra","Sobran")))))&amp;""),IF(IFERROR(VALUE((0-IFERROR(VALUE($G5&amp;""),0))&amp;""),0)=1,"Sobra","Sobran")&amp;"")&amp;" "&amp;IF(ISNUMBER((0-IFERROR(VALUE($G5&amp;""),0))),IF((0-IFERROR(VALUE($G5&amp;""),0))=0,"0",ROUND((0-IFERROR(VALUE($G5&amp;""),0)),9-INT(LOG10(ABS((0-IFERROR(VALUE($G5&amp;""),0))))))&amp;""),(0-IFERROR(VALUE($G5&amp;""),0))&amp;"")&amp;" "&amp;IF(ISNUMBER(IF(IFERROR(VALUE((0-IFERROR(VALUE($G5&amp;""),0))&amp;""),0)=1,"turno","turnos")),IF(IF(IFERROR(VALUE((0-IFERROR(VALUE($G5&amp;""),0))&amp;""),0)=1,"turno","turnos")=0,"0",ROUND(IF(IFERROR(VALUE((0-IFERROR(VALUE($G5&amp;""),0))&amp;""),0)=1,"turno","turnos"),9-INT(LOG10(ABS(IF(IFERROR(VALUE((0-IFERROR(VALUE($G5&amp;""),0))&amp;""),0)=1,"turno","turnos")))))&amp;""),IF(IFERROR(VALUE((0-IFERROR(VALUE($G5&amp;""),0))&amp;""),0)=1,"turno","turnos")&amp;""))))))&amp;""),(IF(ISNUMBER(IF(IFERROR(VALUE((0-IFERROR(VALUE($G5&amp;""),0))&amp;""),0)=1,"Sobra","Sobran")),IF(IF(IFERROR(VALUE((0-IFERROR(VALUE($G5&amp;""),0))&amp;""),0)=1,"Sobra","Sobran")=0,"0",ROUND(IF(IFERROR(VALUE((0-IFERROR(VALUE($G5&amp;""),0))&amp;""),0)=1,"Sobra","Sobran"),9-INT(LOG10(ABS(IF(IFERROR(VALUE((0-IFERROR(VALUE($G5&amp;""),0))&amp;""),0)=1,"Sobra","Sobran")))))&amp;""),IF(IFERROR(VALUE((0-IFERROR(VALUE($G5&amp;""),0))&amp;""),0)=1,"Sobra","Sobran")&amp;"")&amp;" "&amp;IF(ISNUMBER((0-IFERROR(VALUE($G5&amp;""),0))),IF((0-IFERROR(VALUE($G5&amp;""),0))=0,"0",ROUND((0-IFERROR(VALUE($G5&amp;""),0)),9-INT(LOG10(ABS((0-IFERROR(VALUE($G5&amp;""),0))))))&amp;""),(0-IFERROR(VALUE($G5&amp;""),0))&amp;"")&amp;" "&amp;IF(ISNUMBER(IF(IFERROR(VALUE((0-IFERROR(VALUE($G5&amp;""),0))&amp;""),0)=1,"turno","turnos")),IF(IF(IFERROR(VALUE((0-IFERROR(VALUE($G5&amp;""),0))&amp;""),0)=1,"turno","turnos")=0,"0",ROUND(IF(IFERROR(VALUE((0-IFERROR(VALUE($G5&amp;""),0))&amp;""),0)=1,"turno","turnos"),9-INT(LOG10(ABS(IF(IFERROR(VALUE((0-IFERROR(VALUE($G5&amp;""),0))&amp;""),0)=1,"turno","turnos")))))&amp;""),IF(IFERROR(VALUE((0-IFERROR(VALUE($G5&amp;""),0))&amp;""),0)=1,"turno","turnos")&amp;""))&amp;""),"")&amp;IF(($C5=""),"; "&amp;"Turno sin asignar",""),3,32767)</f>
        <v/>
      </c>
      <c r="I5" s="3">
        <f>IF(OR(AND(NOT(($D5="")),(SUMPRODUCT(1*((EXACT('Casilla por casilla'!$A$4:$A$12,$A5)))*((EXACT('Casilla por casilla'!$B$4:$B$12,$B5)))*((EXACT('Casilla por casilla'!$D$4:$D$12,$D5)))*((ROW('Casilla por casilla'!$A$4:$A$12)&lt;&gt;ROW($A5))))&gt;0))),3,IF(OR(AND(NOT(($C5="")),(IFERROR(VALUE($G5&amp;""),0)&lt;0))),2,IF(OR(($C5="")),1,0)))</f>
        <v/>
      </c>
      <c r="J5" s="3">
        <f>$B5&amp;CHAR(31)&amp;$A5</f>
        <v/>
      </c>
    </row>
    <row r="6">
      <c r="A6" s="3" t="inlineStr">
        <is>
          <t>miercoles</t>
        </is>
      </c>
      <c r="B6" s="3" t="inlineStr">
        <is>
          <t>T1</t>
        </is>
      </c>
      <c r="C6" s="3">
        <f>IF(ISBLANK('Horario semanal'!D4),"",'Horario semanal'!D4)</f>
        <v/>
      </c>
      <c r="D6" s="4" t="inlineStr">
        <is>
          <t>Aula 8</t>
        </is>
      </c>
      <c r="E6" s="3">
        <f>IF(ISNA(MATCH(1,INDEX(EXACT('Plan de la carrera'!$A$4:$A$7,$C6)*1,0),0)),"",IF(ISBLANK(INDEX('Plan de la carrera'!$B$4:$B$7,MATCH(1,INDEX(EXACT('Plan de la carrera'!$A$4:$A$7,$C6)*1,0),0))),"",INDEX('Plan de la carrera'!$B$4:$B$7,MATCH(1,INDEX(EXACT('Plan de la carrera'!$A$4:$A$7,$C6)*1,0),0))))</f>
        <v/>
      </c>
      <c r="F6" s="3">
        <f>SUMPRODUCT(1*((EXACT('Casilla por casilla'!$C$4:$C$12,$C6))))</f>
        <v/>
      </c>
      <c r="G6" s="3">
        <f>(IFERROR(VALUE(IF(ISNA(MATCH(1,INDEX(EXACT('Plan de la carrera'!$A$4:$A$7,$C6)*1,0),0)),0,IF(ISBLANK(INDEX('Plan de la carrera'!$C$4:$C$7,MATCH(1,INDEX(EXACT('Plan de la carrera'!$A$4:$A$7,$C6)*1,0),0))),"",INDEX('Plan de la carrera'!$C$4:$C$7,MATCH(1,INDEX(EXACT('Plan de la carrera'!$A$4:$A$7,$C6)*1,0),0))))&amp;""),0)-IFERROR(VALUE($F6&amp;""),0))</f>
        <v/>
      </c>
      <c r="H6" s="3">
        <f>MID(IF(AND(NOT(($D6="")),(SUMPRODUCT(1*((EXACT('Casilla por casilla'!$A$4:$A$12,$A6)))*((EXACT('Casilla por casilla'!$B$4:$B$12,$B6)))*((EXACT('Casilla por casilla'!$D$4:$D$12,$D6)))*((ROW('Casilla por casilla'!$A$4:$A$12)&lt;&gt;ROW($A6))))&gt;0)),"; "&amp;"Ese local esta ocupado por otro grupo a esa hora","")&amp;IF(AND(NOT(($C6="")),(IFERROR(VALUE($G6&amp;""),0)&lt;0)),"; "&amp;IF(ISNUMBER((IF(ISNUMBER(IF(IFERROR(VALUE((0-IFERROR(VALUE($G6&amp;""),0))&amp;""),0)=1,"Sobra","Sobran")),IF(IF(IFERROR(VALUE((0-IFERROR(VALUE($G6&amp;""),0))&amp;""),0)=1,"Sobra","Sobran")=0,"0",ROUND(IF(IFERROR(VALUE((0-IFERROR(VALUE($G6&amp;""),0))&amp;""),0)=1,"Sobra","Sobran"),9-INT(LOG10(ABS(IF(IFERROR(VALUE((0-IFERROR(VALUE($G6&amp;""),0))&amp;""),0)=1,"Sobra","Sobran")))))&amp;""),IF(IFERROR(VALUE((0-IFERROR(VALUE($G6&amp;""),0))&amp;""),0)=1,"Sobra","Sobran")&amp;"")&amp;" "&amp;IF(ISNUMBER((0-IFERROR(VALUE($G6&amp;""),0))),IF((0-IFERROR(VALUE($G6&amp;""),0))=0,"0",ROUND((0-IFERROR(VALUE($G6&amp;""),0)),9-INT(LOG10(ABS((0-IFERROR(VALUE($G6&amp;""),0))))))&amp;""),(0-IFERROR(VALUE($G6&amp;""),0))&amp;"")&amp;" "&amp;IF(ISNUMBER(IF(IFERROR(VALUE((0-IFERROR(VALUE($G6&amp;""),0))&amp;""),0)=1,"turno","turnos")),IF(IF(IFERROR(VALUE((0-IFERROR(VALUE($G6&amp;""),0))&amp;""),0)=1,"turno","turnos")=0,"0",ROUND(IF(IFERROR(VALUE((0-IFERROR(VALUE($G6&amp;""),0))&amp;""),0)=1,"turno","turnos"),9-INT(LOG10(ABS(IF(IFERROR(VALUE((0-IFERROR(VALUE($G6&amp;""),0))&amp;""),0)=1,"turno","turnos")))))&amp;""),IF(IFERROR(VALUE((0-IFERROR(VALUE($G6&amp;""),0))&amp;""),0)=1,"turno","turnos")&amp;""))),IF((IF(ISNUMBER(IF(IFERROR(VALUE((0-IFERROR(VALUE($G6&amp;""),0))&amp;""),0)=1,"Sobra","Sobran")),IF(IF(IFERROR(VALUE((0-IFERROR(VALUE($G6&amp;""),0))&amp;""),0)=1,"Sobra","Sobran")=0,"0",ROUND(IF(IFERROR(VALUE((0-IFERROR(VALUE($G6&amp;""),0))&amp;""),0)=1,"Sobra","Sobran"),9-INT(LOG10(ABS(IF(IFERROR(VALUE((0-IFERROR(VALUE($G6&amp;""),0))&amp;""),0)=1,"Sobra","Sobran")))))&amp;""),IF(IFERROR(VALUE((0-IFERROR(VALUE($G6&amp;""),0))&amp;""),0)=1,"Sobra","Sobran")&amp;"")&amp;" "&amp;IF(ISNUMBER((0-IFERROR(VALUE($G6&amp;""),0))),IF((0-IFERROR(VALUE($G6&amp;""),0))=0,"0",ROUND((0-IFERROR(VALUE($G6&amp;""),0)),9-INT(LOG10(ABS((0-IFERROR(VALUE($G6&amp;""),0))))))&amp;""),(0-IFERROR(VALUE($G6&amp;""),0))&amp;"")&amp;" "&amp;IF(ISNUMBER(IF(IFERROR(VALUE((0-IFERROR(VALUE($G6&amp;""),0))&amp;""),0)=1,"turno","turnos")),IF(IF(IFERROR(VALUE((0-IFERROR(VALUE($G6&amp;""),0))&amp;""),0)=1,"turno","turnos")=0,"0",ROUND(IF(IFERROR(VALUE((0-IFERROR(VALUE($G6&amp;""),0))&amp;""),0)=1,"turno","turnos"),9-INT(LOG10(ABS(IF(IFERROR(VALUE((0-IFERROR(VALUE($G6&amp;""),0))&amp;""),0)=1,"turno","turnos")))))&amp;""),IF(IFERROR(VALUE((0-IFERROR(VALUE($G6&amp;""),0))&amp;""),0)=1,"turno","turnos")&amp;""))=0,"0",ROUND((IF(ISNUMBER(IF(IFERROR(VALUE((0-IFERROR(VALUE($G6&amp;""),0))&amp;""),0)=1,"Sobra","Sobran")),IF(IF(IFERROR(VALUE((0-IFERROR(VALUE($G6&amp;""),0))&amp;""),0)=1,"Sobra","Sobran")=0,"0",ROUND(IF(IFERROR(VALUE((0-IFERROR(VALUE($G6&amp;""),0))&amp;""),0)=1,"Sobra","Sobran"),9-INT(LOG10(ABS(IF(IFERROR(VALUE((0-IFERROR(VALUE($G6&amp;""),0))&amp;""),0)=1,"Sobra","Sobran")))))&amp;""),IF(IFERROR(VALUE((0-IFERROR(VALUE($G6&amp;""),0))&amp;""),0)=1,"Sobra","Sobran")&amp;"")&amp;" "&amp;IF(ISNUMBER((0-IFERROR(VALUE($G6&amp;""),0))),IF((0-IFERROR(VALUE($G6&amp;""),0))=0,"0",ROUND((0-IFERROR(VALUE($G6&amp;""),0)),9-INT(LOG10(ABS((0-IFERROR(VALUE($G6&amp;""),0))))))&amp;""),(0-IFERROR(VALUE($G6&amp;""),0))&amp;"")&amp;" "&amp;IF(ISNUMBER(IF(IFERROR(VALUE((0-IFERROR(VALUE($G6&amp;""),0))&amp;""),0)=1,"turno","turnos")),IF(IF(IFERROR(VALUE((0-IFERROR(VALUE($G6&amp;""),0))&amp;""),0)=1,"turno","turnos")=0,"0",ROUND(IF(IFERROR(VALUE((0-IFERROR(VALUE($G6&amp;""),0))&amp;""),0)=1,"turno","turnos"),9-INT(LOG10(ABS(IF(IFERROR(VALUE((0-IFERROR(VALUE($G6&amp;""),0))&amp;""),0)=1,"turno","turnos")))))&amp;""),IF(IFERROR(VALUE((0-IFERROR(VALUE($G6&amp;""),0))&amp;""),0)=1,"turno","turnos")&amp;"")),9-INT(LOG10(ABS((IF(ISNUMBER(IF(IFERROR(VALUE((0-IFERROR(VALUE($G6&amp;""),0))&amp;""),0)=1,"Sobra","Sobran")),IF(IF(IFERROR(VALUE((0-IFERROR(VALUE($G6&amp;""),0))&amp;""),0)=1,"Sobra","Sobran")=0,"0",ROUND(IF(IFERROR(VALUE((0-IFERROR(VALUE($G6&amp;""),0))&amp;""),0)=1,"Sobra","Sobran"),9-INT(LOG10(ABS(IF(IFERROR(VALUE((0-IFERROR(VALUE($G6&amp;""),0))&amp;""),0)=1,"Sobra","Sobran")))))&amp;""),IF(IFERROR(VALUE((0-IFERROR(VALUE($G6&amp;""),0))&amp;""),0)=1,"Sobra","Sobran")&amp;"")&amp;" "&amp;IF(ISNUMBER((0-IFERROR(VALUE($G6&amp;""),0))),IF((0-IFERROR(VALUE($G6&amp;""),0))=0,"0",ROUND((0-IFERROR(VALUE($G6&amp;""),0)),9-INT(LOG10(ABS((0-IFERROR(VALUE($G6&amp;""),0))))))&amp;""),(0-IFERROR(VALUE($G6&amp;""),0))&amp;"")&amp;" "&amp;IF(ISNUMBER(IF(IFERROR(VALUE((0-IFERROR(VALUE($G6&amp;""),0))&amp;""),0)=1,"turno","turnos")),IF(IF(IFERROR(VALUE((0-IFERROR(VALUE($G6&amp;""),0))&amp;""),0)=1,"turno","turnos")=0,"0",ROUND(IF(IFERROR(VALUE((0-IFERROR(VALUE($G6&amp;""),0))&amp;""),0)=1,"turno","turnos"),9-INT(LOG10(ABS(IF(IFERROR(VALUE((0-IFERROR(VALUE($G6&amp;""),0))&amp;""),0)=1,"turno","turnos")))))&amp;""),IF(IFERROR(VALUE((0-IFERROR(VALUE($G6&amp;""),0))&amp;""),0)=1,"turno","turnos")&amp;""))))))&amp;""),(IF(ISNUMBER(IF(IFERROR(VALUE((0-IFERROR(VALUE($G6&amp;""),0))&amp;""),0)=1,"Sobra","Sobran")),IF(IF(IFERROR(VALUE((0-IFERROR(VALUE($G6&amp;""),0))&amp;""),0)=1,"Sobra","Sobran")=0,"0",ROUND(IF(IFERROR(VALUE((0-IFERROR(VALUE($G6&amp;""),0))&amp;""),0)=1,"Sobra","Sobran"),9-INT(LOG10(ABS(IF(IFERROR(VALUE((0-IFERROR(VALUE($G6&amp;""),0))&amp;""),0)=1,"Sobra","Sobran")))))&amp;""),IF(IFERROR(VALUE((0-IFERROR(VALUE($G6&amp;""),0))&amp;""),0)=1,"Sobra","Sobran")&amp;"")&amp;" "&amp;IF(ISNUMBER((0-IFERROR(VALUE($G6&amp;""),0))),IF((0-IFERROR(VALUE($G6&amp;""),0))=0,"0",ROUND((0-IFERROR(VALUE($G6&amp;""),0)),9-INT(LOG10(ABS((0-IFERROR(VALUE($G6&amp;""),0))))))&amp;""),(0-IFERROR(VALUE($G6&amp;""),0))&amp;"")&amp;" "&amp;IF(ISNUMBER(IF(IFERROR(VALUE((0-IFERROR(VALUE($G6&amp;""),0))&amp;""),0)=1,"turno","turnos")),IF(IF(IFERROR(VALUE((0-IFERROR(VALUE($G6&amp;""),0))&amp;""),0)=1,"turno","turnos")=0,"0",ROUND(IF(IFERROR(VALUE((0-IFERROR(VALUE($G6&amp;""),0))&amp;""),0)=1,"turno","turnos"),9-INT(LOG10(ABS(IF(IFERROR(VALUE((0-IFERROR(VALUE($G6&amp;""),0))&amp;""),0)=1,"turno","turnos")))))&amp;""),IF(IFERROR(VALUE((0-IFERROR(VALUE($G6&amp;""),0))&amp;""),0)=1,"turno","turnos")&amp;""))&amp;""),"")&amp;IF(($C6=""),"; "&amp;"Turno sin asignar",""),3,32767)</f>
        <v/>
      </c>
      <c r="I6" s="3">
        <f>IF(OR(AND(NOT(($D6="")),(SUMPRODUCT(1*((EXACT('Casilla por casilla'!$A$4:$A$12,$A6)))*((EXACT('Casilla por casilla'!$B$4:$B$12,$B6)))*((EXACT('Casilla por casilla'!$D$4:$D$12,$D6)))*((ROW('Casilla por casilla'!$A$4:$A$12)&lt;&gt;ROW($A6))))&gt;0))),3,IF(OR(AND(NOT(($C6="")),(IFERROR(VALUE($G6&amp;""),0)&lt;0))),2,IF(OR(($C6="")),1,0)))</f>
        <v/>
      </c>
      <c r="J6" s="3">
        <f>$B6&amp;CHAR(31)&amp;$A6</f>
        <v/>
      </c>
    </row>
    <row r="7">
      <c r="A7" s="3" t="inlineStr">
        <is>
          <t>lunes</t>
        </is>
      </c>
      <c r="B7" s="3" t="inlineStr">
        <is>
          <t>T2</t>
        </is>
      </c>
      <c r="C7" s="3">
        <f>IF(ISBLANK('Horario semanal'!B5),"",'Horario semanal'!B5)</f>
        <v/>
      </c>
      <c r="D7" s="4" t="inlineStr">
        <is>
          <t>Aula 7</t>
        </is>
      </c>
      <c r="E7" s="3">
        <f>IF(ISNA(MATCH(1,INDEX(EXACT('Plan de la carrera'!$A$4:$A$7,$C7)*1,0),0)),"",IF(ISBLANK(INDEX('Plan de la carrera'!$B$4:$B$7,MATCH(1,INDEX(EXACT('Plan de la carrera'!$A$4:$A$7,$C7)*1,0),0))),"",INDEX('Plan de la carrera'!$B$4:$B$7,MATCH(1,INDEX(EXACT('Plan de la carrera'!$A$4:$A$7,$C7)*1,0),0))))</f>
        <v/>
      </c>
      <c r="F7" s="3">
        <f>SUMPRODUCT(1*((EXACT('Casilla por casilla'!$C$4:$C$12,$C7))))</f>
        <v/>
      </c>
      <c r="G7" s="3">
        <f>(IFERROR(VALUE(IF(ISNA(MATCH(1,INDEX(EXACT('Plan de la carrera'!$A$4:$A$7,$C7)*1,0),0)),0,IF(ISBLANK(INDEX('Plan de la carrera'!$C$4:$C$7,MATCH(1,INDEX(EXACT('Plan de la carrera'!$A$4:$A$7,$C7)*1,0),0))),"",INDEX('Plan de la carrera'!$C$4:$C$7,MATCH(1,INDEX(EXACT('Plan de la carrera'!$A$4:$A$7,$C7)*1,0),0))))&amp;""),0)-IFERROR(VALUE($F7&amp;""),0))</f>
        <v/>
      </c>
      <c r="H7" s="3">
        <f>MID(IF(AND(NOT(($D7="")),(SUMPRODUCT(1*((EXACT('Casilla por casilla'!$A$4:$A$12,$A7)))*((EXACT('Casilla por casilla'!$B$4:$B$12,$B7)))*((EXACT('Casilla por casilla'!$D$4:$D$12,$D7)))*((ROW('Casilla por casilla'!$A$4:$A$12)&lt;&gt;ROW($A7))))&gt;0)),"; "&amp;"Ese local esta ocupado por otro grupo a esa hora","")&amp;IF(AND(NOT(($C7="")),(IFERROR(VALUE($G7&amp;""),0)&lt;0)),"; "&amp;IF(ISNUMBER((IF(ISNUMBER(IF(IFERROR(VALUE((0-IFERROR(VALUE($G7&amp;""),0))&amp;""),0)=1,"Sobra","Sobran")),IF(IF(IFERROR(VALUE((0-IFERROR(VALUE($G7&amp;""),0))&amp;""),0)=1,"Sobra","Sobran")=0,"0",ROUND(IF(IFERROR(VALUE((0-IFERROR(VALUE($G7&amp;""),0))&amp;""),0)=1,"Sobra","Sobran"),9-INT(LOG10(ABS(IF(IFERROR(VALUE((0-IFERROR(VALUE($G7&amp;""),0))&amp;""),0)=1,"Sobra","Sobran")))))&amp;""),IF(IFERROR(VALUE((0-IFERROR(VALUE($G7&amp;""),0))&amp;""),0)=1,"Sobra","Sobran")&amp;"")&amp;" "&amp;IF(ISNUMBER((0-IFERROR(VALUE($G7&amp;""),0))),IF((0-IFERROR(VALUE($G7&amp;""),0))=0,"0",ROUND((0-IFERROR(VALUE($G7&amp;""),0)),9-INT(LOG10(ABS((0-IFERROR(VALUE($G7&amp;""),0))))))&amp;""),(0-IFERROR(VALUE($G7&amp;""),0))&amp;"")&amp;" "&amp;IF(ISNUMBER(IF(IFERROR(VALUE((0-IFERROR(VALUE($G7&amp;""),0))&amp;""),0)=1,"turno","turnos")),IF(IF(IFERROR(VALUE((0-IFERROR(VALUE($G7&amp;""),0))&amp;""),0)=1,"turno","turnos")=0,"0",ROUND(IF(IFERROR(VALUE((0-IFERROR(VALUE($G7&amp;""),0))&amp;""),0)=1,"turno","turnos"),9-INT(LOG10(ABS(IF(IFERROR(VALUE((0-IFERROR(VALUE($G7&amp;""),0))&amp;""),0)=1,"turno","turnos")))))&amp;""),IF(IFERROR(VALUE((0-IFERROR(VALUE($G7&amp;""),0))&amp;""),0)=1,"turno","turnos")&amp;""))),IF((IF(ISNUMBER(IF(IFERROR(VALUE((0-IFERROR(VALUE($G7&amp;""),0))&amp;""),0)=1,"Sobra","Sobran")),IF(IF(IFERROR(VALUE((0-IFERROR(VALUE($G7&amp;""),0))&amp;""),0)=1,"Sobra","Sobran")=0,"0",ROUND(IF(IFERROR(VALUE((0-IFERROR(VALUE($G7&amp;""),0))&amp;""),0)=1,"Sobra","Sobran"),9-INT(LOG10(ABS(IF(IFERROR(VALUE((0-IFERROR(VALUE($G7&amp;""),0))&amp;""),0)=1,"Sobra","Sobran")))))&amp;""),IF(IFERROR(VALUE((0-IFERROR(VALUE($G7&amp;""),0))&amp;""),0)=1,"Sobra","Sobran")&amp;"")&amp;" "&amp;IF(ISNUMBER((0-IFERROR(VALUE($G7&amp;""),0))),IF((0-IFERROR(VALUE($G7&amp;""),0))=0,"0",ROUND((0-IFERROR(VALUE($G7&amp;""),0)),9-INT(LOG10(ABS((0-IFERROR(VALUE($G7&amp;""),0))))))&amp;""),(0-IFERROR(VALUE($G7&amp;""),0))&amp;"")&amp;" "&amp;IF(ISNUMBER(IF(IFERROR(VALUE((0-IFERROR(VALUE($G7&amp;""),0))&amp;""),0)=1,"turno","turnos")),IF(IF(IFERROR(VALUE((0-IFERROR(VALUE($G7&amp;""),0))&amp;""),0)=1,"turno","turnos")=0,"0",ROUND(IF(IFERROR(VALUE((0-IFERROR(VALUE($G7&amp;""),0))&amp;""),0)=1,"turno","turnos"),9-INT(LOG10(ABS(IF(IFERROR(VALUE((0-IFERROR(VALUE($G7&amp;""),0))&amp;""),0)=1,"turno","turnos")))))&amp;""),IF(IFERROR(VALUE((0-IFERROR(VALUE($G7&amp;""),0))&amp;""),0)=1,"turno","turnos")&amp;""))=0,"0",ROUND((IF(ISNUMBER(IF(IFERROR(VALUE((0-IFERROR(VALUE($G7&amp;""),0))&amp;""),0)=1,"Sobra","Sobran")),IF(IF(IFERROR(VALUE((0-IFERROR(VALUE($G7&amp;""),0))&amp;""),0)=1,"Sobra","Sobran")=0,"0",ROUND(IF(IFERROR(VALUE((0-IFERROR(VALUE($G7&amp;""),0))&amp;""),0)=1,"Sobra","Sobran"),9-INT(LOG10(ABS(IF(IFERROR(VALUE((0-IFERROR(VALUE($G7&amp;""),0))&amp;""),0)=1,"Sobra","Sobran")))))&amp;""),IF(IFERROR(VALUE((0-IFERROR(VALUE($G7&amp;""),0))&amp;""),0)=1,"Sobra","Sobran")&amp;"")&amp;" "&amp;IF(ISNUMBER((0-IFERROR(VALUE($G7&amp;""),0))),IF((0-IFERROR(VALUE($G7&amp;""),0))=0,"0",ROUND((0-IFERROR(VALUE($G7&amp;""),0)),9-INT(LOG10(ABS((0-IFERROR(VALUE($G7&amp;""),0))))))&amp;""),(0-IFERROR(VALUE($G7&amp;""),0))&amp;"")&amp;" "&amp;IF(ISNUMBER(IF(IFERROR(VALUE((0-IFERROR(VALUE($G7&amp;""),0))&amp;""),0)=1,"turno","turnos")),IF(IF(IFERROR(VALUE((0-IFERROR(VALUE($G7&amp;""),0))&amp;""),0)=1,"turno","turnos")=0,"0",ROUND(IF(IFERROR(VALUE((0-IFERROR(VALUE($G7&amp;""),0))&amp;""),0)=1,"turno","turnos"),9-INT(LOG10(ABS(IF(IFERROR(VALUE((0-IFERROR(VALUE($G7&amp;""),0))&amp;""),0)=1,"turno","turnos")))))&amp;""),IF(IFERROR(VALUE((0-IFERROR(VALUE($G7&amp;""),0))&amp;""),0)=1,"turno","turnos")&amp;"")),9-INT(LOG10(ABS((IF(ISNUMBER(IF(IFERROR(VALUE((0-IFERROR(VALUE($G7&amp;""),0))&amp;""),0)=1,"Sobra","Sobran")),IF(IF(IFERROR(VALUE((0-IFERROR(VALUE($G7&amp;""),0))&amp;""),0)=1,"Sobra","Sobran")=0,"0",ROUND(IF(IFERROR(VALUE((0-IFERROR(VALUE($G7&amp;""),0))&amp;""),0)=1,"Sobra","Sobran"),9-INT(LOG10(ABS(IF(IFERROR(VALUE((0-IFERROR(VALUE($G7&amp;""),0))&amp;""),0)=1,"Sobra","Sobran")))))&amp;""),IF(IFERROR(VALUE((0-IFERROR(VALUE($G7&amp;""),0))&amp;""),0)=1,"Sobra","Sobran")&amp;"")&amp;" "&amp;IF(ISNUMBER((0-IFERROR(VALUE($G7&amp;""),0))),IF((0-IFERROR(VALUE($G7&amp;""),0))=0,"0",ROUND((0-IFERROR(VALUE($G7&amp;""),0)),9-INT(LOG10(ABS((0-IFERROR(VALUE($G7&amp;""),0))))))&amp;""),(0-IFERROR(VALUE($G7&amp;""),0))&amp;"")&amp;" "&amp;IF(ISNUMBER(IF(IFERROR(VALUE((0-IFERROR(VALUE($G7&amp;""),0))&amp;""),0)=1,"turno","turnos")),IF(IF(IFERROR(VALUE((0-IFERROR(VALUE($G7&amp;""),0))&amp;""),0)=1,"turno","turnos")=0,"0",ROUND(IF(IFERROR(VALUE((0-IFERROR(VALUE($G7&amp;""),0))&amp;""),0)=1,"turno","turnos"),9-INT(LOG10(ABS(IF(IFERROR(VALUE((0-IFERROR(VALUE($G7&amp;""),0))&amp;""),0)=1,"turno","turnos")))))&amp;""),IF(IFERROR(VALUE((0-IFERROR(VALUE($G7&amp;""),0))&amp;""),0)=1,"turno","turnos")&amp;""))))))&amp;""),(IF(ISNUMBER(IF(IFERROR(VALUE((0-IFERROR(VALUE($G7&amp;""),0))&amp;""),0)=1,"Sobra","Sobran")),IF(IF(IFERROR(VALUE((0-IFERROR(VALUE($G7&amp;""),0))&amp;""),0)=1,"Sobra","Sobran")=0,"0",ROUND(IF(IFERROR(VALUE((0-IFERROR(VALUE($G7&amp;""),0))&amp;""),0)=1,"Sobra","Sobran"),9-INT(LOG10(ABS(IF(IFERROR(VALUE((0-IFERROR(VALUE($G7&amp;""),0))&amp;""),0)=1,"Sobra","Sobran")))))&amp;""),IF(IFERROR(VALUE((0-IFERROR(VALUE($G7&amp;""),0))&amp;""),0)=1,"Sobra","Sobran")&amp;"")&amp;" "&amp;IF(ISNUMBER((0-IFERROR(VALUE($G7&amp;""),0))),IF((0-IFERROR(VALUE($G7&amp;""),0))=0,"0",ROUND((0-IFERROR(VALUE($G7&amp;""),0)),9-INT(LOG10(ABS((0-IFERROR(VALUE($G7&amp;""),0))))))&amp;""),(0-IFERROR(VALUE($G7&amp;""),0))&amp;"")&amp;" "&amp;IF(ISNUMBER(IF(IFERROR(VALUE((0-IFERROR(VALUE($G7&amp;""),0))&amp;""),0)=1,"turno","turnos")),IF(IF(IFERROR(VALUE((0-IFERROR(VALUE($G7&amp;""),0))&amp;""),0)=1,"turno","turnos")=0,"0",ROUND(IF(IFERROR(VALUE((0-IFERROR(VALUE($G7&amp;""),0))&amp;""),0)=1,"turno","turnos"),9-INT(LOG10(ABS(IF(IFERROR(VALUE((0-IFERROR(VALUE($G7&amp;""),0))&amp;""),0)=1,"turno","turnos")))))&amp;""),IF(IFERROR(VALUE((0-IFERROR(VALUE($G7&amp;""),0))&amp;""),0)=1,"turno","turnos")&amp;""))&amp;""),"")&amp;IF(($C7=""),"; "&amp;"Turno sin asignar",""),3,32767)</f>
        <v/>
      </c>
      <c r="I7" s="3">
        <f>IF(OR(AND(NOT(($D7="")),(SUMPRODUCT(1*((EXACT('Casilla por casilla'!$A$4:$A$12,$A7)))*((EXACT('Casilla por casilla'!$B$4:$B$12,$B7)))*((EXACT('Casilla por casilla'!$D$4:$D$12,$D7)))*((ROW('Casilla por casilla'!$A$4:$A$12)&lt;&gt;ROW($A7))))&gt;0))),3,IF(OR(AND(NOT(($C7="")),(IFERROR(VALUE($G7&amp;""),0)&lt;0))),2,IF(OR(($C7="")),1,0)))</f>
        <v/>
      </c>
      <c r="J7" s="3">
        <f>$B7&amp;CHAR(31)&amp;$A7</f>
        <v/>
      </c>
    </row>
    <row r="8">
      <c r="A8" s="3" t="inlineStr">
        <is>
          <t>martes</t>
        </is>
      </c>
      <c r="B8" s="3" t="inlineStr">
        <is>
          <t>T2</t>
        </is>
      </c>
      <c r="C8" s="3">
        <f>IF(ISBLANK('Horario semanal'!C5),"",'Horario semanal'!C5)</f>
        <v/>
      </c>
      <c r="D8" s="4" t="inlineStr">
        <is>
          <t>Lab 1</t>
        </is>
      </c>
      <c r="E8" s="3">
        <f>IF(ISNA(MATCH(1,INDEX(EXACT('Plan de la carrera'!$A$4:$A$7,$C8)*1,0),0)),"",IF(ISBLANK(INDEX('Plan de la carrera'!$B$4:$B$7,MATCH(1,INDEX(EXACT('Plan de la carrera'!$A$4:$A$7,$C8)*1,0),0))),"",INDEX('Plan de la carrera'!$B$4:$B$7,MATCH(1,INDEX(EXACT('Plan de la carrera'!$A$4:$A$7,$C8)*1,0),0))))</f>
        <v/>
      </c>
      <c r="F8" s="3">
        <f>SUMPRODUCT(1*((EXACT('Casilla por casilla'!$C$4:$C$12,$C8))))</f>
        <v/>
      </c>
      <c r="G8" s="3">
        <f>(IFERROR(VALUE(IF(ISNA(MATCH(1,INDEX(EXACT('Plan de la carrera'!$A$4:$A$7,$C8)*1,0),0)),0,IF(ISBLANK(INDEX('Plan de la carrera'!$C$4:$C$7,MATCH(1,INDEX(EXACT('Plan de la carrera'!$A$4:$A$7,$C8)*1,0),0))),"",INDEX('Plan de la carrera'!$C$4:$C$7,MATCH(1,INDEX(EXACT('Plan de la carrera'!$A$4:$A$7,$C8)*1,0),0))))&amp;""),0)-IFERROR(VALUE($F8&amp;""),0))</f>
        <v/>
      </c>
      <c r="H8" s="3">
        <f>MID(IF(AND(NOT(($D8="")),(SUMPRODUCT(1*((EXACT('Casilla por casilla'!$A$4:$A$12,$A8)))*((EXACT('Casilla por casilla'!$B$4:$B$12,$B8)))*((EXACT('Casilla por casilla'!$D$4:$D$12,$D8)))*((ROW('Casilla por casilla'!$A$4:$A$12)&lt;&gt;ROW($A8))))&gt;0)),"; "&amp;"Ese local esta ocupado por otro grupo a esa hora","")&amp;IF(AND(NOT(($C8="")),(IFERROR(VALUE($G8&amp;""),0)&lt;0)),"; "&amp;IF(ISNUMBER((IF(ISNUMBER(IF(IFERROR(VALUE((0-IFERROR(VALUE($G8&amp;""),0))&amp;""),0)=1,"Sobra","Sobran")),IF(IF(IFERROR(VALUE((0-IFERROR(VALUE($G8&amp;""),0))&amp;""),0)=1,"Sobra","Sobran")=0,"0",ROUND(IF(IFERROR(VALUE((0-IFERROR(VALUE($G8&amp;""),0))&amp;""),0)=1,"Sobra","Sobran"),9-INT(LOG10(ABS(IF(IFERROR(VALUE((0-IFERROR(VALUE($G8&amp;""),0))&amp;""),0)=1,"Sobra","Sobran")))))&amp;""),IF(IFERROR(VALUE((0-IFERROR(VALUE($G8&amp;""),0))&amp;""),0)=1,"Sobra","Sobran")&amp;"")&amp;" "&amp;IF(ISNUMBER((0-IFERROR(VALUE($G8&amp;""),0))),IF((0-IFERROR(VALUE($G8&amp;""),0))=0,"0",ROUND((0-IFERROR(VALUE($G8&amp;""),0)),9-INT(LOG10(ABS((0-IFERROR(VALUE($G8&amp;""),0))))))&amp;""),(0-IFERROR(VALUE($G8&amp;""),0))&amp;"")&amp;" "&amp;IF(ISNUMBER(IF(IFERROR(VALUE((0-IFERROR(VALUE($G8&amp;""),0))&amp;""),0)=1,"turno","turnos")),IF(IF(IFERROR(VALUE((0-IFERROR(VALUE($G8&amp;""),0))&amp;""),0)=1,"turno","turnos")=0,"0",ROUND(IF(IFERROR(VALUE((0-IFERROR(VALUE($G8&amp;""),0))&amp;""),0)=1,"turno","turnos"),9-INT(LOG10(ABS(IF(IFERROR(VALUE((0-IFERROR(VALUE($G8&amp;""),0))&amp;""),0)=1,"turno","turnos")))))&amp;""),IF(IFERROR(VALUE((0-IFERROR(VALUE($G8&amp;""),0))&amp;""),0)=1,"turno","turnos")&amp;""))),IF((IF(ISNUMBER(IF(IFERROR(VALUE((0-IFERROR(VALUE($G8&amp;""),0))&amp;""),0)=1,"Sobra","Sobran")),IF(IF(IFERROR(VALUE((0-IFERROR(VALUE($G8&amp;""),0))&amp;""),0)=1,"Sobra","Sobran")=0,"0",ROUND(IF(IFERROR(VALUE((0-IFERROR(VALUE($G8&amp;""),0))&amp;""),0)=1,"Sobra","Sobran"),9-INT(LOG10(ABS(IF(IFERROR(VALUE((0-IFERROR(VALUE($G8&amp;""),0))&amp;""),0)=1,"Sobra","Sobran")))))&amp;""),IF(IFERROR(VALUE((0-IFERROR(VALUE($G8&amp;""),0))&amp;""),0)=1,"Sobra","Sobran")&amp;"")&amp;" "&amp;IF(ISNUMBER((0-IFERROR(VALUE($G8&amp;""),0))),IF((0-IFERROR(VALUE($G8&amp;""),0))=0,"0",ROUND((0-IFERROR(VALUE($G8&amp;""),0)),9-INT(LOG10(ABS((0-IFERROR(VALUE($G8&amp;""),0))))))&amp;""),(0-IFERROR(VALUE($G8&amp;""),0))&amp;"")&amp;" "&amp;IF(ISNUMBER(IF(IFERROR(VALUE((0-IFERROR(VALUE($G8&amp;""),0))&amp;""),0)=1,"turno","turnos")),IF(IF(IFERROR(VALUE((0-IFERROR(VALUE($G8&amp;""),0))&amp;""),0)=1,"turno","turnos")=0,"0",ROUND(IF(IFERROR(VALUE((0-IFERROR(VALUE($G8&amp;""),0))&amp;""),0)=1,"turno","turnos"),9-INT(LOG10(ABS(IF(IFERROR(VALUE((0-IFERROR(VALUE($G8&amp;""),0))&amp;""),0)=1,"turno","turnos")))))&amp;""),IF(IFERROR(VALUE((0-IFERROR(VALUE($G8&amp;""),0))&amp;""),0)=1,"turno","turnos")&amp;""))=0,"0",ROUND((IF(ISNUMBER(IF(IFERROR(VALUE((0-IFERROR(VALUE($G8&amp;""),0))&amp;""),0)=1,"Sobra","Sobran")),IF(IF(IFERROR(VALUE((0-IFERROR(VALUE($G8&amp;""),0))&amp;""),0)=1,"Sobra","Sobran")=0,"0",ROUND(IF(IFERROR(VALUE((0-IFERROR(VALUE($G8&amp;""),0))&amp;""),0)=1,"Sobra","Sobran"),9-INT(LOG10(ABS(IF(IFERROR(VALUE((0-IFERROR(VALUE($G8&amp;""),0))&amp;""),0)=1,"Sobra","Sobran")))))&amp;""),IF(IFERROR(VALUE((0-IFERROR(VALUE($G8&amp;""),0))&amp;""),0)=1,"Sobra","Sobran")&amp;"")&amp;" "&amp;IF(ISNUMBER((0-IFERROR(VALUE($G8&amp;""),0))),IF((0-IFERROR(VALUE($G8&amp;""),0))=0,"0",ROUND((0-IFERROR(VALUE($G8&amp;""),0)),9-INT(LOG10(ABS((0-IFERROR(VALUE($G8&amp;""),0))))))&amp;""),(0-IFERROR(VALUE($G8&amp;""),0))&amp;"")&amp;" "&amp;IF(ISNUMBER(IF(IFERROR(VALUE((0-IFERROR(VALUE($G8&amp;""),0))&amp;""),0)=1,"turno","turnos")),IF(IF(IFERROR(VALUE((0-IFERROR(VALUE($G8&amp;""),0))&amp;""),0)=1,"turno","turnos")=0,"0",ROUND(IF(IFERROR(VALUE((0-IFERROR(VALUE($G8&amp;""),0))&amp;""),0)=1,"turno","turnos"),9-INT(LOG10(ABS(IF(IFERROR(VALUE((0-IFERROR(VALUE($G8&amp;""),0))&amp;""),0)=1,"turno","turnos")))))&amp;""),IF(IFERROR(VALUE((0-IFERROR(VALUE($G8&amp;""),0))&amp;""),0)=1,"turno","turnos")&amp;"")),9-INT(LOG10(ABS((IF(ISNUMBER(IF(IFERROR(VALUE((0-IFERROR(VALUE($G8&amp;""),0))&amp;""),0)=1,"Sobra","Sobran")),IF(IF(IFERROR(VALUE((0-IFERROR(VALUE($G8&amp;""),0))&amp;""),0)=1,"Sobra","Sobran")=0,"0",ROUND(IF(IFERROR(VALUE((0-IFERROR(VALUE($G8&amp;""),0))&amp;""),0)=1,"Sobra","Sobran"),9-INT(LOG10(ABS(IF(IFERROR(VALUE((0-IFERROR(VALUE($G8&amp;""),0))&amp;""),0)=1,"Sobra","Sobran")))))&amp;""),IF(IFERROR(VALUE((0-IFERROR(VALUE($G8&amp;""),0))&amp;""),0)=1,"Sobra","Sobran")&amp;"")&amp;" "&amp;IF(ISNUMBER((0-IFERROR(VALUE($G8&amp;""),0))),IF((0-IFERROR(VALUE($G8&amp;""),0))=0,"0",ROUND((0-IFERROR(VALUE($G8&amp;""),0)),9-INT(LOG10(ABS((0-IFERROR(VALUE($G8&amp;""),0))))))&amp;""),(0-IFERROR(VALUE($G8&amp;""),0))&amp;"")&amp;" "&amp;IF(ISNUMBER(IF(IFERROR(VALUE((0-IFERROR(VALUE($G8&amp;""),0))&amp;""),0)=1,"turno","turnos")),IF(IF(IFERROR(VALUE((0-IFERROR(VALUE($G8&amp;""),0))&amp;""),0)=1,"turno","turnos")=0,"0",ROUND(IF(IFERROR(VALUE((0-IFERROR(VALUE($G8&amp;""),0))&amp;""),0)=1,"turno","turnos"),9-INT(LOG10(ABS(IF(IFERROR(VALUE((0-IFERROR(VALUE($G8&amp;""),0))&amp;""),0)=1,"turno","turnos")))))&amp;""),IF(IFERROR(VALUE((0-IFERROR(VALUE($G8&amp;""),0))&amp;""),0)=1,"turno","turnos")&amp;""))))))&amp;""),(IF(ISNUMBER(IF(IFERROR(VALUE((0-IFERROR(VALUE($G8&amp;""),0))&amp;""),0)=1,"Sobra","Sobran")),IF(IF(IFERROR(VALUE((0-IFERROR(VALUE($G8&amp;""),0))&amp;""),0)=1,"Sobra","Sobran")=0,"0",ROUND(IF(IFERROR(VALUE((0-IFERROR(VALUE($G8&amp;""),0))&amp;""),0)=1,"Sobra","Sobran"),9-INT(LOG10(ABS(IF(IFERROR(VALUE((0-IFERROR(VALUE($G8&amp;""),0))&amp;""),0)=1,"Sobra","Sobran")))))&amp;""),IF(IFERROR(VALUE((0-IFERROR(VALUE($G8&amp;""),0))&amp;""),0)=1,"Sobra","Sobran")&amp;"")&amp;" "&amp;IF(ISNUMBER((0-IFERROR(VALUE($G8&amp;""),0))),IF((0-IFERROR(VALUE($G8&amp;""),0))=0,"0",ROUND((0-IFERROR(VALUE($G8&amp;""),0)),9-INT(LOG10(ABS((0-IFERROR(VALUE($G8&amp;""),0))))))&amp;""),(0-IFERROR(VALUE($G8&amp;""),0))&amp;"")&amp;" "&amp;IF(ISNUMBER(IF(IFERROR(VALUE((0-IFERROR(VALUE($G8&amp;""),0))&amp;""),0)=1,"turno","turnos")),IF(IF(IFERROR(VALUE((0-IFERROR(VALUE($G8&amp;""),0))&amp;""),0)=1,"turno","turnos")=0,"0",ROUND(IF(IFERROR(VALUE((0-IFERROR(VALUE($G8&amp;""),0))&amp;""),0)=1,"turno","turnos"),9-INT(LOG10(ABS(IF(IFERROR(VALUE((0-IFERROR(VALUE($G8&amp;""),0))&amp;""),0)=1,"turno","turnos")))))&amp;""),IF(IFERROR(VALUE((0-IFERROR(VALUE($G8&amp;""),0))&amp;""),0)=1,"turno","turnos")&amp;""))&amp;""),"")&amp;IF(($C8=""),"; "&amp;"Turno sin asignar",""),3,32767)</f>
        <v/>
      </c>
      <c r="I8" s="3">
        <f>IF(OR(AND(NOT(($D8="")),(SUMPRODUCT(1*((EXACT('Casilla por casilla'!$A$4:$A$12,$A8)))*((EXACT('Casilla por casilla'!$B$4:$B$12,$B8)))*((EXACT('Casilla por casilla'!$D$4:$D$12,$D8)))*((ROW('Casilla por casilla'!$A$4:$A$12)&lt;&gt;ROW($A8))))&gt;0))),3,IF(OR(AND(NOT(($C8="")),(IFERROR(VALUE($G8&amp;""),0)&lt;0))),2,IF(OR(($C8="")),1,0)))</f>
        <v/>
      </c>
      <c r="J8" s="3">
        <f>$B8&amp;CHAR(31)&amp;$A8</f>
        <v/>
      </c>
    </row>
    <row r="9">
      <c r="A9" s="3" t="inlineStr">
        <is>
          <t>miercoles</t>
        </is>
      </c>
      <c r="B9" s="3" t="inlineStr">
        <is>
          <t>T2</t>
        </is>
      </c>
      <c r="C9" s="3">
        <f>IF(ISBLANK('Horario semanal'!D5),"",'Horario semanal'!D5)</f>
        <v/>
      </c>
      <c r="D9" s="4" t="inlineStr">
        <is>
          <t>Aula 7</t>
        </is>
      </c>
      <c r="E9" s="3">
        <f>IF(ISNA(MATCH(1,INDEX(EXACT('Plan de la carrera'!$A$4:$A$7,$C9)*1,0),0)),"",IF(ISBLANK(INDEX('Plan de la carrera'!$B$4:$B$7,MATCH(1,INDEX(EXACT('Plan de la carrera'!$A$4:$A$7,$C9)*1,0),0))),"",INDEX('Plan de la carrera'!$B$4:$B$7,MATCH(1,INDEX(EXACT('Plan de la carrera'!$A$4:$A$7,$C9)*1,0),0))))</f>
        <v/>
      </c>
      <c r="F9" s="3">
        <f>SUMPRODUCT(1*((EXACT('Casilla por casilla'!$C$4:$C$12,$C9))))</f>
        <v/>
      </c>
      <c r="G9" s="3">
        <f>(IFERROR(VALUE(IF(ISNA(MATCH(1,INDEX(EXACT('Plan de la carrera'!$A$4:$A$7,$C9)*1,0),0)),0,IF(ISBLANK(INDEX('Plan de la carrera'!$C$4:$C$7,MATCH(1,INDEX(EXACT('Plan de la carrera'!$A$4:$A$7,$C9)*1,0),0))),"",INDEX('Plan de la carrera'!$C$4:$C$7,MATCH(1,INDEX(EXACT('Plan de la carrera'!$A$4:$A$7,$C9)*1,0),0))))&amp;""),0)-IFERROR(VALUE($F9&amp;""),0))</f>
        <v/>
      </c>
      <c r="H9" s="3">
        <f>MID(IF(AND(NOT(($D9="")),(SUMPRODUCT(1*((EXACT('Casilla por casilla'!$A$4:$A$12,$A9)))*((EXACT('Casilla por casilla'!$B$4:$B$12,$B9)))*((EXACT('Casilla por casilla'!$D$4:$D$12,$D9)))*((ROW('Casilla por casilla'!$A$4:$A$12)&lt;&gt;ROW($A9))))&gt;0)),"; "&amp;"Ese local esta ocupado por otro grupo a esa hora","")&amp;IF(AND(NOT(($C9="")),(IFERROR(VALUE($G9&amp;""),0)&lt;0)),"; "&amp;IF(ISNUMBER((IF(ISNUMBER(IF(IFERROR(VALUE((0-IFERROR(VALUE($G9&amp;""),0))&amp;""),0)=1,"Sobra","Sobran")),IF(IF(IFERROR(VALUE((0-IFERROR(VALUE($G9&amp;""),0))&amp;""),0)=1,"Sobra","Sobran")=0,"0",ROUND(IF(IFERROR(VALUE((0-IFERROR(VALUE($G9&amp;""),0))&amp;""),0)=1,"Sobra","Sobran"),9-INT(LOG10(ABS(IF(IFERROR(VALUE((0-IFERROR(VALUE($G9&amp;""),0))&amp;""),0)=1,"Sobra","Sobran")))))&amp;""),IF(IFERROR(VALUE((0-IFERROR(VALUE($G9&amp;""),0))&amp;""),0)=1,"Sobra","Sobran")&amp;"")&amp;" "&amp;IF(ISNUMBER((0-IFERROR(VALUE($G9&amp;""),0))),IF((0-IFERROR(VALUE($G9&amp;""),0))=0,"0",ROUND((0-IFERROR(VALUE($G9&amp;""),0)),9-INT(LOG10(ABS((0-IFERROR(VALUE($G9&amp;""),0))))))&amp;""),(0-IFERROR(VALUE($G9&amp;""),0))&amp;"")&amp;" "&amp;IF(ISNUMBER(IF(IFERROR(VALUE((0-IFERROR(VALUE($G9&amp;""),0))&amp;""),0)=1,"turno","turnos")),IF(IF(IFERROR(VALUE((0-IFERROR(VALUE($G9&amp;""),0))&amp;""),0)=1,"turno","turnos")=0,"0",ROUND(IF(IFERROR(VALUE((0-IFERROR(VALUE($G9&amp;""),0))&amp;""),0)=1,"turno","turnos"),9-INT(LOG10(ABS(IF(IFERROR(VALUE((0-IFERROR(VALUE($G9&amp;""),0))&amp;""),0)=1,"turno","turnos")))))&amp;""),IF(IFERROR(VALUE((0-IFERROR(VALUE($G9&amp;""),0))&amp;""),0)=1,"turno","turnos")&amp;""))),IF((IF(ISNUMBER(IF(IFERROR(VALUE((0-IFERROR(VALUE($G9&amp;""),0))&amp;""),0)=1,"Sobra","Sobran")),IF(IF(IFERROR(VALUE((0-IFERROR(VALUE($G9&amp;""),0))&amp;""),0)=1,"Sobra","Sobran")=0,"0",ROUND(IF(IFERROR(VALUE((0-IFERROR(VALUE($G9&amp;""),0))&amp;""),0)=1,"Sobra","Sobran"),9-INT(LOG10(ABS(IF(IFERROR(VALUE((0-IFERROR(VALUE($G9&amp;""),0))&amp;""),0)=1,"Sobra","Sobran")))))&amp;""),IF(IFERROR(VALUE((0-IFERROR(VALUE($G9&amp;""),0))&amp;""),0)=1,"Sobra","Sobran")&amp;"")&amp;" "&amp;IF(ISNUMBER((0-IFERROR(VALUE($G9&amp;""),0))),IF((0-IFERROR(VALUE($G9&amp;""),0))=0,"0",ROUND((0-IFERROR(VALUE($G9&amp;""),0)),9-INT(LOG10(ABS((0-IFERROR(VALUE($G9&amp;""),0))))))&amp;""),(0-IFERROR(VALUE($G9&amp;""),0))&amp;"")&amp;" "&amp;IF(ISNUMBER(IF(IFERROR(VALUE((0-IFERROR(VALUE($G9&amp;""),0))&amp;""),0)=1,"turno","turnos")),IF(IF(IFERROR(VALUE((0-IFERROR(VALUE($G9&amp;""),0))&amp;""),0)=1,"turno","turnos")=0,"0",ROUND(IF(IFERROR(VALUE((0-IFERROR(VALUE($G9&amp;""),0))&amp;""),0)=1,"turno","turnos"),9-INT(LOG10(ABS(IF(IFERROR(VALUE((0-IFERROR(VALUE($G9&amp;""),0))&amp;""),0)=1,"turno","turnos")))))&amp;""),IF(IFERROR(VALUE((0-IFERROR(VALUE($G9&amp;""),0))&amp;""),0)=1,"turno","turnos")&amp;""))=0,"0",ROUND((IF(ISNUMBER(IF(IFERROR(VALUE((0-IFERROR(VALUE($G9&amp;""),0))&amp;""),0)=1,"Sobra","Sobran")),IF(IF(IFERROR(VALUE((0-IFERROR(VALUE($G9&amp;""),0))&amp;""),0)=1,"Sobra","Sobran")=0,"0",ROUND(IF(IFERROR(VALUE((0-IFERROR(VALUE($G9&amp;""),0))&amp;""),0)=1,"Sobra","Sobran"),9-INT(LOG10(ABS(IF(IFERROR(VALUE((0-IFERROR(VALUE($G9&amp;""),0))&amp;""),0)=1,"Sobra","Sobran")))))&amp;""),IF(IFERROR(VALUE((0-IFERROR(VALUE($G9&amp;""),0))&amp;""),0)=1,"Sobra","Sobran")&amp;"")&amp;" "&amp;IF(ISNUMBER((0-IFERROR(VALUE($G9&amp;""),0))),IF((0-IFERROR(VALUE($G9&amp;""),0))=0,"0",ROUND((0-IFERROR(VALUE($G9&amp;""),0)),9-INT(LOG10(ABS((0-IFERROR(VALUE($G9&amp;""),0))))))&amp;""),(0-IFERROR(VALUE($G9&amp;""),0))&amp;"")&amp;" "&amp;IF(ISNUMBER(IF(IFERROR(VALUE((0-IFERROR(VALUE($G9&amp;""),0))&amp;""),0)=1,"turno","turnos")),IF(IF(IFERROR(VALUE((0-IFERROR(VALUE($G9&amp;""),0))&amp;""),0)=1,"turno","turnos")=0,"0",ROUND(IF(IFERROR(VALUE((0-IFERROR(VALUE($G9&amp;""),0))&amp;""),0)=1,"turno","turnos"),9-INT(LOG10(ABS(IF(IFERROR(VALUE((0-IFERROR(VALUE($G9&amp;""),0))&amp;""),0)=1,"turno","turnos")))))&amp;""),IF(IFERROR(VALUE((0-IFERROR(VALUE($G9&amp;""),0))&amp;""),0)=1,"turno","turnos")&amp;"")),9-INT(LOG10(ABS((IF(ISNUMBER(IF(IFERROR(VALUE((0-IFERROR(VALUE($G9&amp;""),0))&amp;""),0)=1,"Sobra","Sobran")),IF(IF(IFERROR(VALUE((0-IFERROR(VALUE($G9&amp;""),0))&amp;""),0)=1,"Sobra","Sobran")=0,"0",ROUND(IF(IFERROR(VALUE((0-IFERROR(VALUE($G9&amp;""),0))&amp;""),0)=1,"Sobra","Sobran"),9-INT(LOG10(ABS(IF(IFERROR(VALUE((0-IFERROR(VALUE($G9&amp;""),0))&amp;""),0)=1,"Sobra","Sobran")))))&amp;""),IF(IFERROR(VALUE((0-IFERROR(VALUE($G9&amp;""),0))&amp;""),0)=1,"Sobra","Sobran")&amp;"")&amp;" "&amp;IF(ISNUMBER((0-IFERROR(VALUE($G9&amp;""),0))),IF((0-IFERROR(VALUE($G9&amp;""),0))=0,"0",ROUND((0-IFERROR(VALUE($G9&amp;""),0)),9-INT(LOG10(ABS((0-IFERROR(VALUE($G9&amp;""),0))))))&amp;""),(0-IFERROR(VALUE($G9&amp;""),0))&amp;"")&amp;" "&amp;IF(ISNUMBER(IF(IFERROR(VALUE((0-IFERROR(VALUE($G9&amp;""),0))&amp;""),0)=1,"turno","turnos")),IF(IF(IFERROR(VALUE((0-IFERROR(VALUE($G9&amp;""),0))&amp;""),0)=1,"turno","turnos")=0,"0",ROUND(IF(IFERROR(VALUE((0-IFERROR(VALUE($G9&amp;""),0))&amp;""),0)=1,"turno","turnos"),9-INT(LOG10(ABS(IF(IFERROR(VALUE((0-IFERROR(VALUE($G9&amp;""),0))&amp;""),0)=1,"turno","turnos")))))&amp;""),IF(IFERROR(VALUE((0-IFERROR(VALUE($G9&amp;""),0))&amp;""),0)=1,"turno","turnos")&amp;""))))))&amp;""),(IF(ISNUMBER(IF(IFERROR(VALUE((0-IFERROR(VALUE($G9&amp;""),0))&amp;""),0)=1,"Sobra","Sobran")),IF(IF(IFERROR(VALUE((0-IFERROR(VALUE($G9&amp;""),0))&amp;""),0)=1,"Sobra","Sobran")=0,"0",ROUND(IF(IFERROR(VALUE((0-IFERROR(VALUE($G9&amp;""),0))&amp;""),0)=1,"Sobra","Sobran"),9-INT(LOG10(ABS(IF(IFERROR(VALUE((0-IFERROR(VALUE($G9&amp;""),0))&amp;""),0)=1,"Sobra","Sobran")))))&amp;""),IF(IFERROR(VALUE((0-IFERROR(VALUE($G9&amp;""),0))&amp;""),0)=1,"Sobra","Sobran")&amp;"")&amp;" "&amp;IF(ISNUMBER((0-IFERROR(VALUE($G9&amp;""),0))),IF((0-IFERROR(VALUE($G9&amp;""),0))=0,"0",ROUND((0-IFERROR(VALUE($G9&amp;""),0)),9-INT(LOG10(ABS((0-IFERROR(VALUE($G9&amp;""),0))))))&amp;""),(0-IFERROR(VALUE($G9&amp;""),0))&amp;"")&amp;" "&amp;IF(ISNUMBER(IF(IFERROR(VALUE((0-IFERROR(VALUE($G9&amp;""),0))&amp;""),0)=1,"turno","turnos")),IF(IF(IFERROR(VALUE((0-IFERROR(VALUE($G9&amp;""),0))&amp;""),0)=1,"turno","turnos")=0,"0",ROUND(IF(IFERROR(VALUE((0-IFERROR(VALUE($G9&amp;""),0))&amp;""),0)=1,"turno","turnos"),9-INT(LOG10(ABS(IF(IFERROR(VALUE((0-IFERROR(VALUE($G9&amp;""),0))&amp;""),0)=1,"turno","turnos")))))&amp;""),IF(IFERROR(VALUE((0-IFERROR(VALUE($G9&amp;""),0))&amp;""),0)=1,"turno","turnos")&amp;""))&amp;""),"")&amp;IF(($C9=""),"; "&amp;"Turno sin asignar",""),3,32767)</f>
        <v/>
      </c>
      <c r="I9" s="3">
        <f>IF(OR(AND(NOT(($D9="")),(SUMPRODUCT(1*((EXACT('Casilla por casilla'!$A$4:$A$12,$A9)))*((EXACT('Casilla por casilla'!$B$4:$B$12,$B9)))*((EXACT('Casilla por casilla'!$D$4:$D$12,$D9)))*((ROW('Casilla por casilla'!$A$4:$A$12)&lt;&gt;ROW($A9))))&gt;0))),3,IF(OR(AND(NOT(($C9="")),(IFERROR(VALUE($G9&amp;""),0)&lt;0))),2,IF(OR(($C9="")),1,0)))</f>
        <v/>
      </c>
      <c r="J9" s="3">
        <f>$B9&amp;CHAR(31)&amp;$A9</f>
        <v/>
      </c>
    </row>
    <row r="10">
      <c r="A10" s="3" t="inlineStr">
        <is>
          <t>lunes</t>
        </is>
      </c>
      <c r="B10" s="3" t="inlineStr">
        <is>
          <t>T3</t>
        </is>
      </c>
      <c r="C10" s="3">
        <f>IF(ISBLANK('Horario semanal'!B6),"",'Horario semanal'!B6)</f>
        <v/>
      </c>
      <c r="D10" s="4" t="n"/>
      <c r="E10" s="3">
        <f>IF(ISNA(MATCH(1,INDEX(EXACT('Plan de la carrera'!$A$4:$A$7,$C10)*1,0),0)),"",IF(ISBLANK(INDEX('Plan de la carrera'!$B$4:$B$7,MATCH(1,INDEX(EXACT('Plan de la carrera'!$A$4:$A$7,$C10)*1,0),0))),"",INDEX('Plan de la carrera'!$B$4:$B$7,MATCH(1,INDEX(EXACT('Plan de la carrera'!$A$4:$A$7,$C10)*1,0),0))))</f>
        <v/>
      </c>
      <c r="F10" s="3">
        <f>SUMPRODUCT(1*((EXACT('Casilla por casilla'!$C$4:$C$12,$C10))))</f>
        <v/>
      </c>
      <c r="G10" s="3">
        <f>(IFERROR(VALUE(IF(ISNA(MATCH(1,INDEX(EXACT('Plan de la carrera'!$A$4:$A$7,$C10)*1,0),0)),0,IF(ISBLANK(INDEX('Plan de la carrera'!$C$4:$C$7,MATCH(1,INDEX(EXACT('Plan de la carrera'!$A$4:$A$7,$C10)*1,0),0))),"",INDEX('Plan de la carrera'!$C$4:$C$7,MATCH(1,INDEX(EXACT('Plan de la carrera'!$A$4:$A$7,$C10)*1,0),0))))&amp;""),0)-IFERROR(VALUE($F10&amp;""),0))</f>
        <v/>
      </c>
      <c r="H10" s="3">
        <f>MID(IF(AND(NOT(($D10="")),(SUMPRODUCT(1*((EXACT('Casilla por casilla'!$A$4:$A$12,$A10)))*((EXACT('Casilla por casilla'!$B$4:$B$12,$B10)))*((EXACT('Casilla por casilla'!$D$4:$D$12,$D10)))*((ROW('Casilla por casilla'!$A$4:$A$12)&lt;&gt;ROW($A10))))&gt;0)),"; "&amp;"Ese local esta ocupado por otro grupo a esa hora","")&amp;IF(AND(NOT(($C10="")),(IFERROR(VALUE($G10&amp;""),0)&lt;0)),"; "&amp;IF(ISNUMBER((IF(ISNUMBER(IF(IFERROR(VALUE((0-IFERROR(VALUE($G10&amp;""),0))&amp;""),0)=1,"Sobra","Sobran")),IF(IF(IFERROR(VALUE((0-IFERROR(VALUE($G10&amp;""),0))&amp;""),0)=1,"Sobra","Sobran")=0,"0",ROUND(IF(IFERROR(VALUE((0-IFERROR(VALUE($G10&amp;""),0))&amp;""),0)=1,"Sobra","Sobran"),9-INT(LOG10(ABS(IF(IFERROR(VALUE((0-IFERROR(VALUE($G10&amp;""),0))&amp;""),0)=1,"Sobra","Sobran")))))&amp;""),IF(IFERROR(VALUE((0-IFERROR(VALUE($G10&amp;""),0))&amp;""),0)=1,"Sobra","Sobran")&amp;"")&amp;" "&amp;IF(ISNUMBER((0-IFERROR(VALUE($G10&amp;""),0))),IF((0-IFERROR(VALUE($G10&amp;""),0))=0,"0",ROUND((0-IFERROR(VALUE($G10&amp;""),0)),9-INT(LOG10(ABS((0-IFERROR(VALUE($G10&amp;""),0))))))&amp;""),(0-IFERROR(VALUE($G10&amp;""),0))&amp;"")&amp;" "&amp;IF(ISNUMBER(IF(IFERROR(VALUE((0-IFERROR(VALUE($G10&amp;""),0))&amp;""),0)=1,"turno","turnos")),IF(IF(IFERROR(VALUE((0-IFERROR(VALUE($G10&amp;""),0))&amp;""),0)=1,"turno","turnos")=0,"0",ROUND(IF(IFERROR(VALUE((0-IFERROR(VALUE($G10&amp;""),0))&amp;""),0)=1,"turno","turnos"),9-INT(LOG10(ABS(IF(IFERROR(VALUE((0-IFERROR(VALUE($G10&amp;""),0))&amp;""),0)=1,"turno","turnos")))))&amp;""),IF(IFERROR(VALUE((0-IFERROR(VALUE($G10&amp;""),0))&amp;""),0)=1,"turno","turnos")&amp;""))),IF((IF(ISNUMBER(IF(IFERROR(VALUE((0-IFERROR(VALUE($G10&amp;""),0))&amp;""),0)=1,"Sobra","Sobran")),IF(IF(IFERROR(VALUE((0-IFERROR(VALUE($G10&amp;""),0))&amp;""),0)=1,"Sobra","Sobran")=0,"0",ROUND(IF(IFERROR(VALUE((0-IFERROR(VALUE($G10&amp;""),0))&amp;""),0)=1,"Sobra","Sobran"),9-INT(LOG10(ABS(IF(IFERROR(VALUE((0-IFERROR(VALUE($G10&amp;""),0))&amp;""),0)=1,"Sobra","Sobran")))))&amp;""),IF(IFERROR(VALUE((0-IFERROR(VALUE($G10&amp;""),0))&amp;""),0)=1,"Sobra","Sobran")&amp;"")&amp;" "&amp;IF(ISNUMBER((0-IFERROR(VALUE($G10&amp;""),0))),IF((0-IFERROR(VALUE($G10&amp;""),0))=0,"0",ROUND((0-IFERROR(VALUE($G10&amp;""),0)),9-INT(LOG10(ABS((0-IFERROR(VALUE($G10&amp;""),0))))))&amp;""),(0-IFERROR(VALUE($G10&amp;""),0))&amp;"")&amp;" "&amp;IF(ISNUMBER(IF(IFERROR(VALUE((0-IFERROR(VALUE($G10&amp;""),0))&amp;""),0)=1,"turno","turnos")),IF(IF(IFERROR(VALUE((0-IFERROR(VALUE($G10&amp;""),0))&amp;""),0)=1,"turno","turnos")=0,"0",ROUND(IF(IFERROR(VALUE((0-IFERROR(VALUE($G10&amp;""),0))&amp;""),0)=1,"turno","turnos"),9-INT(LOG10(ABS(IF(IFERROR(VALUE((0-IFERROR(VALUE($G10&amp;""),0))&amp;""),0)=1,"turno","turnos")))))&amp;""),IF(IFERROR(VALUE((0-IFERROR(VALUE($G10&amp;""),0))&amp;""),0)=1,"turno","turnos")&amp;""))=0,"0",ROUND((IF(ISNUMBER(IF(IFERROR(VALUE((0-IFERROR(VALUE($G10&amp;""),0))&amp;""),0)=1,"Sobra","Sobran")),IF(IF(IFERROR(VALUE((0-IFERROR(VALUE($G10&amp;""),0))&amp;""),0)=1,"Sobra","Sobran")=0,"0",ROUND(IF(IFERROR(VALUE((0-IFERROR(VALUE($G10&amp;""),0))&amp;""),0)=1,"Sobra","Sobran"),9-INT(LOG10(ABS(IF(IFERROR(VALUE((0-IFERROR(VALUE($G10&amp;""),0))&amp;""),0)=1,"Sobra","Sobran")))))&amp;""),IF(IFERROR(VALUE((0-IFERROR(VALUE($G10&amp;""),0))&amp;""),0)=1,"Sobra","Sobran")&amp;"")&amp;" "&amp;IF(ISNUMBER((0-IFERROR(VALUE($G10&amp;""),0))),IF((0-IFERROR(VALUE($G10&amp;""),0))=0,"0",ROUND((0-IFERROR(VALUE($G10&amp;""),0)),9-INT(LOG10(ABS((0-IFERROR(VALUE($G10&amp;""),0))))))&amp;""),(0-IFERROR(VALUE($G10&amp;""),0))&amp;"")&amp;" "&amp;IF(ISNUMBER(IF(IFERROR(VALUE((0-IFERROR(VALUE($G10&amp;""),0))&amp;""),0)=1,"turno","turnos")),IF(IF(IFERROR(VALUE((0-IFERROR(VALUE($G10&amp;""),0))&amp;""),0)=1,"turno","turnos")=0,"0",ROUND(IF(IFERROR(VALUE((0-IFERROR(VALUE($G10&amp;""),0))&amp;""),0)=1,"turno","turnos"),9-INT(LOG10(ABS(IF(IFERROR(VALUE((0-IFERROR(VALUE($G10&amp;""),0))&amp;""),0)=1,"turno","turnos")))))&amp;""),IF(IFERROR(VALUE((0-IFERROR(VALUE($G10&amp;""),0))&amp;""),0)=1,"turno","turnos")&amp;"")),9-INT(LOG10(ABS((IF(ISNUMBER(IF(IFERROR(VALUE((0-IFERROR(VALUE($G10&amp;""),0))&amp;""),0)=1,"Sobra","Sobran")),IF(IF(IFERROR(VALUE((0-IFERROR(VALUE($G10&amp;""),0))&amp;""),0)=1,"Sobra","Sobran")=0,"0",ROUND(IF(IFERROR(VALUE((0-IFERROR(VALUE($G10&amp;""),0))&amp;""),0)=1,"Sobra","Sobran"),9-INT(LOG10(ABS(IF(IFERROR(VALUE((0-IFERROR(VALUE($G10&amp;""),0))&amp;""),0)=1,"Sobra","Sobran")))))&amp;""),IF(IFERROR(VALUE((0-IFERROR(VALUE($G10&amp;""),0))&amp;""),0)=1,"Sobra","Sobran")&amp;"")&amp;" "&amp;IF(ISNUMBER((0-IFERROR(VALUE($G10&amp;""),0))),IF((0-IFERROR(VALUE($G10&amp;""),0))=0,"0",ROUND((0-IFERROR(VALUE($G10&amp;""),0)),9-INT(LOG10(ABS((0-IFERROR(VALUE($G10&amp;""),0))))))&amp;""),(0-IFERROR(VALUE($G10&amp;""),0))&amp;"")&amp;" "&amp;IF(ISNUMBER(IF(IFERROR(VALUE((0-IFERROR(VALUE($G10&amp;""),0))&amp;""),0)=1,"turno","turnos")),IF(IF(IFERROR(VALUE((0-IFERROR(VALUE($G10&amp;""),0))&amp;""),0)=1,"turno","turnos")=0,"0",ROUND(IF(IFERROR(VALUE((0-IFERROR(VALUE($G10&amp;""),0))&amp;""),0)=1,"turno","turnos"),9-INT(LOG10(ABS(IF(IFERROR(VALUE((0-IFERROR(VALUE($G10&amp;""),0))&amp;""),0)=1,"turno","turnos")))))&amp;""),IF(IFERROR(VALUE((0-IFERROR(VALUE($G10&amp;""),0))&amp;""),0)=1,"turno","turnos")&amp;""))))))&amp;""),(IF(ISNUMBER(IF(IFERROR(VALUE((0-IFERROR(VALUE($G10&amp;""),0))&amp;""),0)=1,"Sobra","Sobran")),IF(IF(IFERROR(VALUE((0-IFERROR(VALUE($G10&amp;""),0))&amp;""),0)=1,"Sobra","Sobran")=0,"0",ROUND(IF(IFERROR(VALUE((0-IFERROR(VALUE($G10&amp;""),0))&amp;""),0)=1,"Sobra","Sobran"),9-INT(LOG10(ABS(IF(IFERROR(VALUE((0-IFERROR(VALUE($G10&amp;""),0))&amp;""),0)=1,"Sobra","Sobran")))))&amp;""),IF(IFERROR(VALUE((0-IFERROR(VALUE($G10&amp;""),0))&amp;""),0)=1,"Sobra","Sobran")&amp;"")&amp;" "&amp;IF(ISNUMBER((0-IFERROR(VALUE($G10&amp;""),0))),IF((0-IFERROR(VALUE($G10&amp;""),0))=0,"0",ROUND((0-IFERROR(VALUE($G10&amp;""),0)),9-INT(LOG10(ABS((0-IFERROR(VALUE($G10&amp;""),0))))))&amp;""),(0-IFERROR(VALUE($G10&amp;""),0))&amp;"")&amp;" "&amp;IF(ISNUMBER(IF(IFERROR(VALUE((0-IFERROR(VALUE($G10&amp;""),0))&amp;""),0)=1,"turno","turnos")),IF(IF(IFERROR(VALUE((0-IFERROR(VALUE($G10&amp;""),0))&amp;""),0)=1,"turno","turnos")=0,"0",ROUND(IF(IFERROR(VALUE((0-IFERROR(VALUE($G10&amp;""),0))&amp;""),0)=1,"turno","turnos"),9-INT(LOG10(ABS(IF(IFERROR(VALUE((0-IFERROR(VALUE($G10&amp;""),0))&amp;""),0)=1,"turno","turnos")))))&amp;""),IF(IFERROR(VALUE((0-IFERROR(VALUE($G10&amp;""),0))&amp;""),0)=1,"turno","turnos")&amp;""))&amp;""),"")&amp;IF(($C10=""),"; "&amp;"Turno sin asignar",""),3,32767)</f>
        <v/>
      </c>
      <c r="I10" s="3">
        <f>IF(OR(AND(NOT(($D10="")),(SUMPRODUCT(1*((EXACT('Casilla por casilla'!$A$4:$A$12,$A10)))*((EXACT('Casilla por casilla'!$B$4:$B$12,$B10)))*((EXACT('Casilla por casilla'!$D$4:$D$12,$D10)))*((ROW('Casilla por casilla'!$A$4:$A$12)&lt;&gt;ROW($A10))))&gt;0))),3,IF(OR(AND(NOT(($C10="")),(IFERROR(VALUE($G10&amp;""),0)&lt;0))),2,IF(OR(($C10="")),1,0)))</f>
        <v/>
      </c>
      <c r="J10" s="3">
        <f>$B10&amp;CHAR(31)&amp;$A10</f>
        <v/>
      </c>
    </row>
    <row r="11">
      <c r="A11" s="3" t="inlineStr">
        <is>
          <t>martes</t>
        </is>
      </c>
      <c r="B11" s="3" t="inlineStr">
        <is>
          <t>T3</t>
        </is>
      </c>
      <c r="C11" s="3">
        <f>IF(ISBLANK('Horario semanal'!C6),"",'Horario semanal'!C6)</f>
        <v/>
      </c>
      <c r="D11" s="4" t="inlineStr">
        <is>
          <t>Aula 7</t>
        </is>
      </c>
      <c r="E11" s="3">
        <f>IF(ISNA(MATCH(1,INDEX(EXACT('Plan de la carrera'!$A$4:$A$7,$C11)*1,0),0)),"",IF(ISBLANK(INDEX('Plan de la carrera'!$B$4:$B$7,MATCH(1,INDEX(EXACT('Plan de la carrera'!$A$4:$A$7,$C11)*1,0),0))),"",INDEX('Plan de la carrera'!$B$4:$B$7,MATCH(1,INDEX(EXACT('Plan de la carrera'!$A$4:$A$7,$C11)*1,0),0))))</f>
        <v/>
      </c>
      <c r="F11" s="3">
        <f>SUMPRODUCT(1*((EXACT('Casilla por casilla'!$C$4:$C$12,$C11))))</f>
        <v/>
      </c>
      <c r="G11" s="3">
        <f>(IFERROR(VALUE(IF(ISNA(MATCH(1,INDEX(EXACT('Plan de la carrera'!$A$4:$A$7,$C11)*1,0),0)),0,IF(ISBLANK(INDEX('Plan de la carrera'!$C$4:$C$7,MATCH(1,INDEX(EXACT('Plan de la carrera'!$A$4:$A$7,$C11)*1,0),0))),"",INDEX('Plan de la carrera'!$C$4:$C$7,MATCH(1,INDEX(EXACT('Plan de la carrera'!$A$4:$A$7,$C11)*1,0),0))))&amp;""),0)-IFERROR(VALUE($F11&amp;""),0))</f>
        <v/>
      </c>
      <c r="H11" s="3">
        <f>MID(IF(AND(NOT(($D11="")),(SUMPRODUCT(1*((EXACT('Casilla por casilla'!$A$4:$A$12,$A11)))*((EXACT('Casilla por casilla'!$B$4:$B$12,$B11)))*((EXACT('Casilla por casilla'!$D$4:$D$12,$D11)))*((ROW('Casilla por casilla'!$A$4:$A$12)&lt;&gt;ROW($A11))))&gt;0)),"; "&amp;"Ese local esta ocupado por otro grupo a esa hora","")&amp;IF(AND(NOT(($C11="")),(IFERROR(VALUE($G11&amp;""),0)&lt;0)),"; "&amp;IF(ISNUMBER((IF(ISNUMBER(IF(IFERROR(VALUE((0-IFERROR(VALUE($G11&amp;""),0))&amp;""),0)=1,"Sobra","Sobran")),IF(IF(IFERROR(VALUE((0-IFERROR(VALUE($G11&amp;""),0))&amp;""),0)=1,"Sobra","Sobran")=0,"0",ROUND(IF(IFERROR(VALUE((0-IFERROR(VALUE($G11&amp;""),0))&amp;""),0)=1,"Sobra","Sobran"),9-INT(LOG10(ABS(IF(IFERROR(VALUE((0-IFERROR(VALUE($G11&amp;""),0))&amp;""),0)=1,"Sobra","Sobran")))))&amp;""),IF(IFERROR(VALUE((0-IFERROR(VALUE($G11&amp;""),0))&amp;""),0)=1,"Sobra","Sobran")&amp;"")&amp;" "&amp;IF(ISNUMBER((0-IFERROR(VALUE($G11&amp;""),0))),IF((0-IFERROR(VALUE($G11&amp;""),0))=0,"0",ROUND((0-IFERROR(VALUE($G11&amp;""),0)),9-INT(LOG10(ABS((0-IFERROR(VALUE($G11&amp;""),0))))))&amp;""),(0-IFERROR(VALUE($G11&amp;""),0))&amp;"")&amp;" "&amp;IF(ISNUMBER(IF(IFERROR(VALUE((0-IFERROR(VALUE($G11&amp;""),0))&amp;""),0)=1,"turno","turnos")),IF(IF(IFERROR(VALUE((0-IFERROR(VALUE($G11&amp;""),0))&amp;""),0)=1,"turno","turnos")=0,"0",ROUND(IF(IFERROR(VALUE((0-IFERROR(VALUE($G11&amp;""),0))&amp;""),0)=1,"turno","turnos"),9-INT(LOG10(ABS(IF(IFERROR(VALUE((0-IFERROR(VALUE($G11&amp;""),0))&amp;""),0)=1,"turno","turnos")))))&amp;""),IF(IFERROR(VALUE((0-IFERROR(VALUE($G11&amp;""),0))&amp;""),0)=1,"turno","turnos")&amp;""))),IF((IF(ISNUMBER(IF(IFERROR(VALUE((0-IFERROR(VALUE($G11&amp;""),0))&amp;""),0)=1,"Sobra","Sobran")),IF(IF(IFERROR(VALUE((0-IFERROR(VALUE($G11&amp;""),0))&amp;""),0)=1,"Sobra","Sobran")=0,"0",ROUND(IF(IFERROR(VALUE((0-IFERROR(VALUE($G11&amp;""),0))&amp;""),0)=1,"Sobra","Sobran"),9-INT(LOG10(ABS(IF(IFERROR(VALUE((0-IFERROR(VALUE($G11&amp;""),0))&amp;""),0)=1,"Sobra","Sobran")))))&amp;""),IF(IFERROR(VALUE((0-IFERROR(VALUE($G11&amp;""),0))&amp;""),0)=1,"Sobra","Sobran")&amp;"")&amp;" "&amp;IF(ISNUMBER((0-IFERROR(VALUE($G11&amp;""),0))),IF((0-IFERROR(VALUE($G11&amp;""),0))=0,"0",ROUND((0-IFERROR(VALUE($G11&amp;""),0)),9-INT(LOG10(ABS((0-IFERROR(VALUE($G11&amp;""),0))))))&amp;""),(0-IFERROR(VALUE($G11&amp;""),0))&amp;"")&amp;" "&amp;IF(ISNUMBER(IF(IFERROR(VALUE((0-IFERROR(VALUE($G11&amp;""),0))&amp;""),0)=1,"turno","turnos")),IF(IF(IFERROR(VALUE((0-IFERROR(VALUE($G11&amp;""),0))&amp;""),0)=1,"turno","turnos")=0,"0",ROUND(IF(IFERROR(VALUE((0-IFERROR(VALUE($G11&amp;""),0))&amp;""),0)=1,"turno","turnos"),9-INT(LOG10(ABS(IF(IFERROR(VALUE((0-IFERROR(VALUE($G11&amp;""),0))&amp;""),0)=1,"turno","turnos")))))&amp;""),IF(IFERROR(VALUE((0-IFERROR(VALUE($G11&amp;""),0))&amp;""),0)=1,"turno","turnos")&amp;""))=0,"0",ROUND((IF(ISNUMBER(IF(IFERROR(VALUE((0-IFERROR(VALUE($G11&amp;""),0))&amp;""),0)=1,"Sobra","Sobran")),IF(IF(IFERROR(VALUE((0-IFERROR(VALUE($G11&amp;""),0))&amp;""),0)=1,"Sobra","Sobran")=0,"0",ROUND(IF(IFERROR(VALUE((0-IFERROR(VALUE($G11&amp;""),0))&amp;""),0)=1,"Sobra","Sobran"),9-INT(LOG10(ABS(IF(IFERROR(VALUE((0-IFERROR(VALUE($G11&amp;""),0))&amp;""),0)=1,"Sobra","Sobran")))))&amp;""),IF(IFERROR(VALUE((0-IFERROR(VALUE($G11&amp;""),0))&amp;""),0)=1,"Sobra","Sobran")&amp;"")&amp;" "&amp;IF(ISNUMBER((0-IFERROR(VALUE($G11&amp;""),0))),IF((0-IFERROR(VALUE($G11&amp;""),0))=0,"0",ROUND((0-IFERROR(VALUE($G11&amp;""),0)),9-INT(LOG10(ABS((0-IFERROR(VALUE($G11&amp;""),0))))))&amp;""),(0-IFERROR(VALUE($G11&amp;""),0))&amp;"")&amp;" "&amp;IF(ISNUMBER(IF(IFERROR(VALUE((0-IFERROR(VALUE($G11&amp;""),0))&amp;""),0)=1,"turno","turnos")),IF(IF(IFERROR(VALUE((0-IFERROR(VALUE($G11&amp;""),0))&amp;""),0)=1,"turno","turnos")=0,"0",ROUND(IF(IFERROR(VALUE((0-IFERROR(VALUE($G11&amp;""),0))&amp;""),0)=1,"turno","turnos"),9-INT(LOG10(ABS(IF(IFERROR(VALUE((0-IFERROR(VALUE($G11&amp;""),0))&amp;""),0)=1,"turno","turnos")))))&amp;""),IF(IFERROR(VALUE((0-IFERROR(VALUE($G11&amp;""),0))&amp;""),0)=1,"turno","turnos")&amp;"")),9-INT(LOG10(ABS((IF(ISNUMBER(IF(IFERROR(VALUE((0-IFERROR(VALUE($G11&amp;""),0))&amp;""),0)=1,"Sobra","Sobran")),IF(IF(IFERROR(VALUE((0-IFERROR(VALUE($G11&amp;""),0))&amp;""),0)=1,"Sobra","Sobran")=0,"0",ROUND(IF(IFERROR(VALUE((0-IFERROR(VALUE($G11&amp;""),0))&amp;""),0)=1,"Sobra","Sobran"),9-INT(LOG10(ABS(IF(IFERROR(VALUE((0-IFERROR(VALUE($G11&amp;""),0))&amp;""),0)=1,"Sobra","Sobran")))))&amp;""),IF(IFERROR(VALUE((0-IFERROR(VALUE($G11&amp;""),0))&amp;""),0)=1,"Sobra","Sobran")&amp;"")&amp;" "&amp;IF(ISNUMBER((0-IFERROR(VALUE($G11&amp;""),0))),IF((0-IFERROR(VALUE($G11&amp;""),0))=0,"0",ROUND((0-IFERROR(VALUE($G11&amp;""),0)),9-INT(LOG10(ABS((0-IFERROR(VALUE($G11&amp;""),0))))))&amp;""),(0-IFERROR(VALUE($G11&amp;""),0))&amp;"")&amp;" "&amp;IF(ISNUMBER(IF(IFERROR(VALUE((0-IFERROR(VALUE($G11&amp;""),0))&amp;""),0)=1,"turno","turnos")),IF(IF(IFERROR(VALUE((0-IFERROR(VALUE($G11&amp;""),0))&amp;""),0)=1,"turno","turnos")=0,"0",ROUND(IF(IFERROR(VALUE((0-IFERROR(VALUE($G11&amp;""),0))&amp;""),0)=1,"turno","turnos"),9-INT(LOG10(ABS(IF(IFERROR(VALUE((0-IFERROR(VALUE($G11&amp;""),0))&amp;""),0)=1,"turno","turnos")))))&amp;""),IF(IFERROR(VALUE((0-IFERROR(VALUE($G11&amp;""),0))&amp;""),0)=1,"turno","turnos")&amp;""))))))&amp;""),(IF(ISNUMBER(IF(IFERROR(VALUE((0-IFERROR(VALUE($G11&amp;""),0))&amp;""),0)=1,"Sobra","Sobran")),IF(IF(IFERROR(VALUE((0-IFERROR(VALUE($G11&amp;""),0))&amp;""),0)=1,"Sobra","Sobran")=0,"0",ROUND(IF(IFERROR(VALUE((0-IFERROR(VALUE($G11&amp;""),0))&amp;""),0)=1,"Sobra","Sobran"),9-INT(LOG10(ABS(IF(IFERROR(VALUE((0-IFERROR(VALUE($G11&amp;""),0))&amp;""),0)=1,"Sobra","Sobran")))))&amp;""),IF(IFERROR(VALUE((0-IFERROR(VALUE($G11&amp;""),0))&amp;""),0)=1,"Sobra","Sobran")&amp;"")&amp;" "&amp;IF(ISNUMBER((0-IFERROR(VALUE($G11&amp;""),0))),IF((0-IFERROR(VALUE($G11&amp;""),0))=0,"0",ROUND((0-IFERROR(VALUE($G11&amp;""),0)),9-INT(LOG10(ABS((0-IFERROR(VALUE($G11&amp;""),0))))))&amp;""),(0-IFERROR(VALUE($G11&amp;""),0))&amp;"")&amp;" "&amp;IF(ISNUMBER(IF(IFERROR(VALUE((0-IFERROR(VALUE($G11&amp;""),0))&amp;""),0)=1,"turno","turnos")),IF(IF(IFERROR(VALUE((0-IFERROR(VALUE($G11&amp;""),0))&amp;""),0)=1,"turno","turnos")=0,"0",ROUND(IF(IFERROR(VALUE((0-IFERROR(VALUE($G11&amp;""),0))&amp;""),0)=1,"turno","turnos"),9-INT(LOG10(ABS(IF(IFERROR(VALUE((0-IFERROR(VALUE($G11&amp;""),0))&amp;""),0)=1,"turno","turnos")))))&amp;""),IF(IFERROR(VALUE((0-IFERROR(VALUE($G11&amp;""),0))&amp;""),0)=1,"turno","turnos")&amp;""))&amp;""),"")&amp;IF(($C11=""),"; "&amp;"Turno sin asignar",""),3,32767)</f>
        <v/>
      </c>
      <c r="I11" s="3">
        <f>IF(OR(AND(NOT(($D11="")),(SUMPRODUCT(1*((EXACT('Casilla por casilla'!$A$4:$A$12,$A11)))*((EXACT('Casilla por casilla'!$B$4:$B$12,$B11)))*((EXACT('Casilla por casilla'!$D$4:$D$12,$D11)))*((ROW('Casilla por casilla'!$A$4:$A$12)&lt;&gt;ROW($A11))))&gt;0))),3,IF(OR(AND(NOT(($C11="")),(IFERROR(VALUE($G11&amp;""),0)&lt;0))),2,IF(OR(($C11="")),1,0)))</f>
        <v/>
      </c>
      <c r="J11" s="3">
        <f>$B11&amp;CHAR(31)&amp;$A11</f>
        <v/>
      </c>
    </row>
    <row r="12">
      <c r="A12" s="3" t="inlineStr">
        <is>
          <t>miercoles</t>
        </is>
      </c>
      <c r="B12" s="3" t="inlineStr">
        <is>
          <t>T3</t>
        </is>
      </c>
      <c r="C12" s="3">
        <f>IF(ISBLANK('Horario semanal'!D6),"",'Horario semanal'!D6)</f>
        <v/>
      </c>
      <c r="D12" s="4" t="n"/>
      <c r="E12" s="3">
        <f>IF(ISNA(MATCH(1,INDEX(EXACT('Plan de la carrera'!$A$4:$A$7,$C12)*1,0),0)),"",IF(ISBLANK(INDEX('Plan de la carrera'!$B$4:$B$7,MATCH(1,INDEX(EXACT('Plan de la carrera'!$A$4:$A$7,$C12)*1,0),0))),"",INDEX('Plan de la carrera'!$B$4:$B$7,MATCH(1,INDEX(EXACT('Plan de la carrera'!$A$4:$A$7,$C12)*1,0),0))))</f>
        <v/>
      </c>
      <c r="F12" s="3">
        <f>SUMPRODUCT(1*((EXACT('Casilla por casilla'!$C$4:$C$12,$C12))))</f>
        <v/>
      </c>
      <c r="G12" s="3">
        <f>(IFERROR(VALUE(IF(ISNA(MATCH(1,INDEX(EXACT('Plan de la carrera'!$A$4:$A$7,$C12)*1,0),0)),0,IF(ISBLANK(INDEX('Plan de la carrera'!$C$4:$C$7,MATCH(1,INDEX(EXACT('Plan de la carrera'!$A$4:$A$7,$C12)*1,0),0))),"",INDEX('Plan de la carrera'!$C$4:$C$7,MATCH(1,INDEX(EXACT('Plan de la carrera'!$A$4:$A$7,$C12)*1,0),0))))&amp;""),0)-IFERROR(VALUE($F12&amp;""),0))</f>
        <v/>
      </c>
      <c r="H12" s="3">
        <f>MID(IF(AND(NOT(($D12="")),(SUMPRODUCT(1*((EXACT('Casilla por casilla'!$A$4:$A$12,$A12)))*((EXACT('Casilla por casilla'!$B$4:$B$12,$B12)))*((EXACT('Casilla por casilla'!$D$4:$D$12,$D12)))*((ROW('Casilla por casilla'!$A$4:$A$12)&lt;&gt;ROW($A12))))&gt;0)),"; "&amp;"Ese local esta ocupado por otro grupo a esa hora","")&amp;IF(AND(NOT(($C12="")),(IFERROR(VALUE($G12&amp;""),0)&lt;0)),"; "&amp;IF(ISNUMBER((IF(ISNUMBER(IF(IFERROR(VALUE((0-IFERROR(VALUE($G12&amp;""),0))&amp;""),0)=1,"Sobra","Sobran")),IF(IF(IFERROR(VALUE((0-IFERROR(VALUE($G12&amp;""),0))&amp;""),0)=1,"Sobra","Sobran")=0,"0",ROUND(IF(IFERROR(VALUE((0-IFERROR(VALUE($G12&amp;""),0))&amp;""),0)=1,"Sobra","Sobran"),9-INT(LOG10(ABS(IF(IFERROR(VALUE((0-IFERROR(VALUE($G12&amp;""),0))&amp;""),0)=1,"Sobra","Sobran")))))&amp;""),IF(IFERROR(VALUE((0-IFERROR(VALUE($G12&amp;""),0))&amp;""),0)=1,"Sobra","Sobran")&amp;"")&amp;" "&amp;IF(ISNUMBER((0-IFERROR(VALUE($G12&amp;""),0))),IF((0-IFERROR(VALUE($G12&amp;""),0))=0,"0",ROUND((0-IFERROR(VALUE($G12&amp;""),0)),9-INT(LOG10(ABS((0-IFERROR(VALUE($G12&amp;""),0))))))&amp;""),(0-IFERROR(VALUE($G12&amp;""),0))&amp;"")&amp;" "&amp;IF(ISNUMBER(IF(IFERROR(VALUE((0-IFERROR(VALUE($G12&amp;""),0))&amp;""),0)=1,"turno","turnos")),IF(IF(IFERROR(VALUE((0-IFERROR(VALUE($G12&amp;""),0))&amp;""),0)=1,"turno","turnos")=0,"0",ROUND(IF(IFERROR(VALUE((0-IFERROR(VALUE($G12&amp;""),0))&amp;""),0)=1,"turno","turnos"),9-INT(LOG10(ABS(IF(IFERROR(VALUE((0-IFERROR(VALUE($G12&amp;""),0))&amp;""),0)=1,"turno","turnos")))))&amp;""),IF(IFERROR(VALUE((0-IFERROR(VALUE($G12&amp;""),0))&amp;""),0)=1,"turno","turnos")&amp;""))),IF((IF(ISNUMBER(IF(IFERROR(VALUE((0-IFERROR(VALUE($G12&amp;""),0))&amp;""),0)=1,"Sobra","Sobran")),IF(IF(IFERROR(VALUE((0-IFERROR(VALUE($G12&amp;""),0))&amp;""),0)=1,"Sobra","Sobran")=0,"0",ROUND(IF(IFERROR(VALUE((0-IFERROR(VALUE($G12&amp;""),0))&amp;""),0)=1,"Sobra","Sobran"),9-INT(LOG10(ABS(IF(IFERROR(VALUE((0-IFERROR(VALUE($G12&amp;""),0))&amp;""),0)=1,"Sobra","Sobran")))))&amp;""),IF(IFERROR(VALUE((0-IFERROR(VALUE($G12&amp;""),0))&amp;""),0)=1,"Sobra","Sobran")&amp;"")&amp;" "&amp;IF(ISNUMBER((0-IFERROR(VALUE($G12&amp;""),0))),IF((0-IFERROR(VALUE($G12&amp;""),0))=0,"0",ROUND((0-IFERROR(VALUE($G12&amp;""),0)),9-INT(LOG10(ABS((0-IFERROR(VALUE($G12&amp;""),0))))))&amp;""),(0-IFERROR(VALUE($G12&amp;""),0))&amp;"")&amp;" "&amp;IF(ISNUMBER(IF(IFERROR(VALUE((0-IFERROR(VALUE($G12&amp;""),0))&amp;""),0)=1,"turno","turnos")),IF(IF(IFERROR(VALUE((0-IFERROR(VALUE($G12&amp;""),0))&amp;""),0)=1,"turno","turnos")=0,"0",ROUND(IF(IFERROR(VALUE((0-IFERROR(VALUE($G12&amp;""),0))&amp;""),0)=1,"turno","turnos"),9-INT(LOG10(ABS(IF(IFERROR(VALUE((0-IFERROR(VALUE($G12&amp;""),0))&amp;""),0)=1,"turno","turnos")))))&amp;""),IF(IFERROR(VALUE((0-IFERROR(VALUE($G12&amp;""),0))&amp;""),0)=1,"turno","turnos")&amp;""))=0,"0",ROUND((IF(ISNUMBER(IF(IFERROR(VALUE((0-IFERROR(VALUE($G12&amp;""),0))&amp;""),0)=1,"Sobra","Sobran")),IF(IF(IFERROR(VALUE((0-IFERROR(VALUE($G12&amp;""),0))&amp;""),0)=1,"Sobra","Sobran")=0,"0",ROUND(IF(IFERROR(VALUE((0-IFERROR(VALUE($G12&amp;""),0))&amp;""),0)=1,"Sobra","Sobran"),9-INT(LOG10(ABS(IF(IFERROR(VALUE((0-IFERROR(VALUE($G12&amp;""),0))&amp;""),0)=1,"Sobra","Sobran")))))&amp;""),IF(IFERROR(VALUE((0-IFERROR(VALUE($G12&amp;""),0))&amp;""),0)=1,"Sobra","Sobran")&amp;"")&amp;" "&amp;IF(ISNUMBER((0-IFERROR(VALUE($G12&amp;""),0))),IF((0-IFERROR(VALUE($G12&amp;""),0))=0,"0",ROUND((0-IFERROR(VALUE($G12&amp;""),0)),9-INT(LOG10(ABS((0-IFERROR(VALUE($G12&amp;""),0))))))&amp;""),(0-IFERROR(VALUE($G12&amp;""),0))&amp;"")&amp;" "&amp;IF(ISNUMBER(IF(IFERROR(VALUE((0-IFERROR(VALUE($G12&amp;""),0))&amp;""),0)=1,"turno","turnos")),IF(IF(IFERROR(VALUE((0-IFERROR(VALUE($G12&amp;""),0))&amp;""),0)=1,"turno","turnos")=0,"0",ROUND(IF(IFERROR(VALUE((0-IFERROR(VALUE($G12&amp;""),0))&amp;""),0)=1,"turno","turnos"),9-INT(LOG10(ABS(IF(IFERROR(VALUE((0-IFERROR(VALUE($G12&amp;""),0))&amp;""),0)=1,"turno","turnos")))))&amp;""),IF(IFERROR(VALUE((0-IFERROR(VALUE($G12&amp;""),0))&amp;""),0)=1,"turno","turnos")&amp;"")),9-INT(LOG10(ABS((IF(ISNUMBER(IF(IFERROR(VALUE((0-IFERROR(VALUE($G12&amp;""),0))&amp;""),0)=1,"Sobra","Sobran")),IF(IF(IFERROR(VALUE((0-IFERROR(VALUE($G12&amp;""),0))&amp;""),0)=1,"Sobra","Sobran")=0,"0",ROUND(IF(IFERROR(VALUE((0-IFERROR(VALUE($G12&amp;""),0))&amp;""),0)=1,"Sobra","Sobran"),9-INT(LOG10(ABS(IF(IFERROR(VALUE((0-IFERROR(VALUE($G12&amp;""),0))&amp;""),0)=1,"Sobra","Sobran")))))&amp;""),IF(IFERROR(VALUE((0-IFERROR(VALUE($G12&amp;""),0))&amp;""),0)=1,"Sobra","Sobran")&amp;"")&amp;" "&amp;IF(ISNUMBER((0-IFERROR(VALUE($G12&amp;""),0))),IF((0-IFERROR(VALUE($G12&amp;""),0))=0,"0",ROUND((0-IFERROR(VALUE($G12&amp;""),0)),9-INT(LOG10(ABS((0-IFERROR(VALUE($G12&amp;""),0))))))&amp;""),(0-IFERROR(VALUE($G12&amp;""),0))&amp;"")&amp;" "&amp;IF(ISNUMBER(IF(IFERROR(VALUE((0-IFERROR(VALUE($G12&amp;""),0))&amp;""),0)=1,"turno","turnos")),IF(IF(IFERROR(VALUE((0-IFERROR(VALUE($G12&amp;""),0))&amp;""),0)=1,"turno","turnos")=0,"0",ROUND(IF(IFERROR(VALUE((0-IFERROR(VALUE($G12&amp;""),0))&amp;""),0)=1,"turno","turnos"),9-INT(LOG10(ABS(IF(IFERROR(VALUE((0-IFERROR(VALUE($G12&amp;""),0))&amp;""),0)=1,"turno","turnos")))))&amp;""),IF(IFERROR(VALUE((0-IFERROR(VALUE($G12&amp;""),0))&amp;""),0)=1,"turno","turnos")&amp;""))))))&amp;""),(IF(ISNUMBER(IF(IFERROR(VALUE((0-IFERROR(VALUE($G12&amp;""),0))&amp;""),0)=1,"Sobra","Sobran")),IF(IF(IFERROR(VALUE((0-IFERROR(VALUE($G12&amp;""),0))&amp;""),0)=1,"Sobra","Sobran")=0,"0",ROUND(IF(IFERROR(VALUE((0-IFERROR(VALUE($G12&amp;""),0))&amp;""),0)=1,"Sobra","Sobran"),9-INT(LOG10(ABS(IF(IFERROR(VALUE((0-IFERROR(VALUE($G12&amp;""),0))&amp;""),0)=1,"Sobra","Sobran")))))&amp;""),IF(IFERROR(VALUE((0-IFERROR(VALUE($G12&amp;""),0))&amp;""),0)=1,"Sobra","Sobran")&amp;"")&amp;" "&amp;IF(ISNUMBER((0-IFERROR(VALUE($G12&amp;""),0))),IF((0-IFERROR(VALUE($G12&amp;""),0))=0,"0",ROUND((0-IFERROR(VALUE($G12&amp;""),0)),9-INT(LOG10(ABS((0-IFERROR(VALUE($G12&amp;""),0))))))&amp;""),(0-IFERROR(VALUE($G12&amp;""),0))&amp;"")&amp;" "&amp;IF(ISNUMBER(IF(IFERROR(VALUE((0-IFERROR(VALUE($G12&amp;""),0))&amp;""),0)=1,"turno","turnos")),IF(IF(IFERROR(VALUE((0-IFERROR(VALUE($G12&amp;""),0))&amp;""),0)=1,"turno","turnos")=0,"0",ROUND(IF(IFERROR(VALUE((0-IFERROR(VALUE($G12&amp;""),0))&amp;""),0)=1,"turno","turnos"),9-INT(LOG10(ABS(IF(IFERROR(VALUE((0-IFERROR(VALUE($G12&amp;""),0))&amp;""),0)=1,"turno","turnos")))))&amp;""),IF(IFERROR(VALUE((0-IFERROR(VALUE($G12&amp;""),0))&amp;""),0)=1,"turno","turnos")&amp;""))&amp;""),"")&amp;IF(($C12=""),"; "&amp;"Turno sin asignar",""),3,32767)</f>
        <v/>
      </c>
      <c r="I12" s="3">
        <f>IF(OR(AND(NOT(($D12="")),(SUMPRODUCT(1*((EXACT('Casilla por casilla'!$A$4:$A$12,$A12)))*((EXACT('Casilla por casilla'!$B$4:$B$12,$B12)))*((EXACT('Casilla por casilla'!$D$4:$D$12,$D12)))*((ROW('Casilla por casilla'!$A$4:$A$12)&lt;&gt;ROW($A12))))&gt;0))),3,IF(OR(AND(NOT(($C12="")),(IFERROR(VALUE($G12&amp;""),0)&lt;0))),2,IF(OR(($C12="")),1,0)))</f>
        <v/>
      </c>
      <c r="J12" s="3">
        <f>$B12&amp;CHAR(31)&amp;$A12</f>
        <v/>
      </c>
    </row>
    <row r="14">
      <c r="A14" s="5" t="inlineStr">
        <is>
          <t>Leyenda</t>
        </is>
      </c>
    </row>
    <row r="15">
      <c r="A15" s="6" t="n"/>
      <c r="B15" t="inlineStr">
        <is>
          <t>Ese local esta ocupado por otro grupo a esa hora</t>
        </is>
      </c>
    </row>
    <row r="16">
      <c r="A16" s="7" t="n"/>
      <c r="B16" t="inlineStr">
        <is>
          <t>La asignatura tiene mas turnos que su frecuencia</t>
        </is>
      </c>
    </row>
    <row r="17">
      <c r="A17" s="8" t="n"/>
      <c r="B17" t="inlineStr">
        <is>
          <t>Turno sin asignar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D4:D12">
    <cfRule type="expression" priority="1" dxfId="0" stopIfTrue="0">
      <formula>AND(NOT(($D4="")),(SUMPRODUCT(1*((EXACT('Casilla por casilla'!$A$4:$A$12,$A4)))*((EXACT('Casilla por casilla'!$B$4:$B$12,$B4)))*((EXACT('Casilla por casilla'!$D$4:$D$12,$D4)))*((ROW('Casilla por casilla'!$A$4:$A$12)&lt;&gt;ROW($A4))))&gt;0))</formula>
    </cfRule>
  </conditionalFormatting>
  <conditionalFormatting sqref="C4:C12">
    <cfRule type="expression" priority="2" dxfId="1" stopIfTrue="0">
      <formula>AND(NOT(($C4="")),(IFERROR(VALUE($G4&amp;""),0)&lt;0))</formula>
    </cfRule>
    <cfRule type="expression" priority="5" dxfId="2" stopIfTrue="0">
      <formula>($C4="")</formula>
    </cfRule>
  </conditionalFormatting>
  <conditionalFormatting sqref="E4:E12">
    <cfRule type="expression" priority="2" dxfId="1" stopIfTrue="0">
      <formula>AND(NOT(($C4="")),(IFERROR(VALUE($G4&amp;""),0)&lt;0))</formula>
    </cfRule>
  </conditionalFormatting>
  <conditionalFormatting sqref="G4:G12">
    <cfRule type="expression" priority="2" dxfId="1" stopIfTrue="0">
      <formula>AND(NOT(($C4="")),(IFERROR(VALUE($G4&amp;""),0)&lt;0))</formula>
    </cfRule>
  </conditionalFormatting>
  <dataValidations count="1">
    <dataValidation sqref="D4:D12" showDropDown="0" showInputMessage="0" showErrorMessage="1" allowBlank="1" errorTitle="Valor fuera del dominio" error="Ese valor no esta en la lista." type="list" errorStyle="information">
      <formula1>'Listas'!$B$4:$B$6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5" customWidth="1" min="2" max="2"/>
    <col width="6" customWidth="1" min="3" max="3"/>
  </cols>
  <sheetData>
    <row r="1">
      <c r="A1" s="1" t="inlineStr">
        <is>
          <t>Plan de la carrera</t>
        </is>
      </c>
    </row>
    <row r="3">
      <c r="A3" s="2" t="inlineStr">
        <is>
          <t>Abrev</t>
        </is>
      </c>
      <c r="B3" s="2" t="inlineStr">
        <is>
          <t>Asignatura</t>
        </is>
      </c>
      <c r="C3" s="2" t="inlineStr">
        <is>
          <t>Frec</t>
        </is>
      </c>
    </row>
    <row r="4">
      <c r="A4" s="3" t="inlineStr">
        <is>
          <t>AL</t>
        </is>
      </c>
      <c r="B4" s="3" t="inlineStr">
        <is>
          <t>Algebra Lineal</t>
        </is>
      </c>
      <c r="C4" s="3" t="n">
        <v>3</v>
      </c>
    </row>
    <row r="5">
      <c r="A5" s="3" t="inlineStr">
        <is>
          <t>L</t>
        </is>
      </c>
      <c r="B5" s="3" t="inlineStr">
        <is>
          <t>Logica</t>
        </is>
      </c>
      <c r="C5" s="3" t="n">
        <v>2</v>
      </c>
    </row>
    <row r="6">
      <c r="A6" s="3" t="inlineStr">
        <is>
          <t>IP</t>
        </is>
      </c>
      <c r="B6" s="3" t="inlineStr">
        <is>
          <t>Intro a la Programacion</t>
        </is>
      </c>
      <c r="C6" s="3" t="n">
        <v>2</v>
      </c>
    </row>
    <row r="7">
      <c r="A7" s="3" t="inlineStr">
        <is>
          <t>AM</t>
        </is>
      </c>
      <c r="B7" s="3" t="inlineStr">
        <is>
          <t>Analisis Matematico</t>
        </is>
      </c>
      <c r="C7" s="3" t="n">
        <v>2</v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A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</cols>
  <sheetData>
    <row r="1">
      <c r="A1" s="1" t="inlineStr">
        <is>
          <t>Aulas</t>
        </is>
      </c>
    </row>
    <row r="3">
      <c r="A3" s="2" t="inlineStr">
        <is>
          <t>Aula</t>
        </is>
      </c>
    </row>
    <row r="4">
      <c r="A4" s="3" t="inlineStr">
        <is>
          <t>Aula 7</t>
        </is>
      </c>
    </row>
    <row r="5">
      <c r="A5" s="3" t="inlineStr">
        <is>
          <t>Aula 8</t>
        </is>
      </c>
    </row>
    <row r="6">
      <c r="A6" s="3" t="inlineStr">
        <is>
          <t>Lab 1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tabColor rgb="00BFBFBF"/>
    <outlinePr summaryBelow="1" summaryRight="1"/>
    <pageSetUpPr/>
  </sheetPr>
  <dimension ref="A1:B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</cols>
  <sheetData>
    <row r="1">
      <c r="A1" s="1" t="inlineStr">
        <is>
          <t>Listas de los desplegables</t>
        </is>
      </c>
    </row>
    <row r="3">
      <c r="A3" s="3" t="n"/>
    </row>
    <row r="4">
      <c r="A4" s="3" t="inlineStr">
        <is>
          <t>AL</t>
        </is>
      </c>
      <c r="B4" t="inlineStr">
        <is>
          <t>Aula 7</t>
        </is>
      </c>
    </row>
    <row r="5">
      <c r="A5" s="3" t="inlineStr">
        <is>
          <t>L</t>
        </is>
      </c>
      <c r="B5" t="inlineStr">
        <is>
          <t>Aula 8</t>
        </is>
      </c>
    </row>
    <row r="6">
      <c r="A6" s="3" t="inlineStr">
        <is>
          <t>IP</t>
        </is>
      </c>
      <c r="B6" t="inlineStr">
        <is>
          <t>Lab 1</t>
        </is>
      </c>
    </row>
    <row r="7">
      <c r="A7" s="3" t="inlineStr">
        <is>
          <t>AM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2026-10-21T04:52:00Z</dcterms:created>
  <dcterms:modified xmlns:dcterms="http://purl.org/dc/terms/" xmlns:xsi="http://www.w3.org/2001/XMLSchema-instance" xsi:type="dcterms:W3CDTF">2026-10-21T04:52:00Z</dcterms:modified>
</cp:coreProperties>
</file>