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 semanal" sheetId="1" state="visible" r:id="rId1"/>
    <sheet xmlns:r="http://schemas.openxmlformats.org/officeDocument/2006/relationships" name="Casillas" sheetId="2" state="visible" r:id="rId2"/>
    <sheet xmlns:r="http://schemas.openxmlformats.org/officeDocument/2006/relationships" name="Asignaturas" sheetId="3" state="visible" r:id="rId3"/>
    <sheet xmlns:r="http://schemas.openxmlformats.org/officeDocument/2006/relationships" name="Aulas" sheetId="4" state="visible" r:id="rId4"/>
  </sheets>
  <definedNames>
    <definedName name="Casillas">Casillas!$A$4:$G$12</definedName>
    <definedName name="Asignaturas">Asignaturas!$A$4:$C$7</definedName>
    <definedName name="Aulas">Aulas!$A$4:$A$6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A9DB"/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Horario semanal</t>
        </is>
      </c>
    </row>
    <row r="3">
      <c r="A3" s="2" t="inlineStr">
        <is>
          <t>Turno</t>
        </is>
      </c>
      <c r="B3" s="2" t="inlineStr">
        <is>
          <t>lunes</t>
        </is>
      </c>
      <c r="C3" s="2" t="inlineStr">
        <is>
          <t>martes</t>
        </is>
      </c>
      <c r="D3" s="2" t="inlineStr">
        <is>
          <t>miercoles</t>
        </is>
      </c>
    </row>
    <row r="4">
      <c r="A4" s="3" t="inlineStr">
        <is>
          <t>T1</t>
        </is>
      </c>
      <c r="B4" s="3">
        <f>IFERROR(IF(INDEX(Casillas!$C$4:$C$12,MATCH($A4&amp;"|"&amp;B$3,Casillas!$H$4:$H$12,0))="","",INDEX(Casillas!$C$4:$C$12,MATCH($A4&amp;"|"&amp;B$3,Casillas!$H$4:$H$12,0))),"")</f>
        <v/>
      </c>
      <c r="C4" s="3">
        <f>IFERROR(IF(INDEX(Casillas!$C$4:$C$12,MATCH($A4&amp;"|"&amp;C$3,Casillas!$H$4:$H$12,0))="","",INDEX(Casillas!$C$4:$C$12,MATCH($A4&amp;"|"&amp;C$3,Casillas!$H$4:$H$12,0))),"")</f>
        <v/>
      </c>
      <c r="D4" s="3">
        <f>IFERROR(IF(INDEX(Casillas!$C$4:$C$12,MATCH($A4&amp;"|"&amp;D$3,Casillas!$H$4:$H$12,0))="","",INDEX(Casillas!$C$4:$C$12,MATCH($A4&amp;"|"&amp;D$3,Casillas!$H$4:$H$12,0))),"")</f>
        <v/>
      </c>
    </row>
    <row r="5">
      <c r="A5" s="3" t="inlineStr">
        <is>
          <t>T2</t>
        </is>
      </c>
      <c r="B5" s="3">
        <f>IFERROR(IF(INDEX(Casillas!$C$4:$C$12,MATCH($A5&amp;"|"&amp;B$3,Casillas!$H$4:$H$12,0))="","",INDEX(Casillas!$C$4:$C$12,MATCH($A5&amp;"|"&amp;B$3,Casillas!$H$4:$H$12,0))),"")</f>
        <v/>
      </c>
      <c r="C5" s="3">
        <f>IFERROR(IF(INDEX(Casillas!$C$4:$C$12,MATCH($A5&amp;"|"&amp;C$3,Casillas!$H$4:$H$12,0))="","",INDEX(Casillas!$C$4:$C$12,MATCH($A5&amp;"|"&amp;C$3,Casillas!$H$4:$H$12,0))),"")</f>
        <v/>
      </c>
      <c r="D5" s="3">
        <f>IFERROR(IF(INDEX(Casillas!$C$4:$C$12,MATCH($A5&amp;"|"&amp;D$3,Casillas!$H$4:$H$12,0))="","",INDEX(Casillas!$C$4:$C$12,MATCH($A5&amp;"|"&amp;D$3,Casillas!$H$4:$H$12,0))),"")</f>
        <v/>
      </c>
    </row>
    <row r="6">
      <c r="A6" s="3" t="inlineStr">
        <is>
          <t>T3</t>
        </is>
      </c>
      <c r="B6" s="3">
        <f>IFERROR(IF(INDEX(Casillas!$C$4:$C$12,MATCH($A6&amp;"|"&amp;B$3,Casillas!$H$4:$H$12,0))="","",INDEX(Casillas!$C$4:$C$12,MATCH($A6&amp;"|"&amp;B$3,Casillas!$H$4:$H$12,0))),"")</f>
        <v/>
      </c>
      <c r="C6" s="3">
        <f>IFERROR(IF(INDEX(Casillas!$C$4:$C$12,MATCH($A6&amp;"|"&amp;C$3,Casillas!$H$4:$H$12,0))="","",INDEX(Casillas!$C$4:$C$12,MATCH($A6&amp;"|"&amp;C$3,Casillas!$H$4:$H$12,0))),"")</f>
        <v/>
      </c>
      <c r="D6" s="3">
        <f>IFERROR(IF(INDEX(Casillas!$C$4:$C$12,MATCH($A6&amp;"|"&amp;D$3,Casillas!$H$4:$H$12,0))="","",INDEX(Casillas!$C$4:$C$12,MATCH($A6&amp;"|"&amp;D$3,Casillas!$H$4:$H$12,0))),"")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42" customWidth="1" min="5" max="5"/>
    <col width="37" customWidth="1" min="6" max="6"/>
    <col width="42" customWidth="1" min="7" max="7"/>
    <col width="20" customWidth="1" min="8" max="8"/>
  </cols>
  <sheetData>
    <row r="1">
      <c r="A1" s="1" t="inlineStr">
        <is>
          <t>Casillas</t>
        </is>
      </c>
    </row>
    <row r="3">
      <c r="A3" s="2" t="inlineStr">
        <is>
          <t>Dia</t>
        </is>
      </c>
      <c r="B3" s="2" t="inlineStr">
        <is>
          <t>Turno</t>
        </is>
      </c>
      <c r="C3" s="2" t="inlineStr">
        <is>
          <t>Asignatura</t>
        </is>
      </c>
      <c r="D3" s="2" t="inlineStr">
        <is>
          <t>Aula</t>
        </is>
      </c>
      <c r="E3" s="2" t="inlineStr">
        <is>
          <t>Nombre</t>
        </is>
      </c>
      <c r="F3" s="2" t="inlineStr">
        <is>
          <t>Puestos</t>
        </is>
      </c>
      <c r="G3" s="2" t="inlineStr">
        <is>
          <t>Faltan</t>
        </is>
      </c>
      <c r="H3" s="2" t="inlineStr">
        <is>
          <t>(clave turno|dia)</t>
        </is>
      </c>
    </row>
    <row r="4">
      <c r="A4" s="3" t="inlineStr">
        <is>
          <t>lunes</t>
        </is>
      </c>
      <c r="B4" s="3" t="inlineStr">
        <is>
          <t>T1</t>
        </is>
      </c>
      <c r="C4" s="4" t="inlineStr">
        <is>
          <t>AL</t>
        </is>
      </c>
      <c r="D4" s="4" t="inlineStr">
        <is>
          <t>Aula 8</t>
        </is>
      </c>
      <c r="E4" s="3">
        <f>IFERROR(VLOOKUP($C4,Asignaturas!$A$4:$C$7,2,FALSE),"")</f>
        <v/>
      </c>
      <c r="F4" s="3">
        <f>COUNTIF(Casillas!$C$4:$C$12,$C4)</f>
        <v/>
      </c>
      <c r="G4" s="3">
        <f>(IFERROR(VLOOKUP($C4,Asignaturas!$A$4:$C$7,3,FALSE),0)-$F4)</f>
        <v/>
      </c>
      <c r="H4" s="3">
        <f>$B4&amp;"|"&amp;$A4</f>
        <v/>
      </c>
    </row>
    <row r="5">
      <c r="A5" s="3" t="inlineStr">
        <is>
          <t>martes</t>
        </is>
      </c>
      <c r="B5" s="3" t="inlineStr">
        <is>
          <t>T1</t>
        </is>
      </c>
      <c r="C5" s="4" t="inlineStr">
        <is>
          <t>AL</t>
        </is>
      </c>
      <c r="D5" s="4" t="inlineStr">
        <is>
          <t>Aula 8</t>
        </is>
      </c>
      <c r="E5" s="3">
        <f>IFERROR(VLOOKUP($C5,Asignaturas!$A$4:$C$7,2,FALSE),"")</f>
        <v/>
      </c>
      <c r="F5" s="3">
        <f>COUNTIF(Casillas!$C$4:$C$12,$C5)</f>
        <v/>
      </c>
      <c r="G5" s="3">
        <f>(IFERROR(VLOOKUP($C5,Asignaturas!$A$4:$C$7,3,FALSE),0)-$F5)</f>
        <v/>
      </c>
      <c r="H5" s="3">
        <f>$B5&amp;"|"&amp;$A5</f>
        <v/>
      </c>
    </row>
    <row r="6">
      <c r="A6" s="3" t="inlineStr">
        <is>
          <t>miercoles</t>
        </is>
      </c>
      <c r="B6" s="3" t="inlineStr">
        <is>
          <t>T1</t>
        </is>
      </c>
      <c r="C6" s="4" t="inlineStr">
        <is>
          <t>AL</t>
        </is>
      </c>
      <c r="D6" s="4" t="inlineStr">
        <is>
          <t>Aula 8</t>
        </is>
      </c>
      <c r="E6" s="3">
        <f>IFERROR(VLOOKUP($C6,Asignaturas!$A$4:$C$7,2,FALSE),"")</f>
        <v/>
      </c>
      <c r="F6" s="3">
        <f>COUNTIF(Casillas!$C$4:$C$12,$C6)</f>
        <v/>
      </c>
      <c r="G6" s="3">
        <f>(IFERROR(VLOOKUP($C6,Asignaturas!$A$4:$C$7,3,FALSE),0)-$F6)</f>
        <v/>
      </c>
      <c r="H6" s="3">
        <f>$B6&amp;"|"&amp;$A6</f>
        <v/>
      </c>
    </row>
    <row r="7">
      <c r="A7" s="3" t="inlineStr">
        <is>
          <t>lunes</t>
        </is>
      </c>
      <c r="B7" s="3" t="inlineStr">
        <is>
          <t>T2</t>
        </is>
      </c>
      <c r="C7" s="4" t="inlineStr">
        <is>
          <t>L</t>
        </is>
      </c>
      <c r="D7" s="4" t="inlineStr">
        <is>
          <t>Aula 7</t>
        </is>
      </c>
      <c r="E7" s="3">
        <f>IFERROR(VLOOKUP($C7,Asignaturas!$A$4:$C$7,2,FALSE),"")</f>
        <v/>
      </c>
      <c r="F7" s="3">
        <f>COUNTIF(Casillas!$C$4:$C$12,$C7)</f>
        <v/>
      </c>
      <c r="G7" s="3">
        <f>(IFERROR(VLOOKUP($C7,Asignaturas!$A$4:$C$7,3,FALSE),0)-$F7)</f>
        <v/>
      </c>
      <c r="H7" s="3">
        <f>$B7&amp;"|"&amp;$A7</f>
        <v/>
      </c>
    </row>
    <row r="8">
      <c r="A8" s="3" t="inlineStr">
        <is>
          <t>martes</t>
        </is>
      </c>
      <c r="B8" s="3" t="inlineStr">
        <is>
          <t>T2</t>
        </is>
      </c>
      <c r="C8" s="4" t="inlineStr">
        <is>
          <t>IP</t>
        </is>
      </c>
      <c r="D8" s="4" t="inlineStr">
        <is>
          <t>Lab 1</t>
        </is>
      </c>
      <c r="E8" s="3">
        <f>IFERROR(VLOOKUP($C8,Asignaturas!$A$4:$C$7,2,FALSE),"")</f>
        <v/>
      </c>
      <c r="F8" s="3">
        <f>COUNTIF(Casillas!$C$4:$C$12,$C8)</f>
        <v/>
      </c>
      <c r="G8" s="3">
        <f>(IFERROR(VLOOKUP($C8,Asignaturas!$A$4:$C$7,3,FALSE),0)-$F8)</f>
        <v/>
      </c>
      <c r="H8" s="3">
        <f>$B8&amp;"|"&amp;$A8</f>
        <v/>
      </c>
    </row>
    <row r="9">
      <c r="A9" s="3" t="inlineStr">
        <is>
          <t>miercoles</t>
        </is>
      </c>
      <c r="B9" s="3" t="inlineStr">
        <is>
          <t>T2</t>
        </is>
      </c>
      <c r="C9" s="4" t="inlineStr">
        <is>
          <t>AL</t>
        </is>
      </c>
      <c r="D9" s="4" t="inlineStr">
        <is>
          <t>Aula 7</t>
        </is>
      </c>
      <c r="E9" s="3">
        <f>IFERROR(VLOOKUP($C9,Asignaturas!$A$4:$C$7,2,FALSE),"")</f>
        <v/>
      </c>
      <c r="F9" s="3">
        <f>COUNTIF(Casillas!$C$4:$C$12,$C9)</f>
        <v/>
      </c>
      <c r="G9" s="3">
        <f>(IFERROR(VLOOKUP($C9,Asignaturas!$A$4:$C$7,3,FALSE),0)-$F9)</f>
        <v/>
      </c>
      <c r="H9" s="3">
        <f>$B9&amp;"|"&amp;$A9</f>
        <v/>
      </c>
    </row>
    <row r="10">
      <c r="A10" s="3" t="inlineStr">
        <is>
          <t>lunes</t>
        </is>
      </c>
      <c r="B10" s="3" t="inlineStr">
        <is>
          <t>T3</t>
        </is>
      </c>
      <c r="C10" s="4" t="n"/>
      <c r="D10" s="4" t="n"/>
      <c r="E10" s="3">
        <f>IFERROR(VLOOKUP($C10,Asignaturas!$A$4:$C$7,2,FALSE),"")</f>
        <v/>
      </c>
      <c r="F10" s="3">
        <f>COUNTIF(Casillas!$C$4:$C$12,$C10)</f>
        <v/>
      </c>
      <c r="G10" s="3">
        <f>(IFERROR(VLOOKUP($C10,Asignaturas!$A$4:$C$7,3,FALSE),0)-$F10)</f>
        <v/>
      </c>
      <c r="H10" s="3">
        <f>$B10&amp;"|"&amp;$A10</f>
        <v/>
      </c>
    </row>
    <row r="11">
      <c r="A11" s="3" t="inlineStr">
        <is>
          <t>martes</t>
        </is>
      </c>
      <c r="B11" s="3" t="inlineStr">
        <is>
          <t>T3</t>
        </is>
      </c>
      <c r="C11" s="4" t="inlineStr">
        <is>
          <t>AM</t>
        </is>
      </c>
      <c r="D11" s="4" t="inlineStr">
        <is>
          <t>Aula 7</t>
        </is>
      </c>
      <c r="E11" s="3">
        <f>IFERROR(VLOOKUP($C11,Asignaturas!$A$4:$C$7,2,FALSE),"")</f>
        <v/>
      </c>
      <c r="F11" s="3">
        <f>COUNTIF(Casillas!$C$4:$C$12,$C11)</f>
        <v/>
      </c>
      <c r="G11" s="3">
        <f>(IFERROR(VLOOKUP($C11,Asignaturas!$A$4:$C$7,3,FALSE),0)-$F11)</f>
        <v/>
      </c>
      <c r="H11" s="3">
        <f>$B11&amp;"|"&amp;$A11</f>
        <v/>
      </c>
    </row>
    <row r="12">
      <c r="A12" s="3" t="inlineStr">
        <is>
          <t>miercoles</t>
        </is>
      </c>
      <c r="B12" s="3" t="inlineStr">
        <is>
          <t>T3</t>
        </is>
      </c>
      <c r="C12" s="4" t="n"/>
      <c r="D12" s="4" t="n"/>
      <c r="E12" s="3">
        <f>IFERROR(VLOOKUP($C12,Asignaturas!$A$4:$C$7,2,FALSE),"")</f>
        <v/>
      </c>
      <c r="F12" s="3">
        <f>COUNTIF(Casillas!$C$4:$C$12,$C12)</f>
        <v/>
      </c>
      <c r="G12" s="3">
        <f>(IFERROR(VLOOKUP($C12,Asignaturas!$A$4:$C$7,3,FALSE),0)-$F12)</f>
        <v/>
      </c>
      <c r="H12" s="3">
        <f>$B12&amp;"|"&amp;$A12</f>
        <v/>
      </c>
    </row>
    <row r="14">
      <c r="A14" s="5" t="inlineStr">
        <is>
          <t>Leyenda</t>
        </is>
      </c>
    </row>
    <row r="15">
      <c r="A15" s="6" t="n"/>
      <c r="B15" t="inlineStr">
        <is>
          <t>aula ocupada</t>
        </is>
      </c>
    </row>
    <row r="16">
      <c r="A16" s="7" t="n"/>
      <c r="B16" t="inlineStr">
        <is>
          <t>asignatura excedida</t>
        </is>
      </c>
    </row>
    <row r="17">
      <c r="A17" s="8" t="n"/>
      <c r="B17" t="inlineStr">
        <is>
          <t>casilla libre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conditionalFormatting sqref="D4:D12">
    <cfRule type="expression" priority="1" dxfId="0" stopIfTrue="0">
      <formula>AND(NOT(($D4="")),(SUMPRODUCT((Casillas!$D$4:$D$12=$D4)*(Casillas!$B$4:$B$12=$B4)*(Casillas!$A$4:$A$12=$A4)*(ROW(Casillas!$A$4:$A$12)&lt;&gt;ROW($A4)))&gt;0))</formula>
    </cfRule>
  </conditionalFormatting>
  <conditionalFormatting sqref="C4:C12">
    <cfRule type="expression" priority="2" dxfId="1" stopIfTrue="0">
      <formula>AND(NOT(($C4="")),($G4&lt;0))</formula>
    </cfRule>
    <cfRule type="expression" priority="5" dxfId="2" stopIfTrue="0">
      <formula>($C4="")</formula>
    </cfRule>
  </conditionalFormatting>
  <conditionalFormatting sqref="E4:E12">
    <cfRule type="expression" priority="2" dxfId="1" stopIfTrue="0">
      <formula>AND(NOT(($C4="")),($G4&lt;0))</formula>
    </cfRule>
  </conditionalFormatting>
  <conditionalFormatting sqref="G4:G12">
    <cfRule type="expression" priority="2" dxfId="1" stopIfTrue="0">
      <formula>AND(NOT(($C4="")),($G4&lt;0))</formula>
    </cfRule>
  </conditionalFormatting>
  <dataValidations count="2">
    <dataValidation sqref="C4:C12" showDropDown="0" showInputMessage="0" showErrorMessage="1" allowBlank="1" errorTitle="Valor fuera del dominio" error="Ese valor no esta en la lista." type="list" errorStyle="information">
      <formula1>"AL,L,IP,AM"</formula1>
    </dataValidation>
    <dataValidation sqref="D4:D12" showDropDown="0" showInputMessage="0" showErrorMessage="1" allowBlank="1" errorTitle="Valor fuera del dominio" error="Ese valor no esta en la lista." type="list" errorStyle="information">
      <formula1>"Aula 7,Aula 8,Lab 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</cols>
  <sheetData>
    <row r="1">
      <c r="A1" s="1" t="inlineStr">
        <is>
          <t>Asignaturas</t>
        </is>
      </c>
    </row>
    <row r="3">
      <c r="A3" s="2" t="inlineStr">
        <is>
          <t>Abrev</t>
        </is>
      </c>
      <c r="B3" s="2" t="inlineStr">
        <is>
          <t>Asignatura</t>
        </is>
      </c>
      <c r="C3" s="2" t="inlineStr">
        <is>
          <t>Frec</t>
        </is>
      </c>
    </row>
    <row r="4">
      <c r="A4" s="3" t="inlineStr">
        <is>
          <t>AL</t>
        </is>
      </c>
      <c r="B4" s="3" t="inlineStr">
        <is>
          <t>Algebra Lineal</t>
        </is>
      </c>
      <c r="C4" s="3" t="n">
        <v>3</v>
      </c>
    </row>
    <row r="5">
      <c r="A5" s="3" t="inlineStr">
        <is>
          <t>L</t>
        </is>
      </c>
      <c r="B5" s="3" t="inlineStr">
        <is>
          <t>Logica</t>
        </is>
      </c>
      <c r="C5" s="3" t="n">
        <v>2</v>
      </c>
    </row>
    <row r="6">
      <c r="A6" s="3" t="inlineStr">
        <is>
          <t>IP</t>
        </is>
      </c>
      <c r="B6" s="3" t="inlineStr">
        <is>
          <t>Intro a la Programacion</t>
        </is>
      </c>
      <c r="C6" s="3" t="n">
        <v>2</v>
      </c>
    </row>
    <row r="7">
      <c r="A7" s="3" t="inlineStr">
        <is>
          <t>AM</t>
        </is>
      </c>
      <c r="B7" s="3" t="inlineStr">
        <is>
          <t>Analisis Matematico</t>
        </is>
      </c>
      <c r="C7" s="3" t="n">
        <v>2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/>
  </sheetPr>
  <dimension ref="A1:A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Aulas</t>
        </is>
      </c>
    </row>
    <row r="3">
      <c r="A3" s="2" t="inlineStr">
        <is>
          <t>Aula</t>
        </is>
      </c>
    </row>
    <row r="4">
      <c r="A4" s="3" t="inlineStr">
        <is>
          <t>Aula 7</t>
        </is>
      </c>
    </row>
    <row r="5">
      <c r="A5" s="3" t="inlineStr">
        <is>
          <t>Aula 8</t>
        </is>
      </c>
    </row>
    <row r="6">
      <c r="A6" s="3" t="inlineStr">
        <is>
          <t>Lab 1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2026-10-13T20:04:00Z</dcterms:created>
  <dcterms:modified xmlns:dcterms="http://purl.org/dc/terms/" xmlns:xsi="http://www.w3.org/2001/XMLSchema-instance" xsi:type="dcterms:W3CDTF">2026-10-13T20:04:00Z</dcterms:modified>
</cp:coreProperties>
</file>