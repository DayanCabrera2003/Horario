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profesor (elegir)" sheetId="33" state="visible" r:id="rId33"/>
    <sheet xmlns:r="http://schemas.openxmlformats.org/officeDocument/2006/relationships" name="Horario del aula - Aula 10-3" sheetId="34" state="visible" r:id="rId34"/>
    <sheet xmlns:r="http://schemas.openxmlformats.org/officeDocument/2006/relationships" name="Horario del aula - Aula 10-4" sheetId="35" state="visible" r:id="rId35"/>
    <sheet xmlns:r="http://schemas.openxmlformats.org/officeDocument/2006/relationships" name="Horario del aula - Laboratorio" sheetId="36" state="visible" r:id="rId36"/>
    <sheet xmlns:r="http://schemas.openxmlformats.org/officeDocument/2006/relationships" name="Horario del aula - Terreno" sheetId="37" state="visible" r:id="rId37"/>
    <sheet xmlns:r="http://schemas.openxmlformats.org/officeDocument/2006/relationships" name="Casillas del horario" sheetId="38" state="visible" r:id="rId38"/>
    <sheet xmlns:r="http://schemas.openxmlformats.org/officeDocument/2006/relationships" name="Asignaturas" sheetId="39" state="visible" r:id="rId39"/>
    <sheet xmlns:r="http://schemas.openxmlformats.org/officeDocument/2006/relationships" name="Plan por grupo" sheetId="40" state="visible" r:id="rId40"/>
    <sheet xmlns:r="http://schemas.openxmlformats.org/officeDocument/2006/relationships" name="Profesores" sheetId="41" state="visible" r:id="rId41"/>
    <sheet xmlns:r="http://schemas.openxmlformats.org/officeDocument/2006/relationships" name="Dias que asisten los contratado" sheetId="42" state="visible" r:id="rId42"/>
    <sheet xmlns:r="http://schemas.openxmlformats.org/officeDocument/2006/relationships" name="Carga diaria" sheetId="43" state="visible" r:id="rId43"/>
    <sheet xmlns:r="http://schemas.openxmlformats.org/officeDocument/2006/relationships" name="Parametros" sheetId="44" state="visible" r:id="rId44"/>
    <sheet xmlns:r="http://schemas.openxmlformats.org/officeDocument/2006/relationships" name="Listas" sheetId="45" state="hidden" r:id="rId45"/>
  </sheets>
  <definedNames>
    <definedName name="Casillas">'Casillas del horario'!$A$4:$O$73</definedName>
    <definedName name="Asignaturas">OFFSET('Asignaturas'!$A$4,0,0,COUNTA('Asignaturas'!$A$4:$A$38),4)</definedName>
    <definedName name="PlanPorGrupo">OFFSET('Plan por grupo'!$A$4,0,0,COUNTA('Plan por grupo'!$A$4:$A$53),9)</definedName>
    <definedName name="Profesores">OFFSET('Profesores'!$A$4,0,0,COUNTA('Profesores'!$A$4:$A$53),3)</definedName>
    <definedName name="Disponibilidad">OFFSET('Dias que asisten los contratado'!$A$4,0,0,COUNTA('Dias que asisten los contratado'!$A$4:$A$24),3)</definedName>
    <definedName name="CargaDiaria">OFFSET('Carga diaria'!$A$4,0,0,COUNTA('Carga diaria'!$A$4:$A$228),3)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EF</t>
        </is>
      </c>
      <c r="C4" s="4" t="inlineStr">
        <is>
          <t>H</t>
        </is>
      </c>
      <c r="D4" s="4" t="inlineStr">
        <is>
          <t>EF</t>
        </is>
      </c>
      <c r="E4" s="4" t="inlineStr">
        <is>
          <t>INF</t>
        </is>
      </c>
      <c r="F4" s="4" t="inlineStr">
        <is>
          <t>F</t>
        </is>
      </c>
    </row>
    <row r="5">
      <c r="A5" s="3" t="n">
        <v>2</v>
      </c>
      <c r="B5" s="4" t="inlineStr">
        <is>
          <t>I</t>
        </is>
      </c>
      <c r="C5" s="4" t="inlineStr">
        <is>
          <t>B</t>
        </is>
      </c>
      <c r="D5" s="4" t="inlineStr">
        <is>
          <t>M</t>
        </is>
      </c>
      <c r="E5" s="4" t="inlineStr">
        <is>
          <t>F</t>
        </is>
      </c>
      <c r="F5" s="4" t="inlineStr">
        <is>
          <t>DC</t>
        </is>
      </c>
    </row>
    <row r="6">
      <c r="A6" s="3" t="n">
        <v>3</v>
      </c>
      <c r="B6" s="4" t="inlineStr">
        <is>
          <t>B</t>
        </is>
      </c>
      <c r="C6" s="4" t="inlineStr">
        <is>
          <t>CP</t>
        </is>
      </c>
      <c r="D6" s="4" t="inlineStr">
        <is>
          <t>M</t>
        </is>
      </c>
      <c r="E6" s="4" t="inlineStr">
        <is>
          <t>Lit-L</t>
        </is>
      </c>
      <c r="F6" s="4" t="inlineStr">
        <is>
          <t>Q</t>
        </is>
      </c>
    </row>
    <row r="7">
      <c r="A7" s="3" t="n">
        <v>4</v>
      </c>
      <c r="B7" s="4" t="inlineStr">
        <is>
          <t>Lit-L</t>
        </is>
      </c>
      <c r="C7" s="4" t="inlineStr">
        <is>
          <t>Lit-L</t>
        </is>
      </c>
      <c r="D7" s="4" t="inlineStr">
        <is>
          <t>H</t>
        </is>
      </c>
      <c r="E7" s="4" t="inlineStr">
        <is>
          <t>Lit-L</t>
        </is>
      </c>
      <c r="F7" s="4" t="inlineStr">
        <is>
          <t>I</t>
        </is>
      </c>
    </row>
    <row r="8">
      <c r="A8" s="3" t="n">
        <v>5</v>
      </c>
      <c r="B8" s="4" t="inlineStr">
        <is>
          <t>CA</t>
        </is>
      </c>
      <c r="C8" s="4" t="inlineStr">
        <is>
          <t>G</t>
        </is>
      </c>
      <c r="D8" s="4" t="inlineStr">
        <is>
          <t>G</t>
        </is>
      </c>
      <c r="E8" s="4" t="inlineStr">
        <is>
          <t>I</t>
        </is>
      </c>
      <c r="F8" s="4" t="inlineStr">
        <is>
          <t>M</t>
        </is>
      </c>
    </row>
    <row r="9">
      <c r="A9" s="3" t="n">
        <v>6</v>
      </c>
      <c r="B9" s="4" t="inlineStr">
        <is>
          <t>M</t>
        </is>
      </c>
      <c r="C9" s="4" t="inlineStr">
        <is>
          <t>RD</t>
        </is>
      </c>
      <c r="D9" s="4" t="inlineStr">
        <is>
          <t>F</t>
        </is>
      </c>
      <c r="E9" s="4" t="inlineStr">
        <is>
          <t>H</t>
        </is>
      </c>
      <c r="F9" s="4" t="inlineStr">
        <is>
          <t>M</t>
        </is>
      </c>
    </row>
    <row r="10">
      <c r="A10" s="3" t="n">
        <v>7</v>
      </c>
      <c r="B10" s="4" t="n"/>
      <c r="C10" s="4" t="n"/>
      <c r="D10" s="4" t="inlineStr">
        <is>
          <t>AL/AC</t>
        </is>
      </c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M</t>
        </is>
      </c>
      <c r="C4" s="4" t="inlineStr">
        <is>
          <t>Lit-L</t>
        </is>
      </c>
      <c r="D4" s="4" t="inlineStr">
        <is>
          <t>CP</t>
        </is>
      </c>
      <c r="E4" s="4" t="inlineStr">
        <is>
          <t>F</t>
        </is>
      </c>
      <c r="F4" s="4" t="inlineStr">
        <is>
          <t>Lit-L</t>
        </is>
      </c>
    </row>
    <row r="5">
      <c r="A5" s="3" t="n">
        <v>2</v>
      </c>
      <c r="B5" s="4" t="inlineStr">
        <is>
          <t>M</t>
        </is>
      </c>
      <c r="C5" s="4" t="inlineStr">
        <is>
          <t>I</t>
        </is>
      </c>
      <c r="D5" s="4" t="inlineStr">
        <is>
          <t>EF</t>
        </is>
      </c>
      <c r="E5" s="4" t="inlineStr">
        <is>
          <t>I</t>
        </is>
      </c>
      <c r="F5" s="4" t="inlineStr">
        <is>
          <t>Lit-L</t>
        </is>
      </c>
    </row>
    <row r="6">
      <c r="A6" s="3" t="n">
        <v>3</v>
      </c>
      <c r="B6" s="4" t="inlineStr">
        <is>
          <t>EF</t>
        </is>
      </c>
      <c r="C6" s="4" t="inlineStr">
        <is>
          <t>B</t>
        </is>
      </c>
      <c r="D6" s="4" t="inlineStr">
        <is>
          <t>M</t>
        </is>
      </c>
      <c r="E6" s="4" t="inlineStr">
        <is>
          <t>M</t>
        </is>
      </c>
      <c r="F6" s="4" t="inlineStr">
        <is>
          <t>F</t>
        </is>
      </c>
    </row>
    <row r="7">
      <c r="A7" s="3" t="n">
        <v>4</v>
      </c>
      <c r="B7" s="4" t="inlineStr">
        <is>
          <t>CA</t>
        </is>
      </c>
      <c r="C7" s="4" t="inlineStr">
        <is>
          <t>H</t>
        </is>
      </c>
      <c r="D7" s="4" t="inlineStr">
        <is>
          <t>G</t>
        </is>
      </c>
      <c r="E7" s="4" t="inlineStr">
        <is>
          <t>INF</t>
        </is>
      </c>
      <c r="F7" s="4" t="inlineStr">
        <is>
          <t>I</t>
        </is>
      </c>
    </row>
    <row r="8">
      <c r="A8" s="3" t="n">
        <v>5</v>
      </c>
      <c r="B8" s="4" t="inlineStr">
        <is>
          <t>RD</t>
        </is>
      </c>
      <c r="C8" s="4" t="inlineStr">
        <is>
          <t>DC</t>
        </is>
      </c>
      <c r="D8" s="4" t="inlineStr">
        <is>
          <t>F</t>
        </is>
      </c>
      <c r="E8" s="4" t="inlineStr">
        <is>
          <t>H</t>
        </is>
      </c>
      <c r="F8" s="4" t="inlineStr">
        <is>
          <t>Q</t>
        </is>
      </c>
    </row>
    <row r="9">
      <c r="A9" s="3" t="n">
        <v>6</v>
      </c>
      <c r="B9" s="4" t="inlineStr">
        <is>
          <t>B</t>
        </is>
      </c>
      <c r="C9" s="4" t="inlineStr">
        <is>
          <t>G</t>
        </is>
      </c>
      <c r="D9" s="4" t="inlineStr">
        <is>
          <t>H</t>
        </is>
      </c>
      <c r="E9" s="4" t="inlineStr">
        <is>
          <t>Lit-L</t>
        </is>
      </c>
      <c r="F9" s="4" t="inlineStr">
        <is>
          <t>M</t>
        </is>
      </c>
    </row>
    <row r="10">
      <c r="A10" s="3" t="n">
        <v>7</v>
      </c>
      <c r="B10" s="4" t="inlineStr">
        <is>
          <t>AL/AC</t>
        </is>
      </c>
      <c r="C10" s="4" t="n"/>
      <c r="D10" s="4" t="n"/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/ "&amp;IF(ISBLANK(INDEX('Casillas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10-3"&amp;CHAR(31)&amp;$A4&amp;CHAR(31)&amp;B$3)*1,0),0)))),"",INDEX('Casillas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10-3"&amp;CHAR(31)&amp;$A4&amp;CHAR(31)&amp;B$3)*1,0),0))))&amp;IF(SUMPRODUCT(1*EXACT('Casillas del horario'!$S$4:$S$73,"Profesor de M en 10-3"&amp;CHAR(31)&amp;$A4&amp;CHAR(31)&amp;B$3))&gt;2," (+"&amp;(SUMPRODUCT(1*EXACT('Casillas del horario'!$S$4:$S$73,"Profesor de M en 10-3"&amp;CHAR(31)&amp;$A4&amp;CHAR(31)&amp;B$3))-2)&amp;")",""),IF(ISNA(MATCH(1,INDEX(EXACT('Casillas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/ "&amp;IF(ISBLANK(INDEX('Casillas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10-3"&amp;CHAR(31)&amp;$A4&amp;CHAR(31)&amp;C$3)*1,0),0)))),"",INDEX('Casillas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10-3"&amp;CHAR(31)&amp;$A4&amp;CHAR(31)&amp;C$3)*1,0),0))))&amp;IF(SUMPRODUCT(1*EXACT('Casillas del horario'!$S$4:$S$73,"Profesor de M en 10-3"&amp;CHAR(31)&amp;$A4&amp;CHAR(31)&amp;C$3))&gt;2," (+"&amp;(SUMPRODUCT(1*EXACT('Casillas del horario'!$S$4:$S$73,"Profesor de M en 10-3"&amp;CHAR(31)&amp;$A4&amp;CHAR(31)&amp;C$3))-2)&amp;")",""),IF(ISNA(MATCH(1,INDEX(EXACT('Casillas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/ "&amp;IF(ISBLANK(INDEX('Casillas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10-3"&amp;CHAR(31)&amp;$A4&amp;CHAR(31)&amp;D$3)*1,0),0)))),"",INDEX('Casillas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10-3"&amp;CHAR(31)&amp;$A4&amp;CHAR(31)&amp;D$3)*1,0),0))))&amp;IF(SUMPRODUCT(1*EXACT('Casillas del horario'!$S$4:$S$73,"Profesor de M en 10-3"&amp;CHAR(31)&amp;$A4&amp;CHAR(31)&amp;D$3))&gt;2," (+"&amp;(SUMPRODUCT(1*EXACT('Casillas del horario'!$S$4:$S$73,"Profesor de M en 10-3"&amp;CHAR(31)&amp;$A4&amp;CHAR(31)&amp;D$3))-2)&amp;")",""),IF(ISNA(MATCH(1,INDEX(EXACT('Casillas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/ "&amp;IF(ISBLANK(INDEX('Casillas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10-3"&amp;CHAR(31)&amp;$A4&amp;CHAR(31)&amp;E$3)*1,0),0)))),"",INDEX('Casillas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10-3"&amp;CHAR(31)&amp;$A4&amp;CHAR(31)&amp;E$3)*1,0),0))))&amp;IF(SUMPRODUCT(1*EXACT('Casillas del horario'!$S$4:$S$73,"Profesor de M en 10-3"&amp;CHAR(31)&amp;$A4&amp;CHAR(31)&amp;E$3))&gt;2," (+"&amp;(SUMPRODUCT(1*EXACT('Casillas del horario'!$S$4:$S$73,"Profesor de M en 10-3"&amp;CHAR(31)&amp;$A4&amp;CHAR(31)&amp;E$3))-2)&amp;")",""),IF(ISNA(MATCH(1,INDEX(EXACT('Casillas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/ "&amp;IF(ISBLANK(INDEX('Casillas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10-3"&amp;CHAR(31)&amp;$A4&amp;CHAR(31)&amp;F$3)*1,0),0)))),"",INDEX('Casillas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10-3"&amp;CHAR(31)&amp;$A4&amp;CHAR(31)&amp;F$3)*1,0),0))))&amp;IF(SUMPRODUCT(1*EXACT('Casillas del horario'!$S$4:$S$73,"Profesor de M en 10-3"&amp;CHAR(31)&amp;$A4&amp;CHAR(31)&amp;F$3))&gt;2," (+"&amp;(SUMPRODUCT(1*EXACT('Casillas del horario'!$S$4:$S$73,"Profesor de M en 10-3"&amp;CHAR(31)&amp;$A4&amp;CHAR(31)&amp;F$3))-2)&amp;")",""),IF(ISNA(MATCH(1,INDEX(EXACT('Casillas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/ "&amp;IF(ISBLANK(INDEX('Casillas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10-3"&amp;CHAR(31)&amp;$A5&amp;CHAR(31)&amp;B$3)*1,0),0)))),"",INDEX('Casillas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10-3"&amp;CHAR(31)&amp;$A5&amp;CHAR(31)&amp;B$3)*1,0),0))))&amp;IF(SUMPRODUCT(1*EXACT('Casillas del horario'!$S$4:$S$73,"Profesor de M en 10-3"&amp;CHAR(31)&amp;$A5&amp;CHAR(31)&amp;B$3))&gt;2," (+"&amp;(SUMPRODUCT(1*EXACT('Casillas del horario'!$S$4:$S$73,"Profesor de M en 10-3"&amp;CHAR(31)&amp;$A5&amp;CHAR(31)&amp;B$3))-2)&amp;")",""),IF(ISNA(MATCH(1,INDEX(EXACT('Casillas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/ "&amp;IF(ISBLANK(INDEX('Casillas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10-3"&amp;CHAR(31)&amp;$A5&amp;CHAR(31)&amp;C$3)*1,0),0)))),"",INDEX('Casillas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10-3"&amp;CHAR(31)&amp;$A5&amp;CHAR(31)&amp;C$3)*1,0),0))))&amp;IF(SUMPRODUCT(1*EXACT('Casillas del horario'!$S$4:$S$73,"Profesor de M en 10-3"&amp;CHAR(31)&amp;$A5&amp;CHAR(31)&amp;C$3))&gt;2," (+"&amp;(SUMPRODUCT(1*EXACT('Casillas del horario'!$S$4:$S$73,"Profesor de M en 10-3"&amp;CHAR(31)&amp;$A5&amp;CHAR(31)&amp;C$3))-2)&amp;")",""),IF(ISNA(MATCH(1,INDEX(EXACT('Casillas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/ "&amp;IF(ISBLANK(INDEX('Casillas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10-3"&amp;CHAR(31)&amp;$A5&amp;CHAR(31)&amp;D$3)*1,0),0)))),"",INDEX('Casillas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10-3"&amp;CHAR(31)&amp;$A5&amp;CHAR(31)&amp;D$3)*1,0),0))))&amp;IF(SUMPRODUCT(1*EXACT('Casillas del horario'!$S$4:$S$73,"Profesor de M en 10-3"&amp;CHAR(31)&amp;$A5&amp;CHAR(31)&amp;D$3))&gt;2," (+"&amp;(SUMPRODUCT(1*EXACT('Casillas del horario'!$S$4:$S$73,"Profesor de M en 10-3"&amp;CHAR(31)&amp;$A5&amp;CHAR(31)&amp;D$3))-2)&amp;")",""),IF(ISNA(MATCH(1,INDEX(EXACT('Casillas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/ "&amp;IF(ISBLANK(INDEX('Casillas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10-3"&amp;CHAR(31)&amp;$A5&amp;CHAR(31)&amp;E$3)*1,0),0)))),"",INDEX('Casillas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10-3"&amp;CHAR(31)&amp;$A5&amp;CHAR(31)&amp;E$3)*1,0),0))))&amp;IF(SUMPRODUCT(1*EXACT('Casillas del horario'!$S$4:$S$73,"Profesor de M en 10-3"&amp;CHAR(31)&amp;$A5&amp;CHAR(31)&amp;E$3))&gt;2," (+"&amp;(SUMPRODUCT(1*EXACT('Casillas del horario'!$S$4:$S$73,"Profesor de M en 10-3"&amp;CHAR(31)&amp;$A5&amp;CHAR(31)&amp;E$3))-2)&amp;")",""),IF(ISNA(MATCH(1,INDEX(EXACT('Casillas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/ "&amp;IF(ISBLANK(INDEX('Casillas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10-3"&amp;CHAR(31)&amp;$A5&amp;CHAR(31)&amp;F$3)*1,0),0)))),"",INDEX('Casillas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10-3"&amp;CHAR(31)&amp;$A5&amp;CHAR(31)&amp;F$3)*1,0),0))))&amp;IF(SUMPRODUCT(1*EXACT('Casillas del horario'!$S$4:$S$73,"Profesor de M en 10-3"&amp;CHAR(31)&amp;$A5&amp;CHAR(31)&amp;F$3))&gt;2," (+"&amp;(SUMPRODUCT(1*EXACT('Casillas del horario'!$S$4:$S$73,"Profesor de M en 10-3"&amp;CHAR(31)&amp;$A5&amp;CHAR(31)&amp;F$3))-2)&amp;")",""),IF(ISNA(MATCH(1,INDEX(EXACT('Casillas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/ "&amp;IF(ISBLANK(INDEX('Casillas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10-3"&amp;CHAR(31)&amp;$A6&amp;CHAR(31)&amp;B$3)*1,0),0)))),"",INDEX('Casillas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10-3"&amp;CHAR(31)&amp;$A6&amp;CHAR(31)&amp;B$3)*1,0),0))))&amp;IF(SUMPRODUCT(1*EXACT('Casillas del horario'!$S$4:$S$73,"Profesor de M en 10-3"&amp;CHAR(31)&amp;$A6&amp;CHAR(31)&amp;B$3))&gt;2," (+"&amp;(SUMPRODUCT(1*EXACT('Casillas del horario'!$S$4:$S$73,"Profesor de M en 10-3"&amp;CHAR(31)&amp;$A6&amp;CHAR(31)&amp;B$3))-2)&amp;")",""),IF(ISNA(MATCH(1,INDEX(EXACT('Casillas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/ "&amp;IF(ISBLANK(INDEX('Casillas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10-3"&amp;CHAR(31)&amp;$A6&amp;CHAR(31)&amp;C$3)*1,0),0)))),"",INDEX('Casillas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10-3"&amp;CHAR(31)&amp;$A6&amp;CHAR(31)&amp;C$3)*1,0),0))))&amp;IF(SUMPRODUCT(1*EXACT('Casillas del horario'!$S$4:$S$73,"Profesor de M en 10-3"&amp;CHAR(31)&amp;$A6&amp;CHAR(31)&amp;C$3))&gt;2," (+"&amp;(SUMPRODUCT(1*EXACT('Casillas del horario'!$S$4:$S$73,"Profesor de M en 10-3"&amp;CHAR(31)&amp;$A6&amp;CHAR(31)&amp;C$3))-2)&amp;")",""),IF(ISNA(MATCH(1,INDEX(EXACT('Casillas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/ "&amp;IF(ISBLANK(INDEX('Casillas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10-3"&amp;CHAR(31)&amp;$A6&amp;CHAR(31)&amp;D$3)*1,0),0)))),"",INDEX('Casillas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10-3"&amp;CHAR(31)&amp;$A6&amp;CHAR(31)&amp;D$3)*1,0),0))))&amp;IF(SUMPRODUCT(1*EXACT('Casillas del horario'!$S$4:$S$73,"Profesor de M en 10-3"&amp;CHAR(31)&amp;$A6&amp;CHAR(31)&amp;D$3))&gt;2," (+"&amp;(SUMPRODUCT(1*EXACT('Casillas del horario'!$S$4:$S$73,"Profesor de M en 10-3"&amp;CHAR(31)&amp;$A6&amp;CHAR(31)&amp;D$3))-2)&amp;")",""),IF(ISNA(MATCH(1,INDEX(EXACT('Casillas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/ "&amp;IF(ISBLANK(INDEX('Casillas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10-3"&amp;CHAR(31)&amp;$A6&amp;CHAR(31)&amp;E$3)*1,0),0)))),"",INDEX('Casillas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10-3"&amp;CHAR(31)&amp;$A6&amp;CHAR(31)&amp;E$3)*1,0),0))))&amp;IF(SUMPRODUCT(1*EXACT('Casillas del horario'!$S$4:$S$73,"Profesor de M en 10-3"&amp;CHAR(31)&amp;$A6&amp;CHAR(31)&amp;E$3))&gt;2," (+"&amp;(SUMPRODUCT(1*EXACT('Casillas del horario'!$S$4:$S$73,"Profesor de M en 10-3"&amp;CHAR(31)&amp;$A6&amp;CHAR(31)&amp;E$3))-2)&amp;")",""),IF(ISNA(MATCH(1,INDEX(EXACT('Casillas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/ "&amp;IF(ISBLANK(INDEX('Casillas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10-3"&amp;CHAR(31)&amp;$A6&amp;CHAR(31)&amp;F$3)*1,0),0)))),"",INDEX('Casillas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10-3"&amp;CHAR(31)&amp;$A6&amp;CHAR(31)&amp;F$3)*1,0),0))))&amp;IF(SUMPRODUCT(1*EXACT('Casillas del horario'!$S$4:$S$73,"Profesor de M en 10-3"&amp;CHAR(31)&amp;$A6&amp;CHAR(31)&amp;F$3))&gt;2," (+"&amp;(SUMPRODUCT(1*EXACT('Casillas del horario'!$S$4:$S$73,"Profesor de M en 10-3"&amp;CHAR(31)&amp;$A6&amp;CHAR(31)&amp;F$3))-2)&amp;")",""),IF(ISNA(MATCH(1,INDEX(EXACT('Casillas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/ "&amp;IF(ISBLANK(INDEX('Casillas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10-3"&amp;CHAR(31)&amp;$A7&amp;CHAR(31)&amp;B$3)*1,0),0)))),"",INDEX('Casillas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10-3"&amp;CHAR(31)&amp;$A7&amp;CHAR(31)&amp;B$3)*1,0),0))))&amp;IF(SUMPRODUCT(1*EXACT('Casillas del horario'!$S$4:$S$73,"Profesor de M en 10-3"&amp;CHAR(31)&amp;$A7&amp;CHAR(31)&amp;B$3))&gt;2," (+"&amp;(SUMPRODUCT(1*EXACT('Casillas del horario'!$S$4:$S$73,"Profesor de M en 10-3"&amp;CHAR(31)&amp;$A7&amp;CHAR(31)&amp;B$3))-2)&amp;")",""),IF(ISNA(MATCH(1,INDEX(EXACT('Casillas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/ "&amp;IF(ISBLANK(INDEX('Casillas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10-3"&amp;CHAR(31)&amp;$A7&amp;CHAR(31)&amp;C$3)*1,0),0)))),"",INDEX('Casillas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10-3"&amp;CHAR(31)&amp;$A7&amp;CHAR(31)&amp;C$3)*1,0),0))))&amp;IF(SUMPRODUCT(1*EXACT('Casillas del horario'!$S$4:$S$73,"Profesor de M en 10-3"&amp;CHAR(31)&amp;$A7&amp;CHAR(31)&amp;C$3))&gt;2," (+"&amp;(SUMPRODUCT(1*EXACT('Casillas del horario'!$S$4:$S$73,"Profesor de M en 10-3"&amp;CHAR(31)&amp;$A7&amp;CHAR(31)&amp;C$3))-2)&amp;")",""),IF(ISNA(MATCH(1,INDEX(EXACT('Casillas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/ "&amp;IF(ISBLANK(INDEX('Casillas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10-3"&amp;CHAR(31)&amp;$A7&amp;CHAR(31)&amp;D$3)*1,0),0)))),"",INDEX('Casillas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10-3"&amp;CHAR(31)&amp;$A7&amp;CHAR(31)&amp;D$3)*1,0),0))))&amp;IF(SUMPRODUCT(1*EXACT('Casillas del horario'!$S$4:$S$73,"Profesor de M en 10-3"&amp;CHAR(31)&amp;$A7&amp;CHAR(31)&amp;D$3))&gt;2," (+"&amp;(SUMPRODUCT(1*EXACT('Casillas del horario'!$S$4:$S$73,"Profesor de M en 10-3"&amp;CHAR(31)&amp;$A7&amp;CHAR(31)&amp;D$3))-2)&amp;")",""),IF(ISNA(MATCH(1,INDEX(EXACT('Casillas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/ "&amp;IF(ISBLANK(INDEX('Casillas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10-3"&amp;CHAR(31)&amp;$A7&amp;CHAR(31)&amp;E$3)*1,0),0)))),"",INDEX('Casillas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10-3"&amp;CHAR(31)&amp;$A7&amp;CHAR(31)&amp;E$3)*1,0),0))))&amp;IF(SUMPRODUCT(1*EXACT('Casillas del horario'!$S$4:$S$73,"Profesor de M en 10-3"&amp;CHAR(31)&amp;$A7&amp;CHAR(31)&amp;E$3))&gt;2," (+"&amp;(SUMPRODUCT(1*EXACT('Casillas del horario'!$S$4:$S$73,"Profesor de M en 10-3"&amp;CHAR(31)&amp;$A7&amp;CHAR(31)&amp;E$3))-2)&amp;")",""),IF(ISNA(MATCH(1,INDEX(EXACT('Casillas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/ "&amp;IF(ISBLANK(INDEX('Casillas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10-3"&amp;CHAR(31)&amp;$A7&amp;CHAR(31)&amp;F$3)*1,0),0)))),"",INDEX('Casillas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10-3"&amp;CHAR(31)&amp;$A7&amp;CHAR(31)&amp;F$3)*1,0),0))))&amp;IF(SUMPRODUCT(1*EXACT('Casillas del horario'!$S$4:$S$73,"Profesor de M en 10-3"&amp;CHAR(31)&amp;$A7&amp;CHAR(31)&amp;F$3))&gt;2," (+"&amp;(SUMPRODUCT(1*EXACT('Casillas del horario'!$S$4:$S$73,"Profesor de M en 10-3"&amp;CHAR(31)&amp;$A7&amp;CHAR(31)&amp;F$3))-2)&amp;")",""),IF(ISNA(MATCH(1,INDEX(EXACT('Casillas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/ "&amp;IF(ISBLANK(INDEX('Casillas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10-3"&amp;CHAR(31)&amp;$A8&amp;CHAR(31)&amp;B$3)*1,0),0)))),"",INDEX('Casillas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10-3"&amp;CHAR(31)&amp;$A8&amp;CHAR(31)&amp;B$3)*1,0),0))))&amp;IF(SUMPRODUCT(1*EXACT('Casillas del horario'!$S$4:$S$73,"Profesor de M en 10-3"&amp;CHAR(31)&amp;$A8&amp;CHAR(31)&amp;B$3))&gt;2," (+"&amp;(SUMPRODUCT(1*EXACT('Casillas del horario'!$S$4:$S$73,"Profesor de M en 10-3"&amp;CHAR(31)&amp;$A8&amp;CHAR(31)&amp;B$3))-2)&amp;")",""),IF(ISNA(MATCH(1,INDEX(EXACT('Casillas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/ "&amp;IF(ISBLANK(INDEX('Casillas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10-3"&amp;CHAR(31)&amp;$A8&amp;CHAR(31)&amp;C$3)*1,0),0)))),"",INDEX('Casillas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10-3"&amp;CHAR(31)&amp;$A8&amp;CHAR(31)&amp;C$3)*1,0),0))))&amp;IF(SUMPRODUCT(1*EXACT('Casillas del horario'!$S$4:$S$73,"Profesor de M en 10-3"&amp;CHAR(31)&amp;$A8&amp;CHAR(31)&amp;C$3))&gt;2," (+"&amp;(SUMPRODUCT(1*EXACT('Casillas del horario'!$S$4:$S$73,"Profesor de M en 10-3"&amp;CHAR(31)&amp;$A8&amp;CHAR(31)&amp;C$3))-2)&amp;")",""),IF(ISNA(MATCH(1,INDEX(EXACT('Casillas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/ "&amp;IF(ISBLANK(INDEX('Casillas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10-3"&amp;CHAR(31)&amp;$A8&amp;CHAR(31)&amp;D$3)*1,0),0)))),"",INDEX('Casillas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10-3"&amp;CHAR(31)&amp;$A8&amp;CHAR(31)&amp;D$3)*1,0),0))))&amp;IF(SUMPRODUCT(1*EXACT('Casillas del horario'!$S$4:$S$73,"Profesor de M en 10-3"&amp;CHAR(31)&amp;$A8&amp;CHAR(31)&amp;D$3))&gt;2," (+"&amp;(SUMPRODUCT(1*EXACT('Casillas del horario'!$S$4:$S$73,"Profesor de M en 10-3"&amp;CHAR(31)&amp;$A8&amp;CHAR(31)&amp;D$3))-2)&amp;")",""),IF(ISNA(MATCH(1,INDEX(EXACT('Casillas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/ "&amp;IF(ISBLANK(INDEX('Casillas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10-3"&amp;CHAR(31)&amp;$A8&amp;CHAR(31)&amp;E$3)*1,0),0)))),"",INDEX('Casillas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10-3"&amp;CHAR(31)&amp;$A8&amp;CHAR(31)&amp;E$3)*1,0),0))))&amp;IF(SUMPRODUCT(1*EXACT('Casillas del horario'!$S$4:$S$73,"Profesor de M en 10-3"&amp;CHAR(31)&amp;$A8&amp;CHAR(31)&amp;E$3))&gt;2," (+"&amp;(SUMPRODUCT(1*EXACT('Casillas del horario'!$S$4:$S$73,"Profesor de M en 10-3"&amp;CHAR(31)&amp;$A8&amp;CHAR(31)&amp;E$3))-2)&amp;")",""),IF(ISNA(MATCH(1,INDEX(EXACT('Casillas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/ "&amp;IF(ISBLANK(INDEX('Casillas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10-3"&amp;CHAR(31)&amp;$A8&amp;CHAR(31)&amp;F$3)*1,0),0)))),"",INDEX('Casillas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10-3"&amp;CHAR(31)&amp;$A8&amp;CHAR(31)&amp;F$3)*1,0),0))))&amp;IF(SUMPRODUCT(1*EXACT('Casillas del horario'!$S$4:$S$73,"Profesor de M en 10-3"&amp;CHAR(31)&amp;$A8&amp;CHAR(31)&amp;F$3))&gt;2," (+"&amp;(SUMPRODUCT(1*EXACT('Casillas del horario'!$S$4:$S$73,"Profesor de M en 10-3"&amp;CHAR(31)&amp;$A8&amp;CHAR(31)&amp;F$3))-2)&amp;")",""),IF(ISNA(MATCH(1,INDEX(EXACT('Casillas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/ "&amp;IF(ISBLANK(INDEX('Casillas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10-3"&amp;CHAR(31)&amp;$A9&amp;CHAR(31)&amp;B$3)*1,0),0)))),"",INDEX('Casillas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10-3"&amp;CHAR(31)&amp;$A9&amp;CHAR(31)&amp;B$3)*1,0),0))))&amp;IF(SUMPRODUCT(1*EXACT('Casillas del horario'!$S$4:$S$73,"Profesor de M en 10-3"&amp;CHAR(31)&amp;$A9&amp;CHAR(31)&amp;B$3))&gt;2," (+"&amp;(SUMPRODUCT(1*EXACT('Casillas del horario'!$S$4:$S$73,"Profesor de M en 10-3"&amp;CHAR(31)&amp;$A9&amp;CHAR(31)&amp;B$3))-2)&amp;")",""),IF(ISNA(MATCH(1,INDEX(EXACT('Casillas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/ "&amp;IF(ISBLANK(INDEX('Casillas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10-3"&amp;CHAR(31)&amp;$A9&amp;CHAR(31)&amp;C$3)*1,0),0)))),"",INDEX('Casillas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10-3"&amp;CHAR(31)&amp;$A9&amp;CHAR(31)&amp;C$3)*1,0),0))))&amp;IF(SUMPRODUCT(1*EXACT('Casillas del horario'!$S$4:$S$73,"Profesor de M en 10-3"&amp;CHAR(31)&amp;$A9&amp;CHAR(31)&amp;C$3))&gt;2," (+"&amp;(SUMPRODUCT(1*EXACT('Casillas del horario'!$S$4:$S$73,"Profesor de M en 10-3"&amp;CHAR(31)&amp;$A9&amp;CHAR(31)&amp;C$3))-2)&amp;")",""),IF(ISNA(MATCH(1,INDEX(EXACT('Casillas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/ "&amp;IF(ISBLANK(INDEX('Casillas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10-3"&amp;CHAR(31)&amp;$A9&amp;CHAR(31)&amp;D$3)*1,0),0)))),"",INDEX('Casillas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10-3"&amp;CHAR(31)&amp;$A9&amp;CHAR(31)&amp;D$3)*1,0),0))))&amp;IF(SUMPRODUCT(1*EXACT('Casillas del horario'!$S$4:$S$73,"Profesor de M en 10-3"&amp;CHAR(31)&amp;$A9&amp;CHAR(31)&amp;D$3))&gt;2," (+"&amp;(SUMPRODUCT(1*EXACT('Casillas del horario'!$S$4:$S$73,"Profesor de M en 10-3"&amp;CHAR(31)&amp;$A9&amp;CHAR(31)&amp;D$3))-2)&amp;")",""),IF(ISNA(MATCH(1,INDEX(EXACT('Casillas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/ "&amp;IF(ISBLANK(INDEX('Casillas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10-3"&amp;CHAR(31)&amp;$A9&amp;CHAR(31)&amp;E$3)*1,0),0)))),"",INDEX('Casillas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10-3"&amp;CHAR(31)&amp;$A9&amp;CHAR(31)&amp;E$3)*1,0),0))))&amp;IF(SUMPRODUCT(1*EXACT('Casillas del horario'!$S$4:$S$73,"Profesor de M en 10-3"&amp;CHAR(31)&amp;$A9&amp;CHAR(31)&amp;E$3))&gt;2," (+"&amp;(SUMPRODUCT(1*EXACT('Casillas del horario'!$S$4:$S$73,"Profesor de M en 10-3"&amp;CHAR(31)&amp;$A9&amp;CHAR(31)&amp;E$3))-2)&amp;")",""),IF(ISNA(MATCH(1,INDEX(EXACT('Casillas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/ "&amp;IF(ISBLANK(INDEX('Casillas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10-3"&amp;CHAR(31)&amp;$A9&amp;CHAR(31)&amp;F$3)*1,0),0)))),"",INDEX('Casillas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10-3"&amp;CHAR(31)&amp;$A9&amp;CHAR(31)&amp;F$3)*1,0),0))))&amp;IF(SUMPRODUCT(1*EXACT('Casillas del horario'!$S$4:$S$73,"Profesor de M en 10-3"&amp;CHAR(31)&amp;$A9&amp;CHAR(31)&amp;F$3))&gt;2," (+"&amp;(SUMPRODUCT(1*EXACT('Casillas del horario'!$S$4:$S$73,"Profesor de M en 10-3"&amp;CHAR(31)&amp;$A9&amp;CHAR(31)&amp;F$3))-2)&amp;")",""),IF(ISNA(MATCH(1,INDEX(EXACT('Casillas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/ "&amp;IF(ISBLANK(INDEX('Casillas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10-3"&amp;CHAR(31)&amp;$A10&amp;CHAR(31)&amp;B$3)*1,0),0)))),"",INDEX('Casillas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10-3"&amp;CHAR(31)&amp;$A10&amp;CHAR(31)&amp;B$3)*1,0),0))))&amp;IF(SUMPRODUCT(1*EXACT('Casillas del horario'!$S$4:$S$73,"Profesor de M en 10-3"&amp;CHAR(31)&amp;$A10&amp;CHAR(31)&amp;B$3))&gt;2," (+"&amp;(SUMPRODUCT(1*EXACT('Casillas del horario'!$S$4:$S$73,"Profesor de M en 10-3"&amp;CHAR(31)&amp;$A10&amp;CHAR(31)&amp;B$3))-2)&amp;")",""),IF(ISNA(MATCH(1,INDEX(EXACT('Casillas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/ "&amp;IF(ISBLANK(INDEX('Casillas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10-3"&amp;CHAR(31)&amp;$A10&amp;CHAR(31)&amp;C$3)*1,0),0)))),"",INDEX('Casillas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10-3"&amp;CHAR(31)&amp;$A10&amp;CHAR(31)&amp;C$3)*1,0),0))))&amp;IF(SUMPRODUCT(1*EXACT('Casillas del horario'!$S$4:$S$73,"Profesor de M en 10-3"&amp;CHAR(31)&amp;$A10&amp;CHAR(31)&amp;C$3))&gt;2," (+"&amp;(SUMPRODUCT(1*EXACT('Casillas del horario'!$S$4:$S$73,"Profesor de M en 10-3"&amp;CHAR(31)&amp;$A10&amp;CHAR(31)&amp;C$3))-2)&amp;")",""),IF(ISNA(MATCH(1,INDEX(EXACT('Casillas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/ "&amp;IF(ISBLANK(INDEX('Casillas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10-3"&amp;CHAR(31)&amp;$A10&amp;CHAR(31)&amp;D$3)*1,0),0)))),"",INDEX('Casillas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10-3"&amp;CHAR(31)&amp;$A10&amp;CHAR(31)&amp;D$3)*1,0),0))))&amp;IF(SUMPRODUCT(1*EXACT('Casillas del horario'!$S$4:$S$73,"Profesor de M en 10-3"&amp;CHAR(31)&amp;$A10&amp;CHAR(31)&amp;D$3))&gt;2," (+"&amp;(SUMPRODUCT(1*EXACT('Casillas del horario'!$S$4:$S$73,"Profesor de M en 10-3"&amp;CHAR(31)&amp;$A10&amp;CHAR(31)&amp;D$3))-2)&amp;")",""),IF(ISNA(MATCH(1,INDEX(EXACT('Casillas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/ "&amp;IF(ISBLANK(INDEX('Casillas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10-3"&amp;CHAR(31)&amp;$A10&amp;CHAR(31)&amp;E$3)*1,0),0)))),"",INDEX('Casillas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10-3"&amp;CHAR(31)&amp;$A10&amp;CHAR(31)&amp;E$3)*1,0),0))))&amp;IF(SUMPRODUCT(1*EXACT('Casillas del horario'!$S$4:$S$73,"Profesor de M en 10-3"&amp;CHAR(31)&amp;$A10&amp;CHAR(31)&amp;E$3))&gt;2," (+"&amp;(SUMPRODUCT(1*EXACT('Casillas del horario'!$S$4:$S$73,"Profesor de M en 10-3"&amp;CHAR(31)&amp;$A10&amp;CHAR(31)&amp;E$3))-2)&amp;")",""),IF(ISNA(MATCH(1,INDEX(EXACT('Casillas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/ "&amp;IF(ISBLANK(INDEX('Casillas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10-3"&amp;CHAR(31)&amp;$A10&amp;CHAR(31)&amp;F$3)*1,0),0)))),"",INDEX('Casillas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10-3"&amp;CHAR(31)&amp;$A10&amp;CHAR(31)&amp;F$3)*1,0),0))))&amp;IF(SUMPRODUCT(1*EXACT('Casillas del horario'!$S$4:$S$73,"Profesor de M en 10-3"&amp;CHAR(31)&amp;$A10&amp;CHAR(31)&amp;F$3))&gt;2," (+"&amp;(SUMPRODUCT(1*EXACT('Casillas del horario'!$S$4:$S$73,"Profesor de M en 10-3"&amp;CHAR(31)&amp;$A10&amp;CHAR(31)&amp;F$3))-2)&amp;")",""),IF(ISNA(MATCH(1,INDEX(EXACT('Casillas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/ "&amp;IF(ISBLANK(INDEX('Casillas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10-3"&amp;CHAR(31)&amp;$A4&amp;CHAR(31)&amp;B$3)*1,0),0)))),"",INDEX('Casillas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10-3"&amp;CHAR(31)&amp;$A4&amp;CHAR(31)&amp;B$3)*1,0),0))))&amp;IF(SUMPRODUCT(1*EXACT('Casillas del horario'!$S$4:$S$73,"Profesor de Lit-L en 10-3"&amp;CHAR(31)&amp;$A4&amp;CHAR(31)&amp;B$3))&gt;2," (+"&amp;(SUMPRODUCT(1*EXACT('Casillas del horario'!$S$4:$S$73,"Profesor de Lit-L en 10-3"&amp;CHAR(31)&amp;$A4&amp;CHAR(31)&amp;B$3))-2)&amp;")",""),IF(ISNA(MATCH(1,INDEX(EXACT('Casillas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/ "&amp;IF(ISBLANK(INDEX('Casillas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10-3"&amp;CHAR(31)&amp;$A4&amp;CHAR(31)&amp;C$3)*1,0),0)))),"",INDEX('Casillas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10-3"&amp;CHAR(31)&amp;$A4&amp;CHAR(31)&amp;C$3)*1,0),0))))&amp;IF(SUMPRODUCT(1*EXACT('Casillas del horario'!$S$4:$S$73,"Profesor de Lit-L en 10-3"&amp;CHAR(31)&amp;$A4&amp;CHAR(31)&amp;C$3))&gt;2," (+"&amp;(SUMPRODUCT(1*EXACT('Casillas del horario'!$S$4:$S$73,"Profesor de Lit-L en 10-3"&amp;CHAR(31)&amp;$A4&amp;CHAR(31)&amp;C$3))-2)&amp;")",""),IF(ISNA(MATCH(1,INDEX(EXACT('Casillas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/ "&amp;IF(ISBLANK(INDEX('Casillas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10-3"&amp;CHAR(31)&amp;$A4&amp;CHAR(31)&amp;D$3)*1,0),0)))),"",INDEX('Casillas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10-3"&amp;CHAR(31)&amp;$A4&amp;CHAR(31)&amp;D$3)*1,0),0))))&amp;IF(SUMPRODUCT(1*EXACT('Casillas del horario'!$S$4:$S$73,"Profesor de Lit-L en 10-3"&amp;CHAR(31)&amp;$A4&amp;CHAR(31)&amp;D$3))&gt;2," (+"&amp;(SUMPRODUCT(1*EXACT('Casillas del horario'!$S$4:$S$73,"Profesor de Lit-L en 10-3"&amp;CHAR(31)&amp;$A4&amp;CHAR(31)&amp;D$3))-2)&amp;")",""),IF(ISNA(MATCH(1,INDEX(EXACT('Casillas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/ "&amp;IF(ISBLANK(INDEX('Casillas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10-3"&amp;CHAR(31)&amp;$A4&amp;CHAR(31)&amp;E$3)*1,0),0)))),"",INDEX('Casillas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10-3"&amp;CHAR(31)&amp;$A4&amp;CHAR(31)&amp;E$3)*1,0),0))))&amp;IF(SUMPRODUCT(1*EXACT('Casillas del horario'!$S$4:$S$73,"Profesor de Lit-L en 10-3"&amp;CHAR(31)&amp;$A4&amp;CHAR(31)&amp;E$3))&gt;2," (+"&amp;(SUMPRODUCT(1*EXACT('Casillas del horario'!$S$4:$S$73,"Profesor de Lit-L en 10-3"&amp;CHAR(31)&amp;$A4&amp;CHAR(31)&amp;E$3))-2)&amp;")",""),IF(ISNA(MATCH(1,INDEX(EXACT('Casillas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/ "&amp;IF(ISBLANK(INDEX('Casillas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10-3"&amp;CHAR(31)&amp;$A4&amp;CHAR(31)&amp;F$3)*1,0),0)))),"",INDEX('Casillas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10-3"&amp;CHAR(31)&amp;$A4&amp;CHAR(31)&amp;F$3)*1,0),0))))&amp;IF(SUMPRODUCT(1*EXACT('Casillas del horario'!$S$4:$S$73,"Profesor de Lit-L en 10-3"&amp;CHAR(31)&amp;$A4&amp;CHAR(31)&amp;F$3))&gt;2," (+"&amp;(SUMPRODUCT(1*EXACT('Casillas del horario'!$S$4:$S$73,"Profesor de Lit-L en 10-3"&amp;CHAR(31)&amp;$A4&amp;CHAR(31)&amp;F$3))-2)&amp;")",""),IF(ISNA(MATCH(1,INDEX(EXACT('Casillas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/ "&amp;IF(ISBLANK(INDEX('Casillas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10-3"&amp;CHAR(31)&amp;$A5&amp;CHAR(31)&amp;B$3)*1,0),0)))),"",INDEX('Casillas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10-3"&amp;CHAR(31)&amp;$A5&amp;CHAR(31)&amp;B$3)*1,0),0))))&amp;IF(SUMPRODUCT(1*EXACT('Casillas del horario'!$S$4:$S$73,"Profesor de Lit-L en 10-3"&amp;CHAR(31)&amp;$A5&amp;CHAR(31)&amp;B$3))&gt;2," (+"&amp;(SUMPRODUCT(1*EXACT('Casillas del horario'!$S$4:$S$73,"Profesor de Lit-L en 10-3"&amp;CHAR(31)&amp;$A5&amp;CHAR(31)&amp;B$3))-2)&amp;")",""),IF(ISNA(MATCH(1,INDEX(EXACT('Casillas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/ "&amp;IF(ISBLANK(INDEX('Casillas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10-3"&amp;CHAR(31)&amp;$A5&amp;CHAR(31)&amp;C$3)*1,0),0)))),"",INDEX('Casillas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10-3"&amp;CHAR(31)&amp;$A5&amp;CHAR(31)&amp;C$3)*1,0),0))))&amp;IF(SUMPRODUCT(1*EXACT('Casillas del horario'!$S$4:$S$73,"Profesor de Lit-L en 10-3"&amp;CHAR(31)&amp;$A5&amp;CHAR(31)&amp;C$3))&gt;2," (+"&amp;(SUMPRODUCT(1*EXACT('Casillas del horario'!$S$4:$S$73,"Profesor de Lit-L en 10-3"&amp;CHAR(31)&amp;$A5&amp;CHAR(31)&amp;C$3))-2)&amp;")",""),IF(ISNA(MATCH(1,INDEX(EXACT('Casillas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/ "&amp;IF(ISBLANK(INDEX('Casillas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10-3"&amp;CHAR(31)&amp;$A5&amp;CHAR(31)&amp;D$3)*1,0),0)))),"",INDEX('Casillas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10-3"&amp;CHAR(31)&amp;$A5&amp;CHAR(31)&amp;D$3)*1,0),0))))&amp;IF(SUMPRODUCT(1*EXACT('Casillas del horario'!$S$4:$S$73,"Profesor de Lit-L en 10-3"&amp;CHAR(31)&amp;$A5&amp;CHAR(31)&amp;D$3))&gt;2," (+"&amp;(SUMPRODUCT(1*EXACT('Casillas del horario'!$S$4:$S$73,"Profesor de Lit-L en 10-3"&amp;CHAR(31)&amp;$A5&amp;CHAR(31)&amp;D$3))-2)&amp;")",""),IF(ISNA(MATCH(1,INDEX(EXACT('Casillas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/ "&amp;IF(ISBLANK(INDEX('Casillas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10-3"&amp;CHAR(31)&amp;$A5&amp;CHAR(31)&amp;E$3)*1,0),0)))),"",INDEX('Casillas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10-3"&amp;CHAR(31)&amp;$A5&amp;CHAR(31)&amp;E$3)*1,0),0))))&amp;IF(SUMPRODUCT(1*EXACT('Casillas del horario'!$S$4:$S$73,"Profesor de Lit-L en 10-3"&amp;CHAR(31)&amp;$A5&amp;CHAR(31)&amp;E$3))&gt;2," (+"&amp;(SUMPRODUCT(1*EXACT('Casillas del horario'!$S$4:$S$73,"Profesor de Lit-L en 10-3"&amp;CHAR(31)&amp;$A5&amp;CHAR(31)&amp;E$3))-2)&amp;")",""),IF(ISNA(MATCH(1,INDEX(EXACT('Casillas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/ "&amp;IF(ISBLANK(INDEX('Casillas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10-3"&amp;CHAR(31)&amp;$A5&amp;CHAR(31)&amp;F$3)*1,0),0)))),"",INDEX('Casillas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10-3"&amp;CHAR(31)&amp;$A5&amp;CHAR(31)&amp;F$3)*1,0),0))))&amp;IF(SUMPRODUCT(1*EXACT('Casillas del horario'!$S$4:$S$73,"Profesor de Lit-L en 10-3"&amp;CHAR(31)&amp;$A5&amp;CHAR(31)&amp;F$3))&gt;2," (+"&amp;(SUMPRODUCT(1*EXACT('Casillas del horario'!$S$4:$S$73,"Profesor de Lit-L en 10-3"&amp;CHAR(31)&amp;$A5&amp;CHAR(31)&amp;F$3))-2)&amp;")",""),IF(ISNA(MATCH(1,INDEX(EXACT('Casillas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/ "&amp;IF(ISBLANK(INDEX('Casillas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10-3"&amp;CHAR(31)&amp;$A6&amp;CHAR(31)&amp;B$3)*1,0),0)))),"",INDEX('Casillas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10-3"&amp;CHAR(31)&amp;$A6&amp;CHAR(31)&amp;B$3)*1,0),0))))&amp;IF(SUMPRODUCT(1*EXACT('Casillas del horario'!$S$4:$S$73,"Profesor de Lit-L en 10-3"&amp;CHAR(31)&amp;$A6&amp;CHAR(31)&amp;B$3))&gt;2," (+"&amp;(SUMPRODUCT(1*EXACT('Casillas del horario'!$S$4:$S$73,"Profesor de Lit-L en 10-3"&amp;CHAR(31)&amp;$A6&amp;CHAR(31)&amp;B$3))-2)&amp;")",""),IF(ISNA(MATCH(1,INDEX(EXACT('Casillas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/ "&amp;IF(ISBLANK(INDEX('Casillas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10-3"&amp;CHAR(31)&amp;$A6&amp;CHAR(31)&amp;C$3)*1,0),0)))),"",INDEX('Casillas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10-3"&amp;CHAR(31)&amp;$A6&amp;CHAR(31)&amp;C$3)*1,0),0))))&amp;IF(SUMPRODUCT(1*EXACT('Casillas del horario'!$S$4:$S$73,"Profesor de Lit-L en 10-3"&amp;CHAR(31)&amp;$A6&amp;CHAR(31)&amp;C$3))&gt;2," (+"&amp;(SUMPRODUCT(1*EXACT('Casillas del horario'!$S$4:$S$73,"Profesor de Lit-L en 10-3"&amp;CHAR(31)&amp;$A6&amp;CHAR(31)&amp;C$3))-2)&amp;")",""),IF(ISNA(MATCH(1,INDEX(EXACT('Casillas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/ "&amp;IF(ISBLANK(INDEX('Casillas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10-3"&amp;CHAR(31)&amp;$A6&amp;CHAR(31)&amp;D$3)*1,0),0)))),"",INDEX('Casillas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10-3"&amp;CHAR(31)&amp;$A6&amp;CHAR(31)&amp;D$3)*1,0),0))))&amp;IF(SUMPRODUCT(1*EXACT('Casillas del horario'!$S$4:$S$73,"Profesor de Lit-L en 10-3"&amp;CHAR(31)&amp;$A6&amp;CHAR(31)&amp;D$3))&gt;2," (+"&amp;(SUMPRODUCT(1*EXACT('Casillas del horario'!$S$4:$S$73,"Profesor de Lit-L en 10-3"&amp;CHAR(31)&amp;$A6&amp;CHAR(31)&amp;D$3))-2)&amp;")",""),IF(ISNA(MATCH(1,INDEX(EXACT('Casillas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/ "&amp;IF(ISBLANK(INDEX('Casillas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10-3"&amp;CHAR(31)&amp;$A6&amp;CHAR(31)&amp;E$3)*1,0),0)))),"",INDEX('Casillas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10-3"&amp;CHAR(31)&amp;$A6&amp;CHAR(31)&amp;E$3)*1,0),0))))&amp;IF(SUMPRODUCT(1*EXACT('Casillas del horario'!$S$4:$S$73,"Profesor de Lit-L en 10-3"&amp;CHAR(31)&amp;$A6&amp;CHAR(31)&amp;E$3))&gt;2," (+"&amp;(SUMPRODUCT(1*EXACT('Casillas del horario'!$S$4:$S$73,"Profesor de Lit-L en 10-3"&amp;CHAR(31)&amp;$A6&amp;CHAR(31)&amp;E$3))-2)&amp;")",""),IF(ISNA(MATCH(1,INDEX(EXACT('Casillas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/ "&amp;IF(ISBLANK(INDEX('Casillas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10-3"&amp;CHAR(31)&amp;$A6&amp;CHAR(31)&amp;F$3)*1,0),0)))),"",INDEX('Casillas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10-3"&amp;CHAR(31)&amp;$A6&amp;CHAR(31)&amp;F$3)*1,0),0))))&amp;IF(SUMPRODUCT(1*EXACT('Casillas del horario'!$S$4:$S$73,"Profesor de Lit-L en 10-3"&amp;CHAR(31)&amp;$A6&amp;CHAR(31)&amp;F$3))&gt;2," (+"&amp;(SUMPRODUCT(1*EXACT('Casillas del horario'!$S$4:$S$73,"Profesor de Lit-L en 10-3"&amp;CHAR(31)&amp;$A6&amp;CHAR(31)&amp;F$3))-2)&amp;")",""),IF(ISNA(MATCH(1,INDEX(EXACT('Casillas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/ "&amp;IF(ISBLANK(INDEX('Casillas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10-3"&amp;CHAR(31)&amp;$A7&amp;CHAR(31)&amp;B$3)*1,0),0)))),"",INDEX('Casillas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10-3"&amp;CHAR(31)&amp;$A7&amp;CHAR(31)&amp;B$3)*1,0),0))))&amp;IF(SUMPRODUCT(1*EXACT('Casillas del horario'!$S$4:$S$73,"Profesor de Lit-L en 10-3"&amp;CHAR(31)&amp;$A7&amp;CHAR(31)&amp;B$3))&gt;2," (+"&amp;(SUMPRODUCT(1*EXACT('Casillas del horario'!$S$4:$S$73,"Profesor de Lit-L en 10-3"&amp;CHAR(31)&amp;$A7&amp;CHAR(31)&amp;B$3))-2)&amp;")",""),IF(ISNA(MATCH(1,INDEX(EXACT('Casillas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/ "&amp;IF(ISBLANK(INDEX('Casillas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10-3"&amp;CHAR(31)&amp;$A7&amp;CHAR(31)&amp;C$3)*1,0),0)))),"",INDEX('Casillas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10-3"&amp;CHAR(31)&amp;$A7&amp;CHAR(31)&amp;C$3)*1,0),0))))&amp;IF(SUMPRODUCT(1*EXACT('Casillas del horario'!$S$4:$S$73,"Profesor de Lit-L en 10-3"&amp;CHAR(31)&amp;$A7&amp;CHAR(31)&amp;C$3))&gt;2," (+"&amp;(SUMPRODUCT(1*EXACT('Casillas del horario'!$S$4:$S$73,"Profesor de Lit-L en 10-3"&amp;CHAR(31)&amp;$A7&amp;CHAR(31)&amp;C$3))-2)&amp;")",""),IF(ISNA(MATCH(1,INDEX(EXACT('Casillas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/ "&amp;IF(ISBLANK(INDEX('Casillas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10-3"&amp;CHAR(31)&amp;$A7&amp;CHAR(31)&amp;D$3)*1,0),0)))),"",INDEX('Casillas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10-3"&amp;CHAR(31)&amp;$A7&amp;CHAR(31)&amp;D$3)*1,0),0))))&amp;IF(SUMPRODUCT(1*EXACT('Casillas del horario'!$S$4:$S$73,"Profesor de Lit-L en 10-3"&amp;CHAR(31)&amp;$A7&amp;CHAR(31)&amp;D$3))&gt;2," (+"&amp;(SUMPRODUCT(1*EXACT('Casillas del horario'!$S$4:$S$73,"Profesor de Lit-L en 10-3"&amp;CHAR(31)&amp;$A7&amp;CHAR(31)&amp;D$3))-2)&amp;")",""),IF(ISNA(MATCH(1,INDEX(EXACT('Casillas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/ "&amp;IF(ISBLANK(INDEX('Casillas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10-3"&amp;CHAR(31)&amp;$A7&amp;CHAR(31)&amp;E$3)*1,0),0)))),"",INDEX('Casillas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10-3"&amp;CHAR(31)&amp;$A7&amp;CHAR(31)&amp;E$3)*1,0),0))))&amp;IF(SUMPRODUCT(1*EXACT('Casillas del horario'!$S$4:$S$73,"Profesor de Lit-L en 10-3"&amp;CHAR(31)&amp;$A7&amp;CHAR(31)&amp;E$3))&gt;2," (+"&amp;(SUMPRODUCT(1*EXACT('Casillas del horario'!$S$4:$S$73,"Profesor de Lit-L en 10-3"&amp;CHAR(31)&amp;$A7&amp;CHAR(31)&amp;E$3))-2)&amp;")",""),IF(ISNA(MATCH(1,INDEX(EXACT('Casillas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/ "&amp;IF(ISBLANK(INDEX('Casillas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10-3"&amp;CHAR(31)&amp;$A7&amp;CHAR(31)&amp;F$3)*1,0),0)))),"",INDEX('Casillas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10-3"&amp;CHAR(31)&amp;$A7&amp;CHAR(31)&amp;F$3)*1,0),0))))&amp;IF(SUMPRODUCT(1*EXACT('Casillas del horario'!$S$4:$S$73,"Profesor de Lit-L en 10-3"&amp;CHAR(31)&amp;$A7&amp;CHAR(31)&amp;F$3))&gt;2," (+"&amp;(SUMPRODUCT(1*EXACT('Casillas del horario'!$S$4:$S$73,"Profesor de Lit-L en 10-3"&amp;CHAR(31)&amp;$A7&amp;CHAR(31)&amp;F$3))-2)&amp;")",""),IF(ISNA(MATCH(1,INDEX(EXACT('Casillas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/ "&amp;IF(ISBLANK(INDEX('Casillas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10-3"&amp;CHAR(31)&amp;$A8&amp;CHAR(31)&amp;B$3)*1,0),0)))),"",INDEX('Casillas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10-3"&amp;CHAR(31)&amp;$A8&amp;CHAR(31)&amp;B$3)*1,0),0))))&amp;IF(SUMPRODUCT(1*EXACT('Casillas del horario'!$S$4:$S$73,"Profesor de Lit-L en 10-3"&amp;CHAR(31)&amp;$A8&amp;CHAR(31)&amp;B$3))&gt;2," (+"&amp;(SUMPRODUCT(1*EXACT('Casillas del horario'!$S$4:$S$73,"Profesor de Lit-L en 10-3"&amp;CHAR(31)&amp;$A8&amp;CHAR(31)&amp;B$3))-2)&amp;")",""),IF(ISNA(MATCH(1,INDEX(EXACT('Casillas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/ "&amp;IF(ISBLANK(INDEX('Casillas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10-3"&amp;CHAR(31)&amp;$A8&amp;CHAR(31)&amp;C$3)*1,0),0)))),"",INDEX('Casillas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10-3"&amp;CHAR(31)&amp;$A8&amp;CHAR(31)&amp;C$3)*1,0),0))))&amp;IF(SUMPRODUCT(1*EXACT('Casillas del horario'!$S$4:$S$73,"Profesor de Lit-L en 10-3"&amp;CHAR(31)&amp;$A8&amp;CHAR(31)&amp;C$3))&gt;2," (+"&amp;(SUMPRODUCT(1*EXACT('Casillas del horario'!$S$4:$S$73,"Profesor de Lit-L en 10-3"&amp;CHAR(31)&amp;$A8&amp;CHAR(31)&amp;C$3))-2)&amp;")",""),IF(ISNA(MATCH(1,INDEX(EXACT('Casillas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/ "&amp;IF(ISBLANK(INDEX('Casillas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10-3"&amp;CHAR(31)&amp;$A8&amp;CHAR(31)&amp;D$3)*1,0),0)))),"",INDEX('Casillas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10-3"&amp;CHAR(31)&amp;$A8&amp;CHAR(31)&amp;D$3)*1,0),0))))&amp;IF(SUMPRODUCT(1*EXACT('Casillas del horario'!$S$4:$S$73,"Profesor de Lit-L en 10-3"&amp;CHAR(31)&amp;$A8&amp;CHAR(31)&amp;D$3))&gt;2," (+"&amp;(SUMPRODUCT(1*EXACT('Casillas del horario'!$S$4:$S$73,"Profesor de Lit-L en 10-3"&amp;CHAR(31)&amp;$A8&amp;CHAR(31)&amp;D$3))-2)&amp;")",""),IF(ISNA(MATCH(1,INDEX(EXACT('Casillas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/ "&amp;IF(ISBLANK(INDEX('Casillas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10-3"&amp;CHAR(31)&amp;$A8&amp;CHAR(31)&amp;E$3)*1,0),0)))),"",INDEX('Casillas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10-3"&amp;CHAR(31)&amp;$A8&amp;CHAR(31)&amp;E$3)*1,0),0))))&amp;IF(SUMPRODUCT(1*EXACT('Casillas del horario'!$S$4:$S$73,"Profesor de Lit-L en 10-3"&amp;CHAR(31)&amp;$A8&amp;CHAR(31)&amp;E$3))&gt;2," (+"&amp;(SUMPRODUCT(1*EXACT('Casillas del horario'!$S$4:$S$73,"Profesor de Lit-L en 10-3"&amp;CHAR(31)&amp;$A8&amp;CHAR(31)&amp;E$3))-2)&amp;")",""),IF(ISNA(MATCH(1,INDEX(EXACT('Casillas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/ "&amp;IF(ISBLANK(INDEX('Casillas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10-3"&amp;CHAR(31)&amp;$A8&amp;CHAR(31)&amp;F$3)*1,0),0)))),"",INDEX('Casillas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10-3"&amp;CHAR(31)&amp;$A8&amp;CHAR(31)&amp;F$3)*1,0),0))))&amp;IF(SUMPRODUCT(1*EXACT('Casillas del horario'!$S$4:$S$73,"Profesor de Lit-L en 10-3"&amp;CHAR(31)&amp;$A8&amp;CHAR(31)&amp;F$3))&gt;2," (+"&amp;(SUMPRODUCT(1*EXACT('Casillas del horario'!$S$4:$S$73,"Profesor de Lit-L en 10-3"&amp;CHAR(31)&amp;$A8&amp;CHAR(31)&amp;F$3))-2)&amp;")",""),IF(ISNA(MATCH(1,INDEX(EXACT('Casillas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/ "&amp;IF(ISBLANK(INDEX('Casillas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10-3"&amp;CHAR(31)&amp;$A9&amp;CHAR(31)&amp;B$3)*1,0),0)))),"",INDEX('Casillas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10-3"&amp;CHAR(31)&amp;$A9&amp;CHAR(31)&amp;B$3)*1,0),0))))&amp;IF(SUMPRODUCT(1*EXACT('Casillas del horario'!$S$4:$S$73,"Profesor de Lit-L en 10-3"&amp;CHAR(31)&amp;$A9&amp;CHAR(31)&amp;B$3))&gt;2," (+"&amp;(SUMPRODUCT(1*EXACT('Casillas del horario'!$S$4:$S$73,"Profesor de Lit-L en 10-3"&amp;CHAR(31)&amp;$A9&amp;CHAR(31)&amp;B$3))-2)&amp;")",""),IF(ISNA(MATCH(1,INDEX(EXACT('Casillas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/ "&amp;IF(ISBLANK(INDEX('Casillas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10-3"&amp;CHAR(31)&amp;$A9&amp;CHAR(31)&amp;C$3)*1,0),0)))),"",INDEX('Casillas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10-3"&amp;CHAR(31)&amp;$A9&amp;CHAR(31)&amp;C$3)*1,0),0))))&amp;IF(SUMPRODUCT(1*EXACT('Casillas del horario'!$S$4:$S$73,"Profesor de Lit-L en 10-3"&amp;CHAR(31)&amp;$A9&amp;CHAR(31)&amp;C$3))&gt;2," (+"&amp;(SUMPRODUCT(1*EXACT('Casillas del horario'!$S$4:$S$73,"Profesor de Lit-L en 10-3"&amp;CHAR(31)&amp;$A9&amp;CHAR(31)&amp;C$3))-2)&amp;")",""),IF(ISNA(MATCH(1,INDEX(EXACT('Casillas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/ "&amp;IF(ISBLANK(INDEX('Casillas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10-3"&amp;CHAR(31)&amp;$A9&amp;CHAR(31)&amp;D$3)*1,0),0)))),"",INDEX('Casillas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10-3"&amp;CHAR(31)&amp;$A9&amp;CHAR(31)&amp;D$3)*1,0),0))))&amp;IF(SUMPRODUCT(1*EXACT('Casillas del horario'!$S$4:$S$73,"Profesor de Lit-L en 10-3"&amp;CHAR(31)&amp;$A9&amp;CHAR(31)&amp;D$3))&gt;2," (+"&amp;(SUMPRODUCT(1*EXACT('Casillas del horario'!$S$4:$S$73,"Profesor de Lit-L en 10-3"&amp;CHAR(31)&amp;$A9&amp;CHAR(31)&amp;D$3))-2)&amp;")",""),IF(ISNA(MATCH(1,INDEX(EXACT('Casillas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/ "&amp;IF(ISBLANK(INDEX('Casillas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10-3"&amp;CHAR(31)&amp;$A9&amp;CHAR(31)&amp;E$3)*1,0),0)))),"",INDEX('Casillas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10-3"&amp;CHAR(31)&amp;$A9&amp;CHAR(31)&amp;E$3)*1,0),0))))&amp;IF(SUMPRODUCT(1*EXACT('Casillas del horario'!$S$4:$S$73,"Profesor de Lit-L en 10-3"&amp;CHAR(31)&amp;$A9&amp;CHAR(31)&amp;E$3))&gt;2," (+"&amp;(SUMPRODUCT(1*EXACT('Casillas del horario'!$S$4:$S$73,"Profesor de Lit-L en 10-3"&amp;CHAR(31)&amp;$A9&amp;CHAR(31)&amp;E$3))-2)&amp;")",""),IF(ISNA(MATCH(1,INDEX(EXACT('Casillas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/ "&amp;IF(ISBLANK(INDEX('Casillas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10-3"&amp;CHAR(31)&amp;$A9&amp;CHAR(31)&amp;F$3)*1,0),0)))),"",INDEX('Casillas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10-3"&amp;CHAR(31)&amp;$A9&amp;CHAR(31)&amp;F$3)*1,0),0))))&amp;IF(SUMPRODUCT(1*EXACT('Casillas del horario'!$S$4:$S$73,"Profesor de Lit-L en 10-3"&amp;CHAR(31)&amp;$A9&amp;CHAR(31)&amp;F$3))&gt;2," (+"&amp;(SUMPRODUCT(1*EXACT('Casillas del horario'!$S$4:$S$73,"Profesor de Lit-L en 10-3"&amp;CHAR(31)&amp;$A9&amp;CHAR(31)&amp;F$3))-2)&amp;")",""),IF(ISNA(MATCH(1,INDEX(EXACT('Casillas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/ "&amp;IF(ISBLANK(INDEX('Casillas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10-3"&amp;CHAR(31)&amp;$A10&amp;CHAR(31)&amp;B$3)*1,0),0)))),"",INDEX('Casillas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10-3"&amp;CHAR(31)&amp;$A10&amp;CHAR(31)&amp;B$3)*1,0),0))))&amp;IF(SUMPRODUCT(1*EXACT('Casillas del horario'!$S$4:$S$73,"Profesor de Lit-L en 10-3"&amp;CHAR(31)&amp;$A10&amp;CHAR(31)&amp;B$3))&gt;2," (+"&amp;(SUMPRODUCT(1*EXACT('Casillas del horario'!$S$4:$S$73,"Profesor de Lit-L en 10-3"&amp;CHAR(31)&amp;$A10&amp;CHAR(31)&amp;B$3))-2)&amp;")",""),IF(ISNA(MATCH(1,INDEX(EXACT('Casillas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/ "&amp;IF(ISBLANK(INDEX('Casillas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10-3"&amp;CHAR(31)&amp;$A10&amp;CHAR(31)&amp;C$3)*1,0),0)))),"",INDEX('Casillas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10-3"&amp;CHAR(31)&amp;$A10&amp;CHAR(31)&amp;C$3)*1,0),0))))&amp;IF(SUMPRODUCT(1*EXACT('Casillas del horario'!$S$4:$S$73,"Profesor de Lit-L en 10-3"&amp;CHAR(31)&amp;$A10&amp;CHAR(31)&amp;C$3))&gt;2," (+"&amp;(SUMPRODUCT(1*EXACT('Casillas del horario'!$S$4:$S$73,"Profesor de Lit-L en 10-3"&amp;CHAR(31)&amp;$A10&amp;CHAR(31)&amp;C$3))-2)&amp;")",""),IF(ISNA(MATCH(1,INDEX(EXACT('Casillas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/ "&amp;IF(ISBLANK(INDEX('Casillas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10-3"&amp;CHAR(31)&amp;$A10&amp;CHAR(31)&amp;D$3)*1,0),0)))),"",INDEX('Casillas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10-3"&amp;CHAR(31)&amp;$A10&amp;CHAR(31)&amp;D$3)*1,0),0))))&amp;IF(SUMPRODUCT(1*EXACT('Casillas del horario'!$S$4:$S$73,"Profesor de Lit-L en 10-3"&amp;CHAR(31)&amp;$A10&amp;CHAR(31)&amp;D$3))&gt;2," (+"&amp;(SUMPRODUCT(1*EXACT('Casillas del horario'!$S$4:$S$73,"Profesor de Lit-L en 10-3"&amp;CHAR(31)&amp;$A10&amp;CHAR(31)&amp;D$3))-2)&amp;")",""),IF(ISNA(MATCH(1,INDEX(EXACT('Casillas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/ "&amp;IF(ISBLANK(INDEX('Casillas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10-3"&amp;CHAR(31)&amp;$A10&amp;CHAR(31)&amp;E$3)*1,0),0)))),"",INDEX('Casillas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10-3"&amp;CHAR(31)&amp;$A10&amp;CHAR(31)&amp;E$3)*1,0),0))))&amp;IF(SUMPRODUCT(1*EXACT('Casillas del horario'!$S$4:$S$73,"Profesor de Lit-L en 10-3"&amp;CHAR(31)&amp;$A10&amp;CHAR(31)&amp;E$3))&gt;2," (+"&amp;(SUMPRODUCT(1*EXACT('Casillas del horario'!$S$4:$S$73,"Profesor de Lit-L en 10-3"&amp;CHAR(31)&amp;$A10&amp;CHAR(31)&amp;E$3))-2)&amp;")",""),IF(ISNA(MATCH(1,INDEX(EXACT('Casillas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/ "&amp;IF(ISBLANK(INDEX('Casillas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10-3"&amp;CHAR(31)&amp;$A10&amp;CHAR(31)&amp;F$3)*1,0),0)))),"",INDEX('Casillas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10-3"&amp;CHAR(31)&amp;$A10&amp;CHAR(31)&amp;F$3)*1,0),0))))&amp;IF(SUMPRODUCT(1*EXACT('Casillas del horario'!$S$4:$S$73,"Profesor de Lit-L en 10-3"&amp;CHAR(31)&amp;$A10&amp;CHAR(31)&amp;F$3))&gt;2," (+"&amp;(SUMPRODUCT(1*EXACT('Casillas del horario'!$S$4:$S$73,"Profesor de Lit-L en 10-3"&amp;CHAR(31)&amp;$A10&amp;CHAR(31)&amp;F$3))-2)&amp;")",""),IF(ISNA(MATCH(1,INDEX(EXACT('Casillas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/ "&amp;IF(ISBLANK(INDEX('Casillas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10-3"&amp;CHAR(31)&amp;$A4&amp;CHAR(31)&amp;B$3)*1,0),0)))),"",INDEX('Casillas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10-3"&amp;CHAR(31)&amp;$A4&amp;CHAR(31)&amp;B$3)*1,0),0))))&amp;IF(SUMPRODUCT(1*EXACT('Casillas del horario'!$S$4:$S$73,"Profesor de F en 10-3"&amp;CHAR(31)&amp;$A4&amp;CHAR(31)&amp;B$3))&gt;2," (+"&amp;(SUMPRODUCT(1*EXACT('Casillas del horario'!$S$4:$S$73,"Profesor de F en 10-3"&amp;CHAR(31)&amp;$A4&amp;CHAR(31)&amp;B$3))-2)&amp;")",""),IF(ISNA(MATCH(1,INDEX(EXACT('Casillas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/ "&amp;IF(ISBLANK(INDEX('Casillas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10-3"&amp;CHAR(31)&amp;$A4&amp;CHAR(31)&amp;C$3)*1,0),0)))),"",INDEX('Casillas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10-3"&amp;CHAR(31)&amp;$A4&amp;CHAR(31)&amp;C$3)*1,0),0))))&amp;IF(SUMPRODUCT(1*EXACT('Casillas del horario'!$S$4:$S$73,"Profesor de F en 10-3"&amp;CHAR(31)&amp;$A4&amp;CHAR(31)&amp;C$3))&gt;2," (+"&amp;(SUMPRODUCT(1*EXACT('Casillas del horario'!$S$4:$S$73,"Profesor de F en 10-3"&amp;CHAR(31)&amp;$A4&amp;CHAR(31)&amp;C$3))-2)&amp;")",""),IF(ISNA(MATCH(1,INDEX(EXACT('Casillas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/ "&amp;IF(ISBLANK(INDEX('Casillas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10-3"&amp;CHAR(31)&amp;$A4&amp;CHAR(31)&amp;D$3)*1,0),0)))),"",INDEX('Casillas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10-3"&amp;CHAR(31)&amp;$A4&amp;CHAR(31)&amp;D$3)*1,0),0))))&amp;IF(SUMPRODUCT(1*EXACT('Casillas del horario'!$S$4:$S$73,"Profesor de F en 10-3"&amp;CHAR(31)&amp;$A4&amp;CHAR(31)&amp;D$3))&gt;2," (+"&amp;(SUMPRODUCT(1*EXACT('Casillas del horario'!$S$4:$S$73,"Profesor de F en 10-3"&amp;CHAR(31)&amp;$A4&amp;CHAR(31)&amp;D$3))-2)&amp;")",""),IF(ISNA(MATCH(1,INDEX(EXACT('Casillas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/ "&amp;IF(ISBLANK(INDEX('Casillas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10-3"&amp;CHAR(31)&amp;$A4&amp;CHAR(31)&amp;E$3)*1,0),0)))),"",INDEX('Casillas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10-3"&amp;CHAR(31)&amp;$A4&amp;CHAR(31)&amp;E$3)*1,0),0))))&amp;IF(SUMPRODUCT(1*EXACT('Casillas del horario'!$S$4:$S$73,"Profesor de F en 10-3"&amp;CHAR(31)&amp;$A4&amp;CHAR(31)&amp;E$3))&gt;2," (+"&amp;(SUMPRODUCT(1*EXACT('Casillas del horario'!$S$4:$S$73,"Profesor de F en 10-3"&amp;CHAR(31)&amp;$A4&amp;CHAR(31)&amp;E$3))-2)&amp;")",""),IF(ISNA(MATCH(1,INDEX(EXACT('Casillas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/ "&amp;IF(ISBLANK(INDEX('Casillas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10-3"&amp;CHAR(31)&amp;$A4&amp;CHAR(31)&amp;F$3)*1,0),0)))),"",INDEX('Casillas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10-3"&amp;CHAR(31)&amp;$A4&amp;CHAR(31)&amp;F$3)*1,0),0))))&amp;IF(SUMPRODUCT(1*EXACT('Casillas del horario'!$S$4:$S$73,"Profesor de F en 10-3"&amp;CHAR(31)&amp;$A4&amp;CHAR(31)&amp;F$3))&gt;2," (+"&amp;(SUMPRODUCT(1*EXACT('Casillas del horario'!$S$4:$S$73,"Profesor de F en 10-3"&amp;CHAR(31)&amp;$A4&amp;CHAR(31)&amp;F$3))-2)&amp;")",""),IF(ISNA(MATCH(1,INDEX(EXACT('Casillas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/ "&amp;IF(ISBLANK(INDEX('Casillas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10-3"&amp;CHAR(31)&amp;$A5&amp;CHAR(31)&amp;B$3)*1,0),0)))),"",INDEX('Casillas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10-3"&amp;CHAR(31)&amp;$A5&amp;CHAR(31)&amp;B$3)*1,0),0))))&amp;IF(SUMPRODUCT(1*EXACT('Casillas del horario'!$S$4:$S$73,"Profesor de F en 10-3"&amp;CHAR(31)&amp;$A5&amp;CHAR(31)&amp;B$3))&gt;2," (+"&amp;(SUMPRODUCT(1*EXACT('Casillas del horario'!$S$4:$S$73,"Profesor de F en 10-3"&amp;CHAR(31)&amp;$A5&amp;CHAR(31)&amp;B$3))-2)&amp;")",""),IF(ISNA(MATCH(1,INDEX(EXACT('Casillas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/ "&amp;IF(ISBLANK(INDEX('Casillas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10-3"&amp;CHAR(31)&amp;$A5&amp;CHAR(31)&amp;C$3)*1,0),0)))),"",INDEX('Casillas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10-3"&amp;CHAR(31)&amp;$A5&amp;CHAR(31)&amp;C$3)*1,0),0))))&amp;IF(SUMPRODUCT(1*EXACT('Casillas del horario'!$S$4:$S$73,"Profesor de F en 10-3"&amp;CHAR(31)&amp;$A5&amp;CHAR(31)&amp;C$3))&gt;2," (+"&amp;(SUMPRODUCT(1*EXACT('Casillas del horario'!$S$4:$S$73,"Profesor de F en 10-3"&amp;CHAR(31)&amp;$A5&amp;CHAR(31)&amp;C$3))-2)&amp;")",""),IF(ISNA(MATCH(1,INDEX(EXACT('Casillas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/ "&amp;IF(ISBLANK(INDEX('Casillas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10-3"&amp;CHAR(31)&amp;$A5&amp;CHAR(31)&amp;D$3)*1,0),0)))),"",INDEX('Casillas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10-3"&amp;CHAR(31)&amp;$A5&amp;CHAR(31)&amp;D$3)*1,0),0))))&amp;IF(SUMPRODUCT(1*EXACT('Casillas del horario'!$S$4:$S$73,"Profesor de F en 10-3"&amp;CHAR(31)&amp;$A5&amp;CHAR(31)&amp;D$3))&gt;2," (+"&amp;(SUMPRODUCT(1*EXACT('Casillas del horario'!$S$4:$S$73,"Profesor de F en 10-3"&amp;CHAR(31)&amp;$A5&amp;CHAR(31)&amp;D$3))-2)&amp;")",""),IF(ISNA(MATCH(1,INDEX(EXACT('Casillas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/ "&amp;IF(ISBLANK(INDEX('Casillas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10-3"&amp;CHAR(31)&amp;$A5&amp;CHAR(31)&amp;E$3)*1,0),0)))),"",INDEX('Casillas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10-3"&amp;CHAR(31)&amp;$A5&amp;CHAR(31)&amp;E$3)*1,0),0))))&amp;IF(SUMPRODUCT(1*EXACT('Casillas del horario'!$S$4:$S$73,"Profesor de F en 10-3"&amp;CHAR(31)&amp;$A5&amp;CHAR(31)&amp;E$3))&gt;2," (+"&amp;(SUMPRODUCT(1*EXACT('Casillas del horario'!$S$4:$S$73,"Profesor de F en 10-3"&amp;CHAR(31)&amp;$A5&amp;CHAR(31)&amp;E$3))-2)&amp;")",""),IF(ISNA(MATCH(1,INDEX(EXACT('Casillas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/ "&amp;IF(ISBLANK(INDEX('Casillas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10-3"&amp;CHAR(31)&amp;$A5&amp;CHAR(31)&amp;F$3)*1,0),0)))),"",INDEX('Casillas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10-3"&amp;CHAR(31)&amp;$A5&amp;CHAR(31)&amp;F$3)*1,0),0))))&amp;IF(SUMPRODUCT(1*EXACT('Casillas del horario'!$S$4:$S$73,"Profesor de F en 10-3"&amp;CHAR(31)&amp;$A5&amp;CHAR(31)&amp;F$3))&gt;2," (+"&amp;(SUMPRODUCT(1*EXACT('Casillas del horario'!$S$4:$S$73,"Profesor de F en 10-3"&amp;CHAR(31)&amp;$A5&amp;CHAR(31)&amp;F$3))-2)&amp;")",""),IF(ISNA(MATCH(1,INDEX(EXACT('Casillas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/ "&amp;IF(ISBLANK(INDEX('Casillas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10-3"&amp;CHAR(31)&amp;$A6&amp;CHAR(31)&amp;B$3)*1,0),0)))),"",INDEX('Casillas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10-3"&amp;CHAR(31)&amp;$A6&amp;CHAR(31)&amp;B$3)*1,0),0))))&amp;IF(SUMPRODUCT(1*EXACT('Casillas del horario'!$S$4:$S$73,"Profesor de F en 10-3"&amp;CHAR(31)&amp;$A6&amp;CHAR(31)&amp;B$3))&gt;2," (+"&amp;(SUMPRODUCT(1*EXACT('Casillas del horario'!$S$4:$S$73,"Profesor de F en 10-3"&amp;CHAR(31)&amp;$A6&amp;CHAR(31)&amp;B$3))-2)&amp;")",""),IF(ISNA(MATCH(1,INDEX(EXACT('Casillas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/ "&amp;IF(ISBLANK(INDEX('Casillas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10-3"&amp;CHAR(31)&amp;$A6&amp;CHAR(31)&amp;C$3)*1,0),0)))),"",INDEX('Casillas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10-3"&amp;CHAR(31)&amp;$A6&amp;CHAR(31)&amp;C$3)*1,0),0))))&amp;IF(SUMPRODUCT(1*EXACT('Casillas del horario'!$S$4:$S$73,"Profesor de F en 10-3"&amp;CHAR(31)&amp;$A6&amp;CHAR(31)&amp;C$3))&gt;2," (+"&amp;(SUMPRODUCT(1*EXACT('Casillas del horario'!$S$4:$S$73,"Profesor de F en 10-3"&amp;CHAR(31)&amp;$A6&amp;CHAR(31)&amp;C$3))-2)&amp;")",""),IF(ISNA(MATCH(1,INDEX(EXACT('Casillas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/ "&amp;IF(ISBLANK(INDEX('Casillas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10-3"&amp;CHAR(31)&amp;$A6&amp;CHAR(31)&amp;D$3)*1,0),0)))),"",INDEX('Casillas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10-3"&amp;CHAR(31)&amp;$A6&amp;CHAR(31)&amp;D$3)*1,0),0))))&amp;IF(SUMPRODUCT(1*EXACT('Casillas del horario'!$S$4:$S$73,"Profesor de F en 10-3"&amp;CHAR(31)&amp;$A6&amp;CHAR(31)&amp;D$3))&gt;2," (+"&amp;(SUMPRODUCT(1*EXACT('Casillas del horario'!$S$4:$S$73,"Profesor de F en 10-3"&amp;CHAR(31)&amp;$A6&amp;CHAR(31)&amp;D$3))-2)&amp;")",""),IF(ISNA(MATCH(1,INDEX(EXACT('Casillas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/ "&amp;IF(ISBLANK(INDEX('Casillas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10-3"&amp;CHAR(31)&amp;$A6&amp;CHAR(31)&amp;E$3)*1,0),0)))),"",INDEX('Casillas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10-3"&amp;CHAR(31)&amp;$A6&amp;CHAR(31)&amp;E$3)*1,0),0))))&amp;IF(SUMPRODUCT(1*EXACT('Casillas del horario'!$S$4:$S$73,"Profesor de F en 10-3"&amp;CHAR(31)&amp;$A6&amp;CHAR(31)&amp;E$3))&gt;2," (+"&amp;(SUMPRODUCT(1*EXACT('Casillas del horario'!$S$4:$S$73,"Profesor de F en 10-3"&amp;CHAR(31)&amp;$A6&amp;CHAR(31)&amp;E$3))-2)&amp;")",""),IF(ISNA(MATCH(1,INDEX(EXACT('Casillas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/ "&amp;IF(ISBLANK(INDEX('Casillas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10-3"&amp;CHAR(31)&amp;$A6&amp;CHAR(31)&amp;F$3)*1,0),0)))),"",INDEX('Casillas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10-3"&amp;CHAR(31)&amp;$A6&amp;CHAR(31)&amp;F$3)*1,0),0))))&amp;IF(SUMPRODUCT(1*EXACT('Casillas del horario'!$S$4:$S$73,"Profesor de F en 10-3"&amp;CHAR(31)&amp;$A6&amp;CHAR(31)&amp;F$3))&gt;2," (+"&amp;(SUMPRODUCT(1*EXACT('Casillas del horario'!$S$4:$S$73,"Profesor de F en 10-3"&amp;CHAR(31)&amp;$A6&amp;CHAR(31)&amp;F$3))-2)&amp;")",""),IF(ISNA(MATCH(1,INDEX(EXACT('Casillas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/ "&amp;IF(ISBLANK(INDEX('Casillas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10-3"&amp;CHAR(31)&amp;$A7&amp;CHAR(31)&amp;B$3)*1,0),0)))),"",INDEX('Casillas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10-3"&amp;CHAR(31)&amp;$A7&amp;CHAR(31)&amp;B$3)*1,0),0))))&amp;IF(SUMPRODUCT(1*EXACT('Casillas del horario'!$S$4:$S$73,"Profesor de F en 10-3"&amp;CHAR(31)&amp;$A7&amp;CHAR(31)&amp;B$3))&gt;2," (+"&amp;(SUMPRODUCT(1*EXACT('Casillas del horario'!$S$4:$S$73,"Profesor de F en 10-3"&amp;CHAR(31)&amp;$A7&amp;CHAR(31)&amp;B$3))-2)&amp;")",""),IF(ISNA(MATCH(1,INDEX(EXACT('Casillas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/ "&amp;IF(ISBLANK(INDEX('Casillas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10-3"&amp;CHAR(31)&amp;$A7&amp;CHAR(31)&amp;C$3)*1,0),0)))),"",INDEX('Casillas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10-3"&amp;CHAR(31)&amp;$A7&amp;CHAR(31)&amp;C$3)*1,0),0))))&amp;IF(SUMPRODUCT(1*EXACT('Casillas del horario'!$S$4:$S$73,"Profesor de F en 10-3"&amp;CHAR(31)&amp;$A7&amp;CHAR(31)&amp;C$3))&gt;2," (+"&amp;(SUMPRODUCT(1*EXACT('Casillas del horario'!$S$4:$S$73,"Profesor de F en 10-3"&amp;CHAR(31)&amp;$A7&amp;CHAR(31)&amp;C$3))-2)&amp;")",""),IF(ISNA(MATCH(1,INDEX(EXACT('Casillas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/ "&amp;IF(ISBLANK(INDEX('Casillas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10-3"&amp;CHAR(31)&amp;$A7&amp;CHAR(31)&amp;D$3)*1,0),0)))),"",INDEX('Casillas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10-3"&amp;CHAR(31)&amp;$A7&amp;CHAR(31)&amp;D$3)*1,0),0))))&amp;IF(SUMPRODUCT(1*EXACT('Casillas del horario'!$S$4:$S$73,"Profesor de F en 10-3"&amp;CHAR(31)&amp;$A7&amp;CHAR(31)&amp;D$3))&gt;2," (+"&amp;(SUMPRODUCT(1*EXACT('Casillas del horario'!$S$4:$S$73,"Profesor de F en 10-3"&amp;CHAR(31)&amp;$A7&amp;CHAR(31)&amp;D$3))-2)&amp;")",""),IF(ISNA(MATCH(1,INDEX(EXACT('Casillas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/ "&amp;IF(ISBLANK(INDEX('Casillas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10-3"&amp;CHAR(31)&amp;$A7&amp;CHAR(31)&amp;E$3)*1,0),0)))),"",INDEX('Casillas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10-3"&amp;CHAR(31)&amp;$A7&amp;CHAR(31)&amp;E$3)*1,0),0))))&amp;IF(SUMPRODUCT(1*EXACT('Casillas del horario'!$S$4:$S$73,"Profesor de F en 10-3"&amp;CHAR(31)&amp;$A7&amp;CHAR(31)&amp;E$3))&gt;2," (+"&amp;(SUMPRODUCT(1*EXACT('Casillas del horario'!$S$4:$S$73,"Profesor de F en 10-3"&amp;CHAR(31)&amp;$A7&amp;CHAR(31)&amp;E$3))-2)&amp;")",""),IF(ISNA(MATCH(1,INDEX(EXACT('Casillas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/ "&amp;IF(ISBLANK(INDEX('Casillas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10-3"&amp;CHAR(31)&amp;$A7&amp;CHAR(31)&amp;F$3)*1,0),0)))),"",INDEX('Casillas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10-3"&amp;CHAR(31)&amp;$A7&amp;CHAR(31)&amp;F$3)*1,0),0))))&amp;IF(SUMPRODUCT(1*EXACT('Casillas del horario'!$S$4:$S$73,"Profesor de F en 10-3"&amp;CHAR(31)&amp;$A7&amp;CHAR(31)&amp;F$3))&gt;2," (+"&amp;(SUMPRODUCT(1*EXACT('Casillas del horario'!$S$4:$S$73,"Profesor de F en 10-3"&amp;CHAR(31)&amp;$A7&amp;CHAR(31)&amp;F$3))-2)&amp;")",""),IF(ISNA(MATCH(1,INDEX(EXACT('Casillas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/ "&amp;IF(ISBLANK(INDEX('Casillas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10-3"&amp;CHAR(31)&amp;$A8&amp;CHAR(31)&amp;B$3)*1,0),0)))),"",INDEX('Casillas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10-3"&amp;CHAR(31)&amp;$A8&amp;CHAR(31)&amp;B$3)*1,0),0))))&amp;IF(SUMPRODUCT(1*EXACT('Casillas del horario'!$S$4:$S$73,"Profesor de F en 10-3"&amp;CHAR(31)&amp;$A8&amp;CHAR(31)&amp;B$3))&gt;2," (+"&amp;(SUMPRODUCT(1*EXACT('Casillas del horario'!$S$4:$S$73,"Profesor de F en 10-3"&amp;CHAR(31)&amp;$A8&amp;CHAR(31)&amp;B$3))-2)&amp;")",""),IF(ISNA(MATCH(1,INDEX(EXACT('Casillas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/ "&amp;IF(ISBLANK(INDEX('Casillas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10-3"&amp;CHAR(31)&amp;$A8&amp;CHAR(31)&amp;C$3)*1,0),0)))),"",INDEX('Casillas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10-3"&amp;CHAR(31)&amp;$A8&amp;CHAR(31)&amp;C$3)*1,0),0))))&amp;IF(SUMPRODUCT(1*EXACT('Casillas del horario'!$S$4:$S$73,"Profesor de F en 10-3"&amp;CHAR(31)&amp;$A8&amp;CHAR(31)&amp;C$3))&gt;2," (+"&amp;(SUMPRODUCT(1*EXACT('Casillas del horario'!$S$4:$S$73,"Profesor de F en 10-3"&amp;CHAR(31)&amp;$A8&amp;CHAR(31)&amp;C$3))-2)&amp;")",""),IF(ISNA(MATCH(1,INDEX(EXACT('Casillas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/ "&amp;IF(ISBLANK(INDEX('Casillas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10-3"&amp;CHAR(31)&amp;$A8&amp;CHAR(31)&amp;D$3)*1,0),0)))),"",INDEX('Casillas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10-3"&amp;CHAR(31)&amp;$A8&amp;CHAR(31)&amp;D$3)*1,0),0))))&amp;IF(SUMPRODUCT(1*EXACT('Casillas del horario'!$S$4:$S$73,"Profesor de F en 10-3"&amp;CHAR(31)&amp;$A8&amp;CHAR(31)&amp;D$3))&gt;2," (+"&amp;(SUMPRODUCT(1*EXACT('Casillas del horario'!$S$4:$S$73,"Profesor de F en 10-3"&amp;CHAR(31)&amp;$A8&amp;CHAR(31)&amp;D$3))-2)&amp;")",""),IF(ISNA(MATCH(1,INDEX(EXACT('Casillas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/ "&amp;IF(ISBLANK(INDEX('Casillas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10-3"&amp;CHAR(31)&amp;$A8&amp;CHAR(31)&amp;E$3)*1,0),0)))),"",INDEX('Casillas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10-3"&amp;CHAR(31)&amp;$A8&amp;CHAR(31)&amp;E$3)*1,0),0))))&amp;IF(SUMPRODUCT(1*EXACT('Casillas del horario'!$S$4:$S$73,"Profesor de F en 10-3"&amp;CHAR(31)&amp;$A8&amp;CHAR(31)&amp;E$3))&gt;2," (+"&amp;(SUMPRODUCT(1*EXACT('Casillas del horario'!$S$4:$S$73,"Profesor de F en 10-3"&amp;CHAR(31)&amp;$A8&amp;CHAR(31)&amp;E$3))-2)&amp;")",""),IF(ISNA(MATCH(1,INDEX(EXACT('Casillas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/ "&amp;IF(ISBLANK(INDEX('Casillas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10-3"&amp;CHAR(31)&amp;$A8&amp;CHAR(31)&amp;F$3)*1,0),0)))),"",INDEX('Casillas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10-3"&amp;CHAR(31)&amp;$A8&amp;CHAR(31)&amp;F$3)*1,0),0))))&amp;IF(SUMPRODUCT(1*EXACT('Casillas del horario'!$S$4:$S$73,"Profesor de F en 10-3"&amp;CHAR(31)&amp;$A8&amp;CHAR(31)&amp;F$3))&gt;2," (+"&amp;(SUMPRODUCT(1*EXACT('Casillas del horario'!$S$4:$S$73,"Profesor de F en 10-3"&amp;CHAR(31)&amp;$A8&amp;CHAR(31)&amp;F$3))-2)&amp;")",""),IF(ISNA(MATCH(1,INDEX(EXACT('Casillas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/ "&amp;IF(ISBLANK(INDEX('Casillas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10-3"&amp;CHAR(31)&amp;$A9&amp;CHAR(31)&amp;B$3)*1,0),0)))),"",INDEX('Casillas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10-3"&amp;CHAR(31)&amp;$A9&amp;CHAR(31)&amp;B$3)*1,0),0))))&amp;IF(SUMPRODUCT(1*EXACT('Casillas del horario'!$S$4:$S$73,"Profesor de F en 10-3"&amp;CHAR(31)&amp;$A9&amp;CHAR(31)&amp;B$3))&gt;2," (+"&amp;(SUMPRODUCT(1*EXACT('Casillas del horario'!$S$4:$S$73,"Profesor de F en 10-3"&amp;CHAR(31)&amp;$A9&amp;CHAR(31)&amp;B$3))-2)&amp;")",""),IF(ISNA(MATCH(1,INDEX(EXACT('Casillas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/ "&amp;IF(ISBLANK(INDEX('Casillas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10-3"&amp;CHAR(31)&amp;$A9&amp;CHAR(31)&amp;C$3)*1,0),0)))),"",INDEX('Casillas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10-3"&amp;CHAR(31)&amp;$A9&amp;CHAR(31)&amp;C$3)*1,0),0))))&amp;IF(SUMPRODUCT(1*EXACT('Casillas del horario'!$S$4:$S$73,"Profesor de F en 10-3"&amp;CHAR(31)&amp;$A9&amp;CHAR(31)&amp;C$3))&gt;2," (+"&amp;(SUMPRODUCT(1*EXACT('Casillas del horario'!$S$4:$S$73,"Profesor de F en 10-3"&amp;CHAR(31)&amp;$A9&amp;CHAR(31)&amp;C$3))-2)&amp;")",""),IF(ISNA(MATCH(1,INDEX(EXACT('Casillas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/ "&amp;IF(ISBLANK(INDEX('Casillas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10-3"&amp;CHAR(31)&amp;$A9&amp;CHAR(31)&amp;D$3)*1,0),0)))),"",INDEX('Casillas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10-3"&amp;CHAR(31)&amp;$A9&amp;CHAR(31)&amp;D$3)*1,0),0))))&amp;IF(SUMPRODUCT(1*EXACT('Casillas del horario'!$S$4:$S$73,"Profesor de F en 10-3"&amp;CHAR(31)&amp;$A9&amp;CHAR(31)&amp;D$3))&gt;2," (+"&amp;(SUMPRODUCT(1*EXACT('Casillas del horario'!$S$4:$S$73,"Profesor de F en 10-3"&amp;CHAR(31)&amp;$A9&amp;CHAR(31)&amp;D$3))-2)&amp;")",""),IF(ISNA(MATCH(1,INDEX(EXACT('Casillas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/ "&amp;IF(ISBLANK(INDEX('Casillas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10-3"&amp;CHAR(31)&amp;$A9&amp;CHAR(31)&amp;E$3)*1,0),0)))),"",INDEX('Casillas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10-3"&amp;CHAR(31)&amp;$A9&amp;CHAR(31)&amp;E$3)*1,0),0))))&amp;IF(SUMPRODUCT(1*EXACT('Casillas del horario'!$S$4:$S$73,"Profesor de F en 10-3"&amp;CHAR(31)&amp;$A9&amp;CHAR(31)&amp;E$3))&gt;2," (+"&amp;(SUMPRODUCT(1*EXACT('Casillas del horario'!$S$4:$S$73,"Profesor de F en 10-3"&amp;CHAR(31)&amp;$A9&amp;CHAR(31)&amp;E$3))-2)&amp;")",""),IF(ISNA(MATCH(1,INDEX(EXACT('Casillas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/ "&amp;IF(ISBLANK(INDEX('Casillas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10-3"&amp;CHAR(31)&amp;$A9&amp;CHAR(31)&amp;F$3)*1,0),0)))),"",INDEX('Casillas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10-3"&amp;CHAR(31)&amp;$A9&amp;CHAR(31)&amp;F$3)*1,0),0))))&amp;IF(SUMPRODUCT(1*EXACT('Casillas del horario'!$S$4:$S$73,"Profesor de F en 10-3"&amp;CHAR(31)&amp;$A9&amp;CHAR(31)&amp;F$3))&gt;2," (+"&amp;(SUMPRODUCT(1*EXACT('Casillas del horario'!$S$4:$S$73,"Profesor de F en 10-3"&amp;CHAR(31)&amp;$A9&amp;CHAR(31)&amp;F$3))-2)&amp;")",""),IF(ISNA(MATCH(1,INDEX(EXACT('Casillas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/ "&amp;IF(ISBLANK(INDEX('Casillas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10-3"&amp;CHAR(31)&amp;$A10&amp;CHAR(31)&amp;B$3)*1,0),0)))),"",INDEX('Casillas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10-3"&amp;CHAR(31)&amp;$A10&amp;CHAR(31)&amp;B$3)*1,0),0))))&amp;IF(SUMPRODUCT(1*EXACT('Casillas del horario'!$S$4:$S$73,"Profesor de F en 10-3"&amp;CHAR(31)&amp;$A10&amp;CHAR(31)&amp;B$3))&gt;2," (+"&amp;(SUMPRODUCT(1*EXACT('Casillas del horario'!$S$4:$S$73,"Profesor de F en 10-3"&amp;CHAR(31)&amp;$A10&amp;CHAR(31)&amp;B$3))-2)&amp;")",""),IF(ISNA(MATCH(1,INDEX(EXACT('Casillas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/ "&amp;IF(ISBLANK(INDEX('Casillas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10-3"&amp;CHAR(31)&amp;$A10&amp;CHAR(31)&amp;C$3)*1,0),0)))),"",INDEX('Casillas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10-3"&amp;CHAR(31)&amp;$A10&amp;CHAR(31)&amp;C$3)*1,0),0))))&amp;IF(SUMPRODUCT(1*EXACT('Casillas del horario'!$S$4:$S$73,"Profesor de F en 10-3"&amp;CHAR(31)&amp;$A10&amp;CHAR(31)&amp;C$3))&gt;2," (+"&amp;(SUMPRODUCT(1*EXACT('Casillas del horario'!$S$4:$S$73,"Profesor de F en 10-3"&amp;CHAR(31)&amp;$A10&amp;CHAR(31)&amp;C$3))-2)&amp;")",""),IF(ISNA(MATCH(1,INDEX(EXACT('Casillas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/ "&amp;IF(ISBLANK(INDEX('Casillas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10-3"&amp;CHAR(31)&amp;$A10&amp;CHAR(31)&amp;D$3)*1,0),0)))),"",INDEX('Casillas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10-3"&amp;CHAR(31)&amp;$A10&amp;CHAR(31)&amp;D$3)*1,0),0))))&amp;IF(SUMPRODUCT(1*EXACT('Casillas del horario'!$S$4:$S$73,"Profesor de F en 10-3"&amp;CHAR(31)&amp;$A10&amp;CHAR(31)&amp;D$3))&gt;2," (+"&amp;(SUMPRODUCT(1*EXACT('Casillas del horario'!$S$4:$S$73,"Profesor de F en 10-3"&amp;CHAR(31)&amp;$A10&amp;CHAR(31)&amp;D$3))-2)&amp;")",""),IF(ISNA(MATCH(1,INDEX(EXACT('Casillas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/ "&amp;IF(ISBLANK(INDEX('Casillas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10-3"&amp;CHAR(31)&amp;$A10&amp;CHAR(31)&amp;E$3)*1,0),0)))),"",INDEX('Casillas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10-3"&amp;CHAR(31)&amp;$A10&amp;CHAR(31)&amp;E$3)*1,0),0))))&amp;IF(SUMPRODUCT(1*EXACT('Casillas del horario'!$S$4:$S$73,"Profesor de F en 10-3"&amp;CHAR(31)&amp;$A10&amp;CHAR(31)&amp;E$3))&gt;2," (+"&amp;(SUMPRODUCT(1*EXACT('Casillas del horario'!$S$4:$S$73,"Profesor de F en 10-3"&amp;CHAR(31)&amp;$A10&amp;CHAR(31)&amp;E$3))-2)&amp;")",""),IF(ISNA(MATCH(1,INDEX(EXACT('Casillas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/ "&amp;IF(ISBLANK(INDEX('Casillas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10-3"&amp;CHAR(31)&amp;$A10&amp;CHAR(31)&amp;F$3)*1,0),0)))),"",INDEX('Casillas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10-3"&amp;CHAR(31)&amp;$A10&amp;CHAR(31)&amp;F$3)*1,0),0))))&amp;IF(SUMPRODUCT(1*EXACT('Casillas del horario'!$S$4:$S$73,"Profesor de F en 10-3"&amp;CHAR(31)&amp;$A10&amp;CHAR(31)&amp;F$3))&gt;2," (+"&amp;(SUMPRODUCT(1*EXACT('Casillas del horario'!$S$4:$S$73,"Profesor de F en 10-3"&amp;CHAR(31)&amp;$A10&amp;CHAR(31)&amp;F$3))-2)&amp;")",""),IF(ISNA(MATCH(1,INDEX(EXACT('Casillas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/ "&amp;IF(ISBLANK(INDEX('Casillas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10-3"&amp;CHAR(31)&amp;$A4&amp;CHAR(31)&amp;B$3)*1,0),0)))),"",INDEX('Casillas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10-3"&amp;CHAR(31)&amp;$A4&amp;CHAR(31)&amp;B$3)*1,0),0))))&amp;IF(SUMPRODUCT(1*EXACT('Casillas del horario'!$S$4:$S$73,"Profesor de I en 10-3"&amp;CHAR(31)&amp;$A4&amp;CHAR(31)&amp;B$3))&gt;2," (+"&amp;(SUMPRODUCT(1*EXACT('Casillas del horario'!$S$4:$S$73,"Profesor de I en 10-3"&amp;CHAR(31)&amp;$A4&amp;CHAR(31)&amp;B$3))-2)&amp;")",""),IF(ISNA(MATCH(1,INDEX(EXACT('Casillas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/ "&amp;IF(ISBLANK(INDEX('Casillas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10-3"&amp;CHAR(31)&amp;$A4&amp;CHAR(31)&amp;C$3)*1,0),0)))),"",INDEX('Casillas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10-3"&amp;CHAR(31)&amp;$A4&amp;CHAR(31)&amp;C$3)*1,0),0))))&amp;IF(SUMPRODUCT(1*EXACT('Casillas del horario'!$S$4:$S$73,"Profesor de I en 10-3"&amp;CHAR(31)&amp;$A4&amp;CHAR(31)&amp;C$3))&gt;2," (+"&amp;(SUMPRODUCT(1*EXACT('Casillas del horario'!$S$4:$S$73,"Profesor de I en 10-3"&amp;CHAR(31)&amp;$A4&amp;CHAR(31)&amp;C$3))-2)&amp;")",""),IF(ISNA(MATCH(1,INDEX(EXACT('Casillas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/ "&amp;IF(ISBLANK(INDEX('Casillas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10-3"&amp;CHAR(31)&amp;$A4&amp;CHAR(31)&amp;D$3)*1,0),0)))),"",INDEX('Casillas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10-3"&amp;CHAR(31)&amp;$A4&amp;CHAR(31)&amp;D$3)*1,0),0))))&amp;IF(SUMPRODUCT(1*EXACT('Casillas del horario'!$S$4:$S$73,"Profesor de I en 10-3"&amp;CHAR(31)&amp;$A4&amp;CHAR(31)&amp;D$3))&gt;2," (+"&amp;(SUMPRODUCT(1*EXACT('Casillas del horario'!$S$4:$S$73,"Profesor de I en 10-3"&amp;CHAR(31)&amp;$A4&amp;CHAR(31)&amp;D$3))-2)&amp;")",""),IF(ISNA(MATCH(1,INDEX(EXACT('Casillas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/ "&amp;IF(ISBLANK(INDEX('Casillas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10-3"&amp;CHAR(31)&amp;$A4&amp;CHAR(31)&amp;E$3)*1,0),0)))),"",INDEX('Casillas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10-3"&amp;CHAR(31)&amp;$A4&amp;CHAR(31)&amp;E$3)*1,0),0))))&amp;IF(SUMPRODUCT(1*EXACT('Casillas del horario'!$S$4:$S$73,"Profesor de I en 10-3"&amp;CHAR(31)&amp;$A4&amp;CHAR(31)&amp;E$3))&gt;2," (+"&amp;(SUMPRODUCT(1*EXACT('Casillas del horario'!$S$4:$S$73,"Profesor de I en 10-3"&amp;CHAR(31)&amp;$A4&amp;CHAR(31)&amp;E$3))-2)&amp;")",""),IF(ISNA(MATCH(1,INDEX(EXACT('Casillas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/ "&amp;IF(ISBLANK(INDEX('Casillas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10-3"&amp;CHAR(31)&amp;$A4&amp;CHAR(31)&amp;F$3)*1,0),0)))),"",INDEX('Casillas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10-3"&amp;CHAR(31)&amp;$A4&amp;CHAR(31)&amp;F$3)*1,0),0))))&amp;IF(SUMPRODUCT(1*EXACT('Casillas del horario'!$S$4:$S$73,"Profesor de I en 10-3"&amp;CHAR(31)&amp;$A4&amp;CHAR(31)&amp;F$3))&gt;2," (+"&amp;(SUMPRODUCT(1*EXACT('Casillas del horario'!$S$4:$S$73,"Profesor de I en 10-3"&amp;CHAR(31)&amp;$A4&amp;CHAR(31)&amp;F$3))-2)&amp;")",""),IF(ISNA(MATCH(1,INDEX(EXACT('Casillas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/ "&amp;IF(ISBLANK(INDEX('Casillas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10-3"&amp;CHAR(31)&amp;$A5&amp;CHAR(31)&amp;B$3)*1,0),0)))),"",INDEX('Casillas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10-3"&amp;CHAR(31)&amp;$A5&amp;CHAR(31)&amp;B$3)*1,0),0))))&amp;IF(SUMPRODUCT(1*EXACT('Casillas del horario'!$S$4:$S$73,"Profesor de I en 10-3"&amp;CHAR(31)&amp;$A5&amp;CHAR(31)&amp;B$3))&gt;2," (+"&amp;(SUMPRODUCT(1*EXACT('Casillas del horario'!$S$4:$S$73,"Profesor de I en 10-3"&amp;CHAR(31)&amp;$A5&amp;CHAR(31)&amp;B$3))-2)&amp;")",""),IF(ISNA(MATCH(1,INDEX(EXACT('Casillas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/ "&amp;IF(ISBLANK(INDEX('Casillas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10-3"&amp;CHAR(31)&amp;$A5&amp;CHAR(31)&amp;C$3)*1,0),0)))),"",INDEX('Casillas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10-3"&amp;CHAR(31)&amp;$A5&amp;CHAR(31)&amp;C$3)*1,0),0))))&amp;IF(SUMPRODUCT(1*EXACT('Casillas del horario'!$S$4:$S$73,"Profesor de I en 10-3"&amp;CHAR(31)&amp;$A5&amp;CHAR(31)&amp;C$3))&gt;2," (+"&amp;(SUMPRODUCT(1*EXACT('Casillas del horario'!$S$4:$S$73,"Profesor de I en 10-3"&amp;CHAR(31)&amp;$A5&amp;CHAR(31)&amp;C$3))-2)&amp;")",""),IF(ISNA(MATCH(1,INDEX(EXACT('Casillas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/ "&amp;IF(ISBLANK(INDEX('Casillas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10-3"&amp;CHAR(31)&amp;$A5&amp;CHAR(31)&amp;D$3)*1,0),0)))),"",INDEX('Casillas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10-3"&amp;CHAR(31)&amp;$A5&amp;CHAR(31)&amp;D$3)*1,0),0))))&amp;IF(SUMPRODUCT(1*EXACT('Casillas del horario'!$S$4:$S$73,"Profesor de I en 10-3"&amp;CHAR(31)&amp;$A5&amp;CHAR(31)&amp;D$3))&gt;2," (+"&amp;(SUMPRODUCT(1*EXACT('Casillas del horario'!$S$4:$S$73,"Profesor de I en 10-3"&amp;CHAR(31)&amp;$A5&amp;CHAR(31)&amp;D$3))-2)&amp;")",""),IF(ISNA(MATCH(1,INDEX(EXACT('Casillas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/ "&amp;IF(ISBLANK(INDEX('Casillas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10-3"&amp;CHAR(31)&amp;$A5&amp;CHAR(31)&amp;E$3)*1,0),0)))),"",INDEX('Casillas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10-3"&amp;CHAR(31)&amp;$A5&amp;CHAR(31)&amp;E$3)*1,0),0))))&amp;IF(SUMPRODUCT(1*EXACT('Casillas del horario'!$S$4:$S$73,"Profesor de I en 10-3"&amp;CHAR(31)&amp;$A5&amp;CHAR(31)&amp;E$3))&gt;2," (+"&amp;(SUMPRODUCT(1*EXACT('Casillas del horario'!$S$4:$S$73,"Profesor de I en 10-3"&amp;CHAR(31)&amp;$A5&amp;CHAR(31)&amp;E$3))-2)&amp;")",""),IF(ISNA(MATCH(1,INDEX(EXACT('Casillas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/ "&amp;IF(ISBLANK(INDEX('Casillas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10-3"&amp;CHAR(31)&amp;$A5&amp;CHAR(31)&amp;F$3)*1,0),0)))),"",INDEX('Casillas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10-3"&amp;CHAR(31)&amp;$A5&amp;CHAR(31)&amp;F$3)*1,0),0))))&amp;IF(SUMPRODUCT(1*EXACT('Casillas del horario'!$S$4:$S$73,"Profesor de I en 10-3"&amp;CHAR(31)&amp;$A5&amp;CHAR(31)&amp;F$3))&gt;2," (+"&amp;(SUMPRODUCT(1*EXACT('Casillas del horario'!$S$4:$S$73,"Profesor de I en 10-3"&amp;CHAR(31)&amp;$A5&amp;CHAR(31)&amp;F$3))-2)&amp;")",""),IF(ISNA(MATCH(1,INDEX(EXACT('Casillas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/ "&amp;IF(ISBLANK(INDEX('Casillas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10-3"&amp;CHAR(31)&amp;$A6&amp;CHAR(31)&amp;B$3)*1,0),0)))),"",INDEX('Casillas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10-3"&amp;CHAR(31)&amp;$A6&amp;CHAR(31)&amp;B$3)*1,0),0))))&amp;IF(SUMPRODUCT(1*EXACT('Casillas del horario'!$S$4:$S$73,"Profesor de I en 10-3"&amp;CHAR(31)&amp;$A6&amp;CHAR(31)&amp;B$3))&gt;2," (+"&amp;(SUMPRODUCT(1*EXACT('Casillas del horario'!$S$4:$S$73,"Profesor de I en 10-3"&amp;CHAR(31)&amp;$A6&amp;CHAR(31)&amp;B$3))-2)&amp;")",""),IF(ISNA(MATCH(1,INDEX(EXACT('Casillas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/ "&amp;IF(ISBLANK(INDEX('Casillas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10-3"&amp;CHAR(31)&amp;$A6&amp;CHAR(31)&amp;C$3)*1,0),0)))),"",INDEX('Casillas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10-3"&amp;CHAR(31)&amp;$A6&amp;CHAR(31)&amp;C$3)*1,0),0))))&amp;IF(SUMPRODUCT(1*EXACT('Casillas del horario'!$S$4:$S$73,"Profesor de I en 10-3"&amp;CHAR(31)&amp;$A6&amp;CHAR(31)&amp;C$3))&gt;2," (+"&amp;(SUMPRODUCT(1*EXACT('Casillas del horario'!$S$4:$S$73,"Profesor de I en 10-3"&amp;CHAR(31)&amp;$A6&amp;CHAR(31)&amp;C$3))-2)&amp;")",""),IF(ISNA(MATCH(1,INDEX(EXACT('Casillas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/ "&amp;IF(ISBLANK(INDEX('Casillas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10-3"&amp;CHAR(31)&amp;$A6&amp;CHAR(31)&amp;D$3)*1,0),0)))),"",INDEX('Casillas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10-3"&amp;CHAR(31)&amp;$A6&amp;CHAR(31)&amp;D$3)*1,0),0))))&amp;IF(SUMPRODUCT(1*EXACT('Casillas del horario'!$S$4:$S$73,"Profesor de I en 10-3"&amp;CHAR(31)&amp;$A6&amp;CHAR(31)&amp;D$3))&gt;2," (+"&amp;(SUMPRODUCT(1*EXACT('Casillas del horario'!$S$4:$S$73,"Profesor de I en 10-3"&amp;CHAR(31)&amp;$A6&amp;CHAR(31)&amp;D$3))-2)&amp;")",""),IF(ISNA(MATCH(1,INDEX(EXACT('Casillas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/ "&amp;IF(ISBLANK(INDEX('Casillas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10-3"&amp;CHAR(31)&amp;$A6&amp;CHAR(31)&amp;E$3)*1,0),0)))),"",INDEX('Casillas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10-3"&amp;CHAR(31)&amp;$A6&amp;CHAR(31)&amp;E$3)*1,0),0))))&amp;IF(SUMPRODUCT(1*EXACT('Casillas del horario'!$S$4:$S$73,"Profesor de I en 10-3"&amp;CHAR(31)&amp;$A6&amp;CHAR(31)&amp;E$3))&gt;2," (+"&amp;(SUMPRODUCT(1*EXACT('Casillas del horario'!$S$4:$S$73,"Profesor de I en 10-3"&amp;CHAR(31)&amp;$A6&amp;CHAR(31)&amp;E$3))-2)&amp;")",""),IF(ISNA(MATCH(1,INDEX(EXACT('Casillas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/ "&amp;IF(ISBLANK(INDEX('Casillas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10-3"&amp;CHAR(31)&amp;$A6&amp;CHAR(31)&amp;F$3)*1,0),0)))),"",INDEX('Casillas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10-3"&amp;CHAR(31)&amp;$A6&amp;CHAR(31)&amp;F$3)*1,0),0))))&amp;IF(SUMPRODUCT(1*EXACT('Casillas del horario'!$S$4:$S$73,"Profesor de I en 10-3"&amp;CHAR(31)&amp;$A6&amp;CHAR(31)&amp;F$3))&gt;2," (+"&amp;(SUMPRODUCT(1*EXACT('Casillas del horario'!$S$4:$S$73,"Profesor de I en 10-3"&amp;CHAR(31)&amp;$A6&amp;CHAR(31)&amp;F$3))-2)&amp;")",""),IF(ISNA(MATCH(1,INDEX(EXACT('Casillas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/ "&amp;IF(ISBLANK(INDEX('Casillas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10-3"&amp;CHAR(31)&amp;$A7&amp;CHAR(31)&amp;B$3)*1,0),0)))),"",INDEX('Casillas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10-3"&amp;CHAR(31)&amp;$A7&amp;CHAR(31)&amp;B$3)*1,0),0))))&amp;IF(SUMPRODUCT(1*EXACT('Casillas del horario'!$S$4:$S$73,"Profesor de I en 10-3"&amp;CHAR(31)&amp;$A7&amp;CHAR(31)&amp;B$3))&gt;2," (+"&amp;(SUMPRODUCT(1*EXACT('Casillas del horario'!$S$4:$S$73,"Profesor de I en 10-3"&amp;CHAR(31)&amp;$A7&amp;CHAR(31)&amp;B$3))-2)&amp;")",""),IF(ISNA(MATCH(1,INDEX(EXACT('Casillas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/ "&amp;IF(ISBLANK(INDEX('Casillas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10-3"&amp;CHAR(31)&amp;$A7&amp;CHAR(31)&amp;C$3)*1,0),0)))),"",INDEX('Casillas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10-3"&amp;CHAR(31)&amp;$A7&amp;CHAR(31)&amp;C$3)*1,0),0))))&amp;IF(SUMPRODUCT(1*EXACT('Casillas del horario'!$S$4:$S$73,"Profesor de I en 10-3"&amp;CHAR(31)&amp;$A7&amp;CHAR(31)&amp;C$3))&gt;2," (+"&amp;(SUMPRODUCT(1*EXACT('Casillas del horario'!$S$4:$S$73,"Profesor de I en 10-3"&amp;CHAR(31)&amp;$A7&amp;CHAR(31)&amp;C$3))-2)&amp;")",""),IF(ISNA(MATCH(1,INDEX(EXACT('Casillas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/ "&amp;IF(ISBLANK(INDEX('Casillas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10-3"&amp;CHAR(31)&amp;$A7&amp;CHAR(31)&amp;D$3)*1,0),0)))),"",INDEX('Casillas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10-3"&amp;CHAR(31)&amp;$A7&amp;CHAR(31)&amp;D$3)*1,0),0))))&amp;IF(SUMPRODUCT(1*EXACT('Casillas del horario'!$S$4:$S$73,"Profesor de I en 10-3"&amp;CHAR(31)&amp;$A7&amp;CHAR(31)&amp;D$3))&gt;2," (+"&amp;(SUMPRODUCT(1*EXACT('Casillas del horario'!$S$4:$S$73,"Profesor de I en 10-3"&amp;CHAR(31)&amp;$A7&amp;CHAR(31)&amp;D$3))-2)&amp;")",""),IF(ISNA(MATCH(1,INDEX(EXACT('Casillas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/ "&amp;IF(ISBLANK(INDEX('Casillas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10-3"&amp;CHAR(31)&amp;$A7&amp;CHAR(31)&amp;E$3)*1,0),0)))),"",INDEX('Casillas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10-3"&amp;CHAR(31)&amp;$A7&amp;CHAR(31)&amp;E$3)*1,0),0))))&amp;IF(SUMPRODUCT(1*EXACT('Casillas del horario'!$S$4:$S$73,"Profesor de I en 10-3"&amp;CHAR(31)&amp;$A7&amp;CHAR(31)&amp;E$3))&gt;2," (+"&amp;(SUMPRODUCT(1*EXACT('Casillas del horario'!$S$4:$S$73,"Profesor de I en 10-3"&amp;CHAR(31)&amp;$A7&amp;CHAR(31)&amp;E$3))-2)&amp;")",""),IF(ISNA(MATCH(1,INDEX(EXACT('Casillas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/ "&amp;IF(ISBLANK(INDEX('Casillas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10-3"&amp;CHAR(31)&amp;$A7&amp;CHAR(31)&amp;F$3)*1,0),0)))),"",INDEX('Casillas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10-3"&amp;CHAR(31)&amp;$A7&amp;CHAR(31)&amp;F$3)*1,0),0))))&amp;IF(SUMPRODUCT(1*EXACT('Casillas del horario'!$S$4:$S$73,"Profesor de I en 10-3"&amp;CHAR(31)&amp;$A7&amp;CHAR(31)&amp;F$3))&gt;2," (+"&amp;(SUMPRODUCT(1*EXACT('Casillas del horario'!$S$4:$S$73,"Profesor de I en 10-3"&amp;CHAR(31)&amp;$A7&amp;CHAR(31)&amp;F$3))-2)&amp;")",""),IF(ISNA(MATCH(1,INDEX(EXACT('Casillas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/ "&amp;IF(ISBLANK(INDEX('Casillas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10-3"&amp;CHAR(31)&amp;$A8&amp;CHAR(31)&amp;B$3)*1,0),0)))),"",INDEX('Casillas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10-3"&amp;CHAR(31)&amp;$A8&amp;CHAR(31)&amp;B$3)*1,0),0))))&amp;IF(SUMPRODUCT(1*EXACT('Casillas del horario'!$S$4:$S$73,"Profesor de I en 10-3"&amp;CHAR(31)&amp;$A8&amp;CHAR(31)&amp;B$3))&gt;2," (+"&amp;(SUMPRODUCT(1*EXACT('Casillas del horario'!$S$4:$S$73,"Profesor de I en 10-3"&amp;CHAR(31)&amp;$A8&amp;CHAR(31)&amp;B$3))-2)&amp;")",""),IF(ISNA(MATCH(1,INDEX(EXACT('Casillas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/ "&amp;IF(ISBLANK(INDEX('Casillas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10-3"&amp;CHAR(31)&amp;$A8&amp;CHAR(31)&amp;C$3)*1,0),0)))),"",INDEX('Casillas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10-3"&amp;CHAR(31)&amp;$A8&amp;CHAR(31)&amp;C$3)*1,0),0))))&amp;IF(SUMPRODUCT(1*EXACT('Casillas del horario'!$S$4:$S$73,"Profesor de I en 10-3"&amp;CHAR(31)&amp;$A8&amp;CHAR(31)&amp;C$3))&gt;2," (+"&amp;(SUMPRODUCT(1*EXACT('Casillas del horario'!$S$4:$S$73,"Profesor de I en 10-3"&amp;CHAR(31)&amp;$A8&amp;CHAR(31)&amp;C$3))-2)&amp;")",""),IF(ISNA(MATCH(1,INDEX(EXACT('Casillas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/ "&amp;IF(ISBLANK(INDEX('Casillas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10-3"&amp;CHAR(31)&amp;$A8&amp;CHAR(31)&amp;D$3)*1,0),0)))),"",INDEX('Casillas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10-3"&amp;CHAR(31)&amp;$A8&amp;CHAR(31)&amp;D$3)*1,0),0))))&amp;IF(SUMPRODUCT(1*EXACT('Casillas del horario'!$S$4:$S$73,"Profesor de I en 10-3"&amp;CHAR(31)&amp;$A8&amp;CHAR(31)&amp;D$3))&gt;2," (+"&amp;(SUMPRODUCT(1*EXACT('Casillas del horario'!$S$4:$S$73,"Profesor de I en 10-3"&amp;CHAR(31)&amp;$A8&amp;CHAR(31)&amp;D$3))-2)&amp;")",""),IF(ISNA(MATCH(1,INDEX(EXACT('Casillas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/ "&amp;IF(ISBLANK(INDEX('Casillas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10-3"&amp;CHAR(31)&amp;$A8&amp;CHAR(31)&amp;E$3)*1,0),0)))),"",INDEX('Casillas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10-3"&amp;CHAR(31)&amp;$A8&amp;CHAR(31)&amp;E$3)*1,0),0))))&amp;IF(SUMPRODUCT(1*EXACT('Casillas del horario'!$S$4:$S$73,"Profesor de I en 10-3"&amp;CHAR(31)&amp;$A8&amp;CHAR(31)&amp;E$3))&gt;2," (+"&amp;(SUMPRODUCT(1*EXACT('Casillas del horario'!$S$4:$S$73,"Profesor de I en 10-3"&amp;CHAR(31)&amp;$A8&amp;CHAR(31)&amp;E$3))-2)&amp;")",""),IF(ISNA(MATCH(1,INDEX(EXACT('Casillas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/ "&amp;IF(ISBLANK(INDEX('Casillas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10-3"&amp;CHAR(31)&amp;$A8&amp;CHAR(31)&amp;F$3)*1,0),0)))),"",INDEX('Casillas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10-3"&amp;CHAR(31)&amp;$A8&amp;CHAR(31)&amp;F$3)*1,0),0))))&amp;IF(SUMPRODUCT(1*EXACT('Casillas del horario'!$S$4:$S$73,"Profesor de I en 10-3"&amp;CHAR(31)&amp;$A8&amp;CHAR(31)&amp;F$3))&gt;2," (+"&amp;(SUMPRODUCT(1*EXACT('Casillas del horario'!$S$4:$S$73,"Profesor de I en 10-3"&amp;CHAR(31)&amp;$A8&amp;CHAR(31)&amp;F$3))-2)&amp;")",""),IF(ISNA(MATCH(1,INDEX(EXACT('Casillas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/ "&amp;IF(ISBLANK(INDEX('Casillas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10-3"&amp;CHAR(31)&amp;$A9&amp;CHAR(31)&amp;B$3)*1,0),0)))),"",INDEX('Casillas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10-3"&amp;CHAR(31)&amp;$A9&amp;CHAR(31)&amp;B$3)*1,0),0))))&amp;IF(SUMPRODUCT(1*EXACT('Casillas del horario'!$S$4:$S$73,"Profesor de I en 10-3"&amp;CHAR(31)&amp;$A9&amp;CHAR(31)&amp;B$3))&gt;2," (+"&amp;(SUMPRODUCT(1*EXACT('Casillas del horario'!$S$4:$S$73,"Profesor de I en 10-3"&amp;CHAR(31)&amp;$A9&amp;CHAR(31)&amp;B$3))-2)&amp;")",""),IF(ISNA(MATCH(1,INDEX(EXACT('Casillas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/ "&amp;IF(ISBLANK(INDEX('Casillas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10-3"&amp;CHAR(31)&amp;$A9&amp;CHAR(31)&amp;C$3)*1,0),0)))),"",INDEX('Casillas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10-3"&amp;CHAR(31)&amp;$A9&amp;CHAR(31)&amp;C$3)*1,0),0))))&amp;IF(SUMPRODUCT(1*EXACT('Casillas del horario'!$S$4:$S$73,"Profesor de I en 10-3"&amp;CHAR(31)&amp;$A9&amp;CHAR(31)&amp;C$3))&gt;2," (+"&amp;(SUMPRODUCT(1*EXACT('Casillas del horario'!$S$4:$S$73,"Profesor de I en 10-3"&amp;CHAR(31)&amp;$A9&amp;CHAR(31)&amp;C$3))-2)&amp;")",""),IF(ISNA(MATCH(1,INDEX(EXACT('Casillas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/ "&amp;IF(ISBLANK(INDEX('Casillas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10-3"&amp;CHAR(31)&amp;$A9&amp;CHAR(31)&amp;D$3)*1,0),0)))),"",INDEX('Casillas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10-3"&amp;CHAR(31)&amp;$A9&amp;CHAR(31)&amp;D$3)*1,0),0))))&amp;IF(SUMPRODUCT(1*EXACT('Casillas del horario'!$S$4:$S$73,"Profesor de I en 10-3"&amp;CHAR(31)&amp;$A9&amp;CHAR(31)&amp;D$3))&gt;2," (+"&amp;(SUMPRODUCT(1*EXACT('Casillas del horario'!$S$4:$S$73,"Profesor de I en 10-3"&amp;CHAR(31)&amp;$A9&amp;CHAR(31)&amp;D$3))-2)&amp;")",""),IF(ISNA(MATCH(1,INDEX(EXACT('Casillas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/ "&amp;IF(ISBLANK(INDEX('Casillas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10-3"&amp;CHAR(31)&amp;$A9&amp;CHAR(31)&amp;E$3)*1,0),0)))),"",INDEX('Casillas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10-3"&amp;CHAR(31)&amp;$A9&amp;CHAR(31)&amp;E$3)*1,0),0))))&amp;IF(SUMPRODUCT(1*EXACT('Casillas del horario'!$S$4:$S$73,"Profesor de I en 10-3"&amp;CHAR(31)&amp;$A9&amp;CHAR(31)&amp;E$3))&gt;2," (+"&amp;(SUMPRODUCT(1*EXACT('Casillas del horario'!$S$4:$S$73,"Profesor de I en 10-3"&amp;CHAR(31)&amp;$A9&amp;CHAR(31)&amp;E$3))-2)&amp;")",""),IF(ISNA(MATCH(1,INDEX(EXACT('Casillas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/ "&amp;IF(ISBLANK(INDEX('Casillas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10-3"&amp;CHAR(31)&amp;$A9&amp;CHAR(31)&amp;F$3)*1,0),0)))),"",INDEX('Casillas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10-3"&amp;CHAR(31)&amp;$A9&amp;CHAR(31)&amp;F$3)*1,0),0))))&amp;IF(SUMPRODUCT(1*EXACT('Casillas del horario'!$S$4:$S$73,"Profesor de I en 10-3"&amp;CHAR(31)&amp;$A9&amp;CHAR(31)&amp;F$3))&gt;2," (+"&amp;(SUMPRODUCT(1*EXACT('Casillas del horario'!$S$4:$S$73,"Profesor de I en 10-3"&amp;CHAR(31)&amp;$A9&amp;CHAR(31)&amp;F$3))-2)&amp;")",""),IF(ISNA(MATCH(1,INDEX(EXACT('Casillas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/ "&amp;IF(ISBLANK(INDEX('Casillas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10-3"&amp;CHAR(31)&amp;$A10&amp;CHAR(31)&amp;B$3)*1,0),0)))),"",INDEX('Casillas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10-3"&amp;CHAR(31)&amp;$A10&amp;CHAR(31)&amp;B$3)*1,0),0))))&amp;IF(SUMPRODUCT(1*EXACT('Casillas del horario'!$S$4:$S$73,"Profesor de I en 10-3"&amp;CHAR(31)&amp;$A10&amp;CHAR(31)&amp;B$3))&gt;2," (+"&amp;(SUMPRODUCT(1*EXACT('Casillas del horario'!$S$4:$S$73,"Profesor de I en 10-3"&amp;CHAR(31)&amp;$A10&amp;CHAR(31)&amp;B$3))-2)&amp;")",""),IF(ISNA(MATCH(1,INDEX(EXACT('Casillas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/ "&amp;IF(ISBLANK(INDEX('Casillas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10-3"&amp;CHAR(31)&amp;$A10&amp;CHAR(31)&amp;C$3)*1,0),0)))),"",INDEX('Casillas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10-3"&amp;CHAR(31)&amp;$A10&amp;CHAR(31)&amp;C$3)*1,0),0))))&amp;IF(SUMPRODUCT(1*EXACT('Casillas del horario'!$S$4:$S$73,"Profesor de I en 10-3"&amp;CHAR(31)&amp;$A10&amp;CHAR(31)&amp;C$3))&gt;2," (+"&amp;(SUMPRODUCT(1*EXACT('Casillas del horario'!$S$4:$S$73,"Profesor de I en 10-3"&amp;CHAR(31)&amp;$A10&amp;CHAR(31)&amp;C$3))-2)&amp;")",""),IF(ISNA(MATCH(1,INDEX(EXACT('Casillas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/ "&amp;IF(ISBLANK(INDEX('Casillas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10-3"&amp;CHAR(31)&amp;$A10&amp;CHAR(31)&amp;D$3)*1,0),0)))),"",INDEX('Casillas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10-3"&amp;CHAR(31)&amp;$A10&amp;CHAR(31)&amp;D$3)*1,0),0))))&amp;IF(SUMPRODUCT(1*EXACT('Casillas del horario'!$S$4:$S$73,"Profesor de I en 10-3"&amp;CHAR(31)&amp;$A10&amp;CHAR(31)&amp;D$3))&gt;2," (+"&amp;(SUMPRODUCT(1*EXACT('Casillas del horario'!$S$4:$S$73,"Profesor de I en 10-3"&amp;CHAR(31)&amp;$A10&amp;CHAR(31)&amp;D$3))-2)&amp;")",""),IF(ISNA(MATCH(1,INDEX(EXACT('Casillas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/ "&amp;IF(ISBLANK(INDEX('Casillas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10-3"&amp;CHAR(31)&amp;$A10&amp;CHAR(31)&amp;E$3)*1,0),0)))),"",INDEX('Casillas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10-3"&amp;CHAR(31)&amp;$A10&amp;CHAR(31)&amp;E$3)*1,0),0))))&amp;IF(SUMPRODUCT(1*EXACT('Casillas del horario'!$S$4:$S$73,"Profesor de I en 10-3"&amp;CHAR(31)&amp;$A10&amp;CHAR(31)&amp;E$3))&gt;2," (+"&amp;(SUMPRODUCT(1*EXACT('Casillas del horario'!$S$4:$S$73,"Profesor de I en 10-3"&amp;CHAR(31)&amp;$A10&amp;CHAR(31)&amp;E$3))-2)&amp;")",""),IF(ISNA(MATCH(1,INDEX(EXACT('Casillas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/ "&amp;IF(ISBLANK(INDEX('Casillas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10-3"&amp;CHAR(31)&amp;$A10&amp;CHAR(31)&amp;F$3)*1,0),0)))),"",INDEX('Casillas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10-3"&amp;CHAR(31)&amp;$A10&amp;CHAR(31)&amp;F$3)*1,0),0))))&amp;IF(SUMPRODUCT(1*EXACT('Casillas del horario'!$S$4:$S$73,"Profesor de I en 10-3"&amp;CHAR(31)&amp;$A10&amp;CHAR(31)&amp;F$3))&gt;2," (+"&amp;(SUMPRODUCT(1*EXACT('Casillas del horario'!$S$4:$S$73,"Profesor de I en 10-3"&amp;CHAR(31)&amp;$A10&amp;CHAR(31)&amp;F$3))-2)&amp;")",""),IF(ISNA(MATCH(1,INDEX(EXACT('Casillas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/ "&amp;IF(ISBLANK(INDEX('Casillas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10-3"&amp;CHAR(31)&amp;$A4&amp;CHAR(31)&amp;B$3)*1,0),0)))),"",INDEX('Casillas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10-3"&amp;CHAR(31)&amp;$A4&amp;CHAR(31)&amp;B$3)*1,0),0))))&amp;IF(SUMPRODUCT(1*EXACT('Casillas del horario'!$S$4:$S$73,"Profesor de H en 10-3"&amp;CHAR(31)&amp;$A4&amp;CHAR(31)&amp;B$3))&gt;2," (+"&amp;(SUMPRODUCT(1*EXACT('Casillas del horario'!$S$4:$S$73,"Profesor de H en 10-3"&amp;CHAR(31)&amp;$A4&amp;CHAR(31)&amp;B$3))-2)&amp;")",""),IF(ISNA(MATCH(1,INDEX(EXACT('Casillas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/ "&amp;IF(ISBLANK(INDEX('Casillas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10-3"&amp;CHAR(31)&amp;$A4&amp;CHAR(31)&amp;C$3)*1,0),0)))),"",INDEX('Casillas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10-3"&amp;CHAR(31)&amp;$A4&amp;CHAR(31)&amp;C$3)*1,0),0))))&amp;IF(SUMPRODUCT(1*EXACT('Casillas del horario'!$S$4:$S$73,"Profesor de H en 10-3"&amp;CHAR(31)&amp;$A4&amp;CHAR(31)&amp;C$3))&gt;2," (+"&amp;(SUMPRODUCT(1*EXACT('Casillas del horario'!$S$4:$S$73,"Profesor de H en 10-3"&amp;CHAR(31)&amp;$A4&amp;CHAR(31)&amp;C$3))-2)&amp;")",""),IF(ISNA(MATCH(1,INDEX(EXACT('Casillas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/ "&amp;IF(ISBLANK(INDEX('Casillas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10-3"&amp;CHAR(31)&amp;$A4&amp;CHAR(31)&amp;D$3)*1,0),0)))),"",INDEX('Casillas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10-3"&amp;CHAR(31)&amp;$A4&amp;CHAR(31)&amp;D$3)*1,0),0))))&amp;IF(SUMPRODUCT(1*EXACT('Casillas del horario'!$S$4:$S$73,"Profesor de H en 10-3"&amp;CHAR(31)&amp;$A4&amp;CHAR(31)&amp;D$3))&gt;2," (+"&amp;(SUMPRODUCT(1*EXACT('Casillas del horario'!$S$4:$S$73,"Profesor de H en 10-3"&amp;CHAR(31)&amp;$A4&amp;CHAR(31)&amp;D$3))-2)&amp;")",""),IF(ISNA(MATCH(1,INDEX(EXACT('Casillas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/ "&amp;IF(ISBLANK(INDEX('Casillas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10-3"&amp;CHAR(31)&amp;$A4&amp;CHAR(31)&amp;E$3)*1,0),0)))),"",INDEX('Casillas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10-3"&amp;CHAR(31)&amp;$A4&amp;CHAR(31)&amp;E$3)*1,0),0))))&amp;IF(SUMPRODUCT(1*EXACT('Casillas del horario'!$S$4:$S$73,"Profesor de H en 10-3"&amp;CHAR(31)&amp;$A4&amp;CHAR(31)&amp;E$3))&gt;2," (+"&amp;(SUMPRODUCT(1*EXACT('Casillas del horario'!$S$4:$S$73,"Profesor de H en 10-3"&amp;CHAR(31)&amp;$A4&amp;CHAR(31)&amp;E$3))-2)&amp;")",""),IF(ISNA(MATCH(1,INDEX(EXACT('Casillas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/ "&amp;IF(ISBLANK(INDEX('Casillas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10-3"&amp;CHAR(31)&amp;$A4&amp;CHAR(31)&amp;F$3)*1,0),0)))),"",INDEX('Casillas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10-3"&amp;CHAR(31)&amp;$A4&amp;CHAR(31)&amp;F$3)*1,0),0))))&amp;IF(SUMPRODUCT(1*EXACT('Casillas del horario'!$S$4:$S$73,"Profesor de H en 10-3"&amp;CHAR(31)&amp;$A4&amp;CHAR(31)&amp;F$3))&gt;2," (+"&amp;(SUMPRODUCT(1*EXACT('Casillas del horario'!$S$4:$S$73,"Profesor de H en 10-3"&amp;CHAR(31)&amp;$A4&amp;CHAR(31)&amp;F$3))-2)&amp;")",""),IF(ISNA(MATCH(1,INDEX(EXACT('Casillas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/ "&amp;IF(ISBLANK(INDEX('Casillas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10-3"&amp;CHAR(31)&amp;$A5&amp;CHAR(31)&amp;B$3)*1,0),0)))),"",INDEX('Casillas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10-3"&amp;CHAR(31)&amp;$A5&amp;CHAR(31)&amp;B$3)*1,0),0))))&amp;IF(SUMPRODUCT(1*EXACT('Casillas del horario'!$S$4:$S$73,"Profesor de H en 10-3"&amp;CHAR(31)&amp;$A5&amp;CHAR(31)&amp;B$3))&gt;2," (+"&amp;(SUMPRODUCT(1*EXACT('Casillas del horario'!$S$4:$S$73,"Profesor de H en 10-3"&amp;CHAR(31)&amp;$A5&amp;CHAR(31)&amp;B$3))-2)&amp;")",""),IF(ISNA(MATCH(1,INDEX(EXACT('Casillas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/ "&amp;IF(ISBLANK(INDEX('Casillas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10-3"&amp;CHAR(31)&amp;$A5&amp;CHAR(31)&amp;C$3)*1,0),0)))),"",INDEX('Casillas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10-3"&amp;CHAR(31)&amp;$A5&amp;CHAR(31)&amp;C$3)*1,0),0))))&amp;IF(SUMPRODUCT(1*EXACT('Casillas del horario'!$S$4:$S$73,"Profesor de H en 10-3"&amp;CHAR(31)&amp;$A5&amp;CHAR(31)&amp;C$3))&gt;2," (+"&amp;(SUMPRODUCT(1*EXACT('Casillas del horario'!$S$4:$S$73,"Profesor de H en 10-3"&amp;CHAR(31)&amp;$A5&amp;CHAR(31)&amp;C$3))-2)&amp;")",""),IF(ISNA(MATCH(1,INDEX(EXACT('Casillas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/ "&amp;IF(ISBLANK(INDEX('Casillas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10-3"&amp;CHAR(31)&amp;$A5&amp;CHAR(31)&amp;D$3)*1,0),0)))),"",INDEX('Casillas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10-3"&amp;CHAR(31)&amp;$A5&amp;CHAR(31)&amp;D$3)*1,0),0))))&amp;IF(SUMPRODUCT(1*EXACT('Casillas del horario'!$S$4:$S$73,"Profesor de H en 10-3"&amp;CHAR(31)&amp;$A5&amp;CHAR(31)&amp;D$3))&gt;2," (+"&amp;(SUMPRODUCT(1*EXACT('Casillas del horario'!$S$4:$S$73,"Profesor de H en 10-3"&amp;CHAR(31)&amp;$A5&amp;CHAR(31)&amp;D$3))-2)&amp;")",""),IF(ISNA(MATCH(1,INDEX(EXACT('Casillas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/ "&amp;IF(ISBLANK(INDEX('Casillas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10-3"&amp;CHAR(31)&amp;$A5&amp;CHAR(31)&amp;E$3)*1,0),0)))),"",INDEX('Casillas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10-3"&amp;CHAR(31)&amp;$A5&amp;CHAR(31)&amp;E$3)*1,0),0))))&amp;IF(SUMPRODUCT(1*EXACT('Casillas del horario'!$S$4:$S$73,"Profesor de H en 10-3"&amp;CHAR(31)&amp;$A5&amp;CHAR(31)&amp;E$3))&gt;2," (+"&amp;(SUMPRODUCT(1*EXACT('Casillas del horario'!$S$4:$S$73,"Profesor de H en 10-3"&amp;CHAR(31)&amp;$A5&amp;CHAR(31)&amp;E$3))-2)&amp;")",""),IF(ISNA(MATCH(1,INDEX(EXACT('Casillas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/ "&amp;IF(ISBLANK(INDEX('Casillas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10-3"&amp;CHAR(31)&amp;$A5&amp;CHAR(31)&amp;F$3)*1,0),0)))),"",INDEX('Casillas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10-3"&amp;CHAR(31)&amp;$A5&amp;CHAR(31)&amp;F$3)*1,0),0))))&amp;IF(SUMPRODUCT(1*EXACT('Casillas del horario'!$S$4:$S$73,"Profesor de H en 10-3"&amp;CHAR(31)&amp;$A5&amp;CHAR(31)&amp;F$3))&gt;2," (+"&amp;(SUMPRODUCT(1*EXACT('Casillas del horario'!$S$4:$S$73,"Profesor de H en 10-3"&amp;CHAR(31)&amp;$A5&amp;CHAR(31)&amp;F$3))-2)&amp;")",""),IF(ISNA(MATCH(1,INDEX(EXACT('Casillas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/ "&amp;IF(ISBLANK(INDEX('Casillas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10-3"&amp;CHAR(31)&amp;$A6&amp;CHAR(31)&amp;B$3)*1,0),0)))),"",INDEX('Casillas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10-3"&amp;CHAR(31)&amp;$A6&amp;CHAR(31)&amp;B$3)*1,0),0))))&amp;IF(SUMPRODUCT(1*EXACT('Casillas del horario'!$S$4:$S$73,"Profesor de H en 10-3"&amp;CHAR(31)&amp;$A6&amp;CHAR(31)&amp;B$3))&gt;2," (+"&amp;(SUMPRODUCT(1*EXACT('Casillas del horario'!$S$4:$S$73,"Profesor de H en 10-3"&amp;CHAR(31)&amp;$A6&amp;CHAR(31)&amp;B$3))-2)&amp;")",""),IF(ISNA(MATCH(1,INDEX(EXACT('Casillas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/ "&amp;IF(ISBLANK(INDEX('Casillas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10-3"&amp;CHAR(31)&amp;$A6&amp;CHAR(31)&amp;C$3)*1,0),0)))),"",INDEX('Casillas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10-3"&amp;CHAR(31)&amp;$A6&amp;CHAR(31)&amp;C$3)*1,0),0))))&amp;IF(SUMPRODUCT(1*EXACT('Casillas del horario'!$S$4:$S$73,"Profesor de H en 10-3"&amp;CHAR(31)&amp;$A6&amp;CHAR(31)&amp;C$3))&gt;2," (+"&amp;(SUMPRODUCT(1*EXACT('Casillas del horario'!$S$4:$S$73,"Profesor de H en 10-3"&amp;CHAR(31)&amp;$A6&amp;CHAR(31)&amp;C$3))-2)&amp;")",""),IF(ISNA(MATCH(1,INDEX(EXACT('Casillas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/ "&amp;IF(ISBLANK(INDEX('Casillas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10-3"&amp;CHAR(31)&amp;$A6&amp;CHAR(31)&amp;D$3)*1,0),0)))),"",INDEX('Casillas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10-3"&amp;CHAR(31)&amp;$A6&amp;CHAR(31)&amp;D$3)*1,0),0))))&amp;IF(SUMPRODUCT(1*EXACT('Casillas del horario'!$S$4:$S$73,"Profesor de H en 10-3"&amp;CHAR(31)&amp;$A6&amp;CHAR(31)&amp;D$3))&gt;2," (+"&amp;(SUMPRODUCT(1*EXACT('Casillas del horario'!$S$4:$S$73,"Profesor de H en 10-3"&amp;CHAR(31)&amp;$A6&amp;CHAR(31)&amp;D$3))-2)&amp;")",""),IF(ISNA(MATCH(1,INDEX(EXACT('Casillas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/ "&amp;IF(ISBLANK(INDEX('Casillas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10-3"&amp;CHAR(31)&amp;$A6&amp;CHAR(31)&amp;E$3)*1,0),0)))),"",INDEX('Casillas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10-3"&amp;CHAR(31)&amp;$A6&amp;CHAR(31)&amp;E$3)*1,0),0))))&amp;IF(SUMPRODUCT(1*EXACT('Casillas del horario'!$S$4:$S$73,"Profesor de H en 10-3"&amp;CHAR(31)&amp;$A6&amp;CHAR(31)&amp;E$3))&gt;2," (+"&amp;(SUMPRODUCT(1*EXACT('Casillas del horario'!$S$4:$S$73,"Profesor de H en 10-3"&amp;CHAR(31)&amp;$A6&amp;CHAR(31)&amp;E$3))-2)&amp;")",""),IF(ISNA(MATCH(1,INDEX(EXACT('Casillas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/ "&amp;IF(ISBLANK(INDEX('Casillas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10-3"&amp;CHAR(31)&amp;$A6&amp;CHAR(31)&amp;F$3)*1,0),0)))),"",INDEX('Casillas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10-3"&amp;CHAR(31)&amp;$A6&amp;CHAR(31)&amp;F$3)*1,0),0))))&amp;IF(SUMPRODUCT(1*EXACT('Casillas del horario'!$S$4:$S$73,"Profesor de H en 10-3"&amp;CHAR(31)&amp;$A6&amp;CHAR(31)&amp;F$3))&gt;2," (+"&amp;(SUMPRODUCT(1*EXACT('Casillas del horario'!$S$4:$S$73,"Profesor de H en 10-3"&amp;CHAR(31)&amp;$A6&amp;CHAR(31)&amp;F$3))-2)&amp;")",""),IF(ISNA(MATCH(1,INDEX(EXACT('Casillas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/ "&amp;IF(ISBLANK(INDEX('Casillas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10-3"&amp;CHAR(31)&amp;$A7&amp;CHAR(31)&amp;B$3)*1,0),0)))),"",INDEX('Casillas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10-3"&amp;CHAR(31)&amp;$A7&amp;CHAR(31)&amp;B$3)*1,0),0))))&amp;IF(SUMPRODUCT(1*EXACT('Casillas del horario'!$S$4:$S$73,"Profesor de H en 10-3"&amp;CHAR(31)&amp;$A7&amp;CHAR(31)&amp;B$3))&gt;2," (+"&amp;(SUMPRODUCT(1*EXACT('Casillas del horario'!$S$4:$S$73,"Profesor de H en 10-3"&amp;CHAR(31)&amp;$A7&amp;CHAR(31)&amp;B$3))-2)&amp;")",""),IF(ISNA(MATCH(1,INDEX(EXACT('Casillas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/ "&amp;IF(ISBLANK(INDEX('Casillas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10-3"&amp;CHAR(31)&amp;$A7&amp;CHAR(31)&amp;C$3)*1,0),0)))),"",INDEX('Casillas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10-3"&amp;CHAR(31)&amp;$A7&amp;CHAR(31)&amp;C$3)*1,0),0))))&amp;IF(SUMPRODUCT(1*EXACT('Casillas del horario'!$S$4:$S$73,"Profesor de H en 10-3"&amp;CHAR(31)&amp;$A7&amp;CHAR(31)&amp;C$3))&gt;2," (+"&amp;(SUMPRODUCT(1*EXACT('Casillas del horario'!$S$4:$S$73,"Profesor de H en 10-3"&amp;CHAR(31)&amp;$A7&amp;CHAR(31)&amp;C$3))-2)&amp;")",""),IF(ISNA(MATCH(1,INDEX(EXACT('Casillas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/ "&amp;IF(ISBLANK(INDEX('Casillas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10-3"&amp;CHAR(31)&amp;$A7&amp;CHAR(31)&amp;D$3)*1,0),0)))),"",INDEX('Casillas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10-3"&amp;CHAR(31)&amp;$A7&amp;CHAR(31)&amp;D$3)*1,0),0))))&amp;IF(SUMPRODUCT(1*EXACT('Casillas del horario'!$S$4:$S$73,"Profesor de H en 10-3"&amp;CHAR(31)&amp;$A7&amp;CHAR(31)&amp;D$3))&gt;2," (+"&amp;(SUMPRODUCT(1*EXACT('Casillas del horario'!$S$4:$S$73,"Profesor de H en 10-3"&amp;CHAR(31)&amp;$A7&amp;CHAR(31)&amp;D$3))-2)&amp;")",""),IF(ISNA(MATCH(1,INDEX(EXACT('Casillas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/ "&amp;IF(ISBLANK(INDEX('Casillas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10-3"&amp;CHAR(31)&amp;$A7&amp;CHAR(31)&amp;E$3)*1,0),0)))),"",INDEX('Casillas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10-3"&amp;CHAR(31)&amp;$A7&amp;CHAR(31)&amp;E$3)*1,0),0))))&amp;IF(SUMPRODUCT(1*EXACT('Casillas del horario'!$S$4:$S$73,"Profesor de H en 10-3"&amp;CHAR(31)&amp;$A7&amp;CHAR(31)&amp;E$3))&gt;2," (+"&amp;(SUMPRODUCT(1*EXACT('Casillas del horario'!$S$4:$S$73,"Profesor de H en 10-3"&amp;CHAR(31)&amp;$A7&amp;CHAR(31)&amp;E$3))-2)&amp;")",""),IF(ISNA(MATCH(1,INDEX(EXACT('Casillas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/ "&amp;IF(ISBLANK(INDEX('Casillas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10-3"&amp;CHAR(31)&amp;$A7&amp;CHAR(31)&amp;F$3)*1,0),0)))),"",INDEX('Casillas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10-3"&amp;CHAR(31)&amp;$A7&amp;CHAR(31)&amp;F$3)*1,0),0))))&amp;IF(SUMPRODUCT(1*EXACT('Casillas del horario'!$S$4:$S$73,"Profesor de H en 10-3"&amp;CHAR(31)&amp;$A7&amp;CHAR(31)&amp;F$3))&gt;2," (+"&amp;(SUMPRODUCT(1*EXACT('Casillas del horario'!$S$4:$S$73,"Profesor de H en 10-3"&amp;CHAR(31)&amp;$A7&amp;CHAR(31)&amp;F$3))-2)&amp;")",""),IF(ISNA(MATCH(1,INDEX(EXACT('Casillas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/ "&amp;IF(ISBLANK(INDEX('Casillas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10-3"&amp;CHAR(31)&amp;$A8&amp;CHAR(31)&amp;B$3)*1,0),0)))),"",INDEX('Casillas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10-3"&amp;CHAR(31)&amp;$A8&amp;CHAR(31)&amp;B$3)*1,0),0))))&amp;IF(SUMPRODUCT(1*EXACT('Casillas del horario'!$S$4:$S$73,"Profesor de H en 10-3"&amp;CHAR(31)&amp;$A8&amp;CHAR(31)&amp;B$3))&gt;2," (+"&amp;(SUMPRODUCT(1*EXACT('Casillas del horario'!$S$4:$S$73,"Profesor de H en 10-3"&amp;CHAR(31)&amp;$A8&amp;CHAR(31)&amp;B$3))-2)&amp;")",""),IF(ISNA(MATCH(1,INDEX(EXACT('Casillas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/ "&amp;IF(ISBLANK(INDEX('Casillas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10-3"&amp;CHAR(31)&amp;$A8&amp;CHAR(31)&amp;C$3)*1,0),0)))),"",INDEX('Casillas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10-3"&amp;CHAR(31)&amp;$A8&amp;CHAR(31)&amp;C$3)*1,0),0))))&amp;IF(SUMPRODUCT(1*EXACT('Casillas del horario'!$S$4:$S$73,"Profesor de H en 10-3"&amp;CHAR(31)&amp;$A8&amp;CHAR(31)&amp;C$3))&gt;2," (+"&amp;(SUMPRODUCT(1*EXACT('Casillas del horario'!$S$4:$S$73,"Profesor de H en 10-3"&amp;CHAR(31)&amp;$A8&amp;CHAR(31)&amp;C$3))-2)&amp;")",""),IF(ISNA(MATCH(1,INDEX(EXACT('Casillas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/ "&amp;IF(ISBLANK(INDEX('Casillas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10-3"&amp;CHAR(31)&amp;$A8&amp;CHAR(31)&amp;D$3)*1,0),0)))),"",INDEX('Casillas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10-3"&amp;CHAR(31)&amp;$A8&amp;CHAR(31)&amp;D$3)*1,0),0))))&amp;IF(SUMPRODUCT(1*EXACT('Casillas del horario'!$S$4:$S$73,"Profesor de H en 10-3"&amp;CHAR(31)&amp;$A8&amp;CHAR(31)&amp;D$3))&gt;2," (+"&amp;(SUMPRODUCT(1*EXACT('Casillas del horario'!$S$4:$S$73,"Profesor de H en 10-3"&amp;CHAR(31)&amp;$A8&amp;CHAR(31)&amp;D$3))-2)&amp;")",""),IF(ISNA(MATCH(1,INDEX(EXACT('Casillas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/ "&amp;IF(ISBLANK(INDEX('Casillas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10-3"&amp;CHAR(31)&amp;$A8&amp;CHAR(31)&amp;E$3)*1,0),0)))),"",INDEX('Casillas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10-3"&amp;CHAR(31)&amp;$A8&amp;CHAR(31)&amp;E$3)*1,0),0))))&amp;IF(SUMPRODUCT(1*EXACT('Casillas del horario'!$S$4:$S$73,"Profesor de H en 10-3"&amp;CHAR(31)&amp;$A8&amp;CHAR(31)&amp;E$3))&gt;2," (+"&amp;(SUMPRODUCT(1*EXACT('Casillas del horario'!$S$4:$S$73,"Profesor de H en 10-3"&amp;CHAR(31)&amp;$A8&amp;CHAR(31)&amp;E$3))-2)&amp;")",""),IF(ISNA(MATCH(1,INDEX(EXACT('Casillas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/ "&amp;IF(ISBLANK(INDEX('Casillas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10-3"&amp;CHAR(31)&amp;$A8&amp;CHAR(31)&amp;F$3)*1,0),0)))),"",INDEX('Casillas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10-3"&amp;CHAR(31)&amp;$A8&amp;CHAR(31)&amp;F$3)*1,0),0))))&amp;IF(SUMPRODUCT(1*EXACT('Casillas del horario'!$S$4:$S$73,"Profesor de H en 10-3"&amp;CHAR(31)&amp;$A8&amp;CHAR(31)&amp;F$3))&gt;2," (+"&amp;(SUMPRODUCT(1*EXACT('Casillas del horario'!$S$4:$S$73,"Profesor de H en 10-3"&amp;CHAR(31)&amp;$A8&amp;CHAR(31)&amp;F$3))-2)&amp;")",""),IF(ISNA(MATCH(1,INDEX(EXACT('Casillas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/ "&amp;IF(ISBLANK(INDEX('Casillas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10-3"&amp;CHAR(31)&amp;$A9&amp;CHAR(31)&amp;B$3)*1,0),0)))),"",INDEX('Casillas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10-3"&amp;CHAR(31)&amp;$A9&amp;CHAR(31)&amp;B$3)*1,0),0))))&amp;IF(SUMPRODUCT(1*EXACT('Casillas del horario'!$S$4:$S$73,"Profesor de H en 10-3"&amp;CHAR(31)&amp;$A9&amp;CHAR(31)&amp;B$3))&gt;2," (+"&amp;(SUMPRODUCT(1*EXACT('Casillas del horario'!$S$4:$S$73,"Profesor de H en 10-3"&amp;CHAR(31)&amp;$A9&amp;CHAR(31)&amp;B$3))-2)&amp;")",""),IF(ISNA(MATCH(1,INDEX(EXACT('Casillas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/ "&amp;IF(ISBLANK(INDEX('Casillas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10-3"&amp;CHAR(31)&amp;$A9&amp;CHAR(31)&amp;C$3)*1,0),0)))),"",INDEX('Casillas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10-3"&amp;CHAR(31)&amp;$A9&amp;CHAR(31)&amp;C$3)*1,0),0))))&amp;IF(SUMPRODUCT(1*EXACT('Casillas del horario'!$S$4:$S$73,"Profesor de H en 10-3"&amp;CHAR(31)&amp;$A9&amp;CHAR(31)&amp;C$3))&gt;2," (+"&amp;(SUMPRODUCT(1*EXACT('Casillas del horario'!$S$4:$S$73,"Profesor de H en 10-3"&amp;CHAR(31)&amp;$A9&amp;CHAR(31)&amp;C$3))-2)&amp;")",""),IF(ISNA(MATCH(1,INDEX(EXACT('Casillas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/ "&amp;IF(ISBLANK(INDEX('Casillas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10-3"&amp;CHAR(31)&amp;$A9&amp;CHAR(31)&amp;D$3)*1,0),0)))),"",INDEX('Casillas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10-3"&amp;CHAR(31)&amp;$A9&amp;CHAR(31)&amp;D$3)*1,0),0))))&amp;IF(SUMPRODUCT(1*EXACT('Casillas del horario'!$S$4:$S$73,"Profesor de H en 10-3"&amp;CHAR(31)&amp;$A9&amp;CHAR(31)&amp;D$3))&gt;2," (+"&amp;(SUMPRODUCT(1*EXACT('Casillas del horario'!$S$4:$S$73,"Profesor de H en 10-3"&amp;CHAR(31)&amp;$A9&amp;CHAR(31)&amp;D$3))-2)&amp;")",""),IF(ISNA(MATCH(1,INDEX(EXACT('Casillas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/ "&amp;IF(ISBLANK(INDEX('Casillas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10-3"&amp;CHAR(31)&amp;$A9&amp;CHAR(31)&amp;E$3)*1,0),0)))),"",INDEX('Casillas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10-3"&amp;CHAR(31)&amp;$A9&amp;CHAR(31)&amp;E$3)*1,0),0))))&amp;IF(SUMPRODUCT(1*EXACT('Casillas del horario'!$S$4:$S$73,"Profesor de H en 10-3"&amp;CHAR(31)&amp;$A9&amp;CHAR(31)&amp;E$3))&gt;2," (+"&amp;(SUMPRODUCT(1*EXACT('Casillas del horario'!$S$4:$S$73,"Profesor de H en 10-3"&amp;CHAR(31)&amp;$A9&amp;CHAR(31)&amp;E$3))-2)&amp;")",""),IF(ISNA(MATCH(1,INDEX(EXACT('Casillas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/ "&amp;IF(ISBLANK(INDEX('Casillas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10-3"&amp;CHAR(31)&amp;$A9&amp;CHAR(31)&amp;F$3)*1,0),0)))),"",INDEX('Casillas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10-3"&amp;CHAR(31)&amp;$A9&amp;CHAR(31)&amp;F$3)*1,0),0))))&amp;IF(SUMPRODUCT(1*EXACT('Casillas del horario'!$S$4:$S$73,"Profesor de H en 10-3"&amp;CHAR(31)&amp;$A9&amp;CHAR(31)&amp;F$3))&gt;2," (+"&amp;(SUMPRODUCT(1*EXACT('Casillas del horario'!$S$4:$S$73,"Profesor de H en 10-3"&amp;CHAR(31)&amp;$A9&amp;CHAR(31)&amp;F$3))-2)&amp;")",""),IF(ISNA(MATCH(1,INDEX(EXACT('Casillas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/ "&amp;IF(ISBLANK(INDEX('Casillas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10-3"&amp;CHAR(31)&amp;$A10&amp;CHAR(31)&amp;B$3)*1,0),0)))),"",INDEX('Casillas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10-3"&amp;CHAR(31)&amp;$A10&amp;CHAR(31)&amp;B$3)*1,0),0))))&amp;IF(SUMPRODUCT(1*EXACT('Casillas del horario'!$S$4:$S$73,"Profesor de H en 10-3"&amp;CHAR(31)&amp;$A10&amp;CHAR(31)&amp;B$3))&gt;2," (+"&amp;(SUMPRODUCT(1*EXACT('Casillas del horario'!$S$4:$S$73,"Profesor de H en 10-3"&amp;CHAR(31)&amp;$A10&amp;CHAR(31)&amp;B$3))-2)&amp;")",""),IF(ISNA(MATCH(1,INDEX(EXACT('Casillas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/ "&amp;IF(ISBLANK(INDEX('Casillas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10-3"&amp;CHAR(31)&amp;$A10&amp;CHAR(31)&amp;C$3)*1,0),0)))),"",INDEX('Casillas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10-3"&amp;CHAR(31)&amp;$A10&amp;CHAR(31)&amp;C$3)*1,0),0))))&amp;IF(SUMPRODUCT(1*EXACT('Casillas del horario'!$S$4:$S$73,"Profesor de H en 10-3"&amp;CHAR(31)&amp;$A10&amp;CHAR(31)&amp;C$3))&gt;2," (+"&amp;(SUMPRODUCT(1*EXACT('Casillas del horario'!$S$4:$S$73,"Profesor de H en 10-3"&amp;CHAR(31)&amp;$A10&amp;CHAR(31)&amp;C$3))-2)&amp;")",""),IF(ISNA(MATCH(1,INDEX(EXACT('Casillas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/ "&amp;IF(ISBLANK(INDEX('Casillas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10-3"&amp;CHAR(31)&amp;$A10&amp;CHAR(31)&amp;D$3)*1,0),0)))),"",INDEX('Casillas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10-3"&amp;CHAR(31)&amp;$A10&amp;CHAR(31)&amp;D$3)*1,0),0))))&amp;IF(SUMPRODUCT(1*EXACT('Casillas del horario'!$S$4:$S$73,"Profesor de H en 10-3"&amp;CHAR(31)&amp;$A10&amp;CHAR(31)&amp;D$3))&gt;2," (+"&amp;(SUMPRODUCT(1*EXACT('Casillas del horario'!$S$4:$S$73,"Profesor de H en 10-3"&amp;CHAR(31)&amp;$A10&amp;CHAR(31)&amp;D$3))-2)&amp;")",""),IF(ISNA(MATCH(1,INDEX(EXACT('Casillas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/ "&amp;IF(ISBLANK(INDEX('Casillas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10-3"&amp;CHAR(31)&amp;$A10&amp;CHAR(31)&amp;E$3)*1,0),0)))),"",INDEX('Casillas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10-3"&amp;CHAR(31)&amp;$A10&amp;CHAR(31)&amp;E$3)*1,0),0))))&amp;IF(SUMPRODUCT(1*EXACT('Casillas del horario'!$S$4:$S$73,"Profesor de H en 10-3"&amp;CHAR(31)&amp;$A10&amp;CHAR(31)&amp;E$3))&gt;2," (+"&amp;(SUMPRODUCT(1*EXACT('Casillas del horario'!$S$4:$S$73,"Profesor de H en 10-3"&amp;CHAR(31)&amp;$A10&amp;CHAR(31)&amp;E$3))-2)&amp;")",""),IF(ISNA(MATCH(1,INDEX(EXACT('Casillas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/ "&amp;IF(ISBLANK(INDEX('Casillas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10-3"&amp;CHAR(31)&amp;$A10&amp;CHAR(31)&amp;F$3)*1,0),0)))),"",INDEX('Casillas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10-3"&amp;CHAR(31)&amp;$A10&amp;CHAR(31)&amp;F$3)*1,0),0))))&amp;IF(SUMPRODUCT(1*EXACT('Casillas del horario'!$S$4:$S$73,"Profesor de H en 10-3"&amp;CHAR(31)&amp;$A10&amp;CHAR(31)&amp;F$3))&gt;2," (+"&amp;(SUMPRODUCT(1*EXACT('Casillas del horario'!$S$4:$S$73,"Profesor de H en 10-3"&amp;CHAR(31)&amp;$A10&amp;CHAR(31)&amp;F$3))-2)&amp;")",""),IF(ISNA(MATCH(1,INDEX(EXACT('Casillas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/ "&amp;IF(ISBLANK(INDEX('Casillas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10-3"&amp;CHAR(31)&amp;$A4&amp;CHAR(31)&amp;B$3)*1,0),0)))),"",INDEX('Casillas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10-3"&amp;CHAR(31)&amp;$A4&amp;CHAR(31)&amp;B$3)*1,0),0))))&amp;IF(SUMPRODUCT(1*EXACT('Casillas del horario'!$S$4:$S$73,"Profesor de EF en 10-3"&amp;CHAR(31)&amp;$A4&amp;CHAR(31)&amp;B$3))&gt;2," (+"&amp;(SUMPRODUCT(1*EXACT('Casillas del horario'!$S$4:$S$73,"Profesor de EF en 10-3"&amp;CHAR(31)&amp;$A4&amp;CHAR(31)&amp;B$3))-2)&amp;")",""),IF(ISNA(MATCH(1,INDEX(EXACT('Casillas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/ "&amp;IF(ISBLANK(INDEX('Casillas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10-3"&amp;CHAR(31)&amp;$A4&amp;CHAR(31)&amp;C$3)*1,0),0)))),"",INDEX('Casillas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10-3"&amp;CHAR(31)&amp;$A4&amp;CHAR(31)&amp;C$3)*1,0),0))))&amp;IF(SUMPRODUCT(1*EXACT('Casillas del horario'!$S$4:$S$73,"Profesor de EF en 10-3"&amp;CHAR(31)&amp;$A4&amp;CHAR(31)&amp;C$3))&gt;2," (+"&amp;(SUMPRODUCT(1*EXACT('Casillas del horario'!$S$4:$S$73,"Profesor de EF en 10-3"&amp;CHAR(31)&amp;$A4&amp;CHAR(31)&amp;C$3))-2)&amp;")",""),IF(ISNA(MATCH(1,INDEX(EXACT('Casillas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/ "&amp;IF(ISBLANK(INDEX('Casillas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10-3"&amp;CHAR(31)&amp;$A4&amp;CHAR(31)&amp;D$3)*1,0),0)))),"",INDEX('Casillas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10-3"&amp;CHAR(31)&amp;$A4&amp;CHAR(31)&amp;D$3)*1,0),0))))&amp;IF(SUMPRODUCT(1*EXACT('Casillas del horario'!$S$4:$S$73,"Profesor de EF en 10-3"&amp;CHAR(31)&amp;$A4&amp;CHAR(31)&amp;D$3))&gt;2," (+"&amp;(SUMPRODUCT(1*EXACT('Casillas del horario'!$S$4:$S$73,"Profesor de EF en 10-3"&amp;CHAR(31)&amp;$A4&amp;CHAR(31)&amp;D$3))-2)&amp;")",""),IF(ISNA(MATCH(1,INDEX(EXACT('Casillas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/ "&amp;IF(ISBLANK(INDEX('Casillas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10-3"&amp;CHAR(31)&amp;$A4&amp;CHAR(31)&amp;E$3)*1,0),0)))),"",INDEX('Casillas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10-3"&amp;CHAR(31)&amp;$A4&amp;CHAR(31)&amp;E$3)*1,0),0))))&amp;IF(SUMPRODUCT(1*EXACT('Casillas del horario'!$S$4:$S$73,"Profesor de EF en 10-3"&amp;CHAR(31)&amp;$A4&amp;CHAR(31)&amp;E$3))&gt;2," (+"&amp;(SUMPRODUCT(1*EXACT('Casillas del horario'!$S$4:$S$73,"Profesor de EF en 10-3"&amp;CHAR(31)&amp;$A4&amp;CHAR(31)&amp;E$3))-2)&amp;")",""),IF(ISNA(MATCH(1,INDEX(EXACT('Casillas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/ "&amp;IF(ISBLANK(INDEX('Casillas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10-3"&amp;CHAR(31)&amp;$A4&amp;CHAR(31)&amp;F$3)*1,0),0)))),"",INDEX('Casillas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10-3"&amp;CHAR(31)&amp;$A4&amp;CHAR(31)&amp;F$3)*1,0),0))))&amp;IF(SUMPRODUCT(1*EXACT('Casillas del horario'!$S$4:$S$73,"Profesor de EF en 10-3"&amp;CHAR(31)&amp;$A4&amp;CHAR(31)&amp;F$3))&gt;2," (+"&amp;(SUMPRODUCT(1*EXACT('Casillas del horario'!$S$4:$S$73,"Profesor de EF en 10-3"&amp;CHAR(31)&amp;$A4&amp;CHAR(31)&amp;F$3))-2)&amp;")",""),IF(ISNA(MATCH(1,INDEX(EXACT('Casillas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/ "&amp;IF(ISBLANK(INDEX('Casillas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10-3"&amp;CHAR(31)&amp;$A5&amp;CHAR(31)&amp;B$3)*1,0),0)))),"",INDEX('Casillas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10-3"&amp;CHAR(31)&amp;$A5&amp;CHAR(31)&amp;B$3)*1,0),0))))&amp;IF(SUMPRODUCT(1*EXACT('Casillas del horario'!$S$4:$S$73,"Profesor de EF en 10-3"&amp;CHAR(31)&amp;$A5&amp;CHAR(31)&amp;B$3))&gt;2," (+"&amp;(SUMPRODUCT(1*EXACT('Casillas del horario'!$S$4:$S$73,"Profesor de EF en 10-3"&amp;CHAR(31)&amp;$A5&amp;CHAR(31)&amp;B$3))-2)&amp;")",""),IF(ISNA(MATCH(1,INDEX(EXACT('Casillas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/ "&amp;IF(ISBLANK(INDEX('Casillas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10-3"&amp;CHAR(31)&amp;$A5&amp;CHAR(31)&amp;C$3)*1,0),0)))),"",INDEX('Casillas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10-3"&amp;CHAR(31)&amp;$A5&amp;CHAR(31)&amp;C$3)*1,0),0))))&amp;IF(SUMPRODUCT(1*EXACT('Casillas del horario'!$S$4:$S$73,"Profesor de EF en 10-3"&amp;CHAR(31)&amp;$A5&amp;CHAR(31)&amp;C$3))&gt;2," (+"&amp;(SUMPRODUCT(1*EXACT('Casillas del horario'!$S$4:$S$73,"Profesor de EF en 10-3"&amp;CHAR(31)&amp;$A5&amp;CHAR(31)&amp;C$3))-2)&amp;")",""),IF(ISNA(MATCH(1,INDEX(EXACT('Casillas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/ "&amp;IF(ISBLANK(INDEX('Casillas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10-3"&amp;CHAR(31)&amp;$A5&amp;CHAR(31)&amp;D$3)*1,0),0)))),"",INDEX('Casillas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10-3"&amp;CHAR(31)&amp;$A5&amp;CHAR(31)&amp;D$3)*1,0),0))))&amp;IF(SUMPRODUCT(1*EXACT('Casillas del horario'!$S$4:$S$73,"Profesor de EF en 10-3"&amp;CHAR(31)&amp;$A5&amp;CHAR(31)&amp;D$3))&gt;2," (+"&amp;(SUMPRODUCT(1*EXACT('Casillas del horario'!$S$4:$S$73,"Profesor de EF en 10-3"&amp;CHAR(31)&amp;$A5&amp;CHAR(31)&amp;D$3))-2)&amp;")",""),IF(ISNA(MATCH(1,INDEX(EXACT('Casillas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/ "&amp;IF(ISBLANK(INDEX('Casillas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10-3"&amp;CHAR(31)&amp;$A5&amp;CHAR(31)&amp;E$3)*1,0),0)))),"",INDEX('Casillas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10-3"&amp;CHAR(31)&amp;$A5&amp;CHAR(31)&amp;E$3)*1,0),0))))&amp;IF(SUMPRODUCT(1*EXACT('Casillas del horario'!$S$4:$S$73,"Profesor de EF en 10-3"&amp;CHAR(31)&amp;$A5&amp;CHAR(31)&amp;E$3))&gt;2," (+"&amp;(SUMPRODUCT(1*EXACT('Casillas del horario'!$S$4:$S$73,"Profesor de EF en 10-3"&amp;CHAR(31)&amp;$A5&amp;CHAR(31)&amp;E$3))-2)&amp;")",""),IF(ISNA(MATCH(1,INDEX(EXACT('Casillas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/ "&amp;IF(ISBLANK(INDEX('Casillas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10-3"&amp;CHAR(31)&amp;$A5&amp;CHAR(31)&amp;F$3)*1,0),0)))),"",INDEX('Casillas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10-3"&amp;CHAR(31)&amp;$A5&amp;CHAR(31)&amp;F$3)*1,0),0))))&amp;IF(SUMPRODUCT(1*EXACT('Casillas del horario'!$S$4:$S$73,"Profesor de EF en 10-3"&amp;CHAR(31)&amp;$A5&amp;CHAR(31)&amp;F$3))&gt;2," (+"&amp;(SUMPRODUCT(1*EXACT('Casillas del horario'!$S$4:$S$73,"Profesor de EF en 10-3"&amp;CHAR(31)&amp;$A5&amp;CHAR(31)&amp;F$3))-2)&amp;")",""),IF(ISNA(MATCH(1,INDEX(EXACT('Casillas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/ "&amp;IF(ISBLANK(INDEX('Casillas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10-3"&amp;CHAR(31)&amp;$A6&amp;CHAR(31)&amp;B$3)*1,0),0)))),"",INDEX('Casillas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10-3"&amp;CHAR(31)&amp;$A6&amp;CHAR(31)&amp;B$3)*1,0),0))))&amp;IF(SUMPRODUCT(1*EXACT('Casillas del horario'!$S$4:$S$73,"Profesor de EF en 10-3"&amp;CHAR(31)&amp;$A6&amp;CHAR(31)&amp;B$3))&gt;2," (+"&amp;(SUMPRODUCT(1*EXACT('Casillas del horario'!$S$4:$S$73,"Profesor de EF en 10-3"&amp;CHAR(31)&amp;$A6&amp;CHAR(31)&amp;B$3))-2)&amp;")",""),IF(ISNA(MATCH(1,INDEX(EXACT('Casillas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/ "&amp;IF(ISBLANK(INDEX('Casillas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10-3"&amp;CHAR(31)&amp;$A6&amp;CHAR(31)&amp;C$3)*1,0),0)))),"",INDEX('Casillas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10-3"&amp;CHAR(31)&amp;$A6&amp;CHAR(31)&amp;C$3)*1,0),0))))&amp;IF(SUMPRODUCT(1*EXACT('Casillas del horario'!$S$4:$S$73,"Profesor de EF en 10-3"&amp;CHAR(31)&amp;$A6&amp;CHAR(31)&amp;C$3))&gt;2," (+"&amp;(SUMPRODUCT(1*EXACT('Casillas del horario'!$S$4:$S$73,"Profesor de EF en 10-3"&amp;CHAR(31)&amp;$A6&amp;CHAR(31)&amp;C$3))-2)&amp;")",""),IF(ISNA(MATCH(1,INDEX(EXACT('Casillas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/ "&amp;IF(ISBLANK(INDEX('Casillas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10-3"&amp;CHAR(31)&amp;$A6&amp;CHAR(31)&amp;D$3)*1,0),0)))),"",INDEX('Casillas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10-3"&amp;CHAR(31)&amp;$A6&amp;CHAR(31)&amp;D$3)*1,0),0))))&amp;IF(SUMPRODUCT(1*EXACT('Casillas del horario'!$S$4:$S$73,"Profesor de EF en 10-3"&amp;CHAR(31)&amp;$A6&amp;CHAR(31)&amp;D$3))&gt;2," (+"&amp;(SUMPRODUCT(1*EXACT('Casillas del horario'!$S$4:$S$73,"Profesor de EF en 10-3"&amp;CHAR(31)&amp;$A6&amp;CHAR(31)&amp;D$3))-2)&amp;")",""),IF(ISNA(MATCH(1,INDEX(EXACT('Casillas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/ "&amp;IF(ISBLANK(INDEX('Casillas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10-3"&amp;CHAR(31)&amp;$A6&amp;CHAR(31)&amp;E$3)*1,0),0)))),"",INDEX('Casillas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10-3"&amp;CHAR(31)&amp;$A6&amp;CHAR(31)&amp;E$3)*1,0),0))))&amp;IF(SUMPRODUCT(1*EXACT('Casillas del horario'!$S$4:$S$73,"Profesor de EF en 10-3"&amp;CHAR(31)&amp;$A6&amp;CHAR(31)&amp;E$3))&gt;2," (+"&amp;(SUMPRODUCT(1*EXACT('Casillas del horario'!$S$4:$S$73,"Profesor de EF en 10-3"&amp;CHAR(31)&amp;$A6&amp;CHAR(31)&amp;E$3))-2)&amp;")",""),IF(ISNA(MATCH(1,INDEX(EXACT('Casillas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/ "&amp;IF(ISBLANK(INDEX('Casillas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10-3"&amp;CHAR(31)&amp;$A6&amp;CHAR(31)&amp;F$3)*1,0),0)))),"",INDEX('Casillas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10-3"&amp;CHAR(31)&amp;$A6&amp;CHAR(31)&amp;F$3)*1,0),0))))&amp;IF(SUMPRODUCT(1*EXACT('Casillas del horario'!$S$4:$S$73,"Profesor de EF en 10-3"&amp;CHAR(31)&amp;$A6&amp;CHAR(31)&amp;F$3))&gt;2," (+"&amp;(SUMPRODUCT(1*EXACT('Casillas del horario'!$S$4:$S$73,"Profesor de EF en 10-3"&amp;CHAR(31)&amp;$A6&amp;CHAR(31)&amp;F$3))-2)&amp;")",""),IF(ISNA(MATCH(1,INDEX(EXACT('Casillas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/ "&amp;IF(ISBLANK(INDEX('Casillas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10-3"&amp;CHAR(31)&amp;$A7&amp;CHAR(31)&amp;B$3)*1,0),0)))),"",INDEX('Casillas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10-3"&amp;CHAR(31)&amp;$A7&amp;CHAR(31)&amp;B$3)*1,0),0))))&amp;IF(SUMPRODUCT(1*EXACT('Casillas del horario'!$S$4:$S$73,"Profesor de EF en 10-3"&amp;CHAR(31)&amp;$A7&amp;CHAR(31)&amp;B$3))&gt;2," (+"&amp;(SUMPRODUCT(1*EXACT('Casillas del horario'!$S$4:$S$73,"Profesor de EF en 10-3"&amp;CHAR(31)&amp;$A7&amp;CHAR(31)&amp;B$3))-2)&amp;")",""),IF(ISNA(MATCH(1,INDEX(EXACT('Casillas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/ "&amp;IF(ISBLANK(INDEX('Casillas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10-3"&amp;CHAR(31)&amp;$A7&amp;CHAR(31)&amp;C$3)*1,0),0)))),"",INDEX('Casillas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10-3"&amp;CHAR(31)&amp;$A7&amp;CHAR(31)&amp;C$3)*1,0),0))))&amp;IF(SUMPRODUCT(1*EXACT('Casillas del horario'!$S$4:$S$73,"Profesor de EF en 10-3"&amp;CHAR(31)&amp;$A7&amp;CHAR(31)&amp;C$3))&gt;2," (+"&amp;(SUMPRODUCT(1*EXACT('Casillas del horario'!$S$4:$S$73,"Profesor de EF en 10-3"&amp;CHAR(31)&amp;$A7&amp;CHAR(31)&amp;C$3))-2)&amp;")",""),IF(ISNA(MATCH(1,INDEX(EXACT('Casillas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/ "&amp;IF(ISBLANK(INDEX('Casillas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10-3"&amp;CHAR(31)&amp;$A7&amp;CHAR(31)&amp;D$3)*1,0),0)))),"",INDEX('Casillas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10-3"&amp;CHAR(31)&amp;$A7&amp;CHAR(31)&amp;D$3)*1,0),0))))&amp;IF(SUMPRODUCT(1*EXACT('Casillas del horario'!$S$4:$S$73,"Profesor de EF en 10-3"&amp;CHAR(31)&amp;$A7&amp;CHAR(31)&amp;D$3))&gt;2," (+"&amp;(SUMPRODUCT(1*EXACT('Casillas del horario'!$S$4:$S$73,"Profesor de EF en 10-3"&amp;CHAR(31)&amp;$A7&amp;CHAR(31)&amp;D$3))-2)&amp;")",""),IF(ISNA(MATCH(1,INDEX(EXACT('Casillas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/ "&amp;IF(ISBLANK(INDEX('Casillas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10-3"&amp;CHAR(31)&amp;$A7&amp;CHAR(31)&amp;E$3)*1,0),0)))),"",INDEX('Casillas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10-3"&amp;CHAR(31)&amp;$A7&amp;CHAR(31)&amp;E$3)*1,0),0))))&amp;IF(SUMPRODUCT(1*EXACT('Casillas del horario'!$S$4:$S$73,"Profesor de EF en 10-3"&amp;CHAR(31)&amp;$A7&amp;CHAR(31)&amp;E$3))&gt;2," (+"&amp;(SUMPRODUCT(1*EXACT('Casillas del horario'!$S$4:$S$73,"Profesor de EF en 10-3"&amp;CHAR(31)&amp;$A7&amp;CHAR(31)&amp;E$3))-2)&amp;")",""),IF(ISNA(MATCH(1,INDEX(EXACT('Casillas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/ "&amp;IF(ISBLANK(INDEX('Casillas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10-3"&amp;CHAR(31)&amp;$A7&amp;CHAR(31)&amp;F$3)*1,0),0)))),"",INDEX('Casillas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10-3"&amp;CHAR(31)&amp;$A7&amp;CHAR(31)&amp;F$3)*1,0),0))))&amp;IF(SUMPRODUCT(1*EXACT('Casillas del horario'!$S$4:$S$73,"Profesor de EF en 10-3"&amp;CHAR(31)&amp;$A7&amp;CHAR(31)&amp;F$3))&gt;2," (+"&amp;(SUMPRODUCT(1*EXACT('Casillas del horario'!$S$4:$S$73,"Profesor de EF en 10-3"&amp;CHAR(31)&amp;$A7&amp;CHAR(31)&amp;F$3))-2)&amp;")",""),IF(ISNA(MATCH(1,INDEX(EXACT('Casillas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/ "&amp;IF(ISBLANK(INDEX('Casillas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10-3"&amp;CHAR(31)&amp;$A8&amp;CHAR(31)&amp;B$3)*1,0),0)))),"",INDEX('Casillas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10-3"&amp;CHAR(31)&amp;$A8&amp;CHAR(31)&amp;B$3)*1,0),0))))&amp;IF(SUMPRODUCT(1*EXACT('Casillas del horario'!$S$4:$S$73,"Profesor de EF en 10-3"&amp;CHAR(31)&amp;$A8&amp;CHAR(31)&amp;B$3))&gt;2," (+"&amp;(SUMPRODUCT(1*EXACT('Casillas del horario'!$S$4:$S$73,"Profesor de EF en 10-3"&amp;CHAR(31)&amp;$A8&amp;CHAR(31)&amp;B$3))-2)&amp;")",""),IF(ISNA(MATCH(1,INDEX(EXACT('Casillas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/ "&amp;IF(ISBLANK(INDEX('Casillas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10-3"&amp;CHAR(31)&amp;$A8&amp;CHAR(31)&amp;C$3)*1,0),0)))),"",INDEX('Casillas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10-3"&amp;CHAR(31)&amp;$A8&amp;CHAR(31)&amp;C$3)*1,0),0))))&amp;IF(SUMPRODUCT(1*EXACT('Casillas del horario'!$S$4:$S$73,"Profesor de EF en 10-3"&amp;CHAR(31)&amp;$A8&amp;CHAR(31)&amp;C$3))&gt;2," (+"&amp;(SUMPRODUCT(1*EXACT('Casillas del horario'!$S$4:$S$73,"Profesor de EF en 10-3"&amp;CHAR(31)&amp;$A8&amp;CHAR(31)&amp;C$3))-2)&amp;")",""),IF(ISNA(MATCH(1,INDEX(EXACT('Casillas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/ "&amp;IF(ISBLANK(INDEX('Casillas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10-3"&amp;CHAR(31)&amp;$A8&amp;CHAR(31)&amp;D$3)*1,0),0)))),"",INDEX('Casillas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10-3"&amp;CHAR(31)&amp;$A8&amp;CHAR(31)&amp;D$3)*1,0),0))))&amp;IF(SUMPRODUCT(1*EXACT('Casillas del horario'!$S$4:$S$73,"Profesor de EF en 10-3"&amp;CHAR(31)&amp;$A8&amp;CHAR(31)&amp;D$3))&gt;2," (+"&amp;(SUMPRODUCT(1*EXACT('Casillas del horario'!$S$4:$S$73,"Profesor de EF en 10-3"&amp;CHAR(31)&amp;$A8&amp;CHAR(31)&amp;D$3))-2)&amp;")",""),IF(ISNA(MATCH(1,INDEX(EXACT('Casillas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/ "&amp;IF(ISBLANK(INDEX('Casillas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10-3"&amp;CHAR(31)&amp;$A8&amp;CHAR(31)&amp;E$3)*1,0),0)))),"",INDEX('Casillas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10-3"&amp;CHAR(31)&amp;$A8&amp;CHAR(31)&amp;E$3)*1,0),0))))&amp;IF(SUMPRODUCT(1*EXACT('Casillas del horario'!$S$4:$S$73,"Profesor de EF en 10-3"&amp;CHAR(31)&amp;$A8&amp;CHAR(31)&amp;E$3))&gt;2," (+"&amp;(SUMPRODUCT(1*EXACT('Casillas del horario'!$S$4:$S$73,"Profesor de EF en 10-3"&amp;CHAR(31)&amp;$A8&amp;CHAR(31)&amp;E$3))-2)&amp;")",""),IF(ISNA(MATCH(1,INDEX(EXACT('Casillas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/ "&amp;IF(ISBLANK(INDEX('Casillas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10-3"&amp;CHAR(31)&amp;$A8&amp;CHAR(31)&amp;F$3)*1,0),0)))),"",INDEX('Casillas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10-3"&amp;CHAR(31)&amp;$A8&amp;CHAR(31)&amp;F$3)*1,0),0))))&amp;IF(SUMPRODUCT(1*EXACT('Casillas del horario'!$S$4:$S$73,"Profesor de EF en 10-3"&amp;CHAR(31)&amp;$A8&amp;CHAR(31)&amp;F$3))&gt;2," (+"&amp;(SUMPRODUCT(1*EXACT('Casillas del horario'!$S$4:$S$73,"Profesor de EF en 10-3"&amp;CHAR(31)&amp;$A8&amp;CHAR(31)&amp;F$3))-2)&amp;")",""),IF(ISNA(MATCH(1,INDEX(EXACT('Casillas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/ "&amp;IF(ISBLANK(INDEX('Casillas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10-3"&amp;CHAR(31)&amp;$A9&amp;CHAR(31)&amp;B$3)*1,0),0)))),"",INDEX('Casillas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10-3"&amp;CHAR(31)&amp;$A9&amp;CHAR(31)&amp;B$3)*1,0),0))))&amp;IF(SUMPRODUCT(1*EXACT('Casillas del horario'!$S$4:$S$73,"Profesor de EF en 10-3"&amp;CHAR(31)&amp;$A9&amp;CHAR(31)&amp;B$3))&gt;2," (+"&amp;(SUMPRODUCT(1*EXACT('Casillas del horario'!$S$4:$S$73,"Profesor de EF en 10-3"&amp;CHAR(31)&amp;$A9&amp;CHAR(31)&amp;B$3))-2)&amp;")",""),IF(ISNA(MATCH(1,INDEX(EXACT('Casillas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/ "&amp;IF(ISBLANK(INDEX('Casillas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10-3"&amp;CHAR(31)&amp;$A9&amp;CHAR(31)&amp;C$3)*1,0),0)))),"",INDEX('Casillas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10-3"&amp;CHAR(31)&amp;$A9&amp;CHAR(31)&amp;C$3)*1,0),0))))&amp;IF(SUMPRODUCT(1*EXACT('Casillas del horario'!$S$4:$S$73,"Profesor de EF en 10-3"&amp;CHAR(31)&amp;$A9&amp;CHAR(31)&amp;C$3))&gt;2," (+"&amp;(SUMPRODUCT(1*EXACT('Casillas del horario'!$S$4:$S$73,"Profesor de EF en 10-3"&amp;CHAR(31)&amp;$A9&amp;CHAR(31)&amp;C$3))-2)&amp;")",""),IF(ISNA(MATCH(1,INDEX(EXACT('Casillas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/ "&amp;IF(ISBLANK(INDEX('Casillas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10-3"&amp;CHAR(31)&amp;$A9&amp;CHAR(31)&amp;D$3)*1,0),0)))),"",INDEX('Casillas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10-3"&amp;CHAR(31)&amp;$A9&amp;CHAR(31)&amp;D$3)*1,0),0))))&amp;IF(SUMPRODUCT(1*EXACT('Casillas del horario'!$S$4:$S$73,"Profesor de EF en 10-3"&amp;CHAR(31)&amp;$A9&amp;CHAR(31)&amp;D$3))&gt;2," (+"&amp;(SUMPRODUCT(1*EXACT('Casillas del horario'!$S$4:$S$73,"Profesor de EF en 10-3"&amp;CHAR(31)&amp;$A9&amp;CHAR(31)&amp;D$3))-2)&amp;")",""),IF(ISNA(MATCH(1,INDEX(EXACT('Casillas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/ "&amp;IF(ISBLANK(INDEX('Casillas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10-3"&amp;CHAR(31)&amp;$A9&amp;CHAR(31)&amp;E$3)*1,0),0)))),"",INDEX('Casillas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10-3"&amp;CHAR(31)&amp;$A9&amp;CHAR(31)&amp;E$3)*1,0),0))))&amp;IF(SUMPRODUCT(1*EXACT('Casillas del horario'!$S$4:$S$73,"Profesor de EF en 10-3"&amp;CHAR(31)&amp;$A9&amp;CHAR(31)&amp;E$3))&gt;2," (+"&amp;(SUMPRODUCT(1*EXACT('Casillas del horario'!$S$4:$S$73,"Profesor de EF en 10-3"&amp;CHAR(31)&amp;$A9&amp;CHAR(31)&amp;E$3))-2)&amp;")",""),IF(ISNA(MATCH(1,INDEX(EXACT('Casillas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/ "&amp;IF(ISBLANK(INDEX('Casillas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10-3"&amp;CHAR(31)&amp;$A9&amp;CHAR(31)&amp;F$3)*1,0),0)))),"",INDEX('Casillas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10-3"&amp;CHAR(31)&amp;$A9&amp;CHAR(31)&amp;F$3)*1,0),0))))&amp;IF(SUMPRODUCT(1*EXACT('Casillas del horario'!$S$4:$S$73,"Profesor de EF en 10-3"&amp;CHAR(31)&amp;$A9&amp;CHAR(31)&amp;F$3))&gt;2," (+"&amp;(SUMPRODUCT(1*EXACT('Casillas del horario'!$S$4:$S$73,"Profesor de EF en 10-3"&amp;CHAR(31)&amp;$A9&amp;CHAR(31)&amp;F$3))-2)&amp;")",""),IF(ISNA(MATCH(1,INDEX(EXACT('Casillas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/ "&amp;IF(ISBLANK(INDEX('Casillas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10-3"&amp;CHAR(31)&amp;$A10&amp;CHAR(31)&amp;B$3)*1,0),0)))),"",INDEX('Casillas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10-3"&amp;CHAR(31)&amp;$A10&amp;CHAR(31)&amp;B$3)*1,0),0))))&amp;IF(SUMPRODUCT(1*EXACT('Casillas del horario'!$S$4:$S$73,"Profesor de EF en 10-3"&amp;CHAR(31)&amp;$A10&amp;CHAR(31)&amp;B$3))&gt;2," (+"&amp;(SUMPRODUCT(1*EXACT('Casillas del horario'!$S$4:$S$73,"Profesor de EF en 10-3"&amp;CHAR(31)&amp;$A10&amp;CHAR(31)&amp;B$3))-2)&amp;")",""),IF(ISNA(MATCH(1,INDEX(EXACT('Casillas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/ "&amp;IF(ISBLANK(INDEX('Casillas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10-3"&amp;CHAR(31)&amp;$A10&amp;CHAR(31)&amp;C$3)*1,0),0)))),"",INDEX('Casillas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10-3"&amp;CHAR(31)&amp;$A10&amp;CHAR(31)&amp;C$3)*1,0),0))))&amp;IF(SUMPRODUCT(1*EXACT('Casillas del horario'!$S$4:$S$73,"Profesor de EF en 10-3"&amp;CHAR(31)&amp;$A10&amp;CHAR(31)&amp;C$3))&gt;2," (+"&amp;(SUMPRODUCT(1*EXACT('Casillas del horario'!$S$4:$S$73,"Profesor de EF en 10-3"&amp;CHAR(31)&amp;$A10&amp;CHAR(31)&amp;C$3))-2)&amp;")",""),IF(ISNA(MATCH(1,INDEX(EXACT('Casillas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/ "&amp;IF(ISBLANK(INDEX('Casillas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10-3"&amp;CHAR(31)&amp;$A10&amp;CHAR(31)&amp;D$3)*1,0),0)))),"",INDEX('Casillas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10-3"&amp;CHAR(31)&amp;$A10&amp;CHAR(31)&amp;D$3)*1,0),0))))&amp;IF(SUMPRODUCT(1*EXACT('Casillas del horario'!$S$4:$S$73,"Profesor de EF en 10-3"&amp;CHAR(31)&amp;$A10&amp;CHAR(31)&amp;D$3))&gt;2," (+"&amp;(SUMPRODUCT(1*EXACT('Casillas del horario'!$S$4:$S$73,"Profesor de EF en 10-3"&amp;CHAR(31)&amp;$A10&amp;CHAR(31)&amp;D$3))-2)&amp;")",""),IF(ISNA(MATCH(1,INDEX(EXACT('Casillas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/ "&amp;IF(ISBLANK(INDEX('Casillas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10-3"&amp;CHAR(31)&amp;$A10&amp;CHAR(31)&amp;E$3)*1,0),0)))),"",INDEX('Casillas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10-3"&amp;CHAR(31)&amp;$A10&amp;CHAR(31)&amp;E$3)*1,0),0))))&amp;IF(SUMPRODUCT(1*EXACT('Casillas del horario'!$S$4:$S$73,"Profesor de EF en 10-3"&amp;CHAR(31)&amp;$A10&amp;CHAR(31)&amp;E$3))&gt;2," (+"&amp;(SUMPRODUCT(1*EXACT('Casillas del horario'!$S$4:$S$73,"Profesor de EF en 10-3"&amp;CHAR(31)&amp;$A10&amp;CHAR(31)&amp;E$3))-2)&amp;")",""),IF(ISNA(MATCH(1,INDEX(EXACT('Casillas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/ "&amp;IF(ISBLANK(INDEX('Casillas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10-3"&amp;CHAR(31)&amp;$A10&amp;CHAR(31)&amp;F$3)*1,0),0)))),"",INDEX('Casillas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10-3"&amp;CHAR(31)&amp;$A10&amp;CHAR(31)&amp;F$3)*1,0),0))))&amp;IF(SUMPRODUCT(1*EXACT('Casillas del horario'!$S$4:$S$73,"Profesor de EF en 10-3"&amp;CHAR(31)&amp;$A10&amp;CHAR(31)&amp;F$3))&gt;2," (+"&amp;(SUMPRODUCT(1*EXACT('Casillas del horario'!$S$4:$S$73,"Profesor de EF en 10-3"&amp;CHAR(31)&amp;$A10&amp;CHAR(31)&amp;F$3))-2)&amp;")",""),IF(ISNA(MATCH(1,INDEX(EXACT('Casillas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/ "&amp;IF(ISBLANK(INDEX('Casillas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10-3"&amp;CHAR(31)&amp;$A4&amp;CHAR(31)&amp;B$3)*1,0),0)))),"",INDEX('Casillas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10-3"&amp;CHAR(31)&amp;$A4&amp;CHAR(31)&amp;B$3)*1,0),0))))&amp;IF(SUMPRODUCT(1*EXACT('Casillas del horario'!$S$4:$S$73,"Profesor de B en 10-3"&amp;CHAR(31)&amp;$A4&amp;CHAR(31)&amp;B$3))&gt;2," (+"&amp;(SUMPRODUCT(1*EXACT('Casillas del horario'!$S$4:$S$73,"Profesor de B en 10-3"&amp;CHAR(31)&amp;$A4&amp;CHAR(31)&amp;B$3))-2)&amp;")",""),IF(ISNA(MATCH(1,INDEX(EXACT('Casillas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/ "&amp;IF(ISBLANK(INDEX('Casillas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10-3"&amp;CHAR(31)&amp;$A4&amp;CHAR(31)&amp;C$3)*1,0),0)))),"",INDEX('Casillas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10-3"&amp;CHAR(31)&amp;$A4&amp;CHAR(31)&amp;C$3)*1,0),0))))&amp;IF(SUMPRODUCT(1*EXACT('Casillas del horario'!$S$4:$S$73,"Profesor de B en 10-3"&amp;CHAR(31)&amp;$A4&amp;CHAR(31)&amp;C$3))&gt;2," (+"&amp;(SUMPRODUCT(1*EXACT('Casillas del horario'!$S$4:$S$73,"Profesor de B en 10-3"&amp;CHAR(31)&amp;$A4&amp;CHAR(31)&amp;C$3))-2)&amp;")",""),IF(ISNA(MATCH(1,INDEX(EXACT('Casillas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/ "&amp;IF(ISBLANK(INDEX('Casillas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10-3"&amp;CHAR(31)&amp;$A4&amp;CHAR(31)&amp;D$3)*1,0),0)))),"",INDEX('Casillas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10-3"&amp;CHAR(31)&amp;$A4&amp;CHAR(31)&amp;D$3)*1,0),0))))&amp;IF(SUMPRODUCT(1*EXACT('Casillas del horario'!$S$4:$S$73,"Profesor de B en 10-3"&amp;CHAR(31)&amp;$A4&amp;CHAR(31)&amp;D$3))&gt;2," (+"&amp;(SUMPRODUCT(1*EXACT('Casillas del horario'!$S$4:$S$73,"Profesor de B en 10-3"&amp;CHAR(31)&amp;$A4&amp;CHAR(31)&amp;D$3))-2)&amp;")",""),IF(ISNA(MATCH(1,INDEX(EXACT('Casillas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/ "&amp;IF(ISBLANK(INDEX('Casillas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10-3"&amp;CHAR(31)&amp;$A4&amp;CHAR(31)&amp;E$3)*1,0),0)))),"",INDEX('Casillas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10-3"&amp;CHAR(31)&amp;$A4&amp;CHAR(31)&amp;E$3)*1,0),0))))&amp;IF(SUMPRODUCT(1*EXACT('Casillas del horario'!$S$4:$S$73,"Profesor de B en 10-3"&amp;CHAR(31)&amp;$A4&amp;CHAR(31)&amp;E$3))&gt;2," (+"&amp;(SUMPRODUCT(1*EXACT('Casillas del horario'!$S$4:$S$73,"Profesor de B en 10-3"&amp;CHAR(31)&amp;$A4&amp;CHAR(31)&amp;E$3))-2)&amp;")",""),IF(ISNA(MATCH(1,INDEX(EXACT('Casillas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/ "&amp;IF(ISBLANK(INDEX('Casillas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10-3"&amp;CHAR(31)&amp;$A4&amp;CHAR(31)&amp;F$3)*1,0),0)))),"",INDEX('Casillas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10-3"&amp;CHAR(31)&amp;$A4&amp;CHAR(31)&amp;F$3)*1,0),0))))&amp;IF(SUMPRODUCT(1*EXACT('Casillas del horario'!$S$4:$S$73,"Profesor de B en 10-3"&amp;CHAR(31)&amp;$A4&amp;CHAR(31)&amp;F$3))&gt;2," (+"&amp;(SUMPRODUCT(1*EXACT('Casillas del horario'!$S$4:$S$73,"Profesor de B en 10-3"&amp;CHAR(31)&amp;$A4&amp;CHAR(31)&amp;F$3))-2)&amp;")",""),IF(ISNA(MATCH(1,INDEX(EXACT('Casillas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/ "&amp;IF(ISBLANK(INDEX('Casillas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10-3"&amp;CHAR(31)&amp;$A5&amp;CHAR(31)&amp;B$3)*1,0),0)))),"",INDEX('Casillas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10-3"&amp;CHAR(31)&amp;$A5&amp;CHAR(31)&amp;B$3)*1,0),0))))&amp;IF(SUMPRODUCT(1*EXACT('Casillas del horario'!$S$4:$S$73,"Profesor de B en 10-3"&amp;CHAR(31)&amp;$A5&amp;CHAR(31)&amp;B$3))&gt;2," (+"&amp;(SUMPRODUCT(1*EXACT('Casillas del horario'!$S$4:$S$73,"Profesor de B en 10-3"&amp;CHAR(31)&amp;$A5&amp;CHAR(31)&amp;B$3))-2)&amp;")",""),IF(ISNA(MATCH(1,INDEX(EXACT('Casillas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/ "&amp;IF(ISBLANK(INDEX('Casillas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10-3"&amp;CHAR(31)&amp;$A5&amp;CHAR(31)&amp;C$3)*1,0),0)))),"",INDEX('Casillas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10-3"&amp;CHAR(31)&amp;$A5&amp;CHAR(31)&amp;C$3)*1,0),0))))&amp;IF(SUMPRODUCT(1*EXACT('Casillas del horario'!$S$4:$S$73,"Profesor de B en 10-3"&amp;CHAR(31)&amp;$A5&amp;CHAR(31)&amp;C$3))&gt;2," (+"&amp;(SUMPRODUCT(1*EXACT('Casillas del horario'!$S$4:$S$73,"Profesor de B en 10-3"&amp;CHAR(31)&amp;$A5&amp;CHAR(31)&amp;C$3))-2)&amp;")",""),IF(ISNA(MATCH(1,INDEX(EXACT('Casillas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/ "&amp;IF(ISBLANK(INDEX('Casillas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10-3"&amp;CHAR(31)&amp;$A5&amp;CHAR(31)&amp;D$3)*1,0),0)))),"",INDEX('Casillas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10-3"&amp;CHAR(31)&amp;$A5&amp;CHAR(31)&amp;D$3)*1,0),0))))&amp;IF(SUMPRODUCT(1*EXACT('Casillas del horario'!$S$4:$S$73,"Profesor de B en 10-3"&amp;CHAR(31)&amp;$A5&amp;CHAR(31)&amp;D$3))&gt;2," (+"&amp;(SUMPRODUCT(1*EXACT('Casillas del horario'!$S$4:$S$73,"Profesor de B en 10-3"&amp;CHAR(31)&amp;$A5&amp;CHAR(31)&amp;D$3))-2)&amp;")",""),IF(ISNA(MATCH(1,INDEX(EXACT('Casillas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/ "&amp;IF(ISBLANK(INDEX('Casillas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10-3"&amp;CHAR(31)&amp;$A5&amp;CHAR(31)&amp;E$3)*1,0),0)))),"",INDEX('Casillas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10-3"&amp;CHAR(31)&amp;$A5&amp;CHAR(31)&amp;E$3)*1,0),0))))&amp;IF(SUMPRODUCT(1*EXACT('Casillas del horario'!$S$4:$S$73,"Profesor de B en 10-3"&amp;CHAR(31)&amp;$A5&amp;CHAR(31)&amp;E$3))&gt;2," (+"&amp;(SUMPRODUCT(1*EXACT('Casillas del horario'!$S$4:$S$73,"Profesor de B en 10-3"&amp;CHAR(31)&amp;$A5&amp;CHAR(31)&amp;E$3))-2)&amp;")",""),IF(ISNA(MATCH(1,INDEX(EXACT('Casillas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/ "&amp;IF(ISBLANK(INDEX('Casillas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10-3"&amp;CHAR(31)&amp;$A5&amp;CHAR(31)&amp;F$3)*1,0),0)))),"",INDEX('Casillas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10-3"&amp;CHAR(31)&amp;$A5&amp;CHAR(31)&amp;F$3)*1,0),0))))&amp;IF(SUMPRODUCT(1*EXACT('Casillas del horario'!$S$4:$S$73,"Profesor de B en 10-3"&amp;CHAR(31)&amp;$A5&amp;CHAR(31)&amp;F$3))&gt;2," (+"&amp;(SUMPRODUCT(1*EXACT('Casillas del horario'!$S$4:$S$73,"Profesor de B en 10-3"&amp;CHAR(31)&amp;$A5&amp;CHAR(31)&amp;F$3))-2)&amp;")",""),IF(ISNA(MATCH(1,INDEX(EXACT('Casillas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/ "&amp;IF(ISBLANK(INDEX('Casillas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10-3"&amp;CHAR(31)&amp;$A6&amp;CHAR(31)&amp;B$3)*1,0),0)))),"",INDEX('Casillas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10-3"&amp;CHAR(31)&amp;$A6&amp;CHAR(31)&amp;B$3)*1,0),0))))&amp;IF(SUMPRODUCT(1*EXACT('Casillas del horario'!$S$4:$S$73,"Profesor de B en 10-3"&amp;CHAR(31)&amp;$A6&amp;CHAR(31)&amp;B$3))&gt;2," (+"&amp;(SUMPRODUCT(1*EXACT('Casillas del horario'!$S$4:$S$73,"Profesor de B en 10-3"&amp;CHAR(31)&amp;$A6&amp;CHAR(31)&amp;B$3))-2)&amp;")",""),IF(ISNA(MATCH(1,INDEX(EXACT('Casillas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/ "&amp;IF(ISBLANK(INDEX('Casillas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10-3"&amp;CHAR(31)&amp;$A6&amp;CHAR(31)&amp;C$3)*1,0),0)))),"",INDEX('Casillas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10-3"&amp;CHAR(31)&amp;$A6&amp;CHAR(31)&amp;C$3)*1,0),0))))&amp;IF(SUMPRODUCT(1*EXACT('Casillas del horario'!$S$4:$S$73,"Profesor de B en 10-3"&amp;CHAR(31)&amp;$A6&amp;CHAR(31)&amp;C$3))&gt;2," (+"&amp;(SUMPRODUCT(1*EXACT('Casillas del horario'!$S$4:$S$73,"Profesor de B en 10-3"&amp;CHAR(31)&amp;$A6&amp;CHAR(31)&amp;C$3))-2)&amp;")",""),IF(ISNA(MATCH(1,INDEX(EXACT('Casillas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/ "&amp;IF(ISBLANK(INDEX('Casillas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10-3"&amp;CHAR(31)&amp;$A6&amp;CHAR(31)&amp;D$3)*1,0),0)))),"",INDEX('Casillas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10-3"&amp;CHAR(31)&amp;$A6&amp;CHAR(31)&amp;D$3)*1,0),0))))&amp;IF(SUMPRODUCT(1*EXACT('Casillas del horario'!$S$4:$S$73,"Profesor de B en 10-3"&amp;CHAR(31)&amp;$A6&amp;CHAR(31)&amp;D$3))&gt;2," (+"&amp;(SUMPRODUCT(1*EXACT('Casillas del horario'!$S$4:$S$73,"Profesor de B en 10-3"&amp;CHAR(31)&amp;$A6&amp;CHAR(31)&amp;D$3))-2)&amp;")",""),IF(ISNA(MATCH(1,INDEX(EXACT('Casillas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/ "&amp;IF(ISBLANK(INDEX('Casillas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10-3"&amp;CHAR(31)&amp;$A6&amp;CHAR(31)&amp;E$3)*1,0),0)))),"",INDEX('Casillas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10-3"&amp;CHAR(31)&amp;$A6&amp;CHAR(31)&amp;E$3)*1,0),0))))&amp;IF(SUMPRODUCT(1*EXACT('Casillas del horario'!$S$4:$S$73,"Profesor de B en 10-3"&amp;CHAR(31)&amp;$A6&amp;CHAR(31)&amp;E$3))&gt;2," (+"&amp;(SUMPRODUCT(1*EXACT('Casillas del horario'!$S$4:$S$73,"Profesor de B en 10-3"&amp;CHAR(31)&amp;$A6&amp;CHAR(31)&amp;E$3))-2)&amp;")",""),IF(ISNA(MATCH(1,INDEX(EXACT('Casillas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/ "&amp;IF(ISBLANK(INDEX('Casillas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10-3"&amp;CHAR(31)&amp;$A6&amp;CHAR(31)&amp;F$3)*1,0),0)))),"",INDEX('Casillas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10-3"&amp;CHAR(31)&amp;$A6&amp;CHAR(31)&amp;F$3)*1,0),0))))&amp;IF(SUMPRODUCT(1*EXACT('Casillas del horario'!$S$4:$S$73,"Profesor de B en 10-3"&amp;CHAR(31)&amp;$A6&amp;CHAR(31)&amp;F$3))&gt;2," (+"&amp;(SUMPRODUCT(1*EXACT('Casillas del horario'!$S$4:$S$73,"Profesor de B en 10-3"&amp;CHAR(31)&amp;$A6&amp;CHAR(31)&amp;F$3))-2)&amp;")",""),IF(ISNA(MATCH(1,INDEX(EXACT('Casillas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/ "&amp;IF(ISBLANK(INDEX('Casillas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10-3"&amp;CHAR(31)&amp;$A7&amp;CHAR(31)&amp;B$3)*1,0),0)))),"",INDEX('Casillas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10-3"&amp;CHAR(31)&amp;$A7&amp;CHAR(31)&amp;B$3)*1,0),0))))&amp;IF(SUMPRODUCT(1*EXACT('Casillas del horario'!$S$4:$S$73,"Profesor de B en 10-3"&amp;CHAR(31)&amp;$A7&amp;CHAR(31)&amp;B$3))&gt;2," (+"&amp;(SUMPRODUCT(1*EXACT('Casillas del horario'!$S$4:$S$73,"Profesor de B en 10-3"&amp;CHAR(31)&amp;$A7&amp;CHAR(31)&amp;B$3))-2)&amp;")",""),IF(ISNA(MATCH(1,INDEX(EXACT('Casillas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/ "&amp;IF(ISBLANK(INDEX('Casillas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10-3"&amp;CHAR(31)&amp;$A7&amp;CHAR(31)&amp;C$3)*1,0),0)))),"",INDEX('Casillas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10-3"&amp;CHAR(31)&amp;$A7&amp;CHAR(31)&amp;C$3)*1,0),0))))&amp;IF(SUMPRODUCT(1*EXACT('Casillas del horario'!$S$4:$S$73,"Profesor de B en 10-3"&amp;CHAR(31)&amp;$A7&amp;CHAR(31)&amp;C$3))&gt;2," (+"&amp;(SUMPRODUCT(1*EXACT('Casillas del horario'!$S$4:$S$73,"Profesor de B en 10-3"&amp;CHAR(31)&amp;$A7&amp;CHAR(31)&amp;C$3))-2)&amp;")",""),IF(ISNA(MATCH(1,INDEX(EXACT('Casillas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/ "&amp;IF(ISBLANK(INDEX('Casillas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10-3"&amp;CHAR(31)&amp;$A7&amp;CHAR(31)&amp;D$3)*1,0),0)))),"",INDEX('Casillas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10-3"&amp;CHAR(31)&amp;$A7&amp;CHAR(31)&amp;D$3)*1,0),0))))&amp;IF(SUMPRODUCT(1*EXACT('Casillas del horario'!$S$4:$S$73,"Profesor de B en 10-3"&amp;CHAR(31)&amp;$A7&amp;CHAR(31)&amp;D$3))&gt;2," (+"&amp;(SUMPRODUCT(1*EXACT('Casillas del horario'!$S$4:$S$73,"Profesor de B en 10-3"&amp;CHAR(31)&amp;$A7&amp;CHAR(31)&amp;D$3))-2)&amp;")",""),IF(ISNA(MATCH(1,INDEX(EXACT('Casillas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/ "&amp;IF(ISBLANK(INDEX('Casillas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10-3"&amp;CHAR(31)&amp;$A7&amp;CHAR(31)&amp;E$3)*1,0),0)))),"",INDEX('Casillas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10-3"&amp;CHAR(31)&amp;$A7&amp;CHAR(31)&amp;E$3)*1,0),0))))&amp;IF(SUMPRODUCT(1*EXACT('Casillas del horario'!$S$4:$S$73,"Profesor de B en 10-3"&amp;CHAR(31)&amp;$A7&amp;CHAR(31)&amp;E$3))&gt;2," (+"&amp;(SUMPRODUCT(1*EXACT('Casillas del horario'!$S$4:$S$73,"Profesor de B en 10-3"&amp;CHAR(31)&amp;$A7&amp;CHAR(31)&amp;E$3))-2)&amp;")",""),IF(ISNA(MATCH(1,INDEX(EXACT('Casillas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/ "&amp;IF(ISBLANK(INDEX('Casillas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10-3"&amp;CHAR(31)&amp;$A7&amp;CHAR(31)&amp;F$3)*1,0),0)))),"",INDEX('Casillas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10-3"&amp;CHAR(31)&amp;$A7&amp;CHAR(31)&amp;F$3)*1,0),0))))&amp;IF(SUMPRODUCT(1*EXACT('Casillas del horario'!$S$4:$S$73,"Profesor de B en 10-3"&amp;CHAR(31)&amp;$A7&amp;CHAR(31)&amp;F$3))&gt;2," (+"&amp;(SUMPRODUCT(1*EXACT('Casillas del horario'!$S$4:$S$73,"Profesor de B en 10-3"&amp;CHAR(31)&amp;$A7&amp;CHAR(31)&amp;F$3))-2)&amp;")",""),IF(ISNA(MATCH(1,INDEX(EXACT('Casillas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/ "&amp;IF(ISBLANK(INDEX('Casillas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10-3"&amp;CHAR(31)&amp;$A8&amp;CHAR(31)&amp;B$3)*1,0),0)))),"",INDEX('Casillas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10-3"&amp;CHAR(31)&amp;$A8&amp;CHAR(31)&amp;B$3)*1,0),0))))&amp;IF(SUMPRODUCT(1*EXACT('Casillas del horario'!$S$4:$S$73,"Profesor de B en 10-3"&amp;CHAR(31)&amp;$A8&amp;CHAR(31)&amp;B$3))&gt;2," (+"&amp;(SUMPRODUCT(1*EXACT('Casillas del horario'!$S$4:$S$73,"Profesor de B en 10-3"&amp;CHAR(31)&amp;$A8&amp;CHAR(31)&amp;B$3))-2)&amp;")",""),IF(ISNA(MATCH(1,INDEX(EXACT('Casillas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/ "&amp;IF(ISBLANK(INDEX('Casillas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10-3"&amp;CHAR(31)&amp;$A8&amp;CHAR(31)&amp;C$3)*1,0),0)))),"",INDEX('Casillas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10-3"&amp;CHAR(31)&amp;$A8&amp;CHAR(31)&amp;C$3)*1,0),0))))&amp;IF(SUMPRODUCT(1*EXACT('Casillas del horario'!$S$4:$S$73,"Profesor de B en 10-3"&amp;CHAR(31)&amp;$A8&amp;CHAR(31)&amp;C$3))&gt;2," (+"&amp;(SUMPRODUCT(1*EXACT('Casillas del horario'!$S$4:$S$73,"Profesor de B en 10-3"&amp;CHAR(31)&amp;$A8&amp;CHAR(31)&amp;C$3))-2)&amp;")",""),IF(ISNA(MATCH(1,INDEX(EXACT('Casillas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/ "&amp;IF(ISBLANK(INDEX('Casillas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10-3"&amp;CHAR(31)&amp;$A8&amp;CHAR(31)&amp;D$3)*1,0),0)))),"",INDEX('Casillas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10-3"&amp;CHAR(31)&amp;$A8&amp;CHAR(31)&amp;D$3)*1,0),0))))&amp;IF(SUMPRODUCT(1*EXACT('Casillas del horario'!$S$4:$S$73,"Profesor de B en 10-3"&amp;CHAR(31)&amp;$A8&amp;CHAR(31)&amp;D$3))&gt;2," (+"&amp;(SUMPRODUCT(1*EXACT('Casillas del horario'!$S$4:$S$73,"Profesor de B en 10-3"&amp;CHAR(31)&amp;$A8&amp;CHAR(31)&amp;D$3))-2)&amp;")",""),IF(ISNA(MATCH(1,INDEX(EXACT('Casillas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/ "&amp;IF(ISBLANK(INDEX('Casillas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10-3"&amp;CHAR(31)&amp;$A8&amp;CHAR(31)&amp;E$3)*1,0),0)))),"",INDEX('Casillas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10-3"&amp;CHAR(31)&amp;$A8&amp;CHAR(31)&amp;E$3)*1,0),0))))&amp;IF(SUMPRODUCT(1*EXACT('Casillas del horario'!$S$4:$S$73,"Profesor de B en 10-3"&amp;CHAR(31)&amp;$A8&amp;CHAR(31)&amp;E$3))&gt;2," (+"&amp;(SUMPRODUCT(1*EXACT('Casillas del horario'!$S$4:$S$73,"Profesor de B en 10-3"&amp;CHAR(31)&amp;$A8&amp;CHAR(31)&amp;E$3))-2)&amp;")",""),IF(ISNA(MATCH(1,INDEX(EXACT('Casillas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/ "&amp;IF(ISBLANK(INDEX('Casillas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10-3"&amp;CHAR(31)&amp;$A8&amp;CHAR(31)&amp;F$3)*1,0),0)))),"",INDEX('Casillas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10-3"&amp;CHAR(31)&amp;$A8&amp;CHAR(31)&amp;F$3)*1,0),0))))&amp;IF(SUMPRODUCT(1*EXACT('Casillas del horario'!$S$4:$S$73,"Profesor de B en 10-3"&amp;CHAR(31)&amp;$A8&amp;CHAR(31)&amp;F$3))&gt;2," (+"&amp;(SUMPRODUCT(1*EXACT('Casillas del horario'!$S$4:$S$73,"Profesor de B en 10-3"&amp;CHAR(31)&amp;$A8&amp;CHAR(31)&amp;F$3))-2)&amp;")",""),IF(ISNA(MATCH(1,INDEX(EXACT('Casillas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/ "&amp;IF(ISBLANK(INDEX('Casillas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10-3"&amp;CHAR(31)&amp;$A9&amp;CHAR(31)&amp;B$3)*1,0),0)))),"",INDEX('Casillas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10-3"&amp;CHAR(31)&amp;$A9&amp;CHAR(31)&amp;B$3)*1,0),0))))&amp;IF(SUMPRODUCT(1*EXACT('Casillas del horario'!$S$4:$S$73,"Profesor de B en 10-3"&amp;CHAR(31)&amp;$A9&amp;CHAR(31)&amp;B$3))&gt;2," (+"&amp;(SUMPRODUCT(1*EXACT('Casillas del horario'!$S$4:$S$73,"Profesor de B en 10-3"&amp;CHAR(31)&amp;$A9&amp;CHAR(31)&amp;B$3))-2)&amp;")",""),IF(ISNA(MATCH(1,INDEX(EXACT('Casillas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/ "&amp;IF(ISBLANK(INDEX('Casillas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10-3"&amp;CHAR(31)&amp;$A9&amp;CHAR(31)&amp;C$3)*1,0),0)))),"",INDEX('Casillas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10-3"&amp;CHAR(31)&amp;$A9&amp;CHAR(31)&amp;C$3)*1,0),0))))&amp;IF(SUMPRODUCT(1*EXACT('Casillas del horario'!$S$4:$S$73,"Profesor de B en 10-3"&amp;CHAR(31)&amp;$A9&amp;CHAR(31)&amp;C$3))&gt;2," (+"&amp;(SUMPRODUCT(1*EXACT('Casillas del horario'!$S$4:$S$73,"Profesor de B en 10-3"&amp;CHAR(31)&amp;$A9&amp;CHAR(31)&amp;C$3))-2)&amp;")",""),IF(ISNA(MATCH(1,INDEX(EXACT('Casillas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/ "&amp;IF(ISBLANK(INDEX('Casillas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10-3"&amp;CHAR(31)&amp;$A9&amp;CHAR(31)&amp;D$3)*1,0),0)))),"",INDEX('Casillas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10-3"&amp;CHAR(31)&amp;$A9&amp;CHAR(31)&amp;D$3)*1,0),0))))&amp;IF(SUMPRODUCT(1*EXACT('Casillas del horario'!$S$4:$S$73,"Profesor de B en 10-3"&amp;CHAR(31)&amp;$A9&amp;CHAR(31)&amp;D$3))&gt;2," (+"&amp;(SUMPRODUCT(1*EXACT('Casillas del horario'!$S$4:$S$73,"Profesor de B en 10-3"&amp;CHAR(31)&amp;$A9&amp;CHAR(31)&amp;D$3))-2)&amp;")",""),IF(ISNA(MATCH(1,INDEX(EXACT('Casillas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/ "&amp;IF(ISBLANK(INDEX('Casillas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10-3"&amp;CHAR(31)&amp;$A9&amp;CHAR(31)&amp;E$3)*1,0),0)))),"",INDEX('Casillas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10-3"&amp;CHAR(31)&amp;$A9&amp;CHAR(31)&amp;E$3)*1,0),0))))&amp;IF(SUMPRODUCT(1*EXACT('Casillas del horario'!$S$4:$S$73,"Profesor de B en 10-3"&amp;CHAR(31)&amp;$A9&amp;CHAR(31)&amp;E$3))&gt;2," (+"&amp;(SUMPRODUCT(1*EXACT('Casillas del horario'!$S$4:$S$73,"Profesor de B en 10-3"&amp;CHAR(31)&amp;$A9&amp;CHAR(31)&amp;E$3))-2)&amp;")",""),IF(ISNA(MATCH(1,INDEX(EXACT('Casillas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/ "&amp;IF(ISBLANK(INDEX('Casillas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10-3"&amp;CHAR(31)&amp;$A9&amp;CHAR(31)&amp;F$3)*1,0),0)))),"",INDEX('Casillas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10-3"&amp;CHAR(31)&amp;$A9&amp;CHAR(31)&amp;F$3)*1,0),0))))&amp;IF(SUMPRODUCT(1*EXACT('Casillas del horario'!$S$4:$S$73,"Profesor de B en 10-3"&amp;CHAR(31)&amp;$A9&amp;CHAR(31)&amp;F$3))&gt;2," (+"&amp;(SUMPRODUCT(1*EXACT('Casillas del horario'!$S$4:$S$73,"Profesor de B en 10-3"&amp;CHAR(31)&amp;$A9&amp;CHAR(31)&amp;F$3))-2)&amp;")",""),IF(ISNA(MATCH(1,INDEX(EXACT('Casillas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/ "&amp;IF(ISBLANK(INDEX('Casillas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10-3"&amp;CHAR(31)&amp;$A10&amp;CHAR(31)&amp;B$3)*1,0),0)))),"",INDEX('Casillas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10-3"&amp;CHAR(31)&amp;$A10&amp;CHAR(31)&amp;B$3)*1,0),0))))&amp;IF(SUMPRODUCT(1*EXACT('Casillas del horario'!$S$4:$S$73,"Profesor de B en 10-3"&amp;CHAR(31)&amp;$A10&amp;CHAR(31)&amp;B$3))&gt;2," (+"&amp;(SUMPRODUCT(1*EXACT('Casillas del horario'!$S$4:$S$73,"Profesor de B en 10-3"&amp;CHAR(31)&amp;$A10&amp;CHAR(31)&amp;B$3))-2)&amp;")",""),IF(ISNA(MATCH(1,INDEX(EXACT('Casillas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/ "&amp;IF(ISBLANK(INDEX('Casillas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10-3"&amp;CHAR(31)&amp;$A10&amp;CHAR(31)&amp;C$3)*1,0),0)))),"",INDEX('Casillas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10-3"&amp;CHAR(31)&amp;$A10&amp;CHAR(31)&amp;C$3)*1,0),0))))&amp;IF(SUMPRODUCT(1*EXACT('Casillas del horario'!$S$4:$S$73,"Profesor de B en 10-3"&amp;CHAR(31)&amp;$A10&amp;CHAR(31)&amp;C$3))&gt;2," (+"&amp;(SUMPRODUCT(1*EXACT('Casillas del horario'!$S$4:$S$73,"Profesor de B en 10-3"&amp;CHAR(31)&amp;$A10&amp;CHAR(31)&amp;C$3))-2)&amp;")",""),IF(ISNA(MATCH(1,INDEX(EXACT('Casillas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/ "&amp;IF(ISBLANK(INDEX('Casillas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10-3"&amp;CHAR(31)&amp;$A10&amp;CHAR(31)&amp;D$3)*1,0),0)))),"",INDEX('Casillas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10-3"&amp;CHAR(31)&amp;$A10&amp;CHAR(31)&amp;D$3)*1,0),0))))&amp;IF(SUMPRODUCT(1*EXACT('Casillas del horario'!$S$4:$S$73,"Profesor de B en 10-3"&amp;CHAR(31)&amp;$A10&amp;CHAR(31)&amp;D$3))&gt;2," (+"&amp;(SUMPRODUCT(1*EXACT('Casillas del horario'!$S$4:$S$73,"Profesor de B en 10-3"&amp;CHAR(31)&amp;$A10&amp;CHAR(31)&amp;D$3))-2)&amp;")",""),IF(ISNA(MATCH(1,INDEX(EXACT('Casillas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/ "&amp;IF(ISBLANK(INDEX('Casillas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10-3"&amp;CHAR(31)&amp;$A10&amp;CHAR(31)&amp;E$3)*1,0),0)))),"",INDEX('Casillas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10-3"&amp;CHAR(31)&amp;$A10&amp;CHAR(31)&amp;E$3)*1,0),0))))&amp;IF(SUMPRODUCT(1*EXACT('Casillas del horario'!$S$4:$S$73,"Profesor de B en 10-3"&amp;CHAR(31)&amp;$A10&amp;CHAR(31)&amp;E$3))&gt;2," (+"&amp;(SUMPRODUCT(1*EXACT('Casillas del horario'!$S$4:$S$73,"Profesor de B en 10-3"&amp;CHAR(31)&amp;$A10&amp;CHAR(31)&amp;E$3))-2)&amp;")",""),IF(ISNA(MATCH(1,INDEX(EXACT('Casillas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/ "&amp;IF(ISBLANK(INDEX('Casillas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10-3"&amp;CHAR(31)&amp;$A10&amp;CHAR(31)&amp;F$3)*1,0),0)))),"",INDEX('Casillas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10-3"&amp;CHAR(31)&amp;$A10&amp;CHAR(31)&amp;F$3)*1,0),0))))&amp;IF(SUMPRODUCT(1*EXACT('Casillas del horario'!$S$4:$S$73,"Profesor de B en 10-3"&amp;CHAR(31)&amp;$A10&amp;CHAR(31)&amp;F$3))&gt;2," (+"&amp;(SUMPRODUCT(1*EXACT('Casillas del horario'!$S$4:$S$73,"Profesor de B en 10-3"&amp;CHAR(31)&amp;$A10&amp;CHAR(31)&amp;F$3))-2)&amp;")",""),IF(ISNA(MATCH(1,INDEX(EXACT('Casillas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/ "&amp;IF(ISBLANK(INDEX('Casillas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10-3"&amp;CHAR(31)&amp;$A4&amp;CHAR(31)&amp;B$3)*1,0),0)))),"",INDEX('Casillas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10-3"&amp;CHAR(31)&amp;$A4&amp;CHAR(31)&amp;B$3)*1,0),0))))&amp;IF(SUMPRODUCT(1*EXACT('Casillas del horario'!$S$4:$S$73,"Profesor de G en 10-3"&amp;CHAR(31)&amp;$A4&amp;CHAR(31)&amp;B$3))&gt;2," (+"&amp;(SUMPRODUCT(1*EXACT('Casillas del horario'!$S$4:$S$73,"Profesor de G en 10-3"&amp;CHAR(31)&amp;$A4&amp;CHAR(31)&amp;B$3))-2)&amp;")",""),IF(ISNA(MATCH(1,INDEX(EXACT('Casillas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/ "&amp;IF(ISBLANK(INDEX('Casillas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10-3"&amp;CHAR(31)&amp;$A4&amp;CHAR(31)&amp;C$3)*1,0),0)))),"",INDEX('Casillas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10-3"&amp;CHAR(31)&amp;$A4&amp;CHAR(31)&amp;C$3)*1,0),0))))&amp;IF(SUMPRODUCT(1*EXACT('Casillas del horario'!$S$4:$S$73,"Profesor de G en 10-3"&amp;CHAR(31)&amp;$A4&amp;CHAR(31)&amp;C$3))&gt;2," (+"&amp;(SUMPRODUCT(1*EXACT('Casillas del horario'!$S$4:$S$73,"Profesor de G en 10-3"&amp;CHAR(31)&amp;$A4&amp;CHAR(31)&amp;C$3))-2)&amp;")",""),IF(ISNA(MATCH(1,INDEX(EXACT('Casillas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/ "&amp;IF(ISBLANK(INDEX('Casillas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10-3"&amp;CHAR(31)&amp;$A4&amp;CHAR(31)&amp;D$3)*1,0),0)))),"",INDEX('Casillas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10-3"&amp;CHAR(31)&amp;$A4&amp;CHAR(31)&amp;D$3)*1,0),0))))&amp;IF(SUMPRODUCT(1*EXACT('Casillas del horario'!$S$4:$S$73,"Profesor de G en 10-3"&amp;CHAR(31)&amp;$A4&amp;CHAR(31)&amp;D$3))&gt;2," (+"&amp;(SUMPRODUCT(1*EXACT('Casillas del horario'!$S$4:$S$73,"Profesor de G en 10-3"&amp;CHAR(31)&amp;$A4&amp;CHAR(31)&amp;D$3))-2)&amp;")",""),IF(ISNA(MATCH(1,INDEX(EXACT('Casillas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/ "&amp;IF(ISBLANK(INDEX('Casillas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10-3"&amp;CHAR(31)&amp;$A4&amp;CHAR(31)&amp;E$3)*1,0),0)))),"",INDEX('Casillas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10-3"&amp;CHAR(31)&amp;$A4&amp;CHAR(31)&amp;E$3)*1,0),0))))&amp;IF(SUMPRODUCT(1*EXACT('Casillas del horario'!$S$4:$S$73,"Profesor de G en 10-3"&amp;CHAR(31)&amp;$A4&amp;CHAR(31)&amp;E$3))&gt;2," (+"&amp;(SUMPRODUCT(1*EXACT('Casillas del horario'!$S$4:$S$73,"Profesor de G en 10-3"&amp;CHAR(31)&amp;$A4&amp;CHAR(31)&amp;E$3))-2)&amp;")",""),IF(ISNA(MATCH(1,INDEX(EXACT('Casillas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/ "&amp;IF(ISBLANK(INDEX('Casillas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10-3"&amp;CHAR(31)&amp;$A4&amp;CHAR(31)&amp;F$3)*1,0),0)))),"",INDEX('Casillas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10-3"&amp;CHAR(31)&amp;$A4&amp;CHAR(31)&amp;F$3)*1,0),0))))&amp;IF(SUMPRODUCT(1*EXACT('Casillas del horario'!$S$4:$S$73,"Profesor de G en 10-3"&amp;CHAR(31)&amp;$A4&amp;CHAR(31)&amp;F$3))&gt;2," (+"&amp;(SUMPRODUCT(1*EXACT('Casillas del horario'!$S$4:$S$73,"Profesor de G en 10-3"&amp;CHAR(31)&amp;$A4&amp;CHAR(31)&amp;F$3))-2)&amp;")",""),IF(ISNA(MATCH(1,INDEX(EXACT('Casillas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/ "&amp;IF(ISBLANK(INDEX('Casillas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10-3"&amp;CHAR(31)&amp;$A5&amp;CHAR(31)&amp;B$3)*1,0),0)))),"",INDEX('Casillas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10-3"&amp;CHAR(31)&amp;$A5&amp;CHAR(31)&amp;B$3)*1,0),0))))&amp;IF(SUMPRODUCT(1*EXACT('Casillas del horario'!$S$4:$S$73,"Profesor de G en 10-3"&amp;CHAR(31)&amp;$A5&amp;CHAR(31)&amp;B$3))&gt;2," (+"&amp;(SUMPRODUCT(1*EXACT('Casillas del horario'!$S$4:$S$73,"Profesor de G en 10-3"&amp;CHAR(31)&amp;$A5&amp;CHAR(31)&amp;B$3))-2)&amp;")",""),IF(ISNA(MATCH(1,INDEX(EXACT('Casillas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/ "&amp;IF(ISBLANK(INDEX('Casillas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10-3"&amp;CHAR(31)&amp;$A5&amp;CHAR(31)&amp;C$3)*1,0),0)))),"",INDEX('Casillas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10-3"&amp;CHAR(31)&amp;$A5&amp;CHAR(31)&amp;C$3)*1,0),0))))&amp;IF(SUMPRODUCT(1*EXACT('Casillas del horario'!$S$4:$S$73,"Profesor de G en 10-3"&amp;CHAR(31)&amp;$A5&amp;CHAR(31)&amp;C$3))&gt;2," (+"&amp;(SUMPRODUCT(1*EXACT('Casillas del horario'!$S$4:$S$73,"Profesor de G en 10-3"&amp;CHAR(31)&amp;$A5&amp;CHAR(31)&amp;C$3))-2)&amp;")",""),IF(ISNA(MATCH(1,INDEX(EXACT('Casillas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/ "&amp;IF(ISBLANK(INDEX('Casillas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10-3"&amp;CHAR(31)&amp;$A5&amp;CHAR(31)&amp;D$3)*1,0),0)))),"",INDEX('Casillas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10-3"&amp;CHAR(31)&amp;$A5&amp;CHAR(31)&amp;D$3)*1,0),0))))&amp;IF(SUMPRODUCT(1*EXACT('Casillas del horario'!$S$4:$S$73,"Profesor de G en 10-3"&amp;CHAR(31)&amp;$A5&amp;CHAR(31)&amp;D$3))&gt;2," (+"&amp;(SUMPRODUCT(1*EXACT('Casillas del horario'!$S$4:$S$73,"Profesor de G en 10-3"&amp;CHAR(31)&amp;$A5&amp;CHAR(31)&amp;D$3))-2)&amp;")",""),IF(ISNA(MATCH(1,INDEX(EXACT('Casillas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/ "&amp;IF(ISBLANK(INDEX('Casillas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10-3"&amp;CHAR(31)&amp;$A5&amp;CHAR(31)&amp;E$3)*1,0),0)))),"",INDEX('Casillas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10-3"&amp;CHAR(31)&amp;$A5&amp;CHAR(31)&amp;E$3)*1,0),0))))&amp;IF(SUMPRODUCT(1*EXACT('Casillas del horario'!$S$4:$S$73,"Profesor de G en 10-3"&amp;CHAR(31)&amp;$A5&amp;CHAR(31)&amp;E$3))&gt;2," (+"&amp;(SUMPRODUCT(1*EXACT('Casillas del horario'!$S$4:$S$73,"Profesor de G en 10-3"&amp;CHAR(31)&amp;$A5&amp;CHAR(31)&amp;E$3))-2)&amp;")",""),IF(ISNA(MATCH(1,INDEX(EXACT('Casillas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/ "&amp;IF(ISBLANK(INDEX('Casillas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10-3"&amp;CHAR(31)&amp;$A5&amp;CHAR(31)&amp;F$3)*1,0),0)))),"",INDEX('Casillas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10-3"&amp;CHAR(31)&amp;$A5&amp;CHAR(31)&amp;F$3)*1,0),0))))&amp;IF(SUMPRODUCT(1*EXACT('Casillas del horario'!$S$4:$S$73,"Profesor de G en 10-3"&amp;CHAR(31)&amp;$A5&amp;CHAR(31)&amp;F$3))&gt;2," (+"&amp;(SUMPRODUCT(1*EXACT('Casillas del horario'!$S$4:$S$73,"Profesor de G en 10-3"&amp;CHAR(31)&amp;$A5&amp;CHAR(31)&amp;F$3))-2)&amp;")",""),IF(ISNA(MATCH(1,INDEX(EXACT('Casillas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/ "&amp;IF(ISBLANK(INDEX('Casillas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10-3"&amp;CHAR(31)&amp;$A6&amp;CHAR(31)&amp;B$3)*1,0),0)))),"",INDEX('Casillas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10-3"&amp;CHAR(31)&amp;$A6&amp;CHAR(31)&amp;B$3)*1,0),0))))&amp;IF(SUMPRODUCT(1*EXACT('Casillas del horario'!$S$4:$S$73,"Profesor de G en 10-3"&amp;CHAR(31)&amp;$A6&amp;CHAR(31)&amp;B$3))&gt;2," (+"&amp;(SUMPRODUCT(1*EXACT('Casillas del horario'!$S$4:$S$73,"Profesor de G en 10-3"&amp;CHAR(31)&amp;$A6&amp;CHAR(31)&amp;B$3))-2)&amp;")",""),IF(ISNA(MATCH(1,INDEX(EXACT('Casillas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/ "&amp;IF(ISBLANK(INDEX('Casillas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10-3"&amp;CHAR(31)&amp;$A6&amp;CHAR(31)&amp;C$3)*1,0),0)))),"",INDEX('Casillas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10-3"&amp;CHAR(31)&amp;$A6&amp;CHAR(31)&amp;C$3)*1,0),0))))&amp;IF(SUMPRODUCT(1*EXACT('Casillas del horario'!$S$4:$S$73,"Profesor de G en 10-3"&amp;CHAR(31)&amp;$A6&amp;CHAR(31)&amp;C$3))&gt;2," (+"&amp;(SUMPRODUCT(1*EXACT('Casillas del horario'!$S$4:$S$73,"Profesor de G en 10-3"&amp;CHAR(31)&amp;$A6&amp;CHAR(31)&amp;C$3))-2)&amp;")",""),IF(ISNA(MATCH(1,INDEX(EXACT('Casillas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/ "&amp;IF(ISBLANK(INDEX('Casillas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10-3"&amp;CHAR(31)&amp;$A6&amp;CHAR(31)&amp;D$3)*1,0),0)))),"",INDEX('Casillas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10-3"&amp;CHAR(31)&amp;$A6&amp;CHAR(31)&amp;D$3)*1,0),0))))&amp;IF(SUMPRODUCT(1*EXACT('Casillas del horario'!$S$4:$S$73,"Profesor de G en 10-3"&amp;CHAR(31)&amp;$A6&amp;CHAR(31)&amp;D$3))&gt;2," (+"&amp;(SUMPRODUCT(1*EXACT('Casillas del horario'!$S$4:$S$73,"Profesor de G en 10-3"&amp;CHAR(31)&amp;$A6&amp;CHAR(31)&amp;D$3))-2)&amp;")",""),IF(ISNA(MATCH(1,INDEX(EXACT('Casillas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/ "&amp;IF(ISBLANK(INDEX('Casillas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10-3"&amp;CHAR(31)&amp;$A6&amp;CHAR(31)&amp;E$3)*1,0),0)))),"",INDEX('Casillas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10-3"&amp;CHAR(31)&amp;$A6&amp;CHAR(31)&amp;E$3)*1,0),0))))&amp;IF(SUMPRODUCT(1*EXACT('Casillas del horario'!$S$4:$S$73,"Profesor de G en 10-3"&amp;CHAR(31)&amp;$A6&amp;CHAR(31)&amp;E$3))&gt;2," (+"&amp;(SUMPRODUCT(1*EXACT('Casillas del horario'!$S$4:$S$73,"Profesor de G en 10-3"&amp;CHAR(31)&amp;$A6&amp;CHAR(31)&amp;E$3))-2)&amp;")",""),IF(ISNA(MATCH(1,INDEX(EXACT('Casillas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/ "&amp;IF(ISBLANK(INDEX('Casillas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10-3"&amp;CHAR(31)&amp;$A6&amp;CHAR(31)&amp;F$3)*1,0),0)))),"",INDEX('Casillas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10-3"&amp;CHAR(31)&amp;$A6&amp;CHAR(31)&amp;F$3)*1,0),0))))&amp;IF(SUMPRODUCT(1*EXACT('Casillas del horario'!$S$4:$S$73,"Profesor de G en 10-3"&amp;CHAR(31)&amp;$A6&amp;CHAR(31)&amp;F$3))&gt;2," (+"&amp;(SUMPRODUCT(1*EXACT('Casillas del horario'!$S$4:$S$73,"Profesor de G en 10-3"&amp;CHAR(31)&amp;$A6&amp;CHAR(31)&amp;F$3))-2)&amp;")",""),IF(ISNA(MATCH(1,INDEX(EXACT('Casillas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/ "&amp;IF(ISBLANK(INDEX('Casillas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10-3"&amp;CHAR(31)&amp;$A7&amp;CHAR(31)&amp;B$3)*1,0),0)))),"",INDEX('Casillas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10-3"&amp;CHAR(31)&amp;$A7&amp;CHAR(31)&amp;B$3)*1,0),0))))&amp;IF(SUMPRODUCT(1*EXACT('Casillas del horario'!$S$4:$S$73,"Profesor de G en 10-3"&amp;CHAR(31)&amp;$A7&amp;CHAR(31)&amp;B$3))&gt;2," (+"&amp;(SUMPRODUCT(1*EXACT('Casillas del horario'!$S$4:$S$73,"Profesor de G en 10-3"&amp;CHAR(31)&amp;$A7&amp;CHAR(31)&amp;B$3))-2)&amp;")",""),IF(ISNA(MATCH(1,INDEX(EXACT('Casillas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/ "&amp;IF(ISBLANK(INDEX('Casillas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10-3"&amp;CHAR(31)&amp;$A7&amp;CHAR(31)&amp;C$3)*1,0),0)))),"",INDEX('Casillas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10-3"&amp;CHAR(31)&amp;$A7&amp;CHAR(31)&amp;C$3)*1,0),0))))&amp;IF(SUMPRODUCT(1*EXACT('Casillas del horario'!$S$4:$S$73,"Profesor de G en 10-3"&amp;CHAR(31)&amp;$A7&amp;CHAR(31)&amp;C$3))&gt;2," (+"&amp;(SUMPRODUCT(1*EXACT('Casillas del horario'!$S$4:$S$73,"Profesor de G en 10-3"&amp;CHAR(31)&amp;$A7&amp;CHAR(31)&amp;C$3))-2)&amp;")",""),IF(ISNA(MATCH(1,INDEX(EXACT('Casillas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/ "&amp;IF(ISBLANK(INDEX('Casillas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10-3"&amp;CHAR(31)&amp;$A7&amp;CHAR(31)&amp;D$3)*1,0),0)))),"",INDEX('Casillas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10-3"&amp;CHAR(31)&amp;$A7&amp;CHAR(31)&amp;D$3)*1,0),0))))&amp;IF(SUMPRODUCT(1*EXACT('Casillas del horario'!$S$4:$S$73,"Profesor de G en 10-3"&amp;CHAR(31)&amp;$A7&amp;CHAR(31)&amp;D$3))&gt;2," (+"&amp;(SUMPRODUCT(1*EXACT('Casillas del horario'!$S$4:$S$73,"Profesor de G en 10-3"&amp;CHAR(31)&amp;$A7&amp;CHAR(31)&amp;D$3))-2)&amp;")",""),IF(ISNA(MATCH(1,INDEX(EXACT('Casillas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/ "&amp;IF(ISBLANK(INDEX('Casillas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10-3"&amp;CHAR(31)&amp;$A7&amp;CHAR(31)&amp;E$3)*1,0),0)))),"",INDEX('Casillas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10-3"&amp;CHAR(31)&amp;$A7&amp;CHAR(31)&amp;E$3)*1,0),0))))&amp;IF(SUMPRODUCT(1*EXACT('Casillas del horario'!$S$4:$S$73,"Profesor de G en 10-3"&amp;CHAR(31)&amp;$A7&amp;CHAR(31)&amp;E$3))&gt;2," (+"&amp;(SUMPRODUCT(1*EXACT('Casillas del horario'!$S$4:$S$73,"Profesor de G en 10-3"&amp;CHAR(31)&amp;$A7&amp;CHAR(31)&amp;E$3))-2)&amp;")",""),IF(ISNA(MATCH(1,INDEX(EXACT('Casillas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/ "&amp;IF(ISBLANK(INDEX('Casillas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10-3"&amp;CHAR(31)&amp;$A7&amp;CHAR(31)&amp;F$3)*1,0),0)))),"",INDEX('Casillas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10-3"&amp;CHAR(31)&amp;$A7&amp;CHAR(31)&amp;F$3)*1,0),0))))&amp;IF(SUMPRODUCT(1*EXACT('Casillas del horario'!$S$4:$S$73,"Profesor de G en 10-3"&amp;CHAR(31)&amp;$A7&amp;CHAR(31)&amp;F$3))&gt;2," (+"&amp;(SUMPRODUCT(1*EXACT('Casillas del horario'!$S$4:$S$73,"Profesor de G en 10-3"&amp;CHAR(31)&amp;$A7&amp;CHAR(31)&amp;F$3))-2)&amp;")",""),IF(ISNA(MATCH(1,INDEX(EXACT('Casillas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/ "&amp;IF(ISBLANK(INDEX('Casillas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10-3"&amp;CHAR(31)&amp;$A8&amp;CHAR(31)&amp;B$3)*1,0),0)))),"",INDEX('Casillas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10-3"&amp;CHAR(31)&amp;$A8&amp;CHAR(31)&amp;B$3)*1,0),0))))&amp;IF(SUMPRODUCT(1*EXACT('Casillas del horario'!$S$4:$S$73,"Profesor de G en 10-3"&amp;CHAR(31)&amp;$A8&amp;CHAR(31)&amp;B$3))&gt;2," (+"&amp;(SUMPRODUCT(1*EXACT('Casillas del horario'!$S$4:$S$73,"Profesor de G en 10-3"&amp;CHAR(31)&amp;$A8&amp;CHAR(31)&amp;B$3))-2)&amp;")",""),IF(ISNA(MATCH(1,INDEX(EXACT('Casillas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/ "&amp;IF(ISBLANK(INDEX('Casillas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10-3"&amp;CHAR(31)&amp;$A8&amp;CHAR(31)&amp;C$3)*1,0),0)))),"",INDEX('Casillas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10-3"&amp;CHAR(31)&amp;$A8&amp;CHAR(31)&amp;C$3)*1,0),0))))&amp;IF(SUMPRODUCT(1*EXACT('Casillas del horario'!$S$4:$S$73,"Profesor de G en 10-3"&amp;CHAR(31)&amp;$A8&amp;CHAR(31)&amp;C$3))&gt;2," (+"&amp;(SUMPRODUCT(1*EXACT('Casillas del horario'!$S$4:$S$73,"Profesor de G en 10-3"&amp;CHAR(31)&amp;$A8&amp;CHAR(31)&amp;C$3))-2)&amp;")",""),IF(ISNA(MATCH(1,INDEX(EXACT('Casillas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/ "&amp;IF(ISBLANK(INDEX('Casillas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10-3"&amp;CHAR(31)&amp;$A8&amp;CHAR(31)&amp;D$3)*1,0),0)))),"",INDEX('Casillas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10-3"&amp;CHAR(31)&amp;$A8&amp;CHAR(31)&amp;D$3)*1,0),0))))&amp;IF(SUMPRODUCT(1*EXACT('Casillas del horario'!$S$4:$S$73,"Profesor de G en 10-3"&amp;CHAR(31)&amp;$A8&amp;CHAR(31)&amp;D$3))&gt;2," (+"&amp;(SUMPRODUCT(1*EXACT('Casillas del horario'!$S$4:$S$73,"Profesor de G en 10-3"&amp;CHAR(31)&amp;$A8&amp;CHAR(31)&amp;D$3))-2)&amp;")",""),IF(ISNA(MATCH(1,INDEX(EXACT('Casillas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/ "&amp;IF(ISBLANK(INDEX('Casillas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10-3"&amp;CHAR(31)&amp;$A8&amp;CHAR(31)&amp;E$3)*1,0),0)))),"",INDEX('Casillas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10-3"&amp;CHAR(31)&amp;$A8&amp;CHAR(31)&amp;E$3)*1,0),0))))&amp;IF(SUMPRODUCT(1*EXACT('Casillas del horario'!$S$4:$S$73,"Profesor de G en 10-3"&amp;CHAR(31)&amp;$A8&amp;CHAR(31)&amp;E$3))&gt;2," (+"&amp;(SUMPRODUCT(1*EXACT('Casillas del horario'!$S$4:$S$73,"Profesor de G en 10-3"&amp;CHAR(31)&amp;$A8&amp;CHAR(31)&amp;E$3))-2)&amp;")",""),IF(ISNA(MATCH(1,INDEX(EXACT('Casillas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/ "&amp;IF(ISBLANK(INDEX('Casillas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10-3"&amp;CHAR(31)&amp;$A8&amp;CHAR(31)&amp;F$3)*1,0),0)))),"",INDEX('Casillas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10-3"&amp;CHAR(31)&amp;$A8&amp;CHAR(31)&amp;F$3)*1,0),0))))&amp;IF(SUMPRODUCT(1*EXACT('Casillas del horario'!$S$4:$S$73,"Profesor de G en 10-3"&amp;CHAR(31)&amp;$A8&amp;CHAR(31)&amp;F$3))&gt;2," (+"&amp;(SUMPRODUCT(1*EXACT('Casillas del horario'!$S$4:$S$73,"Profesor de G en 10-3"&amp;CHAR(31)&amp;$A8&amp;CHAR(31)&amp;F$3))-2)&amp;")",""),IF(ISNA(MATCH(1,INDEX(EXACT('Casillas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/ "&amp;IF(ISBLANK(INDEX('Casillas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10-3"&amp;CHAR(31)&amp;$A9&amp;CHAR(31)&amp;B$3)*1,0),0)))),"",INDEX('Casillas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10-3"&amp;CHAR(31)&amp;$A9&amp;CHAR(31)&amp;B$3)*1,0),0))))&amp;IF(SUMPRODUCT(1*EXACT('Casillas del horario'!$S$4:$S$73,"Profesor de G en 10-3"&amp;CHAR(31)&amp;$A9&amp;CHAR(31)&amp;B$3))&gt;2," (+"&amp;(SUMPRODUCT(1*EXACT('Casillas del horario'!$S$4:$S$73,"Profesor de G en 10-3"&amp;CHAR(31)&amp;$A9&amp;CHAR(31)&amp;B$3))-2)&amp;")",""),IF(ISNA(MATCH(1,INDEX(EXACT('Casillas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/ "&amp;IF(ISBLANK(INDEX('Casillas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10-3"&amp;CHAR(31)&amp;$A9&amp;CHAR(31)&amp;C$3)*1,0),0)))),"",INDEX('Casillas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10-3"&amp;CHAR(31)&amp;$A9&amp;CHAR(31)&amp;C$3)*1,0),0))))&amp;IF(SUMPRODUCT(1*EXACT('Casillas del horario'!$S$4:$S$73,"Profesor de G en 10-3"&amp;CHAR(31)&amp;$A9&amp;CHAR(31)&amp;C$3))&gt;2," (+"&amp;(SUMPRODUCT(1*EXACT('Casillas del horario'!$S$4:$S$73,"Profesor de G en 10-3"&amp;CHAR(31)&amp;$A9&amp;CHAR(31)&amp;C$3))-2)&amp;")",""),IF(ISNA(MATCH(1,INDEX(EXACT('Casillas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/ "&amp;IF(ISBLANK(INDEX('Casillas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10-3"&amp;CHAR(31)&amp;$A9&amp;CHAR(31)&amp;D$3)*1,0),0)))),"",INDEX('Casillas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10-3"&amp;CHAR(31)&amp;$A9&amp;CHAR(31)&amp;D$3)*1,0),0))))&amp;IF(SUMPRODUCT(1*EXACT('Casillas del horario'!$S$4:$S$73,"Profesor de G en 10-3"&amp;CHAR(31)&amp;$A9&amp;CHAR(31)&amp;D$3))&gt;2," (+"&amp;(SUMPRODUCT(1*EXACT('Casillas del horario'!$S$4:$S$73,"Profesor de G en 10-3"&amp;CHAR(31)&amp;$A9&amp;CHAR(31)&amp;D$3))-2)&amp;")",""),IF(ISNA(MATCH(1,INDEX(EXACT('Casillas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/ "&amp;IF(ISBLANK(INDEX('Casillas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10-3"&amp;CHAR(31)&amp;$A9&amp;CHAR(31)&amp;E$3)*1,0),0)))),"",INDEX('Casillas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10-3"&amp;CHAR(31)&amp;$A9&amp;CHAR(31)&amp;E$3)*1,0),0))))&amp;IF(SUMPRODUCT(1*EXACT('Casillas del horario'!$S$4:$S$73,"Profesor de G en 10-3"&amp;CHAR(31)&amp;$A9&amp;CHAR(31)&amp;E$3))&gt;2," (+"&amp;(SUMPRODUCT(1*EXACT('Casillas del horario'!$S$4:$S$73,"Profesor de G en 10-3"&amp;CHAR(31)&amp;$A9&amp;CHAR(31)&amp;E$3))-2)&amp;")",""),IF(ISNA(MATCH(1,INDEX(EXACT('Casillas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/ "&amp;IF(ISBLANK(INDEX('Casillas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10-3"&amp;CHAR(31)&amp;$A9&amp;CHAR(31)&amp;F$3)*1,0),0)))),"",INDEX('Casillas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10-3"&amp;CHAR(31)&amp;$A9&amp;CHAR(31)&amp;F$3)*1,0),0))))&amp;IF(SUMPRODUCT(1*EXACT('Casillas del horario'!$S$4:$S$73,"Profesor de G en 10-3"&amp;CHAR(31)&amp;$A9&amp;CHAR(31)&amp;F$3))&gt;2," (+"&amp;(SUMPRODUCT(1*EXACT('Casillas del horario'!$S$4:$S$73,"Profesor de G en 10-3"&amp;CHAR(31)&amp;$A9&amp;CHAR(31)&amp;F$3))-2)&amp;")",""),IF(ISNA(MATCH(1,INDEX(EXACT('Casillas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/ "&amp;IF(ISBLANK(INDEX('Casillas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10-3"&amp;CHAR(31)&amp;$A10&amp;CHAR(31)&amp;B$3)*1,0),0)))),"",INDEX('Casillas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10-3"&amp;CHAR(31)&amp;$A10&amp;CHAR(31)&amp;B$3)*1,0),0))))&amp;IF(SUMPRODUCT(1*EXACT('Casillas del horario'!$S$4:$S$73,"Profesor de G en 10-3"&amp;CHAR(31)&amp;$A10&amp;CHAR(31)&amp;B$3))&gt;2," (+"&amp;(SUMPRODUCT(1*EXACT('Casillas del horario'!$S$4:$S$73,"Profesor de G en 10-3"&amp;CHAR(31)&amp;$A10&amp;CHAR(31)&amp;B$3))-2)&amp;")",""),IF(ISNA(MATCH(1,INDEX(EXACT('Casillas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/ "&amp;IF(ISBLANK(INDEX('Casillas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10-3"&amp;CHAR(31)&amp;$A10&amp;CHAR(31)&amp;C$3)*1,0),0)))),"",INDEX('Casillas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10-3"&amp;CHAR(31)&amp;$A10&amp;CHAR(31)&amp;C$3)*1,0),0))))&amp;IF(SUMPRODUCT(1*EXACT('Casillas del horario'!$S$4:$S$73,"Profesor de G en 10-3"&amp;CHAR(31)&amp;$A10&amp;CHAR(31)&amp;C$3))&gt;2," (+"&amp;(SUMPRODUCT(1*EXACT('Casillas del horario'!$S$4:$S$73,"Profesor de G en 10-3"&amp;CHAR(31)&amp;$A10&amp;CHAR(31)&amp;C$3))-2)&amp;")",""),IF(ISNA(MATCH(1,INDEX(EXACT('Casillas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/ "&amp;IF(ISBLANK(INDEX('Casillas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10-3"&amp;CHAR(31)&amp;$A10&amp;CHAR(31)&amp;D$3)*1,0),0)))),"",INDEX('Casillas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10-3"&amp;CHAR(31)&amp;$A10&amp;CHAR(31)&amp;D$3)*1,0),0))))&amp;IF(SUMPRODUCT(1*EXACT('Casillas del horario'!$S$4:$S$73,"Profesor de G en 10-3"&amp;CHAR(31)&amp;$A10&amp;CHAR(31)&amp;D$3))&gt;2," (+"&amp;(SUMPRODUCT(1*EXACT('Casillas del horario'!$S$4:$S$73,"Profesor de G en 10-3"&amp;CHAR(31)&amp;$A10&amp;CHAR(31)&amp;D$3))-2)&amp;")",""),IF(ISNA(MATCH(1,INDEX(EXACT('Casillas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/ "&amp;IF(ISBLANK(INDEX('Casillas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10-3"&amp;CHAR(31)&amp;$A10&amp;CHAR(31)&amp;E$3)*1,0),0)))),"",INDEX('Casillas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10-3"&amp;CHAR(31)&amp;$A10&amp;CHAR(31)&amp;E$3)*1,0),0))))&amp;IF(SUMPRODUCT(1*EXACT('Casillas del horario'!$S$4:$S$73,"Profesor de G en 10-3"&amp;CHAR(31)&amp;$A10&amp;CHAR(31)&amp;E$3))&gt;2," (+"&amp;(SUMPRODUCT(1*EXACT('Casillas del horario'!$S$4:$S$73,"Profesor de G en 10-3"&amp;CHAR(31)&amp;$A10&amp;CHAR(31)&amp;E$3))-2)&amp;")",""),IF(ISNA(MATCH(1,INDEX(EXACT('Casillas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/ "&amp;IF(ISBLANK(INDEX('Casillas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10-3"&amp;CHAR(31)&amp;$A10&amp;CHAR(31)&amp;F$3)*1,0),0)))),"",INDEX('Casillas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10-3"&amp;CHAR(31)&amp;$A10&amp;CHAR(31)&amp;F$3)*1,0),0))))&amp;IF(SUMPRODUCT(1*EXACT('Casillas del horario'!$S$4:$S$73,"Profesor de G en 10-3"&amp;CHAR(31)&amp;$A10&amp;CHAR(31)&amp;F$3))&gt;2," (+"&amp;(SUMPRODUCT(1*EXACT('Casillas del horario'!$S$4:$S$73,"Profesor de G en 10-3"&amp;CHAR(31)&amp;$A10&amp;CHAR(31)&amp;F$3))-2)&amp;")",""),IF(ISNA(MATCH(1,INDEX(EXACT('Casillas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/ "&amp;IF(ISBLANK(INDEX('Casillas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10-3"&amp;CHAR(31)&amp;$A4&amp;CHAR(31)&amp;B$3)*1,0),0)))),"",INDEX('Casillas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10-3"&amp;CHAR(31)&amp;$A4&amp;CHAR(31)&amp;B$3)*1,0),0))))&amp;IF(SUMPRODUCT(1*EXACT('Casillas del horario'!$S$4:$S$73,"Profesor de INF en 10-3"&amp;CHAR(31)&amp;$A4&amp;CHAR(31)&amp;B$3))&gt;2," (+"&amp;(SUMPRODUCT(1*EXACT('Casillas del horario'!$S$4:$S$73,"Profesor de INF en 10-3"&amp;CHAR(31)&amp;$A4&amp;CHAR(31)&amp;B$3))-2)&amp;")",""),IF(ISNA(MATCH(1,INDEX(EXACT('Casillas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/ "&amp;IF(ISBLANK(INDEX('Casillas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10-3"&amp;CHAR(31)&amp;$A4&amp;CHAR(31)&amp;C$3)*1,0),0)))),"",INDEX('Casillas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10-3"&amp;CHAR(31)&amp;$A4&amp;CHAR(31)&amp;C$3)*1,0),0))))&amp;IF(SUMPRODUCT(1*EXACT('Casillas del horario'!$S$4:$S$73,"Profesor de INF en 10-3"&amp;CHAR(31)&amp;$A4&amp;CHAR(31)&amp;C$3))&gt;2," (+"&amp;(SUMPRODUCT(1*EXACT('Casillas del horario'!$S$4:$S$73,"Profesor de INF en 10-3"&amp;CHAR(31)&amp;$A4&amp;CHAR(31)&amp;C$3))-2)&amp;")",""),IF(ISNA(MATCH(1,INDEX(EXACT('Casillas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/ "&amp;IF(ISBLANK(INDEX('Casillas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10-3"&amp;CHAR(31)&amp;$A4&amp;CHAR(31)&amp;D$3)*1,0),0)))),"",INDEX('Casillas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10-3"&amp;CHAR(31)&amp;$A4&amp;CHAR(31)&amp;D$3)*1,0),0))))&amp;IF(SUMPRODUCT(1*EXACT('Casillas del horario'!$S$4:$S$73,"Profesor de INF en 10-3"&amp;CHAR(31)&amp;$A4&amp;CHAR(31)&amp;D$3))&gt;2," (+"&amp;(SUMPRODUCT(1*EXACT('Casillas del horario'!$S$4:$S$73,"Profesor de INF en 10-3"&amp;CHAR(31)&amp;$A4&amp;CHAR(31)&amp;D$3))-2)&amp;")",""),IF(ISNA(MATCH(1,INDEX(EXACT('Casillas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/ "&amp;IF(ISBLANK(INDEX('Casillas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10-3"&amp;CHAR(31)&amp;$A4&amp;CHAR(31)&amp;E$3)*1,0),0)))),"",INDEX('Casillas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10-3"&amp;CHAR(31)&amp;$A4&amp;CHAR(31)&amp;E$3)*1,0),0))))&amp;IF(SUMPRODUCT(1*EXACT('Casillas del horario'!$S$4:$S$73,"Profesor de INF en 10-3"&amp;CHAR(31)&amp;$A4&amp;CHAR(31)&amp;E$3))&gt;2," (+"&amp;(SUMPRODUCT(1*EXACT('Casillas del horario'!$S$4:$S$73,"Profesor de INF en 10-3"&amp;CHAR(31)&amp;$A4&amp;CHAR(31)&amp;E$3))-2)&amp;")",""),IF(ISNA(MATCH(1,INDEX(EXACT('Casillas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/ "&amp;IF(ISBLANK(INDEX('Casillas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10-3"&amp;CHAR(31)&amp;$A4&amp;CHAR(31)&amp;F$3)*1,0),0)))),"",INDEX('Casillas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10-3"&amp;CHAR(31)&amp;$A4&amp;CHAR(31)&amp;F$3)*1,0),0))))&amp;IF(SUMPRODUCT(1*EXACT('Casillas del horario'!$S$4:$S$73,"Profesor de INF en 10-3"&amp;CHAR(31)&amp;$A4&amp;CHAR(31)&amp;F$3))&gt;2," (+"&amp;(SUMPRODUCT(1*EXACT('Casillas del horario'!$S$4:$S$73,"Profesor de INF en 10-3"&amp;CHAR(31)&amp;$A4&amp;CHAR(31)&amp;F$3))-2)&amp;")",""),IF(ISNA(MATCH(1,INDEX(EXACT('Casillas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/ "&amp;IF(ISBLANK(INDEX('Casillas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10-3"&amp;CHAR(31)&amp;$A5&amp;CHAR(31)&amp;B$3)*1,0),0)))),"",INDEX('Casillas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10-3"&amp;CHAR(31)&amp;$A5&amp;CHAR(31)&amp;B$3)*1,0),0))))&amp;IF(SUMPRODUCT(1*EXACT('Casillas del horario'!$S$4:$S$73,"Profesor de INF en 10-3"&amp;CHAR(31)&amp;$A5&amp;CHAR(31)&amp;B$3))&gt;2," (+"&amp;(SUMPRODUCT(1*EXACT('Casillas del horario'!$S$4:$S$73,"Profesor de INF en 10-3"&amp;CHAR(31)&amp;$A5&amp;CHAR(31)&amp;B$3))-2)&amp;")",""),IF(ISNA(MATCH(1,INDEX(EXACT('Casillas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/ "&amp;IF(ISBLANK(INDEX('Casillas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10-3"&amp;CHAR(31)&amp;$A5&amp;CHAR(31)&amp;C$3)*1,0),0)))),"",INDEX('Casillas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10-3"&amp;CHAR(31)&amp;$A5&amp;CHAR(31)&amp;C$3)*1,0),0))))&amp;IF(SUMPRODUCT(1*EXACT('Casillas del horario'!$S$4:$S$73,"Profesor de INF en 10-3"&amp;CHAR(31)&amp;$A5&amp;CHAR(31)&amp;C$3))&gt;2," (+"&amp;(SUMPRODUCT(1*EXACT('Casillas del horario'!$S$4:$S$73,"Profesor de INF en 10-3"&amp;CHAR(31)&amp;$A5&amp;CHAR(31)&amp;C$3))-2)&amp;")",""),IF(ISNA(MATCH(1,INDEX(EXACT('Casillas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/ "&amp;IF(ISBLANK(INDEX('Casillas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10-3"&amp;CHAR(31)&amp;$A5&amp;CHAR(31)&amp;D$3)*1,0),0)))),"",INDEX('Casillas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10-3"&amp;CHAR(31)&amp;$A5&amp;CHAR(31)&amp;D$3)*1,0),0))))&amp;IF(SUMPRODUCT(1*EXACT('Casillas del horario'!$S$4:$S$73,"Profesor de INF en 10-3"&amp;CHAR(31)&amp;$A5&amp;CHAR(31)&amp;D$3))&gt;2," (+"&amp;(SUMPRODUCT(1*EXACT('Casillas del horario'!$S$4:$S$73,"Profesor de INF en 10-3"&amp;CHAR(31)&amp;$A5&amp;CHAR(31)&amp;D$3))-2)&amp;")",""),IF(ISNA(MATCH(1,INDEX(EXACT('Casillas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/ "&amp;IF(ISBLANK(INDEX('Casillas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10-3"&amp;CHAR(31)&amp;$A5&amp;CHAR(31)&amp;E$3)*1,0),0)))),"",INDEX('Casillas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10-3"&amp;CHAR(31)&amp;$A5&amp;CHAR(31)&amp;E$3)*1,0),0))))&amp;IF(SUMPRODUCT(1*EXACT('Casillas del horario'!$S$4:$S$73,"Profesor de INF en 10-3"&amp;CHAR(31)&amp;$A5&amp;CHAR(31)&amp;E$3))&gt;2," (+"&amp;(SUMPRODUCT(1*EXACT('Casillas del horario'!$S$4:$S$73,"Profesor de INF en 10-3"&amp;CHAR(31)&amp;$A5&amp;CHAR(31)&amp;E$3))-2)&amp;")",""),IF(ISNA(MATCH(1,INDEX(EXACT('Casillas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/ "&amp;IF(ISBLANK(INDEX('Casillas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10-3"&amp;CHAR(31)&amp;$A5&amp;CHAR(31)&amp;F$3)*1,0),0)))),"",INDEX('Casillas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10-3"&amp;CHAR(31)&amp;$A5&amp;CHAR(31)&amp;F$3)*1,0),0))))&amp;IF(SUMPRODUCT(1*EXACT('Casillas del horario'!$S$4:$S$73,"Profesor de INF en 10-3"&amp;CHAR(31)&amp;$A5&amp;CHAR(31)&amp;F$3))&gt;2," (+"&amp;(SUMPRODUCT(1*EXACT('Casillas del horario'!$S$4:$S$73,"Profesor de INF en 10-3"&amp;CHAR(31)&amp;$A5&amp;CHAR(31)&amp;F$3))-2)&amp;")",""),IF(ISNA(MATCH(1,INDEX(EXACT('Casillas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/ "&amp;IF(ISBLANK(INDEX('Casillas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10-3"&amp;CHAR(31)&amp;$A6&amp;CHAR(31)&amp;B$3)*1,0),0)))),"",INDEX('Casillas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10-3"&amp;CHAR(31)&amp;$A6&amp;CHAR(31)&amp;B$3)*1,0),0))))&amp;IF(SUMPRODUCT(1*EXACT('Casillas del horario'!$S$4:$S$73,"Profesor de INF en 10-3"&amp;CHAR(31)&amp;$A6&amp;CHAR(31)&amp;B$3))&gt;2," (+"&amp;(SUMPRODUCT(1*EXACT('Casillas del horario'!$S$4:$S$73,"Profesor de INF en 10-3"&amp;CHAR(31)&amp;$A6&amp;CHAR(31)&amp;B$3))-2)&amp;")",""),IF(ISNA(MATCH(1,INDEX(EXACT('Casillas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/ "&amp;IF(ISBLANK(INDEX('Casillas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10-3"&amp;CHAR(31)&amp;$A6&amp;CHAR(31)&amp;C$3)*1,0),0)))),"",INDEX('Casillas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10-3"&amp;CHAR(31)&amp;$A6&amp;CHAR(31)&amp;C$3)*1,0),0))))&amp;IF(SUMPRODUCT(1*EXACT('Casillas del horario'!$S$4:$S$73,"Profesor de INF en 10-3"&amp;CHAR(31)&amp;$A6&amp;CHAR(31)&amp;C$3))&gt;2," (+"&amp;(SUMPRODUCT(1*EXACT('Casillas del horario'!$S$4:$S$73,"Profesor de INF en 10-3"&amp;CHAR(31)&amp;$A6&amp;CHAR(31)&amp;C$3))-2)&amp;")",""),IF(ISNA(MATCH(1,INDEX(EXACT('Casillas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/ "&amp;IF(ISBLANK(INDEX('Casillas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10-3"&amp;CHAR(31)&amp;$A6&amp;CHAR(31)&amp;D$3)*1,0),0)))),"",INDEX('Casillas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10-3"&amp;CHAR(31)&amp;$A6&amp;CHAR(31)&amp;D$3)*1,0),0))))&amp;IF(SUMPRODUCT(1*EXACT('Casillas del horario'!$S$4:$S$73,"Profesor de INF en 10-3"&amp;CHAR(31)&amp;$A6&amp;CHAR(31)&amp;D$3))&gt;2," (+"&amp;(SUMPRODUCT(1*EXACT('Casillas del horario'!$S$4:$S$73,"Profesor de INF en 10-3"&amp;CHAR(31)&amp;$A6&amp;CHAR(31)&amp;D$3))-2)&amp;")",""),IF(ISNA(MATCH(1,INDEX(EXACT('Casillas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/ "&amp;IF(ISBLANK(INDEX('Casillas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10-3"&amp;CHAR(31)&amp;$A6&amp;CHAR(31)&amp;E$3)*1,0),0)))),"",INDEX('Casillas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10-3"&amp;CHAR(31)&amp;$A6&amp;CHAR(31)&amp;E$3)*1,0),0))))&amp;IF(SUMPRODUCT(1*EXACT('Casillas del horario'!$S$4:$S$73,"Profesor de INF en 10-3"&amp;CHAR(31)&amp;$A6&amp;CHAR(31)&amp;E$3))&gt;2," (+"&amp;(SUMPRODUCT(1*EXACT('Casillas del horario'!$S$4:$S$73,"Profesor de INF en 10-3"&amp;CHAR(31)&amp;$A6&amp;CHAR(31)&amp;E$3))-2)&amp;")",""),IF(ISNA(MATCH(1,INDEX(EXACT('Casillas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/ "&amp;IF(ISBLANK(INDEX('Casillas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10-3"&amp;CHAR(31)&amp;$A6&amp;CHAR(31)&amp;F$3)*1,0),0)))),"",INDEX('Casillas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10-3"&amp;CHAR(31)&amp;$A6&amp;CHAR(31)&amp;F$3)*1,0),0))))&amp;IF(SUMPRODUCT(1*EXACT('Casillas del horario'!$S$4:$S$73,"Profesor de INF en 10-3"&amp;CHAR(31)&amp;$A6&amp;CHAR(31)&amp;F$3))&gt;2," (+"&amp;(SUMPRODUCT(1*EXACT('Casillas del horario'!$S$4:$S$73,"Profesor de INF en 10-3"&amp;CHAR(31)&amp;$A6&amp;CHAR(31)&amp;F$3))-2)&amp;")",""),IF(ISNA(MATCH(1,INDEX(EXACT('Casillas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/ "&amp;IF(ISBLANK(INDEX('Casillas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10-3"&amp;CHAR(31)&amp;$A7&amp;CHAR(31)&amp;B$3)*1,0),0)))),"",INDEX('Casillas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10-3"&amp;CHAR(31)&amp;$A7&amp;CHAR(31)&amp;B$3)*1,0),0))))&amp;IF(SUMPRODUCT(1*EXACT('Casillas del horario'!$S$4:$S$73,"Profesor de INF en 10-3"&amp;CHAR(31)&amp;$A7&amp;CHAR(31)&amp;B$3))&gt;2," (+"&amp;(SUMPRODUCT(1*EXACT('Casillas del horario'!$S$4:$S$73,"Profesor de INF en 10-3"&amp;CHAR(31)&amp;$A7&amp;CHAR(31)&amp;B$3))-2)&amp;")",""),IF(ISNA(MATCH(1,INDEX(EXACT('Casillas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/ "&amp;IF(ISBLANK(INDEX('Casillas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10-3"&amp;CHAR(31)&amp;$A7&amp;CHAR(31)&amp;C$3)*1,0),0)))),"",INDEX('Casillas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10-3"&amp;CHAR(31)&amp;$A7&amp;CHAR(31)&amp;C$3)*1,0),0))))&amp;IF(SUMPRODUCT(1*EXACT('Casillas del horario'!$S$4:$S$73,"Profesor de INF en 10-3"&amp;CHAR(31)&amp;$A7&amp;CHAR(31)&amp;C$3))&gt;2," (+"&amp;(SUMPRODUCT(1*EXACT('Casillas del horario'!$S$4:$S$73,"Profesor de INF en 10-3"&amp;CHAR(31)&amp;$A7&amp;CHAR(31)&amp;C$3))-2)&amp;")",""),IF(ISNA(MATCH(1,INDEX(EXACT('Casillas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/ "&amp;IF(ISBLANK(INDEX('Casillas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10-3"&amp;CHAR(31)&amp;$A7&amp;CHAR(31)&amp;D$3)*1,0),0)))),"",INDEX('Casillas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10-3"&amp;CHAR(31)&amp;$A7&amp;CHAR(31)&amp;D$3)*1,0),0))))&amp;IF(SUMPRODUCT(1*EXACT('Casillas del horario'!$S$4:$S$73,"Profesor de INF en 10-3"&amp;CHAR(31)&amp;$A7&amp;CHAR(31)&amp;D$3))&gt;2," (+"&amp;(SUMPRODUCT(1*EXACT('Casillas del horario'!$S$4:$S$73,"Profesor de INF en 10-3"&amp;CHAR(31)&amp;$A7&amp;CHAR(31)&amp;D$3))-2)&amp;")",""),IF(ISNA(MATCH(1,INDEX(EXACT('Casillas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/ "&amp;IF(ISBLANK(INDEX('Casillas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10-3"&amp;CHAR(31)&amp;$A7&amp;CHAR(31)&amp;E$3)*1,0),0)))),"",INDEX('Casillas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10-3"&amp;CHAR(31)&amp;$A7&amp;CHAR(31)&amp;E$3)*1,0),0))))&amp;IF(SUMPRODUCT(1*EXACT('Casillas del horario'!$S$4:$S$73,"Profesor de INF en 10-3"&amp;CHAR(31)&amp;$A7&amp;CHAR(31)&amp;E$3))&gt;2," (+"&amp;(SUMPRODUCT(1*EXACT('Casillas del horario'!$S$4:$S$73,"Profesor de INF en 10-3"&amp;CHAR(31)&amp;$A7&amp;CHAR(31)&amp;E$3))-2)&amp;")",""),IF(ISNA(MATCH(1,INDEX(EXACT('Casillas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/ "&amp;IF(ISBLANK(INDEX('Casillas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10-3"&amp;CHAR(31)&amp;$A7&amp;CHAR(31)&amp;F$3)*1,0),0)))),"",INDEX('Casillas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10-3"&amp;CHAR(31)&amp;$A7&amp;CHAR(31)&amp;F$3)*1,0),0))))&amp;IF(SUMPRODUCT(1*EXACT('Casillas del horario'!$S$4:$S$73,"Profesor de INF en 10-3"&amp;CHAR(31)&amp;$A7&amp;CHAR(31)&amp;F$3))&gt;2," (+"&amp;(SUMPRODUCT(1*EXACT('Casillas del horario'!$S$4:$S$73,"Profesor de INF en 10-3"&amp;CHAR(31)&amp;$A7&amp;CHAR(31)&amp;F$3))-2)&amp;")",""),IF(ISNA(MATCH(1,INDEX(EXACT('Casillas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/ "&amp;IF(ISBLANK(INDEX('Casillas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10-3"&amp;CHAR(31)&amp;$A8&amp;CHAR(31)&amp;B$3)*1,0),0)))),"",INDEX('Casillas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10-3"&amp;CHAR(31)&amp;$A8&amp;CHAR(31)&amp;B$3)*1,0),0))))&amp;IF(SUMPRODUCT(1*EXACT('Casillas del horario'!$S$4:$S$73,"Profesor de INF en 10-3"&amp;CHAR(31)&amp;$A8&amp;CHAR(31)&amp;B$3))&gt;2," (+"&amp;(SUMPRODUCT(1*EXACT('Casillas del horario'!$S$4:$S$73,"Profesor de INF en 10-3"&amp;CHAR(31)&amp;$A8&amp;CHAR(31)&amp;B$3))-2)&amp;")",""),IF(ISNA(MATCH(1,INDEX(EXACT('Casillas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/ "&amp;IF(ISBLANK(INDEX('Casillas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10-3"&amp;CHAR(31)&amp;$A8&amp;CHAR(31)&amp;C$3)*1,0),0)))),"",INDEX('Casillas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10-3"&amp;CHAR(31)&amp;$A8&amp;CHAR(31)&amp;C$3)*1,0),0))))&amp;IF(SUMPRODUCT(1*EXACT('Casillas del horario'!$S$4:$S$73,"Profesor de INF en 10-3"&amp;CHAR(31)&amp;$A8&amp;CHAR(31)&amp;C$3))&gt;2," (+"&amp;(SUMPRODUCT(1*EXACT('Casillas del horario'!$S$4:$S$73,"Profesor de INF en 10-3"&amp;CHAR(31)&amp;$A8&amp;CHAR(31)&amp;C$3))-2)&amp;")",""),IF(ISNA(MATCH(1,INDEX(EXACT('Casillas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/ "&amp;IF(ISBLANK(INDEX('Casillas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10-3"&amp;CHAR(31)&amp;$A8&amp;CHAR(31)&amp;D$3)*1,0),0)))),"",INDEX('Casillas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10-3"&amp;CHAR(31)&amp;$A8&amp;CHAR(31)&amp;D$3)*1,0),0))))&amp;IF(SUMPRODUCT(1*EXACT('Casillas del horario'!$S$4:$S$73,"Profesor de INF en 10-3"&amp;CHAR(31)&amp;$A8&amp;CHAR(31)&amp;D$3))&gt;2," (+"&amp;(SUMPRODUCT(1*EXACT('Casillas del horario'!$S$4:$S$73,"Profesor de INF en 10-3"&amp;CHAR(31)&amp;$A8&amp;CHAR(31)&amp;D$3))-2)&amp;")",""),IF(ISNA(MATCH(1,INDEX(EXACT('Casillas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/ "&amp;IF(ISBLANK(INDEX('Casillas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10-3"&amp;CHAR(31)&amp;$A8&amp;CHAR(31)&amp;E$3)*1,0),0)))),"",INDEX('Casillas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10-3"&amp;CHAR(31)&amp;$A8&amp;CHAR(31)&amp;E$3)*1,0),0))))&amp;IF(SUMPRODUCT(1*EXACT('Casillas del horario'!$S$4:$S$73,"Profesor de INF en 10-3"&amp;CHAR(31)&amp;$A8&amp;CHAR(31)&amp;E$3))&gt;2," (+"&amp;(SUMPRODUCT(1*EXACT('Casillas del horario'!$S$4:$S$73,"Profesor de INF en 10-3"&amp;CHAR(31)&amp;$A8&amp;CHAR(31)&amp;E$3))-2)&amp;")",""),IF(ISNA(MATCH(1,INDEX(EXACT('Casillas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/ "&amp;IF(ISBLANK(INDEX('Casillas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10-3"&amp;CHAR(31)&amp;$A8&amp;CHAR(31)&amp;F$3)*1,0),0)))),"",INDEX('Casillas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10-3"&amp;CHAR(31)&amp;$A8&amp;CHAR(31)&amp;F$3)*1,0),0))))&amp;IF(SUMPRODUCT(1*EXACT('Casillas del horario'!$S$4:$S$73,"Profesor de INF en 10-3"&amp;CHAR(31)&amp;$A8&amp;CHAR(31)&amp;F$3))&gt;2," (+"&amp;(SUMPRODUCT(1*EXACT('Casillas del horario'!$S$4:$S$73,"Profesor de INF en 10-3"&amp;CHAR(31)&amp;$A8&amp;CHAR(31)&amp;F$3))-2)&amp;")",""),IF(ISNA(MATCH(1,INDEX(EXACT('Casillas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/ "&amp;IF(ISBLANK(INDEX('Casillas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10-3"&amp;CHAR(31)&amp;$A9&amp;CHAR(31)&amp;B$3)*1,0),0)))),"",INDEX('Casillas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10-3"&amp;CHAR(31)&amp;$A9&amp;CHAR(31)&amp;B$3)*1,0),0))))&amp;IF(SUMPRODUCT(1*EXACT('Casillas del horario'!$S$4:$S$73,"Profesor de INF en 10-3"&amp;CHAR(31)&amp;$A9&amp;CHAR(31)&amp;B$3))&gt;2," (+"&amp;(SUMPRODUCT(1*EXACT('Casillas del horario'!$S$4:$S$73,"Profesor de INF en 10-3"&amp;CHAR(31)&amp;$A9&amp;CHAR(31)&amp;B$3))-2)&amp;")",""),IF(ISNA(MATCH(1,INDEX(EXACT('Casillas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/ "&amp;IF(ISBLANK(INDEX('Casillas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10-3"&amp;CHAR(31)&amp;$A9&amp;CHAR(31)&amp;C$3)*1,0),0)))),"",INDEX('Casillas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10-3"&amp;CHAR(31)&amp;$A9&amp;CHAR(31)&amp;C$3)*1,0),0))))&amp;IF(SUMPRODUCT(1*EXACT('Casillas del horario'!$S$4:$S$73,"Profesor de INF en 10-3"&amp;CHAR(31)&amp;$A9&amp;CHAR(31)&amp;C$3))&gt;2," (+"&amp;(SUMPRODUCT(1*EXACT('Casillas del horario'!$S$4:$S$73,"Profesor de INF en 10-3"&amp;CHAR(31)&amp;$A9&amp;CHAR(31)&amp;C$3))-2)&amp;")",""),IF(ISNA(MATCH(1,INDEX(EXACT('Casillas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/ "&amp;IF(ISBLANK(INDEX('Casillas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10-3"&amp;CHAR(31)&amp;$A9&amp;CHAR(31)&amp;D$3)*1,0),0)))),"",INDEX('Casillas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10-3"&amp;CHAR(31)&amp;$A9&amp;CHAR(31)&amp;D$3)*1,0),0))))&amp;IF(SUMPRODUCT(1*EXACT('Casillas del horario'!$S$4:$S$73,"Profesor de INF en 10-3"&amp;CHAR(31)&amp;$A9&amp;CHAR(31)&amp;D$3))&gt;2," (+"&amp;(SUMPRODUCT(1*EXACT('Casillas del horario'!$S$4:$S$73,"Profesor de INF en 10-3"&amp;CHAR(31)&amp;$A9&amp;CHAR(31)&amp;D$3))-2)&amp;")",""),IF(ISNA(MATCH(1,INDEX(EXACT('Casillas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/ "&amp;IF(ISBLANK(INDEX('Casillas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10-3"&amp;CHAR(31)&amp;$A9&amp;CHAR(31)&amp;E$3)*1,0),0)))),"",INDEX('Casillas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10-3"&amp;CHAR(31)&amp;$A9&amp;CHAR(31)&amp;E$3)*1,0),0))))&amp;IF(SUMPRODUCT(1*EXACT('Casillas del horario'!$S$4:$S$73,"Profesor de INF en 10-3"&amp;CHAR(31)&amp;$A9&amp;CHAR(31)&amp;E$3))&gt;2," (+"&amp;(SUMPRODUCT(1*EXACT('Casillas del horario'!$S$4:$S$73,"Profesor de INF en 10-3"&amp;CHAR(31)&amp;$A9&amp;CHAR(31)&amp;E$3))-2)&amp;")",""),IF(ISNA(MATCH(1,INDEX(EXACT('Casillas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/ "&amp;IF(ISBLANK(INDEX('Casillas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10-3"&amp;CHAR(31)&amp;$A9&amp;CHAR(31)&amp;F$3)*1,0),0)))),"",INDEX('Casillas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10-3"&amp;CHAR(31)&amp;$A9&amp;CHAR(31)&amp;F$3)*1,0),0))))&amp;IF(SUMPRODUCT(1*EXACT('Casillas del horario'!$S$4:$S$73,"Profesor de INF en 10-3"&amp;CHAR(31)&amp;$A9&amp;CHAR(31)&amp;F$3))&gt;2," (+"&amp;(SUMPRODUCT(1*EXACT('Casillas del horario'!$S$4:$S$73,"Profesor de INF en 10-3"&amp;CHAR(31)&amp;$A9&amp;CHAR(31)&amp;F$3))-2)&amp;")",""),IF(ISNA(MATCH(1,INDEX(EXACT('Casillas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/ "&amp;IF(ISBLANK(INDEX('Casillas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10-3"&amp;CHAR(31)&amp;$A10&amp;CHAR(31)&amp;B$3)*1,0),0)))),"",INDEX('Casillas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10-3"&amp;CHAR(31)&amp;$A10&amp;CHAR(31)&amp;B$3)*1,0),0))))&amp;IF(SUMPRODUCT(1*EXACT('Casillas del horario'!$S$4:$S$73,"Profesor de INF en 10-3"&amp;CHAR(31)&amp;$A10&amp;CHAR(31)&amp;B$3))&gt;2," (+"&amp;(SUMPRODUCT(1*EXACT('Casillas del horario'!$S$4:$S$73,"Profesor de INF en 10-3"&amp;CHAR(31)&amp;$A10&amp;CHAR(31)&amp;B$3))-2)&amp;")",""),IF(ISNA(MATCH(1,INDEX(EXACT('Casillas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/ "&amp;IF(ISBLANK(INDEX('Casillas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10-3"&amp;CHAR(31)&amp;$A10&amp;CHAR(31)&amp;C$3)*1,0),0)))),"",INDEX('Casillas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10-3"&amp;CHAR(31)&amp;$A10&amp;CHAR(31)&amp;C$3)*1,0),0))))&amp;IF(SUMPRODUCT(1*EXACT('Casillas del horario'!$S$4:$S$73,"Profesor de INF en 10-3"&amp;CHAR(31)&amp;$A10&amp;CHAR(31)&amp;C$3))&gt;2," (+"&amp;(SUMPRODUCT(1*EXACT('Casillas del horario'!$S$4:$S$73,"Profesor de INF en 10-3"&amp;CHAR(31)&amp;$A10&amp;CHAR(31)&amp;C$3))-2)&amp;")",""),IF(ISNA(MATCH(1,INDEX(EXACT('Casillas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/ "&amp;IF(ISBLANK(INDEX('Casillas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10-3"&amp;CHAR(31)&amp;$A10&amp;CHAR(31)&amp;D$3)*1,0),0)))),"",INDEX('Casillas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10-3"&amp;CHAR(31)&amp;$A10&amp;CHAR(31)&amp;D$3)*1,0),0))))&amp;IF(SUMPRODUCT(1*EXACT('Casillas del horario'!$S$4:$S$73,"Profesor de INF en 10-3"&amp;CHAR(31)&amp;$A10&amp;CHAR(31)&amp;D$3))&gt;2," (+"&amp;(SUMPRODUCT(1*EXACT('Casillas del horario'!$S$4:$S$73,"Profesor de INF en 10-3"&amp;CHAR(31)&amp;$A10&amp;CHAR(31)&amp;D$3))-2)&amp;")",""),IF(ISNA(MATCH(1,INDEX(EXACT('Casillas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/ "&amp;IF(ISBLANK(INDEX('Casillas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10-3"&amp;CHAR(31)&amp;$A10&amp;CHAR(31)&amp;E$3)*1,0),0)))),"",INDEX('Casillas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10-3"&amp;CHAR(31)&amp;$A10&amp;CHAR(31)&amp;E$3)*1,0),0))))&amp;IF(SUMPRODUCT(1*EXACT('Casillas del horario'!$S$4:$S$73,"Profesor de INF en 10-3"&amp;CHAR(31)&amp;$A10&amp;CHAR(31)&amp;E$3))&gt;2," (+"&amp;(SUMPRODUCT(1*EXACT('Casillas del horario'!$S$4:$S$73,"Profesor de INF en 10-3"&amp;CHAR(31)&amp;$A10&amp;CHAR(31)&amp;E$3))-2)&amp;")",""),IF(ISNA(MATCH(1,INDEX(EXACT('Casillas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/ "&amp;IF(ISBLANK(INDEX('Casillas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10-3"&amp;CHAR(31)&amp;$A10&amp;CHAR(31)&amp;F$3)*1,0),0)))),"",INDEX('Casillas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10-3"&amp;CHAR(31)&amp;$A10&amp;CHAR(31)&amp;F$3)*1,0),0))))&amp;IF(SUMPRODUCT(1*EXACT('Casillas del horario'!$S$4:$S$73,"Profesor de INF en 10-3"&amp;CHAR(31)&amp;$A10&amp;CHAR(31)&amp;F$3))&gt;2," (+"&amp;(SUMPRODUCT(1*EXACT('Casillas del horario'!$S$4:$S$73,"Profesor de INF en 10-3"&amp;CHAR(31)&amp;$A10&amp;CHAR(31)&amp;F$3))-2)&amp;")",""),IF(ISNA(MATCH(1,INDEX(EXACT('Casillas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/ "&amp;IF(ISBLANK(INDEX('Casillas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10-3"&amp;CHAR(31)&amp;$A4&amp;CHAR(31)&amp;B$3)*1,0),0)))),"",INDEX('Casillas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10-3"&amp;CHAR(31)&amp;$A4&amp;CHAR(31)&amp;B$3)*1,0),0))))&amp;IF(SUMPRODUCT(1*EXACT('Casillas del horario'!$S$4:$S$73,"Profesor de Q en 10-3"&amp;CHAR(31)&amp;$A4&amp;CHAR(31)&amp;B$3))&gt;2," (+"&amp;(SUMPRODUCT(1*EXACT('Casillas del horario'!$S$4:$S$73,"Profesor de Q en 10-3"&amp;CHAR(31)&amp;$A4&amp;CHAR(31)&amp;B$3))-2)&amp;")",""),IF(ISNA(MATCH(1,INDEX(EXACT('Casillas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/ "&amp;IF(ISBLANK(INDEX('Casillas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10-3"&amp;CHAR(31)&amp;$A4&amp;CHAR(31)&amp;C$3)*1,0),0)))),"",INDEX('Casillas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10-3"&amp;CHAR(31)&amp;$A4&amp;CHAR(31)&amp;C$3)*1,0),0))))&amp;IF(SUMPRODUCT(1*EXACT('Casillas del horario'!$S$4:$S$73,"Profesor de Q en 10-3"&amp;CHAR(31)&amp;$A4&amp;CHAR(31)&amp;C$3))&gt;2," (+"&amp;(SUMPRODUCT(1*EXACT('Casillas del horario'!$S$4:$S$73,"Profesor de Q en 10-3"&amp;CHAR(31)&amp;$A4&amp;CHAR(31)&amp;C$3))-2)&amp;")",""),IF(ISNA(MATCH(1,INDEX(EXACT('Casillas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/ "&amp;IF(ISBLANK(INDEX('Casillas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10-3"&amp;CHAR(31)&amp;$A4&amp;CHAR(31)&amp;D$3)*1,0),0)))),"",INDEX('Casillas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10-3"&amp;CHAR(31)&amp;$A4&amp;CHAR(31)&amp;D$3)*1,0),0))))&amp;IF(SUMPRODUCT(1*EXACT('Casillas del horario'!$S$4:$S$73,"Profesor de Q en 10-3"&amp;CHAR(31)&amp;$A4&amp;CHAR(31)&amp;D$3))&gt;2," (+"&amp;(SUMPRODUCT(1*EXACT('Casillas del horario'!$S$4:$S$73,"Profesor de Q en 10-3"&amp;CHAR(31)&amp;$A4&amp;CHAR(31)&amp;D$3))-2)&amp;")",""),IF(ISNA(MATCH(1,INDEX(EXACT('Casillas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/ "&amp;IF(ISBLANK(INDEX('Casillas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10-3"&amp;CHAR(31)&amp;$A4&amp;CHAR(31)&amp;E$3)*1,0),0)))),"",INDEX('Casillas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10-3"&amp;CHAR(31)&amp;$A4&amp;CHAR(31)&amp;E$3)*1,0),0))))&amp;IF(SUMPRODUCT(1*EXACT('Casillas del horario'!$S$4:$S$73,"Profesor de Q en 10-3"&amp;CHAR(31)&amp;$A4&amp;CHAR(31)&amp;E$3))&gt;2," (+"&amp;(SUMPRODUCT(1*EXACT('Casillas del horario'!$S$4:$S$73,"Profesor de Q en 10-3"&amp;CHAR(31)&amp;$A4&amp;CHAR(31)&amp;E$3))-2)&amp;")",""),IF(ISNA(MATCH(1,INDEX(EXACT('Casillas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/ "&amp;IF(ISBLANK(INDEX('Casillas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10-3"&amp;CHAR(31)&amp;$A4&amp;CHAR(31)&amp;F$3)*1,0),0)))),"",INDEX('Casillas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10-3"&amp;CHAR(31)&amp;$A4&amp;CHAR(31)&amp;F$3)*1,0),0))))&amp;IF(SUMPRODUCT(1*EXACT('Casillas del horario'!$S$4:$S$73,"Profesor de Q en 10-3"&amp;CHAR(31)&amp;$A4&amp;CHAR(31)&amp;F$3))&gt;2," (+"&amp;(SUMPRODUCT(1*EXACT('Casillas del horario'!$S$4:$S$73,"Profesor de Q en 10-3"&amp;CHAR(31)&amp;$A4&amp;CHAR(31)&amp;F$3))-2)&amp;")",""),IF(ISNA(MATCH(1,INDEX(EXACT('Casillas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/ "&amp;IF(ISBLANK(INDEX('Casillas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10-3"&amp;CHAR(31)&amp;$A5&amp;CHAR(31)&amp;B$3)*1,0),0)))),"",INDEX('Casillas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10-3"&amp;CHAR(31)&amp;$A5&amp;CHAR(31)&amp;B$3)*1,0),0))))&amp;IF(SUMPRODUCT(1*EXACT('Casillas del horario'!$S$4:$S$73,"Profesor de Q en 10-3"&amp;CHAR(31)&amp;$A5&amp;CHAR(31)&amp;B$3))&gt;2," (+"&amp;(SUMPRODUCT(1*EXACT('Casillas del horario'!$S$4:$S$73,"Profesor de Q en 10-3"&amp;CHAR(31)&amp;$A5&amp;CHAR(31)&amp;B$3))-2)&amp;")",""),IF(ISNA(MATCH(1,INDEX(EXACT('Casillas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/ "&amp;IF(ISBLANK(INDEX('Casillas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10-3"&amp;CHAR(31)&amp;$A5&amp;CHAR(31)&amp;C$3)*1,0),0)))),"",INDEX('Casillas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10-3"&amp;CHAR(31)&amp;$A5&amp;CHAR(31)&amp;C$3)*1,0),0))))&amp;IF(SUMPRODUCT(1*EXACT('Casillas del horario'!$S$4:$S$73,"Profesor de Q en 10-3"&amp;CHAR(31)&amp;$A5&amp;CHAR(31)&amp;C$3))&gt;2," (+"&amp;(SUMPRODUCT(1*EXACT('Casillas del horario'!$S$4:$S$73,"Profesor de Q en 10-3"&amp;CHAR(31)&amp;$A5&amp;CHAR(31)&amp;C$3))-2)&amp;")",""),IF(ISNA(MATCH(1,INDEX(EXACT('Casillas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/ "&amp;IF(ISBLANK(INDEX('Casillas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10-3"&amp;CHAR(31)&amp;$A5&amp;CHAR(31)&amp;D$3)*1,0),0)))),"",INDEX('Casillas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10-3"&amp;CHAR(31)&amp;$A5&amp;CHAR(31)&amp;D$3)*1,0),0))))&amp;IF(SUMPRODUCT(1*EXACT('Casillas del horario'!$S$4:$S$73,"Profesor de Q en 10-3"&amp;CHAR(31)&amp;$A5&amp;CHAR(31)&amp;D$3))&gt;2," (+"&amp;(SUMPRODUCT(1*EXACT('Casillas del horario'!$S$4:$S$73,"Profesor de Q en 10-3"&amp;CHAR(31)&amp;$A5&amp;CHAR(31)&amp;D$3))-2)&amp;")",""),IF(ISNA(MATCH(1,INDEX(EXACT('Casillas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/ "&amp;IF(ISBLANK(INDEX('Casillas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10-3"&amp;CHAR(31)&amp;$A5&amp;CHAR(31)&amp;E$3)*1,0),0)))),"",INDEX('Casillas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10-3"&amp;CHAR(31)&amp;$A5&amp;CHAR(31)&amp;E$3)*1,0),0))))&amp;IF(SUMPRODUCT(1*EXACT('Casillas del horario'!$S$4:$S$73,"Profesor de Q en 10-3"&amp;CHAR(31)&amp;$A5&amp;CHAR(31)&amp;E$3))&gt;2," (+"&amp;(SUMPRODUCT(1*EXACT('Casillas del horario'!$S$4:$S$73,"Profesor de Q en 10-3"&amp;CHAR(31)&amp;$A5&amp;CHAR(31)&amp;E$3))-2)&amp;")",""),IF(ISNA(MATCH(1,INDEX(EXACT('Casillas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/ "&amp;IF(ISBLANK(INDEX('Casillas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10-3"&amp;CHAR(31)&amp;$A5&amp;CHAR(31)&amp;F$3)*1,0),0)))),"",INDEX('Casillas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10-3"&amp;CHAR(31)&amp;$A5&amp;CHAR(31)&amp;F$3)*1,0),0))))&amp;IF(SUMPRODUCT(1*EXACT('Casillas del horario'!$S$4:$S$73,"Profesor de Q en 10-3"&amp;CHAR(31)&amp;$A5&amp;CHAR(31)&amp;F$3))&gt;2," (+"&amp;(SUMPRODUCT(1*EXACT('Casillas del horario'!$S$4:$S$73,"Profesor de Q en 10-3"&amp;CHAR(31)&amp;$A5&amp;CHAR(31)&amp;F$3))-2)&amp;")",""),IF(ISNA(MATCH(1,INDEX(EXACT('Casillas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/ "&amp;IF(ISBLANK(INDEX('Casillas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10-3"&amp;CHAR(31)&amp;$A6&amp;CHAR(31)&amp;B$3)*1,0),0)))),"",INDEX('Casillas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10-3"&amp;CHAR(31)&amp;$A6&amp;CHAR(31)&amp;B$3)*1,0),0))))&amp;IF(SUMPRODUCT(1*EXACT('Casillas del horario'!$S$4:$S$73,"Profesor de Q en 10-3"&amp;CHAR(31)&amp;$A6&amp;CHAR(31)&amp;B$3))&gt;2," (+"&amp;(SUMPRODUCT(1*EXACT('Casillas del horario'!$S$4:$S$73,"Profesor de Q en 10-3"&amp;CHAR(31)&amp;$A6&amp;CHAR(31)&amp;B$3))-2)&amp;")",""),IF(ISNA(MATCH(1,INDEX(EXACT('Casillas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/ "&amp;IF(ISBLANK(INDEX('Casillas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10-3"&amp;CHAR(31)&amp;$A6&amp;CHAR(31)&amp;C$3)*1,0),0)))),"",INDEX('Casillas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10-3"&amp;CHAR(31)&amp;$A6&amp;CHAR(31)&amp;C$3)*1,0),0))))&amp;IF(SUMPRODUCT(1*EXACT('Casillas del horario'!$S$4:$S$73,"Profesor de Q en 10-3"&amp;CHAR(31)&amp;$A6&amp;CHAR(31)&amp;C$3))&gt;2," (+"&amp;(SUMPRODUCT(1*EXACT('Casillas del horario'!$S$4:$S$73,"Profesor de Q en 10-3"&amp;CHAR(31)&amp;$A6&amp;CHAR(31)&amp;C$3))-2)&amp;")",""),IF(ISNA(MATCH(1,INDEX(EXACT('Casillas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/ "&amp;IF(ISBLANK(INDEX('Casillas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10-3"&amp;CHAR(31)&amp;$A6&amp;CHAR(31)&amp;D$3)*1,0),0)))),"",INDEX('Casillas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10-3"&amp;CHAR(31)&amp;$A6&amp;CHAR(31)&amp;D$3)*1,0),0))))&amp;IF(SUMPRODUCT(1*EXACT('Casillas del horario'!$S$4:$S$73,"Profesor de Q en 10-3"&amp;CHAR(31)&amp;$A6&amp;CHAR(31)&amp;D$3))&gt;2," (+"&amp;(SUMPRODUCT(1*EXACT('Casillas del horario'!$S$4:$S$73,"Profesor de Q en 10-3"&amp;CHAR(31)&amp;$A6&amp;CHAR(31)&amp;D$3))-2)&amp;")",""),IF(ISNA(MATCH(1,INDEX(EXACT('Casillas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/ "&amp;IF(ISBLANK(INDEX('Casillas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10-3"&amp;CHAR(31)&amp;$A6&amp;CHAR(31)&amp;E$3)*1,0),0)))),"",INDEX('Casillas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10-3"&amp;CHAR(31)&amp;$A6&amp;CHAR(31)&amp;E$3)*1,0),0))))&amp;IF(SUMPRODUCT(1*EXACT('Casillas del horario'!$S$4:$S$73,"Profesor de Q en 10-3"&amp;CHAR(31)&amp;$A6&amp;CHAR(31)&amp;E$3))&gt;2," (+"&amp;(SUMPRODUCT(1*EXACT('Casillas del horario'!$S$4:$S$73,"Profesor de Q en 10-3"&amp;CHAR(31)&amp;$A6&amp;CHAR(31)&amp;E$3))-2)&amp;")",""),IF(ISNA(MATCH(1,INDEX(EXACT('Casillas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/ "&amp;IF(ISBLANK(INDEX('Casillas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10-3"&amp;CHAR(31)&amp;$A6&amp;CHAR(31)&amp;F$3)*1,0),0)))),"",INDEX('Casillas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10-3"&amp;CHAR(31)&amp;$A6&amp;CHAR(31)&amp;F$3)*1,0),0))))&amp;IF(SUMPRODUCT(1*EXACT('Casillas del horario'!$S$4:$S$73,"Profesor de Q en 10-3"&amp;CHAR(31)&amp;$A6&amp;CHAR(31)&amp;F$3))&gt;2," (+"&amp;(SUMPRODUCT(1*EXACT('Casillas del horario'!$S$4:$S$73,"Profesor de Q en 10-3"&amp;CHAR(31)&amp;$A6&amp;CHAR(31)&amp;F$3))-2)&amp;")",""),IF(ISNA(MATCH(1,INDEX(EXACT('Casillas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/ "&amp;IF(ISBLANK(INDEX('Casillas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10-3"&amp;CHAR(31)&amp;$A7&amp;CHAR(31)&amp;B$3)*1,0),0)))),"",INDEX('Casillas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10-3"&amp;CHAR(31)&amp;$A7&amp;CHAR(31)&amp;B$3)*1,0),0))))&amp;IF(SUMPRODUCT(1*EXACT('Casillas del horario'!$S$4:$S$73,"Profesor de Q en 10-3"&amp;CHAR(31)&amp;$A7&amp;CHAR(31)&amp;B$3))&gt;2," (+"&amp;(SUMPRODUCT(1*EXACT('Casillas del horario'!$S$4:$S$73,"Profesor de Q en 10-3"&amp;CHAR(31)&amp;$A7&amp;CHAR(31)&amp;B$3))-2)&amp;")",""),IF(ISNA(MATCH(1,INDEX(EXACT('Casillas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/ "&amp;IF(ISBLANK(INDEX('Casillas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10-3"&amp;CHAR(31)&amp;$A7&amp;CHAR(31)&amp;C$3)*1,0),0)))),"",INDEX('Casillas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10-3"&amp;CHAR(31)&amp;$A7&amp;CHAR(31)&amp;C$3)*1,0),0))))&amp;IF(SUMPRODUCT(1*EXACT('Casillas del horario'!$S$4:$S$73,"Profesor de Q en 10-3"&amp;CHAR(31)&amp;$A7&amp;CHAR(31)&amp;C$3))&gt;2," (+"&amp;(SUMPRODUCT(1*EXACT('Casillas del horario'!$S$4:$S$73,"Profesor de Q en 10-3"&amp;CHAR(31)&amp;$A7&amp;CHAR(31)&amp;C$3))-2)&amp;")",""),IF(ISNA(MATCH(1,INDEX(EXACT('Casillas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/ "&amp;IF(ISBLANK(INDEX('Casillas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10-3"&amp;CHAR(31)&amp;$A7&amp;CHAR(31)&amp;D$3)*1,0),0)))),"",INDEX('Casillas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10-3"&amp;CHAR(31)&amp;$A7&amp;CHAR(31)&amp;D$3)*1,0),0))))&amp;IF(SUMPRODUCT(1*EXACT('Casillas del horario'!$S$4:$S$73,"Profesor de Q en 10-3"&amp;CHAR(31)&amp;$A7&amp;CHAR(31)&amp;D$3))&gt;2," (+"&amp;(SUMPRODUCT(1*EXACT('Casillas del horario'!$S$4:$S$73,"Profesor de Q en 10-3"&amp;CHAR(31)&amp;$A7&amp;CHAR(31)&amp;D$3))-2)&amp;")",""),IF(ISNA(MATCH(1,INDEX(EXACT('Casillas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/ "&amp;IF(ISBLANK(INDEX('Casillas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10-3"&amp;CHAR(31)&amp;$A7&amp;CHAR(31)&amp;E$3)*1,0),0)))),"",INDEX('Casillas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10-3"&amp;CHAR(31)&amp;$A7&amp;CHAR(31)&amp;E$3)*1,0),0))))&amp;IF(SUMPRODUCT(1*EXACT('Casillas del horario'!$S$4:$S$73,"Profesor de Q en 10-3"&amp;CHAR(31)&amp;$A7&amp;CHAR(31)&amp;E$3))&gt;2," (+"&amp;(SUMPRODUCT(1*EXACT('Casillas del horario'!$S$4:$S$73,"Profesor de Q en 10-3"&amp;CHAR(31)&amp;$A7&amp;CHAR(31)&amp;E$3))-2)&amp;")",""),IF(ISNA(MATCH(1,INDEX(EXACT('Casillas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/ "&amp;IF(ISBLANK(INDEX('Casillas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10-3"&amp;CHAR(31)&amp;$A7&amp;CHAR(31)&amp;F$3)*1,0),0)))),"",INDEX('Casillas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10-3"&amp;CHAR(31)&amp;$A7&amp;CHAR(31)&amp;F$3)*1,0),0))))&amp;IF(SUMPRODUCT(1*EXACT('Casillas del horario'!$S$4:$S$73,"Profesor de Q en 10-3"&amp;CHAR(31)&amp;$A7&amp;CHAR(31)&amp;F$3))&gt;2," (+"&amp;(SUMPRODUCT(1*EXACT('Casillas del horario'!$S$4:$S$73,"Profesor de Q en 10-3"&amp;CHAR(31)&amp;$A7&amp;CHAR(31)&amp;F$3))-2)&amp;")",""),IF(ISNA(MATCH(1,INDEX(EXACT('Casillas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/ "&amp;IF(ISBLANK(INDEX('Casillas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10-3"&amp;CHAR(31)&amp;$A8&amp;CHAR(31)&amp;B$3)*1,0),0)))),"",INDEX('Casillas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10-3"&amp;CHAR(31)&amp;$A8&amp;CHAR(31)&amp;B$3)*1,0),0))))&amp;IF(SUMPRODUCT(1*EXACT('Casillas del horario'!$S$4:$S$73,"Profesor de Q en 10-3"&amp;CHAR(31)&amp;$A8&amp;CHAR(31)&amp;B$3))&gt;2," (+"&amp;(SUMPRODUCT(1*EXACT('Casillas del horario'!$S$4:$S$73,"Profesor de Q en 10-3"&amp;CHAR(31)&amp;$A8&amp;CHAR(31)&amp;B$3))-2)&amp;")",""),IF(ISNA(MATCH(1,INDEX(EXACT('Casillas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/ "&amp;IF(ISBLANK(INDEX('Casillas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10-3"&amp;CHAR(31)&amp;$A8&amp;CHAR(31)&amp;C$3)*1,0),0)))),"",INDEX('Casillas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10-3"&amp;CHAR(31)&amp;$A8&amp;CHAR(31)&amp;C$3)*1,0),0))))&amp;IF(SUMPRODUCT(1*EXACT('Casillas del horario'!$S$4:$S$73,"Profesor de Q en 10-3"&amp;CHAR(31)&amp;$A8&amp;CHAR(31)&amp;C$3))&gt;2," (+"&amp;(SUMPRODUCT(1*EXACT('Casillas del horario'!$S$4:$S$73,"Profesor de Q en 10-3"&amp;CHAR(31)&amp;$A8&amp;CHAR(31)&amp;C$3))-2)&amp;")",""),IF(ISNA(MATCH(1,INDEX(EXACT('Casillas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/ "&amp;IF(ISBLANK(INDEX('Casillas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10-3"&amp;CHAR(31)&amp;$A8&amp;CHAR(31)&amp;D$3)*1,0),0)))),"",INDEX('Casillas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10-3"&amp;CHAR(31)&amp;$A8&amp;CHAR(31)&amp;D$3)*1,0),0))))&amp;IF(SUMPRODUCT(1*EXACT('Casillas del horario'!$S$4:$S$73,"Profesor de Q en 10-3"&amp;CHAR(31)&amp;$A8&amp;CHAR(31)&amp;D$3))&gt;2," (+"&amp;(SUMPRODUCT(1*EXACT('Casillas del horario'!$S$4:$S$73,"Profesor de Q en 10-3"&amp;CHAR(31)&amp;$A8&amp;CHAR(31)&amp;D$3))-2)&amp;")",""),IF(ISNA(MATCH(1,INDEX(EXACT('Casillas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/ "&amp;IF(ISBLANK(INDEX('Casillas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10-3"&amp;CHAR(31)&amp;$A8&amp;CHAR(31)&amp;E$3)*1,0),0)))),"",INDEX('Casillas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10-3"&amp;CHAR(31)&amp;$A8&amp;CHAR(31)&amp;E$3)*1,0),0))))&amp;IF(SUMPRODUCT(1*EXACT('Casillas del horario'!$S$4:$S$73,"Profesor de Q en 10-3"&amp;CHAR(31)&amp;$A8&amp;CHAR(31)&amp;E$3))&gt;2," (+"&amp;(SUMPRODUCT(1*EXACT('Casillas del horario'!$S$4:$S$73,"Profesor de Q en 10-3"&amp;CHAR(31)&amp;$A8&amp;CHAR(31)&amp;E$3))-2)&amp;")",""),IF(ISNA(MATCH(1,INDEX(EXACT('Casillas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/ "&amp;IF(ISBLANK(INDEX('Casillas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10-3"&amp;CHAR(31)&amp;$A8&amp;CHAR(31)&amp;F$3)*1,0),0)))),"",INDEX('Casillas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10-3"&amp;CHAR(31)&amp;$A8&amp;CHAR(31)&amp;F$3)*1,0),0))))&amp;IF(SUMPRODUCT(1*EXACT('Casillas del horario'!$S$4:$S$73,"Profesor de Q en 10-3"&amp;CHAR(31)&amp;$A8&amp;CHAR(31)&amp;F$3))&gt;2," (+"&amp;(SUMPRODUCT(1*EXACT('Casillas del horario'!$S$4:$S$73,"Profesor de Q en 10-3"&amp;CHAR(31)&amp;$A8&amp;CHAR(31)&amp;F$3))-2)&amp;")",""),IF(ISNA(MATCH(1,INDEX(EXACT('Casillas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/ "&amp;IF(ISBLANK(INDEX('Casillas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10-3"&amp;CHAR(31)&amp;$A9&amp;CHAR(31)&amp;B$3)*1,0),0)))),"",INDEX('Casillas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10-3"&amp;CHAR(31)&amp;$A9&amp;CHAR(31)&amp;B$3)*1,0),0))))&amp;IF(SUMPRODUCT(1*EXACT('Casillas del horario'!$S$4:$S$73,"Profesor de Q en 10-3"&amp;CHAR(31)&amp;$A9&amp;CHAR(31)&amp;B$3))&gt;2," (+"&amp;(SUMPRODUCT(1*EXACT('Casillas del horario'!$S$4:$S$73,"Profesor de Q en 10-3"&amp;CHAR(31)&amp;$A9&amp;CHAR(31)&amp;B$3))-2)&amp;")",""),IF(ISNA(MATCH(1,INDEX(EXACT('Casillas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/ "&amp;IF(ISBLANK(INDEX('Casillas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10-3"&amp;CHAR(31)&amp;$A9&amp;CHAR(31)&amp;C$3)*1,0),0)))),"",INDEX('Casillas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10-3"&amp;CHAR(31)&amp;$A9&amp;CHAR(31)&amp;C$3)*1,0),0))))&amp;IF(SUMPRODUCT(1*EXACT('Casillas del horario'!$S$4:$S$73,"Profesor de Q en 10-3"&amp;CHAR(31)&amp;$A9&amp;CHAR(31)&amp;C$3))&gt;2," (+"&amp;(SUMPRODUCT(1*EXACT('Casillas del horario'!$S$4:$S$73,"Profesor de Q en 10-3"&amp;CHAR(31)&amp;$A9&amp;CHAR(31)&amp;C$3))-2)&amp;")",""),IF(ISNA(MATCH(1,INDEX(EXACT('Casillas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/ "&amp;IF(ISBLANK(INDEX('Casillas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10-3"&amp;CHAR(31)&amp;$A9&amp;CHAR(31)&amp;D$3)*1,0),0)))),"",INDEX('Casillas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10-3"&amp;CHAR(31)&amp;$A9&amp;CHAR(31)&amp;D$3)*1,0),0))))&amp;IF(SUMPRODUCT(1*EXACT('Casillas del horario'!$S$4:$S$73,"Profesor de Q en 10-3"&amp;CHAR(31)&amp;$A9&amp;CHAR(31)&amp;D$3))&gt;2," (+"&amp;(SUMPRODUCT(1*EXACT('Casillas del horario'!$S$4:$S$73,"Profesor de Q en 10-3"&amp;CHAR(31)&amp;$A9&amp;CHAR(31)&amp;D$3))-2)&amp;")",""),IF(ISNA(MATCH(1,INDEX(EXACT('Casillas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/ "&amp;IF(ISBLANK(INDEX('Casillas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10-3"&amp;CHAR(31)&amp;$A9&amp;CHAR(31)&amp;E$3)*1,0),0)))),"",INDEX('Casillas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10-3"&amp;CHAR(31)&amp;$A9&amp;CHAR(31)&amp;E$3)*1,0),0))))&amp;IF(SUMPRODUCT(1*EXACT('Casillas del horario'!$S$4:$S$73,"Profesor de Q en 10-3"&amp;CHAR(31)&amp;$A9&amp;CHAR(31)&amp;E$3))&gt;2," (+"&amp;(SUMPRODUCT(1*EXACT('Casillas del horario'!$S$4:$S$73,"Profesor de Q en 10-3"&amp;CHAR(31)&amp;$A9&amp;CHAR(31)&amp;E$3))-2)&amp;")",""),IF(ISNA(MATCH(1,INDEX(EXACT('Casillas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/ "&amp;IF(ISBLANK(INDEX('Casillas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10-3"&amp;CHAR(31)&amp;$A9&amp;CHAR(31)&amp;F$3)*1,0),0)))),"",INDEX('Casillas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10-3"&amp;CHAR(31)&amp;$A9&amp;CHAR(31)&amp;F$3)*1,0),0))))&amp;IF(SUMPRODUCT(1*EXACT('Casillas del horario'!$S$4:$S$73,"Profesor de Q en 10-3"&amp;CHAR(31)&amp;$A9&amp;CHAR(31)&amp;F$3))&gt;2," (+"&amp;(SUMPRODUCT(1*EXACT('Casillas del horario'!$S$4:$S$73,"Profesor de Q en 10-3"&amp;CHAR(31)&amp;$A9&amp;CHAR(31)&amp;F$3))-2)&amp;")",""),IF(ISNA(MATCH(1,INDEX(EXACT('Casillas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/ "&amp;IF(ISBLANK(INDEX('Casillas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10-3"&amp;CHAR(31)&amp;$A10&amp;CHAR(31)&amp;B$3)*1,0),0)))),"",INDEX('Casillas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10-3"&amp;CHAR(31)&amp;$A10&amp;CHAR(31)&amp;B$3)*1,0),0))))&amp;IF(SUMPRODUCT(1*EXACT('Casillas del horario'!$S$4:$S$73,"Profesor de Q en 10-3"&amp;CHAR(31)&amp;$A10&amp;CHAR(31)&amp;B$3))&gt;2," (+"&amp;(SUMPRODUCT(1*EXACT('Casillas del horario'!$S$4:$S$73,"Profesor de Q en 10-3"&amp;CHAR(31)&amp;$A10&amp;CHAR(31)&amp;B$3))-2)&amp;")",""),IF(ISNA(MATCH(1,INDEX(EXACT('Casillas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/ "&amp;IF(ISBLANK(INDEX('Casillas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10-3"&amp;CHAR(31)&amp;$A10&amp;CHAR(31)&amp;C$3)*1,0),0)))),"",INDEX('Casillas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10-3"&amp;CHAR(31)&amp;$A10&amp;CHAR(31)&amp;C$3)*1,0),0))))&amp;IF(SUMPRODUCT(1*EXACT('Casillas del horario'!$S$4:$S$73,"Profesor de Q en 10-3"&amp;CHAR(31)&amp;$A10&amp;CHAR(31)&amp;C$3))&gt;2," (+"&amp;(SUMPRODUCT(1*EXACT('Casillas del horario'!$S$4:$S$73,"Profesor de Q en 10-3"&amp;CHAR(31)&amp;$A10&amp;CHAR(31)&amp;C$3))-2)&amp;")",""),IF(ISNA(MATCH(1,INDEX(EXACT('Casillas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/ "&amp;IF(ISBLANK(INDEX('Casillas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10-3"&amp;CHAR(31)&amp;$A10&amp;CHAR(31)&amp;D$3)*1,0),0)))),"",INDEX('Casillas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10-3"&amp;CHAR(31)&amp;$A10&amp;CHAR(31)&amp;D$3)*1,0),0))))&amp;IF(SUMPRODUCT(1*EXACT('Casillas del horario'!$S$4:$S$73,"Profesor de Q en 10-3"&amp;CHAR(31)&amp;$A10&amp;CHAR(31)&amp;D$3))&gt;2," (+"&amp;(SUMPRODUCT(1*EXACT('Casillas del horario'!$S$4:$S$73,"Profesor de Q en 10-3"&amp;CHAR(31)&amp;$A10&amp;CHAR(31)&amp;D$3))-2)&amp;")",""),IF(ISNA(MATCH(1,INDEX(EXACT('Casillas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/ "&amp;IF(ISBLANK(INDEX('Casillas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10-3"&amp;CHAR(31)&amp;$A10&amp;CHAR(31)&amp;E$3)*1,0),0)))),"",INDEX('Casillas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10-3"&amp;CHAR(31)&amp;$A10&amp;CHAR(31)&amp;E$3)*1,0),0))))&amp;IF(SUMPRODUCT(1*EXACT('Casillas del horario'!$S$4:$S$73,"Profesor de Q en 10-3"&amp;CHAR(31)&amp;$A10&amp;CHAR(31)&amp;E$3))&gt;2," (+"&amp;(SUMPRODUCT(1*EXACT('Casillas del horario'!$S$4:$S$73,"Profesor de Q en 10-3"&amp;CHAR(31)&amp;$A10&amp;CHAR(31)&amp;E$3))-2)&amp;")",""),IF(ISNA(MATCH(1,INDEX(EXACT('Casillas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/ "&amp;IF(ISBLANK(INDEX('Casillas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10-3"&amp;CHAR(31)&amp;$A10&amp;CHAR(31)&amp;F$3)*1,0),0)))),"",INDEX('Casillas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10-3"&amp;CHAR(31)&amp;$A10&amp;CHAR(31)&amp;F$3)*1,0),0))))&amp;IF(SUMPRODUCT(1*EXACT('Casillas del horario'!$S$4:$S$73,"Profesor de Q en 10-3"&amp;CHAR(31)&amp;$A10&amp;CHAR(31)&amp;F$3))&gt;2," (+"&amp;(SUMPRODUCT(1*EXACT('Casillas del horario'!$S$4:$S$73,"Profesor de Q en 10-3"&amp;CHAR(31)&amp;$A10&amp;CHAR(31)&amp;F$3))-2)&amp;")",""),IF(ISNA(MATCH(1,INDEX(EXACT('Casillas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/ "&amp;IF(ISBLANK(INDEX('Casillas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10-3"&amp;CHAR(31)&amp;$A4&amp;CHAR(31)&amp;B$3)*1,0),0)))),"",INDEX('Casillas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10-3"&amp;CHAR(31)&amp;$A4&amp;CHAR(31)&amp;B$3)*1,0),0))))&amp;IF(SUMPRODUCT(1*EXACT('Casillas del horario'!$S$4:$S$73,"Profesor de CP en 10-3"&amp;CHAR(31)&amp;$A4&amp;CHAR(31)&amp;B$3))&gt;2," (+"&amp;(SUMPRODUCT(1*EXACT('Casillas del horario'!$S$4:$S$73,"Profesor de CP en 10-3"&amp;CHAR(31)&amp;$A4&amp;CHAR(31)&amp;B$3))-2)&amp;")",""),IF(ISNA(MATCH(1,INDEX(EXACT('Casillas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/ "&amp;IF(ISBLANK(INDEX('Casillas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10-3"&amp;CHAR(31)&amp;$A4&amp;CHAR(31)&amp;C$3)*1,0),0)))),"",INDEX('Casillas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10-3"&amp;CHAR(31)&amp;$A4&amp;CHAR(31)&amp;C$3)*1,0),0))))&amp;IF(SUMPRODUCT(1*EXACT('Casillas del horario'!$S$4:$S$73,"Profesor de CP en 10-3"&amp;CHAR(31)&amp;$A4&amp;CHAR(31)&amp;C$3))&gt;2," (+"&amp;(SUMPRODUCT(1*EXACT('Casillas del horario'!$S$4:$S$73,"Profesor de CP en 10-3"&amp;CHAR(31)&amp;$A4&amp;CHAR(31)&amp;C$3))-2)&amp;")",""),IF(ISNA(MATCH(1,INDEX(EXACT('Casillas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/ "&amp;IF(ISBLANK(INDEX('Casillas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10-3"&amp;CHAR(31)&amp;$A4&amp;CHAR(31)&amp;D$3)*1,0),0)))),"",INDEX('Casillas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10-3"&amp;CHAR(31)&amp;$A4&amp;CHAR(31)&amp;D$3)*1,0),0))))&amp;IF(SUMPRODUCT(1*EXACT('Casillas del horario'!$S$4:$S$73,"Profesor de CP en 10-3"&amp;CHAR(31)&amp;$A4&amp;CHAR(31)&amp;D$3))&gt;2," (+"&amp;(SUMPRODUCT(1*EXACT('Casillas del horario'!$S$4:$S$73,"Profesor de CP en 10-3"&amp;CHAR(31)&amp;$A4&amp;CHAR(31)&amp;D$3))-2)&amp;")",""),IF(ISNA(MATCH(1,INDEX(EXACT('Casillas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/ "&amp;IF(ISBLANK(INDEX('Casillas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10-3"&amp;CHAR(31)&amp;$A4&amp;CHAR(31)&amp;E$3)*1,0),0)))),"",INDEX('Casillas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10-3"&amp;CHAR(31)&amp;$A4&amp;CHAR(31)&amp;E$3)*1,0),0))))&amp;IF(SUMPRODUCT(1*EXACT('Casillas del horario'!$S$4:$S$73,"Profesor de CP en 10-3"&amp;CHAR(31)&amp;$A4&amp;CHAR(31)&amp;E$3))&gt;2," (+"&amp;(SUMPRODUCT(1*EXACT('Casillas del horario'!$S$4:$S$73,"Profesor de CP en 10-3"&amp;CHAR(31)&amp;$A4&amp;CHAR(31)&amp;E$3))-2)&amp;")",""),IF(ISNA(MATCH(1,INDEX(EXACT('Casillas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/ "&amp;IF(ISBLANK(INDEX('Casillas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10-3"&amp;CHAR(31)&amp;$A4&amp;CHAR(31)&amp;F$3)*1,0),0)))),"",INDEX('Casillas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10-3"&amp;CHAR(31)&amp;$A4&amp;CHAR(31)&amp;F$3)*1,0),0))))&amp;IF(SUMPRODUCT(1*EXACT('Casillas del horario'!$S$4:$S$73,"Profesor de CP en 10-3"&amp;CHAR(31)&amp;$A4&amp;CHAR(31)&amp;F$3))&gt;2," (+"&amp;(SUMPRODUCT(1*EXACT('Casillas del horario'!$S$4:$S$73,"Profesor de CP en 10-3"&amp;CHAR(31)&amp;$A4&amp;CHAR(31)&amp;F$3))-2)&amp;")",""),IF(ISNA(MATCH(1,INDEX(EXACT('Casillas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/ "&amp;IF(ISBLANK(INDEX('Casillas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10-3"&amp;CHAR(31)&amp;$A5&amp;CHAR(31)&amp;B$3)*1,0),0)))),"",INDEX('Casillas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10-3"&amp;CHAR(31)&amp;$A5&amp;CHAR(31)&amp;B$3)*1,0),0))))&amp;IF(SUMPRODUCT(1*EXACT('Casillas del horario'!$S$4:$S$73,"Profesor de CP en 10-3"&amp;CHAR(31)&amp;$A5&amp;CHAR(31)&amp;B$3))&gt;2," (+"&amp;(SUMPRODUCT(1*EXACT('Casillas del horario'!$S$4:$S$73,"Profesor de CP en 10-3"&amp;CHAR(31)&amp;$A5&amp;CHAR(31)&amp;B$3))-2)&amp;")",""),IF(ISNA(MATCH(1,INDEX(EXACT('Casillas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/ "&amp;IF(ISBLANK(INDEX('Casillas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10-3"&amp;CHAR(31)&amp;$A5&amp;CHAR(31)&amp;C$3)*1,0),0)))),"",INDEX('Casillas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10-3"&amp;CHAR(31)&amp;$A5&amp;CHAR(31)&amp;C$3)*1,0),0))))&amp;IF(SUMPRODUCT(1*EXACT('Casillas del horario'!$S$4:$S$73,"Profesor de CP en 10-3"&amp;CHAR(31)&amp;$A5&amp;CHAR(31)&amp;C$3))&gt;2," (+"&amp;(SUMPRODUCT(1*EXACT('Casillas del horario'!$S$4:$S$73,"Profesor de CP en 10-3"&amp;CHAR(31)&amp;$A5&amp;CHAR(31)&amp;C$3))-2)&amp;")",""),IF(ISNA(MATCH(1,INDEX(EXACT('Casillas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/ "&amp;IF(ISBLANK(INDEX('Casillas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10-3"&amp;CHAR(31)&amp;$A5&amp;CHAR(31)&amp;D$3)*1,0),0)))),"",INDEX('Casillas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10-3"&amp;CHAR(31)&amp;$A5&amp;CHAR(31)&amp;D$3)*1,0),0))))&amp;IF(SUMPRODUCT(1*EXACT('Casillas del horario'!$S$4:$S$73,"Profesor de CP en 10-3"&amp;CHAR(31)&amp;$A5&amp;CHAR(31)&amp;D$3))&gt;2," (+"&amp;(SUMPRODUCT(1*EXACT('Casillas del horario'!$S$4:$S$73,"Profesor de CP en 10-3"&amp;CHAR(31)&amp;$A5&amp;CHAR(31)&amp;D$3))-2)&amp;")",""),IF(ISNA(MATCH(1,INDEX(EXACT('Casillas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/ "&amp;IF(ISBLANK(INDEX('Casillas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10-3"&amp;CHAR(31)&amp;$A5&amp;CHAR(31)&amp;E$3)*1,0),0)))),"",INDEX('Casillas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10-3"&amp;CHAR(31)&amp;$A5&amp;CHAR(31)&amp;E$3)*1,0),0))))&amp;IF(SUMPRODUCT(1*EXACT('Casillas del horario'!$S$4:$S$73,"Profesor de CP en 10-3"&amp;CHAR(31)&amp;$A5&amp;CHAR(31)&amp;E$3))&gt;2," (+"&amp;(SUMPRODUCT(1*EXACT('Casillas del horario'!$S$4:$S$73,"Profesor de CP en 10-3"&amp;CHAR(31)&amp;$A5&amp;CHAR(31)&amp;E$3))-2)&amp;")",""),IF(ISNA(MATCH(1,INDEX(EXACT('Casillas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/ "&amp;IF(ISBLANK(INDEX('Casillas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10-3"&amp;CHAR(31)&amp;$A5&amp;CHAR(31)&amp;F$3)*1,0),0)))),"",INDEX('Casillas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10-3"&amp;CHAR(31)&amp;$A5&amp;CHAR(31)&amp;F$3)*1,0),0))))&amp;IF(SUMPRODUCT(1*EXACT('Casillas del horario'!$S$4:$S$73,"Profesor de CP en 10-3"&amp;CHAR(31)&amp;$A5&amp;CHAR(31)&amp;F$3))&gt;2," (+"&amp;(SUMPRODUCT(1*EXACT('Casillas del horario'!$S$4:$S$73,"Profesor de CP en 10-3"&amp;CHAR(31)&amp;$A5&amp;CHAR(31)&amp;F$3))-2)&amp;")",""),IF(ISNA(MATCH(1,INDEX(EXACT('Casillas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/ "&amp;IF(ISBLANK(INDEX('Casillas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10-3"&amp;CHAR(31)&amp;$A6&amp;CHAR(31)&amp;B$3)*1,0),0)))),"",INDEX('Casillas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10-3"&amp;CHAR(31)&amp;$A6&amp;CHAR(31)&amp;B$3)*1,0),0))))&amp;IF(SUMPRODUCT(1*EXACT('Casillas del horario'!$S$4:$S$73,"Profesor de CP en 10-3"&amp;CHAR(31)&amp;$A6&amp;CHAR(31)&amp;B$3))&gt;2," (+"&amp;(SUMPRODUCT(1*EXACT('Casillas del horario'!$S$4:$S$73,"Profesor de CP en 10-3"&amp;CHAR(31)&amp;$A6&amp;CHAR(31)&amp;B$3))-2)&amp;")",""),IF(ISNA(MATCH(1,INDEX(EXACT('Casillas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/ "&amp;IF(ISBLANK(INDEX('Casillas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10-3"&amp;CHAR(31)&amp;$A6&amp;CHAR(31)&amp;C$3)*1,0),0)))),"",INDEX('Casillas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10-3"&amp;CHAR(31)&amp;$A6&amp;CHAR(31)&amp;C$3)*1,0),0))))&amp;IF(SUMPRODUCT(1*EXACT('Casillas del horario'!$S$4:$S$73,"Profesor de CP en 10-3"&amp;CHAR(31)&amp;$A6&amp;CHAR(31)&amp;C$3))&gt;2," (+"&amp;(SUMPRODUCT(1*EXACT('Casillas del horario'!$S$4:$S$73,"Profesor de CP en 10-3"&amp;CHAR(31)&amp;$A6&amp;CHAR(31)&amp;C$3))-2)&amp;")",""),IF(ISNA(MATCH(1,INDEX(EXACT('Casillas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/ "&amp;IF(ISBLANK(INDEX('Casillas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10-3"&amp;CHAR(31)&amp;$A6&amp;CHAR(31)&amp;D$3)*1,0),0)))),"",INDEX('Casillas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10-3"&amp;CHAR(31)&amp;$A6&amp;CHAR(31)&amp;D$3)*1,0),0))))&amp;IF(SUMPRODUCT(1*EXACT('Casillas del horario'!$S$4:$S$73,"Profesor de CP en 10-3"&amp;CHAR(31)&amp;$A6&amp;CHAR(31)&amp;D$3))&gt;2," (+"&amp;(SUMPRODUCT(1*EXACT('Casillas del horario'!$S$4:$S$73,"Profesor de CP en 10-3"&amp;CHAR(31)&amp;$A6&amp;CHAR(31)&amp;D$3))-2)&amp;")",""),IF(ISNA(MATCH(1,INDEX(EXACT('Casillas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/ "&amp;IF(ISBLANK(INDEX('Casillas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10-3"&amp;CHAR(31)&amp;$A6&amp;CHAR(31)&amp;E$3)*1,0),0)))),"",INDEX('Casillas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10-3"&amp;CHAR(31)&amp;$A6&amp;CHAR(31)&amp;E$3)*1,0),0))))&amp;IF(SUMPRODUCT(1*EXACT('Casillas del horario'!$S$4:$S$73,"Profesor de CP en 10-3"&amp;CHAR(31)&amp;$A6&amp;CHAR(31)&amp;E$3))&gt;2," (+"&amp;(SUMPRODUCT(1*EXACT('Casillas del horario'!$S$4:$S$73,"Profesor de CP en 10-3"&amp;CHAR(31)&amp;$A6&amp;CHAR(31)&amp;E$3))-2)&amp;")",""),IF(ISNA(MATCH(1,INDEX(EXACT('Casillas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/ "&amp;IF(ISBLANK(INDEX('Casillas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10-3"&amp;CHAR(31)&amp;$A6&amp;CHAR(31)&amp;F$3)*1,0),0)))),"",INDEX('Casillas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10-3"&amp;CHAR(31)&amp;$A6&amp;CHAR(31)&amp;F$3)*1,0),0))))&amp;IF(SUMPRODUCT(1*EXACT('Casillas del horario'!$S$4:$S$73,"Profesor de CP en 10-3"&amp;CHAR(31)&amp;$A6&amp;CHAR(31)&amp;F$3))&gt;2," (+"&amp;(SUMPRODUCT(1*EXACT('Casillas del horario'!$S$4:$S$73,"Profesor de CP en 10-3"&amp;CHAR(31)&amp;$A6&amp;CHAR(31)&amp;F$3))-2)&amp;")",""),IF(ISNA(MATCH(1,INDEX(EXACT('Casillas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/ "&amp;IF(ISBLANK(INDEX('Casillas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10-3"&amp;CHAR(31)&amp;$A7&amp;CHAR(31)&amp;B$3)*1,0),0)))),"",INDEX('Casillas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10-3"&amp;CHAR(31)&amp;$A7&amp;CHAR(31)&amp;B$3)*1,0),0))))&amp;IF(SUMPRODUCT(1*EXACT('Casillas del horario'!$S$4:$S$73,"Profesor de CP en 10-3"&amp;CHAR(31)&amp;$A7&amp;CHAR(31)&amp;B$3))&gt;2," (+"&amp;(SUMPRODUCT(1*EXACT('Casillas del horario'!$S$4:$S$73,"Profesor de CP en 10-3"&amp;CHAR(31)&amp;$A7&amp;CHAR(31)&amp;B$3))-2)&amp;")",""),IF(ISNA(MATCH(1,INDEX(EXACT('Casillas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/ "&amp;IF(ISBLANK(INDEX('Casillas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10-3"&amp;CHAR(31)&amp;$A7&amp;CHAR(31)&amp;C$3)*1,0),0)))),"",INDEX('Casillas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10-3"&amp;CHAR(31)&amp;$A7&amp;CHAR(31)&amp;C$3)*1,0),0))))&amp;IF(SUMPRODUCT(1*EXACT('Casillas del horario'!$S$4:$S$73,"Profesor de CP en 10-3"&amp;CHAR(31)&amp;$A7&amp;CHAR(31)&amp;C$3))&gt;2," (+"&amp;(SUMPRODUCT(1*EXACT('Casillas del horario'!$S$4:$S$73,"Profesor de CP en 10-3"&amp;CHAR(31)&amp;$A7&amp;CHAR(31)&amp;C$3))-2)&amp;")",""),IF(ISNA(MATCH(1,INDEX(EXACT('Casillas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/ "&amp;IF(ISBLANK(INDEX('Casillas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10-3"&amp;CHAR(31)&amp;$A7&amp;CHAR(31)&amp;D$3)*1,0),0)))),"",INDEX('Casillas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10-3"&amp;CHAR(31)&amp;$A7&amp;CHAR(31)&amp;D$3)*1,0),0))))&amp;IF(SUMPRODUCT(1*EXACT('Casillas del horario'!$S$4:$S$73,"Profesor de CP en 10-3"&amp;CHAR(31)&amp;$A7&amp;CHAR(31)&amp;D$3))&gt;2," (+"&amp;(SUMPRODUCT(1*EXACT('Casillas del horario'!$S$4:$S$73,"Profesor de CP en 10-3"&amp;CHAR(31)&amp;$A7&amp;CHAR(31)&amp;D$3))-2)&amp;")",""),IF(ISNA(MATCH(1,INDEX(EXACT('Casillas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/ "&amp;IF(ISBLANK(INDEX('Casillas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10-3"&amp;CHAR(31)&amp;$A7&amp;CHAR(31)&amp;E$3)*1,0),0)))),"",INDEX('Casillas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10-3"&amp;CHAR(31)&amp;$A7&amp;CHAR(31)&amp;E$3)*1,0),0))))&amp;IF(SUMPRODUCT(1*EXACT('Casillas del horario'!$S$4:$S$73,"Profesor de CP en 10-3"&amp;CHAR(31)&amp;$A7&amp;CHAR(31)&amp;E$3))&gt;2," (+"&amp;(SUMPRODUCT(1*EXACT('Casillas del horario'!$S$4:$S$73,"Profesor de CP en 10-3"&amp;CHAR(31)&amp;$A7&amp;CHAR(31)&amp;E$3))-2)&amp;")",""),IF(ISNA(MATCH(1,INDEX(EXACT('Casillas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/ "&amp;IF(ISBLANK(INDEX('Casillas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10-3"&amp;CHAR(31)&amp;$A7&amp;CHAR(31)&amp;F$3)*1,0),0)))),"",INDEX('Casillas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10-3"&amp;CHAR(31)&amp;$A7&amp;CHAR(31)&amp;F$3)*1,0),0))))&amp;IF(SUMPRODUCT(1*EXACT('Casillas del horario'!$S$4:$S$73,"Profesor de CP en 10-3"&amp;CHAR(31)&amp;$A7&amp;CHAR(31)&amp;F$3))&gt;2," (+"&amp;(SUMPRODUCT(1*EXACT('Casillas del horario'!$S$4:$S$73,"Profesor de CP en 10-3"&amp;CHAR(31)&amp;$A7&amp;CHAR(31)&amp;F$3))-2)&amp;")",""),IF(ISNA(MATCH(1,INDEX(EXACT('Casillas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/ "&amp;IF(ISBLANK(INDEX('Casillas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10-3"&amp;CHAR(31)&amp;$A8&amp;CHAR(31)&amp;B$3)*1,0),0)))),"",INDEX('Casillas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10-3"&amp;CHAR(31)&amp;$A8&amp;CHAR(31)&amp;B$3)*1,0),0))))&amp;IF(SUMPRODUCT(1*EXACT('Casillas del horario'!$S$4:$S$73,"Profesor de CP en 10-3"&amp;CHAR(31)&amp;$A8&amp;CHAR(31)&amp;B$3))&gt;2," (+"&amp;(SUMPRODUCT(1*EXACT('Casillas del horario'!$S$4:$S$73,"Profesor de CP en 10-3"&amp;CHAR(31)&amp;$A8&amp;CHAR(31)&amp;B$3))-2)&amp;")",""),IF(ISNA(MATCH(1,INDEX(EXACT('Casillas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/ "&amp;IF(ISBLANK(INDEX('Casillas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10-3"&amp;CHAR(31)&amp;$A8&amp;CHAR(31)&amp;C$3)*1,0),0)))),"",INDEX('Casillas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10-3"&amp;CHAR(31)&amp;$A8&amp;CHAR(31)&amp;C$3)*1,0),0))))&amp;IF(SUMPRODUCT(1*EXACT('Casillas del horario'!$S$4:$S$73,"Profesor de CP en 10-3"&amp;CHAR(31)&amp;$A8&amp;CHAR(31)&amp;C$3))&gt;2," (+"&amp;(SUMPRODUCT(1*EXACT('Casillas del horario'!$S$4:$S$73,"Profesor de CP en 10-3"&amp;CHAR(31)&amp;$A8&amp;CHAR(31)&amp;C$3))-2)&amp;")",""),IF(ISNA(MATCH(1,INDEX(EXACT('Casillas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/ "&amp;IF(ISBLANK(INDEX('Casillas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10-3"&amp;CHAR(31)&amp;$A8&amp;CHAR(31)&amp;D$3)*1,0),0)))),"",INDEX('Casillas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10-3"&amp;CHAR(31)&amp;$A8&amp;CHAR(31)&amp;D$3)*1,0),0))))&amp;IF(SUMPRODUCT(1*EXACT('Casillas del horario'!$S$4:$S$73,"Profesor de CP en 10-3"&amp;CHAR(31)&amp;$A8&amp;CHAR(31)&amp;D$3))&gt;2," (+"&amp;(SUMPRODUCT(1*EXACT('Casillas del horario'!$S$4:$S$73,"Profesor de CP en 10-3"&amp;CHAR(31)&amp;$A8&amp;CHAR(31)&amp;D$3))-2)&amp;")",""),IF(ISNA(MATCH(1,INDEX(EXACT('Casillas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/ "&amp;IF(ISBLANK(INDEX('Casillas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10-3"&amp;CHAR(31)&amp;$A8&amp;CHAR(31)&amp;E$3)*1,0),0)))),"",INDEX('Casillas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10-3"&amp;CHAR(31)&amp;$A8&amp;CHAR(31)&amp;E$3)*1,0),0))))&amp;IF(SUMPRODUCT(1*EXACT('Casillas del horario'!$S$4:$S$73,"Profesor de CP en 10-3"&amp;CHAR(31)&amp;$A8&amp;CHAR(31)&amp;E$3))&gt;2," (+"&amp;(SUMPRODUCT(1*EXACT('Casillas del horario'!$S$4:$S$73,"Profesor de CP en 10-3"&amp;CHAR(31)&amp;$A8&amp;CHAR(31)&amp;E$3))-2)&amp;")",""),IF(ISNA(MATCH(1,INDEX(EXACT('Casillas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/ "&amp;IF(ISBLANK(INDEX('Casillas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10-3"&amp;CHAR(31)&amp;$A8&amp;CHAR(31)&amp;F$3)*1,0),0)))),"",INDEX('Casillas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10-3"&amp;CHAR(31)&amp;$A8&amp;CHAR(31)&amp;F$3)*1,0),0))))&amp;IF(SUMPRODUCT(1*EXACT('Casillas del horario'!$S$4:$S$73,"Profesor de CP en 10-3"&amp;CHAR(31)&amp;$A8&amp;CHAR(31)&amp;F$3))&gt;2," (+"&amp;(SUMPRODUCT(1*EXACT('Casillas del horario'!$S$4:$S$73,"Profesor de CP en 10-3"&amp;CHAR(31)&amp;$A8&amp;CHAR(31)&amp;F$3))-2)&amp;")",""),IF(ISNA(MATCH(1,INDEX(EXACT('Casillas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/ "&amp;IF(ISBLANK(INDEX('Casillas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10-3"&amp;CHAR(31)&amp;$A9&amp;CHAR(31)&amp;B$3)*1,0),0)))),"",INDEX('Casillas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10-3"&amp;CHAR(31)&amp;$A9&amp;CHAR(31)&amp;B$3)*1,0),0))))&amp;IF(SUMPRODUCT(1*EXACT('Casillas del horario'!$S$4:$S$73,"Profesor de CP en 10-3"&amp;CHAR(31)&amp;$A9&amp;CHAR(31)&amp;B$3))&gt;2," (+"&amp;(SUMPRODUCT(1*EXACT('Casillas del horario'!$S$4:$S$73,"Profesor de CP en 10-3"&amp;CHAR(31)&amp;$A9&amp;CHAR(31)&amp;B$3))-2)&amp;")",""),IF(ISNA(MATCH(1,INDEX(EXACT('Casillas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/ "&amp;IF(ISBLANK(INDEX('Casillas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10-3"&amp;CHAR(31)&amp;$A9&amp;CHAR(31)&amp;C$3)*1,0),0)))),"",INDEX('Casillas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10-3"&amp;CHAR(31)&amp;$A9&amp;CHAR(31)&amp;C$3)*1,0),0))))&amp;IF(SUMPRODUCT(1*EXACT('Casillas del horario'!$S$4:$S$73,"Profesor de CP en 10-3"&amp;CHAR(31)&amp;$A9&amp;CHAR(31)&amp;C$3))&gt;2," (+"&amp;(SUMPRODUCT(1*EXACT('Casillas del horario'!$S$4:$S$73,"Profesor de CP en 10-3"&amp;CHAR(31)&amp;$A9&amp;CHAR(31)&amp;C$3))-2)&amp;")",""),IF(ISNA(MATCH(1,INDEX(EXACT('Casillas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/ "&amp;IF(ISBLANK(INDEX('Casillas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10-3"&amp;CHAR(31)&amp;$A9&amp;CHAR(31)&amp;D$3)*1,0),0)))),"",INDEX('Casillas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10-3"&amp;CHAR(31)&amp;$A9&amp;CHAR(31)&amp;D$3)*1,0),0))))&amp;IF(SUMPRODUCT(1*EXACT('Casillas del horario'!$S$4:$S$73,"Profesor de CP en 10-3"&amp;CHAR(31)&amp;$A9&amp;CHAR(31)&amp;D$3))&gt;2," (+"&amp;(SUMPRODUCT(1*EXACT('Casillas del horario'!$S$4:$S$73,"Profesor de CP en 10-3"&amp;CHAR(31)&amp;$A9&amp;CHAR(31)&amp;D$3))-2)&amp;")",""),IF(ISNA(MATCH(1,INDEX(EXACT('Casillas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/ "&amp;IF(ISBLANK(INDEX('Casillas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10-3"&amp;CHAR(31)&amp;$A9&amp;CHAR(31)&amp;E$3)*1,0),0)))),"",INDEX('Casillas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10-3"&amp;CHAR(31)&amp;$A9&amp;CHAR(31)&amp;E$3)*1,0),0))))&amp;IF(SUMPRODUCT(1*EXACT('Casillas del horario'!$S$4:$S$73,"Profesor de CP en 10-3"&amp;CHAR(31)&amp;$A9&amp;CHAR(31)&amp;E$3))&gt;2," (+"&amp;(SUMPRODUCT(1*EXACT('Casillas del horario'!$S$4:$S$73,"Profesor de CP en 10-3"&amp;CHAR(31)&amp;$A9&amp;CHAR(31)&amp;E$3))-2)&amp;")",""),IF(ISNA(MATCH(1,INDEX(EXACT('Casillas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/ "&amp;IF(ISBLANK(INDEX('Casillas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10-3"&amp;CHAR(31)&amp;$A9&amp;CHAR(31)&amp;F$3)*1,0),0)))),"",INDEX('Casillas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10-3"&amp;CHAR(31)&amp;$A9&amp;CHAR(31)&amp;F$3)*1,0),0))))&amp;IF(SUMPRODUCT(1*EXACT('Casillas del horario'!$S$4:$S$73,"Profesor de CP en 10-3"&amp;CHAR(31)&amp;$A9&amp;CHAR(31)&amp;F$3))&gt;2," (+"&amp;(SUMPRODUCT(1*EXACT('Casillas del horario'!$S$4:$S$73,"Profesor de CP en 10-3"&amp;CHAR(31)&amp;$A9&amp;CHAR(31)&amp;F$3))-2)&amp;")",""),IF(ISNA(MATCH(1,INDEX(EXACT('Casillas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/ "&amp;IF(ISBLANK(INDEX('Casillas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10-3"&amp;CHAR(31)&amp;$A10&amp;CHAR(31)&amp;B$3)*1,0),0)))),"",INDEX('Casillas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10-3"&amp;CHAR(31)&amp;$A10&amp;CHAR(31)&amp;B$3)*1,0),0))))&amp;IF(SUMPRODUCT(1*EXACT('Casillas del horario'!$S$4:$S$73,"Profesor de CP en 10-3"&amp;CHAR(31)&amp;$A10&amp;CHAR(31)&amp;B$3))&gt;2," (+"&amp;(SUMPRODUCT(1*EXACT('Casillas del horario'!$S$4:$S$73,"Profesor de CP en 10-3"&amp;CHAR(31)&amp;$A10&amp;CHAR(31)&amp;B$3))-2)&amp;")",""),IF(ISNA(MATCH(1,INDEX(EXACT('Casillas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/ "&amp;IF(ISBLANK(INDEX('Casillas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10-3"&amp;CHAR(31)&amp;$A10&amp;CHAR(31)&amp;C$3)*1,0),0)))),"",INDEX('Casillas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10-3"&amp;CHAR(31)&amp;$A10&amp;CHAR(31)&amp;C$3)*1,0),0))))&amp;IF(SUMPRODUCT(1*EXACT('Casillas del horario'!$S$4:$S$73,"Profesor de CP en 10-3"&amp;CHAR(31)&amp;$A10&amp;CHAR(31)&amp;C$3))&gt;2," (+"&amp;(SUMPRODUCT(1*EXACT('Casillas del horario'!$S$4:$S$73,"Profesor de CP en 10-3"&amp;CHAR(31)&amp;$A10&amp;CHAR(31)&amp;C$3))-2)&amp;")",""),IF(ISNA(MATCH(1,INDEX(EXACT('Casillas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/ "&amp;IF(ISBLANK(INDEX('Casillas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10-3"&amp;CHAR(31)&amp;$A10&amp;CHAR(31)&amp;D$3)*1,0),0)))),"",INDEX('Casillas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10-3"&amp;CHAR(31)&amp;$A10&amp;CHAR(31)&amp;D$3)*1,0),0))))&amp;IF(SUMPRODUCT(1*EXACT('Casillas del horario'!$S$4:$S$73,"Profesor de CP en 10-3"&amp;CHAR(31)&amp;$A10&amp;CHAR(31)&amp;D$3))&gt;2," (+"&amp;(SUMPRODUCT(1*EXACT('Casillas del horario'!$S$4:$S$73,"Profesor de CP en 10-3"&amp;CHAR(31)&amp;$A10&amp;CHAR(31)&amp;D$3))-2)&amp;")",""),IF(ISNA(MATCH(1,INDEX(EXACT('Casillas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/ "&amp;IF(ISBLANK(INDEX('Casillas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10-3"&amp;CHAR(31)&amp;$A10&amp;CHAR(31)&amp;E$3)*1,0),0)))),"",INDEX('Casillas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10-3"&amp;CHAR(31)&amp;$A10&amp;CHAR(31)&amp;E$3)*1,0),0))))&amp;IF(SUMPRODUCT(1*EXACT('Casillas del horario'!$S$4:$S$73,"Profesor de CP en 10-3"&amp;CHAR(31)&amp;$A10&amp;CHAR(31)&amp;E$3))&gt;2," (+"&amp;(SUMPRODUCT(1*EXACT('Casillas del horario'!$S$4:$S$73,"Profesor de CP en 10-3"&amp;CHAR(31)&amp;$A10&amp;CHAR(31)&amp;E$3))-2)&amp;")",""),IF(ISNA(MATCH(1,INDEX(EXACT('Casillas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/ "&amp;IF(ISBLANK(INDEX('Casillas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10-3"&amp;CHAR(31)&amp;$A10&amp;CHAR(31)&amp;F$3)*1,0),0)))),"",INDEX('Casillas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10-3"&amp;CHAR(31)&amp;$A10&amp;CHAR(31)&amp;F$3)*1,0),0))))&amp;IF(SUMPRODUCT(1*EXACT('Casillas del horario'!$S$4:$S$73,"Profesor de CP en 10-3"&amp;CHAR(31)&amp;$A10&amp;CHAR(31)&amp;F$3))&gt;2," (+"&amp;(SUMPRODUCT(1*EXACT('Casillas del horario'!$S$4:$S$73,"Profesor de CP en 10-3"&amp;CHAR(31)&amp;$A10&amp;CHAR(31)&amp;F$3))-2)&amp;")",""),IF(ISNA(MATCH(1,INDEX(EXACT('Casillas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/ "&amp;IF(ISBLANK(INDEX('Casillas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10-3"&amp;CHAR(31)&amp;$A4&amp;CHAR(31)&amp;B$3)*1,0),0)))),"",INDEX('Casillas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10-3"&amp;CHAR(31)&amp;$A4&amp;CHAR(31)&amp;B$3)*1,0),0))))&amp;IF(SUMPRODUCT(1*EXACT('Casillas del horario'!$S$4:$S$73,"Profesor de DC en 10-3"&amp;CHAR(31)&amp;$A4&amp;CHAR(31)&amp;B$3))&gt;2," (+"&amp;(SUMPRODUCT(1*EXACT('Casillas del horario'!$S$4:$S$73,"Profesor de DC en 10-3"&amp;CHAR(31)&amp;$A4&amp;CHAR(31)&amp;B$3))-2)&amp;")",""),IF(ISNA(MATCH(1,INDEX(EXACT('Casillas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/ "&amp;IF(ISBLANK(INDEX('Casillas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10-3"&amp;CHAR(31)&amp;$A4&amp;CHAR(31)&amp;C$3)*1,0),0)))),"",INDEX('Casillas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10-3"&amp;CHAR(31)&amp;$A4&amp;CHAR(31)&amp;C$3)*1,0),0))))&amp;IF(SUMPRODUCT(1*EXACT('Casillas del horario'!$S$4:$S$73,"Profesor de DC en 10-3"&amp;CHAR(31)&amp;$A4&amp;CHAR(31)&amp;C$3))&gt;2," (+"&amp;(SUMPRODUCT(1*EXACT('Casillas del horario'!$S$4:$S$73,"Profesor de DC en 10-3"&amp;CHAR(31)&amp;$A4&amp;CHAR(31)&amp;C$3))-2)&amp;")",""),IF(ISNA(MATCH(1,INDEX(EXACT('Casillas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/ "&amp;IF(ISBLANK(INDEX('Casillas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10-3"&amp;CHAR(31)&amp;$A4&amp;CHAR(31)&amp;D$3)*1,0),0)))),"",INDEX('Casillas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10-3"&amp;CHAR(31)&amp;$A4&amp;CHAR(31)&amp;D$3)*1,0),0))))&amp;IF(SUMPRODUCT(1*EXACT('Casillas del horario'!$S$4:$S$73,"Profesor de DC en 10-3"&amp;CHAR(31)&amp;$A4&amp;CHAR(31)&amp;D$3))&gt;2," (+"&amp;(SUMPRODUCT(1*EXACT('Casillas del horario'!$S$4:$S$73,"Profesor de DC en 10-3"&amp;CHAR(31)&amp;$A4&amp;CHAR(31)&amp;D$3))-2)&amp;")",""),IF(ISNA(MATCH(1,INDEX(EXACT('Casillas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/ "&amp;IF(ISBLANK(INDEX('Casillas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10-3"&amp;CHAR(31)&amp;$A4&amp;CHAR(31)&amp;E$3)*1,0),0)))),"",INDEX('Casillas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10-3"&amp;CHAR(31)&amp;$A4&amp;CHAR(31)&amp;E$3)*1,0),0))))&amp;IF(SUMPRODUCT(1*EXACT('Casillas del horario'!$S$4:$S$73,"Profesor de DC en 10-3"&amp;CHAR(31)&amp;$A4&amp;CHAR(31)&amp;E$3))&gt;2," (+"&amp;(SUMPRODUCT(1*EXACT('Casillas del horario'!$S$4:$S$73,"Profesor de DC en 10-3"&amp;CHAR(31)&amp;$A4&amp;CHAR(31)&amp;E$3))-2)&amp;")",""),IF(ISNA(MATCH(1,INDEX(EXACT('Casillas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/ "&amp;IF(ISBLANK(INDEX('Casillas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10-3"&amp;CHAR(31)&amp;$A4&amp;CHAR(31)&amp;F$3)*1,0),0)))),"",INDEX('Casillas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10-3"&amp;CHAR(31)&amp;$A4&amp;CHAR(31)&amp;F$3)*1,0),0))))&amp;IF(SUMPRODUCT(1*EXACT('Casillas del horario'!$S$4:$S$73,"Profesor de DC en 10-3"&amp;CHAR(31)&amp;$A4&amp;CHAR(31)&amp;F$3))&gt;2," (+"&amp;(SUMPRODUCT(1*EXACT('Casillas del horario'!$S$4:$S$73,"Profesor de DC en 10-3"&amp;CHAR(31)&amp;$A4&amp;CHAR(31)&amp;F$3))-2)&amp;")",""),IF(ISNA(MATCH(1,INDEX(EXACT('Casillas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/ "&amp;IF(ISBLANK(INDEX('Casillas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10-3"&amp;CHAR(31)&amp;$A5&amp;CHAR(31)&amp;B$3)*1,0),0)))),"",INDEX('Casillas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10-3"&amp;CHAR(31)&amp;$A5&amp;CHAR(31)&amp;B$3)*1,0),0))))&amp;IF(SUMPRODUCT(1*EXACT('Casillas del horario'!$S$4:$S$73,"Profesor de DC en 10-3"&amp;CHAR(31)&amp;$A5&amp;CHAR(31)&amp;B$3))&gt;2," (+"&amp;(SUMPRODUCT(1*EXACT('Casillas del horario'!$S$4:$S$73,"Profesor de DC en 10-3"&amp;CHAR(31)&amp;$A5&amp;CHAR(31)&amp;B$3))-2)&amp;")",""),IF(ISNA(MATCH(1,INDEX(EXACT('Casillas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/ "&amp;IF(ISBLANK(INDEX('Casillas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10-3"&amp;CHAR(31)&amp;$A5&amp;CHAR(31)&amp;C$3)*1,0),0)))),"",INDEX('Casillas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10-3"&amp;CHAR(31)&amp;$A5&amp;CHAR(31)&amp;C$3)*1,0),0))))&amp;IF(SUMPRODUCT(1*EXACT('Casillas del horario'!$S$4:$S$73,"Profesor de DC en 10-3"&amp;CHAR(31)&amp;$A5&amp;CHAR(31)&amp;C$3))&gt;2," (+"&amp;(SUMPRODUCT(1*EXACT('Casillas del horario'!$S$4:$S$73,"Profesor de DC en 10-3"&amp;CHAR(31)&amp;$A5&amp;CHAR(31)&amp;C$3))-2)&amp;")",""),IF(ISNA(MATCH(1,INDEX(EXACT('Casillas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/ "&amp;IF(ISBLANK(INDEX('Casillas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10-3"&amp;CHAR(31)&amp;$A5&amp;CHAR(31)&amp;D$3)*1,0),0)))),"",INDEX('Casillas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10-3"&amp;CHAR(31)&amp;$A5&amp;CHAR(31)&amp;D$3)*1,0),0))))&amp;IF(SUMPRODUCT(1*EXACT('Casillas del horario'!$S$4:$S$73,"Profesor de DC en 10-3"&amp;CHAR(31)&amp;$A5&amp;CHAR(31)&amp;D$3))&gt;2," (+"&amp;(SUMPRODUCT(1*EXACT('Casillas del horario'!$S$4:$S$73,"Profesor de DC en 10-3"&amp;CHAR(31)&amp;$A5&amp;CHAR(31)&amp;D$3))-2)&amp;")",""),IF(ISNA(MATCH(1,INDEX(EXACT('Casillas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/ "&amp;IF(ISBLANK(INDEX('Casillas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10-3"&amp;CHAR(31)&amp;$A5&amp;CHAR(31)&amp;E$3)*1,0),0)))),"",INDEX('Casillas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10-3"&amp;CHAR(31)&amp;$A5&amp;CHAR(31)&amp;E$3)*1,0),0))))&amp;IF(SUMPRODUCT(1*EXACT('Casillas del horario'!$S$4:$S$73,"Profesor de DC en 10-3"&amp;CHAR(31)&amp;$A5&amp;CHAR(31)&amp;E$3))&gt;2," (+"&amp;(SUMPRODUCT(1*EXACT('Casillas del horario'!$S$4:$S$73,"Profesor de DC en 10-3"&amp;CHAR(31)&amp;$A5&amp;CHAR(31)&amp;E$3))-2)&amp;")",""),IF(ISNA(MATCH(1,INDEX(EXACT('Casillas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/ "&amp;IF(ISBLANK(INDEX('Casillas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10-3"&amp;CHAR(31)&amp;$A5&amp;CHAR(31)&amp;F$3)*1,0),0)))),"",INDEX('Casillas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10-3"&amp;CHAR(31)&amp;$A5&amp;CHAR(31)&amp;F$3)*1,0),0))))&amp;IF(SUMPRODUCT(1*EXACT('Casillas del horario'!$S$4:$S$73,"Profesor de DC en 10-3"&amp;CHAR(31)&amp;$A5&amp;CHAR(31)&amp;F$3))&gt;2," (+"&amp;(SUMPRODUCT(1*EXACT('Casillas del horario'!$S$4:$S$73,"Profesor de DC en 10-3"&amp;CHAR(31)&amp;$A5&amp;CHAR(31)&amp;F$3))-2)&amp;")",""),IF(ISNA(MATCH(1,INDEX(EXACT('Casillas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/ "&amp;IF(ISBLANK(INDEX('Casillas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10-3"&amp;CHAR(31)&amp;$A6&amp;CHAR(31)&amp;B$3)*1,0),0)))),"",INDEX('Casillas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10-3"&amp;CHAR(31)&amp;$A6&amp;CHAR(31)&amp;B$3)*1,0),0))))&amp;IF(SUMPRODUCT(1*EXACT('Casillas del horario'!$S$4:$S$73,"Profesor de DC en 10-3"&amp;CHAR(31)&amp;$A6&amp;CHAR(31)&amp;B$3))&gt;2," (+"&amp;(SUMPRODUCT(1*EXACT('Casillas del horario'!$S$4:$S$73,"Profesor de DC en 10-3"&amp;CHAR(31)&amp;$A6&amp;CHAR(31)&amp;B$3))-2)&amp;")",""),IF(ISNA(MATCH(1,INDEX(EXACT('Casillas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/ "&amp;IF(ISBLANK(INDEX('Casillas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10-3"&amp;CHAR(31)&amp;$A6&amp;CHAR(31)&amp;C$3)*1,0),0)))),"",INDEX('Casillas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10-3"&amp;CHAR(31)&amp;$A6&amp;CHAR(31)&amp;C$3)*1,0),0))))&amp;IF(SUMPRODUCT(1*EXACT('Casillas del horario'!$S$4:$S$73,"Profesor de DC en 10-3"&amp;CHAR(31)&amp;$A6&amp;CHAR(31)&amp;C$3))&gt;2," (+"&amp;(SUMPRODUCT(1*EXACT('Casillas del horario'!$S$4:$S$73,"Profesor de DC en 10-3"&amp;CHAR(31)&amp;$A6&amp;CHAR(31)&amp;C$3))-2)&amp;")",""),IF(ISNA(MATCH(1,INDEX(EXACT('Casillas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/ "&amp;IF(ISBLANK(INDEX('Casillas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10-3"&amp;CHAR(31)&amp;$A6&amp;CHAR(31)&amp;D$3)*1,0),0)))),"",INDEX('Casillas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10-3"&amp;CHAR(31)&amp;$A6&amp;CHAR(31)&amp;D$3)*1,0),0))))&amp;IF(SUMPRODUCT(1*EXACT('Casillas del horario'!$S$4:$S$73,"Profesor de DC en 10-3"&amp;CHAR(31)&amp;$A6&amp;CHAR(31)&amp;D$3))&gt;2," (+"&amp;(SUMPRODUCT(1*EXACT('Casillas del horario'!$S$4:$S$73,"Profesor de DC en 10-3"&amp;CHAR(31)&amp;$A6&amp;CHAR(31)&amp;D$3))-2)&amp;")",""),IF(ISNA(MATCH(1,INDEX(EXACT('Casillas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/ "&amp;IF(ISBLANK(INDEX('Casillas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10-3"&amp;CHAR(31)&amp;$A6&amp;CHAR(31)&amp;E$3)*1,0),0)))),"",INDEX('Casillas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10-3"&amp;CHAR(31)&amp;$A6&amp;CHAR(31)&amp;E$3)*1,0),0))))&amp;IF(SUMPRODUCT(1*EXACT('Casillas del horario'!$S$4:$S$73,"Profesor de DC en 10-3"&amp;CHAR(31)&amp;$A6&amp;CHAR(31)&amp;E$3))&gt;2," (+"&amp;(SUMPRODUCT(1*EXACT('Casillas del horario'!$S$4:$S$73,"Profesor de DC en 10-3"&amp;CHAR(31)&amp;$A6&amp;CHAR(31)&amp;E$3))-2)&amp;")",""),IF(ISNA(MATCH(1,INDEX(EXACT('Casillas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/ "&amp;IF(ISBLANK(INDEX('Casillas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10-3"&amp;CHAR(31)&amp;$A6&amp;CHAR(31)&amp;F$3)*1,0),0)))),"",INDEX('Casillas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10-3"&amp;CHAR(31)&amp;$A6&amp;CHAR(31)&amp;F$3)*1,0),0))))&amp;IF(SUMPRODUCT(1*EXACT('Casillas del horario'!$S$4:$S$73,"Profesor de DC en 10-3"&amp;CHAR(31)&amp;$A6&amp;CHAR(31)&amp;F$3))&gt;2," (+"&amp;(SUMPRODUCT(1*EXACT('Casillas del horario'!$S$4:$S$73,"Profesor de DC en 10-3"&amp;CHAR(31)&amp;$A6&amp;CHAR(31)&amp;F$3))-2)&amp;")",""),IF(ISNA(MATCH(1,INDEX(EXACT('Casillas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/ "&amp;IF(ISBLANK(INDEX('Casillas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10-3"&amp;CHAR(31)&amp;$A7&amp;CHAR(31)&amp;B$3)*1,0),0)))),"",INDEX('Casillas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10-3"&amp;CHAR(31)&amp;$A7&amp;CHAR(31)&amp;B$3)*1,0),0))))&amp;IF(SUMPRODUCT(1*EXACT('Casillas del horario'!$S$4:$S$73,"Profesor de DC en 10-3"&amp;CHAR(31)&amp;$A7&amp;CHAR(31)&amp;B$3))&gt;2," (+"&amp;(SUMPRODUCT(1*EXACT('Casillas del horario'!$S$4:$S$73,"Profesor de DC en 10-3"&amp;CHAR(31)&amp;$A7&amp;CHAR(31)&amp;B$3))-2)&amp;")",""),IF(ISNA(MATCH(1,INDEX(EXACT('Casillas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/ "&amp;IF(ISBLANK(INDEX('Casillas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10-3"&amp;CHAR(31)&amp;$A7&amp;CHAR(31)&amp;C$3)*1,0),0)))),"",INDEX('Casillas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10-3"&amp;CHAR(31)&amp;$A7&amp;CHAR(31)&amp;C$3)*1,0),0))))&amp;IF(SUMPRODUCT(1*EXACT('Casillas del horario'!$S$4:$S$73,"Profesor de DC en 10-3"&amp;CHAR(31)&amp;$A7&amp;CHAR(31)&amp;C$3))&gt;2," (+"&amp;(SUMPRODUCT(1*EXACT('Casillas del horario'!$S$4:$S$73,"Profesor de DC en 10-3"&amp;CHAR(31)&amp;$A7&amp;CHAR(31)&amp;C$3))-2)&amp;")",""),IF(ISNA(MATCH(1,INDEX(EXACT('Casillas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/ "&amp;IF(ISBLANK(INDEX('Casillas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10-3"&amp;CHAR(31)&amp;$A7&amp;CHAR(31)&amp;D$3)*1,0),0)))),"",INDEX('Casillas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10-3"&amp;CHAR(31)&amp;$A7&amp;CHAR(31)&amp;D$3)*1,0),0))))&amp;IF(SUMPRODUCT(1*EXACT('Casillas del horario'!$S$4:$S$73,"Profesor de DC en 10-3"&amp;CHAR(31)&amp;$A7&amp;CHAR(31)&amp;D$3))&gt;2," (+"&amp;(SUMPRODUCT(1*EXACT('Casillas del horario'!$S$4:$S$73,"Profesor de DC en 10-3"&amp;CHAR(31)&amp;$A7&amp;CHAR(31)&amp;D$3))-2)&amp;")",""),IF(ISNA(MATCH(1,INDEX(EXACT('Casillas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/ "&amp;IF(ISBLANK(INDEX('Casillas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10-3"&amp;CHAR(31)&amp;$A7&amp;CHAR(31)&amp;E$3)*1,0),0)))),"",INDEX('Casillas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10-3"&amp;CHAR(31)&amp;$A7&amp;CHAR(31)&amp;E$3)*1,0),0))))&amp;IF(SUMPRODUCT(1*EXACT('Casillas del horario'!$S$4:$S$73,"Profesor de DC en 10-3"&amp;CHAR(31)&amp;$A7&amp;CHAR(31)&amp;E$3))&gt;2," (+"&amp;(SUMPRODUCT(1*EXACT('Casillas del horario'!$S$4:$S$73,"Profesor de DC en 10-3"&amp;CHAR(31)&amp;$A7&amp;CHAR(31)&amp;E$3))-2)&amp;")",""),IF(ISNA(MATCH(1,INDEX(EXACT('Casillas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/ "&amp;IF(ISBLANK(INDEX('Casillas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10-3"&amp;CHAR(31)&amp;$A7&amp;CHAR(31)&amp;F$3)*1,0),0)))),"",INDEX('Casillas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10-3"&amp;CHAR(31)&amp;$A7&amp;CHAR(31)&amp;F$3)*1,0),0))))&amp;IF(SUMPRODUCT(1*EXACT('Casillas del horario'!$S$4:$S$73,"Profesor de DC en 10-3"&amp;CHAR(31)&amp;$A7&amp;CHAR(31)&amp;F$3))&gt;2," (+"&amp;(SUMPRODUCT(1*EXACT('Casillas del horario'!$S$4:$S$73,"Profesor de DC en 10-3"&amp;CHAR(31)&amp;$A7&amp;CHAR(31)&amp;F$3))-2)&amp;")",""),IF(ISNA(MATCH(1,INDEX(EXACT('Casillas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/ "&amp;IF(ISBLANK(INDEX('Casillas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10-3"&amp;CHAR(31)&amp;$A8&amp;CHAR(31)&amp;B$3)*1,0),0)))),"",INDEX('Casillas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10-3"&amp;CHAR(31)&amp;$A8&amp;CHAR(31)&amp;B$3)*1,0),0))))&amp;IF(SUMPRODUCT(1*EXACT('Casillas del horario'!$S$4:$S$73,"Profesor de DC en 10-3"&amp;CHAR(31)&amp;$A8&amp;CHAR(31)&amp;B$3))&gt;2," (+"&amp;(SUMPRODUCT(1*EXACT('Casillas del horario'!$S$4:$S$73,"Profesor de DC en 10-3"&amp;CHAR(31)&amp;$A8&amp;CHAR(31)&amp;B$3))-2)&amp;")",""),IF(ISNA(MATCH(1,INDEX(EXACT('Casillas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/ "&amp;IF(ISBLANK(INDEX('Casillas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10-3"&amp;CHAR(31)&amp;$A8&amp;CHAR(31)&amp;C$3)*1,0),0)))),"",INDEX('Casillas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10-3"&amp;CHAR(31)&amp;$A8&amp;CHAR(31)&amp;C$3)*1,0),0))))&amp;IF(SUMPRODUCT(1*EXACT('Casillas del horario'!$S$4:$S$73,"Profesor de DC en 10-3"&amp;CHAR(31)&amp;$A8&amp;CHAR(31)&amp;C$3))&gt;2," (+"&amp;(SUMPRODUCT(1*EXACT('Casillas del horario'!$S$4:$S$73,"Profesor de DC en 10-3"&amp;CHAR(31)&amp;$A8&amp;CHAR(31)&amp;C$3))-2)&amp;")",""),IF(ISNA(MATCH(1,INDEX(EXACT('Casillas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/ "&amp;IF(ISBLANK(INDEX('Casillas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10-3"&amp;CHAR(31)&amp;$A8&amp;CHAR(31)&amp;D$3)*1,0),0)))),"",INDEX('Casillas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10-3"&amp;CHAR(31)&amp;$A8&amp;CHAR(31)&amp;D$3)*1,0),0))))&amp;IF(SUMPRODUCT(1*EXACT('Casillas del horario'!$S$4:$S$73,"Profesor de DC en 10-3"&amp;CHAR(31)&amp;$A8&amp;CHAR(31)&amp;D$3))&gt;2," (+"&amp;(SUMPRODUCT(1*EXACT('Casillas del horario'!$S$4:$S$73,"Profesor de DC en 10-3"&amp;CHAR(31)&amp;$A8&amp;CHAR(31)&amp;D$3))-2)&amp;")",""),IF(ISNA(MATCH(1,INDEX(EXACT('Casillas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/ "&amp;IF(ISBLANK(INDEX('Casillas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10-3"&amp;CHAR(31)&amp;$A8&amp;CHAR(31)&amp;E$3)*1,0),0)))),"",INDEX('Casillas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10-3"&amp;CHAR(31)&amp;$A8&amp;CHAR(31)&amp;E$3)*1,0),0))))&amp;IF(SUMPRODUCT(1*EXACT('Casillas del horario'!$S$4:$S$73,"Profesor de DC en 10-3"&amp;CHAR(31)&amp;$A8&amp;CHAR(31)&amp;E$3))&gt;2," (+"&amp;(SUMPRODUCT(1*EXACT('Casillas del horario'!$S$4:$S$73,"Profesor de DC en 10-3"&amp;CHAR(31)&amp;$A8&amp;CHAR(31)&amp;E$3))-2)&amp;")",""),IF(ISNA(MATCH(1,INDEX(EXACT('Casillas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/ "&amp;IF(ISBLANK(INDEX('Casillas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10-3"&amp;CHAR(31)&amp;$A8&amp;CHAR(31)&amp;F$3)*1,0),0)))),"",INDEX('Casillas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10-3"&amp;CHAR(31)&amp;$A8&amp;CHAR(31)&amp;F$3)*1,0),0))))&amp;IF(SUMPRODUCT(1*EXACT('Casillas del horario'!$S$4:$S$73,"Profesor de DC en 10-3"&amp;CHAR(31)&amp;$A8&amp;CHAR(31)&amp;F$3))&gt;2," (+"&amp;(SUMPRODUCT(1*EXACT('Casillas del horario'!$S$4:$S$73,"Profesor de DC en 10-3"&amp;CHAR(31)&amp;$A8&amp;CHAR(31)&amp;F$3))-2)&amp;")",""),IF(ISNA(MATCH(1,INDEX(EXACT('Casillas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/ "&amp;IF(ISBLANK(INDEX('Casillas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10-3"&amp;CHAR(31)&amp;$A9&amp;CHAR(31)&amp;B$3)*1,0),0)))),"",INDEX('Casillas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10-3"&amp;CHAR(31)&amp;$A9&amp;CHAR(31)&amp;B$3)*1,0),0))))&amp;IF(SUMPRODUCT(1*EXACT('Casillas del horario'!$S$4:$S$73,"Profesor de DC en 10-3"&amp;CHAR(31)&amp;$A9&amp;CHAR(31)&amp;B$3))&gt;2," (+"&amp;(SUMPRODUCT(1*EXACT('Casillas del horario'!$S$4:$S$73,"Profesor de DC en 10-3"&amp;CHAR(31)&amp;$A9&amp;CHAR(31)&amp;B$3))-2)&amp;")",""),IF(ISNA(MATCH(1,INDEX(EXACT('Casillas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/ "&amp;IF(ISBLANK(INDEX('Casillas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10-3"&amp;CHAR(31)&amp;$A9&amp;CHAR(31)&amp;C$3)*1,0),0)))),"",INDEX('Casillas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10-3"&amp;CHAR(31)&amp;$A9&amp;CHAR(31)&amp;C$3)*1,0),0))))&amp;IF(SUMPRODUCT(1*EXACT('Casillas del horario'!$S$4:$S$73,"Profesor de DC en 10-3"&amp;CHAR(31)&amp;$A9&amp;CHAR(31)&amp;C$3))&gt;2," (+"&amp;(SUMPRODUCT(1*EXACT('Casillas del horario'!$S$4:$S$73,"Profesor de DC en 10-3"&amp;CHAR(31)&amp;$A9&amp;CHAR(31)&amp;C$3))-2)&amp;")",""),IF(ISNA(MATCH(1,INDEX(EXACT('Casillas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/ "&amp;IF(ISBLANK(INDEX('Casillas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10-3"&amp;CHAR(31)&amp;$A9&amp;CHAR(31)&amp;D$3)*1,0),0)))),"",INDEX('Casillas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10-3"&amp;CHAR(31)&amp;$A9&amp;CHAR(31)&amp;D$3)*1,0),0))))&amp;IF(SUMPRODUCT(1*EXACT('Casillas del horario'!$S$4:$S$73,"Profesor de DC en 10-3"&amp;CHAR(31)&amp;$A9&amp;CHAR(31)&amp;D$3))&gt;2," (+"&amp;(SUMPRODUCT(1*EXACT('Casillas del horario'!$S$4:$S$73,"Profesor de DC en 10-3"&amp;CHAR(31)&amp;$A9&amp;CHAR(31)&amp;D$3))-2)&amp;")",""),IF(ISNA(MATCH(1,INDEX(EXACT('Casillas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/ "&amp;IF(ISBLANK(INDEX('Casillas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10-3"&amp;CHAR(31)&amp;$A9&amp;CHAR(31)&amp;E$3)*1,0),0)))),"",INDEX('Casillas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10-3"&amp;CHAR(31)&amp;$A9&amp;CHAR(31)&amp;E$3)*1,0),0))))&amp;IF(SUMPRODUCT(1*EXACT('Casillas del horario'!$S$4:$S$73,"Profesor de DC en 10-3"&amp;CHAR(31)&amp;$A9&amp;CHAR(31)&amp;E$3))&gt;2," (+"&amp;(SUMPRODUCT(1*EXACT('Casillas del horario'!$S$4:$S$73,"Profesor de DC en 10-3"&amp;CHAR(31)&amp;$A9&amp;CHAR(31)&amp;E$3))-2)&amp;")",""),IF(ISNA(MATCH(1,INDEX(EXACT('Casillas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/ "&amp;IF(ISBLANK(INDEX('Casillas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10-3"&amp;CHAR(31)&amp;$A9&amp;CHAR(31)&amp;F$3)*1,0),0)))),"",INDEX('Casillas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10-3"&amp;CHAR(31)&amp;$A9&amp;CHAR(31)&amp;F$3)*1,0),0))))&amp;IF(SUMPRODUCT(1*EXACT('Casillas del horario'!$S$4:$S$73,"Profesor de DC en 10-3"&amp;CHAR(31)&amp;$A9&amp;CHAR(31)&amp;F$3))&gt;2," (+"&amp;(SUMPRODUCT(1*EXACT('Casillas del horario'!$S$4:$S$73,"Profesor de DC en 10-3"&amp;CHAR(31)&amp;$A9&amp;CHAR(31)&amp;F$3))-2)&amp;")",""),IF(ISNA(MATCH(1,INDEX(EXACT('Casillas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/ "&amp;IF(ISBLANK(INDEX('Casillas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10-3"&amp;CHAR(31)&amp;$A10&amp;CHAR(31)&amp;B$3)*1,0),0)))),"",INDEX('Casillas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10-3"&amp;CHAR(31)&amp;$A10&amp;CHAR(31)&amp;B$3)*1,0),0))))&amp;IF(SUMPRODUCT(1*EXACT('Casillas del horario'!$S$4:$S$73,"Profesor de DC en 10-3"&amp;CHAR(31)&amp;$A10&amp;CHAR(31)&amp;B$3))&gt;2," (+"&amp;(SUMPRODUCT(1*EXACT('Casillas del horario'!$S$4:$S$73,"Profesor de DC en 10-3"&amp;CHAR(31)&amp;$A10&amp;CHAR(31)&amp;B$3))-2)&amp;")",""),IF(ISNA(MATCH(1,INDEX(EXACT('Casillas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/ "&amp;IF(ISBLANK(INDEX('Casillas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10-3"&amp;CHAR(31)&amp;$A10&amp;CHAR(31)&amp;C$3)*1,0),0)))),"",INDEX('Casillas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10-3"&amp;CHAR(31)&amp;$A10&amp;CHAR(31)&amp;C$3)*1,0),0))))&amp;IF(SUMPRODUCT(1*EXACT('Casillas del horario'!$S$4:$S$73,"Profesor de DC en 10-3"&amp;CHAR(31)&amp;$A10&amp;CHAR(31)&amp;C$3))&gt;2," (+"&amp;(SUMPRODUCT(1*EXACT('Casillas del horario'!$S$4:$S$73,"Profesor de DC en 10-3"&amp;CHAR(31)&amp;$A10&amp;CHAR(31)&amp;C$3))-2)&amp;")",""),IF(ISNA(MATCH(1,INDEX(EXACT('Casillas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/ "&amp;IF(ISBLANK(INDEX('Casillas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10-3"&amp;CHAR(31)&amp;$A10&amp;CHAR(31)&amp;D$3)*1,0),0)))),"",INDEX('Casillas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10-3"&amp;CHAR(31)&amp;$A10&amp;CHAR(31)&amp;D$3)*1,0),0))))&amp;IF(SUMPRODUCT(1*EXACT('Casillas del horario'!$S$4:$S$73,"Profesor de DC en 10-3"&amp;CHAR(31)&amp;$A10&amp;CHAR(31)&amp;D$3))&gt;2," (+"&amp;(SUMPRODUCT(1*EXACT('Casillas del horario'!$S$4:$S$73,"Profesor de DC en 10-3"&amp;CHAR(31)&amp;$A10&amp;CHAR(31)&amp;D$3))-2)&amp;")",""),IF(ISNA(MATCH(1,INDEX(EXACT('Casillas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/ "&amp;IF(ISBLANK(INDEX('Casillas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10-3"&amp;CHAR(31)&amp;$A10&amp;CHAR(31)&amp;E$3)*1,0),0)))),"",INDEX('Casillas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10-3"&amp;CHAR(31)&amp;$A10&amp;CHAR(31)&amp;E$3)*1,0),0))))&amp;IF(SUMPRODUCT(1*EXACT('Casillas del horario'!$S$4:$S$73,"Profesor de DC en 10-3"&amp;CHAR(31)&amp;$A10&amp;CHAR(31)&amp;E$3))&gt;2," (+"&amp;(SUMPRODUCT(1*EXACT('Casillas del horario'!$S$4:$S$73,"Profesor de DC en 10-3"&amp;CHAR(31)&amp;$A10&amp;CHAR(31)&amp;E$3))-2)&amp;")",""),IF(ISNA(MATCH(1,INDEX(EXACT('Casillas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/ "&amp;IF(ISBLANK(INDEX('Casillas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10-3"&amp;CHAR(31)&amp;$A10&amp;CHAR(31)&amp;F$3)*1,0),0)))),"",INDEX('Casillas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10-3"&amp;CHAR(31)&amp;$A10&amp;CHAR(31)&amp;F$3)*1,0),0))))&amp;IF(SUMPRODUCT(1*EXACT('Casillas del horario'!$S$4:$S$73,"Profesor de DC en 10-3"&amp;CHAR(31)&amp;$A10&amp;CHAR(31)&amp;F$3))&gt;2," (+"&amp;(SUMPRODUCT(1*EXACT('Casillas del horario'!$S$4:$S$73,"Profesor de DC en 10-3"&amp;CHAR(31)&amp;$A10&amp;CHAR(31)&amp;F$3))-2)&amp;")",""),IF(ISNA(MATCH(1,INDEX(EXACT('Casillas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/ "&amp;IF(ISBLANK(INDEX('Casillas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10-3"&amp;CHAR(31)&amp;$A4&amp;CHAR(31)&amp;B$3)*1,0),0)))),"",INDEX('Casillas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10-3"&amp;CHAR(31)&amp;$A4&amp;CHAR(31)&amp;B$3)*1,0),0))))&amp;IF(SUMPRODUCT(1*EXACT('Casillas del horario'!$S$4:$S$73,"Profesor de CA en 10-3"&amp;CHAR(31)&amp;$A4&amp;CHAR(31)&amp;B$3))&gt;2," (+"&amp;(SUMPRODUCT(1*EXACT('Casillas del horario'!$S$4:$S$73,"Profesor de CA en 10-3"&amp;CHAR(31)&amp;$A4&amp;CHAR(31)&amp;B$3))-2)&amp;")",""),IF(ISNA(MATCH(1,INDEX(EXACT('Casillas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/ "&amp;IF(ISBLANK(INDEX('Casillas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10-3"&amp;CHAR(31)&amp;$A4&amp;CHAR(31)&amp;C$3)*1,0),0)))),"",INDEX('Casillas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10-3"&amp;CHAR(31)&amp;$A4&amp;CHAR(31)&amp;C$3)*1,0),0))))&amp;IF(SUMPRODUCT(1*EXACT('Casillas del horario'!$S$4:$S$73,"Profesor de CA en 10-3"&amp;CHAR(31)&amp;$A4&amp;CHAR(31)&amp;C$3))&gt;2," (+"&amp;(SUMPRODUCT(1*EXACT('Casillas del horario'!$S$4:$S$73,"Profesor de CA en 10-3"&amp;CHAR(31)&amp;$A4&amp;CHAR(31)&amp;C$3))-2)&amp;")",""),IF(ISNA(MATCH(1,INDEX(EXACT('Casillas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/ "&amp;IF(ISBLANK(INDEX('Casillas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10-3"&amp;CHAR(31)&amp;$A4&amp;CHAR(31)&amp;D$3)*1,0),0)))),"",INDEX('Casillas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10-3"&amp;CHAR(31)&amp;$A4&amp;CHAR(31)&amp;D$3)*1,0),0))))&amp;IF(SUMPRODUCT(1*EXACT('Casillas del horario'!$S$4:$S$73,"Profesor de CA en 10-3"&amp;CHAR(31)&amp;$A4&amp;CHAR(31)&amp;D$3))&gt;2," (+"&amp;(SUMPRODUCT(1*EXACT('Casillas del horario'!$S$4:$S$73,"Profesor de CA en 10-3"&amp;CHAR(31)&amp;$A4&amp;CHAR(31)&amp;D$3))-2)&amp;")",""),IF(ISNA(MATCH(1,INDEX(EXACT('Casillas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/ "&amp;IF(ISBLANK(INDEX('Casillas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10-3"&amp;CHAR(31)&amp;$A4&amp;CHAR(31)&amp;E$3)*1,0),0)))),"",INDEX('Casillas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10-3"&amp;CHAR(31)&amp;$A4&amp;CHAR(31)&amp;E$3)*1,0),0))))&amp;IF(SUMPRODUCT(1*EXACT('Casillas del horario'!$S$4:$S$73,"Profesor de CA en 10-3"&amp;CHAR(31)&amp;$A4&amp;CHAR(31)&amp;E$3))&gt;2," (+"&amp;(SUMPRODUCT(1*EXACT('Casillas del horario'!$S$4:$S$73,"Profesor de CA en 10-3"&amp;CHAR(31)&amp;$A4&amp;CHAR(31)&amp;E$3))-2)&amp;")",""),IF(ISNA(MATCH(1,INDEX(EXACT('Casillas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/ "&amp;IF(ISBLANK(INDEX('Casillas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10-3"&amp;CHAR(31)&amp;$A4&amp;CHAR(31)&amp;F$3)*1,0),0)))),"",INDEX('Casillas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10-3"&amp;CHAR(31)&amp;$A4&amp;CHAR(31)&amp;F$3)*1,0),0))))&amp;IF(SUMPRODUCT(1*EXACT('Casillas del horario'!$S$4:$S$73,"Profesor de CA en 10-3"&amp;CHAR(31)&amp;$A4&amp;CHAR(31)&amp;F$3))&gt;2," (+"&amp;(SUMPRODUCT(1*EXACT('Casillas del horario'!$S$4:$S$73,"Profesor de CA en 10-3"&amp;CHAR(31)&amp;$A4&amp;CHAR(31)&amp;F$3))-2)&amp;")",""),IF(ISNA(MATCH(1,INDEX(EXACT('Casillas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/ "&amp;IF(ISBLANK(INDEX('Casillas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10-3"&amp;CHAR(31)&amp;$A5&amp;CHAR(31)&amp;B$3)*1,0),0)))),"",INDEX('Casillas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10-3"&amp;CHAR(31)&amp;$A5&amp;CHAR(31)&amp;B$3)*1,0),0))))&amp;IF(SUMPRODUCT(1*EXACT('Casillas del horario'!$S$4:$S$73,"Profesor de CA en 10-3"&amp;CHAR(31)&amp;$A5&amp;CHAR(31)&amp;B$3))&gt;2," (+"&amp;(SUMPRODUCT(1*EXACT('Casillas del horario'!$S$4:$S$73,"Profesor de CA en 10-3"&amp;CHAR(31)&amp;$A5&amp;CHAR(31)&amp;B$3))-2)&amp;")",""),IF(ISNA(MATCH(1,INDEX(EXACT('Casillas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/ "&amp;IF(ISBLANK(INDEX('Casillas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10-3"&amp;CHAR(31)&amp;$A5&amp;CHAR(31)&amp;C$3)*1,0),0)))),"",INDEX('Casillas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10-3"&amp;CHAR(31)&amp;$A5&amp;CHAR(31)&amp;C$3)*1,0),0))))&amp;IF(SUMPRODUCT(1*EXACT('Casillas del horario'!$S$4:$S$73,"Profesor de CA en 10-3"&amp;CHAR(31)&amp;$A5&amp;CHAR(31)&amp;C$3))&gt;2," (+"&amp;(SUMPRODUCT(1*EXACT('Casillas del horario'!$S$4:$S$73,"Profesor de CA en 10-3"&amp;CHAR(31)&amp;$A5&amp;CHAR(31)&amp;C$3))-2)&amp;")",""),IF(ISNA(MATCH(1,INDEX(EXACT('Casillas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/ "&amp;IF(ISBLANK(INDEX('Casillas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10-3"&amp;CHAR(31)&amp;$A5&amp;CHAR(31)&amp;D$3)*1,0),0)))),"",INDEX('Casillas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10-3"&amp;CHAR(31)&amp;$A5&amp;CHAR(31)&amp;D$3)*1,0),0))))&amp;IF(SUMPRODUCT(1*EXACT('Casillas del horario'!$S$4:$S$73,"Profesor de CA en 10-3"&amp;CHAR(31)&amp;$A5&amp;CHAR(31)&amp;D$3))&gt;2," (+"&amp;(SUMPRODUCT(1*EXACT('Casillas del horario'!$S$4:$S$73,"Profesor de CA en 10-3"&amp;CHAR(31)&amp;$A5&amp;CHAR(31)&amp;D$3))-2)&amp;")",""),IF(ISNA(MATCH(1,INDEX(EXACT('Casillas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/ "&amp;IF(ISBLANK(INDEX('Casillas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10-3"&amp;CHAR(31)&amp;$A5&amp;CHAR(31)&amp;E$3)*1,0),0)))),"",INDEX('Casillas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10-3"&amp;CHAR(31)&amp;$A5&amp;CHAR(31)&amp;E$3)*1,0),0))))&amp;IF(SUMPRODUCT(1*EXACT('Casillas del horario'!$S$4:$S$73,"Profesor de CA en 10-3"&amp;CHAR(31)&amp;$A5&amp;CHAR(31)&amp;E$3))&gt;2," (+"&amp;(SUMPRODUCT(1*EXACT('Casillas del horario'!$S$4:$S$73,"Profesor de CA en 10-3"&amp;CHAR(31)&amp;$A5&amp;CHAR(31)&amp;E$3))-2)&amp;")",""),IF(ISNA(MATCH(1,INDEX(EXACT('Casillas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/ "&amp;IF(ISBLANK(INDEX('Casillas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10-3"&amp;CHAR(31)&amp;$A5&amp;CHAR(31)&amp;F$3)*1,0),0)))),"",INDEX('Casillas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10-3"&amp;CHAR(31)&amp;$A5&amp;CHAR(31)&amp;F$3)*1,0),0))))&amp;IF(SUMPRODUCT(1*EXACT('Casillas del horario'!$S$4:$S$73,"Profesor de CA en 10-3"&amp;CHAR(31)&amp;$A5&amp;CHAR(31)&amp;F$3))&gt;2," (+"&amp;(SUMPRODUCT(1*EXACT('Casillas del horario'!$S$4:$S$73,"Profesor de CA en 10-3"&amp;CHAR(31)&amp;$A5&amp;CHAR(31)&amp;F$3))-2)&amp;")",""),IF(ISNA(MATCH(1,INDEX(EXACT('Casillas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/ "&amp;IF(ISBLANK(INDEX('Casillas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10-3"&amp;CHAR(31)&amp;$A6&amp;CHAR(31)&amp;B$3)*1,0),0)))),"",INDEX('Casillas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10-3"&amp;CHAR(31)&amp;$A6&amp;CHAR(31)&amp;B$3)*1,0),0))))&amp;IF(SUMPRODUCT(1*EXACT('Casillas del horario'!$S$4:$S$73,"Profesor de CA en 10-3"&amp;CHAR(31)&amp;$A6&amp;CHAR(31)&amp;B$3))&gt;2," (+"&amp;(SUMPRODUCT(1*EXACT('Casillas del horario'!$S$4:$S$73,"Profesor de CA en 10-3"&amp;CHAR(31)&amp;$A6&amp;CHAR(31)&amp;B$3))-2)&amp;")",""),IF(ISNA(MATCH(1,INDEX(EXACT('Casillas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/ "&amp;IF(ISBLANK(INDEX('Casillas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10-3"&amp;CHAR(31)&amp;$A6&amp;CHAR(31)&amp;C$3)*1,0),0)))),"",INDEX('Casillas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10-3"&amp;CHAR(31)&amp;$A6&amp;CHAR(31)&amp;C$3)*1,0),0))))&amp;IF(SUMPRODUCT(1*EXACT('Casillas del horario'!$S$4:$S$73,"Profesor de CA en 10-3"&amp;CHAR(31)&amp;$A6&amp;CHAR(31)&amp;C$3))&gt;2," (+"&amp;(SUMPRODUCT(1*EXACT('Casillas del horario'!$S$4:$S$73,"Profesor de CA en 10-3"&amp;CHAR(31)&amp;$A6&amp;CHAR(31)&amp;C$3))-2)&amp;")",""),IF(ISNA(MATCH(1,INDEX(EXACT('Casillas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/ "&amp;IF(ISBLANK(INDEX('Casillas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10-3"&amp;CHAR(31)&amp;$A6&amp;CHAR(31)&amp;D$3)*1,0),0)))),"",INDEX('Casillas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10-3"&amp;CHAR(31)&amp;$A6&amp;CHAR(31)&amp;D$3)*1,0),0))))&amp;IF(SUMPRODUCT(1*EXACT('Casillas del horario'!$S$4:$S$73,"Profesor de CA en 10-3"&amp;CHAR(31)&amp;$A6&amp;CHAR(31)&amp;D$3))&gt;2," (+"&amp;(SUMPRODUCT(1*EXACT('Casillas del horario'!$S$4:$S$73,"Profesor de CA en 10-3"&amp;CHAR(31)&amp;$A6&amp;CHAR(31)&amp;D$3))-2)&amp;")",""),IF(ISNA(MATCH(1,INDEX(EXACT('Casillas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/ "&amp;IF(ISBLANK(INDEX('Casillas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10-3"&amp;CHAR(31)&amp;$A6&amp;CHAR(31)&amp;E$3)*1,0),0)))),"",INDEX('Casillas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10-3"&amp;CHAR(31)&amp;$A6&amp;CHAR(31)&amp;E$3)*1,0),0))))&amp;IF(SUMPRODUCT(1*EXACT('Casillas del horario'!$S$4:$S$73,"Profesor de CA en 10-3"&amp;CHAR(31)&amp;$A6&amp;CHAR(31)&amp;E$3))&gt;2," (+"&amp;(SUMPRODUCT(1*EXACT('Casillas del horario'!$S$4:$S$73,"Profesor de CA en 10-3"&amp;CHAR(31)&amp;$A6&amp;CHAR(31)&amp;E$3))-2)&amp;")",""),IF(ISNA(MATCH(1,INDEX(EXACT('Casillas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/ "&amp;IF(ISBLANK(INDEX('Casillas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10-3"&amp;CHAR(31)&amp;$A6&amp;CHAR(31)&amp;F$3)*1,0),0)))),"",INDEX('Casillas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10-3"&amp;CHAR(31)&amp;$A6&amp;CHAR(31)&amp;F$3)*1,0),0))))&amp;IF(SUMPRODUCT(1*EXACT('Casillas del horario'!$S$4:$S$73,"Profesor de CA en 10-3"&amp;CHAR(31)&amp;$A6&amp;CHAR(31)&amp;F$3))&gt;2," (+"&amp;(SUMPRODUCT(1*EXACT('Casillas del horario'!$S$4:$S$73,"Profesor de CA en 10-3"&amp;CHAR(31)&amp;$A6&amp;CHAR(31)&amp;F$3))-2)&amp;")",""),IF(ISNA(MATCH(1,INDEX(EXACT('Casillas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/ "&amp;IF(ISBLANK(INDEX('Casillas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10-3"&amp;CHAR(31)&amp;$A7&amp;CHAR(31)&amp;B$3)*1,0),0)))),"",INDEX('Casillas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10-3"&amp;CHAR(31)&amp;$A7&amp;CHAR(31)&amp;B$3)*1,0),0))))&amp;IF(SUMPRODUCT(1*EXACT('Casillas del horario'!$S$4:$S$73,"Profesor de CA en 10-3"&amp;CHAR(31)&amp;$A7&amp;CHAR(31)&amp;B$3))&gt;2," (+"&amp;(SUMPRODUCT(1*EXACT('Casillas del horario'!$S$4:$S$73,"Profesor de CA en 10-3"&amp;CHAR(31)&amp;$A7&amp;CHAR(31)&amp;B$3))-2)&amp;")",""),IF(ISNA(MATCH(1,INDEX(EXACT('Casillas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/ "&amp;IF(ISBLANK(INDEX('Casillas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10-3"&amp;CHAR(31)&amp;$A7&amp;CHAR(31)&amp;C$3)*1,0),0)))),"",INDEX('Casillas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10-3"&amp;CHAR(31)&amp;$A7&amp;CHAR(31)&amp;C$3)*1,0),0))))&amp;IF(SUMPRODUCT(1*EXACT('Casillas del horario'!$S$4:$S$73,"Profesor de CA en 10-3"&amp;CHAR(31)&amp;$A7&amp;CHAR(31)&amp;C$3))&gt;2," (+"&amp;(SUMPRODUCT(1*EXACT('Casillas del horario'!$S$4:$S$73,"Profesor de CA en 10-3"&amp;CHAR(31)&amp;$A7&amp;CHAR(31)&amp;C$3))-2)&amp;")",""),IF(ISNA(MATCH(1,INDEX(EXACT('Casillas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/ "&amp;IF(ISBLANK(INDEX('Casillas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10-3"&amp;CHAR(31)&amp;$A7&amp;CHAR(31)&amp;D$3)*1,0),0)))),"",INDEX('Casillas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10-3"&amp;CHAR(31)&amp;$A7&amp;CHAR(31)&amp;D$3)*1,0),0))))&amp;IF(SUMPRODUCT(1*EXACT('Casillas del horario'!$S$4:$S$73,"Profesor de CA en 10-3"&amp;CHAR(31)&amp;$A7&amp;CHAR(31)&amp;D$3))&gt;2," (+"&amp;(SUMPRODUCT(1*EXACT('Casillas del horario'!$S$4:$S$73,"Profesor de CA en 10-3"&amp;CHAR(31)&amp;$A7&amp;CHAR(31)&amp;D$3))-2)&amp;")",""),IF(ISNA(MATCH(1,INDEX(EXACT('Casillas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/ "&amp;IF(ISBLANK(INDEX('Casillas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10-3"&amp;CHAR(31)&amp;$A7&amp;CHAR(31)&amp;E$3)*1,0),0)))),"",INDEX('Casillas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10-3"&amp;CHAR(31)&amp;$A7&amp;CHAR(31)&amp;E$3)*1,0),0))))&amp;IF(SUMPRODUCT(1*EXACT('Casillas del horario'!$S$4:$S$73,"Profesor de CA en 10-3"&amp;CHAR(31)&amp;$A7&amp;CHAR(31)&amp;E$3))&gt;2," (+"&amp;(SUMPRODUCT(1*EXACT('Casillas del horario'!$S$4:$S$73,"Profesor de CA en 10-3"&amp;CHAR(31)&amp;$A7&amp;CHAR(31)&amp;E$3))-2)&amp;")",""),IF(ISNA(MATCH(1,INDEX(EXACT('Casillas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/ "&amp;IF(ISBLANK(INDEX('Casillas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10-3"&amp;CHAR(31)&amp;$A7&amp;CHAR(31)&amp;F$3)*1,0),0)))),"",INDEX('Casillas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10-3"&amp;CHAR(31)&amp;$A7&amp;CHAR(31)&amp;F$3)*1,0),0))))&amp;IF(SUMPRODUCT(1*EXACT('Casillas del horario'!$S$4:$S$73,"Profesor de CA en 10-3"&amp;CHAR(31)&amp;$A7&amp;CHAR(31)&amp;F$3))&gt;2," (+"&amp;(SUMPRODUCT(1*EXACT('Casillas del horario'!$S$4:$S$73,"Profesor de CA en 10-3"&amp;CHAR(31)&amp;$A7&amp;CHAR(31)&amp;F$3))-2)&amp;")",""),IF(ISNA(MATCH(1,INDEX(EXACT('Casillas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/ "&amp;IF(ISBLANK(INDEX('Casillas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10-3"&amp;CHAR(31)&amp;$A8&amp;CHAR(31)&amp;B$3)*1,0),0)))),"",INDEX('Casillas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10-3"&amp;CHAR(31)&amp;$A8&amp;CHAR(31)&amp;B$3)*1,0),0))))&amp;IF(SUMPRODUCT(1*EXACT('Casillas del horario'!$S$4:$S$73,"Profesor de CA en 10-3"&amp;CHAR(31)&amp;$A8&amp;CHAR(31)&amp;B$3))&gt;2," (+"&amp;(SUMPRODUCT(1*EXACT('Casillas del horario'!$S$4:$S$73,"Profesor de CA en 10-3"&amp;CHAR(31)&amp;$A8&amp;CHAR(31)&amp;B$3))-2)&amp;")",""),IF(ISNA(MATCH(1,INDEX(EXACT('Casillas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/ "&amp;IF(ISBLANK(INDEX('Casillas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10-3"&amp;CHAR(31)&amp;$A8&amp;CHAR(31)&amp;C$3)*1,0),0)))),"",INDEX('Casillas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10-3"&amp;CHAR(31)&amp;$A8&amp;CHAR(31)&amp;C$3)*1,0),0))))&amp;IF(SUMPRODUCT(1*EXACT('Casillas del horario'!$S$4:$S$73,"Profesor de CA en 10-3"&amp;CHAR(31)&amp;$A8&amp;CHAR(31)&amp;C$3))&gt;2," (+"&amp;(SUMPRODUCT(1*EXACT('Casillas del horario'!$S$4:$S$73,"Profesor de CA en 10-3"&amp;CHAR(31)&amp;$A8&amp;CHAR(31)&amp;C$3))-2)&amp;")",""),IF(ISNA(MATCH(1,INDEX(EXACT('Casillas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/ "&amp;IF(ISBLANK(INDEX('Casillas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10-3"&amp;CHAR(31)&amp;$A8&amp;CHAR(31)&amp;D$3)*1,0),0)))),"",INDEX('Casillas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10-3"&amp;CHAR(31)&amp;$A8&amp;CHAR(31)&amp;D$3)*1,0),0))))&amp;IF(SUMPRODUCT(1*EXACT('Casillas del horario'!$S$4:$S$73,"Profesor de CA en 10-3"&amp;CHAR(31)&amp;$A8&amp;CHAR(31)&amp;D$3))&gt;2," (+"&amp;(SUMPRODUCT(1*EXACT('Casillas del horario'!$S$4:$S$73,"Profesor de CA en 10-3"&amp;CHAR(31)&amp;$A8&amp;CHAR(31)&amp;D$3))-2)&amp;")",""),IF(ISNA(MATCH(1,INDEX(EXACT('Casillas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/ "&amp;IF(ISBLANK(INDEX('Casillas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10-3"&amp;CHAR(31)&amp;$A8&amp;CHAR(31)&amp;E$3)*1,0),0)))),"",INDEX('Casillas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10-3"&amp;CHAR(31)&amp;$A8&amp;CHAR(31)&amp;E$3)*1,0),0))))&amp;IF(SUMPRODUCT(1*EXACT('Casillas del horario'!$S$4:$S$73,"Profesor de CA en 10-3"&amp;CHAR(31)&amp;$A8&amp;CHAR(31)&amp;E$3))&gt;2," (+"&amp;(SUMPRODUCT(1*EXACT('Casillas del horario'!$S$4:$S$73,"Profesor de CA en 10-3"&amp;CHAR(31)&amp;$A8&amp;CHAR(31)&amp;E$3))-2)&amp;")",""),IF(ISNA(MATCH(1,INDEX(EXACT('Casillas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/ "&amp;IF(ISBLANK(INDEX('Casillas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10-3"&amp;CHAR(31)&amp;$A8&amp;CHAR(31)&amp;F$3)*1,0),0)))),"",INDEX('Casillas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10-3"&amp;CHAR(31)&amp;$A8&amp;CHAR(31)&amp;F$3)*1,0),0))))&amp;IF(SUMPRODUCT(1*EXACT('Casillas del horario'!$S$4:$S$73,"Profesor de CA en 10-3"&amp;CHAR(31)&amp;$A8&amp;CHAR(31)&amp;F$3))&gt;2," (+"&amp;(SUMPRODUCT(1*EXACT('Casillas del horario'!$S$4:$S$73,"Profesor de CA en 10-3"&amp;CHAR(31)&amp;$A8&amp;CHAR(31)&amp;F$3))-2)&amp;")",""),IF(ISNA(MATCH(1,INDEX(EXACT('Casillas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/ "&amp;IF(ISBLANK(INDEX('Casillas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10-3"&amp;CHAR(31)&amp;$A9&amp;CHAR(31)&amp;B$3)*1,0),0)))),"",INDEX('Casillas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10-3"&amp;CHAR(31)&amp;$A9&amp;CHAR(31)&amp;B$3)*1,0),0))))&amp;IF(SUMPRODUCT(1*EXACT('Casillas del horario'!$S$4:$S$73,"Profesor de CA en 10-3"&amp;CHAR(31)&amp;$A9&amp;CHAR(31)&amp;B$3))&gt;2," (+"&amp;(SUMPRODUCT(1*EXACT('Casillas del horario'!$S$4:$S$73,"Profesor de CA en 10-3"&amp;CHAR(31)&amp;$A9&amp;CHAR(31)&amp;B$3))-2)&amp;")",""),IF(ISNA(MATCH(1,INDEX(EXACT('Casillas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/ "&amp;IF(ISBLANK(INDEX('Casillas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10-3"&amp;CHAR(31)&amp;$A9&amp;CHAR(31)&amp;C$3)*1,0),0)))),"",INDEX('Casillas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10-3"&amp;CHAR(31)&amp;$A9&amp;CHAR(31)&amp;C$3)*1,0),0))))&amp;IF(SUMPRODUCT(1*EXACT('Casillas del horario'!$S$4:$S$73,"Profesor de CA en 10-3"&amp;CHAR(31)&amp;$A9&amp;CHAR(31)&amp;C$3))&gt;2," (+"&amp;(SUMPRODUCT(1*EXACT('Casillas del horario'!$S$4:$S$73,"Profesor de CA en 10-3"&amp;CHAR(31)&amp;$A9&amp;CHAR(31)&amp;C$3))-2)&amp;")",""),IF(ISNA(MATCH(1,INDEX(EXACT('Casillas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/ "&amp;IF(ISBLANK(INDEX('Casillas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10-3"&amp;CHAR(31)&amp;$A9&amp;CHAR(31)&amp;D$3)*1,0),0)))),"",INDEX('Casillas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10-3"&amp;CHAR(31)&amp;$A9&amp;CHAR(31)&amp;D$3)*1,0),0))))&amp;IF(SUMPRODUCT(1*EXACT('Casillas del horario'!$S$4:$S$73,"Profesor de CA en 10-3"&amp;CHAR(31)&amp;$A9&amp;CHAR(31)&amp;D$3))&gt;2," (+"&amp;(SUMPRODUCT(1*EXACT('Casillas del horario'!$S$4:$S$73,"Profesor de CA en 10-3"&amp;CHAR(31)&amp;$A9&amp;CHAR(31)&amp;D$3))-2)&amp;")",""),IF(ISNA(MATCH(1,INDEX(EXACT('Casillas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/ "&amp;IF(ISBLANK(INDEX('Casillas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10-3"&amp;CHAR(31)&amp;$A9&amp;CHAR(31)&amp;E$3)*1,0),0)))),"",INDEX('Casillas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10-3"&amp;CHAR(31)&amp;$A9&amp;CHAR(31)&amp;E$3)*1,0),0))))&amp;IF(SUMPRODUCT(1*EXACT('Casillas del horario'!$S$4:$S$73,"Profesor de CA en 10-3"&amp;CHAR(31)&amp;$A9&amp;CHAR(31)&amp;E$3))&gt;2," (+"&amp;(SUMPRODUCT(1*EXACT('Casillas del horario'!$S$4:$S$73,"Profesor de CA en 10-3"&amp;CHAR(31)&amp;$A9&amp;CHAR(31)&amp;E$3))-2)&amp;")",""),IF(ISNA(MATCH(1,INDEX(EXACT('Casillas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/ "&amp;IF(ISBLANK(INDEX('Casillas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10-3"&amp;CHAR(31)&amp;$A9&amp;CHAR(31)&amp;F$3)*1,0),0)))),"",INDEX('Casillas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10-3"&amp;CHAR(31)&amp;$A9&amp;CHAR(31)&amp;F$3)*1,0),0))))&amp;IF(SUMPRODUCT(1*EXACT('Casillas del horario'!$S$4:$S$73,"Profesor de CA en 10-3"&amp;CHAR(31)&amp;$A9&amp;CHAR(31)&amp;F$3))&gt;2," (+"&amp;(SUMPRODUCT(1*EXACT('Casillas del horario'!$S$4:$S$73,"Profesor de CA en 10-3"&amp;CHAR(31)&amp;$A9&amp;CHAR(31)&amp;F$3))-2)&amp;")",""),IF(ISNA(MATCH(1,INDEX(EXACT('Casillas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/ "&amp;IF(ISBLANK(INDEX('Casillas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10-3"&amp;CHAR(31)&amp;$A10&amp;CHAR(31)&amp;B$3)*1,0),0)))),"",INDEX('Casillas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10-3"&amp;CHAR(31)&amp;$A10&amp;CHAR(31)&amp;B$3)*1,0),0))))&amp;IF(SUMPRODUCT(1*EXACT('Casillas del horario'!$S$4:$S$73,"Profesor de CA en 10-3"&amp;CHAR(31)&amp;$A10&amp;CHAR(31)&amp;B$3))&gt;2," (+"&amp;(SUMPRODUCT(1*EXACT('Casillas del horario'!$S$4:$S$73,"Profesor de CA en 10-3"&amp;CHAR(31)&amp;$A10&amp;CHAR(31)&amp;B$3))-2)&amp;")",""),IF(ISNA(MATCH(1,INDEX(EXACT('Casillas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/ "&amp;IF(ISBLANK(INDEX('Casillas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10-3"&amp;CHAR(31)&amp;$A10&amp;CHAR(31)&amp;C$3)*1,0),0)))),"",INDEX('Casillas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10-3"&amp;CHAR(31)&amp;$A10&amp;CHAR(31)&amp;C$3)*1,0),0))))&amp;IF(SUMPRODUCT(1*EXACT('Casillas del horario'!$S$4:$S$73,"Profesor de CA en 10-3"&amp;CHAR(31)&amp;$A10&amp;CHAR(31)&amp;C$3))&gt;2," (+"&amp;(SUMPRODUCT(1*EXACT('Casillas del horario'!$S$4:$S$73,"Profesor de CA en 10-3"&amp;CHAR(31)&amp;$A10&amp;CHAR(31)&amp;C$3))-2)&amp;")",""),IF(ISNA(MATCH(1,INDEX(EXACT('Casillas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/ "&amp;IF(ISBLANK(INDEX('Casillas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10-3"&amp;CHAR(31)&amp;$A10&amp;CHAR(31)&amp;D$3)*1,0),0)))),"",INDEX('Casillas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10-3"&amp;CHAR(31)&amp;$A10&amp;CHAR(31)&amp;D$3)*1,0),0))))&amp;IF(SUMPRODUCT(1*EXACT('Casillas del horario'!$S$4:$S$73,"Profesor de CA en 10-3"&amp;CHAR(31)&amp;$A10&amp;CHAR(31)&amp;D$3))&gt;2," (+"&amp;(SUMPRODUCT(1*EXACT('Casillas del horario'!$S$4:$S$73,"Profesor de CA en 10-3"&amp;CHAR(31)&amp;$A10&amp;CHAR(31)&amp;D$3))-2)&amp;")",""),IF(ISNA(MATCH(1,INDEX(EXACT('Casillas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/ "&amp;IF(ISBLANK(INDEX('Casillas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10-3"&amp;CHAR(31)&amp;$A10&amp;CHAR(31)&amp;E$3)*1,0),0)))),"",INDEX('Casillas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10-3"&amp;CHAR(31)&amp;$A10&amp;CHAR(31)&amp;E$3)*1,0),0))))&amp;IF(SUMPRODUCT(1*EXACT('Casillas del horario'!$S$4:$S$73,"Profesor de CA en 10-3"&amp;CHAR(31)&amp;$A10&amp;CHAR(31)&amp;E$3))&gt;2," (+"&amp;(SUMPRODUCT(1*EXACT('Casillas del horario'!$S$4:$S$73,"Profesor de CA en 10-3"&amp;CHAR(31)&amp;$A10&amp;CHAR(31)&amp;E$3))-2)&amp;")",""),IF(ISNA(MATCH(1,INDEX(EXACT('Casillas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/ "&amp;IF(ISBLANK(INDEX('Casillas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10-3"&amp;CHAR(31)&amp;$A10&amp;CHAR(31)&amp;F$3)*1,0),0)))),"",INDEX('Casillas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10-3"&amp;CHAR(31)&amp;$A10&amp;CHAR(31)&amp;F$3)*1,0),0))))&amp;IF(SUMPRODUCT(1*EXACT('Casillas del horario'!$S$4:$S$73,"Profesor de CA en 10-3"&amp;CHAR(31)&amp;$A10&amp;CHAR(31)&amp;F$3))&gt;2," (+"&amp;(SUMPRODUCT(1*EXACT('Casillas del horario'!$S$4:$S$73,"Profesor de CA en 10-3"&amp;CHAR(31)&amp;$A10&amp;CHAR(31)&amp;F$3))-2)&amp;")",""),IF(ISNA(MATCH(1,INDEX(EXACT('Casillas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/ "&amp;IF(ISBLANK(INDEX('Casillas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10-3"&amp;CHAR(31)&amp;$A4&amp;CHAR(31)&amp;B$3)*1,0),0)))),"",INDEX('Casillas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10-3"&amp;CHAR(31)&amp;$A4&amp;CHAR(31)&amp;B$3)*1,0),0))))&amp;IF(SUMPRODUCT(1*EXACT('Casillas del horario'!$S$4:$S$73,"Profesor de RD en 10-3"&amp;CHAR(31)&amp;$A4&amp;CHAR(31)&amp;B$3))&gt;2," (+"&amp;(SUMPRODUCT(1*EXACT('Casillas del horario'!$S$4:$S$73,"Profesor de RD en 10-3"&amp;CHAR(31)&amp;$A4&amp;CHAR(31)&amp;B$3))-2)&amp;")",""),IF(ISNA(MATCH(1,INDEX(EXACT('Casillas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/ "&amp;IF(ISBLANK(INDEX('Casillas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10-3"&amp;CHAR(31)&amp;$A4&amp;CHAR(31)&amp;C$3)*1,0),0)))),"",INDEX('Casillas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10-3"&amp;CHAR(31)&amp;$A4&amp;CHAR(31)&amp;C$3)*1,0),0))))&amp;IF(SUMPRODUCT(1*EXACT('Casillas del horario'!$S$4:$S$73,"Profesor de RD en 10-3"&amp;CHAR(31)&amp;$A4&amp;CHAR(31)&amp;C$3))&gt;2," (+"&amp;(SUMPRODUCT(1*EXACT('Casillas del horario'!$S$4:$S$73,"Profesor de RD en 10-3"&amp;CHAR(31)&amp;$A4&amp;CHAR(31)&amp;C$3))-2)&amp;")",""),IF(ISNA(MATCH(1,INDEX(EXACT('Casillas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/ "&amp;IF(ISBLANK(INDEX('Casillas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10-3"&amp;CHAR(31)&amp;$A4&amp;CHAR(31)&amp;D$3)*1,0),0)))),"",INDEX('Casillas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10-3"&amp;CHAR(31)&amp;$A4&amp;CHAR(31)&amp;D$3)*1,0),0))))&amp;IF(SUMPRODUCT(1*EXACT('Casillas del horario'!$S$4:$S$73,"Profesor de RD en 10-3"&amp;CHAR(31)&amp;$A4&amp;CHAR(31)&amp;D$3))&gt;2," (+"&amp;(SUMPRODUCT(1*EXACT('Casillas del horario'!$S$4:$S$73,"Profesor de RD en 10-3"&amp;CHAR(31)&amp;$A4&amp;CHAR(31)&amp;D$3))-2)&amp;")",""),IF(ISNA(MATCH(1,INDEX(EXACT('Casillas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/ "&amp;IF(ISBLANK(INDEX('Casillas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10-3"&amp;CHAR(31)&amp;$A4&amp;CHAR(31)&amp;E$3)*1,0),0)))),"",INDEX('Casillas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10-3"&amp;CHAR(31)&amp;$A4&amp;CHAR(31)&amp;E$3)*1,0),0))))&amp;IF(SUMPRODUCT(1*EXACT('Casillas del horario'!$S$4:$S$73,"Profesor de RD en 10-3"&amp;CHAR(31)&amp;$A4&amp;CHAR(31)&amp;E$3))&gt;2," (+"&amp;(SUMPRODUCT(1*EXACT('Casillas del horario'!$S$4:$S$73,"Profesor de RD en 10-3"&amp;CHAR(31)&amp;$A4&amp;CHAR(31)&amp;E$3))-2)&amp;")",""),IF(ISNA(MATCH(1,INDEX(EXACT('Casillas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/ "&amp;IF(ISBLANK(INDEX('Casillas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10-3"&amp;CHAR(31)&amp;$A4&amp;CHAR(31)&amp;F$3)*1,0),0)))),"",INDEX('Casillas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10-3"&amp;CHAR(31)&amp;$A4&amp;CHAR(31)&amp;F$3)*1,0),0))))&amp;IF(SUMPRODUCT(1*EXACT('Casillas del horario'!$S$4:$S$73,"Profesor de RD en 10-3"&amp;CHAR(31)&amp;$A4&amp;CHAR(31)&amp;F$3))&gt;2," (+"&amp;(SUMPRODUCT(1*EXACT('Casillas del horario'!$S$4:$S$73,"Profesor de RD en 10-3"&amp;CHAR(31)&amp;$A4&amp;CHAR(31)&amp;F$3))-2)&amp;")",""),IF(ISNA(MATCH(1,INDEX(EXACT('Casillas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/ "&amp;IF(ISBLANK(INDEX('Casillas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10-3"&amp;CHAR(31)&amp;$A5&amp;CHAR(31)&amp;B$3)*1,0),0)))),"",INDEX('Casillas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10-3"&amp;CHAR(31)&amp;$A5&amp;CHAR(31)&amp;B$3)*1,0),0))))&amp;IF(SUMPRODUCT(1*EXACT('Casillas del horario'!$S$4:$S$73,"Profesor de RD en 10-3"&amp;CHAR(31)&amp;$A5&amp;CHAR(31)&amp;B$3))&gt;2," (+"&amp;(SUMPRODUCT(1*EXACT('Casillas del horario'!$S$4:$S$73,"Profesor de RD en 10-3"&amp;CHAR(31)&amp;$A5&amp;CHAR(31)&amp;B$3))-2)&amp;")",""),IF(ISNA(MATCH(1,INDEX(EXACT('Casillas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/ "&amp;IF(ISBLANK(INDEX('Casillas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10-3"&amp;CHAR(31)&amp;$A5&amp;CHAR(31)&amp;C$3)*1,0),0)))),"",INDEX('Casillas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10-3"&amp;CHAR(31)&amp;$A5&amp;CHAR(31)&amp;C$3)*1,0),0))))&amp;IF(SUMPRODUCT(1*EXACT('Casillas del horario'!$S$4:$S$73,"Profesor de RD en 10-3"&amp;CHAR(31)&amp;$A5&amp;CHAR(31)&amp;C$3))&gt;2," (+"&amp;(SUMPRODUCT(1*EXACT('Casillas del horario'!$S$4:$S$73,"Profesor de RD en 10-3"&amp;CHAR(31)&amp;$A5&amp;CHAR(31)&amp;C$3))-2)&amp;")",""),IF(ISNA(MATCH(1,INDEX(EXACT('Casillas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/ "&amp;IF(ISBLANK(INDEX('Casillas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10-3"&amp;CHAR(31)&amp;$A5&amp;CHAR(31)&amp;D$3)*1,0),0)))),"",INDEX('Casillas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10-3"&amp;CHAR(31)&amp;$A5&amp;CHAR(31)&amp;D$3)*1,0),0))))&amp;IF(SUMPRODUCT(1*EXACT('Casillas del horario'!$S$4:$S$73,"Profesor de RD en 10-3"&amp;CHAR(31)&amp;$A5&amp;CHAR(31)&amp;D$3))&gt;2," (+"&amp;(SUMPRODUCT(1*EXACT('Casillas del horario'!$S$4:$S$73,"Profesor de RD en 10-3"&amp;CHAR(31)&amp;$A5&amp;CHAR(31)&amp;D$3))-2)&amp;")",""),IF(ISNA(MATCH(1,INDEX(EXACT('Casillas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/ "&amp;IF(ISBLANK(INDEX('Casillas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10-3"&amp;CHAR(31)&amp;$A5&amp;CHAR(31)&amp;E$3)*1,0),0)))),"",INDEX('Casillas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10-3"&amp;CHAR(31)&amp;$A5&amp;CHAR(31)&amp;E$3)*1,0),0))))&amp;IF(SUMPRODUCT(1*EXACT('Casillas del horario'!$S$4:$S$73,"Profesor de RD en 10-3"&amp;CHAR(31)&amp;$A5&amp;CHAR(31)&amp;E$3))&gt;2," (+"&amp;(SUMPRODUCT(1*EXACT('Casillas del horario'!$S$4:$S$73,"Profesor de RD en 10-3"&amp;CHAR(31)&amp;$A5&amp;CHAR(31)&amp;E$3))-2)&amp;")",""),IF(ISNA(MATCH(1,INDEX(EXACT('Casillas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/ "&amp;IF(ISBLANK(INDEX('Casillas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10-3"&amp;CHAR(31)&amp;$A5&amp;CHAR(31)&amp;F$3)*1,0),0)))),"",INDEX('Casillas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10-3"&amp;CHAR(31)&amp;$A5&amp;CHAR(31)&amp;F$3)*1,0),0))))&amp;IF(SUMPRODUCT(1*EXACT('Casillas del horario'!$S$4:$S$73,"Profesor de RD en 10-3"&amp;CHAR(31)&amp;$A5&amp;CHAR(31)&amp;F$3))&gt;2," (+"&amp;(SUMPRODUCT(1*EXACT('Casillas del horario'!$S$4:$S$73,"Profesor de RD en 10-3"&amp;CHAR(31)&amp;$A5&amp;CHAR(31)&amp;F$3))-2)&amp;")",""),IF(ISNA(MATCH(1,INDEX(EXACT('Casillas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/ "&amp;IF(ISBLANK(INDEX('Casillas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10-3"&amp;CHAR(31)&amp;$A6&amp;CHAR(31)&amp;B$3)*1,0),0)))),"",INDEX('Casillas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10-3"&amp;CHAR(31)&amp;$A6&amp;CHAR(31)&amp;B$3)*1,0),0))))&amp;IF(SUMPRODUCT(1*EXACT('Casillas del horario'!$S$4:$S$73,"Profesor de RD en 10-3"&amp;CHAR(31)&amp;$A6&amp;CHAR(31)&amp;B$3))&gt;2," (+"&amp;(SUMPRODUCT(1*EXACT('Casillas del horario'!$S$4:$S$73,"Profesor de RD en 10-3"&amp;CHAR(31)&amp;$A6&amp;CHAR(31)&amp;B$3))-2)&amp;")",""),IF(ISNA(MATCH(1,INDEX(EXACT('Casillas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/ "&amp;IF(ISBLANK(INDEX('Casillas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10-3"&amp;CHAR(31)&amp;$A6&amp;CHAR(31)&amp;C$3)*1,0),0)))),"",INDEX('Casillas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10-3"&amp;CHAR(31)&amp;$A6&amp;CHAR(31)&amp;C$3)*1,0),0))))&amp;IF(SUMPRODUCT(1*EXACT('Casillas del horario'!$S$4:$S$73,"Profesor de RD en 10-3"&amp;CHAR(31)&amp;$A6&amp;CHAR(31)&amp;C$3))&gt;2," (+"&amp;(SUMPRODUCT(1*EXACT('Casillas del horario'!$S$4:$S$73,"Profesor de RD en 10-3"&amp;CHAR(31)&amp;$A6&amp;CHAR(31)&amp;C$3))-2)&amp;")",""),IF(ISNA(MATCH(1,INDEX(EXACT('Casillas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/ "&amp;IF(ISBLANK(INDEX('Casillas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10-3"&amp;CHAR(31)&amp;$A6&amp;CHAR(31)&amp;D$3)*1,0),0)))),"",INDEX('Casillas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10-3"&amp;CHAR(31)&amp;$A6&amp;CHAR(31)&amp;D$3)*1,0),0))))&amp;IF(SUMPRODUCT(1*EXACT('Casillas del horario'!$S$4:$S$73,"Profesor de RD en 10-3"&amp;CHAR(31)&amp;$A6&amp;CHAR(31)&amp;D$3))&gt;2," (+"&amp;(SUMPRODUCT(1*EXACT('Casillas del horario'!$S$4:$S$73,"Profesor de RD en 10-3"&amp;CHAR(31)&amp;$A6&amp;CHAR(31)&amp;D$3))-2)&amp;")",""),IF(ISNA(MATCH(1,INDEX(EXACT('Casillas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/ "&amp;IF(ISBLANK(INDEX('Casillas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10-3"&amp;CHAR(31)&amp;$A6&amp;CHAR(31)&amp;E$3)*1,0),0)))),"",INDEX('Casillas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10-3"&amp;CHAR(31)&amp;$A6&amp;CHAR(31)&amp;E$3)*1,0),0))))&amp;IF(SUMPRODUCT(1*EXACT('Casillas del horario'!$S$4:$S$73,"Profesor de RD en 10-3"&amp;CHAR(31)&amp;$A6&amp;CHAR(31)&amp;E$3))&gt;2," (+"&amp;(SUMPRODUCT(1*EXACT('Casillas del horario'!$S$4:$S$73,"Profesor de RD en 10-3"&amp;CHAR(31)&amp;$A6&amp;CHAR(31)&amp;E$3))-2)&amp;")",""),IF(ISNA(MATCH(1,INDEX(EXACT('Casillas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/ "&amp;IF(ISBLANK(INDEX('Casillas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10-3"&amp;CHAR(31)&amp;$A6&amp;CHAR(31)&amp;F$3)*1,0),0)))),"",INDEX('Casillas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10-3"&amp;CHAR(31)&amp;$A6&amp;CHAR(31)&amp;F$3)*1,0),0))))&amp;IF(SUMPRODUCT(1*EXACT('Casillas del horario'!$S$4:$S$73,"Profesor de RD en 10-3"&amp;CHAR(31)&amp;$A6&amp;CHAR(31)&amp;F$3))&gt;2," (+"&amp;(SUMPRODUCT(1*EXACT('Casillas del horario'!$S$4:$S$73,"Profesor de RD en 10-3"&amp;CHAR(31)&amp;$A6&amp;CHAR(31)&amp;F$3))-2)&amp;")",""),IF(ISNA(MATCH(1,INDEX(EXACT('Casillas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/ "&amp;IF(ISBLANK(INDEX('Casillas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10-3"&amp;CHAR(31)&amp;$A7&amp;CHAR(31)&amp;B$3)*1,0),0)))),"",INDEX('Casillas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10-3"&amp;CHAR(31)&amp;$A7&amp;CHAR(31)&amp;B$3)*1,0),0))))&amp;IF(SUMPRODUCT(1*EXACT('Casillas del horario'!$S$4:$S$73,"Profesor de RD en 10-3"&amp;CHAR(31)&amp;$A7&amp;CHAR(31)&amp;B$3))&gt;2," (+"&amp;(SUMPRODUCT(1*EXACT('Casillas del horario'!$S$4:$S$73,"Profesor de RD en 10-3"&amp;CHAR(31)&amp;$A7&amp;CHAR(31)&amp;B$3))-2)&amp;")",""),IF(ISNA(MATCH(1,INDEX(EXACT('Casillas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/ "&amp;IF(ISBLANK(INDEX('Casillas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10-3"&amp;CHAR(31)&amp;$A7&amp;CHAR(31)&amp;C$3)*1,0),0)))),"",INDEX('Casillas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10-3"&amp;CHAR(31)&amp;$A7&amp;CHAR(31)&amp;C$3)*1,0),0))))&amp;IF(SUMPRODUCT(1*EXACT('Casillas del horario'!$S$4:$S$73,"Profesor de RD en 10-3"&amp;CHAR(31)&amp;$A7&amp;CHAR(31)&amp;C$3))&gt;2," (+"&amp;(SUMPRODUCT(1*EXACT('Casillas del horario'!$S$4:$S$73,"Profesor de RD en 10-3"&amp;CHAR(31)&amp;$A7&amp;CHAR(31)&amp;C$3))-2)&amp;")",""),IF(ISNA(MATCH(1,INDEX(EXACT('Casillas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/ "&amp;IF(ISBLANK(INDEX('Casillas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10-3"&amp;CHAR(31)&amp;$A7&amp;CHAR(31)&amp;D$3)*1,0),0)))),"",INDEX('Casillas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10-3"&amp;CHAR(31)&amp;$A7&amp;CHAR(31)&amp;D$3)*1,0),0))))&amp;IF(SUMPRODUCT(1*EXACT('Casillas del horario'!$S$4:$S$73,"Profesor de RD en 10-3"&amp;CHAR(31)&amp;$A7&amp;CHAR(31)&amp;D$3))&gt;2," (+"&amp;(SUMPRODUCT(1*EXACT('Casillas del horario'!$S$4:$S$73,"Profesor de RD en 10-3"&amp;CHAR(31)&amp;$A7&amp;CHAR(31)&amp;D$3))-2)&amp;")",""),IF(ISNA(MATCH(1,INDEX(EXACT('Casillas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/ "&amp;IF(ISBLANK(INDEX('Casillas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10-3"&amp;CHAR(31)&amp;$A7&amp;CHAR(31)&amp;E$3)*1,0),0)))),"",INDEX('Casillas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10-3"&amp;CHAR(31)&amp;$A7&amp;CHAR(31)&amp;E$3)*1,0),0))))&amp;IF(SUMPRODUCT(1*EXACT('Casillas del horario'!$S$4:$S$73,"Profesor de RD en 10-3"&amp;CHAR(31)&amp;$A7&amp;CHAR(31)&amp;E$3))&gt;2," (+"&amp;(SUMPRODUCT(1*EXACT('Casillas del horario'!$S$4:$S$73,"Profesor de RD en 10-3"&amp;CHAR(31)&amp;$A7&amp;CHAR(31)&amp;E$3))-2)&amp;")",""),IF(ISNA(MATCH(1,INDEX(EXACT('Casillas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/ "&amp;IF(ISBLANK(INDEX('Casillas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10-3"&amp;CHAR(31)&amp;$A7&amp;CHAR(31)&amp;F$3)*1,0),0)))),"",INDEX('Casillas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10-3"&amp;CHAR(31)&amp;$A7&amp;CHAR(31)&amp;F$3)*1,0),0))))&amp;IF(SUMPRODUCT(1*EXACT('Casillas del horario'!$S$4:$S$73,"Profesor de RD en 10-3"&amp;CHAR(31)&amp;$A7&amp;CHAR(31)&amp;F$3))&gt;2," (+"&amp;(SUMPRODUCT(1*EXACT('Casillas del horario'!$S$4:$S$73,"Profesor de RD en 10-3"&amp;CHAR(31)&amp;$A7&amp;CHAR(31)&amp;F$3))-2)&amp;")",""),IF(ISNA(MATCH(1,INDEX(EXACT('Casillas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/ "&amp;IF(ISBLANK(INDEX('Casillas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10-3"&amp;CHAR(31)&amp;$A8&amp;CHAR(31)&amp;B$3)*1,0),0)))),"",INDEX('Casillas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10-3"&amp;CHAR(31)&amp;$A8&amp;CHAR(31)&amp;B$3)*1,0),0))))&amp;IF(SUMPRODUCT(1*EXACT('Casillas del horario'!$S$4:$S$73,"Profesor de RD en 10-3"&amp;CHAR(31)&amp;$A8&amp;CHAR(31)&amp;B$3))&gt;2," (+"&amp;(SUMPRODUCT(1*EXACT('Casillas del horario'!$S$4:$S$73,"Profesor de RD en 10-3"&amp;CHAR(31)&amp;$A8&amp;CHAR(31)&amp;B$3))-2)&amp;")",""),IF(ISNA(MATCH(1,INDEX(EXACT('Casillas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/ "&amp;IF(ISBLANK(INDEX('Casillas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10-3"&amp;CHAR(31)&amp;$A8&amp;CHAR(31)&amp;C$3)*1,0),0)))),"",INDEX('Casillas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10-3"&amp;CHAR(31)&amp;$A8&amp;CHAR(31)&amp;C$3)*1,0),0))))&amp;IF(SUMPRODUCT(1*EXACT('Casillas del horario'!$S$4:$S$73,"Profesor de RD en 10-3"&amp;CHAR(31)&amp;$A8&amp;CHAR(31)&amp;C$3))&gt;2," (+"&amp;(SUMPRODUCT(1*EXACT('Casillas del horario'!$S$4:$S$73,"Profesor de RD en 10-3"&amp;CHAR(31)&amp;$A8&amp;CHAR(31)&amp;C$3))-2)&amp;")",""),IF(ISNA(MATCH(1,INDEX(EXACT('Casillas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/ "&amp;IF(ISBLANK(INDEX('Casillas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10-3"&amp;CHAR(31)&amp;$A8&amp;CHAR(31)&amp;D$3)*1,0),0)))),"",INDEX('Casillas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10-3"&amp;CHAR(31)&amp;$A8&amp;CHAR(31)&amp;D$3)*1,0),0))))&amp;IF(SUMPRODUCT(1*EXACT('Casillas del horario'!$S$4:$S$73,"Profesor de RD en 10-3"&amp;CHAR(31)&amp;$A8&amp;CHAR(31)&amp;D$3))&gt;2," (+"&amp;(SUMPRODUCT(1*EXACT('Casillas del horario'!$S$4:$S$73,"Profesor de RD en 10-3"&amp;CHAR(31)&amp;$A8&amp;CHAR(31)&amp;D$3))-2)&amp;")",""),IF(ISNA(MATCH(1,INDEX(EXACT('Casillas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/ "&amp;IF(ISBLANK(INDEX('Casillas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10-3"&amp;CHAR(31)&amp;$A8&amp;CHAR(31)&amp;E$3)*1,0),0)))),"",INDEX('Casillas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10-3"&amp;CHAR(31)&amp;$A8&amp;CHAR(31)&amp;E$3)*1,0),0))))&amp;IF(SUMPRODUCT(1*EXACT('Casillas del horario'!$S$4:$S$73,"Profesor de RD en 10-3"&amp;CHAR(31)&amp;$A8&amp;CHAR(31)&amp;E$3))&gt;2," (+"&amp;(SUMPRODUCT(1*EXACT('Casillas del horario'!$S$4:$S$73,"Profesor de RD en 10-3"&amp;CHAR(31)&amp;$A8&amp;CHAR(31)&amp;E$3))-2)&amp;")",""),IF(ISNA(MATCH(1,INDEX(EXACT('Casillas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/ "&amp;IF(ISBLANK(INDEX('Casillas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10-3"&amp;CHAR(31)&amp;$A8&amp;CHAR(31)&amp;F$3)*1,0),0)))),"",INDEX('Casillas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10-3"&amp;CHAR(31)&amp;$A8&amp;CHAR(31)&amp;F$3)*1,0),0))))&amp;IF(SUMPRODUCT(1*EXACT('Casillas del horario'!$S$4:$S$73,"Profesor de RD en 10-3"&amp;CHAR(31)&amp;$A8&amp;CHAR(31)&amp;F$3))&gt;2," (+"&amp;(SUMPRODUCT(1*EXACT('Casillas del horario'!$S$4:$S$73,"Profesor de RD en 10-3"&amp;CHAR(31)&amp;$A8&amp;CHAR(31)&amp;F$3))-2)&amp;")",""),IF(ISNA(MATCH(1,INDEX(EXACT('Casillas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/ "&amp;IF(ISBLANK(INDEX('Casillas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10-3"&amp;CHAR(31)&amp;$A9&amp;CHAR(31)&amp;B$3)*1,0),0)))),"",INDEX('Casillas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10-3"&amp;CHAR(31)&amp;$A9&amp;CHAR(31)&amp;B$3)*1,0),0))))&amp;IF(SUMPRODUCT(1*EXACT('Casillas del horario'!$S$4:$S$73,"Profesor de RD en 10-3"&amp;CHAR(31)&amp;$A9&amp;CHAR(31)&amp;B$3))&gt;2," (+"&amp;(SUMPRODUCT(1*EXACT('Casillas del horario'!$S$4:$S$73,"Profesor de RD en 10-3"&amp;CHAR(31)&amp;$A9&amp;CHAR(31)&amp;B$3))-2)&amp;")",""),IF(ISNA(MATCH(1,INDEX(EXACT('Casillas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/ "&amp;IF(ISBLANK(INDEX('Casillas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10-3"&amp;CHAR(31)&amp;$A9&amp;CHAR(31)&amp;C$3)*1,0),0)))),"",INDEX('Casillas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10-3"&amp;CHAR(31)&amp;$A9&amp;CHAR(31)&amp;C$3)*1,0),0))))&amp;IF(SUMPRODUCT(1*EXACT('Casillas del horario'!$S$4:$S$73,"Profesor de RD en 10-3"&amp;CHAR(31)&amp;$A9&amp;CHAR(31)&amp;C$3))&gt;2," (+"&amp;(SUMPRODUCT(1*EXACT('Casillas del horario'!$S$4:$S$73,"Profesor de RD en 10-3"&amp;CHAR(31)&amp;$A9&amp;CHAR(31)&amp;C$3))-2)&amp;")",""),IF(ISNA(MATCH(1,INDEX(EXACT('Casillas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/ "&amp;IF(ISBLANK(INDEX('Casillas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10-3"&amp;CHAR(31)&amp;$A9&amp;CHAR(31)&amp;D$3)*1,0),0)))),"",INDEX('Casillas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10-3"&amp;CHAR(31)&amp;$A9&amp;CHAR(31)&amp;D$3)*1,0),0))))&amp;IF(SUMPRODUCT(1*EXACT('Casillas del horario'!$S$4:$S$73,"Profesor de RD en 10-3"&amp;CHAR(31)&amp;$A9&amp;CHAR(31)&amp;D$3))&gt;2," (+"&amp;(SUMPRODUCT(1*EXACT('Casillas del horario'!$S$4:$S$73,"Profesor de RD en 10-3"&amp;CHAR(31)&amp;$A9&amp;CHAR(31)&amp;D$3))-2)&amp;")",""),IF(ISNA(MATCH(1,INDEX(EXACT('Casillas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/ "&amp;IF(ISBLANK(INDEX('Casillas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10-3"&amp;CHAR(31)&amp;$A9&amp;CHAR(31)&amp;E$3)*1,0),0)))),"",INDEX('Casillas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10-3"&amp;CHAR(31)&amp;$A9&amp;CHAR(31)&amp;E$3)*1,0),0))))&amp;IF(SUMPRODUCT(1*EXACT('Casillas del horario'!$S$4:$S$73,"Profesor de RD en 10-3"&amp;CHAR(31)&amp;$A9&amp;CHAR(31)&amp;E$3))&gt;2," (+"&amp;(SUMPRODUCT(1*EXACT('Casillas del horario'!$S$4:$S$73,"Profesor de RD en 10-3"&amp;CHAR(31)&amp;$A9&amp;CHAR(31)&amp;E$3))-2)&amp;")",""),IF(ISNA(MATCH(1,INDEX(EXACT('Casillas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/ "&amp;IF(ISBLANK(INDEX('Casillas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10-3"&amp;CHAR(31)&amp;$A9&amp;CHAR(31)&amp;F$3)*1,0),0)))),"",INDEX('Casillas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10-3"&amp;CHAR(31)&amp;$A9&amp;CHAR(31)&amp;F$3)*1,0),0))))&amp;IF(SUMPRODUCT(1*EXACT('Casillas del horario'!$S$4:$S$73,"Profesor de RD en 10-3"&amp;CHAR(31)&amp;$A9&amp;CHAR(31)&amp;F$3))&gt;2," (+"&amp;(SUMPRODUCT(1*EXACT('Casillas del horario'!$S$4:$S$73,"Profesor de RD en 10-3"&amp;CHAR(31)&amp;$A9&amp;CHAR(31)&amp;F$3))-2)&amp;")",""),IF(ISNA(MATCH(1,INDEX(EXACT('Casillas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/ "&amp;IF(ISBLANK(INDEX('Casillas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10-3"&amp;CHAR(31)&amp;$A10&amp;CHAR(31)&amp;B$3)*1,0),0)))),"",INDEX('Casillas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10-3"&amp;CHAR(31)&amp;$A10&amp;CHAR(31)&amp;B$3)*1,0),0))))&amp;IF(SUMPRODUCT(1*EXACT('Casillas del horario'!$S$4:$S$73,"Profesor de RD en 10-3"&amp;CHAR(31)&amp;$A10&amp;CHAR(31)&amp;B$3))&gt;2," (+"&amp;(SUMPRODUCT(1*EXACT('Casillas del horario'!$S$4:$S$73,"Profesor de RD en 10-3"&amp;CHAR(31)&amp;$A10&amp;CHAR(31)&amp;B$3))-2)&amp;")",""),IF(ISNA(MATCH(1,INDEX(EXACT('Casillas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/ "&amp;IF(ISBLANK(INDEX('Casillas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10-3"&amp;CHAR(31)&amp;$A10&amp;CHAR(31)&amp;C$3)*1,0),0)))),"",INDEX('Casillas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10-3"&amp;CHAR(31)&amp;$A10&amp;CHAR(31)&amp;C$3)*1,0),0))))&amp;IF(SUMPRODUCT(1*EXACT('Casillas del horario'!$S$4:$S$73,"Profesor de RD en 10-3"&amp;CHAR(31)&amp;$A10&amp;CHAR(31)&amp;C$3))&gt;2," (+"&amp;(SUMPRODUCT(1*EXACT('Casillas del horario'!$S$4:$S$73,"Profesor de RD en 10-3"&amp;CHAR(31)&amp;$A10&amp;CHAR(31)&amp;C$3))-2)&amp;")",""),IF(ISNA(MATCH(1,INDEX(EXACT('Casillas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/ "&amp;IF(ISBLANK(INDEX('Casillas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10-3"&amp;CHAR(31)&amp;$A10&amp;CHAR(31)&amp;D$3)*1,0),0)))),"",INDEX('Casillas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10-3"&amp;CHAR(31)&amp;$A10&amp;CHAR(31)&amp;D$3)*1,0),0))))&amp;IF(SUMPRODUCT(1*EXACT('Casillas del horario'!$S$4:$S$73,"Profesor de RD en 10-3"&amp;CHAR(31)&amp;$A10&amp;CHAR(31)&amp;D$3))&gt;2," (+"&amp;(SUMPRODUCT(1*EXACT('Casillas del horario'!$S$4:$S$73,"Profesor de RD en 10-3"&amp;CHAR(31)&amp;$A10&amp;CHAR(31)&amp;D$3))-2)&amp;")",""),IF(ISNA(MATCH(1,INDEX(EXACT('Casillas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/ "&amp;IF(ISBLANK(INDEX('Casillas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10-3"&amp;CHAR(31)&amp;$A10&amp;CHAR(31)&amp;E$3)*1,0),0)))),"",INDEX('Casillas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10-3"&amp;CHAR(31)&amp;$A10&amp;CHAR(31)&amp;E$3)*1,0),0))))&amp;IF(SUMPRODUCT(1*EXACT('Casillas del horario'!$S$4:$S$73,"Profesor de RD en 10-3"&amp;CHAR(31)&amp;$A10&amp;CHAR(31)&amp;E$3))&gt;2," (+"&amp;(SUMPRODUCT(1*EXACT('Casillas del horario'!$S$4:$S$73,"Profesor de RD en 10-3"&amp;CHAR(31)&amp;$A10&amp;CHAR(31)&amp;E$3))-2)&amp;")",""),IF(ISNA(MATCH(1,INDEX(EXACT('Casillas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/ "&amp;IF(ISBLANK(INDEX('Casillas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10-3"&amp;CHAR(31)&amp;$A10&amp;CHAR(31)&amp;F$3)*1,0),0)))),"",INDEX('Casillas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10-3"&amp;CHAR(31)&amp;$A10&amp;CHAR(31)&amp;F$3)*1,0),0))))&amp;IF(SUMPRODUCT(1*EXACT('Casillas del horario'!$S$4:$S$73,"Profesor de RD en 10-3"&amp;CHAR(31)&amp;$A10&amp;CHAR(31)&amp;F$3))&gt;2," (+"&amp;(SUMPRODUCT(1*EXACT('Casillas del horario'!$S$4:$S$73,"Profesor de RD en 10-3"&amp;CHAR(31)&amp;$A10&amp;CHAR(31)&amp;F$3))-2)&amp;")",""),IF(ISNA(MATCH(1,INDEX(EXACT('Casillas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/ "&amp;IF(ISBLANK(INDEX('Casillas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10-3"&amp;CHAR(31)&amp;$A4&amp;CHAR(31)&amp;B$3)*1,0),0)))),"",INDEX('Casillas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10-3"&amp;CHAR(31)&amp;$A4&amp;CHAR(31)&amp;B$3)*1,0),0))))&amp;IF(SUMPRODUCT(1*EXACT('Casillas del horario'!$S$4:$S$73,"Profesor de AL/AC en 10-3"&amp;CHAR(31)&amp;$A4&amp;CHAR(31)&amp;B$3))&gt;2," (+"&amp;(SUMPRODUCT(1*EXACT('Casillas del horario'!$S$4:$S$73,"Profesor de AL/AC en 10-3"&amp;CHAR(31)&amp;$A4&amp;CHAR(31)&amp;B$3))-2)&amp;")",""),IF(ISNA(MATCH(1,INDEX(EXACT('Casillas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/ "&amp;IF(ISBLANK(INDEX('Casillas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10-3"&amp;CHAR(31)&amp;$A4&amp;CHAR(31)&amp;C$3)*1,0),0)))),"",INDEX('Casillas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10-3"&amp;CHAR(31)&amp;$A4&amp;CHAR(31)&amp;C$3)*1,0),0))))&amp;IF(SUMPRODUCT(1*EXACT('Casillas del horario'!$S$4:$S$73,"Profesor de AL/AC en 10-3"&amp;CHAR(31)&amp;$A4&amp;CHAR(31)&amp;C$3))&gt;2," (+"&amp;(SUMPRODUCT(1*EXACT('Casillas del horario'!$S$4:$S$73,"Profesor de AL/AC en 10-3"&amp;CHAR(31)&amp;$A4&amp;CHAR(31)&amp;C$3))-2)&amp;")",""),IF(ISNA(MATCH(1,INDEX(EXACT('Casillas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/ "&amp;IF(ISBLANK(INDEX('Casillas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10-3"&amp;CHAR(31)&amp;$A4&amp;CHAR(31)&amp;D$3)*1,0),0)))),"",INDEX('Casillas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10-3"&amp;CHAR(31)&amp;$A4&amp;CHAR(31)&amp;D$3)*1,0),0))))&amp;IF(SUMPRODUCT(1*EXACT('Casillas del horario'!$S$4:$S$73,"Profesor de AL/AC en 10-3"&amp;CHAR(31)&amp;$A4&amp;CHAR(31)&amp;D$3))&gt;2," (+"&amp;(SUMPRODUCT(1*EXACT('Casillas del horario'!$S$4:$S$73,"Profesor de AL/AC en 10-3"&amp;CHAR(31)&amp;$A4&amp;CHAR(31)&amp;D$3))-2)&amp;")",""),IF(ISNA(MATCH(1,INDEX(EXACT('Casillas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/ "&amp;IF(ISBLANK(INDEX('Casillas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10-3"&amp;CHAR(31)&amp;$A4&amp;CHAR(31)&amp;E$3)*1,0),0)))),"",INDEX('Casillas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10-3"&amp;CHAR(31)&amp;$A4&amp;CHAR(31)&amp;E$3)*1,0),0))))&amp;IF(SUMPRODUCT(1*EXACT('Casillas del horario'!$S$4:$S$73,"Profesor de AL/AC en 10-3"&amp;CHAR(31)&amp;$A4&amp;CHAR(31)&amp;E$3))&gt;2," (+"&amp;(SUMPRODUCT(1*EXACT('Casillas del horario'!$S$4:$S$73,"Profesor de AL/AC en 10-3"&amp;CHAR(31)&amp;$A4&amp;CHAR(31)&amp;E$3))-2)&amp;")",""),IF(ISNA(MATCH(1,INDEX(EXACT('Casillas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/ "&amp;IF(ISBLANK(INDEX('Casillas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10-3"&amp;CHAR(31)&amp;$A4&amp;CHAR(31)&amp;F$3)*1,0),0)))),"",INDEX('Casillas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10-3"&amp;CHAR(31)&amp;$A4&amp;CHAR(31)&amp;F$3)*1,0),0))))&amp;IF(SUMPRODUCT(1*EXACT('Casillas del horario'!$S$4:$S$73,"Profesor de AL/AC en 10-3"&amp;CHAR(31)&amp;$A4&amp;CHAR(31)&amp;F$3))&gt;2," (+"&amp;(SUMPRODUCT(1*EXACT('Casillas del horario'!$S$4:$S$73,"Profesor de AL/AC en 10-3"&amp;CHAR(31)&amp;$A4&amp;CHAR(31)&amp;F$3))-2)&amp;")",""),IF(ISNA(MATCH(1,INDEX(EXACT('Casillas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/ "&amp;IF(ISBLANK(INDEX('Casillas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10-3"&amp;CHAR(31)&amp;$A5&amp;CHAR(31)&amp;B$3)*1,0),0)))),"",INDEX('Casillas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10-3"&amp;CHAR(31)&amp;$A5&amp;CHAR(31)&amp;B$3)*1,0),0))))&amp;IF(SUMPRODUCT(1*EXACT('Casillas del horario'!$S$4:$S$73,"Profesor de AL/AC en 10-3"&amp;CHAR(31)&amp;$A5&amp;CHAR(31)&amp;B$3))&gt;2," (+"&amp;(SUMPRODUCT(1*EXACT('Casillas del horario'!$S$4:$S$73,"Profesor de AL/AC en 10-3"&amp;CHAR(31)&amp;$A5&amp;CHAR(31)&amp;B$3))-2)&amp;")",""),IF(ISNA(MATCH(1,INDEX(EXACT('Casillas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/ "&amp;IF(ISBLANK(INDEX('Casillas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10-3"&amp;CHAR(31)&amp;$A5&amp;CHAR(31)&amp;C$3)*1,0),0)))),"",INDEX('Casillas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10-3"&amp;CHAR(31)&amp;$A5&amp;CHAR(31)&amp;C$3)*1,0),0))))&amp;IF(SUMPRODUCT(1*EXACT('Casillas del horario'!$S$4:$S$73,"Profesor de AL/AC en 10-3"&amp;CHAR(31)&amp;$A5&amp;CHAR(31)&amp;C$3))&gt;2," (+"&amp;(SUMPRODUCT(1*EXACT('Casillas del horario'!$S$4:$S$73,"Profesor de AL/AC en 10-3"&amp;CHAR(31)&amp;$A5&amp;CHAR(31)&amp;C$3))-2)&amp;")",""),IF(ISNA(MATCH(1,INDEX(EXACT('Casillas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/ "&amp;IF(ISBLANK(INDEX('Casillas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10-3"&amp;CHAR(31)&amp;$A5&amp;CHAR(31)&amp;D$3)*1,0),0)))),"",INDEX('Casillas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10-3"&amp;CHAR(31)&amp;$A5&amp;CHAR(31)&amp;D$3)*1,0),0))))&amp;IF(SUMPRODUCT(1*EXACT('Casillas del horario'!$S$4:$S$73,"Profesor de AL/AC en 10-3"&amp;CHAR(31)&amp;$A5&amp;CHAR(31)&amp;D$3))&gt;2," (+"&amp;(SUMPRODUCT(1*EXACT('Casillas del horario'!$S$4:$S$73,"Profesor de AL/AC en 10-3"&amp;CHAR(31)&amp;$A5&amp;CHAR(31)&amp;D$3))-2)&amp;")",""),IF(ISNA(MATCH(1,INDEX(EXACT('Casillas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/ "&amp;IF(ISBLANK(INDEX('Casillas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10-3"&amp;CHAR(31)&amp;$A5&amp;CHAR(31)&amp;E$3)*1,0),0)))),"",INDEX('Casillas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10-3"&amp;CHAR(31)&amp;$A5&amp;CHAR(31)&amp;E$3)*1,0),0))))&amp;IF(SUMPRODUCT(1*EXACT('Casillas del horario'!$S$4:$S$73,"Profesor de AL/AC en 10-3"&amp;CHAR(31)&amp;$A5&amp;CHAR(31)&amp;E$3))&gt;2," (+"&amp;(SUMPRODUCT(1*EXACT('Casillas del horario'!$S$4:$S$73,"Profesor de AL/AC en 10-3"&amp;CHAR(31)&amp;$A5&amp;CHAR(31)&amp;E$3))-2)&amp;")",""),IF(ISNA(MATCH(1,INDEX(EXACT('Casillas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/ "&amp;IF(ISBLANK(INDEX('Casillas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10-3"&amp;CHAR(31)&amp;$A5&amp;CHAR(31)&amp;F$3)*1,0),0)))),"",INDEX('Casillas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10-3"&amp;CHAR(31)&amp;$A5&amp;CHAR(31)&amp;F$3)*1,0),0))))&amp;IF(SUMPRODUCT(1*EXACT('Casillas del horario'!$S$4:$S$73,"Profesor de AL/AC en 10-3"&amp;CHAR(31)&amp;$A5&amp;CHAR(31)&amp;F$3))&gt;2," (+"&amp;(SUMPRODUCT(1*EXACT('Casillas del horario'!$S$4:$S$73,"Profesor de AL/AC en 10-3"&amp;CHAR(31)&amp;$A5&amp;CHAR(31)&amp;F$3))-2)&amp;")",""),IF(ISNA(MATCH(1,INDEX(EXACT('Casillas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/ "&amp;IF(ISBLANK(INDEX('Casillas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10-3"&amp;CHAR(31)&amp;$A6&amp;CHAR(31)&amp;B$3)*1,0),0)))),"",INDEX('Casillas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10-3"&amp;CHAR(31)&amp;$A6&amp;CHAR(31)&amp;B$3)*1,0),0))))&amp;IF(SUMPRODUCT(1*EXACT('Casillas del horario'!$S$4:$S$73,"Profesor de AL/AC en 10-3"&amp;CHAR(31)&amp;$A6&amp;CHAR(31)&amp;B$3))&gt;2," (+"&amp;(SUMPRODUCT(1*EXACT('Casillas del horario'!$S$4:$S$73,"Profesor de AL/AC en 10-3"&amp;CHAR(31)&amp;$A6&amp;CHAR(31)&amp;B$3))-2)&amp;")",""),IF(ISNA(MATCH(1,INDEX(EXACT('Casillas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/ "&amp;IF(ISBLANK(INDEX('Casillas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10-3"&amp;CHAR(31)&amp;$A6&amp;CHAR(31)&amp;C$3)*1,0),0)))),"",INDEX('Casillas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10-3"&amp;CHAR(31)&amp;$A6&amp;CHAR(31)&amp;C$3)*1,0),0))))&amp;IF(SUMPRODUCT(1*EXACT('Casillas del horario'!$S$4:$S$73,"Profesor de AL/AC en 10-3"&amp;CHAR(31)&amp;$A6&amp;CHAR(31)&amp;C$3))&gt;2," (+"&amp;(SUMPRODUCT(1*EXACT('Casillas del horario'!$S$4:$S$73,"Profesor de AL/AC en 10-3"&amp;CHAR(31)&amp;$A6&amp;CHAR(31)&amp;C$3))-2)&amp;")",""),IF(ISNA(MATCH(1,INDEX(EXACT('Casillas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/ "&amp;IF(ISBLANK(INDEX('Casillas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10-3"&amp;CHAR(31)&amp;$A6&amp;CHAR(31)&amp;D$3)*1,0),0)))),"",INDEX('Casillas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10-3"&amp;CHAR(31)&amp;$A6&amp;CHAR(31)&amp;D$3)*1,0),0))))&amp;IF(SUMPRODUCT(1*EXACT('Casillas del horario'!$S$4:$S$73,"Profesor de AL/AC en 10-3"&amp;CHAR(31)&amp;$A6&amp;CHAR(31)&amp;D$3))&gt;2," (+"&amp;(SUMPRODUCT(1*EXACT('Casillas del horario'!$S$4:$S$73,"Profesor de AL/AC en 10-3"&amp;CHAR(31)&amp;$A6&amp;CHAR(31)&amp;D$3))-2)&amp;")",""),IF(ISNA(MATCH(1,INDEX(EXACT('Casillas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/ "&amp;IF(ISBLANK(INDEX('Casillas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10-3"&amp;CHAR(31)&amp;$A6&amp;CHAR(31)&amp;E$3)*1,0),0)))),"",INDEX('Casillas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10-3"&amp;CHAR(31)&amp;$A6&amp;CHAR(31)&amp;E$3)*1,0),0))))&amp;IF(SUMPRODUCT(1*EXACT('Casillas del horario'!$S$4:$S$73,"Profesor de AL/AC en 10-3"&amp;CHAR(31)&amp;$A6&amp;CHAR(31)&amp;E$3))&gt;2," (+"&amp;(SUMPRODUCT(1*EXACT('Casillas del horario'!$S$4:$S$73,"Profesor de AL/AC en 10-3"&amp;CHAR(31)&amp;$A6&amp;CHAR(31)&amp;E$3))-2)&amp;")",""),IF(ISNA(MATCH(1,INDEX(EXACT('Casillas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/ "&amp;IF(ISBLANK(INDEX('Casillas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10-3"&amp;CHAR(31)&amp;$A6&amp;CHAR(31)&amp;F$3)*1,0),0)))),"",INDEX('Casillas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10-3"&amp;CHAR(31)&amp;$A6&amp;CHAR(31)&amp;F$3)*1,0),0))))&amp;IF(SUMPRODUCT(1*EXACT('Casillas del horario'!$S$4:$S$73,"Profesor de AL/AC en 10-3"&amp;CHAR(31)&amp;$A6&amp;CHAR(31)&amp;F$3))&gt;2," (+"&amp;(SUMPRODUCT(1*EXACT('Casillas del horario'!$S$4:$S$73,"Profesor de AL/AC en 10-3"&amp;CHAR(31)&amp;$A6&amp;CHAR(31)&amp;F$3))-2)&amp;")",""),IF(ISNA(MATCH(1,INDEX(EXACT('Casillas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/ "&amp;IF(ISBLANK(INDEX('Casillas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10-3"&amp;CHAR(31)&amp;$A7&amp;CHAR(31)&amp;B$3)*1,0),0)))),"",INDEX('Casillas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10-3"&amp;CHAR(31)&amp;$A7&amp;CHAR(31)&amp;B$3)*1,0),0))))&amp;IF(SUMPRODUCT(1*EXACT('Casillas del horario'!$S$4:$S$73,"Profesor de AL/AC en 10-3"&amp;CHAR(31)&amp;$A7&amp;CHAR(31)&amp;B$3))&gt;2," (+"&amp;(SUMPRODUCT(1*EXACT('Casillas del horario'!$S$4:$S$73,"Profesor de AL/AC en 10-3"&amp;CHAR(31)&amp;$A7&amp;CHAR(31)&amp;B$3))-2)&amp;")",""),IF(ISNA(MATCH(1,INDEX(EXACT('Casillas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/ "&amp;IF(ISBLANK(INDEX('Casillas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10-3"&amp;CHAR(31)&amp;$A7&amp;CHAR(31)&amp;C$3)*1,0),0)))),"",INDEX('Casillas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10-3"&amp;CHAR(31)&amp;$A7&amp;CHAR(31)&amp;C$3)*1,0),0))))&amp;IF(SUMPRODUCT(1*EXACT('Casillas del horario'!$S$4:$S$73,"Profesor de AL/AC en 10-3"&amp;CHAR(31)&amp;$A7&amp;CHAR(31)&amp;C$3))&gt;2," (+"&amp;(SUMPRODUCT(1*EXACT('Casillas del horario'!$S$4:$S$73,"Profesor de AL/AC en 10-3"&amp;CHAR(31)&amp;$A7&amp;CHAR(31)&amp;C$3))-2)&amp;")",""),IF(ISNA(MATCH(1,INDEX(EXACT('Casillas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/ "&amp;IF(ISBLANK(INDEX('Casillas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10-3"&amp;CHAR(31)&amp;$A7&amp;CHAR(31)&amp;D$3)*1,0),0)))),"",INDEX('Casillas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10-3"&amp;CHAR(31)&amp;$A7&amp;CHAR(31)&amp;D$3)*1,0),0))))&amp;IF(SUMPRODUCT(1*EXACT('Casillas del horario'!$S$4:$S$73,"Profesor de AL/AC en 10-3"&amp;CHAR(31)&amp;$A7&amp;CHAR(31)&amp;D$3))&gt;2," (+"&amp;(SUMPRODUCT(1*EXACT('Casillas del horario'!$S$4:$S$73,"Profesor de AL/AC en 10-3"&amp;CHAR(31)&amp;$A7&amp;CHAR(31)&amp;D$3))-2)&amp;")",""),IF(ISNA(MATCH(1,INDEX(EXACT('Casillas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/ "&amp;IF(ISBLANK(INDEX('Casillas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10-3"&amp;CHAR(31)&amp;$A7&amp;CHAR(31)&amp;E$3)*1,0),0)))),"",INDEX('Casillas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10-3"&amp;CHAR(31)&amp;$A7&amp;CHAR(31)&amp;E$3)*1,0),0))))&amp;IF(SUMPRODUCT(1*EXACT('Casillas del horario'!$S$4:$S$73,"Profesor de AL/AC en 10-3"&amp;CHAR(31)&amp;$A7&amp;CHAR(31)&amp;E$3))&gt;2," (+"&amp;(SUMPRODUCT(1*EXACT('Casillas del horario'!$S$4:$S$73,"Profesor de AL/AC en 10-3"&amp;CHAR(31)&amp;$A7&amp;CHAR(31)&amp;E$3))-2)&amp;")",""),IF(ISNA(MATCH(1,INDEX(EXACT('Casillas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/ "&amp;IF(ISBLANK(INDEX('Casillas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10-3"&amp;CHAR(31)&amp;$A7&amp;CHAR(31)&amp;F$3)*1,0),0)))),"",INDEX('Casillas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10-3"&amp;CHAR(31)&amp;$A7&amp;CHAR(31)&amp;F$3)*1,0),0))))&amp;IF(SUMPRODUCT(1*EXACT('Casillas del horario'!$S$4:$S$73,"Profesor de AL/AC en 10-3"&amp;CHAR(31)&amp;$A7&amp;CHAR(31)&amp;F$3))&gt;2," (+"&amp;(SUMPRODUCT(1*EXACT('Casillas del horario'!$S$4:$S$73,"Profesor de AL/AC en 10-3"&amp;CHAR(31)&amp;$A7&amp;CHAR(31)&amp;F$3))-2)&amp;")",""),IF(ISNA(MATCH(1,INDEX(EXACT('Casillas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/ "&amp;IF(ISBLANK(INDEX('Casillas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10-3"&amp;CHAR(31)&amp;$A8&amp;CHAR(31)&amp;B$3)*1,0),0)))),"",INDEX('Casillas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10-3"&amp;CHAR(31)&amp;$A8&amp;CHAR(31)&amp;B$3)*1,0),0))))&amp;IF(SUMPRODUCT(1*EXACT('Casillas del horario'!$S$4:$S$73,"Profesor de AL/AC en 10-3"&amp;CHAR(31)&amp;$A8&amp;CHAR(31)&amp;B$3))&gt;2," (+"&amp;(SUMPRODUCT(1*EXACT('Casillas del horario'!$S$4:$S$73,"Profesor de AL/AC en 10-3"&amp;CHAR(31)&amp;$A8&amp;CHAR(31)&amp;B$3))-2)&amp;")",""),IF(ISNA(MATCH(1,INDEX(EXACT('Casillas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/ "&amp;IF(ISBLANK(INDEX('Casillas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10-3"&amp;CHAR(31)&amp;$A8&amp;CHAR(31)&amp;C$3)*1,0),0)))),"",INDEX('Casillas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10-3"&amp;CHAR(31)&amp;$A8&amp;CHAR(31)&amp;C$3)*1,0),0))))&amp;IF(SUMPRODUCT(1*EXACT('Casillas del horario'!$S$4:$S$73,"Profesor de AL/AC en 10-3"&amp;CHAR(31)&amp;$A8&amp;CHAR(31)&amp;C$3))&gt;2," (+"&amp;(SUMPRODUCT(1*EXACT('Casillas del horario'!$S$4:$S$73,"Profesor de AL/AC en 10-3"&amp;CHAR(31)&amp;$A8&amp;CHAR(31)&amp;C$3))-2)&amp;")",""),IF(ISNA(MATCH(1,INDEX(EXACT('Casillas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/ "&amp;IF(ISBLANK(INDEX('Casillas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10-3"&amp;CHAR(31)&amp;$A8&amp;CHAR(31)&amp;D$3)*1,0),0)))),"",INDEX('Casillas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10-3"&amp;CHAR(31)&amp;$A8&amp;CHAR(31)&amp;D$3)*1,0),0))))&amp;IF(SUMPRODUCT(1*EXACT('Casillas del horario'!$S$4:$S$73,"Profesor de AL/AC en 10-3"&amp;CHAR(31)&amp;$A8&amp;CHAR(31)&amp;D$3))&gt;2," (+"&amp;(SUMPRODUCT(1*EXACT('Casillas del horario'!$S$4:$S$73,"Profesor de AL/AC en 10-3"&amp;CHAR(31)&amp;$A8&amp;CHAR(31)&amp;D$3))-2)&amp;")",""),IF(ISNA(MATCH(1,INDEX(EXACT('Casillas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/ "&amp;IF(ISBLANK(INDEX('Casillas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10-3"&amp;CHAR(31)&amp;$A8&amp;CHAR(31)&amp;E$3)*1,0),0)))),"",INDEX('Casillas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10-3"&amp;CHAR(31)&amp;$A8&amp;CHAR(31)&amp;E$3)*1,0),0))))&amp;IF(SUMPRODUCT(1*EXACT('Casillas del horario'!$S$4:$S$73,"Profesor de AL/AC en 10-3"&amp;CHAR(31)&amp;$A8&amp;CHAR(31)&amp;E$3))&gt;2," (+"&amp;(SUMPRODUCT(1*EXACT('Casillas del horario'!$S$4:$S$73,"Profesor de AL/AC en 10-3"&amp;CHAR(31)&amp;$A8&amp;CHAR(31)&amp;E$3))-2)&amp;")",""),IF(ISNA(MATCH(1,INDEX(EXACT('Casillas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/ "&amp;IF(ISBLANK(INDEX('Casillas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10-3"&amp;CHAR(31)&amp;$A8&amp;CHAR(31)&amp;F$3)*1,0),0)))),"",INDEX('Casillas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10-3"&amp;CHAR(31)&amp;$A8&amp;CHAR(31)&amp;F$3)*1,0),0))))&amp;IF(SUMPRODUCT(1*EXACT('Casillas del horario'!$S$4:$S$73,"Profesor de AL/AC en 10-3"&amp;CHAR(31)&amp;$A8&amp;CHAR(31)&amp;F$3))&gt;2," (+"&amp;(SUMPRODUCT(1*EXACT('Casillas del horario'!$S$4:$S$73,"Profesor de AL/AC en 10-3"&amp;CHAR(31)&amp;$A8&amp;CHAR(31)&amp;F$3))-2)&amp;")",""),IF(ISNA(MATCH(1,INDEX(EXACT('Casillas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/ "&amp;IF(ISBLANK(INDEX('Casillas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10-3"&amp;CHAR(31)&amp;$A9&amp;CHAR(31)&amp;B$3)*1,0),0)))),"",INDEX('Casillas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10-3"&amp;CHAR(31)&amp;$A9&amp;CHAR(31)&amp;B$3)*1,0),0))))&amp;IF(SUMPRODUCT(1*EXACT('Casillas del horario'!$S$4:$S$73,"Profesor de AL/AC en 10-3"&amp;CHAR(31)&amp;$A9&amp;CHAR(31)&amp;B$3))&gt;2," (+"&amp;(SUMPRODUCT(1*EXACT('Casillas del horario'!$S$4:$S$73,"Profesor de AL/AC en 10-3"&amp;CHAR(31)&amp;$A9&amp;CHAR(31)&amp;B$3))-2)&amp;")",""),IF(ISNA(MATCH(1,INDEX(EXACT('Casillas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/ "&amp;IF(ISBLANK(INDEX('Casillas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10-3"&amp;CHAR(31)&amp;$A9&amp;CHAR(31)&amp;C$3)*1,0),0)))),"",INDEX('Casillas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10-3"&amp;CHAR(31)&amp;$A9&amp;CHAR(31)&amp;C$3)*1,0),0))))&amp;IF(SUMPRODUCT(1*EXACT('Casillas del horario'!$S$4:$S$73,"Profesor de AL/AC en 10-3"&amp;CHAR(31)&amp;$A9&amp;CHAR(31)&amp;C$3))&gt;2," (+"&amp;(SUMPRODUCT(1*EXACT('Casillas del horario'!$S$4:$S$73,"Profesor de AL/AC en 10-3"&amp;CHAR(31)&amp;$A9&amp;CHAR(31)&amp;C$3))-2)&amp;")",""),IF(ISNA(MATCH(1,INDEX(EXACT('Casillas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/ "&amp;IF(ISBLANK(INDEX('Casillas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10-3"&amp;CHAR(31)&amp;$A9&amp;CHAR(31)&amp;D$3)*1,0),0)))),"",INDEX('Casillas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10-3"&amp;CHAR(31)&amp;$A9&amp;CHAR(31)&amp;D$3)*1,0),0))))&amp;IF(SUMPRODUCT(1*EXACT('Casillas del horario'!$S$4:$S$73,"Profesor de AL/AC en 10-3"&amp;CHAR(31)&amp;$A9&amp;CHAR(31)&amp;D$3))&gt;2," (+"&amp;(SUMPRODUCT(1*EXACT('Casillas del horario'!$S$4:$S$73,"Profesor de AL/AC en 10-3"&amp;CHAR(31)&amp;$A9&amp;CHAR(31)&amp;D$3))-2)&amp;")",""),IF(ISNA(MATCH(1,INDEX(EXACT('Casillas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/ "&amp;IF(ISBLANK(INDEX('Casillas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10-3"&amp;CHAR(31)&amp;$A9&amp;CHAR(31)&amp;E$3)*1,0),0)))),"",INDEX('Casillas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10-3"&amp;CHAR(31)&amp;$A9&amp;CHAR(31)&amp;E$3)*1,0),0))))&amp;IF(SUMPRODUCT(1*EXACT('Casillas del horario'!$S$4:$S$73,"Profesor de AL/AC en 10-3"&amp;CHAR(31)&amp;$A9&amp;CHAR(31)&amp;E$3))&gt;2," (+"&amp;(SUMPRODUCT(1*EXACT('Casillas del horario'!$S$4:$S$73,"Profesor de AL/AC en 10-3"&amp;CHAR(31)&amp;$A9&amp;CHAR(31)&amp;E$3))-2)&amp;")",""),IF(ISNA(MATCH(1,INDEX(EXACT('Casillas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/ "&amp;IF(ISBLANK(INDEX('Casillas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10-3"&amp;CHAR(31)&amp;$A9&amp;CHAR(31)&amp;F$3)*1,0),0)))),"",INDEX('Casillas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10-3"&amp;CHAR(31)&amp;$A9&amp;CHAR(31)&amp;F$3)*1,0),0))))&amp;IF(SUMPRODUCT(1*EXACT('Casillas del horario'!$S$4:$S$73,"Profesor de AL/AC en 10-3"&amp;CHAR(31)&amp;$A9&amp;CHAR(31)&amp;F$3))&gt;2," (+"&amp;(SUMPRODUCT(1*EXACT('Casillas del horario'!$S$4:$S$73,"Profesor de AL/AC en 10-3"&amp;CHAR(31)&amp;$A9&amp;CHAR(31)&amp;F$3))-2)&amp;")",""),IF(ISNA(MATCH(1,INDEX(EXACT('Casillas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/ "&amp;IF(ISBLANK(INDEX('Casillas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10-3"&amp;CHAR(31)&amp;$A10&amp;CHAR(31)&amp;B$3)*1,0),0)))),"",INDEX('Casillas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10-3"&amp;CHAR(31)&amp;$A10&amp;CHAR(31)&amp;B$3)*1,0),0))))&amp;IF(SUMPRODUCT(1*EXACT('Casillas del horario'!$S$4:$S$73,"Profesor de AL/AC en 10-3"&amp;CHAR(31)&amp;$A10&amp;CHAR(31)&amp;B$3))&gt;2," (+"&amp;(SUMPRODUCT(1*EXACT('Casillas del horario'!$S$4:$S$73,"Profesor de AL/AC en 10-3"&amp;CHAR(31)&amp;$A10&amp;CHAR(31)&amp;B$3))-2)&amp;")",""),IF(ISNA(MATCH(1,INDEX(EXACT('Casillas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/ "&amp;IF(ISBLANK(INDEX('Casillas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10-3"&amp;CHAR(31)&amp;$A10&amp;CHAR(31)&amp;C$3)*1,0),0)))),"",INDEX('Casillas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10-3"&amp;CHAR(31)&amp;$A10&amp;CHAR(31)&amp;C$3)*1,0),0))))&amp;IF(SUMPRODUCT(1*EXACT('Casillas del horario'!$S$4:$S$73,"Profesor de AL/AC en 10-3"&amp;CHAR(31)&amp;$A10&amp;CHAR(31)&amp;C$3))&gt;2," (+"&amp;(SUMPRODUCT(1*EXACT('Casillas del horario'!$S$4:$S$73,"Profesor de AL/AC en 10-3"&amp;CHAR(31)&amp;$A10&amp;CHAR(31)&amp;C$3))-2)&amp;")",""),IF(ISNA(MATCH(1,INDEX(EXACT('Casillas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/ "&amp;IF(ISBLANK(INDEX('Casillas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10-3"&amp;CHAR(31)&amp;$A10&amp;CHAR(31)&amp;D$3)*1,0),0)))),"",INDEX('Casillas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10-3"&amp;CHAR(31)&amp;$A10&amp;CHAR(31)&amp;D$3)*1,0),0))))&amp;IF(SUMPRODUCT(1*EXACT('Casillas del horario'!$S$4:$S$73,"Profesor de AL/AC en 10-3"&amp;CHAR(31)&amp;$A10&amp;CHAR(31)&amp;D$3))&gt;2," (+"&amp;(SUMPRODUCT(1*EXACT('Casillas del horario'!$S$4:$S$73,"Profesor de AL/AC en 10-3"&amp;CHAR(31)&amp;$A10&amp;CHAR(31)&amp;D$3))-2)&amp;")",""),IF(ISNA(MATCH(1,INDEX(EXACT('Casillas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/ "&amp;IF(ISBLANK(INDEX('Casillas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10-3"&amp;CHAR(31)&amp;$A10&amp;CHAR(31)&amp;E$3)*1,0),0)))),"",INDEX('Casillas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10-3"&amp;CHAR(31)&amp;$A10&amp;CHAR(31)&amp;E$3)*1,0),0))))&amp;IF(SUMPRODUCT(1*EXACT('Casillas del horario'!$S$4:$S$73,"Profesor de AL/AC en 10-3"&amp;CHAR(31)&amp;$A10&amp;CHAR(31)&amp;E$3))&gt;2," (+"&amp;(SUMPRODUCT(1*EXACT('Casillas del horario'!$S$4:$S$73,"Profesor de AL/AC en 10-3"&amp;CHAR(31)&amp;$A10&amp;CHAR(31)&amp;E$3))-2)&amp;")",""),IF(ISNA(MATCH(1,INDEX(EXACT('Casillas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/ "&amp;IF(ISBLANK(INDEX('Casillas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10-3"&amp;CHAR(31)&amp;$A10&amp;CHAR(31)&amp;F$3)*1,0),0)))),"",INDEX('Casillas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10-3"&amp;CHAR(31)&amp;$A10&amp;CHAR(31)&amp;F$3)*1,0),0))))&amp;IF(SUMPRODUCT(1*EXACT('Casillas del horario'!$S$4:$S$73,"Profesor de AL/AC en 10-3"&amp;CHAR(31)&amp;$A10&amp;CHAR(31)&amp;F$3))&gt;2," (+"&amp;(SUMPRODUCT(1*EXACT('Casillas del horario'!$S$4:$S$73,"Profesor de AL/AC en 10-3"&amp;CHAR(31)&amp;$A10&amp;CHAR(31)&amp;F$3))-2)&amp;")",""),IF(ISNA(MATCH(1,INDEX(EXACT('Casillas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/ "&amp;IF(ISBLANK(INDEX('Casillas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10-4"&amp;CHAR(31)&amp;$A4&amp;CHAR(31)&amp;B$3)*1,0),0)))),"",INDEX('Casillas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10-4"&amp;CHAR(31)&amp;$A4&amp;CHAR(31)&amp;B$3)*1,0),0))))&amp;IF(SUMPRODUCT(1*EXACT('Casillas del horario'!$S$4:$S$73,"Profesor de M en 10-4"&amp;CHAR(31)&amp;$A4&amp;CHAR(31)&amp;B$3))&gt;2," (+"&amp;(SUMPRODUCT(1*EXACT('Casillas del horario'!$S$4:$S$73,"Profesor de M en 10-4"&amp;CHAR(31)&amp;$A4&amp;CHAR(31)&amp;B$3))-2)&amp;")",""),IF(ISNA(MATCH(1,INDEX(EXACT('Casillas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/ "&amp;IF(ISBLANK(INDEX('Casillas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10-4"&amp;CHAR(31)&amp;$A4&amp;CHAR(31)&amp;C$3)*1,0),0)))),"",INDEX('Casillas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10-4"&amp;CHAR(31)&amp;$A4&amp;CHAR(31)&amp;C$3)*1,0),0))))&amp;IF(SUMPRODUCT(1*EXACT('Casillas del horario'!$S$4:$S$73,"Profesor de M en 10-4"&amp;CHAR(31)&amp;$A4&amp;CHAR(31)&amp;C$3))&gt;2," (+"&amp;(SUMPRODUCT(1*EXACT('Casillas del horario'!$S$4:$S$73,"Profesor de M en 10-4"&amp;CHAR(31)&amp;$A4&amp;CHAR(31)&amp;C$3))-2)&amp;")",""),IF(ISNA(MATCH(1,INDEX(EXACT('Casillas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/ "&amp;IF(ISBLANK(INDEX('Casillas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10-4"&amp;CHAR(31)&amp;$A4&amp;CHAR(31)&amp;D$3)*1,0),0)))),"",INDEX('Casillas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10-4"&amp;CHAR(31)&amp;$A4&amp;CHAR(31)&amp;D$3)*1,0),0))))&amp;IF(SUMPRODUCT(1*EXACT('Casillas del horario'!$S$4:$S$73,"Profesor de M en 10-4"&amp;CHAR(31)&amp;$A4&amp;CHAR(31)&amp;D$3))&gt;2," (+"&amp;(SUMPRODUCT(1*EXACT('Casillas del horario'!$S$4:$S$73,"Profesor de M en 10-4"&amp;CHAR(31)&amp;$A4&amp;CHAR(31)&amp;D$3))-2)&amp;")",""),IF(ISNA(MATCH(1,INDEX(EXACT('Casillas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/ "&amp;IF(ISBLANK(INDEX('Casillas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10-4"&amp;CHAR(31)&amp;$A4&amp;CHAR(31)&amp;E$3)*1,0),0)))),"",INDEX('Casillas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10-4"&amp;CHAR(31)&amp;$A4&amp;CHAR(31)&amp;E$3)*1,0),0))))&amp;IF(SUMPRODUCT(1*EXACT('Casillas del horario'!$S$4:$S$73,"Profesor de M en 10-4"&amp;CHAR(31)&amp;$A4&amp;CHAR(31)&amp;E$3))&gt;2," (+"&amp;(SUMPRODUCT(1*EXACT('Casillas del horario'!$S$4:$S$73,"Profesor de M en 10-4"&amp;CHAR(31)&amp;$A4&amp;CHAR(31)&amp;E$3))-2)&amp;")",""),IF(ISNA(MATCH(1,INDEX(EXACT('Casillas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/ "&amp;IF(ISBLANK(INDEX('Casillas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10-4"&amp;CHAR(31)&amp;$A4&amp;CHAR(31)&amp;F$3)*1,0),0)))),"",INDEX('Casillas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10-4"&amp;CHAR(31)&amp;$A4&amp;CHAR(31)&amp;F$3)*1,0),0))))&amp;IF(SUMPRODUCT(1*EXACT('Casillas del horario'!$S$4:$S$73,"Profesor de M en 10-4"&amp;CHAR(31)&amp;$A4&amp;CHAR(31)&amp;F$3))&gt;2," (+"&amp;(SUMPRODUCT(1*EXACT('Casillas del horario'!$S$4:$S$73,"Profesor de M en 10-4"&amp;CHAR(31)&amp;$A4&amp;CHAR(31)&amp;F$3))-2)&amp;")",""),IF(ISNA(MATCH(1,INDEX(EXACT('Casillas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/ "&amp;IF(ISBLANK(INDEX('Casillas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10-4"&amp;CHAR(31)&amp;$A5&amp;CHAR(31)&amp;B$3)*1,0),0)))),"",INDEX('Casillas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10-4"&amp;CHAR(31)&amp;$A5&amp;CHAR(31)&amp;B$3)*1,0),0))))&amp;IF(SUMPRODUCT(1*EXACT('Casillas del horario'!$S$4:$S$73,"Profesor de M en 10-4"&amp;CHAR(31)&amp;$A5&amp;CHAR(31)&amp;B$3))&gt;2," (+"&amp;(SUMPRODUCT(1*EXACT('Casillas del horario'!$S$4:$S$73,"Profesor de M en 10-4"&amp;CHAR(31)&amp;$A5&amp;CHAR(31)&amp;B$3))-2)&amp;")",""),IF(ISNA(MATCH(1,INDEX(EXACT('Casillas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/ "&amp;IF(ISBLANK(INDEX('Casillas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10-4"&amp;CHAR(31)&amp;$A5&amp;CHAR(31)&amp;C$3)*1,0),0)))),"",INDEX('Casillas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10-4"&amp;CHAR(31)&amp;$A5&amp;CHAR(31)&amp;C$3)*1,0),0))))&amp;IF(SUMPRODUCT(1*EXACT('Casillas del horario'!$S$4:$S$73,"Profesor de M en 10-4"&amp;CHAR(31)&amp;$A5&amp;CHAR(31)&amp;C$3))&gt;2," (+"&amp;(SUMPRODUCT(1*EXACT('Casillas del horario'!$S$4:$S$73,"Profesor de M en 10-4"&amp;CHAR(31)&amp;$A5&amp;CHAR(31)&amp;C$3))-2)&amp;")",""),IF(ISNA(MATCH(1,INDEX(EXACT('Casillas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/ "&amp;IF(ISBLANK(INDEX('Casillas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10-4"&amp;CHAR(31)&amp;$A5&amp;CHAR(31)&amp;D$3)*1,0),0)))),"",INDEX('Casillas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10-4"&amp;CHAR(31)&amp;$A5&amp;CHAR(31)&amp;D$3)*1,0),0))))&amp;IF(SUMPRODUCT(1*EXACT('Casillas del horario'!$S$4:$S$73,"Profesor de M en 10-4"&amp;CHAR(31)&amp;$A5&amp;CHAR(31)&amp;D$3))&gt;2," (+"&amp;(SUMPRODUCT(1*EXACT('Casillas del horario'!$S$4:$S$73,"Profesor de M en 10-4"&amp;CHAR(31)&amp;$A5&amp;CHAR(31)&amp;D$3))-2)&amp;")",""),IF(ISNA(MATCH(1,INDEX(EXACT('Casillas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/ "&amp;IF(ISBLANK(INDEX('Casillas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10-4"&amp;CHAR(31)&amp;$A5&amp;CHAR(31)&amp;E$3)*1,0),0)))),"",INDEX('Casillas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10-4"&amp;CHAR(31)&amp;$A5&amp;CHAR(31)&amp;E$3)*1,0),0))))&amp;IF(SUMPRODUCT(1*EXACT('Casillas del horario'!$S$4:$S$73,"Profesor de M en 10-4"&amp;CHAR(31)&amp;$A5&amp;CHAR(31)&amp;E$3))&gt;2," (+"&amp;(SUMPRODUCT(1*EXACT('Casillas del horario'!$S$4:$S$73,"Profesor de M en 10-4"&amp;CHAR(31)&amp;$A5&amp;CHAR(31)&amp;E$3))-2)&amp;")",""),IF(ISNA(MATCH(1,INDEX(EXACT('Casillas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/ "&amp;IF(ISBLANK(INDEX('Casillas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10-4"&amp;CHAR(31)&amp;$A5&amp;CHAR(31)&amp;F$3)*1,0),0)))),"",INDEX('Casillas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10-4"&amp;CHAR(31)&amp;$A5&amp;CHAR(31)&amp;F$3)*1,0),0))))&amp;IF(SUMPRODUCT(1*EXACT('Casillas del horario'!$S$4:$S$73,"Profesor de M en 10-4"&amp;CHAR(31)&amp;$A5&amp;CHAR(31)&amp;F$3))&gt;2," (+"&amp;(SUMPRODUCT(1*EXACT('Casillas del horario'!$S$4:$S$73,"Profesor de M en 10-4"&amp;CHAR(31)&amp;$A5&amp;CHAR(31)&amp;F$3))-2)&amp;")",""),IF(ISNA(MATCH(1,INDEX(EXACT('Casillas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/ "&amp;IF(ISBLANK(INDEX('Casillas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10-4"&amp;CHAR(31)&amp;$A6&amp;CHAR(31)&amp;B$3)*1,0),0)))),"",INDEX('Casillas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10-4"&amp;CHAR(31)&amp;$A6&amp;CHAR(31)&amp;B$3)*1,0),0))))&amp;IF(SUMPRODUCT(1*EXACT('Casillas del horario'!$S$4:$S$73,"Profesor de M en 10-4"&amp;CHAR(31)&amp;$A6&amp;CHAR(31)&amp;B$3))&gt;2," (+"&amp;(SUMPRODUCT(1*EXACT('Casillas del horario'!$S$4:$S$73,"Profesor de M en 10-4"&amp;CHAR(31)&amp;$A6&amp;CHAR(31)&amp;B$3))-2)&amp;")",""),IF(ISNA(MATCH(1,INDEX(EXACT('Casillas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/ "&amp;IF(ISBLANK(INDEX('Casillas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10-4"&amp;CHAR(31)&amp;$A6&amp;CHAR(31)&amp;C$3)*1,0),0)))),"",INDEX('Casillas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10-4"&amp;CHAR(31)&amp;$A6&amp;CHAR(31)&amp;C$3)*1,0),0))))&amp;IF(SUMPRODUCT(1*EXACT('Casillas del horario'!$S$4:$S$73,"Profesor de M en 10-4"&amp;CHAR(31)&amp;$A6&amp;CHAR(31)&amp;C$3))&gt;2," (+"&amp;(SUMPRODUCT(1*EXACT('Casillas del horario'!$S$4:$S$73,"Profesor de M en 10-4"&amp;CHAR(31)&amp;$A6&amp;CHAR(31)&amp;C$3))-2)&amp;")",""),IF(ISNA(MATCH(1,INDEX(EXACT('Casillas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/ "&amp;IF(ISBLANK(INDEX('Casillas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10-4"&amp;CHAR(31)&amp;$A6&amp;CHAR(31)&amp;D$3)*1,0),0)))),"",INDEX('Casillas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10-4"&amp;CHAR(31)&amp;$A6&amp;CHAR(31)&amp;D$3)*1,0),0))))&amp;IF(SUMPRODUCT(1*EXACT('Casillas del horario'!$S$4:$S$73,"Profesor de M en 10-4"&amp;CHAR(31)&amp;$A6&amp;CHAR(31)&amp;D$3))&gt;2," (+"&amp;(SUMPRODUCT(1*EXACT('Casillas del horario'!$S$4:$S$73,"Profesor de M en 10-4"&amp;CHAR(31)&amp;$A6&amp;CHAR(31)&amp;D$3))-2)&amp;")",""),IF(ISNA(MATCH(1,INDEX(EXACT('Casillas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/ "&amp;IF(ISBLANK(INDEX('Casillas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10-4"&amp;CHAR(31)&amp;$A6&amp;CHAR(31)&amp;E$3)*1,0),0)))),"",INDEX('Casillas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10-4"&amp;CHAR(31)&amp;$A6&amp;CHAR(31)&amp;E$3)*1,0),0))))&amp;IF(SUMPRODUCT(1*EXACT('Casillas del horario'!$S$4:$S$73,"Profesor de M en 10-4"&amp;CHAR(31)&amp;$A6&amp;CHAR(31)&amp;E$3))&gt;2," (+"&amp;(SUMPRODUCT(1*EXACT('Casillas del horario'!$S$4:$S$73,"Profesor de M en 10-4"&amp;CHAR(31)&amp;$A6&amp;CHAR(31)&amp;E$3))-2)&amp;")",""),IF(ISNA(MATCH(1,INDEX(EXACT('Casillas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/ "&amp;IF(ISBLANK(INDEX('Casillas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10-4"&amp;CHAR(31)&amp;$A6&amp;CHAR(31)&amp;F$3)*1,0),0)))),"",INDEX('Casillas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10-4"&amp;CHAR(31)&amp;$A6&amp;CHAR(31)&amp;F$3)*1,0),0))))&amp;IF(SUMPRODUCT(1*EXACT('Casillas del horario'!$S$4:$S$73,"Profesor de M en 10-4"&amp;CHAR(31)&amp;$A6&amp;CHAR(31)&amp;F$3))&gt;2," (+"&amp;(SUMPRODUCT(1*EXACT('Casillas del horario'!$S$4:$S$73,"Profesor de M en 10-4"&amp;CHAR(31)&amp;$A6&amp;CHAR(31)&amp;F$3))-2)&amp;")",""),IF(ISNA(MATCH(1,INDEX(EXACT('Casillas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/ "&amp;IF(ISBLANK(INDEX('Casillas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10-4"&amp;CHAR(31)&amp;$A7&amp;CHAR(31)&amp;B$3)*1,0),0)))),"",INDEX('Casillas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10-4"&amp;CHAR(31)&amp;$A7&amp;CHAR(31)&amp;B$3)*1,0),0))))&amp;IF(SUMPRODUCT(1*EXACT('Casillas del horario'!$S$4:$S$73,"Profesor de M en 10-4"&amp;CHAR(31)&amp;$A7&amp;CHAR(31)&amp;B$3))&gt;2," (+"&amp;(SUMPRODUCT(1*EXACT('Casillas del horario'!$S$4:$S$73,"Profesor de M en 10-4"&amp;CHAR(31)&amp;$A7&amp;CHAR(31)&amp;B$3))-2)&amp;")",""),IF(ISNA(MATCH(1,INDEX(EXACT('Casillas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/ "&amp;IF(ISBLANK(INDEX('Casillas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10-4"&amp;CHAR(31)&amp;$A7&amp;CHAR(31)&amp;C$3)*1,0),0)))),"",INDEX('Casillas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10-4"&amp;CHAR(31)&amp;$A7&amp;CHAR(31)&amp;C$3)*1,0),0))))&amp;IF(SUMPRODUCT(1*EXACT('Casillas del horario'!$S$4:$S$73,"Profesor de M en 10-4"&amp;CHAR(31)&amp;$A7&amp;CHAR(31)&amp;C$3))&gt;2," (+"&amp;(SUMPRODUCT(1*EXACT('Casillas del horario'!$S$4:$S$73,"Profesor de M en 10-4"&amp;CHAR(31)&amp;$A7&amp;CHAR(31)&amp;C$3))-2)&amp;")",""),IF(ISNA(MATCH(1,INDEX(EXACT('Casillas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/ "&amp;IF(ISBLANK(INDEX('Casillas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10-4"&amp;CHAR(31)&amp;$A7&amp;CHAR(31)&amp;D$3)*1,0),0)))),"",INDEX('Casillas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10-4"&amp;CHAR(31)&amp;$A7&amp;CHAR(31)&amp;D$3)*1,0),0))))&amp;IF(SUMPRODUCT(1*EXACT('Casillas del horario'!$S$4:$S$73,"Profesor de M en 10-4"&amp;CHAR(31)&amp;$A7&amp;CHAR(31)&amp;D$3))&gt;2," (+"&amp;(SUMPRODUCT(1*EXACT('Casillas del horario'!$S$4:$S$73,"Profesor de M en 10-4"&amp;CHAR(31)&amp;$A7&amp;CHAR(31)&amp;D$3))-2)&amp;")",""),IF(ISNA(MATCH(1,INDEX(EXACT('Casillas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/ "&amp;IF(ISBLANK(INDEX('Casillas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10-4"&amp;CHAR(31)&amp;$A7&amp;CHAR(31)&amp;E$3)*1,0),0)))),"",INDEX('Casillas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10-4"&amp;CHAR(31)&amp;$A7&amp;CHAR(31)&amp;E$3)*1,0),0))))&amp;IF(SUMPRODUCT(1*EXACT('Casillas del horario'!$S$4:$S$73,"Profesor de M en 10-4"&amp;CHAR(31)&amp;$A7&amp;CHAR(31)&amp;E$3))&gt;2," (+"&amp;(SUMPRODUCT(1*EXACT('Casillas del horario'!$S$4:$S$73,"Profesor de M en 10-4"&amp;CHAR(31)&amp;$A7&amp;CHAR(31)&amp;E$3))-2)&amp;")",""),IF(ISNA(MATCH(1,INDEX(EXACT('Casillas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/ "&amp;IF(ISBLANK(INDEX('Casillas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10-4"&amp;CHAR(31)&amp;$A7&amp;CHAR(31)&amp;F$3)*1,0),0)))),"",INDEX('Casillas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10-4"&amp;CHAR(31)&amp;$A7&amp;CHAR(31)&amp;F$3)*1,0),0))))&amp;IF(SUMPRODUCT(1*EXACT('Casillas del horario'!$S$4:$S$73,"Profesor de M en 10-4"&amp;CHAR(31)&amp;$A7&amp;CHAR(31)&amp;F$3))&gt;2," (+"&amp;(SUMPRODUCT(1*EXACT('Casillas del horario'!$S$4:$S$73,"Profesor de M en 10-4"&amp;CHAR(31)&amp;$A7&amp;CHAR(31)&amp;F$3))-2)&amp;")",""),IF(ISNA(MATCH(1,INDEX(EXACT('Casillas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/ "&amp;IF(ISBLANK(INDEX('Casillas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10-4"&amp;CHAR(31)&amp;$A8&amp;CHAR(31)&amp;B$3)*1,0),0)))),"",INDEX('Casillas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10-4"&amp;CHAR(31)&amp;$A8&amp;CHAR(31)&amp;B$3)*1,0),0))))&amp;IF(SUMPRODUCT(1*EXACT('Casillas del horario'!$S$4:$S$73,"Profesor de M en 10-4"&amp;CHAR(31)&amp;$A8&amp;CHAR(31)&amp;B$3))&gt;2," (+"&amp;(SUMPRODUCT(1*EXACT('Casillas del horario'!$S$4:$S$73,"Profesor de M en 10-4"&amp;CHAR(31)&amp;$A8&amp;CHAR(31)&amp;B$3))-2)&amp;")",""),IF(ISNA(MATCH(1,INDEX(EXACT('Casillas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/ "&amp;IF(ISBLANK(INDEX('Casillas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10-4"&amp;CHAR(31)&amp;$A8&amp;CHAR(31)&amp;C$3)*1,0),0)))),"",INDEX('Casillas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10-4"&amp;CHAR(31)&amp;$A8&amp;CHAR(31)&amp;C$3)*1,0),0))))&amp;IF(SUMPRODUCT(1*EXACT('Casillas del horario'!$S$4:$S$73,"Profesor de M en 10-4"&amp;CHAR(31)&amp;$A8&amp;CHAR(31)&amp;C$3))&gt;2," (+"&amp;(SUMPRODUCT(1*EXACT('Casillas del horario'!$S$4:$S$73,"Profesor de M en 10-4"&amp;CHAR(31)&amp;$A8&amp;CHAR(31)&amp;C$3))-2)&amp;")",""),IF(ISNA(MATCH(1,INDEX(EXACT('Casillas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/ "&amp;IF(ISBLANK(INDEX('Casillas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10-4"&amp;CHAR(31)&amp;$A8&amp;CHAR(31)&amp;D$3)*1,0),0)))),"",INDEX('Casillas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10-4"&amp;CHAR(31)&amp;$A8&amp;CHAR(31)&amp;D$3)*1,0),0))))&amp;IF(SUMPRODUCT(1*EXACT('Casillas del horario'!$S$4:$S$73,"Profesor de M en 10-4"&amp;CHAR(31)&amp;$A8&amp;CHAR(31)&amp;D$3))&gt;2," (+"&amp;(SUMPRODUCT(1*EXACT('Casillas del horario'!$S$4:$S$73,"Profesor de M en 10-4"&amp;CHAR(31)&amp;$A8&amp;CHAR(31)&amp;D$3))-2)&amp;")",""),IF(ISNA(MATCH(1,INDEX(EXACT('Casillas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/ "&amp;IF(ISBLANK(INDEX('Casillas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10-4"&amp;CHAR(31)&amp;$A8&amp;CHAR(31)&amp;E$3)*1,0),0)))),"",INDEX('Casillas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10-4"&amp;CHAR(31)&amp;$A8&amp;CHAR(31)&amp;E$3)*1,0),0))))&amp;IF(SUMPRODUCT(1*EXACT('Casillas del horario'!$S$4:$S$73,"Profesor de M en 10-4"&amp;CHAR(31)&amp;$A8&amp;CHAR(31)&amp;E$3))&gt;2," (+"&amp;(SUMPRODUCT(1*EXACT('Casillas del horario'!$S$4:$S$73,"Profesor de M en 10-4"&amp;CHAR(31)&amp;$A8&amp;CHAR(31)&amp;E$3))-2)&amp;")",""),IF(ISNA(MATCH(1,INDEX(EXACT('Casillas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/ "&amp;IF(ISBLANK(INDEX('Casillas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10-4"&amp;CHAR(31)&amp;$A8&amp;CHAR(31)&amp;F$3)*1,0),0)))),"",INDEX('Casillas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10-4"&amp;CHAR(31)&amp;$A8&amp;CHAR(31)&amp;F$3)*1,0),0))))&amp;IF(SUMPRODUCT(1*EXACT('Casillas del horario'!$S$4:$S$73,"Profesor de M en 10-4"&amp;CHAR(31)&amp;$A8&amp;CHAR(31)&amp;F$3))&gt;2," (+"&amp;(SUMPRODUCT(1*EXACT('Casillas del horario'!$S$4:$S$73,"Profesor de M en 10-4"&amp;CHAR(31)&amp;$A8&amp;CHAR(31)&amp;F$3))-2)&amp;")",""),IF(ISNA(MATCH(1,INDEX(EXACT('Casillas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/ "&amp;IF(ISBLANK(INDEX('Casillas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10-4"&amp;CHAR(31)&amp;$A9&amp;CHAR(31)&amp;B$3)*1,0),0)))),"",INDEX('Casillas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10-4"&amp;CHAR(31)&amp;$A9&amp;CHAR(31)&amp;B$3)*1,0),0))))&amp;IF(SUMPRODUCT(1*EXACT('Casillas del horario'!$S$4:$S$73,"Profesor de M en 10-4"&amp;CHAR(31)&amp;$A9&amp;CHAR(31)&amp;B$3))&gt;2," (+"&amp;(SUMPRODUCT(1*EXACT('Casillas del horario'!$S$4:$S$73,"Profesor de M en 10-4"&amp;CHAR(31)&amp;$A9&amp;CHAR(31)&amp;B$3))-2)&amp;")",""),IF(ISNA(MATCH(1,INDEX(EXACT('Casillas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/ "&amp;IF(ISBLANK(INDEX('Casillas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10-4"&amp;CHAR(31)&amp;$A9&amp;CHAR(31)&amp;C$3)*1,0),0)))),"",INDEX('Casillas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10-4"&amp;CHAR(31)&amp;$A9&amp;CHAR(31)&amp;C$3)*1,0),0))))&amp;IF(SUMPRODUCT(1*EXACT('Casillas del horario'!$S$4:$S$73,"Profesor de M en 10-4"&amp;CHAR(31)&amp;$A9&amp;CHAR(31)&amp;C$3))&gt;2," (+"&amp;(SUMPRODUCT(1*EXACT('Casillas del horario'!$S$4:$S$73,"Profesor de M en 10-4"&amp;CHAR(31)&amp;$A9&amp;CHAR(31)&amp;C$3))-2)&amp;")",""),IF(ISNA(MATCH(1,INDEX(EXACT('Casillas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/ "&amp;IF(ISBLANK(INDEX('Casillas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10-4"&amp;CHAR(31)&amp;$A9&amp;CHAR(31)&amp;D$3)*1,0),0)))),"",INDEX('Casillas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10-4"&amp;CHAR(31)&amp;$A9&amp;CHAR(31)&amp;D$3)*1,0),0))))&amp;IF(SUMPRODUCT(1*EXACT('Casillas del horario'!$S$4:$S$73,"Profesor de M en 10-4"&amp;CHAR(31)&amp;$A9&amp;CHAR(31)&amp;D$3))&gt;2," (+"&amp;(SUMPRODUCT(1*EXACT('Casillas del horario'!$S$4:$S$73,"Profesor de M en 10-4"&amp;CHAR(31)&amp;$A9&amp;CHAR(31)&amp;D$3))-2)&amp;")",""),IF(ISNA(MATCH(1,INDEX(EXACT('Casillas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/ "&amp;IF(ISBLANK(INDEX('Casillas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10-4"&amp;CHAR(31)&amp;$A9&amp;CHAR(31)&amp;E$3)*1,0),0)))),"",INDEX('Casillas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10-4"&amp;CHAR(31)&amp;$A9&amp;CHAR(31)&amp;E$3)*1,0),0))))&amp;IF(SUMPRODUCT(1*EXACT('Casillas del horario'!$S$4:$S$73,"Profesor de M en 10-4"&amp;CHAR(31)&amp;$A9&amp;CHAR(31)&amp;E$3))&gt;2," (+"&amp;(SUMPRODUCT(1*EXACT('Casillas del horario'!$S$4:$S$73,"Profesor de M en 10-4"&amp;CHAR(31)&amp;$A9&amp;CHAR(31)&amp;E$3))-2)&amp;")",""),IF(ISNA(MATCH(1,INDEX(EXACT('Casillas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/ "&amp;IF(ISBLANK(INDEX('Casillas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10-4"&amp;CHAR(31)&amp;$A9&amp;CHAR(31)&amp;F$3)*1,0),0)))),"",INDEX('Casillas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10-4"&amp;CHAR(31)&amp;$A9&amp;CHAR(31)&amp;F$3)*1,0),0))))&amp;IF(SUMPRODUCT(1*EXACT('Casillas del horario'!$S$4:$S$73,"Profesor de M en 10-4"&amp;CHAR(31)&amp;$A9&amp;CHAR(31)&amp;F$3))&gt;2," (+"&amp;(SUMPRODUCT(1*EXACT('Casillas del horario'!$S$4:$S$73,"Profesor de M en 10-4"&amp;CHAR(31)&amp;$A9&amp;CHAR(31)&amp;F$3))-2)&amp;")",""),IF(ISNA(MATCH(1,INDEX(EXACT('Casillas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/ "&amp;IF(ISBLANK(INDEX('Casillas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10-4"&amp;CHAR(31)&amp;$A10&amp;CHAR(31)&amp;B$3)*1,0),0)))),"",INDEX('Casillas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10-4"&amp;CHAR(31)&amp;$A10&amp;CHAR(31)&amp;B$3)*1,0),0))))&amp;IF(SUMPRODUCT(1*EXACT('Casillas del horario'!$S$4:$S$73,"Profesor de M en 10-4"&amp;CHAR(31)&amp;$A10&amp;CHAR(31)&amp;B$3))&gt;2," (+"&amp;(SUMPRODUCT(1*EXACT('Casillas del horario'!$S$4:$S$73,"Profesor de M en 10-4"&amp;CHAR(31)&amp;$A10&amp;CHAR(31)&amp;B$3))-2)&amp;")",""),IF(ISNA(MATCH(1,INDEX(EXACT('Casillas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/ "&amp;IF(ISBLANK(INDEX('Casillas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10-4"&amp;CHAR(31)&amp;$A10&amp;CHAR(31)&amp;C$3)*1,0),0)))),"",INDEX('Casillas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10-4"&amp;CHAR(31)&amp;$A10&amp;CHAR(31)&amp;C$3)*1,0),0))))&amp;IF(SUMPRODUCT(1*EXACT('Casillas del horario'!$S$4:$S$73,"Profesor de M en 10-4"&amp;CHAR(31)&amp;$A10&amp;CHAR(31)&amp;C$3))&gt;2," (+"&amp;(SUMPRODUCT(1*EXACT('Casillas del horario'!$S$4:$S$73,"Profesor de M en 10-4"&amp;CHAR(31)&amp;$A10&amp;CHAR(31)&amp;C$3))-2)&amp;")",""),IF(ISNA(MATCH(1,INDEX(EXACT('Casillas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/ "&amp;IF(ISBLANK(INDEX('Casillas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10-4"&amp;CHAR(31)&amp;$A10&amp;CHAR(31)&amp;D$3)*1,0),0)))),"",INDEX('Casillas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10-4"&amp;CHAR(31)&amp;$A10&amp;CHAR(31)&amp;D$3)*1,0),0))))&amp;IF(SUMPRODUCT(1*EXACT('Casillas del horario'!$S$4:$S$73,"Profesor de M en 10-4"&amp;CHAR(31)&amp;$A10&amp;CHAR(31)&amp;D$3))&gt;2," (+"&amp;(SUMPRODUCT(1*EXACT('Casillas del horario'!$S$4:$S$73,"Profesor de M en 10-4"&amp;CHAR(31)&amp;$A10&amp;CHAR(31)&amp;D$3))-2)&amp;")",""),IF(ISNA(MATCH(1,INDEX(EXACT('Casillas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/ "&amp;IF(ISBLANK(INDEX('Casillas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10-4"&amp;CHAR(31)&amp;$A10&amp;CHAR(31)&amp;E$3)*1,0),0)))),"",INDEX('Casillas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10-4"&amp;CHAR(31)&amp;$A10&amp;CHAR(31)&amp;E$3)*1,0),0))))&amp;IF(SUMPRODUCT(1*EXACT('Casillas del horario'!$S$4:$S$73,"Profesor de M en 10-4"&amp;CHAR(31)&amp;$A10&amp;CHAR(31)&amp;E$3))&gt;2," (+"&amp;(SUMPRODUCT(1*EXACT('Casillas del horario'!$S$4:$S$73,"Profesor de M en 10-4"&amp;CHAR(31)&amp;$A10&amp;CHAR(31)&amp;E$3))-2)&amp;")",""),IF(ISNA(MATCH(1,INDEX(EXACT('Casillas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/ "&amp;IF(ISBLANK(INDEX('Casillas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10-4"&amp;CHAR(31)&amp;$A10&amp;CHAR(31)&amp;F$3)*1,0),0)))),"",INDEX('Casillas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10-4"&amp;CHAR(31)&amp;$A10&amp;CHAR(31)&amp;F$3)*1,0),0))))&amp;IF(SUMPRODUCT(1*EXACT('Casillas del horario'!$S$4:$S$73,"Profesor de M en 10-4"&amp;CHAR(31)&amp;$A10&amp;CHAR(31)&amp;F$3))&gt;2," (+"&amp;(SUMPRODUCT(1*EXACT('Casillas del horario'!$S$4:$S$73,"Profesor de M en 10-4"&amp;CHAR(31)&amp;$A10&amp;CHAR(31)&amp;F$3))-2)&amp;")",""),IF(ISNA(MATCH(1,INDEX(EXACT('Casillas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/ "&amp;IF(ISBLANK(INDEX('Casillas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10-4"&amp;CHAR(31)&amp;$A4&amp;CHAR(31)&amp;B$3)*1,0),0)))),"",INDEX('Casillas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10-4"&amp;CHAR(31)&amp;$A4&amp;CHAR(31)&amp;B$3)*1,0),0))))&amp;IF(SUMPRODUCT(1*EXACT('Casillas del horario'!$S$4:$S$73,"Profesor de Lit-L en 10-4"&amp;CHAR(31)&amp;$A4&amp;CHAR(31)&amp;B$3))&gt;2," (+"&amp;(SUMPRODUCT(1*EXACT('Casillas del horario'!$S$4:$S$73,"Profesor de Lit-L en 10-4"&amp;CHAR(31)&amp;$A4&amp;CHAR(31)&amp;B$3))-2)&amp;")",""),IF(ISNA(MATCH(1,INDEX(EXACT('Casillas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/ "&amp;IF(ISBLANK(INDEX('Casillas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10-4"&amp;CHAR(31)&amp;$A4&amp;CHAR(31)&amp;C$3)*1,0),0)))),"",INDEX('Casillas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10-4"&amp;CHAR(31)&amp;$A4&amp;CHAR(31)&amp;C$3)*1,0),0))))&amp;IF(SUMPRODUCT(1*EXACT('Casillas del horario'!$S$4:$S$73,"Profesor de Lit-L en 10-4"&amp;CHAR(31)&amp;$A4&amp;CHAR(31)&amp;C$3))&gt;2," (+"&amp;(SUMPRODUCT(1*EXACT('Casillas del horario'!$S$4:$S$73,"Profesor de Lit-L en 10-4"&amp;CHAR(31)&amp;$A4&amp;CHAR(31)&amp;C$3))-2)&amp;")",""),IF(ISNA(MATCH(1,INDEX(EXACT('Casillas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/ "&amp;IF(ISBLANK(INDEX('Casillas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10-4"&amp;CHAR(31)&amp;$A4&amp;CHAR(31)&amp;D$3)*1,0),0)))),"",INDEX('Casillas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10-4"&amp;CHAR(31)&amp;$A4&amp;CHAR(31)&amp;D$3)*1,0),0))))&amp;IF(SUMPRODUCT(1*EXACT('Casillas del horario'!$S$4:$S$73,"Profesor de Lit-L en 10-4"&amp;CHAR(31)&amp;$A4&amp;CHAR(31)&amp;D$3))&gt;2," (+"&amp;(SUMPRODUCT(1*EXACT('Casillas del horario'!$S$4:$S$73,"Profesor de Lit-L en 10-4"&amp;CHAR(31)&amp;$A4&amp;CHAR(31)&amp;D$3))-2)&amp;")",""),IF(ISNA(MATCH(1,INDEX(EXACT('Casillas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/ "&amp;IF(ISBLANK(INDEX('Casillas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10-4"&amp;CHAR(31)&amp;$A4&amp;CHAR(31)&amp;E$3)*1,0),0)))),"",INDEX('Casillas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10-4"&amp;CHAR(31)&amp;$A4&amp;CHAR(31)&amp;E$3)*1,0),0))))&amp;IF(SUMPRODUCT(1*EXACT('Casillas del horario'!$S$4:$S$73,"Profesor de Lit-L en 10-4"&amp;CHAR(31)&amp;$A4&amp;CHAR(31)&amp;E$3))&gt;2," (+"&amp;(SUMPRODUCT(1*EXACT('Casillas del horario'!$S$4:$S$73,"Profesor de Lit-L en 10-4"&amp;CHAR(31)&amp;$A4&amp;CHAR(31)&amp;E$3))-2)&amp;")",""),IF(ISNA(MATCH(1,INDEX(EXACT('Casillas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/ "&amp;IF(ISBLANK(INDEX('Casillas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10-4"&amp;CHAR(31)&amp;$A4&amp;CHAR(31)&amp;F$3)*1,0),0)))),"",INDEX('Casillas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10-4"&amp;CHAR(31)&amp;$A4&amp;CHAR(31)&amp;F$3)*1,0),0))))&amp;IF(SUMPRODUCT(1*EXACT('Casillas del horario'!$S$4:$S$73,"Profesor de Lit-L en 10-4"&amp;CHAR(31)&amp;$A4&amp;CHAR(31)&amp;F$3))&gt;2," (+"&amp;(SUMPRODUCT(1*EXACT('Casillas del horario'!$S$4:$S$73,"Profesor de Lit-L en 10-4"&amp;CHAR(31)&amp;$A4&amp;CHAR(31)&amp;F$3))-2)&amp;")",""),IF(ISNA(MATCH(1,INDEX(EXACT('Casillas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/ "&amp;IF(ISBLANK(INDEX('Casillas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10-4"&amp;CHAR(31)&amp;$A5&amp;CHAR(31)&amp;B$3)*1,0),0)))),"",INDEX('Casillas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10-4"&amp;CHAR(31)&amp;$A5&amp;CHAR(31)&amp;B$3)*1,0),0))))&amp;IF(SUMPRODUCT(1*EXACT('Casillas del horario'!$S$4:$S$73,"Profesor de Lit-L en 10-4"&amp;CHAR(31)&amp;$A5&amp;CHAR(31)&amp;B$3))&gt;2," (+"&amp;(SUMPRODUCT(1*EXACT('Casillas del horario'!$S$4:$S$73,"Profesor de Lit-L en 10-4"&amp;CHAR(31)&amp;$A5&amp;CHAR(31)&amp;B$3))-2)&amp;")",""),IF(ISNA(MATCH(1,INDEX(EXACT('Casillas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/ "&amp;IF(ISBLANK(INDEX('Casillas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10-4"&amp;CHAR(31)&amp;$A5&amp;CHAR(31)&amp;C$3)*1,0),0)))),"",INDEX('Casillas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10-4"&amp;CHAR(31)&amp;$A5&amp;CHAR(31)&amp;C$3)*1,0),0))))&amp;IF(SUMPRODUCT(1*EXACT('Casillas del horario'!$S$4:$S$73,"Profesor de Lit-L en 10-4"&amp;CHAR(31)&amp;$A5&amp;CHAR(31)&amp;C$3))&gt;2," (+"&amp;(SUMPRODUCT(1*EXACT('Casillas del horario'!$S$4:$S$73,"Profesor de Lit-L en 10-4"&amp;CHAR(31)&amp;$A5&amp;CHAR(31)&amp;C$3))-2)&amp;")",""),IF(ISNA(MATCH(1,INDEX(EXACT('Casillas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/ "&amp;IF(ISBLANK(INDEX('Casillas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10-4"&amp;CHAR(31)&amp;$A5&amp;CHAR(31)&amp;D$3)*1,0),0)))),"",INDEX('Casillas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10-4"&amp;CHAR(31)&amp;$A5&amp;CHAR(31)&amp;D$3)*1,0),0))))&amp;IF(SUMPRODUCT(1*EXACT('Casillas del horario'!$S$4:$S$73,"Profesor de Lit-L en 10-4"&amp;CHAR(31)&amp;$A5&amp;CHAR(31)&amp;D$3))&gt;2," (+"&amp;(SUMPRODUCT(1*EXACT('Casillas del horario'!$S$4:$S$73,"Profesor de Lit-L en 10-4"&amp;CHAR(31)&amp;$A5&amp;CHAR(31)&amp;D$3))-2)&amp;")",""),IF(ISNA(MATCH(1,INDEX(EXACT('Casillas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/ "&amp;IF(ISBLANK(INDEX('Casillas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10-4"&amp;CHAR(31)&amp;$A5&amp;CHAR(31)&amp;E$3)*1,0),0)))),"",INDEX('Casillas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10-4"&amp;CHAR(31)&amp;$A5&amp;CHAR(31)&amp;E$3)*1,0),0))))&amp;IF(SUMPRODUCT(1*EXACT('Casillas del horario'!$S$4:$S$73,"Profesor de Lit-L en 10-4"&amp;CHAR(31)&amp;$A5&amp;CHAR(31)&amp;E$3))&gt;2," (+"&amp;(SUMPRODUCT(1*EXACT('Casillas del horario'!$S$4:$S$73,"Profesor de Lit-L en 10-4"&amp;CHAR(31)&amp;$A5&amp;CHAR(31)&amp;E$3))-2)&amp;")",""),IF(ISNA(MATCH(1,INDEX(EXACT('Casillas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/ "&amp;IF(ISBLANK(INDEX('Casillas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10-4"&amp;CHAR(31)&amp;$A5&amp;CHAR(31)&amp;F$3)*1,0),0)))),"",INDEX('Casillas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10-4"&amp;CHAR(31)&amp;$A5&amp;CHAR(31)&amp;F$3)*1,0),0))))&amp;IF(SUMPRODUCT(1*EXACT('Casillas del horario'!$S$4:$S$73,"Profesor de Lit-L en 10-4"&amp;CHAR(31)&amp;$A5&amp;CHAR(31)&amp;F$3))&gt;2," (+"&amp;(SUMPRODUCT(1*EXACT('Casillas del horario'!$S$4:$S$73,"Profesor de Lit-L en 10-4"&amp;CHAR(31)&amp;$A5&amp;CHAR(31)&amp;F$3))-2)&amp;")",""),IF(ISNA(MATCH(1,INDEX(EXACT('Casillas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/ "&amp;IF(ISBLANK(INDEX('Casillas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10-4"&amp;CHAR(31)&amp;$A6&amp;CHAR(31)&amp;B$3)*1,0),0)))),"",INDEX('Casillas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10-4"&amp;CHAR(31)&amp;$A6&amp;CHAR(31)&amp;B$3)*1,0),0))))&amp;IF(SUMPRODUCT(1*EXACT('Casillas del horario'!$S$4:$S$73,"Profesor de Lit-L en 10-4"&amp;CHAR(31)&amp;$A6&amp;CHAR(31)&amp;B$3))&gt;2," (+"&amp;(SUMPRODUCT(1*EXACT('Casillas del horario'!$S$4:$S$73,"Profesor de Lit-L en 10-4"&amp;CHAR(31)&amp;$A6&amp;CHAR(31)&amp;B$3))-2)&amp;")",""),IF(ISNA(MATCH(1,INDEX(EXACT('Casillas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/ "&amp;IF(ISBLANK(INDEX('Casillas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10-4"&amp;CHAR(31)&amp;$A6&amp;CHAR(31)&amp;C$3)*1,0),0)))),"",INDEX('Casillas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10-4"&amp;CHAR(31)&amp;$A6&amp;CHAR(31)&amp;C$3)*1,0),0))))&amp;IF(SUMPRODUCT(1*EXACT('Casillas del horario'!$S$4:$S$73,"Profesor de Lit-L en 10-4"&amp;CHAR(31)&amp;$A6&amp;CHAR(31)&amp;C$3))&gt;2," (+"&amp;(SUMPRODUCT(1*EXACT('Casillas del horario'!$S$4:$S$73,"Profesor de Lit-L en 10-4"&amp;CHAR(31)&amp;$A6&amp;CHAR(31)&amp;C$3))-2)&amp;")",""),IF(ISNA(MATCH(1,INDEX(EXACT('Casillas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/ "&amp;IF(ISBLANK(INDEX('Casillas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10-4"&amp;CHAR(31)&amp;$A6&amp;CHAR(31)&amp;D$3)*1,0),0)))),"",INDEX('Casillas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10-4"&amp;CHAR(31)&amp;$A6&amp;CHAR(31)&amp;D$3)*1,0),0))))&amp;IF(SUMPRODUCT(1*EXACT('Casillas del horario'!$S$4:$S$73,"Profesor de Lit-L en 10-4"&amp;CHAR(31)&amp;$A6&amp;CHAR(31)&amp;D$3))&gt;2," (+"&amp;(SUMPRODUCT(1*EXACT('Casillas del horario'!$S$4:$S$73,"Profesor de Lit-L en 10-4"&amp;CHAR(31)&amp;$A6&amp;CHAR(31)&amp;D$3))-2)&amp;")",""),IF(ISNA(MATCH(1,INDEX(EXACT('Casillas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/ "&amp;IF(ISBLANK(INDEX('Casillas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10-4"&amp;CHAR(31)&amp;$A6&amp;CHAR(31)&amp;E$3)*1,0),0)))),"",INDEX('Casillas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10-4"&amp;CHAR(31)&amp;$A6&amp;CHAR(31)&amp;E$3)*1,0),0))))&amp;IF(SUMPRODUCT(1*EXACT('Casillas del horario'!$S$4:$S$73,"Profesor de Lit-L en 10-4"&amp;CHAR(31)&amp;$A6&amp;CHAR(31)&amp;E$3))&gt;2," (+"&amp;(SUMPRODUCT(1*EXACT('Casillas del horario'!$S$4:$S$73,"Profesor de Lit-L en 10-4"&amp;CHAR(31)&amp;$A6&amp;CHAR(31)&amp;E$3))-2)&amp;")",""),IF(ISNA(MATCH(1,INDEX(EXACT('Casillas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/ "&amp;IF(ISBLANK(INDEX('Casillas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10-4"&amp;CHAR(31)&amp;$A6&amp;CHAR(31)&amp;F$3)*1,0),0)))),"",INDEX('Casillas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10-4"&amp;CHAR(31)&amp;$A6&amp;CHAR(31)&amp;F$3)*1,0),0))))&amp;IF(SUMPRODUCT(1*EXACT('Casillas del horario'!$S$4:$S$73,"Profesor de Lit-L en 10-4"&amp;CHAR(31)&amp;$A6&amp;CHAR(31)&amp;F$3))&gt;2," (+"&amp;(SUMPRODUCT(1*EXACT('Casillas del horario'!$S$4:$S$73,"Profesor de Lit-L en 10-4"&amp;CHAR(31)&amp;$A6&amp;CHAR(31)&amp;F$3))-2)&amp;")",""),IF(ISNA(MATCH(1,INDEX(EXACT('Casillas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/ "&amp;IF(ISBLANK(INDEX('Casillas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10-4"&amp;CHAR(31)&amp;$A7&amp;CHAR(31)&amp;B$3)*1,0),0)))),"",INDEX('Casillas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10-4"&amp;CHAR(31)&amp;$A7&amp;CHAR(31)&amp;B$3)*1,0),0))))&amp;IF(SUMPRODUCT(1*EXACT('Casillas del horario'!$S$4:$S$73,"Profesor de Lit-L en 10-4"&amp;CHAR(31)&amp;$A7&amp;CHAR(31)&amp;B$3))&gt;2," (+"&amp;(SUMPRODUCT(1*EXACT('Casillas del horario'!$S$4:$S$73,"Profesor de Lit-L en 10-4"&amp;CHAR(31)&amp;$A7&amp;CHAR(31)&amp;B$3))-2)&amp;")",""),IF(ISNA(MATCH(1,INDEX(EXACT('Casillas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/ "&amp;IF(ISBLANK(INDEX('Casillas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10-4"&amp;CHAR(31)&amp;$A7&amp;CHAR(31)&amp;C$3)*1,0),0)))),"",INDEX('Casillas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10-4"&amp;CHAR(31)&amp;$A7&amp;CHAR(31)&amp;C$3)*1,0),0))))&amp;IF(SUMPRODUCT(1*EXACT('Casillas del horario'!$S$4:$S$73,"Profesor de Lit-L en 10-4"&amp;CHAR(31)&amp;$A7&amp;CHAR(31)&amp;C$3))&gt;2," (+"&amp;(SUMPRODUCT(1*EXACT('Casillas del horario'!$S$4:$S$73,"Profesor de Lit-L en 10-4"&amp;CHAR(31)&amp;$A7&amp;CHAR(31)&amp;C$3))-2)&amp;")",""),IF(ISNA(MATCH(1,INDEX(EXACT('Casillas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/ "&amp;IF(ISBLANK(INDEX('Casillas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10-4"&amp;CHAR(31)&amp;$A7&amp;CHAR(31)&amp;D$3)*1,0),0)))),"",INDEX('Casillas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10-4"&amp;CHAR(31)&amp;$A7&amp;CHAR(31)&amp;D$3)*1,0),0))))&amp;IF(SUMPRODUCT(1*EXACT('Casillas del horario'!$S$4:$S$73,"Profesor de Lit-L en 10-4"&amp;CHAR(31)&amp;$A7&amp;CHAR(31)&amp;D$3))&gt;2," (+"&amp;(SUMPRODUCT(1*EXACT('Casillas del horario'!$S$4:$S$73,"Profesor de Lit-L en 10-4"&amp;CHAR(31)&amp;$A7&amp;CHAR(31)&amp;D$3))-2)&amp;")",""),IF(ISNA(MATCH(1,INDEX(EXACT('Casillas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/ "&amp;IF(ISBLANK(INDEX('Casillas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10-4"&amp;CHAR(31)&amp;$A7&amp;CHAR(31)&amp;E$3)*1,0),0)))),"",INDEX('Casillas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10-4"&amp;CHAR(31)&amp;$A7&amp;CHAR(31)&amp;E$3)*1,0),0))))&amp;IF(SUMPRODUCT(1*EXACT('Casillas del horario'!$S$4:$S$73,"Profesor de Lit-L en 10-4"&amp;CHAR(31)&amp;$A7&amp;CHAR(31)&amp;E$3))&gt;2," (+"&amp;(SUMPRODUCT(1*EXACT('Casillas del horario'!$S$4:$S$73,"Profesor de Lit-L en 10-4"&amp;CHAR(31)&amp;$A7&amp;CHAR(31)&amp;E$3))-2)&amp;")",""),IF(ISNA(MATCH(1,INDEX(EXACT('Casillas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/ "&amp;IF(ISBLANK(INDEX('Casillas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10-4"&amp;CHAR(31)&amp;$A7&amp;CHAR(31)&amp;F$3)*1,0),0)))),"",INDEX('Casillas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10-4"&amp;CHAR(31)&amp;$A7&amp;CHAR(31)&amp;F$3)*1,0),0))))&amp;IF(SUMPRODUCT(1*EXACT('Casillas del horario'!$S$4:$S$73,"Profesor de Lit-L en 10-4"&amp;CHAR(31)&amp;$A7&amp;CHAR(31)&amp;F$3))&gt;2," (+"&amp;(SUMPRODUCT(1*EXACT('Casillas del horario'!$S$4:$S$73,"Profesor de Lit-L en 10-4"&amp;CHAR(31)&amp;$A7&amp;CHAR(31)&amp;F$3))-2)&amp;")",""),IF(ISNA(MATCH(1,INDEX(EXACT('Casillas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/ "&amp;IF(ISBLANK(INDEX('Casillas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10-4"&amp;CHAR(31)&amp;$A8&amp;CHAR(31)&amp;B$3)*1,0),0)))),"",INDEX('Casillas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10-4"&amp;CHAR(31)&amp;$A8&amp;CHAR(31)&amp;B$3)*1,0),0))))&amp;IF(SUMPRODUCT(1*EXACT('Casillas del horario'!$S$4:$S$73,"Profesor de Lit-L en 10-4"&amp;CHAR(31)&amp;$A8&amp;CHAR(31)&amp;B$3))&gt;2," (+"&amp;(SUMPRODUCT(1*EXACT('Casillas del horario'!$S$4:$S$73,"Profesor de Lit-L en 10-4"&amp;CHAR(31)&amp;$A8&amp;CHAR(31)&amp;B$3))-2)&amp;")",""),IF(ISNA(MATCH(1,INDEX(EXACT('Casillas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/ "&amp;IF(ISBLANK(INDEX('Casillas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10-4"&amp;CHAR(31)&amp;$A8&amp;CHAR(31)&amp;C$3)*1,0),0)))),"",INDEX('Casillas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10-4"&amp;CHAR(31)&amp;$A8&amp;CHAR(31)&amp;C$3)*1,0),0))))&amp;IF(SUMPRODUCT(1*EXACT('Casillas del horario'!$S$4:$S$73,"Profesor de Lit-L en 10-4"&amp;CHAR(31)&amp;$A8&amp;CHAR(31)&amp;C$3))&gt;2," (+"&amp;(SUMPRODUCT(1*EXACT('Casillas del horario'!$S$4:$S$73,"Profesor de Lit-L en 10-4"&amp;CHAR(31)&amp;$A8&amp;CHAR(31)&amp;C$3))-2)&amp;")",""),IF(ISNA(MATCH(1,INDEX(EXACT('Casillas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/ "&amp;IF(ISBLANK(INDEX('Casillas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10-4"&amp;CHAR(31)&amp;$A8&amp;CHAR(31)&amp;D$3)*1,0),0)))),"",INDEX('Casillas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10-4"&amp;CHAR(31)&amp;$A8&amp;CHAR(31)&amp;D$3)*1,0),0))))&amp;IF(SUMPRODUCT(1*EXACT('Casillas del horario'!$S$4:$S$73,"Profesor de Lit-L en 10-4"&amp;CHAR(31)&amp;$A8&amp;CHAR(31)&amp;D$3))&gt;2," (+"&amp;(SUMPRODUCT(1*EXACT('Casillas del horario'!$S$4:$S$73,"Profesor de Lit-L en 10-4"&amp;CHAR(31)&amp;$A8&amp;CHAR(31)&amp;D$3))-2)&amp;")",""),IF(ISNA(MATCH(1,INDEX(EXACT('Casillas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/ "&amp;IF(ISBLANK(INDEX('Casillas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10-4"&amp;CHAR(31)&amp;$A8&amp;CHAR(31)&amp;E$3)*1,0),0)))),"",INDEX('Casillas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10-4"&amp;CHAR(31)&amp;$A8&amp;CHAR(31)&amp;E$3)*1,0),0))))&amp;IF(SUMPRODUCT(1*EXACT('Casillas del horario'!$S$4:$S$73,"Profesor de Lit-L en 10-4"&amp;CHAR(31)&amp;$A8&amp;CHAR(31)&amp;E$3))&gt;2," (+"&amp;(SUMPRODUCT(1*EXACT('Casillas del horario'!$S$4:$S$73,"Profesor de Lit-L en 10-4"&amp;CHAR(31)&amp;$A8&amp;CHAR(31)&amp;E$3))-2)&amp;")",""),IF(ISNA(MATCH(1,INDEX(EXACT('Casillas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/ "&amp;IF(ISBLANK(INDEX('Casillas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10-4"&amp;CHAR(31)&amp;$A8&amp;CHAR(31)&amp;F$3)*1,0),0)))),"",INDEX('Casillas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10-4"&amp;CHAR(31)&amp;$A8&amp;CHAR(31)&amp;F$3)*1,0),0))))&amp;IF(SUMPRODUCT(1*EXACT('Casillas del horario'!$S$4:$S$73,"Profesor de Lit-L en 10-4"&amp;CHAR(31)&amp;$A8&amp;CHAR(31)&amp;F$3))&gt;2," (+"&amp;(SUMPRODUCT(1*EXACT('Casillas del horario'!$S$4:$S$73,"Profesor de Lit-L en 10-4"&amp;CHAR(31)&amp;$A8&amp;CHAR(31)&amp;F$3))-2)&amp;")",""),IF(ISNA(MATCH(1,INDEX(EXACT('Casillas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/ "&amp;IF(ISBLANK(INDEX('Casillas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10-4"&amp;CHAR(31)&amp;$A9&amp;CHAR(31)&amp;B$3)*1,0),0)))),"",INDEX('Casillas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10-4"&amp;CHAR(31)&amp;$A9&amp;CHAR(31)&amp;B$3)*1,0),0))))&amp;IF(SUMPRODUCT(1*EXACT('Casillas del horario'!$S$4:$S$73,"Profesor de Lit-L en 10-4"&amp;CHAR(31)&amp;$A9&amp;CHAR(31)&amp;B$3))&gt;2," (+"&amp;(SUMPRODUCT(1*EXACT('Casillas del horario'!$S$4:$S$73,"Profesor de Lit-L en 10-4"&amp;CHAR(31)&amp;$A9&amp;CHAR(31)&amp;B$3))-2)&amp;")",""),IF(ISNA(MATCH(1,INDEX(EXACT('Casillas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/ "&amp;IF(ISBLANK(INDEX('Casillas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10-4"&amp;CHAR(31)&amp;$A9&amp;CHAR(31)&amp;C$3)*1,0),0)))),"",INDEX('Casillas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10-4"&amp;CHAR(31)&amp;$A9&amp;CHAR(31)&amp;C$3)*1,0),0))))&amp;IF(SUMPRODUCT(1*EXACT('Casillas del horario'!$S$4:$S$73,"Profesor de Lit-L en 10-4"&amp;CHAR(31)&amp;$A9&amp;CHAR(31)&amp;C$3))&gt;2," (+"&amp;(SUMPRODUCT(1*EXACT('Casillas del horario'!$S$4:$S$73,"Profesor de Lit-L en 10-4"&amp;CHAR(31)&amp;$A9&amp;CHAR(31)&amp;C$3))-2)&amp;")",""),IF(ISNA(MATCH(1,INDEX(EXACT('Casillas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/ "&amp;IF(ISBLANK(INDEX('Casillas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10-4"&amp;CHAR(31)&amp;$A9&amp;CHAR(31)&amp;D$3)*1,0),0)))),"",INDEX('Casillas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10-4"&amp;CHAR(31)&amp;$A9&amp;CHAR(31)&amp;D$3)*1,0),0))))&amp;IF(SUMPRODUCT(1*EXACT('Casillas del horario'!$S$4:$S$73,"Profesor de Lit-L en 10-4"&amp;CHAR(31)&amp;$A9&amp;CHAR(31)&amp;D$3))&gt;2," (+"&amp;(SUMPRODUCT(1*EXACT('Casillas del horario'!$S$4:$S$73,"Profesor de Lit-L en 10-4"&amp;CHAR(31)&amp;$A9&amp;CHAR(31)&amp;D$3))-2)&amp;")",""),IF(ISNA(MATCH(1,INDEX(EXACT('Casillas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/ "&amp;IF(ISBLANK(INDEX('Casillas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10-4"&amp;CHAR(31)&amp;$A9&amp;CHAR(31)&amp;E$3)*1,0),0)))),"",INDEX('Casillas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10-4"&amp;CHAR(31)&amp;$A9&amp;CHAR(31)&amp;E$3)*1,0),0))))&amp;IF(SUMPRODUCT(1*EXACT('Casillas del horario'!$S$4:$S$73,"Profesor de Lit-L en 10-4"&amp;CHAR(31)&amp;$A9&amp;CHAR(31)&amp;E$3))&gt;2," (+"&amp;(SUMPRODUCT(1*EXACT('Casillas del horario'!$S$4:$S$73,"Profesor de Lit-L en 10-4"&amp;CHAR(31)&amp;$A9&amp;CHAR(31)&amp;E$3))-2)&amp;")",""),IF(ISNA(MATCH(1,INDEX(EXACT('Casillas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/ "&amp;IF(ISBLANK(INDEX('Casillas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10-4"&amp;CHAR(31)&amp;$A9&amp;CHAR(31)&amp;F$3)*1,0),0)))),"",INDEX('Casillas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10-4"&amp;CHAR(31)&amp;$A9&amp;CHAR(31)&amp;F$3)*1,0),0))))&amp;IF(SUMPRODUCT(1*EXACT('Casillas del horario'!$S$4:$S$73,"Profesor de Lit-L en 10-4"&amp;CHAR(31)&amp;$A9&amp;CHAR(31)&amp;F$3))&gt;2," (+"&amp;(SUMPRODUCT(1*EXACT('Casillas del horario'!$S$4:$S$73,"Profesor de Lit-L en 10-4"&amp;CHAR(31)&amp;$A9&amp;CHAR(31)&amp;F$3))-2)&amp;")",""),IF(ISNA(MATCH(1,INDEX(EXACT('Casillas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/ "&amp;IF(ISBLANK(INDEX('Casillas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10-4"&amp;CHAR(31)&amp;$A10&amp;CHAR(31)&amp;B$3)*1,0),0)))),"",INDEX('Casillas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10-4"&amp;CHAR(31)&amp;$A10&amp;CHAR(31)&amp;B$3)*1,0),0))))&amp;IF(SUMPRODUCT(1*EXACT('Casillas del horario'!$S$4:$S$73,"Profesor de Lit-L en 10-4"&amp;CHAR(31)&amp;$A10&amp;CHAR(31)&amp;B$3))&gt;2," (+"&amp;(SUMPRODUCT(1*EXACT('Casillas del horario'!$S$4:$S$73,"Profesor de Lit-L en 10-4"&amp;CHAR(31)&amp;$A10&amp;CHAR(31)&amp;B$3))-2)&amp;")",""),IF(ISNA(MATCH(1,INDEX(EXACT('Casillas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/ "&amp;IF(ISBLANK(INDEX('Casillas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10-4"&amp;CHAR(31)&amp;$A10&amp;CHAR(31)&amp;C$3)*1,0),0)))),"",INDEX('Casillas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10-4"&amp;CHAR(31)&amp;$A10&amp;CHAR(31)&amp;C$3)*1,0),0))))&amp;IF(SUMPRODUCT(1*EXACT('Casillas del horario'!$S$4:$S$73,"Profesor de Lit-L en 10-4"&amp;CHAR(31)&amp;$A10&amp;CHAR(31)&amp;C$3))&gt;2," (+"&amp;(SUMPRODUCT(1*EXACT('Casillas del horario'!$S$4:$S$73,"Profesor de Lit-L en 10-4"&amp;CHAR(31)&amp;$A10&amp;CHAR(31)&amp;C$3))-2)&amp;")",""),IF(ISNA(MATCH(1,INDEX(EXACT('Casillas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/ "&amp;IF(ISBLANK(INDEX('Casillas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10-4"&amp;CHAR(31)&amp;$A10&amp;CHAR(31)&amp;D$3)*1,0),0)))),"",INDEX('Casillas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10-4"&amp;CHAR(31)&amp;$A10&amp;CHAR(31)&amp;D$3)*1,0),0))))&amp;IF(SUMPRODUCT(1*EXACT('Casillas del horario'!$S$4:$S$73,"Profesor de Lit-L en 10-4"&amp;CHAR(31)&amp;$A10&amp;CHAR(31)&amp;D$3))&gt;2," (+"&amp;(SUMPRODUCT(1*EXACT('Casillas del horario'!$S$4:$S$73,"Profesor de Lit-L en 10-4"&amp;CHAR(31)&amp;$A10&amp;CHAR(31)&amp;D$3))-2)&amp;")",""),IF(ISNA(MATCH(1,INDEX(EXACT('Casillas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/ "&amp;IF(ISBLANK(INDEX('Casillas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10-4"&amp;CHAR(31)&amp;$A10&amp;CHAR(31)&amp;E$3)*1,0),0)))),"",INDEX('Casillas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10-4"&amp;CHAR(31)&amp;$A10&amp;CHAR(31)&amp;E$3)*1,0),0))))&amp;IF(SUMPRODUCT(1*EXACT('Casillas del horario'!$S$4:$S$73,"Profesor de Lit-L en 10-4"&amp;CHAR(31)&amp;$A10&amp;CHAR(31)&amp;E$3))&gt;2," (+"&amp;(SUMPRODUCT(1*EXACT('Casillas del horario'!$S$4:$S$73,"Profesor de Lit-L en 10-4"&amp;CHAR(31)&amp;$A10&amp;CHAR(31)&amp;E$3))-2)&amp;")",""),IF(ISNA(MATCH(1,INDEX(EXACT('Casillas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/ "&amp;IF(ISBLANK(INDEX('Casillas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10-4"&amp;CHAR(31)&amp;$A10&amp;CHAR(31)&amp;F$3)*1,0),0)))),"",INDEX('Casillas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10-4"&amp;CHAR(31)&amp;$A10&amp;CHAR(31)&amp;F$3)*1,0),0))))&amp;IF(SUMPRODUCT(1*EXACT('Casillas del horario'!$S$4:$S$73,"Profesor de Lit-L en 10-4"&amp;CHAR(31)&amp;$A10&amp;CHAR(31)&amp;F$3))&gt;2," (+"&amp;(SUMPRODUCT(1*EXACT('Casillas del horario'!$S$4:$S$73,"Profesor de Lit-L en 10-4"&amp;CHAR(31)&amp;$A10&amp;CHAR(31)&amp;F$3))-2)&amp;")",""),IF(ISNA(MATCH(1,INDEX(EXACT('Casillas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/ "&amp;IF(ISBLANK(INDEX('Casillas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10-4"&amp;CHAR(31)&amp;$A4&amp;CHAR(31)&amp;B$3)*1,0),0)))),"",INDEX('Casillas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10-4"&amp;CHAR(31)&amp;$A4&amp;CHAR(31)&amp;B$3)*1,0),0))))&amp;IF(SUMPRODUCT(1*EXACT('Casillas del horario'!$S$4:$S$73,"Profesor de F en 10-4"&amp;CHAR(31)&amp;$A4&amp;CHAR(31)&amp;B$3))&gt;2," (+"&amp;(SUMPRODUCT(1*EXACT('Casillas del horario'!$S$4:$S$73,"Profesor de F en 10-4"&amp;CHAR(31)&amp;$A4&amp;CHAR(31)&amp;B$3))-2)&amp;")",""),IF(ISNA(MATCH(1,INDEX(EXACT('Casillas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/ "&amp;IF(ISBLANK(INDEX('Casillas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10-4"&amp;CHAR(31)&amp;$A4&amp;CHAR(31)&amp;C$3)*1,0),0)))),"",INDEX('Casillas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10-4"&amp;CHAR(31)&amp;$A4&amp;CHAR(31)&amp;C$3)*1,0),0))))&amp;IF(SUMPRODUCT(1*EXACT('Casillas del horario'!$S$4:$S$73,"Profesor de F en 10-4"&amp;CHAR(31)&amp;$A4&amp;CHAR(31)&amp;C$3))&gt;2," (+"&amp;(SUMPRODUCT(1*EXACT('Casillas del horario'!$S$4:$S$73,"Profesor de F en 10-4"&amp;CHAR(31)&amp;$A4&amp;CHAR(31)&amp;C$3))-2)&amp;")",""),IF(ISNA(MATCH(1,INDEX(EXACT('Casillas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/ "&amp;IF(ISBLANK(INDEX('Casillas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10-4"&amp;CHAR(31)&amp;$A4&amp;CHAR(31)&amp;D$3)*1,0),0)))),"",INDEX('Casillas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10-4"&amp;CHAR(31)&amp;$A4&amp;CHAR(31)&amp;D$3)*1,0),0))))&amp;IF(SUMPRODUCT(1*EXACT('Casillas del horario'!$S$4:$S$73,"Profesor de F en 10-4"&amp;CHAR(31)&amp;$A4&amp;CHAR(31)&amp;D$3))&gt;2," (+"&amp;(SUMPRODUCT(1*EXACT('Casillas del horario'!$S$4:$S$73,"Profesor de F en 10-4"&amp;CHAR(31)&amp;$A4&amp;CHAR(31)&amp;D$3))-2)&amp;")",""),IF(ISNA(MATCH(1,INDEX(EXACT('Casillas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/ "&amp;IF(ISBLANK(INDEX('Casillas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10-4"&amp;CHAR(31)&amp;$A4&amp;CHAR(31)&amp;E$3)*1,0),0)))),"",INDEX('Casillas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10-4"&amp;CHAR(31)&amp;$A4&amp;CHAR(31)&amp;E$3)*1,0),0))))&amp;IF(SUMPRODUCT(1*EXACT('Casillas del horario'!$S$4:$S$73,"Profesor de F en 10-4"&amp;CHAR(31)&amp;$A4&amp;CHAR(31)&amp;E$3))&gt;2," (+"&amp;(SUMPRODUCT(1*EXACT('Casillas del horario'!$S$4:$S$73,"Profesor de F en 10-4"&amp;CHAR(31)&amp;$A4&amp;CHAR(31)&amp;E$3))-2)&amp;")",""),IF(ISNA(MATCH(1,INDEX(EXACT('Casillas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/ "&amp;IF(ISBLANK(INDEX('Casillas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10-4"&amp;CHAR(31)&amp;$A4&amp;CHAR(31)&amp;F$3)*1,0),0)))),"",INDEX('Casillas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10-4"&amp;CHAR(31)&amp;$A4&amp;CHAR(31)&amp;F$3)*1,0),0))))&amp;IF(SUMPRODUCT(1*EXACT('Casillas del horario'!$S$4:$S$73,"Profesor de F en 10-4"&amp;CHAR(31)&amp;$A4&amp;CHAR(31)&amp;F$3))&gt;2," (+"&amp;(SUMPRODUCT(1*EXACT('Casillas del horario'!$S$4:$S$73,"Profesor de F en 10-4"&amp;CHAR(31)&amp;$A4&amp;CHAR(31)&amp;F$3))-2)&amp;")",""),IF(ISNA(MATCH(1,INDEX(EXACT('Casillas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/ "&amp;IF(ISBLANK(INDEX('Casillas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10-4"&amp;CHAR(31)&amp;$A5&amp;CHAR(31)&amp;B$3)*1,0),0)))),"",INDEX('Casillas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10-4"&amp;CHAR(31)&amp;$A5&amp;CHAR(31)&amp;B$3)*1,0),0))))&amp;IF(SUMPRODUCT(1*EXACT('Casillas del horario'!$S$4:$S$73,"Profesor de F en 10-4"&amp;CHAR(31)&amp;$A5&amp;CHAR(31)&amp;B$3))&gt;2," (+"&amp;(SUMPRODUCT(1*EXACT('Casillas del horario'!$S$4:$S$73,"Profesor de F en 10-4"&amp;CHAR(31)&amp;$A5&amp;CHAR(31)&amp;B$3))-2)&amp;")",""),IF(ISNA(MATCH(1,INDEX(EXACT('Casillas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/ "&amp;IF(ISBLANK(INDEX('Casillas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10-4"&amp;CHAR(31)&amp;$A5&amp;CHAR(31)&amp;C$3)*1,0),0)))),"",INDEX('Casillas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10-4"&amp;CHAR(31)&amp;$A5&amp;CHAR(31)&amp;C$3)*1,0),0))))&amp;IF(SUMPRODUCT(1*EXACT('Casillas del horario'!$S$4:$S$73,"Profesor de F en 10-4"&amp;CHAR(31)&amp;$A5&amp;CHAR(31)&amp;C$3))&gt;2," (+"&amp;(SUMPRODUCT(1*EXACT('Casillas del horario'!$S$4:$S$73,"Profesor de F en 10-4"&amp;CHAR(31)&amp;$A5&amp;CHAR(31)&amp;C$3))-2)&amp;")",""),IF(ISNA(MATCH(1,INDEX(EXACT('Casillas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/ "&amp;IF(ISBLANK(INDEX('Casillas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10-4"&amp;CHAR(31)&amp;$A5&amp;CHAR(31)&amp;D$3)*1,0),0)))),"",INDEX('Casillas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10-4"&amp;CHAR(31)&amp;$A5&amp;CHAR(31)&amp;D$3)*1,0),0))))&amp;IF(SUMPRODUCT(1*EXACT('Casillas del horario'!$S$4:$S$73,"Profesor de F en 10-4"&amp;CHAR(31)&amp;$A5&amp;CHAR(31)&amp;D$3))&gt;2," (+"&amp;(SUMPRODUCT(1*EXACT('Casillas del horario'!$S$4:$S$73,"Profesor de F en 10-4"&amp;CHAR(31)&amp;$A5&amp;CHAR(31)&amp;D$3))-2)&amp;")",""),IF(ISNA(MATCH(1,INDEX(EXACT('Casillas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/ "&amp;IF(ISBLANK(INDEX('Casillas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10-4"&amp;CHAR(31)&amp;$A5&amp;CHAR(31)&amp;E$3)*1,0),0)))),"",INDEX('Casillas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10-4"&amp;CHAR(31)&amp;$A5&amp;CHAR(31)&amp;E$3)*1,0),0))))&amp;IF(SUMPRODUCT(1*EXACT('Casillas del horario'!$S$4:$S$73,"Profesor de F en 10-4"&amp;CHAR(31)&amp;$A5&amp;CHAR(31)&amp;E$3))&gt;2," (+"&amp;(SUMPRODUCT(1*EXACT('Casillas del horario'!$S$4:$S$73,"Profesor de F en 10-4"&amp;CHAR(31)&amp;$A5&amp;CHAR(31)&amp;E$3))-2)&amp;")",""),IF(ISNA(MATCH(1,INDEX(EXACT('Casillas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/ "&amp;IF(ISBLANK(INDEX('Casillas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10-4"&amp;CHAR(31)&amp;$A5&amp;CHAR(31)&amp;F$3)*1,0),0)))),"",INDEX('Casillas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10-4"&amp;CHAR(31)&amp;$A5&amp;CHAR(31)&amp;F$3)*1,0),0))))&amp;IF(SUMPRODUCT(1*EXACT('Casillas del horario'!$S$4:$S$73,"Profesor de F en 10-4"&amp;CHAR(31)&amp;$A5&amp;CHAR(31)&amp;F$3))&gt;2," (+"&amp;(SUMPRODUCT(1*EXACT('Casillas del horario'!$S$4:$S$73,"Profesor de F en 10-4"&amp;CHAR(31)&amp;$A5&amp;CHAR(31)&amp;F$3))-2)&amp;")",""),IF(ISNA(MATCH(1,INDEX(EXACT('Casillas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/ "&amp;IF(ISBLANK(INDEX('Casillas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10-4"&amp;CHAR(31)&amp;$A6&amp;CHAR(31)&amp;B$3)*1,0),0)))),"",INDEX('Casillas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10-4"&amp;CHAR(31)&amp;$A6&amp;CHAR(31)&amp;B$3)*1,0),0))))&amp;IF(SUMPRODUCT(1*EXACT('Casillas del horario'!$S$4:$S$73,"Profesor de F en 10-4"&amp;CHAR(31)&amp;$A6&amp;CHAR(31)&amp;B$3))&gt;2," (+"&amp;(SUMPRODUCT(1*EXACT('Casillas del horario'!$S$4:$S$73,"Profesor de F en 10-4"&amp;CHAR(31)&amp;$A6&amp;CHAR(31)&amp;B$3))-2)&amp;")",""),IF(ISNA(MATCH(1,INDEX(EXACT('Casillas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/ "&amp;IF(ISBLANK(INDEX('Casillas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10-4"&amp;CHAR(31)&amp;$A6&amp;CHAR(31)&amp;C$3)*1,0),0)))),"",INDEX('Casillas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10-4"&amp;CHAR(31)&amp;$A6&amp;CHAR(31)&amp;C$3)*1,0),0))))&amp;IF(SUMPRODUCT(1*EXACT('Casillas del horario'!$S$4:$S$73,"Profesor de F en 10-4"&amp;CHAR(31)&amp;$A6&amp;CHAR(31)&amp;C$3))&gt;2," (+"&amp;(SUMPRODUCT(1*EXACT('Casillas del horario'!$S$4:$S$73,"Profesor de F en 10-4"&amp;CHAR(31)&amp;$A6&amp;CHAR(31)&amp;C$3))-2)&amp;")",""),IF(ISNA(MATCH(1,INDEX(EXACT('Casillas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/ "&amp;IF(ISBLANK(INDEX('Casillas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10-4"&amp;CHAR(31)&amp;$A6&amp;CHAR(31)&amp;D$3)*1,0),0)))),"",INDEX('Casillas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10-4"&amp;CHAR(31)&amp;$A6&amp;CHAR(31)&amp;D$3)*1,0),0))))&amp;IF(SUMPRODUCT(1*EXACT('Casillas del horario'!$S$4:$S$73,"Profesor de F en 10-4"&amp;CHAR(31)&amp;$A6&amp;CHAR(31)&amp;D$3))&gt;2," (+"&amp;(SUMPRODUCT(1*EXACT('Casillas del horario'!$S$4:$S$73,"Profesor de F en 10-4"&amp;CHAR(31)&amp;$A6&amp;CHAR(31)&amp;D$3))-2)&amp;")",""),IF(ISNA(MATCH(1,INDEX(EXACT('Casillas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/ "&amp;IF(ISBLANK(INDEX('Casillas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10-4"&amp;CHAR(31)&amp;$A6&amp;CHAR(31)&amp;E$3)*1,0),0)))),"",INDEX('Casillas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10-4"&amp;CHAR(31)&amp;$A6&amp;CHAR(31)&amp;E$3)*1,0),0))))&amp;IF(SUMPRODUCT(1*EXACT('Casillas del horario'!$S$4:$S$73,"Profesor de F en 10-4"&amp;CHAR(31)&amp;$A6&amp;CHAR(31)&amp;E$3))&gt;2," (+"&amp;(SUMPRODUCT(1*EXACT('Casillas del horario'!$S$4:$S$73,"Profesor de F en 10-4"&amp;CHAR(31)&amp;$A6&amp;CHAR(31)&amp;E$3))-2)&amp;")",""),IF(ISNA(MATCH(1,INDEX(EXACT('Casillas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/ "&amp;IF(ISBLANK(INDEX('Casillas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10-4"&amp;CHAR(31)&amp;$A6&amp;CHAR(31)&amp;F$3)*1,0),0)))),"",INDEX('Casillas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10-4"&amp;CHAR(31)&amp;$A6&amp;CHAR(31)&amp;F$3)*1,0),0))))&amp;IF(SUMPRODUCT(1*EXACT('Casillas del horario'!$S$4:$S$73,"Profesor de F en 10-4"&amp;CHAR(31)&amp;$A6&amp;CHAR(31)&amp;F$3))&gt;2," (+"&amp;(SUMPRODUCT(1*EXACT('Casillas del horario'!$S$4:$S$73,"Profesor de F en 10-4"&amp;CHAR(31)&amp;$A6&amp;CHAR(31)&amp;F$3))-2)&amp;")",""),IF(ISNA(MATCH(1,INDEX(EXACT('Casillas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/ "&amp;IF(ISBLANK(INDEX('Casillas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10-4"&amp;CHAR(31)&amp;$A7&amp;CHAR(31)&amp;B$3)*1,0),0)))),"",INDEX('Casillas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10-4"&amp;CHAR(31)&amp;$A7&amp;CHAR(31)&amp;B$3)*1,0),0))))&amp;IF(SUMPRODUCT(1*EXACT('Casillas del horario'!$S$4:$S$73,"Profesor de F en 10-4"&amp;CHAR(31)&amp;$A7&amp;CHAR(31)&amp;B$3))&gt;2," (+"&amp;(SUMPRODUCT(1*EXACT('Casillas del horario'!$S$4:$S$73,"Profesor de F en 10-4"&amp;CHAR(31)&amp;$A7&amp;CHAR(31)&amp;B$3))-2)&amp;")",""),IF(ISNA(MATCH(1,INDEX(EXACT('Casillas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/ "&amp;IF(ISBLANK(INDEX('Casillas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10-4"&amp;CHAR(31)&amp;$A7&amp;CHAR(31)&amp;C$3)*1,0),0)))),"",INDEX('Casillas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10-4"&amp;CHAR(31)&amp;$A7&amp;CHAR(31)&amp;C$3)*1,0),0))))&amp;IF(SUMPRODUCT(1*EXACT('Casillas del horario'!$S$4:$S$73,"Profesor de F en 10-4"&amp;CHAR(31)&amp;$A7&amp;CHAR(31)&amp;C$3))&gt;2," (+"&amp;(SUMPRODUCT(1*EXACT('Casillas del horario'!$S$4:$S$73,"Profesor de F en 10-4"&amp;CHAR(31)&amp;$A7&amp;CHAR(31)&amp;C$3))-2)&amp;")",""),IF(ISNA(MATCH(1,INDEX(EXACT('Casillas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/ "&amp;IF(ISBLANK(INDEX('Casillas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10-4"&amp;CHAR(31)&amp;$A7&amp;CHAR(31)&amp;D$3)*1,0),0)))),"",INDEX('Casillas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10-4"&amp;CHAR(31)&amp;$A7&amp;CHAR(31)&amp;D$3)*1,0),0))))&amp;IF(SUMPRODUCT(1*EXACT('Casillas del horario'!$S$4:$S$73,"Profesor de F en 10-4"&amp;CHAR(31)&amp;$A7&amp;CHAR(31)&amp;D$3))&gt;2," (+"&amp;(SUMPRODUCT(1*EXACT('Casillas del horario'!$S$4:$S$73,"Profesor de F en 10-4"&amp;CHAR(31)&amp;$A7&amp;CHAR(31)&amp;D$3))-2)&amp;")",""),IF(ISNA(MATCH(1,INDEX(EXACT('Casillas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/ "&amp;IF(ISBLANK(INDEX('Casillas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10-4"&amp;CHAR(31)&amp;$A7&amp;CHAR(31)&amp;E$3)*1,0),0)))),"",INDEX('Casillas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10-4"&amp;CHAR(31)&amp;$A7&amp;CHAR(31)&amp;E$3)*1,0),0))))&amp;IF(SUMPRODUCT(1*EXACT('Casillas del horario'!$S$4:$S$73,"Profesor de F en 10-4"&amp;CHAR(31)&amp;$A7&amp;CHAR(31)&amp;E$3))&gt;2," (+"&amp;(SUMPRODUCT(1*EXACT('Casillas del horario'!$S$4:$S$73,"Profesor de F en 10-4"&amp;CHAR(31)&amp;$A7&amp;CHAR(31)&amp;E$3))-2)&amp;")",""),IF(ISNA(MATCH(1,INDEX(EXACT('Casillas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/ "&amp;IF(ISBLANK(INDEX('Casillas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10-4"&amp;CHAR(31)&amp;$A7&amp;CHAR(31)&amp;F$3)*1,0),0)))),"",INDEX('Casillas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10-4"&amp;CHAR(31)&amp;$A7&amp;CHAR(31)&amp;F$3)*1,0),0))))&amp;IF(SUMPRODUCT(1*EXACT('Casillas del horario'!$S$4:$S$73,"Profesor de F en 10-4"&amp;CHAR(31)&amp;$A7&amp;CHAR(31)&amp;F$3))&gt;2," (+"&amp;(SUMPRODUCT(1*EXACT('Casillas del horario'!$S$4:$S$73,"Profesor de F en 10-4"&amp;CHAR(31)&amp;$A7&amp;CHAR(31)&amp;F$3))-2)&amp;")",""),IF(ISNA(MATCH(1,INDEX(EXACT('Casillas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/ "&amp;IF(ISBLANK(INDEX('Casillas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10-4"&amp;CHAR(31)&amp;$A8&amp;CHAR(31)&amp;B$3)*1,0),0)))),"",INDEX('Casillas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10-4"&amp;CHAR(31)&amp;$A8&amp;CHAR(31)&amp;B$3)*1,0),0))))&amp;IF(SUMPRODUCT(1*EXACT('Casillas del horario'!$S$4:$S$73,"Profesor de F en 10-4"&amp;CHAR(31)&amp;$A8&amp;CHAR(31)&amp;B$3))&gt;2," (+"&amp;(SUMPRODUCT(1*EXACT('Casillas del horario'!$S$4:$S$73,"Profesor de F en 10-4"&amp;CHAR(31)&amp;$A8&amp;CHAR(31)&amp;B$3))-2)&amp;")",""),IF(ISNA(MATCH(1,INDEX(EXACT('Casillas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/ "&amp;IF(ISBLANK(INDEX('Casillas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10-4"&amp;CHAR(31)&amp;$A8&amp;CHAR(31)&amp;C$3)*1,0),0)))),"",INDEX('Casillas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10-4"&amp;CHAR(31)&amp;$A8&amp;CHAR(31)&amp;C$3)*1,0),0))))&amp;IF(SUMPRODUCT(1*EXACT('Casillas del horario'!$S$4:$S$73,"Profesor de F en 10-4"&amp;CHAR(31)&amp;$A8&amp;CHAR(31)&amp;C$3))&gt;2," (+"&amp;(SUMPRODUCT(1*EXACT('Casillas del horario'!$S$4:$S$73,"Profesor de F en 10-4"&amp;CHAR(31)&amp;$A8&amp;CHAR(31)&amp;C$3))-2)&amp;")",""),IF(ISNA(MATCH(1,INDEX(EXACT('Casillas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/ "&amp;IF(ISBLANK(INDEX('Casillas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10-4"&amp;CHAR(31)&amp;$A8&amp;CHAR(31)&amp;D$3)*1,0),0)))),"",INDEX('Casillas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10-4"&amp;CHAR(31)&amp;$A8&amp;CHAR(31)&amp;D$3)*1,0),0))))&amp;IF(SUMPRODUCT(1*EXACT('Casillas del horario'!$S$4:$S$73,"Profesor de F en 10-4"&amp;CHAR(31)&amp;$A8&amp;CHAR(31)&amp;D$3))&gt;2," (+"&amp;(SUMPRODUCT(1*EXACT('Casillas del horario'!$S$4:$S$73,"Profesor de F en 10-4"&amp;CHAR(31)&amp;$A8&amp;CHAR(31)&amp;D$3))-2)&amp;")",""),IF(ISNA(MATCH(1,INDEX(EXACT('Casillas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/ "&amp;IF(ISBLANK(INDEX('Casillas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10-4"&amp;CHAR(31)&amp;$A8&amp;CHAR(31)&amp;E$3)*1,0),0)))),"",INDEX('Casillas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10-4"&amp;CHAR(31)&amp;$A8&amp;CHAR(31)&amp;E$3)*1,0),0))))&amp;IF(SUMPRODUCT(1*EXACT('Casillas del horario'!$S$4:$S$73,"Profesor de F en 10-4"&amp;CHAR(31)&amp;$A8&amp;CHAR(31)&amp;E$3))&gt;2," (+"&amp;(SUMPRODUCT(1*EXACT('Casillas del horario'!$S$4:$S$73,"Profesor de F en 10-4"&amp;CHAR(31)&amp;$A8&amp;CHAR(31)&amp;E$3))-2)&amp;")",""),IF(ISNA(MATCH(1,INDEX(EXACT('Casillas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/ "&amp;IF(ISBLANK(INDEX('Casillas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10-4"&amp;CHAR(31)&amp;$A8&amp;CHAR(31)&amp;F$3)*1,0),0)))),"",INDEX('Casillas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10-4"&amp;CHAR(31)&amp;$A8&amp;CHAR(31)&amp;F$3)*1,0),0))))&amp;IF(SUMPRODUCT(1*EXACT('Casillas del horario'!$S$4:$S$73,"Profesor de F en 10-4"&amp;CHAR(31)&amp;$A8&amp;CHAR(31)&amp;F$3))&gt;2," (+"&amp;(SUMPRODUCT(1*EXACT('Casillas del horario'!$S$4:$S$73,"Profesor de F en 10-4"&amp;CHAR(31)&amp;$A8&amp;CHAR(31)&amp;F$3))-2)&amp;")",""),IF(ISNA(MATCH(1,INDEX(EXACT('Casillas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/ "&amp;IF(ISBLANK(INDEX('Casillas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10-4"&amp;CHAR(31)&amp;$A9&amp;CHAR(31)&amp;B$3)*1,0),0)))),"",INDEX('Casillas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10-4"&amp;CHAR(31)&amp;$A9&amp;CHAR(31)&amp;B$3)*1,0),0))))&amp;IF(SUMPRODUCT(1*EXACT('Casillas del horario'!$S$4:$S$73,"Profesor de F en 10-4"&amp;CHAR(31)&amp;$A9&amp;CHAR(31)&amp;B$3))&gt;2," (+"&amp;(SUMPRODUCT(1*EXACT('Casillas del horario'!$S$4:$S$73,"Profesor de F en 10-4"&amp;CHAR(31)&amp;$A9&amp;CHAR(31)&amp;B$3))-2)&amp;")",""),IF(ISNA(MATCH(1,INDEX(EXACT('Casillas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/ "&amp;IF(ISBLANK(INDEX('Casillas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10-4"&amp;CHAR(31)&amp;$A9&amp;CHAR(31)&amp;C$3)*1,0),0)))),"",INDEX('Casillas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10-4"&amp;CHAR(31)&amp;$A9&amp;CHAR(31)&amp;C$3)*1,0),0))))&amp;IF(SUMPRODUCT(1*EXACT('Casillas del horario'!$S$4:$S$73,"Profesor de F en 10-4"&amp;CHAR(31)&amp;$A9&amp;CHAR(31)&amp;C$3))&gt;2," (+"&amp;(SUMPRODUCT(1*EXACT('Casillas del horario'!$S$4:$S$73,"Profesor de F en 10-4"&amp;CHAR(31)&amp;$A9&amp;CHAR(31)&amp;C$3))-2)&amp;")",""),IF(ISNA(MATCH(1,INDEX(EXACT('Casillas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/ "&amp;IF(ISBLANK(INDEX('Casillas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10-4"&amp;CHAR(31)&amp;$A9&amp;CHAR(31)&amp;D$3)*1,0),0)))),"",INDEX('Casillas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10-4"&amp;CHAR(31)&amp;$A9&amp;CHAR(31)&amp;D$3)*1,0),0))))&amp;IF(SUMPRODUCT(1*EXACT('Casillas del horario'!$S$4:$S$73,"Profesor de F en 10-4"&amp;CHAR(31)&amp;$A9&amp;CHAR(31)&amp;D$3))&gt;2," (+"&amp;(SUMPRODUCT(1*EXACT('Casillas del horario'!$S$4:$S$73,"Profesor de F en 10-4"&amp;CHAR(31)&amp;$A9&amp;CHAR(31)&amp;D$3))-2)&amp;")",""),IF(ISNA(MATCH(1,INDEX(EXACT('Casillas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/ "&amp;IF(ISBLANK(INDEX('Casillas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10-4"&amp;CHAR(31)&amp;$A9&amp;CHAR(31)&amp;E$3)*1,0),0)))),"",INDEX('Casillas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10-4"&amp;CHAR(31)&amp;$A9&amp;CHAR(31)&amp;E$3)*1,0),0))))&amp;IF(SUMPRODUCT(1*EXACT('Casillas del horario'!$S$4:$S$73,"Profesor de F en 10-4"&amp;CHAR(31)&amp;$A9&amp;CHAR(31)&amp;E$3))&gt;2," (+"&amp;(SUMPRODUCT(1*EXACT('Casillas del horario'!$S$4:$S$73,"Profesor de F en 10-4"&amp;CHAR(31)&amp;$A9&amp;CHAR(31)&amp;E$3))-2)&amp;")",""),IF(ISNA(MATCH(1,INDEX(EXACT('Casillas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/ "&amp;IF(ISBLANK(INDEX('Casillas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10-4"&amp;CHAR(31)&amp;$A9&amp;CHAR(31)&amp;F$3)*1,0),0)))),"",INDEX('Casillas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10-4"&amp;CHAR(31)&amp;$A9&amp;CHAR(31)&amp;F$3)*1,0),0))))&amp;IF(SUMPRODUCT(1*EXACT('Casillas del horario'!$S$4:$S$73,"Profesor de F en 10-4"&amp;CHAR(31)&amp;$A9&amp;CHAR(31)&amp;F$3))&gt;2," (+"&amp;(SUMPRODUCT(1*EXACT('Casillas del horario'!$S$4:$S$73,"Profesor de F en 10-4"&amp;CHAR(31)&amp;$A9&amp;CHAR(31)&amp;F$3))-2)&amp;")",""),IF(ISNA(MATCH(1,INDEX(EXACT('Casillas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/ "&amp;IF(ISBLANK(INDEX('Casillas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10-4"&amp;CHAR(31)&amp;$A10&amp;CHAR(31)&amp;B$3)*1,0),0)))),"",INDEX('Casillas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10-4"&amp;CHAR(31)&amp;$A10&amp;CHAR(31)&amp;B$3)*1,0),0))))&amp;IF(SUMPRODUCT(1*EXACT('Casillas del horario'!$S$4:$S$73,"Profesor de F en 10-4"&amp;CHAR(31)&amp;$A10&amp;CHAR(31)&amp;B$3))&gt;2," (+"&amp;(SUMPRODUCT(1*EXACT('Casillas del horario'!$S$4:$S$73,"Profesor de F en 10-4"&amp;CHAR(31)&amp;$A10&amp;CHAR(31)&amp;B$3))-2)&amp;")",""),IF(ISNA(MATCH(1,INDEX(EXACT('Casillas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/ "&amp;IF(ISBLANK(INDEX('Casillas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10-4"&amp;CHAR(31)&amp;$A10&amp;CHAR(31)&amp;C$3)*1,0),0)))),"",INDEX('Casillas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10-4"&amp;CHAR(31)&amp;$A10&amp;CHAR(31)&amp;C$3)*1,0),0))))&amp;IF(SUMPRODUCT(1*EXACT('Casillas del horario'!$S$4:$S$73,"Profesor de F en 10-4"&amp;CHAR(31)&amp;$A10&amp;CHAR(31)&amp;C$3))&gt;2," (+"&amp;(SUMPRODUCT(1*EXACT('Casillas del horario'!$S$4:$S$73,"Profesor de F en 10-4"&amp;CHAR(31)&amp;$A10&amp;CHAR(31)&amp;C$3))-2)&amp;")",""),IF(ISNA(MATCH(1,INDEX(EXACT('Casillas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/ "&amp;IF(ISBLANK(INDEX('Casillas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10-4"&amp;CHAR(31)&amp;$A10&amp;CHAR(31)&amp;D$3)*1,0),0)))),"",INDEX('Casillas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10-4"&amp;CHAR(31)&amp;$A10&amp;CHAR(31)&amp;D$3)*1,0),0))))&amp;IF(SUMPRODUCT(1*EXACT('Casillas del horario'!$S$4:$S$73,"Profesor de F en 10-4"&amp;CHAR(31)&amp;$A10&amp;CHAR(31)&amp;D$3))&gt;2," (+"&amp;(SUMPRODUCT(1*EXACT('Casillas del horario'!$S$4:$S$73,"Profesor de F en 10-4"&amp;CHAR(31)&amp;$A10&amp;CHAR(31)&amp;D$3))-2)&amp;")",""),IF(ISNA(MATCH(1,INDEX(EXACT('Casillas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/ "&amp;IF(ISBLANK(INDEX('Casillas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10-4"&amp;CHAR(31)&amp;$A10&amp;CHAR(31)&amp;E$3)*1,0),0)))),"",INDEX('Casillas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10-4"&amp;CHAR(31)&amp;$A10&amp;CHAR(31)&amp;E$3)*1,0),0))))&amp;IF(SUMPRODUCT(1*EXACT('Casillas del horario'!$S$4:$S$73,"Profesor de F en 10-4"&amp;CHAR(31)&amp;$A10&amp;CHAR(31)&amp;E$3))&gt;2," (+"&amp;(SUMPRODUCT(1*EXACT('Casillas del horario'!$S$4:$S$73,"Profesor de F en 10-4"&amp;CHAR(31)&amp;$A10&amp;CHAR(31)&amp;E$3))-2)&amp;")",""),IF(ISNA(MATCH(1,INDEX(EXACT('Casillas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/ "&amp;IF(ISBLANK(INDEX('Casillas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10-4"&amp;CHAR(31)&amp;$A10&amp;CHAR(31)&amp;F$3)*1,0),0)))),"",INDEX('Casillas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10-4"&amp;CHAR(31)&amp;$A10&amp;CHAR(31)&amp;F$3)*1,0),0))))&amp;IF(SUMPRODUCT(1*EXACT('Casillas del horario'!$S$4:$S$73,"Profesor de F en 10-4"&amp;CHAR(31)&amp;$A10&amp;CHAR(31)&amp;F$3))&gt;2," (+"&amp;(SUMPRODUCT(1*EXACT('Casillas del horario'!$S$4:$S$73,"Profesor de F en 10-4"&amp;CHAR(31)&amp;$A10&amp;CHAR(31)&amp;F$3))-2)&amp;")",""),IF(ISNA(MATCH(1,INDEX(EXACT('Casillas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/ "&amp;IF(ISBLANK(INDEX('Casillas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10-4"&amp;CHAR(31)&amp;$A4&amp;CHAR(31)&amp;B$3)*1,0),0)))),"",INDEX('Casillas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10-4"&amp;CHAR(31)&amp;$A4&amp;CHAR(31)&amp;B$3)*1,0),0))))&amp;IF(SUMPRODUCT(1*EXACT('Casillas del horario'!$S$4:$S$73,"Profesor de I en 10-4"&amp;CHAR(31)&amp;$A4&amp;CHAR(31)&amp;B$3))&gt;2," (+"&amp;(SUMPRODUCT(1*EXACT('Casillas del horario'!$S$4:$S$73,"Profesor de I en 10-4"&amp;CHAR(31)&amp;$A4&amp;CHAR(31)&amp;B$3))-2)&amp;")",""),IF(ISNA(MATCH(1,INDEX(EXACT('Casillas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/ "&amp;IF(ISBLANK(INDEX('Casillas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10-4"&amp;CHAR(31)&amp;$A4&amp;CHAR(31)&amp;C$3)*1,0),0)))),"",INDEX('Casillas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10-4"&amp;CHAR(31)&amp;$A4&amp;CHAR(31)&amp;C$3)*1,0),0))))&amp;IF(SUMPRODUCT(1*EXACT('Casillas del horario'!$S$4:$S$73,"Profesor de I en 10-4"&amp;CHAR(31)&amp;$A4&amp;CHAR(31)&amp;C$3))&gt;2," (+"&amp;(SUMPRODUCT(1*EXACT('Casillas del horario'!$S$4:$S$73,"Profesor de I en 10-4"&amp;CHAR(31)&amp;$A4&amp;CHAR(31)&amp;C$3))-2)&amp;")",""),IF(ISNA(MATCH(1,INDEX(EXACT('Casillas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/ "&amp;IF(ISBLANK(INDEX('Casillas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10-4"&amp;CHAR(31)&amp;$A4&amp;CHAR(31)&amp;D$3)*1,0),0)))),"",INDEX('Casillas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10-4"&amp;CHAR(31)&amp;$A4&amp;CHAR(31)&amp;D$3)*1,0),0))))&amp;IF(SUMPRODUCT(1*EXACT('Casillas del horario'!$S$4:$S$73,"Profesor de I en 10-4"&amp;CHAR(31)&amp;$A4&amp;CHAR(31)&amp;D$3))&gt;2," (+"&amp;(SUMPRODUCT(1*EXACT('Casillas del horario'!$S$4:$S$73,"Profesor de I en 10-4"&amp;CHAR(31)&amp;$A4&amp;CHAR(31)&amp;D$3))-2)&amp;")",""),IF(ISNA(MATCH(1,INDEX(EXACT('Casillas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/ "&amp;IF(ISBLANK(INDEX('Casillas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10-4"&amp;CHAR(31)&amp;$A4&amp;CHAR(31)&amp;E$3)*1,0),0)))),"",INDEX('Casillas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10-4"&amp;CHAR(31)&amp;$A4&amp;CHAR(31)&amp;E$3)*1,0),0))))&amp;IF(SUMPRODUCT(1*EXACT('Casillas del horario'!$S$4:$S$73,"Profesor de I en 10-4"&amp;CHAR(31)&amp;$A4&amp;CHAR(31)&amp;E$3))&gt;2," (+"&amp;(SUMPRODUCT(1*EXACT('Casillas del horario'!$S$4:$S$73,"Profesor de I en 10-4"&amp;CHAR(31)&amp;$A4&amp;CHAR(31)&amp;E$3))-2)&amp;")",""),IF(ISNA(MATCH(1,INDEX(EXACT('Casillas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/ "&amp;IF(ISBLANK(INDEX('Casillas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10-4"&amp;CHAR(31)&amp;$A4&amp;CHAR(31)&amp;F$3)*1,0),0)))),"",INDEX('Casillas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10-4"&amp;CHAR(31)&amp;$A4&amp;CHAR(31)&amp;F$3)*1,0),0))))&amp;IF(SUMPRODUCT(1*EXACT('Casillas del horario'!$S$4:$S$73,"Profesor de I en 10-4"&amp;CHAR(31)&amp;$A4&amp;CHAR(31)&amp;F$3))&gt;2," (+"&amp;(SUMPRODUCT(1*EXACT('Casillas del horario'!$S$4:$S$73,"Profesor de I en 10-4"&amp;CHAR(31)&amp;$A4&amp;CHAR(31)&amp;F$3))-2)&amp;")",""),IF(ISNA(MATCH(1,INDEX(EXACT('Casillas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/ "&amp;IF(ISBLANK(INDEX('Casillas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10-4"&amp;CHAR(31)&amp;$A5&amp;CHAR(31)&amp;B$3)*1,0),0)))),"",INDEX('Casillas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10-4"&amp;CHAR(31)&amp;$A5&amp;CHAR(31)&amp;B$3)*1,0),0))))&amp;IF(SUMPRODUCT(1*EXACT('Casillas del horario'!$S$4:$S$73,"Profesor de I en 10-4"&amp;CHAR(31)&amp;$A5&amp;CHAR(31)&amp;B$3))&gt;2," (+"&amp;(SUMPRODUCT(1*EXACT('Casillas del horario'!$S$4:$S$73,"Profesor de I en 10-4"&amp;CHAR(31)&amp;$A5&amp;CHAR(31)&amp;B$3))-2)&amp;")",""),IF(ISNA(MATCH(1,INDEX(EXACT('Casillas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/ "&amp;IF(ISBLANK(INDEX('Casillas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10-4"&amp;CHAR(31)&amp;$A5&amp;CHAR(31)&amp;C$3)*1,0),0)))),"",INDEX('Casillas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10-4"&amp;CHAR(31)&amp;$A5&amp;CHAR(31)&amp;C$3)*1,0),0))))&amp;IF(SUMPRODUCT(1*EXACT('Casillas del horario'!$S$4:$S$73,"Profesor de I en 10-4"&amp;CHAR(31)&amp;$A5&amp;CHAR(31)&amp;C$3))&gt;2," (+"&amp;(SUMPRODUCT(1*EXACT('Casillas del horario'!$S$4:$S$73,"Profesor de I en 10-4"&amp;CHAR(31)&amp;$A5&amp;CHAR(31)&amp;C$3))-2)&amp;")",""),IF(ISNA(MATCH(1,INDEX(EXACT('Casillas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/ "&amp;IF(ISBLANK(INDEX('Casillas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10-4"&amp;CHAR(31)&amp;$A5&amp;CHAR(31)&amp;D$3)*1,0),0)))),"",INDEX('Casillas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10-4"&amp;CHAR(31)&amp;$A5&amp;CHAR(31)&amp;D$3)*1,0),0))))&amp;IF(SUMPRODUCT(1*EXACT('Casillas del horario'!$S$4:$S$73,"Profesor de I en 10-4"&amp;CHAR(31)&amp;$A5&amp;CHAR(31)&amp;D$3))&gt;2," (+"&amp;(SUMPRODUCT(1*EXACT('Casillas del horario'!$S$4:$S$73,"Profesor de I en 10-4"&amp;CHAR(31)&amp;$A5&amp;CHAR(31)&amp;D$3))-2)&amp;")",""),IF(ISNA(MATCH(1,INDEX(EXACT('Casillas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/ "&amp;IF(ISBLANK(INDEX('Casillas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10-4"&amp;CHAR(31)&amp;$A5&amp;CHAR(31)&amp;E$3)*1,0),0)))),"",INDEX('Casillas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10-4"&amp;CHAR(31)&amp;$A5&amp;CHAR(31)&amp;E$3)*1,0),0))))&amp;IF(SUMPRODUCT(1*EXACT('Casillas del horario'!$S$4:$S$73,"Profesor de I en 10-4"&amp;CHAR(31)&amp;$A5&amp;CHAR(31)&amp;E$3))&gt;2," (+"&amp;(SUMPRODUCT(1*EXACT('Casillas del horario'!$S$4:$S$73,"Profesor de I en 10-4"&amp;CHAR(31)&amp;$A5&amp;CHAR(31)&amp;E$3))-2)&amp;")",""),IF(ISNA(MATCH(1,INDEX(EXACT('Casillas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/ "&amp;IF(ISBLANK(INDEX('Casillas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10-4"&amp;CHAR(31)&amp;$A5&amp;CHAR(31)&amp;F$3)*1,0),0)))),"",INDEX('Casillas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10-4"&amp;CHAR(31)&amp;$A5&amp;CHAR(31)&amp;F$3)*1,0),0))))&amp;IF(SUMPRODUCT(1*EXACT('Casillas del horario'!$S$4:$S$73,"Profesor de I en 10-4"&amp;CHAR(31)&amp;$A5&amp;CHAR(31)&amp;F$3))&gt;2," (+"&amp;(SUMPRODUCT(1*EXACT('Casillas del horario'!$S$4:$S$73,"Profesor de I en 10-4"&amp;CHAR(31)&amp;$A5&amp;CHAR(31)&amp;F$3))-2)&amp;")",""),IF(ISNA(MATCH(1,INDEX(EXACT('Casillas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/ "&amp;IF(ISBLANK(INDEX('Casillas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10-4"&amp;CHAR(31)&amp;$A6&amp;CHAR(31)&amp;B$3)*1,0),0)))),"",INDEX('Casillas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10-4"&amp;CHAR(31)&amp;$A6&amp;CHAR(31)&amp;B$3)*1,0),0))))&amp;IF(SUMPRODUCT(1*EXACT('Casillas del horario'!$S$4:$S$73,"Profesor de I en 10-4"&amp;CHAR(31)&amp;$A6&amp;CHAR(31)&amp;B$3))&gt;2," (+"&amp;(SUMPRODUCT(1*EXACT('Casillas del horario'!$S$4:$S$73,"Profesor de I en 10-4"&amp;CHAR(31)&amp;$A6&amp;CHAR(31)&amp;B$3))-2)&amp;")",""),IF(ISNA(MATCH(1,INDEX(EXACT('Casillas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/ "&amp;IF(ISBLANK(INDEX('Casillas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10-4"&amp;CHAR(31)&amp;$A6&amp;CHAR(31)&amp;C$3)*1,0),0)))),"",INDEX('Casillas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10-4"&amp;CHAR(31)&amp;$A6&amp;CHAR(31)&amp;C$3)*1,0),0))))&amp;IF(SUMPRODUCT(1*EXACT('Casillas del horario'!$S$4:$S$73,"Profesor de I en 10-4"&amp;CHAR(31)&amp;$A6&amp;CHAR(31)&amp;C$3))&gt;2," (+"&amp;(SUMPRODUCT(1*EXACT('Casillas del horario'!$S$4:$S$73,"Profesor de I en 10-4"&amp;CHAR(31)&amp;$A6&amp;CHAR(31)&amp;C$3))-2)&amp;")",""),IF(ISNA(MATCH(1,INDEX(EXACT('Casillas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/ "&amp;IF(ISBLANK(INDEX('Casillas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10-4"&amp;CHAR(31)&amp;$A6&amp;CHAR(31)&amp;D$3)*1,0),0)))),"",INDEX('Casillas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10-4"&amp;CHAR(31)&amp;$A6&amp;CHAR(31)&amp;D$3)*1,0),0))))&amp;IF(SUMPRODUCT(1*EXACT('Casillas del horario'!$S$4:$S$73,"Profesor de I en 10-4"&amp;CHAR(31)&amp;$A6&amp;CHAR(31)&amp;D$3))&gt;2," (+"&amp;(SUMPRODUCT(1*EXACT('Casillas del horario'!$S$4:$S$73,"Profesor de I en 10-4"&amp;CHAR(31)&amp;$A6&amp;CHAR(31)&amp;D$3))-2)&amp;")",""),IF(ISNA(MATCH(1,INDEX(EXACT('Casillas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/ "&amp;IF(ISBLANK(INDEX('Casillas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10-4"&amp;CHAR(31)&amp;$A6&amp;CHAR(31)&amp;E$3)*1,0),0)))),"",INDEX('Casillas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10-4"&amp;CHAR(31)&amp;$A6&amp;CHAR(31)&amp;E$3)*1,0),0))))&amp;IF(SUMPRODUCT(1*EXACT('Casillas del horario'!$S$4:$S$73,"Profesor de I en 10-4"&amp;CHAR(31)&amp;$A6&amp;CHAR(31)&amp;E$3))&gt;2," (+"&amp;(SUMPRODUCT(1*EXACT('Casillas del horario'!$S$4:$S$73,"Profesor de I en 10-4"&amp;CHAR(31)&amp;$A6&amp;CHAR(31)&amp;E$3))-2)&amp;")",""),IF(ISNA(MATCH(1,INDEX(EXACT('Casillas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/ "&amp;IF(ISBLANK(INDEX('Casillas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10-4"&amp;CHAR(31)&amp;$A6&amp;CHAR(31)&amp;F$3)*1,0),0)))),"",INDEX('Casillas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10-4"&amp;CHAR(31)&amp;$A6&amp;CHAR(31)&amp;F$3)*1,0),0))))&amp;IF(SUMPRODUCT(1*EXACT('Casillas del horario'!$S$4:$S$73,"Profesor de I en 10-4"&amp;CHAR(31)&amp;$A6&amp;CHAR(31)&amp;F$3))&gt;2," (+"&amp;(SUMPRODUCT(1*EXACT('Casillas del horario'!$S$4:$S$73,"Profesor de I en 10-4"&amp;CHAR(31)&amp;$A6&amp;CHAR(31)&amp;F$3))-2)&amp;")",""),IF(ISNA(MATCH(1,INDEX(EXACT('Casillas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/ "&amp;IF(ISBLANK(INDEX('Casillas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10-4"&amp;CHAR(31)&amp;$A7&amp;CHAR(31)&amp;B$3)*1,0),0)))),"",INDEX('Casillas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10-4"&amp;CHAR(31)&amp;$A7&amp;CHAR(31)&amp;B$3)*1,0),0))))&amp;IF(SUMPRODUCT(1*EXACT('Casillas del horario'!$S$4:$S$73,"Profesor de I en 10-4"&amp;CHAR(31)&amp;$A7&amp;CHAR(31)&amp;B$3))&gt;2," (+"&amp;(SUMPRODUCT(1*EXACT('Casillas del horario'!$S$4:$S$73,"Profesor de I en 10-4"&amp;CHAR(31)&amp;$A7&amp;CHAR(31)&amp;B$3))-2)&amp;")",""),IF(ISNA(MATCH(1,INDEX(EXACT('Casillas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/ "&amp;IF(ISBLANK(INDEX('Casillas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10-4"&amp;CHAR(31)&amp;$A7&amp;CHAR(31)&amp;C$3)*1,0),0)))),"",INDEX('Casillas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10-4"&amp;CHAR(31)&amp;$A7&amp;CHAR(31)&amp;C$3)*1,0),0))))&amp;IF(SUMPRODUCT(1*EXACT('Casillas del horario'!$S$4:$S$73,"Profesor de I en 10-4"&amp;CHAR(31)&amp;$A7&amp;CHAR(31)&amp;C$3))&gt;2," (+"&amp;(SUMPRODUCT(1*EXACT('Casillas del horario'!$S$4:$S$73,"Profesor de I en 10-4"&amp;CHAR(31)&amp;$A7&amp;CHAR(31)&amp;C$3))-2)&amp;")",""),IF(ISNA(MATCH(1,INDEX(EXACT('Casillas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/ "&amp;IF(ISBLANK(INDEX('Casillas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10-4"&amp;CHAR(31)&amp;$A7&amp;CHAR(31)&amp;D$3)*1,0),0)))),"",INDEX('Casillas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10-4"&amp;CHAR(31)&amp;$A7&amp;CHAR(31)&amp;D$3)*1,0),0))))&amp;IF(SUMPRODUCT(1*EXACT('Casillas del horario'!$S$4:$S$73,"Profesor de I en 10-4"&amp;CHAR(31)&amp;$A7&amp;CHAR(31)&amp;D$3))&gt;2," (+"&amp;(SUMPRODUCT(1*EXACT('Casillas del horario'!$S$4:$S$73,"Profesor de I en 10-4"&amp;CHAR(31)&amp;$A7&amp;CHAR(31)&amp;D$3))-2)&amp;")",""),IF(ISNA(MATCH(1,INDEX(EXACT('Casillas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/ "&amp;IF(ISBLANK(INDEX('Casillas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10-4"&amp;CHAR(31)&amp;$A7&amp;CHAR(31)&amp;E$3)*1,0),0)))),"",INDEX('Casillas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10-4"&amp;CHAR(31)&amp;$A7&amp;CHAR(31)&amp;E$3)*1,0),0))))&amp;IF(SUMPRODUCT(1*EXACT('Casillas del horario'!$S$4:$S$73,"Profesor de I en 10-4"&amp;CHAR(31)&amp;$A7&amp;CHAR(31)&amp;E$3))&gt;2," (+"&amp;(SUMPRODUCT(1*EXACT('Casillas del horario'!$S$4:$S$73,"Profesor de I en 10-4"&amp;CHAR(31)&amp;$A7&amp;CHAR(31)&amp;E$3))-2)&amp;")",""),IF(ISNA(MATCH(1,INDEX(EXACT('Casillas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/ "&amp;IF(ISBLANK(INDEX('Casillas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10-4"&amp;CHAR(31)&amp;$A7&amp;CHAR(31)&amp;F$3)*1,0),0)))),"",INDEX('Casillas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10-4"&amp;CHAR(31)&amp;$A7&amp;CHAR(31)&amp;F$3)*1,0),0))))&amp;IF(SUMPRODUCT(1*EXACT('Casillas del horario'!$S$4:$S$73,"Profesor de I en 10-4"&amp;CHAR(31)&amp;$A7&amp;CHAR(31)&amp;F$3))&gt;2," (+"&amp;(SUMPRODUCT(1*EXACT('Casillas del horario'!$S$4:$S$73,"Profesor de I en 10-4"&amp;CHAR(31)&amp;$A7&amp;CHAR(31)&amp;F$3))-2)&amp;")",""),IF(ISNA(MATCH(1,INDEX(EXACT('Casillas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/ "&amp;IF(ISBLANK(INDEX('Casillas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10-4"&amp;CHAR(31)&amp;$A8&amp;CHAR(31)&amp;B$3)*1,0),0)))),"",INDEX('Casillas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10-4"&amp;CHAR(31)&amp;$A8&amp;CHAR(31)&amp;B$3)*1,0),0))))&amp;IF(SUMPRODUCT(1*EXACT('Casillas del horario'!$S$4:$S$73,"Profesor de I en 10-4"&amp;CHAR(31)&amp;$A8&amp;CHAR(31)&amp;B$3))&gt;2," (+"&amp;(SUMPRODUCT(1*EXACT('Casillas del horario'!$S$4:$S$73,"Profesor de I en 10-4"&amp;CHAR(31)&amp;$A8&amp;CHAR(31)&amp;B$3))-2)&amp;")",""),IF(ISNA(MATCH(1,INDEX(EXACT('Casillas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/ "&amp;IF(ISBLANK(INDEX('Casillas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10-4"&amp;CHAR(31)&amp;$A8&amp;CHAR(31)&amp;C$3)*1,0),0)))),"",INDEX('Casillas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10-4"&amp;CHAR(31)&amp;$A8&amp;CHAR(31)&amp;C$3)*1,0),0))))&amp;IF(SUMPRODUCT(1*EXACT('Casillas del horario'!$S$4:$S$73,"Profesor de I en 10-4"&amp;CHAR(31)&amp;$A8&amp;CHAR(31)&amp;C$3))&gt;2," (+"&amp;(SUMPRODUCT(1*EXACT('Casillas del horario'!$S$4:$S$73,"Profesor de I en 10-4"&amp;CHAR(31)&amp;$A8&amp;CHAR(31)&amp;C$3))-2)&amp;")",""),IF(ISNA(MATCH(1,INDEX(EXACT('Casillas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/ "&amp;IF(ISBLANK(INDEX('Casillas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10-4"&amp;CHAR(31)&amp;$A8&amp;CHAR(31)&amp;D$3)*1,0),0)))),"",INDEX('Casillas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10-4"&amp;CHAR(31)&amp;$A8&amp;CHAR(31)&amp;D$3)*1,0),0))))&amp;IF(SUMPRODUCT(1*EXACT('Casillas del horario'!$S$4:$S$73,"Profesor de I en 10-4"&amp;CHAR(31)&amp;$A8&amp;CHAR(31)&amp;D$3))&gt;2," (+"&amp;(SUMPRODUCT(1*EXACT('Casillas del horario'!$S$4:$S$73,"Profesor de I en 10-4"&amp;CHAR(31)&amp;$A8&amp;CHAR(31)&amp;D$3))-2)&amp;")",""),IF(ISNA(MATCH(1,INDEX(EXACT('Casillas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/ "&amp;IF(ISBLANK(INDEX('Casillas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10-4"&amp;CHAR(31)&amp;$A8&amp;CHAR(31)&amp;E$3)*1,0),0)))),"",INDEX('Casillas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10-4"&amp;CHAR(31)&amp;$A8&amp;CHAR(31)&amp;E$3)*1,0),0))))&amp;IF(SUMPRODUCT(1*EXACT('Casillas del horario'!$S$4:$S$73,"Profesor de I en 10-4"&amp;CHAR(31)&amp;$A8&amp;CHAR(31)&amp;E$3))&gt;2," (+"&amp;(SUMPRODUCT(1*EXACT('Casillas del horario'!$S$4:$S$73,"Profesor de I en 10-4"&amp;CHAR(31)&amp;$A8&amp;CHAR(31)&amp;E$3))-2)&amp;")",""),IF(ISNA(MATCH(1,INDEX(EXACT('Casillas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/ "&amp;IF(ISBLANK(INDEX('Casillas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10-4"&amp;CHAR(31)&amp;$A8&amp;CHAR(31)&amp;F$3)*1,0),0)))),"",INDEX('Casillas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10-4"&amp;CHAR(31)&amp;$A8&amp;CHAR(31)&amp;F$3)*1,0),0))))&amp;IF(SUMPRODUCT(1*EXACT('Casillas del horario'!$S$4:$S$73,"Profesor de I en 10-4"&amp;CHAR(31)&amp;$A8&amp;CHAR(31)&amp;F$3))&gt;2," (+"&amp;(SUMPRODUCT(1*EXACT('Casillas del horario'!$S$4:$S$73,"Profesor de I en 10-4"&amp;CHAR(31)&amp;$A8&amp;CHAR(31)&amp;F$3))-2)&amp;")",""),IF(ISNA(MATCH(1,INDEX(EXACT('Casillas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/ "&amp;IF(ISBLANK(INDEX('Casillas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10-4"&amp;CHAR(31)&amp;$A9&amp;CHAR(31)&amp;B$3)*1,0),0)))),"",INDEX('Casillas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10-4"&amp;CHAR(31)&amp;$A9&amp;CHAR(31)&amp;B$3)*1,0),0))))&amp;IF(SUMPRODUCT(1*EXACT('Casillas del horario'!$S$4:$S$73,"Profesor de I en 10-4"&amp;CHAR(31)&amp;$A9&amp;CHAR(31)&amp;B$3))&gt;2," (+"&amp;(SUMPRODUCT(1*EXACT('Casillas del horario'!$S$4:$S$73,"Profesor de I en 10-4"&amp;CHAR(31)&amp;$A9&amp;CHAR(31)&amp;B$3))-2)&amp;")",""),IF(ISNA(MATCH(1,INDEX(EXACT('Casillas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/ "&amp;IF(ISBLANK(INDEX('Casillas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10-4"&amp;CHAR(31)&amp;$A9&amp;CHAR(31)&amp;C$3)*1,0),0)))),"",INDEX('Casillas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10-4"&amp;CHAR(31)&amp;$A9&amp;CHAR(31)&amp;C$3)*1,0),0))))&amp;IF(SUMPRODUCT(1*EXACT('Casillas del horario'!$S$4:$S$73,"Profesor de I en 10-4"&amp;CHAR(31)&amp;$A9&amp;CHAR(31)&amp;C$3))&gt;2," (+"&amp;(SUMPRODUCT(1*EXACT('Casillas del horario'!$S$4:$S$73,"Profesor de I en 10-4"&amp;CHAR(31)&amp;$A9&amp;CHAR(31)&amp;C$3))-2)&amp;")",""),IF(ISNA(MATCH(1,INDEX(EXACT('Casillas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/ "&amp;IF(ISBLANK(INDEX('Casillas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10-4"&amp;CHAR(31)&amp;$A9&amp;CHAR(31)&amp;D$3)*1,0),0)))),"",INDEX('Casillas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10-4"&amp;CHAR(31)&amp;$A9&amp;CHAR(31)&amp;D$3)*1,0),0))))&amp;IF(SUMPRODUCT(1*EXACT('Casillas del horario'!$S$4:$S$73,"Profesor de I en 10-4"&amp;CHAR(31)&amp;$A9&amp;CHAR(31)&amp;D$3))&gt;2," (+"&amp;(SUMPRODUCT(1*EXACT('Casillas del horario'!$S$4:$S$73,"Profesor de I en 10-4"&amp;CHAR(31)&amp;$A9&amp;CHAR(31)&amp;D$3))-2)&amp;")",""),IF(ISNA(MATCH(1,INDEX(EXACT('Casillas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/ "&amp;IF(ISBLANK(INDEX('Casillas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10-4"&amp;CHAR(31)&amp;$A9&amp;CHAR(31)&amp;E$3)*1,0),0)))),"",INDEX('Casillas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10-4"&amp;CHAR(31)&amp;$A9&amp;CHAR(31)&amp;E$3)*1,0),0))))&amp;IF(SUMPRODUCT(1*EXACT('Casillas del horario'!$S$4:$S$73,"Profesor de I en 10-4"&amp;CHAR(31)&amp;$A9&amp;CHAR(31)&amp;E$3))&gt;2," (+"&amp;(SUMPRODUCT(1*EXACT('Casillas del horario'!$S$4:$S$73,"Profesor de I en 10-4"&amp;CHAR(31)&amp;$A9&amp;CHAR(31)&amp;E$3))-2)&amp;")",""),IF(ISNA(MATCH(1,INDEX(EXACT('Casillas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/ "&amp;IF(ISBLANK(INDEX('Casillas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10-4"&amp;CHAR(31)&amp;$A9&amp;CHAR(31)&amp;F$3)*1,0),0)))),"",INDEX('Casillas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10-4"&amp;CHAR(31)&amp;$A9&amp;CHAR(31)&amp;F$3)*1,0),0))))&amp;IF(SUMPRODUCT(1*EXACT('Casillas del horario'!$S$4:$S$73,"Profesor de I en 10-4"&amp;CHAR(31)&amp;$A9&amp;CHAR(31)&amp;F$3))&gt;2," (+"&amp;(SUMPRODUCT(1*EXACT('Casillas del horario'!$S$4:$S$73,"Profesor de I en 10-4"&amp;CHAR(31)&amp;$A9&amp;CHAR(31)&amp;F$3))-2)&amp;")",""),IF(ISNA(MATCH(1,INDEX(EXACT('Casillas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/ "&amp;IF(ISBLANK(INDEX('Casillas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10-4"&amp;CHAR(31)&amp;$A10&amp;CHAR(31)&amp;B$3)*1,0),0)))),"",INDEX('Casillas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10-4"&amp;CHAR(31)&amp;$A10&amp;CHAR(31)&amp;B$3)*1,0),0))))&amp;IF(SUMPRODUCT(1*EXACT('Casillas del horario'!$S$4:$S$73,"Profesor de I en 10-4"&amp;CHAR(31)&amp;$A10&amp;CHAR(31)&amp;B$3))&gt;2," (+"&amp;(SUMPRODUCT(1*EXACT('Casillas del horario'!$S$4:$S$73,"Profesor de I en 10-4"&amp;CHAR(31)&amp;$A10&amp;CHAR(31)&amp;B$3))-2)&amp;")",""),IF(ISNA(MATCH(1,INDEX(EXACT('Casillas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/ "&amp;IF(ISBLANK(INDEX('Casillas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10-4"&amp;CHAR(31)&amp;$A10&amp;CHAR(31)&amp;C$3)*1,0),0)))),"",INDEX('Casillas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10-4"&amp;CHAR(31)&amp;$A10&amp;CHAR(31)&amp;C$3)*1,0),0))))&amp;IF(SUMPRODUCT(1*EXACT('Casillas del horario'!$S$4:$S$73,"Profesor de I en 10-4"&amp;CHAR(31)&amp;$A10&amp;CHAR(31)&amp;C$3))&gt;2," (+"&amp;(SUMPRODUCT(1*EXACT('Casillas del horario'!$S$4:$S$73,"Profesor de I en 10-4"&amp;CHAR(31)&amp;$A10&amp;CHAR(31)&amp;C$3))-2)&amp;")",""),IF(ISNA(MATCH(1,INDEX(EXACT('Casillas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/ "&amp;IF(ISBLANK(INDEX('Casillas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10-4"&amp;CHAR(31)&amp;$A10&amp;CHAR(31)&amp;D$3)*1,0),0)))),"",INDEX('Casillas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10-4"&amp;CHAR(31)&amp;$A10&amp;CHAR(31)&amp;D$3)*1,0),0))))&amp;IF(SUMPRODUCT(1*EXACT('Casillas del horario'!$S$4:$S$73,"Profesor de I en 10-4"&amp;CHAR(31)&amp;$A10&amp;CHAR(31)&amp;D$3))&gt;2," (+"&amp;(SUMPRODUCT(1*EXACT('Casillas del horario'!$S$4:$S$73,"Profesor de I en 10-4"&amp;CHAR(31)&amp;$A10&amp;CHAR(31)&amp;D$3))-2)&amp;")",""),IF(ISNA(MATCH(1,INDEX(EXACT('Casillas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/ "&amp;IF(ISBLANK(INDEX('Casillas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10-4"&amp;CHAR(31)&amp;$A10&amp;CHAR(31)&amp;E$3)*1,0),0)))),"",INDEX('Casillas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10-4"&amp;CHAR(31)&amp;$A10&amp;CHAR(31)&amp;E$3)*1,0),0))))&amp;IF(SUMPRODUCT(1*EXACT('Casillas del horario'!$S$4:$S$73,"Profesor de I en 10-4"&amp;CHAR(31)&amp;$A10&amp;CHAR(31)&amp;E$3))&gt;2," (+"&amp;(SUMPRODUCT(1*EXACT('Casillas del horario'!$S$4:$S$73,"Profesor de I en 10-4"&amp;CHAR(31)&amp;$A10&amp;CHAR(31)&amp;E$3))-2)&amp;")",""),IF(ISNA(MATCH(1,INDEX(EXACT('Casillas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/ "&amp;IF(ISBLANK(INDEX('Casillas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10-4"&amp;CHAR(31)&amp;$A10&amp;CHAR(31)&amp;F$3)*1,0),0)))),"",INDEX('Casillas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10-4"&amp;CHAR(31)&amp;$A10&amp;CHAR(31)&amp;F$3)*1,0),0))))&amp;IF(SUMPRODUCT(1*EXACT('Casillas del horario'!$S$4:$S$73,"Profesor de I en 10-4"&amp;CHAR(31)&amp;$A10&amp;CHAR(31)&amp;F$3))&gt;2," (+"&amp;(SUMPRODUCT(1*EXACT('Casillas del horario'!$S$4:$S$73,"Profesor de I en 10-4"&amp;CHAR(31)&amp;$A10&amp;CHAR(31)&amp;F$3))-2)&amp;")",""),IF(ISNA(MATCH(1,INDEX(EXACT('Casillas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/ "&amp;IF(ISBLANK(INDEX('Casillas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10-4"&amp;CHAR(31)&amp;$A4&amp;CHAR(31)&amp;B$3)*1,0),0)))),"",INDEX('Casillas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10-4"&amp;CHAR(31)&amp;$A4&amp;CHAR(31)&amp;B$3)*1,0),0))))&amp;IF(SUMPRODUCT(1*EXACT('Casillas del horario'!$S$4:$S$73,"Profesor de H en 10-4"&amp;CHAR(31)&amp;$A4&amp;CHAR(31)&amp;B$3))&gt;2," (+"&amp;(SUMPRODUCT(1*EXACT('Casillas del horario'!$S$4:$S$73,"Profesor de H en 10-4"&amp;CHAR(31)&amp;$A4&amp;CHAR(31)&amp;B$3))-2)&amp;")",""),IF(ISNA(MATCH(1,INDEX(EXACT('Casillas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/ "&amp;IF(ISBLANK(INDEX('Casillas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10-4"&amp;CHAR(31)&amp;$A4&amp;CHAR(31)&amp;C$3)*1,0),0)))),"",INDEX('Casillas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10-4"&amp;CHAR(31)&amp;$A4&amp;CHAR(31)&amp;C$3)*1,0),0))))&amp;IF(SUMPRODUCT(1*EXACT('Casillas del horario'!$S$4:$S$73,"Profesor de H en 10-4"&amp;CHAR(31)&amp;$A4&amp;CHAR(31)&amp;C$3))&gt;2," (+"&amp;(SUMPRODUCT(1*EXACT('Casillas del horario'!$S$4:$S$73,"Profesor de H en 10-4"&amp;CHAR(31)&amp;$A4&amp;CHAR(31)&amp;C$3))-2)&amp;")",""),IF(ISNA(MATCH(1,INDEX(EXACT('Casillas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/ "&amp;IF(ISBLANK(INDEX('Casillas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10-4"&amp;CHAR(31)&amp;$A4&amp;CHAR(31)&amp;D$3)*1,0),0)))),"",INDEX('Casillas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10-4"&amp;CHAR(31)&amp;$A4&amp;CHAR(31)&amp;D$3)*1,0),0))))&amp;IF(SUMPRODUCT(1*EXACT('Casillas del horario'!$S$4:$S$73,"Profesor de H en 10-4"&amp;CHAR(31)&amp;$A4&amp;CHAR(31)&amp;D$3))&gt;2," (+"&amp;(SUMPRODUCT(1*EXACT('Casillas del horario'!$S$4:$S$73,"Profesor de H en 10-4"&amp;CHAR(31)&amp;$A4&amp;CHAR(31)&amp;D$3))-2)&amp;")",""),IF(ISNA(MATCH(1,INDEX(EXACT('Casillas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/ "&amp;IF(ISBLANK(INDEX('Casillas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10-4"&amp;CHAR(31)&amp;$A4&amp;CHAR(31)&amp;E$3)*1,0),0)))),"",INDEX('Casillas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10-4"&amp;CHAR(31)&amp;$A4&amp;CHAR(31)&amp;E$3)*1,0),0))))&amp;IF(SUMPRODUCT(1*EXACT('Casillas del horario'!$S$4:$S$73,"Profesor de H en 10-4"&amp;CHAR(31)&amp;$A4&amp;CHAR(31)&amp;E$3))&gt;2," (+"&amp;(SUMPRODUCT(1*EXACT('Casillas del horario'!$S$4:$S$73,"Profesor de H en 10-4"&amp;CHAR(31)&amp;$A4&amp;CHAR(31)&amp;E$3))-2)&amp;")",""),IF(ISNA(MATCH(1,INDEX(EXACT('Casillas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/ "&amp;IF(ISBLANK(INDEX('Casillas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10-4"&amp;CHAR(31)&amp;$A4&amp;CHAR(31)&amp;F$3)*1,0),0)))),"",INDEX('Casillas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10-4"&amp;CHAR(31)&amp;$A4&amp;CHAR(31)&amp;F$3)*1,0),0))))&amp;IF(SUMPRODUCT(1*EXACT('Casillas del horario'!$S$4:$S$73,"Profesor de H en 10-4"&amp;CHAR(31)&amp;$A4&amp;CHAR(31)&amp;F$3))&gt;2," (+"&amp;(SUMPRODUCT(1*EXACT('Casillas del horario'!$S$4:$S$73,"Profesor de H en 10-4"&amp;CHAR(31)&amp;$A4&amp;CHAR(31)&amp;F$3))-2)&amp;")",""),IF(ISNA(MATCH(1,INDEX(EXACT('Casillas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/ "&amp;IF(ISBLANK(INDEX('Casillas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10-4"&amp;CHAR(31)&amp;$A5&amp;CHAR(31)&amp;B$3)*1,0),0)))),"",INDEX('Casillas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10-4"&amp;CHAR(31)&amp;$A5&amp;CHAR(31)&amp;B$3)*1,0),0))))&amp;IF(SUMPRODUCT(1*EXACT('Casillas del horario'!$S$4:$S$73,"Profesor de H en 10-4"&amp;CHAR(31)&amp;$A5&amp;CHAR(31)&amp;B$3))&gt;2," (+"&amp;(SUMPRODUCT(1*EXACT('Casillas del horario'!$S$4:$S$73,"Profesor de H en 10-4"&amp;CHAR(31)&amp;$A5&amp;CHAR(31)&amp;B$3))-2)&amp;")",""),IF(ISNA(MATCH(1,INDEX(EXACT('Casillas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/ "&amp;IF(ISBLANK(INDEX('Casillas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10-4"&amp;CHAR(31)&amp;$A5&amp;CHAR(31)&amp;C$3)*1,0),0)))),"",INDEX('Casillas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10-4"&amp;CHAR(31)&amp;$A5&amp;CHAR(31)&amp;C$3)*1,0),0))))&amp;IF(SUMPRODUCT(1*EXACT('Casillas del horario'!$S$4:$S$73,"Profesor de H en 10-4"&amp;CHAR(31)&amp;$A5&amp;CHAR(31)&amp;C$3))&gt;2," (+"&amp;(SUMPRODUCT(1*EXACT('Casillas del horario'!$S$4:$S$73,"Profesor de H en 10-4"&amp;CHAR(31)&amp;$A5&amp;CHAR(31)&amp;C$3))-2)&amp;")",""),IF(ISNA(MATCH(1,INDEX(EXACT('Casillas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/ "&amp;IF(ISBLANK(INDEX('Casillas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10-4"&amp;CHAR(31)&amp;$A5&amp;CHAR(31)&amp;D$3)*1,0),0)))),"",INDEX('Casillas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10-4"&amp;CHAR(31)&amp;$A5&amp;CHAR(31)&amp;D$3)*1,0),0))))&amp;IF(SUMPRODUCT(1*EXACT('Casillas del horario'!$S$4:$S$73,"Profesor de H en 10-4"&amp;CHAR(31)&amp;$A5&amp;CHAR(31)&amp;D$3))&gt;2," (+"&amp;(SUMPRODUCT(1*EXACT('Casillas del horario'!$S$4:$S$73,"Profesor de H en 10-4"&amp;CHAR(31)&amp;$A5&amp;CHAR(31)&amp;D$3))-2)&amp;")",""),IF(ISNA(MATCH(1,INDEX(EXACT('Casillas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/ "&amp;IF(ISBLANK(INDEX('Casillas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10-4"&amp;CHAR(31)&amp;$A5&amp;CHAR(31)&amp;E$3)*1,0),0)))),"",INDEX('Casillas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10-4"&amp;CHAR(31)&amp;$A5&amp;CHAR(31)&amp;E$3)*1,0),0))))&amp;IF(SUMPRODUCT(1*EXACT('Casillas del horario'!$S$4:$S$73,"Profesor de H en 10-4"&amp;CHAR(31)&amp;$A5&amp;CHAR(31)&amp;E$3))&gt;2," (+"&amp;(SUMPRODUCT(1*EXACT('Casillas del horario'!$S$4:$S$73,"Profesor de H en 10-4"&amp;CHAR(31)&amp;$A5&amp;CHAR(31)&amp;E$3))-2)&amp;")",""),IF(ISNA(MATCH(1,INDEX(EXACT('Casillas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/ "&amp;IF(ISBLANK(INDEX('Casillas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10-4"&amp;CHAR(31)&amp;$A5&amp;CHAR(31)&amp;F$3)*1,0),0)))),"",INDEX('Casillas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10-4"&amp;CHAR(31)&amp;$A5&amp;CHAR(31)&amp;F$3)*1,0),0))))&amp;IF(SUMPRODUCT(1*EXACT('Casillas del horario'!$S$4:$S$73,"Profesor de H en 10-4"&amp;CHAR(31)&amp;$A5&amp;CHAR(31)&amp;F$3))&gt;2," (+"&amp;(SUMPRODUCT(1*EXACT('Casillas del horario'!$S$4:$S$73,"Profesor de H en 10-4"&amp;CHAR(31)&amp;$A5&amp;CHAR(31)&amp;F$3))-2)&amp;")",""),IF(ISNA(MATCH(1,INDEX(EXACT('Casillas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/ "&amp;IF(ISBLANK(INDEX('Casillas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10-4"&amp;CHAR(31)&amp;$A6&amp;CHAR(31)&amp;B$3)*1,0),0)))),"",INDEX('Casillas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10-4"&amp;CHAR(31)&amp;$A6&amp;CHAR(31)&amp;B$3)*1,0),0))))&amp;IF(SUMPRODUCT(1*EXACT('Casillas del horario'!$S$4:$S$73,"Profesor de H en 10-4"&amp;CHAR(31)&amp;$A6&amp;CHAR(31)&amp;B$3))&gt;2," (+"&amp;(SUMPRODUCT(1*EXACT('Casillas del horario'!$S$4:$S$73,"Profesor de H en 10-4"&amp;CHAR(31)&amp;$A6&amp;CHAR(31)&amp;B$3))-2)&amp;")",""),IF(ISNA(MATCH(1,INDEX(EXACT('Casillas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/ "&amp;IF(ISBLANK(INDEX('Casillas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10-4"&amp;CHAR(31)&amp;$A6&amp;CHAR(31)&amp;C$3)*1,0),0)))),"",INDEX('Casillas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10-4"&amp;CHAR(31)&amp;$A6&amp;CHAR(31)&amp;C$3)*1,0),0))))&amp;IF(SUMPRODUCT(1*EXACT('Casillas del horario'!$S$4:$S$73,"Profesor de H en 10-4"&amp;CHAR(31)&amp;$A6&amp;CHAR(31)&amp;C$3))&gt;2," (+"&amp;(SUMPRODUCT(1*EXACT('Casillas del horario'!$S$4:$S$73,"Profesor de H en 10-4"&amp;CHAR(31)&amp;$A6&amp;CHAR(31)&amp;C$3))-2)&amp;")",""),IF(ISNA(MATCH(1,INDEX(EXACT('Casillas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/ "&amp;IF(ISBLANK(INDEX('Casillas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10-4"&amp;CHAR(31)&amp;$A6&amp;CHAR(31)&amp;D$3)*1,0),0)))),"",INDEX('Casillas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10-4"&amp;CHAR(31)&amp;$A6&amp;CHAR(31)&amp;D$3)*1,0),0))))&amp;IF(SUMPRODUCT(1*EXACT('Casillas del horario'!$S$4:$S$73,"Profesor de H en 10-4"&amp;CHAR(31)&amp;$A6&amp;CHAR(31)&amp;D$3))&gt;2," (+"&amp;(SUMPRODUCT(1*EXACT('Casillas del horario'!$S$4:$S$73,"Profesor de H en 10-4"&amp;CHAR(31)&amp;$A6&amp;CHAR(31)&amp;D$3))-2)&amp;")",""),IF(ISNA(MATCH(1,INDEX(EXACT('Casillas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/ "&amp;IF(ISBLANK(INDEX('Casillas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10-4"&amp;CHAR(31)&amp;$A6&amp;CHAR(31)&amp;E$3)*1,0),0)))),"",INDEX('Casillas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10-4"&amp;CHAR(31)&amp;$A6&amp;CHAR(31)&amp;E$3)*1,0),0))))&amp;IF(SUMPRODUCT(1*EXACT('Casillas del horario'!$S$4:$S$73,"Profesor de H en 10-4"&amp;CHAR(31)&amp;$A6&amp;CHAR(31)&amp;E$3))&gt;2," (+"&amp;(SUMPRODUCT(1*EXACT('Casillas del horario'!$S$4:$S$73,"Profesor de H en 10-4"&amp;CHAR(31)&amp;$A6&amp;CHAR(31)&amp;E$3))-2)&amp;")",""),IF(ISNA(MATCH(1,INDEX(EXACT('Casillas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/ "&amp;IF(ISBLANK(INDEX('Casillas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10-4"&amp;CHAR(31)&amp;$A6&amp;CHAR(31)&amp;F$3)*1,0),0)))),"",INDEX('Casillas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10-4"&amp;CHAR(31)&amp;$A6&amp;CHAR(31)&amp;F$3)*1,0),0))))&amp;IF(SUMPRODUCT(1*EXACT('Casillas del horario'!$S$4:$S$73,"Profesor de H en 10-4"&amp;CHAR(31)&amp;$A6&amp;CHAR(31)&amp;F$3))&gt;2," (+"&amp;(SUMPRODUCT(1*EXACT('Casillas del horario'!$S$4:$S$73,"Profesor de H en 10-4"&amp;CHAR(31)&amp;$A6&amp;CHAR(31)&amp;F$3))-2)&amp;")",""),IF(ISNA(MATCH(1,INDEX(EXACT('Casillas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/ "&amp;IF(ISBLANK(INDEX('Casillas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10-4"&amp;CHAR(31)&amp;$A7&amp;CHAR(31)&amp;B$3)*1,0),0)))),"",INDEX('Casillas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10-4"&amp;CHAR(31)&amp;$A7&amp;CHAR(31)&amp;B$3)*1,0),0))))&amp;IF(SUMPRODUCT(1*EXACT('Casillas del horario'!$S$4:$S$73,"Profesor de H en 10-4"&amp;CHAR(31)&amp;$A7&amp;CHAR(31)&amp;B$3))&gt;2," (+"&amp;(SUMPRODUCT(1*EXACT('Casillas del horario'!$S$4:$S$73,"Profesor de H en 10-4"&amp;CHAR(31)&amp;$A7&amp;CHAR(31)&amp;B$3))-2)&amp;")",""),IF(ISNA(MATCH(1,INDEX(EXACT('Casillas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/ "&amp;IF(ISBLANK(INDEX('Casillas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10-4"&amp;CHAR(31)&amp;$A7&amp;CHAR(31)&amp;C$3)*1,0),0)))),"",INDEX('Casillas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10-4"&amp;CHAR(31)&amp;$A7&amp;CHAR(31)&amp;C$3)*1,0),0))))&amp;IF(SUMPRODUCT(1*EXACT('Casillas del horario'!$S$4:$S$73,"Profesor de H en 10-4"&amp;CHAR(31)&amp;$A7&amp;CHAR(31)&amp;C$3))&gt;2," (+"&amp;(SUMPRODUCT(1*EXACT('Casillas del horario'!$S$4:$S$73,"Profesor de H en 10-4"&amp;CHAR(31)&amp;$A7&amp;CHAR(31)&amp;C$3))-2)&amp;")",""),IF(ISNA(MATCH(1,INDEX(EXACT('Casillas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/ "&amp;IF(ISBLANK(INDEX('Casillas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10-4"&amp;CHAR(31)&amp;$A7&amp;CHAR(31)&amp;D$3)*1,0),0)))),"",INDEX('Casillas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10-4"&amp;CHAR(31)&amp;$A7&amp;CHAR(31)&amp;D$3)*1,0),0))))&amp;IF(SUMPRODUCT(1*EXACT('Casillas del horario'!$S$4:$S$73,"Profesor de H en 10-4"&amp;CHAR(31)&amp;$A7&amp;CHAR(31)&amp;D$3))&gt;2," (+"&amp;(SUMPRODUCT(1*EXACT('Casillas del horario'!$S$4:$S$73,"Profesor de H en 10-4"&amp;CHAR(31)&amp;$A7&amp;CHAR(31)&amp;D$3))-2)&amp;")",""),IF(ISNA(MATCH(1,INDEX(EXACT('Casillas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/ "&amp;IF(ISBLANK(INDEX('Casillas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10-4"&amp;CHAR(31)&amp;$A7&amp;CHAR(31)&amp;E$3)*1,0),0)))),"",INDEX('Casillas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10-4"&amp;CHAR(31)&amp;$A7&amp;CHAR(31)&amp;E$3)*1,0),0))))&amp;IF(SUMPRODUCT(1*EXACT('Casillas del horario'!$S$4:$S$73,"Profesor de H en 10-4"&amp;CHAR(31)&amp;$A7&amp;CHAR(31)&amp;E$3))&gt;2," (+"&amp;(SUMPRODUCT(1*EXACT('Casillas del horario'!$S$4:$S$73,"Profesor de H en 10-4"&amp;CHAR(31)&amp;$A7&amp;CHAR(31)&amp;E$3))-2)&amp;")",""),IF(ISNA(MATCH(1,INDEX(EXACT('Casillas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/ "&amp;IF(ISBLANK(INDEX('Casillas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10-4"&amp;CHAR(31)&amp;$A7&amp;CHAR(31)&amp;F$3)*1,0),0)))),"",INDEX('Casillas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10-4"&amp;CHAR(31)&amp;$A7&amp;CHAR(31)&amp;F$3)*1,0),0))))&amp;IF(SUMPRODUCT(1*EXACT('Casillas del horario'!$S$4:$S$73,"Profesor de H en 10-4"&amp;CHAR(31)&amp;$A7&amp;CHAR(31)&amp;F$3))&gt;2," (+"&amp;(SUMPRODUCT(1*EXACT('Casillas del horario'!$S$4:$S$73,"Profesor de H en 10-4"&amp;CHAR(31)&amp;$A7&amp;CHAR(31)&amp;F$3))-2)&amp;")",""),IF(ISNA(MATCH(1,INDEX(EXACT('Casillas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/ "&amp;IF(ISBLANK(INDEX('Casillas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10-4"&amp;CHAR(31)&amp;$A8&amp;CHAR(31)&amp;B$3)*1,0),0)))),"",INDEX('Casillas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10-4"&amp;CHAR(31)&amp;$A8&amp;CHAR(31)&amp;B$3)*1,0),0))))&amp;IF(SUMPRODUCT(1*EXACT('Casillas del horario'!$S$4:$S$73,"Profesor de H en 10-4"&amp;CHAR(31)&amp;$A8&amp;CHAR(31)&amp;B$3))&gt;2," (+"&amp;(SUMPRODUCT(1*EXACT('Casillas del horario'!$S$4:$S$73,"Profesor de H en 10-4"&amp;CHAR(31)&amp;$A8&amp;CHAR(31)&amp;B$3))-2)&amp;")",""),IF(ISNA(MATCH(1,INDEX(EXACT('Casillas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/ "&amp;IF(ISBLANK(INDEX('Casillas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10-4"&amp;CHAR(31)&amp;$A8&amp;CHAR(31)&amp;C$3)*1,0),0)))),"",INDEX('Casillas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10-4"&amp;CHAR(31)&amp;$A8&amp;CHAR(31)&amp;C$3)*1,0),0))))&amp;IF(SUMPRODUCT(1*EXACT('Casillas del horario'!$S$4:$S$73,"Profesor de H en 10-4"&amp;CHAR(31)&amp;$A8&amp;CHAR(31)&amp;C$3))&gt;2," (+"&amp;(SUMPRODUCT(1*EXACT('Casillas del horario'!$S$4:$S$73,"Profesor de H en 10-4"&amp;CHAR(31)&amp;$A8&amp;CHAR(31)&amp;C$3))-2)&amp;")",""),IF(ISNA(MATCH(1,INDEX(EXACT('Casillas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/ "&amp;IF(ISBLANK(INDEX('Casillas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10-4"&amp;CHAR(31)&amp;$A8&amp;CHAR(31)&amp;D$3)*1,0),0)))),"",INDEX('Casillas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10-4"&amp;CHAR(31)&amp;$A8&amp;CHAR(31)&amp;D$3)*1,0),0))))&amp;IF(SUMPRODUCT(1*EXACT('Casillas del horario'!$S$4:$S$73,"Profesor de H en 10-4"&amp;CHAR(31)&amp;$A8&amp;CHAR(31)&amp;D$3))&gt;2," (+"&amp;(SUMPRODUCT(1*EXACT('Casillas del horario'!$S$4:$S$73,"Profesor de H en 10-4"&amp;CHAR(31)&amp;$A8&amp;CHAR(31)&amp;D$3))-2)&amp;")",""),IF(ISNA(MATCH(1,INDEX(EXACT('Casillas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/ "&amp;IF(ISBLANK(INDEX('Casillas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10-4"&amp;CHAR(31)&amp;$A8&amp;CHAR(31)&amp;E$3)*1,0),0)))),"",INDEX('Casillas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10-4"&amp;CHAR(31)&amp;$A8&amp;CHAR(31)&amp;E$3)*1,0),0))))&amp;IF(SUMPRODUCT(1*EXACT('Casillas del horario'!$S$4:$S$73,"Profesor de H en 10-4"&amp;CHAR(31)&amp;$A8&amp;CHAR(31)&amp;E$3))&gt;2," (+"&amp;(SUMPRODUCT(1*EXACT('Casillas del horario'!$S$4:$S$73,"Profesor de H en 10-4"&amp;CHAR(31)&amp;$A8&amp;CHAR(31)&amp;E$3))-2)&amp;")",""),IF(ISNA(MATCH(1,INDEX(EXACT('Casillas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/ "&amp;IF(ISBLANK(INDEX('Casillas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10-4"&amp;CHAR(31)&amp;$A8&amp;CHAR(31)&amp;F$3)*1,0),0)))),"",INDEX('Casillas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10-4"&amp;CHAR(31)&amp;$A8&amp;CHAR(31)&amp;F$3)*1,0),0))))&amp;IF(SUMPRODUCT(1*EXACT('Casillas del horario'!$S$4:$S$73,"Profesor de H en 10-4"&amp;CHAR(31)&amp;$A8&amp;CHAR(31)&amp;F$3))&gt;2," (+"&amp;(SUMPRODUCT(1*EXACT('Casillas del horario'!$S$4:$S$73,"Profesor de H en 10-4"&amp;CHAR(31)&amp;$A8&amp;CHAR(31)&amp;F$3))-2)&amp;")",""),IF(ISNA(MATCH(1,INDEX(EXACT('Casillas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/ "&amp;IF(ISBLANK(INDEX('Casillas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10-4"&amp;CHAR(31)&amp;$A9&amp;CHAR(31)&amp;B$3)*1,0),0)))),"",INDEX('Casillas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10-4"&amp;CHAR(31)&amp;$A9&amp;CHAR(31)&amp;B$3)*1,0),0))))&amp;IF(SUMPRODUCT(1*EXACT('Casillas del horario'!$S$4:$S$73,"Profesor de H en 10-4"&amp;CHAR(31)&amp;$A9&amp;CHAR(31)&amp;B$3))&gt;2," (+"&amp;(SUMPRODUCT(1*EXACT('Casillas del horario'!$S$4:$S$73,"Profesor de H en 10-4"&amp;CHAR(31)&amp;$A9&amp;CHAR(31)&amp;B$3))-2)&amp;")",""),IF(ISNA(MATCH(1,INDEX(EXACT('Casillas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/ "&amp;IF(ISBLANK(INDEX('Casillas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10-4"&amp;CHAR(31)&amp;$A9&amp;CHAR(31)&amp;C$3)*1,0),0)))),"",INDEX('Casillas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10-4"&amp;CHAR(31)&amp;$A9&amp;CHAR(31)&amp;C$3)*1,0),0))))&amp;IF(SUMPRODUCT(1*EXACT('Casillas del horario'!$S$4:$S$73,"Profesor de H en 10-4"&amp;CHAR(31)&amp;$A9&amp;CHAR(31)&amp;C$3))&gt;2," (+"&amp;(SUMPRODUCT(1*EXACT('Casillas del horario'!$S$4:$S$73,"Profesor de H en 10-4"&amp;CHAR(31)&amp;$A9&amp;CHAR(31)&amp;C$3))-2)&amp;")",""),IF(ISNA(MATCH(1,INDEX(EXACT('Casillas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/ "&amp;IF(ISBLANK(INDEX('Casillas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10-4"&amp;CHAR(31)&amp;$A9&amp;CHAR(31)&amp;D$3)*1,0),0)))),"",INDEX('Casillas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10-4"&amp;CHAR(31)&amp;$A9&amp;CHAR(31)&amp;D$3)*1,0),0))))&amp;IF(SUMPRODUCT(1*EXACT('Casillas del horario'!$S$4:$S$73,"Profesor de H en 10-4"&amp;CHAR(31)&amp;$A9&amp;CHAR(31)&amp;D$3))&gt;2," (+"&amp;(SUMPRODUCT(1*EXACT('Casillas del horario'!$S$4:$S$73,"Profesor de H en 10-4"&amp;CHAR(31)&amp;$A9&amp;CHAR(31)&amp;D$3))-2)&amp;")",""),IF(ISNA(MATCH(1,INDEX(EXACT('Casillas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/ "&amp;IF(ISBLANK(INDEX('Casillas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10-4"&amp;CHAR(31)&amp;$A9&amp;CHAR(31)&amp;E$3)*1,0),0)))),"",INDEX('Casillas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10-4"&amp;CHAR(31)&amp;$A9&amp;CHAR(31)&amp;E$3)*1,0),0))))&amp;IF(SUMPRODUCT(1*EXACT('Casillas del horario'!$S$4:$S$73,"Profesor de H en 10-4"&amp;CHAR(31)&amp;$A9&amp;CHAR(31)&amp;E$3))&gt;2," (+"&amp;(SUMPRODUCT(1*EXACT('Casillas del horario'!$S$4:$S$73,"Profesor de H en 10-4"&amp;CHAR(31)&amp;$A9&amp;CHAR(31)&amp;E$3))-2)&amp;")",""),IF(ISNA(MATCH(1,INDEX(EXACT('Casillas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/ "&amp;IF(ISBLANK(INDEX('Casillas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10-4"&amp;CHAR(31)&amp;$A9&amp;CHAR(31)&amp;F$3)*1,0),0)))),"",INDEX('Casillas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10-4"&amp;CHAR(31)&amp;$A9&amp;CHAR(31)&amp;F$3)*1,0),0))))&amp;IF(SUMPRODUCT(1*EXACT('Casillas del horario'!$S$4:$S$73,"Profesor de H en 10-4"&amp;CHAR(31)&amp;$A9&amp;CHAR(31)&amp;F$3))&gt;2," (+"&amp;(SUMPRODUCT(1*EXACT('Casillas del horario'!$S$4:$S$73,"Profesor de H en 10-4"&amp;CHAR(31)&amp;$A9&amp;CHAR(31)&amp;F$3))-2)&amp;")",""),IF(ISNA(MATCH(1,INDEX(EXACT('Casillas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/ "&amp;IF(ISBLANK(INDEX('Casillas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10-4"&amp;CHAR(31)&amp;$A10&amp;CHAR(31)&amp;B$3)*1,0),0)))),"",INDEX('Casillas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10-4"&amp;CHAR(31)&amp;$A10&amp;CHAR(31)&amp;B$3)*1,0),0))))&amp;IF(SUMPRODUCT(1*EXACT('Casillas del horario'!$S$4:$S$73,"Profesor de H en 10-4"&amp;CHAR(31)&amp;$A10&amp;CHAR(31)&amp;B$3))&gt;2," (+"&amp;(SUMPRODUCT(1*EXACT('Casillas del horario'!$S$4:$S$73,"Profesor de H en 10-4"&amp;CHAR(31)&amp;$A10&amp;CHAR(31)&amp;B$3))-2)&amp;")",""),IF(ISNA(MATCH(1,INDEX(EXACT('Casillas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/ "&amp;IF(ISBLANK(INDEX('Casillas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10-4"&amp;CHAR(31)&amp;$A10&amp;CHAR(31)&amp;C$3)*1,0),0)))),"",INDEX('Casillas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10-4"&amp;CHAR(31)&amp;$A10&amp;CHAR(31)&amp;C$3)*1,0),0))))&amp;IF(SUMPRODUCT(1*EXACT('Casillas del horario'!$S$4:$S$73,"Profesor de H en 10-4"&amp;CHAR(31)&amp;$A10&amp;CHAR(31)&amp;C$3))&gt;2," (+"&amp;(SUMPRODUCT(1*EXACT('Casillas del horario'!$S$4:$S$73,"Profesor de H en 10-4"&amp;CHAR(31)&amp;$A10&amp;CHAR(31)&amp;C$3))-2)&amp;")",""),IF(ISNA(MATCH(1,INDEX(EXACT('Casillas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/ "&amp;IF(ISBLANK(INDEX('Casillas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10-4"&amp;CHAR(31)&amp;$A10&amp;CHAR(31)&amp;D$3)*1,0),0)))),"",INDEX('Casillas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10-4"&amp;CHAR(31)&amp;$A10&amp;CHAR(31)&amp;D$3)*1,0),0))))&amp;IF(SUMPRODUCT(1*EXACT('Casillas del horario'!$S$4:$S$73,"Profesor de H en 10-4"&amp;CHAR(31)&amp;$A10&amp;CHAR(31)&amp;D$3))&gt;2," (+"&amp;(SUMPRODUCT(1*EXACT('Casillas del horario'!$S$4:$S$73,"Profesor de H en 10-4"&amp;CHAR(31)&amp;$A10&amp;CHAR(31)&amp;D$3))-2)&amp;")",""),IF(ISNA(MATCH(1,INDEX(EXACT('Casillas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/ "&amp;IF(ISBLANK(INDEX('Casillas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10-4"&amp;CHAR(31)&amp;$A10&amp;CHAR(31)&amp;E$3)*1,0),0)))),"",INDEX('Casillas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10-4"&amp;CHAR(31)&amp;$A10&amp;CHAR(31)&amp;E$3)*1,0),0))))&amp;IF(SUMPRODUCT(1*EXACT('Casillas del horario'!$S$4:$S$73,"Profesor de H en 10-4"&amp;CHAR(31)&amp;$A10&amp;CHAR(31)&amp;E$3))&gt;2," (+"&amp;(SUMPRODUCT(1*EXACT('Casillas del horario'!$S$4:$S$73,"Profesor de H en 10-4"&amp;CHAR(31)&amp;$A10&amp;CHAR(31)&amp;E$3))-2)&amp;")",""),IF(ISNA(MATCH(1,INDEX(EXACT('Casillas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/ "&amp;IF(ISBLANK(INDEX('Casillas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10-4"&amp;CHAR(31)&amp;$A10&amp;CHAR(31)&amp;F$3)*1,0),0)))),"",INDEX('Casillas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10-4"&amp;CHAR(31)&amp;$A10&amp;CHAR(31)&amp;F$3)*1,0),0))))&amp;IF(SUMPRODUCT(1*EXACT('Casillas del horario'!$S$4:$S$73,"Profesor de H en 10-4"&amp;CHAR(31)&amp;$A10&amp;CHAR(31)&amp;F$3))&gt;2," (+"&amp;(SUMPRODUCT(1*EXACT('Casillas del horario'!$S$4:$S$73,"Profesor de H en 10-4"&amp;CHAR(31)&amp;$A10&amp;CHAR(31)&amp;F$3))-2)&amp;")",""),IF(ISNA(MATCH(1,INDEX(EXACT('Casillas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/ "&amp;IF(ISBLANK(INDEX('Casillas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10-4"&amp;CHAR(31)&amp;$A4&amp;CHAR(31)&amp;B$3)*1,0),0)))),"",INDEX('Casillas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10-4"&amp;CHAR(31)&amp;$A4&amp;CHAR(31)&amp;B$3)*1,0),0))))&amp;IF(SUMPRODUCT(1*EXACT('Casillas del horario'!$S$4:$S$73,"Profesor de EF en 10-4"&amp;CHAR(31)&amp;$A4&amp;CHAR(31)&amp;B$3))&gt;2," (+"&amp;(SUMPRODUCT(1*EXACT('Casillas del horario'!$S$4:$S$73,"Profesor de EF en 10-4"&amp;CHAR(31)&amp;$A4&amp;CHAR(31)&amp;B$3))-2)&amp;")",""),IF(ISNA(MATCH(1,INDEX(EXACT('Casillas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/ "&amp;IF(ISBLANK(INDEX('Casillas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10-4"&amp;CHAR(31)&amp;$A4&amp;CHAR(31)&amp;C$3)*1,0),0)))),"",INDEX('Casillas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10-4"&amp;CHAR(31)&amp;$A4&amp;CHAR(31)&amp;C$3)*1,0),0))))&amp;IF(SUMPRODUCT(1*EXACT('Casillas del horario'!$S$4:$S$73,"Profesor de EF en 10-4"&amp;CHAR(31)&amp;$A4&amp;CHAR(31)&amp;C$3))&gt;2," (+"&amp;(SUMPRODUCT(1*EXACT('Casillas del horario'!$S$4:$S$73,"Profesor de EF en 10-4"&amp;CHAR(31)&amp;$A4&amp;CHAR(31)&amp;C$3))-2)&amp;")",""),IF(ISNA(MATCH(1,INDEX(EXACT('Casillas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/ "&amp;IF(ISBLANK(INDEX('Casillas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10-4"&amp;CHAR(31)&amp;$A4&amp;CHAR(31)&amp;D$3)*1,0),0)))),"",INDEX('Casillas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10-4"&amp;CHAR(31)&amp;$A4&amp;CHAR(31)&amp;D$3)*1,0),0))))&amp;IF(SUMPRODUCT(1*EXACT('Casillas del horario'!$S$4:$S$73,"Profesor de EF en 10-4"&amp;CHAR(31)&amp;$A4&amp;CHAR(31)&amp;D$3))&gt;2," (+"&amp;(SUMPRODUCT(1*EXACT('Casillas del horario'!$S$4:$S$73,"Profesor de EF en 10-4"&amp;CHAR(31)&amp;$A4&amp;CHAR(31)&amp;D$3))-2)&amp;")",""),IF(ISNA(MATCH(1,INDEX(EXACT('Casillas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/ "&amp;IF(ISBLANK(INDEX('Casillas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10-4"&amp;CHAR(31)&amp;$A4&amp;CHAR(31)&amp;E$3)*1,0),0)))),"",INDEX('Casillas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10-4"&amp;CHAR(31)&amp;$A4&amp;CHAR(31)&amp;E$3)*1,0),0))))&amp;IF(SUMPRODUCT(1*EXACT('Casillas del horario'!$S$4:$S$73,"Profesor de EF en 10-4"&amp;CHAR(31)&amp;$A4&amp;CHAR(31)&amp;E$3))&gt;2," (+"&amp;(SUMPRODUCT(1*EXACT('Casillas del horario'!$S$4:$S$73,"Profesor de EF en 10-4"&amp;CHAR(31)&amp;$A4&amp;CHAR(31)&amp;E$3))-2)&amp;")",""),IF(ISNA(MATCH(1,INDEX(EXACT('Casillas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/ "&amp;IF(ISBLANK(INDEX('Casillas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10-4"&amp;CHAR(31)&amp;$A4&amp;CHAR(31)&amp;F$3)*1,0),0)))),"",INDEX('Casillas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10-4"&amp;CHAR(31)&amp;$A4&amp;CHAR(31)&amp;F$3)*1,0),0))))&amp;IF(SUMPRODUCT(1*EXACT('Casillas del horario'!$S$4:$S$73,"Profesor de EF en 10-4"&amp;CHAR(31)&amp;$A4&amp;CHAR(31)&amp;F$3))&gt;2," (+"&amp;(SUMPRODUCT(1*EXACT('Casillas del horario'!$S$4:$S$73,"Profesor de EF en 10-4"&amp;CHAR(31)&amp;$A4&amp;CHAR(31)&amp;F$3))-2)&amp;")",""),IF(ISNA(MATCH(1,INDEX(EXACT('Casillas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/ "&amp;IF(ISBLANK(INDEX('Casillas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10-4"&amp;CHAR(31)&amp;$A5&amp;CHAR(31)&amp;B$3)*1,0),0)))),"",INDEX('Casillas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10-4"&amp;CHAR(31)&amp;$A5&amp;CHAR(31)&amp;B$3)*1,0),0))))&amp;IF(SUMPRODUCT(1*EXACT('Casillas del horario'!$S$4:$S$73,"Profesor de EF en 10-4"&amp;CHAR(31)&amp;$A5&amp;CHAR(31)&amp;B$3))&gt;2," (+"&amp;(SUMPRODUCT(1*EXACT('Casillas del horario'!$S$4:$S$73,"Profesor de EF en 10-4"&amp;CHAR(31)&amp;$A5&amp;CHAR(31)&amp;B$3))-2)&amp;")",""),IF(ISNA(MATCH(1,INDEX(EXACT('Casillas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/ "&amp;IF(ISBLANK(INDEX('Casillas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10-4"&amp;CHAR(31)&amp;$A5&amp;CHAR(31)&amp;C$3)*1,0),0)))),"",INDEX('Casillas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10-4"&amp;CHAR(31)&amp;$A5&amp;CHAR(31)&amp;C$3)*1,0),0))))&amp;IF(SUMPRODUCT(1*EXACT('Casillas del horario'!$S$4:$S$73,"Profesor de EF en 10-4"&amp;CHAR(31)&amp;$A5&amp;CHAR(31)&amp;C$3))&gt;2," (+"&amp;(SUMPRODUCT(1*EXACT('Casillas del horario'!$S$4:$S$73,"Profesor de EF en 10-4"&amp;CHAR(31)&amp;$A5&amp;CHAR(31)&amp;C$3))-2)&amp;")",""),IF(ISNA(MATCH(1,INDEX(EXACT('Casillas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/ "&amp;IF(ISBLANK(INDEX('Casillas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10-4"&amp;CHAR(31)&amp;$A5&amp;CHAR(31)&amp;D$3)*1,0),0)))),"",INDEX('Casillas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10-4"&amp;CHAR(31)&amp;$A5&amp;CHAR(31)&amp;D$3)*1,0),0))))&amp;IF(SUMPRODUCT(1*EXACT('Casillas del horario'!$S$4:$S$73,"Profesor de EF en 10-4"&amp;CHAR(31)&amp;$A5&amp;CHAR(31)&amp;D$3))&gt;2," (+"&amp;(SUMPRODUCT(1*EXACT('Casillas del horario'!$S$4:$S$73,"Profesor de EF en 10-4"&amp;CHAR(31)&amp;$A5&amp;CHAR(31)&amp;D$3))-2)&amp;")",""),IF(ISNA(MATCH(1,INDEX(EXACT('Casillas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/ "&amp;IF(ISBLANK(INDEX('Casillas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10-4"&amp;CHAR(31)&amp;$A5&amp;CHAR(31)&amp;E$3)*1,0),0)))),"",INDEX('Casillas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10-4"&amp;CHAR(31)&amp;$A5&amp;CHAR(31)&amp;E$3)*1,0),0))))&amp;IF(SUMPRODUCT(1*EXACT('Casillas del horario'!$S$4:$S$73,"Profesor de EF en 10-4"&amp;CHAR(31)&amp;$A5&amp;CHAR(31)&amp;E$3))&gt;2," (+"&amp;(SUMPRODUCT(1*EXACT('Casillas del horario'!$S$4:$S$73,"Profesor de EF en 10-4"&amp;CHAR(31)&amp;$A5&amp;CHAR(31)&amp;E$3))-2)&amp;")",""),IF(ISNA(MATCH(1,INDEX(EXACT('Casillas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/ "&amp;IF(ISBLANK(INDEX('Casillas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10-4"&amp;CHAR(31)&amp;$A5&amp;CHAR(31)&amp;F$3)*1,0),0)))),"",INDEX('Casillas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10-4"&amp;CHAR(31)&amp;$A5&amp;CHAR(31)&amp;F$3)*1,0),0))))&amp;IF(SUMPRODUCT(1*EXACT('Casillas del horario'!$S$4:$S$73,"Profesor de EF en 10-4"&amp;CHAR(31)&amp;$A5&amp;CHAR(31)&amp;F$3))&gt;2," (+"&amp;(SUMPRODUCT(1*EXACT('Casillas del horario'!$S$4:$S$73,"Profesor de EF en 10-4"&amp;CHAR(31)&amp;$A5&amp;CHAR(31)&amp;F$3))-2)&amp;")",""),IF(ISNA(MATCH(1,INDEX(EXACT('Casillas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/ "&amp;IF(ISBLANK(INDEX('Casillas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10-4"&amp;CHAR(31)&amp;$A6&amp;CHAR(31)&amp;B$3)*1,0),0)))),"",INDEX('Casillas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10-4"&amp;CHAR(31)&amp;$A6&amp;CHAR(31)&amp;B$3)*1,0),0))))&amp;IF(SUMPRODUCT(1*EXACT('Casillas del horario'!$S$4:$S$73,"Profesor de EF en 10-4"&amp;CHAR(31)&amp;$A6&amp;CHAR(31)&amp;B$3))&gt;2," (+"&amp;(SUMPRODUCT(1*EXACT('Casillas del horario'!$S$4:$S$73,"Profesor de EF en 10-4"&amp;CHAR(31)&amp;$A6&amp;CHAR(31)&amp;B$3))-2)&amp;")",""),IF(ISNA(MATCH(1,INDEX(EXACT('Casillas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/ "&amp;IF(ISBLANK(INDEX('Casillas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10-4"&amp;CHAR(31)&amp;$A6&amp;CHAR(31)&amp;C$3)*1,0),0)))),"",INDEX('Casillas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10-4"&amp;CHAR(31)&amp;$A6&amp;CHAR(31)&amp;C$3)*1,0),0))))&amp;IF(SUMPRODUCT(1*EXACT('Casillas del horario'!$S$4:$S$73,"Profesor de EF en 10-4"&amp;CHAR(31)&amp;$A6&amp;CHAR(31)&amp;C$3))&gt;2," (+"&amp;(SUMPRODUCT(1*EXACT('Casillas del horario'!$S$4:$S$73,"Profesor de EF en 10-4"&amp;CHAR(31)&amp;$A6&amp;CHAR(31)&amp;C$3))-2)&amp;")",""),IF(ISNA(MATCH(1,INDEX(EXACT('Casillas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/ "&amp;IF(ISBLANK(INDEX('Casillas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10-4"&amp;CHAR(31)&amp;$A6&amp;CHAR(31)&amp;D$3)*1,0),0)))),"",INDEX('Casillas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10-4"&amp;CHAR(31)&amp;$A6&amp;CHAR(31)&amp;D$3)*1,0),0))))&amp;IF(SUMPRODUCT(1*EXACT('Casillas del horario'!$S$4:$S$73,"Profesor de EF en 10-4"&amp;CHAR(31)&amp;$A6&amp;CHAR(31)&amp;D$3))&gt;2," (+"&amp;(SUMPRODUCT(1*EXACT('Casillas del horario'!$S$4:$S$73,"Profesor de EF en 10-4"&amp;CHAR(31)&amp;$A6&amp;CHAR(31)&amp;D$3))-2)&amp;")",""),IF(ISNA(MATCH(1,INDEX(EXACT('Casillas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/ "&amp;IF(ISBLANK(INDEX('Casillas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10-4"&amp;CHAR(31)&amp;$A6&amp;CHAR(31)&amp;E$3)*1,0),0)))),"",INDEX('Casillas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10-4"&amp;CHAR(31)&amp;$A6&amp;CHAR(31)&amp;E$3)*1,0),0))))&amp;IF(SUMPRODUCT(1*EXACT('Casillas del horario'!$S$4:$S$73,"Profesor de EF en 10-4"&amp;CHAR(31)&amp;$A6&amp;CHAR(31)&amp;E$3))&gt;2," (+"&amp;(SUMPRODUCT(1*EXACT('Casillas del horario'!$S$4:$S$73,"Profesor de EF en 10-4"&amp;CHAR(31)&amp;$A6&amp;CHAR(31)&amp;E$3))-2)&amp;")",""),IF(ISNA(MATCH(1,INDEX(EXACT('Casillas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/ "&amp;IF(ISBLANK(INDEX('Casillas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10-4"&amp;CHAR(31)&amp;$A6&amp;CHAR(31)&amp;F$3)*1,0),0)))),"",INDEX('Casillas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10-4"&amp;CHAR(31)&amp;$A6&amp;CHAR(31)&amp;F$3)*1,0),0))))&amp;IF(SUMPRODUCT(1*EXACT('Casillas del horario'!$S$4:$S$73,"Profesor de EF en 10-4"&amp;CHAR(31)&amp;$A6&amp;CHAR(31)&amp;F$3))&gt;2," (+"&amp;(SUMPRODUCT(1*EXACT('Casillas del horario'!$S$4:$S$73,"Profesor de EF en 10-4"&amp;CHAR(31)&amp;$A6&amp;CHAR(31)&amp;F$3))-2)&amp;")",""),IF(ISNA(MATCH(1,INDEX(EXACT('Casillas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/ "&amp;IF(ISBLANK(INDEX('Casillas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10-4"&amp;CHAR(31)&amp;$A7&amp;CHAR(31)&amp;B$3)*1,0),0)))),"",INDEX('Casillas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10-4"&amp;CHAR(31)&amp;$A7&amp;CHAR(31)&amp;B$3)*1,0),0))))&amp;IF(SUMPRODUCT(1*EXACT('Casillas del horario'!$S$4:$S$73,"Profesor de EF en 10-4"&amp;CHAR(31)&amp;$A7&amp;CHAR(31)&amp;B$3))&gt;2," (+"&amp;(SUMPRODUCT(1*EXACT('Casillas del horario'!$S$4:$S$73,"Profesor de EF en 10-4"&amp;CHAR(31)&amp;$A7&amp;CHAR(31)&amp;B$3))-2)&amp;")",""),IF(ISNA(MATCH(1,INDEX(EXACT('Casillas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/ "&amp;IF(ISBLANK(INDEX('Casillas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10-4"&amp;CHAR(31)&amp;$A7&amp;CHAR(31)&amp;C$3)*1,0),0)))),"",INDEX('Casillas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10-4"&amp;CHAR(31)&amp;$A7&amp;CHAR(31)&amp;C$3)*1,0),0))))&amp;IF(SUMPRODUCT(1*EXACT('Casillas del horario'!$S$4:$S$73,"Profesor de EF en 10-4"&amp;CHAR(31)&amp;$A7&amp;CHAR(31)&amp;C$3))&gt;2," (+"&amp;(SUMPRODUCT(1*EXACT('Casillas del horario'!$S$4:$S$73,"Profesor de EF en 10-4"&amp;CHAR(31)&amp;$A7&amp;CHAR(31)&amp;C$3))-2)&amp;")",""),IF(ISNA(MATCH(1,INDEX(EXACT('Casillas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/ "&amp;IF(ISBLANK(INDEX('Casillas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10-4"&amp;CHAR(31)&amp;$A7&amp;CHAR(31)&amp;D$3)*1,0),0)))),"",INDEX('Casillas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10-4"&amp;CHAR(31)&amp;$A7&amp;CHAR(31)&amp;D$3)*1,0),0))))&amp;IF(SUMPRODUCT(1*EXACT('Casillas del horario'!$S$4:$S$73,"Profesor de EF en 10-4"&amp;CHAR(31)&amp;$A7&amp;CHAR(31)&amp;D$3))&gt;2," (+"&amp;(SUMPRODUCT(1*EXACT('Casillas del horario'!$S$4:$S$73,"Profesor de EF en 10-4"&amp;CHAR(31)&amp;$A7&amp;CHAR(31)&amp;D$3))-2)&amp;")",""),IF(ISNA(MATCH(1,INDEX(EXACT('Casillas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/ "&amp;IF(ISBLANK(INDEX('Casillas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10-4"&amp;CHAR(31)&amp;$A7&amp;CHAR(31)&amp;E$3)*1,0),0)))),"",INDEX('Casillas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10-4"&amp;CHAR(31)&amp;$A7&amp;CHAR(31)&amp;E$3)*1,0),0))))&amp;IF(SUMPRODUCT(1*EXACT('Casillas del horario'!$S$4:$S$73,"Profesor de EF en 10-4"&amp;CHAR(31)&amp;$A7&amp;CHAR(31)&amp;E$3))&gt;2," (+"&amp;(SUMPRODUCT(1*EXACT('Casillas del horario'!$S$4:$S$73,"Profesor de EF en 10-4"&amp;CHAR(31)&amp;$A7&amp;CHAR(31)&amp;E$3))-2)&amp;")",""),IF(ISNA(MATCH(1,INDEX(EXACT('Casillas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/ "&amp;IF(ISBLANK(INDEX('Casillas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10-4"&amp;CHAR(31)&amp;$A7&amp;CHAR(31)&amp;F$3)*1,0),0)))),"",INDEX('Casillas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10-4"&amp;CHAR(31)&amp;$A7&amp;CHAR(31)&amp;F$3)*1,0),0))))&amp;IF(SUMPRODUCT(1*EXACT('Casillas del horario'!$S$4:$S$73,"Profesor de EF en 10-4"&amp;CHAR(31)&amp;$A7&amp;CHAR(31)&amp;F$3))&gt;2," (+"&amp;(SUMPRODUCT(1*EXACT('Casillas del horario'!$S$4:$S$73,"Profesor de EF en 10-4"&amp;CHAR(31)&amp;$A7&amp;CHAR(31)&amp;F$3))-2)&amp;")",""),IF(ISNA(MATCH(1,INDEX(EXACT('Casillas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/ "&amp;IF(ISBLANK(INDEX('Casillas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10-4"&amp;CHAR(31)&amp;$A8&amp;CHAR(31)&amp;B$3)*1,0),0)))),"",INDEX('Casillas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10-4"&amp;CHAR(31)&amp;$A8&amp;CHAR(31)&amp;B$3)*1,0),0))))&amp;IF(SUMPRODUCT(1*EXACT('Casillas del horario'!$S$4:$S$73,"Profesor de EF en 10-4"&amp;CHAR(31)&amp;$A8&amp;CHAR(31)&amp;B$3))&gt;2," (+"&amp;(SUMPRODUCT(1*EXACT('Casillas del horario'!$S$4:$S$73,"Profesor de EF en 10-4"&amp;CHAR(31)&amp;$A8&amp;CHAR(31)&amp;B$3))-2)&amp;")",""),IF(ISNA(MATCH(1,INDEX(EXACT('Casillas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/ "&amp;IF(ISBLANK(INDEX('Casillas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10-4"&amp;CHAR(31)&amp;$A8&amp;CHAR(31)&amp;C$3)*1,0),0)))),"",INDEX('Casillas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10-4"&amp;CHAR(31)&amp;$A8&amp;CHAR(31)&amp;C$3)*1,0),0))))&amp;IF(SUMPRODUCT(1*EXACT('Casillas del horario'!$S$4:$S$73,"Profesor de EF en 10-4"&amp;CHAR(31)&amp;$A8&amp;CHAR(31)&amp;C$3))&gt;2," (+"&amp;(SUMPRODUCT(1*EXACT('Casillas del horario'!$S$4:$S$73,"Profesor de EF en 10-4"&amp;CHAR(31)&amp;$A8&amp;CHAR(31)&amp;C$3))-2)&amp;")",""),IF(ISNA(MATCH(1,INDEX(EXACT('Casillas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/ "&amp;IF(ISBLANK(INDEX('Casillas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10-4"&amp;CHAR(31)&amp;$A8&amp;CHAR(31)&amp;D$3)*1,0),0)))),"",INDEX('Casillas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10-4"&amp;CHAR(31)&amp;$A8&amp;CHAR(31)&amp;D$3)*1,0),0))))&amp;IF(SUMPRODUCT(1*EXACT('Casillas del horario'!$S$4:$S$73,"Profesor de EF en 10-4"&amp;CHAR(31)&amp;$A8&amp;CHAR(31)&amp;D$3))&gt;2," (+"&amp;(SUMPRODUCT(1*EXACT('Casillas del horario'!$S$4:$S$73,"Profesor de EF en 10-4"&amp;CHAR(31)&amp;$A8&amp;CHAR(31)&amp;D$3))-2)&amp;")",""),IF(ISNA(MATCH(1,INDEX(EXACT('Casillas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/ "&amp;IF(ISBLANK(INDEX('Casillas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10-4"&amp;CHAR(31)&amp;$A8&amp;CHAR(31)&amp;E$3)*1,0),0)))),"",INDEX('Casillas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10-4"&amp;CHAR(31)&amp;$A8&amp;CHAR(31)&amp;E$3)*1,0),0))))&amp;IF(SUMPRODUCT(1*EXACT('Casillas del horario'!$S$4:$S$73,"Profesor de EF en 10-4"&amp;CHAR(31)&amp;$A8&amp;CHAR(31)&amp;E$3))&gt;2," (+"&amp;(SUMPRODUCT(1*EXACT('Casillas del horario'!$S$4:$S$73,"Profesor de EF en 10-4"&amp;CHAR(31)&amp;$A8&amp;CHAR(31)&amp;E$3))-2)&amp;")",""),IF(ISNA(MATCH(1,INDEX(EXACT('Casillas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/ "&amp;IF(ISBLANK(INDEX('Casillas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10-4"&amp;CHAR(31)&amp;$A8&amp;CHAR(31)&amp;F$3)*1,0),0)))),"",INDEX('Casillas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10-4"&amp;CHAR(31)&amp;$A8&amp;CHAR(31)&amp;F$3)*1,0),0))))&amp;IF(SUMPRODUCT(1*EXACT('Casillas del horario'!$S$4:$S$73,"Profesor de EF en 10-4"&amp;CHAR(31)&amp;$A8&amp;CHAR(31)&amp;F$3))&gt;2," (+"&amp;(SUMPRODUCT(1*EXACT('Casillas del horario'!$S$4:$S$73,"Profesor de EF en 10-4"&amp;CHAR(31)&amp;$A8&amp;CHAR(31)&amp;F$3))-2)&amp;")",""),IF(ISNA(MATCH(1,INDEX(EXACT('Casillas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/ "&amp;IF(ISBLANK(INDEX('Casillas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10-4"&amp;CHAR(31)&amp;$A9&amp;CHAR(31)&amp;B$3)*1,0),0)))),"",INDEX('Casillas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10-4"&amp;CHAR(31)&amp;$A9&amp;CHAR(31)&amp;B$3)*1,0),0))))&amp;IF(SUMPRODUCT(1*EXACT('Casillas del horario'!$S$4:$S$73,"Profesor de EF en 10-4"&amp;CHAR(31)&amp;$A9&amp;CHAR(31)&amp;B$3))&gt;2," (+"&amp;(SUMPRODUCT(1*EXACT('Casillas del horario'!$S$4:$S$73,"Profesor de EF en 10-4"&amp;CHAR(31)&amp;$A9&amp;CHAR(31)&amp;B$3))-2)&amp;")",""),IF(ISNA(MATCH(1,INDEX(EXACT('Casillas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/ "&amp;IF(ISBLANK(INDEX('Casillas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10-4"&amp;CHAR(31)&amp;$A9&amp;CHAR(31)&amp;C$3)*1,0),0)))),"",INDEX('Casillas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10-4"&amp;CHAR(31)&amp;$A9&amp;CHAR(31)&amp;C$3)*1,0),0))))&amp;IF(SUMPRODUCT(1*EXACT('Casillas del horario'!$S$4:$S$73,"Profesor de EF en 10-4"&amp;CHAR(31)&amp;$A9&amp;CHAR(31)&amp;C$3))&gt;2," (+"&amp;(SUMPRODUCT(1*EXACT('Casillas del horario'!$S$4:$S$73,"Profesor de EF en 10-4"&amp;CHAR(31)&amp;$A9&amp;CHAR(31)&amp;C$3))-2)&amp;")",""),IF(ISNA(MATCH(1,INDEX(EXACT('Casillas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/ "&amp;IF(ISBLANK(INDEX('Casillas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10-4"&amp;CHAR(31)&amp;$A9&amp;CHAR(31)&amp;D$3)*1,0),0)))),"",INDEX('Casillas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10-4"&amp;CHAR(31)&amp;$A9&amp;CHAR(31)&amp;D$3)*1,0),0))))&amp;IF(SUMPRODUCT(1*EXACT('Casillas del horario'!$S$4:$S$73,"Profesor de EF en 10-4"&amp;CHAR(31)&amp;$A9&amp;CHAR(31)&amp;D$3))&gt;2," (+"&amp;(SUMPRODUCT(1*EXACT('Casillas del horario'!$S$4:$S$73,"Profesor de EF en 10-4"&amp;CHAR(31)&amp;$A9&amp;CHAR(31)&amp;D$3))-2)&amp;")",""),IF(ISNA(MATCH(1,INDEX(EXACT('Casillas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/ "&amp;IF(ISBLANK(INDEX('Casillas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10-4"&amp;CHAR(31)&amp;$A9&amp;CHAR(31)&amp;E$3)*1,0),0)))),"",INDEX('Casillas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10-4"&amp;CHAR(31)&amp;$A9&amp;CHAR(31)&amp;E$3)*1,0),0))))&amp;IF(SUMPRODUCT(1*EXACT('Casillas del horario'!$S$4:$S$73,"Profesor de EF en 10-4"&amp;CHAR(31)&amp;$A9&amp;CHAR(31)&amp;E$3))&gt;2," (+"&amp;(SUMPRODUCT(1*EXACT('Casillas del horario'!$S$4:$S$73,"Profesor de EF en 10-4"&amp;CHAR(31)&amp;$A9&amp;CHAR(31)&amp;E$3))-2)&amp;")",""),IF(ISNA(MATCH(1,INDEX(EXACT('Casillas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/ "&amp;IF(ISBLANK(INDEX('Casillas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10-4"&amp;CHAR(31)&amp;$A9&amp;CHAR(31)&amp;F$3)*1,0),0)))),"",INDEX('Casillas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10-4"&amp;CHAR(31)&amp;$A9&amp;CHAR(31)&amp;F$3)*1,0),0))))&amp;IF(SUMPRODUCT(1*EXACT('Casillas del horario'!$S$4:$S$73,"Profesor de EF en 10-4"&amp;CHAR(31)&amp;$A9&amp;CHAR(31)&amp;F$3))&gt;2," (+"&amp;(SUMPRODUCT(1*EXACT('Casillas del horario'!$S$4:$S$73,"Profesor de EF en 10-4"&amp;CHAR(31)&amp;$A9&amp;CHAR(31)&amp;F$3))-2)&amp;")",""),IF(ISNA(MATCH(1,INDEX(EXACT('Casillas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/ "&amp;IF(ISBLANK(INDEX('Casillas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10-4"&amp;CHAR(31)&amp;$A10&amp;CHAR(31)&amp;B$3)*1,0),0)))),"",INDEX('Casillas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10-4"&amp;CHAR(31)&amp;$A10&amp;CHAR(31)&amp;B$3)*1,0),0))))&amp;IF(SUMPRODUCT(1*EXACT('Casillas del horario'!$S$4:$S$73,"Profesor de EF en 10-4"&amp;CHAR(31)&amp;$A10&amp;CHAR(31)&amp;B$3))&gt;2," (+"&amp;(SUMPRODUCT(1*EXACT('Casillas del horario'!$S$4:$S$73,"Profesor de EF en 10-4"&amp;CHAR(31)&amp;$A10&amp;CHAR(31)&amp;B$3))-2)&amp;")",""),IF(ISNA(MATCH(1,INDEX(EXACT('Casillas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/ "&amp;IF(ISBLANK(INDEX('Casillas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10-4"&amp;CHAR(31)&amp;$A10&amp;CHAR(31)&amp;C$3)*1,0),0)))),"",INDEX('Casillas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10-4"&amp;CHAR(31)&amp;$A10&amp;CHAR(31)&amp;C$3)*1,0),0))))&amp;IF(SUMPRODUCT(1*EXACT('Casillas del horario'!$S$4:$S$73,"Profesor de EF en 10-4"&amp;CHAR(31)&amp;$A10&amp;CHAR(31)&amp;C$3))&gt;2," (+"&amp;(SUMPRODUCT(1*EXACT('Casillas del horario'!$S$4:$S$73,"Profesor de EF en 10-4"&amp;CHAR(31)&amp;$A10&amp;CHAR(31)&amp;C$3))-2)&amp;")",""),IF(ISNA(MATCH(1,INDEX(EXACT('Casillas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/ "&amp;IF(ISBLANK(INDEX('Casillas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10-4"&amp;CHAR(31)&amp;$A10&amp;CHAR(31)&amp;D$3)*1,0),0)))),"",INDEX('Casillas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10-4"&amp;CHAR(31)&amp;$A10&amp;CHAR(31)&amp;D$3)*1,0),0))))&amp;IF(SUMPRODUCT(1*EXACT('Casillas del horario'!$S$4:$S$73,"Profesor de EF en 10-4"&amp;CHAR(31)&amp;$A10&amp;CHAR(31)&amp;D$3))&gt;2," (+"&amp;(SUMPRODUCT(1*EXACT('Casillas del horario'!$S$4:$S$73,"Profesor de EF en 10-4"&amp;CHAR(31)&amp;$A10&amp;CHAR(31)&amp;D$3))-2)&amp;")",""),IF(ISNA(MATCH(1,INDEX(EXACT('Casillas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/ "&amp;IF(ISBLANK(INDEX('Casillas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10-4"&amp;CHAR(31)&amp;$A10&amp;CHAR(31)&amp;E$3)*1,0),0)))),"",INDEX('Casillas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10-4"&amp;CHAR(31)&amp;$A10&amp;CHAR(31)&amp;E$3)*1,0),0))))&amp;IF(SUMPRODUCT(1*EXACT('Casillas del horario'!$S$4:$S$73,"Profesor de EF en 10-4"&amp;CHAR(31)&amp;$A10&amp;CHAR(31)&amp;E$3))&gt;2," (+"&amp;(SUMPRODUCT(1*EXACT('Casillas del horario'!$S$4:$S$73,"Profesor de EF en 10-4"&amp;CHAR(31)&amp;$A10&amp;CHAR(31)&amp;E$3))-2)&amp;")",""),IF(ISNA(MATCH(1,INDEX(EXACT('Casillas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/ "&amp;IF(ISBLANK(INDEX('Casillas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10-4"&amp;CHAR(31)&amp;$A10&amp;CHAR(31)&amp;F$3)*1,0),0)))),"",INDEX('Casillas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10-4"&amp;CHAR(31)&amp;$A10&amp;CHAR(31)&amp;F$3)*1,0),0))))&amp;IF(SUMPRODUCT(1*EXACT('Casillas del horario'!$S$4:$S$73,"Profesor de EF en 10-4"&amp;CHAR(31)&amp;$A10&amp;CHAR(31)&amp;F$3))&gt;2," (+"&amp;(SUMPRODUCT(1*EXACT('Casillas del horario'!$S$4:$S$73,"Profesor de EF en 10-4"&amp;CHAR(31)&amp;$A10&amp;CHAR(31)&amp;F$3))-2)&amp;")",""),IF(ISNA(MATCH(1,INDEX(EXACT('Casillas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/ "&amp;IF(ISBLANK(INDEX('Casillas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10-4"&amp;CHAR(31)&amp;$A4&amp;CHAR(31)&amp;B$3)*1,0),0)))),"",INDEX('Casillas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10-4"&amp;CHAR(31)&amp;$A4&amp;CHAR(31)&amp;B$3)*1,0),0))))&amp;IF(SUMPRODUCT(1*EXACT('Casillas del horario'!$S$4:$S$73,"Profesor de B en 10-4"&amp;CHAR(31)&amp;$A4&amp;CHAR(31)&amp;B$3))&gt;2," (+"&amp;(SUMPRODUCT(1*EXACT('Casillas del horario'!$S$4:$S$73,"Profesor de B en 10-4"&amp;CHAR(31)&amp;$A4&amp;CHAR(31)&amp;B$3))-2)&amp;")",""),IF(ISNA(MATCH(1,INDEX(EXACT('Casillas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/ "&amp;IF(ISBLANK(INDEX('Casillas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10-4"&amp;CHAR(31)&amp;$A4&amp;CHAR(31)&amp;C$3)*1,0),0)))),"",INDEX('Casillas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10-4"&amp;CHAR(31)&amp;$A4&amp;CHAR(31)&amp;C$3)*1,0),0))))&amp;IF(SUMPRODUCT(1*EXACT('Casillas del horario'!$S$4:$S$73,"Profesor de B en 10-4"&amp;CHAR(31)&amp;$A4&amp;CHAR(31)&amp;C$3))&gt;2," (+"&amp;(SUMPRODUCT(1*EXACT('Casillas del horario'!$S$4:$S$73,"Profesor de B en 10-4"&amp;CHAR(31)&amp;$A4&amp;CHAR(31)&amp;C$3))-2)&amp;")",""),IF(ISNA(MATCH(1,INDEX(EXACT('Casillas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/ "&amp;IF(ISBLANK(INDEX('Casillas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10-4"&amp;CHAR(31)&amp;$A4&amp;CHAR(31)&amp;D$3)*1,0),0)))),"",INDEX('Casillas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10-4"&amp;CHAR(31)&amp;$A4&amp;CHAR(31)&amp;D$3)*1,0),0))))&amp;IF(SUMPRODUCT(1*EXACT('Casillas del horario'!$S$4:$S$73,"Profesor de B en 10-4"&amp;CHAR(31)&amp;$A4&amp;CHAR(31)&amp;D$3))&gt;2," (+"&amp;(SUMPRODUCT(1*EXACT('Casillas del horario'!$S$4:$S$73,"Profesor de B en 10-4"&amp;CHAR(31)&amp;$A4&amp;CHAR(31)&amp;D$3))-2)&amp;")",""),IF(ISNA(MATCH(1,INDEX(EXACT('Casillas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/ "&amp;IF(ISBLANK(INDEX('Casillas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10-4"&amp;CHAR(31)&amp;$A4&amp;CHAR(31)&amp;E$3)*1,0),0)))),"",INDEX('Casillas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10-4"&amp;CHAR(31)&amp;$A4&amp;CHAR(31)&amp;E$3)*1,0),0))))&amp;IF(SUMPRODUCT(1*EXACT('Casillas del horario'!$S$4:$S$73,"Profesor de B en 10-4"&amp;CHAR(31)&amp;$A4&amp;CHAR(31)&amp;E$3))&gt;2," (+"&amp;(SUMPRODUCT(1*EXACT('Casillas del horario'!$S$4:$S$73,"Profesor de B en 10-4"&amp;CHAR(31)&amp;$A4&amp;CHAR(31)&amp;E$3))-2)&amp;")",""),IF(ISNA(MATCH(1,INDEX(EXACT('Casillas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/ "&amp;IF(ISBLANK(INDEX('Casillas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10-4"&amp;CHAR(31)&amp;$A4&amp;CHAR(31)&amp;F$3)*1,0),0)))),"",INDEX('Casillas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10-4"&amp;CHAR(31)&amp;$A4&amp;CHAR(31)&amp;F$3)*1,0),0))))&amp;IF(SUMPRODUCT(1*EXACT('Casillas del horario'!$S$4:$S$73,"Profesor de B en 10-4"&amp;CHAR(31)&amp;$A4&amp;CHAR(31)&amp;F$3))&gt;2," (+"&amp;(SUMPRODUCT(1*EXACT('Casillas del horario'!$S$4:$S$73,"Profesor de B en 10-4"&amp;CHAR(31)&amp;$A4&amp;CHAR(31)&amp;F$3))-2)&amp;")",""),IF(ISNA(MATCH(1,INDEX(EXACT('Casillas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/ "&amp;IF(ISBLANK(INDEX('Casillas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10-4"&amp;CHAR(31)&amp;$A5&amp;CHAR(31)&amp;B$3)*1,0),0)))),"",INDEX('Casillas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10-4"&amp;CHAR(31)&amp;$A5&amp;CHAR(31)&amp;B$3)*1,0),0))))&amp;IF(SUMPRODUCT(1*EXACT('Casillas del horario'!$S$4:$S$73,"Profesor de B en 10-4"&amp;CHAR(31)&amp;$A5&amp;CHAR(31)&amp;B$3))&gt;2," (+"&amp;(SUMPRODUCT(1*EXACT('Casillas del horario'!$S$4:$S$73,"Profesor de B en 10-4"&amp;CHAR(31)&amp;$A5&amp;CHAR(31)&amp;B$3))-2)&amp;")",""),IF(ISNA(MATCH(1,INDEX(EXACT('Casillas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/ "&amp;IF(ISBLANK(INDEX('Casillas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10-4"&amp;CHAR(31)&amp;$A5&amp;CHAR(31)&amp;C$3)*1,0),0)))),"",INDEX('Casillas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10-4"&amp;CHAR(31)&amp;$A5&amp;CHAR(31)&amp;C$3)*1,0),0))))&amp;IF(SUMPRODUCT(1*EXACT('Casillas del horario'!$S$4:$S$73,"Profesor de B en 10-4"&amp;CHAR(31)&amp;$A5&amp;CHAR(31)&amp;C$3))&gt;2," (+"&amp;(SUMPRODUCT(1*EXACT('Casillas del horario'!$S$4:$S$73,"Profesor de B en 10-4"&amp;CHAR(31)&amp;$A5&amp;CHAR(31)&amp;C$3))-2)&amp;")",""),IF(ISNA(MATCH(1,INDEX(EXACT('Casillas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/ "&amp;IF(ISBLANK(INDEX('Casillas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10-4"&amp;CHAR(31)&amp;$A5&amp;CHAR(31)&amp;D$3)*1,0),0)))),"",INDEX('Casillas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10-4"&amp;CHAR(31)&amp;$A5&amp;CHAR(31)&amp;D$3)*1,0),0))))&amp;IF(SUMPRODUCT(1*EXACT('Casillas del horario'!$S$4:$S$73,"Profesor de B en 10-4"&amp;CHAR(31)&amp;$A5&amp;CHAR(31)&amp;D$3))&gt;2," (+"&amp;(SUMPRODUCT(1*EXACT('Casillas del horario'!$S$4:$S$73,"Profesor de B en 10-4"&amp;CHAR(31)&amp;$A5&amp;CHAR(31)&amp;D$3))-2)&amp;")",""),IF(ISNA(MATCH(1,INDEX(EXACT('Casillas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/ "&amp;IF(ISBLANK(INDEX('Casillas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10-4"&amp;CHAR(31)&amp;$A5&amp;CHAR(31)&amp;E$3)*1,0),0)))),"",INDEX('Casillas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10-4"&amp;CHAR(31)&amp;$A5&amp;CHAR(31)&amp;E$3)*1,0),0))))&amp;IF(SUMPRODUCT(1*EXACT('Casillas del horario'!$S$4:$S$73,"Profesor de B en 10-4"&amp;CHAR(31)&amp;$A5&amp;CHAR(31)&amp;E$3))&gt;2," (+"&amp;(SUMPRODUCT(1*EXACT('Casillas del horario'!$S$4:$S$73,"Profesor de B en 10-4"&amp;CHAR(31)&amp;$A5&amp;CHAR(31)&amp;E$3))-2)&amp;")",""),IF(ISNA(MATCH(1,INDEX(EXACT('Casillas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/ "&amp;IF(ISBLANK(INDEX('Casillas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10-4"&amp;CHAR(31)&amp;$A5&amp;CHAR(31)&amp;F$3)*1,0),0)))),"",INDEX('Casillas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10-4"&amp;CHAR(31)&amp;$A5&amp;CHAR(31)&amp;F$3)*1,0),0))))&amp;IF(SUMPRODUCT(1*EXACT('Casillas del horario'!$S$4:$S$73,"Profesor de B en 10-4"&amp;CHAR(31)&amp;$A5&amp;CHAR(31)&amp;F$3))&gt;2," (+"&amp;(SUMPRODUCT(1*EXACT('Casillas del horario'!$S$4:$S$73,"Profesor de B en 10-4"&amp;CHAR(31)&amp;$A5&amp;CHAR(31)&amp;F$3))-2)&amp;")",""),IF(ISNA(MATCH(1,INDEX(EXACT('Casillas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/ "&amp;IF(ISBLANK(INDEX('Casillas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10-4"&amp;CHAR(31)&amp;$A6&amp;CHAR(31)&amp;B$3)*1,0),0)))),"",INDEX('Casillas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10-4"&amp;CHAR(31)&amp;$A6&amp;CHAR(31)&amp;B$3)*1,0),0))))&amp;IF(SUMPRODUCT(1*EXACT('Casillas del horario'!$S$4:$S$73,"Profesor de B en 10-4"&amp;CHAR(31)&amp;$A6&amp;CHAR(31)&amp;B$3))&gt;2," (+"&amp;(SUMPRODUCT(1*EXACT('Casillas del horario'!$S$4:$S$73,"Profesor de B en 10-4"&amp;CHAR(31)&amp;$A6&amp;CHAR(31)&amp;B$3))-2)&amp;")",""),IF(ISNA(MATCH(1,INDEX(EXACT('Casillas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/ "&amp;IF(ISBLANK(INDEX('Casillas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10-4"&amp;CHAR(31)&amp;$A6&amp;CHAR(31)&amp;C$3)*1,0),0)))),"",INDEX('Casillas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10-4"&amp;CHAR(31)&amp;$A6&amp;CHAR(31)&amp;C$3)*1,0),0))))&amp;IF(SUMPRODUCT(1*EXACT('Casillas del horario'!$S$4:$S$73,"Profesor de B en 10-4"&amp;CHAR(31)&amp;$A6&amp;CHAR(31)&amp;C$3))&gt;2," (+"&amp;(SUMPRODUCT(1*EXACT('Casillas del horario'!$S$4:$S$73,"Profesor de B en 10-4"&amp;CHAR(31)&amp;$A6&amp;CHAR(31)&amp;C$3))-2)&amp;")",""),IF(ISNA(MATCH(1,INDEX(EXACT('Casillas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/ "&amp;IF(ISBLANK(INDEX('Casillas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10-4"&amp;CHAR(31)&amp;$A6&amp;CHAR(31)&amp;D$3)*1,0),0)))),"",INDEX('Casillas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10-4"&amp;CHAR(31)&amp;$A6&amp;CHAR(31)&amp;D$3)*1,0),0))))&amp;IF(SUMPRODUCT(1*EXACT('Casillas del horario'!$S$4:$S$73,"Profesor de B en 10-4"&amp;CHAR(31)&amp;$A6&amp;CHAR(31)&amp;D$3))&gt;2," (+"&amp;(SUMPRODUCT(1*EXACT('Casillas del horario'!$S$4:$S$73,"Profesor de B en 10-4"&amp;CHAR(31)&amp;$A6&amp;CHAR(31)&amp;D$3))-2)&amp;")",""),IF(ISNA(MATCH(1,INDEX(EXACT('Casillas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/ "&amp;IF(ISBLANK(INDEX('Casillas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10-4"&amp;CHAR(31)&amp;$A6&amp;CHAR(31)&amp;E$3)*1,0),0)))),"",INDEX('Casillas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10-4"&amp;CHAR(31)&amp;$A6&amp;CHAR(31)&amp;E$3)*1,0),0))))&amp;IF(SUMPRODUCT(1*EXACT('Casillas del horario'!$S$4:$S$73,"Profesor de B en 10-4"&amp;CHAR(31)&amp;$A6&amp;CHAR(31)&amp;E$3))&gt;2," (+"&amp;(SUMPRODUCT(1*EXACT('Casillas del horario'!$S$4:$S$73,"Profesor de B en 10-4"&amp;CHAR(31)&amp;$A6&amp;CHAR(31)&amp;E$3))-2)&amp;")",""),IF(ISNA(MATCH(1,INDEX(EXACT('Casillas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/ "&amp;IF(ISBLANK(INDEX('Casillas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10-4"&amp;CHAR(31)&amp;$A6&amp;CHAR(31)&amp;F$3)*1,0),0)))),"",INDEX('Casillas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10-4"&amp;CHAR(31)&amp;$A6&amp;CHAR(31)&amp;F$3)*1,0),0))))&amp;IF(SUMPRODUCT(1*EXACT('Casillas del horario'!$S$4:$S$73,"Profesor de B en 10-4"&amp;CHAR(31)&amp;$A6&amp;CHAR(31)&amp;F$3))&gt;2," (+"&amp;(SUMPRODUCT(1*EXACT('Casillas del horario'!$S$4:$S$73,"Profesor de B en 10-4"&amp;CHAR(31)&amp;$A6&amp;CHAR(31)&amp;F$3))-2)&amp;")",""),IF(ISNA(MATCH(1,INDEX(EXACT('Casillas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/ "&amp;IF(ISBLANK(INDEX('Casillas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10-4"&amp;CHAR(31)&amp;$A7&amp;CHAR(31)&amp;B$3)*1,0),0)))),"",INDEX('Casillas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10-4"&amp;CHAR(31)&amp;$A7&amp;CHAR(31)&amp;B$3)*1,0),0))))&amp;IF(SUMPRODUCT(1*EXACT('Casillas del horario'!$S$4:$S$73,"Profesor de B en 10-4"&amp;CHAR(31)&amp;$A7&amp;CHAR(31)&amp;B$3))&gt;2," (+"&amp;(SUMPRODUCT(1*EXACT('Casillas del horario'!$S$4:$S$73,"Profesor de B en 10-4"&amp;CHAR(31)&amp;$A7&amp;CHAR(31)&amp;B$3))-2)&amp;")",""),IF(ISNA(MATCH(1,INDEX(EXACT('Casillas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/ "&amp;IF(ISBLANK(INDEX('Casillas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10-4"&amp;CHAR(31)&amp;$A7&amp;CHAR(31)&amp;C$3)*1,0),0)))),"",INDEX('Casillas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10-4"&amp;CHAR(31)&amp;$A7&amp;CHAR(31)&amp;C$3)*1,0),0))))&amp;IF(SUMPRODUCT(1*EXACT('Casillas del horario'!$S$4:$S$73,"Profesor de B en 10-4"&amp;CHAR(31)&amp;$A7&amp;CHAR(31)&amp;C$3))&gt;2," (+"&amp;(SUMPRODUCT(1*EXACT('Casillas del horario'!$S$4:$S$73,"Profesor de B en 10-4"&amp;CHAR(31)&amp;$A7&amp;CHAR(31)&amp;C$3))-2)&amp;")",""),IF(ISNA(MATCH(1,INDEX(EXACT('Casillas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/ "&amp;IF(ISBLANK(INDEX('Casillas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10-4"&amp;CHAR(31)&amp;$A7&amp;CHAR(31)&amp;D$3)*1,0),0)))),"",INDEX('Casillas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10-4"&amp;CHAR(31)&amp;$A7&amp;CHAR(31)&amp;D$3)*1,0),0))))&amp;IF(SUMPRODUCT(1*EXACT('Casillas del horario'!$S$4:$S$73,"Profesor de B en 10-4"&amp;CHAR(31)&amp;$A7&amp;CHAR(31)&amp;D$3))&gt;2," (+"&amp;(SUMPRODUCT(1*EXACT('Casillas del horario'!$S$4:$S$73,"Profesor de B en 10-4"&amp;CHAR(31)&amp;$A7&amp;CHAR(31)&amp;D$3))-2)&amp;")",""),IF(ISNA(MATCH(1,INDEX(EXACT('Casillas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/ "&amp;IF(ISBLANK(INDEX('Casillas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10-4"&amp;CHAR(31)&amp;$A7&amp;CHAR(31)&amp;E$3)*1,0),0)))),"",INDEX('Casillas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10-4"&amp;CHAR(31)&amp;$A7&amp;CHAR(31)&amp;E$3)*1,0),0))))&amp;IF(SUMPRODUCT(1*EXACT('Casillas del horario'!$S$4:$S$73,"Profesor de B en 10-4"&amp;CHAR(31)&amp;$A7&amp;CHAR(31)&amp;E$3))&gt;2," (+"&amp;(SUMPRODUCT(1*EXACT('Casillas del horario'!$S$4:$S$73,"Profesor de B en 10-4"&amp;CHAR(31)&amp;$A7&amp;CHAR(31)&amp;E$3))-2)&amp;")",""),IF(ISNA(MATCH(1,INDEX(EXACT('Casillas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/ "&amp;IF(ISBLANK(INDEX('Casillas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10-4"&amp;CHAR(31)&amp;$A7&amp;CHAR(31)&amp;F$3)*1,0),0)))),"",INDEX('Casillas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10-4"&amp;CHAR(31)&amp;$A7&amp;CHAR(31)&amp;F$3)*1,0),0))))&amp;IF(SUMPRODUCT(1*EXACT('Casillas del horario'!$S$4:$S$73,"Profesor de B en 10-4"&amp;CHAR(31)&amp;$A7&amp;CHAR(31)&amp;F$3))&gt;2," (+"&amp;(SUMPRODUCT(1*EXACT('Casillas del horario'!$S$4:$S$73,"Profesor de B en 10-4"&amp;CHAR(31)&amp;$A7&amp;CHAR(31)&amp;F$3))-2)&amp;")",""),IF(ISNA(MATCH(1,INDEX(EXACT('Casillas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/ "&amp;IF(ISBLANK(INDEX('Casillas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10-4"&amp;CHAR(31)&amp;$A8&amp;CHAR(31)&amp;B$3)*1,0),0)))),"",INDEX('Casillas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10-4"&amp;CHAR(31)&amp;$A8&amp;CHAR(31)&amp;B$3)*1,0),0))))&amp;IF(SUMPRODUCT(1*EXACT('Casillas del horario'!$S$4:$S$73,"Profesor de B en 10-4"&amp;CHAR(31)&amp;$A8&amp;CHAR(31)&amp;B$3))&gt;2," (+"&amp;(SUMPRODUCT(1*EXACT('Casillas del horario'!$S$4:$S$73,"Profesor de B en 10-4"&amp;CHAR(31)&amp;$A8&amp;CHAR(31)&amp;B$3))-2)&amp;")",""),IF(ISNA(MATCH(1,INDEX(EXACT('Casillas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/ "&amp;IF(ISBLANK(INDEX('Casillas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10-4"&amp;CHAR(31)&amp;$A8&amp;CHAR(31)&amp;C$3)*1,0),0)))),"",INDEX('Casillas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10-4"&amp;CHAR(31)&amp;$A8&amp;CHAR(31)&amp;C$3)*1,0),0))))&amp;IF(SUMPRODUCT(1*EXACT('Casillas del horario'!$S$4:$S$73,"Profesor de B en 10-4"&amp;CHAR(31)&amp;$A8&amp;CHAR(31)&amp;C$3))&gt;2," (+"&amp;(SUMPRODUCT(1*EXACT('Casillas del horario'!$S$4:$S$73,"Profesor de B en 10-4"&amp;CHAR(31)&amp;$A8&amp;CHAR(31)&amp;C$3))-2)&amp;")",""),IF(ISNA(MATCH(1,INDEX(EXACT('Casillas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/ "&amp;IF(ISBLANK(INDEX('Casillas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10-4"&amp;CHAR(31)&amp;$A8&amp;CHAR(31)&amp;D$3)*1,0),0)))),"",INDEX('Casillas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10-4"&amp;CHAR(31)&amp;$A8&amp;CHAR(31)&amp;D$3)*1,0),0))))&amp;IF(SUMPRODUCT(1*EXACT('Casillas del horario'!$S$4:$S$73,"Profesor de B en 10-4"&amp;CHAR(31)&amp;$A8&amp;CHAR(31)&amp;D$3))&gt;2," (+"&amp;(SUMPRODUCT(1*EXACT('Casillas del horario'!$S$4:$S$73,"Profesor de B en 10-4"&amp;CHAR(31)&amp;$A8&amp;CHAR(31)&amp;D$3))-2)&amp;")",""),IF(ISNA(MATCH(1,INDEX(EXACT('Casillas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/ "&amp;IF(ISBLANK(INDEX('Casillas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10-4"&amp;CHAR(31)&amp;$A8&amp;CHAR(31)&amp;E$3)*1,0),0)))),"",INDEX('Casillas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10-4"&amp;CHAR(31)&amp;$A8&amp;CHAR(31)&amp;E$3)*1,0),0))))&amp;IF(SUMPRODUCT(1*EXACT('Casillas del horario'!$S$4:$S$73,"Profesor de B en 10-4"&amp;CHAR(31)&amp;$A8&amp;CHAR(31)&amp;E$3))&gt;2," (+"&amp;(SUMPRODUCT(1*EXACT('Casillas del horario'!$S$4:$S$73,"Profesor de B en 10-4"&amp;CHAR(31)&amp;$A8&amp;CHAR(31)&amp;E$3))-2)&amp;")",""),IF(ISNA(MATCH(1,INDEX(EXACT('Casillas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/ "&amp;IF(ISBLANK(INDEX('Casillas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10-4"&amp;CHAR(31)&amp;$A8&amp;CHAR(31)&amp;F$3)*1,0),0)))),"",INDEX('Casillas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10-4"&amp;CHAR(31)&amp;$A8&amp;CHAR(31)&amp;F$3)*1,0),0))))&amp;IF(SUMPRODUCT(1*EXACT('Casillas del horario'!$S$4:$S$73,"Profesor de B en 10-4"&amp;CHAR(31)&amp;$A8&amp;CHAR(31)&amp;F$3))&gt;2," (+"&amp;(SUMPRODUCT(1*EXACT('Casillas del horario'!$S$4:$S$73,"Profesor de B en 10-4"&amp;CHAR(31)&amp;$A8&amp;CHAR(31)&amp;F$3))-2)&amp;")",""),IF(ISNA(MATCH(1,INDEX(EXACT('Casillas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/ "&amp;IF(ISBLANK(INDEX('Casillas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10-4"&amp;CHAR(31)&amp;$A9&amp;CHAR(31)&amp;B$3)*1,0),0)))),"",INDEX('Casillas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10-4"&amp;CHAR(31)&amp;$A9&amp;CHAR(31)&amp;B$3)*1,0),0))))&amp;IF(SUMPRODUCT(1*EXACT('Casillas del horario'!$S$4:$S$73,"Profesor de B en 10-4"&amp;CHAR(31)&amp;$A9&amp;CHAR(31)&amp;B$3))&gt;2," (+"&amp;(SUMPRODUCT(1*EXACT('Casillas del horario'!$S$4:$S$73,"Profesor de B en 10-4"&amp;CHAR(31)&amp;$A9&amp;CHAR(31)&amp;B$3))-2)&amp;")",""),IF(ISNA(MATCH(1,INDEX(EXACT('Casillas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/ "&amp;IF(ISBLANK(INDEX('Casillas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10-4"&amp;CHAR(31)&amp;$A9&amp;CHAR(31)&amp;C$3)*1,0),0)))),"",INDEX('Casillas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10-4"&amp;CHAR(31)&amp;$A9&amp;CHAR(31)&amp;C$3)*1,0),0))))&amp;IF(SUMPRODUCT(1*EXACT('Casillas del horario'!$S$4:$S$73,"Profesor de B en 10-4"&amp;CHAR(31)&amp;$A9&amp;CHAR(31)&amp;C$3))&gt;2," (+"&amp;(SUMPRODUCT(1*EXACT('Casillas del horario'!$S$4:$S$73,"Profesor de B en 10-4"&amp;CHAR(31)&amp;$A9&amp;CHAR(31)&amp;C$3))-2)&amp;")",""),IF(ISNA(MATCH(1,INDEX(EXACT('Casillas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/ "&amp;IF(ISBLANK(INDEX('Casillas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10-4"&amp;CHAR(31)&amp;$A9&amp;CHAR(31)&amp;D$3)*1,0),0)))),"",INDEX('Casillas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10-4"&amp;CHAR(31)&amp;$A9&amp;CHAR(31)&amp;D$3)*1,0),0))))&amp;IF(SUMPRODUCT(1*EXACT('Casillas del horario'!$S$4:$S$73,"Profesor de B en 10-4"&amp;CHAR(31)&amp;$A9&amp;CHAR(31)&amp;D$3))&gt;2," (+"&amp;(SUMPRODUCT(1*EXACT('Casillas del horario'!$S$4:$S$73,"Profesor de B en 10-4"&amp;CHAR(31)&amp;$A9&amp;CHAR(31)&amp;D$3))-2)&amp;")",""),IF(ISNA(MATCH(1,INDEX(EXACT('Casillas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/ "&amp;IF(ISBLANK(INDEX('Casillas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10-4"&amp;CHAR(31)&amp;$A9&amp;CHAR(31)&amp;E$3)*1,0),0)))),"",INDEX('Casillas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10-4"&amp;CHAR(31)&amp;$A9&amp;CHAR(31)&amp;E$3)*1,0),0))))&amp;IF(SUMPRODUCT(1*EXACT('Casillas del horario'!$S$4:$S$73,"Profesor de B en 10-4"&amp;CHAR(31)&amp;$A9&amp;CHAR(31)&amp;E$3))&gt;2," (+"&amp;(SUMPRODUCT(1*EXACT('Casillas del horario'!$S$4:$S$73,"Profesor de B en 10-4"&amp;CHAR(31)&amp;$A9&amp;CHAR(31)&amp;E$3))-2)&amp;")",""),IF(ISNA(MATCH(1,INDEX(EXACT('Casillas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/ "&amp;IF(ISBLANK(INDEX('Casillas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10-4"&amp;CHAR(31)&amp;$A9&amp;CHAR(31)&amp;F$3)*1,0),0)))),"",INDEX('Casillas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10-4"&amp;CHAR(31)&amp;$A9&amp;CHAR(31)&amp;F$3)*1,0),0))))&amp;IF(SUMPRODUCT(1*EXACT('Casillas del horario'!$S$4:$S$73,"Profesor de B en 10-4"&amp;CHAR(31)&amp;$A9&amp;CHAR(31)&amp;F$3))&gt;2," (+"&amp;(SUMPRODUCT(1*EXACT('Casillas del horario'!$S$4:$S$73,"Profesor de B en 10-4"&amp;CHAR(31)&amp;$A9&amp;CHAR(31)&amp;F$3))-2)&amp;")",""),IF(ISNA(MATCH(1,INDEX(EXACT('Casillas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/ "&amp;IF(ISBLANK(INDEX('Casillas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10-4"&amp;CHAR(31)&amp;$A10&amp;CHAR(31)&amp;B$3)*1,0),0)))),"",INDEX('Casillas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10-4"&amp;CHAR(31)&amp;$A10&amp;CHAR(31)&amp;B$3)*1,0),0))))&amp;IF(SUMPRODUCT(1*EXACT('Casillas del horario'!$S$4:$S$73,"Profesor de B en 10-4"&amp;CHAR(31)&amp;$A10&amp;CHAR(31)&amp;B$3))&gt;2," (+"&amp;(SUMPRODUCT(1*EXACT('Casillas del horario'!$S$4:$S$73,"Profesor de B en 10-4"&amp;CHAR(31)&amp;$A10&amp;CHAR(31)&amp;B$3))-2)&amp;")",""),IF(ISNA(MATCH(1,INDEX(EXACT('Casillas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/ "&amp;IF(ISBLANK(INDEX('Casillas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10-4"&amp;CHAR(31)&amp;$A10&amp;CHAR(31)&amp;C$3)*1,0),0)))),"",INDEX('Casillas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10-4"&amp;CHAR(31)&amp;$A10&amp;CHAR(31)&amp;C$3)*1,0),0))))&amp;IF(SUMPRODUCT(1*EXACT('Casillas del horario'!$S$4:$S$73,"Profesor de B en 10-4"&amp;CHAR(31)&amp;$A10&amp;CHAR(31)&amp;C$3))&gt;2," (+"&amp;(SUMPRODUCT(1*EXACT('Casillas del horario'!$S$4:$S$73,"Profesor de B en 10-4"&amp;CHAR(31)&amp;$A10&amp;CHAR(31)&amp;C$3))-2)&amp;")",""),IF(ISNA(MATCH(1,INDEX(EXACT('Casillas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/ "&amp;IF(ISBLANK(INDEX('Casillas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10-4"&amp;CHAR(31)&amp;$A10&amp;CHAR(31)&amp;D$3)*1,0),0)))),"",INDEX('Casillas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10-4"&amp;CHAR(31)&amp;$A10&amp;CHAR(31)&amp;D$3)*1,0),0))))&amp;IF(SUMPRODUCT(1*EXACT('Casillas del horario'!$S$4:$S$73,"Profesor de B en 10-4"&amp;CHAR(31)&amp;$A10&amp;CHAR(31)&amp;D$3))&gt;2," (+"&amp;(SUMPRODUCT(1*EXACT('Casillas del horario'!$S$4:$S$73,"Profesor de B en 10-4"&amp;CHAR(31)&amp;$A10&amp;CHAR(31)&amp;D$3))-2)&amp;")",""),IF(ISNA(MATCH(1,INDEX(EXACT('Casillas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/ "&amp;IF(ISBLANK(INDEX('Casillas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10-4"&amp;CHAR(31)&amp;$A10&amp;CHAR(31)&amp;E$3)*1,0),0)))),"",INDEX('Casillas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10-4"&amp;CHAR(31)&amp;$A10&amp;CHAR(31)&amp;E$3)*1,0),0))))&amp;IF(SUMPRODUCT(1*EXACT('Casillas del horario'!$S$4:$S$73,"Profesor de B en 10-4"&amp;CHAR(31)&amp;$A10&amp;CHAR(31)&amp;E$3))&gt;2," (+"&amp;(SUMPRODUCT(1*EXACT('Casillas del horario'!$S$4:$S$73,"Profesor de B en 10-4"&amp;CHAR(31)&amp;$A10&amp;CHAR(31)&amp;E$3))-2)&amp;")",""),IF(ISNA(MATCH(1,INDEX(EXACT('Casillas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/ "&amp;IF(ISBLANK(INDEX('Casillas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10-4"&amp;CHAR(31)&amp;$A10&amp;CHAR(31)&amp;F$3)*1,0),0)))),"",INDEX('Casillas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10-4"&amp;CHAR(31)&amp;$A10&amp;CHAR(31)&amp;F$3)*1,0),0))))&amp;IF(SUMPRODUCT(1*EXACT('Casillas del horario'!$S$4:$S$73,"Profesor de B en 10-4"&amp;CHAR(31)&amp;$A10&amp;CHAR(31)&amp;F$3))&gt;2," (+"&amp;(SUMPRODUCT(1*EXACT('Casillas del horario'!$S$4:$S$73,"Profesor de B en 10-4"&amp;CHAR(31)&amp;$A10&amp;CHAR(31)&amp;F$3))-2)&amp;")",""),IF(ISNA(MATCH(1,INDEX(EXACT('Casillas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/ "&amp;IF(ISBLANK(INDEX('Casillas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10-4"&amp;CHAR(31)&amp;$A4&amp;CHAR(31)&amp;B$3)*1,0),0)))),"",INDEX('Casillas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10-4"&amp;CHAR(31)&amp;$A4&amp;CHAR(31)&amp;B$3)*1,0),0))))&amp;IF(SUMPRODUCT(1*EXACT('Casillas del horario'!$S$4:$S$73,"Profesor de G en 10-4"&amp;CHAR(31)&amp;$A4&amp;CHAR(31)&amp;B$3))&gt;2," (+"&amp;(SUMPRODUCT(1*EXACT('Casillas del horario'!$S$4:$S$73,"Profesor de G en 10-4"&amp;CHAR(31)&amp;$A4&amp;CHAR(31)&amp;B$3))-2)&amp;")",""),IF(ISNA(MATCH(1,INDEX(EXACT('Casillas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/ "&amp;IF(ISBLANK(INDEX('Casillas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10-4"&amp;CHAR(31)&amp;$A4&amp;CHAR(31)&amp;C$3)*1,0),0)))),"",INDEX('Casillas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10-4"&amp;CHAR(31)&amp;$A4&amp;CHAR(31)&amp;C$3)*1,0),0))))&amp;IF(SUMPRODUCT(1*EXACT('Casillas del horario'!$S$4:$S$73,"Profesor de G en 10-4"&amp;CHAR(31)&amp;$A4&amp;CHAR(31)&amp;C$3))&gt;2," (+"&amp;(SUMPRODUCT(1*EXACT('Casillas del horario'!$S$4:$S$73,"Profesor de G en 10-4"&amp;CHAR(31)&amp;$A4&amp;CHAR(31)&amp;C$3))-2)&amp;")",""),IF(ISNA(MATCH(1,INDEX(EXACT('Casillas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/ "&amp;IF(ISBLANK(INDEX('Casillas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10-4"&amp;CHAR(31)&amp;$A4&amp;CHAR(31)&amp;D$3)*1,0),0)))),"",INDEX('Casillas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10-4"&amp;CHAR(31)&amp;$A4&amp;CHAR(31)&amp;D$3)*1,0),0))))&amp;IF(SUMPRODUCT(1*EXACT('Casillas del horario'!$S$4:$S$73,"Profesor de G en 10-4"&amp;CHAR(31)&amp;$A4&amp;CHAR(31)&amp;D$3))&gt;2," (+"&amp;(SUMPRODUCT(1*EXACT('Casillas del horario'!$S$4:$S$73,"Profesor de G en 10-4"&amp;CHAR(31)&amp;$A4&amp;CHAR(31)&amp;D$3))-2)&amp;")",""),IF(ISNA(MATCH(1,INDEX(EXACT('Casillas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/ "&amp;IF(ISBLANK(INDEX('Casillas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10-4"&amp;CHAR(31)&amp;$A4&amp;CHAR(31)&amp;E$3)*1,0),0)))),"",INDEX('Casillas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10-4"&amp;CHAR(31)&amp;$A4&amp;CHAR(31)&amp;E$3)*1,0),0))))&amp;IF(SUMPRODUCT(1*EXACT('Casillas del horario'!$S$4:$S$73,"Profesor de G en 10-4"&amp;CHAR(31)&amp;$A4&amp;CHAR(31)&amp;E$3))&gt;2," (+"&amp;(SUMPRODUCT(1*EXACT('Casillas del horario'!$S$4:$S$73,"Profesor de G en 10-4"&amp;CHAR(31)&amp;$A4&amp;CHAR(31)&amp;E$3))-2)&amp;")",""),IF(ISNA(MATCH(1,INDEX(EXACT('Casillas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/ "&amp;IF(ISBLANK(INDEX('Casillas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10-4"&amp;CHAR(31)&amp;$A4&amp;CHAR(31)&amp;F$3)*1,0),0)))),"",INDEX('Casillas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10-4"&amp;CHAR(31)&amp;$A4&amp;CHAR(31)&amp;F$3)*1,0),0))))&amp;IF(SUMPRODUCT(1*EXACT('Casillas del horario'!$S$4:$S$73,"Profesor de G en 10-4"&amp;CHAR(31)&amp;$A4&amp;CHAR(31)&amp;F$3))&gt;2," (+"&amp;(SUMPRODUCT(1*EXACT('Casillas del horario'!$S$4:$S$73,"Profesor de G en 10-4"&amp;CHAR(31)&amp;$A4&amp;CHAR(31)&amp;F$3))-2)&amp;")",""),IF(ISNA(MATCH(1,INDEX(EXACT('Casillas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/ "&amp;IF(ISBLANK(INDEX('Casillas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10-4"&amp;CHAR(31)&amp;$A5&amp;CHAR(31)&amp;B$3)*1,0),0)))),"",INDEX('Casillas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10-4"&amp;CHAR(31)&amp;$A5&amp;CHAR(31)&amp;B$3)*1,0),0))))&amp;IF(SUMPRODUCT(1*EXACT('Casillas del horario'!$S$4:$S$73,"Profesor de G en 10-4"&amp;CHAR(31)&amp;$A5&amp;CHAR(31)&amp;B$3))&gt;2," (+"&amp;(SUMPRODUCT(1*EXACT('Casillas del horario'!$S$4:$S$73,"Profesor de G en 10-4"&amp;CHAR(31)&amp;$A5&amp;CHAR(31)&amp;B$3))-2)&amp;")",""),IF(ISNA(MATCH(1,INDEX(EXACT('Casillas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/ "&amp;IF(ISBLANK(INDEX('Casillas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10-4"&amp;CHAR(31)&amp;$A5&amp;CHAR(31)&amp;C$3)*1,0),0)))),"",INDEX('Casillas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10-4"&amp;CHAR(31)&amp;$A5&amp;CHAR(31)&amp;C$3)*1,0),0))))&amp;IF(SUMPRODUCT(1*EXACT('Casillas del horario'!$S$4:$S$73,"Profesor de G en 10-4"&amp;CHAR(31)&amp;$A5&amp;CHAR(31)&amp;C$3))&gt;2," (+"&amp;(SUMPRODUCT(1*EXACT('Casillas del horario'!$S$4:$S$73,"Profesor de G en 10-4"&amp;CHAR(31)&amp;$A5&amp;CHAR(31)&amp;C$3))-2)&amp;")",""),IF(ISNA(MATCH(1,INDEX(EXACT('Casillas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/ "&amp;IF(ISBLANK(INDEX('Casillas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10-4"&amp;CHAR(31)&amp;$A5&amp;CHAR(31)&amp;D$3)*1,0),0)))),"",INDEX('Casillas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10-4"&amp;CHAR(31)&amp;$A5&amp;CHAR(31)&amp;D$3)*1,0),0))))&amp;IF(SUMPRODUCT(1*EXACT('Casillas del horario'!$S$4:$S$73,"Profesor de G en 10-4"&amp;CHAR(31)&amp;$A5&amp;CHAR(31)&amp;D$3))&gt;2," (+"&amp;(SUMPRODUCT(1*EXACT('Casillas del horario'!$S$4:$S$73,"Profesor de G en 10-4"&amp;CHAR(31)&amp;$A5&amp;CHAR(31)&amp;D$3))-2)&amp;")",""),IF(ISNA(MATCH(1,INDEX(EXACT('Casillas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/ "&amp;IF(ISBLANK(INDEX('Casillas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10-4"&amp;CHAR(31)&amp;$A5&amp;CHAR(31)&amp;E$3)*1,0),0)))),"",INDEX('Casillas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10-4"&amp;CHAR(31)&amp;$A5&amp;CHAR(31)&amp;E$3)*1,0),0))))&amp;IF(SUMPRODUCT(1*EXACT('Casillas del horario'!$S$4:$S$73,"Profesor de G en 10-4"&amp;CHAR(31)&amp;$A5&amp;CHAR(31)&amp;E$3))&gt;2," (+"&amp;(SUMPRODUCT(1*EXACT('Casillas del horario'!$S$4:$S$73,"Profesor de G en 10-4"&amp;CHAR(31)&amp;$A5&amp;CHAR(31)&amp;E$3))-2)&amp;")",""),IF(ISNA(MATCH(1,INDEX(EXACT('Casillas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/ "&amp;IF(ISBLANK(INDEX('Casillas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10-4"&amp;CHAR(31)&amp;$A5&amp;CHAR(31)&amp;F$3)*1,0),0)))),"",INDEX('Casillas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10-4"&amp;CHAR(31)&amp;$A5&amp;CHAR(31)&amp;F$3)*1,0),0))))&amp;IF(SUMPRODUCT(1*EXACT('Casillas del horario'!$S$4:$S$73,"Profesor de G en 10-4"&amp;CHAR(31)&amp;$A5&amp;CHAR(31)&amp;F$3))&gt;2," (+"&amp;(SUMPRODUCT(1*EXACT('Casillas del horario'!$S$4:$S$73,"Profesor de G en 10-4"&amp;CHAR(31)&amp;$A5&amp;CHAR(31)&amp;F$3))-2)&amp;")",""),IF(ISNA(MATCH(1,INDEX(EXACT('Casillas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/ "&amp;IF(ISBLANK(INDEX('Casillas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10-4"&amp;CHAR(31)&amp;$A6&amp;CHAR(31)&amp;B$3)*1,0),0)))),"",INDEX('Casillas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10-4"&amp;CHAR(31)&amp;$A6&amp;CHAR(31)&amp;B$3)*1,0),0))))&amp;IF(SUMPRODUCT(1*EXACT('Casillas del horario'!$S$4:$S$73,"Profesor de G en 10-4"&amp;CHAR(31)&amp;$A6&amp;CHAR(31)&amp;B$3))&gt;2," (+"&amp;(SUMPRODUCT(1*EXACT('Casillas del horario'!$S$4:$S$73,"Profesor de G en 10-4"&amp;CHAR(31)&amp;$A6&amp;CHAR(31)&amp;B$3))-2)&amp;")",""),IF(ISNA(MATCH(1,INDEX(EXACT('Casillas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/ "&amp;IF(ISBLANK(INDEX('Casillas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10-4"&amp;CHAR(31)&amp;$A6&amp;CHAR(31)&amp;C$3)*1,0),0)))),"",INDEX('Casillas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10-4"&amp;CHAR(31)&amp;$A6&amp;CHAR(31)&amp;C$3)*1,0),0))))&amp;IF(SUMPRODUCT(1*EXACT('Casillas del horario'!$S$4:$S$73,"Profesor de G en 10-4"&amp;CHAR(31)&amp;$A6&amp;CHAR(31)&amp;C$3))&gt;2," (+"&amp;(SUMPRODUCT(1*EXACT('Casillas del horario'!$S$4:$S$73,"Profesor de G en 10-4"&amp;CHAR(31)&amp;$A6&amp;CHAR(31)&amp;C$3))-2)&amp;")",""),IF(ISNA(MATCH(1,INDEX(EXACT('Casillas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/ "&amp;IF(ISBLANK(INDEX('Casillas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10-4"&amp;CHAR(31)&amp;$A6&amp;CHAR(31)&amp;D$3)*1,0),0)))),"",INDEX('Casillas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10-4"&amp;CHAR(31)&amp;$A6&amp;CHAR(31)&amp;D$3)*1,0),0))))&amp;IF(SUMPRODUCT(1*EXACT('Casillas del horario'!$S$4:$S$73,"Profesor de G en 10-4"&amp;CHAR(31)&amp;$A6&amp;CHAR(31)&amp;D$3))&gt;2," (+"&amp;(SUMPRODUCT(1*EXACT('Casillas del horario'!$S$4:$S$73,"Profesor de G en 10-4"&amp;CHAR(31)&amp;$A6&amp;CHAR(31)&amp;D$3))-2)&amp;")",""),IF(ISNA(MATCH(1,INDEX(EXACT('Casillas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/ "&amp;IF(ISBLANK(INDEX('Casillas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10-4"&amp;CHAR(31)&amp;$A6&amp;CHAR(31)&amp;E$3)*1,0),0)))),"",INDEX('Casillas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10-4"&amp;CHAR(31)&amp;$A6&amp;CHAR(31)&amp;E$3)*1,0),0))))&amp;IF(SUMPRODUCT(1*EXACT('Casillas del horario'!$S$4:$S$73,"Profesor de G en 10-4"&amp;CHAR(31)&amp;$A6&amp;CHAR(31)&amp;E$3))&gt;2," (+"&amp;(SUMPRODUCT(1*EXACT('Casillas del horario'!$S$4:$S$73,"Profesor de G en 10-4"&amp;CHAR(31)&amp;$A6&amp;CHAR(31)&amp;E$3))-2)&amp;")",""),IF(ISNA(MATCH(1,INDEX(EXACT('Casillas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/ "&amp;IF(ISBLANK(INDEX('Casillas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10-4"&amp;CHAR(31)&amp;$A6&amp;CHAR(31)&amp;F$3)*1,0),0)))),"",INDEX('Casillas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10-4"&amp;CHAR(31)&amp;$A6&amp;CHAR(31)&amp;F$3)*1,0),0))))&amp;IF(SUMPRODUCT(1*EXACT('Casillas del horario'!$S$4:$S$73,"Profesor de G en 10-4"&amp;CHAR(31)&amp;$A6&amp;CHAR(31)&amp;F$3))&gt;2," (+"&amp;(SUMPRODUCT(1*EXACT('Casillas del horario'!$S$4:$S$73,"Profesor de G en 10-4"&amp;CHAR(31)&amp;$A6&amp;CHAR(31)&amp;F$3))-2)&amp;")",""),IF(ISNA(MATCH(1,INDEX(EXACT('Casillas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/ "&amp;IF(ISBLANK(INDEX('Casillas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10-4"&amp;CHAR(31)&amp;$A7&amp;CHAR(31)&amp;B$3)*1,0),0)))),"",INDEX('Casillas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10-4"&amp;CHAR(31)&amp;$A7&amp;CHAR(31)&amp;B$3)*1,0),0))))&amp;IF(SUMPRODUCT(1*EXACT('Casillas del horario'!$S$4:$S$73,"Profesor de G en 10-4"&amp;CHAR(31)&amp;$A7&amp;CHAR(31)&amp;B$3))&gt;2," (+"&amp;(SUMPRODUCT(1*EXACT('Casillas del horario'!$S$4:$S$73,"Profesor de G en 10-4"&amp;CHAR(31)&amp;$A7&amp;CHAR(31)&amp;B$3))-2)&amp;")",""),IF(ISNA(MATCH(1,INDEX(EXACT('Casillas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/ "&amp;IF(ISBLANK(INDEX('Casillas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10-4"&amp;CHAR(31)&amp;$A7&amp;CHAR(31)&amp;C$3)*1,0),0)))),"",INDEX('Casillas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10-4"&amp;CHAR(31)&amp;$A7&amp;CHAR(31)&amp;C$3)*1,0),0))))&amp;IF(SUMPRODUCT(1*EXACT('Casillas del horario'!$S$4:$S$73,"Profesor de G en 10-4"&amp;CHAR(31)&amp;$A7&amp;CHAR(31)&amp;C$3))&gt;2," (+"&amp;(SUMPRODUCT(1*EXACT('Casillas del horario'!$S$4:$S$73,"Profesor de G en 10-4"&amp;CHAR(31)&amp;$A7&amp;CHAR(31)&amp;C$3))-2)&amp;")",""),IF(ISNA(MATCH(1,INDEX(EXACT('Casillas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/ "&amp;IF(ISBLANK(INDEX('Casillas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10-4"&amp;CHAR(31)&amp;$A7&amp;CHAR(31)&amp;D$3)*1,0),0)))),"",INDEX('Casillas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10-4"&amp;CHAR(31)&amp;$A7&amp;CHAR(31)&amp;D$3)*1,0),0))))&amp;IF(SUMPRODUCT(1*EXACT('Casillas del horario'!$S$4:$S$73,"Profesor de G en 10-4"&amp;CHAR(31)&amp;$A7&amp;CHAR(31)&amp;D$3))&gt;2," (+"&amp;(SUMPRODUCT(1*EXACT('Casillas del horario'!$S$4:$S$73,"Profesor de G en 10-4"&amp;CHAR(31)&amp;$A7&amp;CHAR(31)&amp;D$3))-2)&amp;")",""),IF(ISNA(MATCH(1,INDEX(EXACT('Casillas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/ "&amp;IF(ISBLANK(INDEX('Casillas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10-4"&amp;CHAR(31)&amp;$A7&amp;CHAR(31)&amp;E$3)*1,0),0)))),"",INDEX('Casillas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10-4"&amp;CHAR(31)&amp;$A7&amp;CHAR(31)&amp;E$3)*1,0),0))))&amp;IF(SUMPRODUCT(1*EXACT('Casillas del horario'!$S$4:$S$73,"Profesor de G en 10-4"&amp;CHAR(31)&amp;$A7&amp;CHAR(31)&amp;E$3))&gt;2," (+"&amp;(SUMPRODUCT(1*EXACT('Casillas del horario'!$S$4:$S$73,"Profesor de G en 10-4"&amp;CHAR(31)&amp;$A7&amp;CHAR(31)&amp;E$3))-2)&amp;")",""),IF(ISNA(MATCH(1,INDEX(EXACT('Casillas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/ "&amp;IF(ISBLANK(INDEX('Casillas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10-4"&amp;CHAR(31)&amp;$A7&amp;CHAR(31)&amp;F$3)*1,0),0)))),"",INDEX('Casillas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10-4"&amp;CHAR(31)&amp;$A7&amp;CHAR(31)&amp;F$3)*1,0),0))))&amp;IF(SUMPRODUCT(1*EXACT('Casillas del horario'!$S$4:$S$73,"Profesor de G en 10-4"&amp;CHAR(31)&amp;$A7&amp;CHAR(31)&amp;F$3))&gt;2," (+"&amp;(SUMPRODUCT(1*EXACT('Casillas del horario'!$S$4:$S$73,"Profesor de G en 10-4"&amp;CHAR(31)&amp;$A7&amp;CHAR(31)&amp;F$3))-2)&amp;")",""),IF(ISNA(MATCH(1,INDEX(EXACT('Casillas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/ "&amp;IF(ISBLANK(INDEX('Casillas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10-4"&amp;CHAR(31)&amp;$A8&amp;CHAR(31)&amp;B$3)*1,0),0)))),"",INDEX('Casillas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10-4"&amp;CHAR(31)&amp;$A8&amp;CHAR(31)&amp;B$3)*1,0),0))))&amp;IF(SUMPRODUCT(1*EXACT('Casillas del horario'!$S$4:$S$73,"Profesor de G en 10-4"&amp;CHAR(31)&amp;$A8&amp;CHAR(31)&amp;B$3))&gt;2," (+"&amp;(SUMPRODUCT(1*EXACT('Casillas del horario'!$S$4:$S$73,"Profesor de G en 10-4"&amp;CHAR(31)&amp;$A8&amp;CHAR(31)&amp;B$3))-2)&amp;")",""),IF(ISNA(MATCH(1,INDEX(EXACT('Casillas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/ "&amp;IF(ISBLANK(INDEX('Casillas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10-4"&amp;CHAR(31)&amp;$A8&amp;CHAR(31)&amp;C$3)*1,0),0)))),"",INDEX('Casillas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10-4"&amp;CHAR(31)&amp;$A8&amp;CHAR(31)&amp;C$3)*1,0),0))))&amp;IF(SUMPRODUCT(1*EXACT('Casillas del horario'!$S$4:$S$73,"Profesor de G en 10-4"&amp;CHAR(31)&amp;$A8&amp;CHAR(31)&amp;C$3))&gt;2," (+"&amp;(SUMPRODUCT(1*EXACT('Casillas del horario'!$S$4:$S$73,"Profesor de G en 10-4"&amp;CHAR(31)&amp;$A8&amp;CHAR(31)&amp;C$3))-2)&amp;")",""),IF(ISNA(MATCH(1,INDEX(EXACT('Casillas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/ "&amp;IF(ISBLANK(INDEX('Casillas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10-4"&amp;CHAR(31)&amp;$A8&amp;CHAR(31)&amp;D$3)*1,0),0)))),"",INDEX('Casillas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10-4"&amp;CHAR(31)&amp;$A8&amp;CHAR(31)&amp;D$3)*1,0),0))))&amp;IF(SUMPRODUCT(1*EXACT('Casillas del horario'!$S$4:$S$73,"Profesor de G en 10-4"&amp;CHAR(31)&amp;$A8&amp;CHAR(31)&amp;D$3))&gt;2," (+"&amp;(SUMPRODUCT(1*EXACT('Casillas del horario'!$S$4:$S$73,"Profesor de G en 10-4"&amp;CHAR(31)&amp;$A8&amp;CHAR(31)&amp;D$3))-2)&amp;")",""),IF(ISNA(MATCH(1,INDEX(EXACT('Casillas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/ "&amp;IF(ISBLANK(INDEX('Casillas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10-4"&amp;CHAR(31)&amp;$A8&amp;CHAR(31)&amp;E$3)*1,0),0)))),"",INDEX('Casillas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10-4"&amp;CHAR(31)&amp;$A8&amp;CHAR(31)&amp;E$3)*1,0),0))))&amp;IF(SUMPRODUCT(1*EXACT('Casillas del horario'!$S$4:$S$73,"Profesor de G en 10-4"&amp;CHAR(31)&amp;$A8&amp;CHAR(31)&amp;E$3))&gt;2," (+"&amp;(SUMPRODUCT(1*EXACT('Casillas del horario'!$S$4:$S$73,"Profesor de G en 10-4"&amp;CHAR(31)&amp;$A8&amp;CHAR(31)&amp;E$3))-2)&amp;")",""),IF(ISNA(MATCH(1,INDEX(EXACT('Casillas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/ "&amp;IF(ISBLANK(INDEX('Casillas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10-4"&amp;CHAR(31)&amp;$A8&amp;CHAR(31)&amp;F$3)*1,0),0)))),"",INDEX('Casillas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10-4"&amp;CHAR(31)&amp;$A8&amp;CHAR(31)&amp;F$3)*1,0),0))))&amp;IF(SUMPRODUCT(1*EXACT('Casillas del horario'!$S$4:$S$73,"Profesor de G en 10-4"&amp;CHAR(31)&amp;$A8&amp;CHAR(31)&amp;F$3))&gt;2," (+"&amp;(SUMPRODUCT(1*EXACT('Casillas del horario'!$S$4:$S$73,"Profesor de G en 10-4"&amp;CHAR(31)&amp;$A8&amp;CHAR(31)&amp;F$3))-2)&amp;")",""),IF(ISNA(MATCH(1,INDEX(EXACT('Casillas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/ "&amp;IF(ISBLANK(INDEX('Casillas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10-4"&amp;CHAR(31)&amp;$A9&amp;CHAR(31)&amp;B$3)*1,0),0)))),"",INDEX('Casillas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10-4"&amp;CHAR(31)&amp;$A9&amp;CHAR(31)&amp;B$3)*1,0),0))))&amp;IF(SUMPRODUCT(1*EXACT('Casillas del horario'!$S$4:$S$73,"Profesor de G en 10-4"&amp;CHAR(31)&amp;$A9&amp;CHAR(31)&amp;B$3))&gt;2," (+"&amp;(SUMPRODUCT(1*EXACT('Casillas del horario'!$S$4:$S$73,"Profesor de G en 10-4"&amp;CHAR(31)&amp;$A9&amp;CHAR(31)&amp;B$3))-2)&amp;")",""),IF(ISNA(MATCH(1,INDEX(EXACT('Casillas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/ "&amp;IF(ISBLANK(INDEX('Casillas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10-4"&amp;CHAR(31)&amp;$A9&amp;CHAR(31)&amp;C$3)*1,0),0)))),"",INDEX('Casillas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10-4"&amp;CHAR(31)&amp;$A9&amp;CHAR(31)&amp;C$3)*1,0),0))))&amp;IF(SUMPRODUCT(1*EXACT('Casillas del horario'!$S$4:$S$73,"Profesor de G en 10-4"&amp;CHAR(31)&amp;$A9&amp;CHAR(31)&amp;C$3))&gt;2," (+"&amp;(SUMPRODUCT(1*EXACT('Casillas del horario'!$S$4:$S$73,"Profesor de G en 10-4"&amp;CHAR(31)&amp;$A9&amp;CHAR(31)&amp;C$3))-2)&amp;")",""),IF(ISNA(MATCH(1,INDEX(EXACT('Casillas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/ "&amp;IF(ISBLANK(INDEX('Casillas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10-4"&amp;CHAR(31)&amp;$A9&amp;CHAR(31)&amp;D$3)*1,0),0)))),"",INDEX('Casillas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10-4"&amp;CHAR(31)&amp;$A9&amp;CHAR(31)&amp;D$3)*1,0),0))))&amp;IF(SUMPRODUCT(1*EXACT('Casillas del horario'!$S$4:$S$73,"Profesor de G en 10-4"&amp;CHAR(31)&amp;$A9&amp;CHAR(31)&amp;D$3))&gt;2," (+"&amp;(SUMPRODUCT(1*EXACT('Casillas del horario'!$S$4:$S$73,"Profesor de G en 10-4"&amp;CHAR(31)&amp;$A9&amp;CHAR(31)&amp;D$3))-2)&amp;")",""),IF(ISNA(MATCH(1,INDEX(EXACT('Casillas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/ "&amp;IF(ISBLANK(INDEX('Casillas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10-4"&amp;CHAR(31)&amp;$A9&amp;CHAR(31)&amp;E$3)*1,0),0)))),"",INDEX('Casillas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10-4"&amp;CHAR(31)&amp;$A9&amp;CHAR(31)&amp;E$3)*1,0),0))))&amp;IF(SUMPRODUCT(1*EXACT('Casillas del horario'!$S$4:$S$73,"Profesor de G en 10-4"&amp;CHAR(31)&amp;$A9&amp;CHAR(31)&amp;E$3))&gt;2," (+"&amp;(SUMPRODUCT(1*EXACT('Casillas del horario'!$S$4:$S$73,"Profesor de G en 10-4"&amp;CHAR(31)&amp;$A9&amp;CHAR(31)&amp;E$3))-2)&amp;")",""),IF(ISNA(MATCH(1,INDEX(EXACT('Casillas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/ "&amp;IF(ISBLANK(INDEX('Casillas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10-4"&amp;CHAR(31)&amp;$A9&amp;CHAR(31)&amp;F$3)*1,0),0)))),"",INDEX('Casillas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10-4"&amp;CHAR(31)&amp;$A9&amp;CHAR(31)&amp;F$3)*1,0),0))))&amp;IF(SUMPRODUCT(1*EXACT('Casillas del horario'!$S$4:$S$73,"Profesor de G en 10-4"&amp;CHAR(31)&amp;$A9&amp;CHAR(31)&amp;F$3))&gt;2," (+"&amp;(SUMPRODUCT(1*EXACT('Casillas del horario'!$S$4:$S$73,"Profesor de G en 10-4"&amp;CHAR(31)&amp;$A9&amp;CHAR(31)&amp;F$3))-2)&amp;")",""),IF(ISNA(MATCH(1,INDEX(EXACT('Casillas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/ "&amp;IF(ISBLANK(INDEX('Casillas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10-4"&amp;CHAR(31)&amp;$A10&amp;CHAR(31)&amp;B$3)*1,0),0)))),"",INDEX('Casillas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10-4"&amp;CHAR(31)&amp;$A10&amp;CHAR(31)&amp;B$3)*1,0),0))))&amp;IF(SUMPRODUCT(1*EXACT('Casillas del horario'!$S$4:$S$73,"Profesor de G en 10-4"&amp;CHAR(31)&amp;$A10&amp;CHAR(31)&amp;B$3))&gt;2," (+"&amp;(SUMPRODUCT(1*EXACT('Casillas del horario'!$S$4:$S$73,"Profesor de G en 10-4"&amp;CHAR(31)&amp;$A10&amp;CHAR(31)&amp;B$3))-2)&amp;")",""),IF(ISNA(MATCH(1,INDEX(EXACT('Casillas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/ "&amp;IF(ISBLANK(INDEX('Casillas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10-4"&amp;CHAR(31)&amp;$A10&amp;CHAR(31)&amp;C$3)*1,0),0)))),"",INDEX('Casillas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10-4"&amp;CHAR(31)&amp;$A10&amp;CHAR(31)&amp;C$3)*1,0),0))))&amp;IF(SUMPRODUCT(1*EXACT('Casillas del horario'!$S$4:$S$73,"Profesor de G en 10-4"&amp;CHAR(31)&amp;$A10&amp;CHAR(31)&amp;C$3))&gt;2," (+"&amp;(SUMPRODUCT(1*EXACT('Casillas del horario'!$S$4:$S$73,"Profesor de G en 10-4"&amp;CHAR(31)&amp;$A10&amp;CHAR(31)&amp;C$3))-2)&amp;")",""),IF(ISNA(MATCH(1,INDEX(EXACT('Casillas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/ "&amp;IF(ISBLANK(INDEX('Casillas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10-4"&amp;CHAR(31)&amp;$A10&amp;CHAR(31)&amp;D$3)*1,0),0)))),"",INDEX('Casillas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10-4"&amp;CHAR(31)&amp;$A10&amp;CHAR(31)&amp;D$3)*1,0),0))))&amp;IF(SUMPRODUCT(1*EXACT('Casillas del horario'!$S$4:$S$73,"Profesor de G en 10-4"&amp;CHAR(31)&amp;$A10&amp;CHAR(31)&amp;D$3))&gt;2," (+"&amp;(SUMPRODUCT(1*EXACT('Casillas del horario'!$S$4:$S$73,"Profesor de G en 10-4"&amp;CHAR(31)&amp;$A10&amp;CHAR(31)&amp;D$3))-2)&amp;")",""),IF(ISNA(MATCH(1,INDEX(EXACT('Casillas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/ "&amp;IF(ISBLANK(INDEX('Casillas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10-4"&amp;CHAR(31)&amp;$A10&amp;CHAR(31)&amp;E$3)*1,0),0)))),"",INDEX('Casillas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10-4"&amp;CHAR(31)&amp;$A10&amp;CHAR(31)&amp;E$3)*1,0),0))))&amp;IF(SUMPRODUCT(1*EXACT('Casillas del horario'!$S$4:$S$73,"Profesor de G en 10-4"&amp;CHAR(31)&amp;$A10&amp;CHAR(31)&amp;E$3))&gt;2," (+"&amp;(SUMPRODUCT(1*EXACT('Casillas del horario'!$S$4:$S$73,"Profesor de G en 10-4"&amp;CHAR(31)&amp;$A10&amp;CHAR(31)&amp;E$3))-2)&amp;")",""),IF(ISNA(MATCH(1,INDEX(EXACT('Casillas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/ "&amp;IF(ISBLANK(INDEX('Casillas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10-4"&amp;CHAR(31)&amp;$A10&amp;CHAR(31)&amp;F$3)*1,0),0)))),"",INDEX('Casillas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10-4"&amp;CHAR(31)&amp;$A10&amp;CHAR(31)&amp;F$3)*1,0),0))))&amp;IF(SUMPRODUCT(1*EXACT('Casillas del horario'!$S$4:$S$73,"Profesor de G en 10-4"&amp;CHAR(31)&amp;$A10&amp;CHAR(31)&amp;F$3))&gt;2," (+"&amp;(SUMPRODUCT(1*EXACT('Casillas del horario'!$S$4:$S$73,"Profesor de G en 10-4"&amp;CHAR(31)&amp;$A10&amp;CHAR(31)&amp;F$3))-2)&amp;")",""),IF(ISNA(MATCH(1,INDEX(EXACT('Casillas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/ "&amp;IF(ISBLANK(INDEX('Casillas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10-4"&amp;CHAR(31)&amp;$A4&amp;CHAR(31)&amp;B$3)*1,0),0)))),"",INDEX('Casillas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10-4"&amp;CHAR(31)&amp;$A4&amp;CHAR(31)&amp;B$3)*1,0),0))))&amp;IF(SUMPRODUCT(1*EXACT('Casillas del horario'!$S$4:$S$73,"Profesor de INF en 10-4"&amp;CHAR(31)&amp;$A4&amp;CHAR(31)&amp;B$3))&gt;2," (+"&amp;(SUMPRODUCT(1*EXACT('Casillas del horario'!$S$4:$S$73,"Profesor de INF en 10-4"&amp;CHAR(31)&amp;$A4&amp;CHAR(31)&amp;B$3))-2)&amp;")",""),IF(ISNA(MATCH(1,INDEX(EXACT('Casillas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/ "&amp;IF(ISBLANK(INDEX('Casillas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10-4"&amp;CHAR(31)&amp;$A4&amp;CHAR(31)&amp;C$3)*1,0),0)))),"",INDEX('Casillas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10-4"&amp;CHAR(31)&amp;$A4&amp;CHAR(31)&amp;C$3)*1,0),0))))&amp;IF(SUMPRODUCT(1*EXACT('Casillas del horario'!$S$4:$S$73,"Profesor de INF en 10-4"&amp;CHAR(31)&amp;$A4&amp;CHAR(31)&amp;C$3))&gt;2," (+"&amp;(SUMPRODUCT(1*EXACT('Casillas del horario'!$S$4:$S$73,"Profesor de INF en 10-4"&amp;CHAR(31)&amp;$A4&amp;CHAR(31)&amp;C$3))-2)&amp;")",""),IF(ISNA(MATCH(1,INDEX(EXACT('Casillas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/ "&amp;IF(ISBLANK(INDEX('Casillas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10-4"&amp;CHAR(31)&amp;$A4&amp;CHAR(31)&amp;D$3)*1,0),0)))),"",INDEX('Casillas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10-4"&amp;CHAR(31)&amp;$A4&amp;CHAR(31)&amp;D$3)*1,0),0))))&amp;IF(SUMPRODUCT(1*EXACT('Casillas del horario'!$S$4:$S$73,"Profesor de INF en 10-4"&amp;CHAR(31)&amp;$A4&amp;CHAR(31)&amp;D$3))&gt;2," (+"&amp;(SUMPRODUCT(1*EXACT('Casillas del horario'!$S$4:$S$73,"Profesor de INF en 10-4"&amp;CHAR(31)&amp;$A4&amp;CHAR(31)&amp;D$3))-2)&amp;")",""),IF(ISNA(MATCH(1,INDEX(EXACT('Casillas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/ "&amp;IF(ISBLANK(INDEX('Casillas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10-4"&amp;CHAR(31)&amp;$A4&amp;CHAR(31)&amp;E$3)*1,0),0)))),"",INDEX('Casillas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10-4"&amp;CHAR(31)&amp;$A4&amp;CHAR(31)&amp;E$3)*1,0),0))))&amp;IF(SUMPRODUCT(1*EXACT('Casillas del horario'!$S$4:$S$73,"Profesor de INF en 10-4"&amp;CHAR(31)&amp;$A4&amp;CHAR(31)&amp;E$3))&gt;2," (+"&amp;(SUMPRODUCT(1*EXACT('Casillas del horario'!$S$4:$S$73,"Profesor de INF en 10-4"&amp;CHAR(31)&amp;$A4&amp;CHAR(31)&amp;E$3))-2)&amp;")",""),IF(ISNA(MATCH(1,INDEX(EXACT('Casillas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/ "&amp;IF(ISBLANK(INDEX('Casillas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10-4"&amp;CHAR(31)&amp;$A4&amp;CHAR(31)&amp;F$3)*1,0),0)))),"",INDEX('Casillas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10-4"&amp;CHAR(31)&amp;$A4&amp;CHAR(31)&amp;F$3)*1,0),0))))&amp;IF(SUMPRODUCT(1*EXACT('Casillas del horario'!$S$4:$S$73,"Profesor de INF en 10-4"&amp;CHAR(31)&amp;$A4&amp;CHAR(31)&amp;F$3))&gt;2," (+"&amp;(SUMPRODUCT(1*EXACT('Casillas del horario'!$S$4:$S$73,"Profesor de INF en 10-4"&amp;CHAR(31)&amp;$A4&amp;CHAR(31)&amp;F$3))-2)&amp;")",""),IF(ISNA(MATCH(1,INDEX(EXACT('Casillas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/ "&amp;IF(ISBLANK(INDEX('Casillas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10-4"&amp;CHAR(31)&amp;$A5&amp;CHAR(31)&amp;B$3)*1,0),0)))),"",INDEX('Casillas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10-4"&amp;CHAR(31)&amp;$A5&amp;CHAR(31)&amp;B$3)*1,0),0))))&amp;IF(SUMPRODUCT(1*EXACT('Casillas del horario'!$S$4:$S$73,"Profesor de INF en 10-4"&amp;CHAR(31)&amp;$A5&amp;CHAR(31)&amp;B$3))&gt;2," (+"&amp;(SUMPRODUCT(1*EXACT('Casillas del horario'!$S$4:$S$73,"Profesor de INF en 10-4"&amp;CHAR(31)&amp;$A5&amp;CHAR(31)&amp;B$3))-2)&amp;")",""),IF(ISNA(MATCH(1,INDEX(EXACT('Casillas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/ "&amp;IF(ISBLANK(INDEX('Casillas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10-4"&amp;CHAR(31)&amp;$A5&amp;CHAR(31)&amp;C$3)*1,0),0)))),"",INDEX('Casillas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10-4"&amp;CHAR(31)&amp;$A5&amp;CHAR(31)&amp;C$3)*1,0),0))))&amp;IF(SUMPRODUCT(1*EXACT('Casillas del horario'!$S$4:$S$73,"Profesor de INF en 10-4"&amp;CHAR(31)&amp;$A5&amp;CHAR(31)&amp;C$3))&gt;2," (+"&amp;(SUMPRODUCT(1*EXACT('Casillas del horario'!$S$4:$S$73,"Profesor de INF en 10-4"&amp;CHAR(31)&amp;$A5&amp;CHAR(31)&amp;C$3))-2)&amp;")",""),IF(ISNA(MATCH(1,INDEX(EXACT('Casillas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/ "&amp;IF(ISBLANK(INDEX('Casillas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10-4"&amp;CHAR(31)&amp;$A5&amp;CHAR(31)&amp;D$3)*1,0),0)))),"",INDEX('Casillas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10-4"&amp;CHAR(31)&amp;$A5&amp;CHAR(31)&amp;D$3)*1,0),0))))&amp;IF(SUMPRODUCT(1*EXACT('Casillas del horario'!$S$4:$S$73,"Profesor de INF en 10-4"&amp;CHAR(31)&amp;$A5&amp;CHAR(31)&amp;D$3))&gt;2," (+"&amp;(SUMPRODUCT(1*EXACT('Casillas del horario'!$S$4:$S$73,"Profesor de INF en 10-4"&amp;CHAR(31)&amp;$A5&amp;CHAR(31)&amp;D$3))-2)&amp;")",""),IF(ISNA(MATCH(1,INDEX(EXACT('Casillas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/ "&amp;IF(ISBLANK(INDEX('Casillas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10-4"&amp;CHAR(31)&amp;$A5&amp;CHAR(31)&amp;E$3)*1,0),0)))),"",INDEX('Casillas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10-4"&amp;CHAR(31)&amp;$A5&amp;CHAR(31)&amp;E$3)*1,0),0))))&amp;IF(SUMPRODUCT(1*EXACT('Casillas del horario'!$S$4:$S$73,"Profesor de INF en 10-4"&amp;CHAR(31)&amp;$A5&amp;CHAR(31)&amp;E$3))&gt;2," (+"&amp;(SUMPRODUCT(1*EXACT('Casillas del horario'!$S$4:$S$73,"Profesor de INF en 10-4"&amp;CHAR(31)&amp;$A5&amp;CHAR(31)&amp;E$3))-2)&amp;")",""),IF(ISNA(MATCH(1,INDEX(EXACT('Casillas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/ "&amp;IF(ISBLANK(INDEX('Casillas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10-4"&amp;CHAR(31)&amp;$A5&amp;CHAR(31)&amp;F$3)*1,0),0)))),"",INDEX('Casillas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10-4"&amp;CHAR(31)&amp;$A5&amp;CHAR(31)&amp;F$3)*1,0),0))))&amp;IF(SUMPRODUCT(1*EXACT('Casillas del horario'!$S$4:$S$73,"Profesor de INF en 10-4"&amp;CHAR(31)&amp;$A5&amp;CHAR(31)&amp;F$3))&gt;2," (+"&amp;(SUMPRODUCT(1*EXACT('Casillas del horario'!$S$4:$S$73,"Profesor de INF en 10-4"&amp;CHAR(31)&amp;$A5&amp;CHAR(31)&amp;F$3))-2)&amp;")",""),IF(ISNA(MATCH(1,INDEX(EXACT('Casillas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/ "&amp;IF(ISBLANK(INDEX('Casillas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10-4"&amp;CHAR(31)&amp;$A6&amp;CHAR(31)&amp;B$3)*1,0),0)))),"",INDEX('Casillas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10-4"&amp;CHAR(31)&amp;$A6&amp;CHAR(31)&amp;B$3)*1,0),0))))&amp;IF(SUMPRODUCT(1*EXACT('Casillas del horario'!$S$4:$S$73,"Profesor de INF en 10-4"&amp;CHAR(31)&amp;$A6&amp;CHAR(31)&amp;B$3))&gt;2," (+"&amp;(SUMPRODUCT(1*EXACT('Casillas del horario'!$S$4:$S$73,"Profesor de INF en 10-4"&amp;CHAR(31)&amp;$A6&amp;CHAR(31)&amp;B$3))-2)&amp;")",""),IF(ISNA(MATCH(1,INDEX(EXACT('Casillas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/ "&amp;IF(ISBLANK(INDEX('Casillas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10-4"&amp;CHAR(31)&amp;$A6&amp;CHAR(31)&amp;C$3)*1,0),0)))),"",INDEX('Casillas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10-4"&amp;CHAR(31)&amp;$A6&amp;CHAR(31)&amp;C$3)*1,0),0))))&amp;IF(SUMPRODUCT(1*EXACT('Casillas del horario'!$S$4:$S$73,"Profesor de INF en 10-4"&amp;CHAR(31)&amp;$A6&amp;CHAR(31)&amp;C$3))&gt;2," (+"&amp;(SUMPRODUCT(1*EXACT('Casillas del horario'!$S$4:$S$73,"Profesor de INF en 10-4"&amp;CHAR(31)&amp;$A6&amp;CHAR(31)&amp;C$3))-2)&amp;")",""),IF(ISNA(MATCH(1,INDEX(EXACT('Casillas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/ "&amp;IF(ISBLANK(INDEX('Casillas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10-4"&amp;CHAR(31)&amp;$A6&amp;CHAR(31)&amp;D$3)*1,0),0)))),"",INDEX('Casillas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10-4"&amp;CHAR(31)&amp;$A6&amp;CHAR(31)&amp;D$3)*1,0),0))))&amp;IF(SUMPRODUCT(1*EXACT('Casillas del horario'!$S$4:$S$73,"Profesor de INF en 10-4"&amp;CHAR(31)&amp;$A6&amp;CHAR(31)&amp;D$3))&gt;2," (+"&amp;(SUMPRODUCT(1*EXACT('Casillas del horario'!$S$4:$S$73,"Profesor de INF en 10-4"&amp;CHAR(31)&amp;$A6&amp;CHAR(31)&amp;D$3))-2)&amp;")",""),IF(ISNA(MATCH(1,INDEX(EXACT('Casillas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/ "&amp;IF(ISBLANK(INDEX('Casillas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10-4"&amp;CHAR(31)&amp;$A6&amp;CHAR(31)&amp;E$3)*1,0),0)))),"",INDEX('Casillas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10-4"&amp;CHAR(31)&amp;$A6&amp;CHAR(31)&amp;E$3)*1,0),0))))&amp;IF(SUMPRODUCT(1*EXACT('Casillas del horario'!$S$4:$S$73,"Profesor de INF en 10-4"&amp;CHAR(31)&amp;$A6&amp;CHAR(31)&amp;E$3))&gt;2," (+"&amp;(SUMPRODUCT(1*EXACT('Casillas del horario'!$S$4:$S$73,"Profesor de INF en 10-4"&amp;CHAR(31)&amp;$A6&amp;CHAR(31)&amp;E$3))-2)&amp;")",""),IF(ISNA(MATCH(1,INDEX(EXACT('Casillas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/ "&amp;IF(ISBLANK(INDEX('Casillas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10-4"&amp;CHAR(31)&amp;$A6&amp;CHAR(31)&amp;F$3)*1,0),0)))),"",INDEX('Casillas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10-4"&amp;CHAR(31)&amp;$A6&amp;CHAR(31)&amp;F$3)*1,0),0))))&amp;IF(SUMPRODUCT(1*EXACT('Casillas del horario'!$S$4:$S$73,"Profesor de INF en 10-4"&amp;CHAR(31)&amp;$A6&amp;CHAR(31)&amp;F$3))&gt;2," (+"&amp;(SUMPRODUCT(1*EXACT('Casillas del horario'!$S$4:$S$73,"Profesor de INF en 10-4"&amp;CHAR(31)&amp;$A6&amp;CHAR(31)&amp;F$3))-2)&amp;")",""),IF(ISNA(MATCH(1,INDEX(EXACT('Casillas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/ "&amp;IF(ISBLANK(INDEX('Casillas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10-4"&amp;CHAR(31)&amp;$A7&amp;CHAR(31)&amp;B$3)*1,0),0)))),"",INDEX('Casillas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10-4"&amp;CHAR(31)&amp;$A7&amp;CHAR(31)&amp;B$3)*1,0),0))))&amp;IF(SUMPRODUCT(1*EXACT('Casillas del horario'!$S$4:$S$73,"Profesor de INF en 10-4"&amp;CHAR(31)&amp;$A7&amp;CHAR(31)&amp;B$3))&gt;2," (+"&amp;(SUMPRODUCT(1*EXACT('Casillas del horario'!$S$4:$S$73,"Profesor de INF en 10-4"&amp;CHAR(31)&amp;$A7&amp;CHAR(31)&amp;B$3))-2)&amp;")",""),IF(ISNA(MATCH(1,INDEX(EXACT('Casillas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/ "&amp;IF(ISBLANK(INDEX('Casillas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10-4"&amp;CHAR(31)&amp;$A7&amp;CHAR(31)&amp;C$3)*1,0),0)))),"",INDEX('Casillas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10-4"&amp;CHAR(31)&amp;$A7&amp;CHAR(31)&amp;C$3)*1,0),0))))&amp;IF(SUMPRODUCT(1*EXACT('Casillas del horario'!$S$4:$S$73,"Profesor de INF en 10-4"&amp;CHAR(31)&amp;$A7&amp;CHAR(31)&amp;C$3))&gt;2," (+"&amp;(SUMPRODUCT(1*EXACT('Casillas del horario'!$S$4:$S$73,"Profesor de INF en 10-4"&amp;CHAR(31)&amp;$A7&amp;CHAR(31)&amp;C$3))-2)&amp;")",""),IF(ISNA(MATCH(1,INDEX(EXACT('Casillas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/ "&amp;IF(ISBLANK(INDEX('Casillas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10-4"&amp;CHAR(31)&amp;$A7&amp;CHAR(31)&amp;D$3)*1,0),0)))),"",INDEX('Casillas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10-4"&amp;CHAR(31)&amp;$A7&amp;CHAR(31)&amp;D$3)*1,0),0))))&amp;IF(SUMPRODUCT(1*EXACT('Casillas del horario'!$S$4:$S$73,"Profesor de INF en 10-4"&amp;CHAR(31)&amp;$A7&amp;CHAR(31)&amp;D$3))&gt;2," (+"&amp;(SUMPRODUCT(1*EXACT('Casillas del horario'!$S$4:$S$73,"Profesor de INF en 10-4"&amp;CHAR(31)&amp;$A7&amp;CHAR(31)&amp;D$3))-2)&amp;")",""),IF(ISNA(MATCH(1,INDEX(EXACT('Casillas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/ "&amp;IF(ISBLANK(INDEX('Casillas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10-4"&amp;CHAR(31)&amp;$A7&amp;CHAR(31)&amp;E$3)*1,0),0)))),"",INDEX('Casillas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10-4"&amp;CHAR(31)&amp;$A7&amp;CHAR(31)&amp;E$3)*1,0),0))))&amp;IF(SUMPRODUCT(1*EXACT('Casillas del horario'!$S$4:$S$73,"Profesor de INF en 10-4"&amp;CHAR(31)&amp;$A7&amp;CHAR(31)&amp;E$3))&gt;2," (+"&amp;(SUMPRODUCT(1*EXACT('Casillas del horario'!$S$4:$S$73,"Profesor de INF en 10-4"&amp;CHAR(31)&amp;$A7&amp;CHAR(31)&amp;E$3))-2)&amp;")",""),IF(ISNA(MATCH(1,INDEX(EXACT('Casillas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/ "&amp;IF(ISBLANK(INDEX('Casillas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10-4"&amp;CHAR(31)&amp;$A7&amp;CHAR(31)&amp;F$3)*1,0),0)))),"",INDEX('Casillas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10-4"&amp;CHAR(31)&amp;$A7&amp;CHAR(31)&amp;F$3)*1,0),0))))&amp;IF(SUMPRODUCT(1*EXACT('Casillas del horario'!$S$4:$S$73,"Profesor de INF en 10-4"&amp;CHAR(31)&amp;$A7&amp;CHAR(31)&amp;F$3))&gt;2," (+"&amp;(SUMPRODUCT(1*EXACT('Casillas del horario'!$S$4:$S$73,"Profesor de INF en 10-4"&amp;CHAR(31)&amp;$A7&amp;CHAR(31)&amp;F$3))-2)&amp;")",""),IF(ISNA(MATCH(1,INDEX(EXACT('Casillas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/ "&amp;IF(ISBLANK(INDEX('Casillas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10-4"&amp;CHAR(31)&amp;$A8&amp;CHAR(31)&amp;B$3)*1,0),0)))),"",INDEX('Casillas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10-4"&amp;CHAR(31)&amp;$A8&amp;CHAR(31)&amp;B$3)*1,0),0))))&amp;IF(SUMPRODUCT(1*EXACT('Casillas del horario'!$S$4:$S$73,"Profesor de INF en 10-4"&amp;CHAR(31)&amp;$A8&amp;CHAR(31)&amp;B$3))&gt;2," (+"&amp;(SUMPRODUCT(1*EXACT('Casillas del horario'!$S$4:$S$73,"Profesor de INF en 10-4"&amp;CHAR(31)&amp;$A8&amp;CHAR(31)&amp;B$3))-2)&amp;")",""),IF(ISNA(MATCH(1,INDEX(EXACT('Casillas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/ "&amp;IF(ISBLANK(INDEX('Casillas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10-4"&amp;CHAR(31)&amp;$A8&amp;CHAR(31)&amp;C$3)*1,0),0)))),"",INDEX('Casillas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10-4"&amp;CHAR(31)&amp;$A8&amp;CHAR(31)&amp;C$3)*1,0),0))))&amp;IF(SUMPRODUCT(1*EXACT('Casillas del horario'!$S$4:$S$73,"Profesor de INF en 10-4"&amp;CHAR(31)&amp;$A8&amp;CHAR(31)&amp;C$3))&gt;2," (+"&amp;(SUMPRODUCT(1*EXACT('Casillas del horario'!$S$4:$S$73,"Profesor de INF en 10-4"&amp;CHAR(31)&amp;$A8&amp;CHAR(31)&amp;C$3))-2)&amp;")",""),IF(ISNA(MATCH(1,INDEX(EXACT('Casillas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/ "&amp;IF(ISBLANK(INDEX('Casillas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10-4"&amp;CHAR(31)&amp;$A8&amp;CHAR(31)&amp;D$3)*1,0),0)))),"",INDEX('Casillas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10-4"&amp;CHAR(31)&amp;$A8&amp;CHAR(31)&amp;D$3)*1,0),0))))&amp;IF(SUMPRODUCT(1*EXACT('Casillas del horario'!$S$4:$S$73,"Profesor de INF en 10-4"&amp;CHAR(31)&amp;$A8&amp;CHAR(31)&amp;D$3))&gt;2," (+"&amp;(SUMPRODUCT(1*EXACT('Casillas del horario'!$S$4:$S$73,"Profesor de INF en 10-4"&amp;CHAR(31)&amp;$A8&amp;CHAR(31)&amp;D$3))-2)&amp;")",""),IF(ISNA(MATCH(1,INDEX(EXACT('Casillas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/ "&amp;IF(ISBLANK(INDEX('Casillas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10-4"&amp;CHAR(31)&amp;$A8&amp;CHAR(31)&amp;E$3)*1,0),0)))),"",INDEX('Casillas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10-4"&amp;CHAR(31)&amp;$A8&amp;CHAR(31)&amp;E$3)*1,0),0))))&amp;IF(SUMPRODUCT(1*EXACT('Casillas del horario'!$S$4:$S$73,"Profesor de INF en 10-4"&amp;CHAR(31)&amp;$A8&amp;CHAR(31)&amp;E$3))&gt;2," (+"&amp;(SUMPRODUCT(1*EXACT('Casillas del horario'!$S$4:$S$73,"Profesor de INF en 10-4"&amp;CHAR(31)&amp;$A8&amp;CHAR(31)&amp;E$3))-2)&amp;")",""),IF(ISNA(MATCH(1,INDEX(EXACT('Casillas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/ "&amp;IF(ISBLANK(INDEX('Casillas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10-4"&amp;CHAR(31)&amp;$A8&amp;CHAR(31)&amp;F$3)*1,0),0)))),"",INDEX('Casillas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10-4"&amp;CHAR(31)&amp;$A8&amp;CHAR(31)&amp;F$3)*1,0),0))))&amp;IF(SUMPRODUCT(1*EXACT('Casillas del horario'!$S$4:$S$73,"Profesor de INF en 10-4"&amp;CHAR(31)&amp;$A8&amp;CHAR(31)&amp;F$3))&gt;2," (+"&amp;(SUMPRODUCT(1*EXACT('Casillas del horario'!$S$4:$S$73,"Profesor de INF en 10-4"&amp;CHAR(31)&amp;$A8&amp;CHAR(31)&amp;F$3))-2)&amp;")",""),IF(ISNA(MATCH(1,INDEX(EXACT('Casillas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/ "&amp;IF(ISBLANK(INDEX('Casillas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10-4"&amp;CHAR(31)&amp;$A9&amp;CHAR(31)&amp;B$3)*1,0),0)))),"",INDEX('Casillas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10-4"&amp;CHAR(31)&amp;$A9&amp;CHAR(31)&amp;B$3)*1,0),0))))&amp;IF(SUMPRODUCT(1*EXACT('Casillas del horario'!$S$4:$S$73,"Profesor de INF en 10-4"&amp;CHAR(31)&amp;$A9&amp;CHAR(31)&amp;B$3))&gt;2," (+"&amp;(SUMPRODUCT(1*EXACT('Casillas del horario'!$S$4:$S$73,"Profesor de INF en 10-4"&amp;CHAR(31)&amp;$A9&amp;CHAR(31)&amp;B$3))-2)&amp;")",""),IF(ISNA(MATCH(1,INDEX(EXACT('Casillas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/ "&amp;IF(ISBLANK(INDEX('Casillas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10-4"&amp;CHAR(31)&amp;$A9&amp;CHAR(31)&amp;C$3)*1,0),0)))),"",INDEX('Casillas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10-4"&amp;CHAR(31)&amp;$A9&amp;CHAR(31)&amp;C$3)*1,0),0))))&amp;IF(SUMPRODUCT(1*EXACT('Casillas del horario'!$S$4:$S$73,"Profesor de INF en 10-4"&amp;CHAR(31)&amp;$A9&amp;CHAR(31)&amp;C$3))&gt;2," (+"&amp;(SUMPRODUCT(1*EXACT('Casillas del horario'!$S$4:$S$73,"Profesor de INF en 10-4"&amp;CHAR(31)&amp;$A9&amp;CHAR(31)&amp;C$3))-2)&amp;")",""),IF(ISNA(MATCH(1,INDEX(EXACT('Casillas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/ "&amp;IF(ISBLANK(INDEX('Casillas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10-4"&amp;CHAR(31)&amp;$A9&amp;CHAR(31)&amp;D$3)*1,0),0)))),"",INDEX('Casillas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10-4"&amp;CHAR(31)&amp;$A9&amp;CHAR(31)&amp;D$3)*1,0),0))))&amp;IF(SUMPRODUCT(1*EXACT('Casillas del horario'!$S$4:$S$73,"Profesor de INF en 10-4"&amp;CHAR(31)&amp;$A9&amp;CHAR(31)&amp;D$3))&gt;2," (+"&amp;(SUMPRODUCT(1*EXACT('Casillas del horario'!$S$4:$S$73,"Profesor de INF en 10-4"&amp;CHAR(31)&amp;$A9&amp;CHAR(31)&amp;D$3))-2)&amp;")",""),IF(ISNA(MATCH(1,INDEX(EXACT('Casillas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/ "&amp;IF(ISBLANK(INDEX('Casillas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10-4"&amp;CHAR(31)&amp;$A9&amp;CHAR(31)&amp;E$3)*1,0),0)))),"",INDEX('Casillas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10-4"&amp;CHAR(31)&amp;$A9&amp;CHAR(31)&amp;E$3)*1,0),0))))&amp;IF(SUMPRODUCT(1*EXACT('Casillas del horario'!$S$4:$S$73,"Profesor de INF en 10-4"&amp;CHAR(31)&amp;$A9&amp;CHAR(31)&amp;E$3))&gt;2," (+"&amp;(SUMPRODUCT(1*EXACT('Casillas del horario'!$S$4:$S$73,"Profesor de INF en 10-4"&amp;CHAR(31)&amp;$A9&amp;CHAR(31)&amp;E$3))-2)&amp;")",""),IF(ISNA(MATCH(1,INDEX(EXACT('Casillas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/ "&amp;IF(ISBLANK(INDEX('Casillas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10-4"&amp;CHAR(31)&amp;$A9&amp;CHAR(31)&amp;F$3)*1,0),0)))),"",INDEX('Casillas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10-4"&amp;CHAR(31)&amp;$A9&amp;CHAR(31)&amp;F$3)*1,0),0))))&amp;IF(SUMPRODUCT(1*EXACT('Casillas del horario'!$S$4:$S$73,"Profesor de INF en 10-4"&amp;CHAR(31)&amp;$A9&amp;CHAR(31)&amp;F$3))&gt;2," (+"&amp;(SUMPRODUCT(1*EXACT('Casillas del horario'!$S$4:$S$73,"Profesor de INF en 10-4"&amp;CHAR(31)&amp;$A9&amp;CHAR(31)&amp;F$3))-2)&amp;")",""),IF(ISNA(MATCH(1,INDEX(EXACT('Casillas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/ "&amp;IF(ISBLANK(INDEX('Casillas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10-4"&amp;CHAR(31)&amp;$A10&amp;CHAR(31)&amp;B$3)*1,0),0)))),"",INDEX('Casillas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10-4"&amp;CHAR(31)&amp;$A10&amp;CHAR(31)&amp;B$3)*1,0),0))))&amp;IF(SUMPRODUCT(1*EXACT('Casillas del horario'!$S$4:$S$73,"Profesor de INF en 10-4"&amp;CHAR(31)&amp;$A10&amp;CHAR(31)&amp;B$3))&gt;2," (+"&amp;(SUMPRODUCT(1*EXACT('Casillas del horario'!$S$4:$S$73,"Profesor de INF en 10-4"&amp;CHAR(31)&amp;$A10&amp;CHAR(31)&amp;B$3))-2)&amp;")",""),IF(ISNA(MATCH(1,INDEX(EXACT('Casillas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/ "&amp;IF(ISBLANK(INDEX('Casillas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10-4"&amp;CHAR(31)&amp;$A10&amp;CHAR(31)&amp;C$3)*1,0),0)))),"",INDEX('Casillas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10-4"&amp;CHAR(31)&amp;$A10&amp;CHAR(31)&amp;C$3)*1,0),0))))&amp;IF(SUMPRODUCT(1*EXACT('Casillas del horario'!$S$4:$S$73,"Profesor de INF en 10-4"&amp;CHAR(31)&amp;$A10&amp;CHAR(31)&amp;C$3))&gt;2," (+"&amp;(SUMPRODUCT(1*EXACT('Casillas del horario'!$S$4:$S$73,"Profesor de INF en 10-4"&amp;CHAR(31)&amp;$A10&amp;CHAR(31)&amp;C$3))-2)&amp;")",""),IF(ISNA(MATCH(1,INDEX(EXACT('Casillas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/ "&amp;IF(ISBLANK(INDEX('Casillas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10-4"&amp;CHAR(31)&amp;$A10&amp;CHAR(31)&amp;D$3)*1,0),0)))),"",INDEX('Casillas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10-4"&amp;CHAR(31)&amp;$A10&amp;CHAR(31)&amp;D$3)*1,0),0))))&amp;IF(SUMPRODUCT(1*EXACT('Casillas del horario'!$S$4:$S$73,"Profesor de INF en 10-4"&amp;CHAR(31)&amp;$A10&amp;CHAR(31)&amp;D$3))&gt;2," (+"&amp;(SUMPRODUCT(1*EXACT('Casillas del horario'!$S$4:$S$73,"Profesor de INF en 10-4"&amp;CHAR(31)&amp;$A10&amp;CHAR(31)&amp;D$3))-2)&amp;")",""),IF(ISNA(MATCH(1,INDEX(EXACT('Casillas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/ "&amp;IF(ISBLANK(INDEX('Casillas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10-4"&amp;CHAR(31)&amp;$A10&amp;CHAR(31)&amp;E$3)*1,0),0)))),"",INDEX('Casillas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10-4"&amp;CHAR(31)&amp;$A10&amp;CHAR(31)&amp;E$3)*1,0),0))))&amp;IF(SUMPRODUCT(1*EXACT('Casillas del horario'!$S$4:$S$73,"Profesor de INF en 10-4"&amp;CHAR(31)&amp;$A10&amp;CHAR(31)&amp;E$3))&gt;2," (+"&amp;(SUMPRODUCT(1*EXACT('Casillas del horario'!$S$4:$S$73,"Profesor de INF en 10-4"&amp;CHAR(31)&amp;$A10&amp;CHAR(31)&amp;E$3))-2)&amp;")",""),IF(ISNA(MATCH(1,INDEX(EXACT('Casillas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/ "&amp;IF(ISBLANK(INDEX('Casillas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10-4"&amp;CHAR(31)&amp;$A10&amp;CHAR(31)&amp;F$3)*1,0),0)))),"",INDEX('Casillas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10-4"&amp;CHAR(31)&amp;$A10&amp;CHAR(31)&amp;F$3)*1,0),0))))&amp;IF(SUMPRODUCT(1*EXACT('Casillas del horario'!$S$4:$S$73,"Profesor de INF en 10-4"&amp;CHAR(31)&amp;$A10&amp;CHAR(31)&amp;F$3))&gt;2," (+"&amp;(SUMPRODUCT(1*EXACT('Casillas del horario'!$S$4:$S$73,"Profesor de INF en 10-4"&amp;CHAR(31)&amp;$A10&amp;CHAR(31)&amp;F$3))-2)&amp;")",""),IF(ISNA(MATCH(1,INDEX(EXACT('Casillas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/ "&amp;IF(ISBLANK(INDEX('Casillas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10-4"&amp;CHAR(31)&amp;$A4&amp;CHAR(31)&amp;B$3)*1,0),0)))),"",INDEX('Casillas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10-4"&amp;CHAR(31)&amp;$A4&amp;CHAR(31)&amp;B$3)*1,0),0))))&amp;IF(SUMPRODUCT(1*EXACT('Casillas del horario'!$S$4:$S$73,"Profesor de Q en 10-4"&amp;CHAR(31)&amp;$A4&amp;CHAR(31)&amp;B$3))&gt;2," (+"&amp;(SUMPRODUCT(1*EXACT('Casillas del horario'!$S$4:$S$73,"Profesor de Q en 10-4"&amp;CHAR(31)&amp;$A4&amp;CHAR(31)&amp;B$3))-2)&amp;")",""),IF(ISNA(MATCH(1,INDEX(EXACT('Casillas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/ "&amp;IF(ISBLANK(INDEX('Casillas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10-4"&amp;CHAR(31)&amp;$A4&amp;CHAR(31)&amp;C$3)*1,0),0)))),"",INDEX('Casillas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10-4"&amp;CHAR(31)&amp;$A4&amp;CHAR(31)&amp;C$3)*1,0),0))))&amp;IF(SUMPRODUCT(1*EXACT('Casillas del horario'!$S$4:$S$73,"Profesor de Q en 10-4"&amp;CHAR(31)&amp;$A4&amp;CHAR(31)&amp;C$3))&gt;2," (+"&amp;(SUMPRODUCT(1*EXACT('Casillas del horario'!$S$4:$S$73,"Profesor de Q en 10-4"&amp;CHAR(31)&amp;$A4&amp;CHAR(31)&amp;C$3))-2)&amp;")",""),IF(ISNA(MATCH(1,INDEX(EXACT('Casillas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/ "&amp;IF(ISBLANK(INDEX('Casillas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10-4"&amp;CHAR(31)&amp;$A4&amp;CHAR(31)&amp;D$3)*1,0),0)))),"",INDEX('Casillas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10-4"&amp;CHAR(31)&amp;$A4&amp;CHAR(31)&amp;D$3)*1,0),0))))&amp;IF(SUMPRODUCT(1*EXACT('Casillas del horario'!$S$4:$S$73,"Profesor de Q en 10-4"&amp;CHAR(31)&amp;$A4&amp;CHAR(31)&amp;D$3))&gt;2," (+"&amp;(SUMPRODUCT(1*EXACT('Casillas del horario'!$S$4:$S$73,"Profesor de Q en 10-4"&amp;CHAR(31)&amp;$A4&amp;CHAR(31)&amp;D$3))-2)&amp;")",""),IF(ISNA(MATCH(1,INDEX(EXACT('Casillas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/ "&amp;IF(ISBLANK(INDEX('Casillas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10-4"&amp;CHAR(31)&amp;$A4&amp;CHAR(31)&amp;E$3)*1,0),0)))),"",INDEX('Casillas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10-4"&amp;CHAR(31)&amp;$A4&amp;CHAR(31)&amp;E$3)*1,0),0))))&amp;IF(SUMPRODUCT(1*EXACT('Casillas del horario'!$S$4:$S$73,"Profesor de Q en 10-4"&amp;CHAR(31)&amp;$A4&amp;CHAR(31)&amp;E$3))&gt;2," (+"&amp;(SUMPRODUCT(1*EXACT('Casillas del horario'!$S$4:$S$73,"Profesor de Q en 10-4"&amp;CHAR(31)&amp;$A4&amp;CHAR(31)&amp;E$3))-2)&amp;")",""),IF(ISNA(MATCH(1,INDEX(EXACT('Casillas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/ "&amp;IF(ISBLANK(INDEX('Casillas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10-4"&amp;CHAR(31)&amp;$A4&amp;CHAR(31)&amp;F$3)*1,0),0)))),"",INDEX('Casillas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10-4"&amp;CHAR(31)&amp;$A4&amp;CHAR(31)&amp;F$3)*1,0),0))))&amp;IF(SUMPRODUCT(1*EXACT('Casillas del horario'!$S$4:$S$73,"Profesor de Q en 10-4"&amp;CHAR(31)&amp;$A4&amp;CHAR(31)&amp;F$3))&gt;2," (+"&amp;(SUMPRODUCT(1*EXACT('Casillas del horario'!$S$4:$S$73,"Profesor de Q en 10-4"&amp;CHAR(31)&amp;$A4&amp;CHAR(31)&amp;F$3))-2)&amp;")",""),IF(ISNA(MATCH(1,INDEX(EXACT('Casillas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/ "&amp;IF(ISBLANK(INDEX('Casillas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10-4"&amp;CHAR(31)&amp;$A5&amp;CHAR(31)&amp;B$3)*1,0),0)))),"",INDEX('Casillas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10-4"&amp;CHAR(31)&amp;$A5&amp;CHAR(31)&amp;B$3)*1,0),0))))&amp;IF(SUMPRODUCT(1*EXACT('Casillas del horario'!$S$4:$S$73,"Profesor de Q en 10-4"&amp;CHAR(31)&amp;$A5&amp;CHAR(31)&amp;B$3))&gt;2," (+"&amp;(SUMPRODUCT(1*EXACT('Casillas del horario'!$S$4:$S$73,"Profesor de Q en 10-4"&amp;CHAR(31)&amp;$A5&amp;CHAR(31)&amp;B$3))-2)&amp;")",""),IF(ISNA(MATCH(1,INDEX(EXACT('Casillas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/ "&amp;IF(ISBLANK(INDEX('Casillas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10-4"&amp;CHAR(31)&amp;$A5&amp;CHAR(31)&amp;C$3)*1,0),0)))),"",INDEX('Casillas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10-4"&amp;CHAR(31)&amp;$A5&amp;CHAR(31)&amp;C$3)*1,0),0))))&amp;IF(SUMPRODUCT(1*EXACT('Casillas del horario'!$S$4:$S$73,"Profesor de Q en 10-4"&amp;CHAR(31)&amp;$A5&amp;CHAR(31)&amp;C$3))&gt;2," (+"&amp;(SUMPRODUCT(1*EXACT('Casillas del horario'!$S$4:$S$73,"Profesor de Q en 10-4"&amp;CHAR(31)&amp;$A5&amp;CHAR(31)&amp;C$3))-2)&amp;")",""),IF(ISNA(MATCH(1,INDEX(EXACT('Casillas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/ "&amp;IF(ISBLANK(INDEX('Casillas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10-4"&amp;CHAR(31)&amp;$A5&amp;CHAR(31)&amp;D$3)*1,0),0)))),"",INDEX('Casillas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10-4"&amp;CHAR(31)&amp;$A5&amp;CHAR(31)&amp;D$3)*1,0),0))))&amp;IF(SUMPRODUCT(1*EXACT('Casillas del horario'!$S$4:$S$73,"Profesor de Q en 10-4"&amp;CHAR(31)&amp;$A5&amp;CHAR(31)&amp;D$3))&gt;2," (+"&amp;(SUMPRODUCT(1*EXACT('Casillas del horario'!$S$4:$S$73,"Profesor de Q en 10-4"&amp;CHAR(31)&amp;$A5&amp;CHAR(31)&amp;D$3))-2)&amp;")",""),IF(ISNA(MATCH(1,INDEX(EXACT('Casillas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/ "&amp;IF(ISBLANK(INDEX('Casillas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10-4"&amp;CHAR(31)&amp;$A5&amp;CHAR(31)&amp;E$3)*1,0),0)))),"",INDEX('Casillas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10-4"&amp;CHAR(31)&amp;$A5&amp;CHAR(31)&amp;E$3)*1,0),0))))&amp;IF(SUMPRODUCT(1*EXACT('Casillas del horario'!$S$4:$S$73,"Profesor de Q en 10-4"&amp;CHAR(31)&amp;$A5&amp;CHAR(31)&amp;E$3))&gt;2," (+"&amp;(SUMPRODUCT(1*EXACT('Casillas del horario'!$S$4:$S$73,"Profesor de Q en 10-4"&amp;CHAR(31)&amp;$A5&amp;CHAR(31)&amp;E$3))-2)&amp;")",""),IF(ISNA(MATCH(1,INDEX(EXACT('Casillas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/ "&amp;IF(ISBLANK(INDEX('Casillas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10-4"&amp;CHAR(31)&amp;$A5&amp;CHAR(31)&amp;F$3)*1,0),0)))),"",INDEX('Casillas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10-4"&amp;CHAR(31)&amp;$A5&amp;CHAR(31)&amp;F$3)*1,0),0))))&amp;IF(SUMPRODUCT(1*EXACT('Casillas del horario'!$S$4:$S$73,"Profesor de Q en 10-4"&amp;CHAR(31)&amp;$A5&amp;CHAR(31)&amp;F$3))&gt;2," (+"&amp;(SUMPRODUCT(1*EXACT('Casillas del horario'!$S$4:$S$73,"Profesor de Q en 10-4"&amp;CHAR(31)&amp;$A5&amp;CHAR(31)&amp;F$3))-2)&amp;")",""),IF(ISNA(MATCH(1,INDEX(EXACT('Casillas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/ "&amp;IF(ISBLANK(INDEX('Casillas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10-4"&amp;CHAR(31)&amp;$A6&amp;CHAR(31)&amp;B$3)*1,0),0)))),"",INDEX('Casillas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10-4"&amp;CHAR(31)&amp;$A6&amp;CHAR(31)&amp;B$3)*1,0),0))))&amp;IF(SUMPRODUCT(1*EXACT('Casillas del horario'!$S$4:$S$73,"Profesor de Q en 10-4"&amp;CHAR(31)&amp;$A6&amp;CHAR(31)&amp;B$3))&gt;2," (+"&amp;(SUMPRODUCT(1*EXACT('Casillas del horario'!$S$4:$S$73,"Profesor de Q en 10-4"&amp;CHAR(31)&amp;$A6&amp;CHAR(31)&amp;B$3))-2)&amp;")",""),IF(ISNA(MATCH(1,INDEX(EXACT('Casillas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/ "&amp;IF(ISBLANK(INDEX('Casillas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10-4"&amp;CHAR(31)&amp;$A6&amp;CHAR(31)&amp;C$3)*1,0),0)))),"",INDEX('Casillas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10-4"&amp;CHAR(31)&amp;$A6&amp;CHAR(31)&amp;C$3)*1,0),0))))&amp;IF(SUMPRODUCT(1*EXACT('Casillas del horario'!$S$4:$S$73,"Profesor de Q en 10-4"&amp;CHAR(31)&amp;$A6&amp;CHAR(31)&amp;C$3))&gt;2," (+"&amp;(SUMPRODUCT(1*EXACT('Casillas del horario'!$S$4:$S$73,"Profesor de Q en 10-4"&amp;CHAR(31)&amp;$A6&amp;CHAR(31)&amp;C$3))-2)&amp;")",""),IF(ISNA(MATCH(1,INDEX(EXACT('Casillas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/ "&amp;IF(ISBLANK(INDEX('Casillas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10-4"&amp;CHAR(31)&amp;$A6&amp;CHAR(31)&amp;D$3)*1,0),0)))),"",INDEX('Casillas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10-4"&amp;CHAR(31)&amp;$A6&amp;CHAR(31)&amp;D$3)*1,0),0))))&amp;IF(SUMPRODUCT(1*EXACT('Casillas del horario'!$S$4:$S$73,"Profesor de Q en 10-4"&amp;CHAR(31)&amp;$A6&amp;CHAR(31)&amp;D$3))&gt;2," (+"&amp;(SUMPRODUCT(1*EXACT('Casillas del horario'!$S$4:$S$73,"Profesor de Q en 10-4"&amp;CHAR(31)&amp;$A6&amp;CHAR(31)&amp;D$3))-2)&amp;")",""),IF(ISNA(MATCH(1,INDEX(EXACT('Casillas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/ "&amp;IF(ISBLANK(INDEX('Casillas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10-4"&amp;CHAR(31)&amp;$A6&amp;CHAR(31)&amp;E$3)*1,0),0)))),"",INDEX('Casillas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10-4"&amp;CHAR(31)&amp;$A6&amp;CHAR(31)&amp;E$3)*1,0),0))))&amp;IF(SUMPRODUCT(1*EXACT('Casillas del horario'!$S$4:$S$73,"Profesor de Q en 10-4"&amp;CHAR(31)&amp;$A6&amp;CHAR(31)&amp;E$3))&gt;2," (+"&amp;(SUMPRODUCT(1*EXACT('Casillas del horario'!$S$4:$S$73,"Profesor de Q en 10-4"&amp;CHAR(31)&amp;$A6&amp;CHAR(31)&amp;E$3))-2)&amp;")",""),IF(ISNA(MATCH(1,INDEX(EXACT('Casillas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/ "&amp;IF(ISBLANK(INDEX('Casillas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10-4"&amp;CHAR(31)&amp;$A6&amp;CHAR(31)&amp;F$3)*1,0),0)))),"",INDEX('Casillas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10-4"&amp;CHAR(31)&amp;$A6&amp;CHAR(31)&amp;F$3)*1,0),0))))&amp;IF(SUMPRODUCT(1*EXACT('Casillas del horario'!$S$4:$S$73,"Profesor de Q en 10-4"&amp;CHAR(31)&amp;$A6&amp;CHAR(31)&amp;F$3))&gt;2," (+"&amp;(SUMPRODUCT(1*EXACT('Casillas del horario'!$S$4:$S$73,"Profesor de Q en 10-4"&amp;CHAR(31)&amp;$A6&amp;CHAR(31)&amp;F$3))-2)&amp;")",""),IF(ISNA(MATCH(1,INDEX(EXACT('Casillas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/ "&amp;IF(ISBLANK(INDEX('Casillas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10-4"&amp;CHAR(31)&amp;$A7&amp;CHAR(31)&amp;B$3)*1,0),0)))),"",INDEX('Casillas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10-4"&amp;CHAR(31)&amp;$A7&amp;CHAR(31)&amp;B$3)*1,0),0))))&amp;IF(SUMPRODUCT(1*EXACT('Casillas del horario'!$S$4:$S$73,"Profesor de Q en 10-4"&amp;CHAR(31)&amp;$A7&amp;CHAR(31)&amp;B$3))&gt;2," (+"&amp;(SUMPRODUCT(1*EXACT('Casillas del horario'!$S$4:$S$73,"Profesor de Q en 10-4"&amp;CHAR(31)&amp;$A7&amp;CHAR(31)&amp;B$3))-2)&amp;")",""),IF(ISNA(MATCH(1,INDEX(EXACT('Casillas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/ "&amp;IF(ISBLANK(INDEX('Casillas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10-4"&amp;CHAR(31)&amp;$A7&amp;CHAR(31)&amp;C$3)*1,0),0)))),"",INDEX('Casillas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10-4"&amp;CHAR(31)&amp;$A7&amp;CHAR(31)&amp;C$3)*1,0),0))))&amp;IF(SUMPRODUCT(1*EXACT('Casillas del horario'!$S$4:$S$73,"Profesor de Q en 10-4"&amp;CHAR(31)&amp;$A7&amp;CHAR(31)&amp;C$3))&gt;2," (+"&amp;(SUMPRODUCT(1*EXACT('Casillas del horario'!$S$4:$S$73,"Profesor de Q en 10-4"&amp;CHAR(31)&amp;$A7&amp;CHAR(31)&amp;C$3))-2)&amp;")",""),IF(ISNA(MATCH(1,INDEX(EXACT('Casillas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/ "&amp;IF(ISBLANK(INDEX('Casillas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10-4"&amp;CHAR(31)&amp;$A7&amp;CHAR(31)&amp;D$3)*1,0),0)))),"",INDEX('Casillas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10-4"&amp;CHAR(31)&amp;$A7&amp;CHAR(31)&amp;D$3)*1,0),0))))&amp;IF(SUMPRODUCT(1*EXACT('Casillas del horario'!$S$4:$S$73,"Profesor de Q en 10-4"&amp;CHAR(31)&amp;$A7&amp;CHAR(31)&amp;D$3))&gt;2," (+"&amp;(SUMPRODUCT(1*EXACT('Casillas del horario'!$S$4:$S$73,"Profesor de Q en 10-4"&amp;CHAR(31)&amp;$A7&amp;CHAR(31)&amp;D$3))-2)&amp;")",""),IF(ISNA(MATCH(1,INDEX(EXACT('Casillas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/ "&amp;IF(ISBLANK(INDEX('Casillas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10-4"&amp;CHAR(31)&amp;$A7&amp;CHAR(31)&amp;E$3)*1,0),0)))),"",INDEX('Casillas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10-4"&amp;CHAR(31)&amp;$A7&amp;CHAR(31)&amp;E$3)*1,0),0))))&amp;IF(SUMPRODUCT(1*EXACT('Casillas del horario'!$S$4:$S$73,"Profesor de Q en 10-4"&amp;CHAR(31)&amp;$A7&amp;CHAR(31)&amp;E$3))&gt;2," (+"&amp;(SUMPRODUCT(1*EXACT('Casillas del horario'!$S$4:$S$73,"Profesor de Q en 10-4"&amp;CHAR(31)&amp;$A7&amp;CHAR(31)&amp;E$3))-2)&amp;")",""),IF(ISNA(MATCH(1,INDEX(EXACT('Casillas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/ "&amp;IF(ISBLANK(INDEX('Casillas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10-4"&amp;CHAR(31)&amp;$A7&amp;CHAR(31)&amp;F$3)*1,0),0)))),"",INDEX('Casillas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10-4"&amp;CHAR(31)&amp;$A7&amp;CHAR(31)&amp;F$3)*1,0),0))))&amp;IF(SUMPRODUCT(1*EXACT('Casillas del horario'!$S$4:$S$73,"Profesor de Q en 10-4"&amp;CHAR(31)&amp;$A7&amp;CHAR(31)&amp;F$3))&gt;2," (+"&amp;(SUMPRODUCT(1*EXACT('Casillas del horario'!$S$4:$S$73,"Profesor de Q en 10-4"&amp;CHAR(31)&amp;$A7&amp;CHAR(31)&amp;F$3))-2)&amp;")",""),IF(ISNA(MATCH(1,INDEX(EXACT('Casillas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/ "&amp;IF(ISBLANK(INDEX('Casillas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10-4"&amp;CHAR(31)&amp;$A8&amp;CHAR(31)&amp;B$3)*1,0),0)))),"",INDEX('Casillas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10-4"&amp;CHAR(31)&amp;$A8&amp;CHAR(31)&amp;B$3)*1,0),0))))&amp;IF(SUMPRODUCT(1*EXACT('Casillas del horario'!$S$4:$S$73,"Profesor de Q en 10-4"&amp;CHAR(31)&amp;$A8&amp;CHAR(31)&amp;B$3))&gt;2," (+"&amp;(SUMPRODUCT(1*EXACT('Casillas del horario'!$S$4:$S$73,"Profesor de Q en 10-4"&amp;CHAR(31)&amp;$A8&amp;CHAR(31)&amp;B$3))-2)&amp;")",""),IF(ISNA(MATCH(1,INDEX(EXACT('Casillas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/ "&amp;IF(ISBLANK(INDEX('Casillas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10-4"&amp;CHAR(31)&amp;$A8&amp;CHAR(31)&amp;C$3)*1,0),0)))),"",INDEX('Casillas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10-4"&amp;CHAR(31)&amp;$A8&amp;CHAR(31)&amp;C$3)*1,0),0))))&amp;IF(SUMPRODUCT(1*EXACT('Casillas del horario'!$S$4:$S$73,"Profesor de Q en 10-4"&amp;CHAR(31)&amp;$A8&amp;CHAR(31)&amp;C$3))&gt;2," (+"&amp;(SUMPRODUCT(1*EXACT('Casillas del horario'!$S$4:$S$73,"Profesor de Q en 10-4"&amp;CHAR(31)&amp;$A8&amp;CHAR(31)&amp;C$3))-2)&amp;")",""),IF(ISNA(MATCH(1,INDEX(EXACT('Casillas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/ "&amp;IF(ISBLANK(INDEX('Casillas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10-4"&amp;CHAR(31)&amp;$A8&amp;CHAR(31)&amp;D$3)*1,0),0)))),"",INDEX('Casillas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10-4"&amp;CHAR(31)&amp;$A8&amp;CHAR(31)&amp;D$3)*1,0),0))))&amp;IF(SUMPRODUCT(1*EXACT('Casillas del horario'!$S$4:$S$73,"Profesor de Q en 10-4"&amp;CHAR(31)&amp;$A8&amp;CHAR(31)&amp;D$3))&gt;2," (+"&amp;(SUMPRODUCT(1*EXACT('Casillas del horario'!$S$4:$S$73,"Profesor de Q en 10-4"&amp;CHAR(31)&amp;$A8&amp;CHAR(31)&amp;D$3))-2)&amp;")",""),IF(ISNA(MATCH(1,INDEX(EXACT('Casillas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/ "&amp;IF(ISBLANK(INDEX('Casillas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10-4"&amp;CHAR(31)&amp;$A8&amp;CHAR(31)&amp;E$3)*1,0),0)))),"",INDEX('Casillas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10-4"&amp;CHAR(31)&amp;$A8&amp;CHAR(31)&amp;E$3)*1,0),0))))&amp;IF(SUMPRODUCT(1*EXACT('Casillas del horario'!$S$4:$S$73,"Profesor de Q en 10-4"&amp;CHAR(31)&amp;$A8&amp;CHAR(31)&amp;E$3))&gt;2," (+"&amp;(SUMPRODUCT(1*EXACT('Casillas del horario'!$S$4:$S$73,"Profesor de Q en 10-4"&amp;CHAR(31)&amp;$A8&amp;CHAR(31)&amp;E$3))-2)&amp;")",""),IF(ISNA(MATCH(1,INDEX(EXACT('Casillas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/ "&amp;IF(ISBLANK(INDEX('Casillas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10-4"&amp;CHAR(31)&amp;$A8&amp;CHAR(31)&amp;F$3)*1,0),0)))),"",INDEX('Casillas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10-4"&amp;CHAR(31)&amp;$A8&amp;CHAR(31)&amp;F$3)*1,0),0))))&amp;IF(SUMPRODUCT(1*EXACT('Casillas del horario'!$S$4:$S$73,"Profesor de Q en 10-4"&amp;CHAR(31)&amp;$A8&amp;CHAR(31)&amp;F$3))&gt;2," (+"&amp;(SUMPRODUCT(1*EXACT('Casillas del horario'!$S$4:$S$73,"Profesor de Q en 10-4"&amp;CHAR(31)&amp;$A8&amp;CHAR(31)&amp;F$3))-2)&amp;")",""),IF(ISNA(MATCH(1,INDEX(EXACT('Casillas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/ "&amp;IF(ISBLANK(INDEX('Casillas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10-4"&amp;CHAR(31)&amp;$A9&amp;CHAR(31)&amp;B$3)*1,0),0)))),"",INDEX('Casillas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10-4"&amp;CHAR(31)&amp;$A9&amp;CHAR(31)&amp;B$3)*1,0),0))))&amp;IF(SUMPRODUCT(1*EXACT('Casillas del horario'!$S$4:$S$73,"Profesor de Q en 10-4"&amp;CHAR(31)&amp;$A9&amp;CHAR(31)&amp;B$3))&gt;2," (+"&amp;(SUMPRODUCT(1*EXACT('Casillas del horario'!$S$4:$S$73,"Profesor de Q en 10-4"&amp;CHAR(31)&amp;$A9&amp;CHAR(31)&amp;B$3))-2)&amp;")",""),IF(ISNA(MATCH(1,INDEX(EXACT('Casillas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/ "&amp;IF(ISBLANK(INDEX('Casillas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10-4"&amp;CHAR(31)&amp;$A9&amp;CHAR(31)&amp;C$3)*1,0),0)))),"",INDEX('Casillas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10-4"&amp;CHAR(31)&amp;$A9&amp;CHAR(31)&amp;C$3)*1,0),0))))&amp;IF(SUMPRODUCT(1*EXACT('Casillas del horario'!$S$4:$S$73,"Profesor de Q en 10-4"&amp;CHAR(31)&amp;$A9&amp;CHAR(31)&amp;C$3))&gt;2," (+"&amp;(SUMPRODUCT(1*EXACT('Casillas del horario'!$S$4:$S$73,"Profesor de Q en 10-4"&amp;CHAR(31)&amp;$A9&amp;CHAR(31)&amp;C$3))-2)&amp;")",""),IF(ISNA(MATCH(1,INDEX(EXACT('Casillas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/ "&amp;IF(ISBLANK(INDEX('Casillas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10-4"&amp;CHAR(31)&amp;$A9&amp;CHAR(31)&amp;D$3)*1,0),0)))),"",INDEX('Casillas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10-4"&amp;CHAR(31)&amp;$A9&amp;CHAR(31)&amp;D$3)*1,0),0))))&amp;IF(SUMPRODUCT(1*EXACT('Casillas del horario'!$S$4:$S$73,"Profesor de Q en 10-4"&amp;CHAR(31)&amp;$A9&amp;CHAR(31)&amp;D$3))&gt;2," (+"&amp;(SUMPRODUCT(1*EXACT('Casillas del horario'!$S$4:$S$73,"Profesor de Q en 10-4"&amp;CHAR(31)&amp;$A9&amp;CHAR(31)&amp;D$3))-2)&amp;")",""),IF(ISNA(MATCH(1,INDEX(EXACT('Casillas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/ "&amp;IF(ISBLANK(INDEX('Casillas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10-4"&amp;CHAR(31)&amp;$A9&amp;CHAR(31)&amp;E$3)*1,0),0)))),"",INDEX('Casillas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10-4"&amp;CHAR(31)&amp;$A9&amp;CHAR(31)&amp;E$3)*1,0),0))))&amp;IF(SUMPRODUCT(1*EXACT('Casillas del horario'!$S$4:$S$73,"Profesor de Q en 10-4"&amp;CHAR(31)&amp;$A9&amp;CHAR(31)&amp;E$3))&gt;2," (+"&amp;(SUMPRODUCT(1*EXACT('Casillas del horario'!$S$4:$S$73,"Profesor de Q en 10-4"&amp;CHAR(31)&amp;$A9&amp;CHAR(31)&amp;E$3))-2)&amp;")",""),IF(ISNA(MATCH(1,INDEX(EXACT('Casillas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/ "&amp;IF(ISBLANK(INDEX('Casillas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10-4"&amp;CHAR(31)&amp;$A9&amp;CHAR(31)&amp;F$3)*1,0),0)))),"",INDEX('Casillas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10-4"&amp;CHAR(31)&amp;$A9&amp;CHAR(31)&amp;F$3)*1,0),0))))&amp;IF(SUMPRODUCT(1*EXACT('Casillas del horario'!$S$4:$S$73,"Profesor de Q en 10-4"&amp;CHAR(31)&amp;$A9&amp;CHAR(31)&amp;F$3))&gt;2," (+"&amp;(SUMPRODUCT(1*EXACT('Casillas del horario'!$S$4:$S$73,"Profesor de Q en 10-4"&amp;CHAR(31)&amp;$A9&amp;CHAR(31)&amp;F$3))-2)&amp;")",""),IF(ISNA(MATCH(1,INDEX(EXACT('Casillas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/ "&amp;IF(ISBLANK(INDEX('Casillas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10-4"&amp;CHAR(31)&amp;$A10&amp;CHAR(31)&amp;B$3)*1,0),0)))),"",INDEX('Casillas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10-4"&amp;CHAR(31)&amp;$A10&amp;CHAR(31)&amp;B$3)*1,0),0))))&amp;IF(SUMPRODUCT(1*EXACT('Casillas del horario'!$S$4:$S$73,"Profesor de Q en 10-4"&amp;CHAR(31)&amp;$A10&amp;CHAR(31)&amp;B$3))&gt;2," (+"&amp;(SUMPRODUCT(1*EXACT('Casillas del horario'!$S$4:$S$73,"Profesor de Q en 10-4"&amp;CHAR(31)&amp;$A10&amp;CHAR(31)&amp;B$3))-2)&amp;")",""),IF(ISNA(MATCH(1,INDEX(EXACT('Casillas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/ "&amp;IF(ISBLANK(INDEX('Casillas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10-4"&amp;CHAR(31)&amp;$A10&amp;CHAR(31)&amp;C$3)*1,0),0)))),"",INDEX('Casillas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10-4"&amp;CHAR(31)&amp;$A10&amp;CHAR(31)&amp;C$3)*1,0),0))))&amp;IF(SUMPRODUCT(1*EXACT('Casillas del horario'!$S$4:$S$73,"Profesor de Q en 10-4"&amp;CHAR(31)&amp;$A10&amp;CHAR(31)&amp;C$3))&gt;2," (+"&amp;(SUMPRODUCT(1*EXACT('Casillas del horario'!$S$4:$S$73,"Profesor de Q en 10-4"&amp;CHAR(31)&amp;$A10&amp;CHAR(31)&amp;C$3))-2)&amp;")",""),IF(ISNA(MATCH(1,INDEX(EXACT('Casillas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/ "&amp;IF(ISBLANK(INDEX('Casillas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10-4"&amp;CHAR(31)&amp;$A10&amp;CHAR(31)&amp;D$3)*1,0),0)))),"",INDEX('Casillas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10-4"&amp;CHAR(31)&amp;$A10&amp;CHAR(31)&amp;D$3)*1,0),0))))&amp;IF(SUMPRODUCT(1*EXACT('Casillas del horario'!$S$4:$S$73,"Profesor de Q en 10-4"&amp;CHAR(31)&amp;$A10&amp;CHAR(31)&amp;D$3))&gt;2," (+"&amp;(SUMPRODUCT(1*EXACT('Casillas del horario'!$S$4:$S$73,"Profesor de Q en 10-4"&amp;CHAR(31)&amp;$A10&amp;CHAR(31)&amp;D$3))-2)&amp;")",""),IF(ISNA(MATCH(1,INDEX(EXACT('Casillas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/ "&amp;IF(ISBLANK(INDEX('Casillas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10-4"&amp;CHAR(31)&amp;$A10&amp;CHAR(31)&amp;E$3)*1,0),0)))),"",INDEX('Casillas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10-4"&amp;CHAR(31)&amp;$A10&amp;CHAR(31)&amp;E$3)*1,0),0))))&amp;IF(SUMPRODUCT(1*EXACT('Casillas del horario'!$S$4:$S$73,"Profesor de Q en 10-4"&amp;CHAR(31)&amp;$A10&amp;CHAR(31)&amp;E$3))&gt;2," (+"&amp;(SUMPRODUCT(1*EXACT('Casillas del horario'!$S$4:$S$73,"Profesor de Q en 10-4"&amp;CHAR(31)&amp;$A10&amp;CHAR(31)&amp;E$3))-2)&amp;")",""),IF(ISNA(MATCH(1,INDEX(EXACT('Casillas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/ "&amp;IF(ISBLANK(INDEX('Casillas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10-4"&amp;CHAR(31)&amp;$A10&amp;CHAR(31)&amp;F$3)*1,0),0)))),"",INDEX('Casillas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10-4"&amp;CHAR(31)&amp;$A10&amp;CHAR(31)&amp;F$3)*1,0),0))))&amp;IF(SUMPRODUCT(1*EXACT('Casillas del horario'!$S$4:$S$73,"Profesor de Q en 10-4"&amp;CHAR(31)&amp;$A10&amp;CHAR(31)&amp;F$3))&gt;2," (+"&amp;(SUMPRODUCT(1*EXACT('Casillas del horario'!$S$4:$S$73,"Profesor de Q en 10-4"&amp;CHAR(31)&amp;$A10&amp;CHAR(31)&amp;F$3))-2)&amp;")",""),IF(ISNA(MATCH(1,INDEX(EXACT('Casillas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/ "&amp;IF(ISBLANK(INDEX('Casillas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10-4"&amp;CHAR(31)&amp;$A4&amp;CHAR(31)&amp;B$3)*1,0),0)))),"",INDEX('Casillas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10-4"&amp;CHAR(31)&amp;$A4&amp;CHAR(31)&amp;B$3)*1,0),0))))&amp;IF(SUMPRODUCT(1*EXACT('Casillas del horario'!$S$4:$S$73,"Profesor de CP en 10-4"&amp;CHAR(31)&amp;$A4&amp;CHAR(31)&amp;B$3))&gt;2," (+"&amp;(SUMPRODUCT(1*EXACT('Casillas del horario'!$S$4:$S$73,"Profesor de CP en 10-4"&amp;CHAR(31)&amp;$A4&amp;CHAR(31)&amp;B$3))-2)&amp;")",""),IF(ISNA(MATCH(1,INDEX(EXACT('Casillas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/ "&amp;IF(ISBLANK(INDEX('Casillas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10-4"&amp;CHAR(31)&amp;$A4&amp;CHAR(31)&amp;C$3)*1,0),0)))),"",INDEX('Casillas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10-4"&amp;CHAR(31)&amp;$A4&amp;CHAR(31)&amp;C$3)*1,0),0))))&amp;IF(SUMPRODUCT(1*EXACT('Casillas del horario'!$S$4:$S$73,"Profesor de CP en 10-4"&amp;CHAR(31)&amp;$A4&amp;CHAR(31)&amp;C$3))&gt;2," (+"&amp;(SUMPRODUCT(1*EXACT('Casillas del horario'!$S$4:$S$73,"Profesor de CP en 10-4"&amp;CHAR(31)&amp;$A4&amp;CHAR(31)&amp;C$3))-2)&amp;")",""),IF(ISNA(MATCH(1,INDEX(EXACT('Casillas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/ "&amp;IF(ISBLANK(INDEX('Casillas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10-4"&amp;CHAR(31)&amp;$A4&amp;CHAR(31)&amp;D$3)*1,0),0)))),"",INDEX('Casillas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10-4"&amp;CHAR(31)&amp;$A4&amp;CHAR(31)&amp;D$3)*1,0),0))))&amp;IF(SUMPRODUCT(1*EXACT('Casillas del horario'!$S$4:$S$73,"Profesor de CP en 10-4"&amp;CHAR(31)&amp;$A4&amp;CHAR(31)&amp;D$3))&gt;2," (+"&amp;(SUMPRODUCT(1*EXACT('Casillas del horario'!$S$4:$S$73,"Profesor de CP en 10-4"&amp;CHAR(31)&amp;$A4&amp;CHAR(31)&amp;D$3))-2)&amp;")",""),IF(ISNA(MATCH(1,INDEX(EXACT('Casillas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/ "&amp;IF(ISBLANK(INDEX('Casillas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10-4"&amp;CHAR(31)&amp;$A4&amp;CHAR(31)&amp;E$3)*1,0),0)))),"",INDEX('Casillas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10-4"&amp;CHAR(31)&amp;$A4&amp;CHAR(31)&amp;E$3)*1,0),0))))&amp;IF(SUMPRODUCT(1*EXACT('Casillas del horario'!$S$4:$S$73,"Profesor de CP en 10-4"&amp;CHAR(31)&amp;$A4&amp;CHAR(31)&amp;E$3))&gt;2," (+"&amp;(SUMPRODUCT(1*EXACT('Casillas del horario'!$S$4:$S$73,"Profesor de CP en 10-4"&amp;CHAR(31)&amp;$A4&amp;CHAR(31)&amp;E$3))-2)&amp;")",""),IF(ISNA(MATCH(1,INDEX(EXACT('Casillas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/ "&amp;IF(ISBLANK(INDEX('Casillas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10-4"&amp;CHAR(31)&amp;$A4&amp;CHAR(31)&amp;F$3)*1,0),0)))),"",INDEX('Casillas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10-4"&amp;CHAR(31)&amp;$A4&amp;CHAR(31)&amp;F$3)*1,0),0))))&amp;IF(SUMPRODUCT(1*EXACT('Casillas del horario'!$S$4:$S$73,"Profesor de CP en 10-4"&amp;CHAR(31)&amp;$A4&amp;CHAR(31)&amp;F$3))&gt;2," (+"&amp;(SUMPRODUCT(1*EXACT('Casillas del horario'!$S$4:$S$73,"Profesor de CP en 10-4"&amp;CHAR(31)&amp;$A4&amp;CHAR(31)&amp;F$3))-2)&amp;")",""),IF(ISNA(MATCH(1,INDEX(EXACT('Casillas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/ "&amp;IF(ISBLANK(INDEX('Casillas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10-4"&amp;CHAR(31)&amp;$A5&amp;CHAR(31)&amp;B$3)*1,0),0)))),"",INDEX('Casillas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10-4"&amp;CHAR(31)&amp;$A5&amp;CHAR(31)&amp;B$3)*1,0),0))))&amp;IF(SUMPRODUCT(1*EXACT('Casillas del horario'!$S$4:$S$73,"Profesor de CP en 10-4"&amp;CHAR(31)&amp;$A5&amp;CHAR(31)&amp;B$3))&gt;2," (+"&amp;(SUMPRODUCT(1*EXACT('Casillas del horario'!$S$4:$S$73,"Profesor de CP en 10-4"&amp;CHAR(31)&amp;$A5&amp;CHAR(31)&amp;B$3))-2)&amp;")",""),IF(ISNA(MATCH(1,INDEX(EXACT('Casillas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/ "&amp;IF(ISBLANK(INDEX('Casillas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10-4"&amp;CHAR(31)&amp;$A5&amp;CHAR(31)&amp;C$3)*1,0),0)))),"",INDEX('Casillas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10-4"&amp;CHAR(31)&amp;$A5&amp;CHAR(31)&amp;C$3)*1,0),0))))&amp;IF(SUMPRODUCT(1*EXACT('Casillas del horario'!$S$4:$S$73,"Profesor de CP en 10-4"&amp;CHAR(31)&amp;$A5&amp;CHAR(31)&amp;C$3))&gt;2," (+"&amp;(SUMPRODUCT(1*EXACT('Casillas del horario'!$S$4:$S$73,"Profesor de CP en 10-4"&amp;CHAR(31)&amp;$A5&amp;CHAR(31)&amp;C$3))-2)&amp;")",""),IF(ISNA(MATCH(1,INDEX(EXACT('Casillas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/ "&amp;IF(ISBLANK(INDEX('Casillas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10-4"&amp;CHAR(31)&amp;$A5&amp;CHAR(31)&amp;D$3)*1,0),0)))),"",INDEX('Casillas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10-4"&amp;CHAR(31)&amp;$A5&amp;CHAR(31)&amp;D$3)*1,0),0))))&amp;IF(SUMPRODUCT(1*EXACT('Casillas del horario'!$S$4:$S$73,"Profesor de CP en 10-4"&amp;CHAR(31)&amp;$A5&amp;CHAR(31)&amp;D$3))&gt;2," (+"&amp;(SUMPRODUCT(1*EXACT('Casillas del horario'!$S$4:$S$73,"Profesor de CP en 10-4"&amp;CHAR(31)&amp;$A5&amp;CHAR(31)&amp;D$3))-2)&amp;")",""),IF(ISNA(MATCH(1,INDEX(EXACT('Casillas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/ "&amp;IF(ISBLANK(INDEX('Casillas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10-4"&amp;CHAR(31)&amp;$A5&amp;CHAR(31)&amp;E$3)*1,0),0)))),"",INDEX('Casillas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10-4"&amp;CHAR(31)&amp;$A5&amp;CHAR(31)&amp;E$3)*1,0),0))))&amp;IF(SUMPRODUCT(1*EXACT('Casillas del horario'!$S$4:$S$73,"Profesor de CP en 10-4"&amp;CHAR(31)&amp;$A5&amp;CHAR(31)&amp;E$3))&gt;2," (+"&amp;(SUMPRODUCT(1*EXACT('Casillas del horario'!$S$4:$S$73,"Profesor de CP en 10-4"&amp;CHAR(31)&amp;$A5&amp;CHAR(31)&amp;E$3))-2)&amp;")",""),IF(ISNA(MATCH(1,INDEX(EXACT('Casillas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/ "&amp;IF(ISBLANK(INDEX('Casillas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10-4"&amp;CHAR(31)&amp;$A5&amp;CHAR(31)&amp;F$3)*1,0),0)))),"",INDEX('Casillas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10-4"&amp;CHAR(31)&amp;$A5&amp;CHAR(31)&amp;F$3)*1,0),0))))&amp;IF(SUMPRODUCT(1*EXACT('Casillas del horario'!$S$4:$S$73,"Profesor de CP en 10-4"&amp;CHAR(31)&amp;$A5&amp;CHAR(31)&amp;F$3))&gt;2," (+"&amp;(SUMPRODUCT(1*EXACT('Casillas del horario'!$S$4:$S$73,"Profesor de CP en 10-4"&amp;CHAR(31)&amp;$A5&amp;CHAR(31)&amp;F$3))-2)&amp;")",""),IF(ISNA(MATCH(1,INDEX(EXACT('Casillas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/ "&amp;IF(ISBLANK(INDEX('Casillas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10-4"&amp;CHAR(31)&amp;$A6&amp;CHAR(31)&amp;B$3)*1,0),0)))),"",INDEX('Casillas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10-4"&amp;CHAR(31)&amp;$A6&amp;CHAR(31)&amp;B$3)*1,0),0))))&amp;IF(SUMPRODUCT(1*EXACT('Casillas del horario'!$S$4:$S$73,"Profesor de CP en 10-4"&amp;CHAR(31)&amp;$A6&amp;CHAR(31)&amp;B$3))&gt;2," (+"&amp;(SUMPRODUCT(1*EXACT('Casillas del horario'!$S$4:$S$73,"Profesor de CP en 10-4"&amp;CHAR(31)&amp;$A6&amp;CHAR(31)&amp;B$3))-2)&amp;")",""),IF(ISNA(MATCH(1,INDEX(EXACT('Casillas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/ "&amp;IF(ISBLANK(INDEX('Casillas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10-4"&amp;CHAR(31)&amp;$A6&amp;CHAR(31)&amp;C$3)*1,0),0)))),"",INDEX('Casillas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10-4"&amp;CHAR(31)&amp;$A6&amp;CHAR(31)&amp;C$3)*1,0),0))))&amp;IF(SUMPRODUCT(1*EXACT('Casillas del horario'!$S$4:$S$73,"Profesor de CP en 10-4"&amp;CHAR(31)&amp;$A6&amp;CHAR(31)&amp;C$3))&gt;2," (+"&amp;(SUMPRODUCT(1*EXACT('Casillas del horario'!$S$4:$S$73,"Profesor de CP en 10-4"&amp;CHAR(31)&amp;$A6&amp;CHAR(31)&amp;C$3))-2)&amp;")",""),IF(ISNA(MATCH(1,INDEX(EXACT('Casillas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/ "&amp;IF(ISBLANK(INDEX('Casillas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10-4"&amp;CHAR(31)&amp;$A6&amp;CHAR(31)&amp;D$3)*1,0),0)))),"",INDEX('Casillas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10-4"&amp;CHAR(31)&amp;$A6&amp;CHAR(31)&amp;D$3)*1,0),0))))&amp;IF(SUMPRODUCT(1*EXACT('Casillas del horario'!$S$4:$S$73,"Profesor de CP en 10-4"&amp;CHAR(31)&amp;$A6&amp;CHAR(31)&amp;D$3))&gt;2," (+"&amp;(SUMPRODUCT(1*EXACT('Casillas del horario'!$S$4:$S$73,"Profesor de CP en 10-4"&amp;CHAR(31)&amp;$A6&amp;CHAR(31)&amp;D$3))-2)&amp;")",""),IF(ISNA(MATCH(1,INDEX(EXACT('Casillas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/ "&amp;IF(ISBLANK(INDEX('Casillas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10-4"&amp;CHAR(31)&amp;$A6&amp;CHAR(31)&amp;E$3)*1,0),0)))),"",INDEX('Casillas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10-4"&amp;CHAR(31)&amp;$A6&amp;CHAR(31)&amp;E$3)*1,0),0))))&amp;IF(SUMPRODUCT(1*EXACT('Casillas del horario'!$S$4:$S$73,"Profesor de CP en 10-4"&amp;CHAR(31)&amp;$A6&amp;CHAR(31)&amp;E$3))&gt;2," (+"&amp;(SUMPRODUCT(1*EXACT('Casillas del horario'!$S$4:$S$73,"Profesor de CP en 10-4"&amp;CHAR(31)&amp;$A6&amp;CHAR(31)&amp;E$3))-2)&amp;")",""),IF(ISNA(MATCH(1,INDEX(EXACT('Casillas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/ "&amp;IF(ISBLANK(INDEX('Casillas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10-4"&amp;CHAR(31)&amp;$A6&amp;CHAR(31)&amp;F$3)*1,0),0)))),"",INDEX('Casillas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10-4"&amp;CHAR(31)&amp;$A6&amp;CHAR(31)&amp;F$3)*1,0),0))))&amp;IF(SUMPRODUCT(1*EXACT('Casillas del horario'!$S$4:$S$73,"Profesor de CP en 10-4"&amp;CHAR(31)&amp;$A6&amp;CHAR(31)&amp;F$3))&gt;2," (+"&amp;(SUMPRODUCT(1*EXACT('Casillas del horario'!$S$4:$S$73,"Profesor de CP en 10-4"&amp;CHAR(31)&amp;$A6&amp;CHAR(31)&amp;F$3))-2)&amp;")",""),IF(ISNA(MATCH(1,INDEX(EXACT('Casillas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/ "&amp;IF(ISBLANK(INDEX('Casillas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10-4"&amp;CHAR(31)&amp;$A7&amp;CHAR(31)&amp;B$3)*1,0),0)))),"",INDEX('Casillas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10-4"&amp;CHAR(31)&amp;$A7&amp;CHAR(31)&amp;B$3)*1,0),0))))&amp;IF(SUMPRODUCT(1*EXACT('Casillas del horario'!$S$4:$S$73,"Profesor de CP en 10-4"&amp;CHAR(31)&amp;$A7&amp;CHAR(31)&amp;B$3))&gt;2," (+"&amp;(SUMPRODUCT(1*EXACT('Casillas del horario'!$S$4:$S$73,"Profesor de CP en 10-4"&amp;CHAR(31)&amp;$A7&amp;CHAR(31)&amp;B$3))-2)&amp;")",""),IF(ISNA(MATCH(1,INDEX(EXACT('Casillas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/ "&amp;IF(ISBLANK(INDEX('Casillas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10-4"&amp;CHAR(31)&amp;$A7&amp;CHAR(31)&amp;C$3)*1,0),0)))),"",INDEX('Casillas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10-4"&amp;CHAR(31)&amp;$A7&amp;CHAR(31)&amp;C$3)*1,0),0))))&amp;IF(SUMPRODUCT(1*EXACT('Casillas del horario'!$S$4:$S$73,"Profesor de CP en 10-4"&amp;CHAR(31)&amp;$A7&amp;CHAR(31)&amp;C$3))&gt;2," (+"&amp;(SUMPRODUCT(1*EXACT('Casillas del horario'!$S$4:$S$73,"Profesor de CP en 10-4"&amp;CHAR(31)&amp;$A7&amp;CHAR(31)&amp;C$3))-2)&amp;")",""),IF(ISNA(MATCH(1,INDEX(EXACT('Casillas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/ "&amp;IF(ISBLANK(INDEX('Casillas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10-4"&amp;CHAR(31)&amp;$A7&amp;CHAR(31)&amp;D$3)*1,0),0)))),"",INDEX('Casillas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10-4"&amp;CHAR(31)&amp;$A7&amp;CHAR(31)&amp;D$3)*1,0),0))))&amp;IF(SUMPRODUCT(1*EXACT('Casillas del horario'!$S$4:$S$73,"Profesor de CP en 10-4"&amp;CHAR(31)&amp;$A7&amp;CHAR(31)&amp;D$3))&gt;2," (+"&amp;(SUMPRODUCT(1*EXACT('Casillas del horario'!$S$4:$S$73,"Profesor de CP en 10-4"&amp;CHAR(31)&amp;$A7&amp;CHAR(31)&amp;D$3))-2)&amp;")",""),IF(ISNA(MATCH(1,INDEX(EXACT('Casillas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/ "&amp;IF(ISBLANK(INDEX('Casillas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10-4"&amp;CHAR(31)&amp;$A7&amp;CHAR(31)&amp;E$3)*1,0),0)))),"",INDEX('Casillas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10-4"&amp;CHAR(31)&amp;$A7&amp;CHAR(31)&amp;E$3)*1,0),0))))&amp;IF(SUMPRODUCT(1*EXACT('Casillas del horario'!$S$4:$S$73,"Profesor de CP en 10-4"&amp;CHAR(31)&amp;$A7&amp;CHAR(31)&amp;E$3))&gt;2," (+"&amp;(SUMPRODUCT(1*EXACT('Casillas del horario'!$S$4:$S$73,"Profesor de CP en 10-4"&amp;CHAR(31)&amp;$A7&amp;CHAR(31)&amp;E$3))-2)&amp;")",""),IF(ISNA(MATCH(1,INDEX(EXACT('Casillas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/ "&amp;IF(ISBLANK(INDEX('Casillas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10-4"&amp;CHAR(31)&amp;$A7&amp;CHAR(31)&amp;F$3)*1,0),0)))),"",INDEX('Casillas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10-4"&amp;CHAR(31)&amp;$A7&amp;CHAR(31)&amp;F$3)*1,0),0))))&amp;IF(SUMPRODUCT(1*EXACT('Casillas del horario'!$S$4:$S$73,"Profesor de CP en 10-4"&amp;CHAR(31)&amp;$A7&amp;CHAR(31)&amp;F$3))&gt;2," (+"&amp;(SUMPRODUCT(1*EXACT('Casillas del horario'!$S$4:$S$73,"Profesor de CP en 10-4"&amp;CHAR(31)&amp;$A7&amp;CHAR(31)&amp;F$3))-2)&amp;")",""),IF(ISNA(MATCH(1,INDEX(EXACT('Casillas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/ "&amp;IF(ISBLANK(INDEX('Casillas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10-4"&amp;CHAR(31)&amp;$A8&amp;CHAR(31)&amp;B$3)*1,0),0)))),"",INDEX('Casillas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10-4"&amp;CHAR(31)&amp;$A8&amp;CHAR(31)&amp;B$3)*1,0),0))))&amp;IF(SUMPRODUCT(1*EXACT('Casillas del horario'!$S$4:$S$73,"Profesor de CP en 10-4"&amp;CHAR(31)&amp;$A8&amp;CHAR(31)&amp;B$3))&gt;2," (+"&amp;(SUMPRODUCT(1*EXACT('Casillas del horario'!$S$4:$S$73,"Profesor de CP en 10-4"&amp;CHAR(31)&amp;$A8&amp;CHAR(31)&amp;B$3))-2)&amp;")",""),IF(ISNA(MATCH(1,INDEX(EXACT('Casillas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/ "&amp;IF(ISBLANK(INDEX('Casillas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10-4"&amp;CHAR(31)&amp;$A8&amp;CHAR(31)&amp;C$3)*1,0),0)))),"",INDEX('Casillas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10-4"&amp;CHAR(31)&amp;$A8&amp;CHAR(31)&amp;C$3)*1,0),0))))&amp;IF(SUMPRODUCT(1*EXACT('Casillas del horario'!$S$4:$S$73,"Profesor de CP en 10-4"&amp;CHAR(31)&amp;$A8&amp;CHAR(31)&amp;C$3))&gt;2," (+"&amp;(SUMPRODUCT(1*EXACT('Casillas del horario'!$S$4:$S$73,"Profesor de CP en 10-4"&amp;CHAR(31)&amp;$A8&amp;CHAR(31)&amp;C$3))-2)&amp;")",""),IF(ISNA(MATCH(1,INDEX(EXACT('Casillas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/ "&amp;IF(ISBLANK(INDEX('Casillas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10-4"&amp;CHAR(31)&amp;$A8&amp;CHAR(31)&amp;D$3)*1,0),0)))),"",INDEX('Casillas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10-4"&amp;CHAR(31)&amp;$A8&amp;CHAR(31)&amp;D$3)*1,0),0))))&amp;IF(SUMPRODUCT(1*EXACT('Casillas del horario'!$S$4:$S$73,"Profesor de CP en 10-4"&amp;CHAR(31)&amp;$A8&amp;CHAR(31)&amp;D$3))&gt;2," (+"&amp;(SUMPRODUCT(1*EXACT('Casillas del horario'!$S$4:$S$73,"Profesor de CP en 10-4"&amp;CHAR(31)&amp;$A8&amp;CHAR(31)&amp;D$3))-2)&amp;")",""),IF(ISNA(MATCH(1,INDEX(EXACT('Casillas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/ "&amp;IF(ISBLANK(INDEX('Casillas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10-4"&amp;CHAR(31)&amp;$A8&amp;CHAR(31)&amp;E$3)*1,0),0)))),"",INDEX('Casillas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10-4"&amp;CHAR(31)&amp;$A8&amp;CHAR(31)&amp;E$3)*1,0),0))))&amp;IF(SUMPRODUCT(1*EXACT('Casillas del horario'!$S$4:$S$73,"Profesor de CP en 10-4"&amp;CHAR(31)&amp;$A8&amp;CHAR(31)&amp;E$3))&gt;2," (+"&amp;(SUMPRODUCT(1*EXACT('Casillas del horario'!$S$4:$S$73,"Profesor de CP en 10-4"&amp;CHAR(31)&amp;$A8&amp;CHAR(31)&amp;E$3))-2)&amp;")",""),IF(ISNA(MATCH(1,INDEX(EXACT('Casillas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/ "&amp;IF(ISBLANK(INDEX('Casillas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10-4"&amp;CHAR(31)&amp;$A8&amp;CHAR(31)&amp;F$3)*1,0),0)))),"",INDEX('Casillas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10-4"&amp;CHAR(31)&amp;$A8&amp;CHAR(31)&amp;F$3)*1,0),0))))&amp;IF(SUMPRODUCT(1*EXACT('Casillas del horario'!$S$4:$S$73,"Profesor de CP en 10-4"&amp;CHAR(31)&amp;$A8&amp;CHAR(31)&amp;F$3))&gt;2," (+"&amp;(SUMPRODUCT(1*EXACT('Casillas del horario'!$S$4:$S$73,"Profesor de CP en 10-4"&amp;CHAR(31)&amp;$A8&amp;CHAR(31)&amp;F$3))-2)&amp;")",""),IF(ISNA(MATCH(1,INDEX(EXACT('Casillas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/ "&amp;IF(ISBLANK(INDEX('Casillas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10-4"&amp;CHAR(31)&amp;$A9&amp;CHAR(31)&amp;B$3)*1,0),0)))),"",INDEX('Casillas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10-4"&amp;CHAR(31)&amp;$A9&amp;CHAR(31)&amp;B$3)*1,0),0))))&amp;IF(SUMPRODUCT(1*EXACT('Casillas del horario'!$S$4:$S$73,"Profesor de CP en 10-4"&amp;CHAR(31)&amp;$A9&amp;CHAR(31)&amp;B$3))&gt;2," (+"&amp;(SUMPRODUCT(1*EXACT('Casillas del horario'!$S$4:$S$73,"Profesor de CP en 10-4"&amp;CHAR(31)&amp;$A9&amp;CHAR(31)&amp;B$3))-2)&amp;")",""),IF(ISNA(MATCH(1,INDEX(EXACT('Casillas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/ "&amp;IF(ISBLANK(INDEX('Casillas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10-4"&amp;CHAR(31)&amp;$A9&amp;CHAR(31)&amp;C$3)*1,0),0)))),"",INDEX('Casillas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10-4"&amp;CHAR(31)&amp;$A9&amp;CHAR(31)&amp;C$3)*1,0),0))))&amp;IF(SUMPRODUCT(1*EXACT('Casillas del horario'!$S$4:$S$73,"Profesor de CP en 10-4"&amp;CHAR(31)&amp;$A9&amp;CHAR(31)&amp;C$3))&gt;2," (+"&amp;(SUMPRODUCT(1*EXACT('Casillas del horario'!$S$4:$S$73,"Profesor de CP en 10-4"&amp;CHAR(31)&amp;$A9&amp;CHAR(31)&amp;C$3))-2)&amp;")",""),IF(ISNA(MATCH(1,INDEX(EXACT('Casillas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/ "&amp;IF(ISBLANK(INDEX('Casillas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10-4"&amp;CHAR(31)&amp;$A9&amp;CHAR(31)&amp;D$3)*1,0),0)))),"",INDEX('Casillas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10-4"&amp;CHAR(31)&amp;$A9&amp;CHAR(31)&amp;D$3)*1,0),0))))&amp;IF(SUMPRODUCT(1*EXACT('Casillas del horario'!$S$4:$S$73,"Profesor de CP en 10-4"&amp;CHAR(31)&amp;$A9&amp;CHAR(31)&amp;D$3))&gt;2," (+"&amp;(SUMPRODUCT(1*EXACT('Casillas del horario'!$S$4:$S$73,"Profesor de CP en 10-4"&amp;CHAR(31)&amp;$A9&amp;CHAR(31)&amp;D$3))-2)&amp;")",""),IF(ISNA(MATCH(1,INDEX(EXACT('Casillas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/ "&amp;IF(ISBLANK(INDEX('Casillas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10-4"&amp;CHAR(31)&amp;$A9&amp;CHAR(31)&amp;E$3)*1,0),0)))),"",INDEX('Casillas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10-4"&amp;CHAR(31)&amp;$A9&amp;CHAR(31)&amp;E$3)*1,0),0))))&amp;IF(SUMPRODUCT(1*EXACT('Casillas del horario'!$S$4:$S$73,"Profesor de CP en 10-4"&amp;CHAR(31)&amp;$A9&amp;CHAR(31)&amp;E$3))&gt;2," (+"&amp;(SUMPRODUCT(1*EXACT('Casillas del horario'!$S$4:$S$73,"Profesor de CP en 10-4"&amp;CHAR(31)&amp;$A9&amp;CHAR(31)&amp;E$3))-2)&amp;")",""),IF(ISNA(MATCH(1,INDEX(EXACT('Casillas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/ "&amp;IF(ISBLANK(INDEX('Casillas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10-4"&amp;CHAR(31)&amp;$A9&amp;CHAR(31)&amp;F$3)*1,0),0)))),"",INDEX('Casillas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10-4"&amp;CHAR(31)&amp;$A9&amp;CHAR(31)&amp;F$3)*1,0),0))))&amp;IF(SUMPRODUCT(1*EXACT('Casillas del horario'!$S$4:$S$73,"Profesor de CP en 10-4"&amp;CHAR(31)&amp;$A9&amp;CHAR(31)&amp;F$3))&gt;2," (+"&amp;(SUMPRODUCT(1*EXACT('Casillas del horario'!$S$4:$S$73,"Profesor de CP en 10-4"&amp;CHAR(31)&amp;$A9&amp;CHAR(31)&amp;F$3))-2)&amp;")",""),IF(ISNA(MATCH(1,INDEX(EXACT('Casillas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/ "&amp;IF(ISBLANK(INDEX('Casillas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10-4"&amp;CHAR(31)&amp;$A10&amp;CHAR(31)&amp;B$3)*1,0),0)))),"",INDEX('Casillas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10-4"&amp;CHAR(31)&amp;$A10&amp;CHAR(31)&amp;B$3)*1,0),0))))&amp;IF(SUMPRODUCT(1*EXACT('Casillas del horario'!$S$4:$S$73,"Profesor de CP en 10-4"&amp;CHAR(31)&amp;$A10&amp;CHAR(31)&amp;B$3))&gt;2," (+"&amp;(SUMPRODUCT(1*EXACT('Casillas del horario'!$S$4:$S$73,"Profesor de CP en 10-4"&amp;CHAR(31)&amp;$A10&amp;CHAR(31)&amp;B$3))-2)&amp;")",""),IF(ISNA(MATCH(1,INDEX(EXACT('Casillas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/ "&amp;IF(ISBLANK(INDEX('Casillas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10-4"&amp;CHAR(31)&amp;$A10&amp;CHAR(31)&amp;C$3)*1,0),0)))),"",INDEX('Casillas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10-4"&amp;CHAR(31)&amp;$A10&amp;CHAR(31)&amp;C$3)*1,0),0))))&amp;IF(SUMPRODUCT(1*EXACT('Casillas del horario'!$S$4:$S$73,"Profesor de CP en 10-4"&amp;CHAR(31)&amp;$A10&amp;CHAR(31)&amp;C$3))&gt;2," (+"&amp;(SUMPRODUCT(1*EXACT('Casillas del horario'!$S$4:$S$73,"Profesor de CP en 10-4"&amp;CHAR(31)&amp;$A10&amp;CHAR(31)&amp;C$3))-2)&amp;")",""),IF(ISNA(MATCH(1,INDEX(EXACT('Casillas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/ "&amp;IF(ISBLANK(INDEX('Casillas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10-4"&amp;CHAR(31)&amp;$A10&amp;CHAR(31)&amp;D$3)*1,0),0)))),"",INDEX('Casillas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10-4"&amp;CHAR(31)&amp;$A10&amp;CHAR(31)&amp;D$3)*1,0),0))))&amp;IF(SUMPRODUCT(1*EXACT('Casillas del horario'!$S$4:$S$73,"Profesor de CP en 10-4"&amp;CHAR(31)&amp;$A10&amp;CHAR(31)&amp;D$3))&gt;2," (+"&amp;(SUMPRODUCT(1*EXACT('Casillas del horario'!$S$4:$S$73,"Profesor de CP en 10-4"&amp;CHAR(31)&amp;$A10&amp;CHAR(31)&amp;D$3))-2)&amp;")",""),IF(ISNA(MATCH(1,INDEX(EXACT('Casillas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/ "&amp;IF(ISBLANK(INDEX('Casillas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10-4"&amp;CHAR(31)&amp;$A10&amp;CHAR(31)&amp;E$3)*1,0),0)))),"",INDEX('Casillas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10-4"&amp;CHAR(31)&amp;$A10&amp;CHAR(31)&amp;E$3)*1,0),0))))&amp;IF(SUMPRODUCT(1*EXACT('Casillas del horario'!$S$4:$S$73,"Profesor de CP en 10-4"&amp;CHAR(31)&amp;$A10&amp;CHAR(31)&amp;E$3))&gt;2," (+"&amp;(SUMPRODUCT(1*EXACT('Casillas del horario'!$S$4:$S$73,"Profesor de CP en 10-4"&amp;CHAR(31)&amp;$A10&amp;CHAR(31)&amp;E$3))-2)&amp;")",""),IF(ISNA(MATCH(1,INDEX(EXACT('Casillas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/ "&amp;IF(ISBLANK(INDEX('Casillas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10-4"&amp;CHAR(31)&amp;$A10&amp;CHAR(31)&amp;F$3)*1,0),0)))),"",INDEX('Casillas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10-4"&amp;CHAR(31)&amp;$A10&amp;CHAR(31)&amp;F$3)*1,0),0))))&amp;IF(SUMPRODUCT(1*EXACT('Casillas del horario'!$S$4:$S$73,"Profesor de CP en 10-4"&amp;CHAR(31)&amp;$A10&amp;CHAR(31)&amp;F$3))&gt;2," (+"&amp;(SUMPRODUCT(1*EXACT('Casillas del horario'!$S$4:$S$73,"Profesor de CP en 10-4"&amp;CHAR(31)&amp;$A10&amp;CHAR(31)&amp;F$3))-2)&amp;")",""),IF(ISNA(MATCH(1,INDEX(EXACT('Casillas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/ "&amp;IF(ISBLANK(INDEX('Casillas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10-4"&amp;CHAR(31)&amp;$A4&amp;CHAR(31)&amp;B$3)*1,0),0)))),"",INDEX('Casillas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10-4"&amp;CHAR(31)&amp;$A4&amp;CHAR(31)&amp;B$3)*1,0),0))))&amp;IF(SUMPRODUCT(1*EXACT('Casillas del horario'!$S$4:$S$73,"Profesor de DC en 10-4"&amp;CHAR(31)&amp;$A4&amp;CHAR(31)&amp;B$3))&gt;2," (+"&amp;(SUMPRODUCT(1*EXACT('Casillas del horario'!$S$4:$S$73,"Profesor de DC en 10-4"&amp;CHAR(31)&amp;$A4&amp;CHAR(31)&amp;B$3))-2)&amp;")",""),IF(ISNA(MATCH(1,INDEX(EXACT('Casillas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/ "&amp;IF(ISBLANK(INDEX('Casillas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10-4"&amp;CHAR(31)&amp;$A4&amp;CHAR(31)&amp;C$3)*1,0),0)))),"",INDEX('Casillas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10-4"&amp;CHAR(31)&amp;$A4&amp;CHAR(31)&amp;C$3)*1,0),0))))&amp;IF(SUMPRODUCT(1*EXACT('Casillas del horario'!$S$4:$S$73,"Profesor de DC en 10-4"&amp;CHAR(31)&amp;$A4&amp;CHAR(31)&amp;C$3))&gt;2," (+"&amp;(SUMPRODUCT(1*EXACT('Casillas del horario'!$S$4:$S$73,"Profesor de DC en 10-4"&amp;CHAR(31)&amp;$A4&amp;CHAR(31)&amp;C$3))-2)&amp;")",""),IF(ISNA(MATCH(1,INDEX(EXACT('Casillas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/ "&amp;IF(ISBLANK(INDEX('Casillas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10-4"&amp;CHAR(31)&amp;$A4&amp;CHAR(31)&amp;D$3)*1,0),0)))),"",INDEX('Casillas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10-4"&amp;CHAR(31)&amp;$A4&amp;CHAR(31)&amp;D$3)*1,0),0))))&amp;IF(SUMPRODUCT(1*EXACT('Casillas del horario'!$S$4:$S$73,"Profesor de DC en 10-4"&amp;CHAR(31)&amp;$A4&amp;CHAR(31)&amp;D$3))&gt;2," (+"&amp;(SUMPRODUCT(1*EXACT('Casillas del horario'!$S$4:$S$73,"Profesor de DC en 10-4"&amp;CHAR(31)&amp;$A4&amp;CHAR(31)&amp;D$3))-2)&amp;")",""),IF(ISNA(MATCH(1,INDEX(EXACT('Casillas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/ "&amp;IF(ISBLANK(INDEX('Casillas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10-4"&amp;CHAR(31)&amp;$A4&amp;CHAR(31)&amp;E$3)*1,0),0)))),"",INDEX('Casillas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10-4"&amp;CHAR(31)&amp;$A4&amp;CHAR(31)&amp;E$3)*1,0),0))))&amp;IF(SUMPRODUCT(1*EXACT('Casillas del horario'!$S$4:$S$73,"Profesor de DC en 10-4"&amp;CHAR(31)&amp;$A4&amp;CHAR(31)&amp;E$3))&gt;2," (+"&amp;(SUMPRODUCT(1*EXACT('Casillas del horario'!$S$4:$S$73,"Profesor de DC en 10-4"&amp;CHAR(31)&amp;$A4&amp;CHAR(31)&amp;E$3))-2)&amp;")",""),IF(ISNA(MATCH(1,INDEX(EXACT('Casillas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/ "&amp;IF(ISBLANK(INDEX('Casillas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10-4"&amp;CHAR(31)&amp;$A4&amp;CHAR(31)&amp;F$3)*1,0),0)))),"",INDEX('Casillas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10-4"&amp;CHAR(31)&amp;$A4&amp;CHAR(31)&amp;F$3)*1,0),0))))&amp;IF(SUMPRODUCT(1*EXACT('Casillas del horario'!$S$4:$S$73,"Profesor de DC en 10-4"&amp;CHAR(31)&amp;$A4&amp;CHAR(31)&amp;F$3))&gt;2," (+"&amp;(SUMPRODUCT(1*EXACT('Casillas del horario'!$S$4:$S$73,"Profesor de DC en 10-4"&amp;CHAR(31)&amp;$A4&amp;CHAR(31)&amp;F$3))-2)&amp;")",""),IF(ISNA(MATCH(1,INDEX(EXACT('Casillas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/ "&amp;IF(ISBLANK(INDEX('Casillas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10-4"&amp;CHAR(31)&amp;$A5&amp;CHAR(31)&amp;B$3)*1,0),0)))),"",INDEX('Casillas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10-4"&amp;CHAR(31)&amp;$A5&amp;CHAR(31)&amp;B$3)*1,0),0))))&amp;IF(SUMPRODUCT(1*EXACT('Casillas del horario'!$S$4:$S$73,"Profesor de DC en 10-4"&amp;CHAR(31)&amp;$A5&amp;CHAR(31)&amp;B$3))&gt;2," (+"&amp;(SUMPRODUCT(1*EXACT('Casillas del horario'!$S$4:$S$73,"Profesor de DC en 10-4"&amp;CHAR(31)&amp;$A5&amp;CHAR(31)&amp;B$3))-2)&amp;")",""),IF(ISNA(MATCH(1,INDEX(EXACT('Casillas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/ "&amp;IF(ISBLANK(INDEX('Casillas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10-4"&amp;CHAR(31)&amp;$A5&amp;CHAR(31)&amp;C$3)*1,0),0)))),"",INDEX('Casillas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10-4"&amp;CHAR(31)&amp;$A5&amp;CHAR(31)&amp;C$3)*1,0),0))))&amp;IF(SUMPRODUCT(1*EXACT('Casillas del horario'!$S$4:$S$73,"Profesor de DC en 10-4"&amp;CHAR(31)&amp;$A5&amp;CHAR(31)&amp;C$3))&gt;2," (+"&amp;(SUMPRODUCT(1*EXACT('Casillas del horario'!$S$4:$S$73,"Profesor de DC en 10-4"&amp;CHAR(31)&amp;$A5&amp;CHAR(31)&amp;C$3))-2)&amp;")",""),IF(ISNA(MATCH(1,INDEX(EXACT('Casillas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/ "&amp;IF(ISBLANK(INDEX('Casillas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10-4"&amp;CHAR(31)&amp;$A5&amp;CHAR(31)&amp;D$3)*1,0),0)))),"",INDEX('Casillas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10-4"&amp;CHAR(31)&amp;$A5&amp;CHAR(31)&amp;D$3)*1,0),0))))&amp;IF(SUMPRODUCT(1*EXACT('Casillas del horario'!$S$4:$S$73,"Profesor de DC en 10-4"&amp;CHAR(31)&amp;$A5&amp;CHAR(31)&amp;D$3))&gt;2," (+"&amp;(SUMPRODUCT(1*EXACT('Casillas del horario'!$S$4:$S$73,"Profesor de DC en 10-4"&amp;CHAR(31)&amp;$A5&amp;CHAR(31)&amp;D$3))-2)&amp;")",""),IF(ISNA(MATCH(1,INDEX(EXACT('Casillas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/ "&amp;IF(ISBLANK(INDEX('Casillas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10-4"&amp;CHAR(31)&amp;$A5&amp;CHAR(31)&amp;E$3)*1,0),0)))),"",INDEX('Casillas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10-4"&amp;CHAR(31)&amp;$A5&amp;CHAR(31)&amp;E$3)*1,0),0))))&amp;IF(SUMPRODUCT(1*EXACT('Casillas del horario'!$S$4:$S$73,"Profesor de DC en 10-4"&amp;CHAR(31)&amp;$A5&amp;CHAR(31)&amp;E$3))&gt;2," (+"&amp;(SUMPRODUCT(1*EXACT('Casillas del horario'!$S$4:$S$73,"Profesor de DC en 10-4"&amp;CHAR(31)&amp;$A5&amp;CHAR(31)&amp;E$3))-2)&amp;")",""),IF(ISNA(MATCH(1,INDEX(EXACT('Casillas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/ "&amp;IF(ISBLANK(INDEX('Casillas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10-4"&amp;CHAR(31)&amp;$A5&amp;CHAR(31)&amp;F$3)*1,0),0)))),"",INDEX('Casillas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10-4"&amp;CHAR(31)&amp;$A5&amp;CHAR(31)&amp;F$3)*1,0),0))))&amp;IF(SUMPRODUCT(1*EXACT('Casillas del horario'!$S$4:$S$73,"Profesor de DC en 10-4"&amp;CHAR(31)&amp;$A5&amp;CHAR(31)&amp;F$3))&gt;2," (+"&amp;(SUMPRODUCT(1*EXACT('Casillas del horario'!$S$4:$S$73,"Profesor de DC en 10-4"&amp;CHAR(31)&amp;$A5&amp;CHAR(31)&amp;F$3))-2)&amp;")",""),IF(ISNA(MATCH(1,INDEX(EXACT('Casillas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/ "&amp;IF(ISBLANK(INDEX('Casillas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10-4"&amp;CHAR(31)&amp;$A6&amp;CHAR(31)&amp;B$3)*1,0),0)))),"",INDEX('Casillas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10-4"&amp;CHAR(31)&amp;$A6&amp;CHAR(31)&amp;B$3)*1,0),0))))&amp;IF(SUMPRODUCT(1*EXACT('Casillas del horario'!$S$4:$S$73,"Profesor de DC en 10-4"&amp;CHAR(31)&amp;$A6&amp;CHAR(31)&amp;B$3))&gt;2," (+"&amp;(SUMPRODUCT(1*EXACT('Casillas del horario'!$S$4:$S$73,"Profesor de DC en 10-4"&amp;CHAR(31)&amp;$A6&amp;CHAR(31)&amp;B$3))-2)&amp;")",""),IF(ISNA(MATCH(1,INDEX(EXACT('Casillas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/ "&amp;IF(ISBLANK(INDEX('Casillas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10-4"&amp;CHAR(31)&amp;$A6&amp;CHAR(31)&amp;C$3)*1,0),0)))),"",INDEX('Casillas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10-4"&amp;CHAR(31)&amp;$A6&amp;CHAR(31)&amp;C$3)*1,0),0))))&amp;IF(SUMPRODUCT(1*EXACT('Casillas del horario'!$S$4:$S$73,"Profesor de DC en 10-4"&amp;CHAR(31)&amp;$A6&amp;CHAR(31)&amp;C$3))&gt;2," (+"&amp;(SUMPRODUCT(1*EXACT('Casillas del horario'!$S$4:$S$73,"Profesor de DC en 10-4"&amp;CHAR(31)&amp;$A6&amp;CHAR(31)&amp;C$3))-2)&amp;")",""),IF(ISNA(MATCH(1,INDEX(EXACT('Casillas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/ "&amp;IF(ISBLANK(INDEX('Casillas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10-4"&amp;CHAR(31)&amp;$A6&amp;CHAR(31)&amp;D$3)*1,0),0)))),"",INDEX('Casillas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10-4"&amp;CHAR(31)&amp;$A6&amp;CHAR(31)&amp;D$3)*1,0),0))))&amp;IF(SUMPRODUCT(1*EXACT('Casillas del horario'!$S$4:$S$73,"Profesor de DC en 10-4"&amp;CHAR(31)&amp;$A6&amp;CHAR(31)&amp;D$3))&gt;2," (+"&amp;(SUMPRODUCT(1*EXACT('Casillas del horario'!$S$4:$S$73,"Profesor de DC en 10-4"&amp;CHAR(31)&amp;$A6&amp;CHAR(31)&amp;D$3))-2)&amp;")",""),IF(ISNA(MATCH(1,INDEX(EXACT('Casillas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/ "&amp;IF(ISBLANK(INDEX('Casillas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10-4"&amp;CHAR(31)&amp;$A6&amp;CHAR(31)&amp;E$3)*1,0),0)))),"",INDEX('Casillas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10-4"&amp;CHAR(31)&amp;$A6&amp;CHAR(31)&amp;E$3)*1,0),0))))&amp;IF(SUMPRODUCT(1*EXACT('Casillas del horario'!$S$4:$S$73,"Profesor de DC en 10-4"&amp;CHAR(31)&amp;$A6&amp;CHAR(31)&amp;E$3))&gt;2," (+"&amp;(SUMPRODUCT(1*EXACT('Casillas del horario'!$S$4:$S$73,"Profesor de DC en 10-4"&amp;CHAR(31)&amp;$A6&amp;CHAR(31)&amp;E$3))-2)&amp;")",""),IF(ISNA(MATCH(1,INDEX(EXACT('Casillas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/ "&amp;IF(ISBLANK(INDEX('Casillas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10-4"&amp;CHAR(31)&amp;$A6&amp;CHAR(31)&amp;F$3)*1,0),0)))),"",INDEX('Casillas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10-4"&amp;CHAR(31)&amp;$A6&amp;CHAR(31)&amp;F$3)*1,0),0))))&amp;IF(SUMPRODUCT(1*EXACT('Casillas del horario'!$S$4:$S$73,"Profesor de DC en 10-4"&amp;CHAR(31)&amp;$A6&amp;CHAR(31)&amp;F$3))&gt;2," (+"&amp;(SUMPRODUCT(1*EXACT('Casillas del horario'!$S$4:$S$73,"Profesor de DC en 10-4"&amp;CHAR(31)&amp;$A6&amp;CHAR(31)&amp;F$3))-2)&amp;")",""),IF(ISNA(MATCH(1,INDEX(EXACT('Casillas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/ "&amp;IF(ISBLANK(INDEX('Casillas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10-4"&amp;CHAR(31)&amp;$A7&amp;CHAR(31)&amp;B$3)*1,0),0)))),"",INDEX('Casillas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10-4"&amp;CHAR(31)&amp;$A7&amp;CHAR(31)&amp;B$3)*1,0),0))))&amp;IF(SUMPRODUCT(1*EXACT('Casillas del horario'!$S$4:$S$73,"Profesor de DC en 10-4"&amp;CHAR(31)&amp;$A7&amp;CHAR(31)&amp;B$3))&gt;2," (+"&amp;(SUMPRODUCT(1*EXACT('Casillas del horario'!$S$4:$S$73,"Profesor de DC en 10-4"&amp;CHAR(31)&amp;$A7&amp;CHAR(31)&amp;B$3))-2)&amp;")",""),IF(ISNA(MATCH(1,INDEX(EXACT('Casillas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/ "&amp;IF(ISBLANK(INDEX('Casillas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10-4"&amp;CHAR(31)&amp;$A7&amp;CHAR(31)&amp;C$3)*1,0),0)))),"",INDEX('Casillas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10-4"&amp;CHAR(31)&amp;$A7&amp;CHAR(31)&amp;C$3)*1,0),0))))&amp;IF(SUMPRODUCT(1*EXACT('Casillas del horario'!$S$4:$S$73,"Profesor de DC en 10-4"&amp;CHAR(31)&amp;$A7&amp;CHAR(31)&amp;C$3))&gt;2," (+"&amp;(SUMPRODUCT(1*EXACT('Casillas del horario'!$S$4:$S$73,"Profesor de DC en 10-4"&amp;CHAR(31)&amp;$A7&amp;CHAR(31)&amp;C$3))-2)&amp;")",""),IF(ISNA(MATCH(1,INDEX(EXACT('Casillas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/ "&amp;IF(ISBLANK(INDEX('Casillas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10-4"&amp;CHAR(31)&amp;$A7&amp;CHAR(31)&amp;D$3)*1,0),0)))),"",INDEX('Casillas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10-4"&amp;CHAR(31)&amp;$A7&amp;CHAR(31)&amp;D$3)*1,0),0))))&amp;IF(SUMPRODUCT(1*EXACT('Casillas del horario'!$S$4:$S$73,"Profesor de DC en 10-4"&amp;CHAR(31)&amp;$A7&amp;CHAR(31)&amp;D$3))&gt;2," (+"&amp;(SUMPRODUCT(1*EXACT('Casillas del horario'!$S$4:$S$73,"Profesor de DC en 10-4"&amp;CHAR(31)&amp;$A7&amp;CHAR(31)&amp;D$3))-2)&amp;")",""),IF(ISNA(MATCH(1,INDEX(EXACT('Casillas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/ "&amp;IF(ISBLANK(INDEX('Casillas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10-4"&amp;CHAR(31)&amp;$A7&amp;CHAR(31)&amp;E$3)*1,0),0)))),"",INDEX('Casillas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10-4"&amp;CHAR(31)&amp;$A7&amp;CHAR(31)&amp;E$3)*1,0),0))))&amp;IF(SUMPRODUCT(1*EXACT('Casillas del horario'!$S$4:$S$73,"Profesor de DC en 10-4"&amp;CHAR(31)&amp;$A7&amp;CHAR(31)&amp;E$3))&gt;2," (+"&amp;(SUMPRODUCT(1*EXACT('Casillas del horario'!$S$4:$S$73,"Profesor de DC en 10-4"&amp;CHAR(31)&amp;$A7&amp;CHAR(31)&amp;E$3))-2)&amp;")",""),IF(ISNA(MATCH(1,INDEX(EXACT('Casillas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/ "&amp;IF(ISBLANK(INDEX('Casillas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10-4"&amp;CHAR(31)&amp;$A7&amp;CHAR(31)&amp;F$3)*1,0),0)))),"",INDEX('Casillas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10-4"&amp;CHAR(31)&amp;$A7&amp;CHAR(31)&amp;F$3)*1,0),0))))&amp;IF(SUMPRODUCT(1*EXACT('Casillas del horario'!$S$4:$S$73,"Profesor de DC en 10-4"&amp;CHAR(31)&amp;$A7&amp;CHAR(31)&amp;F$3))&gt;2," (+"&amp;(SUMPRODUCT(1*EXACT('Casillas del horario'!$S$4:$S$73,"Profesor de DC en 10-4"&amp;CHAR(31)&amp;$A7&amp;CHAR(31)&amp;F$3))-2)&amp;")",""),IF(ISNA(MATCH(1,INDEX(EXACT('Casillas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/ "&amp;IF(ISBLANK(INDEX('Casillas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10-4"&amp;CHAR(31)&amp;$A8&amp;CHAR(31)&amp;B$3)*1,0),0)))),"",INDEX('Casillas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10-4"&amp;CHAR(31)&amp;$A8&amp;CHAR(31)&amp;B$3)*1,0),0))))&amp;IF(SUMPRODUCT(1*EXACT('Casillas del horario'!$S$4:$S$73,"Profesor de DC en 10-4"&amp;CHAR(31)&amp;$A8&amp;CHAR(31)&amp;B$3))&gt;2," (+"&amp;(SUMPRODUCT(1*EXACT('Casillas del horario'!$S$4:$S$73,"Profesor de DC en 10-4"&amp;CHAR(31)&amp;$A8&amp;CHAR(31)&amp;B$3))-2)&amp;")",""),IF(ISNA(MATCH(1,INDEX(EXACT('Casillas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/ "&amp;IF(ISBLANK(INDEX('Casillas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10-4"&amp;CHAR(31)&amp;$A8&amp;CHAR(31)&amp;C$3)*1,0),0)))),"",INDEX('Casillas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10-4"&amp;CHAR(31)&amp;$A8&amp;CHAR(31)&amp;C$3)*1,0),0))))&amp;IF(SUMPRODUCT(1*EXACT('Casillas del horario'!$S$4:$S$73,"Profesor de DC en 10-4"&amp;CHAR(31)&amp;$A8&amp;CHAR(31)&amp;C$3))&gt;2," (+"&amp;(SUMPRODUCT(1*EXACT('Casillas del horario'!$S$4:$S$73,"Profesor de DC en 10-4"&amp;CHAR(31)&amp;$A8&amp;CHAR(31)&amp;C$3))-2)&amp;")",""),IF(ISNA(MATCH(1,INDEX(EXACT('Casillas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/ "&amp;IF(ISBLANK(INDEX('Casillas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10-4"&amp;CHAR(31)&amp;$A8&amp;CHAR(31)&amp;D$3)*1,0),0)))),"",INDEX('Casillas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10-4"&amp;CHAR(31)&amp;$A8&amp;CHAR(31)&amp;D$3)*1,0),0))))&amp;IF(SUMPRODUCT(1*EXACT('Casillas del horario'!$S$4:$S$73,"Profesor de DC en 10-4"&amp;CHAR(31)&amp;$A8&amp;CHAR(31)&amp;D$3))&gt;2," (+"&amp;(SUMPRODUCT(1*EXACT('Casillas del horario'!$S$4:$S$73,"Profesor de DC en 10-4"&amp;CHAR(31)&amp;$A8&amp;CHAR(31)&amp;D$3))-2)&amp;")",""),IF(ISNA(MATCH(1,INDEX(EXACT('Casillas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/ "&amp;IF(ISBLANK(INDEX('Casillas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10-4"&amp;CHAR(31)&amp;$A8&amp;CHAR(31)&amp;E$3)*1,0),0)))),"",INDEX('Casillas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10-4"&amp;CHAR(31)&amp;$A8&amp;CHAR(31)&amp;E$3)*1,0),0))))&amp;IF(SUMPRODUCT(1*EXACT('Casillas del horario'!$S$4:$S$73,"Profesor de DC en 10-4"&amp;CHAR(31)&amp;$A8&amp;CHAR(31)&amp;E$3))&gt;2," (+"&amp;(SUMPRODUCT(1*EXACT('Casillas del horario'!$S$4:$S$73,"Profesor de DC en 10-4"&amp;CHAR(31)&amp;$A8&amp;CHAR(31)&amp;E$3))-2)&amp;")",""),IF(ISNA(MATCH(1,INDEX(EXACT('Casillas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/ "&amp;IF(ISBLANK(INDEX('Casillas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10-4"&amp;CHAR(31)&amp;$A8&amp;CHAR(31)&amp;F$3)*1,0),0)))),"",INDEX('Casillas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10-4"&amp;CHAR(31)&amp;$A8&amp;CHAR(31)&amp;F$3)*1,0),0))))&amp;IF(SUMPRODUCT(1*EXACT('Casillas del horario'!$S$4:$S$73,"Profesor de DC en 10-4"&amp;CHAR(31)&amp;$A8&amp;CHAR(31)&amp;F$3))&gt;2," (+"&amp;(SUMPRODUCT(1*EXACT('Casillas del horario'!$S$4:$S$73,"Profesor de DC en 10-4"&amp;CHAR(31)&amp;$A8&amp;CHAR(31)&amp;F$3))-2)&amp;")",""),IF(ISNA(MATCH(1,INDEX(EXACT('Casillas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/ "&amp;IF(ISBLANK(INDEX('Casillas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10-4"&amp;CHAR(31)&amp;$A9&amp;CHAR(31)&amp;B$3)*1,0),0)))),"",INDEX('Casillas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10-4"&amp;CHAR(31)&amp;$A9&amp;CHAR(31)&amp;B$3)*1,0),0))))&amp;IF(SUMPRODUCT(1*EXACT('Casillas del horario'!$S$4:$S$73,"Profesor de DC en 10-4"&amp;CHAR(31)&amp;$A9&amp;CHAR(31)&amp;B$3))&gt;2," (+"&amp;(SUMPRODUCT(1*EXACT('Casillas del horario'!$S$4:$S$73,"Profesor de DC en 10-4"&amp;CHAR(31)&amp;$A9&amp;CHAR(31)&amp;B$3))-2)&amp;")",""),IF(ISNA(MATCH(1,INDEX(EXACT('Casillas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/ "&amp;IF(ISBLANK(INDEX('Casillas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10-4"&amp;CHAR(31)&amp;$A9&amp;CHAR(31)&amp;C$3)*1,0),0)))),"",INDEX('Casillas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10-4"&amp;CHAR(31)&amp;$A9&amp;CHAR(31)&amp;C$3)*1,0),0))))&amp;IF(SUMPRODUCT(1*EXACT('Casillas del horario'!$S$4:$S$73,"Profesor de DC en 10-4"&amp;CHAR(31)&amp;$A9&amp;CHAR(31)&amp;C$3))&gt;2," (+"&amp;(SUMPRODUCT(1*EXACT('Casillas del horario'!$S$4:$S$73,"Profesor de DC en 10-4"&amp;CHAR(31)&amp;$A9&amp;CHAR(31)&amp;C$3))-2)&amp;")",""),IF(ISNA(MATCH(1,INDEX(EXACT('Casillas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/ "&amp;IF(ISBLANK(INDEX('Casillas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10-4"&amp;CHAR(31)&amp;$A9&amp;CHAR(31)&amp;D$3)*1,0),0)))),"",INDEX('Casillas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10-4"&amp;CHAR(31)&amp;$A9&amp;CHAR(31)&amp;D$3)*1,0),0))))&amp;IF(SUMPRODUCT(1*EXACT('Casillas del horario'!$S$4:$S$73,"Profesor de DC en 10-4"&amp;CHAR(31)&amp;$A9&amp;CHAR(31)&amp;D$3))&gt;2," (+"&amp;(SUMPRODUCT(1*EXACT('Casillas del horario'!$S$4:$S$73,"Profesor de DC en 10-4"&amp;CHAR(31)&amp;$A9&amp;CHAR(31)&amp;D$3))-2)&amp;")",""),IF(ISNA(MATCH(1,INDEX(EXACT('Casillas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/ "&amp;IF(ISBLANK(INDEX('Casillas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10-4"&amp;CHAR(31)&amp;$A9&amp;CHAR(31)&amp;E$3)*1,0),0)))),"",INDEX('Casillas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10-4"&amp;CHAR(31)&amp;$A9&amp;CHAR(31)&amp;E$3)*1,0),0))))&amp;IF(SUMPRODUCT(1*EXACT('Casillas del horario'!$S$4:$S$73,"Profesor de DC en 10-4"&amp;CHAR(31)&amp;$A9&amp;CHAR(31)&amp;E$3))&gt;2," (+"&amp;(SUMPRODUCT(1*EXACT('Casillas del horario'!$S$4:$S$73,"Profesor de DC en 10-4"&amp;CHAR(31)&amp;$A9&amp;CHAR(31)&amp;E$3))-2)&amp;")",""),IF(ISNA(MATCH(1,INDEX(EXACT('Casillas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/ "&amp;IF(ISBLANK(INDEX('Casillas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10-4"&amp;CHAR(31)&amp;$A9&amp;CHAR(31)&amp;F$3)*1,0),0)))),"",INDEX('Casillas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10-4"&amp;CHAR(31)&amp;$A9&amp;CHAR(31)&amp;F$3)*1,0),0))))&amp;IF(SUMPRODUCT(1*EXACT('Casillas del horario'!$S$4:$S$73,"Profesor de DC en 10-4"&amp;CHAR(31)&amp;$A9&amp;CHAR(31)&amp;F$3))&gt;2," (+"&amp;(SUMPRODUCT(1*EXACT('Casillas del horario'!$S$4:$S$73,"Profesor de DC en 10-4"&amp;CHAR(31)&amp;$A9&amp;CHAR(31)&amp;F$3))-2)&amp;")",""),IF(ISNA(MATCH(1,INDEX(EXACT('Casillas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/ "&amp;IF(ISBLANK(INDEX('Casillas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10-4"&amp;CHAR(31)&amp;$A10&amp;CHAR(31)&amp;B$3)*1,0),0)))),"",INDEX('Casillas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10-4"&amp;CHAR(31)&amp;$A10&amp;CHAR(31)&amp;B$3)*1,0),0))))&amp;IF(SUMPRODUCT(1*EXACT('Casillas del horario'!$S$4:$S$73,"Profesor de DC en 10-4"&amp;CHAR(31)&amp;$A10&amp;CHAR(31)&amp;B$3))&gt;2," (+"&amp;(SUMPRODUCT(1*EXACT('Casillas del horario'!$S$4:$S$73,"Profesor de DC en 10-4"&amp;CHAR(31)&amp;$A10&amp;CHAR(31)&amp;B$3))-2)&amp;")",""),IF(ISNA(MATCH(1,INDEX(EXACT('Casillas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/ "&amp;IF(ISBLANK(INDEX('Casillas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10-4"&amp;CHAR(31)&amp;$A10&amp;CHAR(31)&amp;C$3)*1,0),0)))),"",INDEX('Casillas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10-4"&amp;CHAR(31)&amp;$A10&amp;CHAR(31)&amp;C$3)*1,0),0))))&amp;IF(SUMPRODUCT(1*EXACT('Casillas del horario'!$S$4:$S$73,"Profesor de DC en 10-4"&amp;CHAR(31)&amp;$A10&amp;CHAR(31)&amp;C$3))&gt;2," (+"&amp;(SUMPRODUCT(1*EXACT('Casillas del horario'!$S$4:$S$73,"Profesor de DC en 10-4"&amp;CHAR(31)&amp;$A10&amp;CHAR(31)&amp;C$3))-2)&amp;")",""),IF(ISNA(MATCH(1,INDEX(EXACT('Casillas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/ "&amp;IF(ISBLANK(INDEX('Casillas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10-4"&amp;CHAR(31)&amp;$A10&amp;CHAR(31)&amp;D$3)*1,0),0)))),"",INDEX('Casillas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10-4"&amp;CHAR(31)&amp;$A10&amp;CHAR(31)&amp;D$3)*1,0),0))))&amp;IF(SUMPRODUCT(1*EXACT('Casillas del horario'!$S$4:$S$73,"Profesor de DC en 10-4"&amp;CHAR(31)&amp;$A10&amp;CHAR(31)&amp;D$3))&gt;2," (+"&amp;(SUMPRODUCT(1*EXACT('Casillas del horario'!$S$4:$S$73,"Profesor de DC en 10-4"&amp;CHAR(31)&amp;$A10&amp;CHAR(31)&amp;D$3))-2)&amp;")",""),IF(ISNA(MATCH(1,INDEX(EXACT('Casillas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/ "&amp;IF(ISBLANK(INDEX('Casillas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10-4"&amp;CHAR(31)&amp;$A10&amp;CHAR(31)&amp;E$3)*1,0),0)))),"",INDEX('Casillas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10-4"&amp;CHAR(31)&amp;$A10&amp;CHAR(31)&amp;E$3)*1,0),0))))&amp;IF(SUMPRODUCT(1*EXACT('Casillas del horario'!$S$4:$S$73,"Profesor de DC en 10-4"&amp;CHAR(31)&amp;$A10&amp;CHAR(31)&amp;E$3))&gt;2," (+"&amp;(SUMPRODUCT(1*EXACT('Casillas del horario'!$S$4:$S$73,"Profesor de DC en 10-4"&amp;CHAR(31)&amp;$A10&amp;CHAR(31)&amp;E$3))-2)&amp;")",""),IF(ISNA(MATCH(1,INDEX(EXACT('Casillas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/ "&amp;IF(ISBLANK(INDEX('Casillas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10-4"&amp;CHAR(31)&amp;$A10&amp;CHAR(31)&amp;F$3)*1,0),0)))),"",INDEX('Casillas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10-4"&amp;CHAR(31)&amp;$A10&amp;CHAR(31)&amp;F$3)*1,0),0))))&amp;IF(SUMPRODUCT(1*EXACT('Casillas del horario'!$S$4:$S$73,"Profesor de DC en 10-4"&amp;CHAR(31)&amp;$A10&amp;CHAR(31)&amp;F$3))&gt;2," (+"&amp;(SUMPRODUCT(1*EXACT('Casillas del horario'!$S$4:$S$73,"Profesor de DC en 10-4"&amp;CHAR(31)&amp;$A10&amp;CHAR(31)&amp;F$3))-2)&amp;")",""),IF(ISNA(MATCH(1,INDEX(EXACT('Casillas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/ "&amp;IF(ISBLANK(INDEX('Casillas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10-4"&amp;CHAR(31)&amp;$A4&amp;CHAR(31)&amp;B$3)*1,0),0)))),"",INDEX('Casillas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10-4"&amp;CHAR(31)&amp;$A4&amp;CHAR(31)&amp;B$3)*1,0),0))))&amp;IF(SUMPRODUCT(1*EXACT('Casillas del horario'!$S$4:$S$73,"Profesor de CA en 10-4"&amp;CHAR(31)&amp;$A4&amp;CHAR(31)&amp;B$3))&gt;2," (+"&amp;(SUMPRODUCT(1*EXACT('Casillas del horario'!$S$4:$S$73,"Profesor de CA en 10-4"&amp;CHAR(31)&amp;$A4&amp;CHAR(31)&amp;B$3))-2)&amp;")",""),IF(ISNA(MATCH(1,INDEX(EXACT('Casillas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/ "&amp;IF(ISBLANK(INDEX('Casillas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10-4"&amp;CHAR(31)&amp;$A4&amp;CHAR(31)&amp;C$3)*1,0),0)))),"",INDEX('Casillas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10-4"&amp;CHAR(31)&amp;$A4&amp;CHAR(31)&amp;C$3)*1,0),0))))&amp;IF(SUMPRODUCT(1*EXACT('Casillas del horario'!$S$4:$S$73,"Profesor de CA en 10-4"&amp;CHAR(31)&amp;$A4&amp;CHAR(31)&amp;C$3))&gt;2," (+"&amp;(SUMPRODUCT(1*EXACT('Casillas del horario'!$S$4:$S$73,"Profesor de CA en 10-4"&amp;CHAR(31)&amp;$A4&amp;CHAR(31)&amp;C$3))-2)&amp;")",""),IF(ISNA(MATCH(1,INDEX(EXACT('Casillas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/ "&amp;IF(ISBLANK(INDEX('Casillas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10-4"&amp;CHAR(31)&amp;$A4&amp;CHAR(31)&amp;D$3)*1,0),0)))),"",INDEX('Casillas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10-4"&amp;CHAR(31)&amp;$A4&amp;CHAR(31)&amp;D$3)*1,0),0))))&amp;IF(SUMPRODUCT(1*EXACT('Casillas del horario'!$S$4:$S$73,"Profesor de CA en 10-4"&amp;CHAR(31)&amp;$A4&amp;CHAR(31)&amp;D$3))&gt;2," (+"&amp;(SUMPRODUCT(1*EXACT('Casillas del horario'!$S$4:$S$73,"Profesor de CA en 10-4"&amp;CHAR(31)&amp;$A4&amp;CHAR(31)&amp;D$3))-2)&amp;")",""),IF(ISNA(MATCH(1,INDEX(EXACT('Casillas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/ "&amp;IF(ISBLANK(INDEX('Casillas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10-4"&amp;CHAR(31)&amp;$A4&amp;CHAR(31)&amp;E$3)*1,0),0)))),"",INDEX('Casillas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10-4"&amp;CHAR(31)&amp;$A4&amp;CHAR(31)&amp;E$3)*1,0),0))))&amp;IF(SUMPRODUCT(1*EXACT('Casillas del horario'!$S$4:$S$73,"Profesor de CA en 10-4"&amp;CHAR(31)&amp;$A4&amp;CHAR(31)&amp;E$3))&gt;2," (+"&amp;(SUMPRODUCT(1*EXACT('Casillas del horario'!$S$4:$S$73,"Profesor de CA en 10-4"&amp;CHAR(31)&amp;$A4&amp;CHAR(31)&amp;E$3))-2)&amp;")",""),IF(ISNA(MATCH(1,INDEX(EXACT('Casillas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/ "&amp;IF(ISBLANK(INDEX('Casillas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10-4"&amp;CHAR(31)&amp;$A4&amp;CHAR(31)&amp;F$3)*1,0),0)))),"",INDEX('Casillas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10-4"&amp;CHAR(31)&amp;$A4&amp;CHAR(31)&amp;F$3)*1,0),0))))&amp;IF(SUMPRODUCT(1*EXACT('Casillas del horario'!$S$4:$S$73,"Profesor de CA en 10-4"&amp;CHAR(31)&amp;$A4&amp;CHAR(31)&amp;F$3))&gt;2," (+"&amp;(SUMPRODUCT(1*EXACT('Casillas del horario'!$S$4:$S$73,"Profesor de CA en 10-4"&amp;CHAR(31)&amp;$A4&amp;CHAR(31)&amp;F$3))-2)&amp;")",""),IF(ISNA(MATCH(1,INDEX(EXACT('Casillas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/ "&amp;IF(ISBLANK(INDEX('Casillas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10-4"&amp;CHAR(31)&amp;$A5&amp;CHAR(31)&amp;B$3)*1,0),0)))),"",INDEX('Casillas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10-4"&amp;CHAR(31)&amp;$A5&amp;CHAR(31)&amp;B$3)*1,0),0))))&amp;IF(SUMPRODUCT(1*EXACT('Casillas del horario'!$S$4:$S$73,"Profesor de CA en 10-4"&amp;CHAR(31)&amp;$A5&amp;CHAR(31)&amp;B$3))&gt;2," (+"&amp;(SUMPRODUCT(1*EXACT('Casillas del horario'!$S$4:$S$73,"Profesor de CA en 10-4"&amp;CHAR(31)&amp;$A5&amp;CHAR(31)&amp;B$3))-2)&amp;")",""),IF(ISNA(MATCH(1,INDEX(EXACT('Casillas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/ "&amp;IF(ISBLANK(INDEX('Casillas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10-4"&amp;CHAR(31)&amp;$A5&amp;CHAR(31)&amp;C$3)*1,0),0)))),"",INDEX('Casillas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10-4"&amp;CHAR(31)&amp;$A5&amp;CHAR(31)&amp;C$3)*1,0),0))))&amp;IF(SUMPRODUCT(1*EXACT('Casillas del horario'!$S$4:$S$73,"Profesor de CA en 10-4"&amp;CHAR(31)&amp;$A5&amp;CHAR(31)&amp;C$3))&gt;2," (+"&amp;(SUMPRODUCT(1*EXACT('Casillas del horario'!$S$4:$S$73,"Profesor de CA en 10-4"&amp;CHAR(31)&amp;$A5&amp;CHAR(31)&amp;C$3))-2)&amp;")",""),IF(ISNA(MATCH(1,INDEX(EXACT('Casillas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/ "&amp;IF(ISBLANK(INDEX('Casillas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10-4"&amp;CHAR(31)&amp;$A5&amp;CHAR(31)&amp;D$3)*1,0),0)))),"",INDEX('Casillas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10-4"&amp;CHAR(31)&amp;$A5&amp;CHAR(31)&amp;D$3)*1,0),0))))&amp;IF(SUMPRODUCT(1*EXACT('Casillas del horario'!$S$4:$S$73,"Profesor de CA en 10-4"&amp;CHAR(31)&amp;$A5&amp;CHAR(31)&amp;D$3))&gt;2," (+"&amp;(SUMPRODUCT(1*EXACT('Casillas del horario'!$S$4:$S$73,"Profesor de CA en 10-4"&amp;CHAR(31)&amp;$A5&amp;CHAR(31)&amp;D$3))-2)&amp;")",""),IF(ISNA(MATCH(1,INDEX(EXACT('Casillas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/ "&amp;IF(ISBLANK(INDEX('Casillas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10-4"&amp;CHAR(31)&amp;$A5&amp;CHAR(31)&amp;E$3)*1,0),0)))),"",INDEX('Casillas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10-4"&amp;CHAR(31)&amp;$A5&amp;CHAR(31)&amp;E$3)*1,0),0))))&amp;IF(SUMPRODUCT(1*EXACT('Casillas del horario'!$S$4:$S$73,"Profesor de CA en 10-4"&amp;CHAR(31)&amp;$A5&amp;CHAR(31)&amp;E$3))&gt;2," (+"&amp;(SUMPRODUCT(1*EXACT('Casillas del horario'!$S$4:$S$73,"Profesor de CA en 10-4"&amp;CHAR(31)&amp;$A5&amp;CHAR(31)&amp;E$3))-2)&amp;")",""),IF(ISNA(MATCH(1,INDEX(EXACT('Casillas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/ "&amp;IF(ISBLANK(INDEX('Casillas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10-4"&amp;CHAR(31)&amp;$A5&amp;CHAR(31)&amp;F$3)*1,0),0)))),"",INDEX('Casillas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10-4"&amp;CHAR(31)&amp;$A5&amp;CHAR(31)&amp;F$3)*1,0),0))))&amp;IF(SUMPRODUCT(1*EXACT('Casillas del horario'!$S$4:$S$73,"Profesor de CA en 10-4"&amp;CHAR(31)&amp;$A5&amp;CHAR(31)&amp;F$3))&gt;2," (+"&amp;(SUMPRODUCT(1*EXACT('Casillas del horario'!$S$4:$S$73,"Profesor de CA en 10-4"&amp;CHAR(31)&amp;$A5&amp;CHAR(31)&amp;F$3))-2)&amp;")",""),IF(ISNA(MATCH(1,INDEX(EXACT('Casillas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/ "&amp;IF(ISBLANK(INDEX('Casillas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10-4"&amp;CHAR(31)&amp;$A6&amp;CHAR(31)&amp;B$3)*1,0),0)))),"",INDEX('Casillas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10-4"&amp;CHAR(31)&amp;$A6&amp;CHAR(31)&amp;B$3)*1,0),0))))&amp;IF(SUMPRODUCT(1*EXACT('Casillas del horario'!$S$4:$S$73,"Profesor de CA en 10-4"&amp;CHAR(31)&amp;$A6&amp;CHAR(31)&amp;B$3))&gt;2," (+"&amp;(SUMPRODUCT(1*EXACT('Casillas del horario'!$S$4:$S$73,"Profesor de CA en 10-4"&amp;CHAR(31)&amp;$A6&amp;CHAR(31)&amp;B$3))-2)&amp;")",""),IF(ISNA(MATCH(1,INDEX(EXACT('Casillas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/ "&amp;IF(ISBLANK(INDEX('Casillas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10-4"&amp;CHAR(31)&amp;$A6&amp;CHAR(31)&amp;C$3)*1,0),0)))),"",INDEX('Casillas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10-4"&amp;CHAR(31)&amp;$A6&amp;CHAR(31)&amp;C$3)*1,0),0))))&amp;IF(SUMPRODUCT(1*EXACT('Casillas del horario'!$S$4:$S$73,"Profesor de CA en 10-4"&amp;CHAR(31)&amp;$A6&amp;CHAR(31)&amp;C$3))&gt;2," (+"&amp;(SUMPRODUCT(1*EXACT('Casillas del horario'!$S$4:$S$73,"Profesor de CA en 10-4"&amp;CHAR(31)&amp;$A6&amp;CHAR(31)&amp;C$3))-2)&amp;")",""),IF(ISNA(MATCH(1,INDEX(EXACT('Casillas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/ "&amp;IF(ISBLANK(INDEX('Casillas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10-4"&amp;CHAR(31)&amp;$A6&amp;CHAR(31)&amp;D$3)*1,0),0)))),"",INDEX('Casillas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10-4"&amp;CHAR(31)&amp;$A6&amp;CHAR(31)&amp;D$3)*1,0),0))))&amp;IF(SUMPRODUCT(1*EXACT('Casillas del horario'!$S$4:$S$73,"Profesor de CA en 10-4"&amp;CHAR(31)&amp;$A6&amp;CHAR(31)&amp;D$3))&gt;2," (+"&amp;(SUMPRODUCT(1*EXACT('Casillas del horario'!$S$4:$S$73,"Profesor de CA en 10-4"&amp;CHAR(31)&amp;$A6&amp;CHAR(31)&amp;D$3))-2)&amp;")",""),IF(ISNA(MATCH(1,INDEX(EXACT('Casillas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/ "&amp;IF(ISBLANK(INDEX('Casillas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10-4"&amp;CHAR(31)&amp;$A6&amp;CHAR(31)&amp;E$3)*1,0),0)))),"",INDEX('Casillas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10-4"&amp;CHAR(31)&amp;$A6&amp;CHAR(31)&amp;E$3)*1,0),0))))&amp;IF(SUMPRODUCT(1*EXACT('Casillas del horario'!$S$4:$S$73,"Profesor de CA en 10-4"&amp;CHAR(31)&amp;$A6&amp;CHAR(31)&amp;E$3))&gt;2," (+"&amp;(SUMPRODUCT(1*EXACT('Casillas del horario'!$S$4:$S$73,"Profesor de CA en 10-4"&amp;CHAR(31)&amp;$A6&amp;CHAR(31)&amp;E$3))-2)&amp;")",""),IF(ISNA(MATCH(1,INDEX(EXACT('Casillas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/ "&amp;IF(ISBLANK(INDEX('Casillas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10-4"&amp;CHAR(31)&amp;$A6&amp;CHAR(31)&amp;F$3)*1,0),0)))),"",INDEX('Casillas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10-4"&amp;CHAR(31)&amp;$A6&amp;CHAR(31)&amp;F$3)*1,0),0))))&amp;IF(SUMPRODUCT(1*EXACT('Casillas del horario'!$S$4:$S$73,"Profesor de CA en 10-4"&amp;CHAR(31)&amp;$A6&amp;CHAR(31)&amp;F$3))&gt;2," (+"&amp;(SUMPRODUCT(1*EXACT('Casillas del horario'!$S$4:$S$73,"Profesor de CA en 10-4"&amp;CHAR(31)&amp;$A6&amp;CHAR(31)&amp;F$3))-2)&amp;")",""),IF(ISNA(MATCH(1,INDEX(EXACT('Casillas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/ "&amp;IF(ISBLANK(INDEX('Casillas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10-4"&amp;CHAR(31)&amp;$A7&amp;CHAR(31)&amp;B$3)*1,0),0)))),"",INDEX('Casillas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10-4"&amp;CHAR(31)&amp;$A7&amp;CHAR(31)&amp;B$3)*1,0),0))))&amp;IF(SUMPRODUCT(1*EXACT('Casillas del horario'!$S$4:$S$73,"Profesor de CA en 10-4"&amp;CHAR(31)&amp;$A7&amp;CHAR(31)&amp;B$3))&gt;2," (+"&amp;(SUMPRODUCT(1*EXACT('Casillas del horario'!$S$4:$S$73,"Profesor de CA en 10-4"&amp;CHAR(31)&amp;$A7&amp;CHAR(31)&amp;B$3))-2)&amp;")",""),IF(ISNA(MATCH(1,INDEX(EXACT('Casillas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/ "&amp;IF(ISBLANK(INDEX('Casillas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10-4"&amp;CHAR(31)&amp;$A7&amp;CHAR(31)&amp;C$3)*1,0),0)))),"",INDEX('Casillas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10-4"&amp;CHAR(31)&amp;$A7&amp;CHAR(31)&amp;C$3)*1,0),0))))&amp;IF(SUMPRODUCT(1*EXACT('Casillas del horario'!$S$4:$S$73,"Profesor de CA en 10-4"&amp;CHAR(31)&amp;$A7&amp;CHAR(31)&amp;C$3))&gt;2," (+"&amp;(SUMPRODUCT(1*EXACT('Casillas del horario'!$S$4:$S$73,"Profesor de CA en 10-4"&amp;CHAR(31)&amp;$A7&amp;CHAR(31)&amp;C$3))-2)&amp;")",""),IF(ISNA(MATCH(1,INDEX(EXACT('Casillas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/ "&amp;IF(ISBLANK(INDEX('Casillas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10-4"&amp;CHAR(31)&amp;$A7&amp;CHAR(31)&amp;D$3)*1,0),0)))),"",INDEX('Casillas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10-4"&amp;CHAR(31)&amp;$A7&amp;CHAR(31)&amp;D$3)*1,0),0))))&amp;IF(SUMPRODUCT(1*EXACT('Casillas del horario'!$S$4:$S$73,"Profesor de CA en 10-4"&amp;CHAR(31)&amp;$A7&amp;CHAR(31)&amp;D$3))&gt;2," (+"&amp;(SUMPRODUCT(1*EXACT('Casillas del horario'!$S$4:$S$73,"Profesor de CA en 10-4"&amp;CHAR(31)&amp;$A7&amp;CHAR(31)&amp;D$3))-2)&amp;")",""),IF(ISNA(MATCH(1,INDEX(EXACT('Casillas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/ "&amp;IF(ISBLANK(INDEX('Casillas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10-4"&amp;CHAR(31)&amp;$A7&amp;CHAR(31)&amp;E$3)*1,0),0)))),"",INDEX('Casillas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10-4"&amp;CHAR(31)&amp;$A7&amp;CHAR(31)&amp;E$3)*1,0),0))))&amp;IF(SUMPRODUCT(1*EXACT('Casillas del horario'!$S$4:$S$73,"Profesor de CA en 10-4"&amp;CHAR(31)&amp;$A7&amp;CHAR(31)&amp;E$3))&gt;2," (+"&amp;(SUMPRODUCT(1*EXACT('Casillas del horario'!$S$4:$S$73,"Profesor de CA en 10-4"&amp;CHAR(31)&amp;$A7&amp;CHAR(31)&amp;E$3))-2)&amp;")",""),IF(ISNA(MATCH(1,INDEX(EXACT('Casillas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/ "&amp;IF(ISBLANK(INDEX('Casillas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10-4"&amp;CHAR(31)&amp;$A7&amp;CHAR(31)&amp;F$3)*1,0),0)))),"",INDEX('Casillas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10-4"&amp;CHAR(31)&amp;$A7&amp;CHAR(31)&amp;F$3)*1,0),0))))&amp;IF(SUMPRODUCT(1*EXACT('Casillas del horario'!$S$4:$S$73,"Profesor de CA en 10-4"&amp;CHAR(31)&amp;$A7&amp;CHAR(31)&amp;F$3))&gt;2," (+"&amp;(SUMPRODUCT(1*EXACT('Casillas del horario'!$S$4:$S$73,"Profesor de CA en 10-4"&amp;CHAR(31)&amp;$A7&amp;CHAR(31)&amp;F$3))-2)&amp;")",""),IF(ISNA(MATCH(1,INDEX(EXACT('Casillas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/ "&amp;IF(ISBLANK(INDEX('Casillas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10-4"&amp;CHAR(31)&amp;$A8&amp;CHAR(31)&amp;B$3)*1,0),0)))),"",INDEX('Casillas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10-4"&amp;CHAR(31)&amp;$A8&amp;CHAR(31)&amp;B$3)*1,0),0))))&amp;IF(SUMPRODUCT(1*EXACT('Casillas del horario'!$S$4:$S$73,"Profesor de CA en 10-4"&amp;CHAR(31)&amp;$A8&amp;CHAR(31)&amp;B$3))&gt;2," (+"&amp;(SUMPRODUCT(1*EXACT('Casillas del horario'!$S$4:$S$73,"Profesor de CA en 10-4"&amp;CHAR(31)&amp;$A8&amp;CHAR(31)&amp;B$3))-2)&amp;")",""),IF(ISNA(MATCH(1,INDEX(EXACT('Casillas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/ "&amp;IF(ISBLANK(INDEX('Casillas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10-4"&amp;CHAR(31)&amp;$A8&amp;CHAR(31)&amp;C$3)*1,0),0)))),"",INDEX('Casillas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10-4"&amp;CHAR(31)&amp;$A8&amp;CHAR(31)&amp;C$3)*1,0),0))))&amp;IF(SUMPRODUCT(1*EXACT('Casillas del horario'!$S$4:$S$73,"Profesor de CA en 10-4"&amp;CHAR(31)&amp;$A8&amp;CHAR(31)&amp;C$3))&gt;2," (+"&amp;(SUMPRODUCT(1*EXACT('Casillas del horario'!$S$4:$S$73,"Profesor de CA en 10-4"&amp;CHAR(31)&amp;$A8&amp;CHAR(31)&amp;C$3))-2)&amp;")",""),IF(ISNA(MATCH(1,INDEX(EXACT('Casillas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/ "&amp;IF(ISBLANK(INDEX('Casillas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10-4"&amp;CHAR(31)&amp;$A8&amp;CHAR(31)&amp;D$3)*1,0),0)))),"",INDEX('Casillas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10-4"&amp;CHAR(31)&amp;$A8&amp;CHAR(31)&amp;D$3)*1,0),0))))&amp;IF(SUMPRODUCT(1*EXACT('Casillas del horario'!$S$4:$S$73,"Profesor de CA en 10-4"&amp;CHAR(31)&amp;$A8&amp;CHAR(31)&amp;D$3))&gt;2," (+"&amp;(SUMPRODUCT(1*EXACT('Casillas del horario'!$S$4:$S$73,"Profesor de CA en 10-4"&amp;CHAR(31)&amp;$A8&amp;CHAR(31)&amp;D$3))-2)&amp;")",""),IF(ISNA(MATCH(1,INDEX(EXACT('Casillas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/ "&amp;IF(ISBLANK(INDEX('Casillas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10-4"&amp;CHAR(31)&amp;$A8&amp;CHAR(31)&amp;E$3)*1,0),0)))),"",INDEX('Casillas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10-4"&amp;CHAR(31)&amp;$A8&amp;CHAR(31)&amp;E$3)*1,0),0))))&amp;IF(SUMPRODUCT(1*EXACT('Casillas del horario'!$S$4:$S$73,"Profesor de CA en 10-4"&amp;CHAR(31)&amp;$A8&amp;CHAR(31)&amp;E$3))&gt;2," (+"&amp;(SUMPRODUCT(1*EXACT('Casillas del horario'!$S$4:$S$73,"Profesor de CA en 10-4"&amp;CHAR(31)&amp;$A8&amp;CHAR(31)&amp;E$3))-2)&amp;")",""),IF(ISNA(MATCH(1,INDEX(EXACT('Casillas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/ "&amp;IF(ISBLANK(INDEX('Casillas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10-4"&amp;CHAR(31)&amp;$A8&amp;CHAR(31)&amp;F$3)*1,0),0)))),"",INDEX('Casillas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10-4"&amp;CHAR(31)&amp;$A8&amp;CHAR(31)&amp;F$3)*1,0),0))))&amp;IF(SUMPRODUCT(1*EXACT('Casillas del horario'!$S$4:$S$73,"Profesor de CA en 10-4"&amp;CHAR(31)&amp;$A8&amp;CHAR(31)&amp;F$3))&gt;2," (+"&amp;(SUMPRODUCT(1*EXACT('Casillas del horario'!$S$4:$S$73,"Profesor de CA en 10-4"&amp;CHAR(31)&amp;$A8&amp;CHAR(31)&amp;F$3))-2)&amp;")",""),IF(ISNA(MATCH(1,INDEX(EXACT('Casillas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/ "&amp;IF(ISBLANK(INDEX('Casillas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10-4"&amp;CHAR(31)&amp;$A9&amp;CHAR(31)&amp;B$3)*1,0),0)))),"",INDEX('Casillas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10-4"&amp;CHAR(31)&amp;$A9&amp;CHAR(31)&amp;B$3)*1,0),0))))&amp;IF(SUMPRODUCT(1*EXACT('Casillas del horario'!$S$4:$S$73,"Profesor de CA en 10-4"&amp;CHAR(31)&amp;$A9&amp;CHAR(31)&amp;B$3))&gt;2," (+"&amp;(SUMPRODUCT(1*EXACT('Casillas del horario'!$S$4:$S$73,"Profesor de CA en 10-4"&amp;CHAR(31)&amp;$A9&amp;CHAR(31)&amp;B$3))-2)&amp;")",""),IF(ISNA(MATCH(1,INDEX(EXACT('Casillas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/ "&amp;IF(ISBLANK(INDEX('Casillas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10-4"&amp;CHAR(31)&amp;$A9&amp;CHAR(31)&amp;C$3)*1,0),0)))),"",INDEX('Casillas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10-4"&amp;CHAR(31)&amp;$A9&amp;CHAR(31)&amp;C$3)*1,0),0))))&amp;IF(SUMPRODUCT(1*EXACT('Casillas del horario'!$S$4:$S$73,"Profesor de CA en 10-4"&amp;CHAR(31)&amp;$A9&amp;CHAR(31)&amp;C$3))&gt;2," (+"&amp;(SUMPRODUCT(1*EXACT('Casillas del horario'!$S$4:$S$73,"Profesor de CA en 10-4"&amp;CHAR(31)&amp;$A9&amp;CHAR(31)&amp;C$3))-2)&amp;")",""),IF(ISNA(MATCH(1,INDEX(EXACT('Casillas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/ "&amp;IF(ISBLANK(INDEX('Casillas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10-4"&amp;CHAR(31)&amp;$A9&amp;CHAR(31)&amp;D$3)*1,0),0)))),"",INDEX('Casillas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10-4"&amp;CHAR(31)&amp;$A9&amp;CHAR(31)&amp;D$3)*1,0),0))))&amp;IF(SUMPRODUCT(1*EXACT('Casillas del horario'!$S$4:$S$73,"Profesor de CA en 10-4"&amp;CHAR(31)&amp;$A9&amp;CHAR(31)&amp;D$3))&gt;2," (+"&amp;(SUMPRODUCT(1*EXACT('Casillas del horario'!$S$4:$S$73,"Profesor de CA en 10-4"&amp;CHAR(31)&amp;$A9&amp;CHAR(31)&amp;D$3))-2)&amp;")",""),IF(ISNA(MATCH(1,INDEX(EXACT('Casillas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/ "&amp;IF(ISBLANK(INDEX('Casillas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10-4"&amp;CHAR(31)&amp;$A9&amp;CHAR(31)&amp;E$3)*1,0),0)))),"",INDEX('Casillas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10-4"&amp;CHAR(31)&amp;$A9&amp;CHAR(31)&amp;E$3)*1,0),0))))&amp;IF(SUMPRODUCT(1*EXACT('Casillas del horario'!$S$4:$S$73,"Profesor de CA en 10-4"&amp;CHAR(31)&amp;$A9&amp;CHAR(31)&amp;E$3))&gt;2," (+"&amp;(SUMPRODUCT(1*EXACT('Casillas del horario'!$S$4:$S$73,"Profesor de CA en 10-4"&amp;CHAR(31)&amp;$A9&amp;CHAR(31)&amp;E$3))-2)&amp;")",""),IF(ISNA(MATCH(1,INDEX(EXACT('Casillas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/ "&amp;IF(ISBLANK(INDEX('Casillas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10-4"&amp;CHAR(31)&amp;$A9&amp;CHAR(31)&amp;F$3)*1,0),0)))),"",INDEX('Casillas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10-4"&amp;CHAR(31)&amp;$A9&amp;CHAR(31)&amp;F$3)*1,0),0))))&amp;IF(SUMPRODUCT(1*EXACT('Casillas del horario'!$S$4:$S$73,"Profesor de CA en 10-4"&amp;CHAR(31)&amp;$A9&amp;CHAR(31)&amp;F$3))&gt;2," (+"&amp;(SUMPRODUCT(1*EXACT('Casillas del horario'!$S$4:$S$73,"Profesor de CA en 10-4"&amp;CHAR(31)&amp;$A9&amp;CHAR(31)&amp;F$3))-2)&amp;")",""),IF(ISNA(MATCH(1,INDEX(EXACT('Casillas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/ "&amp;IF(ISBLANK(INDEX('Casillas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10-4"&amp;CHAR(31)&amp;$A10&amp;CHAR(31)&amp;B$3)*1,0),0)))),"",INDEX('Casillas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10-4"&amp;CHAR(31)&amp;$A10&amp;CHAR(31)&amp;B$3)*1,0),0))))&amp;IF(SUMPRODUCT(1*EXACT('Casillas del horario'!$S$4:$S$73,"Profesor de CA en 10-4"&amp;CHAR(31)&amp;$A10&amp;CHAR(31)&amp;B$3))&gt;2," (+"&amp;(SUMPRODUCT(1*EXACT('Casillas del horario'!$S$4:$S$73,"Profesor de CA en 10-4"&amp;CHAR(31)&amp;$A10&amp;CHAR(31)&amp;B$3))-2)&amp;")",""),IF(ISNA(MATCH(1,INDEX(EXACT('Casillas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/ "&amp;IF(ISBLANK(INDEX('Casillas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10-4"&amp;CHAR(31)&amp;$A10&amp;CHAR(31)&amp;C$3)*1,0),0)))),"",INDEX('Casillas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10-4"&amp;CHAR(31)&amp;$A10&amp;CHAR(31)&amp;C$3)*1,0),0))))&amp;IF(SUMPRODUCT(1*EXACT('Casillas del horario'!$S$4:$S$73,"Profesor de CA en 10-4"&amp;CHAR(31)&amp;$A10&amp;CHAR(31)&amp;C$3))&gt;2," (+"&amp;(SUMPRODUCT(1*EXACT('Casillas del horario'!$S$4:$S$73,"Profesor de CA en 10-4"&amp;CHAR(31)&amp;$A10&amp;CHAR(31)&amp;C$3))-2)&amp;")",""),IF(ISNA(MATCH(1,INDEX(EXACT('Casillas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/ "&amp;IF(ISBLANK(INDEX('Casillas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10-4"&amp;CHAR(31)&amp;$A10&amp;CHAR(31)&amp;D$3)*1,0),0)))),"",INDEX('Casillas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10-4"&amp;CHAR(31)&amp;$A10&amp;CHAR(31)&amp;D$3)*1,0),0))))&amp;IF(SUMPRODUCT(1*EXACT('Casillas del horario'!$S$4:$S$73,"Profesor de CA en 10-4"&amp;CHAR(31)&amp;$A10&amp;CHAR(31)&amp;D$3))&gt;2," (+"&amp;(SUMPRODUCT(1*EXACT('Casillas del horario'!$S$4:$S$73,"Profesor de CA en 10-4"&amp;CHAR(31)&amp;$A10&amp;CHAR(31)&amp;D$3))-2)&amp;")",""),IF(ISNA(MATCH(1,INDEX(EXACT('Casillas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/ "&amp;IF(ISBLANK(INDEX('Casillas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10-4"&amp;CHAR(31)&amp;$A10&amp;CHAR(31)&amp;E$3)*1,0),0)))),"",INDEX('Casillas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10-4"&amp;CHAR(31)&amp;$A10&amp;CHAR(31)&amp;E$3)*1,0),0))))&amp;IF(SUMPRODUCT(1*EXACT('Casillas del horario'!$S$4:$S$73,"Profesor de CA en 10-4"&amp;CHAR(31)&amp;$A10&amp;CHAR(31)&amp;E$3))&gt;2," (+"&amp;(SUMPRODUCT(1*EXACT('Casillas del horario'!$S$4:$S$73,"Profesor de CA en 10-4"&amp;CHAR(31)&amp;$A10&amp;CHAR(31)&amp;E$3))-2)&amp;")",""),IF(ISNA(MATCH(1,INDEX(EXACT('Casillas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/ "&amp;IF(ISBLANK(INDEX('Casillas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10-4"&amp;CHAR(31)&amp;$A10&amp;CHAR(31)&amp;F$3)*1,0),0)))),"",INDEX('Casillas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10-4"&amp;CHAR(31)&amp;$A10&amp;CHAR(31)&amp;F$3)*1,0),0))))&amp;IF(SUMPRODUCT(1*EXACT('Casillas del horario'!$S$4:$S$73,"Profesor de CA en 10-4"&amp;CHAR(31)&amp;$A10&amp;CHAR(31)&amp;F$3))&gt;2," (+"&amp;(SUMPRODUCT(1*EXACT('Casillas del horario'!$S$4:$S$73,"Profesor de CA en 10-4"&amp;CHAR(31)&amp;$A10&amp;CHAR(31)&amp;F$3))-2)&amp;")",""),IF(ISNA(MATCH(1,INDEX(EXACT('Casillas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/ "&amp;IF(ISBLANK(INDEX('Casillas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10-4"&amp;CHAR(31)&amp;$A4&amp;CHAR(31)&amp;B$3)*1,0),0)))),"",INDEX('Casillas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10-4"&amp;CHAR(31)&amp;$A4&amp;CHAR(31)&amp;B$3)*1,0),0))))&amp;IF(SUMPRODUCT(1*EXACT('Casillas del horario'!$S$4:$S$73,"Profesor de RD en 10-4"&amp;CHAR(31)&amp;$A4&amp;CHAR(31)&amp;B$3))&gt;2," (+"&amp;(SUMPRODUCT(1*EXACT('Casillas del horario'!$S$4:$S$73,"Profesor de RD en 10-4"&amp;CHAR(31)&amp;$A4&amp;CHAR(31)&amp;B$3))-2)&amp;")",""),IF(ISNA(MATCH(1,INDEX(EXACT('Casillas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/ "&amp;IF(ISBLANK(INDEX('Casillas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10-4"&amp;CHAR(31)&amp;$A4&amp;CHAR(31)&amp;C$3)*1,0),0)))),"",INDEX('Casillas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10-4"&amp;CHAR(31)&amp;$A4&amp;CHAR(31)&amp;C$3)*1,0),0))))&amp;IF(SUMPRODUCT(1*EXACT('Casillas del horario'!$S$4:$S$73,"Profesor de RD en 10-4"&amp;CHAR(31)&amp;$A4&amp;CHAR(31)&amp;C$3))&gt;2," (+"&amp;(SUMPRODUCT(1*EXACT('Casillas del horario'!$S$4:$S$73,"Profesor de RD en 10-4"&amp;CHAR(31)&amp;$A4&amp;CHAR(31)&amp;C$3))-2)&amp;")",""),IF(ISNA(MATCH(1,INDEX(EXACT('Casillas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/ "&amp;IF(ISBLANK(INDEX('Casillas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10-4"&amp;CHAR(31)&amp;$A4&amp;CHAR(31)&amp;D$3)*1,0),0)))),"",INDEX('Casillas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10-4"&amp;CHAR(31)&amp;$A4&amp;CHAR(31)&amp;D$3)*1,0),0))))&amp;IF(SUMPRODUCT(1*EXACT('Casillas del horario'!$S$4:$S$73,"Profesor de RD en 10-4"&amp;CHAR(31)&amp;$A4&amp;CHAR(31)&amp;D$3))&gt;2," (+"&amp;(SUMPRODUCT(1*EXACT('Casillas del horario'!$S$4:$S$73,"Profesor de RD en 10-4"&amp;CHAR(31)&amp;$A4&amp;CHAR(31)&amp;D$3))-2)&amp;")",""),IF(ISNA(MATCH(1,INDEX(EXACT('Casillas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/ "&amp;IF(ISBLANK(INDEX('Casillas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10-4"&amp;CHAR(31)&amp;$A4&amp;CHAR(31)&amp;E$3)*1,0),0)))),"",INDEX('Casillas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10-4"&amp;CHAR(31)&amp;$A4&amp;CHAR(31)&amp;E$3)*1,0),0))))&amp;IF(SUMPRODUCT(1*EXACT('Casillas del horario'!$S$4:$S$73,"Profesor de RD en 10-4"&amp;CHAR(31)&amp;$A4&amp;CHAR(31)&amp;E$3))&gt;2," (+"&amp;(SUMPRODUCT(1*EXACT('Casillas del horario'!$S$4:$S$73,"Profesor de RD en 10-4"&amp;CHAR(31)&amp;$A4&amp;CHAR(31)&amp;E$3))-2)&amp;")",""),IF(ISNA(MATCH(1,INDEX(EXACT('Casillas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/ "&amp;IF(ISBLANK(INDEX('Casillas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10-4"&amp;CHAR(31)&amp;$A4&amp;CHAR(31)&amp;F$3)*1,0),0)))),"",INDEX('Casillas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10-4"&amp;CHAR(31)&amp;$A4&amp;CHAR(31)&amp;F$3)*1,0),0))))&amp;IF(SUMPRODUCT(1*EXACT('Casillas del horario'!$S$4:$S$73,"Profesor de RD en 10-4"&amp;CHAR(31)&amp;$A4&amp;CHAR(31)&amp;F$3))&gt;2," (+"&amp;(SUMPRODUCT(1*EXACT('Casillas del horario'!$S$4:$S$73,"Profesor de RD en 10-4"&amp;CHAR(31)&amp;$A4&amp;CHAR(31)&amp;F$3))-2)&amp;")",""),IF(ISNA(MATCH(1,INDEX(EXACT('Casillas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/ "&amp;IF(ISBLANK(INDEX('Casillas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10-4"&amp;CHAR(31)&amp;$A5&amp;CHAR(31)&amp;B$3)*1,0),0)))),"",INDEX('Casillas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10-4"&amp;CHAR(31)&amp;$A5&amp;CHAR(31)&amp;B$3)*1,0),0))))&amp;IF(SUMPRODUCT(1*EXACT('Casillas del horario'!$S$4:$S$73,"Profesor de RD en 10-4"&amp;CHAR(31)&amp;$A5&amp;CHAR(31)&amp;B$3))&gt;2," (+"&amp;(SUMPRODUCT(1*EXACT('Casillas del horario'!$S$4:$S$73,"Profesor de RD en 10-4"&amp;CHAR(31)&amp;$A5&amp;CHAR(31)&amp;B$3))-2)&amp;")",""),IF(ISNA(MATCH(1,INDEX(EXACT('Casillas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/ "&amp;IF(ISBLANK(INDEX('Casillas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10-4"&amp;CHAR(31)&amp;$A5&amp;CHAR(31)&amp;C$3)*1,0),0)))),"",INDEX('Casillas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10-4"&amp;CHAR(31)&amp;$A5&amp;CHAR(31)&amp;C$3)*1,0),0))))&amp;IF(SUMPRODUCT(1*EXACT('Casillas del horario'!$S$4:$S$73,"Profesor de RD en 10-4"&amp;CHAR(31)&amp;$A5&amp;CHAR(31)&amp;C$3))&gt;2," (+"&amp;(SUMPRODUCT(1*EXACT('Casillas del horario'!$S$4:$S$73,"Profesor de RD en 10-4"&amp;CHAR(31)&amp;$A5&amp;CHAR(31)&amp;C$3))-2)&amp;")",""),IF(ISNA(MATCH(1,INDEX(EXACT('Casillas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/ "&amp;IF(ISBLANK(INDEX('Casillas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10-4"&amp;CHAR(31)&amp;$A5&amp;CHAR(31)&amp;D$3)*1,0),0)))),"",INDEX('Casillas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10-4"&amp;CHAR(31)&amp;$A5&amp;CHAR(31)&amp;D$3)*1,0),0))))&amp;IF(SUMPRODUCT(1*EXACT('Casillas del horario'!$S$4:$S$73,"Profesor de RD en 10-4"&amp;CHAR(31)&amp;$A5&amp;CHAR(31)&amp;D$3))&gt;2," (+"&amp;(SUMPRODUCT(1*EXACT('Casillas del horario'!$S$4:$S$73,"Profesor de RD en 10-4"&amp;CHAR(31)&amp;$A5&amp;CHAR(31)&amp;D$3))-2)&amp;")",""),IF(ISNA(MATCH(1,INDEX(EXACT('Casillas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/ "&amp;IF(ISBLANK(INDEX('Casillas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10-4"&amp;CHAR(31)&amp;$A5&amp;CHAR(31)&amp;E$3)*1,0),0)))),"",INDEX('Casillas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10-4"&amp;CHAR(31)&amp;$A5&amp;CHAR(31)&amp;E$3)*1,0),0))))&amp;IF(SUMPRODUCT(1*EXACT('Casillas del horario'!$S$4:$S$73,"Profesor de RD en 10-4"&amp;CHAR(31)&amp;$A5&amp;CHAR(31)&amp;E$3))&gt;2," (+"&amp;(SUMPRODUCT(1*EXACT('Casillas del horario'!$S$4:$S$73,"Profesor de RD en 10-4"&amp;CHAR(31)&amp;$A5&amp;CHAR(31)&amp;E$3))-2)&amp;")",""),IF(ISNA(MATCH(1,INDEX(EXACT('Casillas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/ "&amp;IF(ISBLANK(INDEX('Casillas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10-4"&amp;CHAR(31)&amp;$A5&amp;CHAR(31)&amp;F$3)*1,0),0)))),"",INDEX('Casillas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10-4"&amp;CHAR(31)&amp;$A5&amp;CHAR(31)&amp;F$3)*1,0),0))))&amp;IF(SUMPRODUCT(1*EXACT('Casillas del horario'!$S$4:$S$73,"Profesor de RD en 10-4"&amp;CHAR(31)&amp;$A5&amp;CHAR(31)&amp;F$3))&gt;2," (+"&amp;(SUMPRODUCT(1*EXACT('Casillas del horario'!$S$4:$S$73,"Profesor de RD en 10-4"&amp;CHAR(31)&amp;$A5&amp;CHAR(31)&amp;F$3))-2)&amp;")",""),IF(ISNA(MATCH(1,INDEX(EXACT('Casillas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/ "&amp;IF(ISBLANK(INDEX('Casillas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10-4"&amp;CHAR(31)&amp;$A6&amp;CHAR(31)&amp;B$3)*1,0),0)))),"",INDEX('Casillas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10-4"&amp;CHAR(31)&amp;$A6&amp;CHAR(31)&amp;B$3)*1,0),0))))&amp;IF(SUMPRODUCT(1*EXACT('Casillas del horario'!$S$4:$S$73,"Profesor de RD en 10-4"&amp;CHAR(31)&amp;$A6&amp;CHAR(31)&amp;B$3))&gt;2," (+"&amp;(SUMPRODUCT(1*EXACT('Casillas del horario'!$S$4:$S$73,"Profesor de RD en 10-4"&amp;CHAR(31)&amp;$A6&amp;CHAR(31)&amp;B$3))-2)&amp;")",""),IF(ISNA(MATCH(1,INDEX(EXACT('Casillas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/ "&amp;IF(ISBLANK(INDEX('Casillas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10-4"&amp;CHAR(31)&amp;$A6&amp;CHAR(31)&amp;C$3)*1,0),0)))),"",INDEX('Casillas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10-4"&amp;CHAR(31)&amp;$A6&amp;CHAR(31)&amp;C$3)*1,0),0))))&amp;IF(SUMPRODUCT(1*EXACT('Casillas del horario'!$S$4:$S$73,"Profesor de RD en 10-4"&amp;CHAR(31)&amp;$A6&amp;CHAR(31)&amp;C$3))&gt;2," (+"&amp;(SUMPRODUCT(1*EXACT('Casillas del horario'!$S$4:$S$73,"Profesor de RD en 10-4"&amp;CHAR(31)&amp;$A6&amp;CHAR(31)&amp;C$3))-2)&amp;")",""),IF(ISNA(MATCH(1,INDEX(EXACT('Casillas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/ "&amp;IF(ISBLANK(INDEX('Casillas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10-4"&amp;CHAR(31)&amp;$A6&amp;CHAR(31)&amp;D$3)*1,0),0)))),"",INDEX('Casillas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10-4"&amp;CHAR(31)&amp;$A6&amp;CHAR(31)&amp;D$3)*1,0),0))))&amp;IF(SUMPRODUCT(1*EXACT('Casillas del horario'!$S$4:$S$73,"Profesor de RD en 10-4"&amp;CHAR(31)&amp;$A6&amp;CHAR(31)&amp;D$3))&gt;2," (+"&amp;(SUMPRODUCT(1*EXACT('Casillas del horario'!$S$4:$S$73,"Profesor de RD en 10-4"&amp;CHAR(31)&amp;$A6&amp;CHAR(31)&amp;D$3))-2)&amp;")",""),IF(ISNA(MATCH(1,INDEX(EXACT('Casillas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/ "&amp;IF(ISBLANK(INDEX('Casillas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10-4"&amp;CHAR(31)&amp;$A6&amp;CHAR(31)&amp;E$3)*1,0),0)))),"",INDEX('Casillas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10-4"&amp;CHAR(31)&amp;$A6&amp;CHAR(31)&amp;E$3)*1,0),0))))&amp;IF(SUMPRODUCT(1*EXACT('Casillas del horario'!$S$4:$S$73,"Profesor de RD en 10-4"&amp;CHAR(31)&amp;$A6&amp;CHAR(31)&amp;E$3))&gt;2," (+"&amp;(SUMPRODUCT(1*EXACT('Casillas del horario'!$S$4:$S$73,"Profesor de RD en 10-4"&amp;CHAR(31)&amp;$A6&amp;CHAR(31)&amp;E$3))-2)&amp;")",""),IF(ISNA(MATCH(1,INDEX(EXACT('Casillas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/ "&amp;IF(ISBLANK(INDEX('Casillas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10-4"&amp;CHAR(31)&amp;$A6&amp;CHAR(31)&amp;F$3)*1,0),0)))),"",INDEX('Casillas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10-4"&amp;CHAR(31)&amp;$A6&amp;CHAR(31)&amp;F$3)*1,0),0))))&amp;IF(SUMPRODUCT(1*EXACT('Casillas del horario'!$S$4:$S$73,"Profesor de RD en 10-4"&amp;CHAR(31)&amp;$A6&amp;CHAR(31)&amp;F$3))&gt;2," (+"&amp;(SUMPRODUCT(1*EXACT('Casillas del horario'!$S$4:$S$73,"Profesor de RD en 10-4"&amp;CHAR(31)&amp;$A6&amp;CHAR(31)&amp;F$3))-2)&amp;")",""),IF(ISNA(MATCH(1,INDEX(EXACT('Casillas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/ "&amp;IF(ISBLANK(INDEX('Casillas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10-4"&amp;CHAR(31)&amp;$A7&amp;CHAR(31)&amp;B$3)*1,0),0)))),"",INDEX('Casillas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10-4"&amp;CHAR(31)&amp;$A7&amp;CHAR(31)&amp;B$3)*1,0),0))))&amp;IF(SUMPRODUCT(1*EXACT('Casillas del horario'!$S$4:$S$73,"Profesor de RD en 10-4"&amp;CHAR(31)&amp;$A7&amp;CHAR(31)&amp;B$3))&gt;2," (+"&amp;(SUMPRODUCT(1*EXACT('Casillas del horario'!$S$4:$S$73,"Profesor de RD en 10-4"&amp;CHAR(31)&amp;$A7&amp;CHAR(31)&amp;B$3))-2)&amp;")",""),IF(ISNA(MATCH(1,INDEX(EXACT('Casillas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/ "&amp;IF(ISBLANK(INDEX('Casillas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10-4"&amp;CHAR(31)&amp;$A7&amp;CHAR(31)&amp;C$3)*1,0),0)))),"",INDEX('Casillas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10-4"&amp;CHAR(31)&amp;$A7&amp;CHAR(31)&amp;C$3)*1,0),0))))&amp;IF(SUMPRODUCT(1*EXACT('Casillas del horario'!$S$4:$S$73,"Profesor de RD en 10-4"&amp;CHAR(31)&amp;$A7&amp;CHAR(31)&amp;C$3))&gt;2," (+"&amp;(SUMPRODUCT(1*EXACT('Casillas del horario'!$S$4:$S$73,"Profesor de RD en 10-4"&amp;CHAR(31)&amp;$A7&amp;CHAR(31)&amp;C$3))-2)&amp;")",""),IF(ISNA(MATCH(1,INDEX(EXACT('Casillas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/ "&amp;IF(ISBLANK(INDEX('Casillas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10-4"&amp;CHAR(31)&amp;$A7&amp;CHAR(31)&amp;D$3)*1,0),0)))),"",INDEX('Casillas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10-4"&amp;CHAR(31)&amp;$A7&amp;CHAR(31)&amp;D$3)*1,0),0))))&amp;IF(SUMPRODUCT(1*EXACT('Casillas del horario'!$S$4:$S$73,"Profesor de RD en 10-4"&amp;CHAR(31)&amp;$A7&amp;CHAR(31)&amp;D$3))&gt;2," (+"&amp;(SUMPRODUCT(1*EXACT('Casillas del horario'!$S$4:$S$73,"Profesor de RD en 10-4"&amp;CHAR(31)&amp;$A7&amp;CHAR(31)&amp;D$3))-2)&amp;")",""),IF(ISNA(MATCH(1,INDEX(EXACT('Casillas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/ "&amp;IF(ISBLANK(INDEX('Casillas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10-4"&amp;CHAR(31)&amp;$A7&amp;CHAR(31)&amp;E$3)*1,0),0)))),"",INDEX('Casillas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10-4"&amp;CHAR(31)&amp;$A7&amp;CHAR(31)&amp;E$3)*1,0),0))))&amp;IF(SUMPRODUCT(1*EXACT('Casillas del horario'!$S$4:$S$73,"Profesor de RD en 10-4"&amp;CHAR(31)&amp;$A7&amp;CHAR(31)&amp;E$3))&gt;2," (+"&amp;(SUMPRODUCT(1*EXACT('Casillas del horario'!$S$4:$S$73,"Profesor de RD en 10-4"&amp;CHAR(31)&amp;$A7&amp;CHAR(31)&amp;E$3))-2)&amp;")",""),IF(ISNA(MATCH(1,INDEX(EXACT('Casillas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/ "&amp;IF(ISBLANK(INDEX('Casillas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10-4"&amp;CHAR(31)&amp;$A7&amp;CHAR(31)&amp;F$3)*1,0),0)))),"",INDEX('Casillas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10-4"&amp;CHAR(31)&amp;$A7&amp;CHAR(31)&amp;F$3)*1,0),0))))&amp;IF(SUMPRODUCT(1*EXACT('Casillas del horario'!$S$4:$S$73,"Profesor de RD en 10-4"&amp;CHAR(31)&amp;$A7&amp;CHAR(31)&amp;F$3))&gt;2," (+"&amp;(SUMPRODUCT(1*EXACT('Casillas del horario'!$S$4:$S$73,"Profesor de RD en 10-4"&amp;CHAR(31)&amp;$A7&amp;CHAR(31)&amp;F$3))-2)&amp;")",""),IF(ISNA(MATCH(1,INDEX(EXACT('Casillas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/ "&amp;IF(ISBLANK(INDEX('Casillas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10-4"&amp;CHAR(31)&amp;$A8&amp;CHAR(31)&amp;B$3)*1,0),0)))),"",INDEX('Casillas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10-4"&amp;CHAR(31)&amp;$A8&amp;CHAR(31)&amp;B$3)*1,0),0))))&amp;IF(SUMPRODUCT(1*EXACT('Casillas del horario'!$S$4:$S$73,"Profesor de RD en 10-4"&amp;CHAR(31)&amp;$A8&amp;CHAR(31)&amp;B$3))&gt;2," (+"&amp;(SUMPRODUCT(1*EXACT('Casillas del horario'!$S$4:$S$73,"Profesor de RD en 10-4"&amp;CHAR(31)&amp;$A8&amp;CHAR(31)&amp;B$3))-2)&amp;")",""),IF(ISNA(MATCH(1,INDEX(EXACT('Casillas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/ "&amp;IF(ISBLANK(INDEX('Casillas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10-4"&amp;CHAR(31)&amp;$A8&amp;CHAR(31)&amp;C$3)*1,0),0)))),"",INDEX('Casillas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10-4"&amp;CHAR(31)&amp;$A8&amp;CHAR(31)&amp;C$3)*1,0),0))))&amp;IF(SUMPRODUCT(1*EXACT('Casillas del horario'!$S$4:$S$73,"Profesor de RD en 10-4"&amp;CHAR(31)&amp;$A8&amp;CHAR(31)&amp;C$3))&gt;2," (+"&amp;(SUMPRODUCT(1*EXACT('Casillas del horario'!$S$4:$S$73,"Profesor de RD en 10-4"&amp;CHAR(31)&amp;$A8&amp;CHAR(31)&amp;C$3))-2)&amp;")",""),IF(ISNA(MATCH(1,INDEX(EXACT('Casillas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/ "&amp;IF(ISBLANK(INDEX('Casillas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10-4"&amp;CHAR(31)&amp;$A8&amp;CHAR(31)&amp;D$3)*1,0),0)))),"",INDEX('Casillas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10-4"&amp;CHAR(31)&amp;$A8&amp;CHAR(31)&amp;D$3)*1,0),0))))&amp;IF(SUMPRODUCT(1*EXACT('Casillas del horario'!$S$4:$S$73,"Profesor de RD en 10-4"&amp;CHAR(31)&amp;$A8&amp;CHAR(31)&amp;D$3))&gt;2," (+"&amp;(SUMPRODUCT(1*EXACT('Casillas del horario'!$S$4:$S$73,"Profesor de RD en 10-4"&amp;CHAR(31)&amp;$A8&amp;CHAR(31)&amp;D$3))-2)&amp;")",""),IF(ISNA(MATCH(1,INDEX(EXACT('Casillas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/ "&amp;IF(ISBLANK(INDEX('Casillas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10-4"&amp;CHAR(31)&amp;$A8&amp;CHAR(31)&amp;E$3)*1,0),0)))),"",INDEX('Casillas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10-4"&amp;CHAR(31)&amp;$A8&amp;CHAR(31)&amp;E$3)*1,0),0))))&amp;IF(SUMPRODUCT(1*EXACT('Casillas del horario'!$S$4:$S$73,"Profesor de RD en 10-4"&amp;CHAR(31)&amp;$A8&amp;CHAR(31)&amp;E$3))&gt;2," (+"&amp;(SUMPRODUCT(1*EXACT('Casillas del horario'!$S$4:$S$73,"Profesor de RD en 10-4"&amp;CHAR(31)&amp;$A8&amp;CHAR(31)&amp;E$3))-2)&amp;")",""),IF(ISNA(MATCH(1,INDEX(EXACT('Casillas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/ "&amp;IF(ISBLANK(INDEX('Casillas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10-4"&amp;CHAR(31)&amp;$A8&amp;CHAR(31)&amp;F$3)*1,0),0)))),"",INDEX('Casillas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10-4"&amp;CHAR(31)&amp;$A8&amp;CHAR(31)&amp;F$3)*1,0),0))))&amp;IF(SUMPRODUCT(1*EXACT('Casillas del horario'!$S$4:$S$73,"Profesor de RD en 10-4"&amp;CHAR(31)&amp;$A8&amp;CHAR(31)&amp;F$3))&gt;2," (+"&amp;(SUMPRODUCT(1*EXACT('Casillas del horario'!$S$4:$S$73,"Profesor de RD en 10-4"&amp;CHAR(31)&amp;$A8&amp;CHAR(31)&amp;F$3))-2)&amp;")",""),IF(ISNA(MATCH(1,INDEX(EXACT('Casillas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/ "&amp;IF(ISBLANK(INDEX('Casillas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10-4"&amp;CHAR(31)&amp;$A9&amp;CHAR(31)&amp;B$3)*1,0),0)))),"",INDEX('Casillas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10-4"&amp;CHAR(31)&amp;$A9&amp;CHAR(31)&amp;B$3)*1,0),0))))&amp;IF(SUMPRODUCT(1*EXACT('Casillas del horario'!$S$4:$S$73,"Profesor de RD en 10-4"&amp;CHAR(31)&amp;$A9&amp;CHAR(31)&amp;B$3))&gt;2," (+"&amp;(SUMPRODUCT(1*EXACT('Casillas del horario'!$S$4:$S$73,"Profesor de RD en 10-4"&amp;CHAR(31)&amp;$A9&amp;CHAR(31)&amp;B$3))-2)&amp;")",""),IF(ISNA(MATCH(1,INDEX(EXACT('Casillas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/ "&amp;IF(ISBLANK(INDEX('Casillas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10-4"&amp;CHAR(31)&amp;$A9&amp;CHAR(31)&amp;C$3)*1,0),0)))),"",INDEX('Casillas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10-4"&amp;CHAR(31)&amp;$A9&amp;CHAR(31)&amp;C$3)*1,0),0))))&amp;IF(SUMPRODUCT(1*EXACT('Casillas del horario'!$S$4:$S$73,"Profesor de RD en 10-4"&amp;CHAR(31)&amp;$A9&amp;CHAR(31)&amp;C$3))&gt;2," (+"&amp;(SUMPRODUCT(1*EXACT('Casillas del horario'!$S$4:$S$73,"Profesor de RD en 10-4"&amp;CHAR(31)&amp;$A9&amp;CHAR(31)&amp;C$3))-2)&amp;")",""),IF(ISNA(MATCH(1,INDEX(EXACT('Casillas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/ "&amp;IF(ISBLANK(INDEX('Casillas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10-4"&amp;CHAR(31)&amp;$A9&amp;CHAR(31)&amp;D$3)*1,0),0)))),"",INDEX('Casillas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10-4"&amp;CHAR(31)&amp;$A9&amp;CHAR(31)&amp;D$3)*1,0),0))))&amp;IF(SUMPRODUCT(1*EXACT('Casillas del horario'!$S$4:$S$73,"Profesor de RD en 10-4"&amp;CHAR(31)&amp;$A9&amp;CHAR(31)&amp;D$3))&gt;2," (+"&amp;(SUMPRODUCT(1*EXACT('Casillas del horario'!$S$4:$S$73,"Profesor de RD en 10-4"&amp;CHAR(31)&amp;$A9&amp;CHAR(31)&amp;D$3))-2)&amp;")",""),IF(ISNA(MATCH(1,INDEX(EXACT('Casillas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/ "&amp;IF(ISBLANK(INDEX('Casillas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10-4"&amp;CHAR(31)&amp;$A9&amp;CHAR(31)&amp;E$3)*1,0),0)))),"",INDEX('Casillas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10-4"&amp;CHAR(31)&amp;$A9&amp;CHAR(31)&amp;E$3)*1,0),0))))&amp;IF(SUMPRODUCT(1*EXACT('Casillas del horario'!$S$4:$S$73,"Profesor de RD en 10-4"&amp;CHAR(31)&amp;$A9&amp;CHAR(31)&amp;E$3))&gt;2," (+"&amp;(SUMPRODUCT(1*EXACT('Casillas del horario'!$S$4:$S$73,"Profesor de RD en 10-4"&amp;CHAR(31)&amp;$A9&amp;CHAR(31)&amp;E$3))-2)&amp;")",""),IF(ISNA(MATCH(1,INDEX(EXACT('Casillas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/ "&amp;IF(ISBLANK(INDEX('Casillas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10-4"&amp;CHAR(31)&amp;$A9&amp;CHAR(31)&amp;F$3)*1,0),0)))),"",INDEX('Casillas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10-4"&amp;CHAR(31)&amp;$A9&amp;CHAR(31)&amp;F$3)*1,0),0))))&amp;IF(SUMPRODUCT(1*EXACT('Casillas del horario'!$S$4:$S$73,"Profesor de RD en 10-4"&amp;CHAR(31)&amp;$A9&amp;CHAR(31)&amp;F$3))&gt;2," (+"&amp;(SUMPRODUCT(1*EXACT('Casillas del horario'!$S$4:$S$73,"Profesor de RD en 10-4"&amp;CHAR(31)&amp;$A9&amp;CHAR(31)&amp;F$3))-2)&amp;")",""),IF(ISNA(MATCH(1,INDEX(EXACT('Casillas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/ "&amp;IF(ISBLANK(INDEX('Casillas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10-4"&amp;CHAR(31)&amp;$A10&amp;CHAR(31)&amp;B$3)*1,0),0)))),"",INDEX('Casillas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10-4"&amp;CHAR(31)&amp;$A10&amp;CHAR(31)&amp;B$3)*1,0),0))))&amp;IF(SUMPRODUCT(1*EXACT('Casillas del horario'!$S$4:$S$73,"Profesor de RD en 10-4"&amp;CHAR(31)&amp;$A10&amp;CHAR(31)&amp;B$3))&gt;2," (+"&amp;(SUMPRODUCT(1*EXACT('Casillas del horario'!$S$4:$S$73,"Profesor de RD en 10-4"&amp;CHAR(31)&amp;$A10&amp;CHAR(31)&amp;B$3))-2)&amp;")",""),IF(ISNA(MATCH(1,INDEX(EXACT('Casillas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/ "&amp;IF(ISBLANK(INDEX('Casillas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10-4"&amp;CHAR(31)&amp;$A10&amp;CHAR(31)&amp;C$3)*1,0),0)))),"",INDEX('Casillas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10-4"&amp;CHAR(31)&amp;$A10&amp;CHAR(31)&amp;C$3)*1,0),0))))&amp;IF(SUMPRODUCT(1*EXACT('Casillas del horario'!$S$4:$S$73,"Profesor de RD en 10-4"&amp;CHAR(31)&amp;$A10&amp;CHAR(31)&amp;C$3))&gt;2," (+"&amp;(SUMPRODUCT(1*EXACT('Casillas del horario'!$S$4:$S$73,"Profesor de RD en 10-4"&amp;CHAR(31)&amp;$A10&amp;CHAR(31)&amp;C$3))-2)&amp;")",""),IF(ISNA(MATCH(1,INDEX(EXACT('Casillas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/ "&amp;IF(ISBLANK(INDEX('Casillas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10-4"&amp;CHAR(31)&amp;$A10&amp;CHAR(31)&amp;D$3)*1,0),0)))),"",INDEX('Casillas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10-4"&amp;CHAR(31)&amp;$A10&amp;CHAR(31)&amp;D$3)*1,0),0))))&amp;IF(SUMPRODUCT(1*EXACT('Casillas del horario'!$S$4:$S$73,"Profesor de RD en 10-4"&amp;CHAR(31)&amp;$A10&amp;CHAR(31)&amp;D$3))&gt;2," (+"&amp;(SUMPRODUCT(1*EXACT('Casillas del horario'!$S$4:$S$73,"Profesor de RD en 10-4"&amp;CHAR(31)&amp;$A10&amp;CHAR(31)&amp;D$3))-2)&amp;")",""),IF(ISNA(MATCH(1,INDEX(EXACT('Casillas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/ "&amp;IF(ISBLANK(INDEX('Casillas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10-4"&amp;CHAR(31)&amp;$A10&amp;CHAR(31)&amp;E$3)*1,0),0)))),"",INDEX('Casillas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10-4"&amp;CHAR(31)&amp;$A10&amp;CHAR(31)&amp;E$3)*1,0),0))))&amp;IF(SUMPRODUCT(1*EXACT('Casillas del horario'!$S$4:$S$73,"Profesor de RD en 10-4"&amp;CHAR(31)&amp;$A10&amp;CHAR(31)&amp;E$3))&gt;2," (+"&amp;(SUMPRODUCT(1*EXACT('Casillas del horario'!$S$4:$S$73,"Profesor de RD en 10-4"&amp;CHAR(31)&amp;$A10&amp;CHAR(31)&amp;E$3))-2)&amp;")",""),IF(ISNA(MATCH(1,INDEX(EXACT('Casillas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/ "&amp;IF(ISBLANK(INDEX('Casillas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10-4"&amp;CHAR(31)&amp;$A10&amp;CHAR(31)&amp;F$3)*1,0),0)))),"",INDEX('Casillas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10-4"&amp;CHAR(31)&amp;$A10&amp;CHAR(31)&amp;F$3)*1,0),0))))&amp;IF(SUMPRODUCT(1*EXACT('Casillas del horario'!$S$4:$S$73,"Profesor de RD en 10-4"&amp;CHAR(31)&amp;$A10&amp;CHAR(31)&amp;F$3))&gt;2," (+"&amp;(SUMPRODUCT(1*EXACT('Casillas del horario'!$S$4:$S$73,"Profesor de RD en 10-4"&amp;CHAR(31)&amp;$A10&amp;CHAR(31)&amp;F$3))-2)&amp;")",""),IF(ISNA(MATCH(1,INDEX(EXACT('Casillas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/ "&amp;IF(ISBLANK(INDEX('Casillas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10-4"&amp;CHAR(31)&amp;$A4&amp;CHAR(31)&amp;B$3)*1,0),0)))),"",INDEX('Casillas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10-4"&amp;CHAR(31)&amp;$A4&amp;CHAR(31)&amp;B$3)*1,0),0))))&amp;IF(SUMPRODUCT(1*EXACT('Casillas del horario'!$S$4:$S$73,"Profesor de AL/AC en 10-4"&amp;CHAR(31)&amp;$A4&amp;CHAR(31)&amp;B$3))&gt;2," (+"&amp;(SUMPRODUCT(1*EXACT('Casillas del horario'!$S$4:$S$73,"Profesor de AL/AC en 10-4"&amp;CHAR(31)&amp;$A4&amp;CHAR(31)&amp;B$3))-2)&amp;")",""),IF(ISNA(MATCH(1,INDEX(EXACT('Casillas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/ "&amp;IF(ISBLANK(INDEX('Casillas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10-4"&amp;CHAR(31)&amp;$A4&amp;CHAR(31)&amp;C$3)*1,0),0)))),"",INDEX('Casillas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10-4"&amp;CHAR(31)&amp;$A4&amp;CHAR(31)&amp;C$3)*1,0),0))))&amp;IF(SUMPRODUCT(1*EXACT('Casillas del horario'!$S$4:$S$73,"Profesor de AL/AC en 10-4"&amp;CHAR(31)&amp;$A4&amp;CHAR(31)&amp;C$3))&gt;2," (+"&amp;(SUMPRODUCT(1*EXACT('Casillas del horario'!$S$4:$S$73,"Profesor de AL/AC en 10-4"&amp;CHAR(31)&amp;$A4&amp;CHAR(31)&amp;C$3))-2)&amp;")",""),IF(ISNA(MATCH(1,INDEX(EXACT('Casillas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/ "&amp;IF(ISBLANK(INDEX('Casillas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10-4"&amp;CHAR(31)&amp;$A4&amp;CHAR(31)&amp;D$3)*1,0),0)))),"",INDEX('Casillas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10-4"&amp;CHAR(31)&amp;$A4&amp;CHAR(31)&amp;D$3)*1,0),0))))&amp;IF(SUMPRODUCT(1*EXACT('Casillas del horario'!$S$4:$S$73,"Profesor de AL/AC en 10-4"&amp;CHAR(31)&amp;$A4&amp;CHAR(31)&amp;D$3))&gt;2," (+"&amp;(SUMPRODUCT(1*EXACT('Casillas del horario'!$S$4:$S$73,"Profesor de AL/AC en 10-4"&amp;CHAR(31)&amp;$A4&amp;CHAR(31)&amp;D$3))-2)&amp;")",""),IF(ISNA(MATCH(1,INDEX(EXACT('Casillas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/ "&amp;IF(ISBLANK(INDEX('Casillas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10-4"&amp;CHAR(31)&amp;$A4&amp;CHAR(31)&amp;E$3)*1,0),0)))),"",INDEX('Casillas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10-4"&amp;CHAR(31)&amp;$A4&amp;CHAR(31)&amp;E$3)*1,0),0))))&amp;IF(SUMPRODUCT(1*EXACT('Casillas del horario'!$S$4:$S$73,"Profesor de AL/AC en 10-4"&amp;CHAR(31)&amp;$A4&amp;CHAR(31)&amp;E$3))&gt;2," (+"&amp;(SUMPRODUCT(1*EXACT('Casillas del horario'!$S$4:$S$73,"Profesor de AL/AC en 10-4"&amp;CHAR(31)&amp;$A4&amp;CHAR(31)&amp;E$3))-2)&amp;")",""),IF(ISNA(MATCH(1,INDEX(EXACT('Casillas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/ "&amp;IF(ISBLANK(INDEX('Casillas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10-4"&amp;CHAR(31)&amp;$A4&amp;CHAR(31)&amp;F$3)*1,0),0)))),"",INDEX('Casillas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10-4"&amp;CHAR(31)&amp;$A4&amp;CHAR(31)&amp;F$3)*1,0),0))))&amp;IF(SUMPRODUCT(1*EXACT('Casillas del horario'!$S$4:$S$73,"Profesor de AL/AC en 10-4"&amp;CHAR(31)&amp;$A4&amp;CHAR(31)&amp;F$3))&gt;2," (+"&amp;(SUMPRODUCT(1*EXACT('Casillas del horario'!$S$4:$S$73,"Profesor de AL/AC en 10-4"&amp;CHAR(31)&amp;$A4&amp;CHAR(31)&amp;F$3))-2)&amp;")",""),IF(ISNA(MATCH(1,INDEX(EXACT('Casillas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/ "&amp;IF(ISBLANK(INDEX('Casillas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10-4"&amp;CHAR(31)&amp;$A5&amp;CHAR(31)&amp;B$3)*1,0),0)))),"",INDEX('Casillas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10-4"&amp;CHAR(31)&amp;$A5&amp;CHAR(31)&amp;B$3)*1,0),0))))&amp;IF(SUMPRODUCT(1*EXACT('Casillas del horario'!$S$4:$S$73,"Profesor de AL/AC en 10-4"&amp;CHAR(31)&amp;$A5&amp;CHAR(31)&amp;B$3))&gt;2," (+"&amp;(SUMPRODUCT(1*EXACT('Casillas del horario'!$S$4:$S$73,"Profesor de AL/AC en 10-4"&amp;CHAR(31)&amp;$A5&amp;CHAR(31)&amp;B$3))-2)&amp;")",""),IF(ISNA(MATCH(1,INDEX(EXACT('Casillas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/ "&amp;IF(ISBLANK(INDEX('Casillas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10-4"&amp;CHAR(31)&amp;$A5&amp;CHAR(31)&amp;C$3)*1,0),0)))),"",INDEX('Casillas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10-4"&amp;CHAR(31)&amp;$A5&amp;CHAR(31)&amp;C$3)*1,0),0))))&amp;IF(SUMPRODUCT(1*EXACT('Casillas del horario'!$S$4:$S$73,"Profesor de AL/AC en 10-4"&amp;CHAR(31)&amp;$A5&amp;CHAR(31)&amp;C$3))&gt;2," (+"&amp;(SUMPRODUCT(1*EXACT('Casillas del horario'!$S$4:$S$73,"Profesor de AL/AC en 10-4"&amp;CHAR(31)&amp;$A5&amp;CHAR(31)&amp;C$3))-2)&amp;")",""),IF(ISNA(MATCH(1,INDEX(EXACT('Casillas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/ "&amp;IF(ISBLANK(INDEX('Casillas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10-4"&amp;CHAR(31)&amp;$A5&amp;CHAR(31)&amp;D$3)*1,0),0)))),"",INDEX('Casillas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10-4"&amp;CHAR(31)&amp;$A5&amp;CHAR(31)&amp;D$3)*1,0),0))))&amp;IF(SUMPRODUCT(1*EXACT('Casillas del horario'!$S$4:$S$73,"Profesor de AL/AC en 10-4"&amp;CHAR(31)&amp;$A5&amp;CHAR(31)&amp;D$3))&gt;2," (+"&amp;(SUMPRODUCT(1*EXACT('Casillas del horario'!$S$4:$S$73,"Profesor de AL/AC en 10-4"&amp;CHAR(31)&amp;$A5&amp;CHAR(31)&amp;D$3))-2)&amp;")",""),IF(ISNA(MATCH(1,INDEX(EXACT('Casillas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/ "&amp;IF(ISBLANK(INDEX('Casillas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10-4"&amp;CHAR(31)&amp;$A5&amp;CHAR(31)&amp;E$3)*1,0),0)))),"",INDEX('Casillas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10-4"&amp;CHAR(31)&amp;$A5&amp;CHAR(31)&amp;E$3)*1,0),0))))&amp;IF(SUMPRODUCT(1*EXACT('Casillas del horario'!$S$4:$S$73,"Profesor de AL/AC en 10-4"&amp;CHAR(31)&amp;$A5&amp;CHAR(31)&amp;E$3))&gt;2," (+"&amp;(SUMPRODUCT(1*EXACT('Casillas del horario'!$S$4:$S$73,"Profesor de AL/AC en 10-4"&amp;CHAR(31)&amp;$A5&amp;CHAR(31)&amp;E$3))-2)&amp;")",""),IF(ISNA(MATCH(1,INDEX(EXACT('Casillas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/ "&amp;IF(ISBLANK(INDEX('Casillas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10-4"&amp;CHAR(31)&amp;$A5&amp;CHAR(31)&amp;F$3)*1,0),0)))),"",INDEX('Casillas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10-4"&amp;CHAR(31)&amp;$A5&amp;CHAR(31)&amp;F$3)*1,0),0))))&amp;IF(SUMPRODUCT(1*EXACT('Casillas del horario'!$S$4:$S$73,"Profesor de AL/AC en 10-4"&amp;CHAR(31)&amp;$A5&amp;CHAR(31)&amp;F$3))&gt;2," (+"&amp;(SUMPRODUCT(1*EXACT('Casillas del horario'!$S$4:$S$73,"Profesor de AL/AC en 10-4"&amp;CHAR(31)&amp;$A5&amp;CHAR(31)&amp;F$3))-2)&amp;")",""),IF(ISNA(MATCH(1,INDEX(EXACT('Casillas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/ "&amp;IF(ISBLANK(INDEX('Casillas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10-4"&amp;CHAR(31)&amp;$A6&amp;CHAR(31)&amp;B$3)*1,0),0)))),"",INDEX('Casillas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10-4"&amp;CHAR(31)&amp;$A6&amp;CHAR(31)&amp;B$3)*1,0),0))))&amp;IF(SUMPRODUCT(1*EXACT('Casillas del horario'!$S$4:$S$73,"Profesor de AL/AC en 10-4"&amp;CHAR(31)&amp;$A6&amp;CHAR(31)&amp;B$3))&gt;2," (+"&amp;(SUMPRODUCT(1*EXACT('Casillas del horario'!$S$4:$S$73,"Profesor de AL/AC en 10-4"&amp;CHAR(31)&amp;$A6&amp;CHAR(31)&amp;B$3))-2)&amp;")",""),IF(ISNA(MATCH(1,INDEX(EXACT('Casillas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/ "&amp;IF(ISBLANK(INDEX('Casillas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10-4"&amp;CHAR(31)&amp;$A6&amp;CHAR(31)&amp;C$3)*1,0),0)))),"",INDEX('Casillas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10-4"&amp;CHAR(31)&amp;$A6&amp;CHAR(31)&amp;C$3)*1,0),0))))&amp;IF(SUMPRODUCT(1*EXACT('Casillas del horario'!$S$4:$S$73,"Profesor de AL/AC en 10-4"&amp;CHAR(31)&amp;$A6&amp;CHAR(31)&amp;C$3))&gt;2," (+"&amp;(SUMPRODUCT(1*EXACT('Casillas del horario'!$S$4:$S$73,"Profesor de AL/AC en 10-4"&amp;CHAR(31)&amp;$A6&amp;CHAR(31)&amp;C$3))-2)&amp;")",""),IF(ISNA(MATCH(1,INDEX(EXACT('Casillas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/ "&amp;IF(ISBLANK(INDEX('Casillas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10-4"&amp;CHAR(31)&amp;$A6&amp;CHAR(31)&amp;D$3)*1,0),0)))),"",INDEX('Casillas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10-4"&amp;CHAR(31)&amp;$A6&amp;CHAR(31)&amp;D$3)*1,0),0))))&amp;IF(SUMPRODUCT(1*EXACT('Casillas del horario'!$S$4:$S$73,"Profesor de AL/AC en 10-4"&amp;CHAR(31)&amp;$A6&amp;CHAR(31)&amp;D$3))&gt;2," (+"&amp;(SUMPRODUCT(1*EXACT('Casillas del horario'!$S$4:$S$73,"Profesor de AL/AC en 10-4"&amp;CHAR(31)&amp;$A6&amp;CHAR(31)&amp;D$3))-2)&amp;")",""),IF(ISNA(MATCH(1,INDEX(EXACT('Casillas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/ "&amp;IF(ISBLANK(INDEX('Casillas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10-4"&amp;CHAR(31)&amp;$A6&amp;CHAR(31)&amp;E$3)*1,0),0)))),"",INDEX('Casillas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10-4"&amp;CHAR(31)&amp;$A6&amp;CHAR(31)&amp;E$3)*1,0),0))))&amp;IF(SUMPRODUCT(1*EXACT('Casillas del horario'!$S$4:$S$73,"Profesor de AL/AC en 10-4"&amp;CHAR(31)&amp;$A6&amp;CHAR(31)&amp;E$3))&gt;2," (+"&amp;(SUMPRODUCT(1*EXACT('Casillas del horario'!$S$4:$S$73,"Profesor de AL/AC en 10-4"&amp;CHAR(31)&amp;$A6&amp;CHAR(31)&amp;E$3))-2)&amp;")",""),IF(ISNA(MATCH(1,INDEX(EXACT('Casillas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/ "&amp;IF(ISBLANK(INDEX('Casillas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10-4"&amp;CHAR(31)&amp;$A6&amp;CHAR(31)&amp;F$3)*1,0),0)))),"",INDEX('Casillas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10-4"&amp;CHAR(31)&amp;$A6&amp;CHAR(31)&amp;F$3)*1,0),0))))&amp;IF(SUMPRODUCT(1*EXACT('Casillas del horario'!$S$4:$S$73,"Profesor de AL/AC en 10-4"&amp;CHAR(31)&amp;$A6&amp;CHAR(31)&amp;F$3))&gt;2," (+"&amp;(SUMPRODUCT(1*EXACT('Casillas del horario'!$S$4:$S$73,"Profesor de AL/AC en 10-4"&amp;CHAR(31)&amp;$A6&amp;CHAR(31)&amp;F$3))-2)&amp;")",""),IF(ISNA(MATCH(1,INDEX(EXACT('Casillas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/ "&amp;IF(ISBLANK(INDEX('Casillas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10-4"&amp;CHAR(31)&amp;$A7&amp;CHAR(31)&amp;B$3)*1,0),0)))),"",INDEX('Casillas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10-4"&amp;CHAR(31)&amp;$A7&amp;CHAR(31)&amp;B$3)*1,0),0))))&amp;IF(SUMPRODUCT(1*EXACT('Casillas del horario'!$S$4:$S$73,"Profesor de AL/AC en 10-4"&amp;CHAR(31)&amp;$A7&amp;CHAR(31)&amp;B$3))&gt;2," (+"&amp;(SUMPRODUCT(1*EXACT('Casillas del horario'!$S$4:$S$73,"Profesor de AL/AC en 10-4"&amp;CHAR(31)&amp;$A7&amp;CHAR(31)&amp;B$3))-2)&amp;")",""),IF(ISNA(MATCH(1,INDEX(EXACT('Casillas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/ "&amp;IF(ISBLANK(INDEX('Casillas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10-4"&amp;CHAR(31)&amp;$A7&amp;CHAR(31)&amp;C$3)*1,0),0)))),"",INDEX('Casillas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10-4"&amp;CHAR(31)&amp;$A7&amp;CHAR(31)&amp;C$3)*1,0),0))))&amp;IF(SUMPRODUCT(1*EXACT('Casillas del horario'!$S$4:$S$73,"Profesor de AL/AC en 10-4"&amp;CHAR(31)&amp;$A7&amp;CHAR(31)&amp;C$3))&gt;2," (+"&amp;(SUMPRODUCT(1*EXACT('Casillas del horario'!$S$4:$S$73,"Profesor de AL/AC en 10-4"&amp;CHAR(31)&amp;$A7&amp;CHAR(31)&amp;C$3))-2)&amp;")",""),IF(ISNA(MATCH(1,INDEX(EXACT('Casillas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/ "&amp;IF(ISBLANK(INDEX('Casillas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10-4"&amp;CHAR(31)&amp;$A7&amp;CHAR(31)&amp;D$3)*1,0),0)))),"",INDEX('Casillas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10-4"&amp;CHAR(31)&amp;$A7&amp;CHAR(31)&amp;D$3)*1,0),0))))&amp;IF(SUMPRODUCT(1*EXACT('Casillas del horario'!$S$4:$S$73,"Profesor de AL/AC en 10-4"&amp;CHAR(31)&amp;$A7&amp;CHAR(31)&amp;D$3))&gt;2," (+"&amp;(SUMPRODUCT(1*EXACT('Casillas del horario'!$S$4:$S$73,"Profesor de AL/AC en 10-4"&amp;CHAR(31)&amp;$A7&amp;CHAR(31)&amp;D$3))-2)&amp;")",""),IF(ISNA(MATCH(1,INDEX(EXACT('Casillas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/ "&amp;IF(ISBLANK(INDEX('Casillas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10-4"&amp;CHAR(31)&amp;$A7&amp;CHAR(31)&amp;E$3)*1,0),0)))),"",INDEX('Casillas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10-4"&amp;CHAR(31)&amp;$A7&amp;CHAR(31)&amp;E$3)*1,0),0))))&amp;IF(SUMPRODUCT(1*EXACT('Casillas del horario'!$S$4:$S$73,"Profesor de AL/AC en 10-4"&amp;CHAR(31)&amp;$A7&amp;CHAR(31)&amp;E$3))&gt;2," (+"&amp;(SUMPRODUCT(1*EXACT('Casillas del horario'!$S$4:$S$73,"Profesor de AL/AC en 10-4"&amp;CHAR(31)&amp;$A7&amp;CHAR(31)&amp;E$3))-2)&amp;")",""),IF(ISNA(MATCH(1,INDEX(EXACT('Casillas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/ "&amp;IF(ISBLANK(INDEX('Casillas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10-4"&amp;CHAR(31)&amp;$A7&amp;CHAR(31)&amp;F$3)*1,0),0)))),"",INDEX('Casillas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10-4"&amp;CHAR(31)&amp;$A7&amp;CHAR(31)&amp;F$3)*1,0),0))))&amp;IF(SUMPRODUCT(1*EXACT('Casillas del horario'!$S$4:$S$73,"Profesor de AL/AC en 10-4"&amp;CHAR(31)&amp;$A7&amp;CHAR(31)&amp;F$3))&gt;2," (+"&amp;(SUMPRODUCT(1*EXACT('Casillas del horario'!$S$4:$S$73,"Profesor de AL/AC en 10-4"&amp;CHAR(31)&amp;$A7&amp;CHAR(31)&amp;F$3))-2)&amp;")",""),IF(ISNA(MATCH(1,INDEX(EXACT('Casillas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/ "&amp;IF(ISBLANK(INDEX('Casillas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10-4"&amp;CHAR(31)&amp;$A8&amp;CHAR(31)&amp;B$3)*1,0),0)))),"",INDEX('Casillas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10-4"&amp;CHAR(31)&amp;$A8&amp;CHAR(31)&amp;B$3)*1,0),0))))&amp;IF(SUMPRODUCT(1*EXACT('Casillas del horario'!$S$4:$S$73,"Profesor de AL/AC en 10-4"&amp;CHAR(31)&amp;$A8&amp;CHAR(31)&amp;B$3))&gt;2," (+"&amp;(SUMPRODUCT(1*EXACT('Casillas del horario'!$S$4:$S$73,"Profesor de AL/AC en 10-4"&amp;CHAR(31)&amp;$A8&amp;CHAR(31)&amp;B$3))-2)&amp;")",""),IF(ISNA(MATCH(1,INDEX(EXACT('Casillas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/ "&amp;IF(ISBLANK(INDEX('Casillas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10-4"&amp;CHAR(31)&amp;$A8&amp;CHAR(31)&amp;C$3)*1,0),0)))),"",INDEX('Casillas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10-4"&amp;CHAR(31)&amp;$A8&amp;CHAR(31)&amp;C$3)*1,0),0))))&amp;IF(SUMPRODUCT(1*EXACT('Casillas del horario'!$S$4:$S$73,"Profesor de AL/AC en 10-4"&amp;CHAR(31)&amp;$A8&amp;CHAR(31)&amp;C$3))&gt;2," (+"&amp;(SUMPRODUCT(1*EXACT('Casillas del horario'!$S$4:$S$73,"Profesor de AL/AC en 10-4"&amp;CHAR(31)&amp;$A8&amp;CHAR(31)&amp;C$3))-2)&amp;")",""),IF(ISNA(MATCH(1,INDEX(EXACT('Casillas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/ "&amp;IF(ISBLANK(INDEX('Casillas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10-4"&amp;CHAR(31)&amp;$A8&amp;CHAR(31)&amp;D$3)*1,0),0)))),"",INDEX('Casillas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10-4"&amp;CHAR(31)&amp;$A8&amp;CHAR(31)&amp;D$3)*1,0),0))))&amp;IF(SUMPRODUCT(1*EXACT('Casillas del horario'!$S$4:$S$73,"Profesor de AL/AC en 10-4"&amp;CHAR(31)&amp;$A8&amp;CHAR(31)&amp;D$3))&gt;2," (+"&amp;(SUMPRODUCT(1*EXACT('Casillas del horario'!$S$4:$S$73,"Profesor de AL/AC en 10-4"&amp;CHAR(31)&amp;$A8&amp;CHAR(31)&amp;D$3))-2)&amp;")",""),IF(ISNA(MATCH(1,INDEX(EXACT('Casillas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/ "&amp;IF(ISBLANK(INDEX('Casillas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10-4"&amp;CHAR(31)&amp;$A8&amp;CHAR(31)&amp;E$3)*1,0),0)))),"",INDEX('Casillas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10-4"&amp;CHAR(31)&amp;$A8&amp;CHAR(31)&amp;E$3)*1,0),0))))&amp;IF(SUMPRODUCT(1*EXACT('Casillas del horario'!$S$4:$S$73,"Profesor de AL/AC en 10-4"&amp;CHAR(31)&amp;$A8&amp;CHAR(31)&amp;E$3))&gt;2," (+"&amp;(SUMPRODUCT(1*EXACT('Casillas del horario'!$S$4:$S$73,"Profesor de AL/AC en 10-4"&amp;CHAR(31)&amp;$A8&amp;CHAR(31)&amp;E$3))-2)&amp;")",""),IF(ISNA(MATCH(1,INDEX(EXACT('Casillas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/ "&amp;IF(ISBLANK(INDEX('Casillas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10-4"&amp;CHAR(31)&amp;$A8&amp;CHAR(31)&amp;F$3)*1,0),0)))),"",INDEX('Casillas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10-4"&amp;CHAR(31)&amp;$A8&amp;CHAR(31)&amp;F$3)*1,0),0))))&amp;IF(SUMPRODUCT(1*EXACT('Casillas del horario'!$S$4:$S$73,"Profesor de AL/AC en 10-4"&amp;CHAR(31)&amp;$A8&amp;CHAR(31)&amp;F$3))&gt;2," (+"&amp;(SUMPRODUCT(1*EXACT('Casillas del horario'!$S$4:$S$73,"Profesor de AL/AC en 10-4"&amp;CHAR(31)&amp;$A8&amp;CHAR(31)&amp;F$3))-2)&amp;")",""),IF(ISNA(MATCH(1,INDEX(EXACT('Casillas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/ "&amp;IF(ISBLANK(INDEX('Casillas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10-4"&amp;CHAR(31)&amp;$A9&amp;CHAR(31)&amp;B$3)*1,0),0)))),"",INDEX('Casillas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10-4"&amp;CHAR(31)&amp;$A9&amp;CHAR(31)&amp;B$3)*1,0),0))))&amp;IF(SUMPRODUCT(1*EXACT('Casillas del horario'!$S$4:$S$73,"Profesor de AL/AC en 10-4"&amp;CHAR(31)&amp;$A9&amp;CHAR(31)&amp;B$3))&gt;2," (+"&amp;(SUMPRODUCT(1*EXACT('Casillas del horario'!$S$4:$S$73,"Profesor de AL/AC en 10-4"&amp;CHAR(31)&amp;$A9&amp;CHAR(31)&amp;B$3))-2)&amp;")",""),IF(ISNA(MATCH(1,INDEX(EXACT('Casillas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/ "&amp;IF(ISBLANK(INDEX('Casillas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10-4"&amp;CHAR(31)&amp;$A9&amp;CHAR(31)&amp;C$3)*1,0),0)))),"",INDEX('Casillas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10-4"&amp;CHAR(31)&amp;$A9&amp;CHAR(31)&amp;C$3)*1,0),0))))&amp;IF(SUMPRODUCT(1*EXACT('Casillas del horario'!$S$4:$S$73,"Profesor de AL/AC en 10-4"&amp;CHAR(31)&amp;$A9&amp;CHAR(31)&amp;C$3))&gt;2," (+"&amp;(SUMPRODUCT(1*EXACT('Casillas del horario'!$S$4:$S$73,"Profesor de AL/AC en 10-4"&amp;CHAR(31)&amp;$A9&amp;CHAR(31)&amp;C$3))-2)&amp;")",""),IF(ISNA(MATCH(1,INDEX(EXACT('Casillas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/ "&amp;IF(ISBLANK(INDEX('Casillas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10-4"&amp;CHAR(31)&amp;$A9&amp;CHAR(31)&amp;D$3)*1,0),0)))),"",INDEX('Casillas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10-4"&amp;CHAR(31)&amp;$A9&amp;CHAR(31)&amp;D$3)*1,0),0))))&amp;IF(SUMPRODUCT(1*EXACT('Casillas del horario'!$S$4:$S$73,"Profesor de AL/AC en 10-4"&amp;CHAR(31)&amp;$A9&amp;CHAR(31)&amp;D$3))&gt;2," (+"&amp;(SUMPRODUCT(1*EXACT('Casillas del horario'!$S$4:$S$73,"Profesor de AL/AC en 10-4"&amp;CHAR(31)&amp;$A9&amp;CHAR(31)&amp;D$3))-2)&amp;")",""),IF(ISNA(MATCH(1,INDEX(EXACT('Casillas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/ "&amp;IF(ISBLANK(INDEX('Casillas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10-4"&amp;CHAR(31)&amp;$A9&amp;CHAR(31)&amp;E$3)*1,0),0)))),"",INDEX('Casillas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10-4"&amp;CHAR(31)&amp;$A9&amp;CHAR(31)&amp;E$3)*1,0),0))))&amp;IF(SUMPRODUCT(1*EXACT('Casillas del horario'!$S$4:$S$73,"Profesor de AL/AC en 10-4"&amp;CHAR(31)&amp;$A9&amp;CHAR(31)&amp;E$3))&gt;2," (+"&amp;(SUMPRODUCT(1*EXACT('Casillas del horario'!$S$4:$S$73,"Profesor de AL/AC en 10-4"&amp;CHAR(31)&amp;$A9&amp;CHAR(31)&amp;E$3))-2)&amp;")",""),IF(ISNA(MATCH(1,INDEX(EXACT('Casillas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/ "&amp;IF(ISBLANK(INDEX('Casillas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10-4"&amp;CHAR(31)&amp;$A9&amp;CHAR(31)&amp;F$3)*1,0),0)))),"",INDEX('Casillas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10-4"&amp;CHAR(31)&amp;$A9&amp;CHAR(31)&amp;F$3)*1,0),0))))&amp;IF(SUMPRODUCT(1*EXACT('Casillas del horario'!$S$4:$S$73,"Profesor de AL/AC en 10-4"&amp;CHAR(31)&amp;$A9&amp;CHAR(31)&amp;F$3))&gt;2," (+"&amp;(SUMPRODUCT(1*EXACT('Casillas del horario'!$S$4:$S$73,"Profesor de AL/AC en 10-4"&amp;CHAR(31)&amp;$A9&amp;CHAR(31)&amp;F$3))-2)&amp;")",""),IF(ISNA(MATCH(1,INDEX(EXACT('Casillas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/ "&amp;IF(ISBLANK(INDEX('Casillas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10-4"&amp;CHAR(31)&amp;$A10&amp;CHAR(31)&amp;B$3)*1,0),0)))),"",INDEX('Casillas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10-4"&amp;CHAR(31)&amp;$A10&amp;CHAR(31)&amp;B$3)*1,0),0))))&amp;IF(SUMPRODUCT(1*EXACT('Casillas del horario'!$S$4:$S$73,"Profesor de AL/AC en 10-4"&amp;CHAR(31)&amp;$A10&amp;CHAR(31)&amp;B$3))&gt;2," (+"&amp;(SUMPRODUCT(1*EXACT('Casillas del horario'!$S$4:$S$73,"Profesor de AL/AC en 10-4"&amp;CHAR(31)&amp;$A10&amp;CHAR(31)&amp;B$3))-2)&amp;")",""),IF(ISNA(MATCH(1,INDEX(EXACT('Casillas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/ "&amp;IF(ISBLANK(INDEX('Casillas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10-4"&amp;CHAR(31)&amp;$A10&amp;CHAR(31)&amp;C$3)*1,0),0)))),"",INDEX('Casillas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10-4"&amp;CHAR(31)&amp;$A10&amp;CHAR(31)&amp;C$3)*1,0),0))))&amp;IF(SUMPRODUCT(1*EXACT('Casillas del horario'!$S$4:$S$73,"Profesor de AL/AC en 10-4"&amp;CHAR(31)&amp;$A10&amp;CHAR(31)&amp;C$3))&gt;2," (+"&amp;(SUMPRODUCT(1*EXACT('Casillas del horario'!$S$4:$S$73,"Profesor de AL/AC en 10-4"&amp;CHAR(31)&amp;$A10&amp;CHAR(31)&amp;C$3))-2)&amp;")",""),IF(ISNA(MATCH(1,INDEX(EXACT('Casillas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/ "&amp;IF(ISBLANK(INDEX('Casillas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10-4"&amp;CHAR(31)&amp;$A10&amp;CHAR(31)&amp;D$3)*1,0),0)))),"",INDEX('Casillas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10-4"&amp;CHAR(31)&amp;$A10&amp;CHAR(31)&amp;D$3)*1,0),0))))&amp;IF(SUMPRODUCT(1*EXACT('Casillas del horario'!$S$4:$S$73,"Profesor de AL/AC en 10-4"&amp;CHAR(31)&amp;$A10&amp;CHAR(31)&amp;D$3))&gt;2," (+"&amp;(SUMPRODUCT(1*EXACT('Casillas del horario'!$S$4:$S$73,"Profesor de AL/AC en 10-4"&amp;CHAR(31)&amp;$A10&amp;CHAR(31)&amp;D$3))-2)&amp;")",""),IF(ISNA(MATCH(1,INDEX(EXACT('Casillas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/ "&amp;IF(ISBLANK(INDEX('Casillas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10-4"&amp;CHAR(31)&amp;$A10&amp;CHAR(31)&amp;E$3)*1,0),0)))),"",INDEX('Casillas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10-4"&amp;CHAR(31)&amp;$A10&amp;CHAR(31)&amp;E$3)*1,0),0))))&amp;IF(SUMPRODUCT(1*EXACT('Casillas del horario'!$S$4:$S$73,"Profesor de AL/AC en 10-4"&amp;CHAR(31)&amp;$A10&amp;CHAR(31)&amp;E$3))&gt;2," (+"&amp;(SUMPRODUCT(1*EXACT('Casillas del horario'!$S$4:$S$73,"Profesor de AL/AC en 10-4"&amp;CHAR(31)&amp;$A10&amp;CHAR(31)&amp;E$3))-2)&amp;")",""),IF(ISNA(MATCH(1,INDEX(EXACT('Casillas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/ "&amp;IF(ISBLANK(INDEX('Casillas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10-4"&amp;CHAR(31)&amp;$A10&amp;CHAR(31)&amp;F$3)*1,0),0)))),"",INDEX('Casillas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10-4"&amp;CHAR(31)&amp;$A10&amp;CHAR(31)&amp;F$3)*1,0),0))))&amp;IF(SUMPRODUCT(1*EXACT('Casillas del horario'!$S$4:$S$73,"Profesor de AL/AC en 10-4"&amp;CHAR(31)&amp;$A10&amp;CHAR(31)&amp;F$3))&gt;2," (+"&amp;(SUMPRODUCT(1*EXACT('Casillas del horario'!$S$4:$S$73,"Profesor de AL/AC en 10-4"&amp;CHAR(31)&amp;$A10&amp;CHAR(31)&amp;F$3))-2)&amp;")",""),IF(ISNA(MATCH(1,INDEX(EXACT('Casillas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(elegir)</t>
        </is>
      </c>
    </row>
    <row r="2">
      <c r="A2" t="inlineStr">
        <is>
          <t>Profesor:</t>
        </is>
      </c>
      <c r="B2" s="5" t="inlineStr">
        <is>
          <t>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horario'!$S$4:$S$73,$B$2&amp;CHAR(31)&amp;$A4&amp;CHAR(31)&amp;B$3))&gt;1,IF(ISNA(MATCH(1,INDEX(EXACT('Casillas del horario'!$S$4:$S$73,$B$2&amp;CHAR(31)&amp;$A4&amp;CHAR(31)&amp;B$3)*1,0),0)),"",IF(ISBLANK(INDEX('Casillas del horario'!$A$4:$A$73,MATCH(1,INDEX(EXACT('Casillas del horario'!$S$4:$S$73,$B$2&amp;CHAR(31)&amp;$A4&amp;CHAR(31)&amp;B$3)*1,0),0))),"",INDEX('Casillas del horario'!$A$4:$A$73,MATCH(1,INDEX(EXACT('Casillas del horario'!$S$4:$S$73,$B$2&amp;CHAR(31)&amp;$A4&amp;CHAR(31)&amp;B$3)*1,0),0))))&amp;" / "&amp;IF(ISBLANK(INDEX('Casillas del horario'!$A$4:$A$73,(MATCH(1,INDEX(EXACT('Casillas del horario'!$S$4:$S$73,$B$2&amp;CHAR(31)&amp;$A4&amp;CHAR(31)&amp;B$3)*1,0),0)+MATCH(1,INDEX(EXACT(INDEX('Casillas del horario'!$S$4:$S$73,MATCH(1,INDEX(EXACT('Casillas del horario'!$S$4:$S$73,$B$2&amp;CHAR(31)&amp;$A4&amp;CHAR(31)&amp;B$3)*1,0),0)+1):INDEX('Casillas del horario'!$S$4:$S$73,ROWS('Casillas del horario'!$S$4:$S$73)),$B$2&amp;CHAR(31)&amp;$A4&amp;CHAR(31)&amp;B$3)*1,0),0)))),"",INDEX('Casillas del horario'!$A$4:$A$73,(MATCH(1,INDEX(EXACT('Casillas del horario'!$S$4:$S$73,$B$2&amp;CHAR(31)&amp;$A4&amp;CHAR(31)&amp;B$3)*1,0),0)+MATCH(1,INDEX(EXACT(INDEX('Casillas del horario'!$S$4:$S$73,MATCH(1,INDEX(EXACT('Casillas del horario'!$S$4:$S$73,$B$2&amp;CHAR(31)&amp;$A4&amp;CHAR(31)&amp;B$3)*1,0),0)+1):INDEX('Casillas del horario'!$S$4:$S$73,ROWS('Casillas del horario'!$S$4:$S$73)),$B$2&amp;CHAR(31)&amp;$A4&amp;CHAR(31)&amp;B$3)*1,0),0))))&amp;IF(SUMPRODUCT(1*EXACT('Casillas del horario'!$S$4:$S$73,$B$2&amp;CHAR(31)&amp;$A4&amp;CHAR(31)&amp;B$3))&gt;2," (+"&amp;(SUMPRODUCT(1*EXACT('Casillas del horario'!$S$4:$S$73,$B$2&amp;CHAR(31)&amp;$A4&amp;CHAR(31)&amp;B$3))-2)&amp;")",""),IF(ISNA(MATCH(1,INDEX(EXACT('Casillas del horario'!$S$4:$S$73,$B$2&amp;CHAR(31)&amp;$A4&amp;CHAR(31)&amp;B$3)*1,0),0)),"",IF(ISBLANK(INDEX('Casillas del horario'!$A$4:$A$73,MATCH(1,INDEX(EXACT('Casillas del horario'!$S$4:$S$73,$B$2&amp;CHAR(31)&amp;$A4&amp;CHAR(31)&amp;B$3)*1,0),0))),"",INDEX('Casillas del horario'!$A$4:$A$73,MATCH(1,INDEX(EXACT('Casillas del horario'!$S$4:$S$73,$B$2&amp;CHAR(31)&amp;$A4&amp;CHAR(31)&amp;B$3)*1,0),0)))))</f>
        <v/>
      </c>
      <c r="C4" s="3">
        <f>IF(SUMPRODUCT(1*EXACT('Casillas del horario'!$S$4:$S$73,$B$2&amp;CHAR(31)&amp;$A4&amp;CHAR(31)&amp;C$3))&gt;1,IF(ISNA(MATCH(1,INDEX(EXACT('Casillas del horario'!$S$4:$S$73,$B$2&amp;CHAR(31)&amp;$A4&amp;CHAR(31)&amp;C$3)*1,0),0)),"",IF(ISBLANK(INDEX('Casillas del horario'!$A$4:$A$73,MATCH(1,INDEX(EXACT('Casillas del horario'!$S$4:$S$73,$B$2&amp;CHAR(31)&amp;$A4&amp;CHAR(31)&amp;C$3)*1,0),0))),"",INDEX('Casillas del horario'!$A$4:$A$73,MATCH(1,INDEX(EXACT('Casillas del horario'!$S$4:$S$73,$B$2&amp;CHAR(31)&amp;$A4&amp;CHAR(31)&amp;C$3)*1,0),0))))&amp;" / "&amp;IF(ISBLANK(INDEX('Casillas del horario'!$A$4:$A$73,(MATCH(1,INDEX(EXACT('Casillas del horario'!$S$4:$S$73,$B$2&amp;CHAR(31)&amp;$A4&amp;CHAR(31)&amp;C$3)*1,0),0)+MATCH(1,INDEX(EXACT(INDEX('Casillas del horario'!$S$4:$S$73,MATCH(1,INDEX(EXACT('Casillas del horario'!$S$4:$S$73,$B$2&amp;CHAR(31)&amp;$A4&amp;CHAR(31)&amp;C$3)*1,0),0)+1):INDEX('Casillas del horario'!$S$4:$S$73,ROWS('Casillas del horario'!$S$4:$S$73)),$B$2&amp;CHAR(31)&amp;$A4&amp;CHAR(31)&amp;C$3)*1,0),0)))),"",INDEX('Casillas del horario'!$A$4:$A$73,(MATCH(1,INDEX(EXACT('Casillas del horario'!$S$4:$S$73,$B$2&amp;CHAR(31)&amp;$A4&amp;CHAR(31)&amp;C$3)*1,0),0)+MATCH(1,INDEX(EXACT(INDEX('Casillas del horario'!$S$4:$S$73,MATCH(1,INDEX(EXACT('Casillas del horario'!$S$4:$S$73,$B$2&amp;CHAR(31)&amp;$A4&amp;CHAR(31)&amp;C$3)*1,0),0)+1):INDEX('Casillas del horario'!$S$4:$S$73,ROWS('Casillas del horario'!$S$4:$S$73)),$B$2&amp;CHAR(31)&amp;$A4&amp;CHAR(31)&amp;C$3)*1,0),0))))&amp;IF(SUMPRODUCT(1*EXACT('Casillas del horario'!$S$4:$S$73,$B$2&amp;CHAR(31)&amp;$A4&amp;CHAR(31)&amp;C$3))&gt;2," (+"&amp;(SUMPRODUCT(1*EXACT('Casillas del horario'!$S$4:$S$73,$B$2&amp;CHAR(31)&amp;$A4&amp;CHAR(31)&amp;C$3))-2)&amp;")",""),IF(ISNA(MATCH(1,INDEX(EXACT('Casillas del horario'!$S$4:$S$73,$B$2&amp;CHAR(31)&amp;$A4&amp;CHAR(31)&amp;C$3)*1,0),0)),"",IF(ISBLANK(INDEX('Casillas del horario'!$A$4:$A$73,MATCH(1,INDEX(EXACT('Casillas del horario'!$S$4:$S$73,$B$2&amp;CHAR(31)&amp;$A4&amp;CHAR(31)&amp;C$3)*1,0),0))),"",INDEX('Casillas del horario'!$A$4:$A$73,MATCH(1,INDEX(EXACT('Casillas del horario'!$S$4:$S$73,$B$2&amp;CHAR(31)&amp;$A4&amp;CHAR(31)&amp;C$3)*1,0),0)))))</f>
        <v/>
      </c>
      <c r="D4" s="3">
        <f>IF(SUMPRODUCT(1*EXACT('Casillas del horario'!$S$4:$S$73,$B$2&amp;CHAR(31)&amp;$A4&amp;CHAR(31)&amp;D$3))&gt;1,IF(ISNA(MATCH(1,INDEX(EXACT('Casillas del horario'!$S$4:$S$73,$B$2&amp;CHAR(31)&amp;$A4&amp;CHAR(31)&amp;D$3)*1,0),0)),"",IF(ISBLANK(INDEX('Casillas del horario'!$A$4:$A$73,MATCH(1,INDEX(EXACT('Casillas del horario'!$S$4:$S$73,$B$2&amp;CHAR(31)&amp;$A4&amp;CHAR(31)&amp;D$3)*1,0),0))),"",INDEX('Casillas del horario'!$A$4:$A$73,MATCH(1,INDEX(EXACT('Casillas del horario'!$S$4:$S$73,$B$2&amp;CHAR(31)&amp;$A4&amp;CHAR(31)&amp;D$3)*1,0),0))))&amp;" / "&amp;IF(ISBLANK(INDEX('Casillas del horario'!$A$4:$A$73,(MATCH(1,INDEX(EXACT('Casillas del horario'!$S$4:$S$73,$B$2&amp;CHAR(31)&amp;$A4&amp;CHAR(31)&amp;D$3)*1,0),0)+MATCH(1,INDEX(EXACT(INDEX('Casillas del horario'!$S$4:$S$73,MATCH(1,INDEX(EXACT('Casillas del horario'!$S$4:$S$73,$B$2&amp;CHAR(31)&amp;$A4&amp;CHAR(31)&amp;D$3)*1,0),0)+1):INDEX('Casillas del horario'!$S$4:$S$73,ROWS('Casillas del horario'!$S$4:$S$73)),$B$2&amp;CHAR(31)&amp;$A4&amp;CHAR(31)&amp;D$3)*1,0),0)))),"",INDEX('Casillas del horario'!$A$4:$A$73,(MATCH(1,INDEX(EXACT('Casillas del horario'!$S$4:$S$73,$B$2&amp;CHAR(31)&amp;$A4&amp;CHAR(31)&amp;D$3)*1,0),0)+MATCH(1,INDEX(EXACT(INDEX('Casillas del horario'!$S$4:$S$73,MATCH(1,INDEX(EXACT('Casillas del horario'!$S$4:$S$73,$B$2&amp;CHAR(31)&amp;$A4&amp;CHAR(31)&amp;D$3)*1,0),0)+1):INDEX('Casillas del horario'!$S$4:$S$73,ROWS('Casillas del horario'!$S$4:$S$73)),$B$2&amp;CHAR(31)&amp;$A4&amp;CHAR(31)&amp;D$3)*1,0),0))))&amp;IF(SUMPRODUCT(1*EXACT('Casillas del horario'!$S$4:$S$73,$B$2&amp;CHAR(31)&amp;$A4&amp;CHAR(31)&amp;D$3))&gt;2," (+"&amp;(SUMPRODUCT(1*EXACT('Casillas del horario'!$S$4:$S$73,$B$2&amp;CHAR(31)&amp;$A4&amp;CHAR(31)&amp;D$3))-2)&amp;")",""),IF(ISNA(MATCH(1,INDEX(EXACT('Casillas del horario'!$S$4:$S$73,$B$2&amp;CHAR(31)&amp;$A4&amp;CHAR(31)&amp;D$3)*1,0),0)),"",IF(ISBLANK(INDEX('Casillas del horario'!$A$4:$A$73,MATCH(1,INDEX(EXACT('Casillas del horario'!$S$4:$S$73,$B$2&amp;CHAR(31)&amp;$A4&amp;CHAR(31)&amp;D$3)*1,0),0))),"",INDEX('Casillas del horario'!$A$4:$A$73,MATCH(1,INDEX(EXACT('Casillas del horario'!$S$4:$S$73,$B$2&amp;CHAR(31)&amp;$A4&amp;CHAR(31)&amp;D$3)*1,0),0)))))</f>
        <v/>
      </c>
      <c r="E4" s="3">
        <f>IF(SUMPRODUCT(1*EXACT('Casillas del horario'!$S$4:$S$73,$B$2&amp;CHAR(31)&amp;$A4&amp;CHAR(31)&amp;E$3))&gt;1,IF(ISNA(MATCH(1,INDEX(EXACT('Casillas del horario'!$S$4:$S$73,$B$2&amp;CHAR(31)&amp;$A4&amp;CHAR(31)&amp;E$3)*1,0),0)),"",IF(ISBLANK(INDEX('Casillas del horario'!$A$4:$A$73,MATCH(1,INDEX(EXACT('Casillas del horario'!$S$4:$S$73,$B$2&amp;CHAR(31)&amp;$A4&amp;CHAR(31)&amp;E$3)*1,0),0))),"",INDEX('Casillas del horario'!$A$4:$A$73,MATCH(1,INDEX(EXACT('Casillas del horario'!$S$4:$S$73,$B$2&amp;CHAR(31)&amp;$A4&amp;CHAR(31)&amp;E$3)*1,0),0))))&amp;" / "&amp;IF(ISBLANK(INDEX('Casillas del horario'!$A$4:$A$73,(MATCH(1,INDEX(EXACT('Casillas del horario'!$S$4:$S$73,$B$2&amp;CHAR(31)&amp;$A4&amp;CHAR(31)&amp;E$3)*1,0),0)+MATCH(1,INDEX(EXACT(INDEX('Casillas del horario'!$S$4:$S$73,MATCH(1,INDEX(EXACT('Casillas del horario'!$S$4:$S$73,$B$2&amp;CHAR(31)&amp;$A4&amp;CHAR(31)&amp;E$3)*1,0),0)+1):INDEX('Casillas del horario'!$S$4:$S$73,ROWS('Casillas del horario'!$S$4:$S$73)),$B$2&amp;CHAR(31)&amp;$A4&amp;CHAR(31)&amp;E$3)*1,0),0)))),"",INDEX('Casillas del horario'!$A$4:$A$73,(MATCH(1,INDEX(EXACT('Casillas del horario'!$S$4:$S$73,$B$2&amp;CHAR(31)&amp;$A4&amp;CHAR(31)&amp;E$3)*1,0),0)+MATCH(1,INDEX(EXACT(INDEX('Casillas del horario'!$S$4:$S$73,MATCH(1,INDEX(EXACT('Casillas del horario'!$S$4:$S$73,$B$2&amp;CHAR(31)&amp;$A4&amp;CHAR(31)&amp;E$3)*1,0),0)+1):INDEX('Casillas del horario'!$S$4:$S$73,ROWS('Casillas del horario'!$S$4:$S$73)),$B$2&amp;CHAR(31)&amp;$A4&amp;CHAR(31)&amp;E$3)*1,0),0))))&amp;IF(SUMPRODUCT(1*EXACT('Casillas del horario'!$S$4:$S$73,$B$2&amp;CHAR(31)&amp;$A4&amp;CHAR(31)&amp;E$3))&gt;2," (+"&amp;(SUMPRODUCT(1*EXACT('Casillas del horario'!$S$4:$S$73,$B$2&amp;CHAR(31)&amp;$A4&amp;CHAR(31)&amp;E$3))-2)&amp;")",""),IF(ISNA(MATCH(1,INDEX(EXACT('Casillas del horario'!$S$4:$S$73,$B$2&amp;CHAR(31)&amp;$A4&amp;CHAR(31)&amp;E$3)*1,0),0)),"",IF(ISBLANK(INDEX('Casillas del horario'!$A$4:$A$73,MATCH(1,INDEX(EXACT('Casillas del horario'!$S$4:$S$73,$B$2&amp;CHAR(31)&amp;$A4&amp;CHAR(31)&amp;E$3)*1,0),0))),"",INDEX('Casillas del horario'!$A$4:$A$73,MATCH(1,INDEX(EXACT('Casillas del horario'!$S$4:$S$73,$B$2&amp;CHAR(31)&amp;$A4&amp;CHAR(31)&amp;E$3)*1,0),0)))))</f>
        <v/>
      </c>
      <c r="F4" s="3">
        <f>IF(SUMPRODUCT(1*EXACT('Casillas del horario'!$S$4:$S$73,$B$2&amp;CHAR(31)&amp;$A4&amp;CHAR(31)&amp;F$3))&gt;1,IF(ISNA(MATCH(1,INDEX(EXACT('Casillas del horario'!$S$4:$S$73,$B$2&amp;CHAR(31)&amp;$A4&amp;CHAR(31)&amp;F$3)*1,0),0)),"",IF(ISBLANK(INDEX('Casillas del horario'!$A$4:$A$73,MATCH(1,INDEX(EXACT('Casillas del horario'!$S$4:$S$73,$B$2&amp;CHAR(31)&amp;$A4&amp;CHAR(31)&amp;F$3)*1,0),0))),"",INDEX('Casillas del horario'!$A$4:$A$73,MATCH(1,INDEX(EXACT('Casillas del horario'!$S$4:$S$73,$B$2&amp;CHAR(31)&amp;$A4&amp;CHAR(31)&amp;F$3)*1,0),0))))&amp;" / "&amp;IF(ISBLANK(INDEX('Casillas del horario'!$A$4:$A$73,(MATCH(1,INDEX(EXACT('Casillas del horario'!$S$4:$S$73,$B$2&amp;CHAR(31)&amp;$A4&amp;CHAR(31)&amp;F$3)*1,0),0)+MATCH(1,INDEX(EXACT(INDEX('Casillas del horario'!$S$4:$S$73,MATCH(1,INDEX(EXACT('Casillas del horario'!$S$4:$S$73,$B$2&amp;CHAR(31)&amp;$A4&amp;CHAR(31)&amp;F$3)*1,0),0)+1):INDEX('Casillas del horario'!$S$4:$S$73,ROWS('Casillas del horario'!$S$4:$S$73)),$B$2&amp;CHAR(31)&amp;$A4&amp;CHAR(31)&amp;F$3)*1,0),0)))),"",INDEX('Casillas del horario'!$A$4:$A$73,(MATCH(1,INDEX(EXACT('Casillas del horario'!$S$4:$S$73,$B$2&amp;CHAR(31)&amp;$A4&amp;CHAR(31)&amp;F$3)*1,0),0)+MATCH(1,INDEX(EXACT(INDEX('Casillas del horario'!$S$4:$S$73,MATCH(1,INDEX(EXACT('Casillas del horario'!$S$4:$S$73,$B$2&amp;CHAR(31)&amp;$A4&amp;CHAR(31)&amp;F$3)*1,0),0)+1):INDEX('Casillas del horario'!$S$4:$S$73,ROWS('Casillas del horario'!$S$4:$S$73)),$B$2&amp;CHAR(31)&amp;$A4&amp;CHAR(31)&amp;F$3)*1,0),0))))&amp;IF(SUMPRODUCT(1*EXACT('Casillas del horario'!$S$4:$S$73,$B$2&amp;CHAR(31)&amp;$A4&amp;CHAR(31)&amp;F$3))&gt;2," (+"&amp;(SUMPRODUCT(1*EXACT('Casillas del horario'!$S$4:$S$73,$B$2&amp;CHAR(31)&amp;$A4&amp;CHAR(31)&amp;F$3))-2)&amp;")",""),IF(ISNA(MATCH(1,INDEX(EXACT('Casillas del horario'!$S$4:$S$73,$B$2&amp;CHAR(31)&amp;$A4&amp;CHAR(31)&amp;F$3)*1,0),0)),"",IF(ISBLANK(INDEX('Casillas del horario'!$A$4:$A$73,MATCH(1,INDEX(EXACT('Casillas del horario'!$S$4:$S$73,$B$2&amp;CHAR(31)&amp;$A4&amp;CHAR(31)&amp;F$3)*1,0),0))),"",INDEX('Casillas del horario'!$A$4:$A$73,MATCH(1,INDEX(EXACT('Casillas del horario'!$S$4:$S$73,$B$2&amp;CHAR(31)&amp;$A4&amp;CHAR(31)&amp;F$3)*1,0),0)))))</f>
        <v/>
      </c>
    </row>
    <row r="5">
      <c r="A5" s="3" t="n">
        <v>2</v>
      </c>
      <c r="B5" s="3">
        <f>IF(SUMPRODUCT(1*EXACT('Casillas del horario'!$S$4:$S$73,$B$2&amp;CHAR(31)&amp;$A5&amp;CHAR(31)&amp;B$3))&gt;1,IF(ISNA(MATCH(1,INDEX(EXACT('Casillas del horario'!$S$4:$S$73,$B$2&amp;CHAR(31)&amp;$A5&amp;CHAR(31)&amp;B$3)*1,0),0)),"",IF(ISBLANK(INDEX('Casillas del horario'!$A$4:$A$73,MATCH(1,INDEX(EXACT('Casillas del horario'!$S$4:$S$73,$B$2&amp;CHAR(31)&amp;$A5&amp;CHAR(31)&amp;B$3)*1,0),0))),"",INDEX('Casillas del horario'!$A$4:$A$73,MATCH(1,INDEX(EXACT('Casillas del horario'!$S$4:$S$73,$B$2&amp;CHAR(31)&amp;$A5&amp;CHAR(31)&amp;B$3)*1,0),0))))&amp;" / "&amp;IF(ISBLANK(INDEX('Casillas del horario'!$A$4:$A$73,(MATCH(1,INDEX(EXACT('Casillas del horario'!$S$4:$S$73,$B$2&amp;CHAR(31)&amp;$A5&amp;CHAR(31)&amp;B$3)*1,0),0)+MATCH(1,INDEX(EXACT(INDEX('Casillas del horario'!$S$4:$S$73,MATCH(1,INDEX(EXACT('Casillas del horario'!$S$4:$S$73,$B$2&amp;CHAR(31)&amp;$A5&amp;CHAR(31)&amp;B$3)*1,0),0)+1):INDEX('Casillas del horario'!$S$4:$S$73,ROWS('Casillas del horario'!$S$4:$S$73)),$B$2&amp;CHAR(31)&amp;$A5&amp;CHAR(31)&amp;B$3)*1,0),0)))),"",INDEX('Casillas del horario'!$A$4:$A$73,(MATCH(1,INDEX(EXACT('Casillas del horario'!$S$4:$S$73,$B$2&amp;CHAR(31)&amp;$A5&amp;CHAR(31)&amp;B$3)*1,0),0)+MATCH(1,INDEX(EXACT(INDEX('Casillas del horario'!$S$4:$S$73,MATCH(1,INDEX(EXACT('Casillas del horario'!$S$4:$S$73,$B$2&amp;CHAR(31)&amp;$A5&amp;CHAR(31)&amp;B$3)*1,0),0)+1):INDEX('Casillas del horario'!$S$4:$S$73,ROWS('Casillas del horario'!$S$4:$S$73)),$B$2&amp;CHAR(31)&amp;$A5&amp;CHAR(31)&amp;B$3)*1,0),0))))&amp;IF(SUMPRODUCT(1*EXACT('Casillas del horario'!$S$4:$S$73,$B$2&amp;CHAR(31)&amp;$A5&amp;CHAR(31)&amp;B$3))&gt;2," (+"&amp;(SUMPRODUCT(1*EXACT('Casillas del horario'!$S$4:$S$73,$B$2&amp;CHAR(31)&amp;$A5&amp;CHAR(31)&amp;B$3))-2)&amp;")",""),IF(ISNA(MATCH(1,INDEX(EXACT('Casillas del horario'!$S$4:$S$73,$B$2&amp;CHAR(31)&amp;$A5&amp;CHAR(31)&amp;B$3)*1,0),0)),"",IF(ISBLANK(INDEX('Casillas del horario'!$A$4:$A$73,MATCH(1,INDEX(EXACT('Casillas del horario'!$S$4:$S$73,$B$2&amp;CHAR(31)&amp;$A5&amp;CHAR(31)&amp;B$3)*1,0),0))),"",INDEX('Casillas del horario'!$A$4:$A$73,MATCH(1,INDEX(EXACT('Casillas del horario'!$S$4:$S$73,$B$2&amp;CHAR(31)&amp;$A5&amp;CHAR(31)&amp;B$3)*1,0),0)))))</f>
        <v/>
      </c>
      <c r="C5" s="3">
        <f>IF(SUMPRODUCT(1*EXACT('Casillas del horario'!$S$4:$S$73,$B$2&amp;CHAR(31)&amp;$A5&amp;CHAR(31)&amp;C$3))&gt;1,IF(ISNA(MATCH(1,INDEX(EXACT('Casillas del horario'!$S$4:$S$73,$B$2&amp;CHAR(31)&amp;$A5&amp;CHAR(31)&amp;C$3)*1,0),0)),"",IF(ISBLANK(INDEX('Casillas del horario'!$A$4:$A$73,MATCH(1,INDEX(EXACT('Casillas del horario'!$S$4:$S$73,$B$2&amp;CHAR(31)&amp;$A5&amp;CHAR(31)&amp;C$3)*1,0),0))),"",INDEX('Casillas del horario'!$A$4:$A$73,MATCH(1,INDEX(EXACT('Casillas del horario'!$S$4:$S$73,$B$2&amp;CHAR(31)&amp;$A5&amp;CHAR(31)&amp;C$3)*1,0),0))))&amp;" / "&amp;IF(ISBLANK(INDEX('Casillas del horario'!$A$4:$A$73,(MATCH(1,INDEX(EXACT('Casillas del horario'!$S$4:$S$73,$B$2&amp;CHAR(31)&amp;$A5&amp;CHAR(31)&amp;C$3)*1,0),0)+MATCH(1,INDEX(EXACT(INDEX('Casillas del horario'!$S$4:$S$73,MATCH(1,INDEX(EXACT('Casillas del horario'!$S$4:$S$73,$B$2&amp;CHAR(31)&amp;$A5&amp;CHAR(31)&amp;C$3)*1,0),0)+1):INDEX('Casillas del horario'!$S$4:$S$73,ROWS('Casillas del horario'!$S$4:$S$73)),$B$2&amp;CHAR(31)&amp;$A5&amp;CHAR(31)&amp;C$3)*1,0),0)))),"",INDEX('Casillas del horario'!$A$4:$A$73,(MATCH(1,INDEX(EXACT('Casillas del horario'!$S$4:$S$73,$B$2&amp;CHAR(31)&amp;$A5&amp;CHAR(31)&amp;C$3)*1,0),0)+MATCH(1,INDEX(EXACT(INDEX('Casillas del horario'!$S$4:$S$73,MATCH(1,INDEX(EXACT('Casillas del horario'!$S$4:$S$73,$B$2&amp;CHAR(31)&amp;$A5&amp;CHAR(31)&amp;C$3)*1,0),0)+1):INDEX('Casillas del horario'!$S$4:$S$73,ROWS('Casillas del horario'!$S$4:$S$73)),$B$2&amp;CHAR(31)&amp;$A5&amp;CHAR(31)&amp;C$3)*1,0),0))))&amp;IF(SUMPRODUCT(1*EXACT('Casillas del horario'!$S$4:$S$73,$B$2&amp;CHAR(31)&amp;$A5&amp;CHAR(31)&amp;C$3))&gt;2," (+"&amp;(SUMPRODUCT(1*EXACT('Casillas del horario'!$S$4:$S$73,$B$2&amp;CHAR(31)&amp;$A5&amp;CHAR(31)&amp;C$3))-2)&amp;")",""),IF(ISNA(MATCH(1,INDEX(EXACT('Casillas del horario'!$S$4:$S$73,$B$2&amp;CHAR(31)&amp;$A5&amp;CHAR(31)&amp;C$3)*1,0),0)),"",IF(ISBLANK(INDEX('Casillas del horario'!$A$4:$A$73,MATCH(1,INDEX(EXACT('Casillas del horario'!$S$4:$S$73,$B$2&amp;CHAR(31)&amp;$A5&amp;CHAR(31)&amp;C$3)*1,0),0))),"",INDEX('Casillas del horario'!$A$4:$A$73,MATCH(1,INDEX(EXACT('Casillas del horario'!$S$4:$S$73,$B$2&amp;CHAR(31)&amp;$A5&amp;CHAR(31)&amp;C$3)*1,0),0)))))</f>
        <v/>
      </c>
      <c r="D5" s="3">
        <f>IF(SUMPRODUCT(1*EXACT('Casillas del horario'!$S$4:$S$73,$B$2&amp;CHAR(31)&amp;$A5&amp;CHAR(31)&amp;D$3))&gt;1,IF(ISNA(MATCH(1,INDEX(EXACT('Casillas del horario'!$S$4:$S$73,$B$2&amp;CHAR(31)&amp;$A5&amp;CHAR(31)&amp;D$3)*1,0),0)),"",IF(ISBLANK(INDEX('Casillas del horario'!$A$4:$A$73,MATCH(1,INDEX(EXACT('Casillas del horario'!$S$4:$S$73,$B$2&amp;CHAR(31)&amp;$A5&amp;CHAR(31)&amp;D$3)*1,0),0))),"",INDEX('Casillas del horario'!$A$4:$A$73,MATCH(1,INDEX(EXACT('Casillas del horario'!$S$4:$S$73,$B$2&amp;CHAR(31)&amp;$A5&amp;CHAR(31)&amp;D$3)*1,0),0))))&amp;" / "&amp;IF(ISBLANK(INDEX('Casillas del horario'!$A$4:$A$73,(MATCH(1,INDEX(EXACT('Casillas del horario'!$S$4:$S$73,$B$2&amp;CHAR(31)&amp;$A5&amp;CHAR(31)&amp;D$3)*1,0),0)+MATCH(1,INDEX(EXACT(INDEX('Casillas del horario'!$S$4:$S$73,MATCH(1,INDEX(EXACT('Casillas del horario'!$S$4:$S$73,$B$2&amp;CHAR(31)&amp;$A5&amp;CHAR(31)&amp;D$3)*1,0),0)+1):INDEX('Casillas del horario'!$S$4:$S$73,ROWS('Casillas del horario'!$S$4:$S$73)),$B$2&amp;CHAR(31)&amp;$A5&amp;CHAR(31)&amp;D$3)*1,0),0)))),"",INDEX('Casillas del horario'!$A$4:$A$73,(MATCH(1,INDEX(EXACT('Casillas del horario'!$S$4:$S$73,$B$2&amp;CHAR(31)&amp;$A5&amp;CHAR(31)&amp;D$3)*1,0),0)+MATCH(1,INDEX(EXACT(INDEX('Casillas del horario'!$S$4:$S$73,MATCH(1,INDEX(EXACT('Casillas del horario'!$S$4:$S$73,$B$2&amp;CHAR(31)&amp;$A5&amp;CHAR(31)&amp;D$3)*1,0),0)+1):INDEX('Casillas del horario'!$S$4:$S$73,ROWS('Casillas del horario'!$S$4:$S$73)),$B$2&amp;CHAR(31)&amp;$A5&amp;CHAR(31)&amp;D$3)*1,0),0))))&amp;IF(SUMPRODUCT(1*EXACT('Casillas del horario'!$S$4:$S$73,$B$2&amp;CHAR(31)&amp;$A5&amp;CHAR(31)&amp;D$3))&gt;2," (+"&amp;(SUMPRODUCT(1*EXACT('Casillas del horario'!$S$4:$S$73,$B$2&amp;CHAR(31)&amp;$A5&amp;CHAR(31)&amp;D$3))-2)&amp;")",""),IF(ISNA(MATCH(1,INDEX(EXACT('Casillas del horario'!$S$4:$S$73,$B$2&amp;CHAR(31)&amp;$A5&amp;CHAR(31)&amp;D$3)*1,0),0)),"",IF(ISBLANK(INDEX('Casillas del horario'!$A$4:$A$73,MATCH(1,INDEX(EXACT('Casillas del horario'!$S$4:$S$73,$B$2&amp;CHAR(31)&amp;$A5&amp;CHAR(31)&amp;D$3)*1,0),0))),"",INDEX('Casillas del horario'!$A$4:$A$73,MATCH(1,INDEX(EXACT('Casillas del horario'!$S$4:$S$73,$B$2&amp;CHAR(31)&amp;$A5&amp;CHAR(31)&amp;D$3)*1,0),0)))))</f>
        <v/>
      </c>
      <c r="E5" s="3">
        <f>IF(SUMPRODUCT(1*EXACT('Casillas del horario'!$S$4:$S$73,$B$2&amp;CHAR(31)&amp;$A5&amp;CHAR(31)&amp;E$3))&gt;1,IF(ISNA(MATCH(1,INDEX(EXACT('Casillas del horario'!$S$4:$S$73,$B$2&amp;CHAR(31)&amp;$A5&amp;CHAR(31)&amp;E$3)*1,0),0)),"",IF(ISBLANK(INDEX('Casillas del horario'!$A$4:$A$73,MATCH(1,INDEX(EXACT('Casillas del horario'!$S$4:$S$73,$B$2&amp;CHAR(31)&amp;$A5&amp;CHAR(31)&amp;E$3)*1,0),0))),"",INDEX('Casillas del horario'!$A$4:$A$73,MATCH(1,INDEX(EXACT('Casillas del horario'!$S$4:$S$73,$B$2&amp;CHAR(31)&amp;$A5&amp;CHAR(31)&amp;E$3)*1,0),0))))&amp;" / "&amp;IF(ISBLANK(INDEX('Casillas del horario'!$A$4:$A$73,(MATCH(1,INDEX(EXACT('Casillas del horario'!$S$4:$S$73,$B$2&amp;CHAR(31)&amp;$A5&amp;CHAR(31)&amp;E$3)*1,0),0)+MATCH(1,INDEX(EXACT(INDEX('Casillas del horario'!$S$4:$S$73,MATCH(1,INDEX(EXACT('Casillas del horario'!$S$4:$S$73,$B$2&amp;CHAR(31)&amp;$A5&amp;CHAR(31)&amp;E$3)*1,0),0)+1):INDEX('Casillas del horario'!$S$4:$S$73,ROWS('Casillas del horario'!$S$4:$S$73)),$B$2&amp;CHAR(31)&amp;$A5&amp;CHAR(31)&amp;E$3)*1,0),0)))),"",INDEX('Casillas del horario'!$A$4:$A$73,(MATCH(1,INDEX(EXACT('Casillas del horario'!$S$4:$S$73,$B$2&amp;CHAR(31)&amp;$A5&amp;CHAR(31)&amp;E$3)*1,0),0)+MATCH(1,INDEX(EXACT(INDEX('Casillas del horario'!$S$4:$S$73,MATCH(1,INDEX(EXACT('Casillas del horario'!$S$4:$S$73,$B$2&amp;CHAR(31)&amp;$A5&amp;CHAR(31)&amp;E$3)*1,0),0)+1):INDEX('Casillas del horario'!$S$4:$S$73,ROWS('Casillas del horario'!$S$4:$S$73)),$B$2&amp;CHAR(31)&amp;$A5&amp;CHAR(31)&amp;E$3)*1,0),0))))&amp;IF(SUMPRODUCT(1*EXACT('Casillas del horario'!$S$4:$S$73,$B$2&amp;CHAR(31)&amp;$A5&amp;CHAR(31)&amp;E$3))&gt;2," (+"&amp;(SUMPRODUCT(1*EXACT('Casillas del horario'!$S$4:$S$73,$B$2&amp;CHAR(31)&amp;$A5&amp;CHAR(31)&amp;E$3))-2)&amp;")",""),IF(ISNA(MATCH(1,INDEX(EXACT('Casillas del horario'!$S$4:$S$73,$B$2&amp;CHAR(31)&amp;$A5&amp;CHAR(31)&amp;E$3)*1,0),0)),"",IF(ISBLANK(INDEX('Casillas del horario'!$A$4:$A$73,MATCH(1,INDEX(EXACT('Casillas del horario'!$S$4:$S$73,$B$2&amp;CHAR(31)&amp;$A5&amp;CHAR(31)&amp;E$3)*1,0),0))),"",INDEX('Casillas del horario'!$A$4:$A$73,MATCH(1,INDEX(EXACT('Casillas del horario'!$S$4:$S$73,$B$2&amp;CHAR(31)&amp;$A5&amp;CHAR(31)&amp;E$3)*1,0),0)))))</f>
        <v/>
      </c>
      <c r="F5" s="3">
        <f>IF(SUMPRODUCT(1*EXACT('Casillas del horario'!$S$4:$S$73,$B$2&amp;CHAR(31)&amp;$A5&amp;CHAR(31)&amp;F$3))&gt;1,IF(ISNA(MATCH(1,INDEX(EXACT('Casillas del horario'!$S$4:$S$73,$B$2&amp;CHAR(31)&amp;$A5&amp;CHAR(31)&amp;F$3)*1,0),0)),"",IF(ISBLANK(INDEX('Casillas del horario'!$A$4:$A$73,MATCH(1,INDEX(EXACT('Casillas del horario'!$S$4:$S$73,$B$2&amp;CHAR(31)&amp;$A5&amp;CHAR(31)&amp;F$3)*1,0),0))),"",INDEX('Casillas del horario'!$A$4:$A$73,MATCH(1,INDEX(EXACT('Casillas del horario'!$S$4:$S$73,$B$2&amp;CHAR(31)&amp;$A5&amp;CHAR(31)&amp;F$3)*1,0),0))))&amp;" / "&amp;IF(ISBLANK(INDEX('Casillas del horario'!$A$4:$A$73,(MATCH(1,INDEX(EXACT('Casillas del horario'!$S$4:$S$73,$B$2&amp;CHAR(31)&amp;$A5&amp;CHAR(31)&amp;F$3)*1,0),0)+MATCH(1,INDEX(EXACT(INDEX('Casillas del horario'!$S$4:$S$73,MATCH(1,INDEX(EXACT('Casillas del horario'!$S$4:$S$73,$B$2&amp;CHAR(31)&amp;$A5&amp;CHAR(31)&amp;F$3)*1,0),0)+1):INDEX('Casillas del horario'!$S$4:$S$73,ROWS('Casillas del horario'!$S$4:$S$73)),$B$2&amp;CHAR(31)&amp;$A5&amp;CHAR(31)&amp;F$3)*1,0),0)))),"",INDEX('Casillas del horario'!$A$4:$A$73,(MATCH(1,INDEX(EXACT('Casillas del horario'!$S$4:$S$73,$B$2&amp;CHAR(31)&amp;$A5&amp;CHAR(31)&amp;F$3)*1,0),0)+MATCH(1,INDEX(EXACT(INDEX('Casillas del horario'!$S$4:$S$73,MATCH(1,INDEX(EXACT('Casillas del horario'!$S$4:$S$73,$B$2&amp;CHAR(31)&amp;$A5&amp;CHAR(31)&amp;F$3)*1,0),0)+1):INDEX('Casillas del horario'!$S$4:$S$73,ROWS('Casillas del horario'!$S$4:$S$73)),$B$2&amp;CHAR(31)&amp;$A5&amp;CHAR(31)&amp;F$3)*1,0),0))))&amp;IF(SUMPRODUCT(1*EXACT('Casillas del horario'!$S$4:$S$73,$B$2&amp;CHAR(31)&amp;$A5&amp;CHAR(31)&amp;F$3))&gt;2," (+"&amp;(SUMPRODUCT(1*EXACT('Casillas del horario'!$S$4:$S$73,$B$2&amp;CHAR(31)&amp;$A5&amp;CHAR(31)&amp;F$3))-2)&amp;")",""),IF(ISNA(MATCH(1,INDEX(EXACT('Casillas del horario'!$S$4:$S$73,$B$2&amp;CHAR(31)&amp;$A5&amp;CHAR(31)&amp;F$3)*1,0),0)),"",IF(ISBLANK(INDEX('Casillas del horario'!$A$4:$A$73,MATCH(1,INDEX(EXACT('Casillas del horario'!$S$4:$S$73,$B$2&amp;CHAR(31)&amp;$A5&amp;CHAR(31)&amp;F$3)*1,0),0))),"",INDEX('Casillas del horario'!$A$4:$A$73,MATCH(1,INDEX(EXACT('Casillas del horario'!$S$4:$S$73,$B$2&amp;CHAR(31)&amp;$A5&amp;CHAR(31)&amp;F$3)*1,0),0)))))</f>
        <v/>
      </c>
    </row>
    <row r="6">
      <c r="A6" s="3" t="n">
        <v>3</v>
      </c>
      <c r="B6" s="3">
        <f>IF(SUMPRODUCT(1*EXACT('Casillas del horario'!$S$4:$S$73,$B$2&amp;CHAR(31)&amp;$A6&amp;CHAR(31)&amp;B$3))&gt;1,IF(ISNA(MATCH(1,INDEX(EXACT('Casillas del horario'!$S$4:$S$73,$B$2&amp;CHAR(31)&amp;$A6&amp;CHAR(31)&amp;B$3)*1,0),0)),"",IF(ISBLANK(INDEX('Casillas del horario'!$A$4:$A$73,MATCH(1,INDEX(EXACT('Casillas del horario'!$S$4:$S$73,$B$2&amp;CHAR(31)&amp;$A6&amp;CHAR(31)&amp;B$3)*1,0),0))),"",INDEX('Casillas del horario'!$A$4:$A$73,MATCH(1,INDEX(EXACT('Casillas del horario'!$S$4:$S$73,$B$2&amp;CHAR(31)&amp;$A6&amp;CHAR(31)&amp;B$3)*1,0),0))))&amp;" / "&amp;IF(ISBLANK(INDEX('Casillas del horario'!$A$4:$A$73,(MATCH(1,INDEX(EXACT('Casillas del horario'!$S$4:$S$73,$B$2&amp;CHAR(31)&amp;$A6&amp;CHAR(31)&amp;B$3)*1,0),0)+MATCH(1,INDEX(EXACT(INDEX('Casillas del horario'!$S$4:$S$73,MATCH(1,INDEX(EXACT('Casillas del horario'!$S$4:$S$73,$B$2&amp;CHAR(31)&amp;$A6&amp;CHAR(31)&amp;B$3)*1,0),0)+1):INDEX('Casillas del horario'!$S$4:$S$73,ROWS('Casillas del horario'!$S$4:$S$73)),$B$2&amp;CHAR(31)&amp;$A6&amp;CHAR(31)&amp;B$3)*1,0),0)))),"",INDEX('Casillas del horario'!$A$4:$A$73,(MATCH(1,INDEX(EXACT('Casillas del horario'!$S$4:$S$73,$B$2&amp;CHAR(31)&amp;$A6&amp;CHAR(31)&amp;B$3)*1,0),0)+MATCH(1,INDEX(EXACT(INDEX('Casillas del horario'!$S$4:$S$73,MATCH(1,INDEX(EXACT('Casillas del horario'!$S$4:$S$73,$B$2&amp;CHAR(31)&amp;$A6&amp;CHAR(31)&amp;B$3)*1,0),0)+1):INDEX('Casillas del horario'!$S$4:$S$73,ROWS('Casillas del horario'!$S$4:$S$73)),$B$2&amp;CHAR(31)&amp;$A6&amp;CHAR(31)&amp;B$3)*1,0),0))))&amp;IF(SUMPRODUCT(1*EXACT('Casillas del horario'!$S$4:$S$73,$B$2&amp;CHAR(31)&amp;$A6&amp;CHAR(31)&amp;B$3))&gt;2," (+"&amp;(SUMPRODUCT(1*EXACT('Casillas del horario'!$S$4:$S$73,$B$2&amp;CHAR(31)&amp;$A6&amp;CHAR(31)&amp;B$3))-2)&amp;")",""),IF(ISNA(MATCH(1,INDEX(EXACT('Casillas del horario'!$S$4:$S$73,$B$2&amp;CHAR(31)&amp;$A6&amp;CHAR(31)&amp;B$3)*1,0),0)),"",IF(ISBLANK(INDEX('Casillas del horario'!$A$4:$A$73,MATCH(1,INDEX(EXACT('Casillas del horario'!$S$4:$S$73,$B$2&amp;CHAR(31)&amp;$A6&amp;CHAR(31)&amp;B$3)*1,0),0))),"",INDEX('Casillas del horario'!$A$4:$A$73,MATCH(1,INDEX(EXACT('Casillas del horario'!$S$4:$S$73,$B$2&amp;CHAR(31)&amp;$A6&amp;CHAR(31)&amp;B$3)*1,0),0)))))</f>
        <v/>
      </c>
      <c r="C6" s="3">
        <f>IF(SUMPRODUCT(1*EXACT('Casillas del horario'!$S$4:$S$73,$B$2&amp;CHAR(31)&amp;$A6&amp;CHAR(31)&amp;C$3))&gt;1,IF(ISNA(MATCH(1,INDEX(EXACT('Casillas del horario'!$S$4:$S$73,$B$2&amp;CHAR(31)&amp;$A6&amp;CHAR(31)&amp;C$3)*1,0),0)),"",IF(ISBLANK(INDEX('Casillas del horario'!$A$4:$A$73,MATCH(1,INDEX(EXACT('Casillas del horario'!$S$4:$S$73,$B$2&amp;CHAR(31)&amp;$A6&amp;CHAR(31)&amp;C$3)*1,0),0))),"",INDEX('Casillas del horario'!$A$4:$A$73,MATCH(1,INDEX(EXACT('Casillas del horario'!$S$4:$S$73,$B$2&amp;CHAR(31)&amp;$A6&amp;CHAR(31)&amp;C$3)*1,0),0))))&amp;" / "&amp;IF(ISBLANK(INDEX('Casillas del horario'!$A$4:$A$73,(MATCH(1,INDEX(EXACT('Casillas del horario'!$S$4:$S$73,$B$2&amp;CHAR(31)&amp;$A6&amp;CHAR(31)&amp;C$3)*1,0),0)+MATCH(1,INDEX(EXACT(INDEX('Casillas del horario'!$S$4:$S$73,MATCH(1,INDEX(EXACT('Casillas del horario'!$S$4:$S$73,$B$2&amp;CHAR(31)&amp;$A6&amp;CHAR(31)&amp;C$3)*1,0),0)+1):INDEX('Casillas del horario'!$S$4:$S$73,ROWS('Casillas del horario'!$S$4:$S$73)),$B$2&amp;CHAR(31)&amp;$A6&amp;CHAR(31)&amp;C$3)*1,0),0)))),"",INDEX('Casillas del horario'!$A$4:$A$73,(MATCH(1,INDEX(EXACT('Casillas del horario'!$S$4:$S$73,$B$2&amp;CHAR(31)&amp;$A6&amp;CHAR(31)&amp;C$3)*1,0),0)+MATCH(1,INDEX(EXACT(INDEX('Casillas del horario'!$S$4:$S$73,MATCH(1,INDEX(EXACT('Casillas del horario'!$S$4:$S$73,$B$2&amp;CHAR(31)&amp;$A6&amp;CHAR(31)&amp;C$3)*1,0),0)+1):INDEX('Casillas del horario'!$S$4:$S$73,ROWS('Casillas del horario'!$S$4:$S$73)),$B$2&amp;CHAR(31)&amp;$A6&amp;CHAR(31)&amp;C$3)*1,0),0))))&amp;IF(SUMPRODUCT(1*EXACT('Casillas del horario'!$S$4:$S$73,$B$2&amp;CHAR(31)&amp;$A6&amp;CHAR(31)&amp;C$3))&gt;2," (+"&amp;(SUMPRODUCT(1*EXACT('Casillas del horario'!$S$4:$S$73,$B$2&amp;CHAR(31)&amp;$A6&amp;CHAR(31)&amp;C$3))-2)&amp;")",""),IF(ISNA(MATCH(1,INDEX(EXACT('Casillas del horario'!$S$4:$S$73,$B$2&amp;CHAR(31)&amp;$A6&amp;CHAR(31)&amp;C$3)*1,0),0)),"",IF(ISBLANK(INDEX('Casillas del horario'!$A$4:$A$73,MATCH(1,INDEX(EXACT('Casillas del horario'!$S$4:$S$73,$B$2&amp;CHAR(31)&amp;$A6&amp;CHAR(31)&amp;C$3)*1,0),0))),"",INDEX('Casillas del horario'!$A$4:$A$73,MATCH(1,INDEX(EXACT('Casillas del horario'!$S$4:$S$73,$B$2&amp;CHAR(31)&amp;$A6&amp;CHAR(31)&amp;C$3)*1,0),0)))))</f>
        <v/>
      </c>
      <c r="D6" s="3">
        <f>IF(SUMPRODUCT(1*EXACT('Casillas del horario'!$S$4:$S$73,$B$2&amp;CHAR(31)&amp;$A6&amp;CHAR(31)&amp;D$3))&gt;1,IF(ISNA(MATCH(1,INDEX(EXACT('Casillas del horario'!$S$4:$S$73,$B$2&amp;CHAR(31)&amp;$A6&amp;CHAR(31)&amp;D$3)*1,0),0)),"",IF(ISBLANK(INDEX('Casillas del horario'!$A$4:$A$73,MATCH(1,INDEX(EXACT('Casillas del horario'!$S$4:$S$73,$B$2&amp;CHAR(31)&amp;$A6&amp;CHAR(31)&amp;D$3)*1,0),0))),"",INDEX('Casillas del horario'!$A$4:$A$73,MATCH(1,INDEX(EXACT('Casillas del horario'!$S$4:$S$73,$B$2&amp;CHAR(31)&amp;$A6&amp;CHAR(31)&amp;D$3)*1,0),0))))&amp;" / "&amp;IF(ISBLANK(INDEX('Casillas del horario'!$A$4:$A$73,(MATCH(1,INDEX(EXACT('Casillas del horario'!$S$4:$S$73,$B$2&amp;CHAR(31)&amp;$A6&amp;CHAR(31)&amp;D$3)*1,0),0)+MATCH(1,INDEX(EXACT(INDEX('Casillas del horario'!$S$4:$S$73,MATCH(1,INDEX(EXACT('Casillas del horario'!$S$4:$S$73,$B$2&amp;CHAR(31)&amp;$A6&amp;CHAR(31)&amp;D$3)*1,0),0)+1):INDEX('Casillas del horario'!$S$4:$S$73,ROWS('Casillas del horario'!$S$4:$S$73)),$B$2&amp;CHAR(31)&amp;$A6&amp;CHAR(31)&amp;D$3)*1,0),0)))),"",INDEX('Casillas del horario'!$A$4:$A$73,(MATCH(1,INDEX(EXACT('Casillas del horario'!$S$4:$S$73,$B$2&amp;CHAR(31)&amp;$A6&amp;CHAR(31)&amp;D$3)*1,0),0)+MATCH(1,INDEX(EXACT(INDEX('Casillas del horario'!$S$4:$S$73,MATCH(1,INDEX(EXACT('Casillas del horario'!$S$4:$S$73,$B$2&amp;CHAR(31)&amp;$A6&amp;CHAR(31)&amp;D$3)*1,0),0)+1):INDEX('Casillas del horario'!$S$4:$S$73,ROWS('Casillas del horario'!$S$4:$S$73)),$B$2&amp;CHAR(31)&amp;$A6&amp;CHAR(31)&amp;D$3)*1,0),0))))&amp;IF(SUMPRODUCT(1*EXACT('Casillas del horario'!$S$4:$S$73,$B$2&amp;CHAR(31)&amp;$A6&amp;CHAR(31)&amp;D$3))&gt;2," (+"&amp;(SUMPRODUCT(1*EXACT('Casillas del horario'!$S$4:$S$73,$B$2&amp;CHAR(31)&amp;$A6&amp;CHAR(31)&amp;D$3))-2)&amp;")",""),IF(ISNA(MATCH(1,INDEX(EXACT('Casillas del horario'!$S$4:$S$73,$B$2&amp;CHAR(31)&amp;$A6&amp;CHAR(31)&amp;D$3)*1,0),0)),"",IF(ISBLANK(INDEX('Casillas del horario'!$A$4:$A$73,MATCH(1,INDEX(EXACT('Casillas del horario'!$S$4:$S$73,$B$2&amp;CHAR(31)&amp;$A6&amp;CHAR(31)&amp;D$3)*1,0),0))),"",INDEX('Casillas del horario'!$A$4:$A$73,MATCH(1,INDEX(EXACT('Casillas del horario'!$S$4:$S$73,$B$2&amp;CHAR(31)&amp;$A6&amp;CHAR(31)&amp;D$3)*1,0),0)))))</f>
        <v/>
      </c>
      <c r="E6" s="3">
        <f>IF(SUMPRODUCT(1*EXACT('Casillas del horario'!$S$4:$S$73,$B$2&amp;CHAR(31)&amp;$A6&amp;CHAR(31)&amp;E$3))&gt;1,IF(ISNA(MATCH(1,INDEX(EXACT('Casillas del horario'!$S$4:$S$73,$B$2&amp;CHAR(31)&amp;$A6&amp;CHAR(31)&amp;E$3)*1,0),0)),"",IF(ISBLANK(INDEX('Casillas del horario'!$A$4:$A$73,MATCH(1,INDEX(EXACT('Casillas del horario'!$S$4:$S$73,$B$2&amp;CHAR(31)&amp;$A6&amp;CHAR(31)&amp;E$3)*1,0),0))),"",INDEX('Casillas del horario'!$A$4:$A$73,MATCH(1,INDEX(EXACT('Casillas del horario'!$S$4:$S$73,$B$2&amp;CHAR(31)&amp;$A6&amp;CHAR(31)&amp;E$3)*1,0),0))))&amp;" / "&amp;IF(ISBLANK(INDEX('Casillas del horario'!$A$4:$A$73,(MATCH(1,INDEX(EXACT('Casillas del horario'!$S$4:$S$73,$B$2&amp;CHAR(31)&amp;$A6&amp;CHAR(31)&amp;E$3)*1,0),0)+MATCH(1,INDEX(EXACT(INDEX('Casillas del horario'!$S$4:$S$73,MATCH(1,INDEX(EXACT('Casillas del horario'!$S$4:$S$73,$B$2&amp;CHAR(31)&amp;$A6&amp;CHAR(31)&amp;E$3)*1,0),0)+1):INDEX('Casillas del horario'!$S$4:$S$73,ROWS('Casillas del horario'!$S$4:$S$73)),$B$2&amp;CHAR(31)&amp;$A6&amp;CHAR(31)&amp;E$3)*1,0),0)))),"",INDEX('Casillas del horario'!$A$4:$A$73,(MATCH(1,INDEX(EXACT('Casillas del horario'!$S$4:$S$73,$B$2&amp;CHAR(31)&amp;$A6&amp;CHAR(31)&amp;E$3)*1,0),0)+MATCH(1,INDEX(EXACT(INDEX('Casillas del horario'!$S$4:$S$73,MATCH(1,INDEX(EXACT('Casillas del horario'!$S$4:$S$73,$B$2&amp;CHAR(31)&amp;$A6&amp;CHAR(31)&amp;E$3)*1,0),0)+1):INDEX('Casillas del horario'!$S$4:$S$73,ROWS('Casillas del horario'!$S$4:$S$73)),$B$2&amp;CHAR(31)&amp;$A6&amp;CHAR(31)&amp;E$3)*1,0),0))))&amp;IF(SUMPRODUCT(1*EXACT('Casillas del horario'!$S$4:$S$73,$B$2&amp;CHAR(31)&amp;$A6&amp;CHAR(31)&amp;E$3))&gt;2," (+"&amp;(SUMPRODUCT(1*EXACT('Casillas del horario'!$S$4:$S$73,$B$2&amp;CHAR(31)&amp;$A6&amp;CHAR(31)&amp;E$3))-2)&amp;")",""),IF(ISNA(MATCH(1,INDEX(EXACT('Casillas del horario'!$S$4:$S$73,$B$2&amp;CHAR(31)&amp;$A6&amp;CHAR(31)&amp;E$3)*1,0),0)),"",IF(ISBLANK(INDEX('Casillas del horario'!$A$4:$A$73,MATCH(1,INDEX(EXACT('Casillas del horario'!$S$4:$S$73,$B$2&amp;CHAR(31)&amp;$A6&amp;CHAR(31)&amp;E$3)*1,0),0))),"",INDEX('Casillas del horario'!$A$4:$A$73,MATCH(1,INDEX(EXACT('Casillas del horario'!$S$4:$S$73,$B$2&amp;CHAR(31)&amp;$A6&amp;CHAR(31)&amp;E$3)*1,0),0)))))</f>
        <v/>
      </c>
      <c r="F6" s="3">
        <f>IF(SUMPRODUCT(1*EXACT('Casillas del horario'!$S$4:$S$73,$B$2&amp;CHAR(31)&amp;$A6&amp;CHAR(31)&amp;F$3))&gt;1,IF(ISNA(MATCH(1,INDEX(EXACT('Casillas del horario'!$S$4:$S$73,$B$2&amp;CHAR(31)&amp;$A6&amp;CHAR(31)&amp;F$3)*1,0),0)),"",IF(ISBLANK(INDEX('Casillas del horario'!$A$4:$A$73,MATCH(1,INDEX(EXACT('Casillas del horario'!$S$4:$S$73,$B$2&amp;CHAR(31)&amp;$A6&amp;CHAR(31)&amp;F$3)*1,0),0))),"",INDEX('Casillas del horario'!$A$4:$A$73,MATCH(1,INDEX(EXACT('Casillas del horario'!$S$4:$S$73,$B$2&amp;CHAR(31)&amp;$A6&amp;CHAR(31)&amp;F$3)*1,0),0))))&amp;" / "&amp;IF(ISBLANK(INDEX('Casillas del horario'!$A$4:$A$73,(MATCH(1,INDEX(EXACT('Casillas del horario'!$S$4:$S$73,$B$2&amp;CHAR(31)&amp;$A6&amp;CHAR(31)&amp;F$3)*1,0),0)+MATCH(1,INDEX(EXACT(INDEX('Casillas del horario'!$S$4:$S$73,MATCH(1,INDEX(EXACT('Casillas del horario'!$S$4:$S$73,$B$2&amp;CHAR(31)&amp;$A6&amp;CHAR(31)&amp;F$3)*1,0),0)+1):INDEX('Casillas del horario'!$S$4:$S$73,ROWS('Casillas del horario'!$S$4:$S$73)),$B$2&amp;CHAR(31)&amp;$A6&amp;CHAR(31)&amp;F$3)*1,0),0)))),"",INDEX('Casillas del horario'!$A$4:$A$73,(MATCH(1,INDEX(EXACT('Casillas del horario'!$S$4:$S$73,$B$2&amp;CHAR(31)&amp;$A6&amp;CHAR(31)&amp;F$3)*1,0),0)+MATCH(1,INDEX(EXACT(INDEX('Casillas del horario'!$S$4:$S$73,MATCH(1,INDEX(EXACT('Casillas del horario'!$S$4:$S$73,$B$2&amp;CHAR(31)&amp;$A6&amp;CHAR(31)&amp;F$3)*1,0),0)+1):INDEX('Casillas del horario'!$S$4:$S$73,ROWS('Casillas del horario'!$S$4:$S$73)),$B$2&amp;CHAR(31)&amp;$A6&amp;CHAR(31)&amp;F$3)*1,0),0))))&amp;IF(SUMPRODUCT(1*EXACT('Casillas del horario'!$S$4:$S$73,$B$2&amp;CHAR(31)&amp;$A6&amp;CHAR(31)&amp;F$3))&gt;2," (+"&amp;(SUMPRODUCT(1*EXACT('Casillas del horario'!$S$4:$S$73,$B$2&amp;CHAR(31)&amp;$A6&amp;CHAR(31)&amp;F$3))-2)&amp;")",""),IF(ISNA(MATCH(1,INDEX(EXACT('Casillas del horario'!$S$4:$S$73,$B$2&amp;CHAR(31)&amp;$A6&amp;CHAR(31)&amp;F$3)*1,0),0)),"",IF(ISBLANK(INDEX('Casillas del horario'!$A$4:$A$73,MATCH(1,INDEX(EXACT('Casillas del horario'!$S$4:$S$73,$B$2&amp;CHAR(31)&amp;$A6&amp;CHAR(31)&amp;F$3)*1,0),0))),"",INDEX('Casillas del horario'!$A$4:$A$73,MATCH(1,INDEX(EXACT('Casillas del horario'!$S$4:$S$73,$B$2&amp;CHAR(31)&amp;$A6&amp;CHAR(31)&amp;F$3)*1,0),0)))))</f>
        <v/>
      </c>
    </row>
    <row r="7">
      <c r="A7" s="3" t="n">
        <v>4</v>
      </c>
      <c r="B7" s="3">
        <f>IF(SUMPRODUCT(1*EXACT('Casillas del horario'!$S$4:$S$73,$B$2&amp;CHAR(31)&amp;$A7&amp;CHAR(31)&amp;B$3))&gt;1,IF(ISNA(MATCH(1,INDEX(EXACT('Casillas del horario'!$S$4:$S$73,$B$2&amp;CHAR(31)&amp;$A7&amp;CHAR(31)&amp;B$3)*1,0),0)),"",IF(ISBLANK(INDEX('Casillas del horario'!$A$4:$A$73,MATCH(1,INDEX(EXACT('Casillas del horario'!$S$4:$S$73,$B$2&amp;CHAR(31)&amp;$A7&amp;CHAR(31)&amp;B$3)*1,0),0))),"",INDEX('Casillas del horario'!$A$4:$A$73,MATCH(1,INDEX(EXACT('Casillas del horario'!$S$4:$S$73,$B$2&amp;CHAR(31)&amp;$A7&amp;CHAR(31)&amp;B$3)*1,0),0))))&amp;" / "&amp;IF(ISBLANK(INDEX('Casillas del horario'!$A$4:$A$73,(MATCH(1,INDEX(EXACT('Casillas del horario'!$S$4:$S$73,$B$2&amp;CHAR(31)&amp;$A7&amp;CHAR(31)&amp;B$3)*1,0),0)+MATCH(1,INDEX(EXACT(INDEX('Casillas del horario'!$S$4:$S$73,MATCH(1,INDEX(EXACT('Casillas del horario'!$S$4:$S$73,$B$2&amp;CHAR(31)&amp;$A7&amp;CHAR(31)&amp;B$3)*1,0),0)+1):INDEX('Casillas del horario'!$S$4:$S$73,ROWS('Casillas del horario'!$S$4:$S$73)),$B$2&amp;CHAR(31)&amp;$A7&amp;CHAR(31)&amp;B$3)*1,0),0)))),"",INDEX('Casillas del horario'!$A$4:$A$73,(MATCH(1,INDEX(EXACT('Casillas del horario'!$S$4:$S$73,$B$2&amp;CHAR(31)&amp;$A7&amp;CHAR(31)&amp;B$3)*1,0),0)+MATCH(1,INDEX(EXACT(INDEX('Casillas del horario'!$S$4:$S$73,MATCH(1,INDEX(EXACT('Casillas del horario'!$S$4:$S$73,$B$2&amp;CHAR(31)&amp;$A7&amp;CHAR(31)&amp;B$3)*1,0),0)+1):INDEX('Casillas del horario'!$S$4:$S$73,ROWS('Casillas del horario'!$S$4:$S$73)),$B$2&amp;CHAR(31)&amp;$A7&amp;CHAR(31)&amp;B$3)*1,0),0))))&amp;IF(SUMPRODUCT(1*EXACT('Casillas del horario'!$S$4:$S$73,$B$2&amp;CHAR(31)&amp;$A7&amp;CHAR(31)&amp;B$3))&gt;2," (+"&amp;(SUMPRODUCT(1*EXACT('Casillas del horario'!$S$4:$S$73,$B$2&amp;CHAR(31)&amp;$A7&amp;CHAR(31)&amp;B$3))-2)&amp;")",""),IF(ISNA(MATCH(1,INDEX(EXACT('Casillas del horario'!$S$4:$S$73,$B$2&amp;CHAR(31)&amp;$A7&amp;CHAR(31)&amp;B$3)*1,0),0)),"",IF(ISBLANK(INDEX('Casillas del horario'!$A$4:$A$73,MATCH(1,INDEX(EXACT('Casillas del horario'!$S$4:$S$73,$B$2&amp;CHAR(31)&amp;$A7&amp;CHAR(31)&amp;B$3)*1,0),0))),"",INDEX('Casillas del horario'!$A$4:$A$73,MATCH(1,INDEX(EXACT('Casillas del horario'!$S$4:$S$73,$B$2&amp;CHAR(31)&amp;$A7&amp;CHAR(31)&amp;B$3)*1,0),0)))))</f>
        <v/>
      </c>
      <c r="C7" s="3">
        <f>IF(SUMPRODUCT(1*EXACT('Casillas del horario'!$S$4:$S$73,$B$2&amp;CHAR(31)&amp;$A7&amp;CHAR(31)&amp;C$3))&gt;1,IF(ISNA(MATCH(1,INDEX(EXACT('Casillas del horario'!$S$4:$S$73,$B$2&amp;CHAR(31)&amp;$A7&amp;CHAR(31)&amp;C$3)*1,0),0)),"",IF(ISBLANK(INDEX('Casillas del horario'!$A$4:$A$73,MATCH(1,INDEX(EXACT('Casillas del horario'!$S$4:$S$73,$B$2&amp;CHAR(31)&amp;$A7&amp;CHAR(31)&amp;C$3)*1,0),0))),"",INDEX('Casillas del horario'!$A$4:$A$73,MATCH(1,INDEX(EXACT('Casillas del horario'!$S$4:$S$73,$B$2&amp;CHAR(31)&amp;$A7&amp;CHAR(31)&amp;C$3)*1,0),0))))&amp;" / "&amp;IF(ISBLANK(INDEX('Casillas del horario'!$A$4:$A$73,(MATCH(1,INDEX(EXACT('Casillas del horario'!$S$4:$S$73,$B$2&amp;CHAR(31)&amp;$A7&amp;CHAR(31)&amp;C$3)*1,0),0)+MATCH(1,INDEX(EXACT(INDEX('Casillas del horario'!$S$4:$S$73,MATCH(1,INDEX(EXACT('Casillas del horario'!$S$4:$S$73,$B$2&amp;CHAR(31)&amp;$A7&amp;CHAR(31)&amp;C$3)*1,0),0)+1):INDEX('Casillas del horario'!$S$4:$S$73,ROWS('Casillas del horario'!$S$4:$S$73)),$B$2&amp;CHAR(31)&amp;$A7&amp;CHAR(31)&amp;C$3)*1,0),0)))),"",INDEX('Casillas del horario'!$A$4:$A$73,(MATCH(1,INDEX(EXACT('Casillas del horario'!$S$4:$S$73,$B$2&amp;CHAR(31)&amp;$A7&amp;CHAR(31)&amp;C$3)*1,0),0)+MATCH(1,INDEX(EXACT(INDEX('Casillas del horario'!$S$4:$S$73,MATCH(1,INDEX(EXACT('Casillas del horario'!$S$4:$S$73,$B$2&amp;CHAR(31)&amp;$A7&amp;CHAR(31)&amp;C$3)*1,0),0)+1):INDEX('Casillas del horario'!$S$4:$S$73,ROWS('Casillas del horario'!$S$4:$S$73)),$B$2&amp;CHAR(31)&amp;$A7&amp;CHAR(31)&amp;C$3)*1,0),0))))&amp;IF(SUMPRODUCT(1*EXACT('Casillas del horario'!$S$4:$S$73,$B$2&amp;CHAR(31)&amp;$A7&amp;CHAR(31)&amp;C$3))&gt;2," (+"&amp;(SUMPRODUCT(1*EXACT('Casillas del horario'!$S$4:$S$73,$B$2&amp;CHAR(31)&amp;$A7&amp;CHAR(31)&amp;C$3))-2)&amp;")",""),IF(ISNA(MATCH(1,INDEX(EXACT('Casillas del horario'!$S$4:$S$73,$B$2&amp;CHAR(31)&amp;$A7&amp;CHAR(31)&amp;C$3)*1,0),0)),"",IF(ISBLANK(INDEX('Casillas del horario'!$A$4:$A$73,MATCH(1,INDEX(EXACT('Casillas del horario'!$S$4:$S$73,$B$2&amp;CHAR(31)&amp;$A7&amp;CHAR(31)&amp;C$3)*1,0),0))),"",INDEX('Casillas del horario'!$A$4:$A$73,MATCH(1,INDEX(EXACT('Casillas del horario'!$S$4:$S$73,$B$2&amp;CHAR(31)&amp;$A7&amp;CHAR(31)&amp;C$3)*1,0),0)))))</f>
        <v/>
      </c>
      <c r="D7" s="3">
        <f>IF(SUMPRODUCT(1*EXACT('Casillas del horario'!$S$4:$S$73,$B$2&amp;CHAR(31)&amp;$A7&amp;CHAR(31)&amp;D$3))&gt;1,IF(ISNA(MATCH(1,INDEX(EXACT('Casillas del horario'!$S$4:$S$73,$B$2&amp;CHAR(31)&amp;$A7&amp;CHAR(31)&amp;D$3)*1,0),0)),"",IF(ISBLANK(INDEX('Casillas del horario'!$A$4:$A$73,MATCH(1,INDEX(EXACT('Casillas del horario'!$S$4:$S$73,$B$2&amp;CHAR(31)&amp;$A7&amp;CHAR(31)&amp;D$3)*1,0),0))),"",INDEX('Casillas del horario'!$A$4:$A$73,MATCH(1,INDEX(EXACT('Casillas del horario'!$S$4:$S$73,$B$2&amp;CHAR(31)&amp;$A7&amp;CHAR(31)&amp;D$3)*1,0),0))))&amp;" / "&amp;IF(ISBLANK(INDEX('Casillas del horario'!$A$4:$A$73,(MATCH(1,INDEX(EXACT('Casillas del horario'!$S$4:$S$73,$B$2&amp;CHAR(31)&amp;$A7&amp;CHAR(31)&amp;D$3)*1,0),0)+MATCH(1,INDEX(EXACT(INDEX('Casillas del horario'!$S$4:$S$73,MATCH(1,INDEX(EXACT('Casillas del horario'!$S$4:$S$73,$B$2&amp;CHAR(31)&amp;$A7&amp;CHAR(31)&amp;D$3)*1,0),0)+1):INDEX('Casillas del horario'!$S$4:$S$73,ROWS('Casillas del horario'!$S$4:$S$73)),$B$2&amp;CHAR(31)&amp;$A7&amp;CHAR(31)&amp;D$3)*1,0),0)))),"",INDEX('Casillas del horario'!$A$4:$A$73,(MATCH(1,INDEX(EXACT('Casillas del horario'!$S$4:$S$73,$B$2&amp;CHAR(31)&amp;$A7&amp;CHAR(31)&amp;D$3)*1,0),0)+MATCH(1,INDEX(EXACT(INDEX('Casillas del horario'!$S$4:$S$73,MATCH(1,INDEX(EXACT('Casillas del horario'!$S$4:$S$73,$B$2&amp;CHAR(31)&amp;$A7&amp;CHAR(31)&amp;D$3)*1,0),0)+1):INDEX('Casillas del horario'!$S$4:$S$73,ROWS('Casillas del horario'!$S$4:$S$73)),$B$2&amp;CHAR(31)&amp;$A7&amp;CHAR(31)&amp;D$3)*1,0),0))))&amp;IF(SUMPRODUCT(1*EXACT('Casillas del horario'!$S$4:$S$73,$B$2&amp;CHAR(31)&amp;$A7&amp;CHAR(31)&amp;D$3))&gt;2," (+"&amp;(SUMPRODUCT(1*EXACT('Casillas del horario'!$S$4:$S$73,$B$2&amp;CHAR(31)&amp;$A7&amp;CHAR(31)&amp;D$3))-2)&amp;")",""),IF(ISNA(MATCH(1,INDEX(EXACT('Casillas del horario'!$S$4:$S$73,$B$2&amp;CHAR(31)&amp;$A7&amp;CHAR(31)&amp;D$3)*1,0),0)),"",IF(ISBLANK(INDEX('Casillas del horario'!$A$4:$A$73,MATCH(1,INDEX(EXACT('Casillas del horario'!$S$4:$S$73,$B$2&amp;CHAR(31)&amp;$A7&amp;CHAR(31)&amp;D$3)*1,0),0))),"",INDEX('Casillas del horario'!$A$4:$A$73,MATCH(1,INDEX(EXACT('Casillas del horario'!$S$4:$S$73,$B$2&amp;CHAR(31)&amp;$A7&amp;CHAR(31)&amp;D$3)*1,0),0)))))</f>
        <v/>
      </c>
      <c r="E7" s="3">
        <f>IF(SUMPRODUCT(1*EXACT('Casillas del horario'!$S$4:$S$73,$B$2&amp;CHAR(31)&amp;$A7&amp;CHAR(31)&amp;E$3))&gt;1,IF(ISNA(MATCH(1,INDEX(EXACT('Casillas del horario'!$S$4:$S$73,$B$2&amp;CHAR(31)&amp;$A7&amp;CHAR(31)&amp;E$3)*1,0),0)),"",IF(ISBLANK(INDEX('Casillas del horario'!$A$4:$A$73,MATCH(1,INDEX(EXACT('Casillas del horario'!$S$4:$S$73,$B$2&amp;CHAR(31)&amp;$A7&amp;CHAR(31)&amp;E$3)*1,0),0))),"",INDEX('Casillas del horario'!$A$4:$A$73,MATCH(1,INDEX(EXACT('Casillas del horario'!$S$4:$S$73,$B$2&amp;CHAR(31)&amp;$A7&amp;CHAR(31)&amp;E$3)*1,0),0))))&amp;" / "&amp;IF(ISBLANK(INDEX('Casillas del horario'!$A$4:$A$73,(MATCH(1,INDEX(EXACT('Casillas del horario'!$S$4:$S$73,$B$2&amp;CHAR(31)&amp;$A7&amp;CHAR(31)&amp;E$3)*1,0),0)+MATCH(1,INDEX(EXACT(INDEX('Casillas del horario'!$S$4:$S$73,MATCH(1,INDEX(EXACT('Casillas del horario'!$S$4:$S$73,$B$2&amp;CHAR(31)&amp;$A7&amp;CHAR(31)&amp;E$3)*1,0),0)+1):INDEX('Casillas del horario'!$S$4:$S$73,ROWS('Casillas del horario'!$S$4:$S$73)),$B$2&amp;CHAR(31)&amp;$A7&amp;CHAR(31)&amp;E$3)*1,0),0)))),"",INDEX('Casillas del horario'!$A$4:$A$73,(MATCH(1,INDEX(EXACT('Casillas del horario'!$S$4:$S$73,$B$2&amp;CHAR(31)&amp;$A7&amp;CHAR(31)&amp;E$3)*1,0),0)+MATCH(1,INDEX(EXACT(INDEX('Casillas del horario'!$S$4:$S$73,MATCH(1,INDEX(EXACT('Casillas del horario'!$S$4:$S$73,$B$2&amp;CHAR(31)&amp;$A7&amp;CHAR(31)&amp;E$3)*1,0),0)+1):INDEX('Casillas del horario'!$S$4:$S$73,ROWS('Casillas del horario'!$S$4:$S$73)),$B$2&amp;CHAR(31)&amp;$A7&amp;CHAR(31)&amp;E$3)*1,0),0))))&amp;IF(SUMPRODUCT(1*EXACT('Casillas del horario'!$S$4:$S$73,$B$2&amp;CHAR(31)&amp;$A7&amp;CHAR(31)&amp;E$3))&gt;2," (+"&amp;(SUMPRODUCT(1*EXACT('Casillas del horario'!$S$4:$S$73,$B$2&amp;CHAR(31)&amp;$A7&amp;CHAR(31)&amp;E$3))-2)&amp;")",""),IF(ISNA(MATCH(1,INDEX(EXACT('Casillas del horario'!$S$4:$S$73,$B$2&amp;CHAR(31)&amp;$A7&amp;CHAR(31)&amp;E$3)*1,0),0)),"",IF(ISBLANK(INDEX('Casillas del horario'!$A$4:$A$73,MATCH(1,INDEX(EXACT('Casillas del horario'!$S$4:$S$73,$B$2&amp;CHAR(31)&amp;$A7&amp;CHAR(31)&amp;E$3)*1,0),0))),"",INDEX('Casillas del horario'!$A$4:$A$73,MATCH(1,INDEX(EXACT('Casillas del horario'!$S$4:$S$73,$B$2&amp;CHAR(31)&amp;$A7&amp;CHAR(31)&amp;E$3)*1,0),0)))))</f>
        <v/>
      </c>
      <c r="F7" s="3">
        <f>IF(SUMPRODUCT(1*EXACT('Casillas del horario'!$S$4:$S$73,$B$2&amp;CHAR(31)&amp;$A7&amp;CHAR(31)&amp;F$3))&gt;1,IF(ISNA(MATCH(1,INDEX(EXACT('Casillas del horario'!$S$4:$S$73,$B$2&amp;CHAR(31)&amp;$A7&amp;CHAR(31)&amp;F$3)*1,0),0)),"",IF(ISBLANK(INDEX('Casillas del horario'!$A$4:$A$73,MATCH(1,INDEX(EXACT('Casillas del horario'!$S$4:$S$73,$B$2&amp;CHAR(31)&amp;$A7&amp;CHAR(31)&amp;F$3)*1,0),0))),"",INDEX('Casillas del horario'!$A$4:$A$73,MATCH(1,INDEX(EXACT('Casillas del horario'!$S$4:$S$73,$B$2&amp;CHAR(31)&amp;$A7&amp;CHAR(31)&amp;F$3)*1,0),0))))&amp;" / "&amp;IF(ISBLANK(INDEX('Casillas del horario'!$A$4:$A$73,(MATCH(1,INDEX(EXACT('Casillas del horario'!$S$4:$S$73,$B$2&amp;CHAR(31)&amp;$A7&amp;CHAR(31)&amp;F$3)*1,0),0)+MATCH(1,INDEX(EXACT(INDEX('Casillas del horario'!$S$4:$S$73,MATCH(1,INDEX(EXACT('Casillas del horario'!$S$4:$S$73,$B$2&amp;CHAR(31)&amp;$A7&amp;CHAR(31)&amp;F$3)*1,0),0)+1):INDEX('Casillas del horario'!$S$4:$S$73,ROWS('Casillas del horario'!$S$4:$S$73)),$B$2&amp;CHAR(31)&amp;$A7&amp;CHAR(31)&amp;F$3)*1,0),0)))),"",INDEX('Casillas del horario'!$A$4:$A$73,(MATCH(1,INDEX(EXACT('Casillas del horario'!$S$4:$S$73,$B$2&amp;CHAR(31)&amp;$A7&amp;CHAR(31)&amp;F$3)*1,0),0)+MATCH(1,INDEX(EXACT(INDEX('Casillas del horario'!$S$4:$S$73,MATCH(1,INDEX(EXACT('Casillas del horario'!$S$4:$S$73,$B$2&amp;CHAR(31)&amp;$A7&amp;CHAR(31)&amp;F$3)*1,0),0)+1):INDEX('Casillas del horario'!$S$4:$S$73,ROWS('Casillas del horario'!$S$4:$S$73)),$B$2&amp;CHAR(31)&amp;$A7&amp;CHAR(31)&amp;F$3)*1,0),0))))&amp;IF(SUMPRODUCT(1*EXACT('Casillas del horario'!$S$4:$S$73,$B$2&amp;CHAR(31)&amp;$A7&amp;CHAR(31)&amp;F$3))&gt;2," (+"&amp;(SUMPRODUCT(1*EXACT('Casillas del horario'!$S$4:$S$73,$B$2&amp;CHAR(31)&amp;$A7&amp;CHAR(31)&amp;F$3))-2)&amp;")",""),IF(ISNA(MATCH(1,INDEX(EXACT('Casillas del horario'!$S$4:$S$73,$B$2&amp;CHAR(31)&amp;$A7&amp;CHAR(31)&amp;F$3)*1,0),0)),"",IF(ISBLANK(INDEX('Casillas del horario'!$A$4:$A$73,MATCH(1,INDEX(EXACT('Casillas del horario'!$S$4:$S$73,$B$2&amp;CHAR(31)&amp;$A7&amp;CHAR(31)&amp;F$3)*1,0),0))),"",INDEX('Casillas del horario'!$A$4:$A$73,MATCH(1,INDEX(EXACT('Casillas del horario'!$S$4:$S$73,$B$2&amp;CHAR(31)&amp;$A7&amp;CHAR(31)&amp;F$3)*1,0),0)))))</f>
        <v/>
      </c>
    </row>
    <row r="8">
      <c r="A8" s="3" t="n">
        <v>5</v>
      </c>
      <c r="B8" s="3">
        <f>IF(SUMPRODUCT(1*EXACT('Casillas del horario'!$S$4:$S$73,$B$2&amp;CHAR(31)&amp;$A8&amp;CHAR(31)&amp;B$3))&gt;1,IF(ISNA(MATCH(1,INDEX(EXACT('Casillas del horario'!$S$4:$S$73,$B$2&amp;CHAR(31)&amp;$A8&amp;CHAR(31)&amp;B$3)*1,0),0)),"",IF(ISBLANK(INDEX('Casillas del horario'!$A$4:$A$73,MATCH(1,INDEX(EXACT('Casillas del horario'!$S$4:$S$73,$B$2&amp;CHAR(31)&amp;$A8&amp;CHAR(31)&amp;B$3)*1,0),0))),"",INDEX('Casillas del horario'!$A$4:$A$73,MATCH(1,INDEX(EXACT('Casillas del horario'!$S$4:$S$73,$B$2&amp;CHAR(31)&amp;$A8&amp;CHAR(31)&amp;B$3)*1,0),0))))&amp;" / "&amp;IF(ISBLANK(INDEX('Casillas del horario'!$A$4:$A$73,(MATCH(1,INDEX(EXACT('Casillas del horario'!$S$4:$S$73,$B$2&amp;CHAR(31)&amp;$A8&amp;CHAR(31)&amp;B$3)*1,0),0)+MATCH(1,INDEX(EXACT(INDEX('Casillas del horario'!$S$4:$S$73,MATCH(1,INDEX(EXACT('Casillas del horario'!$S$4:$S$73,$B$2&amp;CHAR(31)&amp;$A8&amp;CHAR(31)&amp;B$3)*1,0),0)+1):INDEX('Casillas del horario'!$S$4:$S$73,ROWS('Casillas del horario'!$S$4:$S$73)),$B$2&amp;CHAR(31)&amp;$A8&amp;CHAR(31)&amp;B$3)*1,0),0)))),"",INDEX('Casillas del horario'!$A$4:$A$73,(MATCH(1,INDEX(EXACT('Casillas del horario'!$S$4:$S$73,$B$2&amp;CHAR(31)&amp;$A8&amp;CHAR(31)&amp;B$3)*1,0),0)+MATCH(1,INDEX(EXACT(INDEX('Casillas del horario'!$S$4:$S$73,MATCH(1,INDEX(EXACT('Casillas del horario'!$S$4:$S$73,$B$2&amp;CHAR(31)&amp;$A8&amp;CHAR(31)&amp;B$3)*1,0),0)+1):INDEX('Casillas del horario'!$S$4:$S$73,ROWS('Casillas del horario'!$S$4:$S$73)),$B$2&amp;CHAR(31)&amp;$A8&amp;CHAR(31)&amp;B$3)*1,0),0))))&amp;IF(SUMPRODUCT(1*EXACT('Casillas del horario'!$S$4:$S$73,$B$2&amp;CHAR(31)&amp;$A8&amp;CHAR(31)&amp;B$3))&gt;2," (+"&amp;(SUMPRODUCT(1*EXACT('Casillas del horario'!$S$4:$S$73,$B$2&amp;CHAR(31)&amp;$A8&amp;CHAR(31)&amp;B$3))-2)&amp;")",""),IF(ISNA(MATCH(1,INDEX(EXACT('Casillas del horario'!$S$4:$S$73,$B$2&amp;CHAR(31)&amp;$A8&amp;CHAR(31)&amp;B$3)*1,0),0)),"",IF(ISBLANK(INDEX('Casillas del horario'!$A$4:$A$73,MATCH(1,INDEX(EXACT('Casillas del horario'!$S$4:$S$73,$B$2&amp;CHAR(31)&amp;$A8&amp;CHAR(31)&amp;B$3)*1,0),0))),"",INDEX('Casillas del horario'!$A$4:$A$73,MATCH(1,INDEX(EXACT('Casillas del horario'!$S$4:$S$73,$B$2&amp;CHAR(31)&amp;$A8&amp;CHAR(31)&amp;B$3)*1,0),0)))))</f>
        <v/>
      </c>
      <c r="C8" s="3">
        <f>IF(SUMPRODUCT(1*EXACT('Casillas del horario'!$S$4:$S$73,$B$2&amp;CHAR(31)&amp;$A8&amp;CHAR(31)&amp;C$3))&gt;1,IF(ISNA(MATCH(1,INDEX(EXACT('Casillas del horario'!$S$4:$S$73,$B$2&amp;CHAR(31)&amp;$A8&amp;CHAR(31)&amp;C$3)*1,0),0)),"",IF(ISBLANK(INDEX('Casillas del horario'!$A$4:$A$73,MATCH(1,INDEX(EXACT('Casillas del horario'!$S$4:$S$73,$B$2&amp;CHAR(31)&amp;$A8&amp;CHAR(31)&amp;C$3)*1,0),0))),"",INDEX('Casillas del horario'!$A$4:$A$73,MATCH(1,INDEX(EXACT('Casillas del horario'!$S$4:$S$73,$B$2&amp;CHAR(31)&amp;$A8&amp;CHAR(31)&amp;C$3)*1,0),0))))&amp;" / "&amp;IF(ISBLANK(INDEX('Casillas del horario'!$A$4:$A$73,(MATCH(1,INDEX(EXACT('Casillas del horario'!$S$4:$S$73,$B$2&amp;CHAR(31)&amp;$A8&amp;CHAR(31)&amp;C$3)*1,0),0)+MATCH(1,INDEX(EXACT(INDEX('Casillas del horario'!$S$4:$S$73,MATCH(1,INDEX(EXACT('Casillas del horario'!$S$4:$S$73,$B$2&amp;CHAR(31)&amp;$A8&amp;CHAR(31)&amp;C$3)*1,0),0)+1):INDEX('Casillas del horario'!$S$4:$S$73,ROWS('Casillas del horario'!$S$4:$S$73)),$B$2&amp;CHAR(31)&amp;$A8&amp;CHAR(31)&amp;C$3)*1,0),0)))),"",INDEX('Casillas del horario'!$A$4:$A$73,(MATCH(1,INDEX(EXACT('Casillas del horario'!$S$4:$S$73,$B$2&amp;CHAR(31)&amp;$A8&amp;CHAR(31)&amp;C$3)*1,0),0)+MATCH(1,INDEX(EXACT(INDEX('Casillas del horario'!$S$4:$S$73,MATCH(1,INDEX(EXACT('Casillas del horario'!$S$4:$S$73,$B$2&amp;CHAR(31)&amp;$A8&amp;CHAR(31)&amp;C$3)*1,0),0)+1):INDEX('Casillas del horario'!$S$4:$S$73,ROWS('Casillas del horario'!$S$4:$S$73)),$B$2&amp;CHAR(31)&amp;$A8&amp;CHAR(31)&amp;C$3)*1,0),0))))&amp;IF(SUMPRODUCT(1*EXACT('Casillas del horario'!$S$4:$S$73,$B$2&amp;CHAR(31)&amp;$A8&amp;CHAR(31)&amp;C$3))&gt;2," (+"&amp;(SUMPRODUCT(1*EXACT('Casillas del horario'!$S$4:$S$73,$B$2&amp;CHAR(31)&amp;$A8&amp;CHAR(31)&amp;C$3))-2)&amp;")",""),IF(ISNA(MATCH(1,INDEX(EXACT('Casillas del horario'!$S$4:$S$73,$B$2&amp;CHAR(31)&amp;$A8&amp;CHAR(31)&amp;C$3)*1,0),0)),"",IF(ISBLANK(INDEX('Casillas del horario'!$A$4:$A$73,MATCH(1,INDEX(EXACT('Casillas del horario'!$S$4:$S$73,$B$2&amp;CHAR(31)&amp;$A8&amp;CHAR(31)&amp;C$3)*1,0),0))),"",INDEX('Casillas del horario'!$A$4:$A$73,MATCH(1,INDEX(EXACT('Casillas del horario'!$S$4:$S$73,$B$2&amp;CHAR(31)&amp;$A8&amp;CHAR(31)&amp;C$3)*1,0),0)))))</f>
        <v/>
      </c>
      <c r="D8" s="3">
        <f>IF(SUMPRODUCT(1*EXACT('Casillas del horario'!$S$4:$S$73,$B$2&amp;CHAR(31)&amp;$A8&amp;CHAR(31)&amp;D$3))&gt;1,IF(ISNA(MATCH(1,INDEX(EXACT('Casillas del horario'!$S$4:$S$73,$B$2&amp;CHAR(31)&amp;$A8&amp;CHAR(31)&amp;D$3)*1,0),0)),"",IF(ISBLANK(INDEX('Casillas del horario'!$A$4:$A$73,MATCH(1,INDEX(EXACT('Casillas del horario'!$S$4:$S$73,$B$2&amp;CHAR(31)&amp;$A8&amp;CHAR(31)&amp;D$3)*1,0),0))),"",INDEX('Casillas del horario'!$A$4:$A$73,MATCH(1,INDEX(EXACT('Casillas del horario'!$S$4:$S$73,$B$2&amp;CHAR(31)&amp;$A8&amp;CHAR(31)&amp;D$3)*1,0),0))))&amp;" / "&amp;IF(ISBLANK(INDEX('Casillas del horario'!$A$4:$A$73,(MATCH(1,INDEX(EXACT('Casillas del horario'!$S$4:$S$73,$B$2&amp;CHAR(31)&amp;$A8&amp;CHAR(31)&amp;D$3)*1,0),0)+MATCH(1,INDEX(EXACT(INDEX('Casillas del horario'!$S$4:$S$73,MATCH(1,INDEX(EXACT('Casillas del horario'!$S$4:$S$73,$B$2&amp;CHAR(31)&amp;$A8&amp;CHAR(31)&amp;D$3)*1,0),0)+1):INDEX('Casillas del horario'!$S$4:$S$73,ROWS('Casillas del horario'!$S$4:$S$73)),$B$2&amp;CHAR(31)&amp;$A8&amp;CHAR(31)&amp;D$3)*1,0),0)))),"",INDEX('Casillas del horario'!$A$4:$A$73,(MATCH(1,INDEX(EXACT('Casillas del horario'!$S$4:$S$73,$B$2&amp;CHAR(31)&amp;$A8&amp;CHAR(31)&amp;D$3)*1,0),0)+MATCH(1,INDEX(EXACT(INDEX('Casillas del horario'!$S$4:$S$73,MATCH(1,INDEX(EXACT('Casillas del horario'!$S$4:$S$73,$B$2&amp;CHAR(31)&amp;$A8&amp;CHAR(31)&amp;D$3)*1,0),0)+1):INDEX('Casillas del horario'!$S$4:$S$73,ROWS('Casillas del horario'!$S$4:$S$73)),$B$2&amp;CHAR(31)&amp;$A8&amp;CHAR(31)&amp;D$3)*1,0),0))))&amp;IF(SUMPRODUCT(1*EXACT('Casillas del horario'!$S$4:$S$73,$B$2&amp;CHAR(31)&amp;$A8&amp;CHAR(31)&amp;D$3))&gt;2," (+"&amp;(SUMPRODUCT(1*EXACT('Casillas del horario'!$S$4:$S$73,$B$2&amp;CHAR(31)&amp;$A8&amp;CHAR(31)&amp;D$3))-2)&amp;")",""),IF(ISNA(MATCH(1,INDEX(EXACT('Casillas del horario'!$S$4:$S$73,$B$2&amp;CHAR(31)&amp;$A8&amp;CHAR(31)&amp;D$3)*1,0),0)),"",IF(ISBLANK(INDEX('Casillas del horario'!$A$4:$A$73,MATCH(1,INDEX(EXACT('Casillas del horario'!$S$4:$S$73,$B$2&amp;CHAR(31)&amp;$A8&amp;CHAR(31)&amp;D$3)*1,0),0))),"",INDEX('Casillas del horario'!$A$4:$A$73,MATCH(1,INDEX(EXACT('Casillas del horario'!$S$4:$S$73,$B$2&amp;CHAR(31)&amp;$A8&amp;CHAR(31)&amp;D$3)*1,0),0)))))</f>
        <v/>
      </c>
      <c r="E8" s="3">
        <f>IF(SUMPRODUCT(1*EXACT('Casillas del horario'!$S$4:$S$73,$B$2&amp;CHAR(31)&amp;$A8&amp;CHAR(31)&amp;E$3))&gt;1,IF(ISNA(MATCH(1,INDEX(EXACT('Casillas del horario'!$S$4:$S$73,$B$2&amp;CHAR(31)&amp;$A8&amp;CHAR(31)&amp;E$3)*1,0),0)),"",IF(ISBLANK(INDEX('Casillas del horario'!$A$4:$A$73,MATCH(1,INDEX(EXACT('Casillas del horario'!$S$4:$S$73,$B$2&amp;CHAR(31)&amp;$A8&amp;CHAR(31)&amp;E$3)*1,0),0))),"",INDEX('Casillas del horario'!$A$4:$A$73,MATCH(1,INDEX(EXACT('Casillas del horario'!$S$4:$S$73,$B$2&amp;CHAR(31)&amp;$A8&amp;CHAR(31)&amp;E$3)*1,0),0))))&amp;" / "&amp;IF(ISBLANK(INDEX('Casillas del horario'!$A$4:$A$73,(MATCH(1,INDEX(EXACT('Casillas del horario'!$S$4:$S$73,$B$2&amp;CHAR(31)&amp;$A8&amp;CHAR(31)&amp;E$3)*1,0),0)+MATCH(1,INDEX(EXACT(INDEX('Casillas del horario'!$S$4:$S$73,MATCH(1,INDEX(EXACT('Casillas del horario'!$S$4:$S$73,$B$2&amp;CHAR(31)&amp;$A8&amp;CHAR(31)&amp;E$3)*1,0),0)+1):INDEX('Casillas del horario'!$S$4:$S$73,ROWS('Casillas del horario'!$S$4:$S$73)),$B$2&amp;CHAR(31)&amp;$A8&amp;CHAR(31)&amp;E$3)*1,0),0)))),"",INDEX('Casillas del horario'!$A$4:$A$73,(MATCH(1,INDEX(EXACT('Casillas del horario'!$S$4:$S$73,$B$2&amp;CHAR(31)&amp;$A8&amp;CHAR(31)&amp;E$3)*1,0),0)+MATCH(1,INDEX(EXACT(INDEX('Casillas del horario'!$S$4:$S$73,MATCH(1,INDEX(EXACT('Casillas del horario'!$S$4:$S$73,$B$2&amp;CHAR(31)&amp;$A8&amp;CHAR(31)&amp;E$3)*1,0),0)+1):INDEX('Casillas del horario'!$S$4:$S$73,ROWS('Casillas del horario'!$S$4:$S$73)),$B$2&amp;CHAR(31)&amp;$A8&amp;CHAR(31)&amp;E$3)*1,0),0))))&amp;IF(SUMPRODUCT(1*EXACT('Casillas del horario'!$S$4:$S$73,$B$2&amp;CHAR(31)&amp;$A8&amp;CHAR(31)&amp;E$3))&gt;2," (+"&amp;(SUMPRODUCT(1*EXACT('Casillas del horario'!$S$4:$S$73,$B$2&amp;CHAR(31)&amp;$A8&amp;CHAR(31)&amp;E$3))-2)&amp;")",""),IF(ISNA(MATCH(1,INDEX(EXACT('Casillas del horario'!$S$4:$S$73,$B$2&amp;CHAR(31)&amp;$A8&amp;CHAR(31)&amp;E$3)*1,0),0)),"",IF(ISBLANK(INDEX('Casillas del horario'!$A$4:$A$73,MATCH(1,INDEX(EXACT('Casillas del horario'!$S$4:$S$73,$B$2&amp;CHAR(31)&amp;$A8&amp;CHAR(31)&amp;E$3)*1,0),0))),"",INDEX('Casillas del horario'!$A$4:$A$73,MATCH(1,INDEX(EXACT('Casillas del horario'!$S$4:$S$73,$B$2&amp;CHAR(31)&amp;$A8&amp;CHAR(31)&amp;E$3)*1,0),0)))))</f>
        <v/>
      </c>
      <c r="F8" s="3">
        <f>IF(SUMPRODUCT(1*EXACT('Casillas del horario'!$S$4:$S$73,$B$2&amp;CHAR(31)&amp;$A8&amp;CHAR(31)&amp;F$3))&gt;1,IF(ISNA(MATCH(1,INDEX(EXACT('Casillas del horario'!$S$4:$S$73,$B$2&amp;CHAR(31)&amp;$A8&amp;CHAR(31)&amp;F$3)*1,0),0)),"",IF(ISBLANK(INDEX('Casillas del horario'!$A$4:$A$73,MATCH(1,INDEX(EXACT('Casillas del horario'!$S$4:$S$73,$B$2&amp;CHAR(31)&amp;$A8&amp;CHAR(31)&amp;F$3)*1,0),0))),"",INDEX('Casillas del horario'!$A$4:$A$73,MATCH(1,INDEX(EXACT('Casillas del horario'!$S$4:$S$73,$B$2&amp;CHAR(31)&amp;$A8&amp;CHAR(31)&amp;F$3)*1,0),0))))&amp;" / "&amp;IF(ISBLANK(INDEX('Casillas del horario'!$A$4:$A$73,(MATCH(1,INDEX(EXACT('Casillas del horario'!$S$4:$S$73,$B$2&amp;CHAR(31)&amp;$A8&amp;CHAR(31)&amp;F$3)*1,0),0)+MATCH(1,INDEX(EXACT(INDEX('Casillas del horario'!$S$4:$S$73,MATCH(1,INDEX(EXACT('Casillas del horario'!$S$4:$S$73,$B$2&amp;CHAR(31)&amp;$A8&amp;CHAR(31)&amp;F$3)*1,0),0)+1):INDEX('Casillas del horario'!$S$4:$S$73,ROWS('Casillas del horario'!$S$4:$S$73)),$B$2&amp;CHAR(31)&amp;$A8&amp;CHAR(31)&amp;F$3)*1,0),0)))),"",INDEX('Casillas del horario'!$A$4:$A$73,(MATCH(1,INDEX(EXACT('Casillas del horario'!$S$4:$S$73,$B$2&amp;CHAR(31)&amp;$A8&amp;CHAR(31)&amp;F$3)*1,0),0)+MATCH(1,INDEX(EXACT(INDEX('Casillas del horario'!$S$4:$S$73,MATCH(1,INDEX(EXACT('Casillas del horario'!$S$4:$S$73,$B$2&amp;CHAR(31)&amp;$A8&amp;CHAR(31)&amp;F$3)*1,0),0)+1):INDEX('Casillas del horario'!$S$4:$S$73,ROWS('Casillas del horario'!$S$4:$S$73)),$B$2&amp;CHAR(31)&amp;$A8&amp;CHAR(31)&amp;F$3)*1,0),0))))&amp;IF(SUMPRODUCT(1*EXACT('Casillas del horario'!$S$4:$S$73,$B$2&amp;CHAR(31)&amp;$A8&amp;CHAR(31)&amp;F$3))&gt;2," (+"&amp;(SUMPRODUCT(1*EXACT('Casillas del horario'!$S$4:$S$73,$B$2&amp;CHAR(31)&amp;$A8&amp;CHAR(31)&amp;F$3))-2)&amp;")",""),IF(ISNA(MATCH(1,INDEX(EXACT('Casillas del horario'!$S$4:$S$73,$B$2&amp;CHAR(31)&amp;$A8&amp;CHAR(31)&amp;F$3)*1,0),0)),"",IF(ISBLANK(INDEX('Casillas del horario'!$A$4:$A$73,MATCH(1,INDEX(EXACT('Casillas del horario'!$S$4:$S$73,$B$2&amp;CHAR(31)&amp;$A8&amp;CHAR(31)&amp;F$3)*1,0),0))),"",INDEX('Casillas del horario'!$A$4:$A$73,MATCH(1,INDEX(EXACT('Casillas del horario'!$S$4:$S$73,$B$2&amp;CHAR(31)&amp;$A8&amp;CHAR(31)&amp;F$3)*1,0),0)))))</f>
        <v/>
      </c>
    </row>
    <row r="9">
      <c r="A9" s="3" t="n">
        <v>6</v>
      </c>
      <c r="B9" s="3">
        <f>IF(SUMPRODUCT(1*EXACT('Casillas del horario'!$S$4:$S$73,$B$2&amp;CHAR(31)&amp;$A9&amp;CHAR(31)&amp;B$3))&gt;1,IF(ISNA(MATCH(1,INDEX(EXACT('Casillas del horario'!$S$4:$S$73,$B$2&amp;CHAR(31)&amp;$A9&amp;CHAR(31)&amp;B$3)*1,0),0)),"",IF(ISBLANK(INDEX('Casillas del horario'!$A$4:$A$73,MATCH(1,INDEX(EXACT('Casillas del horario'!$S$4:$S$73,$B$2&amp;CHAR(31)&amp;$A9&amp;CHAR(31)&amp;B$3)*1,0),0))),"",INDEX('Casillas del horario'!$A$4:$A$73,MATCH(1,INDEX(EXACT('Casillas del horario'!$S$4:$S$73,$B$2&amp;CHAR(31)&amp;$A9&amp;CHAR(31)&amp;B$3)*1,0),0))))&amp;" / "&amp;IF(ISBLANK(INDEX('Casillas del horario'!$A$4:$A$73,(MATCH(1,INDEX(EXACT('Casillas del horario'!$S$4:$S$73,$B$2&amp;CHAR(31)&amp;$A9&amp;CHAR(31)&amp;B$3)*1,0),0)+MATCH(1,INDEX(EXACT(INDEX('Casillas del horario'!$S$4:$S$73,MATCH(1,INDEX(EXACT('Casillas del horario'!$S$4:$S$73,$B$2&amp;CHAR(31)&amp;$A9&amp;CHAR(31)&amp;B$3)*1,0),0)+1):INDEX('Casillas del horario'!$S$4:$S$73,ROWS('Casillas del horario'!$S$4:$S$73)),$B$2&amp;CHAR(31)&amp;$A9&amp;CHAR(31)&amp;B$3)*1,0),0)))),"",INDEX('Casillas del horario'!$A$4:$A$73,(MATCH(1,INDEX(EXACT('Casillas del horario'!$S$4:$S$73,$B$2&amp;CHAR(31)&amp;$A9&amp;CHAR(31)&amp;B$3)*1,0),0)+MATCH(1,INDEX(EXACT(INDEX('Casillas del horario'!$S$4:$S$73,MATCH(1,INDEX(EXACT('Casillas del horario'!$S$4:$S$73,$B$2&amp;CHAR(31)&amp;$A9&amp;CHAR(31)&amp;B$3)*1,0),0)+1):INDEX('Casillas del horario'!$S$4:$S$73,ROWS('Casillas del horario'!$S$4:$S$73)),$B$2&amp;CHAR(31)&amp;$A9&amp;CHAR(31)&amp;B$3)*1,0),0))))&amp;IF(SUMPRODUCT(1*EXACT('Casillas del horario'!$S$4:$S$73,$B$2&amp;CHAR(31)&amp;$A9&amp;CHAR(31)&amp;B$3))&gt;2," (+"&amp;(SUMPRODUCT(1*EXACT('Casillas del horario'!$S$4:$S$73,$B$2&amp;CHAR(31)&amp;$A9&amp;CHAR(31)&amp;B$3))-2)&amp;")",""),IF(ISNA(MATCH(1,INDEX(EXACT('Casillas del horario'!$S$4:$S$73,$B$2&amp;CHAR(31)&amp;$A9&amp;CHAR(31)&amp;B$3)*1,0),0)),"",IF(ISBLANK(INDEX('Casillas del horario'!$A$4:$A$73,MATCH(1,INDEX(EXACT('Casillas del horario'!$S$4:$S$73,$B$2&amp;CHAR(31)&amp;$A9&amp;CHAR(31)&amp;B$3)*1,0),0))),"",INDEX('Casillas del horario'!$A$4:$A$73,MATCH(1,INDEX(EXACT('Casillas del horario'!$S$4:$S$73,$B$2&amp;CHAR(31)&amp;$A9&amp;CHAR(31)&amp;B$3)*1,0),0)))))</f>
        <v/>
      </c>
      <c r="C9" s="3">
        <f>IF(SUMPRODUCT(1*EXACT('Casillas del horario'!$S$4:$S$73,$B$2&amp;CHAR(31)&amp;$A9&amp;CHAR(31)&amp;C$3))&gt;1,IF(ISNA(MATCH(1,INDEX(EXACT('Casillas del horario'!$S$4:$S$73,$B$2&amp;CHAR(31)&amp;$A9&amp;CHAR(31)&amp;C$3)*1,0),0)),"",IF(ISBLANK(INDEX('Casillas del horario'!$A$4:$A$73,MATCH(1,INDEX(EXACT('Casillas del horario'!$S$4:$S$73,$B$2&amp;CHAR(31)&amp;$A9&amp;CHAR(31)&amp;C$3)*1,0),0))),"",INDEX('Casillas del horario'!$A$4:$A$73,MATCH(1,INDEX(EXACT('Casillas del horario'!$S$4:$S$73,$B$2&amp;CHAR(31)&amp;$A9&amp;CHAR(31)&amp;C$3)*1,0),0))))&amp;" / "&amp;IF(ISBLANK(INDEX('Casillas del horario'!$A$4:$A$73,(MATCH(1,INDEX(EXACT('Casillas del horario'!$S$4:$S$73,$B$2&amp;CHAR(31)&amp;$A9&amp;CHAR(31)&amp;C$3)*1,0),0)+MATCH(1,INDEX(EXACT(INDEX('Casillas del horario'!$S$4:$S$73,MATCH(1,INDEX(EXACT('Casillas del horario'!$S$4:$S$73,$B$2&amp;CHAR(31)&amp;$A9&amp;CHAR(31)&amp;C$3)*1,0),0)+1):INDEX('Casillas del horario'!$S$4:$S$73,ROWS('Casillas del horario'!$S$4:$S$73)),$B$2&amp;CHAR(31)&amp;$A9&amp;CHAR(31)&amp;C$3)*1,0),0)))),"",INDEX('Casillas del horario'!$A$4:$A$73,(MATCH(1,INDEX(EXACT('Casillas del horario'!$S$4:$S$73,$B$2&amp;CHAR(31)&amp;$A9&amp;CHAR(31)&amp;C$3)*1,0),0)+MATCH(1,INDEX(EXACT(INDEX('Casillas del horario'!$S$4:$S$73,MATCH(1,INDEX(EXACT('Casillas del horario'!$S$4:$S$73,$B$2&amp;CHAR(31)&amp;$A9&amp;CHAR(31)&amp;C$3)*1,0),0)+1):INDEX('Casillas del horario'!$S$4:$S$73,ROWS('Casillas del horario'!$S$4:$S$73)),$B$2&amp;CHAR(31)&amp;$A9&amp;CHAR(31)&amp;C$3)*1,0),0))))&amp;IF(SUMPRODUCT(1*EXACT('Casillas del horario'!$S$4:$S$73,$B$2&amp;CHAR(31)&amp;$A9&amp;CHAR(31)&amp;C$3))&gt;2," (+"&amp;(SUMPRODUCT(1*EXACT('Casillas del horario'!$S$4:$S$73,$B$2&amp;CHAR(31)&amp;$A9&amp;CHAR(31)&amp;C$3))-2)&amp;")",""),IF(ISNA(MATCH(1,INDEX(EXACT('Casillas del horario'!$S$4:$S$73,$B$2&amp;CHAR(31)&amp;$A9&amp;CHAR(31)&amp;C$3)*1,0),0)),"",IF(ISBLANK(INDEX('Casillas del horario'!$A$4:$A$73,MATCH(1,INDEX(EXACT('Casillas del horario'!$S$4:$S$73,$B$2&amp;CHAR(31)&amp;$A9&amp;CHAR(31)&amp;C$3)*1,0),0))),"",INDEX('Casillas del horario'!$A$4:$A$73,MATCH(1,INDEX(EXACT('Casillas del horario'!$S$4:$S$73,$B$2&amp;CHAR(31)&amp;$A9&amp;CHAR(31)&amp;C$3)*1,0),0)))))</f>
        <v/>
      </c>
      <c r="D9" s="3">
        <f>IF(SUMPRODUCT(1*EXACT('Casillas del horario'!$S$4:$S$73,$B$2&amp;CHAR(31)&amp;$A9&amp;CHAR(31)&amp;D$3))&gt;1,IF(ISNA(MATCH(1,INDEX(EXACT('Casillas del horario'!$S$4:$S$73,$B$2&amp;CHAR(31)&amp;$A9&amp;CHAR(31)&amp;D$3)*1,0),0)),"",IF(ISBLANK(INDEX('Casillas del horario'!$A$4:$A$73,MATCH(1,INDEX(EXACT('Casillas del horario'!$S$4:$S$73,$B$2&amp;CHAR(31)&amp;$A9&amp;CHAR(31)&amp;D$3)*1,0),0))),"",INDEX('Casillas del horario'!$A$4:$A$73,MATCH(1,INDEX(EXACT('Casillas del horario'!$S$4:$S$73,$B$2&amp;CHAR(31)&amp;$A9&amp;CHAR(31)&amp;D$3)*1,0),0))))&amp;" / "&amp;IF(ISBLANK(INDEX('Casillas del horario'!$A$4:$A$73,(MATCH(1,INDEX(EXACT('Casillas del horario'!$S$4:$S$73,$B$2&amp;CHAR(31)&amp;$A9&amp;CHAR(31)&amp;D$3)*1,0),0)+MATCH(1,INDEX(EXACT(INDEX('Casillas del horario'!$S$4:$S$73,MATCH(1,INDEX(EXACT('Casillas del horario'!$S$4:$S$73,$B$2&amp;CHAR(31)&amp;$A9&amp;CHAR(31)&amp;D$3)*1,0),0)+1):INDEX('Casillas del horario'!$S$4:$S$73,ROWS('Casillas del horario'!$S$4:$S$73)),$B$2&amp;CHAR(31)&amp;$A9&amp;CHAR(31)&amp;D$3)*1,0),0)))),"",INDEX('Casillas del horario'!$A$4:$A$73,(MATCH(1,INDEX(EXACT('Casillas del horario'!$S$4:$S$73,$B$2&amp;CHAR(31)&amp;$A9&amp;CHAR(31)&amp;D$3)*1,0),0)+MATCH(1,INDEX(EXACT(INDEX('Casillas del horario'!$S$4:$S$73,MATCH(1,INDEX(EXACT('Casillas del horario'!$S$4:$S$73,$B$2&amp;CHAR(31)&amp;$A9&amp;CHAR(31)&amp;D$3)*1,0),0)+1):INDEX('Casillas del horario'!$S$4:$S$73,ROWS('Casillas del horario'!$S$4:$S$73)),$B$2&amp;CHAR(31)&amp;$A9&amp;CHAR(31)&amp;D$3)*1,0),0))))&amp;IF(SUMPRODUCT(1*EXACT('Casillas del horario'!$S$4:$S$73,$B$2&amp;CHAR(31)&amp;$A9&amp;CHAR(31)&amp;D$3))&gt;2," (+"&amp;(SUMPRODUCT(1*EXACT('Casillas del horario'!$S$4:$S$73,$B$2&amp;CHAR(31)&amp;$A9&amp;CHAR(31)&amp;D$3))-2)&amp;")",""),IF(ISNA(MATCH(1,INDEX(EXACT('Casillas del horario'!$S$4:$S$73,$B$2&amp;CHAR(31)&amp;$A9&amp;CHAR(31)&amp;D$3)*1,0),0)),"",IF(ISBLANK(INDEX('Casillas del horario'!$A$4:$A$73,MATCH(1,INDEX(EXACT('Casillas del horario'!$S$4:$S$73,$B$2&amp;CHAR(31)&amp;$A9&amp;CHAR(31)&amp;D$3)*1,0),0))),"",INDEX('Casillas del horario'!$A$4:$A$73,MATCH(1,INDEX(EXACT('Casillas del horario'!$S$4:$S$73,$B$2&amp;CHAR(31)&amp;$A9&amp;CHAR(31)&amp;D$3)*1,0),0)))))</f>
        <v/>
      </c>
      <c r="E9" s="3">
        <f>IF(SUMPRODUCT(1*EXACT('Casillas del horario'!$S$4:$S$73,$B$2&amp;CHAR(31)&amp;$A9&amp;CHAR(31)&amp;E$3))&gt;1,IF(ISNA(MATCH(1,INDEX(EXACT('Casillas del horario'!$S$4:$S$73,$B$2&amp;CHAR(31)&amp;$A9&amp;CHAR(31)&amp;E$3)*1,0),0)),"",IF(ISBLANK(INDEX('Casillas del horario'!$A$4:$A$73,MATCH(1,INDEX(EXACT('Casillas del horario'!$S$4:$S$73,$B$2&amp;CHAR(31)&amp;$A9&amp;CHAR(31)&amp;E$3)*1,0),0))),"",INDEX('Casillas del horario'!$A$4:$A$73,MATCH(1,INDEX(EXACT('Casillas del horario'!$S$4:$S$73,$B$2&amp;CHAR(31)&amp;$A9&amp;CHAR(31)&amp;E$3)*1,0),0))))&amp;" / "&amp;IF(ISBLANK(INDEX('Casillas del horario'!$A$4:$A$73,(MATCH(1,INDEX(EXACT('Casillas del horario'!$S$4:$S$73,$B$2&amp;CHAR(31)&amp;$A9&amp;CHAR(31)&amp;E$3)*1,0),0)+MATCH(1,INDEX(EXACT(INDEX('Casillas del horario'!$S$4:$S$73,MATCH(1,INDEX(EXACT('Casillas del horario'!$S$4:$S$73,$B$2&amp;CHAR(31)&amp;$A9&amp;CHAR(31)&amp;E$3)*1,0),0)+1):INDEX('Casillas del horario'!$S$4:$S$73,ROWS('Casillas del horario'!$S$4:$S$73)),$B$2&amp;CHAR(31)&amp;$A9&amp;CHAR(31)&amp;E$3)*1,0),0)))),"",INDEX('Casillas del horario'!$A$4:$A$73,(MATCH(1,INDEX(EXACT('Casillas del horario'!$S$4:$S$73,$B$2&amp;CHAR(31)&amp;$A9&amp;CHAR(31)&amp;E$3)*1,0),0)+MATCH(1,INDEX(EXACT(INDEX('Casillas del horario'!$S$4:$S$73,MATCH(1,INDEX(EXACT('Casillas del horario'!$S$4:$S$73,$B$2&amp;CHAR(31)&amp;$A9&amp;CHAR(31)&amp;E$3)*1,0),0)+1):INDEX('Casillas del horario'!$S$4:$S$73,ROWS('Casillas del horario'!$S$4:$S$73)),$B$2&amp;CHAR(31)&amp;$A9&amp;CHAR(31)&amp;E$3)*1,0),0))))&amp;IF(SUMPRODUCT(1*EXACT('Casillas del horario'!$S$4:$S$73,$B$2&amp;CHAR(31)&amp;$A9&amp;CHAR(31)&amp;E$3))&gt;2," (+"&amp;(SUMPRODUCT(1*EXACT('Casillas del horario'!$S$4:$S$73,$B$2&amp;CHAR(31)&amp;$A9&amp;CHAR(31)&amp;E$3))-2)&amp;")",""),IF(ISNA(MATCH(1,INDEX(EXACT('Casillas del horario'!$S$4:$S$73,$B$2&amp;CHAR(31)&amp;$A9&amp;CHAR(31)&amp;E$3)*1,0),0)),"",IF(ISBLANK(INDEX('Casillas del horario'!$A$4:$A$73,MATCH(1,INDEX(EXACT('Casillas del horario'!$S$4:$S$73,$B$2&amp;CHAR(31)&amp;$A9&amp;CHAR(31)&amp;E$3)*1,0),0))),"",INDEX('Casillas del horario'!$A$4:$A$73,MATCH(1,INDEX(EXACT('Casillas del horario'!$S$4:$S$73,$B$2&amp;CHAR(31)&amp;$A9&amp;CHAR(31)&amp;E$3)*1,0),0)))))</f>
        <v/>
      </c>
      <c r="F9" s="3">
        <f>IF(SUMPRODUCT(1*EXACT('Casillas del horario'!$S$4:$S$73,$B$2&amp;CHAR(31)&amp;$A9&amp;CHAR(31)&amp;F$3))&gt;1,IF(ISNA(MATCH(1,INDEX(EXACT('Casillas del horario'!$S$4:$S$73,$B$2&amp;CHAR(31)&amp;$A9&amp;CHAR(31)&amp;F$3)*1,0),0)),"",IF(ISBLANK(INDEX('Casillas del horario'!$A$4:$A$73,MATCH(1,INDEX(EXACT('Casillas del horario'!$S$4:$S$73,$B$2&amp;CHAR(31)&amp;$A9&amp;CHAR(31)&amp;F$3)*1,0),0))),"",INDEX('Casillas del horario'!$A$4:$A$73,MATCH(1,INDEX(EXACT('Casillas del horario'!$S$4:$S$73,$B$2&amp;CHAR(31)&amp;$A9&amp;CHAR(31)&amp;F$3)*1,0),0))))&amp;" / "&amp;IF(ISBLANK(INDEX('Casillas del horario'!$A$4:$A$73,(MATCH(1,INDEX(EXACT('Casillas del horario'!$S$4:$S$73,$B$2&amp;CHAR(31)&amp;$A9&amp;CHAR(31)&amp;F$3)*1,0),0)+MATCH(1,INDEX(EXACT(INDEX('Casillas del horario'!$S$4:$S$73,MATCH(1,INDEX(EXACT('Casillas del horario'!$S$4:$S$73,$B$2&amp;CHAR(31)&amp;$A9&amp;CHAR(31)&amp;F$3)*1,0),0)+1):INDEX('Casillas del horario'!$S$4:$S$73,ROWS('Casillas del horario'!$S$4:$S$73)),$B$2&amp;CHAR(31)&amp;$A9&amp;CHAR(31)&amp;F$3)*1,0),0)))),"",INDEX('Casillas del horario'!$A$4:$A$73,(MATCH(1,INDEX(EXACT('Casillas del horario'!$S$4:$S$73,$B$2&amp;CHAR(31)&amp;$A9&amp;CHAR(31)&amp;F$3)*1,0),0)+MATCH(1,INDEX(EXACT(INDEX('Casillas del horario'!$S$4:$S$73,MATCH(1,INDEX(EXACT('Casillas del horario'!$S$4:$S$73,$B$2&amp;CHAR(31)&amp;$A9&amp;CHAR(31)&amp;F$3)*1,0),0)+1):INDEX('Casillas del horario'!$S$4:$S$73,ROWS('Casillas del horario'!$S$4:$S$73)),$B$2&amp;CHAR(31)&amp;$A9&amp;CHAR(31)&amp;F$3)*1,0),0))))&amp;IF(SUMPRODUCT(1*EXACT('Casillas del horario'!$S$4:$S$73,$B$2&amp;CHAR(31)&amp;$A9&amp;CHAR(31)&amp;F$3))&gt;2," (+"&amp;(SUMPRODUCT(1*EXACT('Casillas del horario'!$S$4:$S$73,$B$2&amp;CHAR(31)&amp;$A9&amp;CHAR(31)&amp;F$3))-2)&amp;")",""),IF(ISNA(MATCH(1,INDEX(EXACT('Casillas del horario'!$S$4:$S$73,$B$2&amp;CHAR(31)&amp;$A9&amp;CHAR(31)&amp;F$3)*1,0),0)),"",IF(ISBLANK(INDEX('Casillas del horario'!$A$4:$A$73,MATCH(1,INDEX(EXACT('Casillas del horario'!$S$4:$S$73,$B$2&amp;CHAR(31)&amp;$A9&amp;CHAR(31)&amp;F$3)*1,0),0))),"",INDEX('Casillas del horario'!$A$4:$A$73,MATCH(1,INDEX(EXACT('Casillas del horario'!$S$4:$S$73,$B$2&amp;CHAR(31)&amp;$A9&amp;CHAR(31)&amp;F$3)*1,0),0)))))</f>
        <v/>
      </c>
    </row>
    <row r="10">
      <c r="A10" s="3" t="n">
        <v>7</v>
      </c>
      <c r="B10" s="3">
        <f>IF(SUMPRODUCT(1*EXACT('Casillas del horario'!$S$4:$S$73,$B$2&amp;CHAR(31)&amp;$A10&amp;CHAR(31)&amp;B$3))&gt;1,IF(ISNA(MATCH(1,INDEX(EXACT('Casillas del horario'!$S$4:$S$73,$B$2&amp;CHAR(31)&amp;$A10&amp;CHAR(31)&amp;B$3)*1,0),0)),"",IF(ISBLANK(INDEX('Casillas del horario'!$A$4:$A$73,MATCH(1,INDEX(EXACT('Casillas del horario'!$S$4:$S$73,$B$2&amp;CHAR(31)&amp;$A10&amp;CHAR(31)&amp;B$3)*1,0),0))),"",INDEX('Casillas del horario'!$A$4:$A$73,MATCH(1,INDEX(EXACT('Casillas del horario'!$S$4:$S$73,$B$2&amp;CHAR(31)&amp;$A10&amp;CHAR(31)&amp;B$3)*1,0),0))))&amp;" / "&amp;IF(ISBLANK(INDEX('Casillas del horario'!$A$4:$A$73,(MATCH(1,INDEX(EXACT('Casillas del horario'!$S$4:$S$73,$B$2&amp;CHAR(31)&amp;$A10&amp;CHAR(31)&amp;B$3)*1,0),0)+MATCH(1,INDEX(EXACT(INDEX('Casillas del horario'!$S$4:$S$73,MATCH(1,INDEX(EXACT('Casillas del horario'!$S$4:$S$73,$B$2&amp;CHAR(31)&amp;$A10&amp;CHAR(31)&amp;B$3)*1,0),0)+1):INDEX('Casillas del horario'!$S$4:$S$73,ROWS('Casillas del horario'!$S$4:$S$73)),$B$2&amp;CHAR(31)&amp;$A10&amp;CHAR(31)&amp;B$3)*1,0),0)))),"",INDEX('Casillas del horario'!$A$4:$A$73,(MATCH(1,INDEX(EXACT('Casillas del horario'!$S$4:$S$73,$B$2&amp;CHAR(31)&amp;$A10&amp;CHAR(31)&amp;B$3)*1,0),0)+MATCH(1,INDEX(EXACT(INDEX('Casillas del horario'!$S$4:$S$73,MATCH(1,INDEX(EXACT('Casillas del horario'!$S$4:$S$73,$B$2&amp;CHAR(31)&amp;$A10&amp;CHAR(31)&amp;B$3)*1,0),0)+1):INDEX('Casillas del horario'!$S$4:$S$73,ROWS('Casillas del horario'!$S$4:$S$73)),$B$2&amp;CHAR(31)&amp;$A10&amp;CHAR(31)&amp;B$3)*1,0),0))))&amp;IF(SUMPRODUCT(1*EXACT('Casillas del horario'!$S$4:$S$73,$B$2&amp;CHAR(31)&amp;$A10&amp;CHAR(31)&amp;B$3))&gt;2," (+"&amp;(SUMPRODUCT(1*EXACT('Casillas del horario'!$S$4:$S$73,$B$2&amp;CHAR(31)&amp;$A10&amp;CHAR(31)&amp;B$3))-2)&amp;")",""),IF(ISNA(MATCH(1,INDEX(EXACT('Casillas del horario'!$S$4:$S$73,$B$2&amp;CHAR(31)&amp;$A10&amp;CHAR(31)&amp;B$3)*1,0),0)),"",IF(ISBLANK(INDEX('Casillas del horario'!$A$4:$A$73,MATCH(1,INDEX(EXACT('Casillas del horario'!$S$4:$S$73,$B$2&amp;CHAR(31)&amp;$A10&amp;CHAR(31)&amp;B$3)*1,0),0))),"",INDEX('Casillas del horario'!$A$4:$A$73,MATCH(1,INDEX(EXACT('Casillas del horario'!$S$4:$S$73,$B$2&amp;CHAR(31)&amp;$A10&amp;CHAR(31)&amp;B$3)*1,0),0)))))</f>
        <v/>
      </c>
      <c r="C10" s="3">
        <f>IF(SUMPRODUCT(1*EXACT('Casillas del horario'!$S$4:$S$73,$B$2&amp;CHAR(31)&amp;$A10&amp;CHAR(31)&amp;C$3))&gt;1,IF(ISNA(MATCH(1,INDEX(EXACT('Casillas del horario'!$S$4:$S$73,$B$2&amp;CHAR(31)&amp;$A10&amp;CHAR(31)&amp;C$3)*1,0),0)),"",IF(ISBLANK(INDEX('Casillas del horario'!$A$4:$A$73,MATCH(1,INDEX(EXACT('Casillas del horario'!$S$4:$S$73,$B$2&amp;CHAR(31)&amp;$A10&amp;CHAR(31)&amp;C$3)*1,0),0))),"",INDEX('Casillas del horario'!$A$4:$A$73,MATCH(1,INDEX(EXACT('Casillas del horario'!$S$4:$S$73,$B$2&amp;CHAR(31)&amp;$A10&amp;CHAR(31)&amp;C$3)*1,0),0))))&amp;" / "&amp;IF(ISBLANK(INDEX('Casillas del horario'!$A$4:$A$73,(MATCH(1,INDEX(EXACT('Casillas del horario'!$S$4:$S$73,$B$2&amp;CHAR(31)&amp;$A10&amp;CHAR(31)&amp;C$3)*1,0),0)+MATCH(1,INDEX(EXACT(INDEX('Casillas del horario'!$S$4:$S$73,MATCH(1,INDEX(EXACT('Casillas del horario'!$S$4:$S$73,$B$2&amp;CHAR(31)&amp;$A10&amp;CHAR(31)&amp;C$3)*1,0),0)+1):INDEX('Casillas del horario'!$S$4:$S$73,ROWS('Casillas del horario'!$S$4:$S$73)),$B$2&amp;CHAR(31)&amp;$A10&amp;CHAR(31)&amp;C$3)*1,0),0)))),"",INDEX('Casillas del horario'!$A$4:$A$73,(MATCH(1,INDEX(EXACT('Casillas del horario'!$S$4:$S$73,$B$2&amp;CHAR(31)&amp;$A10&amp;CHAR(31)&amp;C$3)*1,0),0)+MATCH(1,INDEX(EXACT(INDEX('Casillas del horario'!$S$4:$S$73,MATCH(1,INDEX(EXACT('Casillas del horario'!$S$4:$S$73,$B$2&amp;CHAR(31)&amp;$A10&amp;CHAR(31)&amp;C$3)*1,0),0)+1):INDEX('Casillas del horario'!$S$4:$S$73,ROWS('Casillas del horario'!$S$4:$S$73)),$B$2&amp;CHAR(31)&amp;$A10&amp;CHAR(31)&amp;C$3)*1,0),0))))&amp;IF(SUMPRODUCT(1*EXACT('Casillas del horario'!$S$4:$S$73,$B$2&amp;CHAR(31)&amp;$A10&amp;CHAR(31)&amp;C$3))&gt;2," (+"&amp;(SUMPRODUCT(1*EXACT('Casillas del horario'!$S$4:$S$73,$B$2&amp;CHAR(31)&amp;$A10&amp;CHAR(31)&amp;C$3))-2)&amp;")",""),IF(ISNA(MATCH(1,INDEX(EXACT('Casillas del horario'!$S$4:$S$73,$B$2&amp;CHAR(31)&amp;$A10&amp;CHAR(31)&amp;C$3)*1,0),0)),"",IF(ISBLANK(INDEX('Casillas del horario'!$A$4:$A$73,MATCH(1,INDEX(EXACT('Casillas del horario'!$S$4:$S$73,$B$2&amp;CHAR(31)&amp;$A10&amp;CHAR(31)&amp;C$3)*1,0),0))),"",INDEX('Casillas del horario'!$A$4:$A$73,MATCH(1,INDEX(EXACT('Casillas del horario'!$S$4:$S$73,$B$2&amp;CHAR(31)&amp;$A10&amp;CHAR(31)&amp;C$3)*1,0),0)))))</f>
        <v/>
      </c>
      <c r="D10" s="3">
        <f>IF(SUMPRODUCT(1*EXACT('Casillas del horario'!$S$4:$S$73,$B$2&amp;CHAR(31)&amp;$A10&amp;CHAR(31)&amp;D$3))&gt;1,IF(ISNA(MATCH(1,INDEX(EXACT('Casillas del horario'!$S$4:$S$73,$B$2&amp;CHAR(31)&amp;$A10&amp;CHAR(31)&amp;D$3)*1,0),0)),"",IF(ISBLANK(INDEX('Casillas del horario'!$A$4:$A$73,MATCH(1,INDEX(EXACT('Casillas del horario'!$S$4:$S$73,$B$2&amp;CHAR(31)&amp;$A10&amp;CHAR(31)&amp;D$3)*1,0),0))),"",INDEX('Casillas del horario'!$A$4:$A$73,MATCH(1,INDEX(EXACT('Casillas del horario'!$S$4:$S$73,$B$2&amp;CHAR(31)&amp;$A10&amp;CHAR(31)&amp;D$3)*1,0),0))))&amp;" / "&amp;IF(ISBLANK(INDEX('Casillas del horario'!$A$4:$A$73,(MATCH(1,INDEX(EXACT('Casillas del horario'!$S$4:$S$73,$B$2&amp;CHAR(31)&amp;$A10&amp;CHAR(31)&amp;D$3)*1,0),0)+MATCH(1,INDEX(EXACT(INDEX('Casillas del horario'!$S$4:$S$73,MATCH(1,INDEX(EXACT('Casillas del horario'!$S$4:$S$73,$B$2&amp;CHAR(31)&amp;$A10&amp;CHAR(31)&amp;D$3)*1,0),0)+1):INDEX('Casillas del horario'!$S$4:$S$73,ROWS('Casillas del horario'!$S$4:$S$73)),$B$2&amp;CHAR(31)&amp;$A10&amp;CHAR(31)&amp;D$3)*1,0),0)))),"",INDEX('Casillas del horario'!$A$4:$A$73,(MATCH(1,INDEX(EXACT('Casillas del horario'!$S$4:$S$73,$B$2&amp;CHAR(31)&amp;$A10&amp;CHAR(31)&amp;D$3)*1,0),0)+MATCH(1,INDEX(EXACT(INDEX('Casillas del horario'!$S$4:$S$73,MATCH(1,INDEX(EXACT('Casillas del horario'!$S$4:$S$73,$B$2&amp;CHAR(31)&amp;$A10&amp;CHAR(31)&amp;D$3)*1,0),0)+1):INDEX('Casillas del horario'!$S$4:$S$73,ROWS('Casillas del horario'!$S$4:$S$73)),$B$2&amp;CHAR(31)&amp;$A10&amp;CHAR(31)&amp;D$3)*1,0),0))))&amp;IF(SUMPRODUCT(1*EXACT('Casillas del horario'!$S$4:$S$73,$B$2&amp;CHAR(31)&amp;$A10&amp;CHAR(31)&amp;D$3))&gt;2," (+"&amp;(SUMPRODUCT(1*EXACT('Casillas del horario'!$S$4:$S$73,$B$2&amp;CHAR(31)&amp;$A10&amp;CHAR(31)&amp;D$3))-2)&amp;")",""),IF(ISNA(MATCH(1,INDEX(EXACT('Casillas del horario'!$S$4:$S$73,$B$2&amp;CHAR(31)&amp;$A10&amp;CHAR(31)&amp;D$3)*1,0),0)),"",IF(ISBLANK(INDEX('Casillas del horario'!$A$4:$A$73,MATCH(1,INDEX(EXACT('Casillas del horario'!$S$4:$S$73,$B$2&amp;CHAR(31)&amp;$A10&amp;CHAR(31)&amp;D$3)*1,0),0))),"",INDEX('Casillas del horario'!$A$4:$A$73,MATCH(1,INDEX(EXACT('Casillas del horario'!$S$4:$S$73,$B$2&amp;CHAR(31)&amp;$A10&amp;CHAR(31)&amp;D$3)*1,0),0)))))</f>
        <v/>
      </c>
      <c r="E10" s="3">
        <f>IF(SUMPRODUCT(1*EXACT('Casillas del horario'!$S$4:$S$73,$B$2&amp;CHAR(31)&amp;$A10&amp;CHAR(31)&amp;E$3))&gt;1,IF(ISNA(MATCH(1,INDEX(EXACT('Casillas del horario'!$S$4:$S$73,$B$2&amp;CHAR(31)&amp;$A10&amp;CHAR(31)&amp;E$3)*1,0),0)),"",IF(ISBLANK(INDEX('Casillas del horario'!$A$4:$A$73,MATCH(1,INDEX(EXACT('Casillas del horario'!$S$4:$S$73,$B$2&amp;CHAR(31)&amp;$A10&amp;CHAR(31)&amp;E$3)*1,0),0))),"",INDEX('Casillas del horario'!$A$4:$A$73,MATCH(1,INDEX(EXACT('Casillas del horario'!$S$4:$S$73,$B$2&amp;CHAR(31)&amp;$A10&amp;CHAR(31)&amp;E$3)*1,0),0))))&amp;" / "&amp;IF(ISBLANK(INDEX('Casillas del horario'!$A$4:$A$73,(MATCH(1,INDEX(EXACT('Casillas del horario'!$S$4:$S$73,$B$2&amp;CHAR(31)&amp;$A10&amp;CHAR(31)&amp;E$3)*1,0),0)+MATCH(1,INDEX(EXACT(INDEX('Casillas del horario'!$S$4:$S$73,MATCH(1,INDEX(EXACT('Casillas del horario'!$S$4:$S$73,$B$2&amp;CHAR(31)&amp;$A10&amp;CHAR(31)&amp;E$3)*1,0),0)+1):INDEX('Casillas del horario'!$S$4:$S$73,ROWS('Casillas del horario'!$S$4:$S$73)),$B$2&amp;CHAR(31)&amp;$A10&amp;CHAR(31)&amp;E$3)*1,0),0)))),"",INDEX('Casillas del horario'!$A$4:$A$73,(MATCH(1,INDEX(EXACT('Casillas del horario'!$S$4:$S$73,$B$2&amp;CHAR(31)&amp;$A10&amp;CHAR(31)&amp;E$3)*1,0),0)+MATCH(1,INDEX(EXACT(INDEX('Casillas del horario'!$S$4:$S$73,MATCH(1,INDEX(EXACT('Casillas del horario'!$S$4:$S$73,$B$2&amp;CHAR(31)&amp;$A10&amp;CHAR(31)&amp;E$3)*1,0),0)+1):INDEX('Casillas del horario'!$S$4:$S$73,ROWS('Casillas del horario'!$S$4:$S$73)),$B$2&amp;CHAR(31)&amp;$A10&amp;CHAR(31)&amp;E$3)*1,0),0))))&amp;IF(SUMPRODUCT(1*EXACT('Casillas del horario'!$S$4:$S$73,$B$2&amp;CHAR(31)&amp;$A10&amp;CHAR(31)&amp;E$3))&gt;2," (+"&amp;(SUMPRODUCT(1*EXACT('Casillas del horario'!$S$4:$S$73,$B$2&amp;CHAR(31)&amp;$A10&amp;CHAR(31)&amp;E$3))-2)&amp;")",""),IF(ISNA(MATCH(1,INDEX(EXACT('Casillas del horario'!$S$4:$S$73,$B$2&amp;CHAR(31)&amp;$A10&amp;CHAR(31)&amp;E$3)*1,0),0)),"",IF(ISBLANK(INDEX('Casillas del horario'!$A$4:$A$73,MATCH(1,INDEX(EXACT('Casillas del horario'!$S$4:$S$73,$B$2&amp;CHAR(31)&amp;$A10&amp;CHAR(31)&amp;E$3)*1,0),0))),"",INDEX('Casillas del horario'!$A$4:$A$73,MATCH(1,INDEX(EXACT('Casillas del horario'!$S$4:$S$73,$B$2&amp;CHAR(31)&amp;$A10&amp;CHAR(31)&amp;E$3)*1,0),0)))))</f>
        <v/>
      </c>
      <c r="F10" s="3">
        <f>IF(SUMPRODUCT(1*EXACT('Casillas del horario'!$S$4:$S$73,$B$2&amp;CHAR(31)&amp;$A10&amp;CHAR(31)&amp;F$3))&gt;1,IF(ISNA(MATCH(1,INDEX(EXACT('Casillas del horario'!$S$4:$S$73,$B$2&amp;CHAR(31)&amp;$A10&amp;CHAR(31)&amp;F$3)*1,0),0)),"",IF(ISBLANK(INDEX('Casillas del horario'!$A$4:$A$73,MATCH(1,INDEX(EXACT('Casillas del horario'!$S$4:$S$73,$B$2&amp;CHAR(31)&amp;$A10&amp;CHAR(31)&amp;F$3)*1,0),0))),"",INDEX('Casillas del horario'!$A$4:$A$73,MATCH(1,INDEX(EXACT('Casillas del horario'!$S$4:$S$73,$B$2&amp;CHAR(31)&amp;$A10&amp;CHAR(31)&amp;F$3)*1,0),0))))&amp;" / "&amp;IF(ISBLANK(INDEX('Casillas del horario'!$A$4:$A$73,(MATCH(1,INDEX(EXACT('Casillas del horario'!$S$4:$S$73,$B$2&amp;CHAR(31)&amp;$A10&amp;CHAR(31)&amp;F$3)*1,0),0)+MATCH(1,INDEX(EXACT(INDEX('Casillas del horario'!$S$4:$S$73,MATCH(1,INDEX(EXACT('Casillas del horario'!$S$4:$S$73,$B$2&amp;CHAR(31)&amp;$A10&amp;CHAR(31)&amp;F$3)*1,0),0)+1):INDEX('Casillas del horario'!$S$4:$S$73,ROWS('Casillas del horario'!$S$4:$S$73)),$B$2&amp;CHAR(31)&amp;$A10&amp;CHAR(31)&amp;F$3)*1,0),0)))),"",INDEX('Casillas del horario'!$A$4:$A$73,(MATCH(1,INDEX(EXACT('Casillas del horario'!$S$4:$S$73,$B$2&amp;CHAR(31)&amp;$A10&amp;CHAR(31)&amp;F$3)*1,0),0)+MATCH(1,INDEX(EXACT(INDEX('Casillas del horario'!$S$4:$S$73,MATCH(1,INDEX(EXACT('Casillas del horario'!$S$4:$S$73,$B$2&amp;CHAR(31)&amp;$A10&amp;CHAR(31)&amp;F$3)*1,0),0)+1):INDEX('Casillas del horario'!$S$4:$S$73,ROWS('Casillas del horario'!$S$4:$S$73)),$B$2&amp;CHAR(31)&amp;$A10&amp;CHAR(31)&amp;F$3)*1,0),0))))&amp;IF(SUMPRODUCT(1*EXACT('Casillas del horario'!$S$4:$S$73,$B$2&amp;CHAR(31)&amp;$A10&amp;CHAR(31)&amp;F$3))&gt;2," (+"&amp;(SUMPRODUCT(1*EXACT('Casillas del horario'!$S$4:$S$73,$B$2&amp;CHAR(31)&amp;$A10&amp;CHAR(31)&amp;F$3))-2)&amp;")",""),IF(ISNA(MATCH(1,INDEX(EXACT('Casillas del horario'!$S$4:$S$73,$B$2&amp;CHAR(31)&amp;$A10&amp;CHAR(31)&amp;F$3)*1,0),0)),"",IF(ISBLANK(INDEX('Casillas del horario'!$A$4:$A$73,MATCH(1,INDEX(EXACT('Casillas del horario'!$S$4:$S$73,$B$2&amp;CHAR(31)&amp;$A10&amp;CHAR(31)&amp;F$3)*1,0),0))),"",INDEX('Casillas del horario'!$A$4:$A$73,MATCH(1,INDEX(EXACT('Casillas del horario'!$S$4:$S$73,$B$2&amp;CHAR(31)&amp;$A10&amp;CHAR(31)&amp;F$3)*1,0),0)))))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horario'!$S$4:$S$73,$B$2&amp;CHAR(31)&amp;$A4&amp;CHAR(31)&amp;B$3)*1,0),0)),0)=3</formula>
    </cfRule>
    <cfRule type="expression" priority="2" dxfId="1" stopIfTrue="0">
      <formula>IFERROR(INDEX('Casillas del horario'!$Q$4:$Q$73,MATCH(1,INDEX(EXACT('Casillas del horario'!$S$4:$S$73,$B$2&amp;CHAR(31)&amp;$A4&amp;CHAR(31)&amp;B$3)*1,0),0)),0)=2</formula>
    </cfRule>
    <cfRule type="expression" priority="3" dxfId="2" stopIfTrue="0">
      <formula>IFERROR(INDEX('Casillas del horario'!$Q$4:$Q$73,MATCH(1,INDEX(EXACT('Casillas del horario'!$S$4:$S$73,$B$2&amp;CHAR(31)&amp;$A4&amp;CHAR(31)&amp;B$3)*1,0),0)),0)=1</formula>
    </cfRule>
  </conditionalFormatting>
  <dataValidations count="1">
    <dataValidation sqref="B2" showDropDown="0" showInputMessage="0" showErrorMessage="1" allowBlank="1" errorTitle="Valor fuera del dominio" error="Ese valor no esta en la lista." type="list" errorStyle="information">
      <formula1>'Profesores'!$A$4:$A$53</formula1>
    </dataValidation>
  </dataValidations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/ "&amp;IF(ISBLANK(INDEX('Casillas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10-3"&amp;CHAR(31)&amp;$A4&amp;CHAR(31)&amp;B$3)*1,0),0)))),"",INDEX('Casillas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10-3"&amp;CHAR(31)&amp;$A4&amp;CHAR(31)&amp;B$3)*1,0),0))))&amp;IF(SUMPRODUCT(1*EXACT('Casillas del horario'!$T$4:$T$73,"Aula 10-3"&amp;CHAR(31)&amp;$A4&amp;CHAR(31)&amp;B$3))&gt;2," (+"&amp;(SUMPRODUCT(1*EXACT('Casillas del horario'!$T$4:$T$73,"Aula 10-3"&amp;CHAR(31)&amp;$A4&amp;CHAR(31)&amp;B$3))-2)&amp;")",""),IF(ISNA(MATCH(1,INDEX(EXACT('Casillas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/ "&amp;IF(ISBLANK(INDEX('Casillas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10-3"&amp;CHAR(31)&amp;$A4&amp;CHAR(31)&amp;C$3)*1,0),0)))),"",INDEX('Casillas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10-3"&amp;CHAR(31)&amp;$A4&amp;CHAR(31)&amp;C$3)*1,0),0))))&amp;IF(SUMPRODUCT(1*EXACT('Casillas del horario'!$T$4:$T$73,"Aula 10-3"&amp;CHAR(31)&amp;$A4&amp;CHAR(31)&amp;C$3))&gt;2," (+"&amp;(SUMPRODUCT(1*EXACT('Casillas del horario'!$T$4:$T$73,"Aula 10-3"&amp;CHAR(31)&amp;$A4&amp;CHAR(31)&amp;C$3))-2)&amp;")",""),IF(ISNA(MATCH(1,INDEX(EXACT('Casillas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/ "&amp;IF(ISBLANK(INDEX('Casillas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10-3"&amp;CHAR(31)&amp;$A4&amp;CHAR(31)&amp;D$3)*1,0),0)))),"",INDEX('Casillas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10-3"&amp;CHAR(31)&amp;$A4&amp;CHAR(31)&amp;D$3)*1,0),0))))&amp;IF(SUMPRODUCT(1*EXACT('Casillas del horario'!$T$4:$T$73,"Aula 10-3"&amp;CHAR(31)&amp;$A4&amp;CHAR(31)&amp;D$3))&gt;2," (+"&amp;(SUMPRODUCT(1*EXACT('Casillas del horario'!$T$4:$T$73,"Aula 10-3"&amp;CHAR(31)&amp;$A4&amp;CHAR(31)&amp;D$3))-2)&amp;")",""),IF(ISNA(MATCH(1,INDEX(EXACT('Casillas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/ "&amp;IF(ISBLANK(INDEX('Casillas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10-3"&amp;CHAR(31)&amp;$A4&amp;CHAR(31)&amp;E$3)*1,0),0)))),"",INDEX('Casillas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10-3"&amp;CHAR(31)&amp;$A4&amp;CHAR(31)&amp;E$3)*1,0),0))))&amp;IF(SUMPRODUCT(1*EXACT('Casillas del horario'!$T$4:$T$73,"Aula 10-3"&amp;CHAR(31)&amp;$A4&amp;CHAR(31)&amp;E$3))&gt;2," (+"&amp;(SUMPRODUCT(1*EXACT('Casillas del horario'!$T$4:$T$73,"Aula 10-3"&amp;CHAR(31)&amp;$A4&amp;CHAR(31)&amp;E$3))-2)&amp;")",""),IF(ISNA(MATCH(1,INDEX(EXACT('Casillas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/ "&amp;IF(ISBLANK(INDEX('Casillas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10-3"&amp;CHAR(31)&amp;$A4&amp;CHAR(31)&amp;F$3)*1,0),0)))),"",INDEX('Casillas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10-3"&amp;CHAR(31)&amp;$A4&amp;CHAR(31)&amp;F$3)*1,0),0))))&amp;IF(SUMPRODUCT(1*EXACT('Casillas del horario'!$T$4:$T$73,"Aula 10-3"&amp;CHAR(31)&amp;$A4&amp;CHAR(31)&amp;F$3))&gt;2," (+"&amp;(SUMPRODUCT(1*EXACT('Casillas del horario'!$T$4:$T$73,"Aula 10-3"&amp;CHAR(31)&amp;$A4&amp;CHAR(31)&amp;F$3))-2)&amp;")",""),IF(ISNA(MATCH(1,INDEX(EXACT('Casillas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/ "&amp;IF(ISBLANK(INDEX('Casillas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10-3"&amp;CHAR(31)&amp;$A5&amp;CHAR(31)&amp;B$3)*1,0),0)))),"",INDEX('Casillas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10-3"&amp;CHAR(31)&amp;$A5&amp;CHAR(31)&amp;B$3)*1,0),0))))&amp;IF(SUMPRODUCT(1*EXACT('Casillas del horario'!$T$4:$T$73,"Aula 10-3"&amp;CHAR(31)&amp;$A5&amp;CHAR(31)&amp;B$3))&gt;2," (+"&amp;(SUMPRODUCT(1*EXACT('Casillas del horario'!$T$4:$T$73,"Aula 10-3"&amp;CHAR(31)&amp;$A5&amp;CHAR(31)&amp;B$3))-2)&amp;")",""),IF(ISNA(MATCH(1,INDEX(EXACT('Casillas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/ "&amp;IF(ISBLANK(INDEX('Casillas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10-3"&amp;CHAR(31)&amp;$A5&amp;CHAR(31)&amp;C$3)*1,0),0)))),"",INDEX('Casillas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10-3"&amp;CHAR(31)&amp;$A5&amp;CHAR(31)&amp;C$3)*1,0),0))))&amp;IF(SUMPRODUCT(1*EXACT('Casillas del horario'!$T$4:$T$73,"Aula 10-3"&amp;CHAR(31)&amp;$A5&amp;CHAR(31)&amp;C$3))&gt;2," (+"&amp;(SUMPRODUCT(1*EXACT('Casillas del horario'!$T$4:$T$73,"Aula 10-3"&amp;CHAR(31)&amp;$A5&amp;CHAR(31)&amp;C$3))-2)&amp;")",""),IF(ISNA(MATCH(1,INDEX(EXACT('Casillas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/ "&amp;IF(ISBLANK(INDEX('Casillas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10-3"&amp;CHAR(31)&amp;$A5&amp;CHAR(31)&amp;D$3)*1,0),0)))),"",INDEX('Casillas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10-3"&amp;CHAR(31)&amp;$A5&amp;CHAR(31)&amp;D$3)*1,0),0))))&amp;IF(SUMPRODUCT(1*EXACT('Casillas del horario'!$T$4:$T$73,"Aula 10-3"&amp;CHAR(31)&amp;$A5&amp;CHAR(31)&amp;D$3))&gt;2," (+"&amp;(SUMPRODUCT(1*EXACT('Casillas del horario'!$T$4:$T$73,"Aula 10-3"&amp;CHAR(31)&amp;$A5&amp;CHAR(31)&amp;D$3))-2)&amp;")",""),IF(ISNA(MATCH(1,INDEX(EXACT('Casillas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/ "&amp;IF(ISBLANK(INDEX('Casillas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10-3"&amp;CHAR(31)&amp;$A5&amp;CHAR(31)&amp;E$3)*1,0),0)))),"",INDEX('Casillas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10-3"&amp;CHAR(31)&amp;$A5&amp;CHAR(31)&amp;E$3)*1,0),0))))&amp;IF(SUMPRODUCT(1*EXACT('Casillas del horario'!$T$4:$T$73,"Aula 10-3"&amp;CHAR(31)&amp;$A5&amp;CHAR(31)&amp;E$3))&gt;2," (+"&amp;(SUMPRODUCT(1*EXACT('Casillas del horario'!$T$4:$T$73,"Aula 10-3"&amp;CHAR(31)&amp;$A5&amp;CHAR(31)&amp;E$3))-2)&amp;")",""),IF(ISNA(MATCH(1,INDEX(EXACT('Casillas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/ "&amp;IF(ISBLANK(INDEX('Casillas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10-3"&amp;CHAR(31)&amp;$A5&amp;CHAR(31)&amp;F$3)*1,0),0)))),"",INDEX('Casillas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10-3"&amp;CHAR(31)&amp;$A5&amp;CHAR(31)&amp;F$3)*1,0),0))))&amp;IF(SUMPRODUCT(1*EXACT('Casillas del horario'!$T$4:$T$73,"Aula 10-3"&amp;CHAR(31)&amp;$A5&amp;CHAR(31)&amp;F$3))&gt;2," (+"&amp;(SUMPRODUCT(1*EXACT('Casillas del horario'!$T$4:$T$73,"Aula 10-3"&amp;CHAR(31)&amp;$A5&amp;CHAR(31)&amp;F$3))-2)&amp;")",""),IF(ISNA(MATCH(1,INDEX(EXACT('Casillas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/ "&amp;IF(ISBLANK(INDEX('Casillas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10-3"&amp;CHAR(31)&amp;$A6&amp;CHAR(31)&amp;B$3)*1,0),0)))),"",INDEX('Casillas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10-3"&amp;CHAR(31)&amp;$A6&amp;CHAR(31)&amp;B$3)*1,0),0))))&amp;IF(SUMPRODUCT(1*EXACT('Casillas del horario'!$T$4:$T$73,"Aula 10-3"&amp;CHAR(31)&amp;$A6&amp;CHAR(31)&amp;B$3))&gt;2," (+"&amp;(SUMPRODUCT(1*EXACT('Casillas del horario'!$T$4:$T$73,"Aula 10-3"&amp;CHAR(31)&amp;$A6&amp;CHAR(31)&amp;B$3))-2)&amp;")",""),IF(ISNA(MATCH(1,INDEX(EXACT('Casillas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/ "&amp;IF(ISBLANK(INDEX('Casillas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10-3"&amp;CHAR(31)&amp;$A6&amp;CHAR(31)&amp;C$3)*1,0),0)))),"",INDEX('Casillas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10-3"&amp;CHAR(31)&amp;$A6&amp;CHAR(31)&amp;C$3)*1,0),0))))&amp;IF(SUMPRODUCT(1*EXACT('Casillas del horario'!$T$4:$T$73,"Aula 10-3"&amp;CHAR(31)&amp;$A6&amp;CHAR(31)&amp;C$3))&gt;2," (+"&amp;(SUMPRODUCT(1*EXACT('Casillas del horario'!$T$4:$T$73,"Aula 10-3"&amp;CHAR(31)&amp;$A6&amp;CHAR(31)&amp;C$3))-2)&amp;")",""),IF(ISNA(MATCH(1,INDEX(EXACT('Casillas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/ "&amp;IF(ISBLANK(INDEX('Casillas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10-3"&amp;CHAR(31)&amp;$A6&amp;CHAR(31)&amp;D$3)*1,0),0)))),"",INDEX('Casillas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10-3"&amp;CHAR(31)&amp;$A6&amp;CHAR(31)&amp;D$3)*1,0),0))))&amp;IF(SUMPRODUCT(1*EXACT('Casillas del horario'!$T$4:$T$73,"Aula 10-3"&amp;CHAR(31)&amp;$A6&amp;CHAR(31)&amp;D$3))&gt;2," (+"&amp;(SUMPRODUCT(1*EXACT('Casillas del horario'!$T$4:$T$73,"Aula 10-3"&amp;CHAR(31)&amp;$A6&amp;CHAR(31)&amp;D$3))-2)&amp;")",""),IF(ISNA(MATCH(1,INDEX(EXACT('Casillas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/ "&amp;IF(ISBLANK(INDEX('Casillas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10-3"&amp;CHAR(31)&amp;$A6&amp;CHAR(31)&amp;E$3)*1,0),0)))),"",INDEX('Casillas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10-3"&amp;CHAR(31)&amp;$A6&amp;CHAR(31)&amp;E$3)*1,0),0))))&amp;IF(SUMPRODUCT(1*EXACT('Casillas del horario'!$T$4:$T$73,"Aula 10-3"&amp;CHAR(31)&amp;$A6&amp;CHAR(31)&amp;E$3))&gt;2," (+"&amp;(SUMPRODUCT(1*EXACT('Casillas del horario'!$T$4:$T$73,"Aula 10-3"&amp;CHAR(31)&amp;$A6&amp;CHAR(31)&amp;E$3))-2)&amp;")",""),IF(ISNA(MATCH(1,INDEX(EXACT('Casillas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/ "&amp;IF(ISBLANK(INDEX('Casillas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10-3"&amp;CHAR(31)&amp;$A6&amp;CHAR(31)&amp;F$3)*1,0),0)))),"",INDEX('Casillas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10-3"&amp;CHAR(31)&amp;$A6&amp;CHAR(31)&amp;F$3)*1,0),0))))&amp;IF(SUMPRODUCT(1*EXACT('Casillas del horario'!$T$4:$T$73,"Aula 10-3"&amp;CHAR(31)&amp;$A6&amp;CHAR(31)&amp;F$3))&gt;2," (+"&amp;(SUMPRODUCT(1*EXACT('Casillas del horario'!$T$4:$T$73,"Aula 10-3"&amp;CHAR(31)&amp;$A6&amp;CHAR(31)&amp;F$3))-2)&amp;")",""),IF(ISNA(MATCH(1,INDEX(EXACT('Casillas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/ "&amp;IF(ISBLANK(INDEX('Casillas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10-3"&amp;CHAR(31)&amp;$A7&amp;CHAR(31)&amp;B$3)*1,0),0)))),"",INDEX('Casillas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10-3"&amp;CHAR(31)&amp;$A7&amp;CHAR(31)&amp;B$3)*1,0),0))))&amp;IF(SUMPRODUCT(1*EXACT('Casillas del horario'!$T$4:$T$73,"Aula 10-3"&amp;CHAR(31)&amp;$A7&amp;CHAR(31)&amp;B$3))&gt;2," (+"&amp;(SUMPRODUCT(1*EXACT('Casillas del horario'!$T$4:$T$73,"Aula 10-3"&amp;CHAR(31)&amp;$A7&amp;CHAR(31)&amp;B$3))-2)&amp;")",""),IF(ISNA(MATCH(1,INDEX(EXACT('Casillas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/ "&amp;IF(ISBLANK(INDEX('Casillas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10-3"&amp;CHAR(31)&amp;$A7&amp;CHAR(31)&amp;C$3)*1,0),0)))),"",INDEX('Casillas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10-3"&amp;CHAR(31)&amp;$A7&amp;CHAR(31)&amp;C$3)*1,0),0))))&amp;IF(SUMPRODUCT(1*EXACT('Casillas del horario'!$T$4:$T$73,"Aula 10-3"&amp;CHAR(31)&amp;$A7&amp;CHAR(31)&amp;C$3))&gt;2," (+"&amp;(SUMPRODUCT(1*EXACT('Casillas del horario'!$T$4:$T$73,"Aula 10-3"&amp;CHAR(31)&amp;$A7&amp;CHAR(31)&amp;C$3))-2)&amp;")",""),IF(ISNA(MATCH(1,INDEX(EXACT('Casillas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/ "&amp;IF(ISBLANK(INDEX('Casillas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10-3"&amp;CHAR(31)&amp;$A7&amp;CHAR(31)&amp;D$3)*1,0),0)))),"",INDEX('Casillas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10-3"&amp;CHAR(31)&amp;$A7&amp;CHAR(31)&amp;D$3)*1,0),0))))&amp;IF(SUMPRODUCT(1*EXACT('Casillas del horario'!$T$4:$T$73,"Aula 10-3"&amp;CHAR(31)&amp;$A7&amp;CHAR(31)&amp;D$3))&gt;2," (+"&amp;(SUMPRODUCT(1*EXACT('Casillas del horario'!$T$4:$T$73,"Aula 10-3"&amp;CHAR(31)&amp;$A7&amp;CHAR(31)&amp;D$3))-2)&amp;")",""),IF(ISNA(MATCH(1,INDEX(EXACT('Casillas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/ "&amp;IF(ISBLANK(INDEX('Casillas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10-3"&amp;CHAR(31)&amp;$A7&amp;CHAR(31)&amp;E$3)*1,0),0)))),"",INDEX('Casillas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10-3"&amp;CHAR(31)&amp;$A7&amp;CHAR(31)&amp;E$3)*1,0),0))))&amp;IF(SUMPRODUCT(1*EXACT('Casillas del horario'!$T$4:$T$73,"Aula 10-3"&amp;CHAR(31)&amp;$A7&amp;CHAR(31)&amp;E$3))&gt;2," (+"&amp;(SUMPRODUCT(1*EXACT('Casillas del horario'!$T$4:$T$73,"Aula 10-3"&amp;CHAR(31)&amp;$A7&amp;CHAR(31)&amp;E$3))-2)&amp;")",""),IF(ISNA(MATCH(1,INDEX(EXACT('Casillas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/ "&amp;IF(ISBLANK(INDEX('Casillas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10-3"&amp;CHAR(31)&amp;$A7&amp;CHAR(31)&amp;F$3)*1,0),0)))),"",INDEX('Casillas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10-3"&amp;CHAR(31)&amp;$A7&amp;CHAR(31)&amp;F$3)*1,0),0))))&amp;IF(SUMPRODUCT(1*EXACT('Casillas del horario'!$T$4:$T$73,"Aula 10-3"&amp;CHAR(31)&amp;$A7&amp;CHAR(31)&amp;F$3))&gt;2," (+"&amp;(SUMPRODUCT(1*EXACT('Casillas del horario'!$T$4:$T$73,"Aula 10-3"&amp;CHAR(31)&amp;$A7&amp;CHAR(31)&amp;F$3))-2)&amp;")",""),IF(ISNA(MATCH(1,INDEX(EXACT('Casillas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/ "&amp;IF(ISBLANK(INDEX('Casillas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10-3"&amp;CHAR(31)&amp;$A8&amp;CHAR(31)&amp;B$3)*1,0),0)))),"",INDEX('Casillas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10-3"&amp;CHAR(31)&amp;$A8&amp;CHAR(31)&amp;B$3)*1,0),0))))&amp;IF(SUMPRODUCT(1*EXACT('Casillas del horario'!$T$4:$T$73,"Aula 10-3"&amp;CHAR(31)&amp;$A8&amp;CHAR(31)&amp;B$3))&gt;2," (+"&amp;(SUMPRODUCT(1*EXACT('Casillas del horario'!$T$4:$T$73,"Aula 10-3"&amp;CHAR(31)&amp;$A8&amp;CHAR(31)&amp;B$3))-2)&amp;")",""),IF(ISNA(MATCH(1,INDEX(EXACT('Casillas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/ "&amp;IF(ISBLANK(INDEX('Casillas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10-3"&amp;CHAR(31)&amp;$A8&amp;CHAR(31)&amp;C$3)*1,0),0)))),"",INDEX('Casillas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10-3"&amp;CHAR(31)&amp;$A8&amp;CHAR(31)&amp;C$3)*1,0),0))))&amp;IF(SUMPRODUCT(1*EXACT('Casillas del horario'!$T$4:$T$73,"Aula 10-3"&amp;CHAR(31)&amp;$A8&amp;CHAR(31)&amp;C$3))&gt;2," (+"&amp;(SUMPRODUCT(1*EXACT('Casillas del horario'!$T$4:$T$73,"Aula 10-3"&amp;CHAR(31)&amp;$A8&amp;CHAR(31)&amp;C$3))-2)&amp;")",""),IF(ISNA(MATCH(1,INDEX(EXACT('Casillas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/ "&amp;IF(ISBLANK(INDEX('Casillas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10-3"&amp;CHAR(31)&amp;$A8&amp;CHAR(31)&amp;D$3)*1,0),0)))),"",INDEX('Casillas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10-3"&amp;CHAR(31)&amp;$A8&amp;CHAR(31)&amp;D$3)*1,0),0))))&amp;IF(SUMPRODUCT(1*EXACT('Casillas del horario'!$T$4:$T$73,"Aula 10-3"&amp;CHAR(31)&amp;$A8&amp;CHAR(31)&amp;D$3))&gt;2," (+"&amp;(SUMPRODUCT(1*EXACT('Casillas del horario'!$T$4:$T$73,"Aula 10-3"&amp;CHAR(31)&amp;$A8&amp;CHAR(31)&amp;D$3))-2)&amp;")",""),IF(ISNA(MATCH(1,INDEX(EXACT('Casillas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/ "&amp;IF(ISBLANK(INDEX('Casillas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10-3"&amp;CHAR(31)&amp;$A8&amp;CHAR(31)&amp;E$3)*1,0),0)))),"",INDEX('Casillas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10-3"&amp;CHAR(31)&amp;$A8&amp;CHAR(31)&amp;E$3)*1,0),0))))&amp;IF(SUMPRODUCT(1*EXACT('Casillas del horario'!$T$4:$T$73,"Aula 10-3"&amp;CHAR(31)&amp;$A8&amp;CHAR(31)&amp;E$3))&gt;2," (+"&amp;(SUMPRODUCT(1*EXACT('Casillas del horario'!$T$4:$T$73,"Aula 10-3"&amp;CHAR(31)&amp;$A8&amp;CHAR(31)&amp;E$3))-2)&amp;")",""),IF(ISNA(MATCH(1,INDEX(EXACT('Casillas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/ "&amp;IF(ISBLANK(INDEX('Casillas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10-3"&amp;CHAR(31)&amp;$A8&amp;CHAR(31)&amp;F$3)*1,0),0)))),"",INDEX('Casillas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10-3"&amp;CHAR(31)&amp;$A8&amp;CHAR(31)&amp;F$3)*1,0),0))))&amp;IF(SUMPRODUCT(1*EXACT('Casillas del horario'!$T$4:$T$73,"Aula 10-3"&amp;CHAR(31)&amp;$A8&amp;CHAR(31)&amp;F$3))&gt;2," (+"&amp;(SUMPRODUCT(1*EXACT('Casillas del horario'!$T$4:$T$73,"Aula 10-3"&amp;CHAR(31)&amp;$A8&amp;CHAR(31)&amp;F$3))-2)&amp;")",""),IF(ISNA(MATCH(1,INDEX(EXACT('Casillas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/ "&amp;IF(ISBLANK(INDEX('Casillas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10-3"&amp;CHAR(31)&amp;$A9&amp;CHAR(31)&amp;B$3)*1,0),0)))),"",INDEX('Casillas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10-3"&amp;CHAR(31)&amp;$A9&amp;CHAR(31)&amp;B$3)*1,0),0))))&amp;IF(SUMPRODUCT(1*EXACT('Casillas del horario'!$T$4:$T$73,"Aula 10-3"&amp;CHAR(31)&amp;$A9&amp;CHAR(31)&amp;B$3))&gt;2," (+"&amp;(SUMPRODUCT(1*EXACT('Casillas del horario'!$T$4:$T$73,"Aula 10-3"&amp;CHAR(31)&amp;$A9&amp;CHAR(31)&amp;B$3))-2)&amp;")",""),IF(ISNA(MATCH(1,INDEX(EXACT('Casillas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/ "&amp;IF(ISBLANK(INDEX('Casillas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10-3"&amp;CHAR(31)&amp;$A9&amp;CHAR(31)&amp;C$3)*1,0),0)))),"",INDEX('Casillas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10-3"&amp;CHAR(31)&amp;$A9&amp;CHAR(31)&amp;C$3)*1,0),0))))&amp;IF(SUMPRODUCT(1*EXACT('Casillas del horario'!$T$4:$T$73,"Aula 10-3"&amp;CHAR(31)&amp;$A9&amp;CHAR(31)&amp;C$3))&gt;2," (+"&amp;(SUMPRODUCT(1*EXACT('Casillas del horario'!$T$4:$T$73,"Aula 10-3"&amp;CHAR(31)&amp;$A9&amp;CHAR(31)&amp;C$3))-2)&amp;")",""),IF(ISNA(MATCH(1,INDEX(EXACT('Casillas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/ "&amp;IF(ISBLANK(INDEX('Casillas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10-3"&amp;CHAR(31)&amp;$A9&amp;CHAR(31)&amp;D$3)*1,0),0)))),"",INDEX('Casillas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10-3"&amp;CHAR(31)&amp;$A9&amp;CHAR(31)&amp;D$3)*1,0),0))))&amp;IF(SUMPRODUCT(1*EXACT('Casillas del horario'!$T$4:$T$73,"Aula 10-3"&amp;CHAR(31)&amp;$A9&amp;CHAR(31)&amp;D$3))&gt;2," (+"&amp;(SUMPRODUCT(1*EXACT('Casillas del horario'!$T$4:$T$73,"Aula 10-3"&amp;CHAR(31)&amp;$A9&amp;CHAR(31)&amp;D$3))-2)&amp;")",""),IF(ISNA(MATCH(1,INDEX(EXACT('Casillas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/ "&amp;IF(ISBLANK(INDEX('Casillas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10-3"&amp;CHAR(31)&amp;$A9&amp;CHAR(31)&amp;E$3)*1,0),0)))),"",INDEX('Casillas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10-3"&amp;CHAR(31)&amp;$A9&amp;CHAR(31)&amp;E$3)*1,0),0))))&amp;IF(SUMPRODUCT(1*EXACT('Casillas del horario'!$T$4:$T$73,"Aula 10-3"&amp;CHAR(31)&amp;$A9&amp;CHAR(31)&amp;E$3))&gt;2," (+"&amp;(SUMPRODUCT(1*EXACT('Casillas del horario'!$T$4:$T$73,"Aula 10-3"&amp;CHAR(31)&amp;$A9&amp;CHAR(31)&amp;E$3))-2)&amp;")",""),IF(ISNA(MATCH(1,INDEX(EXACT('Casillas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/ "&amp;IF(ISBLANK(INDEX('Casillas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10-3"&amp;CHAR(31)&amp;$A9&amp;CHAR(31)&amp;F$3)*1,0),0)))),"",INDEX('Casillas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10-3"&amp;CHAR(31)&amp;$A9&amp;CHAR(31)&amp;F$3)*1,0),0))))&amp;IF(SUMPRODUCT(1*EXACT('Casillas del horario'!$T$4:$T$73,"Aula 10-3"&amp;CHAR(31)&amp;$A9&amp;CHAR(31)&amp;F$3))&gt;2," (+"&amp;(SUMPRODUCT(1*EXACT('Casillas del horario'!$T$4:$T$73,"Aula 10-3"&amp;CHAR(31)&amp;$A9&amp;CHAR(31)&amp;F$3))-2)&amp;")",""),IF(ISNA(MATCH(1,INDEX(EXACT('Casillas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/ "&amp;IF(ISBLANK(INDEX('Casillas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10-3"&amp;CHAR(31)&amp;$A10&amp;CHAR(31)&amp;B$3)*1,0),0)))),"",INDEX('Casillas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10-3"&amp;CHAR(31)&amp;$A10&amp;CHAR(31)&amp;B$3)*1,0),0))))&amp;IF(SUMPRODUCT(1*EXACT('Casillas del horario'!$T$4:$T$73,"Aula 10-3"&amp;CHAR(31)&amp;$A10&amp;CHAR(31)&amp;B$3))&gt;2," (+"&amp;(SUMPRODUCT(1*EXACT('Casillas del horario'!$T$4:$T$73,"Aula 10-3"&amp;CHAR(31)&amp;$A10&amp;CHAR(31)&amp;B$3))-2)&amp;")",""),IF(ISNA(MATCH(1,INDEX(EXACT('Casillas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/ "&amp;IF(ISBLANK(INDEX('Casillas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10-3"&amp;CHAR(31)&amp;$A10&amp;CHAR(31)&amp;C$3)*1,0),0)))),"",INDEX('Casillas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10-3"&amp;CHAR(31)&amp;$A10&amp;CHAR(31)&amp;C$3)*1,0),0))))&amp;IF(SUMPRODUCT(1*EXACT('Casillas del horario'!$T$4:$T$73,"Aula 10-3"&amp;CHAR(31)&amp;$A10&amp;CHAR(31)&amp;C$3))&gt;2," (+"&amp;(SUMPRODUCT(1*EXACT('Casillas del horario'!$T$4:$T$73,"Aula 10-3"&amp;CHAR(31)&amp;$A10&amp;CHAR(31)&amp;C$3))-2)&amp;")",""),IF(ISNA(MATCH(1,INDEX(EXACT('Casillas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/ "&amp;IF(ISBLANK(INDEX('Casillas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10-3"&amp;CHAR(31)&amp;$A10&amp;CHAR(31)&amp;D$3)*1,0),0)))),"",INDEX('Casillas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10-3"&amp;CHAR(31)&amp;$A10&amp;CHAR(31)&amp;D$3)*1,0),0))))&amp;IF(SUMPRODUCT(1*EXACT('Casillas del horario'!$T$4:$T$73,"Aula 10-3"&amp;CHAR(31)&amp;$A10&amp;CHAR(31)&amp;D$3))&gt;2," (+"&amp;(SUMPRODUCT(1*EXACT('Casillas del horario'!$T$4:$T$73,"Aula 10-3"&amp;CHAR(31)&amp;$A10&amp;CHAR(31)&amp;D$3))-2)&amp;")",""),IF(ISNA(MATCH(1,INDEX(EXACT('Casillas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/ "&amp;IF(ISBLANK(INDEX('Casillas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10-3"&amp;CHAR(31)&amp;$A10&amp;CHAR(31)&amp;E$3)*1,0),0)))),"",INDEX('Casillas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10-3"&amp;CHAR(31)&amp;$A10&amp;CHAR(31)&amp;E$3)*1,0),0))))&amp;IF(SUMPRODUCT(1*EXACT('Casillas del horario'!$T$4:$T$73,"Aula 10-3"&amp;CHAR(31)&amp;$A10&amp;CHAR(31)&amp;E$3))&gt;2," (+"&amp;(SUMPRODUCT(1*EXACT('Casillas del horario'!$T$4:$T$73,"Aula 10-3"&amp;CHAR(31)&amp;$A10&amp;CHAR(31)&amp;E$3))-2)&amp;")",""),IF(ISNA(MATCH(1,INDEX(EXACT('Casillas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/ "&amp;IF(ISBLANK(INDEX('Casillas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10-3"&amp;CHAR(31)&amp;$A10&amp;CHAR(31)&amp;F$3)*1,0),0)))),"",INDEX('Casillas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10-3"&amp;CHAR(31)&amp;$A10&amp;CHAR(31)&amp;F$3)*1,0),0))))&amp;IF(SUMPRODUCT(1*EXACT('Casillas del horario'!$T$4:$T$73,"Aula 10-3"&amp;CHAR(31)&amp;$A10&amp;CHAR(31)&amp;F$3))&gt;2," (+"&amp;(SUMPRODUCT(1*EXACT('Casillas del horario'!$T$4:$T$73,"Aula 10-3"&amp;CHAR(31)&amp;$A10&amp;CHAR(31)&amp;F$3))-2)&amp;")",""),IF(ISNA(MATCH(1,INDEX(EXACT('Casillas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/ "&amp;IF(ISBLANK(INDEX('Casillas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10-4"&amp;CHAR(31)&amp;$A4&amp;CHAR(31)&amp;B$3)*1,0),0)))),"",INDEX('Casillas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10-4"&amp;CHAR(31)&amp;$A4&amp;CHAR(31)&amp;B$3)*1,0),0))))&amp;IF(SUMPRODUCT(1*EXACT('Casillas del horario'!$T$4:$T$73,"Aula 10-4"&amp;CHAR(31)&amp;$A4&amp;CHAR(31)&amp;B$3))&gt;2," (+"&amp;(SUMPRODUCT(1*EXACT('Casillas del horario'!$T$4:$T$73,"Aula 10-4"&amp;CHAR(31)&amp;$A4&amp;CHAR(31)&amp;B$3))-2)&amp;")",""),IF(ISNA(MATCH(1,INDEX(EXACT('Casillas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/ "&amp;IF(ISBLANK(INDEX('Casillas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10-4"&amp;CHAR(31)&amp;$A4&amp;CHAR(31)&amp;C$3)*1,0),0)))),"",INDEX('Casillas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10-4"&amp;CHAR(31)&amp;$A4&amp;CHAR(31)&amp;C$3)*1,0),0))))&amp;IF(SUMPRODUCT(1*EXACT('Casillas del horario'!$T$4:$T$73,"Aula 10-4"&amp;CHAR(31)&amp;$A4&amp;CHAR(31)&amp;C$3))&gt;2," (+"&amp;(SUMPRODUCT(1*EXACT('Casillas del horario'!$T$4:$T$73,"Aula 10-4"&amp;CHAR(31)&amp;$A4&amp;CHAR(31)&amp;C$3))-2)&amp;")",""),IF(ISNA(MATCH(1,INDEX(EXACT('Casillas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/ "&amp;IF(ISBLANK(INDEX('Casillas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10-4"&amp;CHAR(31)&amp;$A4&amp;CHAR(31)&amp;D$3)*1,0),0)))),"",INDEX('Casillas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10-4"&amp;CHAR(31)&amp;$A4&amp;CHAR(31)&amp;D$3)*1,0),0))))&amp;IF(SUMPRODUCT(1*EXACT('Casillas del horario'!$T$4:$T$73,"Aula 10-4"&amp;CHAR(31)&amp;$A4&amp;CHAR(31)&amp;D$3))&gt;2," (+"&amp;(SUMPRODUCT(1*EXACT('Casillas del horario'!$T$4:$T$73,"Aula 10-4"&amp;CHAR(31)&amp;$A4&amp;CHAR(31)&amp;D$3))-2)&amp;")",""),IF(ISNA(MATCH(1,INDEX(EXACT('Casillas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/ "&amp;IF(ISBLANK(INDEX('Casillas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10-4"&amp;CHAR(31)&amp;$A4&amp;CHAR(31)&amp;E$3)*1,0),0)))),"",INDEX('Casillas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10-4"&amp;CHAR(31)&amp;$A4&amp;CHAR(31)&amp;E$3)*1,0),0))))&amp;IF(SUMPRODUCT(1*EXACT('Casillas del horario'!$T$4:$T$73,"Aula 10-4"&amp;CHAR(31)&amp;$A4&amp;CHAR(31)&amp;E$3))&gt;2," (+"&amp;(SUMPRODUCT(1*EXACT('Casillas del horario'!$T$4:$T$73,"Aula 10-4"&amp;CHAR(31)&amp;$A4&amp;CHAR(31)&amp;E$3))-2)&amp;")",""),IF(ISNA(MATCH(1,INDEX(EXACT('Casillas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/ "&amp;IF(ISBLANK(INDEX('Casillas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10-4"&amp;CHAR(31)&amp;$A4&amp;CHAR(31)&amp;F$3)*1,0),0)))),"",INDEX('Casillas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10-4"&amp;CHAR(31)&amp;$A4&amp;CHAR(31)&amp;F$3)*1,0),0))))&amp;IF(SUMPRODUCT(1*EXACT('Casillas del horario'!$T$4:$T$73,"Aula 10-4"&amp;CHAR(31)&amp;$A4&amp;CHAR(31)&amp;F$3))&gt;2," (+"&amp;(SUMPRODUCT(1*EXACT('Casillas del horario'!$T$4:$T$73,"Aula 10-4"&amp;CHAR(31)&amp;$A4&amp;CHAR(31)&amp;F$3))-2)&amp;")",""),IF(ISNA(MATCH(1,INDEX(EXACT('Casillas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/ "&amp;IF(ISBLANK(INDEX('Casillas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10-4"&amp;CHAR(31)&amp;$A5&amp;CHAR(31)&amp;B$3)*1,0),0)))),"",INDEX('Casillas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10-4"&amp;CHAR(31)&amp;$A5&amp;CHAR(31)&amp;B$3)*1,0),0))))&amp;IF(SUMPRODUCT(1*EXACT('Casillas del horario'!$T$4:$T$73,"Aula 10-4"&amp;CHAR(31)&amp;$A5&amp;CHAR(31)&amp;B$3))&gt;2," (+"&amp;(SUMPRODUCT(1*EXACT('Casillas del horario'!$T$4:$T$73,"Aula 10-4"&amp;CHAR(31)&amp;$A5&amp;CHAR(31)&amp;B$3))-2)&amp;")",""),IF(ISNA(MATCH(1,INDEX(EXACT('Casillas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/ "&amp;IF(ISBLANK(INDEX('Casillas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10-4"&amp;CHAR(31)&amp;$A5&amp;CHAR(31)&amp;C$3)*1,0),0)))),"",INDEX('Casillas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10-4"&amp;CHAR(31)&amp;$A5&amp;CHAR(31)&amp;C$3)*1,0),0))))&amp;IF(SUMPRODUCT(1*EXACT('Casillas del horario'!$T$4:$T$73,"Aula 10-4"&amp;CHAR(31)&amp;$A5&amp;CHAR(31)&amp;C$3))&gt;2," (+"&amp;(SUMPRODUCT(1*EXACT('Casillas del horario'!$T$4:$T$73,"Aula 10-4"&amp;CHAR(31)&amp;$A5&amp;CHAR(31)&amp;C$3))-2)&amp;")",""),IF(ISNA(MATCH(1,INDEX(EXACT('Casillas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/ "&amp;IF(ISBLANK(INDEX('Casillas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10-4"&amp;CHAR(31)&amp;$A5&amp;CHAR(31)&amp;D$3)*1,0),0)))),"",INDEX('Casillas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10-4"&amp;CHAR(31)&amp;$A5&amp;CHAR(31)&amp;D$3)*1,0),0))))&amp;IF(SUMPRODUCT(1*EXACT('Casillas del horario'!$T$4:$T$73,"Aula 10-4"&amp;CHAR(31)&amp;$A5&amp;CHAR(31)&amp;D$3))&gt;2," (+"&amp;(SUMPRODUCT(1*EXACT('Casillas del horario'!$T$4:$T$73,"Aula 10-4"&amp;CHAR(31)&amp;$A5&amp;CHAR(31)&amp;D$3))-2)&amp;")",""),IF(ISNA(MATCH(1,INDEX(EXACT('Casillas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/ "&amp;IF(ISBLANK(INDEX('Casillas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10-4"&amp;CHAR(31)&amp;$A5&amp;CHAR(31)&amp;E$3)*1,0),0)))),"",INDEX('Casillas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10-4"&amp;CHAR(31)&amp;$A5&amp;CHAR(31)&amp;E$3)*1,0),0))))&amp;IF(SUMPRODUCT(1*EXACT('Casillas del horario'!$T$4:$T$73,"Aula 10-4"&amp;CHAR(31)&amp;$A5&amp;CHAR(31)&amp;E$3))&gt;2," (+"&amp;(SUMPRODUCT(1*EXACT('Casillas del horario'!$T$4:$T$73,"Aula 10-4"&amp;CHAR(31)&amp;$A5&amp;CHAR(31)&amp;E$3))-2)&amp;")",""),IF(ISNA(MATCH(1,INDEX(EXACT('Casillas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/ "&amp;IF(ISBLANK(INDEX('Casillas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10-4"&amp;CHAR(31)&amp;$A5&amp;CHAR(31)&amp;F$3)*1,0),0)))),"",INDEX('Casillas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10-4"&amp;CHAR(31)&amp;$A5&amp;CHAR(31)&amp;F$3)*1,0),0))))&amp;IF(SUMPRODUCT(1*EXACT('Casillas del horario'!$T$4:$T$73,"Aula 10-4"&amp;CHAR(31)&amp;$A5&amp;CHAR(31)&amp;F$3))&gt;2," (+"&amp;(SUMPRODUCT(1*EXACT('Casillas del horario'!$T$4:$T$73,"Aula 10-4"&amp;CHAR(31)&amp;$A5&amp;CHAR(31)&amp;F$3))-2)&amp;")",""),IF(ISNA(MATCH(1,INDEX(EXACT('Casillas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/ "&amp;IF(ISBLANK(INDEX('Casillas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10-4"&amp;CHAR(31)&amp;$A6&amp;CHAR(31)&amp;B$3)*1,0),0)))),"",INDEX('Casillas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10-4"&amp;CHAR(31)&amp;$A6&amp;CHAR(31)&amp;B$3)*1,0),0))))&amp;IF(SUMPRODUCT(1*EXACT('Casillas del horario'!$T$4:$T$73,"Aula 10-4"&amp;CHAR(31)&amp;$A6&amp;CHAR(31)&amp;B$3))&gt;2," (+"&amp;(SUMPRODUCT(1*EXACT('Casillas del horario'!$T$4:$T$73,"Aula 10-4"&amp;CHAR(31)&amp;$A6&amp;CHAR(31)&amp;B$3))-2)&amp;")",""),IF(ISNA(MATCH(1,INDEX(EXACT('Casillas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/ "&amp;IF(ISBLANK(INDEX('Casillas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10-4"&amp;CHAR(31)&amp;$A6&amp;CHAR(31)&amp;C$3)*1,0),0)))),"",INDEX('Casillas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10-4"&amp;CHAR(31)&amp;$A6&amp;CHAR(31)&amp;C$3)*1,0),0))))&amp;IF(SUMPRODUCT(1*EXACT('Casillas del horario'!$T$4:$T$73,"Aula 10-4"&amp;CHAR(31)&amp;$A6&amp;CHAR(31)&amp;C$3))&gt;2," (+"&amp;(SUMPRODUCT(1*EXACT('Casillas del horario'!$T$4:$T$73,"Aula 10-4"&amp;CHAR(31)&amp;$A6&amp;CHAR(31)&amp;C$3))-2)&amp;")",""),IF(ISNA(MATCH(1,INDEX(EXACT('Casillas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/ "&amp;IF(ISBLANK(INDEX('Casillas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10-4"&amp;CHAR(31)&amp;$A6&amp;CHAR(31)&amp;D$3)*1,0),0)))),"",INDEX('Casillas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10-4"&amp;CHAR(31)&amp;$A6&amp;CHAR(31)&amp;D$3)*1,0),0))))&amp;IF(SUMPRODUCT(1*EXACT('Casillas del horario'!$T$4:$T$73,"Aula 10-4"&amp;CHAR(31)&amp;$A6&amp;CHAR(31)&amp;D$3))&gt;2," (+"&amp;(SUMPRODUCT(1*EXACT('Casillas del horario'!$T$4:$T$73,"Aula 10-4"&amp;CHAR(31)&amp;$A6&amp;CHAR(31)&amp;D$3))-2)&amp;")",""),IF(ISNA(MATCH(1,INDEX(EXACT('Casillas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/ "&amp;IF(ISBLANK(INDEX('Casillas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10-4"&amp;CHAR(31)&amp;$A6&amp;CHAR(31)&amp;E$3)*1,0),0)))),"",INDEX('Casillas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10-4"&amp;CHAR(31)&amp;$A6&amp;CHAR(31)&amp;E$3)*1,0),0))))&amp;IF(SUMPRODUCT(1*EXACT('Casillas del horario'!$T$4:$T$73,"Aula 10-4"&amp;CHAR(31)&amp;$A6&amp;CHAR(31)&amp;E$3))&gt;2," (+"&amp;(SUMPRODUCT(1*EXACT('Casillas del horario'!$T$4:$T$73,"Aula 10-4"&amp;CHAR(31)&amp;$A6&amp;CHAR(31)&amp;E$3))-2)&amp;")",""),IF(ISNA(MATCH(1,INDEX(EXACT('Casillas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/ "&amp;IF(ISBLANK(INDEX('Casillas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10-4"&amp;CHAR(31)&amp;$A6&amp;CHAR(31)&amp;F$3)*1,0),0)))),"",INDEX('Casillas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10-4"&amp;CHAR(31)&amp;$A6&amp;CHAR(31)&amp;F$3)*1,0),0))))&amp;IF(SUMPRODUCT(1*EXACT('Casillas del horario'!$T$4:$T$73,"Aula 10-4"&amp;CHAR(31)&amp;$A6&amp;CHAR(31)&amp;F$3))&gt;2," (+"&amp;(SUMPRODUCT(1*EXACT('Casillas del horario'!$T$4:$T$73,"Aula 10-4"&amp;CHAR(31)&amp;$A6&amp;CHAR(31)&amp;F$3))-2)&amp;")",""),IF(ISNA(MATCH(1,INDEX(EXACT('Casillas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/ "&amp;IF(ISBLANK(INDEX('Casillas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10-4"&amp;CHAR(31)&amp;$A7&amp;CHAR(31)&amp;B$3)*1,0),0)))),"",INDEX('Casillas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10-4"&amp;CHAR(31)&amp;$A7&amp;CHAR(31)&amp;B$3)*1,0),0))))&amp;IF(SUMPRODUCT(1*EXACT('Casillas del horario'!$T$4:$T$73,"Aula 10-4"&amp;CHAR(31)&amp;$A7&amp;CHAR(31)&amp;B$3))&gt;2," (+"&amp;(SUMPRODUCT(1*EXACT('Casillas del horario'!$T$4:$T$73,"Aula 10-4"&amp;CHAR(31)&amp;$A7&amp;CHAR(31)&amp;B$3))-2)&amp;")",""),IF(ISNA(MATCH(1,INDEX(EXACT('Casillas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/ "&amp;IF(ISBLANK(INDEX('Casillas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10-4"&amp;CHAR(31)&amp;$A7&amp;CHAR(31)&amp;C$3)*1,0),0)))),"",INDEX('Casillas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10-4"&amp;CHAR(31)&amp;$A7&amp;CHAR(31)&amp;C$3)*1,0),0))))&amp;IF(SUMPRODUCT(1*EXACT('Casillas del horario'!$T$4:$T$73,"Aula 10-4"&amp;CHAR(31)&amp;$A7&amp;CHAR(31)&amp;C$3))&gt;2," (+"&amp;(SUMPRODUCT(1*EXACT('Casillas del horario'!$T$4:$T$73,"Aula 10-4"&amp;CHAR(31)&amp;$A7&amp;CHAR(31)&amp;C$3))-2)&amp;")",""),IF(ISNA(MATCH(1,INDEX(EXACT('Casillas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/ "&amp;IF(ISBLANK(INDEX('Casillas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10-4"&amp;CHAR(31)&amp;$A7&amp;CHAR(31)&amp;D$3)*1,0),0)))),"",INDEX('Casillas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10-4"&amp;CHAR(31)&amp;$A7&amp;CHAR(31)&amp;D$3)*1,0),0))))&amp;IF(SUMPRODUCT(1*EXACT('Casillas del horario'!$T$4:$T$73,"Aula 10-4"&amp;CHAR(31)&amp;$A7&amp;CHAR(31)&amp;D$3))&gt;2," (+"&amp;(SUMPRODUCT(1*EXACT('Casillas del horario'!$T$4:$T$73,"Aula 10-4"&amp;CHAR(31)&amp;$A7&amp;CHAR(31)&amp;D$3))-2)&amp;")",""),IF(ISNA(MATCH(1,INDEX(EXACT('Casillas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/ "&amp;IF(ISBLANK(INDEX('Casillas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10-4"&amp;CHAR(31)&amp;$A7&amp;CHAR(31)&amp;E$3)*1,0),0)))),"",INDEX('Casillas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10-4"&amp;CHAR(31)&amp;$A7&amp;CHAR(31)&amp;E$3)*1,0),0))))&amp;IF(SUMPRODUCT(1*EXACT('Casillas del horario'!$T$4:$T$73,"Aula 10-4"&amp;CHAR(31)&amp;$A7&amp;CHAR(31)&amp;E$3))&gt;2," (+"&amp;(SUMPRODUCT(1*EXACT('Casillas del horario'!$T$4:$T$73,"Aula 10-4"&amp;CHAR(31)&amp;$A7&amp;CHAR(31)&amp;E$3))-2)&amp;")",""),IF(ISNA(MATCH(1,INDEX(EXACT('Casillas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/ "&amp;IF(ISBLANK(INDEX('Casillas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10-4"&amp;CHAR(31)&amp;$A7&amp;CHAR(31)&amp;F$3)*1,0),0)))),"",INDEX('Casillas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10-4"&amp;CHAR(31)&amp;$A7&amp;CHAR(31)&amp;F$3)*1,0),0))))&amp;IF(SUMPRODUCT(1*EXACT('Casillas del horario'!$T$4:$T$73,"Aula 10-4"&amp;CHAR(31)&amp;$A7&amp;CHAR(31)&amp;F$3))&gt;2," (+"&amp;(SUMPRODUCT(1*EXACT('Casillas del horario'!$T$4:$T$73,"Aula 10-4"&amp;CHAR(31)&amp;$A7&amp;CHAR(31)&amp;F$3))-2)&amp;")",""),IF(ISNA(MATCH(1,INDEX(EXACT('Casillas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/ "&amp;IF(ISBLANK(INDEX('Casillas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10-4"&amp;CHAR(31)&amp;$A8&amp;CHAR(31)&amp;B$3)*1,0),0)))),"",INDEX('Casillas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10-4"&amp;CHAR(31)&amp;$A8&amp;CHAR(31)&amp;B$3)*1,0),0))))&amp;IF(SUMPRODUCT(1*EXACT('Casillas del horario'!$T$4:$T$73,"Aula 10-4"&amp;CHAR(31)&amp;$A8&amp;CHAR(31)&amp;B$3))&gt;2," (+"&amp;(SUMPRODUCT(1*EXACT('Casillas del horario'!$T$4:$T$73,"Aula 10-4"&amp;CHAR(31)&amp;$A8&amp;CHAR(31)&amp;B$3))-2)&amp;")",""),IF(ISNA(MATCH(1,INDEX(EXACT('Casillas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/ "&amp;IF(ISBLANK(INDEX('Casillas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10-4"&amp;CHAR(31)&amp;$A8&amp;CHAR(31)&amp;C$3)*1,0),0)))),"",INDEX('Casillas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10-4"&amp;CHAR(31)&amp;$A8&amp;CHAR(31)&amp;C$3)*1,0),0))))&amp;IF(SUMPRODUCT(1*EXACT('Casillas del horario'!$T$4:$T$73,"Aula 10-4"&amp;CHAR(31)&amp;$A8&amp;CHAR(31)&amp;C$3))&gt;2," (+"&amp;(SUMPRODUCT(1*EXACT('Casillas del horario'!$T$4:$T$73,"Aula 10-4"&amp;CHAR(31)&amp;$A8&amp;CHAR(31)&amp;C$3))-2)&amp;")",""),IF(ISNA(MATCH(1,INDEX(EXACT('Casillas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/ "&amp;IF(ISBLANK(INDEX('Casillas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10-4"&amp;CHAR(31)&amp;$A8&amp;CHAR(31)&amp;D$3)*1,0),0)))),"",INDEX('Casillas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10-4"&amp;CHAR(31)&amp;$A8&amp;CHAR(31)&amp;D$3)*1,0),0))))&amp;IF(SUMPRODUCT(1*EXACT('Casillas del horario'!$T$4:$T$73,"Aula 10-4"&amp;CHAR(31)&amp;$A8&amp;CHAR(31)&amp;D$3))&gt;2," (+"&amp;(SUMPRODUCT(1*EXACT('Casillas del horario'!$T$4:$T$73,"Aula 10-4"&amp;CHAR(31)&amp;$A8&amp;CHAR(31)&amp;D$3))-2)&amp;")",""),IF(ISNA(MATCH(1,INDEX(EXACT('Casillas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/ "&amp;IF(ISBLANK(INDEX('Casillas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10-4"&amp;CHAR(31)&amp;$A8&amp;CHAR(31)&amp;E$3)*1,0),0)))),"",INDEX('Casillas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10-4"&amp;CHAR(31)&amp;$A8&amp;CHAR(31)&amp;E$3)*1,0),0))))&amp;IF(SUMPRODUCT(1*EXACT('Casillas del horario'!$T$4:$T$73,"Aula 10-4"&amp;CHAR(31)&amp;$A8&amp;CHAR(31)&amp;E$3))&gt;2," (+"&amp;(SUMPRODUCT(1*EXACT('Casillas del horario'!$T$4:$T$73,"Aula 10-4"&amp;CHAR(31)&amp;$A8&amp;CHAR(31)&amp;E$3))-2)&amp;")",""),IF(ISNA(MATCH(1,INDEX(EXACT('Casillas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/ "&amp;IF(ISBLANK(INDEX('Casillas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10-4"&amp;CHAR(31)&amp;$A8&amp;CHAR(31)&amp;F$3)*1,0),0)))),"",INDEX('Casillas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10-4"&amp;CHAR(31)&amp;$A8&amp;CHAR(31)&amp;F$3)*1,0),0))))&amp;IF(SUMPRODUCT(1*EXACT('Casillas del horario'!$T$4:$T$73,"Aula 10-4"&amp;CHAR(31)&amp;$A8&amp;CHAR(31)&amp;F$3))&gt;2," (+"&amp;(SUMPRODUCT(1*EXACT('Casillas del horario'!$T$4:$T$73,"Aula 10-4"&amp;CHAR(31)&amp;$A8&amp;CHAR(31)&amp;F$3))-2)&amp;")",""),IF(ISNA(MATCH(1,INDEX(EXACT('Casillas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/ "&amp;IF(ISBLANK(INDEX('Casillas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10-4"&amp;CHAR(31)&amp;$A9&amp;CHAR(31)&amp;B$3)*1,0),0)))),"",INDEX('Casillas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10-4"&amp;CHAR(31)&amp;$A9&amp;CHAR(31)&amp;B$3)*1,0),0))))&amp;IF(SUMPRODUCT(1*EXACT('Casillas del horario'!$T$4:$T$73,"Aula 10-4"&amp;CHAR(31)&amp;$A9&amp;CHAR(31)&amp;B$3))&gt;2," (+"&amp;(SUMPRODUCT(1*EXACT('Casillas del horario'!$T$4:$T$73,"Aula 10-4"&amp;CHAR(31)&amp;$A9&amp;CHAR(31)&amp;B$3))-2)&amp;")",""),IF(ISNA(MATCH(1,INDEX(EXACT('Casillas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/ "&amp;IF(ISBLANK(INDEX('Casillas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10-4"&amp;CHAR(31)&amp;$A9&amp;CHAR(31)&amp;C$3)*1,0),0)))),"",INDEX('Casillas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10-4"&amp;CHAR(31)&amp;$A9&amp;CHAR(31)&amp;C$3)*1,0),0))))&amp;IF(SUMPRODUCT(1*EXACT('Casillas del horario'!$T$4:$T$73,"Aula 10-4"&amp;CHAR(31)&amp;$A9&amp;CHAR(31)&amp;C$3))&gt;2," (+"&amp;(SUMPRODUCT(1*EXACT('Casillas del horario'!$T$4:$T$73,"Aula 10-4"&amp;CHAR(31)&amp;$A9&amp;CHAR(31)&amp;C$3))-2)&amp;")",""),IF(ISNA(MATCH(1,INDEX(EXACT('Casillas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/ "&amp;IF(ISBLANK(INDEX('Casillas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10-4"&amp;CHAR(31)&amp;$A9&amp;CHAR(31)&amp;D$3)*1,0),0)))),"",INDEX('Casillas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10-4"&amp;CHAR(31)&amp;$A9&amp;CHAR(31)&amp;D$3)*1,0),0))))&amp;IF(SUMPRODUCT(1*EXACT('Casillas del horario'!$T$4:$T$73,"Aula 10-4"&amp;CHAR(31)&amp;$A9&amp;CHAR(31)&amp;D$3))&gt;2," (+"&amp;(SUMPRODUCT(1*EXACT('Casillas del horario'!$T$4:$T$73,"Aula 10-4"&amp;CHAR(31)&amp;$A9&amp;CHAR(31)&amp;D$3))-2)&amp;")",""),IF(ISNA(MATCH(1,INDEX(EXACT('Casillas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/ "&amp;IF(ISBLANK(INDEX('Casillas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10-4"&amp;CHAR(31)&amp;$A9&amp;CHAR(31)&amp;E$3)*1,0),0)))),"",INDEX('Casillas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10-4"&amp;CHAR(31)&amp;$A9&amp;CHAR(31)&amp;E$3)*1,0),0))))&amp;IF(SUMPRODUCT(1*EXACT('Casillas del horario'!$T$4:$T$73,"Aula 10-4"&amp;CHAR(31)&amp;$A9&amp;CHAR(31)&amp;E$3))&gt;2," (+"&amp;(SUMPRODUCT(1*EXACT('Casillas del horario'!$T$4:$T$73,"Aula 10-4"&amp;CHAR(31)&amp;$A9&amp;CHAR(31)&amp;E$3))-2)&amp;")",""),IF(ISNA(MATCH(1,INDEX(EXACT('Casillas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/ "&amp;IF(ISBLANK(INDEX('Casillas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10-4"&amp;CHAR(31)&amp;$A9&amp;CHAR(31)&amp;F$3)*1,0),0)))),"",INDEX('Casillas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10-4"&amp;CHAR(31)&amp;$A9&amp;CHAR(31)&amp;F$3)*1,0),0))))&amp;IF(SUMPRODUCT(1*EXACT('Casillas del horario'!$T$4:$T$73,"Aula 10-4"&amp;CHAR(31)&amp;$A9&amp;CHAR(31)&amp;F$3))&gt;2," (+"&amp;(SUMPRODUCT(1*EXACT('Casillas del horario'!$T$4:$T$73,"Aula 10-4"&amp;CHAR(31)&amp;$A9&amp;CHAR(31)&amp;F$3))-2)&amp;")",""),IF(ISNA(MATCH(1,INDEX(EXACT('Casillas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/ "&amp;IF(ISBLANK(INDEX('Casillas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10-4"&amp;CHAR(31)&amp;$A10&amp;CHAR(31)&amp;B$3)*1,0),0)))),"",INDEX('Casillas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10-4"&amp;CHAR(31)&amp;$A10&amp;CHAR(31)&amp;B$3)*1,0),0))))&amp;IF(SUMPRODUCT(1*EXACT('Casillas del horario'!$T$4:$T$73,"Aula 10-4"&amp;CHAR(31)&amp;$A10&amp;CHAR(31)&amp;B$3))&gt;2," (+"&amp;(SUMPRODUCT(1*EXACT('Casillas del horario'!$T$4:$T$73,"Aula 10-4"&amp;CHAR(31)&amp;$A10&amp;CHAR(31)&amp;B$3))-2)&amp;")",""),IF(ISNA(MATCH(1,INDEX(EXACT('Casillas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/ "&amp;IF(ISBLANK(INDEX('Casillas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10-4"&amp;CHAR(31)&amp;$A10&amp;CHAR(31)&amp;C$3)*1,0),0)))),"",INDEX('Casillas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10-4"&amp;CHAR(31)&amp;$A10&amp;CHAR(31)&amp;C$3)*1,0),0))))&amp;IF(SUMPRODUCT(1*EXACT('Casillas del horario'!$T$4:$T$73,"Aula 10-4"&amp;CHAR(31)&amp;$A10&amp;CHAR(31)&amp;C$3))&gt;2," (+"&amp;(SUMPRODUCT(1*EXACT('Casillas del horario'!$T$4:$T$73,"Aula 10-4"&amp;CHAR(31)&amp;$A10&amp;CHAR(31)&amp;C$3))-2)&amp;")",""),IF(ISNA(MATCH(1,INDEX(EXACT('Casillas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/ "&amp;IF(ISBLANK(INDEX('Casillas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10-4"&amp;CHAR(31)&amp;$A10&amp;CHAR(31)&amp;D$3)*1,0),0)))),"",INDEX('Casillas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10-4"&amp;CHAR(31)&amp;$A10&amp;CHAR(31)&amp;D$3)*1,0),0))))&amp;IF(SUMPRODUCT(1*EXACT('Casillas del horario'!$T$4:$T$73,"Aula 10-4"&amp;CHAR(31)&amp;$A10&amp;CHAR(31)&amp;D$3))&gt;2," (+"&amp;(SUMPRODUCT(1*EXACT('Casillas del horario'!$T$4:$T$73,"Aula 10-4"&amp;CHAR(31)&amp;$A10&amp;CHAR(31)&amp;D$3))-2)&amp;")",""),IF(ISNA(MATCH(1,INDEX(EXACT('Casillas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/ "&amp;IF(ISBLANK(INDEX('Casillas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10-4"&amp;CHAR(31)&amp;$A10&amp;CHAR(31)&amp;E$3)*1,0),0)))),"",INDEX('Casillas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10-4"&amp;CHAR(31)&amp;$A10&amp;CHAR(31)&amp;E$3)*1,0),0))))&amp;IF(SUMPRODUCT(1*EXACT('Casillas del horario'!$T$4:$T$73,"Aula 10-4"&amp;CHAR(31)&amp;$A10&amp;CHAR(31)&amp;E$3))&gt;2," (+"&amp;(SUMPRODUCT(1*EXACT('Casillas del horario'!$T$4:$T$73,"Aula 10-4"&amp;CHAR(31)&amp;$A10&amp;CHAR(31)&amp;E$3))-2)&amp;")",""),IF(ISNA(MATCH(1,INDEX(EXACT('Casillas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/ "&amp;IF(ISBLANK(INDEX('Casillas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10-4"&amp;CHAR(31)&amp;$A10&amp;CHAR(31)&amp;F$3)*1,0),0)))),"",INDEX('Casillas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10-4"&amp;CHAR(31)&amp;$A10&amp;CHAR(31)&amp;F$3)*1,0),0))))&amp;IF(SUMPRODUCT(1*EXACT('Casillas del horario'!$T$4:$T$73,"Aula 10-4"&amp;CHAR(31)&amp;$A10&amp;CHAR(31)&amp;F$3))&gt;2," (+"&amp;(SUMPRODUCT(1*EXACT('Casillas del horario'!$T$4:$T$73,"Aula 10-4"&amp;CHAR(31)&amp;$A10&amp;CHAR(31)&amp;F$3))-2)&amp;")",""),IF(ISNA(MATCH(1,INDEX(EXACT('Casillas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/ "&amp;IF(ISBLANK(INDEX('Casillas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horario'!$T$4:$T$73)),"Laboratorio"&amp;CHAR(31)&amp;$A4&amp;CHAR(31)&amp;B$3)*1,0),0)))),"",INDEX('Casillas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horario'!$T$4:$T$73)),"Laboratorio"&amp;CHAR(31)&amp;$A4&amp;CHAR(31)&amp;B$3)*1,0),0))))&amp;IF(SUMPRODUCT(1*EXACT('Casillas del horario'!$T$4:$T$73,"Laboratorio"&amp;CHAR(31)&amp;$A4&amp;CHAR(31)&amp;B$3))&gt;2," (+"&amp;(SUMPRODUCT(1*EXACT('Casillas del horario'!$T$4:$T$73,"Laboratorio"&amp;CHAR(31)&amp;$A4&amp;CHAR(31)&amp;B$3))-2)&amp;")",""),IF(ISNA(MATCH(1,INDEX(EXACT('Casillas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/ "&amp;IF(ISBLANK(INDEX('Casillas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horario'!$T$4:$T$73)),"Laboratorio"&amp;CHAR(31)&amp;$A4&amp;CHAR(31)&amp;C$3)*1,0),0)))),"",INDEX('Casillas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horario'!$T$4:$T$73)),"Laboratorio"&amp;CHAR(31)&amp;$A4&amp;CHAR(31)&amp;C$3)*1,0),0))))&amp;IF(SUMPRODUCT(1*EXACT('Casillas del horario'!$T$4:$T$73,"Laboratorio"&amp;CHAR(31)&amp;$A4&amp;CHAR(31)&amp;C$3))&gt;2," (+"&amp;(SUMPRODUCT(1*EXACT('Casillas del horario'!$T$4:$T$73,"Laboratorio"&amp;CHAR(31)&amp;$A4&amp;CHAR(31)&amp;C$3))-2)&amp;")",""),IF(ISNA(MATCH(1,INDEX(EXACT('Casillas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/ "&amp;IF(ISBLANK(INDEX('Casillas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horario'!$T$4:$T$73)),"Laboratorio"&amp;CHAR(31)&amp;$A4&amp;CHAR(31)&amp;D$3)*1,0),0)))),"",INDEX('Casillas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horario'!$T$4:$T$73)),"Laboratorio"&amp;CHAR(31)&amp;$A4&amp;CHAR(31)&amp;D$3)*1,0),0))))&amp;IF(SUMPRODUCT(1*EXACT('Casillas del horario'!$T$4:$T$73,"Laboratorio"&amp;CHAR(31)&amp;$A4&amp;CHAR(31)&amp;D$3))&gt;2," (+"&amp;(SUMPRODUCT(1*EXACT('Casillas del horario'!$T$4:$T$73,"Laboratorio"&amp;CHAR(31)&amp;$A4&amp;CHAR(31)&amp;D$3))-2)&amp;")",""),IF(ISNA(MATCH(1,INDEX(EXACT('Casillas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/ "&amp;IF(ISBLANK(INDEX('Casillas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horario'!$T$4:$T$73)),"Laboratorio"&amp;CHAR(31)&amp;$A4&amp;CHAR(31)&amp;E$3)*1,0),0)))),"",INDEX('Casillas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horario'!$T$4:$T$73)),"Laboratorio"&amp;CHAR(31)&amp;$A4&amp;CHAR(31)&amp;E$3)*1,0),0))))&amp;IF(SUMPRODUCT(1*EXACT('Casillas del horario'!$T$4:$T$73,"Laboratorio"&amp;CHAR(31)&amp;$A4&amp;CHAR(31)&amp;E$3))&gt;2," (+"&amp;(SUMPRODUCT(1*EXACT('Casillas del horario'!$T$4:$T$73,"Laboratorio"&amp;CHAR(31)&amp;$A4&amp;CHAR(31)&amp;E$3))-2)&amp;")",""),IF(ISNA(MATCH(1,INDEX(EXACT('Casillas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/ "&amp;IF(ISBLANK(INDEX('Casillas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horario'!$T$4:$T$73)),"Laboratorio"&amp;CHAR(31)&amp;$A4&amp;CHAR(31)&amp;F$3)*1,0),0)))),"",INDEX('Casillas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horario'!$T$4:$T$73)),"Laboratorio"&amp;CHAR(31)&amp;$A4&amp;CHAR(31)&amp;F$3)*1,0),0))))&amp;IF(SUMPRODUCT(1*EXACT('Casillas del horario'!$T$4:$T$73,"Laboratorio"&amp;CHAR(31)&amp;$A4&amp;CHAR(31)&amp;F$3))&gt;2," (+"&amp;(SUMPRODUCT(1*EXACT('Casillas del horario'!$T$4:$T$73,"Laboratorio"&amp;CHAR(31)&amp;$A4&amp;CHAR(31)&amp;F$3))-2)&amp;")",""),IF(ISNA(MATCH(1,INDEX(EXACT('Casillas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/ "&amp;IF(ISBLANK(INDEX('Casillas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horario'!$T$4:$T$73)),"Laboratorio"&amp;CHAR(31)&amp;$A5&amp;CHAR(31)&amp;B$3)*1,0),0)))),"",INDEX('Casillas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horario'!$T$4:$T$73)),"Laboratorio"&amp;CHAR(31)&amp;$A5&amp;CHAR(31)&amp;B$3)*1,0),0))))&amp;IF(SUMPRODUCT(1*EXACT('Casillas del horario'!$T$4:$T$73,"Laboratorio"&amp;CHAR(31)&amp;$A5&amp;CHAR(31)&amp;B$3))&gt;2," (+"&amp;(SUMPRODUCT(1*EXACT('Casillas del horario'!$T$4:$T$73,"Laboratorio"&amp;CHAR(31)&amp;$A5&amp;CHAR(31)&amp;B$3))-2)&amp;")",""),IF(ISNA(MATCH(1,INDEX(EXACT('Casillas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/ "&amp;IF(ISBLANK(INDEX('Casillas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horario'!$T$4:$T$73)),"Laboratorio"&amp;CHAR(31)&amp;$A5&amp;CHAR(31)&amp;C$3)*1,0),0)))),"",INDEX('Casillas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horario'!$T$4:$T$73)),"Laboratorio"&amp;CHAR(31)&amp;$A5&amp;CHAR(31)&amp;C$3)*1,0),0))))&amp;IF(SUMPRODUCT(1*EXACT('Casillas del horario'!$T$4:$T$73,"Laboratorio"&amp;CHAR(31)&amp;$A5&amp;CHAR(31)&amp;C$3))&gt;2," (+"&amp;(SUMPRODUCT(1*EXACT('Casillas del horario'!$T$4:$T$73,"Laboratorio"&amp;CHAR(31)&amp;$A5&amp;CHAR(31)&amp;C$3))-2)&amp;")",""),IF(ISNA(MATCH(1,INDEX(EXACT('Casillas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/ "&amp;IF(ISBLANK(INDEX('Casillas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horario'!$T$4:$T$73)),"Laboratorio"&amp;CHAR(31)&amp;$A5&amp;CHAR(31)&amp;D$3)*1,0),0)))),"",INDEX('Casillas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horario'!$T$4:$T$73)),"Laboratorio"&amp;CHAR(31)&amp;$A5&amp;CHAR(31)&amp;D$3)*1,0),0))))&amp;IF(SUMPRODUCT(1*EXACT('Casillas del horario'!$T$4:$T$73,"Laboratorio"&amp;CHAR(31)&amp;$A5&amp;CHAR(31)&amp;D$3))&gt;2," (+"&amp;(SUMPRODUCT(1*EXACT('Casillas del horario'!$T$4:$T$73,"Laboratorio"&amp;CHAR(31)&amp;$A5&amp;CHAR(31)&amp;D$3))-2)&amp;")",""),IF(ISNA(MATCH(1,INDEX(EXACT('Casillas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/ "&amp;IF(ISBLANK(INDEX('Casillas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horario'!$T$4:$T$73)),"Laboratorio"&amp;CHAR(31)&amp;$A5&amp;CHAR(31)&amp;E$3)*1,0),0)))),"",INDEX('Casillas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horario'!$T$4:$T$73)),"Laboratorio"&amp;CHAR(31)&amp;$A5&amp;CHAR(31)&amp;E$3)*1,0),0))))&amp;IF(SUMPRODUCT(1*EXACT('Casillas del horario'!$T$4:$T$73,"Laboratorio"&amp;CHAR(31)&amp;$A5&amp;CHAR(31)&amp;E$3))&gt;2," (+"&amp;(SUMPRODUCT(1*EXACT('Casillas del horario'!$T$4:$T$73,"Laboratorio"&amp;CHAR(31)&amp;$A5&amp;CHAR(31)&amp;E$3))-2)&amp;")",""),IF(ISNA(MATCH(1,INDEX(EXACT('Casillas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/ "&amp;IF(ISBLANK(INDEX('Casillas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horario'!$T$4:$T$73)),"Laboratorio"&amp;CHAR(31)&amp;$A5&amp;CHAR(31)&amp;F$3)*1,0),0)))),"",INDEX('Casillas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horario'!$T$4:$T$73)),"Laboratorio"&amp;CHAR(31)&amp;$A5&amp;CHAR(31)&amp;F$3)*1,0),0))))&amp;IF(SUMPRODUCT(1*EXACT('Casillas del horario'!$T$4:$T$73,"Laboratorio"&amp;CHAR(31)&amp;$A5&amp;CHAR(31)&amp;F$3))&gt;2," (+"&amp;(SUMPRODUCT(1*EXACT('Casillas del horario'!$T$4:$T$73,"Laboratorio"&amp;CHAR(31)&amp;$A5&amp;CHAR(31)&amp;F$3))-2)&amp;")",""),IF(ISNA(MATCH(1,INDEX(EXACT('Casillas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/ "&amp;IF(ISBLANK(INDEX('Casillas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horario'!$T$4:$T$73)),"Laboratorio"&amp;CHAR(31)&amp;$A6&amp;CHAR(31)&amp;B$3)*1,0),0)))),"",INDEX('Casillas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horario'!$T$4:$T$73)),"Laboratorio"&amp;CHAR(31)&amp;$A6&amp;CHAR(31)&amp;B$3)*1,0),0))))&amp;IF(SUMPRODUCT(1*EXACT('Casillas del horario'!$T$4:$T$73,"Laboratorio"&amp;CHAR(31)&amp;$A6&amp;CHAR(31)&amp;B$3))&gt;2," (+"&amp;(SUMPRODUCT(1*EXACT('Casillas del horario'!$T$4:$T$73,"Laboratorio"&amp;CHAR(31)&amp;$A6&amp;CHAR(31)&amp;B$3))-2)&amp;")",""),IF(ISNA(MATCH(1,INDEX(EXACT('Casillas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/ "&amp;IF(ISBLANK(INDEX('Casillas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horario'!$T$4:$T$73)),"Laboratorio"&amp;CHAR(31)&amp;$A6&amp;CHAR(31)&amp;C$3)*1,0),0)))),"",INDEX('Casillas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horario'!$T$4:$T$73)),"Laboratorio"&amp;CHAR(31)&amp;$A6&amp;CHAR(31)&amp;C$3)*1,0),0))))&amp;IF(SUMPRODUCT(1*EXACT('Casillas del horario'!$T$4:$T$73,"Laboratorio"&amp;CHAR(31)&amp;$A6&amp;CHAR(31)&amp;C$3))&gt;2," (+"&amp;(SUMPRODUCT(1*EXACT('Casillas del horario'!$T$4:$T$73,"Laboratorio"&amp;CHAR(31)&amp;$A6&amp;CHAR(31)&amp;C$3))-2)&amp;")",""),IF(ISNA(MATCH(1,INDEX(EXACT('Casillas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/ "&amp;IF(ISBLANK(INDEX('Casillas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horario'!$T$4:$T$73)),"Laboratorio"&amp;CHAR(31)&amp;$A6&amp;CHAR(31)&amp;D$3)*1,0),0)))),"",INDEX('Casillas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horario'!$T$4:$T$73)),"Laboratorio"&amp;CHAR(31)&amp;$A6&amp;CHAR(31)&amp;D$3)*1,0),0))))&amp;IF(SUMPRODUCT(1*EXACT('Casillas del horario'!$T$4:$T$73,"Laboratorio"&amp;CHAR(31)&amp;$A6&amp;CHAR(31)&amp;D$3))&gt;2," (+"&amp;(SUMPRODUCT(1*EXACT('Casillas del horario'!$T$4:$T$73,"Laboratorio"&amp;CHAR(31)&amp;$A6&amp;CHAR(31)&amp;D$3))-2)&amp;")",""),IF(ISNA(MATCH(1,INDEX(EXACT('Casillas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/ "&amp;IF(ISBLANK(INDEX('Casillas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horario'!$T$4:$T$73)),"Laboratorio"&amp;CHAR(31)&amp;$A6&amp;CHAR(31)&amp;E$3)*1,0),0)))),"",INDEX('Casillas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horario'!$T$4:$T$73)),"Laboratorio"&amp;CHAR(31)&amp;$A6&amp;CHAR(31)&amp;E$3)*1,0),0))))&amp;IF(SUMPRODUCT(1*EXACT('Casillas del horario'!$T$4:$T$73,"Laboratorio"&amp;CHAR(31)&amp;$A6&amp;CHAR(31)&amp;E$3))&gt;2," (+"&amp;(SUMPRODUCT(1*EXACT('Casillas del horario'!$T$4:$T$73,"Laboratorio"&amp;CHAR(31)&amp;$A6&amp;CHAR(31)&amp;E$3))-2)&amp;")",""),IF(ISNA(MATCH(1,INDEX(EXACT('Casillas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/ "&amp;IF(ISBLANK(INDEX('Casillas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horario'!$T$4:$T$73)),"Laboratorio"&amp;CHAR(31)&amp;$A6&amp;CHAR(31)&amp;F$3)*1,0),0)))),"",INDEX('Casillas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horario'!$T$4:$T$73)),"Laboratorio"&amp;CHAR(31)&amp;$A6&amp;CHAR(31)&amp;F$3)*1,0),0))))&amp;IF(SUMPRODUCT(1*EXACT('Casillas del horario'!$T$4:$T$73,"Laboratorio"&amp;CHAR(31)&amp;$A6&amp;CHAR(31)&amp;F$3))&gt;2," (+"&amp;(SUMPRODUCT(1*EXACT('Casillas del horario'!$T$4:$T$73,"Laboratorio"&amp;CHAR(31)&amp;$A6&amp;CHAR(31)&amp;F$3))-2)&amp;")",""),IF(ISNA(MATCH(1,INDEX(EXACT('Casillas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/ "&amp;IF(ISBLANK(INDEX('Casillas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horario'!$T$4:$T$73)),"Laboratorio"&amp;CHAR(31)&amp;$A7&amp;CHAR(31)&amp;B$3)*1,0),0)))),"",INDEX('Casillas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horario'!$T$4:$T$73)),"Laboratorio"&amp;CHAR(31)&amp;$A7&amp;CHAR(31)&amp;B$3)*1,0),0))))&amp;IF(SUMPRODUCT(1*EXACT('Casillas del horario'!$T$4:$T$73,"Laboratorio"&amp;CHAR(31)&amp;$A7&amp;CHAR(31)&amp;B$3))&gt;2," (+"&amp;(SUMPRODUCT(1*EXACT('Casillas del horario'!$T$4:$T$73,"Laboratorio"&amp;CHAR(31)&amp;$A7&amp;CHAR(31)&amp;B$3))-2)&amp;")",""),IF(ISNA(MATCH(1,INDEX(EXACT('Casillas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/ "&amp;IF(ISBLANK(INDEX('Casillas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horario'!$T$4:$T$73)),"Laboratorio"&amp;CHAR(31)&amp;$A7&amp;CHAR(31)&amp;C$3)*1,0),0)))),"",INDEX('Casillas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horario'!$T$4:$T$73)),"Laboratorio"&amp;CHAR(31)&amp;$A7&amp;CHAR(31)&amp;C$3)*1,0),0))))&amp;IF(SUMPRODUCT(1*EXACT('Casillas del horario'!$T$4:$T$73,"Laboratorio"&amp;CHAR(31)&amp;$A7&amp;CHAR(31)&amp;C$3))&gt;2," (+"&amp;(SUMPRODUCT(1*EXACT('Casillas del horario'!$T$4:$T$73,"Laboratorio"&amp;CHAR(31)&amp;$A7&amp;CHAR(31)&amp;C$3))-2)&amp;")",""),IF(ISNA(MATCH(1,INDEX(EXACT('Casillas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/ "&amp;IF(ISBLANK(INDEX('Casillas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horario'!$T$4:$T$73)),"Laboratorio"&amp;CHAR(31)&amp;$A7&amp;CHAR(31)&amp;D$3)*1,0),0)))),"",INDEX('Casillas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horario'!$T$4:$T$73)),"Laboratorio"&amp;CHAR(31)&amp;$A7&amp;CHAR(31)&amp;D$3)*1,0),0))))&amp;IF(SUMPRODUCT(1*EXACT('Casillas del horario'!$T$4:$T$73,"Laboratorio"&amp;CHAR(31)&amp;$A7&amp;CHAR(31)&amp;D$3))&gt;2," (+"&amp;(SUMPRODUCT(1*EXACT('Casillas del horario'!$T$4:$T$73,"Laboratorio"&amp;CHAR(31)&amp;$A7&amp;CHAR(31)&amp;D$3))-2)&amp;")",""),IF(ISNA(MATCH(1,INDEX(EXACT('Casillas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/ "&amp;IF(ISBLANK(INDEX('Casillas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horario'!$T$4:$T$73)),"Laboratorio"&amp;CHAR(31)&amp;$A7&amp;CHAR(31)&amp;E$3)*1,0),0)))),"",INDEX('Casillas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horario'!$T$4:$T$73)),"Laboratorio"&amp;CHAR(31)&amp;$A7&amp;CHAR(31)&amp;E$3)*1,0),0))))&amp;IF(SUMPRODUCT(1*EXACT('Casillas del horario'!$T$4:$T$73,"Laboratorio"&amp;CHAR(31)&amp;$A7&amp;CHAR(31)&amp;E$3))&gt;2," (+"&amp;(SUMPRODUCT(1*EXACT('Casillas del horario'!$T$4:$T$73,"Laboratorio"&amp;CHAR(31)&amp;$A7&amp;CHAR(31)&amp;E$3))-2)&amp;")",""),IF(ISNA(MATCH(1,INDEX(EXACT('Casillas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/ "&amp;IF(ISBLANK(INDEX('Casillas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horario'!$T$4:$T$73)),"Laboratorio"&amp;CHAR(31)&amp;$A7&amp;CHAR(31)&amp;F$3)*1,0),0)))),"",INDEX('Casillas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horario'!$T$4:$T$73)),"Laboratorio"&amp;CHAR(31)&amp;$A7&amp;CHAR(31)&amp;F$3)*1,0),0))))&amp;IF(SUMPRODUCT(1*EXACT('Casillas del horario'!$T$4:$T$73,"Laboratorio"&amp;CHAR(31)&amp;$A7&amp;CHAR(31)&amp;F$3))&gt;2," (+"&amp;(SUMPRODUCT(1*EXACT('Casillas del horario'!$T$4:$T$73,"Laboratorio"&amp;CHAR(31)&amp;$A7&amp;CHAR(31)&amp;F$3))-2)&amp;")",""),IF(ISNA(MATCH(1,INDEX(EXACT('Casillas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/ "&amp;IF(ISBLANK(INDEX('Casillas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horario'!$T$4:$T$73)),"Laboratorio"&amp;CHAR(31)&amp;$A8&amp;CHAR(31)&amp;B$3)*1,0),0)))),"",INDEX('Casillas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horario'!$T$4:$T$73)),"Laboratorio"&amp;CHAR(31)&amp;$A8&amp;CHAR(31)&amp;B$3)*1,0),0))))&amp;IF(SUMPRODUCT(1*EXACT('Casillas del horario'!$T$4:$T$73,"Laboratorio"&amp;CHAR(31)&amp;$A8&amp;CHAR(31)&amp;B$3))&gt;2," (+"&amp;(SUMPRODUCT(1*EXACT('Casillas del horario'!$T$4:$T$73,"Laboratorio"&amp;CHAR(31)&amp;$A8&amp;CHAR(31)&amp;B$3))-2)&amp;")",""),IF(ISNA(MATCH(1,INDEX(EXACT('Casillas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/ "&amp;IF(ISBLANK(INDEX('Casillas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horario'!$T$4:$T$73)),"Laboratorio"&amp;CHAR(31)&amp;$A8&amp;CHAR(31)&amp;C$3)*1,0),0)))),"",INDEX('Casillas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horario'!$T$4:$T$73)),"Laboratorio"&amp;CHAR(31)&amp;$A8&amp;CHAR(31)&amp;C$3)*1,0),0))))&amp;IF(SUMPRODUCT(1*EXACT('Casillas del horario'!$T$4:$T$73,"Laboratorio"&amp;CHAR(31)&amp;$A8&amp;CHAR(31)&amp;C$3))&gt;2," (+"&amp;(SUMPRODUCT(1*EXACT('Casillas del horario'!$T$4:$T$73,"Laboratorio"&amp;CHAR(31)&amp;$A8&amp;CHAR(31)&amp;C$3))-2)&amp;")",""),IF(ISNA(MATCH(1,INDEX(EXACT('Casillas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/ "&amp;IF(ISBLANK(INDEX('Casillas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horario'!$T$4:$T$73)),"Laboratorio"&amp;CHAR(31)&amp;$A8&amp;CHAR(31)&amp;D$3)*1,0),0)))),"",INDEX('Casillas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horario'!$T$4:$T$73)),"Laboratorio"&amp;CHAR(31)&amp;$A8&amp;CHAR(31)&amp;D$3)*1,0),0))))&amp;IF(SUMPRODUCT(1*EXACT('Casillas del horario'!$T$4:$T$73,"Laboratorio"&amp;CHAR(31)&amp;$A8&amp;CHAR(31)&amp;D$3))&gt;2," (+"&amp;(SUMPRODUCT(1*EXACT('Casillas del horario'!$T$4:$T$73,"Laboratorio"&amp;CHAR(31)&amp;$A8&amp;CHAR(31)&amp;D$3))-2)&amp;")",""),IF(ISNA(MATCH(1,INDEX(EXACT('Casillas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/ "&amp;IF(ISBLANK(INDEX('Casillas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horario'!$T$4:$T$73)),"Laboratorio"&amp;CHAR(31)&amp;$A8&amp;CHAR(31)&amp;E$3)*1,0),0)))),"",INDEX('Casillas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horario'!$T$4:$T$73)),"Laboratorio"&amp;CHAR(31)&amp;$A8&amp;CHAR(31)&amp;E$3)*1,0),0))))&amp;IF(SUMPRODUCT(1*EXACT('Casillas del horario'!$T$4:$T$73,"Laboratorio"&amp;CHAR(31)&amp;$A8&amp;CHAR(31)&amp;E$3))&gt;2," (+"&amp;(SUMPRODUCT(1*EXACT('Casillas del horario'!$T$4:$T$73,"Laboratorio"&amp;CHAR(31)&amp;$A8&amp;CHAR(31)&amp;E$3))-2)&amp;")",""),IF(ISNA(MATCH(1,INDEX(EXACT('Casillas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/ "&amp;IF(ISBLANK(INDEX('Casillas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horario'!$T$4:$T$73)),"Laboratorio"&amp;CHAR(31)&amp;$A8&amp;CHAR(31)&amp;F$3)*1,0),0)))),"",INDEX('Casillas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horario'!$T$4:$T$73)),"Laboratorio"&amp;CHAR(31)&amp;$A8&amp;CHAR(31)&amp;F$3)*1,0),0))))&amp;IF(SUMPRODUCT(1*EXACT('Casillas del horario'!$T$4:$T$73,"Laboratorio"&amp;CHAR(31)&amp;$A8&amp;CHAR(31)&amp;F$3))&gt;2," (+"&amp;(SUMPRODUCT(1*EXACT('Casillas del horario'!$T$4:$T$73,"Laboratorio"&amp;CHAR(31)&amp;$A8&amp;CHAR(31)&amp;F$3))-2)&amp;")",""),IF(ISNA(MATCH(1,INDEX(EXACT('Casillas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/ "&amp;IF(ISBLANK(INDEX('Casillas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horario'!$T$4:$T$73)),"Laboratorio"&amp;CHAR(31)&amp;$A9&amp;CHAR(31)&amp;B$3)*1,0),0)))),"",INDEX('Casillas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horario'!$T$4:$T$73)),"Laboratorio"&amp;CHAR(31)&amp;$A9&amp;CHAR(31)&amp;B$3)*1,0),0))))&amp;IF(SUMPRODUCT(1*EXACT('Casillas del horario'!$T$4:$T$73,"Laboratorio"&amp;CHAR(31)&amp;$A9&amp;CHAR(31)&amp;B$3))&gt;2," (+"&amp;(SUMPRODUCT(1*EXACT('Casillas del horario'!$T$4:$T$73,"Laboratorio"&amp;CHAR(31)&amp;$A9&amp;CHAR(31)&amp;B$3))-2)&amp;")",""),IF(ISNA(MATCH(1,INDEX(EXACT('Casillas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/ "&amp;IF(ISBLANK(INDEX('Casillas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horario'!$T$4:$T$73)),"Laboratorio"&amp;CHAR(31)&amp;$A9&amp;CHAR(31)&amp;C$3)*1,0),0)))),"",INDEX('Casillas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horario'!$T$4:$T$73)),"Laboratorio"&amp;CHAR(31)&amp;$A9&amp;CHAR(31)&amp;C$3)*1,0),0))))&amp;IF(SUMPRODUCT(1*EXACT('Casillas del horario'!$T$4:$T$73,"Laboratorio"&amp;CHAR(31)&amp;$A9&amp;CHAR(31)&amp;C$3))&gt;2," (+"&amp;(SUMPRODUCT(1*EXACT('Casillas del horario'!$T$4:$T$73,"Laboratorio"&amp;CHAR(31)&amp;$A9&amp;CHAR(31)&amp;C$3))-2)&amp;")",""),IF(ISNA(MATCH(1,INDEX(EXACT('Casillas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/ "&amp;IF(ISBLANK(INDEX('Casillas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horario'!$T$4:$T$73)),"Laboratorio"&amp;CHAR(31)&amp;$A9&amp;CHAR(31)&amp;D$3)*1,0),0)))),"",INDEX('Casillas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horario'!$T$4:$T$73)),"Laboratorio"&amp;CHAR(31)&amp;$A9&amp;CHAR(31)&amp;D$3)*1,0),0))))&amp;IF(SUMPRODUCT(1*EXACT('Casillas del horario'!$T$4:$T$73,"Laboratorio"&amp;CHAR(31)&amp;$A9&amp;CHAR(31)&amp;D$3))&gt;2," (+"&amp;(SUMPRODUCT(1*EXACT('Casillas del horario'!$T$4:$T$73,"Laboratorio"&amp;CHAR(31)&amp;$A9&amp;CHAR(31)&amp;D$3))-2)&amp;")",""),IF(ISNA(MATCH(1,INDEX(EXACT('Casillas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/ "&amp;IF(ISBLANK(INDEX('Casillas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horario'!$T$4:$T$73)),"Laboratorio"&amp;CHAR(31)&amp;$A9&amp;CHAR(31)&amp;E$3)*1,0),0)))),"",INDEX('Casillas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horario'!$T$4:$T$73)),"Laboratorio"&amp;CHAR(31)&amp;$A9&amp;CHAR(31)&amp;E$3)*1,0),0))))&amp;IF(SUMPRODUCT(1*EXACT('Casillas del horario'!$T$4:$T$73,"Laboratorio"&amp;CHAR(31)&amp;$A9&amp;CHAR(31)&amp;E$3))&gt;2," (+"&amp;(SUMPRODUCT(1*EXACT('Casillas del horario'!$T$4:$T$73,"Laboratorio"&amp;CHAR(31)&amp;$A9&amp;CHAR(31)&amp;E$3))-2)&amp;")",""),IF(ISNA(MATCH(1,INDEX(EXACT('Casillas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/ "&amp;IF(ISBLANK(INDEX('Casillas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horario'!$T$4:$T$73)),"Laboratorio"&amp;CHAR(31)&amp;$A9&amp;CHAR(31)&amp;F$3)*1,0),0)))),"",INDEX('Casillas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horario'!$T$4:$T$73)),"Laboratorio"&amp;CHAR(31)&amp;$A9&amp;CHAR(31)&amp;F$3)*1,0),0))))&amp;IF(SUMPRODUCT(1*EXACT('Casillas del horario'!$T$4:$T$73,"Laboratorio"&amp;CHAR(31)&amp;$A9&amp;CHAR(31)&amp;F$3))&gt;2," (+"&amp;(SUMPRODUCT(1*EXACT('Casillas del horario'!$T$4:$T$73,"Laboratorio"&amp;CHAR(31)&amp;$A9&amp;CHAR(31)&amp;F$3))-2)&amp;")",""),IF(ISNA(MATCH(1,INDEX(EXACT('Casillas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/ "&amp;IF(ISBLANK(INDEX('Casillas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horario'!$T$4:$T$73)),"Laboratorio"&amp;CHAR(31)&amp;$A10&amp;CHAR(31)&amp;B$3)*1,0),0)))),"",INDEX('Casillas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horario'!$T$4:$T$73)),"Laboratorio"&amp;CHAR(31)&amp;$A10&amp;CHAR(31)&amp;B$3)*1,0),0))))&amp;IF(SUMPRODUCT(1*EXACT('Casillas del horario'!$T$4:$T$73,"Laboratorio"&amp;CHAR(31)&amp;$A10&amp;CHAR(31)&amp;B$3))&gt;2," (+"&amp;(SUMPRODUCT(1*EXACT('Casillas del horario'!$T$4:$T$73,"Laboratorio"&amp;CHAR(31)&amp;$A10&amp;CHAR(31)&amp;B$3))-2)&amp;")",""),IF(ISNA(MATCH(1,INDEX(EXACT('Casillas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/ "&amp;IF(ISBLANK(INDEX('Casillas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horario'!$T$4:$T$73)),"Laboratorio"&amp;CHAR(31)&amp;$A10&amp;CHAR(31)&amp;C$3)*1,0),0)))),"",INDEX('Casillas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horario'!$T$4:$T$73)),"Laboratorio"&amp;CHAR(31)&amp;$A10&amp;CHAR(31)&amp;C$3)*1,0),0))))&amp;IF(SUMPRODUCT(1*EXACT('Casillas del horario'!$T$4:$T$73,"Laboratorio"&amp;CHAR(31)&amp;$A10&amp;CHAR(31)&amp;C$3))&gt;2," (+"&amp;(SUMPRODUCT(1*EXACT('Casillas del horario'!$T$4:$T$73,"Laboratorio"&amp;CHAR(31)&amp;$A10&amp;CHAR(31)&amp;C$3))-2)&amp;")",""),IF(ISNA(MATCH(1,INDEX(EXACT('Casillas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/ "&amp;IF(ISBLANK(INDEX('Casillas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horario'!$T$4:$T$73)),"Laboratorio"&amp;CHAR(31)&amp;$A10&amp;CHAR(31)&amp;D$3)*1,0),0)))),"",INDEX('Casillas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horario'!$T$4:$T$73)),"Laboratorio"&amp;CHAR(31)&amp;$A10&amp;CHAR(31)&amp;D$3)*1,0),0))))&amp;IF(SUMPRODUCT(1*EXACT('Casillas del horario'!$T$4:$T$73,"Laboratorio"&amp;CHAR(31)&amp;$A10&amp;CHAR(31)&amp;D$3))&gt;2," (+"&amp;(SUMPRODUCT(1*EXACT('Casillas del horario'!$T$4:$T$73,"Laboratorio"&amp;CHAR(31)&amp;$A10&amp;CHAR(31)&amp;D$3))-2)&amp;")",""),IF(ISNA(MATCH(1,INDEX(EXACT('Casillas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/ "&amp;IF(ISBLANK(INDEX('Casillas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horario'!$T$4:$T$73)),"Laboratorio"&amp;CHAR(31)&amp;$A10&amp;CHAR(31)&amp;E$3)*1,0),0)))),"",INDEX('Casillas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horario'!$T$4:$T$73)),"Laboratorio"&amp;CHAR(31)&amp;$A10&amp;CHAR(31)&amp;E$3)*1,0),0))))&amp;IF(SUMPRODUCT(1*EXACT('Casillas del horario'!$T$4:$T$73,"Laboratorio"&amp;CHAR(31)&amp;$A10&amp;CHAR(31)&amp;E$3))&gt;2," (+"&amp;(SUMPRODUCT(1*EXACT('Casillas del horario'!$T$4:$T$73,"Laboratorio"&amp;CHAR(31)&amp;$A10&amp;CHAR(31)&amp;E$3))-2)&amp;")",""),IF(ISNA(MATCH(1,INDEX(EXACT('Casillas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/ "&amp;IF(ISBLANK(INDEX('Casillas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horario'!$T$4:$T$73)),"Laboratorio"&amp;CHAR(31)&amp;$A10&amp;CHAR(31)&amp;F$3)*1,0),0)))),"",INDEX('Casillas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horario'!$T$4:$T$73)),"Laboratorio"&amp;CHAR(31)&amp;$A10&amp;CHAR(31)&amp;F$3)*1,0),0))))&amp;IF(SUMPRODUCT(1*EXACT('Casillas del horario'!$T$4:$T$73,"Laboratorio"&amp;CHAR(31)&amp;$A10&amp;CHAR(31)&amp;F$3))&gt;2," (+"&amp;(SUMPRODUCT(1*EXACT('Casillas del horario'!$T$4:$T$73,"Laboratorio"&amp;CHAR(31)&amp;$A10&amp;CHAR(31)&amp;F$3))-2)&amp;")",""),IF(ISNA(MATCH(1,INDEX(EXACT('Casillas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/ "&amp;IF(ISBLANK(INDEX('Casillas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horario'!$T$4:$T$73)),"Terreno"&amp;CHAR(31)&amp;$A4&amp;CHAR(31)&amp;B$3)*1,0),0)))),"",INDEX('Casillas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horario'!$T$4:$T$73)),"Terreno"&amp;CHAR(31)&amp;$A4&amp;CHAR(31)&amp;B$3)*1,0),0))))&amp;IF(SUMPRODUCT(1*EXACT('Casillas del horario'!$T$4:$T$73,"Terreno"&amp;CHAR(31)&amp;$A4&amp;CHAR(31)&amp;B$3))&gt;2," (+"&amp;(SUMPRODUCT(1*EXACT('Casillas del horario'!$T$4:$T$73,"Terreno"&amp;CHAR(31)&amp;$A4&amp;CHAR(31)&amp;B$3))-2)&amp;")",""),IF(ISNA(MATCH(1,INDEX(EXACT('Casillas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/ "&amp;IF(ISBLANK(INDEX('Casillas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horario'!$T$4:$T$73)),"Terreno"&amp;CHAR(31)&amp;$A4&amp;CHAR(31)&amp;C$3)*1,0),0)))),"",INDEX('Casillas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horario'!$T$4:$T$73)),"Terreno"&amp;CHAR(31)&amp;$A4&amp;CHAR(31)&amp;C$3)*1,0),0))))&amp;IF(SUMPRODUCT(1*EXACT('Casillas del horario'!$T$4:$T$73,"Terreno"&amp;CHAR(31)&amp;$A4&amp;CHAR(31)&amp;C$3))&gt;2," (+"&amp;(SUMPRODUCT(1*EXACT('Casillas del horario'!$T$4:$T$73,"Terreno"&amp;CHAR(31)&amp;$A4&amp;CHAR(31)&amp;C$3))-2)&amp;")",""),IF(ISNA(MATCH(1,INDEX(EXACT('Casillas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/ "&amp;IF(ISBLANK(INDEX('Casillas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horario'!$T$4:$T$73)),"Terreno"&amp;CHAR(31)&amp;$A4&amp;CHAR(31)&amp;D$3)*1,0),0)))),"",INDEX('Casillas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horario'!$T$4:$T$73)),"Terreno"&amp;CHAR(31)&amp;$A4&amp;CHAR(31)&amp;D$3)*1,0),0))))&amp;IF(SUMPRODUCT(1*EXACT('Casillas del horario'!$T$4:$T$73,"Terreno"&amp;CHAR(31)&amp;$A4&amp;CHAR(31)&amp;D$3))&gt;2," (+"&amp;(SUMPRODUCT(1*EXACT('Casillas del horario'!$T$4:$T$73,"Terreno"&amp;CHAR(31)&amp;$A4&amp;CHAR(31)&amp;D$3))-2)&amp;")",""),IF(ISNA(MATCH(1,INDEX(EXACT('Casillas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/ "&amp;IF(ISBLANK(INDEX('Casillas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horario'!$T$4:$T$73)),"Terreno"&amp;CHAR(31)&amp;$A4&amp;CHAR(31)&amp;E$3)*1,0),0)))),"",INDEX('Casillas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horario'!$T$4:$T$73)),"Terreno"&amp;CHAR(31)&amp;$A4&amp;CHAR(31)&amp;E$3)*1,0),0))))&amp;IF(SUMPRODUCT(1*EXACT('Casillas del horario'!$T$4:$T$73,"Terreno"&amp;CHAR(31)&amp;$A4&amp;CHAR(31)&amp;E$3))&gt;2," (+"&amp;(SUMPRODUCT(1*EXACT('Casillas del horario'!$T$4:$T$73,"Terreno"&amp;CHAR(31)&amp;$A4&amp;CHAR(31)&amp;E$3))-2)&amp;")",""),IF(ISNA(MATCH(1,INDEX(EXACT('Casillas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/ "&amp;IF(ISBLANK(INDEX('Casillas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horario'!$T$4:$T$73)),"Terreno"&amp;CHAR(31)&amp;$A4&amp;CHAR(31)&amp;F$3)*1,0),0)))),"",INDEX('Casillas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horario'!$T$4:$T$73)),"Terreno"&amp;CHAR(31)&amp;$A4&amp;CHAR(31)&amp;F$3)*1,0),0))))&amp;IF(SUMPRODUCT(1*EXACT('Casillas del horario'!$T$4:$T$73,"Terreno"&amp;CHAR(31)&amp;$A4&amp;CHAR(31)&amp;F$3))&gt;2," (+"&amp;(SUMPRODUCT(1*EXACT('Casillas del horario'!$T$4:$T$73,"Terreno"&amp;CHAR(31)&amp;$A4&amp;CHAR(31)&amp;F$3))-2)&amp;")",""),IF(ISNA(MATCH(1,INDEX(EXACT('Casillas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/ "&amp;IF(ISBLANK(INDEX('Casillas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horario'!$T$4:$T$73)),"Terreno"&amp;CHAR(31)&amp;$A5&amp;CHAR(31)&amp;B$3)*1,0),0)))),"",INDEX('Casillas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horario'!$T$4:$T$73)),"Terreno"&amp;CHAR(31)&amp;$A5&amp;CHAR(31)&amp;B$3)*1,0),0))))&amp;IF(SUMPRODUCT(1*EXACT('Casillas del horario'!$T$4:$T$73,"Terreno"&amp;CHAR(31)&amp;$A5&amp;CHAR(31)&amp;B$3))&gt;2," (+"&amp;(SUMPRODUCT(1*EXACT('Casillas del horario'!$T$4:$T$73,"Terreno"&amp;CHAR(31)&amp;$A5&amp;CHAR(31)&amp;B$3))-2)&amp;")",""),IF(ISNA(MATCH(1,INDEX(EXACT('Casillas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/ "&amp;IF(ISBLANK(INDEX('Casillas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horario'!$T$4:$T$73)),"Terreno"&amp;CHAR(31)&amp;$A5&amp;CHAR(31)&amp;C$3)*1,0),0)))),"",INDEX('Casillas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horario'!$T$4:$T$73)),"Terreno"&amp;CHAR(31)&amp;$A5&amp;CHAR(31)&amp;C$3)*1,0),0))))&amp;IF(SUMPRODUCT(1*EXACT('Casillas del horario'!$T$4:$T$73,"Terreno"&amp;CHAR(31)&amp;$A5&amp;CHAR(31)&amp;C$3))&gt;2," (+"&amp;(SUMPRODUCT(1*EXACT('Casillas del horario'!$T$4:$T$73,"Terreno"&amp;CHAR(31)&amp;$A5&amp;CHAR(31)&amp;C$3))-2)&amp;")",""),IF(ISNA(MATCH(1,INDEX(EXACT('Casillas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/ "&amp;IF(ISBLANK(INDEX('Casillas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horario'!$T$4:$T$73)),"Terreno"&amp;CHAR(31)&amp;$A5&amp;CHAR(31)&amp;D$3)*1,0),0)))),"",INDEX('Casillas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horario'!$T$4:$T$73)),"Terreno"&amp;CHAR(31)&amp;$A5&amp;CHAR(31)&amp;D$3)*1,0),0))))&amp;IF(SUMPRODUCT(1*EXACT('Casillas del horario'!$T$4:$T$73,"Terreno"&amp;CHAR(31)&amp;$A5&amp;CHAR(31)&amp;D$3))&gt;2," (+"&amp;(SUMPRODUCT(1*EXACT('Casillas del horario'!$T$4:$T$73,"Terreno"&amp;CHAR(31)&amp;$A5&amp;CHAR(31)&amp;D$3))-2)&amp;")",""),IF(ISNA(MATCH(1,INDEX(EXACT('Casillas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/ "&amp;IF(ISBLANK(INDEX('Casillas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horario'!$T$4:$T$73)),"Terreno"&amp;CHAR(31)&amp;$A5&amp;CHAR(31)&amp;E$3)*1,0),0)))),"",INDEX('Casillas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horario'!$T$4:$T$73)),"Terreno"&amp;CHAR(31)&amp;$A5&amp;CHAR(31)&amp;E$3)*1,0),0))))&amp;IF(SUMPRODUCT(1*EXACT('Casillas del horario'!$T$4:$T$73,"Terreno"&amp;CHAR(31)&amp;$A5&amp;CHAR(31)&amp;E$3))&gt;2," (+"&amp;(SUMPRODUCT(1*EXACT('Casillas del horario'!$T$4:$T$73,"Terreno"&amp;CHAR(31)&amp;$A5&amp;CHAR(31)&amp;E$3))-2)&amp;")",""),IF(ISNA(MATCH(1,INDEX(EXACT('Casillas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/ "&amp;IF(ISBLANK(INDEX('Casillas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horario'!$T$4:$T$73)),"Terreno"&amp;CHAR(31)&amp;$A5&amp;CHAR(31)&amp;F$3)*1,0),0)))),"",INDEX('Casillas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horario'!$T$4:$T$73)),"Terreno"&amp;CHAR(31)&amp;$A5&amp;CHAR(31)&amp;F$3)*1,0),0))))&amp;IF(SUMPRODUCT(1*EXACT('Casillas del horario'!$T$4:$T$73,"Terreno"&amp;CHAR(31)&amp;$A5&amp;CHAR(31)&amp;F$3))&gt;2," (+"&amp;(SUMPRODUCT(1*EXACT('Casillas del horario'!$T$4:$T$73,"Terreno"&amp;CHAR(31)&amp;$A5&amp;CHAR(31)&amp;F$3))-2)&amp;")",""),IF(ISNA(MATCH(1,INDEX(EXACT('Casillas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/ "&amp;IF(ISBLANK(INDEX('Casillas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horario'!$T$4:$T$73)),"Terreno"&amp;CHAR(31)&amp;$A6&amp;CHAR(31)&amp;B$3)*1,0),0)))),"",INDEX('Casillas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horario'!$T$4:$T$73)),"Terreno"&amp;CHAR(31)&amp;$A6&amp;CHAR(31)&amp;B$3)*1,0),0))))&amp;IF(SUMPRODUCT(1*EXACT('Casillas del horario'!$T$4:$T$73,"Terreno"&amp;CHAR(31)&amp;$A6&amp;CHAR(31)&amp;B$3))&gt;2," (+"&amp;(SUMPRODUCT(1*EXACT('Casillas del horario'!$T$4:$T$73,"Terreno"&amp;CHAR(31)&amp;$A6&amp;CHAR(31)&amp;B$3))-2)&amp;")",""),IF(ISNA(MATCH(1,INDEX(EXACT('Casillas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/ "&amp;IF(ISBLANK(INDEX('Casillas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horario'!$T$4:$T$73)),"Terreno"&amp;CHAR(31)&amp;$A6&amp;CHAR(31)&amp;C$3)*1,0),0)))),"",INDEX('Casillas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horario'!$T$4:$T$73)),"Terreno"&amp;CHAR(31)&amp;$A6&amp;CHAR(31)&amp;C$3)*1,0),0))))&amp;IF(SUMPRODUCT(1*EXACT('Casillas del horario'!$T$4:$T$73,"Terreno"&amp;CHAR(31)&amp;$A6&amp;CHAR(31)&amp;C$3))&gt;2," (+"&amp;(SUMPRODUCT(1*EXACT('Casillas del horario'!$T$4:$T$73,"Terreno"&amp;CHAR(31)&amp;$A6&amp;CHAR(31)&amp;C$3))-2)&amp;")",""),IF(ISNA(MATCH(1,INDEX(EXACT('Casillas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/ "&amp;IF(ISBLANK(INDEX('Casillas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horario'!$T$4:$T$73)),"Terreno"&amp;CHAR(31)&amp;$A6&amp;CHAR(31)&amp;D$3)*1,0),0)))),"",INDEX('Casillas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horario'!$T$4:$T$73)),"Terreno"&amp;CHAR(31)&amp;$A6&amp;CHAR(31)&amp;D$3)*1,0),0))))&amp;IF(SUMPRODUCT(1*EXACT('Casillas del horario'!$T$4:$T$73,"Terreno"&amp;CHAR(31)&amp;$A6&amp;CHAR(31)&amp;D$3))&gt;2," (+"&amp;(SUMPRODUCT(1*EXACT('Casillas del horario'!$T$4:$T$73,"Terreno"&amp;CHAR(31)&amp;$A6&amp;CHAR(31)&amp;D$3))-2)&amp;")",""),IF(ISNA(MATCH(1,INDEX(EXACT('Casillas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/ "&amp;IF(ISBLANK(INDEX('Casillas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horario'!$T$4:$T$73)),"Terreno"&amp;CHAR(31)&amp;$A6&amp;CHAR(31)&amp;E$3)*1,0),0)))),"",INDEX('Casillas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horario'!$T$4:$T$73)),"Terreno"&amp;CHAR(31)&amp;$A6&amp;CHAR(31)&amp;E$3)*1,0),0))))&amp;IF(SUMPRODUCT(1*EXACT('Casillas del horario'!$T$4:$T$73,"Terreno"&amp;CHAR(31)&amp;$A6&amp;CHAR(31)&amp;E$3))&gt;2," (+"&amp;(SUMPRODUCT(1*EXACT('Casillas del horario'!$T$4:$T$73,"Terreno"&amp;CHAR(31)&amp;$A6&amp;CHAR(31)&amp;E$3))-2)&amp;")",""),IF(ISNA(MATCH(1,INDEX(EXACT('Casillas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/ "&amp;IF(ISBLANK(INDEX('Casillas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horario'!$T$4:$T$73)),"Terreno"&amp;CHAR(31)&amp;$A6&amp;CHAR(31)&amp;F$3)*1,0),0)))),"",INDEX('Casillas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horario'!$T$4:$T$73)),"Terreno"&amp;CHAR(31)&amp;$A6&amp;CHAR(31)&amp;F$3)*1,0),0))))&amp;IF(SUMPRODUCT(1*EXACT('Casillas del horario'!$T$4:$T$73,"Terreno"&amp;CHAR(31)&amp;$A6&amp;CHAR(31)&amp;F$3))&gt;2," (+"&amp;(SUMPRODUCT(1*EXACT('Casillas del horario'!$T$4:$T$73,"Terreno"&amp;CHAR(31)&amp;$A6&amp;CHAR(31)&amp;F$3))-2)&amp;")",""),IF(ISNA(MATCH(1,INDEX(EXACT('Casillas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/ "&amp;IF(ISBLANK(INDEX('Casillas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horario'!$T$4:$T$73)),"Terreno"&amp;CHAR(31)&amp;$A7&amp;CHAR(31)&amp;B$3)*1,0),0)))),"",INDEX('Casillas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horario'!$T$4:$T$73)),"Terreno"&amp;CHAR(31)&amp;$A7&amp;CHAR(31)&amp;B$3)*1,0),0))))&amp;IF(SUMPRODUCT(1*EXACT('Casillas del horario'!$T$4:$T$73,"Terreno"&amp;CHAR(31)&amp;$A7&amp;CHAR(31)&amp;B$3))&gt;2," (+"&amp;(SUMPRODUCT(1*EXACT('Casillas del horario'!$T$4:$T$73,"Terreno"&amp;CHAR(31)&amp;$A7&amp;CHAR(31)&amp;B$3))-2)&amp;")",""),IF(ISNA(MATCH(1,INDEX(EXACT('Casillas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/ "&amp;IF(ISBLANK(INDEX('Casillas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horario'!$T$4:$T$73)),"Terreno"&amp;CHAR(31)&amp;$A7&amp;CHAR(31)&amp;C$3)*1,0),0)))),"",INDEX('Casillas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horario'!$T$4:$T$73)),"Terreno"&amp;CHAR(31)&amp;$A7&amp;CHAR(31)&amp;C$3)*1,0),0))))&amp;IF(SUMPRODUCT(1*EXACT('Casillas del horario'!$T$4:$T$73,"Terreno"&amp;CHAR(31)&amp;$A7&amp;CHAR(31)&amp;C$3))&gt;2," (+"&amp;(SUMPRODUCT(1*EXACT('Casillas del horario'!$T$4:$T$73,"Terreno"&amp;CHAR(31)&amp;$A7&amp;CHAR(31)&amp;C$3))-2)&amp;")",""),IF(ISNA(MATCH(1,INDEX(EXACT('Casillas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/ "&amp;IF(ISBLANK(INDEX('Casillas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horario'!$T$4:$T$73)),"Terreno"&amp;CHAR(31)&amp;$A7&amp;CHAR(31)&amp;D$3)*1,0),0)))),"",INDEX('Casillas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horario'!$T$4:$T$73)),"Terreno"&amp;CHAR(31)&amp;$A7&amp;CHAR(31)&amp;D$3)*1,0),0))))&amp;IF(SUMPRODUCT(1*EXACT('Casillas del horario'!$T$4:$T$73,"Terreno"&amp;CHAR(31)&amp;$A7&amp;CHAR(31)&amp;D$3))&gt;2," (+"&amp;(SUMPRODUCT(1*EXACT('Casillas del horario'!$T$4:$T$73,"Terreno"&amp;CHAR(31)&amp;$A7&amp;CHAR(31)&amp;D$3))-2)&amp;")",""),IF(ISNA(MATCH(1,INDEX(EXACT('Casillas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/ "&amp;IF(ISBLANK(INDEX('Casillas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horario'!$T$4:$T$73)),"Terreno"&amp;CHAR(31)&amp;$A7&amp;CHAR(31)&amp;E$3)*1,0),0)))),"",INDEX('Casillas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horario'!$T$4:$T$73)),"Terreno"&amp;CHAR(31)&amp;$A7&amp;CHAR(31)&amp;E$3)*1,0),0))))&amp;IF(SUMPRODUCT(1*EXACT('Casillas del horario'!$T$4:$T$73,"Terreno"&amp;CHAR(31)&amp;$A7&amp;CHAR(31)&amp;E$3))&gt;2," (+"&amp;(SUMPRODUCT(1*EXACT('Casillas del horario'!$T$4:$T$73,"Terreno"&amp;CHAR(31)&amp;$A7&amp;CHAR(31)&amp;E$3))-2)&amp;")",""),IF(ISNA(MATCH(1,INDEX(EXACT('Casillas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/ "&amp;IF(ISBLANK(INDEX('Casillas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horario'!$T$4:$T$73)),"Terreno"&amp;CHAR(31)&amp;$A7&amp;CHAR(31)&amp;F$3)*1,0),0)))),"",INDEX('Casillas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horario'!$T$4:$T$73)),"Terreno"&amp;CHAR(31)&amp;$A7&amp;CHAR(31)&amp;F$3)*1,0),0))))&amp;IF(SUMPRODUCT(1*EXACT('Casillas del horario'!$T$4:$T$73,"Terreno"&amp;CHAR(31)&amp;$A7&amp;CHAR(31)&amp;F$3))&gt;2," (+"&amp;(SUMPRODUCT(1*EXACT('Casillas del horario'!$T$4:$T$73,"Terreno"&amp;CHAR(31)&amp;$A7&amp;CHAR(31)&amp;F$3))-2)&amp;")",""),IF(ISNA(MATCH(1,INDEX(EXACT('Casillas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/ "&amp;IF(ISBLANK(INDEX('Casillas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horario'!$T$4:$T$73)),"Terreno"&amp;CHAR(31)&amp;$A8&amp;CHAR(31)&amp;B$3)*1,0),0)))),"",INDEX('Casillas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horario'!$T$4:$T$73)),"Terreno"&amp;CHAR(31)&amp;$A8&amp;CHAR(31)&amp;B$3)*1,0),0))))&amp;IF(SUMPRODUCT(1*EXACT('Casillas del horario'!$T$4:$T$73,"Terreno"&amp;CHAR(31)&amp;$A8&amp;CHAR(31)&amp;B$3))&gt;2," (+"&amp;(SUMPRODUCT(1*EXACT('Casillas del horario'!$T$4:$T$73,"Terreno"&amp;CHAR(31)&amp;$A8&amp;CHAR(31)&amp;B$3))-2)&amp;")",""),IF(ISNA(MATCH(1,INDEX(EXACT('Casillas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/ "&amp;IF(ISBLANK(INDEX('Casillas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horario'!$T$4:$T$73)),"Terreno"&amp;CHAR(31)&amp;$A8&amp;CHAR(31)&amp;C$3)*1,0),0)))),"",INDEX('Casillas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horario'!$T$4:$T$73)),"Terreno"&amp;CHAR(31)&amp;$A8&amp;CHAR(31)&amp;C$3)*1,0),0))))&amp;IF(SUMPRODUCT(1*EXACT('Casillas del horario'!$T$4:$T$73,"Terreno"&amp;CHAR(31)&amp;$A8&amp;CHAR(31)&amp;C$3))&gt;2," (+"&amp;(SUMPRODUCT(1*EXACT('Casillas del horario'!$T$4:$T$73,"Terreno"&amp;CHAR(31)&amp;$A8&amp;CHAR(31)&amp;C$3))-2)&amp;")",""),IF(ISNA(MATCH(1,INDEX(EXACT('Casillas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/ "&amp;IF(ISBLANK(INDEX('Casillas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horario'!$T$4:$T$73)),"Terreno"&amp;CHAR(31)&amp;$A8&amp;CHAR(31)&amp;D$3)*1,0),0)))),"",INDEX('Casillas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horario'!$T$4:$T$73)),"Terreno"&amp;CHAR(31)&amp;$A8&amp;CHAR(31)&amp;D$3)*1,0),0))))&amp;IF(SUMPRODUCT(1*EXACT('Casillas del horario'!$T$4:$T$73,"Terreno"&amp;CHAR(31)&amp;$A8&amp;CHAR(31)&amp;D$3))&gt;2," (+"&amp;(SUMPRODUCT(1*EXACT('Casillas del horario'!$T$4:$T$73,"Terreno"&amp;CHAR(31)&amp;$A8&amp;CHAR(31)&amp;D$3))-2)&amp;")",""),IF(ISNA(MATCH(1,INDEX(EXACT('Casillas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/ "&amp;IF(ISBLANK(INDEX('Casillas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horario'!$T$4:$T$73)),"Terreno"&amp;CHAR(31)&amp;$A8&amp;CHAR(31)&amp;E$3)*1,0),0)))),"",INDEX('Casillas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horario'!$T$4:$T$73)),"Terreno"&amp;CHAR(31)&amp;$A8&amp;CHAR(31)&amp;E$3)*1,0),0))))&amp;IF(SUMPRODUCT(1*EXACT('Casillas del horario'!$T$4:$T$73,"Terreno"&amp;CHAR(31)&amp;$A8&amp;CHAR(31)&amp;E$3))&gt;2," (+"&amp;(SUMPRODUCT(1*EXACT('Casillas del horario'!$T$4:$T$73,"Terreno"&amp;CHAR(31)&amp;$A8&amp;CHAR(31)&amp;E$3))-2)&amp;")",""),IF(ISNA(MATCH(1,INDEX(EXACT('Casillas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/ "&amp;IF(ISBLANK(INDEX('Casillas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horario'!$T$4:$T$73)),"Terreno"&amp;CHAR(31)&amp;$A8&amp;CHAR(31)&amp;F$3)*1,0),0)))),"",INDEX('Casillas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horario'!$T$4:$T$73)),"Terreno"&amp;CHAR(31)&amp;$A8&amp;CHAR(31)&amp;F$3)*1,0),0))))&amp;IF(SUMPRODUCT(1*EXACT('Casillas del horario'!$T$4:$T$73,"Terreno"&amp;CHAR(31)&amp;$A8&amp;CHAR(31)&amp;F$3))&gt;2," (+"&amp;(SUMPRODUCT(1*EXACT('Casillas del horario'!$T$4:$T$73,"Terreno"&amp;CHAR(31)&amp;$A8&amp;CHAR(31)&amp;F$3))-2)&amp;")",""),IF(ISNA(MATCH(1,INDEX(EXACT('Casillas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/ "&amp;IF(ISBLANK(INDEX('Casillas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horario'!$T$4:$T$73)),"Terreno"&amp;CHAR(31)&amp;$A9&amp;CHAR(31)&amp;B$3)*1,0),0)))),"",INDEX('Casillas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horario'!$T$4:$T$73)),"Terreno"&amp;CHAR(31)&amp;$A9&amp;CHAR(31)&amp;B$3)*1,0),0))))&amp;IF(SUMPRODUCT(1*EXACT('Casillas del horario'!$T$4:$T$73,"Terreno"&amp;CHAR(31)&amp;$A9&amp;CHAR(31)&amp;B$3))&gt;2," (+"&amp;(SUMPRODUCT(1*EXACT('Casillas del horario'!$T$4:$T$73,"Terreno"&amp;CHAR(31)&amp;$A9&amp;CHAR(31)&amp;B$3))-2)&amp;")",""),IF(ISNA(MATCH(1,INDEX(EXACT('Casillas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/ "&amp;IF(ISBLANK(INDEX('Casillas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horario'!$T$4:$T$73)),"Terreno"&amp;CHAR(31)&amp;$A9&amp;CHAR(31)&amp;C$3)*1,0),0)))),"",INDEX('Casillas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horario'!$T$4:$T$73)),"Terreno"&amp;CHAR(31)&amp;$A9&amp;CHAR(31)&amp;C$3)*1,0),0))))&amp;IF(SUMPRODUCT(1*EXACT('Casillas del horario'!$T$4:$T$73,"Terreno"&amp;CHAR(31)&amp;$A9&amp;CHAR(31)&amp;C$3))&gt;2," (+"&amp;(SUMPRODUCT(1*EXACT('Casillas del horario'!$T$4:$T$73,"Terreno"&amp;CHAR(31)&amp;$A9&amp;CHAR(31)&amp;C$3))-2)&amp;")",""),IF(ISNA(MATCH(1,INDEX(EXACT('Casillas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/ "&amp;IF(ISBLANK(INDEX('Casillas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horario'!$T$4:$T$73)),"Terreno"&amp;CHAR(31)&amp;$A9&amp;CHAR(31)&amp;D$3)*1,0),0)))),"",INDEX('Casillas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horario'!$T$4:$T$73)),"Terreno"&amp;CHAR(31)&amp;$A9&amp;CHAR(31)&amp;D$3)*1,0),0))))&amp;IF(SUMPRODUCT(1*EXACT('Casillas del horario'!$T$4:$T$73,"Terreno"&amp;CHAR(31)&amp;$A9&amp;CHAR(31)&amp;D$3))&gt;2," (+"&amp;(SUMPRODUCT(1*EXACT('Casillas del horario'!$T$4:$T$73,"Terreno"&amp;CHAR(31)&amp;$A9&amp;CHAR(31)&amp;D$3))-2)&amp;")",""),IF(ISNA(MATCH(1,INDEX(EXACT('Casillas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/ "&amp;IF(ISBLANK(INDEX('Casillas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horario'!$T$4:$T$73)),"Terreno"&amp;CHAR(31)&amp;$A9&amp;CHAR(31)&amp;E$3)*1,0),0)))),"",INDEX('Casillas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horario'!$T$4:$T$73)),"Terreno"&amp;CHAR(31)&amp;$A9&amp;CHAR(31)&amp;E$3)*1,0),0))))&amp;IF(SUMPRODUCT(1*EXACT('Casillas del horario'!$T$4:$T$73,"Terreno"&amp;CHAR(31)&amp;$A9&amp;CHAR(31)&amp;E$3))&gt;2," (+"&amp;(SUMPRODUCT(1*EXACT('Casillas del horario'!$T$4:$T$73,"Terreno"&amp;CHAR(31)&amp;$A9&amp;CHAR(31)&amp;E$3))-2)&amp;")",""),IF(ISNA(MATCH(1,INDEX(EXACT('Casillas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/ "&amp;IF(ISBLANK(INDEX('Casillas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horario'!$T$4:$T$73)),"Terreno"&amp;CHAR(31)&amp;$A9&amp;CHAR(31)&amp;F$3)*1,0),0)))),"",INDEX('Casillas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horario'!$T$4:$T$73)),"Terreno"&amp;CHAR(31)&amp;$A9&amp;CHAR(31)&amp;F$3)*1,0),0))))&amp;IF(SUMPRODUCT(1*EXACT('Casillas del horario'!$T$4:$T$73,"Terreno"&amp;CHAR(31)&amp;$A9&amp;CHAR(31)&amp;F$3))&gt;2," (+"&amp;(SUMPRODUCT(1*EXACT('Casillas del horario'!$T$4:$T$73,"Terreno"&amp;CHAR(31)&amp;$A9&amp;CHAR(31)&amp;F$3))-2)&amp;")",""),IF(ISNA(MATCH(1,INDEX(EXACT('Casillas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/ "&amp;IF(ISBLANK(INDEX('Casillas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horario'!$T$4:$T$73)),"Terreno"&amp;CHAR(31)&amp;$A10&amp;CHAR(31)&amp;B$3)*1,0),0)))),"",INDEX('Casillas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horario'!$T$4:$T$73)),"Terreno"&amp;CHAR(31)&amp;$A10&amp;CHAR(31)&amp;B$3)*1,0),0))))&amp;IF(SUMPRODUCT(1*EXACT('Casillas del horario'!$T$4:$T$73,"Terreno"&amp;CHAR(31)&amp;$A10&amp;CHAR(31)&amp;B$3))&gt;2," (+"&amp;(SUMPRODUCT(1*EXACT('Casillas del horario'!$T$4:$T$73,"Terreno"&amp;CHAR(31)&amp;$A10&amp;CHAR(31)&amp;B$3))-2)&amp;")",""),IF(ISNA(MATCH(1,INDEX(EXACT('Casillas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/ "&amp;IF(ISBLANK(INDEX('Casillas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horario'!$T$4:$T$73)),"Terreno"&amp;CHAR(31)&amp;$A10&amp;CHAR(31)&amp;C$3)*1,0),0)))),"",INDEX('Casillas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horario'!$T$4:$T$73)),"Terreno"&amp;CHAR(31)&amp;$A10&amp;CHAR(31)&amp;C$3)*1,0),0))))&amp;IF(SUMPRODUCT(1*EXACT('Casillas del horario'!$T$4:$T$73,"Terreno"&amp;CHAR(31)&amp;$A10&amp;CHAR(31)&amp;C$3))&gt;2," (+"&amp;(SUMPRODUCT(1*EXACT('Casillas del horario'!$T$4:$T$73,"Terreno"&amp;CHAR(31)&amp;$A10&amp;CHAR(31)&amp;C$3))-2)&amp;")",""),IF(ISNA(MATCH(1,INDEX(EXACT('Casillas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/ "&amp;IF(ISBLANK(INDEX('Casillas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horario'!$T$4:$T$73)),"Terreno"&amp;CHAR(31)&amp;$A10&amp;CHAR(31)&amp;D$3)*1,0),0)))),"",INDEX('Casillas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horario'!$T$4:$T$73)),"Terreno"&amp;CHAR(31)&amp;$A10&amp;CHAR(31)&amp;D$3)*1,0),0))))&amp;IF(SUMPRODUCT(1*EXACT('Casillas del horario'!$T$4:$T$73,"Terreno"&amp;CHAR(31)&amp;$A10&amp;CHAR(31)&amp;D$3))&gt;2," (+"&amp;(SUMPRODUCT(1*EXACT('Casillas del horario'!$T$4:$T$73,"Terreno"&amp;CHAR(31)&amp;$A10&amp;CHAR(31)&amp;D$3))-2)&amp;")",""),IF(ISNA(MATCH(1,INDEX(EXACT('Casillas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/ "&amp;IF(ISBLANK(INDEX('Casillas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horario'!$T$4:$T$73)),"Terreno"&amp;CHAR(31)&amp;$A10&amp;CHAR(31)&amp;E$3)*1,0),0)))),"",INDEX('Casillas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horario'!$T$4:$T$73)),"Terreno"&amp;CHAR(31)&amp;$A10&amp;CHAR(31)&amp;E$3)*1,0),0))))&amp;IF(SUMPRODUCT(1*EXACT('Casillas del horario'!$T$4:$T$73,"Terreno"&amp;CHAR(31)&amp;$A10&amp;CHAR(31)&amp;E$3))&gt;2," (+"&amp;(SUMPRODUCT(1*EXACT('Casillas del horario'!$T$4:$T$73,"Terreno"&amp;CHAR(31)&amp;$A10&amp;CHAR(31)&amp;E$3))-2)&amp;")",""),IF(ISNA(MATCH(1,INDEX(EXACT('Casillas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/ "&amp;IF(ISBLANK(INDEX('Casillas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horario'!$T$4:$T$73)),"Terreno"&amp;CHAR(31)&amp;$A10&amp;CHAR(31)&amp;F$3)*1,0),0)))),"",INDEX('Casillas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horario'!$T$4:$T$73)),"Terreno"&amp;CHAR(31)&amp;$A10&amp;CHAR(31)&amp;F$3)*1,0),0))))&amp;IF(SUMPRODUCT(1*EXACT('Casillas del horario'!$T$4:$T$73,"Terreno"&amp;CHAR(31)&amp;$A10&amp;CHAR(31)&amp;F$3))&gt;2," (+"&amp;(SUMPRODUCT(1*EXACT('Casillas del horario'!$T$4:$T$73,"Terreno"&amp;CHAR(31)&amp;$A10&amp;CHAR(31)&amp;F$3))-2)&amp;")",""),IF(ISNA(MATCH(1,INDEX(EXACT('Casillas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23" customWidth="1" min="14" max="14"/>
    <col width="28" customWidth="1" min="15" max="15"/>
    <col width="40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Contratado: viene hoy</t>
        </is>
      </c>
      <c r="O3" s="2" t="inlineStr">
        <is>
          <t>Se repite el dia sin poder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3">
        <f>IF(ISBLANK('Horario del grupo - 10-3'!B4),"",'Horario del grupo - 10-3'!B4)</f>
        <v/>
      </c>
      <c r="E4" s="3">
        <f>IF(ISNA(MATCH(1,INDEX(EXACT('Asignaturas'!$A$4:$A$38,$D4)*1*((('Asignaturas'!$A$4:$A$38&lt;&gt;""))&gt;0),0),0)),"",IF(ISBLANK(INDEX('Asignaturas'!$B$4:$B$38,MATCH(1,INDEX(EXACT('Asignaturas'!$A$4:$A$38,$D4)*1*((('Asignaturas'!$A$4:$A$38&lt;&gt;""))&gt;0),0),0))),"",INDEX('Asignaturas'!$B$4:$B$38,MATCH(1,INDEX(EXACT('Asignaturas'!$A$4:$A$38,$D4)*1*((('Asignaturas'!$A$4:$A$38&lt;&gt;""))&gt;0),0),0))))</f>
        <v/>
      </c>
      <c r="F4" s="3">
        <f>IF(ISNA(MATCH(1,INDEX(1*((('Plan por grupo'!$A$4:$A$53&lt;&gt;"")+('Plan por grupo'!$B$4:$B$53&lt;&gt;""))&gt;0)*(EXACT('Plan por grupo'!$A$4:$A$53,$A4))*(EXACT('Plan por grupo'!$B$4:$B$53,$D4)),0),0)),"",IF(ISBLANK(INDEX('Plan por grupo'!$C$4:$C$53,MATCH(1,INDEX(1*((('Plan por grupo'!$A$4:$A$53&lt;&gt;"")+('Plan por grupo'!$B$4:$B$53&lt;&gt;""))&gt;0)*(EXACT('Plan por grupo'!$A$4:$A$53,$A4))*(EXACT('Plan por grupo'!$B$4:$B$53,$D4)),0),0))),"",INDEX('Plan por grupo'!$C$4:$C$53,MATCH(1,INDEX(1*((('Plan por grupo'!$A$4:$A$53&lt;&gt;"")+('Plan por grupo'!$B$4:$B$53&lt;&gt;""))&gt;0)*(EXACT('Plan por grupo'!$A$4:$A$53,$A4))*(EXACT('Plan por grupo'!$B$4:$B$53,$D4)),0),0))))</f>
        <v/>
      </c>
      <c r="G4" s="3">
        <f>IF(ISNA(MATCH(1,INDEX(EXACT('Asignaturas'!$A$4:$A$38,$D4)*1*((('Asignaturas'!$A$4:$A$38&lt;&gt;""))&gt;0),0),0)),"",IF(ISBLANK(INDEX('Asignaturas'!$D$4:$D$38,MATCH(1,INDEX(EXACT('Asignaturas'!$A$4:$A$38,$D4)*1*((('Asignaturas'!$A$4:$A$38&lt;&gt;""))&gt;0),0),0))),"",INDEX('Asignaturas'!$D$4:$D$38,MATCH(1,INDEX(EXACT('Asignaturas'!$A$4:$A$38,$D4)*1*((('Asignaturas'!$A$4:$A$38&lt;&gt;""))&gt;0)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IF(ISNA(MATCH(1,INDEX(1*((('Plan por grupo'!$A$4:$A$53&lt;&gt;"")+('Plan por grupo'!$B$4:$B$53&lt;&gt;""))&gt;0)*(EXACT('Plan por grupo'!$A$4:$A$53,$A4))*(EXACT('Plan por grupo'!$B$4:$B$53,$D4)),0),0)),"no",IF(ISBLANK(INDEX('Plan por grupo'!$G$4:$G$53,MATCH(1,INDEX(1*((('Plan por grupo'!$A$4:$A$53&lt;&gt;"")+('Plan por grupo'!$B$4:$B$53&lt;&gt;""))&gt;0)*(EXACT('Plan por grupo'!$A$4:$A$53,$A4))*(EXACT('Plan por grupo'!$B$4:$B$53,$D4)),0),0))),"",INDEX('Plan por grupo'!$G$4:$G$53,MATCH(1,INDEX(1*((('Plan por grupo'!$A$4:$A$53&lt;&gt;"")+('Plan por grupo'!$B$4:$B$53&lt;&gt;""))&gt;0)*(EXACT('Plan por grupo'!$A$4:$A$53,$A4))*(EXACT('Plan por grupo'!$B$4:$B$53,$D4)),0),0))))</f>
        <v/>
      </c>
      <c r="J4" s="3">
        <f>IF(ISNA(MATCH(1,INDEX(1*((('Plan por grupo'!$A$4:$A$53&lt;&gt;"")+('Plan por grupo'!$B$4:$B$53&lt;&gt;""))&gt;0)*(EXACT('Plan por grupo'!$A$4:$A$53,$A4))*(EXACT('Plan por grupo'!$B$4:$B$53,$D4)),0),0)),"no",IF(ISBLANK(INDEX('Plan por grupo'!$E$4:$E$53,MATCH(1,INDEX(1*((('Plan por grupo'!$A$4:$A$53&lt;&gt;"")+('Plan por grupo'!$B$4:$B$53&lt;&gt;""))&gt;0)*(EXACT('Plan por grupo'!$A$4:$A$53,$A4))*(EXACT('Plan por grupo'!$B$4:$B$53,$D4)),0),0))),"",INDEX('Plan por grupo'!$E$4:$E$53,MATCH(1,INDEX(1*((('Plan por grupo'!$A$4:$A$53&lt;&gt;"")+('Plan por grupo'!$B$4:$B$53&lt;&gt;""))&gt;0)*(EXACT('Plan por grupo'!$A$4:$A$53,$A4))*(EXACT('Plan por grupo'!$B$4:$B$53,$D4)),0),0))))</f>
        <v/>
      </c>
      <c r="K4" s="3">
        <f>IF(ISNA(MATCH(1,INDEX(EXACT('Asignaturas'!$A$4:$A$38,$D4)*1*((('Asignaturas'!$A$4:$A$38&lt;&gt;""))&gt;0),0),0)),"",IF(ISBLANK(INDEX('Asignaturas'!$C$4:$C$38,MATCH(1,INDEX(EXACT('Asignaturas'!$A$4:$A$38,$D4)*1*((('Asignaturas'!$A$4:$A$38&lt;&gt;""))&gt;0),0),0))),"",INDEX('Asignaturas'!$C$4:$C$38,MATCH(1,INDEX(EXACT('Asignaturas'!$A$4:$A$38,$D4)*1*((('Asignaturas'!$A$4:$A$38&lt;&gt;""))&gt;0),0),0))))</f>
        <v/>
      </c>
      <c r="L4" s="3">
        <f>IF(ISNA(MATCH(1,INDEX(EXACT('Profesores'!$A$4:$A$53,$F4)*1*((('Profesores'!$A$4:$A$53&lt;&gt;""))&gt;0),0),0)),"no",IF(ISBLANK(INDEX('Profesores'!$B$4:$B$53,MATCH(1,INDEX(EXACT('Profesores'!$A$4:$A$53,$F4)*1*((('Profesores'!$A$4:$A$53&lt;&gt;""))&gt;0),0),0))),"",INDEX('Profesores'!$B$4:$B$53,MATCH(1,INDEX(EXACT('Profesores'!$A$4:$A$53,$F4)*1*((('Profesores'!$A$4:$A$53&lt;&gt;""))&gt;0),0),0))))</f>
        <v/>
      </c>
      <c r="M4" s="3">
        <f>IF(ISNA(MATCH(1,INDEX(EXACT('Profesores'!$A$4:$A$53,$F4)*1*((('Profesores'!$A$4:$A$53&lt;&gt;""))&gt;0),0),0)),"no",IF(ISBLANK(INDEX('Profesores'!$C$4:$C$53,MATCH(1,INDEX(EXACT('Profesores'!$A$4:$A$53,$F4)*1*((('Profesores'!$A$4:$A$53&lt;&gt;""))&gt;0),0),0))),"",INDEX('Profesores'!$C$4:$C$53,MATCH(1,INDEX(EXACT('Profesores'!$A$4:$A$53,$F4)*1*((('Profesores'!$A$4:$A$53&lt;&gt;""))&gt;0),0),0))))</f>
        <v/>
      </c>
      <c r="N4" s="3">
        <f>IF(EXACT($L4,"si"),IF(ISNA(MATCH(1,INDEX(1*((('Dias que asisten los contratado'!$A$4:$A$24&lt;&gt;"")+('Dias que asisten los contratado'!$B$4:$B$24&lt;&gt;""))&gt;0)*(EXACT('Dias que asisten los contratado'!$A$4:$A$24,$F4))*(EXACT('Dias que asisten los contratado'!$B$4:$B$24,$B4)),0),0)),"no",IF(ISBLANK(INDEX('Dias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contratado'!$B$4:$B$24,$B4)),0),0))),"",INDEX('Dias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contratado'!$B$4:$B$24,$B4)),0),0)))),"")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3">
        <f>IF(ISBLANK('Horario del grupo - 10-3'!C4),"",'Horario del grupo - 10-3'!C4)</f>
        <v/>
      </c>
      <c r="E5" s="3">
        <f>IF(ISNA(MATCH(1,INDEX(EXACT('Asignaturas'!$A$4:$A$38,$D5)*1*((('Asignaturas'!$A$4:$A$38&lt;&gt;""))&gt;0),0),0)),"",IF(ISBLANK(INDEX('Asignaturas'!$B$4:$B$38,MATCH(1,INDEX(EXACT('Asignaturas'!$A$4:$A$38,$D5)*1*((('Asignaturas'!$A$4:$A$38&lt;&gt;""))&gt;0),0),0))),"",INDEX('Asignaturas'!$B$4:$B$38,MATCH(1,INDEX(EXACT('Asignaturas'!$A$4:$A$38,$D5)*1*((('Asignaturas'!$A$4:$A$38&lt;&gt;""))&gt;0),0),0))))</f>
        <v/>
      </c>
      <c r="F5" s="3">
        <f>IF(ISNA(MATCH(1,INDEX(1*((('Plan por grupo'!$A$4:$A$53&lt;&gt;"")+('Plan por grupo'!$B$4:$B$53&lt;&gt;""))&gt;0)*(EXACT('Plan por grupo'!$A$4:$A$53,$A5))*(EXACT('Plan por grupo'!$B$4:$B$53,$D5)),0),0)),"",IF(ISBLANK(INDEX('Plan por grupo'!$C$4:$C$53,MATCH(1,INDEX(1*((('Plan por grupo'!$A$4:$A$53&lt;&gt;"")+('Plan por grupo'!$B$4:$B$53&lt;&gt;""))&gt;0)*(EXACT('Plan por grupo'!$A$4:$A$53,$A5))*(EXACT('Plan por grupo'!$B$4:$B$53,$D5)),0),0))),"",INDEX('Plan por grupo'!$C$4:$C$53,MATCH(1,INDEX(1*((('Plan por grupo'!$A$4:$A$53&lt;&gt;"")+('Plan por grupo'!$B$4:$B$53&lt;&gt;""))&gt;0)*(EXACT('Plan por grupo'!$A$4:$A$53,$A5))*(EXACT('Plan por grupo'!$B$4:$B$53,$D5)),0),0))))</f>
        <v/>
      </c>
      <c r="G5" s="3">
        <f>IF(ISNA(MATCH(1,INDEX(EXACT('Asignaturas'!$A$4:$A$38,$D5)*1*((('Asignaturas'!$A$4:$A$38&lt;&gt;""))&gt;0),0),0)),"",IF(ISBLANK(INDEX('Asignaturas'!$D$4:$D$38,MATCH(1,INDEX(EXACT('Asignaturas'!$A$4:$A$38,$D5)*1*((('Asignaturas'!$A$4:$A$38&lt;&gt;""))&gt;0),0),0))),"",INDEX('Asignaturas'!$D$4:$D$38,MATCH(1,INDEX(EXACT('Asignaturas'!$A$4:$A$38,$D5)*1*((('Asignaturas'!$A$4:$A$38&lt;&gt;""))&gt;0)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IF(ISNA(MATCH(1,INDEX(1*((('Plan por grupo'!$A$4:$A$53&lt;&gt;"")+('Plan por grupo'!$B$4:$B$53&lt;&gt;""))&gt;0)*(EXACT('Plan por grupo'!$A$4:$A$53,$A5))*(EXACT('Plan por grupo'!$B$4:$B$53,$D5)),0),0)),"no",IF(ISBLANK(INDEX('Plan por grupo'!$G$4:$G$53,MATCH(1,INDEX(1*((('Plan por grupo'!$A$4:$A$53&lt;&gt;"")+('Plan por grupo'!$B$4:$B$53&lt;&gt;""))&gt;0)*(EXACT('Plan por grupo'!$A$4:$A$53,$A5))*(EXACT('Plan por grupo'!$B$4:$B$53,$D5)),0),0))),"",INDEX('Plan por grupo'!$G$4:$G$53,MATCH(1,INDEX(1*((('Plan por grupo'!$A$4:$A$53&lt;&gt;"")+('Plan por grupo'!$B$4:$B$53&lt;&gt;""))&gt;0)*(EXACT('Plan por grupo'!$A$4:$A$53,$A5))*(EXACT('Plan por grupo'!$B$4:$B$53,$D5)),0),0))))</f>
        <v/>
      </c>
      <c r="J5" s="3">
        <f>IF(ISNA(MATCH(1,INDEX(1*((('Plan por grupo'!$A$4:$A$53&lt;&gt;"")+('Plan por grupo'!$B$4:$B$53&lt;&gt;""))&gt;0)*(EXACT('Plan por grupo'!$A$4:$A$53,$A5))*(EXACT('Plan por grupo'!$B$4:$B$53,$D5)),0),0)),"no",IF(ISBLANK(INDEX('Plan por grupo'!$E$4:$E$53,MATCH(1,INDEX(1*((('Plan por grupo'!$A$4:$A$53&lt;&gt;"")+('Plan por grupo'!$B$4:$B$53&lt;&gt;""))&gt;0)*(EXACT('Plan por grupo'!$A$4:$A$53,$A5))*(EXACT('Plan por grupo'!$B$4:$B$53,$D5)),0),0))),"",INDEX('Plan por grupo'!$E$4:$E$53,MATCH(1,INDEX(1*((('Plan por grupo'!$A$4:$A$53&lt;&gt;"")+('Plan por grupo'!$B$4:$B$53&lt;&gt;""))&gt;0)*(EXACT('Plan por grupo'!$A$4:$A$53,$A5))*(EXACT('Plan por grupo'!$B$4:$B$53,$D5)),0),0))))</f>
        <v/>
      </c>
      <c r="K5" s="3">
        <f>IF(ISNA(MATCH(1,INDEX(EXACT('Asignaturas'!$A$4:$A$38,$D5)*1*((('Asignaturas'!$A$4:$A$38&lt;&gt;""))&gt;0),0),0)),"",IF(ISBLANK(INDEX('Asignaturas'!$C$4:$C$38,MATCH(1,INDEX(EXACT('Asignaturas'!$A$4:$A$38,$D5)*1*((('Asignaturas'!$A$4:$A$38&lt;&gt;""))&gt;0),0),0))),"",INDEX('Asignaturas'!$C$4:$C$38,MATCH(1,INDEX(EXACT('Asignaturas'!$A$4:$A$38,$D5)*1*((('Asignaturas'!$A$4:$A$38&lt;&gt;""))&gt;0),0),0))))</f>
        <v/>
      </c>
      <c r="L5" s="3">
        <f>IF(ISNA(MATCH(1,INDEX(EXACT('Profesores'!$A$4:$A$53,$F5)*1*((('Profesores'!$A$4:$A$53&lt;&gt;""))&gt;0),0),0)),"no",IF(ISBLANK(INDEX('Profesores'!$B$4:$B$53,MATCH(1,INDEX(EXACT('Profesores'!$A$4:$A$53,$F5)*1*((('Profesores'!$A$4:$A$53&lt;&gt;""))&gt;0),0),0))),"",INDEX('Profesores'!$B$4:$B$53,MATCH(1,INDEX(EXACT('Profesores'!$A$4:$A$53,$F5)*1*((('Profesores'!$A$4:$A$53&lt;&gt;""))&gt;0),0),0))))</f>
        <v/>
      </c>
      <c r="M5" s="3">
        <f>IF(ISNA(MATCH(1,INDEX(EXACT('Profesores'!$A$4:$A$53,$F5)*1*((('Profesores'!$A$4:$A$53&lt;&gt;""))&gt;0),0),0)),"no",IF(ISBLANK(INDEX('Profesores'!$C$4:$C$53,MATCH(1,INDEX(EXACT('Profesores'!$A$4:$A$53,$F5)*1*((('Profesores'!$A$4:$A$53&lt;&gt;""))&gt;0),0),0))),"",INDEX('Profesores'!$C$4:$C$53,MATCH(1,INDEX(EXACT('Profesores'!$A$4:$A$53,$F5)*1*((('Profesores'!$A$4:$A$53&lt;&gt;""))&gt;0),0),0))))</f>
        <v/>
      </c>
      <c r="N5" s="3">
        <f>IF(EXACT($L5,"si"),IF(ISNA(MATCH(1,INDEX(1*((('Dias que asisten los contratado'!$A$4:$A$24&lt;&gt;"")+('Dias que asisten los contratado'!$B$4:$B$24&lt;&gt;""))&gt;0)*(EXACT('Dias que asisten los contratado'!$A$4:$A$24,$F5))*(EXACT('Dias que asisten los contratado'!$B$4:$B$24,$B5)),0),0)),"no",IF(ISBLANK(INDEX('Dias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contratado'!$B$4:$B$24,$B5)),0),0))),"",INDEX('Dias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contratado'!$B$4:$B$24,$B5)),0),0)))),"")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3">
        <f>IF(ISBLANK('Horario del grupo - 10-3'!D4),"",'Horario del grupo - 10-3'!D4)</f>
        <v/>
      </c>
      <c r="E6" s="3">
        <f>IF(ISNA(MATCH(1,INDEX(EXACT('Asignaturas'!$A$4:$A$38,$D6)*1*((('Asignaturas'!$A$4:$A$38&lt;&gt;""))&gt;0),0),0)),"",IF(ISBLANK(INDEX('Asignaturas'!$B$4:$B$38,MATCH(1,INDEX(EXACT('Asignaturas'!$A$4:$A$38,$D6)*1*((('Asignaturas'!$A$4:$A$38&lt;&gt;""))&gt;0),0),0))),"",INDEX('Asignaturas'!$B$4:$B$38,MATCH(1,INDEX(EXACT('Asignaturas'!$A$4:$A$38,$D6)*1*((('Asignaturas'!$A$4:$A$38&lt;&gt;""))&gt;0),0),0))))</f>
        <v/>
      </c>
      <c r="F6" s="3">
        <f>IF(ISNA(MATCH(1,INDEX(1*((('Plan por grupo'!$A$4:$A$53&lt;&gt;"")+('Plan por grupo'!$B$4:$B$53&lt;&gt;""))&gt;0)*(EXACT('Plan por grupo'!$A$4:$A$53,$A6))*(EXACT('Plan por grupo'!$B$4:$B$53,$D6)),0),0)),"",IF(ISBLANK(INDEX('Plan por grupo'!$C$4:$C$53,MATCH(1,INDEX(1*((('Plan por grupo'!$A$4:$A$53&lt;&gt;"")+('Plan por grupo'!$B$4:$B$53&lt;&gt;""))&gt;0)*(EXACT('Plan por grupo'!$A$4:$A$53,$A6))*(EXACT('Plan por grupo'!$B$4:$B$53,$D6)),0),0))),"",INDEX('Plan por grupo'!$C$4:$C$53,MATCH(1,INDEX(1*((('Plan por grupo'!$A$4:$A$53&lt;&gt;"")+('Plan por grupo'!$B$4:$B$53&lt;&gt;""))&gt;0)*(EXACT('Plan por grupo'!$A$4:$A$53,$A6))*(EXACT('Plan por grupo'!$B$4:$B$53,$D6)),0),0))))</f>
        <v/>
      </c>
      <c r="G6" s="3">
        <f>IF(ISNA(MATCH(1,INDEX(EXACT('Asignaturas'!$A$4:$A$38,$D6)*1*((('Asignaturas'!$A$4:$A$38&lt;&gt;""))&gt;0),0),0)),"",IF(ISBLANK(INDEX('Asignaturas'!$D$4:$D$38,MATCH(1,INDEX(EXACT('Asignaturas'!$A$4:$A$38,$D6)*1*((('Asignaturas'!$A$4:$A$38&lt;&gt;""))&gt;0),0),0))),"",INDEX('Asignaturas'!$D$4:$D$38,MATCH(1,INDEX(EXACT('Asignaturas'!$A$4:$A$38,$D6)*1*((('Asignaturas'!$A$4:$A$38&lt;&gt;""))&gt;0)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IF(ISNA(MATCH(1,INDEX(1*((('Plan por grupo'!$A$4:$A$53&lt;&gt;"")+('Plan por grupo'!$B$4:$B$53&lt;&gt;""))&gt;0)*(EXACT('Plan por grupo'!$A$4:$A$53,$A6))*(EXACT('Plan por grupo'!$B$4:$B$53,$D6)),0),0)),"no",IF(ISBLANK(INDEX('Plan por grupo'!$G$4:$G$53,MATCH(1,INDEX(1*((('Plan por grupo'!$A$4:$A$53&lt;&gt;"")+('Plan por grupo'!$B$4:$B$53&lt;&gt;""))&gt;0)*(EXACT('Plan por grupo'!$A$4:$A$53,$A6))*(EXACT('Plan por grupo'!$B$4:$B$53,$D6)),0),0))),"",INDEX('Plan por grupo'!$G$4:$G$53,MATCH(1,INDEX(1*((('Plan por grupo'!$A$4:$A$53&lt;&gt;"")+('Plan por grupo'!$B$4:$B$53&lt;&gt;""))&gt;0)*(EXACT('Plan por grupo'!$A$4:$A$53,$A6))*(EXACT('Plan por grupo'!$B$4:$B$53,$D6)),0),0))))</f>
        <v/>
      </c>
      <c r="J6" s="3">
        <f>IF(ISNA(MATCH(1,INDEX(1*((('Plan por grupo'!$A$4:$A$53&lt;&gt;"")+('Plan por grupo'!$B$4:$B$53&lt;&gt;""))&gt;0)*(EXACT('Plan por grupo'!$A$4:$A$53,$A6))*(EXACT('Plan por grupo'!$B$4:$B$53,$D6)),0),0)),"no",IF(ISBLANK(INDEX('Plan por grupo'!$E$4:$E$53,MATCH(1,INDEX(1*((('Plan por grupo'!$A$4:$A$53&lt;&gt;"")+('Plan por grupo'!$B$4:$B$53&lt;&gt;""))&gt;0)*(EXACT('Plan por grupo'!$A$4:$A$53,$A6))*(EXACT('Plan por grupo'!$B$4:$B$53,$D6)),0),0))),"",INDEX('Plan por grupo'!$E$4:$E$53,MATCH(1,INDEX(1*((('Plan por grupo'!$A$4:$A$53&lt;&gt;"")+('Plan por grupo'!$B$4:$B$53&lt;&gt;""))&gt;0)*(EXACT('Plan por grupo'!$A$4:$A$53,$A6))*(EXACT('Plan por grupo'!$B$4:$B$53,$D6)),0),0))))</f>
        <v/>
      </c>
      <c r="K6" s="3">
        <f>IF(ISNA(MATCH(1,INDEX(EXACT('Asignaturas'!$A$4:$A$38,$D6)*1*((('Asignaturas'!$A$4:$A$38&lt;&gt;""))&gt;0),0),0)),"",IF(ISBLANK(INDEX('Asignaturas'!$C$4:$C$38,MATCH(1,INDEX(EXACT('Asignaturas'!$A$4:$A$38,$D6)*1*((('Asignaturas'!$A$4:$A$38&lt;&gt;""))&gt;0),0),0))),"",INDEX('Asignaturas'!$C$4:$C$38,MATCH(1,INDEX(EXACT('Asignaturas'!$A$4:$A$38,$D6)*1*((('Asignaturas'!$A$4:$A$38&lt;&gt;""))&gt;0),0),0))))</f>
        <v/>
      </c>
      <c r="L6" s="3">
        <f>IF(ISNA(MATCH(1,INDEX(EXACT('Profesores'!$A$4:$A$53,$F6)*1*((('Profesores'!$A$4:$A$53&lt;&gt;""))&gt;0),0),0)),"no",IF(ISBLANK(INDEX('Profesores'!$B$4:$B$53,MATCH(1,INDEX(EXACT('Profesores'!$A$4:$A$53,$F6)*1*((('Profesores'!$A$4:$A$53&lt;&gt;""))&gt;0),0),0))),"",INDEX('Profesores'!$B$4:$B$53,MATCH(1,INDEX(EXACT('Profesores'!$A$4:$A$53,$F6)*1*((('Profesores'!$A$4:$A$53&lt;&gt;""))&gt;0),0),0))))</f>
        <v/>
      </c>
      <c r="M6" s="3">
        <f>IF(ISNA(MATCH(1,INDEX(EXACT('Profesores'!$A$4:$A$53,$F6)*1*((('Profesores'!$A$4:$A$53&lt;&gt;""))&gt;0),0),0)),"no",IF(ISBLANK(INDEX('Profesores'!$C$4:$C$53,MATCH(1,INDEX(EXACT('Profesores'!$A$4:$A$53,$F6)*1*((('Profesores'!$A$4:$A$53&lt;&gt;""))&gt;0),0),0))),"",INDEX('Profesores'!$C$4:$C$53,MATCH(1,INDEX(EXACT('Profesores'!$A$4:$A$53,$F6)*1*((('Profesores'!$A$4:$A$53&lt;&gt;""))&gt;0),0),0))))</f>
        <v/>
      </c>
      <c r="N6" s="3">
        <f>IF(EXACT($L6,"si"),IF(ISNA(MATCH(1,INDEX(1*((('Dias que asisten los contratado'!$A$4:$A$24&lt;&gt;"")+('Dias que asisten los contratado'!$B$4:$B$24&lt;&gt;""))&gt;0)*(EXACT('Dias que asisten los contratado'!$A$4:$A$24,$F6))*(EXACT('Dias que asisten los contratado'!$B$4:$B$24,$B6)),0),0)),"no",IF(ISBLANK(INDEX('Dias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contratado'!$B$4:$B$24,$B6)),0),0))),"",INDEX('Dias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contratado'!$B$4:$B$24,$B6)),0),0)))),"")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3">
        <f>IF(ISBLANK('Horario del grupo - 10-3'!E4),"",'Horario del grupo - 10-3'!E4)</f>
        <v/>
      </c>
      <c r="E7" s="3">
        <f>IF(ISNA(MATCH(1,INDEX(EXACT('Asignaturas'!$A$4:$A$38,$D7)*1*((('Asignaturas'!$A$4:$A$38&lt;&gt;""))&gt;0),0),0)),"",IF(ISBLANK(INDEX('Asignaturas'!$B$4:$B$38,MATCH(1,INDEX(EXACT('Asignaturas'!$A$4:$A$38,$D7)*1*((('Asignaturas'!$A$4:$A$38&lt;&gt;""))&gt;0),0),0))),"",INDEX('Asignaturas'!$B$4:$B$38,MATCH(1,INDEX(EXACT('Asignaturas'!$A$4:$A$38,$D7)*1*((('Asignaturas'!$A$4:$A$38&lt;&gt;""))&gt;0),0),0))))</f>
        <v/>
      </c>
      <c r="F7" s="3">
        <f>IF(ISNA(MATCH(1,INDEX(1*((('Plan por grupo'!$A$4:$A$53&lt;&gt;"")+('Plan por grupo'!$B$4:$B$53&lt;&gt;""))&gt;0)*(EXACT('Plan por grupo'!$A$4:$A$53,$A7))*(EXACT('Plan por grupo'!$B$4:$B$53,$D7)),0),0)),"",IF(ISBLANK(INDEX('Plan por grupo'!$C$4:$C$53,MATCH(1,INDEX(1*((('Plan por grupo'!$A$4:$A$53&lt;&gt;"")+('Plan por grupo'!$B$4:$B$53&lt;&gt;""))&gt;0)*(EXACT('Plan por grupo'!$A$4:$A$53,$A7))*(EXACT('Plan por grupo'!$B$4:$B$53,$D7)),0),0))),"",INDEX('Plan por grupo'!$C$4:$C$53,MATCH(1,INDEX(1*((('Plan por grupo'!$A$4:$A$53&lt;&gt;"")+('Plan por grupo'!$B$4:$B$53&lt;&gt;""))&gt;0)*(EXACT('Plan por grupo'!$A$4:$A$53,$A7))*(EXACT('Plan por grupo'!$B$4:$B$53,$D7)),0),0))))</f>
        <v/>
      </c>
      <c r="G7" s="3">
        <f>IF(ISNA(MATCH(1,INDEX(EXACT('Asignaturas'!$A$4:$A$38,$D7)*1*((('Asignaturas'!$A$4:$A$38&lt;&gt;""))&gt;0),0),0)),"",IF(ISBLANK(INDEX('Asignaturas'!$D$4:$D$38,MATCH(1,INDEX(EXACT('Asignaturas'!$A$4:$A$38,$D7)*1*((('Asignaturas'!$A$4:$A$38&lt;&gt;""))&gt;0),0),0))),"",INDEX('Asignaturas'!$D$4:$D$38,MATCH(1,INDEX(EXACT('Asignaturas'!$A$4:$A$38,$D7)*1*((('Asignaturas'!$A$4:$A$38&lt;&gt;""))&gt;0)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IF(ISNA(MATCH(1,INDEX(1*((('Plan por grupo'!$A$4:$A$53&lt;&gt;"")+('Plan por grupo'!$B$4:$B$53&lt;&gt;""))&gt;0)*(EXACT('Plan por grupo'!$A$4:$A$53,$A7))*(EXACT('Plan por grupo'!$B$4:$B$53,$D7)),0),0)),"no",IF(ISBLANK(INDEX('Plan por grupo'!$G$4:$G$53,MATCH(1,INDEX(1*((('Plan por grupo'!$A$4:$A$53&lt;&gt;"")+('Plan por grupo'!$B$4:$B$53&lt;&gt;""))&gt;0)*(EXACT('Plan por grupo'!$A$4:$A$53,$A7))*(EXACT('Plan por grupo'!$B$4:$B$53,$D7)),0),0))),"",INDEX('Plan por grupo'!$G$4:$G$53,MATCH(1,INDEX(1*((('Plan por grupo'!$A$4:$A$53&lt;&gt;"")+('Plan por grupo'!$B$4:$B$53&lt;&gt;""))&gt;0)*(EXACT('Plan por grupo'!$A$4:$A$53,$A7))*(EXACT('Plan por grupo'!$B$4:$B$53,$D7)),0),0))))</f>
        <v/>
      </c>
      <c r="J7" s="3">
        <f>IF(ISNA(MATCH(1,INDEX(1*((('Plan por grupo'!$A$4:$A$53&lt;&gt;"")+('Plan por grupo'!$B$4:$B$53&lt;&gt;""))&gt;0)*(EXACT('Plan por grupo'!$A$4:$A$53,$A7))*(EXACT('Plan por grupo'!$B$4:$B$53,$D7)),0),0)),"no",IF(ISBLANK(INDEX('Plan por grupo'!$E$4:$E$53,MATCH(1,INDEX(1*((('Plan por grupo'!$A$4:$A$53&lt;&gt;"")+('Plan por grupo'!$B$4:$B$53&lt;&gt;""))&gt;0)*(EXACT('Plan por grupo'!$A$4:$A$53,$A7))*(EXACT('Plan por grupo'!$B$4:$B$53,$D7)),0),0))),"",INDEX('Plan por grupo'!$E$4:$E$53,MATCH(1,INDEX(1*((('Plan por grupo'!$A$4:$A$53&lt;&gt;"")+('Plan por grupo'!$B$4:$B$53&lt;&gt;""))&gt;0)*(EXACT('Plan por grupo'!$A$4:$A$53,$A7))*(EXACT('Plan por grupo'!$B$4:$B$53,$D7)),0),0))))</f>
        <v/>
      </c>
      <c r="K7" s="3">
        <f>IF(ISNA(MATCH(1,INDEX(EXACT('Asignaturas'!$A$4:$A$38,$D7)*1*((('Asignaturas'!$A$4:$A$38&lt;&gt;""))&gt;0),0),0)),"",IF(ISBLANK(INDEX('Asignaturas'!$C$4:$C$38,MATCH(1,INDEX(EXACT('Asignaturas'!$A$4:$A$38,$D7)*1*((('Asignaturas'!$A$4:$A$38&lt;&gt;""))&gt;0),0),0))),"",INDEX('Asignaturas'!$C$4:$C$38,MATCH(1,INDEX(EXACT('Asignaturas'!$A$4:$A$38,$D7)*1*((('Asignaturas'!$A$4:$A$38&lt;&gt;""))&gt;0),0),0))))</f>
        <v/>
      </c>
      <c r="L7" s="3">
        <f>IF(ISNA(MATCH(1,INDEX(EXACT('Profesores'!$A$4:$A$53,$F7)*1*((('Profesores'!$A$4:$A$53&lt;&gt;""))&gt;0),0),0)),"no",IF(ISBLANK(INDEX('Profesores'!$B$4:$B$53,MATCH(1,INDEX(EXACT('Profesores'!$A$4:$A$53,$F7)*1*((('Profesores'!$A$4:$A$53&lt;&gt;""))&gt;0),0),0))),"",INDEX('Profesores'!$B$4:$B$53,MATCH(1,INDEX(EXACT('Profesores'!$A$4:$A$53,$F7)*1*((('Profesores'!$A$4:$A$53&lt;&gt;""))&gt;0),0),0))))</f>
        <v/>
      </c>
      <c r="M7" s="3">
        <f>IF(ISNA(MATCH(1,INDEX(EXACT('Profesores'!$A$4:$A$53,$F7)*1*((('Profesores'!$A$4:$A$53&lt;&gt;""))&gt;0),0),0)),"no",IF(ISBLANK(INDEX('Profesores'!$C$4:$C$53,MATCH(1,INDEX(EXACT('Profesores'!$A$4:$A$53,$F7)*1*((('Profesores'!$A$4:$A$53&lt;&gt;""))&gt;0),0),0))),"",INDEX('Profesores'!$C$4:$C$53,MATCH(1,INDEX(EXACT('Profesores'!$A$4:$A$53,$F7)*1*((('Profesores'!$A$4:$A$53&lt;&gt;""))&gt;0),0),0))))</f>
        <v/>
      </c>
      <c r="N7" s="3">
        <f>IF(EXACT($L7,"si"),IF(ISNA(MATCH(1,INDEX(1*((('Dias que asisten los contratado'!$A$4:$A$24&lt;&gt;"")+('Dias que asisten los contratado'!$B$4:$B$24&lt;&gt;""))&gt;0)*(EXACT('Dias que asisten los contratado'!$A$4:$A$24,$F7))*(EXACT('Dias que asisten los contratado'!$B$4:$B$24,$B7)),0),0)),"no",IF(ISBLANK(INDEX('Dias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contratado'!$B$4:$B$24,$B7)),0),0))),"",INDEX('Dias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contratado'!$B$4:$B$24,$B7)),0),0)))),"")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3">
        <f>IF(ISBLANK('Horario del grupo - 10-3'!F4),"",'Horario del grupo - 10-3'!F4)</f>
        <v/>
      </c>
      <c r="E8" s="3">
        <f>IF(ISNA(MATCH(1,INDEX(EXACT('Asignaturas'!$A$4:$A$38,$D8)*1*((('Asignaturas'!$A$4:$A$38&lt;&gt;""))&gt;0),0),0)),"",IF(ISBLANK(INDEX('Asignaturas'!$B$4:$B$38,MATCH(1,INDEX(EXACT('Asignaturas'!$A$4:$A$38,$D8)*1*((('Asignaturas'!$A$4:$A$38&lt;&gt;""))&gt;0),0),0))),"",INDEX('Asignaturas'!$B$4:$B$38,MATCH(1,INDEX(EXACT('Asignaturas'!$A$4:$A$38,$D8)*1*((('Asignaturas'!$A$4:$A$38&lt;&gt;""))&gt;0),0),0))))</f>
        <v/>
      </c>
      <c r="F8" s="3">
        <f>IF(ISNA(MATCH(1,INDEX(1*((('Plan por grupo'!$A$4:$A$53&lt;&gt;"")+('Plan por grupo'!$B$4:$B$53&lt;&gt;""))&gt;0)*(EXACT('Plan por grupo'!$A$4:$A$53,$A8))*(EXACT('Plan por grupo'!$B$4:$B$53,$D8)),0),0)),"",IF(ISBLANK(INDEX('Plan por grupo'!$C$4:$C$53,MATCH(1,INDEX(1*((('Plan por grupo'!$A$4:$A$53&lt;&gt;"")+('Plan por grupo'!$B$4:$B$53&lt;&gt;""))&gt;0)*(EXACT('Plan por grupo'!$A$4:$A$53,$A8))*(EXACT('Plan por grupo'!$B$4:$B$53,$D8)),0),0))),"",INDEX('Plan por grupo'!$C$4:$C$53,MATCH(1,INDEX(1*((('Plan por grupo'!$A$4:$A$53&lt;&gt;"")+('Plan por grupo'!$B$4:$B$53&lt;&gt;""))&gt;0)*(EXACT('Plan por grupo'!$A$4:$A$53,$A8))*(EXACT('Plan por grupo'!$B$4:$B$53,$D8)),0),0))))</f>
        <v/>
      </c>
      <c r="G8" s="3">
        <f>IF(ISNA(MATCH(1,INDEX(EXACT('Asignaturas'!$A$4:$A$38,$D8)*1*((('Asignaturas'!$A$4:$A$38&lt;&gt;""))&gt;0),0),0)),"",IF(ISBLANK(INDEX('Asignaturas'!$D$4:$D$38,MATCH(1,INDEX(EXACT('Asignaturas'!$A$4:$A$38,$D8)*1*((('Asignaturas'!$A$4:$A$38&lt;&gt;""))&gt;0),0),0))),"",INDEX('Asignaturas'!$D$4:$D$38,MATCH(1,INDEX(EXACT('Asignaturas'!$A$4:$A$38,$D8)*1*((('Asignaturas'!$A$4:$A$38&lt;&gt;""))&gt;0)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IF(ISNA(MATCH(1,INDEX(1*((('Plan por grupo'!$A$4:$A$53&lt;&gt;"")+('Plan por grupo'!$B$4:$B$53&lt;&gt;""))&gt;0)*(EXACT('Plan por grupo'!$A$4:$A$53,$A8))*(EXACT('Plan por grupo'!$B$4:$B$53,$D8)),0),0)),"no",IF(ISBLANK(INDEX('Plan por grupo'!$G$4:$G$53,MATCH(1,INDEX(1*((('Plan por grupo'!$A$4:$A$53&lt;&gt;"")+('Plan por grupo'!$B$4:$B$53&lt;&gt;""))&gt;0)*(EXACT('Plan por grupo'!$A$4:$A$53,$A8))*(EXACT('Plan por grupo'!$B$4:$B$53,$D8)),0),0))),"",INDEX('Plan por grupo'!$G$4:$G$53,MATCH(1,INDEX(1*((('Plan por grupo'!$A$4:$A$53&lt;&gt;"")+('Plan por grupo'!$B$4:$B$53&lt;&gt;""))&gt;0)*(EXACT('Plan por grupo'!$A$4:$A$53,$A8))*(EXACT('Plan por grupo'!$B$4:$B$53,$D8)),0),0))))</f>
        <v/>
      </c>
      <c r="J8" s="3">
        <f>IF(ISNA(MATCH(1,INDEX(1*((('Plan por grupo'!$A$4:$A$53&lt;&gt;"")+('Plan por grupo'!$B$4:$B$53&lt;&gt;""))&gt;0)*(EXACT('Plan por grupo'!$A$4:$A$53,$A8))*(EXACT('Plan por grupo'!$B$4:$B$53,$D8)),0),0)),"no",IF(ISBLANK(INDEX('Plan por grupo'!$E$4:$E$53,MATCH(1,INDEX(1*((('Plan por grupo'!$A$4:$A$53&lt;&gt;"")+('Plan por grupo'!$B$4:$B$53&lt;&gt;""))&gt;0)*(EXACT('Plan por grupo'!$A$4:$A$53,$A8))*(EXACT('Plan por grupo'!$B$4:$B$53,$D8)),0),0))),"",INDEX('Plan por grupo'!$E$4:$E$53,MATCH(1,INDEX(1*((('Plan por grupo'!$A$4:$A$53&lt;&gt;"")+('Plan por grupo'!$B$4:$B$53&lt;&gt;""))&gt;0)*(EXACT('Plan por grupo'!$A$4:$A$53,$A8))*(EXACT('Plan por grupo'!$B$4:$B$53,$D8)),0),0))))</f>
        <v/>
      </c>
      <c r="K8" s="3">
        <f>IF(ISNA(MATCH(1,INDEX(EXACT('Asignaturas'!$A$4:$A$38,$D8)*1*((('Asignaturas'!$A$4:$A$38&lt;&gt;""))&gt;0),0),0)),"",IF(ISBLANK(INDEX('Asignaturas'!$C$4:$C$38,MATCH(1,INDEX(EXACT('Asignaturas'!$A$4:$A$38,$D8)*1*((('Asignaturas'!$A$4:$A$38&lt;&gt;""))&gt;0),0),0))),"",INDEX('Asignaturas'!$C$4:$C$38,MATCH(1,INDEX(EXACT('Asignaturas'!$A$4:$A$38,$D8)*1*((('Asignaturas'!$A$4:$A$38&lt;&gt;""))&gt;0),0),0))))</f>
        <v/>
      </c>
      <c r="L8" s="3">
        <f>IF(ISNA(MATCH(1,INDEX(EXACT('Profesores'!$A$4:$A$53,$F8)*1*((('Profesores'!$A$4:$A$53&lt;&gt;""))&gt;0),0),0)),"no",IF(ISBLANK(INDEX('Profesores'!$B$4:$B$53,MATCH(1,INDEX(EXACT('Profesores'!$A$4:$A$53,$F8)*1*((('Profesores'!$A$4:$A$53&lt;&gt;""))&gt;0),0),0))),"",INDEX('Profesores'!$B$4:$B$53,MATCH(1,INDEX(EXACT('Profesores'!$A$4:$A$53,$F8)*1*((('Profesores'!$A$4:$A$53&lt;&gt;""))&gt;0),0),0))))</f>
        <v/>
      </c>
      <c r="M8" s="3">
        <f>IF(ISNA(MATCH(1,INDEX(EXACT('Profesores'!$A$4:$A$53,$F8)*1*((('Profesores'!$A$4:$A$53&lt;&gt;""))&gt;0),0),0)),"no",IF(ISBLANK(INDEX('Profesores'!$C$4:$C$53,MATCH(1,INDEX(EXACT('Profesores'!$A$4:$A$53,$F8)*1*((('Profesores'!$A$4:$A$53&lt;&gt;""))&gt;0),0),0))),"",INDEX('Profesores'!$C$4:$C$53,MATCH(1,INDEX(EXACT('Profesores'!$A$4:$A$53,$F8)*1*((('Profesores'!$A$4:$A$53&lt;&gt;""))&gt;0),0),0))))</f>
        <v/>
      </c>
      <c r="N8" s="3">
        <f>IF(EXACT($L8,"si"),IF(ISNA(MATCH(1,INDEX(1*((('Dias que asisten los contratado'!$A$4:$A$24&lt;&gt;"")+('Dias que asisten los contratado'!$B$4:$B$24&lt;&gt;""))&gt;0)*(EXACT('Dias que asisten los contratado'!$A$4:$A$24,$F8))*(EXACT('Dias que asisten los contratado'!$B$4:$B$24,$B8)),0),0)),"no",IF(ISBLANK(INDEX('Dias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contratado'!$B$4:$B$24,$B8)),0),0))),"",INDEX('Dias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contratado'!$B$4:$B$24,$B8)),0),0)))),"")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3">
        <f>IF(ISBLANK('Horario del grupo - 10-4'!B4),"",'Horario del grupo - 10-4'!B4)</f>
        <v/>
      </c>
      <c r="E9" s="3">
        <f>IF(ISNA(MATCH(1,INDEX(EXACT('Asignaturas'!$A$4:$A$38,$D9)*1*((('Asignaturas'!$A$4:$A$38&lt;&gt;""))&gt;0),0),0)),"",IF(ISBLANK(INDEX('Asignaturas'!$B$4:$B$38,MATCH(1,INDEX(EXACT('Asignaturas'!$A$4:$A$38,$D9)*1*((('Asignaturas'!$A$4:$A$38&lt;&gt;""))&gt;0),0),0))),"",INDEX('Asignaturas'!$B$4:$B$38,MATCH(1,INDEX(EXACT('Asignaturas'!$A$4:$A$38,$D9)*1*((('Asignaturas'!$A$4:$A$38&lt;&gt;""))&gt;0),0),0))))</f>
        <v/>
      </c>
      <c r="F9" s="3">
        <f>IF(ISNA(MATCH(1,INDEX(1*((('Plan por grupo'!$A$4:$A$53&lt;&gt;"")+('Plan por grupo'!$B$4:$B$53&lt;&gt;""))&gt;0)*(EXACT('Plan por grupo'!$A$4:$A$53,$A9))*(EXACT('Plan por grupo'!$B$4:$B$53,$D9)),0),0)),"",IF(ISBLANK(INDEX('Plan por grupo'!$C$4:$C$53,MATCH(1,INDEX(1*((('Plan por grupo'!$A$4:$A$53&lt;&gt;"")+('Plan por grupo'!$B$4:$B$53&lt;&gt;""))&gt;0)*(EXACT('Plan por grupo'!$A$4:$A$53,$A9))*(EXACT('Plan por grupo'!$B$4:$B$53,$D9)),0),0))),"",INDEX('Plan por grupo'!$C$4:$C$53,MATCH(1,INDEX(1*((('Plan por grupo'!$A$4:$A$53&lt;&gt;"")+('Plan por grupo'!$B$4:$B$53&lt;&gt;""))&gt;0)*(EXACT('Plan por grupo'!$A$4:$A$53,$A9))*(EXACT('Plan por grupo'!$B$4:$B$53,$D9)),0),0))))</f>
        <v/>
      </c>
      <c r="G9" s="3">
        <f>IF(ISNA(MATCH(1,INDEX(EXACT('Asignaturas'!$A$4:$A$38,$D9)*1*((('Asignaturas'!$A$4:$A$38&lt;&gt;""))&gt;0),0),0)),"",IF(ISBLANK(INDEX('Asignaturas'!$D$4:$D$38,MATCH(1,INDEX(EXACT('Asignaturas'!$A$4:$A$38,$D9)*1*((('Asignaturas'!$A$4:$A$38&lt;&gt;""))&gt;0),0),0))),"",INDEX('Asignaturas'!$D$4:$D$38,MATCH(1,INDEX(EXACT('Asignaturas'!$A$4:$A$38,$D9)*1*((('Asignaturas'!$A$4:$A$38&lt;&gt;""))&gt;0)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IF(ISNA(MATCH(1,INDEX(1*((('Plan por grupo'!$A$4:$A$53&lt;&gt;"")+('Plan por grupo'!$B$4:$B$53&lt;&gt;""))&gt;0)*(EXACT('Plan por grupo'!$A$4:$A$53,$A9))*(EXACT('Plan por grupo'!$B$4:$B$53,$D9)),0),0)),"no",IF(ISBLANK(INDEX('Plan por grupo'!$G$4:$G$53,MATCH(1,INDEX(1*((('Plan por grupo'!$A$4:$A$53&lt;&gt;"")+('Plan por grupo'!$B$4:$B$53&lt;&gt;""))&gt;0)*(EXACT('Plan por grupo'!$A$4:$A$53,$A9))*(EXACT('Plan por grupo'!$B$4:$B$53,$D9)),0),0))),"",INDEX('Plan por grupo'!$G$4:$G$53,MATCH(1,INDEX(1*((('Plan por grupo'!$A$4:$A$53&lt;&gt;"")+('Plan por grupo'!$B$4:$B$53&lt;&gt;""))&gt;0)*(EXACT('Plan por grupo'!$A$4:$A$53,$A9))*(EXACT('Plan por grupo'!$B$4:$B$53,$D9)),0),0))))</f>
        <v/>
      </c>
      <c r="J9" s="3">
        <f>IF(ISNA(MATCH(1,INDEX(1*((('Plan por grupo'!$A$4:$A$53&lt;&gt;"")+('Plan por grupo'!$B$4:$B$53&lt;&gt;""))&gt;0)*(EXACT('Plan por grupo'!$A$4:$A$53,$A9))*(EXACT('Plan por grupo'!$B$4:$B$53,$D9)),0),0)),"no",IF(ISBLANK(INDEX('Plan por grupo'!$E$4:$E$53,MATCH(1,INDEX(1*((('Plan por grupo'!$A$4:$A$53&lt;&gt;"")+('Plan por grupo'!$B$4:$B$53&lt;&gt;""))&gt;0)*(EXACT('Plan por grupo'!$A$4:$A$53,$A9))*(EXACT('Plan por grupo'!$B$4:$B$53,$D9)),0),0))),"",INDEX('Plan por grupo'!$E$4:$E$53,MATCH(1,INDEX(1*((('Plan por grupo'!$A$4:$A$53&lt;&gt;"")+('Plan por grupo'!$B$4:$B$53&lt;&gt;""))&gt;0)*(EXACT('Plan por grupo'!$A$4:$A$53,$A9))*(EXACT('Plan por grupo'!$B$4:$B$53,$D9)),0),0))))</f>
        <v/>
      </c>
      <c r="K9" s="3">
        <f>IF(ISNA(MATCH(1,INDEX(EXACT('Asignaturas'!$A$4:$A$38,$D9)*1*((('Asignaturas'!$A$4:$A$38&lt;&gt;""))&gt;0),0),0)),"",IF(ISBLANK(INDEX('Asignaturas'!$C$4:$C$38,MATCH(1,INDEX(EXACT('Asignaturas'!$A$4:$A$38,$D9)*1*((('Asignaturas'!$A$4:$A$38&lt;&gt;""))&gt;0),0),0))),"",INDEX('Asignaturas'!$C$4:$C$38,MATCH(1,INDEX(EXACT('Asignaturas'!$A$4:$A$38,$D9)*1*((('Asignaturas'!$A$4:$A$38&lt;&gt;""))&gt;0),0),0))))</f>
        <v/>
      </c>
      <c r="L9" s="3">
        <f>IF(ISNA(MATCH(1,INDEX(EXACT('Profesores'!$A$4:$A$53,$F9)*1*((('Profesores'!$A$4:$A$53&lt;&gt;""))&gt;0),0),0)),"no",IF(ISBLANK(INDEX('Profesores'!$B$4:$B$53,MATCH(1,INDEX(EXACT('Profesores'!$A$4:$A$53,$F9)*1*((('Profesores'!$A$4:$A$53&lt;&gt;""))&gt;0),0),0))),"",INDEX('Profesores'!$B$4:$B$53,MATCH(1,INDEX(EXACT('Profesores'!$A$4:$A$53,$F9)*1*((('Profesores'!$A$4:$A$53&lt;&gt;""))&gt;0),0),0))))</f>
        <v/>
      </c>
      <c r="M9" s="3">
        <f>IF(ISNA(MATCH(1,INDEX(EXACT('Profesores'!$A$4:$A$53,$F9)*1*((('Profesores'!$A$4:$A$53&lt;&gt;""))&gt;0),0),0)),"no",IF(ISBLANK(INDEX('Profesores'!$C$4:$C$53,MATCH(1,INDEX(EXACT('Profesores'!$A$4:$A$53,$F9)*1*((('Profesores'!$A$4:$A$53&lt;&gt;""))&gt;0),0),0))),"",INDEX('Profesores'!$C$4:$C$53,MATCH(1,INDEX(EXACT('Profesores'!$A$4:$A$53,$F9)*1*((('Profesores'!$A$4:$A$53&lt;&gt;""))&gt;0),0),0))))</f>
        <v/>
      </c>
      <c r="N9" s="3">
        <f>IF(EXACT($L9,"si"),IF(ISNA(MATCH(1,INDEX(1*((('Dias que asisten los contratado'!$A$4:$A$24&lt;&gt;"")+('Dias que asisten los contratado'!$B$4:$B$24&lt;&gt;""))&gt;0)*(EXACT('Dias que asisten los contratado'!$A$4:$A$24,$F9))*(EXACT('Dias que asisten los contratado'!$B$4:$B$24,$B9)),0),0)),"no",IF(ISBLANK(INDEX('Dias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contratado'!$B$4:$B$24,$B9)),0),0))),"",INDEX('Dias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contratado'!$B$4:$B$24,$B9)),0),0)))),"")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3">
        <f>IF(ISBLANK('Horario del grupo - 10-4'!C4),"",'Horario del grupo - 10-4'!C4)</f>
        <v/>
      </c>
      <c r="E10" s="3">
        <f>IF(ISNA(MATCH(1,INDEX(EXACT('Asignaturas'!$A$4:$A$38,$D10)*1*((('Asignaturas'!$A$4:$A$38&lt;&gt;""))&gt;0),0),0)),"",IF(ISBLANK(INDEX('Asignaturas'!$B$4:$B$38,MATCH(1,INDEX(EXACT('Asignaturas'!$A$4:$A$38,$D10)*1*((('Asignaturas'!$A$4:$A$38&lt;&gt;""))&gt;0),0),0))),"",INDEX('Asignaturas'!$B$4:$B$38,MATCH(1,INDEX(EXACT('Asignaturas'!$A$4:$A$38,$D10)*1*((('Asignaturas'!$A$4:$A$38&lt;&gt;""))&gt;0),0),0))))</f>
        <v/>
      </c>
      <c r="F10" s="3">
        <f>IF(ISNA(MATCH(1,INDEX(1*((('Plan por grupo'!$A$4:$A$53&lt;&gt;"")+('Plan por grupo'!$B$4:$B$53&lt;&gt;""))&gt;0)*(EXACT('Plan por grupo'!$A$4:$A$53,$A10))*(EXACT('Plan por grupo'!$B$4:$B$53,$D10)),0),0)),"",IF(ISBLANK(INDEX('Plan por grupo'!$C$4:$C$53,MATCH(1,INDEX(1*((('Plan por grupo'!$A$4:$A$53&lt;&gt;"")+('Plan por grupo'!$B$4:$B$53&lt;&gt;""))&gt;0)*(EXACT('Plan por grupo'!$A$4:$A$53,$A10))*(EXACT('Plan por grupo'!$B$4:$B$53,$D10)),0),0))),"",INDEX('Plan por grupo'!$C$4:$C$53,MATCH(1,INDEX(1*((('Plan por grupo'!$A$4:$A$53&lt;&gt;"")+('Plan por grupo'!$B$4:$B$53&lt;&gt;""))&gt;0)*(EXACT('Plan por grupo'!$A$4:$A$53,$A10))*(EXACT('Plan por grupo'!$B$4:$B$53,$D10)),0),0))))</f>
        <v/>
      </c>
      <c r="G10" s="3">
        <f>IF(ISNA(MATCH(1,INDEX(EXACT('Asignaturas'!$A$4:$A$38,$D10)*1*((('Asignaturas'!$A$4:$A$38&lt;&gt;""))&gt;0),0),0)),"",IF(ISBLANK(INDEX('Asignaturas'!$D$4:$D$38,MATCH(1,INDEX(EXACT('Asignaturas'!$A$4:$A$38,$D10)*1*((('Asignaturas'!$A$4:$A$38&lt;&gt;""))&gt;0),0),0))),"",INDEX('Asignaturas'!$D$4:$D$38,MATCH(1,INDEX(EXACT('Asignaturas'!$A$4:$A$38,$D10)*1*((('Asignaturas'!$A$4:$A$38&lt;&gt;""))&gt;0)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IF(ISNA(MATCH(1,INDEX(1*((('Plan por grupo'!$A$4:$A$53&lt;&gt;"")+('Plan por grupo'!$B$4:$B$53&lt;&gt;""))&gt;0)*(EXACT('Plan por grupo'!$A$4:$A$53,$A10))*(EXACT('Plan por grupo'!$B$4:$B$53,$D10)),0),0)),"no",IF(ISBLANK(INDEX('Plan por grupo'!$G$4:$G$53,MATCH(1,INDEX(1*((('Plan por grupo'!$A$4:$A$53&lt;&gt;"")+('Plan por grupo'!$B$4:$B$53&lt;&gt;""))&gt;0)*(EXACT('Plan por grupo'!$A$4:$A$53,$A10))*(EXACT('Plan por grupo'!$B$4:$B$53,$D10)),0),0))),"",INDEX('Plan por grupo'!$G$4:$G$53,MATCH(1,INDEX(1*((('Plan por grupo'!$A$4:$A$53&lt;&gt;"")+('Plan por grupo'!$B$4:$B$53&lt;&gt;""))&gt;0)*(EXACT('Plan por grupo'!$A$4:$A$53,$A10))*(EXACT('Plan por grupo'!$B$4:$B$53,$D10)),0),0))))</f>
        <v/>
      </c>
      <c r="J10" s="3">
        <f>IF(ISNA(MATCH(1,INDEX(1*((('Plan por grupo'!$A$4:$A$53&lt;&gt;"")+('Plan por grupo'!$B$4:$B$53&lt;&gt;""))&gt;0)*(EXACT('Plan por grupo'!$A$4:$A$53,$A10))*(EXACT('Plan por grupo'!$B$4:$B$53,$D10)),0),0)),"no",IF(ISBLANK(INDEX('Plan por grupo'!$E$4:$E$53,MATCH(1,INDEX(1*((('Plan por grupo'!$A$4:$A$53&lt;&gt;"")+('Plan por grupo'!$B$4:$B$53&lt;&gt;""))&gt;0)*(EXACT('Plan por grupo'!$A$4:$A$53,$A10))*(EXACT('Plan por grupo'!$B$4:$B$53,$D10)),0),0))),"",INDEX('Plan por grupo'!$E$4:$E$53,MATCH(1,INDEX(1*((('Plan por grupo'!$A$4:$A$53&lt;&gt;"")+('Plan por grupo'!$B$4:$B$53&lt;&gt;""))&gt;0)*(EXACT('Plan por grupo'!$A$4:$A$53,$A10))*(EXACT('Plan por grupo'!$B$4:$B$53,$D10)),0),0))))</f>
        <v/>
      </c>
      <c r="K10" s="3">
        <f>IF(ISNA(MATCH(1,INDEX(EXACT('Asignaturas'!$A$4:$A$38,$D10)*1*((('Asignaturas'!$A$4:$A$38&lt;&gt;""))&gt;0),0),0)),"",IF(ISBLANK(INDEX('Asignaturas'!$C$4:$C$38,MATCH(1,INDEX(EXACT('Asignaturas'!$A$4:$A$38,$D10)*1*((('Asignaturas'!$A$4:$A$38&lt;&gt;""))&gt;0),0),0))),"",INDEX('Asignaturas'!$C$4:$C$38,MATCH(1,INDEX(EXACT('Asignaturas'!$A$4:$A$38,$D10)*1*((('Asignaturas'!$A$4:$A$38&lt;&gt;""))&gt;0),0),0))))</f>
        <v/>
      </c>
      <c r="L10" s="3">
        <f>IF(ISNA(MATCH(1,INDEX(EXACT('Profesores'!$A$4:$A$53,$F10)*1*((('Profesores'!$A$4:$A$53&lt;&gt;""))&gt;0),0),0)),"no",IF(ISBLANK(INDEX('Profesores'!$B$4:$B$53,MATCH(1,INDEX(EXACT('Profesores'!$A$4:$A$53,$F10)*1*((('Profesores'!$A$4:$A$53&lt;&gt;""))&gt;0),0),0))),"",INDEX('Profesores'!$B$4:$B$53,MATCH(1,INDEX(EXACT('Profesores'!$A$4:$A$53,$F10)*1*((('Profesores'!$A$4:$A$53&lt;&gt;""))&gt;0),0),0))))</f>
        <v/>
      </c>
      <c r="M10" s="3">
        <f>IF(ISNA(MATCH(1,INDEX(EXACT('Profesores'!$A$4:$A$53,$F10)*1*((('Profesores'!$A$4:$A$53&lt;&gt;""))&gt;0),0),0)),"no",IF(ISBLANK(INDEX('Profesores'!$C$4:$C$53,MATCH(1,INDEX(EXACT('Profesores'!$A$4:$A$53,$F10)*1*((('Profesores'!$A$4:$A$53&lt;&gt;""))&gt;0),0),0))),"",INDEX('Profesores'!$C$4:$C$53,MATCH(1,INDEX(EXACT('Profesores'!$A$4:$A$53,$F10)*1*((('Profesores'!$A$4:$A$53&lt;&gt;""))&gt;0),0),0))))</f>
        <v/>
      </c>
      <c r="N10" s="3">
        <f>IF(EXACT($L10,"si"),IF(ISNA(MATCH(1,INDEX(1*((('Dias que asisten los contratado'!$A$4:$A$24&lt;&gt;"")+('Dias que asisten los contratado'!$B$4:$B$24&lt;&gt;""))&gt;0)*(EXACT('Dias que asisten los contratado'!$A$4:$A$24,$F10))*(EXACT('Dias que asisten los contratado'!$B$4:$B$24,$B10)),0),0)),"no",IF(ISBLANK(INDEX('Dias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contratado'!$B$4:$B$24,$B10)),0),0))),"",INDEX('Dias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contratado'!$B$4:$B$24,$B10)),0),0)))),"")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3">
        <f>IF(ISBLANK('Horario del grupo - 10-4'!D4),"",'Horario del grupo - 10-4'!D4)</f>
        <v/>
      </c>
      <c r="E11" s="3">
        <f>IF(ISNA(MATCH(1,INDEX(EXACT('Asignaturas'!$A$4:$A$38,$D11)*1*((('Asignaturas'!$A$4:$A$38&lt;&gt;""))&gt;0),0),0)),"",IF(ISBLANK(INDEX('Asignaturas'!$B$4:$B$38,MATCH(1,INDEX(EXACT('Asignaturas'!$A$4:$A$38,$D11)*1*((('Asignaturas'!$A$4:$A$38&lt;&gt;""))&gt;0),0),0))),"",INDEX('Asignaturas'!$B$4:$B$38,MATCH(1,INDEX(EXACT('Asignaturas'!$A$4:$A$38,$D11)*1*((('Asignaturas'!$A$4:$A$38&lt;&gt;""))&gt;0),0),0))))</f>
        <v/>
      </c>
      <c r="F11" s="3">
        <f>IF(ISNA(MATCH(1,INDEX(1*((('Plan por grupo'!$A$4:$A$53&lt;&gt;"")+('Plan por grupo'!$B$4:$B$53&lt;&gt;""))&gt;0)*(EXACT('Plan por grupo'!$A$4:$A$53,$A11))*(EXACT('Plan por grupo'!$B$4:$B$53,$D11)),0),0)),"",IF(ISBLANK(INDEX('Plan por grupo'!$C$4:$C$53,MATCH(1,INDEX(1*((('Plan por grupo'!$A$4:$A$53&lt;&gt;"")+('Plan por grupo'!$B$4:$B$53&lt;&gt;""))&gt;0)*(EXACT('Plan por grupo'!$A$4:$A$53,$A11))*(EXACT('Plan por grupo'!$B$4:$B$53,$D11)),0),0))),"",INDEX('Plan por grupo'!$C$4:$C$53,MATCH(1,INDEX(1*((('Plan por grupo'!$A$4:$A$53&lt;&gt;"")+('Plan por grupo'!$B$4:$B$53&lt;&gt;""))&gt;0)*(EXACT('Plan por grupo'!$A$4:$A$53,$A11))*(EXACT('Plan por grupo'!$B$4:$B$53,$D11)),0),0))))</f>
        <v/>
      </c>
      <c r="G11" s="3">
        <f>IF(ISNA(MATCH(1,INDEX(EXACT('Asignaturas'!$A$4:$A$38,$D11)*1*((('Asignaturas'!$A$4:$A$38&lt;&gt;""))&gt;0),0),0)),"",IF(ISBLANK(INDEX('Asignaturas'!$D$4:$D$38,MATCH(1,INDEX(EXACT('Asignaturas'!$A$4:$A$38,$D11)*1*((('Asignaturas'!$A$4:$A$38&lt;&gt;""))&gt;0),0),0))),"",INDEX('Asignaturas'!$D$4:$D$38,MATCH(1,INDEX(EXACT('Asignaturas'!$A$4:$A$38,$D11)*1*((('Asignaturas'!$A$4:$A$38&lt;&gt;""))&gt;0)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IF(ISNA(MATCH(1,INDEX(1*((('Plan por grupo'!$A$4:$A$53&lt;&gt;"")+('Plan por grupo'!$B$4:$B$53&lt;&gt;""))&gt;0)*(EXACT('Plan por grupo'!$A$4:$A$53,$A11))*(EXACT('Plan por grupo'!$B$4:$B$53,$D11)),0),0)),"no",IF(ISBLANK(INDEX('Plan por grupo'!$G$4:$G$53,MATCH(1,INDEX(1*((('Plan por grupo'!$A$4:$A$53&lt;&gt;"")+('Plan por grupo'!$B$4:$B$53&lt;&gt;""))&gt;0)*(EXACT('Plan por grupo'!$A$4:$A$53,$A11))*(EXACT('Plan por grupo'!$B$4:$B$53,$D11)),0),0))),"",INDEX('Plan por grupo'!$G$4:$G$53,MATCH(1,INDEX(1*((('Plan por grupo'!$A$4:$A$53&lt;&gt;"")+('Plan por grupo'!$B$4:$B$53&lt;&gt;""))&gt;0)*(EXACT('Plan por grupo'!$A$4:$A$53,$A11))*(EXACT('Plan por grupo'!$B$4:$B$53,$D11)),0),0))))</f>
        <v/>
      </c>
      <c r="J11" s="3">
        <f>IF(ISNA(MATCH(1,INDEX(1*((('Plan por grupo'!$A$4:$A$53&lt;&gt;"")+('Plan por grupo'!$B$4:$B$53&lt;&gt;""))&gt;0)*(EXACT('Plan por grupo'!$A$4:$A$53,$A11))*(EXACT('Plan por grupo'!$B$4:$B$53,$D11)),0),0)),"no",IF(ISBLANK(INDEX('Plan por grupo'!$E$4:$E$53,MATCH(1,INDEX(1*((('Plan por grupo'!$A$4:$A$53&lt;&gt;"")+('Plan por grupo'!$B$4:$B$53&lt;&gt;""))&gt;0)*(EXACT('Plan por grupo'!$A$4:$A$53,$A11))*(EXACT('Plan por grupo'!$B$4:$B$53,$D11)),0),0))),"",INDEX('Plan por grupo'!$E$4:$E$53,MATCH(1,INDEX(1*((('Plan por grupo'!$A$4:$A$53&lt;&gt;"")+('Plan por grupo'!$B$4:$B$53&lt;&gt;""))&gt;0)*(EXACT('Plan por grupo'!$A$4:$A$53,$A11))*(EXACT('Plan por grupo'!$B$4:$B$53,$D11)),0),0))))</f>
        <v/>
      </c>
      <c r="K11" s="3">
        <f>IF(ISNA(MATCH(1,INDEX(EXACT('Asignaturas'!$A$4:$A$38,$D11)*1*((('Asignaturas'!$A$4:$A$38&lt;&gt;""))&gt;0),0),0)),"",IF(ISBLANK(INDEX('Asignaturas'!$C$4:$C$38,MATCH(1,INDEX(EXACT('Asignaturas'!$A$4:$A$38,$D11)*1*((('Asignaturas'!$A$4:$A$38&lt;&gt;""))&gt;0),0),0))),"",INDEX('Asignaturas'!$C$4:$C$38,MATCH(1,INDEX(EXACT('Asignaturas'!$A$4:$A$38,$D11)*1*((('Asignaturas'!$A$4:$A$38&lt;&gt;""))&gt;0),0),0))))</f>
        <v/>
      </c>
      <c r="L11" s="3">
        <f>IF(ISNA(MATCH(1,INDEX(EXACT('Profesores'!$A$4:$A$53,$F11)*1*((('Profesores'!$A$4:$A$53&lt;&gt;""))&gt;0),0),0)),"no",IF(ISBLANK(INDEX('Profesores'!$B$4:$B$53,MATCH(1,INDEX(EXACT('Profesores'!$A$4:$A$53,$F11)*1*((('Profesores'!$A$4:$A$53&lt;&gt;""))&gt;0),0),0))),"",INDEX('Profesores'!$B$4:$B$53,MATCH(1,INDEX(EXACT('Profesores'!$A$4:$A$53,$F11)*1*((('Profesores'!$A$4:$A$53&lt;&gt;""))&gt;0),0),0))))</f>
        <v/>
      </c>
      <c r="M11" s="3">
        <f>IF(ISNA(MATCH(1,INDEX(EXACT('Profesores'!$A$4:$A$53,$F11)*1*((('Profesores'!$A$4:$A$53&lt;&gt;""))&gt;0),0),0)),"no",IF(ISBLANK(INDEX('Profesores'!$C$4:$C$53,MATCH(1,INDEX(EXACT('Profesores'!$A$4:$A$53,$F11)*1*((('Profesores'!$A$4:$A$53&lt;&gt;""))&gt;0),0),0))),"",INDEX('Profesores'!$C$4:$C$53,MATCH(1,INDEX(EXACT('Profesores'!$A$4:$A$53,$F11)*1*((('Profesores'!$A$4:$A$53&lt;&gt;""))&gt;0),0),0))))</f>
        <v/>
      </c>
      <c r="N11" s="3">
        <f>IF(EXACT($L11,"si"),IF(ISNA(MATCH(1,INDEX(1*((('Dias que asisten los contratado'!$A$4:$A$24&lt;&gt;"")+('Dias que asisten los contratado'!$B$4:$B$24&lt;&gt;""))&gt;0)*(EXACT('Dias que asisten los contratado'!$A$4:$A$24,$F11))*(EXACT('Dias que asisten los contratado'!$B$4:$B$24,$B11)),0),0)),"no",IF(ISBLANK(INDEX('Dias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contratado'!$B$4:$B$24,$B11)),0),0))),"",INDEX('Dias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contratado'!$B$4:$B$24,$B11)),0),0)))),"")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3">
        <f>IF(ISBLANK('Horario del grupo - 10-4'!E4),"",'Horario del grupo - 10-4'!E4)</f>
        <v/>
      </c>
      <c r="E12" s="3">
        <f>IF(ISNA(MATCH(1,INDEX(EXACT('Asignaturas'!$A$4:$A$38,$D12)*1*((('Asignaturas'!$A$4:$A$38&lt;&gt;""))&gt;0),0),0)),"",IF(ISBLANK(INDEX('Asignaturas'!$B$4:$B$38,MATCH(1,INDEX(EXACT('Asignaturas'!$A$4:$A$38,$D12)*1*((('Asignaturas'!$A$4:$A$38&lt;&gt;""))&gt;0),0),0))),"",INDEX('Asignaturas'!$B$4:$B$38,MATCH(1,INDEX(EXACT('Asignaturas'!$A$4:$A$38,$D12)*1*((('Asignaturas'!$A$4:$A$38&lt;&gt;""))&gt;0),0),0))))</f>
        <v/>
      </c>
      <c r="F12" s="3">
        <f>IF(ISNA(MATCH(1,INDEX(1*((('Plan por grupo'!$A$4:$A$53&lt;&gt;"")+('Plan por grupo'!$B$4:$B$53&lt;&gt;""))&gt;0)*(EXACT('Plan por grupo'!$A$4:$A$53,$A12))*(EXACT('Plan por grupo'!$B$4:$B$53,$D12)),0),0)),"",IF(ISBLANK(INDEX('Plan por grupo'!$C$4:$C$53,MATCH(1,INDEX(1*((('Plan por grupo'!$A$4:$A$53&lt;&gt;"")+('Plan por grupo'!$B$4:$B$53&lt;&gt;""))&gt;0)*(EXACT('Plan por grupo'!$A$4:$A$53,$A12))*(EXACT('Plan por grupo'!$B$4:$B$53,$D12)),0),0))),"",INDEX('Plan por grupo'!$C$4:$C$53,MATCH(1,INDEX(1*((('Plan por grupo'!$A$4:$A$53&lt;&gt;"")+('Plan por grupo'!$B$4:$B$53&lt;&gt;""))&gt;0)*(EXACT('Plan por grupo'!$A$4:$A$53,$A12))*(EXACT('Plan por grupo'!$B$4:$B$53,$D12)),0),0))))</f>
        <v/>
      </c>
      <c r="G12" s="3">
        <f>IF(ISNA(MATCH(1,INDEX(EXACT('Asignaturas'!$A$4:$A$38,$D12)*1*((('Asignaturas'!$A$4:$A$38&lt;&gt;""))&gt;0),0),0)),"",IF(ISBLANK(INDEX('Asignaturas'!$D$4:$D$38,MATCH(1,INDEX(EXACT('Asignaturas'!$A$4:$A$38,$D12)*1*((('Asignaturas'!$A$4:$A$38&lt;&gt;""))&gt;0),0),0))),"",INDEX('Asignaturas'!$D$4:$D$38,MATCH(1,INDEX(EXACT('Asignaturas'!$A$4:$A$38,$D12)*1*((('Asignaturas'!$A$4:$A$38&lt;&gt;""))&gt;0)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IF(ISNA(MATCH(1,INDEX(1*((('Plan por grupo'!$A$4:$A$53&lt;&gt;"")+('Plan por grupo'!$B$4:$B$53&lt;&gt;""))&gt;0)*(EXACT('Plan por grupo'!$A$4:$A$53,$A12))*(EXACT('Plan por grupo'!$B$4:$B$53,$D12)),0),0)),"no",IF(ISBLANK(INDEX('Plan por grupo'!$G$4:$G$53,MATCH(1,INDEX(1*((('Plan por grupo'!$A$4:$A$53&lt;&gt;"")+('Plan por grupo'!$B$4:$B$53&lt;&gt;""))&gt;0)*(EXACT('Plan por grupo'!$A$4:$A$53,$A12))*(EXACT('Plan por grupo'!$B$4:$B$53,$D12)),0),0))),"",INDEX('Plan por grupo'!$G$4:$G$53,MATCH(1,INDEX(1*((('Plan por grupo'!$A$4:$A$53&lt;&gt;"")+('Plan por grupo'!$B$4:$B$53&lt;&gt;""))&gt;0)*(EXACT('Plan por grupo'!$A$4:$A$53,$A12))*(EXACT('Plan por grupo'!$B$4:$B$53,$D12)),0),0))))</f>
        <v/>
      </c>
      <c r="J12" s="3">
        <f>IF(ISNA(MATCH(1,INDEX(1*((('Plan por grupo'!$A$4:$A$53&lt;&gt;"")+('Plan por grupo'!$B$4:$B$53&lt;&gt;""))&gt;0)*(EXACT('Plan por grupo'!$A$4:$A$53,$A12))*(EXACT('Plan por grupo'!$B$4:$B$53,$D12)),0),0)),"no",IF(ISBLANK(INDEX('Plan por grupo'!$E$4:$E$53,MATCH(1,INDEX(1*((('Plan por grupo'!$A$4:$A$53&lt;&gt;"")+('Plan por grupo'!$B$4:$B$53&lt;&gt;""))&gt;0)*(EXACT('Plan por grupo'!$A$4:$A$53,$A12))*(EXACT('Plan por grupo'!$B$4:$B$53,$D12)),0),0))),"",INDEX('Plan por grupo'!$E$4:$E$53,MATCH(1,INDEX(1*((('Plan por grupo'!$A$4:$A$53&lt;&gt;"")+('Plan por grupo'!$B$4:$B$53&lt;&gt;""))&gt;0)*(EXACT('Plan por grupo'!$A$4:$A$53,$A12))*(EXACT('Plan por grupo'!$B$4:$B$53,$D12)),0),0))))</f>
        <v/>
      </c>
      <c r="K12" s="3">
        <f>IF(ISNA(MATCH(1,INDEX(EXACT('Asignaturas'!$A$4:$A$38,$D12)*1*((('Asignaturas'!$A$4:$A$38&lt;&gt;""))&gt;0),0),0)),"",IF(ISBLANK(INDEX('Asignaturas'!$C$4:$C$38,MATCH(1,INDEX(EXACT('Asignaturas'!$A$4:$A$38,$D12)*1*((('Asignaturas'!$A$4:$A$38&lt;&gt;""))&gt;0),0),0))),"",INDEX('Asignaturas'!$C$4:$C$38,MATCH(1,INDEX(EXACT('Asignaturas'!$A$4:$A$38,$D12)*1*((('Asignaturas'!$A$4:$A$38&lt;&gt;""))&gt;0),0),0))))</f>
        <v/>
      </c>
      <c r="L12" s="3">
        <f>IF(ISNA(MATCH(1,INDEX(EXACT('Profesores'!$A$4:$A$53,$F12)*1*((('Profesores'!$A$4:$A$53&lt;&gt;""))&gt;0),0),0)),"no",IF(ISBLANK(INDEX('Profesores'!$B$4:$B$53,MATCH(1,INDEX(EXACT('Profesores'!$A$4:$A$53,$F12)*1*((('Profesores'!$A$4:$A$53&lt;&gt;""))&gt;0),0),0))),"",INDEX('Profesores'!$B$4:$B$53,MATCH(1,INDEX(EXACT('Profesores'!$A$4:$A$53,$F12)*1*((('Profesores'!$A$4:$A$53&lt;&gt;""))&gt;0),0),0))))</f>
        <v/>
      </c>
      <c r="M12" s="3">
        <f>IF(ISNA(MATCH(1,INDEX(EXACT('Profesores'!$A$4:$A$53,$F12)*1*((('Profesores'!$A$4:$A$53&lt;&gt;""))&gt;0),0),0)),"no",IF(ISBLANK(INDEX('Profesores'!$C$4:$C$53,MATCH(1,INDEX(EXACT('Profesores'!$A$4:$A$53,$F12)*1*((('Profesores'!$A$4:$A$53&lt;&gt;""))&gt;0),0),0))),"",INDEX('Profesores'!$C$4:$C$53,MATCH(1,INDEX(EXACT('Profesores'!$A$4:$A$53,$F12)*1*((('Profesores'!$A$4:$A$53&lt;&gt;""))&gt;0),0),0))))</f>
        <v/>
      </c>
      <c r="N12" s="3">
        <f>IF(EXACT($L12,"si"),IF(ISNA(MATCH(1,INDEX(1*((('Dias que asisten los contratado'!$A$4:$A$24&lt;&gt;"")+('Dias que asisten los contratado'!$B$4:$B$24&lt;&gt;""))&gt;0)*(EXACT('Dias que asisten los contratado'!$A$4:$A$24,$F12))*(EXACT('Dias que asisten los contratado'!$B$4:$B$24,$B12)),0),0)),"no",IF(ISBLANK(INDEX('Dias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contratado'!$B$4:$B$24,$B12)),0),0))),"",INDEX('Dias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contratado'!$B$4:$B$24,$B12)),0),0)))),"")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3">
        <f>IF(ISBLANK('Horario del grupo - 10-4'!F4),"",'Horario del grupo - 10-4'!F4)</f>
        <v/>
      </c>
      <c r="E13" s="3">
        <f>IF(ISNA(MATCH(1,INDEX(EXACT('Asignaturas'!$A$4:$A$38,$D13)*1*((('Asignaturas'!$A$4:$A$38&lt;&gt;""))&gt;0),0),0)),"",IF(ISBLANK(INDEX('Asignaturas'!$B$4:$B$38,MATCH(1,INDEX(EXACT('Asignaturas'!$A$4:$A$38,$D13)*1*((('Asignaturas'!$A$4:$A$38&lt;&gt;""))&gt;0),0),0))),"",INDEX('Asignaturas'!$B$4:$B$38,MATCH(1,INDEX(EXACT('Asignaturas'!$A$4:$A$38,$D13)*1*((('Asignaturas'!$A$4:$A$38&lt;&gt;""))&gt;0),0),0))))</f>
        <v/>
      </c>
      <c r="F13" s="3">
        <f>IF(ISNA(MATCH(1,INDEX(1*((('Plan por grupo'!$A$4:$A$53&lt;&gt;"")+('Plan por grupo'!$B$4:$B$53&lt;&gt;""))&gt;0)*(EXACT('Plan por grupo'!$A$4:$A$53,$A13))*(EXACT('Plan por grupo'!$B$4:$B$53,$D13)),0),0)),"",IF(ISBLANK(INDEX('Plan por grupo'!$C$4:$C$53,MATCH(1,INDEX(1*((('Plan por grupo'!$A$4:$A$53&lt;&gt;"")+('Plan por grupo'!$B$4:$B$53&lt;&gt;""))&gt;0)*(EXACT('Plan por grupo'!$A$4:$A$53,$A13))*(EXACT('Plan por grupo'!$B$4:$B$53,$D13)),0),0))),"",INDEX('Plan por grupo'!$C$4:$C$53,MATCH(1,INDEX(1*((('Plan por grupo'!$A$4:$A$53&lt;&gt;"")+('Plan por grupo'!$B$4:$B$53&lt;&gt;""))&gt;0)*(EXACT('Plan por grupo'!$A$4:$A$53,$A13))*(EXACT('Plan por grupo'!$B$4:$B$53,$D13)),0),0))))</f>
        <v/>
      </c>
      <c r="G13" s="3">
        <f>IF(ISNA(MATCH(1,INDEX(EXACT('Asignaturas'!$A$4:$A$38,$D13)*1*((('Asignaturas'!$A$4:$A$38&lt;&gt;""))&gt;0),0),0)),"",IF(ISBLANK(INDEX('Asignaturas'!$D$4:$D$38,MATCH(1,INDEX(EXACT('Asignaturas'!$A$4:$A$38,$D13)*1*((('Asignaturas'!$A$4:$A$38&lt;&gt;""))&gt;0),0),0))),"",INDEX('Asignaturas'!$D$4:$D$38,MATCH(1,INDEX(EXACT('Asignaturas'!$A$4:$A$38,$D13)*1*((('Asignaturas'!$A$4:$A$38&lt;&gt;""))&gt;0)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IF(ISNA(MATCH(1,INDEX(1*((('Plan por grupo'!$A$4:$A$53&lt;&gt;"")+('Plan por grupo'!$B$4:$B$53&lt;&gt;""))&gt;0)*(EXACT('Plan por grupo'!$A$4:$A$53,$A13))*(EXACT('Plan por grupo'!$B$4:$B$53,$D13)),0),0)),"no",IF(ISBLANK(INDEX('Plan por grupo'!$G$4:$G$53,MATCH(1,INDEX(1*((('Plan por grupo'!$A$4:$A$53&lt;&gt;"")+('Plan por grupo'!$B$4:$B$53&lt;&gt;""))&gt;0)*(EXACT('Plan por grupo'!$A$4:$A$53,$A13))*(EXACT('Plan por grupo'!$B$4:$B$53,$D13)),0),0))),"",INDEX('Plan por grupo'!$G$4:$G$53,MATCH(1,INDEX(1*((('Plan por grupo'!$A$4:$A$53&lt;&gt;"")+('Plan por grupo'!$B$4:$B$53&lt;&gt;""))&gt;0)*(EXACT('Plan por grupo'!$A$4:$A$53,$A13))*(EXACT('Plan por grupo'!$B$4:$B$53,$D13)),0),0))))</f>
        <v/>
      </c>
      <c r="J13" s="3">
        <f>IF(ISNA(MATCH(1,INDEX(1*((('Plan por grupo'!$A$4:$A$53&lt;&gt;"")+('Plan por grupo'!$B$4:$B$53&lt;&gt;""))&gt;0)*(EXACT('Plan por grupo'!$A$4:$A$53,$A13))*(EXACT('Plan por grupo'!$B$4:$B$53,$D13)),0),0)),"no",IF(ISBLANK(INDEX('Plan por grupo'!$E$4:$E$53,MATCH(1,INDEX(1*((('Plan por grupo'!$A$4:$A$53&lt;&gt;"")+('Plan por grupo'!$B$4:$B$53&lt;&gt;""))&gt;0)*(EXACT('Plan por grupo'!$A$4:$A$53,$A13))*(EXACT('Plan por grupo'!$B$4:$B$53,$D13)),0),0))),"",INDEX('Plan por grupo'!$E$4:$E$53,MATCH(1,INDEX(1*((('Plan por grupo'!$A$4:$A$53&lt;&gt;"")+('Plan por grupo'!$B$4:$B$53&lt;&gt;""))&gt;0)*(EXACT('Plan por grupo'!$A$4:$A$53,$A13))*(EXACT('Plan por grupo'!$B$4:$B$53,$D13)),0),0))))</f>
        <v/>
      </c>
      <c r="K13" s="3">
        <f>IF(ISNA(MATCH(1,INDEX(EXACT('Asignaturas'!$A$4:$A$38,$D13)*1*((('Asignaturas'!$A$4:$A$38&lt;&gt;""))&gt;0),0),0)),"",IF(ISBLANK(INDEX('Asignaturas'!$C$4:$C$38,MATCH(1,INDEX(EXACT('Asignaturas'!$A$4:$A$38,$D13)*1*((('Asignaturas'!$A$4:$A$38&lt;&gt;""))&gt;0),0),0))),"",INDEX('Asignaturas'!$C$4:$C$38,MATCH(1,INDEX(EXACT('Asignaturas'!$A$4:$A$38,$D13)*1*((('Asignaturas'!$A$4:$A$38&lt;&gt;""))&gt;0),0),0))))</f>
        <v/>
      </c>
      <c r="L13" s="3">
        <f>IF(ISNA(MATCH(1,INDEX(EXACT('Profesores'!$A$4:$A$53,$F13)*1*((('Profesores'!$A$4:$A$53&lt;&gt;""))&gt;0),0),0)),"no",IF(ISBLANK(INDEX('Profesores'!$B$4:$B$53,MATCH(1,INDEX(EXACT('Profesores'!$A$4:$A$53,$F13)*1*((('Profesores'!$A$4:$A$53&lt;&gt;""))&gt;0),0),0))),"",INDEX('Profesores'!$B$4:$B$53,MATCH(1,INDEX(EXACT('Profesores'!$A$4:$A$53,$F13)*1*((('Profesores'!$A$4:$A$53&lt;&gt;""))&gt;0),0),0))))</f>
        <v/>
      </c>
      <c r="M13" s="3">
        <f>IF(ISNA(MATCH(1,INDEX(EXACT('Profesores'!$A$4:$A$53,$F13)*1*((('Profesores'!$A$4:$A$53&lt;&gt;""))&gt;0),0),0)),"no",IF(ISBLANK(INDEX('Profesores'!$C$4:$C$53,MATCH(1,INDEX(EXACT('Profesores'!$A$4:$A$53,$F13)*1*((('Profesores'!$A$4:$A$53&lt;&gt;""))&gt;0),0),0))),"",INDEX('Profesores'!$C$4:$C$53,MATCH(1,INDEX(EXACT('Profesores'!$A$4:$A$53,$F13)*1*((('Profesores'!$A$4:$A$53&lt;&gt;""))&gt;0),0),0))))</f>
        <v/>
      </c>
      <c r="N13" s="3">
        <f>IF(EXACT($L13,"si"),IF(ISNA(MATCH(1,INDEX(1*((('Dias que asisten los contratado'!$A$4:$A$24&lt;&gt;"")+('Dias que asisten los contratado'!$B$4:$B$24&lt;&gt;""))&gt;0)*(EXACT('Dias que asisten los contratado'!$A$4:$A$24,$F13))*(EXACT('Dias que asisten los contratado'!$B$4:$B$24,$B13)),0),0)),"no",IF(ISBLANK(INDEX('Dias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contratado'!$B$4:$B$24,$B13)),0),0))),"",INDEX('Dias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contratado'!$B$4:$B$24,$B13)),0),0)))),"")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3">
        <f>IF(ISBLANK('Horario del grupo - 10-3'!B5),"",'Horario del grupo - 10-3'!B5)</f>
        <v/>
      </c>
      <c r="E14" s="3">
        <f>IF(ISNA(MATCH(1,INDEX(EXACT('Asignaturas'!$A$4:$A$38,$D14)*1*((('Asignaturas'!$A$4:$A$38&lt;&gt;""))&gt;0),0),0)),"",IF(ISBLANK(INDEX('Asignaturas'!$B$4:$B$38,MATCH(1,INDEX(EXACT('Asignaturas'!$A$4:$A$38,$D14)*1*((('Asignaturas'!$A$4:$A$38&lt;&gt;""))&gt;0),0),0))),"",INDEX('Asignaturas'!$B$4:$B$38,MATCH(1,INDEX(EXACT('Asignaturas'!$A$4:$A$38,$D14)*1*((('Asignaturas'!$A$4:$A$38&lt;&gt;""))&gt;0),0),0))))</f>
        <v/>
      </c>
      <c r="F14" s="3">
        <f>IF(ISNA(MATCH(1,INDEX(1*((('Plan por grupo'!$A$4:$A$53&lt;&gt;"")+('Plan por grupo'!$B$4:$B$53&lt;&gt;""))&gt;0)*(EXACT('Plan por grupo'!$A$4:$A$53,$A14))*(EXACT('Plan por grupo'!$B$4:$B$53,$D14)),0),0)),"",IF(ISBLANK(INDEX('Plan por grupo'!$C$4:$C$53,MATCH(1,INDEX(1*((('Plan por grupo'!$A$4:$A$53&lt;&gt;"")+('Plan por grupo'!$B$4:$B$53&lt;&gt;""))&gt;0)*(EXACT('Plan por grupo'!$A$4:$A$53,$A14))*(EXACT('Plan por grupo'!$B$4:$B$53,$D14)),0),0))),"",INDEX('Plan por grupo'!$C$4:$C$53,MATCH(1,INDEX(1*((('Plan por grupo'!$A$4:$A$53&lt;&gt;"")+('Plan por grupo'!$B$4:$B$53&lt;&gt;""))&gt;0)*(EXACT('Plan por grupo'!$A$4:$A$53,$A14))*(EXACT('Plan por grupo'!$B$4:$B$53,$D14)),0),0))))</f>
        <v/>
      </c>
      <c r="G14" s="3">
        <f>IF(ISNA(MATCH(1,INDEX(EXACT('Asignaturas'!$A$4:$A$38,$D14)*1*((('Asignaturas'!$A$4:$A$38&lt;&gt;""))&gt;0),0),0)),"",IF(ISBLANK(INDEX('Asignaturas'!$D$4:$D$38,MATCH(1,INDEX(EXACT('Asignaturas'!$A$4:$A$38,$D14)*1*((('Asignaturas'!$A$4:$A$38&lt;&gt;""))&gt;0),0),0))),"",INDEX('Asignaturas'!$D$4:$D$38,MATCH(1,INDEX(EXACT('Asignaturas'!$A$4:$A$38,$D14)*1*((('Asignaturas'!$A$4:$A$38&lt;&gt;""))&gt;0)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IF(ISNA(MATCH(1,INDEX(1*((('Plan por grupo'!$A$4:$A$53&lt;&gt;"")+('Plan por grupo'!$B$4:$B$53&lt;&gt;""))&gt;0)*(EXACT('Plan por grupo'!$A$4:$A$53,$A14))*(EXACT('Plan por grupo'!$B$4:$B$53,$D14)),0),0)),"no",IF(ISBLANK(INDEX('Plan por grupo'!$G$4:$G$53,MATCH(1,INDEX(1*((('Plan por grupo'!$A$4:$A$53&lt;&gt;"")+('Plan por grupo'!$B$4:$B$53&lt;&gt;""))&gt;0)*(EXACT('Plan por grupo'!$A$4:$A$53,$A14))*(EXACT('Plan por grupo'!$B$4:$B$53,$D14)),0),0))),"",INDEX('Plan por grupo'!$G$4:$G$53,MATCH(1,INDEX(1*((('Plan por grupo'!$A$4:$A$53&lt;&gt;"")+('Plan por grupo'!$B$4:$B$53&lt;&gt;""))&gt;0)*(EXACT('Plan por grupo'!$A$4:$A$53,$A14))*(EXACT('Plan por grupo'!$B$4:$B$53,$D14)),0),0))))</f>
        <v/>
      </c>
      <c r="J14" s="3">
        <f>IF(ISNA(MATCH(1,INDEX(1*((('Plan por grupo'!$A$4:$A$53&lt;&gt;"")+('Plan por grupo'!$B$4:$B$53&lt;&gt;""))&gt;0)*(EXACT('Plan por grupo'!$A$4:$A$53,$A14))*(EXACT('Plan por grupo'!$B$4:$B$53,$D14)),0),0)),"no",IF(ISBLANK(INDEX('Plan por grupo'!$E$4:$E$53,MATCH(1,INDEX(1*((('Plan por grupo'!$A$4:$A$53&lt;&gt;"")+('Plan por grupo'!$B$4:$B$53&lt;&gt;""))&gt;0)*(EXACT('Plan por grupo'!$A$4:$A$53,$A14))*(EXACT('Plan por grupo'!$B$4:$B$53,$D14)),0),0))),"",INDEX('Plan por grupo'!$E$4:$E$53,MATCH(1,INDEX(1*((('Plan por grupo'!$A$4:$A$53&lt;&gt;"")+('Plan por grupo'!$B$4:$B$53&lt;&gt;""))&gt;0)*(EXACT('Plan por grupo'!$A$4:$A$53,$A14))*(EXACT('Plan por grupo'!$B$4:$B$53,$D14)),0),0))))</f>
        <v/>
      </c>
      <c r="K14" s="3">
        <f>IF(ISNA(MATCH(1,INDEX(EXACT('Asignaturas'!$A$4:$A$38,$D14)*1*((('Asignaturas'!$A$4:$A$38&lt;&gt;""))&gt;0),0),0)),"",IF(ISBLANK(INDEX('Asignaturas'!$C$4:$C$38,MATCH(1,INDEX(EXACT('Asignaturas'!$A$4:$A$38,$D14)*1*((('Asignaturas'!$A$4:$A$38&lt;&gt;""))&gt;0),0),0))),"",INDEX('Asignaturas'!$C$4:$C$38,MATCH(1,INDEX(EXACT('Asignaturas'!$A$4:$A$38,$D14)*1*((('Asignaturas'!$A$4:$A$38&lt;&gt;""))&gt;0),0),0))))</f>
        <v/>
      </c>
      <c r="L14" s="3">
        <f>IF(ISNA(MATCH(1,INDEX(EXACT('Profesores'!$A$4:$A$53,$F14)*1*((('Profesores'!$A$4:$A$53&lt;&gt;""))&gt;0),0),0)),"no",IF(ISBLANK(INDEX('Profesores'!$B$4:$B$53,MATCH(1,INDEX(EXACT('Profesores'!$A$4:$A$53,$F14)*1*((('Profesores'!$A$4:$A$53&lt;&gt;""))&gt;0),0),0))),"",INDEX('Profesores'!$B$4:$B$53,MATCH(1,INDEX(EXACT('Profesores'!$A$4:$A$53,$F14)*1*((('Profesores'!$A$4:$A$53&lt;&gt;""))&gt;0),0),0))))</f>
        <v/>
      </c>
      <c r="M14" s="3">
        <f>IF(ISNA(MATCH(1,INDEX(EXACT('Profesores'!$A$4:$A$53,$F14)*1*((('Profesores'!$A$4:$A$53&lt;&gt;""))&gt;0),0),0)),"no",IF(ISBLANK(INDEX('Profesores'!$C$4:$C$53,MATCH(1,INDEX(EXACT('Profesores'!$A$4:$A$53,$F14)*1*((('Profesores'!$A$4:$A$53&lt;&gt;""))&gt;0),0),0))),"",INDEX('Profesores'!$C$4:$C$53,MATCH(1,INDEX(EXACT('Profesores'!$A$4:$A$53,$F14)*1*((('Profesores'!$A$4:$A$53&lt;&gt;""))&gt;0),0),0))))</f>
        <v/>
      </c>
      <c r="N14" s="3">
        <f>IF(EXACT($L14,"si"),IF(ISNA(MATCH(1,INDEX(1*((('Dias que asisten los contratado'!$A$4:$A$24&lt;&gt;"")+('Dias que asisten los contratado'!$B$4:$B$24&lt;&gt;""))&gt;0)*(EXACT('Dias que asisten los contratado'!$A$4:$A$24,$F14))*(EXACT('Dias que asisten los contratado'!$B$4:$B$24,$B14)),0),0)),"no",IF(ISBLANK(INDEX('Dias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contratado'!$B$4:$B$24,$B14)),0),0))),"",INDEX('Dias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contratado'!$B$4:$B$24,$B14)),0),0)))),"")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3">
        <f>IF(ISBLANK('Horario del grupo - 10-3'!C5),"",'Horario del grupo - 10-3'!C5)</f>
        <v/>
      </c>
      <c r="E15" s="3">
        <f>IF(ISNA(MATCH(1,INDEX(EXACT('Asignaturas'!$A$4:$A$38,$D15)*1*((('Asignaturas'!$A$4:$A$38&lt;&gt;""))&gt;0),0),0)),"",IF(ISBLANK(INDEX('Asignaturas'!$B$4:$B$38,MATCH(1,INDEX(EXACT('Asignaturas'!$A$4:$A$38,$D15)*1*((('Asignaturas'!$A$4:$A$38&lt;&gt;""))&gt;0),0),0))),"",INDEX('Asignaturas'!$B$4:$B$38,MATCH(1,INDEX(EXACT('Asignaturas'!$A$4:$A$38,$D15)*1*((('Asignaturas'!$A$4:$A$38&lt;&gt;""))&gt;0),0),0))))</f>
        <v/>
      </c>
      <c r="F15" s="3">
        <f>IF(ISNA(MATCH(1,INDEX(1*((('Plan por grupo'!$A$4:$A$53&lt;&gt;"")+('Plan por grupo'!$B$4:$B$53&lt;&gt;""))&gt;0)*(EXACT('Plan por grupo'!$A$4:$A$53,$A15))*(EXACT('Plan por grupo'!$B$4:$B$53,$D15)),0),0)),"",IF(ISBLANK(INDEX('Plan por grupo'!$C$4:$C$53,MATCH(1,INDEX(1*((('Plan por grupo'!$A$4:$A$53&lt;&gt;"")+('Plan por grupo'!$B$4:$B$53&lt;&gt;""))&gt;0)*(EXACT('Plan por grupo'!$A$4:$A$53,$A15))*(EXACT('Plan por grupo'!$B$4:$B$53,$D15)),0),0))),"",INDEX('Plan por grupo'!$C$4:$C$53,MATCH(1,INDEX(1*((('Plan por grupo'!$A$4:$A$53&lt;&gt;"")+('Plan por grupo'!$B$4:$B$53&lt;&gt;""))&gt;0)*(EXACT('Plan por grupo'!$A$4:$A$53,$A15))*(EXACT('Plan por grupo'!$B$4:$B$53,$D15)),0),0))))</f>
        <v/>
      </c>
      <c r="G15" s="3">
        <f>IF(ISNA(MATCH(1,INDEX(EXACT('Asignaturas'!$A$4:$A$38,$D15)*1*((('Asignaturas'!$A$4:$A$38&lt;&gt;""))&gt;0),0),0)),"",IF(ISBLANK(INDEX('Asignaturas'!$D$4:$D$38,MATCH(1,INDEX(EXACT('Asignaturas'!$A$4:$A$38,$D15)*1*((('Asignaturas'!$A$4:$A$38&lt;&gt;""))&gt;0),0),0))),"",INDEX('Asignaturas'!$D$4:$D$38,MATCH(1,INDEX(EXACT('Asignaturas'!$A$4:$A$38,$D15)*1*((('Asignaturas'!$A$4:$A$38&lt;&gt;""))&gt;0)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IF(ISNA(MATCH(1,INDEX(1*((('Plan por grupo'!$A$4:$A$53&lt;&gt;"")+('Plan por grupo'!$B$4:$B$53&lt;&gt;""))&gt;0)*(EXACT('Plan por grupo'!$A$4:$A$53,$A15))*(EXACT('Plan por grupo'!$B$4:$B$53,$D15)),0),0)),"no",IF(ISBLANK(INDEX('Plan por grupo'!$G$4:$G$53,MATCH(1,INDEX(1*((('Plan por grupo'!$A$4:$A$53&lt;&gt;"")+('Plan por grupo'!$B$4:$B$53&lt;&gt;""))&gt;0)*(EXACT('Plan por grupo'!$A$4:$A$53,$A15))*(EXACT('Plan por grupo'!$B$4:$B$53,$D15)),0),0))),"",INDEX('Plan por grupo'!$G$4:$G$53,MATCH(1,INDEX(1*((('Plan por grupo'!$A$4:$A$53&lt;&gt;"")+('Plan por grupo'!$B$4:$B$53&lt;&gt;""))&gt;0)*(EXACT('Plan por grupo'!$A$4:$A$53,$A15))*(EXACT('Plan por grupo'!$B$4:$B$53,$D15)),0),0))))</f>
        <v/>
      </c>
      <c r="J15" s="3">
        <f>IF(ISNA(MATCH(1,INDEX(1*((('Plan por grupo'!$A$4:$A$53&lt;&gt;"")+('Plan por grupo'!$B$4:$B$53&lt;&gt;""))&gt;0)*(EXACT('Plan por grupo'!$A$4:$A$53,$A15))*(EXACT('Plan por grupo'!$B$4:$B$53,$D15)),0),0)),"no",IF(ISBLANK(INDEX('Plan por grupo'!$E$4:$E$53,MATCH(1,INDEX(1*((('Plan por grupo'!$A$4:$A$53&lt;&gt;"")+('Plan por grupo'!$B$4:$B$53&lt;&gt;""))&gt;0)*(EXACT('Plan por grupo'!$A$4:$A$53,$A15))*(EXACT('Plan por grupo'!$B$4:$B$53,$D15)),0),0))),"",INDEX('Plan por grupo'!$E$4:$E$53,MATCH(1,INDEX(1*((('Plan por grupo'!$A$4:$A$53&lt;&gt;"")+('Plan por grupo'!$B$4:$B$53&lt;&gt;""))&gt;0)*(EXACT('Plan por grupo'!$A$4:$A$53,$A15))*(EXACT('Plan por grupo'!$B$4:$B$53,$D15)),0),0))))</f>
        <v/>
      </c>
      <c r="K15" s="3">
        <f>IF(ISNA(MATCH(1,INDEX(EXACT('Asignaturas'!$A$4:$A$38,$D15)*1*((('Asignaturas'!$A$4:$A$38&lt;&gt;""))&gt;0),0),0)),"",IF(ISBLANK(INDEX('Asignaturas'!$C$4:$C$38,MATCH(1,INDEX(EXACT('Asignaturas'!$A$4:$A$38,$D15)*1*((('Asignaturas'!$A$4:$A$38&lt;&gt;""))&gt;0),0),0))),"",INDEX('Asignaturas'!$C$4:$C$38,MATCH(1,INDEX(EXACT('Asignaturas'!$A$4:$A$38,$D15)*1*((('Asignaturas'!$A$4:$A$38&lt;&gt;""))&gt;0),0),0))))</f>
        <v/>
      </c>
      <c r="L15" s="3">
        <f>IF(ISNA(MATCH(1,INDEX(EXACT('Profesores'!$A$4:$A$53,$F15)*1*((('Profesores'!$A$4:$A$53&lt;&gt;""))&gt;0),0),0)),"no",IF(ISBLANK(INDEX('Profesores'!$B$4:$B$53,MATCH(1,INDEX(EXACT('Profesores'!$A$4:$A$53,$F15)*1*((('Profesores'!$A$4:$A$53&lt;&gt;""))&gt;0),0),0))),"",INDEX('Profesores'!$B$4:$B$53,MATCH(1,INDEX(EXACT('Profesores'!$A$4:$A$53,$F15)*1*((('Profesores'!$A$4:$A$53&lt;&gt;""))&gt;0),0),0))))</f>
        <v/>
      </c>
      <c r="M15" s="3">
        <f>IF(ISNA(MATCH(1,INDEX(EXACT('Profesores'!$A$4:$A$53,$F15)*1*((('Profesores'!$A$4:$A$53&lt;&gt;""))&gt;0),0),0)),"no",IF(ISBLANK(INDEX('Profesores'!$C$4:$C$53,MATCH(1,INDEX(EXACT('Profesores'!$A$4:$A$53,$F15)*1*((('Profesores'!$A$4:$A$53&lt;&gt;""))&gt;0),0),0))),"",INDEX('Profesores'!$C$4:$C$53,MATCH(1,INDEX(EXACT('Profesores'!$A$4:$A$53,$F15)*1*((('Profesores'!$A$4:$A$53&lt;&gt;""))&gt;0),0),0))))</f>
        <v/>
      </c>
      <c r="N15" s="3">
        <f>IF(EXACT($L15,"si"),IF(ISNA(MATCH(1,INDEX(1*((('Dias que asisten los contratado'!$A$4:$A$24&lt;&gt;"")+('Dias que asisten los contratado'!$B$4:$B$24&lt;&gt;""))&gt;0)*(EXACT('Dias que asisten los contratado'!$A$4:$A$24,$F15))*(EXACT('Dias que asisten los contratado'!$B$4:$B$24,$B15)),0),0)),"no",IF(ISBLANK(INDEX('Dias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contratado'!$B$4:$B$24,$B15)),0),0))),"",INDEX('Dias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contratado'!$B$4:$B$24,$B15)),0),0)))),"")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3">
        <f>IF(ISBLANK('Horario del grupo - 10-3'!D5),"",'Horario del grupo - 10-3'!D5)</f>
        <v/>
      </c>
      <c r="E16" s="3">
        <f>IF(ISNA(MATCH(1,INDEX(EXACT('Asignaturas'!$A$4:$A$38,$D16)*1*((('Asignaturas'!$A$4:$A$38&lt;&gt;""))&gt;0),0),0)),"",IF(ISBLANK(INDEX('Asignaturas'!$B$4:$B$38,MATCH(1,INDEX(EXACT('Asignaturas'!$A$4:$A$38,$D16)*1*((('Asignaturas'!$A$4:$A$38&lt;&gt;""))&gt;0),0),0))),"",INDEX('Asignaturas'!$B$4:$B$38,MATCH(1,INDEX(EXACT('Asignaturas'!$A$4:$A$38,$D16)*1*((('Asignaturas'!$A$4:$A$38&lt;&gt;""))&gt;0),0),0))))</f>
        <v/>
      </c>
      <c r="F16" s="3">
        <f>IF(ISNA(MATCH(1,INDEX(1*((('Plan por grupo'!$A$4:$A$53&lt;&gt;"")+('Plan por grupo'!$B$4:$B$53&lt;&gt;""))&gt;0)*(EXACT('Plan por grupo'!$A$4:$A$53,$A16))*(EXACT('Plan por grupo'!$B$4:$B$53,$D16)),0),0)),"",IF(ISBLANK(INDEX('Plan por grupo'!$C$4:$C$53,MATCH(1,INDEX(1*((('Plan por grupo'!$A$4:$A$53&lt;&gt;"")+('Plan por grupo'!$B$4:$B$53&lt;&gt;""))&gt;0)*(EXACT('Plan por grupo'!$A$4:$A$53,$A16))*(EXACT('Plan por grupo'!$B$4:$B$53,$D16)),0),0))),"",INDEX('Plan por grupo'!$C$4:$C$53,MATCH(1,INDEX(1*((('Plan por grupo'!$A$4:$A$53&lt;&gt;"")+('Plan por grupo'!$B$4:$B$53&lt;&gt;""))&gt;0)*(EXACT('Plan por grupo'!$A$4:$A$53,$A16))*(EXACT('Plan por grupo'!$B$4:$B$53,$D16)),0),0))))</f>
        <v/>
      </c>
      <c r="G16" s="3">
        <f>IF(ISNA(MATCH(1,INDEX(EXACT('Asignaturas'!$A$4:$A$38,$D16)*1*((('Asignaturas'!$A$4:$A$38&lt;&gt;""))&gt;0),0),0)),"",IF(ISBLANK(INDEX('Asignaturas'!$D$4:$D$38,MATCH(1,INDEX(EXACT('Asignaturas'!$A$4:$A$38,$D16)*1*((('Asignaturas'!$A$4:$A$38&lt;&gt;""))&gt;0),0),0))),"",INDEX('Asignaturas'!$D$4:$D$38,MATCH(1,INDEX(EXACT('Asignaturas'!$A$4:$A$38,$D16)*1*((('Asignaturas'!$A$4:$A$38&lt;&gt;""))&gt;0)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IF(ISNA(MATCH(1,INDEX(1*((('Plan por grupo'!$A$4:$A$53&lt;&gt;"")+('Plan por grupo'!$B$4:$B$53&lt;&gt;""))&gt;0)*(EXACT('Plan por grupo'!$A$4:$A$53,$A16))*(EXACT('Plan por grupo'!$B$4:$B$53,$D16)),0),0)),"no",IF(ISBLANK(INDEX('Plan por grupo'!$G$4:$G$53,MATCH(1,INDEX(1*((('Plan por grupo'!$A$4:$A$53&lt;&gt;"")+('Plan por grupo'!$B$4:$B$53&lt;&gt;""))&gt;0)*(EXACT('Plan por grupo'!$A$4:$A$53,$A16))*(EXACT('Plan por grupo'!$B$4:$B$53,$D16)),0),0))),"",INDEX('Plan por grupo'!$G$4:$G$53,MATCH(1,INDEX(1*((('Plan por grupo'!$A$4:$A$53&lt;&gt;"")+('Plan por grupo'!$B$4:$B$53&lt;&gt;""))&gt;0)*(EXACT('Plan por grupo'!$A$4:$A$53,$A16))*(EXACT('Plan por grupo'!$B$4:$B$53,$D16)),0),0))))</f>
        <v/>
      </c>
      <c r="J16" s="3">
        <f>IF(ISNA(MATCH(1,INDEX(1*((('Plan por grupo'!$A$4:$A$53&lt;&gt;"")+('Plan por grupo'!$B$4:$B$53&lt;&gt;""))&gt;0)*(EXACT('Plan por grupo'!$A$4:$A$53,$A16))*(EXACT('Plan por grupo'!$B$4:$B$53,$D16)),0),0)),"no",IF(ISBLANK(INDEX('Plan por grupo'!$E$4:$E$53,MATCH(1,INDEX(1*((('Plan por grupo'!$A$4:$A$53&lt;&gt;"")+('Plan por grupo'!$B$4:$B$53&lt;&gt;""))&gt;0)*(EXACT('Plan por grupo'!$A$4:$A$53,$A16))*(EXACT('Plan por grupo'!$B$4:$B$53,$D16)),0),0))),"",INDEX('Plan por grupo'!$E$4:$E$53,MATCH(1,INDEX(1*((('Plan por grupo'!$A$4:$A$53&lt;&gt;"")+('Plan por grupo'!$B$4:$B$53&lt;&gt;""))&gt;0)*(EXACT('Plan por grupo'!$A$4:$A$53,$A16))*(EXACT('Plan por grupo'!$B$4:$B$53,$D16)),0),0))))</f>
        <v/>
      </c>
      <c r="K16" s="3">
        <f>IF(ISNA(MATCH(1,INDEX(EXACT('Asignaturas'!$A$4:$A$38,$D16)*1*((('Asignaturas'!$A$4:$A$38&lt;&gt;""))&gt;0),0),0)),"",IF(ISBLANK(INDEX('Asignaturas'!$C$4:$C$38,MATCH(1,INDEX(EXACT('Asignaturas'!$A$4:$A$38,$D16)*1*((('Asignaturas'!$A$4:$A$38&lt;&gt;""))&gt;0),0),0))),"",INDEX('Asignaturas'!$C$4:$C$38,MATCH(1,INDEX(EXACT('Asignaturas'!$A$4:$A$38,$D16)*1*((('Asignaturas'!$A$4:$A$38&lt;&gt;""))&gt;0),0),0))))</f>
        <v/>
      </c>
      <c r="L16" s="3">
        <f>IF(ISNA(MATCH(1,INDEX(EXACT('Profesores'!$A$4:$A$53,$F16)*1*((('Profesores'!$A$4:$A$53&lt;&gt;""))&gt;0),0),0)),"no",IF(ISBLANK(INDEX('Profesores'!$B$4:$B$53,MATCH(1,INDEX(EXACT('Profesores'!$A$4:$A$53,$F16)*1*((('Profesores'!$A$4:$A$53&lt;&gt;""))&gt;0),0),0))),"",INDEX('Profesores'!$B$4:$B$53,MATCH(1,INDEX(EXACT('Profesores'!$A$4:$A$53,$F16)*1*((('Profesores'!$A$4:$A$53&lt;&gt;""))&gt;0),0),0))))</f>
        <v/>
      </c>
      <c r="M16" s="3">
        <f>IF(ISNA(MATCH(1,INDEX(EXACT('Profesores'!$A$4:$A$53,$F16)*1*((('Profesores'!$A$4:$A$53&lt;&gt;""))&gt;0),0),0)),"no",IF(ISBLANK(INDEX('Profesores'!$C$4:$C$53,MATCH(1,INDEX(EXACT('Profesores'!$A$4:$A$53,$F16)*1*((('Profesores'!$A$4:$A$53&lt;&gt;""))&gt;0),0),0))),"",INDEX('Profesores'!$C$4:$C$53,MATCH(1,INDEX(EXACT('Profesores'!$A$4:$A$53,$F16)*1*((('Profesores'!$A$4:$A$53&lt;&gt;""))&gt;0),0),0))))</f>
        <v/>
      </c>
      <c r="N16" s="3">
        <f>IF(EXACT($L16,"si"),IF(ISNA(MATCH(1,INDEX(1*((('Dias que asisten los contratado'!$A$4:$A$24&lt;&gt;"")+('Dias que asisten los contratado'!$B$4:$B$24&lt;&gt;""))&gt;0)*(EXACT('Dias que asisten los contratado'!$A$4:$A$24,$F16))*(EXACT('Dias que asisten los contratado'!$B$4:$B$24,$B16)),0),0)),"no",IF(ISBLANK(INDEX('Dias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contratado'!$B$4:$B$24,$B16)),0),0))),"",INDEX('Dias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contratado'!$B$4:$B$24,$B16)),0),0)))),"")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3">
        <f>IF(ISBLANK('Horario del grupo - 10-3'!E5),"",'Horario del grupo - 10-3'!E5)</f>
        <v/>
      </c>
      <c r="E17" s="3">
        <f>IF(ISNA(MATCH(1,INDEX(EXACT('Asignaturas'!$A$4:$A$38,$D17)*1*((('Asignaturas'!$A$4:$A$38&lt;&gt;""))&gt;0),0),0)),"",IF(ISBLANK(INDEX('Asignaturas'!$B$4:$B$38,MATCH(1,INDEX(EXACT('Asignaturas'!$A$4:$A$38,$D17)*1*((('Asignaturas'!$A$4:$A$38&lt;&gt;""))&gt;0),0),0))),"",INDEX('Asignaturas'!$B$4:$B$38,MATCH(1,INDEX(EXACT('Asignaturas'!$A$4:$A$38,$D17)*1*((('Asignaturas'!$A$4:$A$38&lt;&gt;""))&gt;0),0),0))))</f>
        <v/>
      </c>
      <c r="F17" s="3">
        <f>IF(ISNA(MATCH(1,INDEX(1*((('Plan por grupo'!$A$4:$A$53&lt;&gt;"")+('Plan por grupo'!$B$4:$B$53&lt;&gt;""))&gt;0)*(EXACT('Plan por grupo'!$A$4:$A$53,$A17))*(EXACT('Plan por grupo'!$B$4:$B$53,$D17)),0),0)),"",IF(ISBLANK(INDEX('Plan por grupo'!$C$4:$C$53,MATCH(1,INDEX(1*((('Plan por grupo'!$A$4:$A$53&lt;&gt;"")+('Plan por grupo'!$B$4:$B$53&lt;&gt;""))&gt;0)*(EXACT('Plan por grupo'!$A$4:$A$53,$A17))*(EXACT('Plan por grupo'!$B$4:$B$53,$D17)),0),0))),"",INDEX('Plan por grupo'!$C$4:$C$53,MATCH(1,INDEX(1*((('Plan por grupo'!$A$4:$A$53&lt;&gt;"")+('Plan por grupo'!$B$4:$B$53&lt;&gt;""))&gt;0)*(EXACT('Plan por grupo'!$A$4:$A$53,$A17))*(EXACT('Plan por grupo'!$B$4:$B$53,$D17)),0),0))))</f>
        <v/>
      </c>
      <c r="G17" s="3">
        <f>IF(ISNA(MATCH(1,INDEX(EXACT('Asignaturas'!$A$4:$A$38,$D17)*1*((('Asignaturas'!$A$4:$A$38&lt;&gt;""))&gt;0),0),0)),"",IF(ISBLANK(INDEX('Asignaturas'!$D$4:$D$38,MATCH(1,INDEX(EXACT('Asignaturas'!$A$4:$A$38,$D17)*1*((('Asignaturas'!$A$4:$A$38&lt;&gt;""))&gt;0),0),0))),"",INDEX('Asignaturas'!$D$4:$D$38,MATCH(1,INDEX(EXACT('Asignaturas'!$A$4:$A$38,$D17)*1*((('Asignaturas'!$A$4:$A$38&lt;&gt;""))&gt;0)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IF(ISNA(MATCH(1,INDEX(1*((('Plan por grupo'!$A$4:$A$53&lt;&gt;"")+('Plan por grupo'!$B$4:$B$53&lt;&gt;""))&gt;0)*(EXACT('Plan por grupo'!$A$4:$A$53,$A17))*(EXACT('Plan por grupo'!$B$4:$B$53,$D17)),0),0)),"no",IF(ISBLANK(INDEX('Plan por grupo'!$G$4:$G$53,MATCH(1,INDEX(1*((('Plan por grupo'!$A$4:$A$53&lt;&gt;"")+('Plan por grupo'!$B$4:$B$53&lt;&gt;""))&gt;0)*(EXACT('Plan por grupo'!$A$4:$A$53,$A17))*(EXACT('Plan por grupo'!$B$4:$B$53,$D17)),0),0))),"",INDEX('Plan por grupo'!$G$4:$G$53,MATCH(1,INDEX(1*((('Plan por grupo'!$A$4:$A$53&lt;&gt;"")+('Plan por grupo'!$B$4:$B$53&lt;&gt;""))&gt;0)*(EXACT('Plan por grupo'!$A$4:$A$53,$A17))*(EXACT('Plan por grupo'!$B$4:$B$53,$D17)),0),0))))</f>
        <v/>
      </c>
      <c r="J17" s="3">
        <f>IF(ISNA(MATCH(1,INDEX(1*((('Plan por grupo'!$A$4:$A$53&lt;&gt;"")+('Plan por grupo'!$B$4:$B$53&lt;&gt;""))&gt;0)*(EXACT('Plan por grupo'!$A$4:$A$53,$A17))*(EXACT('Plan por grupo'!$B$4:$B$53,$D17)),0),0)),"no",IF(ISBLANK(INDEX('Plan por grupo'!$E$4:$E$53,MATCH(1,INDEX(1*((('Plan por grupo'!$A$4:$A$53&lt;&gt;"")+('Plan por grupo'!$B$4:$B$53&lt;&gt;""))&gt;0)*(EXACT('Plan por grupo'!$A$4:$A$53,$A17))*(EXACT('Plan por grupo'!$B$4:$B$53,$D17)),0),0))),"",INDEX('Plan por grupo'!$E$4:$E$53,MATCH(1,INDEX(1*((('Plan por grupo'!$A$4:$A$53&lt;&gt;"")+('Plan por grupo'!$B$4:$B$53&lt;&gt;""))&gt;0)*(EXACT('Plan por grupo'!$A$4:$A$53,$A17))*(EXACT('Plan por grupo'!$B$4:$B$53,$D17)),0),0))))</f>
        <v/>
      </c>
      <c r="K17" s="3">
        <f>IF(ISNA(MATCH(1,INDEX(EXACT('Asignaturas'!$A$4:$A$38,$D17)*1*((('Asignaturas'!$A$4:$A$38&lt;&gt;""))&gt;0),0),0)),"",IF(ISBLANK(INDEX('Asignaturas'!$C$4:$C$38,MATCH(1,INDEX(EXACT('Asignaturas'!$A$4:$A$38,$D17)*1*((('Asignaturas'!$A$4:$A$38&lt;&gt;""))&gt;0),0),0))),"",INDEX('Asignaturas'!$C$4:$C$38,MATCH(1,INDEX(EXACT('Asignaturas'!$A$4:$A$38,$D17)*1*((('Asignaturas'!$A$4:$A$38&lt;&gt;""))&gt;0),0),0))))</f>
        <v/>
      </c>
      <c r="L17" s="3">
        <f>IF(ISNA(MATCH(1,INDEX(EXACT('Profesores'!$A$4:$A$53,$F17)*1*((('Profesores'!$A$4:$A$53&lt;&gt;""))&gt;0),0),0)),"no",IF(ISBLANK(INDEX('Profesores'!$B$4:$B$53,MATCH(1,INDEX(EXACT('Profesores'!$A$4:$A$53,$F17)*1*((('Profesores'!$A$4:$A$53&lt;&gt;""))&gt;0),0),0))),"",INDEX('Profesores'!$B$4:$B$53,MATCH(1,INDEX(EXACT('Profesores'!$A$4:$A$53,$F17)*1*((('Profesores'!$A$4:$A$53&lt;&gt;""))&gt;0),0),0))))</f>
        <v/>
      </c>
      <c r="M17" s="3">
        <f>IF(ISNA(MATCH(1,INDEX(EXACT('Profesores'!$A$4:$A$53,$F17)*1*((('Profesores'!$A$4:$A$53&lt;&gt;""))&gt;0),0),0)),"no",IF(ISBLANK(INDEX('Profesores'!$C$4:$C$53,MATCH(1,INDEX(EXACT('Profesores'!$A$4:$A$53,$F17)*1*((('Profesores'!$A$4:$A$53&lt;&gt;""))&gt;0),0),0))),"",INDEX('Profesores'!$C$4:$C$53,MATCH(1,INDEX(EXACT('Profesores'!$A$4:$A$53,$F17)*1*((('Profesores'!$A$4:$A$53&lt;&gt;""))&gt;0),0),0))))</f>
        <v/>
      </c>
      <c r="N17" s="3">
        <f>IF(EXACT($L17,"si"),IF(ISNA(MATCH(1,INDEX(1*((('Dias que asisten los contratado'!$A$4:$A$24&lt;&gt;"")+('Dias que asisten los contratado'!$B$4:$B$24&lt;&gt;""))&gt;0)*(EXACT('Dias que asisten los contratado'!$A$4:$A$24,$F17))*(EXACT('Dias que asisten los contratado'!$B$4:$B$24,$B17)),0),0)),"no",IF(ISBLANK(INDEX('Dias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contratado'!$B$4:$B$24,$B17)),0),0))),"",INDEX('Dias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contratado'!$B$4:$B$24,$B17)),0),0)))),"")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3">
        <f>IF(ISBLANK('Horario del grupo - 10-3'!F5),"",'Horario del grupo - 10-3'!F5)</f>
        <v/>
      </c>
      <c r="E18" s="3">
        <f>IF(ISNA(MATCH(1,INDEX(EXACT('Asignaturas'!$A$4:$A$38,$D18)*1*((('Asignaturas'!$A$4:$A$38&lt;&gt;""))&gt;0),0),0)),"",IF(ISBLANK(INDEX('Asignaturas'!$B$4:$B$38,MATCH(1,INDEX(EXACT('Asignaturas'!$A$4:$A$38,$D18)*1*((('Asignaturas'!$A$4:$A$38&lt;&gt;""))&gt;0),0),0))),"",INDEX('Asignaturas'!$B$4:$B$38,MATCH(1,INDEX(EXACT('Asignaturas'!$A$4:$A$38,$D18)*1*((('Asignaturas'!$A$4:$A$38&lt;&gt;""))&gt;0),0),0))))</f>
        <v/>
      </c>
      <c r="F18" s="3">
        <f>IF(ISNA(MATCH(1,INDEX(1*((('Plan por grupo'!$A$4:$A$53&lt;&gt;"")+('Plan por grupo'!$B$4:$B$53&lt;&gt;""))&gt;0)*(EXACT('Plan por grupo'!$A$4:$A$53,$A18))*(EXACT('Plan por grupo'!$B$4:$B$53,$D18)),0),0)),"",IF(ISBLANK(INDEX('Plan por grupo'!$C$4:$C$53,MATCH(1,INDEX(1*((('Plan por grupo'!$A$4:$A$53&lt;&gt;"")+('Plan por grupo'!$B$4:$B$53&lt;&gt;""))&gt;0)*(EXACT('Plan por grupo'!$A$4:$A$53,$A18))*(EXACT('Plan por grupo'!$B$4:$B$53,$D18)),0),0))),"",INDEX('Plan por grupo'!$C$4:$C$53,MATCH(1,INDEX(1*((('Plan por grupo'!$A$4:$A$53&lt;&gt;"")+('Plan por grupo'!$B$4:$B$53&lt;&gt;""))&gt;0)*(EXACT('Plan por grupo'!$A$4:$A$53,$A18))*(EXACT('Plan por grupo'!$B$4:$B$53,$D18)),0),0))))</f>
        <v/>
      </c>
      <c r="G18" s="3">
        <f>IF(ISNA(MATCH(1,INDEX(EXACT('Asignaturas'!$A$4:$A$38,$D18)*1*((('Asignaturas'!$A$4:$A$38&lt;&gt;""))&gt;0),0),0)),"",IF(ISBLANK(INDEX('Asignaturas'!$D$4:$D$38,MATCH(1,INDEX(EXACT('Asignaturas'!$A$4:$A$38,$D18)*1*((('Asignaturas'!$A$4:$A$38&lt;&gt;""))&gt;0),0),0))),"",INDEX('Asignaturas'!$D$4:$D$38,MATCH(1,INDEX(EXACT('Asignaturas'!$A$4:$A$38,$D18)*1*((('Asignaturas'!$A$4:$A$38&lt;&gt;""))&gt;0)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IF(ISNA(MATCH(1,INDEX(1*((('Plan por grupo'!$A$4:$A$53&lt;&gt;"")+('Plan por grupo'!$B$4:$B$53&lt;&gt;""))&gt;0)*(EXACT('Plan por grupo'!$A$4:$A$53,$A18))*(EXACT('Plan por grupo'!$B$4:$B$53,$D18)),0),0)),"no",IF(ISBLANK(INDEX('Plan por grupo'!$G$4:$G$53,MATCH(1,INDEX(1*((('Plan por grupo'!$A$4:$A$53&lt;&gt;"")+('Plan por grupo'!$B$4:$B$53&lt;&gt;""))&gt;0)*(EXACT('Plan por grupo'!$A$4:$A$53,$A18))*(EXACT('Plan por grupo'!$B$4:$B$53,$D18)),0),0))),"",INDEX('Plan por grupo'!$G$4:$G$53,MATCH(1,INDEX(1*((('Plan por grupo'!$A$4:$A$53&lt;&gt;"")+('Plan por grupo'!$B$4:$B$53&lt;&gt;""))&gt;0)*(EXACT('Plan por grupo'!$A$4:$A$53,$A18))*(EXACT('Plan por grupo'!$B$4:$B$53,$D18)),0),0))))</f>
        <v/>
      </c>
      <c r="J18" s="3">
        <f>IF(ISNA(MATCH(1,INDEX(1*((('Plan por grupo'!$A$4:$A$53&lt;&gt;"")+('Plan por grupo'!$B$4:$B$53&lt;&gt;""))&gt;0)*(EXACT('Plan por grupo'!$A$4:$A$53,$A18))*(EXACT('Plan por grupo'!$B$4:$B$53,$D18)),0),0)),"no",IF(ISBLANK(INDEX('Plan por grupo'!$E$4:$E$53,MATCH(1,INDEX(1*((('Plan por grupo'!$A$4:$A$53&lt;&gt;"")+('Plan por grupo'!$B$4:$B$53&lt;&gt;""))&gt;0)*(EXACT('Plan por grupo'!$A$4:$A$53,$A18))*(EXACT('Plan por grupo'!$B$4:$B$53,$D18)),0),0))),"",INDEX('Plan por grupo'!$E$4:$E$53,MATCH(1,INDEX(1*((('Plan por grupo'!$A$4:$A$53&lt;&gt;"")+('Plan por grupo'!$B$4:$B$53&lt;&gt;""))&gt;0)*(EXACT('Plan por grupo'!$A$4:$A$53,$A18))*(EXACT('Plan por grupo'!$B$4:$B$53,$D18)),0),0))))</f>
        <v/>
      </c>
      <c r="K18" s="3">
        <f>IF(ISNA(MATCH(1,INDEX(EXACT('Asignaturas'!$A$4:$A$38,$D18)*1*((('Asignaturas'!$A$4:$A$38&lt;&gt;""))&gt;0),0),0)),"",IF(ISBLANK(INDEX('Asignaturas'!$C$4:$C$38,MATCH(1,INDEX(EXACT('Asignaturas'!$A$4:$A$38,$D18)*1*((('Asignaturas'!$A$4:$A$38&lt;&gt;""))&gt;0),0),0))),"",INDEX('Asignaturas'!$C$4:$C$38,MATCH(1,INDEX(EXACT('Asignaturas'!$A$4:$A$38,$D18)*1*((('Asignaturas'!$A$4:$A$38&lt;&gt;""))&gt;0),0),0))))</f>
        <v/>
      </c>
      <c r="L18" s="3">
        <f>IF(ISNA(MATCH(1,INDEX(EXACT('Profesores'!$A$4:$A$53,$F18)*1*((('Profesores'!$A$4:$A$53&lt;&gt;""))&gt;0),0),0)),"no",IF(ISBLANK(INDEX('Profesores'!$B$4:$B$53,MATCH(1,INDEX(EXACT('Profesores'!$A$4:$A$53,$F18)*1*((('Profesores'!$A$4:$A$53&lt;&gt;""))&gt;0),0),0))),"",INDEX('Profesores'!$B$4:$B$53,MATCH(1,INDEX(EXACT('Profesores'!$A$4:$A$53,$F18)*1*((('Profesores'!$A$4:$A$53&lt;&gt;""))&gt;0),0),0))))</f>
        <v/>
      </c>
      <c r="M18" s="3">
        <f>IF(ISNA(MATCH(1,INDEX(EXACT('Profesores'!$A$4:$A$53,$F18)*1*((('Profesores'!$A$4:$A$53&lt;&gt;""))&gt;0),0),0)),"no",IF(ISBLANK(INDEX('Profesores'!$C$4:$C$53,MATCH(1,INDEX(EXACT('Profesores'!$A$4:$A$53,$F18)*1*((('Profesores'!$A$4:$A$53&lt;&gt;""))&gt;0),0),0))),"",INDEX('Profesores'!$C$4:$C$53,MATCH(1,INDEX(EXACT('Profesores'!$A$4:$A$53,$F18)*1*((('Profesores'!$A$4:$A$53&lt;&gt;""))&gt;0),0),0))))</f>
        <v/>
      </c>
      <c r="N18" s="3">
        <f>IF(EXACT($L18,"si"),IF(ISNA(MATCH(1,INDEX(1*((('Dias que asisten los contratado'!$A$4:$A$24&lt;&gt;"")+('Dias que asisten los contratado'!$B$4:$B$24&lt;&gt;""))&gt;0)*(EXACT('Dias que asisten los contratado'!$A$4:$A$24,$F18))*(EXACT('Dias que asisten los contratado'!$B$4:$B$24,$B18)),0),0)),"no",IF(ISBLANK(INDEX('Dias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contratado'!$B$4:$B$24,$B18)),0),0))),"",INDEX('Dias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contratado'!$B$4:$B$24,$B18)),0),0)))),"")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3">
        <f>IF(ISBLANK('Horario del grupo - 10-4'!B5),"",'Horario del grupo - 10-4'!B5)</f>
        <v/>
      </c>
      <c r="E19" s="3">
        <f>IF(ISNA(MATCH(1,INDEX(EXACT('Asignaturas'!$A$4:$A$38,$D19)*1*((('Asignaturas'!$A$4:$A$38&lt;&gt;""))&gt;0),0),0)),"",IF(ISBLANK(INDEX('Asignaturas'!$B$4:$B$38,MATCH(1,INDEX(EXACT('Asignaturas'!$A$4:$A$38,$D19)*1*((('Asignaturas'!$A$4:$A$38&lt;&gt;""))&gt;0),0),0))),"",INDEX('Asignaturas'!$B$4:$B$38,MATCH(1,INDEX(EXACT('Asignaturas'!$A$4:$A$38,$D19)*1*((('Asignaturas'!$A$4:$A$38&lt;&gt;""))&gt;0),0),0))))</f>
        <v/>
      </c>
      <c r="F19" s="3">
        <f>IF(ISNA(MATCH(1,INDEX(1*((('Plan por grupo'!$A$4:$A$53&lt;&gt;"")+('Plan por grupo'!$B$4:$B$53&lt;&gt;""))&gt;0)*(EXACT('Plan por grupo'!$A$4:$A$53,$A19))*(EXACT('Plan por grupo'!$B$4:$B$53,$D19)),0),0)),"",IF(ISBLANK(INDEX('Plan por grupo'!$C$4:$C$53,MATCH(1,INDEX(1*((('Plan por grupo'!$A$4:$A$53&lt;&gt;"")+('Plan por grupo'!$B$4:$B$53&lt;&gt;""))&gt;0)*(EXACT('Plan por grupo'!$A$4:$A$53,$A19))*(EXACT('Plan por grupo'!$B$4:$B$53,$D19)),0),0))),"",INDEX('Plan por grupo'!$C$4:$C$53,MATCH(1,INDEX(1*((('Plan por grupo'!$A$4:$A$53&lt;&gt;"")+('Plan por grupo'!$B$4:$B$53&lt;&gt;""))&gt;0)*(EXACT('Plan por grupo'!$A$4:$A$53,$A19))*(EXACT('Plan por grupo'!$B$4:$B$53,$D19)),0),0))))</f>
        <v/>
      </c>
      <c r="G19" s="3">
        <f>IF(ISNA(MATCH(1,INDEX(EXACT('Asignaturas'!$A$4:$A$38,$D19)*1*((('Asignaturas'!$A$4:$A$38&lt;&gt;""))&gt;0),0),0)),"",IF(ISBLANK(INDEX('Asignaturas'!$D$4:$D$38,MATCH(1,INDEX(EXACT('Asignaturas'!$A$4:$A$38,$D19)*1*((('Asignaturas'!$A$4:$A$38&lt;&gt;""))&gt;0),0),0))),"",INDEX('Asignaturas'!$D$4:$D$38,MATCH(1,INDEX(EXACT('Asignaturas'!$A$4:$A$38,$D19)*1*((('Asignaturas'!$A$4:$A$38&lt;&gt;""))&gt;0)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IF(ISNA(MATCH(1,INDEX(1*((('Plan por grupo'!$A$4:$A$53&lt;&gt;"")+('Plan por grupo'!$B$4:$B$53&lt;&gt;""))&gt;0)*(EXACT('Plan por grupo'!$A$4:$A$53,$A19))*(EXACT('Plan por grupo'!$B$4:$B$53,$D19)),0),0)),"no",IF(ISBLANK(INDEX('Plan por grupo'!$G$4:$G$53,MATCH(1,INDEX(1*((('Plan por grupo'!$A$4:$A$53&lt;&gt;"")+('Plan por grupo'!$B$4:$B$53&lt;&gt;""))&gt;0)*(EXACT('Plan por grupo'!$A$4:$A$53,$A19))*(EXACT('Plan por grupo'!$B$4:$B$53,$D19)),0),0))),"",INDEX('Plan por grupo'!$G$4:$G$53,MATCH(1,INDEX(1*((('Plan por grupo'!$A$4:$A$53&lt;&gt;"")+('Plan por grupo'!$B$4:$B$53&lt;&gt;""))&gt;0)*(EXACT('Plan por grupo'!$A$4:$A$53,$A19))*(EXACT('Plan por grupo'!$B$4:$B$53,$D19)),0),0))))</f>
        <v/>
      </c>
      <c r="J19" s="3">
        <f>IF(ISNA(MATCH(1,INDEX(1*((('Plan por grupo'!$A$4:$A$53&lt;&gt;"")+('Plan por grupo'!$B$4:$B$53&lt;&gt;""))&gt;0)*(EXACT('Plan por grupo'!$A$4:$A$53,$A19))*(EXACT('Plan por grupo'!$B$4:$B$53,$D19)),0),0)),"no",IF(ISBLANK(INDEX('Plan por grupo'!$E$4:$E$53,MATCH(1,INDEX(1*((('Plan por grupo'!$A$4:$A$53&lt;&gt;"")+('Plan por grupo'!$B$4:$B$53&lt;&gt;""))&gt;0)*(EXACT('Plan por grupo'!$A$4:$A$53,$A19))*(EXACT('Plan por grupo'!$B$4:$B$53,$D19)),0),0))),"",INDEX('Plan por grupo'!$E$4:$E$53,MATCH(1,INDEX(1*((('Plan por grupo'!$A$4:$A$53&lt;&gt;"")+('Plan por grupo'!$B$4:$B$53&lt;&gt;""))&gt;0)*(EXACT('Plan por grupo'!$A$4:$A$53,$A19))*(EXACT('Plan por grupo'!$B$4:$B$53,$D19)),0),0))))</f>
        <v/>
      </c>
      <c r="K19" s="3">
        <f>IF(ISNA(MATCH(1,INDEX(EXACT('Asignaturas'!$A$4:$A$38,$D19)*1*((('Asignaturas'!$A$4:$A$38&lt;&gt;""))&gt;0),0),0)),"",IF(ISBLANK(INDEX('Asignaturas'!$C$4:$C$38,MATCH(1,INDEX(EXACT('Asignaturas'!$A$4:$A$38,$D19)*1*((('Asignaturas'!$A$4:$A$38&lt;&gt;""))&gt;0),0),0))),"",INDEX('Asignaturas'!$C$4:$C$38,MATCH(1,INDEX(EXACT('Asignaturas'!$A$4:$A$38,$D19)*1*((('Asignaturas'!$A$4:$A$38&lt;&gt;""))&gt;0),0),0))))</f>
        <v/>
      </c>
      <c r="L19" s="3">
        <f>IF(ISNA(MATCH(1,INDEX(EXACT('Profesores'!$A$4:$A$53,$F19)*1*((('Profesores'!$A$4:$A$53&lt;&gt;""))&gt;0),0),0)),"no",IF(ISBLANK(INDEX('Profesores'!$B$4:$B$53,MATCH(1,INDEX(EXACT('Profesores'!$A$4:$A$53,$F19)*1*((('Profesores'!$A$4:$A$53&lt;&gt;""))&gt;0),0),0))),"",INDEX('Profesores'!$B$4:$B$53,MATCH(1,INDEX(EXACT('Profesores'!$A$4:$A$53,$F19)*1*((('Profesores'!$A$4:$A$53&lt;&gt;""))&gt;0),0),0))))</f>
        <v/>
      </c>
      <c r="M19" s="3">
        <f>IF(ISNA(MATCH(1,INDEX(EXACT('Profesores'!$A$4:$A$53,$F19)*1*((('Profesores'!$A$4:$A$53&lt;&gt;""))&gt;0),0),0)),"no",IF(ISBLANK(INDEX('Profesores'!$C$4:$C$53,MATCH(1,INDEX(EXACT('Profesores'!$A$4:$A$53,$F19)*1*((('Profesores'!$A$4:$A$53&lt;&gt;""))&gt;0),0),0))),"",INDEX('Profesores'!$C$4:$C$53,MATCH(1,INDEX(EXACT('Profesores'!$A$4:$A$53,$F19)*1*((('Profesores'!$A$4:$A$53&lt;&gt;""))&gt;0),0),0))))</f>
        <v/>
      </c>
      <c r="N19" s="3">
        <f>IF(EXACT($L19,"si"),IF(ISNA(MATCH(1,INDEX(1*((('Dias que asisten los contratado'!$A$4:$A$24&lt;&gt;"")+('Dias que asisten los contratado'!$B$4:$B$24&lt;&gt;""))&gt;0)*(EXACT('Dias que asisten los contratado'!$A$4:$A$24,$F19))*(EXACT('Dias que asisten los contratado'!$B$4:$B$24,$B19)),0),0)),"no",IF(ISBLANK(INDEX('Dias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contratado'!$B$4:$B$24,$B19)),0),0))),"",INDEX('Dias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contratado'!$B$4:$B$24,$B19)),0),0)))),"")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3">
        <f>IF(ISBLANK('Horario del grupo - 10-4'!C5),"",'Horario del grupo - 10-4'!C5)</f>
        <v/>
      </c>
      <c r="E20" s="3">
        <f>IF(ISNA(MATCH(1,INDEX(EXACT('Asignaturas'!$A$4:$A$38,$D20)*1*((('Asignaturas'!$A$4:$A$38&lt;&gt;""))&gt;0),0),0)),"",IF(ISBLANK(INDEX('Asignaturas'!$B$4:$B$38,MATCH(1,INDEX(EXACT('Asignaturas'!$A$4:$A$38,$D20)*1*((('Asignaturas'!$A$4:$A$38&lt;&gt;""))&gt;0),0),0))),"",INDEX('Asignaturas'!$B$4:$B$38,MATCH(1,INDEX(EXACT('Asignaturas'!$A$4:$A$38,$D20)*1*((('Asignaturas'!$A$4:$A$38&lt;&gt;""))&gt;0),0),0))))</f>
        <v/>
      </c>
      <c r="F20" s="3">
        <f>IF(ISNA(MATCH(1,INDEX(1*((('Plan por grupo'!$A$4:$A$53&lt;&gt;"")+('Plan por grupo'!$B$4:$B$53&lt;&gt;""))&gt;0)*(EXACT('Plan por grupo'!$A$4:$A$53,$A20))*(EXACT('Plan por grupo'!$B$4:$B$53,$D20)),0),0)),"",IF(ISBLANK(INDEX('Plan por grupo'!$C$4:$C$53,MATCH(1,INDEX(1*((('Plan por grupo'!$A$4:$A$53&lt;&gt;"")+('Plan por grupo'!$B$4:$B$53&lt;&gt;""))&gt;0)*(EXACT('Plan por grupo'!$A$4:$A$53,$A20))*(EXACT('Plan por grupo'!$B$4:$B$53,$D20)),0),0))),"",INDEX('Plan por grupo'!$C$4:$C$53,MATCH(1,INDEX(1*((('Plan por grupo'!$A$4:$A$53&lt;&gt;"")+('Plan por grupo'!$B$4:$B$53&lt;&gt;""))&gt;0)*(EXACT('Plan por grupo'!$A$4:$A$53,$A20))*(EXACT('Plan por grupo'!$B$4:$B$53,$D20)),0),0))))</f>
        <v/>
      </c>
      <c r="G20" s="3">
        <f>IF(ISNA(MATCH(1,INDEX(EXACT('Asignaturas'!$A$4:$A$38,$D20)*1*((('Asignaturas'!$A$4:$A$38&lt;&gt;""))&gt;0),0),0)),"",IF(ISBLANK(INDEX('Asignaturas'!$D$4:$D$38,MATCH(1,INDEX(EXACT('Asignaturas'!$A$4:$A$38,$D20)*1*((('Asignaturas'!$A$4:$A$38&lt;&gt;""))&gt;0),0),0))),"",INDEX('Asignaturas'!$D$4:$D$38,MATCH(1,INDEX(EXACT('Asignaturas'!$A$4:$A$38,$D20)*1*((('Asignaturas'!$A$4:$A$38&lt;&gt;""))&gt;0)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IF(ISNA(MATCH(1,INDEX(1*((('Plan por grupo'!$A$4:$A$53&lt;&gt;"")+('Plan por grupo'!$B$4:$B$53&lt;&gt;""))&gt;0)*(EXACT('Plan por grupo'!$A$4:$A$53,$A20))*(EXACT('Plan por grupo'!$B$4:$B$53,$D20)),0),0)),"no",IF(ISBLANK(INDEX('Plan por grupo'!$G$4:$G$53,MATCH(1,INDEX(1*((('Plan por grupo'!$A$4:$A$53&lt;&gt;"")+('Plan por grupo'!$B$4:$B$53&lt;&gt;""))&gt;0)*(EXACT('Plan por grupo'!$A$4:$A$53,$A20))*(EXACT('Plan por grupo'!$B$4:$B$53,$D20)),0),0))),"",INDEX('Plan por grupo'!$G$4:$G$53,MATCH(1,INDEX(1*((('Plan por grupo'!$A$4:$A$53&lt;&gt;"")+('Plan por grupo'!$B$4:$B$53&lt;&gt;""))&gt;0)*(EXACT('Plan por grupo'!$A$4:$A$53,$A20))*(EXACT('Plan por grupo'!$B$4:$B$53,$D20)),0),0))))</f>
        <v/>
      </c>
      <c r="J20" s="3">
        <f>IF(ISNA(MATCH(1,INDEX(1*((('Plan por grupo'!$A$4:$A$53&lt;&gt;"")+('Plan por grupo'!$B$4:$B$53&lt;&gt;""))&gt;0)*(EXACT('Plan por grupo'!$A$4:$A$53,$A20))*(EXACT('Plan por grupo'!$B$4:$B$53,$D20)),0),0)),"no",IF(ISBLANK(INDEX('Plan por grupo'!$E$4:$E$53,MATCH(1,INDEX(1*((('Plan por grupo'!$A$4:$A$53&lt;&gt;"")+('Plan por grupo'!$B$4:$B$53&lt;&gt;""))&gt;0)*(EXACT('Plan por grupo'!$A$4:$A$53,$A20))*(EXACT('Plan por grupo'!$B$4:$B$53,$D20)),0),0))),"",INDEX('Plan por grupo'!$E$4:$E$53,MATCH(1,INDEX(1*((('Plan por grupo'!$A$4:$A$53&lt;&gt;"")+('Plan por grupo'!$B$4:$B$53&lt;&gt;""))&gt;0)*(EXACT('Plan por grupo'!$A$4:$A$53,$A20))*(EXACT('Plan por grupo'!$B$4:$B$53,$D20)),0),0))))</f>
        <v/>
      </c>
      <c r="K20" s="3">
        <f>IF(ISNA(MATCH(1,INDEX(EXACT('Asignaturas'!$A$4:$A$38,$D20)*1*((('Asignaturas'!$A$4:$A$38&lt;&gt;""))&gt;0),0),0)),"",IF(ISBLANK(INDEX('Asignaturas'!$C$4:$C$38,MATCH(1,INDEX(EXACT('Asignaturas'!$A$4:$A$38,$D20)*1*((('Asignaturas'!$A$4:$A$38&lt;&gt;""))&gt;0),0),0))),"",INDEX('Asignaturas'!$C$4:$C$38,MATCH(1,INDEX(EXACT('Asignaturas'!$A$4:$A$38,$D20)*1*((('Asignaturas'!$A$4:$A$38&lt;&gt;""))&gt;0),0),0))))</f>
        <v/>
      </c>
      <c r="L20" s="3">
        <f>IF(ISNA(MATCH(1,INDEX(EXACT('Profesores'!$A$4:$A$53,$F20)*1*((('Profesores'!$A$4:$A$53&lt;&gt;""))&gt;0),0),0)),"no",IF(ISBLANK(INDEX('Profesores'!$B$4:$B$53,MATCH(1,INDEX(EXACT('Profesores'!$A$4:$A$53,$F20)*1*((('Profesores'!$A$4:$A$53&lt;&gt;""))&gt;0),0),0))),"",INDEX('Profesores'!$B$4:$B$53,MATCH(1,INDEX(EXACT('Profesores'!$A$4:$A$53,$F20)*1*((('Profesores'!$A$4:$A$53&lt;&gt;""))&gt;0),0),0))))</f>
        <v/>
      </c>
      <c r="M20" s="3">
        <f>IF(ISNA(MATCH(1,INDEX(EXACT('Profesores'!$A$4:$A$53,$F20)*1*((('Profesores'!$A$4:$A$53&lt;&gt;""))&gt;0),0),0)),"no",IF(ISBLANK(INDEX('Profesores'!$C$4:$C$53,MATCH(1,INDEX(EXACT('Profesores'!$A$4:$A$53,$F20)*1*((('Profesores'!$A$4:$A$53&lt;&gt;""))&gt;0),0),0))),"",INDEX('Profesores'!$C$4:$C$53,MATCH(1,INDEX(EXACT('Profesores'!$A$4:$A$53,$F20)*1*((('Profesores'!$A$4:$A$53&lt;&gt;""))&gt;0),0),0))))</f>
        <v/>
      </c>
      <c r="N20" s="3">
        <f>IF(EXACT($L20,"si"),IF(ISNA(MATCH(1,INDEX(1*((('Dias que asisten los contratado'!$A$4:$A$24&lt;&gt;"")+('Dias que asisten los contratado'!$B$4:$B$24&lt;&gt;""))&gt;0)*(EXACT('Dias que asisten los contratado'!$A$4:$A$24,$F20))*(EXACT('Dias que asisten los contratado'!$B$4:$B$24,$B20)),0),0)),"no",IF(ISBLANK(INDEX('Dias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contratado'!$B$4:$B$24,$B20)),0),0))),"",INDEX('Dias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contratado'!$B$4:$B$24,$B20)),0),0)))),"")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3">
        <f>IF(ISBLANK('Horario del grupo - 10-4'!D5),"",'Horario del grupo - 10-4'!D5)</f>
        <v/>
      </c>
      <c r="E21" s="3">
        <f>IF(ISNA(MATCH(1,INDEX(EXACT('Asignaturas'!$A$4:$A$38,$D21)*1*((('Asignaturas'!$A$4:$A$38&lt;&gt;""))&gt;0),0),0)),"",IF(ISBLANK(INDEX('Asignaturas'!$B$4:$B$38,MATCH(1,INDEX(EXACT('Asignaturas'!$A$4:$A$38,$D21)*1*((('Asignaturas'!$A$4:$A$38&lt;&gt;""))&gt;0),0),0))),"",INDEX('Asignaturas'!$B$4:$B$38,MATCH(1,INDEX(EXACT('Asignaturas'!$A$4:$A$38,$D21)*1*((('Asignaturas'!$A$4:$A$38&lt;&gt;""))&gt;0),0),0))))</f>
        <v/>
      </c>
      <c r="F21" s="3">
        <f>IF(ISNA(MATCH(1,INDEX(1*((('Plan por grupo'!$A$4:$A$53&lt;&gt;"")+('Plan por grupo'!$B$4:$B$53&lt;&gt;""))&gt;0)*(EXACT('Plan por grupo'!$A$4:$A$53,$A21))*(EXACT('Plan por grupo'!$B$4:$B$53,$D21)),0),0)),"",IF(ISBLANK(INDEX('Plan por grupo'!$C$4:$C$53,MATCH(1,INDEX(1*((('Plan por grupo'!$A$4:$A$53&lt;&gt;"")+('Plan por grupo'!$B$4:$B$53&lt;&gt;""))&gt;0)*(EXACT('Plan por grupo'!$A$4:$A$53,$A21))*(EXACT('Plan por grupo'!$B$4:$B$53,$D21)),0),0))),"",INDEX('Plan por grupo'!$C$4:$C$53,MATCH(1,INDEX(1*((('Plan por grupo'!$A$4:$A$53&lt;&gt;"")+('Plan por grupo'!$B$4:$B$53&lt;&gt;""))&gt;0)*(EXACT('Plan por grupo'!$A$4:$A$53,$A21))*(EXACT('Plan por grupo'!$B$4:$B$53,$D21)),0),0))))</f>
        <v/>
      </c>
      <c r="G21" s="3">
        <f>IF(ISNA(MATCH(1,INDEX(EXACT('Asignaturas'!$A$4:$A$38,$D21)*1*((('Asignaturas'!$A$4:$A$38&lt;&gt;""))&gt;0),0),0)),"",IF(ISBLANK(INDEX('Asignaturas'!$D$4:$D$38,MATCH(1,INDEX(EXACT('Asignaturas'!$A$4:$A$38,$D21)*1*((('Asignaturas'!$A$4:$A$38&lt;&gt;""))&gt;0),0),0))),"",INDEX('Asignaturas'!$D$4:$D$38,MATCH(1,INDEX(EXACT('Asignaturas'!$A$4:$A$38,$D21)*1*((('Asignaturas'!$A$4:$A$38&lt;&gt;""))&gt;0)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IF(ISNA(MATCH(1,INDEX(1*((('Plan por grupo'!$A$4:$A$53&lt;&gt;"")+('Plan por grupo'!$B$4:$B$53&lt;&gt;""))&gt;0)*(EXACT('Plan por grupo'!$A$4:$A$53,$A21))*(EXACT('Plan por grupo'!$B$4:$B$53,$D21)),0),0)),"no",IF(ISBLANK(INDEX('Plan por grupo'!$G$4:$G$53,MATCH(1,INDEX(1*((('Plan por grupo'!$A$4:$A$53&lt;&gt;"")+('Plan por grupo'!$B$4:$B$53&lt;&gt;""))&gt;0)*(EXACT('Plan por grupo'!$A$4:$A$53,$A21))*(EXACT('Plan por grupo'!$B$4:$B$53,$D21)),0),0))),"",INDEX('Plan por grupo'!$G$4:$G$53,MATCH(1,INDEX(1*((('Plan por grupo'!$A$4:$A$53&lt;&gt;"")+('Plan por grupo'!$B$4:$B$53&lt;&gt;""))&gt;0)*(EXACT('Plan por grupo'!$A$4:$A$53,$A21))*(EXACT('Plan por grupo'!$B$4:$B$53,$D21)),0),0))))</f>
        <v/>
      </c>
      <c r="J21" s="3">
        <f>IF(ISNA(MATCH(1,INDEX(1*((('Plan por grupo'!$A$4:$A$53&lt;&gt;"")+('Plan por grupo'!$B$4:$B$53&lt;&gt;""))&gt;0)*(EXACT('Plan por grupo'!$A$4:$A$53,$A21))*(EXACT('Plan por grupo'!$B$4:$B$53,$D21)),0),0)),"no",IF(ISBLANK(INDEX('Plan por grupo'!$E$4:$E$53,MATCH(1,INDEX(1*((('Plan por grupo'!$A$4:$A$53&lt;&gt;"")+('Plan por grupo'!$B$4:$B$53&lt;&gt;""))&gt;0)*(EXACT('Plan por grupo'!$A$4:$A$53,$A21))*(EXACT('Plan por grupo'!$B$4:$B$53,$D21)),0),0))),"",INDEX('Plan por grupo'!$E$4:$E$53,MATCH(1,INDEX(1*((('Plan por grupo'!$A$4:$A$53&lt;&gt;"")+('Plan por grupo'!$B$4:$B$53&lt;&gt;""))&gt;0)*(EXACT('Plan por grupo'!$A$4:$A$53,$A21))*(EXACT('Plan por grupo'!$B$4:$B$53,$D21)),0),0))))</f>
        <v/>
      </c>
      <c r="K21" s="3">
        <f>IF(ISNA(MATCH(1,INDEX(EXACT('Asignaturas'!$A$4:$A$38,$D21)*1*((('Asignaturas'!$A$4:$A$38&lt;&gt;""))&gt;0),0),0)),"",IF(ISBLANK(INDEX('Asignaturas'!$C$4:$C$38,MATCH(1,INDEX(EXACT('Asignaturas'!$A$4:$A$38,$D21)*1*((('Asignaturas'!$A$4:$A$38&lt;&gt;""))&gt;0),0),0))),"",INDEX('Asignaturas'!$C$4:$C$38,MATCH(1,INDEX(EXACT('Asignaturas'!$A$4:$A$38,$D21)*1*((('Asignaturas'!$A$4:$A$38&lt;&gt;""))&gt;0),0),0))))</f>
        <v/>
      </c>
      <c r="L21" s="3">
        <f>IF(ISNA(MATCH(1,INDEX(EXACT('Profesores'!$A$4:$A$53,$F21)*1*((('Profesores'!$A$4:$A$53&lt;&gt;""))&gt;0),0),0)),"no",IF(ISBLANK(INDEX('Profesores'!$B$4:$B$53,MATCH(1,INDEX(EXACT('Profesores'!$A$4:$A$53,$F21)*1*((('Profesores'!$A$4:$A$53&lt;&gt;""))&gt;0),0),0))),"",INDEX('Profesores'!$B$4:$B$53,MATCH(1,INDEX(EXACT('Profesores'!$A$4:$A$53,$F21)*1*((('Profesores'!$A$4:$A$53&lt;&gt;""))&gt;0),0),0))))</f>
        <v/>
      </c>
      <c r="M21" s="3">
        <f>IF(ISNA(MATCH(1,INDEX(EXACT('Profesores'!$A$4:$A$53,$F21)*1*((('Profesores'!$A$4:$A$53&lt;&gt;""))&gt;0),0),0)),"no",IF(ISBLANK(INDEX('Profesores'!$C$4:$C$53,MATCH(1,INDEX(EXACT('Profesores'!$A$4:$A$53,$F21)*1*((('Profesores'!$A$4:$A$53&lt;&gt;""))&gt;0),0),0))),"",INDEX('Profesores'!$C$4:$C$53,MATCH(1,INDEX(EXACT('Profesores'!$A$4:$A$53,$F21)*1*((('Profesores'!$A$4:$A$53&lt;&gt;""))&gt;0),0),0))))</f>
        <v/>
      </c>
      <c r="N21" s="3">
        <f>IF(EXACT($L21,"si"),IF(ISNA(MATCH(1,INDEX(1*((('Dias que asisten los contratado'!$A$4:$A$24&lt;&gt;"")+('Dias que asisten los contratado'!$B$4:$B$24&lt;&gt;""))&gt;0)*(EXACT('Dias que asisten los contratado'!$A$4:$A$24,$F21))*(EXACT('Dias que asisten los contratado'!$B$4:$B$24,$B21)),0),0)),"no",IF(ISBLANK(INDEX('Dias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contratado'!$B$4:$B$24,$B21)),0),0))),"",INDEX('Dias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contratado'!$B$4:$B$24,$B21)),0),0)))),"")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3">
        <f>IF(ISBLANK('Horario del grupo - 10-4'!E5),"",'Horario del grupo - 10-4'!E5)</f>
        <v/>
      </c>
      <c r="E22" s="3">
        <f>IF(ISNA(MATCH(1,INDEX(EXACT('Asignaturas'!$A$4:$A$38,$D22)*1*((('Asignaturas'!$A$4:$A$38&lt;&gt;""))&gt;0),0),0)),"",IF(ISBLANK(INDEX('Asignaturas'!$B$4:$B$38,MATCH(1,INDEX(EXACT('Asignaturas'!$A$4:$A$38,$D22)*1*((('Asignaturas'!$A$4:$A$38&lt;&gt;""))&gt;0),0),0))),"",INDEX('Asignaturas'!$B$4:$B$38,MATCH(1,INDEX(EXACT('Asignaturas'!$A$4:$A$38,$D22)*1*((('Asignaturas'!$A$4:$A$38&lt;&gt;""))&gt;0),0),0))))</f>
        <v/>
      </c>
      <c r="F22" s="3">
        <f>IF(ISNA(MATCH(1,INDEX(1*((('Plan por grupo'!$A$4:$A$53&lt;&gt;"")+('Plan por grupo'!$B$4:$B$53&lt;&gt;""))&gt;0)*(EXACT('Plan por grupo'!$A$4:$A$53,$A22))*(EXACT('Plan por grupo'!$B$4:$B$53,$D22)),0),0)),"",IF(ISBLANK(INDEX('Plan por grupo'!$C$4:$C$53,MATCH(1,INDEX(1*((('Plan por grupo'!$A$4:$A$53&lt;&gt;"")+('Plan por grupo'!$B$4:$B$53&lt;&gt;""))&gt;0)*(EXACT('Plan por grupo'!$A$4:$A$53,$A22))*(EXACT('Plan por grupo'!$B$4:$B$53,$D22)),0),0))),"",INDEX('Plan por grupo'!$C$4:$C$53,MATCH(1,INDEX(1*((('Plan por grupo'!$A$4:$A$53&lt;&gt;"")+('Plan por grupo'!$B$4:$B$53&lt;&gt;""))&gt;0)*(EXACT('Plan por grupo'!$A$4:$A$53,$A22))*(EXACT('Plan por grupo'!$B$4:$B$53,$D22)),0),0))))</f>
        <v/>
      </c>
      <c r="G22" s="3">
        <f>IF(ISNA(MATCH(1,INDEX(EXACT('Asignaturas'!$A$4:$A$38,$D22)*1*((('Asignaturas'!$A$4:$A$38&lt;&gt;""))&gt;0),0),0)),"",IF(ISBLANK(INDEX('Asignaturas'!$D$4:$D$38,MATCH(1,INDEX(EXACT('Asignaturas'!$A$4:$A$38,$D22)*1*((('Asignaturas'!$A$4:$A$38&lt;&gt;""))&gt;0),0),0))),"",INDEX('Asignaturas'!$D$4:$D$38,MATCH(1,INDEX(EXACT('Asignaturas'!$A$4:$A$38,$D22)*1*((('Asignaturas'!$A$4:$A$38&lt;&gt;""))&gt;0)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IF(ISNA(MATCH(1,INDEX(1*((('Plan por grupo'!$A$4:$A$53&lt;&gt;"")+('Plan por grupo'!$B$4:$B$53&lt;&gt;""))&gt;0)*(EXACT('Plan por grupo'!$A$4:$A$53,$A22))*(EXACT('Plan por grupo'!$B$4:$B$53,$D22)),0),0)),"no",IF(ISBLANK(INDEX('Plan por grupo'!$G$4:$G$53,MATCH(1,INDEX(1*((('Plan por grupo'!$A$4:$A$53&lt;&gt;"")+('Plan por grupo'!$B$4:$B$53&lt;&gt;""))&gt;0)*(EXACT('Plan por grupo'!$A$4:$A$53,$A22))*(EXACT('Plan por grupo'!$B$4:$B$53,$D22)),0),0))),"",INDEX('Plan por grupo'!$G$4:$G$53,MATCH(1,INDEX(1*((('Plan por grupo'!$A$4:$A$53&lt;&gt;"")+('Plan por grupo'!$B$4:$B$53&lt;&gt;""))&gt;0)*(EXACT('Plan por grupo'!$A$4:$A$53,$A22))*(EXACT('Plan por grupo'!$B$4:$B$53,$D22)),0),0))))</f>
        <v/>
      </c>
      <c r="J22" s="3">
        <f>IF(ISNA(MATCH(1,INDEX(1*((('Plan por grupo'!$A$4:$A$53&lt;&gt;"")+('Plan por grupo'!$B$4:$B$53&lt;&gt;""))&gt;0)*(EXACT('Plan por grupo'!$A$4:$A$53,$A22))*(EXACT('Plan por grupo'!$B$4:$B$53,$D22)),0),0)),"no",IF(ISBLANK(INDEX('Plan por grupo'!$E$4:$E$53,MATCH(1,INDEX(1*((('Plan por grupo'!$A$4:$A$53&lt;&gt;"")+('Plan por grupo'!$B$4:$B$53&lt;&gt;""))&gt;0)*(EXACT('Plan por grupo'!$A$4:$A$53,$A22))*(EXACT('Plan por grupo'!$B$4:$B$53,$D22)),0),0))),"",INDEX('Plan por grupo'!$E$4:$E$53,MATCH(1,INDEX(1*((('Plan por grupo'!$A$4:$A$53&lt;&gt;"")+('Plan por grupo'!$B$4:$B$53&lt;&gt;""))&gt;0)*(EXACT('Plan por grupo'!$A$4:$A$53,$A22))*(EXACT('Plan por grupo'!$B$4:$B$53,$D22)),0),0))))</f>
        <v/>
      </c>
      <c r="K22" s="3">
        <f>IF(ISNA(MATCH(1,INDEX(EXACT('Asignaturas'!$A$4:$A$38,$D22)*1*((('Asignaturas'!$A$4:$A$38&lt;&gt;""))&gt;0),0),0)),"",IF(ISBLANK(INDEX('Asignaturas'!$C$4:$C$38,MATCH(1,INDEX(EXACT('Asignaturas'!$A$4:$A$38,$D22)*1*((('Asignaturas'!$A$4:$A$38&lt;&gt;""))&gt;0),0),0))),"",INDEX('Asignaturas'!$C$4:$C$38,MATCH(1,INDEX(EXACT('Asignaturas'!$A$4:$A$38,$D22)*1*((('Asignaturas'!$A$4:$A$38&lt;&gt;""))&gt;0),0),0))))</f>
        <v/>
      </c>
      <c r="L22" s="3">
        <f>IF(ISNA(MATCH(1,INDEX(EXACT('Profesores'!$A$4:$A$53,$F22)*1*((('Profesores'!$A$4:$A$53&lt;&gt;""))&gt;0),0),0)),"no",IF(ISBLANK(INDEX('Profesores'!$B$4:$B$53,MATCH(1,INDEX(EXACT('Profesores'!$A$4:$A$53,$F22)*1*((('Profesores'!$A$4:$A$53&lt;&gt;""))&gt;0),0),0))),"",INDEX('Profesores'!$B$4:$B$53,MATCH(1,INDEX(EXACT('Profesores'!$A$4:$A$53,$F22)*1*((('Profesores'!$A$4:$A$53&lt;&gt;""))&gt;0),0),0))))</f>
        <v/>
      </c>
      <c r="M22" s="3">
        <f>IF(ISNA(MATCH(1,INDEX(EXACT('Profesores'!$A$4:$A$53,$F22)*1*((('Profesores'!$A$4:$A$53&lt;&gt;""))&gt;0),0),0)),"no",IF(ISBLANK(INDEX('Profesores'!$C$4:$C$53,MATCH(1,INDEX(EXACT('Profesores'!$A$4:$A$53,$F22)*1*((('Profesores'!$A$4:$A$53&lt;&gt;""))&gt;0),0),0))),"",INDEX('Profesores'!$C$4:$C$53,MATCH(1,INDEX(EXACT('Profesores'!$A$4:$A$53,$F22)*1*((('Profesores'!$A$4:$A$53&lt;&gt;""))&gt;0),0),0))))</f>
        <v/>
      </c>
      <c r="N22" s="3">
        <f>IF(EXACT($L22,"si"),IF(ISNA(MATCH(1,INDEX(1*((('Dias que asisten los contratado'!$A$4:$A$24&lt;&gt;"")+('Dias que asisten los contratado'!$B$4:$B$24&lt;&gt;""))&gt;0)*(EXACT('Dias que asisten los contratado'!$A$4:$A$24,$F22))*(EXACT('Dias que asisten los contratado'!$B$4:$B$24,$B22)),0),0)),"no",IF(ISBLANK(INDEX('Dias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contratado'!$B$4:$B$24,$B22)),0),0))),"",INDEX('Dias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contratado'!$B$4:$B$24,$B22)),0),0)))),"")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3">
        <f>IF(ISBLANK('Horario del grupo - 10-4'!F5),"",'Horario del grupo - 10-4'!F5)</f>
        <v/>
      </c>
      <c r="E23" s="3">
        <f>IF(ISNA(MATCH(1,INDEX(EXACT('Asignaturas'!$A$4:$A$38,$D23)*1*((('Asignaturas'!$A$4:$A$38&lt;&gt;""))&gt;0),0),0)),"",IF(ISBLANK(INDEX('Asignaturas'!$B$4:$B$38,MATCH(1,INDEX(EXACT('Asignaturas'!$A$4:$A$38,$D23)*1*((('Asignaturas'!$A$4:$A$38&lt;&gt;""))&gt;0),0),0))),"",INDEX('Asignaturas'!$B$4:$B$38,MATCH(1,INDEX(EXACT('Asignaturas'!$A$4:$A$38,$D23)*1*((('Asignaturas'!$A$4:$A$38&lt;&gt;""))&gt;0),0),0))))</f>
        <v/>
      </c>
      <c r="F23" s="3">
        <f>IF(ISNA(MATCH(1,INDEX(1*((('Plan por grupo'!$A$4:$A$53&lt;&gt;"")+('Plan por grupo'!$B$4:$B$53&lt;&gt;""))&gt;0)*(EXACT('Plan por grupo'!$A$4:$A$53,$A23))*(EXACT('Plan por grupo'!$B$4:$B$53,$D23)),0),0)),"",IF(ISBLANK(INDEX('Plan por grupo'!$C$4:$C$53,MATCH(1,INDEX(1*((('Plan por grupo'!$A$4:$A$53&lt;&gt;"")+('Plan por grupo'!$B$4:$B$53&lt;&gt;""))&gt;0)*(EXACT('Plan por grupo'!$A$4:$A$53,$A23))*(EXACT('Plan por grupo'!$B$4:$B$53,$D23)),0),0))),"",INDEX('Plan por grupo'!$C$4:$C$53,MATCH(1,INDEX(1*((('Plan por grupo'!$A$4:$A$53&lt;&gt;"")+('Plan por grupo'!$B$4:$B$53&lt;&gt;""))&gt;0)*(EXACT('Plan por grupo'!$A$4:$A$53,$A23))*(EXACT('Plan por grupo'!$B$4:$B$53,$D23)),0),0))))</f>
        <v/>
      </c>
      <c r="G23" s="3">
        <f>IF(ISNA(MATCH(1,INDEX(EXACT('Asignaturas'!$A$4:$A$38,$D23)*1*((('Asignaturas'!$A$4:$A$38&lt;&gt;""))&gt;0),0),0)),"",IF(ISBLANK(INDEX('Asignaturas'!$D$4:$D$38,MATCH(1,INDEX(EXACT('Asignaturas'!$A$4:$A$38,$D23)*1*((('Asignaturas'!$A$4:$A$38&lt;&gt;""))&gt;0),0),0))),"",INDEX('Asignaturas'!$D$4:$D$38,MATCH(1,INDEX(EXACT('Asignaturas'!$A$4:$A$38,$D23)*1*((('Asignaturas'!$A$4:$A$38&lt;&gt;""))&gt;0)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IF(ISNA(MATCH(1,INDEX(1*((('Plan por grupo'!$A$4:$A$53&lt;&gt;"")+('Plan por grupo'!$B$4:$B$53&lt;&gt;""))&gt;0)*(EXACT('Plan por grupo'!$A$4:$A$53,$A23))*(EXACT('Plan por grupo'!$B$4:$B$53,$D23)),0),0)),"no",IF(ISBLANK(INDEX('Plan por grupo'!$G$4:$G$53,MATCH(1,INDEX(1*((('Plan por grupo'!$A$4:$A$53&lt;&gt;"")+('Plan por grupo'!$B$4:$B$53&lt;&gt;""))&gt;0)*(EXACT('Plan por grupo'!$A$4:$A$53,$A23))*(EXACT('Plan por grupo'!$B$4:$B$53,$D23)),0),0))),"",INDEX('Plan por grupo'!$G$4:$G$53,MATCH(1,INDEX(1*((('Plan por grupo'!$A$4:$A$53&lt;&gt;"")+('Plan por grupo'!$B$4:$B$53&lt;&gt;""))&gt;0)*(EXACT('Plan por grupo'!$A$4:$A$53,$A23))*(EXACT('Plan por grupo'!$B$4:$B$53,$D23)),0),0))))</f>
        <v/>
      </c>
      <c r="J23" s="3">
        <f>IF(ISNA(MATCH(1,INDEX(1*((('Plan por grupo'!$A$4:$A$53&lt;&gt;"")+('Plan por grupo'!$B$4:$B$53&lt;&gt;""))&gt;0)*(EXACT('Plan por grupo'!$A$4:$A$53,$A23))*(EXACT('Plan por grupo'!$B$4:$B$53,$D23)),0),0)),"no",IF(ISBLANK(INDEX('Plan por grupo'!$E$4:$E$53,MATCH(1,INDEX(1*((('Plan por grupo'!$A$4:$A$53&lt;&gt;"")+('Plan por grupo'!$B$4:$B$53&lt;&gt;""))&gt;0)*(EXACT('Plan por grupo'!$A$4:$A$53,$A23))*(EXACT('Plan por grupo'!$B$4:$B$53,$D23)),0),0))),"",INDEX('Plan por grupo'!$E$4:$E$53,MATCH(1,INDEX(1*((('Plan por grupo'!$A$4:$A$53&lt;&gt;"")+('Plan por grupo'!$B$4:$B$53&lt;&gt;""))&gt;0)*(EXACT('Plan por grupo'!$A$4:$A$53,$A23))*(EXACT('Plan por grupo'!$B$4:$B$53,$D23)),0),0))))</f>
        <v/>
      </c>
      <c r="K23" s="3">
        <f>IF(ISNA(MATCH(1,INDEX(EXACT('Asignaturas'!$A$4:$A$38,$D23)*1*((('Asignaturas'!$A$4:$A$38&lt;&gt;""))&gt;0),0),0)),"",IF(ISBLANK(INDEX('Asignaturas'!$C$4:$C$38,MATCH(1,INDEX(EXACT('Asignaturas'!$A$4:$A$38,$D23)*1*((('Asignaturas'!$A$4:$A$38&lt;&gt;""))&gt;0),0),0))),"",INDEX('Asignaturas'!$C$4:$C$38,MATCH(1,INDEX(EXACT('Asignaturas'!$A$4:$A$38,$D23)*1*((('Asignaturas'!$A$4:$A$38&lt;&gt;""))&gt;0),0),0))))</f>
        <v/>
      </c>
      <c r="L23" s="3">
        <f>IF(ISNA(MATCH(1,INDEX(EXACT('Profesores'!$A$4:$A$53,$F23)*1*((('Profesores'!$A$4:$A$53&lt;&gt;""))&gt;0),0),0)),"no",IF(ISBLANK(INDEX('Profesores'!$B$4:$B$53,MATCH(1,INDEX(EXACT('Profesores'!$A$4:$A$53,$F23)*1*((('Profesores'!$A$4:$A$53&lt;&gt;""))&gt;0),0),0))),"",INDEX('Profesores'!$B$4:$B$53,MATCH(1,INDEX(EXACT('Profesores'!$A$4:$A$53,$F23)*1*((('Profesores'!$A$4:$A$53&lt;&gt;""))&gt;0),0),0))))</f>
        <v/>
      </c>
      <c r="M23" s="3">
        <f>IF(ISNA(MATCH(1,INDEX(EXACT('Profesores'!$A$4:$A$53,$F23)*1*((('Profesores'!$A$4:$A$53&lt;&gt;""))&gt;0),0),0)),"no",IF(ISBLANK(INDEX('Profesores'!$C$4:$C$53,MATCH(1,INDEX(EXACT('Profesores'!$A$4:$A$53,$F23)*1*((('Profesores'!$A$4:$A$53&lt;&gt;""))&gt;0),0),0))),"",INDEX('Profesores'!$C$4:$C$53,MATCH(1,INDEX(EXACT('Profesores'!$A$4:$A$53,$F23)*1*((('Profesores'!$A$4:$A$53&lt;&gt;""))&gt;0),0),0))))</f>
        <v/>
      </c>
      <c r="N23" s="3">
        <f>IF(EXACT($L23,"si"),IF(ISNA(MATCH(1,INDEX(1*((('Dias que asisten los contratado'!$A$4:$A$24&lt;&gt;"")+('Dias que asisten los contratado'!$B$4:$B$24&lt;&gt;""))&gt;0)*(EXACT('Dias que asisten los contratado'!$A$4:$A$24,$F23))*(EXACT('Dias que asisten los contratado'!$B$4:$B$24,$B23)),0),0)),"no",IF(ISBLANK(INDEX('Dias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contratado'!$B$4:$B$24,$B23)),0),0))),"",INDEX('Dias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contratado'!$B$4:$B$24,$B23)),0),0)))),"")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3">
        <f>IF(ISBLANK('Horario del grupo - 10-3'!B6),"",'Horario del grupo - 10-3'!B6)</f>
        <v/>
      </c>
      <c r="E24" s="3">
        <f>IF(ISNA(MATCH(1,INDEX(EXACT('Asignaturas'!$A$4:$A$38,$D24)*1*((('Asignaturas'!$A$4:$A$38&lt;&gt;""))&gt;0),0),0)),"",IF(ISBLANK(INDEX('Asignaturas'!$B$4:$B$38,MATCH(1,INDEX(EXACT('Asignaturas'!$A$4:$A$38,$D24)*1*((('Asignaturas'!$A$4:$A$38&lt;&gt;""))&gt;0),0),0))),"",INDEX('Asignaturas'!$B$4:$B$38,MATCH(1,INDEX(EXACT('Asignaturas'!$A$4:$A$38,$D24)*1*((('Asignaturas'!$A$4:$A$38&lt;&gt;""))&gt;0),0),0))))</f>
        <v/>
      </c>
      <c r="F24" s="3">
        <f>IF(ISNA(MATCH(1,INDEX(1*((('Plan por grupo'!$A$4:$A$53&lt;&gt;"")+('Plan por grupo'!$B$4:$B$53&lt;&gt;""))&gt;0)*(EXACT('Plan por grupo'!$A$4:$A$53,$A24))*(EXACT('Plan por grupo'!$B$4:$B$53,$D24)),0),0)),"",IF(ISBLANK(INDEX('Plan por grupo'!$C$4:$C$53,MATCH(1,INDEX(1*((('Plan por grupo'!$A$4:$A$53&lt;&gt;"")+('Plan por grupo'!$B$4:$B$53&lt;&gt;""))&gt;0)*(EXACT('Plan por grupo'!$A$4:$A$53,$A24))*(EXACT('Plan por grupo'!$B$4:$B$53,$D24)),0),0))),"",INDEX('Plan por grupo'!$C$4:$C$53,MATCH(1,INDEX(1*((('Plan por grupo'!$A$4:$A$53&lt;&gt;"")+('Plan por grupo'!$B$4:$B$53&lt;&gt;""))&gt;0)*(EXACT('Plan por grupo'!$A$4:$A$53,$A24))*(EXACT('Plan por grupo'!$B$4:$B$53,$D24)),0),0))))</f>
        <v/>
      </c>
      <c r="G24" s="3">
        <f>IF(ISNA(MATCH(1,INDEX(EXACT('Asignaturas'!$A$4:$A$38,$D24)*1*((('Asignaturas'!$A$4:$A$38&lt;&gt;""))&gt;0),0),0)),"",IF(ISBLANK(INDEX('Asignaturas'!$D$4:$D$38,MATCH(1,INDEX(EXACT('Asignaturas'!$A$4:$A$38,$D24)*1*((('Asignaturas'!$A$4:$A$38&lt;&gt;""))&gt;0),0),0))),"",INDEX('Asignaturas'!$D$4:$D$38,MATCH(1,INDEX(EXACT('Asignaturas'!$A$4:$A$38,$D24)*1*((('Asignaturas'!$A$4:$A$38&lt;&gt;""))&gt;0)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IF(ISNA(MATCH(1,INDEX(1*((('Plan por grupo'!$A$4:$A$53&lt;&gt;"")+('Plan por grupo'!$B$4:$B$53&lt;&gt;""))&gt;0)*(EXACT('Plan por grupo'!$A$4:$A$53,$A24))*(EXACT('Plan por grupo'!$B$4:$B$53,$D24)),0),0)),"no",IF(ISBLANK(INDEX('Plan por grupo'!$G$4:$G$53,MATCH(1,INDEX(1*((('Plan por grupo'!$A$4:$A$53&lt;&gt;"")+('Plan por grupo'!$B$4:$B$53&lt;&gt;""))&gt;0)*(EXACT('Plan por grupo'!$A$4:$A$53,$A24))*(EXACT('Plan por grupo'!$B$4:$B$53,$D24)),0),0))),"",INDEX('Plan por grupo'!$G$4:$G$53,MATCH(1,INDEX(1*((('Plan por grupo'!$A$4:$A$53&lt;&gt;"")+('Plan por grupo'!$B$4:$B$53&lt;&gt;""))&gt;0)*(EXACT('Plan por grupo'!$A$4:$A$53,$A24))*(EXACT('Plan por grupo'!$B$4:$B$53,$D24)),0),0))))</f>
        <v/>
      </c>
      <c r="J24" s="3">
        <f>IF(ISNA(MATCH(1,INDEX(1*((('Plan por grupo'!$A$4:$A$53&lt;&gt;"")+('Plan por grupo'!$B$4:$B$53&lt;&gt;""))&gt;0)*(EXACT('Plan por grupo'!$A$4:$A$53,$A24))*(EXACT('Plan por grupo'!$B$4:$B$53,$D24)),0),0)),"no",IF(ISBLANK(INDEX('Plan por grupo'!$E$4:$E$53,MATCH(1,INDEX(1*((('Plan por grupo'!$A$4:$A$53&lt;&gt;"")+('Plan por grupo'!$B$4:$B$53&lt;&gt;""))&gt;0)*(EXACT('Plan por grupo'!$A$4:$A$53,$A24))*(EXACT('Plan por grupo'!$B$4:$B$53,$D24)),0),0))),"",INDEX('Plan por grupo'!$E$4:$E$53,MATCH(1,INDEX(1*((('Plan por grupo'!$A$4:$A$53&lt;&gt;"")+('Plan por grupo'!$B$4:$B$53&lt;&gt;""))&gt;0)*(EXACT('Plan por grupo'!$A$4:$A$53,$A24))*(EXACT('Plan por grupo'!$B$4:$B$53,$D24)),0),0))))</f>
        <v/>
      </c>
      <c r="K24" s="3">
        <f>IF(ISNA(MATCH(1,INDEX(EXACT('Asignaturas'!$A$4:$A$38,$D24)*1*((('Asignaturas'!$A$4:$A$38&lt;&gt;""))&gt;0),0),0)),"",IF(ISBLANK(INDEX('Asignaturas'!$C$4:$C$38,MATCH(1,INDEX(EXACT('Asignaturas'!$A$4:$A$38,$D24)*1*((('Asignaturas'!$A$4:$A$38&lt;&gt;""))&gt;0),0),0))),"",INDEX('Asignaturas'!$C$4:$C$38,MATCH(1,INDEX(EXACT('Asignaturas'!$A$4:$A$38,$D24)*1*((('Asignaturas'!$A$4:$A$38&lt;&gt;""))&gt;0),0),0))))</f>
        <v/>
      </c>
      <c r="L24" s="3">
        <f>IF(ISNA(MATCH(1,INDEX(EXACT('Profesores'!$A$4:$A$53,$F24)*1*((('Profesores'!$A$4:$A$53&lt;&gt;""))&gt;0),0),0)),"no",IF(ISBLANK(INDEX('Profesores'!$B$4:$B$53,MATCH(1,INDEX(EXACT('Profesores'!$A$4:$A$53,$F24)*1*((('Profesores'!$A$4:$A$53&lt;&gt;""))&gt;0),0),0))),"",INDEX('Profesores'!$B$4:$B$53,MATCH(1,INDEX(EXACT('Profesores'!$A$4:$A$53,$F24)*1*((('Profesores'!$A$4:$A$53&lt;&gt;""))&gt;0),0),0))))</f>
        <v/>
      </c>
      <c r="M24" s="3">
        <f>IF(ISNA(MATCH(1,INDEX(EXACT('Profesores'!$A$4:$A$53,$F24)*1*((('Profesores'!$A$4:$A$53&lt;&gt;""))&gt;0),0),0)),"no",IF(ISBLANK(INDEX('Profesores'!$C$4:$C$53,MATCH(1,INDEX(EXACT('Profesores'!$A$4:$A$53,$F24)*1*((('Profesores'!$A$4:$A$53&lt;&gt;""))&gt;0),0),0))),"",INDEX('Profesores'!$C$4:$C$53,MATCH(1,INDEX(EXACT('Profesores'!$A$4:$A$53,$F24)*1*((('Profesores'!$A$4:$A$53&lt;&gt;""))&gt;0),0),0))))</f>
        <v/>
      </c>
      <c r="N24" s="3">
        <f>IF(EXACT($L24,"si"),IF(ISNA(MATCH(1,INDEX(1*((('Dias que asisten los contratado'!$A$4:$A$24&lt;&gt;"")+('Dias que asisten los contratado'!$B$4:$B$24&lt;&gt;""))&gt;0)*(EXACT('Dias que asisten los contratado'!$A$4:$A$24,$F24))*(EXACT('Dias que asisten los contratado'!$B$4:$B$24,$B24)),0),0)),"no",IF(ISBLANK(INDEX('Dias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contratado'!$B$4:$B$24,$B24)),0),0))),"",INDEX('Dias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contratado'!$B$4:$B$24,$B24)),0),0)))),"")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3">
        <f>IF(ISBLANK('Horario del grupo - 10-3'!C6),"",'Horario del grupo - 10-3'!C6)</f>
        <v/>
      </c>
      <c r="E25" s="3">
        <f>IF(ISNA(MATCH(1,INDEX(EXACT('Asignaturas'!$A$4:$A$38,$D25)*1*((('Asignaturas'!$A$4:$A$38&lt;&gt;""))&gt;0),0),0)),"",IF(ISBLANK(INDEX('Asignaturas'!$B$4:$B$38,MATCH(1,INDEX(EXACT('Asignaturas'!$A$4:$A$38,$D25)*1*((('Asignaturas'!$A$4:$A$38&lt;&gt;""))&gt;0),0),0))),"",INDEX('Asignaturas'!$B$4:$B$38,MATCH(1,INDEX(EXACT('Asignaturas'!$A$4:$A$38,$D25)*1*((('Asignaturas'!$A$4:$A$38&lt;&gt;""))&gt;0),0),0))))</f>
        <v/>
      </c>
      <c r="F25" s="3">
        <f>IF(ISNA(MATCH(1,INDEX(1*((('Plan por grupo'!$A$4:$A$53&lt;&gt;"")+('Plan por grupo'!$B$4:$B$53&lt;&gt;""))&gt;0)*(EXACT('Plan por grupo'!$A$4:$A$53,$A25))*(EXACT('Plan por grupo'!$B$4:$B$53,$D25)),0),0)),"",IF(ISBLANK(INDEX('Plan por grupo'!$C$4:$C$53,MATCH(1,INDEX(1*((('Plan por grupo'!$A$4:$A$53&lt;&gt;"")+('Plan por grupo'!$B$4:$B$53&lt;&gt;""))&gt;0)*(EXACT('Plan por grupo'!$A$4:$A$53,$A25))*(EXACT('Plan por grupo'!$B$4:$B$53,$D25)),0),0))),"",INDEX('Plan por grupo'!$C$4:$C$53,MATCH(1,INDEX(1*((('Plan por grupo'!$A$4:$A$53&lt;&gt;"")+('Plan por grupo'!$B$4:$B$53&lt;&gt;""))&gt;0)*(EXACT('Plan por grupo'!$A$4:$A$53,$A25))*(EXACT('Plan por grupo'!$B$4:$B$53,$D25)),0),0))))</f>
        <v/>
      </c>
      <c r="G25" s="3">
        <f>IF(ISNA(MATCH(1,INDEX(EXACT('Asignaturas'!$A$4:$A$38,$D25)*1*((('Asignaturas'!$A$4:$A$38&lt;&gt;""))&gt;0),0),0)),"",IF(ISBLANK(INDEX('Asignaturas'!$D$4:$D$38,MATCH(1,INDEX(EXACT('Asignaturas'!$A$4:$A$38,$D25)*1*((('Asignaturas'!$A$4:$A$38&lt;&gt;""))&gt;0),0),0))),"",INDEX('Asignaturas'!$D$4:$D$38,MATCH(1,INDEX(EXACT('Asignaturas'!$A$4:$A$38,$D25)*1*((('Asignaturas'!$A$4:$A$38&lt;&gt;""))&gt;0)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IF(ISNA(MATCH(1,INDEX(1*((('Plan por grupo'!$A$4:$A$53&lt;&gt;"")+('Plan por grupo'!$B$4:$B$53&lt;&gt;""))&gt;0)*(EXACT('Plan por grupo'!$A$4:$A$53,$A25))*(EXACT('Plan por grupo'!$B$4:$B$53,$D25)),0),0)),"no",IF(ISBLANK(INDEX('Plan por grupo'!$G$4:$G$53,MATCH(1,INDEX(1*((('Plan por grupo'!$A$4:$A$53&lt;&gt;"")+('Plan por grupo'!$B$4:$B$53&lt;&gt;""))&gt;0)*(EXACT('Plan por grupo'!$A$4:$A$53,$A25))*(EXACT('Plan por grupo'!$B$4:$B$53,$D25)),0),0))),"",INDEX('Plan por grupo'!$G$4:$G$53,MATCH(1,INDEX(1*((('Plan por grupo'!$A$4:$A$53&lt;&gt;"")+('Plan por grupo'!$B$4:$B$53&lt;&gt;""))&gt;0)*(EXACT('Plan por grupo'!$A$4:$A$53,$A25))*(EXACT('Plan por grupo'!$B$4:$B$53,$D25)),0),0))))</f>
        <v/>
      </c>
      <c r="J25" s="3">
        <f>IF(ISNA(MATCH(1,INDEX(1*((('Plan por grupo'!$A$4:$A$53&lt;&gt;"")+('Plan por grupo'!$B$4:$B$53&lt;&gt;""))&gt;0)*(EXACT('Plan por grupo'!$A$4:$A$53,$A25))*(EXACT('Plan por grupo'!$B$4:$B$53,$D25)),0),0)),"no",IF(ISBLANK(INDEX('Plan por grupo'!$E$4:$E$53,MATCH(1,INDEX(1*((('Plan por grupo'!$A$4:$A$53&lt;&gt;"")+('Plan por grupo'!$B$4:$B$53&lt;&gt;""))&gt;0)*(EXACT('Plan por grupo'!$A$4:$A$53,$A25))*(EXACT('Plan por grupo'!$B$4:$B$53,$D25)),0),0))),"",INDEX('Plan por grupo'!$E$4:$E$53,MATCH(1,INDEX(1*((('Plan por grupo'!$A$4:$A$53&lt;&gt;"")+('Plan por grupo'!$B$4:$B$53&lt;&gt;""))&gt;0)*(EXACT('Plan por grupo'!$A$4:$A$53,$A25))*(EXACT('Plan por grupo'!$B$4:$B$53,$D25)),0),0))))</f>
        <v/>
      </c>
      <c r="K25" s="3">
        <f>IF(ISNA(MATCH(1,INDEX(EXACT('Asignaturas'!$A$4:$A$38,$D25)*1*((('Asignaturas'!$A$4:$A$38&lt;&gt;""))&gt;0),0),0)),"",IF(ISBLANK(INDEX('Asignaturas'!$C$4:$C$38,MATCH(1,INDEX(EXACT('Asignaturas'!$A$4:$A$38,$D25)*1*((('Asignaturas'!$A$4:$A$38&lt;&gt;""))&gt;0),0),0))),"",INDEX('Asignaturas'!$C$4:$C$38,MATCH(1,INDEX(EXACT('Asignaturas'!$A$4:$A$38,$D25)*1*((('Asignaturas'!$A$4:$A$38&lt;&gt;""))&gt;0),0),0))))</f>
        <v/>
      </c>
      <c r="L25" s="3">
        <f>IF(ISNA(MATCH(1,INDEX(EXACT('Profesores'!$A$4:$A$53,$F25)*1*((('Profesores'!$A$4:$A$53&lt;&gt;""))&gt;0),0),0)),"no",IF(ISBLANK(INDEX('Profesores'!$B$4:$B$53,MATCH(1,INDEX(EXACT('Profesores'!$A$4:$A$53,$F25)*1*((('Profesores'!$A$4:$A$53&lt;&gt;""))&gt;0),0),0))),"",INDEX('Profesores'!$B$4:$B$53,MATCH(1,INDEX(EXACT('Profesores'!$A$4:$A$53,$F25)*1*((('Profesores'!$A$4:$A$53&lt;&gt;""))&gt;0),0),0))))</f>
        <v/>
      </c>
      <c r="M25" s="3">
        <f>IF(ISNA(MATCH(1,INDEX(EXACT('Profesores'!$A$4:$A$53,$F25)*1*((('Profesores'!$A$4:$A$53&lt;&gt;""))&gt;0),0),0)),"no",IF(ISBLANK(INDEX('Profesores'!$C$4:$C$53,MATCH(1,INDEX(EXACT('Profesores'!$A$4:$A$53,$F25)*1*((('Profesores'!$A$4:$A$53&lt;&gt;""))&gt;0),0),0))),"",INDEX('Profesores'!$C$4:$C$53,MATCH(1,INDEX(EXACT('Profesores'!$A$4:$A$53,$F25)*1*((('Profesores'!$A$4:$A$53&lt;&gt;""))&gt;0),0),0))))</f>
        <v/>
      </c>
      <c r="N25" s="3">
        <f>IF(EXACT($L25,"si"),IF(ISNA(MATCH(1,INDEX(1*((('Dias que asisten los contratado'!$A$4:$A$24&lt;&gt;"")+('Dias que asisten los contratado'!$B$4:$B$24&lt;&gt;""))&gt;0)*(EXACT('Dias que asisten los contratado'!$A$4:$A$24,$F25))*(EXACT('Dias que asisten los contratado'!$B$4:$B$24,$B25)),0),0)),"no",IF(ISBLANK(INDEX('Dias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contratado'!$B$4:$B$24,$B25)),0),0))),"",INDEX('Dias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contratado'!$B$4:$B$24,$B25)),0),0)))),"")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3">
        <f>IF(ISBLANK('Horario del grupo - 10-3'!D6),"",'Horario del grupo - 10-3'!D6)</f>
        <v/>
      </c>
      <c r="E26" s="3">
        <f>IF(ISNA(MATCH(1,INDEX(EXACT('Asignaturas'!$A$4:$A$38,$D26)*1*((('Asignaturas'!$A$4:$A$38&lt;&gt;""))&gt;0),0),0)),"",IF(ISBLANK(INDEX('Asignaturas'!$B$4:$B$38,MATCH(1,INDEX(EXACT('Asignaturas'!$A$4:$A$38,$D26)*1*((('Asignaturas'!$A$4:$A$38&lt;&gt;""))&gt;0),0),0))),"",INDEX('Asignaturas'!$B$4:$B$38,MATCH(1,INDEX(EXACT('Asignaturas'!$A$4:$A$38,$D26)*1*((('Asignaturas'!$A$4:$A$38&lt;&gt;""))&gt;0),0),0))))</f>
        <v/>
      </c>
      <c r="F26" s="3">
        <f>IF(ISNA(MATCH(1,INDEX(1*((('Plan por grupo'!$A$4:$A$53&lt;&gt;"")+('Plan por grupo'!$B$4:$B$53&lt;&gt;""))&gt;0)*(EXACT('Plan por grupo'!$A$4:$A$53,$A26))*(EXACT('Plan por grupo'!$B$4:$B$53,$D26)),0),0)),"",IF(ISBLANK(INDEX('Plan por grupo'!$C$4:$C$53,MATCH(1,INDEX(1*((('Plan por grupo'!$A$4:$A$53&lt;&gt;"")+('Plan por grupo'!$B$4:$B$53&lt;&gt;""))&gt;0)*(EXACT('Plan por grupo'!$A$4:$A$53,$A26))*(EXACT('Plan por grupo'!$B$4:$B$53,$D26)),0),0))),"",INDEX('Plan por grupo'!$C$4:$C$53,MATCH(1,INDEX(1*((('Plan por grupo'!$A$4:$A$53&lt;&gt;"")+('Plan por grupo'!$B$4:$B$53&lt;&gt;""))&gt;0)*(EXACT('Plan por grupo'!$A$4:$A$53,$A26))*(EXACT('Plan por grupo'!$B$4:$B$53,$D26)),0),0))))</f>
        <v/>
      </c>
      <c r="G26" s="3">
        <f>IF(ISNA(MATCH(1,INDEX(EXACT('Asignaturas'!$A$4:$A$38,$D26)*1*((('Asignaturas'!$A$4:$A$38&lt;&gt;""))&gt;0),0),0)),"",IF(ISBLANK(INDEX('Asignaturas'!$D$4:$D$38,MATCH(1,INDEX(EXACT('Asignaturas'!$A$4:$A$38,$D26)*1*((('Asignaturas'!$A$4:$A$38&lt;&gt;""))&gt;0),0),0))),"",INDEX('Asignaturas'!$D$4:$D$38,MATCH(1,INDEX(EXACT('Asignaturas'!$A$4:$A$38,$D26)*1*((('Asignaturas'!$A$4:$A$38&lt;&gt;""))&gt;0)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IF(ISNA(MATCH(1,INDEX(1*((('Plan por grupo'!$A$4:$A$53&lt;&gt;"")+('Plan por grupo'!$B$4:$B$53&lt;&gt;""))&gt;0)*(EXACT('Plan por grupo'!$A$4:$A$53,$A26))*(EXACT('Plan por grupo'!$B$4:$B$53,$D26)),0),0)),"no",IF(ISBLANK(INDEX('Plan por grupo'!$G$4:$G$53,MATCH(1,INDEX(1*((('Plan por grupo'!$A$4:$A$53&lt;&gt;"")+('Plan por grupo'!$B$4:$B$53&lt;&gt;""))&gt;0)*(EXACT('Plan por grupo'!$A$4:$A$53,$A26))*(EXACT('Plan por grupo'!$B$4:$B$53,$D26)),0),0))),"",INDEX('Plan por grupo'!$G$4:$G$53,MATCH(1,INDEX(1*((('Plan por grupo'!$A$4:$A$53&lt;&gt;"")+('Plan por grupo'!$B$4:$B$53&lt;&gt;""))&gt;0)*(EXACT('Plan por grupo'!$A$4:$A$53,$A26))*(EXACT('Plan por grupo'!$B$4:$B$53,$D26)),0),0))))</f>
        <v/>
      </c>
      <c r="J26" s="3">
        <f>IF(ISNA(MATCH(1,INDEX(1*((('Plan por grupo'!$A$4:$A$53&lt;&gt;"")+('Plan por grupo'!$B$4:$B$53&lt;&gt;""))&gt;0)*(EXACT('Plan por grupo'!$A$4:$A$53,$A26))*(EXACT('Plan por grupo'!$B$4:$B$53,$D26)),0),0)),"no",IF(ISBLANK(INDEX('Plan por grupo'!$E$4:$E$53,MATCH(1,INDEX(1*((('Plan por grupo'!$A$4:$A$53&lt;&gt;"")+('Plan por grupo'!$B$4:$B$53&lt;&gt;""))&gt;0)*(EXACT('Plan por grupo'!$A$4:$A$53,$A26))*(EXACT('Plan por grupo'!$B$4:$B$53,$D26)),0),0))),"",INDEX('Plan por grupo'!$E$4:$E$53,MATCH(1,INDEX(1*((('Plan por grupo'!$A$4:$A$53&lt;&gt;"")+('Plan por grupo'!$B$4:$B$53&lt;&gt;""))&gt;0)*(EXACT('Plan por grupo'!$A$4:$A$53,$A26))*(EXACT('Plan por grupo'!$B$4:$B$53,$D26)),0),0))))</f>
        <v/>
      </c>
      <c r="K26" s="3">
        <f>IF(ISNA(MATCH(1,INDEX(EXACT('Asignaturas'!$A$4:$A$38,$D26)*1*((('Asignaturas'!$A$4:$A$38&lt;&gt;""))&gt;0),0),0)),"",IF(ISBLANK(INDEX('Asignaturas'!$C$4:$C$38,MATCH(1,INDEX(EXACT('Asignaturas'!$A$4:$A$38,$D26)*1*((('Asignaturas'!$A$4:$A$38&lt;&gt;""))&gt;0),0),0))),"",INDEX('Asignaturas'!$C$4:$C$38,MATCH(1,INDEX(EXACT('Asignaturas'!$A$4:$A$38,$D26)*1*((('Asignaturas'!$A$4:$A$38&lt;&gt;""))&gt;0),0),0))))</f>
        <v/>
      </c>
      <c r="L26" s="3">
        <f>IF(ISNA(MATCH(1,INDEX(EXACT('Profesores'!$A$4:$A$53,$F26)*1*((('Profesores'!$A$4:$A$53&lt;&gt;""))&gt;0),0),0)),"no",IF(ISBLANK(INDEX('Profesores'!$B$4:$B$53,MATCH(1,INDEX(EXACT('Profesores'!$A$4:$A$53,$F26)*1*((('Profesores'!$A$4:$A$53&lt;&gt;""))&gt;0),0),0))),"",INDEX('Profesores'!$B$4:$B$53,MATCH(1,INDEX(EXACT('Profesores'!$A$4:$A$53,$F26)*1*((('Profesores'!$A$4:$A$53&lt;&gt;""))&gt;0),0),0))))</f>
        <v/>
      </c>
      <c r="M26" s="3">
        <f>IF(ISNA(MATCH(1,INDEX(EXACT('Profesores'!$A$4:$A$53,$F26)*1*((('Profesores'!$A$4:$A$53&lt;&gt;""))&gt;0),0),0)),"no",IF(ISBLANK(INDEX('Profesores'!$C$4:$C$53,MATCH(1,INDEX(EXACT('Profesores'!$A$4:$A$53,$F26)*1*((('Profesores'!$A$4:$A$53&lt;&gt;""))&gt;0),0),0))),"",INDEX('Profesores'!$C$4:$C$53,MATCH(1,INDEX(EXACT('Profesores'!$A$4:$A$53,$F26)*1*((('Profesores'!$A$4:$A$53&lt;&gt;""))&gt;0),0),0))))</f>
        <v/>
      </c>
      <c r="N26" s="3">
        <f>IF(EXACT($L26,"si"),IF(ISNA(MATCH(1,INDEX(1*((('Dias que asisten los contratado'!$A$4:$A$24&lt;&gt;"")+('Dias que asisten los contratado'!$B$4:$B$24&lt;&gt;""))&gt;0)*(EXACT('Dias que asisten los contratado'!$A$4:$A$24,$F26))*(EXACT('Dias que asisten los contratado'!$B$4:$B$24,$B26)),0),0)),"no",IF(ISBLANK(INDEX('Dias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contratado'!$B$4:$B$24,$B26)),0),0))),"",INDEX('Dias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contratado'!$B$4:$B$24,$B26)),0),0)))),"")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3">
        <f>IF(ISBLANK('Horario del grupo - 10-3'!E6),"",'Horario del grupo - 10-3'!E6)</f>
        <v/>
      </c>
      <c r="E27" s="3">
        <f>IF(ISNA(MATCH(1,INDEX(EXACT('Asignaturas'!$A$4:$A$38,$D27)*1*((('Asignaturas'!$A$4:$A$38&lt;&gt;""))&gt;0),0),0)),"",IF(ISBLANK(INDEX('Asignaturas'!$B$4:$B$38,MATCH(1,INDEX(EXACT('Asignaturas'!$A$4:$A$38,$D27)*1*((('Asignaturas'!$A$4:$A$38&lt;&gt;""))&gt;0),0),0))),"",INDEX('Asignaturas'!$B$4:$B$38,MATCH(1,INDEX(EXACT('Asignaturas'!$A$4:$A$38,$D27)*1*((('Asignaturas'!$A$4:$A$38&lt;&gt;""))&gt;0),0),0))))</f>
        <v/>
      </c>
      <c r="F27" s="3">
        <f>IF(ISNA(MATCH(1,INDEX(1*((('Plan por grupo'!$A$4:$A$53&lt;&gt;"")+('Plan por grupo'!$B$4:$B$53&lt;&gt;""))&gt;0)*(EXACT('Plan por grupo'!$A$4:$A$53,$A27))*(EXACT('Plan por grupo'!$B$4:$B$53,$D27)),0),0)),"",IF(ISBLANK(INDEX('Plan por grupo'!$C$4:$C$53,MATCH(1,INDEX(1*((('Plan por grupo'!$A$4:$A$53&lt;&gt;"")+('Plan por grupo'!$B$4:$B$53&lt;&gt;""))&gt;0)*(EXACT('Plan por grupo'!$A$4:$A$53,$A27))*(EXACT('Plan por grupo'!$B$4:$B$53,$D27)),0),0))),"",INDEX('Plan por grupo'!$C$4:$C$53,MATCH(1,INDEX(1*((('Plan por grupo'!$A$4:$A$53&lt;&gt;"")+('Plan por grupo'!$B$4:$B$53&lt;&gt;""))&gt;0)*(EXACT('Plan por grupo'!$A$4:$A$53,$A27))*(EXACT('Plan por grupo'!$B$4:$B$53,$D27)),0),0))))</f>
        <v/>
      </c>
      <c r="G27" s="3">
        <f>IF(ISNA(MATCH(1,INDEX(EXACT('Asignaturas'!$A$4:$A$38,$D27)*1*((('Asignaturas'!$A$4:$A$38&lt;&gt;""))&gt;0),0),0)),"",IF(ISBLANK(INDEX('Asignaturas'!$D$4:$D$38,MATCH(1,INDEX(EXACT('Asignaturas'!$A$4:$A$38,$D27)*1*((('Asignaturas'!$A$4:$A$38&lt;&gt;""))&gt;0),0),0))),"",INDEX('Asignaturas'!$D$4:$D$38,MATCH(1,INDEX(EXACT('Asignaturas'!$A$4:$A$38,$D27)*1*((('Asignaturas'!$A$4:$A$38&lt;&gt;""))&gt;0)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IF(ISNA(MATCH(1,INDEX(1*((('Plan por grupo'!$A$4:$A$53&lt;&gt;"")+('Plan por grupo'!$B$4:$B$53&lt;&gt;""))&gt;0)*(EXACT('Plan por grupo'!$A$4:$A$53,$A27))*(EXACT('Plan por grupo'!$B$4:$B$53,$D27)),0),0)),"no",IF(ISBLANK(INDEX('Plan por grupo'!$G$4:$G$53,MATCH(1,INDEX(1*((('Plan por grupo'!$A$4:$A$53&lt;&gt;"")+('Plan por grupo'!$B$4:$B$53&lt;&gt;""))&gt;0)*(EXACT('Plan por grupo'!$A$4:$A$53,$A27))*(EXACT('Plan por grupo'!$B$4:$B$53,$D27)),0),0))),"",INDEX('Plan por grupo'!$G$4:$G$53,MATCH(1,INDEX(1*((('Plan por grupo'!$A$4:$A$53&lt;&gt;"")+('Plan por grupo'!$B$4:$B$53&lt;&gt;""))&gt;0)*(EXACT('Plan por grupo'!$A$4:$A$53,$A27))*(EXACT('Plan por grupo'!$B$4:$B$53,$D27)),0),0))))</f>
        <v/>
      </c>
      <c r="J27" s="3">
        <f>IF(ISNA(MATCH(1,INDEX(1*((('Plan por grupo'!$A$4:$A$53&lt;&gt;"")+('Plan por grupo'!$B$4:$B$53&lt;&gt;""))&gt;0)*(EXACT('Plan por grupo'!$A$4:$A$53,$A27))*(EXACT('Plan por grupo'!$B$4:$B$53,$D27)),0),0)),"no",IF(ISBLANK(INDEX('Plan por grupo'!$E$4:$E$53,MATCH(1,INDEX(1*((('Plan por grupo'!$A$4:$A$53&lt;&gt;"")+('Plan por grupo'!$B$4:$B$53&lt;&gt;""))&gt;0)*(EXACT('Plan por grupo'!$A$4:$A$53,$A27))*(EXACT('Plan por grupo'!$B$4:$B$53,$D27)),0),0))),"",INDEX('Plan por grupo'!$E$4:$E$53,MATCH(1,INDEX(1*((('Plan por grupo'!$A$4:$A$53&lt;&gt;"")+('Plan por grupo'!$B$4:$B$53&lt;&gt;""))&gt;0)*(EXACT('Plan por grupo'!$A$4:$A$53,$A27))*(EXACT('Plan por grupo'!$B$4:$B$53,$D27)),0),0))))</f>
        <v/>
      </c>
      <c r="K27" s="3">
        <f>IF(ISNA(MATCH(1,INDEX(EXACT('Asignaturas'!$A$4:$A$38,$D27)*1*((('Asignaturas'!$A$4:$A$38&lt;&gt;""))&gt;0),0),0)),"",IF(ISBLANK(INDEX('Asignaturas'!$C$4:$C$38,MATCH(1,INDEX(EXACT('Asignaturas'!$A$4:$A$38,$D27)*1*((('Asignaturas'!$A$4:$A$38&lt;&gt;""))&gt;0),0),0))),"",INDEX('Asignaturas'!$C$4:$C$38,MATCH(1,INDEX(EXACT('Asignaturas'!$A$4:$A$38,$D27)*1*((('Asignaturas'!$A$4:$A$38&lt;&gt;""))&gt;0),0),0))))</f>
        <v/>
      </c>
      <c r="L27" s="3">
        <f>IF(ISNA(MATCH(1,INDEX(EXACT('Profesores'!$A$4:$A$53,$F27)*1*((('Profesores'!$A$4:$A$53&lt;&gt;""))&gt;0),0),0)),"no",IF(ISBLANK(INDEX('Profesores'!$B$4:$B$53,MATCH(1,INDEX(EXACT('Profesores'!$A$4:$A$53,$F27)*1*((('Profesores'!$A$4:$A$53&lt;&gt;""))&gt;0),0),0))),"",INDEX('Profesores'!$B$4:$B$53,MATCH(1,INDEX(EXACT('Profesores'!$A$4:$A$53,$F27)*1*((('Profesores'!$A$4:$A$53&lt;&gt;""))&gt;0),0),0))))</f>
        <v/>
      </c>
      <c r="M27" s="3">
        <f>IF(ISNA(MATCH(1,INDEX(EXACT('Profesores'!$A$4:$A$53,$F27)*1*((('Profesores'!$A$4:$A$53&lt;&gt;""))&gt;0),0),0)),"no",IF(ISBLANK(INDEX('Profesores'!$C$4:$C$53,MATCH(1,INDEX(EXACT('Profesores'!$A$4:$A$53,$F27)*1*((('Profesores'!$A$4:$A$53&lt;&gt;""))&gt;0),0),0))),"",INDEX('Profesores'!$C$4:$C$53,MATCH(1,INDEX(EXACT('Profesores'!$A$4:$A$53,$F27)*1*((('Profesores'!$A$4:$A$53&lt;&gt;""))&gt;0),0),0))))</f>
        <v/>
      </c>
      <c r="N27" s="3">
        <f>IF(EXACT($L27,"si"),IF(ISNA(MATCH(1,INDEX(1*((('Dias que asisten los contratado'!$A$4:$A$24&lt;&gt;"")+('Dias que asisten los contratado'!$B$4:$B$24&lt;&gt;""))&gt;0)*(EXACT('Dias que asisten los contratado'!$A$4:$A$24,$F27))*(EXACT('Dias que asisten los contratado'!$B$4:$B$24,$B27)),0),0)),"no",IF(ISBLANK(INDEX('Dias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contratado'!$B$4:$B$24,$B27)),0),0))),"",INDEX('Dias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contratado'!$B$4:$B$24,$B27)),0),0)))),"")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3">
        <f>IF(ISBLANK('Horario del grupo - 10-3'!F6),"",'Horario del grupo - 10-3'!F6)</f>
        <v/>
      </c>
      <c r="E28" s="3">
        <f>IF(ISNA(MATCH(1,INDEX(EXACT('Asignaturas'!$A$4:$A$38,$D28)*1*((('Asignaturas'!$A$4:$A$38&lt;&gt;""))&gt;0),0),0)),"",IF(ISBLANK(INDEX('Asignaturas'!$B$4:$B$38,MATCH(1,INDEX(EXACT('Asignaturas'!$A$4:$A$38,$D28)*1*((('Asignaturas'!$A$4:$A$38&lt;&gt;""))&gt;0),0),0))),"",INDEX('Asignaturas'!$B$4:$B$38,MATCH(1,INDEX(EXACT('Asignaturas'!$A$4:$A$38,$D28)*1*((('Asignaturas'!$A$4:$A$38&lt;&gt;""))&gt;0),0),0))))</f>
        <v/>
      </c>
      <c r="F28" s="3">
        <f>IF(ISNA(MATCH(1,INDEX(1*((('Plan por grupo'!$A$4:$A$53&lt;&gt;"")+('Plan por grupo'!$B$4:$B$53&lt;&gt;""))&gt;0)*(EXACT('Plan por grupo'!$A$4:$A$53,$A28))*(EXACT('Plan por grupo'!$B$4:$B$53,$D28)),0),0)),"",IF(ISBLANK(INDEX('Plan por grupo'!$C$4:$C$53,MATCH(1,INDEX(1*((('Plan por grupo'!$A$4:$A$53&lt;&gt;"")+('Plan por grupo'!$B$4:$B$53&lt;&gt;""))&gt;0)*(EXACT('Plan por grupo'!$A$4:$A$53,$A28))*(EXACT('Plan por grupo'!$B$4:$B$53,$D28)),0),0))),"",INDEX('Plan por grupo'!$C$4:$C$53,MATCH(1,INDEX(1*((('Plan por grupo'!$A$4:$A$53&lt;&gt;"")+('Plan por grupo'!$B$4:$B$53&lt;&gt;""))&gt;0)*(EXACT('Plan por grupo'!$A$4:$A$53,$A28))*(EXACT('Plan por grupo'!$B$4:$B$53,$D28)),0),0))))</f>
        <v/>
      </c>
      <c r="G28" s="3">
        <f>IF(ISNA(MATCH(1,INDEX(EXACT('Asignaturas'!$A$4:$A$38,$D28)*1*((('Asignaturas'!$A$4:$A$38&lt;&gt;""))&gt;0),0),0)),"",IF(ISBLANK(INDEX('Asignaturas'!$D$4:$D$38,MATCH(1,INDEX(EXACT('Asignaturas'!$A$4:$A$38,$D28)*1*((('Asignaturas'!$A$4:$A$38&lt;&gt;""))&gt;0),0),0))),"",INDEX('Asignaturas'!$D$4:$D$38,MATCH(1,INDEX(EXACT('Asignaturas'!$A$4:$A$38,$D28)*1*((('Asignaturas'!$A$4:$A$38&lt;&gt;""))&gt;0)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IF(ISNA(MATCH(1,INDEX(1*((('Plan por grupo'!$A$4:$A$53&lt;&gt;"")+('Plan por grupo'!$B$4:$B$53&lt;&gt;""))&gt;0)*(EXACT('Plan por grupo'!$A$4:$A$53,$A28))*(EXACT('Plan por grupo'!$B$4:$B$53,$D28)),0),0)),"no",IF(ISBLANK(INDEX('Plan por grupo'!$G$4:$G$53,MATCH(1,INDEX(1*((('Plan por grupo'!$A$4:$A$53&lt;&gt;"")+('Plan por grupo'!$B$4:$B$53&lt;&gt;""))&gt;0)*(EXACT('Plan por grupo'!$A$4:$A$53,$A28))*(EXACT('Plan por grupo'!$B$4:$B$53,$D28)),0),0))),"",INDEX('Plan por grupo'!$G$4:$G$53,MATCH(1,INDEX(1*((('Plan por grupo'!$A$4:$A$53&lt;&gt;"")+('Plan por grupo'!$B$4:$B$53&lt;&gt;""))&gt;0)*(EXACT('Plan por grupo'!$A$4:$A$53,$A28))*(EXACT('Plan por grupo'!$B$4:$B$53,$D28)),0),0))))</f>
        <v/>
      </c>
      <c r="J28" s="3">
        <f>IF(ISNA(MATCH(1,INDEX(1*((('Plan por grupo'!$A$4:$A$53&lt;&gt;"")+('Plan por grupo'!$B$4:$B$53&lt;&gt;""))&gt;0)*(EXACT('Plan por grupo'!$A$4:$A$53,$A28))*(EXACT('Plan por grupo'!$B$4:$B$53,$D28)),0),0)),"no",IF(ISBLANK(INDEX('Plan por grupo'!$E$4:$E$53,MATCH(1,INDEX(1*((('Plan por grupo'!$A$4:$A$53&lt;&gt;"")+('Plan por grupo'!$B$4:$B$53&lt;&gt;""))&gt;0)*(EXACT('Plan por grupo'!$A$4:$A$53,$A28))*(EXACT('Plan por grupo'!$B$4:$B$53,$D28)),0),0))),"",INDEX('Plan por grupo'!$E$4:$E$53,MATCH(1,INDEX(1*((('Plan por grupo'!$A$4:$A$53&lt;&gt;"")+('Plan por grupo'!$B$4:$B$53&lt;&gt;""))&gt;0)*(EXACT('Plan por grupo'!$A$4:$A$53,$A28))*(EXACT('Plan por grupo'!$B$4:$B$53,$D28)),0),0))))</f>
        <v/>
      </c>
      <c r="K28" s="3">
        <f>IF(ISNA(MATCH(1,INDEX(EXACT('Asignaturas'!$A$4:$A$38,$D28)*1*((('Asignaturas'!$A$4:$A$38&lt;&gt;""))&gt;0),0),0)),"",IF(ISBLANK(INDEX('Asignaturas'!$C$4:$C$38,MATCH(1,INDEX(EXACT('Asignaturas'!$A$4:$A$38,$D28)*1*((('Asignaturas'!$A$4:$A$38&lt;&gt;""))&gt;0),0),0))),"",INDEX('Asignaturas'!$C$4:$C$38,MATCH(1,INDEX(EXACT('Asignaturas'!$A$4:$A$38,$D28)*1*((('Asignaturas'!$A$4:$A$38&lt;&gt;""))&gt;0),0),0))))</f>
        <v/>
      </c>
      <c r="L28" s="3">
        <f>IF(ISNA(MATCH(1,INDEX(EXACT('Profesores'!$A$4:$A$53,$F28)*1*((('Profesores'!$A$4:$A$53&lt;&gt;""))&gt;0),0),0)),"no",IF(ISBLANK(INDEX('Profesores'!$B$4:$B$53,MATCH(1,INDEX(EXACT('Profesores'!$A$4:$A$53,$F28)*1*((('Profesores'!$A$4:$A$53&lt;&gt;""))&gt;0),0),0))),"",INDEX('Profesores'!$B$4:$B$53,MATCH(1,INDEX(EXACT('Profesores'!$A$4:$A$53,$F28)*1*((('Profesores'!$A$4:$A$53&lt;&gt;""))&gt;0),0),0))))</f>
        <v/>
      </c>
      <c r="M28" s="3">
        <f>IF(ISNA(MATCH(1,INDEX(EXACT('Profesores'!$A$4:$A$53,$F28)*1*((('Profesores'!$A$4:$A$53&lt;&gt;""))&gt;0),0),0)),"no",IF(ISBLANK(INDEX('Profesores'!$C$4:$C$53,MATCH(1,INDEX(EXACT('Profesores'!$A$4:$A$53,$F28)*1*((('Profesores'!$A$4:$A$53&lt;&gt;""))&gt;0),0),0))),"",INDEX('Profesores'!$C$4:$C$53,MATCH(1,INDEX(EXACT('Profesores'!$A$4:$A$53,$F28)*1*((('Profesores'!$A$4:$A$53&lt;&gt;""))&gt;0),0),0))))</f>
        <v/>
      </c>
      <c r="N28" s="3">
        <f>IF(EXACT($L28,"si"),IF(ISNA(MATCH(1,INDEX(1*((('Dias que asisten los contratado'!$A$4:$A$24&lt;&gt;"")+('Dias que asisten los contratado'!$B$4:$B$24&lt;&gt;""))&gt;0)*(EXACT('Dias que asisten los contratado'!$A$4:$A$24,$F28))*(EXACT('Dias que asisten los contratado'!$B$4:$B$24,$B28)),0),0)),"no",IF(ISBLANK(INDEX('Dias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contratado'!$B$4:$B$24,$B28)),0),0))),"",INDEX('Dias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contratado'!$B$4:$B$24,$B28)),0),0)))),"")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3">
        <f>IF(ISBLANK('Horario del grupo - 10-4'!B6),"",'Horario del grupo - 10-4'!B6)</f>
        <v/>
      </c>
      <c r="E29" s="3">
        <f>IF(ISNA(MATCH(1,INDEX(EXACT('Asignaturas'!$A$4:$A$38,$D29)*1*((('Asignaturas'!$A$4:$A$38&lt;&gt;""))&gt;0),0),0)),"",IF(ISBLANK(INDEX('Asignaturas'!$B$4:$B$38,MATCH(1,INDEX(EXACT('Asignaturas'!$A$4:$A$38,$D29)*1*((('Asignaturas'!$A$4:$A$38&lt;&gt;""))&gt;0),0),0))),"",INDEX('Asignaturas'!$B$4:$B$38,MATCH(1,INDEX(EXACT('Asignaturas'!$A$4:$A$38,$D29)*1*((('Asignaturas'!$A$4:$A$38&lt;&gt;""))&gt;0),0),0))))</f>
        <v/>
      </c>
      <c r="F29" s="3">
        <f>IF(ISNA(MATCH(1,INDEX(1*((('Plan por grupo'!$A$4:$A$53&lt;&gt;"")+('Plan por grupo'!$B$4:$B$53&lt;&gt;""))&gt;0)*(EXACT('Plan por grupo'!$A$4:$A$53,$A29))*(EXACT('Plan por grupo'!$B$4:$B$53,$D29)),0),0)),"",IF(ISBLANK(INDEX('Plan por grupo'!$C$4:$C$53,MATCH(1,INDEX(1*((('Plan por grupo'!$A$4:$A$53&lt;&gt;"")+('Plan por grupo'!$B$4:$B$53&lt;&gt;""))&gt;0)*(EXACT('Plan por grupo'!$A$4:$A$53,$A29))*(EXACT('Plan por grupo'!$B$4:$B$53,$D29)),0),0))),"",INDEX('Plan por grupo'!$C$4:$C$53,MATCH(1,INDEX(1*((('Plan por grupo'!$A$4:$A$53&lt;&gt;"")+('Plan por grupo'!$B$4:$B$53&lt;&gt;""))&gt;0)*(EXACT('Plan por grupo'!$A$4:$A$53,$A29))*(EXACT('Plan por grupo'!$B$4:$B$53,$D29)),0),0))))</f>
        <v/>
      </c>
      <c r="G29" s="3">
        <f>IF(ISNA(MATCH(1,INDEX(EXACT('Asignaturas'!$A$4:$A$38,$D29)*1*((('Asignaturas'!$A$4:$A$38&lt;&gt;""))&gt;0),0),0)),"",IF(ISBLANK(INDEX('Asignaturas'!$D$4:$D$38,MATCH(1,INDEX(EXACT('Asignaturas'!$A$4:$A$38,$D29)*1*((('Asignaturas'!$A$4:$A$38&lt;&gt;""))&gt;0),0),0))),"",INDEX('Asignaturas'!$D$4:$D$38,MATCH(1,INDEX(EXACT('Asignaturas'!$A$4:$A$38,$D29)*1*((('Asignaturas'!$A$4:$A$38&lt;&gt;""))&gt;0)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IF(ISNA(MATCH(1,INDEX(1*((('Plan por grupo'!$A$4:$A$53&lt;&gt;"")+('Plan por grupo'!$B$4:$B$53&lt;&gt;""))&gt;0)*(EXACT('Plan por grupo'!$A$4:$A$53,$A29))*(EXACT('Plan por grupo'!$B$4:$B$53,$D29)),0),0)),"no",IF(ISBLANK(INDEX('Plan por grupo'!$G$4:$G$53,MATCH(1,INDEX(1*((('Plan por grupo'!$A$4:$A$53&lt;&gt;"")+('Plan por grupo'!$B$4:$B$53&lt;&gt;""))&gt;0)*(EXACT('Plan por grupo'!$A$4:$A$53,$A29))*(EXACT('Plan por grupo'!$B$4:$B$53,$D29)),0),0))),"",INDEX('Plan por grupo'!$G$4:$G$53,MATCH(1,INDEX(1*((('Plan por grupo'!$A$4:$A$53&lt;&gt;"")+('Plan por grupo'!$B$4:$B$53&lt;&gt;""))&gt;0)*(EXACT('Plan por grupo'!$A$4:$A$53,$A29))*(EXACT('Plan por grupo'!$B$4:$B$53,$D29)),0),0))))</f>
        <v/>
      </c>
      <c r="J29" s="3">
        <f>IF(ISNA(MATCH(1,INDEX(1*((('Plan por grupo'!$A$4:$A$53&lt;&gt;"")+('Plan por grupo'!$B$4:$B$53&lt;&gt;""))&gt;0)*(EXACT('Plan por grupo'!$A$4:$A$53,$A29))*(EXACT('Plan por grupo'!$B$4:$B$53,$D29)),0),0)),"no",IF(ISBLANK(INDEX('Plan por grupo'!$E$4:$E$53,MATCH(1,INDEX(1*((('Plan por grupo'!$A$4:$A$53&lt;&gt;"")+('Plan por grupo'!$B$4:$B$53&lt;&gt;""))&gt;0)*(EXACT('Plan por grupo'!$A$4:$A$53,$A29))*(EXACT('Plan por grupo'!$B$4:$B$53,$D29)),0),0))),"",INDEX('Plan por grupo'!$E$4:$E$53,MATCH(1,INDEX(1*((('Plan por grupo'!$A$4:$A$53&lt;&gt;"")+('Plan por grupo'!$B$4:$B$53&lt;&gt;""))&gt;0)*(EXACT('Plan por grupo'!$A$4:$A$53,$A29))*(EXACT('Plan por grupo'!$B$4:$B$53,$D29)),0),0))))</f>
        <v/>
      </c>
      <c r="K29" s="3">
        <f>IF(ISNA(MATCH(1,INDEX(EXACT('Asignaturas'!$A$4:$A$38,$D29)*1*((('Asignaturas'!$A$4:$A$38&lt;&gt;""))&gt;0),0),0)),"",IF(ISBLANK(INDEX('Asignaturas'!$C$4:$C$38,MATCH(1,INDEX(EXACT('Asignaturas'!$A$4:$A$38,$D29)*1*((('Asignaturas'!$A$4:$A$38&lt;&gt;""))&gt;0),0),0))),"",INDEX('Asignaturas'!$C$4:$C$38,MATCH(1,INDEX(EXACT('Asignaturas'!$A$4:$A$38,$D29)*1*((('Asignaturas'!$A$4:$A$38&lt;&gt;""))&gt;0),0),0))))</f>
        <v/>
      </c>
      <c r="L29" s="3">
        <f>IF(ISNA(MATCH(1,INDEX(EXACT('Profesores'!$A$4:$A$53,$F29)*1*((('Profesores'!$A$4:$A$53&lt;&gt;""))&gt;0),0),0)),"no",IF(ISBLANK(INDEX('Profesores'!$B$4:$B$53,MATCH(1,INDEX(EXACT('Profesores'!$A$4:$A$53,$F29)*1*((('Profesores'!$A$4:$A$53&lt;&gt;""))&gt;0),0),0))),"",INDEX('Profesores'!$B$4:$B$53,MATCH(1,INDEX(EXACT('Profesores'!$A$4:$A$53,$F29)*1*((('Profesores'!$A$4:$A$53&lt;&gt;""))&gt;0),0),0))))</f>
        <v/>
      </c>
      <c r="M29" s="3">
        <f>IF(ISNA(MATCH(1,INDEX(EXACT('Profesores'!$A$4:$A$53,$F29)*1*((('Profesores'!$A$4:$A$53&lt;&gt;""))&gt;0),0),0)),"no",IF(ISBLANK(INDEX('Profesores'!$C$4:$C$53,MATCH(1,INDEX(EXACT('Profesores'!$A$4:$A$53,$F29)*1*((('Profesores'!$A$4:$A$53&lt;&gt;""))&gt;0),0),0))),"",INDEX('Profesores'!$C$4:$C$53,MATCH(1,INDEX(EXACT('Profesores'!$A$4:$A$53,$F29)*1*((('Profesores'!$A$4:$A$53&lt;&gt;""))&gt;0),0),0))))</f>
        <v/>
      </c>
      <c r="N29" s="3">
        <f>IF(EXACT($L29,"si"),IF(ISNA(MATCH(1,INDEX(1*((('Dias que asisten los contratado'!$A$4:$A$24&lt;&gt;"")+('Dias que asisten los contratado'!$B$4:$B$24&lt;&gt;""))&gt;0)*(EXACT('Dias que asisten los contratado'!$A$4:$A$24,$F29))*(EXACT('Dias que asisten los contratado'!$B$4:$B$24,$B29)),0),0)),"no",IF(ISBLANK(INDEX('Dias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contratado'!$B$4:$B$24,$B29)),0),0))),"",INDEX('Dias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contratado'!$B$4:$B$24,$B29)),0),0)))),"")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3">
        <f>IF(ISBLANK('Horario del grupo - 10-4'!C6),"",'Horario del grupo - 10-4'!C6)</f>
        <v/>
      </c>
      <c r="E30" s="3">
        <f>IF(ISNA(MATCH(1,INDEX(EXACT('Asignaturas'!$A$4:$A$38,$D30)*1*((('Asignaturas'!$A$4:$A$38&lt;&gt;""))&gt;0),0),0)),"",IF(ISBLANK(INDEX('Asignaturas'!$B$4:$B$38,MATCH(1,INDEX(EXACT('Asignaturas'!$A$4:$A$38,$D30)*1*((('Asignaturas'!$A$4:$A$38&lt;&gt;""))&gt;0),0),0))),"",INDEX('Asignaturas'!$B$4:$B$38,MATCH(1,INDEX(EXACT('Asignaturas'!$A$4:$A$38,$D30)*1*((('Asignaturas'!$A$4:$A$38&lt;&gt;""))&gt;0),0),0))))</f>
        <v/>
      </c>
      <c r="F30" s="3">
        <f>IF(ISNA(MATCH(1,INDEX(1*((('Plan por grupo'!$A$4:$A$53&lt;&gt;"")+('Plan por grupo'!$B$4:$B$53&lt;&gt;""))&gt;0)*(EXACT('Plan por grupo'!$A$4:$A$53,$A30))*(EXACT('Plan por grupo'!$B$4:$B$53,$D30)),0),0)),"",IF(ISBLANK(INDEX('Plan por grupo'!$C$4:$C$53,MATCH(1,INDEX(1*((('Plan por grupo'!$A$4:$A$53&lt;&gt;"")+('Plan por grupo'!$B$4:$B$53&lt;&gt;""))&gt;0)*(EXACT('Plan por grupo'!$A$4:$A$53,$A30))*(EXACT('Plan por grupo'!$B$4:$B$53,$D30)),0),0))),"",INDEX('Plan por grupo'!$C$4:$C$53,MATCH(1,INDEX(1*((('Plan por grupo'!$A$4:$A$53&lt;&gt;"")+('Plan por grupo'!$B$4:$B$53&lt;&gt;""))&gt;0)*(EXACT('Plan por grupo'!$A$4:$A$53,$A30))*(EXACT('Plan por grupo'!$B$4:$B$53,$D30)),0),0))))</f>
        <v/>
      </c>
      <c r="G30" s="3">
        <f>IF(ISNA(MATCH(1,INDEX(EXACT('Asignaturas'!$A$4:$A$38,$D30)*1*((('Asignaturas'!$A$4:$A$38&lt;&gt;""))&gt;0),0),0)),"",IF(ISBLANK(INDEX('Asignaturas'!$D$4:$D$38,MATCH(1,INDEX(EXACT('Asignaturas'!$A$4:$A$38,$D30)*1*((('Asignaturas'!$A$4:$A$38&lt;&gt;""))&gt;0),0),0))),"",INDEX('Asignaturas'!$D$4:$D$38,MATCH(1,INDEX(EXACT('Asignaturas'!$A$4:$A$38,$D30)*1*((('Asignaturas'!$A$4:$A$38&lt;&gt;""))&gt;0)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IF(ISNA(MATCH(1,INDEX(1*((('Plan por grupo'!$A$4:$A$53&lt;&gt;"")+('Plan por grupo'!$B$4:$B$53&lt;&gt;""))&gt;0)*(EXACT('Plan por grupo'!$A$4:$A$53,$A30))*(EXACT('Plan por grupo'!$B$4:$B$53,$D30)),0),0)),"no",IF(ISBLANK(INDEX('Plan por grupo'!$G$4:$G$53,MATCH(1,INDEX(1*((('Plan por grupo'!$A$4:$A$53&lt;&gt;"")+('Plan por grupo'!$B$4:$B$53&lt;&gt;""))&gt;0)*(EXACT('Plan por grupo'!$A$4:$A$53,$A30))*(EXACT('Plan por grupo'!$B$4:$B$53,$D30)),0),0))),"",INDEX('Plan por grupo'!$G$4:$G$53,MATCH(1,INDEX(1*((('Plan por grupo'!$A$4:$A$53&lt;&gt;"")+('Plan por grupo'!$B$4:$B$53&lt;&gt;""))&gt;0)*(EXACT('Plan por grupo'!$A$4:$A$53,$A30))*(EXACT('Plan por grupo'!$B$4:$B$53,$D30)),0),0))))</f>
        <v/>
      </c>
      <c r="J30" s="3">
        <f>IF(ISNA(MATCH(1,INDEX(1*((('Plan por grupo'!$A$4:$A$53&lt;&gt;"")+('Plan por grupo'!$B$4:$B$53&lt;&gt;""))&gt;0)*(EXACT('Plan por grupo'!$A$4:$A$53,$A30))*(EXACT('Plan por grupo'!$B$4:$B$53,$D30)),0),0)),"no",IF(ISBLANK(INDEX('Plan por grupo'!$E$4:$E$53,MATCH(1,INDEX(1*((('Plan por grupo'!$A$4:$A$53&lt;&gt;"")+('Plan por grupo'!$B$4:$B$53&lt;&gt;""))&gt;0)*(EXACT('Plan por grupo'!$A$4:$A$53,$A30))*(EXACT('Plan por grupo'!$B$4:$B$53,$D30)),0),0))),"",INDEX('Plan por grupo'!$E$4:$E$53,MATCH(1,INDEX(1*((('Plan por grupo'!$A$4:$A$53&lt;&gt;"")+('Plan por grupo'!$B$4:$B$53&lt;&gt;""))&gt;0)*(EXACT('Plan por grupo'!$A$4:$A$53,$A30))*(EXACT('Plan por grupo'!$B$4:$B$53,$D30)),0),0))))</f>
        <v/>
      </c>
      <c r="K30" s="3">
        <f>IF(ISNA(MATCH(1,INDEX(EXACT('Asignaturas'!$A$4:$A$38,$D30)*1*((('Asignaturas'!$A$4:$A$38&lt;&gt;""))&gt;0),0),0)),"",IF(ISBLANK(INDEX('Asignaturas'!$C$4:$C$38,MATCH(1,INDEX(EXACT('Asignaturas'!$A$4:$A$38,$D30)*1*((('Asignaturas'!$A$4:$A$38&lt;&gt;""))&gt;0),0),0))),"",INDEX('Asignaturas'!$C$4:$C$38,MATCH(1,INDEX(EXACT('Asignaturas'!$A$4:$A$38,$D30)*1*((('Asignaturas'!$A$4:$A$38&lt;&gt;""))&gt;0),0),0))))</f>
        <v/>
      </c>
      <c r="L30" s="3">
        <f>IF(ISNA(MATCH(1,INDEX(EXACT('Profesores'!$A$4:$A$53,$F30)*1*((('Profesores'!$A$4:$A$53&lt;&gt;""))&gt;0),0),0)),"no",IF(ISBLANK(INDEX('Profesores'!$B$4:$B$53,MATCH(1,INDEX(EXACT('Profesores'!$A$4:$A$53,$F30)*1*((('Profesores'!$A$4:$A$53&lt;&gt;""))&gt;0),0),0))),"",INDEX('Profesores'!$B$4:$B$53,MATCH(1,INDEX(EXACT('Profesores'!$A$4:$A$53,$F30)*1*((('Profesores'!$A$4:$A$53&lt;&gt;""))&gt;0),0),0))))</f>
        <v/>
      </c>
      <c r="M30" s="3">
        <f>IF(ISNA(MATCH(1,INDEX(EXACT('Profesores'!$A$4:$A$53,$F30)*1*((('Profesores'!$A$4:$A$53&lt;&gt;""))&gt;0),0),0)),"no",IF(ISBLANK(INDEX('Profesores'!$C$4:$C$53,MATCH(1,INDEX(EXACT('Profesores'!$A$4:$A$53,$F30)*1*((('Profesores'!$A$4:$A$53&lt;&gt;""))&gt;0),0),0))),"",INDEX('Profesores'!$C$4:$C$53,MATCH(1,INDEX(EXACT('Profesores'!$A$4:$A$53,$F30)*1*((('Profesores'!$A$4:$A$53&lt;&gt;""))&gt;0),0),0))))</f>
        <v/>
      </c>
      <c r="N30" s="3">
        <f>IF(EXACT($L30,"si"),IF(ISNA(MATCH(1,INDEX(1*((('Dias que asisten los contratado'!$A$4:$A$24&lt;&gt;"")+('Dias que asisten los contratado'!$B$4:$B$24&lt;&gt;""))&gt;0)*(EXACT('Dias que asisten los contratado'!$A$4:$A$24,$F30))*(EXACT('Dias que asisten los contratado'!$B$4:$B$24,$B30)),0),0)),"no",IF(ISBLANK(INDEX('Dias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contratado'!$B$4:$B$24,$B30)),0),0))),"",INDEX('Dias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contratado'!$B$4:$B$24,$B30)),0),0)))),"")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3">
        <f>IF(ISBLANK('Horario del grupo - 10-4'!D6),"",'Horario del grupo - 10-4'!D6)</f>
        <v/>
      </c>
      <c r="E31" s="3">
        <f>IF(ISNA(MATCH(1,INDEX(EXACT('Asignaturas'!$A$4:$A$38,$D31)*1*((('Asignaturas'!$A$4:$A$38&lt;&gt;""))&gt;0),0),0)),"",IF(ISBLANK(INDEX('Asignaturas'!$B$4:$B$38,MATCH(1,INDEX(EXACT('Asignaturas'!$A$4:$A$38,$D31)*1*((('Asignaturas'!$A$4:$A$38&lt;&gt;""))&gt;0),0),0))),"",INDEX('Asignaturas'!$B$4:$B$38,MATCH(1,INDEX(EXACT('Asignaturas'!$A$4:$A$38,$D31)*1*((('Asignaturas'!$A$4:$A$38&lt;&gt;""))&gt;0),0),0))))</f>
        <v/>
      </c>
      <c r="F31" s="3">
        <f>IF(ISNA(MATCH(1,INDEX(1*((('Plan por grupo'!$A$4:$A$53&lt;&gt;"")+('Plan por grupo'!$B$4:$B$53&lt;&gt;""))&gt;0)*(EXACT('Plan por grupo'!$A$4:$A$53,$A31))*(EXACT('Plan por grupo'!$B$4:$B$53,$D31)),0),0)),"",IF(ISBLANK(INDEX('Plan por grupo'!$C$4:$C$53,MATCH(1,INDEX(1*((('Plan por grupo'!$A$4:$A$53&lt;&gt;"")+('Plan por grupo'!$B$4:$B$53&lt;&gt;""))&gt;0)*(EXACT('Plan por grupo'!$A$4:$A$53,$A31))*(EXACT('Plan por grupo'!$B$4:$B$53,$D31)),0),0))),"",INDEX('Plan por grupo'!$C$4:$C$53,MATCH(1,INDEX(1*((('Plan por grupo'!$A$4:$A$53&lt;&gt;"")+('Plan por grupo'!$B$4:$B$53&lt;&gt;""))&gt;0)*(EXACT('Plan por grupo'!$A$4:$A$53,$A31))*(EXACT('Plan por grupo'!$B$4:$B$53,$D31)),0),0))))</f>
        <v/>
      </c>
      <c r="G31" s="3">
        <f>IF(ISNA(MATCH(1,INDEX(EXACT('Asignaturas'!$A$4:$A$38,$D31)*1*((('Asignaturas'!$A$4:$A$38&lt;&gt;""))&gt;0),0),0)),"",IF(ISBLANK(INDEX('Asignaturas'!$D$4:$D$38,MATCH(1,INDEX(EXACT('Asignaturas'!$A$4:$A$38,$D31)*1*((('Asignaturas'!$A$4:$A$38&lt;&gt;""))&gt;0),0),0))),"",INDEX('Asignaturas'!$D$4:$D$38,MATCH(1,INDEX(EXACT('Asignaturas'!$A$4:$A$38,$D31)*1*((('Asignaturas'!$A$4:$A$38&lt;&gt;""))&gt;0)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IF(ISNA(MATCH(1,INDEX(1*((('Plan por grupo'!$A$4:$A$53&lt;&gt;"")+('Plan por grupo'!$B$4:$B$53&lt;&gt;""))&gt;0)*(EXACT('Plan por grupo'!$A$4:$A$53,$A31))*(EXACT('Plan por grupo'!$B$4:$B$53,$D31)),0),0)),"no",IF(ISBLANK(INDEX('Plan por grupo'!$G$4:$G$53,MATCH(1,INDEX(1*((('Plan por grupo'!$A$4:$A$53&lt;&gt;"")+('Plan por grupo'!$B$4:$B$53&lt;&gt;""))&gt;0)*(EXACT('Plan por grupo'!$A$4:$A$53,$A31))*(EXACT('Plan por grupo'!$B$4:$B$53,$D31)),0),0))),"",INDEX('Plan por grupo'!$G$4:$G$53,MATCH(1,INDEX(1*((('Plan por grupo'!$A$4:$A$53&lt;&gt;"")+('Plan por grupo'!$B$4:$B$53&lt;&gt;""))&gt;0)*(EXACT('Plan por grupo'!$A$4:$A$53,$A31))*(EXACT('Plan por grupo'!$B$4:$B$53,$D31)),0),0))))</f>
        <v/>
      </c>
      <c r="J31" s="3">
        <f>IF(ISNA(MATCH(1,INDEX(1*((('Plan por grupo'!$A$4:$A$53&lt;&gt;"")+('Plan por grupo'!$B$4:$B$53&lt;&gt;""))&gt;0)*(EXACT('Plan por grupo'!$A$4:$A$53,$A31))*(EXACT('Plan por grupo'!$B$4:$B$53,$D31)),0),0)),"no",IF(ISBLANK(INDEX('Plan por grupo'!$E$4:$E$53,MATCH(1,INDEX(1*((('Plan por grupo'!$A$4:$A$53&lt;&gt;"")+('Plan por grupo'!$B$4:$B$53&lt;&gt;""))&gt;0)*(EXACT('Plan por grupo'!$A$4:$A$53,$A31))*(EXACT('Plan por grupo'!$B$4:$B$53,$D31)),0),0))),"",INDEX('Plan por grupo'!$E$4:$E$53,MATCH(1,INDEX(1*((('Plan por grupo'!$A$4:$A$53&lt;&gt;"")+('Plan por grupo'!$B$4:$B$53&lt;&gt;""))&gt;0)*(EXACT('Plan por grupo'!$A$4:$A$53,$A31))*(EXACT('Plan por grupo'!$B$4:$B$53,$D31)),0),0))))</f>
        <v/>
      </c>
      <c r="K31" s="3">
        <f>IF(ISNA(MATCH(1,INDEX(EXACT('Asignaturas'!$A$4:$A$38,$D31)*1*((('Asignaturas'!$A$4:$A$38&lt;&gt;""))&gt;0),0),0)),"",IF(ISBLANK(INDEX('Asignaturas'!$C$4:$C$38,MATCH(1,INDEX(EXACT('Asignaturas'!$A$4:$A$38,$D31)*1*((('Asignaturas'!$A$4:$A$38&lt;&gt;""))&gt;0),0),0))),"",INDEX('Asignaturas'!$C$4:$C$38,MATCH(1,INDEX(EXACT('Asignaturas'!$A$4:$A$38,$D31)*1*((('Asignaturas'!$A$4:$A$38&lt;&gt;""))&gt;0),0),0))))</f>
        <v/>
      </c>
      <c r="L31" s="3">
        <f>IF(ISNA(MATCH(1,INDEX(EXACT('Profesores'!$A$4:$A$53,$F31)*1*((('Profesores'!$A$4:$A$53&lt;&gt;""))&gt;0),0),0)),"no",IF(ISBLANK(INDEX('Profesores'!$B$4:$B$53,MATCH(1,INDEX(EXACT('Profesores'!$A$4:$A$53,$F31)*1*((('Profesores'!$A$4:$A$53&lt;&gt;""))&gt;0),0),0))),"",INDEX('Profesores'!$B$4:$B$53,MATCH(1,INDEX(EXACT('Profesores'!$A$4:$A$53,$F31)*1*((('Profesores'!$A$4:$A$53&lt;&gt;""))&gt;0),0),0))))</f>
        <v/>
      </c>
      <c r="M31" s="3">
        <f>IF(ISNA(MATCH(1,INDEX(EXACT('Profesores'!$A$4:$A$53,$F31)*1*((('Profesores'!$A$4:$A$53&lt;&gt;""))&gt;0),0),0)),"no",IF(ISBLANK(INDEX('Profesores'!$C$4:$C$53,MATCH(1,INDEX(EXACT('Profesores'!$A$4:$A$53,$F31)*1*((('Profesores'!$A$4:$A$53&lt;&gt;""))&gt;0),0),0))),"",INDEX('Profesores'!$C$4:$C$53,MATCH(1,INDEX(EXACT('Profesores'!$A$4:$A$53,$F31)*1*((('Profesores'!$A$4:$A$53&lt;&gt;""))&gt;0),0),0))))</f>
        <v/>
      </c>
      <c r="N31" s="3">
        <f>IF(EXACT($L31,"si"),IF(ISNA(MATCH(1,INDEX(1*((('Dias que asisten los contratado'!$A$4:$A$24&lt;&gt;"")+('Dias que asisten los contratado'!$B$4:$B$24&lt;&gt;""))&gt;0)*(EXACT('Dias que asisten los contratado'!$A$4:$A$24,$F31))*(EXACT('Dias que asisten los contratado'!$B$4:$B$24,$B31)),0),0)),"no",IF(ISBLANK(INDEX('Dias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contratado'!$B$4:$B$24,$B31)),0),0))),"",INDEX('Dias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contratado'!$B$4:$B$24,$B31)),0),0)))),"")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3">
        <f>IF(ISBLANK('Horario del grupo - 10-4'!E6),"",'Horario del grupo - 10-4'!E6)</f>
        <v/>
      </c>
      <c r="E32" s="3">
        <f>IF(ISNA(MATCH(1,INDEX(EXACT('Asignaturas'!$A$4:$A$38,$D32)*1*((('Asignaturas'!$A$4:$A$38&lt;&gt;""))&gt;0),0),0)),"",IF(ISBLANK(INDEX('Asignaturas'!$B$4:$B$38,MATCH(1,INDEX(EXACT('Asignaturas'!$A$4:$A$38,$D32)*1*((('Asignaturas'!$A$4:$A$38&lt;&gt;""))&gt;0),0),0))),"",INDEX('Asignaturas'!$B$4:$B$38,MATCH(1,INDEX(EXACT('Asignaturas'!$A$4:$A$38,$D32)*1*((('Asignaturas'!$A$4:$A$38&lt;&gt;""))&gt;0),0),0))))</f>
        <v/>
      </c>
      <c r="F32" s="3">
        <f>IF(ISNA(MATCH(1,INDEX(1*((('Plan por grupo'!$A$4:$A$53&lt;&gt;"")+('Plan por grupo'!$B$4:$B$53&lt;&gt;""))&gt;0)*(EXACT('Plan por grupo'!$A$4:$A$53,$A32))*(EXACT('Plan por grupo'!$B$4:$B$53,$D32)),0),0)),"",IF(ISBLANK(INDEX('Plan por grupo'!$C$4:$C$53,MATCH(1,INDEX(1*((('Plan por grupo'!$A$4:$A$53&lt;&gt;"")+('Plan por grupo'!$B$4:$B$53&lt;&gt;""))&gt;0)*(EXACT('Plan por grupo'!$A$4:$A$53,$A32))*(EXACT('Plan por grupo'!$B$4:$B$53,$D32)),0),0))),"",INDEX('Plan por grupo'!$C$4:$C$53,MATCH(1,INDEX(1*((('Plan por grupo'!$A$4:$A$53&lt;&gt;"")+('Plan por grupo'!$B$4:$B$53&lt;&gt;""))&gt;0)*(EXACT('Plan por grupo'!$A$4:$A$53,$A32))*(EXACT('Plan por grupo'!$B$4:$B$53,$D32)),0),0))))</f>
        <v/>
      </c>
      <c r="G32" s="3">
        <f>IF(ISNA(MATCH(1,INDEX(EXACT('Asignaturas'!$A$4:$A$38,$D32)*1*((('Asignaturas'!$A$4:$A$38&lt;&gt;""))&gt;0),0),0)),"",IF(ISBLANK(INDEX('Asignaturas'!$D$4:$D$38,MATCH(1,INDEX(EXACT('Asignaturas'!$A$4:$A$38,$D32)*1*((('Asignaturas'!$A$4:$A$38&lt;&gt;""))&gt;0),0),0))),"",INDEX('Asignaturas'!$D$4:$D$38,MATCH(1,INDEX(EXACT('Asignaturas'!$A$4:$A$38,$D32)*1*((('Asignaturas'!$A$4:$A$38&lt;&gt;""))&gt;0)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IF(ISNA(MATCH(1,INDEX(1*((('Plan por grupo'!$A$4:$A$53&lt;&gt;"")+('Plan por grupo'!$B$4:$B$53&lt;&gt;""))&gt;0)*(EXACT('Plan por grupo'!$A$4:$A$53,$A32))*(EXACT('Plan por grupo'!$B$4:$B$53,$D32)),0),0)),"no",IF(ISBLANK(INDEX('Plan por grupo'!$G$4:$G$53,MATCH(1,INDEX(1*((('Plan por grupo'!$A$4:$A$53&lt;&gt;"")+('Plan por grupo'!$B$4:$B$53&lt;&gt;""))&gt;0)*(EXACT('Plan por grupo'!$A$4:$A$53,$A32))*(EXACT('Plan por grupo'!$B$4:$B$53,$D32)),0),0))),"",INDEX('Plan por grupo'!$G$4:$G$53,MATCH(1,INDEX(1*((('Plan por grupo'!$A$4:$A$53&lt;&gt;"")+('Plan por grupo'!$B$4:$B$53&lt;&gt;""))&gt;0)*(EXACT('Plan por grupo'!$A$4:$A$53,$A32))*(EXACT('Plan por grupo'!$B$4:$B$53,$D32)),0),0))))</f>
        <v/>
      </c>
      <c r="J32" s="3">
        <f>IF(ISNA(MATCH(1,INDEX(1*((('Plan por grupo'!$A$4:$A$53&lt;&gt;"")+('Plan por grupo'!$B$4:$B$53&lt;&gt;""))&gt;0)*(EXACT('Plan por grupo'!$A$4:$A$53,$A32))*(EXACT('Plan por grupo'!$B$4:$B$53,$D32)),0),0)),"no",IF(ISBLANK(INDEX('Plan por grupo'!$E$4:$E$53,MATCH(1,INDEX(1*((('Plan por grupo'!$A$4:$A$53&lt;&gt;"")+('Plan por grupo'!$B$4:$B$53&lt;&gt;""))&gt;0)*(EXACT('Plan por grupo'!$A$4:$A$53,$A32))*(EXACT('Plan por grupo'!$B$4:$B$53,$D32)),0),0))),"",INDEX('Plan por grupo'!$E$4:$E$53,MATCH(1,INDEX(1*((('Plan por grupo'!$A$4:$A$53&lt;&gt;"")+('Plan por grupo'!$B$4:$B$53&lt;&gt;""))&gt;0)*(EXACT('Plan por grupo'!$A$4:$A$53,$A32))*(EXACT('Plan por grupo'!$B$4:$B$53,$D32)),0),0))))</f>
        <v/>
      </c>
      <c r="K32" s="3">
        <f>IF(ISNA(MATCH(1,INDEX(EXACT('Asignaturas'!$A$4:$A$38,$D32)*1*((('Asignaturas'!$A$4:$A$38&lt;&gt;""))&gt;0),0),0)),"",IF(ISBLANK(INDEX('Asignaturas'!$C$4:$C$38,MATCH(1,INDEX(EXACT('Asignaturas'!$A$4:$A$38,$D32)*1*((('Asignaturas'!$A$4:$A$38&lt;&gt;""))&gt;0),0),0))),"",INDEX('Asignaturas'!$C$4:$C$38,MATCH(1,INDEX(EXACT('Asignaturas'!$A$4:$A$38,$D32)*1*((('Asignaturas'!$A$4:$A$38&lt;&gt;""))&gt;0),0),0))))</f>
        <v/>
      </c>
      <c r="L32" s="3">
        <f>IF(ISNA(MATCH(1,INDEX(EXACT('Profesores'!$A$4:$A$53,$F32)*1*((('Profesores'!$A$4:$A$53&lt;&gt;""))&gt;0),0),0)),"no",IF(ISBLANK(INDEX('Profesores'!$B$4:$B$53,MATCH(1,INDEX(EXACT('Profesores'!$A$4:$A$53,$F32)*1*((('Profesores'!$A$4:$A$53&lt;&gt;""))&gt;0),0),0))),"",INDEX('Profesores'!$B$4:$B$53,MATCH(1,INDEX(EXACT('Profesores'!$A$4:$A$53,$F32)*1*((('Profesores'!$A$4:$A$53&lt;&gt;""))&gt;0),0),0))))</f>
        <v/>
      </c>
      <c r="M32" s="3">
        <f>IF(ISNA(MATCH(1,INDEX(EXACT('Profesores'!$A$4:$A$53,$F32)*1*((('Profesores'!$A$4:$A$53&lt;&gt;""))&gt;0),0),0)),"no",IF(ISBLANK(INDEX('Profesores'!$C$4:$C$53,MATCH(1,INDEX(EXACT('Profesores'!$A$4:$A$53,$F32)*1*((('Profesores'!$A$4:$A$53&lt;&gt;""))&gt;0),0),0))),"",INDEX('Profesores'!$C$4:$C$53,MATCH(1,INDEX(EXACT('Profesores'!$A$4:$A$53,$F32)*1*((('Profesores'!$A$4:$A$53&lt;&gt;""))&gt;0),0),0))))</f>
        <v/>
      </c>
      <c r="N32" s="3">
        <f>IF(EXACT($L32,"si"),IF(ISNA(MATCH(1,INDEX(1*((('Dias que asisten los contratado'!$A$4:$A$24&lt;&gt;"")+('Dias que asisten los contratado'!$B$4:$B$24&lt;&gt;""))&gt;0)*(EXACT('Dias que asisten los contratado'!$A$4:$A$24,$F32))*(EXACT('Dias que asisten los contratado'!$B$4:$B$24,$B32)),0),0)),"no",IF(ISBLANK(INDEX('Dias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contratado'!$B$4:$B$24,$B32)),0),0))),"",INDEX('Dias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contratado'!$B$4:$B$24,$B32)),0),0)))),"")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3">
        <f>IF(ISBLANK('Horario del grupo - 10-4'!F6),"",'Horario del grupo - 10-4'!F6)</f>
        <v/>
      </c>
      <c r="E33" s="3">
        <f>IF(ISNA(MATCH(1,INDEX(EXACT('Asignaturas'!$A$4:$A$38,$D33)*1*((('Asignaturas'!$A$4:$A$38&lt;&gt;""))&gt;0),0),0)),"",IF(ISBLANK(INDEX('Asignaturas'!$B$4:$B$38,MATCH(1,INDEX(EXACT('Asignaturas'!$A$4:$A$38,$D33)*1*((('Asignaturas'!$A$4:$A$38&lt;&gt;""))&gt;0),0),0))),"",INDEX('Asignaturas'!$B$4:$B$38,MATCH(1,INDEX(EXACT('Asignaturas'!$A$4:$A$38,$D33)*1*((('Asignaturas'!$A$4:$A$38&lt;&gt;""))&gt;0),0),0))))</f>
        <v/>
      </c>
      <c r="F33" s="3">
        <f>IF(ISNA(MATCH(1,INDEX(1*((('Plan por grupo'!$A$4:$A$53&lt;&gt;"")+('Plan por grupo'!$B$4:$B$53&lt;&gt;""))&gt;0)*(EXACT('Plan por grupo'!$A$4:$A$53,$A33))*(EXACT('Plan por grupo'!$B$4:$B$53,$D33)),0),0)),"",IF(ISBLANK(INDEX('Plan por grupo'!$C$4:$C$53,MATCH(1,INDEX(1*((('Plan por grupo'!$A$4:$A$53&lt;&gt;"")+('Plan por grupo'!$B$4:$B$53&lt;&gt;""))&gt;0)*(EXACT('Plan por grupo'!$A$4:$A$53,$A33))*(EXACT('Plan por grupo'!$B$4:$B$53,$D33)),0),0))),"",INDEX('Plan por grupo'!$C$4:$C$53,MATCH(1,INDEX(1*((('Plan por grupo'!$A$4:$A$53&lt;&gt;"")+('Plan por grupo'!$B$4:$B$53&lt;&gt;""))&gt;0)*(EXACT('Plan por grupo'!$A$4:$A$53,$A33))*(EXACT('Plan por grupo'!$B$4:$B$53,$D33)),0),0))))</f>
        <v/>
      </c>
      <c r="G33" s="3">
        <f>IF(ISNA(MATCH(1,INDEX(EXACT('Asignaturas'!$A$4:$A$38,$D33)*1*((('Asignaturas'!$A$4:$A$38&lt;&gt;""))&gt;0),0),0)),"",IF(ISBLANK(INDEX('Asignaturas'!$D$4:$D$38,MATCH(1,INDEX(EXACT('Asignaturas'!$A$4:$A$38,$D33)*1*((('Asignaturas'!$A$4:$A$38&lt;&gt;""))&gt;0),0),0))),"",INDEX('Asignaturas'!$D$4:$D$38,MATCH(1,INDEX(EXACT('Asignaturas'!$A$4:$A$38,$D33)*1*((('Asignaturas'!$A$4:$A$38&lt;&gt;""))&gt;0)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IF(ISNA(MATCH(1,INDEX(1*((('Plan por grupo'!$A$4:$A$53&lt;&gt;"")+('Plan por grupo'!$B$4:$B$53&lt;&gt;""))&gt;0)*(EXACT('Plan por grupo'!$A$4:$A$53,$A33))*(EXACT('Plan por grupo'!$B$4:$B$53,$D33)),0),0)),"no",IF(ISBLANK(INDEX('Plan por grupo'!$G$4:$G$53,MATCH(1,INDEX(1*((('Plan por grupo'!$A$4:$A$53&lt;&gt;"")+('Plan por grupo'!$B$4:$B$53&lt;&gt;""))&gt;0)*(EXACT('Plan por grupo'!$A$4:$A$53,$A33))*(EXACT('Plan por grupo'!$B$4:$B$53,$D33)),0),0))),"",INDEX('Plan por grupo'!$G$4:$G$53,MATCH(1,INDEX(1*((('Plan por grupo'!$A$4:$A$53&lt;&gt;"")+('Plan por grupo'!$B$4:$B$53&lt;&gt;""))&gt;0)*(EXACT('Plan por grupo'!$A$4:$A$53,$A33))*(EXACT('Plan por grupo'!$B$4:$B$53,$D33)),0),0))))</f>
        <v/>
      </c>
      <c r="J33" s="3">
        <f>IF(ISNA(MATCH(1,INDEX(1*((('Plan por grupo'!$A$4:$A$53&lt;&gt;"")+('Plan por grupo'!$B$4:$B$53&lt;&gt;""))&gt;0)*(EXACT('Plan por grupo'!$A$4:$A$53,$A33))*(EXACT('Plan por grupo'!$B$4:$B$53,$D33)),0),0)),"no",IF(ISBLANK(INDEX('Plan por grupo'!$E$4:$E$53,MATCH(1,INDEX(1*((('Plan por grupo'!$A$4:$A$53&lt;&gt;"")+('Plan por grupo'!$B$4:$B$53&lt;&gt;""))&gt;0)*(EXACT('Plan por grupo'!$A$4:$A$53,$A33))*(EXACT('Plan por grupo'!$B$4:$B$53,$D33)),0),0))),"",INDEX('Plan por grupo'!$E$4:$E$53,MATCH(1,INDEX(1*((('Plan por grupo'!$A$4:$A$53&lt;&gt;"")+('Plan por grupo'!$B$4:$B$53&lt;&gt;""))&gt;0)*(EXACT('Plan por grupo'!$A$4:$A$53,$A33))*(EXACT('Plan por grupo'!$B$4:$B$53,$D33)),0),0))))</f>
        <v/>
      </c>
      <c r="K33" s="3">
        <f>IF(ISNA(MATCH(1,INDEX(EXACT('Asignaturas'!$A$4:$A$38,$D33)*1*((('Asignaturas'!$A$4:$A$38&lt;&gt;""))&gt;0),0),0)),"",IF(ISBLANK(INDEX('Asignaturas'!$C$4:$C$38,MATCH(1,INDEX(EXACT('Asignaturas'!$A$4:$A$38,$D33)*1*((('Asignaturas'!$A$4:$A$38&lt;&gt;""))&gt;0),0),0))),"",INDEX('Asignaturas'!$C$4:$C$38,MATCH(1,INDEX(EXACT('Asignaturas'!$A$4:$A$38,$D33)*1*((('Asignaturas'!$A$4:$A$38&lt;&gt;""))&gt;0),0),0))))</f>
        <v/>
      </c>
      <c r="L33" s="3">
        <f>IF(ISNA(MATCH(1,INDEX(EXACT('Profesores'!$A$4:$A$53,$F33)*1*((('Profesores'!$A$4:$A$53&lt;&gt;""))&gt;0),0),0)),"no",IF(ISBLANK(INDEX('Profesores'!$B$4:$B$53,MATCH(1,INDEX(EXACT('Profesores'!$A$4:$A$53,$F33)*1*((('Profesores'!$A$4:$A$53&lt;&gt;""))&gt;0),0),0))),"",INDEX('Profesores'!$B$4:$B$53,MATCH(1,INDEX(EXACT('Profesores'!$A$4:$A$53,$F33)*1*((('Profesores'!$A$4:$A$53&lt;&gt;""))&gt;0),0),0))))</f>
        <v/>
      </c>
      <c r="M33" s="3">
        <f>IF(ISNA(MATCH(1,INDEX(EXACT('Profesores'!$A$4:$A$53,$F33)*1*((('Profesores'!$A$4:$A$53&lt;&gt;""))&gt;0),0),0)),"no",IF(ISBLANK(INDEX('Profesores'!$C$4:$C$53,MATCH(1,INDEX(EXACT('Profesores'!$A$4:$A$53,$F33)*1*((('Profesores'!$A$4:$A$53&lt;&gt;""))&gt;0),0),0))),"",INDEX('Profesores'!$C$4:$C$53,MATCH(1,INDEX(EXACT('Profesores'!$A$4:$A$53,$F33)*1*((('Profesores'!$A$4:$A$53&lt;&gt;""))&gt;0),0),0))))</f>
        <v/>
      </c>
      <c r="N33" s="3">
        <f>IF(EXACT($L33,"si"),IF(ISNA(MATCH(1,INDEX(1*((('Dias que asisten los contratado'!$A$4:$A$24&lt;&gt;"")+('Dias que asisten los contratado'!$B$4:$B$24&lt;&gt;""))&gt;0)*(EXACT('Dias que asisten los contratado'!$A$4:$A$24,$F33))*(EXACT('Dias que asisten los contratado'!$B$4:$B$24,$B33)),0),0)),"no",IF(ISBLANK(INDEX('Dias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contratado'!$B$4:$B$24,$B33)),0),0))),"",INDEX('Dias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contratado'!$B$4:$B$24,$B33)),0),0)))),"")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3">
        <f>IF(ISBLANK('Horario del grupo - 10-3'!B7),"",'Horario del grupo - 10-3'!B7)</f>
        <v/>
      </c>
      <c r="E34" s="3">
        <f>IF(ISNA(MATCH(1,INDEX(EXACT('Asignaturas'!$A$4:$A$38,$D34)*1*((('Asignaturas'!$A$4:$A$38&lt;&gt;""))&gt;0),0),0)),"",IF(ISBLANK(INDEX('Asignaturas'!$B$4:$B$38,MATCH(1,INDEX(EXACT('Asignaturas'!$A$4:$A$38,$D34)*1*((('Asignaturas'!$A$4:$A$38&lt;&gt;""))&gt;0),0),0))),"",INDEX('Asignaturas'!$B$4:$B$38,MATCH(1,INDEX(EXACT('Asignaturas'!$A$4:$A$38,$D34)*1*((('Asignaturas'!$A$4:$A$38&lt;&gt;""))&gt;0),0),0))))</f>
        <v/>
      </c>
      <c r="F34" s="3">
        <f>IF(ISNA(MATCH(1,INDEX(1*((('Plan por grupo'!$A$4:$A$53&lt;&gt;"")+('Plan por grupo'!$B$4:$B$53&lt;&gt;""))&gt;0)*(EXACT('Plan por grupo'!$A$4:$A$53,$A34))*(EXACT('Plan por grupo'!$B$4:$B$53,$D34)),0),0)),"",IF(ISBLANK(INDEX('Plan por grupo'!$C$4:$C$53,MATCH(1,INDEX(1*((('Plan por grupo'!$A$4:$A$53&lt;&gt;"")+('Plan por grupo'!$B$4:$B$53&lt;&gt;""))&gt;0)*(EXACT('Plan por grupo'!$A$4:$A$53,$A34))*(EXACT('Plan por grupo'!$B$4:$B$53,$D34)),0),0))),"",INDEX('Plan por grupo'!$C$4:$C$53,MATCH(1,INDEX(1*((('Plan por grupo'!$A$4:$A$53&lt;&gt;"")+('Plan por grupo'!$B$4:$B$53&lt;&gt;""))&gt;0)*(EXACT('Plan por grupo'!$A$4:$A$53,$A34))*(EXACT('Plan por grupo'!$B$4:$B$53,$D34)),0),0))))</f>
        <v/>
      </c>
      <c r="G34" s="3">
        <f>IF(ISNA(MATCH(1,INDEX(EXACT('Asignaturas'!$A$4:$A$38,$D34)*1*((('Asignaturas'!$A$4:$A$38&lt;&gt;""))&gt;0),0),0)),"",IF(ISBLANK(INDEX('Asignaturas'!$D$4:$D$38,MATCH(1,INDEX(EXACT('Asignaturas'!$A$4:$A$38,$D34)*1*((('Asignaturas'!$A$4:$A$38&lt;&gt;""))&gt;0),0),0))),"",INDEX('Asignaturas'!$D$4:$D$38,MATCH(1,INDEX(EXACT('Asignaturas'!$A$4:$A$38,$D34)*1*((('Asignaturas'!$A$4:$A$38&lt;&gt;""))&gt;0)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IF(ISNA(MATCH(1,INDEX(1*((('Plan por grupo'!$A$4:$A$53&lt;&gt;"")+('Plan por grupo'!$B$4:$B$53&lt;&gt;""))&gt;0)*(EXACT('Plan por grupo'!$A$4:$A$53,$A34))*(EXACT('Plan por grupo'!$B$4:$B$53,$D34)),0),0)),"no",IF(ISBLANK(INDEX('Plan por grupo'!$G$4:$G$53,MATCH(1,INDEX(1*((('Plan por grupo'!$A$4:$A$53&lt;&gt;"")+('Plan por grupo'!$B$4:$B$53&lt;&gt;""))&gt;0)*(EXACT('Plan por grupo'!$A$4:$A$53,$A34))*(EXACT('Plan por grupo'!$B$4:$B$53,$D34)),0),0))),"",INDEX('Plan por grupo'!$G$4:$G$53,MATCH(1,INDEX(1*((('Plan por grupo'!$A$4:$A$53&lt;&gt;"")+('Plan por grupo'!$B$4:$B$53&lt;&gt;""))&gt;0)*(EXACT('Plan por grupo'!$A$4:$A$53,$A34))*(EXACT('Plan por grupo'!$B$4:$B$53,$D34)),0),0))))</f>
        <v/>
      </c>
      <c r="J34" s="3">
        <f>IF(ISNA(MATCH(1,INDEX(1*((('Plan por grupo'!$A$4:$A$53&lt;&gt;"")+('Plan por grupo'!$B$4:$B$53&lt;&gt;""))&gt;0)*(EXACT('Plan por grupo'!$A$4:$A$53,$A34))*(EXACT('Plan por grupo'!$B$4:$B$53,$D34)),0),0)),"no",IF(ISBLANK(INDEX('Plan por grupo'!$E$4:$E$53,MATCH(1,INDEX(1*((('Plan por grupo'!$A$4:$A$53&lt;&gt;"")+('Plan por grupo'!$B$4:$B$53&lt;&gt;""))&gt;0)*(EXACT('Plan por grupo'!$A$4:$A$53,$A34))*(EXACT('Plan por grupo'!$B$4:$B$53,$D34)),0),0))),"",INDEX('Plan por grupo'!$E$4:$E$53,MATCH(1,INDEX(1*((('Plan por grupo'!$A$4:$A$53&lt;&gt;"")+('Plan por grupo'!$B$4:$B$53&lt;&gt;""))&gt;0)*(EXACT('Plan por grupo'!$A$4:$A$53,$A34))*(EXACT('Plan por grupo'!$B$4:$B$53,$D34)),0),0))))</f>
        <v/>
      </c>
      <c r="K34" s="3">
        <f>IF(ISNA(MATCH(1,INDEX(EXACT('Asignaturas'!$A$4:$A$38,$D34)*1*((('Asignaturas'!$A$4:$A$38&lt;&gt;""))&gt;0),0),0)),"",IF(ISBLANK(INDEX('Asignaturas'!$C$4:$C$38,MATCH(1,INDEX(EXACT('Asignaturas'!$A$4:$A$38,$D34)*1*((('Asignaturas'!$A$4:$A$38&lt;&gt;""))&gt;0),0),0))),"",INDEX('Asignaturas'!$C$4:$C$38,MATCH(1,INDEX(EXACT('Asignaturas'!$A$4:$A$38,$D34)*1*((('Asignaturas'!$A$4:$A$38&lt;&gt;""))&gt;0),0),0))))</f>
        <v/>
      </c>
      <c r="L34" s="3">
        <f>IF(ISNA(MATCH(1,INDEX(EXACT('Profesores'!$A$4:$A$53,$F34)*1*((('Profesores'!$A$4:$A$53&lt;&gt;""))&gt;0),0),0)),"no",IF(ISBLANK(INDEX('Profesores'!$B$4:$B$53,MATCH(1,INDEX(EXACT('Profesores'!$A$4:$A$53,$F34)*1*((('Profesores'!$A$4:$A$53&lt;&gt;""))&gt;0),0),0))),"",INDEX('Profesores'!$B$4:$B$53,MATCH(1,INDEX(EXACT('Profesores'!$A$4:$A$53,$F34)*1*((('Profesores'!$A$4:$A$53&lt;&gt;""))&gt;0),0),0))))</f>
        <v/>
      </c>
      <c r="M34" s="3">
        <f>IF(ISNA(MATCH(1,INDEX(EXACT('Profesores'!$A$4:$A$53,$F34)*1*((('Profesores'!$A$4:$A$53&lt;&gt;""))&gt;0),0),0)),"no",IF(ISBLANK(INDEX('Profesores'!$C$4:$C$53,MATCH(1,INDEX(EXACT('Profesores'!$A$4:$A$53,$F34)*1*((('Profesores'!$A$4:$A$53&lt;&gt;""))&gt;0),0),0))),"",INDEX('Profesores'!$C$4:$C$53,MATCH(1,INDEX(EXACT('Profesores'!$A$4:$A$53,$F34)*1*((('Profesores'!$A$4:$A$53&lt;&gt;""))&gt;0),0),0))))</f>
        <v/>
      </c>
      <c r="N34" s="3">
        <f>IF(EXACT($L34,"si"),IF(ISNA(MATCH(1,INDEX(1*((('Dias que asisten los contratado'!$A$4:$A$24&lt;&gt;"")+('Dias que asisten los contratado'!$B$4:$B$24&lt;&gt;""))&gt;0)*(EXACT('Dias que asisten los contratado'!$A$4:$A$24,$F34))*(EXACT('Dias que asisten los contratado'!$B$4:$B$24,$B34)),0),0)),"no",IF(ISBLANK(INDEX('Dias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contratado'!$B$4:$B$24,$B34)),0),0))),"",INDEX('Dias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contratado'!$B$4:$B$24,$B34)),0),0)))),"")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3">
        <f>IF(ISBLANK('Horario del grupo - 10-3'!C7),"",'Horario del grupo - 10-3'!C7)</f>
        <v/>
      </c>
      <c r="E35" s="3">
        <f>IF(ISNA(MATCH(1,INDEX(EXACT('Asignaturas'!$A$4:$A$38,$D35)*1*((('Asignaturas'!$A$4:$A$38&lt;&gt;""))&gt;0),0),0)),"",IF(ISBLANK(INDEX('Asignaturas'!$B$4:$B$38,MATCH(1,INDEX(EXACT('Asignaturas'!$A$4:$A$38,$D35)*1*((('Asignaturas'!$A$4:$A$38&lt;&gt;""))&gt;0),0),0))),"",INDEX('Asignaturas'!$B$4:$B$38,MATCH(1,INDEX(EXACT('Asignaturas'!$A$4:$A$38,$D35)*1*((('Asignaturas'!$A$4:$A$38&lt;&gt;""))&gt;0),0),0))))</f>
        <v/>
      </c>
      <c r="F35" s="3">
        <f>IF(ISNA(MATCH(1,INDEX(1*((('Plan por grupo'!$A$4:$A$53&lt;&gt;"")+('Plan por grupo'!$B$4:$B$53&lt;&gt;""))&gt;0)*(EXACT('Plan por grupo'!$A$4:$A$53,$A35))*(EXACT('Plan por grupo'!$B$4:$B$53,$D35)),0),0)),"",IF(ISBLANK(INDEX('Plan por grupo'!$C$4:$C$53,MATCH(1,INDEX(1*((('Plan por grupo'!$A$4:$A$53&lt;&gt;"")+('Plan por grupo'!$B$4:$B$53&lt;&gt;""))&gt;0)*(EXACT('Plan por grupo'!$A$4:$A$53,$A35))*(EXACT('Plan por grupo'!$B$4:$B$53,$D35)),0),0))),"",INDEX('Plan por grupo'!$C$4:$C$53,MATCH(1,INDEX(1*((('Plan por grupo'!$A$4:$A$53&lt;&gt;"")+('Plan por grupo'!$B$4:$B$53&lt;&gt;""))&gt;0)*(EXACT('Plan por grupo'!$A$4:$A$53,$A35))*(EXACT('Plan por grupo'!$B$4:$B$53,$D35)),0),0))))</f>
        <v/>
      </c>
      <c r="G35" s="3">
        <f>IF(ISNA(MATCH(1,INDEX(EXACT('Asignaturas'!$A$4:$A$38,$D35)*1*((('Asignaturas'!$A$4:$A$38&lt;&gt;""))&gt;0),0),0)),"",IF(ISBLANK(INDEX('Asignaturas'!$D$4:$D$38,MATCH(1,INDEX(EXACT('Asignaturas'!$A$4:$A$38,$D35)*1*((('Asignaturas'!$A$4:$A$38&lt;&gt;""))&gt;0),0),0))),"",INDEX('Asignaturas'!$D$4:$D$38,MATCH(1,INDEX(EXACT('Asignaturas'!$A$4:$A$38,$D35)*1*((('Asignaturas'!$A$4:$A$38&lt;&gt;""))&gt;0)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IF(ISNA(MATCH(1,INDEX(1*((('Plan por grupo'!$A$4:$A$53&lt;&gt;"")+('Plan por grupo'!$B$4:$B$53&lt;&gt;""))&gt;0)*(EXACT('Plan por grupo'!$A$4:$A$53,$A35))*(EXACT('Plan por grupo'!$B$4:$B$53,$D35)),0),0)),"no",IF(ISBLANK(INDEX('Plan por grupo'!$G$4:$G$53,MATCH(1,INDEX(1*((('Plan por grupo'!$A$4:$A$53&lt;&gt;"")+('Plan por grupo'!$B$4:$B$53&lt;&gt;""))&gt;0)*(EXACT('Plan por grupo'!$A$4:$A$53,$A35))*(EXACT('Plan por grupo'!$B$4:$B$53,$D35)),0),0))),"",INDEX('Plan por grupo'!$G$4:$G$53,MATCH(1,INDEX(1*((('Plan por grupo'!$A$4:$A$53&lt;&gt;"")+('Plan por grupo'!$B$4:$B$53&lt;&gt;""))&gt;0)*(EXACT('Plan por grupo'!$A$4:$A$53,$A35))*(EXACT('Plan por grupo'!$B$4:$B$53,$D35)),0),0))))</f>
        <v/>
      </c>
      <c r="J35" s="3">
        <f>IF(ISNA(MATCH(1,INDEX(1*((('Plan por grupo'!$A$4:$A$53&lt;&gt;"")+('Plan por grupo'!$B$4:$B$53&lt;&gt;""))&gt;0)*(EXACT('Plan por grupo'!$A$4:$A$53,$A35))*(EXACT('Plan por grupo'!$B$4:$B$53,$D35)),0),0)),"no",IF(ISBLANK(INDEX('Plan por grupo'!$E$4:$E$53,MATCH(1,INDEX(1*((('Plan por grupo'!$A$4:$A$53&lt;&gt;"")+('Plan por grupo'!$B$4:$B$53&lt;&gt;""))&gt;0)*(EXACT('Plan por grupo'!$A$4:$A$53,$A35))*(EXACT('Plan por grupo'!$B$4:$B$53,$D35)),0),0))),"",INDEX('Plan por grupo'!$E$4:$E$53,MATCH(1,INDEX(1*((('Plan por grupo'!$A$4:$A$53&lt;&gt;"")+('Plan por grupo'!$B$4:$B$53&lt;&gt;""))&gt;0)*(EXACT('Plan por grupo'!$A$4:$A$53,$A35))*(EXACT('Plan por grupo'!$B$4:$B$53,$D35)),0),0))))</f>
        <v/>
      </c>
      <c r="K35" s="3">
        <f>IF(ISNA(MATCH(1,INDEX(EXACT('Asignaturas'!$A$4:$A$38,$D35)*1*((('Asignaturas'!$A$4:$A$38&lt;&gt;""))&gt;0),0),0)),"",IF(ISBLANK(INDEX('Asignaturas'!$C$4:$C$38,MATCH(1,INDEX(EXACT('Asignaturas'!$A$4:$A$38,$D35)*1*((('Asignaturas'!$A$4:$A$38&lt;&gt;""))&gt;0),0),0))),"",INDEX('Asignaturas'!$C$4:$C$38,MATCH(1,INDEX(EXACT('Asignaturas'!$A$4:$A$38,$D35)*1*((('Asignaturas'!$A$4:$A$38&lt;&gt;""))&gt;0),0),0))))</f>
        <v/>
      </c>
      <c r="L35" s="3">
        <f>IF(ISNA(MATCH(1,INDEX(EXACT('Profesores'!$A$4:$A$53,$F35)*1*((('Profesores'!$A$4:$A$53&lt;&gt;""))&gt;0),0),0)),"no",IF(ISBLANK(INDEX('Profesores'!$B$4:$B$53,MATCH(1,INDEX(EXACT('Profesores'!$A$4:$A$53,$F35)*1*((('Profesores'!$A$4:$A$53&lt;&gt;""))&gt;0),0),0))),"",INDEX('Profesores'!$B$4:$B$53,MATCH(1,INDEX(EXACT('Profesores'!$A$4:$A$53,$F35)*1*((('Profesores'!$A$4:$A$53&lt;&gt;""))&gt;0),0),0))))</f>
        <v/>
      </c>
      <c r="M35" s="3">
        <f>IF(ISNA(MATCH(1,INDEX(EXACT('Profesores'!$A$4:$A$53,$F35)*1*((('Profesores'!$A$4:$A$53&lt;&gt;""))&gt;0),0),0)),"no",IF(ISBLANK(INDEX('Profesores'!$C$4:$C$53,MATCH(1,INDEX(EXACT('Profesores'!$A$4:$A$53,$F35)*1*((('Profesores'!$A$4:$A$53&lt;&gt;""))&gt;0),0),0))),"",INDEX('Profesores'!$C$4:$C$53,MATCH(1,INDEX(EXACT('Profesores'!$A$4:$A$53,$F35)*1*((('Profesores'!$A$4:$A$53&lt;&gt;""))&gt;0),0),0))))</f>
        <v/>
      </c>
      <c r="N35" s="3">
        <f>IF(EXACT($L35,"si"),IF(ISNA(MATCH(1,INDEX(1*((('Dias que asisten los contratado'!$A$4:$A$24&lt;&gt;"")+('Dias que asisten los contratado'!$B$4:$B$24&lt;&gt;""))&gt;0)*(EXACT('Dias que asisten los contratado'!$A$4:$A$24,$F35))*(EXACT('Dias que asisten los contratado'!$B$4:$B$24,$B35)),0),0)),"no",IF(ISBLANK(INDEX('Dias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contratado'!$B$4:$B$24,$B35)),0),0))),"",INDEX('Dias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contratado'!$B$4:$B$24,$B35)),0),0)))),"")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3">
        <f>IF(ISBLANK('Horario del grupo - 10-3'!D7),"",'Horario del grupo - 10-3'!D7)</f>
        <v/>
      </c>
      <c r="E36" s="3">
        <f>IF(ISNA(MATCH(1,INDEX(EXACT('Asignaturas'!$A$4:$A$38,$D36)*1*((('Asignaturas'!$A$4:$A$38&lt;&gt;""))&gt;0),0),0)),"",IF(ISBLANK(INDEX('Asignaturas'!$B$4:$B$38,MATCH(1,INDEX(EXACT('Asignaturas'!$A$4:$A$38,$D36)*1*((('Asignaturas'!$A$4:$A$38&lt;&gt;""))&gt;0),0),0))),"",INDEX('Asignaturas'!$B$4:$B$38,MATCH(1,INDEX(EXACT('Asignaturas'!$A$4:$A$38,$D36)*1*((('Asignaturas'!$A$4:$A$38&lt;&gt;""))&gt;0),0),0))))</f>
        <v/>
      </c>
      <c r="F36" s="3">
        <f>IF(ISNA(MATCH(1,INDEX(1*((('Plan por grupo'!$A$4:$A$53&lt;&gt;"")+('Plan por grupo'!$B$4:$B$53&lt;&gt;""))&gt;0)*(EXACT('Plan por grupo'!$A$4:$A$53,$A36))*(EXACT('Plan por grupo'!$B$4:$B$53,$D36)),0),0)),"",IF(ISBLANK(INDEX('Plan por grupo'!$C$4:$C$53,MATCH(1,INDEX(1*((('Plan por grupo'!$A$4:$A$53&lt;&gt;"")+('Plan por grupo'!$B$4:$B$53&lt;&gt;""))&gt;0)*(EXACT('Plan por grupo'!$A$4:$A$53,$A36))*(EXACT('Plan por grupo'!$B$4:$B$53,$D36)),0),0))),"",INDEX('Plan por grupo'!$C$4:$C$53,MATCH(1,INDEX(1*((('Plan por grupo'!$A$4:$A$53&lt;&gt;"")+('Plan por grupo'!$B$4:$B$53&lt;&gt;""))&gt;0)*(EXACT('Plan por grupo'!$A$4:$A$53,$A36))*(EXACT('Plan por grupo'!$B$4:$B$53,$D36)),0),0))))</f>
        <v/>
      </c>
      <c r="G36" s="3">
        <f>IF(ISNA(MATCH(1,INDEX(EXACT('Asignaturas'!$A$4:$A$38,$D36)*1*((('Asignaturas'!$A$4:$A$38&lt;&gt;""))&gt;0),0),0)),"",IF(ISBLANK(INDEX('Asignaturas'!$D$4:$D$38,MATCH(1,INDEX(EXACT('Asignaturas'!$A$4:$A$38,$D36)*1*((('Asignaturas'!$A$4:$A$38&lt;&gt;""))&gt;0),0),0))),"",INDEX('Asignaturas'!$D$4:$D$38,MATCH(1,INDEX(EXACT('Asignaturas'!$A$4:$A$38,$D36)*1*((('Asignaturas'!$A$4:$A$38&lt;&gt;""))&gt;0)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IF(ISNA(MATCH(1,INDEX(1*((('Plan por grupo'!$A$4:$A$53&lt;&gt;"")+('Plan por grupo'!$B$4:$B$53&lt;&gt;""))&gt;0)*(EXACT('Plan por grupo'!$A$4:$A$53,$A36))*(EXACT('Plan por grupo'!$B$4:$B$53,$D36)),0),0)),"no",IF(ISBLANK(INDEX('Plan por grupo'!$G$4:$G$53,MATCH(1,INDEX(1*((('Plan por grupo'!$A$4:$A$53&lt;&gt;"")+('Plan por grupo'!$B$4:$B$53&lt;&gt;""))&gt;0)*(EXACT('Plan por grupo'!$A$4:$A$53,$A36))*(EXACT('Plan por grupo'!$B$4:$B$53,$D36)),0),0))),"",INDEX('Plan por grupo'!$G$4:$G$53,MATCH(1,INDEX(1*((('Plan por grupo'!$A$4:$A$53&lt;&gt;"")+('Plan por grupo'!$B$4:$B$53&lt;&gt;""))&gt;0)*(EXACT('Plan por grupo'!$A$4:$A$53,$A36))*(EXACT('Plan por grupo'!$B$4:$B$53,$D36)),0),0))))</f>
        <v/>
      </c>
      <c r="J36" s="3">
        <f>IF(ISNA(MATCH(1,INDEX(1*((('Plan por grupo'!$A$4:$A$53&lt;&gt;"")+('Plan por grupo'!$B$4:$B$53&lt;&gt;""))&gt;0)*(EXACT('Plan por grupo'!$A$4:$A$53,$A36))*(EXACT('Plan por grupo'!$B$4:$B$53,$D36)),0),0)),"no",IF(ISBLANK(INDEX('Plan por grupo'!$E$4:$E$53,MATCH(1,INDEX(1*((('Plan por grupo'!$A$4:$A$53&lt;&gt;"")+('Plan por grupo'!$B$4:$B$53&lt;&gt;""))&gt;0)*(EXACT('Plan por grupo'!$A$4:$A$53,$A36))*(EXACT('Plan por grupo'!$B$4:$B$53,$D36)),0),0))),"",INDEX('Plan por grupo'!$E$4:$E$53,MATCH(1,INDEX(1*((('Plan por grupo'!$A$4:$A$53&lt;&gt;"")+('Plan por grupo'!$B$4:$B$53&lt;&gt;""))&gt;0)*(EXACT('Plan por grupo'!$A$4:$A$53,$A36))*(EXACT('Plan por grupo'!$B$4:$B$53,$D36)),0),0))))</f>
        <v/>
      </c>
      <c r="K36" s="3">
        <f>IF(ISNA(MATCH(1,INDEX(EXACT('Asignaturas'!$A$4:$A$38,$D36)*1*((('Asignaturas'!$A$4:$A$38&lt;&gt;""))&gt;0),0),0)),"",IF(ISBLANK(INDEX('Asignaturas'!$C$4:$C$38,MATCH(1,INDEX(EXACT('Asignaturas'!$A$4:$A$38,$D36)*1*((('Asignaturas'!$A$4:$A$38&lt;&gt;""))&gt;0),0),0))),"",INDEX('Asignaturas'!$C$4:$C$38,MATCH(1,INDEX(EXACT('Asignaturas'!$A$4:$A$38,$D36)*1*((('Asignaturas'!$A$4:$A$38&lt;&gt;""))&gt;0),0),0))))</f>
        <v/>
      </c>
      <c r="L36" s="3">
        <f>IF(ISNA(MATCH(1,INDEX(EXACT('Profesores'!$A$4:$A$53,$F36)*1*((('Profesores'!$A$4:$A$53&lt;&gt;""))&gt;0),0),0)),"no",IF(ISBLANK(INDEX('Profesores'!$B$4:$B$53,MATCH(1,INDEX(EXACT('Profesores'!$A$4:$A$53,$F36)*1*((('Profesores'!$A$4:$A$53&lt;&gt;""))&gt;0),0),0))),"",INDEX('Profesores'!$B$4:$B$53,MATCH(1,INDEX(EXACT('Profesores'!$A$4:$A$53,$F36)*1*((('Profesores'!$A$4:$A$53&lt;&gt;""))&gt;0),0),0))))</f>
        <v/>
      </c>
      <c r="M36" s="3">
        <f>IF(ISNA(MATCH(1,INDEX(EXACT('Profesores'!$A$4:$A$53,$F36)*1*((('Profesores'!$A$4:$A$53&lt;&gt;""))&gt;0),0),0)),"no",IF(ISBLANK(INDEX('Profesores'!$C$4:$C$53,MATCH(1,INDEX(EXACT('Profesores'!$A$4:$A$53,$F36)*1*((('Profesores'!$A$4:$A$53&lt;&gt;""))&gt;0),0),0))),"",INDEX('Profesores'!$C$4:$C$53,MATCH(1,INDEX(EXACT('Profesores'!$A$4:$A$53,$F36)*1*((('Profesores'!$A$4:$A$53&lt;&gt;""))&gt;0),0),0))))</f>
        <v/>
      </c>
      <c r="N36" s="3">
        <f>IF(EXACT($L36,"si"),IF(ISNA(MATCH(1,INDEX(1*((('Dias que asisten los contratado'!$A$4:$A$24&lt;&gt;"")+('Dias que asisten los contratado'!$B$4:$B$24&lt;&gt;""))&gt;0)*(EXACT('Dias que asisten los contratado'!$A$4:$A$24,$F36))*(EXACT('Dias que asisten los contratado'!$B$4:$B$24,$B36)),0),0)),"no",IF(ISBLANK(INDEX('Dias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contratado'!$B$4:$B$24,$B36)),0),0))),"",INDEX('Dias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contratado'!$B$4:$B$24,$B36)),0),0)))),"")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3">
        <f>IF(ISBLANK('Horario del grupo - 10-3'!E7),"",'Horario del grupo - 10-3'!E7)</f>
        <v/>
      </c>
      <c r="E37" s="3">
        <f>IF(ISNA(MATCH(1,INDEX(EXACT('Asignaturas'!$A$4:$A$38,$D37)*1*((('Asignaturas'!$A$4:$A$38&lt;&gt;""))&gt;0),0),0)),"",IF(ISBLANK(INDEX('Asignaturas'!$B$4:$B$38,MATCH(1,INDEX(EXACT('Asignaturas'!$A$4:$A$38,$D37)*1*((('Asignaturas'!$A$4:$A$38&lt;&gt;""))&gt;0),0),0))),"",INDEX('Asignaturas'!$B$4:$B$38,MATCH(1,INDEX(EXACT('Asignaturas'!$A$4:$A$38,$D37)*1*((('Asignaturas'!$A$4:$A$38&lt;&gt;""))&gt;0),0),0))))</f>
        <v/>
      </c>
      <c r="F37" s="3">
        <f>IF(ISNA(MATCH(1,INDEX(1*((('Plan por grupo'!$A$4:$A$53&lt;&gt;"")+('Plan por grupo'!$B$4:$B$53&lt;&gt;""))&gt;0)*(EXACT('Plan por grupo'!$A$4:$A$53,$A37))*(EXACT('Plan por grupo'!$B$4:$B$53,$D37)),0),0)),"",IF(ISBLANK(INDEX('Plan por grupo'!$C$4:$C$53,MATCH(1,INDEX(1*((('Plan por grupo'!$A$4:$A$53&lt;&gt;"")+('Plan por grupo'!$B$4:$B$53&lt;&gt;""))&gt;0)*(EXACT('Plan por grupo'!$A$4:$A$53,$A37))*(EXACT('Plan por grupo'!$B$4:$B$53,$D37)),0),0))),"",INDEX('Plan por grupo'!$C$4:$C$53,MATCH(1,INDEX(1*((('Plan por grupo'!$A$4:$A$53&lt;&gt;"")+('Plan por grupo'!$B$4:$B$53&lt;&gt;""))&gt;0)*(EXACT('Plan por grupo'!$A$4:$A$53,$A37))*(EXACT('Plan por grupo'!$B$4:$B$53,$D37)),0),0))))</f>
        <v/>
      </c>
      <c r="G37" s="3">
        <f>IF(ISNA(MATCH(1,INDEX(EXACT('Asignaturas'!$A$4:$A$38,$D37)*1*((('Asignaturas'!$A$4:$A$38&lt;&gt;""))&gt;0),0),0)),"",IF(ISBLANK(INDEX('Asignaturas'!$D$4:$D$38,MATCH(1,INDEX(EXACT('Asignaturas'!$A$4:$A$38,$D37)*1*((('Asignaturas'!$A$4:$A$38&lt;&gt;""))&gt;0),0),0))),"",INDEX('Asignaturas'!$D$4:$D$38,MATCH(1,INDEX(EXACT('Asignaturas'!$A$4:$A$38,$D37)*1*((('Asignaturas'!$A$4:$A$38&lt;&gt;""))&gt;0)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IF(ISNA(MATCH(1,INDEX(1*((('Plan por grupo'!$A$4:$A$53&lt;&gt;"")+('Plan por grupo'!$B$4:$B$53&lt;&gt;""))&gt;0)*(EXACT('Plan por grupo'!$A$4:$A$53,$A37))*(EXACT('Plan por grupo'!$B$4:$B$53,$D37)),0),0)),"no",IF(ISBLANK(INDEX('Plan por grupo'!$G$4:$G$53,MATCH(1,INDEX(1*((('Plan por grupo'!$A$4:$A$53&lt;&gt;"")+('Plan por grupo'!$B$4:$B$53&lt;&gt;""))&gt;0)*(EXACT('Plan por grupo'!$A$4:$A$53,$A37))*(EXACT('Plan por grupo'!$B$4:$B$53,$D37)),0),0))),"",INDEX('Plan por grupo'!$G$4:$G$53,MATCH(1,INDEX(1*((('Plan por grupo'!$A$4:$A$53&lt;&gt;"")+('Plan por grupo'!$B$4:$B$53&lt;&gt;""))&gt;0)*(EXACT('Plan por grupo'!$A$4:$A$53,$A37))*(EXACT('Plan por grupo'!$B$4:$B$53,$D37)),0),0))))</f>
        <v/>
      </c>
      <c r="J37" s="3">
        <f>IF(ISNA(MATCH(1,INDEX(1*((('Plan por grupo'!$A$4:$A$53&lt;&gt;"")+('Plan por grupo'!$B$4:$B$53&lt;&gt;""))&gt;0)*(EXACT('Plan por grupo'!$A$4:$A$53,$A37))*(EXACT('Plan por grupo'!$B$4:$B$53,$D37)),0),0)),"no",IF(ISBLANK(INDEX('Plan por grupo'!$E$4:$E$53,MATCH(1,INDEX(1*((('Plan por grupo'!$A$4:$A$53&lt;&gt;"")+('Plan por grupo'!$B$4:$B$53&lt;&gt;""))&gt;0)*(EXACT('Plan por grupo'!$A$4:$A$53,$A37))*(EXACT('Plan por grupo'!$B$4:$B$53,$D37)),0),0))),"",INDEX('Plan por grupo'!$E$4:$E$53,MATCH(1,INDEX(1*((('Plan por grupo'!$A$4:$A$53&lt;&gt;"")+('Plan por grupo'!$B$4:$B$53&lt;&gt;""))&gt;0)*(EXACT('Plan por grupo'!$A$4:$A$53,$A37))*(EXACT('Plan por grupo'!$B$4:$B$53,$D37)),0),0))))</f>
        <v/>
      </c>
      <c r="K37" s="3">
        <f>IF(ISNA(MATCH(1,INDEX(EXACT('Asignaturas'!$A$4:$A$38,$D37)*1*((('Asignaturas'!$A$4:$A$38&lt;&gt;""))&gt;0),0),0)),"",IF(ISBLANK(INDEX('Asignaturas'!$C$4:$C$38,MATCH(1,INDEX(EXACT('Asignaturas'!$A$4:$A$38,$D37)*1*((('Asignaturas'!$A$4:$A$38&lt;&gt;""))&gt;0),0),0))),"",INDEX('Asignaturas'!$C$4:$C$38,MATCH(1,INDEX(EXACT('Asignaturas'!$A$4:$A$38,$D37)*1*((('Asignaturas'!$A$4:$A$38&lt;&gt;""))&gt;0),0),0))))</f>
        <v/>
      </c>
      <c r="L37" s="3">
        <f>IF(ISNA(MATCH(1,INDEX(EXACT('Profesores'!$A$4:$A$53,$F37)*1*((('Profesores'!$A$4:$A$53&lt;&gt;""))&gt;0),0),0)),"no",IF(ISBLANK(INDEX('Profesores'!$B$4:$B$53,MATCH(1,INDEX(EXACT('Profesores'!$A$4:$A$53,$F37)*1*((('Profesores'!$A$4:$A$53&lt;&gt;""))&gt;0),0),0))),"",INDEX('Profesores'!$B$4:$B$53,MATCH(1,INDEX(EXACT('Profesores'!$A$4:$A$53,$F37)*1*((('Profesores'!$A$4:$A$53&lt;&gt;""))&gt;0),0),0))))</f>
        <v/>
      </c>
      <c r="M37" s="3">
        <f>IF(ISNA(MATCH(1,INDEX(EXACT('Profesores'!$A$4:$A$53,$F37)*1*((('Profesores'!$A$4:$A$53&lt;&gt;""))&gt;0),0),0)),"no",IF(ISBLANK(INDEX('Profesores'!$C$4:$C$53,MATCH(1,INDEX(EXACT('Profesores'!$A$4:$A$53,$F37)*1*((('Profesores'!$A$4:$A$53&lt;&gt;""))&gt;0),0),0))),"",INDEX('Profesores'!$C$4:$C$53,MATCH(1,INDEX(EXACT('Profesores'!$A$4:$A$53,$F37)*1*((('Profesores'!$A$4:$A$53&lt;&gt;""))&gt;0),0),0))))</f>
        <v/>
      </c>
      <c r="N37" s="3">
        <f>IF(EXACT($L37,"si"),IF(ISNA(MATCH(1,INDEX(1*((('Dias que asisten los contratado'!$A$4:$A$24&lt;&gt;"")+('Dias que asisten los contratado'!$B$4:$B$24&lt;&gt;""))&gt;0)*(EXACT('Dias que asisten los contratado'!$A$4:$A$24,$F37))*(EXACT('Dias que asisten los contratado'!$B$4:$B$24,$B37)),0),0)),"no",IF(ISBLANK(INDEX('Dias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contratado'!$B$4:$B$24,$B37)),0),0))),"",INDEX('Dias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contratado'!$B$4:$B$24,$B37)),0),0)))),"")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3">
        <f>IF(ISBLANK('Horario del grupo - 10-3'!F7),"",'Horario del grupo - 10-3'!F7)</f>
        <v/>
      </c>
      <c r="E38" s="3">
        <f>IF(ISNA(MATCH(1,INDEX(EXACT('Asignaturas'!$A$4:$A$38,$D38)*1*((('Asignaturas'!$A$4:$A$38&lt;&gt;""))&gt;0),0),0)),"",IF(ISBLANK(INDEX('Asignaturas'!$B$4:$B$38,MATCH(1,INDEX(EXACT('Asignaturas'!$A$4:$A$38,$D38)*1*((('Asignaturas'!$A$4:$A$38&lt;&gt;""))&gt;0),0),0))),"",INDEX('Asignaturas'!$B$4:$B$38,MATCH(1,INDEX(EXACT('Asignaturas'!$A$4:$A$38,$D38)*1*((('Asignaturas'!$A$4:$A$38&lt;&gt;""))&gt;0),0),0))))</f>
        <v/>
      </c>
      <c r="F38" s="3">
        <f>IF(ISNA(MATCH(1,INDEX(1*((('Plan por grupo'!$A$4:$A$53&lt;&gt;"")+('Plan por grupo'!$B$4:$B$53&lt;&gt;""))&gt;0)*(EXACT('Plan por grupo'!$A$4:$A$53,$A38))*(EXACT('Plan por grupo'!$B$4:$B$53,$D38)),0),0)),"",IF(ISBLANK(INDEX('Plan por grupo'!$C$4:$C$53,MATCH(1,INDEX(1*((('Plan por grupo'!$A$4:$A$53&lt;&gt;"")+('Plan por grupo'!$B$4:$B$53&lt;&gt;""))&gt;0)*(EXACT('Plan por grupo'!$A$4:$A$53,$A38))*(EXACT('Plan por grupo'!$B$4:$B$53,$D38)),0),0))),"",INDEX('Plan por grupo'!$C$4:$C$53,MATCH(1,INDEX(1*((('Plan por grupo'!$A$4:$A$53&lt;&gt;"")+('Plan por grupo'!$B$4:$B$53&lt;&gt;""))&gt;0)*(EXACT('Plan por grupo'!$A$4:$A$53,$A38))*(EXACT('Plan por grupo'!$B$4:$B$53,$D38)),0),0))))</f>
        <v/>
      </c>
      <c r="G38" s="3">
        <f>IF(ISNA(MATCH(1,INDEX(EXACT('Asignaturas'!$A$4:$A$38,$D38)*1*((('Asignaturas'!$A$4:$A$38&lt;&gt;""))&gt;0),0),0)),"",IF(ISBLANK(INDEX('Asignaturas'!$D$4:$D$38,MATCH(1,INDEX(EXACT('Asignaturas'!$A$4:$A$38,$D38)*1*((('Asignaturas'!$A$4:$A$38&lt;&gt;""))&gt;0),0),0))),"",INDEX('Asignaturas'!$D$4:$D$38,MATCH(1,INDEX(EXACT('Asignaturas'!$A$4:$A$38,$D38)*1*((('Asignaturas'!$A$4:$A$38&lt;&gt;""))&gt;0)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IF(ISNA(MATCH(1,INDEX(1*((('Plan por grupo'!$A$4:$A$53&lt;&gt;"")+('Plan por grupo'!$B$4:$B$53&lt;&gt;""))&gt;0)*(EXACT('Plan por grupo'!$A$4:$A$53,$A38))*(EXACT('Plan por grupo'!$B$4:$B$53,$D38)),0),0)),"no",IF(ISBLANK(INDEX('Plan por grupo'!$G$4:$G$53,MATCH(1,INDEX(1*((('Plan por grupo'!$A$4:$A$53&lt;&gt;"")+('Plan por grupo'!$B$4:$B$53&lt;&gt;""))&gt;0)*(EXACT('Plan por grupo'!$A$4:$A$53,$A38))*(EXACT('Plan por grupo'!$B$4:$B$53,$D38)),0),0))),"",INDEX('Plan por grupo'!$G$4:$G$53,MATCH(1,INDEX(1*((('Plan por grupo'!$A$4:$A$53&lt;&gt;"")+('Plan por grupo'!$B$4:$B$53&lt;&gt;""))&gt;0)*(EXACT('Plan por grupo'!$A$4:$A$53,$A38))*(EXACT('Plan por grupo'!$B$4:$B$53,$D38)),0),0))))</f>
        <v/>
      </c>
      <c r="J38" s="3">
        <f>IF(ISNA(MATCH(1,INDEX(1*((('Plan por grupo'!$A$4:$A$53&lt;&gt;"")+('Plan por grupo'!$B$4:$B$53&lt;&gt;""))&gt;0)*(EXACT('Plan por grupo'!$A$4:$A$53,$A38))*(EXACT('Plan por grupo'!$B$4:$B$53,$D38)),0),0)),"no",IF(ISBLANK(INDEX('Plan por grupo'!$E$4:$E$53,MATCH(1,INDEX(1*((('Plan por grupo'!$A$4:$A$53&lt;&gt;"")+('Plan por grupo'!$B$4:$B$53&lt;&gt;""))&gt;0)*(EXACT('Plan por grupo'!$A$4:$A$53,$A38))*(EXACT('Plan por grupo'!$B$4:$B$53,$D38)),0),0))),"",INDEX('Plan por grupo'!$E$4:$E$53,MATCH(1,INDEX(1*((('Plan por grupo'!$A$4:$A$53&lt;&gt;"")+('Plan por grupo'!$B$4:$B$53&lt;&gt;""))&gt;0)*(EXACT('Plan por grupo'!$A$4:$A$53,$A38))*(EXACT('Plan por grupo'!$B$4:$B$53,$D38)),0),0))))</f>
        <v/>
      </c>
      <c r="K38" s="3">
        <f>IF(ISNA(MATCH(1,INDEX(EXACT('Asignaturas'!$A$4:$A$38,$D38)*1*((('Asignaturas'!$A$4:$A$38&lt;&gt;""))&gt;0),0),0)),"",IF(ISBLANK(INDEX('Asignaturas'!$C$4:$C$38,MATCH(1,INDEX(EXACT('Asignaturas'!$A$4:$A$38,$D38)*1*((('Asignaturas'!$A$4:$A$38&lt;&gt;""))&gt;0),0),0))),"",INDEX('Asignaturas'!$C$4:$C$38,MATCH(1,INDEX(EXACT('Asignaturas'!$A$4:$A$38,$D38)*1*((('Asignaturas'!$A$4:$A$38&lt;&gt;""))&gt;0),0),0))))</f>
        <v/>
      </c>
      <c r="L38" s="3">
        <f>IF(ISNA(MATCH(1,INDEX(EXACT('Profesores'!$A$4:$A$53,$F38)*1*((('Profesores'!$A$4:$A$53&lt;&gt;""))&gt;0),0),0)),"no",IF(ISBLANK(INDEX('Profesores'!$B$4:$B$53,MATCH(1,INDEX(EXACT('Profesores'!$A$4:$A$53,$F38)*1*((('Profesores'!$A$4:$A$53&lt;&gt;""))&gt;0),0),0))),"",INDEX('Profesores'!$B$4:$B$53,MATCH(1,INDEX(EXACT('Profesores'!$A$4:$A$53,$F38)*1*((('Profesores'!$A$4:$A$53&lt;&gt;""))&gt;0),0),0))))</f>
        <v/>
      </c>
      <c r="M38" s="3">
        <f>IF(ISNA(MATCH(1,INDEX(EXACT('Profesores'!$A$4:$A$53,$F38)*1*((('Profesores'!$A$4:$A$53&lt;&gt;""))&gt;0),0),0)),"no",IF(ISBLANK(INDEX('Profesores'!$C$4:$C$53,MATCH(1,INDEX(EXACT('Profesores'!$A$4:$A$53,$F38)*1*((('Profesores'!$A$4:$A$53&lt;&gt;""))&gt;0),0),0))),"",INDEX('Profesores'!$C$4:$C$53,MATCH(1,INDEX(EXACT('Profesores'!$A$4:$A$53,$F38)*1*((('Profesores'!$A$4:$A$53&lt;&gt;""))&gt;0),0),0))))</f>
        <v/>
      </c>
      <c r="N38" s="3">
        <f>IF(EXACT($L38,"si"),IF(ISNA(MATCH(1,INDEX(1*((('Dias que asisten los contratado'!$A$4:$A$24&lt;&gt;"")+('Dias que asisten los contratado'!$B$4:$B$24&lt;&gt;""))&gt;0)*(EXACT('Dias que asisten los contratado'!$A$4:$A$24,$F38))*(EXACT('Dias que asisten los contratado'!$B$4:$B$24,$B38)),0),0)),"no",IF(ISBLANK(INDEX('Dias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contratado'!$B$4:$B$24,$B38)),0),0))),"",INDEX('Dias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contratado'!$B$4:$B$24,$B38)),0),0)))),"")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3">
        <f>IF(ISBLANK('Horario del grupo - 10-4'!B7),"",'Horario del grupo - 10-4'!B7)</f>
        <v/>
      </c>
      <c r="E39" s="3">
        <f>IF(ISNA(MATCH(1,INDEX(EXACT('Asignaturas'!$A$4:$A$38,$D39)*1*((('Asignaturas'!$A$4:$A$38&lt;&gt;""))&gt;0),0),0)),"",IF(ISBLANK(INDEX('Asignaturas'!$B$4:$B$38,MATCH(1,INDEX(EXACT('Asignaturas'!$A$4:$A$38,$D39)*1*((('Asignaturas'!$A$4:$A$38&lt;&gt;""))&gt;0),0),0))),"",INDEX('Asignaturas'!$B$4:$B$38,MATCH(1,INDEX(EXACT('Asignaturas'!$A$4:$A$38,$D39)*1*((('Asignaturas'!$A$4:$A$38&lt;&gt;""))&gt;0),0),0))))</f>
        <v/>
      </c>
      <c r="F39" s="3">
        <f>IF(ISNA(MATCH(1,INDEX(1*((('Plan por grupo'!$A$4:$A$53&lt;&gt;"")+('Plan por grupo'!$B$4:$B$53&lt;&gt;""))&gt;0)*(EXACT('Plan por grupo'!$A$4:$A$53,$A39))*(EXACT('Plan por grupo'!$B$4:$B$53,$D39)),0),0)),"",IF(ISBLANK(INDEX('Plan por grupo'!$C$4:$C$53,MATCH(1,INDEX(1*((('Plan por grupo'!$A$4:$A$53&lt;&gt;"")+('Plan por grupo'!$B$4:$B$53&lt;&gt;""))&gt;0)*(EXACT('Plan por grupo'!$A$4:$A$53,$A39))*(EXACT('Plan por grupo'!$B$4:$B$53,$D39)),0),0))),"",INDEX('Plan por grupo'!$C$4:$C$53,MATCH(1,INDEX(1*((('Plan por grupo'!$A$4:$A$53&lt;&gt;"")+('Plan por grupo'!$B$4:$B$53&lt;&gt;""))&gt;0)*(EXACT('Plan por grupo'!$A$4:$A$53,$A39))*(EXACT('Plan por grupo'!$B$4:$B$53,$D39)),0),0))))</f>
        <v/>
      </c>
      <c r="G39" s="3">
        <f>IF(ISNA(MATCH(1,INDEX(EXACT('Asignaturas'!$A$4:$A$38,$D39)*1*((('Asignaturas'!$A$4:$A$38&lt;&gt;""))&gt;0),0),0)),"",IF(ISBLANK(INDEX('Asignaturas'!$D$4:$D$38,MATCH(1,INDEX(EXACT('Asignaturas'!$A$4:$A$38,$D39)*1*((('Asignaturas'!$A$4:$A$38&lt;&gt;""))&gt;0),0),0))),"",INDEX('Asignaturas'!$D$4:$D$38,MATCH(1,INDEX(EXACT('Asignaturas'!$A$4:$A$38,$D39)*1*((('Asignaturas'!$A$4:$A$38&lt;&gt;""))&gt;0)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IF(ISNA(MATCH(1,INDEX(1*((('Plan por grupo'!$A$4:$A$53&lt;&gt;"")+('Plan por grupo'!$B$4:$B$53&lt;&gt;""))&gt;0)*(EXACT('Plan por grupo'!$A$4:$A$53,$A39))*(EXACT('Plan por grupo'!$B$4:$B$53,$D39)),0),0)),"no",IF(ISBLANK(INDEX('Plan por grupo'!$G$4:$G$53,MATCH(1,INDEX(1*((('Plan por grupo'!$A$4:$A$53&lt;&gt;"")+('Plan por grupo'!$B$4:$B$53&lt;&gt;""))&gt;0)*(EXACT('Plan por grupo'!$A$4:$A$53,$A39))*(EXACT('Plan por grupo'!$B$4:$B$53,$D39)),0),0))),"",INDEX('Plan por grupo'!$G$4:$G$53,MATCH(1,INDEX(1*((('Plan por grupo'!$A$4:$A$53&lt;&gt;"")+('Plan por grupo'!$B$4:$B$53&lt;&gt;""))&gt;0)*(EXACT('Plan por grupo'!$A$4:$A$53,$A39))*(EXACT('Plan por grupo'!$B$4:$B$53,$D39)),0),0))))</f>
        <v/>
      </c>
      <c r="J39" s="3">
        <f>IF(ISNA(MATCH(1,INDEX(1*((('Plan por grupo'!$A$4:$A$53&lt;&gt;"")+('Plan por grupo'!$B$4:$B$53&lt;&gt;""))&gt;0)*(EXACT('Plan por grupo'!$A$4:$A$53,$A39))*(EXACT('Plan por grupo'!$B$4:$B$53,$D39)),0),0)),"no",IF(ISBLANK(INDEX('Plan por grupo'!$E$4:$E$53,MATCH(1,INDEX(1*((('Plan por grupo'!$A$4:$A$53&lt;&gt;"")+('Plan por grupo'!$B$4:$B$53&lt;&gt;""))&gt;0)*(EXACT('Plan por grupo'!$A$4:$A$53,$A39))*(EXACT('Plan por grupo'!$B$4:$B$53,$D39)),0),0))),"",INDEX('Plan por grupo'!$E$4:$E$53,MATCH(1,INDEX(1*((('Plan por grupo'!$A$4:$A$53&lt;&gt;"")+('Plan por grupo'!$B$4:$B$53&lt;&gt;""))&gt;0)*(EXACT('Plan por grupo'!$A$4:$A$53,$A39))*(EXACT('Plan por grupo'!$B$4:$B$53,$D39)),0),0))))</f>
        <v/>
      </c>
      <c r="K39" s="3">
        <f>IF(ISNA(MATCH(1,INDEX(EXACT('Asignaturas'!$A$4:$A$38,$D39)*1*((('Asignaturas'!$A$4:$A$38&lt;&gt;""))&gt;0),0),0)),"",IF(ISBLANK(INDEX('Asignaturas'!$C$4:$C$38,MATCH(1,INDEX(EXACT('Asignaturas'!$A$4:$A$38,$D39)*1*((('Asignaturas'!$A$4:$A$38&lt;&gt;""))&gt;0),0),0))),"",INDEX('Asignaturas'!$C$4:$C$38,MATCH(1,INDEX(EXACT('Asignaturas'!$A$4:$A$38,$D39)*1*((('Asignaturas'!$A$4:$A$38&lt;&gt;""))&gt;0),0),0))))</f>
        <v/>
      </c>
      <c r="L39" s="3">
        <f>IF(ISNA(MATCH(1,INDEX(EXACT('Profesores'!$A$4:$A$53,$F39)*1*((('Profesores'!$A$4:$A$53&lt;&gt;""))&gt;0),0),0)),"no",IF(ISBLANK(INDEX('Profesores'!$B$4:$B$53,MATCH(1,INDEX(EXACT('Profesores'!$A$4:$A$53,$F39)*1*((('Profesores'!$A$4:$A$53&lt;&gt;""))&gt;0),0),0))),"",INDEX('Profesores'!$B$4:$B$53,MATCH(1,INDEX(EXACT('Profesores'!$A$4:$A$53,$F39)*1*((('Profesores'!$A$4:$A$53&lt;&gt;""))&gt;0),0),0))))</f>
        <v/>
      </c>
      <c r="M39" s="3">
        <f>IF(ISNA(MATCH(1,INDEX(EXACT('Profesores'!$A$4:$A$53,$F39)*1*((('Profesores'!$A$4:$A$53&lt;&gt;""))&gt;0),0),0)),"no",IF(ISBLANK(INDEX('Profesores'!$C$4:$C$53,MATCH(1,INDEX(EXACT('Profesores'!$A$4:$A$53,$F39)*1*((('Profesores'!$A$4:$A$53&lt;&gt;""))&gt;0),0),0))),"",INDEX('Profesores'!$C$4:$C$53,MATCH(1,INDEX(EXACT('Profesores'!$A$4:$A$53,$F39)*1*((('Profesores'!$A$4:$A$53&lt;&gt;""))&gt;0),0),0))))</f>
        <v/>
      </c>
      <c r="N39" s="3">
        <f>IF(EXACT($L39,"si"),IF(ISNA(MATCH(1,INDEX(1*((('Dias que asisten los contratado'!$A$4:$A$24&lt;&gt;"")+('Dias que asisten los contratado'!$B$4:$B$24&lt;&gt;""))&gt;0)*(EXACT('Dias que asisten los contratado'!$A$4:$A$24,$F39))*(EXACT('Dias que asisten los contratado'!$B$4:$B$24,$B39)),0),0)),"no",IF(ISBLANK(INDEX('Dias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contratado'!$B$4:$B$24,$B39)),0),0))),"",INDEX('Dias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contratado'!$B$4:$B$24,$B39)),0),0)))),"")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3">
        <f>IF(ISBLANK('Horario del grupo - 10-4'!C7),"",'Horario del grupo - 10-4'!C7)</f>
        <v/>
      </c>
      <c r="E40" s="3">
        <f>IF(ISNA(MATCH(1,INDEX(EXACT('Asignaturas'!$A$4:$A$38,$D40)*1*((('Asignaturas'!$A$4:$A$38&lt;&gt;""))&gt;0),0),0)),"",IF(ISBLANK(INDEX('Asignaturas'!$B$4:$B$38,MATCH(1,INDEX(EXACT('Asignaturas'!$A$4:$A$38,$D40)*1*((('Asignaturas'!$A$4:$A$38&lt;&gt;""))&gt;0),0),0))),"",INDEX('Asignaturas'!$B$4:$B$38,MATCH(1,INDEX(EXACT('Asignaturas'!$A$4:$A$38,$D40)*1*((('Asignaturas'!$A$4:$A$38&lt;&gt;""))&gt;0),0),0))))</f>
        <v/>
      </c>
      <c r="F40" s="3">
        <f>IF(ISNA(MATCH(1,INDEX(1*((('Plan por grupo'!$A$4:$A$53&lt;&gt;"")+('Plan por grupo'!$B$4:$B$53&lt;&gt;""))&gt;0)*(EXACT('Plan por grupo'!$A$4:$A$53,$A40))*(EXACT('Plan por grupo'!$B$4:$B$53,$D40)),0),0)),"",IF(ISBLANK(INDEX('Plan por grupo'!$C$4:$C$53,MATCH(1,INDEX(1*((('Plan por grupo'!$A$4:$A$53&lt;&gt;"")+('Plan por grupo'!$B$4:$B$53&lt;&gt;""))&gt;0)*(EXACT('Plan por grupo'!$A$4:$A$53,$A40))*(EXACT('Plan por grupo'!$B$4:$B$53,$D40)),0),0))),"",INDEX('Plan por grupo'!$C$4:$C$53,MATCH(1,INDEX(1*((('Plan por grupo'!$A$4:$A$53&lt;&gt;"")+('Plan por grupo'!$B$4:$B$53&lt;&gt;""))&gt;0)*(EXACT('Plan por grupo'!$A$4:$A$53,$A40))*(EXACT('Plan por grupo'!$B$4:$B$53,$D40)),0),0))))</f>
        <v/>
      </c>
      <c r="G40" s="3">
        <f>IF(ISNA(MATCH(1,INDEX(EXACT('Asignaturas'!$A$4:$A$38,$D40)*1*((('Asignaturas'!$A$4:$A$38&lt;&gt;""))&gt;0),0),0)),"",IF(ISBLANK(INDEX('Asignaturas'!$D$4:$D$38,MATCH(1,INDEX(EXACT('Asignaturas'!$A$4:$A$38,$D40)*1*((('Asignaturas'!$A$4:$A$38&lt;&gt;""))&gt;0),0),0))),"",INDEX('Asignaturas'!$D$4:$D$38,MATCH(1,INDEX(EXACT('Asignaturas'!$A$4:$A$38,$D40)*1*((('Asignaturas'!$A$4:$A$38&lt;&gt;""))&gt;0)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IF(ISNA(MATCH(1,INDEX(1*((('Plan por grupo'!$A$4:$A$53&lt;&gt;"")+('Plan por grupo'!$B$4:$B$53&lt;&gt;""))&gt;0)*(EXACT('Plan por grupo'!$A$4:$A$53,$A40))*(EXACT('Plan por grupo'!$B$4:$B$53,$D40)),0),0)),"no",IF(ISBLANK(INDEX('Plan por grupo'!$G$4:$G$53,MATCH(1,INDEX(1*((('Plan por grupo'!$A$4:$A$53&lt;&gt;"")+('Plan por grupo'!$B$4:$B$53&lt;&gt;""))&gt;0)*(EXACT('Plan por grupo'!$A$4:$A$53,$A40))*(EXACT('Plan por grupo'!$B$4:$B$53,$D40)),0),0))),"",INDEX('Plan por grupo'!$G$4:$G$53,MATCH(1,INDEX(1*((('Plan por grupo'!$A$4:$A$53&lt;&gt;"")+('Plan por grupo'!$B$4:$B$53&lt;&gt;""))&gt;0)*(EXACT('Plan por grupo'!$A$4:$A$53,$A40))*(EXACT('Plan por grupo'!$B$4:$B$53,$D40)),0),0))))</f>
        <v/>
      </c>
      <c r="J40" s="3">
        <f>IF(ISNA(MATCH(1,INDEX(1*((('Plan por grupo'!$A$4:$A$53&lt;&gt;"")+('Plan por grupo'!$B$4:$B$53&lt;&gt;""))&gt;0)*(EXACT('Plan por grupo'!$A$4:$A$53,$A40))*(EXACT('Plan por grupo'!$B$4:$B$53,$D40)),0),0)),"no",IF(ISBLANK(INDEX('Plan por grupo'!$E$4:$E$53,MATCH(1,INDEX(1*((('Plan por grupo'!$A$4:$A$53&lt;&gt;"")+('Plan por grupo'!$B$4:$B$53&lt;&gt;""))&gt;0)*(EXACT('Plan por grupo'!$A$4:$A$53,$A40))*(EXACT('Plan por grupo'!$B$4:$B$53,$D40)),0),0))),"",INDEX('Plan por grupo'!$E$4:$E$53,MATCH(1,INDEX(1*((('Plan por grupo'!$A$4:$A$53&lt;&gt;"")+('Plan por grupo'!$B$4:$B$53&lt;&gt;""))&gt;0)*(EXACT('Plan por grupo'!$A$4:$A$53,$A40))*(EXACT('Plan por grupo'!$B$4:$B$53,$D40)),0),0))))</f>
        <v/>
      </c>
      <c r="K40" s="3">
        <f>IF(ISNA(MATCH(1,INDEX(EXACT('Asignaturas'!$A$4:$A$38,$D40)*1*((('Asignaturas'!$A$4:$A$38&lt;&gt;""))&gt;0),0),0)),"",IF(ISBLANK(INDEX('Asignaturas'!$C$4:$C$38,MATCH(1,INDEX(EXACT('Asignaturas'!$A$4:$A$38,$D40)*1*((('Asignaturas'!$A$4:$A$38&lt;&gt;""))&gt;0),0),0))),"",INDEX('Asignaturas'!$C$4:$C$38,MATCH(1,INDEX(EXACT('Asignaturas'!$A$4:$A$38,$D40)*1*((('Asignaturas'!$A$4:$A$38&lt;&gt;""))&gt;0),0),0))))</f>
        <v/>
      </c>
      <c r="L40" s="3">
        <f>IF(ISNA(MATCH(1,INDEX(EXACT('Profesores'!$A$4:$A$53,$F40)*1*((('Profesores'!$A$4:$A$53&lt;&gt;""))&gt;0),0),0)),"no",IF(ISBLANK(INDEX('Profesores'!$B$4:$B$53,MATCH(1,INDEX(EXACT('Profesores'!$A$4:$A$53,$F40)*1*((('Profesores'!$A$4:$A$53&lt;&gt;""))&gt;0),0),0))),"",INDEX('Profesores'!$B$4:$B$53,MATCH(1,INDEX(EXACT('Profesores'!$A$4:$A$53,$F40)*1*((('Profesores'!$A$4:$A$53&lt;&gt;""))&gt;0),0),0))))</f>
        <v/>
      </c>
      <c r="M40" s="3">
        <f>IF(ISNA(MATCH(1,INDEX(EXACT('Profesores'!$A$4:$A$53,$F40)*1*((('Profesores'!$A$4:$A$53&lt;&gt;""))&gt;0),0),0)),"no",IF(ISBLANK(INDEX('Profesores'!$C$4:$C$53,MATCH(1,INDEX(EXACT('Profesores'!$A$4:$A$53,$F40)*1*((('Profesores'!$A$4:$A$53&lt;&gt;""))&gt;0),0),0))),"",INDEX('Profesores'!$C$4:$C$53,MATCH(1,INDEX(EXACT('Profesores'!$A$4:$A$53,$F40)*1*((('Profesores'!$A$4:$A$53&lt;&gt;""))&gt;0),0),0))))</f>
        <v/>
      </c>
      <c r="N40" s="3">
        <f>IF(EXACT($L40,"si"),IF(ISNA(MATCH(1,INDEX(1*((('Dias que asisten los contratado'!$A$4:$A$24&lt;&gt;"")+('Dias que asisten los contratado'!$B$4:$B$24&lt;&gt;""))&gt;0)*(EXACT('Dias que asisten los contratado'!$A$4:$A$24,$F40))*(EXACT('Dias que asisten los contratado'!$B$4:$B$24,$B40)),0),0)),"no",IF(ISBLANK(INDEX('Dias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contratado'!$B$4:$B$24,$B40)),0),0))),"",INDEX('Dias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contratado'!$B$4:$B$24,$B40)),0),0)))),"")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3">
        <f>IF(ISBLANK('Horario del grupo - 10-4'!D7),"",'Horario del grupo - 10-4'!D7)</f>
        <v/>
      </c>
      <c r="E41" s="3">
        <f>IF(ISNA(MATCH(1,INDEX(EXACT('Asignaturas'!$A$4:$A$38,$D41)*1*((('Asignaturas'!$A$4:$A$38&lt;&gt;""))&gt;0),0),0)),"",IF(ISBLANK(INDEX('Asignaturas'!$B$4:$B$38,MATCH(1,INDEX(EXACT('Asignaturas'!$A$4:$A$38,$D41)*1*((('Asignaturas'!$A$4:$A$38&lt;&gt;""))&gt;0),0),0))),"",INDEX('Asignaturas'!$B$4:$B$38,MATCH(1,INDEX(EXACT('Asignaturas'!$A$4:$A$38,$D41)*1*((('Asignaturas'!$A$4:$A$38&lt;&gt;""))&gt;0),0),0))))</f>
        <v/>
      </c>
      <c r="F41" s="3">
        <f>IF(ISNA(MATCH(1,INDEX(1*((('Plan por grupo'!$A$4:$A$53&lt;&gt;"")+('Plan por grupo'!$B$4:$B$53&lt;&gt;""))&gt;0)*(EXACT('Plan por grupo'!$A$4:$A$53,$A41))*(EXACT('Plan por grupo'!$B$4:$B$53,$D41)),0),0)),"",IF(ISBLANK(INDEX('Plan por grupo'!$C$4:$C$53,MATCH(1,INDEX(1*((('Plan por grupo'!$A$4:$A$53&lt;&gt;"")+('Plan por grupo'!$B$4:$B$53&lt;&gt;""))&gt;0)*(EXACT('Plan por grupo'!$A$4:$A$53,$A41))*(EXACT('Plan por grupo'!$B$4:$B$53,$D41)),0),0))),"",INDEX('Plan por grupo'!$C$4:$C$53,MATCH(1,INDEX(1*((('Plan por grupo'!$A$4:$A$53&lt;&gt;"")+('Plan por grupo'!$B$4:$B$53&lt;&gt;""))&gt;0)*(EXACT('Plan por grupo'!$A$4:$A$53,$A41))*(EXACT('Plan por grupo'!$B$4:$B$53,$D41)),0),0))))</f>
        <v/>
      </c>
      <c r="G41" s="3">
        <f>IF(ISNA(MATCH(1,INDEX(EXACT('Asignaturas'!$A$4:$A$38,$D41)*1*((('Asignaturas'!$A$4:$A$38&lt;&gt;""))&gt;0),0),0)),"",IF(ISBLANK(INDEX('Asignaturas'!$D$4:$D$38,MATCH(1,INDEX(EXACT('Asignaturas'!$A$4:$A$38,$D41)*1*((('Asignaturas'!$A$4:$A$38&lt;&gt;""))&gt;0),0),0))),"",INDEX('Asignaturas'!$D$4:$D$38,MATCH(1,INDEX(EXACT('Asignaturas'!$A$4:$A$38,$D41)*1*((('Asignaturas'!$A$4:$A$38&lt;&gt;""))&gt;0)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IF(ISNA(MATCH(1,INDEX(1*((('Plan por grupo'!$A$4:$A$53&lt;&gt;"")+('Plan por grupo'!$B$4:$B$53&lt;&gt;""))&gt;0)*(EXACT('Plan por grupo'!$A$4:$A$53,$A41))*(EXACT('Plan por grupo'!$B$4:$B$53,$D41)),0),0)),"no",IF(ISBLANK(INDEX('Plan por grupo'!$G$4:$G$53,MATCH(1,INDEX(1*((('Plan por grupo'!$A$4:$A$53&lt;&gt;"")+('Plan por grupo'!$B$4:$B$53&lt;&gt;""))&gt;0)*(EXACT('Plan por grupo'!$A$4:$A$53,$A41))*(EXACT('Plan por grupo'!$B$4:$B$53,$D41)),0),0))),"",INDEX('Plan por grupo'!$G$4:$G$53,MATCH(1,INDEX(1*((('Plan por grupo'!$A$4:$A$53&lt;&gt;"")+('Plan por grupo'!$B$4:$B$53&lt;&gt;""))&gt;0)*(EXACT('Plan por grupo'!$A$4:$A$53,$A41))*(EXACT('Plan por grupo'!$B$4:$B$53,$D41)),0),0))))</f>
        <v/>
      </c>
      <c r="J41" s="3">
        <f>IF(ISNA(MATCH(1,INDEX(1*((('Plan por grupo'!$A$4:$A$53&lt;&gt;"")+('Plan por grupo'!$B$4:$B$53&lt;&gt;""))&gt;0)*(EXACT('Plan por grupo'!$A$4:$A$53,$A41))*(EXACT('Plan por grupo'!$B$4:$B$53,$D41)),0),0)),"no",IF(ISBLANK(INDEX('Plan por grupo'!$E$4:$E$53,MATCH(1,INDEX(1*((('Plan por grupo'!$A$4:$A$53&lt;&gt;"")+('Plan por grupo'!$B$4:$B$53&lt;&gt;""))&gt;0)*(EXACT('Plan por grupo'!$A$4:$A$53,$A41))*(EXACT('Plan por grupo'!$B$4:$B$53,$D41)),0),0))),"",INDEX('Plan por grupo'!$E$4:$E$53,MATCH(1,INDEX(1*((('Plan por grupo'!$A$4:$A$53&lt;&gt;"")+('Plan por grupo'!$B$4:$B$53&lt;&gt;""))&gt;0)*(EXACT('Plan por grupo'!$A$4:$A$53,$A41))*(EXACT('Plan por grupo'!$B$4:$B$53,$D41)),0),0))))</f>
        <v/>
      </c>
      <c r="K41" s="3">
        <f>IF(ISNA(MATCH(1,INDEX(EXACT('Asignaturas'!$A$4:$A$38,$D41)*1*((('Asignaturas'!$A$4:$A$38&lt;&gt;""))&gt;0),0),0)),"",IF(ISBLANK(INDEX('Asignaturas'!$C$4:$C$38,MATCH(1,INDEX(EXACT('Asignaturas'!$A$4:$A$38,$D41)*1*((('Asignaturas'!$A$4:$A$38&lt;&gt;""))&gt;0),0),0))),"",INDEX('Asignaturas'!$C$4:$C$38,MATCH(1,INDEX(EXACT('Asignaturas'!$A$4:$A$38,$D41)*1*((('Asignaturas'!$A$4:$A$38&lt;&gt;""))&gt;0),0),0))))</f>
        <v/>
      </c>
      <c r="L41" s="3">
        <f>IF(ISNA(MATCH(1,INDEX(EXACT('Profesores'!$A$4:$A$53,$F41)*1*((('Profesores'!$A$4:$A$53&lt;&gt;""))&gt;0),0),0)),"no",IF(ISBLANK(INDEX('Profesores'!$B$4:$B$53,MATCH(1,INDEX(EXACT('Profesores'!$A$4:$A$53,$F41)*1*((('Profesores'!$A$4:$A$53&lt;&gt;""))&gt;0),0),0))),"",INDEX('Profesores'!$B$4:$B$53,MATCH(1,INDEX(EXACT('Profesores'!$A$4:$A$53,$F41)*1*((('Profesores'!$A$4:$A$53&lt;&gt;""))&gt;0),0),0))))</f>
        <v/>
      </c>
      <c r="M41" s="3">
        <f>IF(ISNA(MATCH(1,INDEX(EXACT('Profesores'!$A$4:$A$53,$F41)*1*((('Profesores'!$A$4:$A$53&lt;&gt;""))&gt;0),0),0)),"no",IF(ISBLANK(INDEX('Profesores'!$C$4:$C$53,MATCH(1,INDEX(EXACT('Profesores'!$A$4:$A$53,$F41)*1*((('Profesores'!$A$4:$A$53&lt;&gt;""))&gt;0),0),0))),"",INDEX('Profesores'!$C$4:$C$53,MATCH(1,INDEX(EXACT('Profesores'!$A$4:$A$53,$F41)*1*((('Profesores'!$A$4:$A$53&lt;&gt;""))&gt;0),0),0))))</f>
        <v/>
      </c>
      <c r="N41" s="3">
        <f>IF(EXACT($L41,"si"),IF(ISNA(MATCH(1,INDEX(1*((('Dias que asisten los contratado'!$A$4:$A$24&lt;&gt;"")+('Dias que asisten los contratado'!$B$4:$B$24&lt;&gt;""))&gt;0)*(EXACT('Dias que asisten los contratado'!$A$4:$A$24,$F41))*(EXACT('Dias que asisten los contratado'!$B$4:$B$24,$B41)),0),0)),"no",IF(ISBLANK(INDEX('Dias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contratado'!$B$4:$B$24,$B41)),0),0))),"",INDEX('Dias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contratado'!$B$4:$B$24,$B41)),0),0)))),"")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3">
        <f>IF(ISBLANK('Horario del grupo - 10-4'!E7),"",'Horario del grupo - 10-4'!E7)</f>
        <v/>
      </c>
      <c r="E42" s="3">
        <f>IF(ISNA(MATCH(1,INDEX(EXACT('Asignaturas'!$A$4:$A$38,$D42)*1*((('Asignaturas'!$A$4:$A$38&lt;&gt;""))&gt;0),0),0)),"",IF(ISBLANK(INDEX('Asignaturas'!$B$4:$B$38,MATCH(1,INDEX(EXACT('Asignaturas'!$A$4:$A$38,$D42)*1*((('Asignaturas'!$A$4:$A$38&lt;&gt;""))&gt;0),0),0))),"",INDEX('Asignaturas'!$B$4:$B$38,MATCH(1,INDEX(EXACT('Asignaturas'!$A$4:$A$38,$D42)*1*((('Asignaturas'!$A$4:$A$38&lt;&gt;""))&gt;0),0),0))))</f>
        <v/>
      </c>
      <c r="F42" s="3">
        <f>IF(ISNA(MATCH(1,INDEX(1*((('Plan por grupo'!$A$4:$A$53&lt;&gt;"")+('Plan por grupo'!$B$4:$B$53&lt;&gt;""))&gt;0)*(EXACT('Plan por grupo'!$A$4:$A$53,$A42))*(EXACT('Plan por grupo'!$B$4:$B$53,$D42)),0),0)),"",IF(ISBLANK(INDEX('Plan por grupo'!$C$4:$C$53,MATCH(1,INDEX(1*((('Plan por grupo'!$A$4:$A$53&lt;&gt;"")+('Plan por grupo'!$B$4:$B$53&lt;&gt;""))&gt;0)*(EXACT('Plan por grupo'!$A$4:$A$53,$A42))*(EXACT('Plan por grupo'!$B$4:$B$53,$D42)),0),0))),"",INDEX('Plan por grupo'!$C$4:$C$53,MATCH(1,INDEX(1*((('Plan por grupo'!$A$4:$A$53&lt;&gt;"")+('Plan por grupo'!$B$4:$B$53&lt;&gt;""))&gt;0)*(EXACT('Plan por grupo'!$A$4:$A$53,$A42))*(EXACT('Plan por grupo'!$B$4:$B$53,$D42)),0),0))))</f>
        <v/>
      </c>
      <c r="G42" s="3">
        <f>IF(ISNA(MATCH(1,INDEX(EXACT('Asignaturas'!$A$4:$A$38,$D42)*1*((('Asignaturas'!$A$4:$A$38&lt;&gt;""))&gt;0),0),0)),"",IF(ISBLANK(INDEX('Asignaturas'!$D$4:$D$38,MATCH(1,INDEX(EXACT('Asignaturas'!$A$4:$A$38,$D42)*1*((('Asignaturas'!$A$4:$A$38&lt;&gt;""))&gt;0),0),0))),"",INDEX('Asignaturas'!$D$4:$D$38,MATCH(1,INDEX(EXACT('Asignaturas'!$A$4:$A$38,$D42)*1*((('Asignaturas'!$A$4:$A$38&lt;&gt;""))&gt;0)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IF(ISNA(MATCH(1,INDEX(1*((('Plan por grupo'!$A$4:$A$53&lt;&gt;"")+('Plan por grupo'!$B$4:$B$53&lt;&gt;""))&gt;0)*(EXACT('Plan por grupo'!$A$4:$A$53,$A42))*(EXACT('Plan por grupo'!$B$4:$B$53,$D42)),0),0)),"no",IF(ISBLANK(INDEX('Plan por grupo'!$G$4:$G$53,MATCH(1,INDEX(1*((('Plan por grupo'!$A$4:$A$53&lt;&gt;"")+('Plan por grupo'!$B$4:$B$53&lt;&gt;""))&gt;0)*(EXACT('Plan por grupo'!$A$4:$A$53,$A42))*(EXACT('Plan por grupo'!$B$4:$B$53,$D42)),0),0))),"",INDEX('Plan por grupo'!$G$4:$G$53,MATCH(1,INDEX(1*((('Plan por grupo'!$A$4:$A$53&lt;&gt;"")+('Plan por grupo'!$B$4:$B$53&lt;&gt;""))&gt;0)*(EXACT('Plan por grupo'!$A$4:$A$53,$A42))*(EXACT('Plan por grupo'!$B$4:$B$53,$D42)),0),0))))</f>
        <v/>
      </c>
      <c r="J42" s="3">
        <f>IF(ISNA(MATCH(1,INDEX(1*((('Plan por grupo'!$A$4:$A$53&lt;&gt;"")+('Plan por grupo'!$B$4:$B$53&lt;&gt;""))&gt;0)*(EXACT('Plan por grupo'!$A$4:$A$53,$A42))*(EXACT('Plan por grupo'!$B$4:$B$53,$D42)),0),0)),"no",IF(ISBLANK(INDEX('Plan por grupo'!$E$4:$E$53,MATCH(1,INDEX(1*((('Plan por grupo'!$A$4:$A$53&lt;&gt;"")+('Plan por grupo'!$B$4:$B$53&lt;&gt;""))&gt;0)*(EXACT('Plan por grupo'!$A$4:$A$53,$A42))*(EXACT('Plan por grupo'!$B$4:$B$53,$D42)),0),0))),"",INDEX('Plan por grupo'!$E$4:$E$53,MATCH(1,INDEX(1*((('Plan por grupo'!$A$4:$A$53&lt;&gt;"")+('Plan por grupo'!$B$4:$B$53&lt;&gt;""))&gt;0)*(EXACT('Plan por grupo'!$A$4:$A$53,$A42))*(EXACT('Plan por grupo'!$B$4:$B$53,$D42)),0),0))))</f>
        <v/>
      </c>
      <c r="K42" s="3">
        <f>IF(ISNA(MATCH(1,INDEX(EXACT('Asignaturas'!$A$4:$A$38,$D42)*1*((('Asignaturas'!$A$4:$A$38&lt;&gt;""))&gt;0),0),0)),"",IF(ISBLANK(INDEX('Asignaturas'!$C$4:$C$38,MATCH(1,INDEX(EXACT('Asignaturas'!$A$4:$A$38,$D42)*1*((('Asignaturas'!$A$4:$A$38&lt;&gt;""))&gt;0),0),0))),"",INDEX('Asignaturas'!$C$4:$C$38,MATCH(1,INDEX(EXACT('Asignaturas'!$A$4:$A$38,$D42)*1*((('Asignaturas'!$A$4:$A$38&lt;&gt;""))&gt;0),0),0))))</f>
        <v/>
      </c>
      <c r="L42" s="3">
        <f>IF(ISNA(MATCH(1,INDEX(EXACT('Profesores'!$A$4:$A$53,$F42)*1*((('Profesores'!$A$4:$A$53&lt;&gt;""))&gt;0),0),0)),"no",IF(ISBLANK(INDEX('Profesores'!$B$4:$B$53,MATCH(1,INDEX(EXACT('Profesores'!$A$4:$A$53,$F42)*1*((('Profesores'!$A$4:$A$53&lt;&gt;""))&gt;0),0),0))),"",INDEX('Profesores'!$B$4:$B$53,MATCH(1,INDEX(EXACT('Profesores'!$A$4:$A$53,$F42)*1*((('Profesores'!$A$4:$A$53&lt;&gt;""))&gt;0),0),0))))</f>
        <v/>
      </c>
      <c r="M42" s="3">
        <f>IF(ISNA(MATCH(1,INDEX(EXACT('Profesores'!$A$4:$A$53,$F42)*1*((('Profesores'!$A$4:$A$53&lt;&gt;""))&gt;0),0),0)),"no",IF(ISBLANK(INDEX('Profesores'!$C$4:$C$53,MATCH(1,INDEX(EXACT('Profesores'!$A$4:$A$53,$F42)*1*((('Profesores'!$A$4:$A$53&lt;&gt;""))&gt;0),0),0))),"",INDEX('Profesores'!$C$4:$C$53,MATCH(1,INDEX(EXACT('Profesores'!$A$4:$A$53,$F42)*1*((('Profesores'!$A$4:$A$53&lt;&gt;""))&gt;0),0),0))))</f>
        <v/>
      </c>
      <c r="N42" s="3">
        <f>IF(EXACT($L42,"si"),IF(ISNA(MATCH(1,INDEX(1*((('Dias que asisten los contratado'!$A$4:$A$24&lt;&gt;"")+('Dias que asisten los contratado'!$B$4:$B$24&lt;&gt;""))&gt;0)*(EXACT('Dias que asisten los contratado'!$A$4:$A$24,$F42))*(EXACT('Dias que asisten los contratado'!$B$4:$B$24,$B42)),0),0)),"no",IF(ISBLANK(INDEX('Dias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contratado'!$B$4:$B$24,$B42)),0),0))),"",INDEX('Dias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contratado'!$B$4:$B$24,$B42)),0),0)))),"")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3">
        <f>IF(ISBLANK('Horario del grupo - 10-4'!F7),"",'Horario del grupo - 10-4'!F7)</f>
        <v/>
      </c>
      <c r="E43" s="3">
        <f>IF(ISNA(MATCH(1,INDEX(EXACT('Asignaturas'!$A$4:$A$38,$D43)*1*((('Asignaturas'!$A$4:$A$38&lt;&gt;""))&gt;0),0),0)),"",IF(ISBLANK(INDEX('Asignaturas'!$B$4:$B$38,MATCH(1,INDEX(EXACT('Asignaturas'!$A$4:$A$38,$D43)*1*((('Asignaturas'!$A$4:$A$38&lt;&gt;""))&gt;0),0),0))),"",INDEX('Asignaturas'!$B$4:$B$38,MATCH(1,INDEX(EXACT('Asignaturas'!$A$4:$A$38,$D43)*1*((('Asignaturas'!$A$4:$A$38&lt;&gt;""))&gt;0),0),0))))</f>
        <v/>
      </c>
      <c r="F43" s="3">
        <f>IF(ISNA(MATCH(1,INDEX(1*((('Plan por grupo'!$A$4:$A$53&lt;&gt;"")+('Plan por grupo'!$B$4:$B$53&lt;&gt;""))&gt;0)*(EXACT('Plan por grupo'!$A$4:$A$53,$A43))*(EXACT('Plan por grupo'!$B$4:$B$53,$D43)),0),0)),"",IF(ISBLANK(INDEX('Plan por grupo'!$C$4:$C$53,MATCH(1,INDEX(1*((('Plan por grupo'!$A$4:$A$53&lt;&gt;"")+('Plan por grupo'!$B$4:$B$53&lt;&gt;""))&gt;0)*(EXACT('Plan por grupo'!$A$4:$A$53,$A43))*(EXACT('Plan por grupo'!$B$4:$B$53,$D43)),0),0))),"",INDEX('Plan por grupo'!$C$4:$C$53,MATCH(1,INDEX(1*((('Plan por grupo'!$A$4:$A$53&lt;&gt;"")+('Plan por grupo'!$B$4:$B$53&lt;&gt;""))&gt;0)*(EXACT('Plan por grupo'!$A$4:$A$53,$A43))*(EXACT('Plan por grupo'!$B$4:$B$53,$D43)),0),0))))</f>
        <v/>
      </c>
      <c r="G43" s="3">
        <f>IF(ISNA(MATCH(1,INDEX(EXACT('Asignaturas'!$A$4:$A$38,$D43)*1*((('Asignaturas'!$A$4:$A$38&lt;&gt;""))&gt;0),0),0)),"",IF(ISBLANK(INDEX('Asignaturas'!$D$4:$D$38,MATCH(1,INDEX(EXACT('Asignaturas'!$A$4:$A$38,$D43)*1*((('Asignaturas'!$A$4:$A$38&lt;&gt;""))&gt;0),0),0))),"",INDEX('Asignaturas'!$D$4:$D$38,MATCH(1,INDEX(EXACT('Asignaturas'!$A$4:$A$38,$D43)*1*((('Asignaturas'!$A$4:$A$38&lt;&gt;""))&gt;0)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IF(ISNA(MATCH(1,INDEX(1*((('Plan por grupo'!$A$4:$A$53&lt;&gt;"")+('Plan por grupo'!$B$4:$B$53&lt;&gt;""))&gt;0)*(EXACT('Plan por grupo'!$A$4:$A$53,$A43))*(EXACT('Plan por grupo'!$B$4:$B$53,$D43)),0),0)),"no",IF(ISBLANK(INDEX('Plan por grupo'!$G$4:$G$53,MATCH(1,INDEX(1*((('Plan por grupo'!$A$4:$A$53&lt;&gt;"")+('Plan por grupo'!$B$4:$B$53&lt;&gt;""))&gt;0)*(EXACT('Plan por grupo'!$A$4:$A$53,$A43))*(EXACT('Plan por grupo'!$B$4:$B$53,$D43)),0),0))),"",INDEX('Plan por grupo'!$G$4:$G$53,MATCH(1,INDEX(1*((('Plan por grupo'!$A$4:$A$53&lt;&gt;"")+('Plan por grupo'!$B$4:$B$53&lt;&gt;""))&gt;0)*(EXACT('Plan por grupo'!$A$4:$A$53,$A43))*(EXACT('Plan por grupo'!$B$4:$B$53,$D43)),0),0))))</f>
        <v/>
      </c>
      <c r="J43" s="3">
        <f>IF(ISNA(MATCH(1,INDEX(1*((('Plan por grupo'!$A$4:$A$53&lt;&gt;"")+('Plan por grupo'!$B$4:$B$53&lt;&gt;""))&gt;0)*(EXACT('Plan por grupo'!$A$4:$A$53,$A43))*(EXACT('Plan por grupo'!$B$4:$B$53,$D43)),0),0)),"no",IF(ISBLANK(INDEX('Plan por grupo'!$E$4:$E$53,MATCH(1,INDEX(1*((('Plan por grupo'!$A$4:$A$53&lt;&gt;"")+('Plan por grupo'!$B$4:$B$53&lt;&gt;""))&gt;0)*(EXACT('Plan por grupo'!$A$4:$A$53,$A43))*(EXACT('Plan por grupo'!$B$4:$B$53,$D43)),0),0))),"",INDEX('Plan por grupo'!$E$4:$E$53,MATCH(1,INDEX(1*((('Plan por grupo'!$A$4:$A$53&lt;&gt;"")+('Plan por grupo'!$B$4:$B$53&lt;&gt;""))&gt;0)*(EXACT('Plan por grupo'!$A$4:$A$53,$A43))*(EXACT('Plan por grupo'!$B$4:$B$53,$D43)),0),0))))</f>
        <v/>
      </c>
      <c r="K43" s="3">
        <f>IF(ISNA(MATCH(1,INDEX(EXACT('Asignaturas'!$A$4:$A$38,$D43)*1*((('Asignaturas'!$A$4:$A$38&lt;&gt;""))&gt;0),0),0)),"",IF(ISBLANK(INDEX('Asignaturas'!$C$4:$C$38,MATCH(1,INDEX(EXACT('Asignaturas'!$A$4:$A$38,$D43)*1*((('Asignaturas'!$A$4:$A$38&lt;&gt;""))&gt;0),0),0))),"",INDEX('Asignaturas'!$C$4:$C$38,MATCH(1,INDEX(EXACT('Asignaturas'!$A$4:$A$38,$D43)*1*((('Asignaturas'!$A$4:$A$38&lt;&gt;""))&gt;0),0),0))))</f>
        <v/>
      </c>
      <c r="L43" s="3">
        <f>IF(ISNA(MATCH(1,INDEX(EXACT('Profesores'!$A$4:$A$53,$F43)*1*((('Profesores'!$A$4:$A$53&lt;&gt;""))&gt;0),0),0)),"no",IF(ISBLANK(INDEX('Profesores'!$B$4:$B$53,MATCH(1,INDEX(EXACT('Profesores'!$A$4:$A$53,$F43)*1*((('Profesores'!$A$4:$A$53&lt;&gt;""))&gt;0),0),0))),"",INDEX('Profesores'!$B$4:$B$53,MATCH(1,INDEX(EXACT('Profesores'!$A$4:$A$53,$F43)*1*((('Profesores'!$A$4:$A$53&lt;&gt;""))&gt;0),0),0))))</f>
        <v/>
      </c>
      <c r="M43" s="3">
        <f>IF(ISNA(MATCH(1,INDEX(EXACT('Profesores'!$A$4:$A$53,$F43)*1*((('Profesores'!$A$4:$A$53&lt;&gt;""))&gt;0),0),0)),"no",IF(ISBLANK(INDEX('Profesores'!$C$4:$C$53,MATCH(1,INDEX(EXACT('Profesores'!$A$4:$A$53,$F43)*1*((('Profesores'!$A$4:$A$53&lt;&gt;""))&gt;0),0),0))),"",INDEX('Profesores'!$C$4:$C$53,MATCH(1,INDEX(EXACT('Profesores'!$A$4:$A$53,$F43)*1*((('Profesores'!$A$4:$A$53&lt;&gt;""))&gt;0),0),0))))</f>
        <v/>
      </c>
      <c r="N43" s="3">
        <f>IF(EXACT($L43,"si"),IF(ISNA(MATCH(1,INDEX(1*((('Dias que asisten los contratado'!$A$4:$A$24&lt;&gt;"")+('Dias que asisten los contratado'!$B$4:$B$24&lt;&gt;""))&gt;0)*(EXACT('Dias que asisten los contratado'!$A$4:$A$24,$F43))*(EXACT('Dias que asisten los contratado'!$B$4:$B$24,$B43)),0),0)),"no",IF(ISBLANK(INDEX('Dias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contratado'!$B$4:$B$24,$B43)),0),0))),"",INDEX('Dias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contratado'!$B$4:$B$24,$B43)),0),0)))),"")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3">
        <f>IF(ISBLANK('Horario del grupo - 10-3'!B8),"",'Horario del grupo - 10-3'!B8)</f>
        <v/>
      </c>
      <c r="E44" s="3">
        <f>IF(ISNA(MATCH(1,INDEX(EXACT('Asignaturas'!$A$4:$A$38,$D44)*1*((('Asignaturas'!$A$4:$A$38&lt;&gt;""))&gt;0),0),0)),"",IF(ISBLANK(INDEX('Asignaturas'!$B$4:$B$38,MATCH(1,INDEX(EXACT('Asignaturas'!$A$4:$A$38,$D44)*1*((('Asignaturas'!$A$4:$A$38&lt;&gt;""))&gt;0),0),0))),"",INDEX('Asignaturas'!$B$4:$B$38,MATCH(1,INDEX(EXACT('Asignaturas'!$A$4:$A$38,$D44)*1*((('Asignaturas'!$A$4:$A$38&lt;&gt;""))&gt;0),0),0))))</f>
        <v/>
      </c>
      <c r="F44" s="3">
        <f>IF(ISNA(MATCH(1,INDEX(1*((('Plan por grupo'!$A$4:$A$53&lt;&gt;"")+('Plan por grupo'!$B$4:$B$53&lt;&gt;""))&gt;0)*(EXACT('Plan por grupo'!$A$4:$A$53,$A44))*(EXACT('Plan por grupo'!$B$4:$B$53,$D44)),0),0)),"",IF(ISBLANK(INDEX('Plan por grupo'!$C$4:$C$53,MATCH(1,INDEX(1*((('Plan por grupo'!$A$4:$A$53&lt;&gt;"")+('Plan por grupo'!$B$4:$B$53&lt;&gt;""))&gt;0)*(EXACT('Plan por grupo'!$A$4:$A$53,$A44))*(EXACT('Plan por grupo'!$B$4:$B$53,$D44)),0),0))),"",INDEX('Plan por grupo'!$C$4:$C$53,MATCH(1,INDEX(1*((('Plan por grupo'!$A$4:$A$53&lt;&gt;"")+('Plan por grupo'!$B$4:$B$53&lt;&gt;""))&gt;0)*(EXACT('Plan por grupo'!$A$4:$A$53,$A44))*(EXACT('Plan por grupo'!$B$4:$B$53,$D44)),0),0))))</f>
        <v/>
      </c>
      <c r="G44" s="3">
        <f>IF(ISNA(MATCH(1,INDEX(EXACT('Asignaturas'!$A$4:$A$38,$D44)*1*((('Asignaturas'!$A$4:$A$38&lt;&gt;""))&gt;0),0),0)),"",IF(ISBLANK(INDEX('Asignaturas'!$D$4:$D$38,MATCH(1,INDEX(EXACT('Asignaturas'!$A$4:$A$38,$D44)*1*((('Asignaturas'!$A$4:$A$38&lt;&gt;""))&gt;0),0),0))),"",INDEX('Asignaturas'!$D$4:$D$38,MATCH(1,INDEX(EXACT('Asignaturas'!$A$4:$A$38,$D44)*1*((('Asignaturas'!$A$4:$A$38&lt;&gt;""))&gt;0)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IF(ISNA(MATCH(1,INDEX(1*((('Plan por grupo'!$A$4:$A$53&lt;&gt;"")+('Plan por grupo'!$B$4:$B$53&lt;&gt;""))&gt;0)*(EXACT('Plan por grupo'!$A$4:$A$53,$A44))*(EXACT('Plan por grupo'!$B$4:$B$53,$D44)),0),0)),"no",IF(ISBLANK(INDEX('Plan por grupo'!$G$4:$G$53,MATCH(1,INDEX(1*((('Plan por grupo'!$A$4:$A$53&lt;&gt;"")+('Plan por grupo'!$B$4:$B$53&lt;&gt;""))&gt;0)*(EXACT('Plan por grupo'!$A$4:$A$53,$A44))*(EXACT('Plan por grupo'!$B$4:$B$53,$D44)),0),0))),"",INDEX('Plan por grupo'!$G$4:$G$53,MATCH(1,INDEX(1*((('Plan por grupo'!$A$4:$A$53&lt;&gt;"")+('Plan por grupo'!$B$4:$B$53&lt;&gt;""))&gt;0)*(EXACT('Plan por grupo'!$A$4:$A$53,$A44))*(EXACT('Plan por grupo'!$B$4:$B$53,$D44)),0),0))))</f>
        <v/>
      </c>
      <c r="J44" s="3">
        <f>IF(ISNA(MATCH(1,INDEX(1*((('Plan por grupo'!$A$4:$A$53&lt;&gt;"")+('Plan por grupo'!$B$4:$B$53&lt;&gt;""))&gt;0)*(EXACT('Plan por grupo'!$A$4:$A$53,$A44))*(EXACT('Plan por grupo'!$B$4:$B$53,$D44)),0),0)),"no",IF(ISBLANK(INDEX('Plan por grupo'!$E$4:$E$53,MATCH(1,INDEX(1*((('Plan por grupo'!$A$4:$A$53&lt;&gt;"")+('Plan por grupo'!$B$4:$B$53&lt;&gt;""))&gt;0)*(EXACT('Plan por grupo'!$A$4:$A$53,$A44))*(EXACT('Plan por grupo'!$B$4:$B$53,$D44)),0),0))),"",INDEX('Plan por grupo'!$E$4:$E$53,MATCH(1,INDEX(1*((('Plan por grupo'!$A$4:$A$53&lt;&gt;"")+('Plan por grupo'!$B$4:$B$53&lt;&gt;""))&gt;0)*(EXACT('Plan por grupo'!$A$4:$A$53,$A44))*(EXACT('Plan por grupo'!$B$4:$B$53,$D44)),0),0))))</f>
        <v/>
      </c>
      <c r="K44" s="3">
        <f>IF(ISNA(MATCH(1,INDEX(EXACT('Asignaturas'!$A$4:$A$38,$D44)*1*((('Asignaturas'!$A$4:$A$38&lt;&gt;""))&gt;0),0),0)),"",IF(ISBLANK(INDEX('Asignaturas'!$C$4:$C$38,MATCH(1,INDEX(EXACT('Asignaturas'!$A$4:$A$38,$D44)*1*((('Asignaturas'!$A$4:$A$38&lt;&gt;""))&gt;0),0),0))),"",INDEX('Asignaturas'!$C$4:$C$38,MATCH(1,INDEX(EXACT('Asignaturas'!$A$4:$A$38,$D44)*1*((('Asignaturas'!$A$4:$A$38&lt;&gt;""))&gt;0),0),0))))</f>
        <v/>
      </c>
      <c r="L44" s="3">
        <f>IF(ISNA(MATCH(1,INDEX(EXACT('Profesores'!$A$4:$A$53,$F44)*1*((('Profesores'!$A$4:$A$53&lt;&gt;""))&gt;0),0),0)),"no",IF(ISBLANK(INDEX('Profesores'!$B$4:$B$53,MATCH(1,INDEX(EXACT('Profesores'!$A$4:$A$53,$F44)*1*((('Profesores'!$A$4:$A$53&lt;&gt;""))&gt;0),0),0))),"",INDEX('Profesores'!$B$4:$B$53,MATCH(1,INDEX(EXACT('Profesores'!$A$4:$A$53,$F44)*1*((('Profesores'!$A$4:$A$53&lt;&gt;""))&gt;0),0),0))))</f>
        <v/>
      </c>
      <c r="M44" s="3">
        <f>IF(ISNA(MATCH(1,INDEX(EXACT('Profesores'!$A$4:$A$53,$F44)*1*((('Profesores'!$A$4:$A$53&lt;&gt;""))&gt;0),0),0)),"no",IF(ISBLANK(INDEX('Profesores'!$C$4:$C$53,MATCH(1,INDEX(EXACT('Profesores'!$A$4:$A$53,$F44)*1*((('Profesores'!$A$4:$A$53&lt;&gt;""))&gt;0),0),0))),"",INDEX('Profesores'!$C$4:$C$53,MATCH(1,INDEX(EXACT('Profesores'!$A$4:$A$53,$F44)*1*((('Profesores'!$A$4:$A$53&lt;&gt;""))&gt;0),0),0))))</f>
        <v/>
      </c>
      <c r="N44" s="3">
        <f>IF(EXACT($L44,"si"),IF(ISNA(MATCH(1,INDEX(1*((('Dias que asisten los contratado'!$A$4:$A$24&lt;&gt;"")+('Dias que asisten los contratado'!$B$4:$B$24&lt;&gt;""))&gt;0)*(EXACT('Dias que asisten los contratado'!$A$4:$A$24,$F44))*(EXACT('Dias que asisten los contratado'!$B$4:$B$24,$B44)),0),0)),"no",IF(ISBLANK(INDEX('Dias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contratado'!$B$4:$B$24,$B44)),0),0))),"",INDEX('Dias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contratado'!$B$4:$B$24,$B44)),0),0)))),"")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3">
        <f>IF(ISBLANK('Horario del grupo - 10-3'!C8),"",'Horario del grupo - 10-3'!C8)</f>
        <v/>
      </c>
      <c r="E45" s="3">
        <f>IF(ISNA(MATCH(1,INDEX(EXACT('Asignaturas'!$A$4:$A$38,$D45)*1*((('Asignaturas'!$A$4:$A$38&lt;&gt;""))&gt;0),0),0)),"",IF(ISBLANK(INDEX('Asignaturas'!$B$4:$B$38,MATCH(1,INDEX(EXACT('Asignaturas'!$A$4:$A$38,$D45)*1*((('Asignaturas'!$A$4:$A$38&lt;&gt;""))&gt;0),0),0))),"",INDEX('Asignaturas'!$B$4:$B$38,MATCH(1,INDEX(EXACT('Asignaturas'!$A$4:$A$38,$D45)*1*((('Asignaturas'!$A$4:$A$38&lt;&gt;""))&gt;0),0),0))))</f>
        <v/>
      </c>
      <c r="F45" s="3">
        <f>IF(ISNA(MATCH(1,INDEX(1*((('Plan por grupo'!$A$4:$A$53&lt;&gt;"")+('Plan por grupo'!$B$4:$B$53&lt;&gt;""))&gt;0)*(EXACT('Plan por grupo'!$A$4:$A$53,$A45))*(EXACT('Plan por grupo'!$B$4:$B$53,$D45)),0),0)),"",IF(ISBLANK(INDEX('Plan por grupo'!$C$4:$C$53,MATCH(1,INDEX(1*((('Plan por grupo'!$A$4:$A$53&lt;&gt;"")+('Plan por grupo'!$B$4:$B$53&lt;&gt;""))&gt;0)*(EXACT('Plan por grupo'!$A$4:$A$53,$A45))*(EXACT('Plan por grupo'!$B$4:$B$53,$D45)),0),0))),"",INDEX('Plan por grupo'!$C$4:$C$53,MATCH(1,INDEX(1*((('Plan por grupo'!$A$4:$A$53&lt;&gt;"")+('Plan por grupo'!$B$4:$B$53&lt;&gt;""))&gt;0)*(EXACT('Plan por grupo'!$A$4:$A$53,$A45))*(EXACT('Plan por grupo'!$B$4:$B$53,$D45)),0),0))))</f>
        <v/>
      </c>
      <c r="G45" s="3">
        <f>IF(ISNA(MATCH(1,INDEX(EXACT('Asignaturas'!$A$4:$A$38,$D45)*1*((('Asignaturas'!$A$4:$A$38&lt;&gt;""))&gt;0),0),0)),"",IF(ISBLANK(INDEX('Asignaturas'!$D$4:$D$38,MATCH(1,INDEX(EXACT('Asignaturas'!$A$4:$A$38,$D45)*1*((('Asignaturas'!$A$4:$A$38&lt;&gt;""))&gt;0),0),0))),"",INDEX('Asignaturas'!$D$4:$D$38,MATCH(1,INDEX(EXACT('Asignaturas'!$A$4:$A$38,$D45)*1*((('Asignaturas'!$A$4:$A$38&lt;&gt;""))&gt;0)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IF(ISNA(MATCH(1,INDEX(1*((('Plan por grupo'!$A$4:$A$53&lt;&gt;"")+('Plan por grupo'!$B$4:$B$53&lt;&gt;""))&gt;0)*(EXACT('Plan por grupo'!$A$4:$A$53,$A45))*(EXACT('Plan por grupo'!$B$4:$B$53,$D45)),0),0)),"no",IF(ISBLANK(INDEX('Plan por grupo'!$G$4:$G$53,MATCH(1,INDEX(1*((('Plan por grupo'!$A$4:$A$53&lt;&gt;"")+('Plan por grupo'!$B$4:$B$53&lt;&gt;""))&gt;0)*(EXACT('Plan por grupo'!$A$4:$A$53,$A45))*(EXACT('Plan por grupo'!$B$4:$B$53,$D45)),0),0))),"",INDEX('Plan por grupo'!$G$4:$G$53,MATCH(1,INDEX(1*((('Plan por grupo'!$A$4:$A$53&lt;&gt;"")+('Plan por grupo'!$B$4:$B$53&lt;&gt;""))&gt;0)*(EXACT('Plan por grupo'!$A$4:$A$53,$A45))*(EXACT('Plan por grupo'!$B$4:$B$53,$D45)),0),0))))</f>
        <v/>
      </c>
      <c r="J45" s="3">
        <f>IF(ISNA(MATCH(1,INDEX(1*((('Plan por grupo'!$A$4:$A$53&lt;&gt;"")+('Plan por grupo'!$B$4:$B$53&lt;&gt;""))&gt;0)*(EXACT('Plan por grupo'!$A$4:$A$53,$A45))*(EXACT('Plan por grupo'!$B$4:$B$53,$D45)),0),0)),"no",IF(ISBLANK(INDEX('Plan por grupo'!$E$4:$E$53,MATCH(1,INDEX(1*((('Plan por grupo'!$A$4:$A$53&lt;&gt;"")+('Plan por grupo'!$B$4:$B$53&lt;&gt;""))&gt;0)*(EXACT('Plan por grupo'!$A$4:$A$53,$A45))*(EXACT('Plan por grupo'!$B$4:$B$53,$D45)),0),0))),"",INDEX('Plan por grupo'!$E$4:$E$53,MATCH(1,INDEX(1*((('Plan por grupo'!$A$4:$A$53&lt;&gt;"")+('Plan por grupo'!$B$4:$B$53&lt;&gt;""))&gt;0)*(EXACT('Plan por grupo'!$A$4:$A$53,$A45))*(EXACT('Plan por grupo'!$B$4:$B$53,$D45)),0),0))))</f>
        <v/>
      </c>
      <c r="K45" s="3">
        <f>IF(ISNA(MATCH(1,INDEX(EXACT('Asignaturas'!$A$4:$A$38,$D45)*1*((('Asignaturas'!$A$4:$A$38&lt;&gt;""))&gt;0),0),0)),"",IF(ISBLANK(INDEX('Asignaturas'!$C$4:$C$38,MATCH(1,INDEX(EXACT('Asignaturas'!$A$4:$A$38,$D45)*1*((('Asignaturas'!$A$4:$A$38&lt;&gt;""))&gt;0),0),0))),"",INDEX('Asignaturas'!$C$4:$C$38,MATCH(1,INDEX(EXACT('Asignaturas'!$A$4:$A$38,$D45)*1*((('Asignaturas'!$A$4:$A$38&lt;&gt;""))&gt;0),0),0))))</f>
        <v/>
      </c>
      <c r="L45" s="3">
        <f>IF(ISNA(MATCH(1,INDEX(EXACT('Profesores'!$A$4:$A$53,$F45)*1*((('Profesores'!$A$4:$A$53&lt;&gt;""))&gt;0),0),0)),"no",IF(ISBLANK(INDEX('Profesores'!$B$4:$B$53,MATCH(1,INDEX(EXACT('Profesores'!$A$4:$A$53,$F45)*1*((('Profesores'!$A$4:$A$53&lt;&gt;""))&gt;0),0),0))),"",INDEX('Profesores'!$B$4:$B$53,MATCH(1,INDEX(EXACT('Profesores'!$A$4:$A$53,$F45)*1*((('Profesores'!$A$4:$A$53&lt;&gt;""))&gt;0),0),0))))</f>
        <v/>
      </c>
      <c r="M45" s="3">
        <f>IF(ISNA(MATCH(1,INDEX(EXACT('Profesores'!$A$4:$A$53,$F45)*1*((('Profesores'!$A$4:$A$53&lt;&gt;""))&gt;0),0),0)),"no",IF(ISBLANK(INDEX('Profesores'!$C$4:$C$53,MATCH(1,INDEX(EXACT('Profesores'!$A$4:$A$53,$F45)*1*((('Profesores'!$A$4:$A$53&lt;&gt;""))&gt;0),0),0))),"",INDEX('Profesores'!$C$4:$C$53,MATCH(1,INDEX(EXACT('Profesores'!$A$4:$A$53,$F45)*1*((('Profesores'!$A$4:$A$53&lt;&gt;""))&gt;0),0),0))))</f>
        <v/>
      </c>
      <c r="N45" s="3">
        <f>IF(EXACT($L45,"si"),IF(ISNA(MATCH(1,INDEX(1*((('Dias que asisten los contratado'!$A$4:$A$24&lt;&gt;"")+('Dias que asisten los contratado'!$B$4:$B$24&lt;&gt;""))&gt;0)*(EXACT('Dias que asisten los contratado'!$A$4:$A$24,$F45))*(EXACT('Dias que asisten los contratado'!$B$4:$B$24,$B45)),0),0)),"no",IF(ISBLANK(INDEX('Dias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contratado'!$B$4:$B$24,$B45)),0),0))),"",INDEX('Dias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contratado'!$B$4:$B$24,$B45)),0),0)))),"")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3">
        <f>IF(ISBLANK('Horario del grupo - 10-3'!D8),"",'Horario del grupo - 10-3'!D8)</f>
        <v/>
      </c>
      <c r="E46" s="3">
        <f>IF(ISNA(MATCH(1,INDEX(EXACT('Asignaturas'!$A$4:$A$38,$D46)*1*((('Asignaturas'!$A$4:$A$38&lt;&gt;""))&gt;0),0),0)),"",IF(ISBLANK(INDEX('Asignaturas'!$B$4:$B$38,MATCH(1,INDEX(EXACT('Asignaturas'!$A$4:$A$38,$D46)*1*((('Asignaturas'!$A$4:$A$38&lt;&gt;""))&gt;0),0),0))),"",INDEX('Asignaturas'!$B$4:$B$38,MATCH(1,INDEX(EXACT('Asignaturas'!$A$4:$A$38,$D46)*1*((('Asignaturas'!$A$4:$A$38&lt;&gt;""))&gt;0),0),0))))</f>
        <v/>
      </c>
      <c r="F46" s="3">
        <f>IF(ISNA(MATCH(1,INDEX(1*((('Plan por grupo'!$A$4:$A$53&lt;&gt;"")+('Plan por grupo'!$B$4:$B$53&lt;&gt;""))&gt;0)*(EXACT('Plan por grupo'!$A$4:$A$53,$A46))*(EXACT('Plan por grupo'!$B$4:$B$53,$D46)),0),0)),"",IF(ISBLANK(INDEX('Plan por grupo'!$C$4:$C$53,MATCH(1,INDEX(1*((('Plan por grupo'!$A$4:$A$53&lt;&gt;"")+('Plan por grupo'!$B$4:$B$53&lt;&gt;""))&gt;0)*(EXACT('Plan por grupo'!$A$4:$A$53,$A46))*(EXACT('Plan por grupo'!$B$4:$B$53,$D46)),0),0))),"",INDEX('Plan por grupo'!$C$4:$C$53,MATCH(1,INDEX(1*((('Plan por grupo'!$A$4:$A$53&lt;&gt;"")+('Plan por grupo'!$B$4:$B$53&lt;&gt;""))&gt;0)*(EXACT('Plan por grupo'!$A$4:$A$53,$A46))*(EXACT('Plan por grupo'!$B$4:$B$53,$D46)),0),0))))</f>
        <v/>
      </c>
      <c r="G46" s="3">
        <f>IF(ISNA(MATCH(1,INDEX(EXACT('Asignaturas'!$A$4:$A$38,$D46)*1*((('Asignaturas'!$A$4:$A$38&lt;&gt;""))&gt;0),0),0)),"",IF(ISBLANK(INDEX('Asignaturas'!$D$4:$D$38,MATCH(1,INDEX(EXACT('Asignaturas'!$A$4:$A$38,$D46)*1*((('Asignaturas'!$A$4:$A$38&lt;&gt;""))&gt;0),0),0))),"",INDEX('Asignaturas'!$D$4:$D$38,MATCH(1,INDEX(EXACT('Asignaturas'!$A$4:$A$38,$D46)*1*((('Asignaturas'!$A$4:$A$38&lt;&gt;""))&gt;0)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IF(ISNA(MATCH(1,INDEX(1*((('Plan por grupo'!$A$4:$A$53&lt;&gt;"")+('Plan por grupo'!$B$4:$B$53&lt;&gt;""))&gt;0)*(EXACT('Plan por grupo'!$A$4:$A$53,$A46))*(EXACT('Plan por grupo'!$B$4:$B$53,$D46)),0),0)),"no",IF(ISBLANK(INDEX('Plan por grupo'!$G$4:$G$53,MATCH(1,INDEX(1*((('Plan por grupo'!$A$4:$A$53&lt;&gt;"")+('Plan por grupo'!$B$4:$B$53&lt;&gt;""))&gt;0)*(EXACT('Plan por grupo'!$A$4:$A$53,$A46))*(EXACT('Plan por grupo'!$B$4:$B$53,$D46)),0),0))),"",INDEX('Plan por grupo'!$G$4:$G$53,MATCH(1,INDEX(1*((('Plan por grupo'!$A$4:$A$53&lt;&gt;"")+('Plan por grupo'!$B$4:$B$53&lt;&gt;""))&gt;0)*(EXACT('Plan por grupo'!$A$4:$A$53,$A46))*(EXACT('Plan por grupo'!$B$4:$B$53,$D46)),0),0))))</f>
        <v/>
      </c>
      <c r="J46" s="3">
        <f>IF(ISNA(MATCH(1,INDEX(1*((('Plan por grupo'!$A$4:$A$53&lt;&gt;"")+('Plan por grupo'!$B$4:$B$53&lt;&gt;""))&gt;0)*(EXACT('Plan por grupo'!$A$4:$A$53,$A46))*(EXACT('Plan por grupo'!$B$4:$B$53,$D46)),0),0)),"no",IF(ISBLANK(INDEX('Plan por grupo'!$E$4:$E$53,MATCH(1,INDEX(1*((('Plan por grupo'!$A$4:$A$53&lt;&gt;"")+('Plan por grupo'!$B$4:$B$53&lt;&gt;""))&gt;0)*(EXACT('Plan por grupo'!$A$4:$A$53,$A46))*(EXACT('Plan por grupo'!$B$4:$B$53,$D46)),0),0))),"",INDEX('Plan por grupo'!$E$4:$E$53,MATCH(1,INDEX(1*((('Plan por grupo'!$A$4:$A$53&lt;&gt;"")+('Plan por grupo'!$B$4:$B$53&lt;&gt;""))&gt;0)*(EXACT('Plan por grupo'!$A$4:$A$53,$A46))*(EXACT('Plan por grupo'!$B$4:$B$53,$D46)),0),0))))</f>
        <v/>
      </c>
      <c r="K46" s="3">
        <f>IF(ISNA(MATCH(1,INDEX(EXACT('Asignaturas'!$A$4:$A$38,$D46)*1*((('Asignaturas'!$A$4:$A$38&lt;&gt;""))&gt;0),0),0)),"",IF(ISBLANK(INDEX('Asignaturas'!$C$4:$C$38,MATCH(1,INDEX(EXACT('Asignaturas'!$A$4:$A$38,$D46)*1*((('Asignaturas'!$A$4:$A$38&lt;&gt;""))&gt;0),0),0))),"",INDEX('Asignaturas'!$C$4:$C$38,MATCH(1,INDEX(EXACT('Asignaturas'!$A$4:$A$38,$D46)*1*((('Asignaturas'!$A$4:$A$38&lt;&gt;""))&gt;0),0),0))))</f>
        <v/>
      </c>
      <c r="L46" s="3">
        <f>IF(ISNA(MATCH(1,INDEX(EXACT('Profesores'!$A$4:$A$53,$F46)*1*((('Profesores'!$A$4:$A$53&lt;&gt;""))&gt;0),0),0)),"no",IF(ISBLANK(INDEX('Profesores'!$B$4:$B$53,MATCH(1,INDEX(EXACT('Profesores'!$A$4:$A$53,$F46)*1*((('Profesores'!$A$4:$A$53&lt;&gt;""))&gt;0),0),0))),"",INDEX('Profesores'!$B$4:$B$53,MATCH(1,INDEX(EXACT('Profesores'!$A$4:$A$53,$F46)*1*((('Profesores'!$A$4:$A$53&lt;&gt;""))&gt;0),0),0))))</f>
        <v/>
      </c>
      <c r="M46" s="3">
        <f>IF(ISNA(MATCH(1,INDEX(EXACT('Profesores'!$A$4:$A$53,$F46)*1*((('Profesores'!$A$4:$A$53&lt;&gt;""))&gt;0),0),0)),"no",IF(ISBLANK(INDEX('Profesores'!$C$4:$C$53,MATCH(1,INDEX(EXACT('Profesores'!$A$4:$A$53,$F46)*1*((('Profesores'!$A$4:$A$53&lt;&gt;""))&gt;0),0),0))),"",INDEX('Profesores'!$C$4:$C$53,MATCH(1,INDEX(EXACT('Profesores'!$A$4:$A$53,$F46)*1*((('Profesores'!$A$4:$A$53&lt;&gt;""))&gt;0),0),0))))</f>
        <v/>
      </c>
      <c r="N46" s="3">
        <f>IF(EXACT($L46,"si"),IF(ISNA(MATCH(1,INDEX(1*((('Dias que asisten los contratado'!$A$4:$A$24&lt;&gt;"")+('Dias que asisten los contratado'!$B$4:$B$24&lt;&gt;""))&gt;0)*(EXACT('Dias que asisten los contratado'!$A$4:$A$24,$F46))*(EXACT('Dias que asisten los contratado'!$B$4:$B$24,$B46)),0),0)),"no",IF(ISBLANK(INDEX('Dias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contratado'!$B$4:$B$24,$B46)),0),0))),"",INDEX('Dias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contratado'!$B$4:$B$24,$B46)),0),0)))),"")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3">
        <f>IF(ISBLANK('Horario del grupo - 10-3'!E8),"",'Horario del grupo - 10-3'!E8)</f>
        <v/>
      </c>
      <c r="E47" s="3">
        <f>IF(ISNA(MATCH(1,INDEX(EXACT('Asignaturas'!$A$4:$A$38,$D47)*1*((('Asignaturas'!$A$4:$A$38&lt;&gt;""))&gt;0),0),0)),"",IF(ISBLANK(INDEX('Asignaturas'!$B$4:$B$38,MATCH(1,INDEX(EXACT('Asignaturas'!$A$4:$A$38,$D47)*1*((('Asignaturas'!$A$4:$A$38&lt;&gt;""))&gt;0),0),0))),"",INDEX('Asignaturas'!$B$4:$B$38,MATCH(1,INDEX(EXACT('Asignaturas'!$A$4:$A$38,$D47)*1*((('Asignaturas'!$A$4:$A$38&lt;&gt;""))&gt;0),0),0))))</f>
        <v/>
      </c>
      <c r="F47" s="3">
        <f>IF(ISNA(MATCH(1,INDEX(1*((('Plan por grupo'!$A$4:$A$53&lt;&gt;"")+('Plan por grupo'!$B$4:$B$53&lt;&gt;""))&gt;0)*(EXACT('Plan por grupo'!$A$4:$A$53,$A47))*(EXACT('Plan por grupo'!$B$4:$B$53,$D47)),0),0)),"",IF(ISBLANK(INDEX('Plan por grupo'!$C$4:$C$53,MATCH(1,INDEX(1*((('Plan por grupo'!$A$4:$A$53&lt;&gt;"")+('Plan por grupo'!$B$4:$B$53&lt;&gt;""))&gt;0)*(EXACT('Plan por grupo'!$A$4:$A$53,$A47))*(EXACT('Plan por grupo'!$B$4:$B$53,$D47)),0),0))),"",INDEX('Plan por grupo'!$C$4:$C$53,MATCH(1,INDEX(1*((('Plan por grupo'!$A$4:$A$53&lt;&gt;"")+('Plan por grupo'!$B$4:$B$53&lt;&gt;""))&gt;0)*(EXACT('Plan por grupo'!$A$4:$A$53,$A47))*(EXACT('Plan por grupo'!$B$4:$B$53,$D47)),0),0))))</f>
        <v/>
      </c>
      <c r="G47" s="3">
        <f>IF(ISNA(MATCH(1,INDEX(EXACT('Asignaturas'!$A$4:$A$38,$D47)*1*((('Asignaturas'!$A$4:$A$38&lt;&gt;""))&gt;0),0),0)),"",IF(ISBLANK(INDEX('Asignaturas'!$D$4:$D$38,MATCH(1,INDEX(EXACT('Asignaturas'!$A$4:$A$38,$D47)*1*((('Asignaturas'!$A$4:$A$38&lt;&gt;""))&gt;0),0),0))),"",INDEX('Asignaturas'!$D$4:$D$38,MATCH(1,INDEX(EXACT('Asignaturas'!$A$4:$A$38,$D47)*1*((('Asignaturas'!$A$4:$A$38&lt;&gt;""))&gt;0)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IF(ISNA(MATCH(1,INDEX(1*((('Plan por grupo'!$A$4:$A$53&lt;&gt;"")+('Plan por grupo'!$B$4:$B$53&lt;&gt;""))&gt;0)*(EXACT('Plan por grupo'!$A$4:$A$53,$A47))*(EXACT('Plan por grupo'!$B$4:$B$53,$D47)),0),0)),"no",IF(ISBLANK(INDEX('Plan por grupo'!$G$4:$G$53,MATCH(1,INDEX(1*((('Plan por grupo'!$A$4:$A$53&lt;&gt;"")+('Plan por grupo'!$B$4:$B$53&lt;&gt;""))&gt;0)*(EXACT('Plan por grupo'!$A$4:$A$53,$A47))*(EXACT('Plan por grupo'!$B$4:$B$53,$D47)),0),0))),"",INDEX('Plan por grupo'!$G$4:$G$53,MATCH(1,INDEX(1*((('Plan por grupo'!$A$4:$A$53&lt;&gt;"")+('Plan por grupo'!$B$4:$B$53&lt;&gt;""))&gt;0)*(EXACT('Plan por grupo'!$A$4:$A$53,$A47))*(EXACT('Plan por grupo'!$B$4:$B$53,$D47)),0),0))))</f>
        <v/>
      </c>
      <c r="J47" s="3">
        <f>IF(ISNA(MATCH(1,INDEX(1*((('Plan por grupo'!$A$4:$A$53&lt;&gt;"")+('Plan por grupo'!$B$4:$B$53&lt;&gt;""))&gt;0)*(EXACT('Plan por grupo'!$A$4:$A$53,$A47))*(EXACT('Plan por grupo'!$B$4:$B$53,$D47)),0),0)),"no",IF(ISBLANK(INDEX('Plan por grupo'!$E$4:$E$53,MATCH(1,INDEX(1*((('Plan por grupo'!$A$4:$A$53&lt;&gt;"")+('Plan por grupo'!$B$4:$B$53&lt;&gt;""))&gt;0)*(EXACT('Plan por grupo'!$A$4:$A$53,$A47))*(EXACT('Plan por grupo'!$B$4:$B$53,$D47)),0),0))),"",INDEX('Plan por grupo'!$E$4:$E$53,MATCH(1,INDEX(1*((('Plan por grupo'!$A$4:$A$53&lt;&gt;"")+('Plan por grupo'!$B$4:$B$53&lt;&gt;""))&gt;0)*(EXACT('Plan por grupo'!$A$4:$A$53,$A47))*(EXACT('Plan por grupo'!$B$4:$B$53,$D47)),0),0))))</f>
        <v/>
      </c>
      <c r="K47" s="3">
        <f>IF(ISNA(MATCH(1,INDEX(EXACT('Asignaturas'!$A$4:$A$38,$D47)*1*((('Asignaturas'!$A$4:$A$38&lt;&gt;""))&gt;0),0),0)),"",IF(ISBLANK(INDEX('Asignaturas'!$C$4:$C$38,MATCH(1,INDEX(EXACT('Asignaturas'!$A$4:$A$38,$D47)*1*((('Asignaturas'!$A$4:$A$38&lt;&gt;""))&gt;0),0),0))),"",INDEX('Asignaturas'!$C$4:$C$38,MATCH(1,INDEX(EXACT('Asignaturas'!$A$4:$A$38,$D47)*1*((('Asignaturas'!$A$4:$A$38&lt;&gt;""))&gt;0),0),0))))</f>
        <v/>
      </c>
      <c r="L47" s="3">
        <f>IF(ISNA(MATCH(1,INDEX(EXACT('Profesores'!$A$4:$A$53,$F47)*1*((('Profesores'!$A$4:$A$53&lt;&gt;""))&gt;0),0),0)),"no",IF(ISBLANK(INDEX('Profesores'!$B$4:$B$53,MATCH(1,INDEX(EXACT('Profesores'!$A$4:$A$53,$F47)*1*((('Profesores'!$A$4:$A$53&lt;&gt;""))&gt;0),0),0))),"",INDEX('Profesores'!$B$4:$B$53,MATCH(1,INDEX(EXACT('Profesores'!$A$4:$A$53,$F47)*1*((('Profesores'!$A$4:$A$53&lt;&gt;""))&gt;0),0),0))))</f>
        <v/>
      </c>
      <c r="M47" s="3">
        <f>IF(ISNA(MATCH(1,INDEX(EXACT('Profesores'!$A$4:$A$53,$F47)*1*((('Profesores'!$A$4:$A$53&lt;&gt;""))&gt;0),0),0)),"no",IF(ISBLANK(INDEX('Profesores'!$C$4:$C$53,MATCH(1,INDEX(EXACT('Profesores'!$A$4:$A$53,$F47)*1*((('Profesores'!$A$4:$A$53&lt;&gt;""))&gt;0),0),0))),"",INDEX('Profesores'!$C$4:$C$53,MATCH(1,INDEX(EXACT('Profesores'!$A$4:$A$53,$F47)*1*((('Profesores'!$A$4:$A$53&lt;&gt;""))&gt;0),0),0))))</f>
        <v/>
      </c>
      <c r="N47" s="3">
        <f>IF(EXACT($L47,"si"),IF(ISNA(MATCH(1,INDEX(1*((('Dias que asisten los contratado'!$A$4:$A$24&lt;&gt;"")+('Dias que asisten los contratado'!$B$4:$B$24&lt;&gt;""))&gt;0)*(EXACT('Dias que asisten los contratado'!$A$4:$A$24,$F47))*(EXACT('Dias que asisten los contratado'!$B$4:$B$24,$B47)),0),0)),"no",IF(ISBLANK(INDEX('Dias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contratado'!$B$4:$B$24,$B47)),0),0))),"",INDEX('Dias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contratado'!$B$4:$B$24,$B47)),0),0)))),"")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3">
        <f>IF(ISBLANK('Horario del grupo - 10-3'!F8),"",'Horario del grupo - 10-3'!F8)</f>
        <v/>
      </c>
      <c r="E48" s="3">
        <f>IF(ISNA(MATCH(1,INDEX(EXACT('Asignaturas'!$A$4:$A$38,$D48)*1*((('Asignaturas'!$A$4:$A$38&lt;&gt;""))&gt;0),0),0)),"",IF(ISBLANK(INDEX('Asignaturas'!$B$4:$B$38,MATCH(1,INDEX(EXACT('Asignaturas'!$A$4:$A$38,$D48)*1*((('Asignaturas'!$A$4:$A$38&lt;&gt;""))&gt;0),0),0))),"",INDEX('Asignaturas'!$B$4:$B$38,MATCH(1,INDEX(EXACT('Asignaturas'!$A$4:$A$38,$D48)*1*((('Asignaturas'!$A$4:$A$38&lt;&gt;""))&gt;0),0),0))))</f>
        <v/>
      </c>
      <c r="F48" s="3">
        <f>IF(ISNA(MATCH(1,INDEX(1*((('Plan por grupo'!$A$4:$A$53&lt;&gt;"")+('Plan por grupo'!$B$4:$B$53&lt;&gt;""))&gt;0)*(EXACT('Plan por grupo'!$A$4:$A$53,$A48))*(EXACT('Plan por grupo'!$B$4:$B$53,$D48)),0),0)),"",IF(ISBLANK(INDEX('Plan por grupo'!$C$4:$C$53,MATCH(1,INDEX(1*((('Plan por grupo'!$A$4:$A$53&lt;&gt;"")+('Plan por grupo'!$B$4:$B$53&lt;&gt;""))&gt;0)*(EXACT('Plan por grupo'!$A$4:$A$53,$A48))*(EXACT('Plan por grupo'!$B$4:$B$53,$D48)),0),0))),"",INDEX('Plan por grupo'!$C$4:$C$53,MATCH(1,INDEX(1*((('Plan por grupo'!$A$4:$A$53&lt;&gt;"")+('Plan por grupo'!$B$4:$B$53&lt;&gt;""))&gt;0)*(EXACT('Plan por grupo'!$A$4:$A$53,$A48))*(EXACT('Plan por grupo'!$B$4:$B$53,$D48)),0),0))))</f>
        <v/>
      </c>
      <c r="G48" s="3">
        <f>IF(ISNA(MATCH(1,INDEX(EXACT('Asignaturas'!$A$4:$A$38,$D48)*1*((('Asignaturas'!$A$4:$A$38&lt;&gt;""))&gt;0),0),0)),"",IF(ISBLANK(INDEX('Asignaturas'!$D$4:$D$38,MATCH(1,INDEX(EXACT('Asignaturas'!$A$4:$A$38,$D48)*1*((('Asignaturas'!$A$4:$A$38&lt;&gt;""))&gt;0),0),0))),"",INDEX('Asignaturas'!$D$4:$D$38,MATCH(1,INDEX(EXACT('Asignaturas'!$A$4:$A$38,$D48)*1*((('Asignaturas'!$A$4:$A$38&lt;&gt;""))&gt;0)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IF(ISNA(MATCH(1,INDEX(1*((('Plan por grupo'!$A$4:$A$53&lt;&gt;"")+('Plan por grupo'!$B$4:$B$53&lt;&gt;""))&gt;0)*(EXACT('Plan por grupo'!$A$4:$A$53,$A48))*(EXACT('Plan por grupo'!$B$4:$B$53,$D48)),0),0)),"no",IF(ISBLANK(INDEX('Plan por grupo'!$G$4:$G$53,MATCH(1,INDEX(1*((('Plan por grupo'!$A$4:$A$53&lt;&gt;"")+('Plan por grupo'!$B$4:$B$53&lt;&gt;""))&gt;0)*(EXACT('Plan por grupo'!$A$4:$A$53,$A48))*(EXACT('Plan por grupo'!$B$4:$B$53,$D48)),0),0))),"",INDEX('Plan por grupo'!$G$4:$G$53,MATCH(1,INDEX(1*((('Plan por grupo'!$A$4:$A$53&lt;&gt;"")+('Plan por grupo'!$B$4:$B$53&lt;&gt;""))&gt;0)*(EXACT('Plan por grupo'!$A$4:$A$53,$A48))*(EXACT('Plan por grupo'!$B$4:$B$53,$D48)),0),0))))</f>
        <v/>
      </c>
      <c r="J48" s="3">
        <f>IF(ISNA(MATCH(1,INDEX(1*((('Plan por grupo'!$A$4:$A$53&lt;&gt;"")+('Plan por grupo'!$B$4:$B$53&lt;&gt;""))&gt;0)*(EXACT('Plan por grupo'!$A$4:$A$53,$A48))*(EXACT('Plan por grupo'!$B$4:$B$53,$D48)),0),0)),"no",IF(ISBLANK(INDEX('Plan por grupo'!$E$4:$E$53,MATCH(1,INDEX(1*((('Plan por grupo'!$A$4:$A$53&lt;&gt;"")+('Plan por grupo'!$B$4:$B$53&lt;&gt;""))&gt;0)*(EXACT('Plan por grupo'!$A$4:$A$53,$A48))*(EXACT('Plan por grupo'!$B$4:$B$53,$D48)),0),0))),"",INDEX('Plan por grupo'!$E$4:$E$53,MATCH(1,INDEX(1*((('Plan por grupo'!$A$4:$A$53&lt;&gt;"")+('Plan por grupo'!$B$4:$B$53&lt;&gt;""))&gt;0)*(EXACT('Plan por grupo'!$A$4:$A$53,$A48))*(EXACT('Plan por grupo'!$B$4:$B$53,$D48)),0),0))))</f>
        <v/>
      </c>
      <c r="K48" s="3">
        <f>IF(ISNA(MATCH(1,INDEX(EXACT('Asignaturas'!$A$4:$A$38,$D48)*1*((('Asignaturas'!$A$4:$A$38&lt;&gt;""))&gt;0),0),0)),"",IF(ISBLANK(INDEX('Asignaturas'!$C$4:$C$38,MATCH(1,INDEX(EXACT('Asignaturas'!$A$4:$A$38,$D48)*1*((('Asignaturas'!$A$4:$A$38&lt;&gt;""))&gt;0),0),0))),"",INDEX('Asignaturas'!$C$4:$C$38,MATCH(1,INDEX(EXACT('Asignaturas'!$A$4:$A$38,$D48)*1*((('Asignaturas'!$A$4:$A$38&lt;&gt;""))&gt;0),0),0))))</f>
        <v/>
      </c>
      <c r="L48" s="3">
        <f>IF(ISNA(MATCH(1,INDEX(EXACT('Profesores'!$A$4:$A$53,$F48)*1*((('Profesores'!$A$4:$A$53&lt;&gt;""))&gt;0),0),0)),"no",IF(ISBLANK(INDEX('Profesores'!$B$4:$B$53,MATCH(1,INDEX(EXACT('Profesores'!$A$4:$A$53,$F48)*1*((('Profesores'!$A$4:$A$53&lt;&gt;""))&gt;0),0),0))),"",INDEX('Profesores'!$B$4:$B$53,MATCH(1,INDEX(EXACT('Profesores'!$A$4:$A$53,$F48)*1*((('Profesores'!$A$4:$A$53&lt;&gt;""))&gt;0),0),0))))</f>
        <v/>
      </c>
      <c r="M48" s="3">
        <f>IF(ISNA(MATCH(1,INDEX(EXACT('Profesores'!$A$4:$A$53,$F48)*1*((('Profesores'!$A$4:$A$53&lt;&gt;""))&gt;0),0),0)),"no",IF(ISBLANK(INDEX('Profesores'!$C$4:$C$53,MATCH(1,INDEX(EXACT('Profesores'!$A$4:$A$53,$F48)*1*((('Profesores'!$A$4:$A$53&lt;&gt;""))&gt;0),0),0))),"",INDEX('Profesores'!$C$4:$C$53,MATCH(1,INDEX(EXACT('Profesores'!$A$4:$A$53,$F48)*1*((('Profesores'!$A$4:$A$53&lt;&gt;""))&gt;0),0),0))))</f>
        <v/>
      </c>
      <c r="N48" s="3">
        <f>IF(EXACT($L48,"si"),IF(ISNA(MATCH(1,INDEX(1*((('Dias que asisten los contratado'!$A$4:$A$24&lt;&gt;"")+('Dias que asisten los contratado'!$B$4:$B$24&lt;&gt;""))&gt;0)*(EXACT('Dias que asisten los contratado'!$A$4:$A$24,$F48))*(EXACT('Dias que asisten los contratado'!$B$4:$B$24,$B48)),0),0)),"no",IF(ISBLANK(INDEX('Dias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contratado'!$B$4:$B$24,$B48)),0),0))),"",INDEX('Dias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contratado'!$B$4:$B$24,$B48)),0),0)))),"")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3">
        <f>IF(ISBLANK('Horario del grupo - 10-4'!B8),"",'Horario del grupo - 10-4'!B8)</f>
        <v/>
      </c>
      <c r="E49" s="3">
        <f>IF(ISNA(MATCH(1,INDEX(EXACT('Asignaturas'!$A$4:$A$38,$D49)*1*((('Asignaturas'!$A$4:$A$38&lt;&gt;""))&gt;0),0),0)),"",IF(ISBLANK(INDEX('Asignaturas'!$B$4:$B$38,MATCH(1,INDEX(EXACT('Asignaturas'!$A$4:$A$38,$D49)*1*((('Asignaturas'!$A$4:$A$38&lt;&gt;""))&gt;0),0),0))),"",INDEX('Asignaturas'!$B$4:$B$38,MATCH(1,INDEX(EXACT('Asignaturas'!$A$4:$A$38,$D49)*1*((('Asignaturas'!$A$4:$A$38&lt;&gt;""))&gt;0),0),0))))</f>
        <v/>
      </c>
      <c r="F49" s="3">
        <f>IF(ISNA(MATCH(1,INDEX(1*((('Plan por grupo'!$A$4:$A$53&lt;&gt;"")+('Plan por grupo'!$B$4:$B$53&lt;&gt;""))&gt;0)*(EXACT('Plan por grupo'!$A$4:$A$53,$A49))*(EXACT('Plan por grupo'!$B$4:$B$53,$D49)),0),0)),"",IF(ISBLANK(INDEX('Plan por grupo'!$C$4:$C$53,MATCH(1,INDEX(1*((('Plan por grupo'!$A$4:$A$53&lt;&gt;"")+('Plan por grupo'!$B$4:$B$53&lt;&gt;""))&gt;0)*(EXACT('Plan por grupo'!$A$4:$A$53,$A49))*(EXACT('Plan por grupo'!$B$4:$B$53,$D49)),0),0))),"",INDEX('Plan por grupo'!$C$4:$C$53,MATCH(1,INDEX(1*((('Plan por grupo'!$A$4:$A$53&lt;&gt;"")+('Plan por grupo'!$B$4:$B$53&lt;&gt;""))&gt;0)*(EXACT('Plan por grupo'!$A$4:$A$53,$A49))*(EXACT('Plan por grupo'!$B$4:$B$53,$D49)),0),0))))</f>
        <v/>
      </c>
      <c r="G49" s="3">
        <f>IF(ISNA(MATCH(1,INDEX(EXACT('Asignaturas'!$A$4:$A$38,$D49)*1*((('Asignaturas'!$A$4:$A$38&lt;&gt;""))&gt;0),0),0)),"",IF(ISBLANK(INDEX('Asignaturas'!$D$4:$D$38,MATCH(1,INDEX(EXACT('Asignaturas'!$A$4:$A$38,$D49)*1*((('Asignaturas'!$A$4:$A$38&lt;&gt;""))&gt;0),0),0))),"",INDEX('Asignaturas'!$D$4:$D$38,MATCH(1,INDEX(EXACT('Asignaturas'!$A$4:$A$38,$D49)*1*((('Asignaturas'!$A$4:$A$38&lt;&gt;""))&gt;0)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IF(ISNA(MATCH(1,INDEX(1*((('Plan por grupo'!$A$4:$A$53&lt;&gt;"")+('Plan por grupo'!$B$4:$B$53&lt;&gt;""))&gt;0)*(EXACT('Plan por grupo'!$A$4:$A$53,$A49))*(EXACT('Plan por grupo'!$B$4:$B$53,$D49)),0),0)),"no",IF(ISBLANK(INDEX('Plan por grupo'!$G$4:$G$53,MATCH(1,INDEX(1*((('Plan por grupo'!$A$4:$A$53&lt;&gt;"")+('Plan por grupo'!$B$4:$B$53&lt;&gt;""))&gt;0)*(EXACT('Plan por grupo'!$A$4:$A$53,$A49))*(EXACT('Plan por grupo'!$B$4:$B$53,$D49)),0),0))),"",INDEX('Plan por grupo'!$G$4:$G$53,MATCH(1,INDEX(1*((('Plan por grupo'!$A$4:$A$53&lt;&gt;"")+('Plan por grupo'!$B$4:$B$53&lt;&gt;""))&gt;0)*(EXACT('Plan por grupo'!$A$4:$A$53,$A49))*(EXACT('Plan por grupo'!$B$4:$B$53,$D49)),0),0))))</f>
        <v/>
      </c>
      <c r="J49" s="3">
        <f>IF(ISNA(MATCH(1,INDEX(1*((('Plan por grupo'!$A$4:$A$53&lt;&gt;"")+('Plan por grupo'!$B$4:$B$53&lt;&gt;""))&gt;0)*(EXACT('Plan por grupo'!$A$4:$A$53,$A49))*(EXACT('Plan por grupo'!$B$4:$B$53,$D49)),0),0)),"no",IF(ISBLANK(INDEX('Plan por grupo'!$E$4:$E$53,MATCH(1,INDEX(1*((('Plan por grupo'!$A$4:$A$53&lt;&gt;"")+('Plan por grupo'!$B$4:$B$53&lt;&gt;""))&gt;0)*(EXACT('Plan por grupo'!$A$4:$A$53,$A49))*(EXACT('Plan por grupo'!$B$4:$B$53,$D49)),0),0))),"",INDEX('Plan por grupo'!$E$4:$E$53,MATCH(1,INDEX(1*((('Plan por grupo'!$A$4:$A$53&lt;&gt;"")+('Plan por grupo'!$B$4:$B$53&lt;&gt;""))&gt;0)*(EXACT('Plan por grupo'!$A$4:$A$53,$A49))*(EXACT('Plan por grupo'!$B$4:$B$53,$D49)),0),0))))</f>
        <v/>
      </c>
      <c r="K49" s="3">
        <f>IF(ISNA(MATCH(1,INDEX(EXACT('Asignaturas'!$A$4:$A$38,$D49)*1*((('Asignaturas'!$A$4:$A$38&lt;&gt;""))&gt;0),0),0)),"",IF(ISBLANK(INDEX('Asignaturas'!$C$4:$C$38,MATCH(1,INDEX(EXACT('Asignaturas'!$A$4:$A$38,$D49)*1*((('Asignaturas'!$A$4:$A$38&lt;&gt;""))&gt;0),0),0))),"",INDEX('Asignaturas'!$C$4:$C$38,MATCH(1,INDEX(EXACT('Asignaturas'!$A$4:$A$38,$D49)*1*((('Asignaturas'!$A$4:$A$38&lt;&gt;""))&gt;0),0),0))))</f>
        <v/>
      </c>
      <c r="L49" s="3">
        <f>IF(ISNA(MATCH(1,INDEX(EXACT('Profesores'!$A$4:$A$53,$F49)*1*((('Profesores'!$A$4:$A$53&lt;&gt;""))&gt;0),0),0)),"no",IF(ISBLANK(INDEX('Profesores'!$B$4:$B$53,MATCH(1,INDEX(EXACT('Profesores'!$A$4:$A$53,$F49)*1*((('Profesores'!$A$4:$A$53&lt;&gt;""))&gt;0),0),0))),"",INDEX('Profesores'!$B$4:$B$53,MATCH(1,INDEX(EXACT('Profesores'!$A$4:$A$53,$F49)*1*((('Profesores'!$A$4:$A$53&lt;&gt;""))&gt;0),0),0))))</f>
        <v/>
      </c>
      <c r="M49" s="3">
        <f>IF(ISNA(MATCH(1,INDEX(EXACT('Profesores'!$A$4:$A$53,$F49)*1*((('Profesores'!$A$4:$A$53&lt;&gt;""))&gt;0),0),0)),"no",IF(ISBLANK(INDEX('Profesores'!$C$4:$C$53,MATCH(1,INDEX(EXACT('Profesores'!$A$4:$A$53,$F49)*1*((('Profesores'!$A$4:$A$53&lt;&gt;""))&gt;0),0),0))),"",INDEX('Profesores'!$C$4:$C$53,MATCH(1,INDEX(EXACT('Profesores'!$A$4:$A$53,$F49)*1*((('Profesores'!$A$4:$A$53&lt;&gt;""))&gt;0),0),0))))</f>
        <v/>
      </c>
      <c r="N49" s="3">
        <f>IF(EXACT($L49,"si"),IF(ISNA(MATCH(1,INDEX(1*((('Dias que asisten los contratado'!$A$4:$A$24&lt;&gt;"")+('Dias que asisten los contratado'!$B$4:$B$24&lt;&gt;""))&gt;0)*(EXACT('Dias que asisten los contratado'!$A$4:$A$24,$F49))*(EXACT('Dias que asisten los contratado'!$B$4:$B$24,$B49)),0),0)),"no",IF(ISBLANK(INDEX('Dias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contratado'!$B$4:$B$24,$B49)),0),0))),"",INDEX('Dias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contratado'!$B$4:$B$24,$B49)),0),0)))),"")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3">
        <f>IF(ISBLANK('Horario del grupo - 10-4'!C8),"",'Horario del grupo - 10-4'!C8)</f>
        <v/>
      </c>
      <c r="E50" s="3">
        <f>IF(ISNA(MATCH(1,INDEX(EXACT('Asignaturas'!$A$4:$A$38,$D50)*1*((('Asignaturas'!$A$4:$A$38&lt;&gt;""))&gt;0),0),0)),"",IF(ISBLANK(INDEX('Asignaturas'!$B$4:$B$38,MATCH(1,INDEX(EXACT('Asignaturas'!$A$4:$A$38,$D50)*1*((('Asignaturas'!$A$4:$A$38&lt;&gt;""))&gt;0),0),0))),"",INDEX('Asignaturas'!$B$4:$B$38,MATCH(1,INDEX(EXACT('Asignaturas'!$A$4:$A$38,$D50)*1*((('Asignaturas'!$A$4:$A$38&lt;&gt;""))&gt;0),0),0))))</f>
        <v/>
      </c>
      <c r="F50" s="3">
        <f>IF(ISNA(MATCH(1,INDEX(1*((('Plan por grupo'!$A$4:$A$53&lt;&gt;"")+('Plan por grupo'!$B$4:$B$53&lt;&gt;""))&gt;0)*(EXACT('Plan por grupo'!$A$4:$A$53,$A50))*(EXACT('Plan por grupo'!$B$4:$B$53,$D50)),0),0)),"",IF(ISBLANK(INDEX('Plan por grupo'!$C$4:$C$53,MATCH(1,INDEX(1*((('Plan por grupo'!$A$4:$A$53&lt;&gt;"")+('Plan por grupo'!$B$4:$B$53&lt;&gt;""))&gt;0)*(EXACT('Plan por grupo'!$A$4:$A$53,$A50))*(EXACT('Plan por grupo'!$B$4:$B$53,$D50)),0),0))),"",INDEX('Plan por grupo'!$C$4:$C$53,MATCH(1,INDEX(1*((('Plan por grupo'!$A$4:$A$53&lt;&gt;"")+('Plan por grupo'!$B$4:$B$53&lt;&gt;""))&gt;0)*(EXACT('Plan por grupo'!$A$4:$A$53,$A50))*(EXACT('Plan por grupo'!$B$4:$B$53,$D50)),0),0))))</f>
        <v/>
      </c>
      <c r="G50" s="3">
        <f>IF(ISNA(MATCH(1,INDEX(EXACT('Asignaturas'!$A$4:$A$38,$D50)*1*((('Asignaturas'!$A$4:$A$38&lt;&gt;""))&gt;0),0),0)),"",IF(ISBLANK(INDEX('Asignaturas'!$D$4:$D$38,MATCH(1,INDEX(EXACT('Asignaturas'!$A$4:$A$38,$D50)*1*((('Asignaturas'!$A$4:$A$38&lt;&gt;""))&gt;0),0),0))),"",INDEX('Asignaturas'!$D$4:$D$38,MATCH(1,INDEX(EXACT('Asignaturas'!$A$4:$A$38,$D50)*1*((('Asignaturas'!$A$4:$A$38&lt;&gt;""))&gt;0)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IF(ISNA(MATCH(1,INDEX(1*((('Plan por grupo'!$A$4:$A$53&lt;&gt;"")+('Plan por grupo'!$B$4:$B$53&lt;&gt;""))&gt;0)*(EXACT('Plan por grupo'!$A$4:$A$53,$A50))*(EXACT('Plan por grupo'!$B$4:$B$53,$D50)),0),0)),"no",IF(ISBLANK(INDEX('Plan por grupo'!$G$4:$G$53,MATCH(1,INDEX(1*((('Plan por grupo'!$A$4:$A$53&lt;&gt;"")+('Plan por grupo'!$B$4:$B$53&lt;&gt;""))&gt;0)*(EXACT('Plan por grupo'!$A$4:$A$53,$A50))*(EXACT('Plan por grupo'!$B$4:$B$53,$D50)),0),0))),"",INDEX('Plan por grupo'!$G$4:$G$53,MATCH(1,INDEX(1*((('Plan por grupo'!$A$4:$A$53&lt;&gt;"")+('Plan por grupo'!$B$4:$B$53&lt;&gt;""))&gt;0)*(EXACT('Plan por grupo'!$A$4:$A$53,$A50))*(EXACT('Plan por grupo'!$B$4:$B$53,$D50)),0),0))))</f>
        <v/>
      </c>
      <c r="J50" s="3">
        <f>IF(ISNA(MATCH(1,INDEX(1*((('Plan por grupo'!$A$4:$A$53&lt;&gt;"")+('Plan por grupo'!$B$4:$B$53&lt;&gt;""))&gt;0)*(EXACT('Plan por grupo'!$A$4:$A$53,$A50))*(EXACT('Plan por grupo'!$B$4:$B$53,$D50)),0),0)),"no",IF(ISBLANK(INDEX('Plan por grupo'!$E$4:$E$53,MATCH(1,INDEX(1*((('Plan por grupo'!$A$4:$A$53&lt;&gt;"")+('Plan por grupo'!$B$4:$B$53&lt;&gt;""))&gt;0)*(EXACT('Plan por grupo'!$A$4:$A$53,$A50))*(EXACT('Plan por grupo'!$B$4:$B$53,$D50)),0),0))),"",INDEX('Plan por grupo'!$E$4:$E$53,MATCH(1,INDEX(1*((('Plan por grupo'!$A$4:$A$53&lt;&gt;"")+('Plan por grupo'!$B$4:$B$53&lt;&gt;""))&gt;0)*(EXACT('Plan por grupo'!$A$4:$A$53,$A50))*(EXACT('Plan por grupo'!$B$4:$B$53,$D50)),0),0))))</f>
        <v/>
      </c>
      <c r="K50" s="3">
        <f>IF(ISNA(MATCH(1,INDEX(EXACT('Asignaturas'!$A$4:$A$38,$D50)*1*((('Asignaturas'!$A$4:$A$38&lt;&gt;""))&gt;0),0),0)),"",IF(ISBLANK(INDEX('Asignaturas'!$C$4:$C$38,MATCH(1,INDEX(EXACT('Asignaturas'!$A$4:$A$38,$D50)*1*((('Asignaturas'!$A$4:$A$38&lt;&gt;""))&gt;0),0),0))),"",INDEX('Asignaturas'!$C$4:$C$38,MATCH(1,INDEX(EXACT('Asignaturas'!$A$4:$A$38,$D50)*1*((('Asignaturas'!$A$4:$A$38&lt;&gt;""))&gt;0),0),0))))</f>
        <v/>
      </c>
      <c r="L50" s="3">
        <f>IF(ISNA(MATCH(1,INDEX(EXACT('Profesores'!$A$4:$A$53,$F50)*1*((('Profesores'!$A$4:$A$53&lt;&gt;""))&gt;0),0),0)),"no",IF(ISBLANK(INDEX('Profesores'!$B$4:$B$53,MATCH(1,INDEX(EXACT('Profesores'!$A$4:$A$53,$F50)*1*((('Profesores'!$A$4:$A$53&lt;&gt;""))&gt;0),0),0))),"",INDEX('Profesores'!$B$4:$B$53,MATCH(1,INDEX(EXACT('Profesores'!$A$4:$A$53,$F50)*1*((('Profesores'!$A$4:$A$53&lt;&gt;""))&gt;0),0),0))))</f>
        <v/>
      </c>
      <c r="M50" s="3">
        <f>IF(ISNA(MATCH(1,INDEX(EXACT('Profesores'!$A$4:$A$53,$F50)*1*((('Profesores'!$A$4:$A$53&lt;&gt;""))&gt;0),0),0)),"no",IF(ISBLANK(INDEX('Profesores'!$C$4:$C$53,MATCH(1,INDEX(EXACT('Profesores'!$A$4:$A$53,$F50)*1*((('Profesores'!$A$4:$A$53&lt;&gt;""))&gt;0),0),0))),"",INDEX('Profesores'!$C$4:$C$53,MATCH(1,INDEX(EXACT('Profesores'!$A$4:$A$53,$F50)*1*((('Profesores'!$A$4:$A$53&lt;&gt;""))&gt;0),0),0))))</f>
        <v/>
      </c>
      <c r="N50" s="3">
        <f>IF(EXACT($L50,"si"),IF(ISNA(MATCH(1,INDEX(1*((('Dias que asisten los contratado'!$A$4:$A$24&lt;&gt;"")+('Dias que asisten los contratado'!$B$4:$B$24&lt;&gt;""))&gt;0)*(EXACT('Dias que asisten los contratado'!$A$4:$A$24,$F50))*(EXACT('Dias que asisten los contratado'!$B$4:$B$24,$B50)),0),0)),"no",IF(ISBLANK(INDEX('Dias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contratado'!$B$4:$B$24,$B50)),0),0))),"",INDEX('Dias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contratado'!$B$4:$B$24,$B50)),0),0)))),"")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3">
        <f>IF(ISBLANK('Horario del grupo - 10-4'!D8),"",'Horario del grupo - 10-4'!D8)</f>
        <v/>
      </c>
      <c r="E51" s="3">
        <f>IF(ISNA(MATCH(1,INDEX(EXACT('Asignaturas'!$A$4:$A$38,$D51)*1*((('Asignaturas'!$A$4:$A$38&lt;&gt;""))&gt;0),0),0)),"",IF(ISBLANK(INDEX('Asignaturas'!$B$4:$B$38,MATCH(1,INDEX(EXACT('Asignaturas'!$A$4:$A$38,$D51)*1*((('Asignaturas'!$A$4:$A$38&lt;&gt;""))&gt;0),0),0))),"",INDEX('Asignaturas'!$B$4:$B$38,MATCH(1,INDEX(EXACT('Asignaturas'!$A$4:$A$38,$D51)*1*((('Asignaturas'!$A$4:$A$38&lt;&gt;""))&gt;0),0),0))))</f>
        <v/>
      </c>
      <c r="F51" s="3">
        <f>IF(ISNA(MATCH(1,INDEX(1*((('Plan por grupo'!$A$4:$A$53&lt;&gt;"")+('Plan por grupo'!$B$4:$B$53&lt;&gt;""))&gt;0)*(EXACT('Plan por grupo'!$A$4:$A$53,$A51))*(EXACT('Plan por grupo'!$B$4:$B$53,$D51)),0),0)),"",IF(ISBLANK(INDEX('Plan por grupo'!$C$4:$C$53,MATCH(1,INDEX(1*((('Plan por grupo'!$A$4:$A$53&lt;&gt;"")+('Plan por grupo'!$B$4:$B$53&lt;&gt;""))&gt;0)*(EXACT('Plan por grupo'!$A$4:$A$53,$A51))*(EXACT('Plan por grupo'!$B$4:$B$53,$D51)),0),0))),"",INDEX('Plan por grupo'!$C$4:$C$53,MATCH(1,INDEX(1*((('Plan por grupo'!$A$4:$A$53&lt;&gt;"")+('Plan por grupo'!$B$4:$B$53&lt;&gt;""))&gt;0)*(EXACT('Plan por grupo'!$A$4:$A$53,$A51))*(EXACT('Plan por grupo'!$B$4:$B$53,$D51)),0),0))))</f>
        <v/>
      </c>
      <c r="G51" s="3">
        <f>IF(ISNA(MATCH(1,INDEX(EXACT('Asignaturas'!$A$4:$A$38,$D51)*1*((('Asignaturas'!$A$4:$A$38&lt;&gt;""))&gt;0),0),0)),"",IF(ISBLANK(INDEX('Asignaturas'!$D$4:$D$38,MATCH(1,INDEX(EXACT('Asignaturas'!$A$4:$A$38,$D51)*1*((('Asignaturas'!$A$4:$A$38&lt;&gt;""))&gt;0),0),0))),"",INDEX('Asignaturas'!$D$4:$D$38,MATCH(1,INDEX(EXACT('Asignaturas'!$A$4:$A$38,$D51)*1*((('Asignaturas'!$A$4:$A$38&lt;&gt;""))&gt;0)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IF(ISNA(MATCH(1,INDEX(1*((('Plan por grupo'!$A$4:$A$53&lt;&gt;"")+('Plan por grupo'!$B$4:$B$53&lt;&gt;""))&gt;0)*(EXACT('Plan por grupo'!$A$4:$A$53,$A51))*(EXACT('Plan por grupo'!$B$4:$B$53,$D51)),0),0)),"no",IF(ISBLANK(INDEX('Plan por grupo'!$G$4:$G$53,MATCH(1,INDEX(1*((('Plan por grupo'!$A$4:$A$53&lt;&gt;"")+('Plan por grupo'!$B$4:$B$53&lt;&gt;""))&gt;0)*(EXACT('Plan por grupo'!$A$4:$A$53,$A51))*(EXACT('Plan por grupo'!$B$4:$B$53,$D51)),0),0))),"",INDEX('Plan por grupo'!$G$4:$G$53,MATCH(1,INDEX(1*((('Plan por grupo'!$A$4:$A$53&lt;&gt;"")+('Plan por grupo'!$B$4:$B$53&lt;&gt;""))&gt;0)*(EXACT('Plan por grupo'!$A$4:$A$53,$A51))*(EXACT('Plan por grupo'!$B$4:$B$53,$D51)),0),0))))</f>
        <v/>
      </c>
      <c r="J51" s="3">
        <f>IF(ISNA(MATCH(1,INDEX(1*((('Plan por grupo'!$A$4:$A$53&lt;&gt;"")+('Plan por grupo'!$B$4:$B$53&lt;&gt;""))&gt;0)*(EXACT('Plan por grupo'!$A$4:$A$53,$A51))*(EXACT('Plan por grupo'!$B$4:$B$53,$D51)),0),0)),"no",IF(ISBLANK(INDEX('Plan por grupo'!$E$4:$E$53,MATCH(1,INDEX(1*((('Plan por grupo'!$A$4:$A$53&lt;&gt;"")+('Plan por grupo'!$B$4:$B$53&lt;&gt;""))&gt;0)*(EXACT('Plan por grupo'!$A$4:$A$53,$A51))*(EXACT('Plan por grupo'!$B$4:$B$53,$D51)),0),0))),"",INDEX('Plan por grupo'!$E$4:$E$53,MATCH(1,INDEX(1*((('Plan por grupo'!$A$4:$A$53&lt;&gt;"")+('Plan por grupo'!$B$4:$B$53&lt;&gt;""))&gt;0)*(EXACT('Plan por grupo'!$A$4:$A$53,$A51))*(EXACT('Plan por grupo'!$B$4:$B$53,$D51)),0),0))))</f>
        <v/>
      </c>
      <c r="K51" s="3">
        <f>IF(ISNA(MATCH(1,INDEX(EXACT('Asignaturas'!$A$4:$A$38,$D51)*1*((('Asignaturas'!$A$4:$A$38&lt;&gt;""))&gt;0),0),0)),"",IF(ISBLANK(INDEX('Asignaturas'!$C$4:$C$38,MATCH(1,INDEX(EXACT('Asignaturas'!$A$4:$A$38,$D51)*1*((('Asignaturas'!$A$4:$A$38&lt;&gt;""))&gt;0),0),0))),"",INDEX('Asignaturas'!$C$4:$C$38,MATCH(1,INDEX(EXACT('Asignaturas'!$A$4:$A$38,$D51)*1*((('Asignaturas'!$A$4:$A$38&lt;&gt;""))&gt;0),0),0))))</f>
        <v/>
      </c>
      <c r="L51" s="3">
        <f>IF(ISNA(MATCH(1,INDEX(EXACT('Profesores'!$A$4:$A$53,$F51)*1*((('Profesores'!$A$4:$A$53&lt;&gt;""))&gt;0),0),0)),"no",IF(ISBLANK(INDEX('Profesores'!$B$4:$B$53,MATCH(1,INDEX(EXACT('Profesores'!$A$4:$A$53,$F51)*1*((('Profesores'!$A$4:$A$53&lt;&gt;""))&gt;0),0),0))),"",INDEX('Profesores'!$B$4:$B$53,MATCH(1,INDEX(EXACT('Profesores'!$A$4:$A$53,$F51)*1*((('Profesores'!$A$4:$A$53&lt;&gt;""))&gt;0),0),0))))</f>
        <v/>
      </c>
      <c r="M51" s="3">
        <f>IF(ISNA(MATCH(1,INDEX(EXACT('Profesores'!$A$4:$A$53,$F51)*1*((('Profesores'!$A$4:$A$53&lt;&gt;""))&gt;0),0),0)),"no",IF(ISBLANK(INDEX('Profesores'!$C$4:$C$53,MATCH(1,INDEX(EXACT('Profesores'!$A$4:$A$53,$F51)*1*((('Profesores'!$A$4:$A$53&lt;&gt;""))&gt;0),0),0))),"",INDEX('Profesores'!$C$4:$C$53,MATCH(1,INDEX(EXACT('Profesores'!$A$4:$A$53,$F51)*1*((('Profesores'!$A$4:$A$53&lt;&gt;""))&gt;0),0),0))))</f>
        <v/>
      </c>
      <c r="N51" s="3">
        <f>IF(EXACT($L51,"si"),IF(ISNA(MATCH(1,INDEX(1*((('Dias que asisten los contratado'!$A$4:$A$24&lt;&gt;"")+('Dias que asisten los contratado'!$B$4:$B$24&lt;&gt;""))&gt;0)*(EXACT('Dias que asisten los contratado'!$A$4:$A$24,$F51))*(EXACT('Dias que asisten los contratado'!$B$4:$B$24,$B51)),0),0)),"no",IF(ISBLANK(INDEX('Dias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contratado'!$B$4:$B$24,$B51)),0),0))),"",INDEX('Dias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contratado'!$B$4:$B$24,$B51)),0),0)))),"")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3">
        <f>IF(ISBLANK('Horario del grupo - 10-4'!E8),"",'Horario del grupo - 10-4'!E8)</f>
        <v/>
      </c>
      <c r="E52" s="3">
        <f>IF(ISNA(MATCH(1,INDEX(EXACT('Asignaturas'!$A$4:$A$38,$D52)*1*((('Asignaturas'!$A$4:$A$38&lt;&gt;""))&gt;0),0),0)),"",IF(ISBLANK(INDEX('Asignaturas'!$B$4:$B$38,MATCH(1,INDEX(EXACT('Asignaturas'!$A$4:$A$38,$D52)*1*((('Asignaturas'!$A$4:$A$38&lt;&gt;""))&gt;0),0),0))),"",INDEX('Asignaturas'!$B$4:$B$38,MATCH(1,INDEX(EXACT('Asignaturas'!$A$4:$A$38,$D52)*1*((('Asignaturas'!$A$4:$A$38&lt;&gt;""))&gt;0),0),0))))</f>
        <v/>
      </c>
      <c r="F52" s="3">
        <f>IF(ISNA(MATCH(1,INDEX(1*((('Plan por grupo'!$A$4:$A$53&lt;&gt;"")+('Plan por grupo'!$B$4:$B$53&lt;&gt;""))&gt;0)*(EXACT('Plan por grupo'!$A$4:$A$53,$A52))*(EXACT('Plan por grupo'!$B$4:$B$53,$D52)),0),0)),"",IF(ISBLANK(INDEX('Plan por grupo'!$C$4:$C$53,MATCH(1,INDEX(1*((('Plan por grupo'!$A$4:$A$53&lt;&gt;"")+('Plan por grupo'!$B$4:$B$53&lt;&gt;""))&gt;0)*(EXACT('Plan por grupo'!$A$4:$A$53,$A52))*(EXACT('Plan por grupo'!$B$4:$B$53,$D52)),0),0))),"",INDEX('Plan por grupo'!$C$4:$C$53,MATCH(1,INDEX(1*((('Plan por grupo'!$A$4:$A$53&lt;&gt;"")+('Plan por grupo'!$B$4:$B$53&lt;&gt;""))&gt;0)*(EXACT('Plan por grupo'!$A$4:$A$53,$A52))*(EXACT('Plan por grupo'!$B$4:$B$53,$D52)),0),0))))</f>
        <v/>
      </c>
      <c r="G52" s="3">
        <f>IF(ISNA(MATCH(1,INDEX(EXACT('Asignaturas'!$A$4:$A$38,$D52)*1*((('Asignaturas'!$A$4:$A$38&lt;&gt;""))&gt;0),0),0)),"",IF(ISBLANK(INDEX('Asignaturas'!$D$4:$D$38,MATCH(1,INDEX(EXACT('Asignaturas'!$A$4:$A$38,$D52)*1*((('Asignaturas'!$A$4:$A$38&lt;&gt;""))&gt;0),0),0))),"",INDEX('Asignaturas'!$D$4:$D$38,MATCH(1,INDEX(EXACT('Asignaturas'!$A$4:$A$38,$D52)*1*((('Asignaturas'!$A$4:$A$38&lt;&gt;""))&gt;0)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IF(ISNA(MATCH(1,INDEX(1*((('Plan por grupo'!$A$4:$A$53&lt;&gt;"")+('Plan por grupo'!$B$4:$B$53&lt;&gt;""))&gt;0)*(EXACT('Plan por grupo'!$A$4:$A$53,$A52))*(EXACT('Plan por grupo'!$B$4:$B$53,$D52)),0),0)),"no",IF(ISBLANK(INDEX('Plan por grupo'!$G$4:$G$53,MATCH(1,INDEX(1*((('Plan por grupo'!$A$4:$A$53&lt;&gt;"")+('Plan por grupo'!$B$4:$B$53&lt;&gt;""))&gt;0)*(EXACT('Plan por grupo'!$A$4:$A$53,$A52))*(EXACT('Plan por grupo'!$B$4:$B$53,$D52)),0),0))),"",INDEX('Plan por grupo'!$G$4:$G$53,MATCH(1,INDEX(1*((('Plan por grupo'!$A$4:$A$53&lt;&gt;"")+('Plan por grupo'!$B$4:$B$53&lt;&gt;""))&gt;0)*(EXACT('Plan por grupo'!$A$4:$A$53,$A52))*(EXACT('Plan por grupo'!$B$4:$B$53,$D52)),0),0))))</f>
        <v/>
      </c>
      <c r="J52" s="3">
        <f>IF(ISNA(MATCH(1,INDEX(1*((('Plan por grupo'!$A$4:$A$53&lt;&gt;"")+('Plan por grupo'!$B$4:$B$53&lt;&gt;""))&gt;0)*(EXACT('Plan por grupo'!$A$4:$A$53,$A52))*(EXACT('Plan por grupo'!$B$4:$B$53,$D52)),0),0)),"no",IF(ISBLANK(INDEX('Plan por grupo'!$E$4:$E$53,MATCH(1,INDEX(1*((('Plan por grupo'!$A$4:$A$53&lt;&gt;"")+('Plan por grupo'!$B$4:$B$53&lt;&gt;""))&gt;0)*(EXACT('Plan por grupo'!$A$4:$A$53,$A52))*(EXACT('Plan por grupo'!$B$4:$B$53,$D52)),0),0))),"",INDEX('Plan por grupo'!$E$4:$E$53,MATCH(1,INDEX(1*((('Plan por grupo'!$A$4:$A$53&lt;&gt;"")+('Plan por grupo'!$B$4:$B$53&lt;&gt;""))&gt;0)*(EXACT('Plan por grupo'!$A$4:$A$53,$A52))*(EXACT('Plan por grupo'!$B$4:$B$53,$D52)),0),0))))</f>
        <v/>
      </c>
      <c r="K52" s="3">
        <f>IF(ISNA(MATCH(1,INDEX(EXACT('Asignaturas'!$A$4:$A$38,$D52)*1*((('Asignaturas'!$A$4:$A$38&lt;&gt;""))&gt;0),0),0)),"",IF(ISBLANK(INDEX('Asignaturas'!$C$4:$C$38,MATCH(1,INDEX(EXACT('Asignaturas'!$A$4:$A$38,$D52)*1*((('Asignaturas'!$A$4:$A$38&lt;&gt;""))&gt;0),0),0))),"",INDEX('Asignaturas'!$C$4:$C$38,MATCH(1,INDEX(EXACT('Asignaturas'!$A$4:$A$38,$D52)*1*((('Asignaturas'!$A$4:$A$38&lt;&gt;""))&gt;0),0),0))))</f>
        <v/>
      </c>
      <c r="L52" s="3">
        <f>IF(ISNA(MATCH(1,INDEX(EXACT('Profesores'!$A$4:$A$53,$F52)*1*((('Profesores'!$A$4:$A$53&lt;&gt;""))&gt;0),0),0)),"no",IF(ISBLANK(INDEX('Profesores'!$B$4:$B$53,MATCH(1,INDEX(EXACT('Profesores'!$A$4:$A$53,$F52)*1*((('Profesores'!$A$4:$A$53&lt;&gt;""))&gt;0),0),0))),"",INDEX('Profesores'!$B$4:$B$53,MATCH(1,INDEX(EXACT('Profesores'!$A$4:$A$53,$F52)*1*((('Profesores'!$A$4:$A$53&lt;&gt;""))&gt;0),0),0))))</f>
        <v/>
      </c>
      <c r="M52" s="3">
        <f>IF(ISNA(MATCH(1,INDEX(EXACT('Profesores'!$A$4:$A$53,$F52)*1*((('Profesores'!$A$4:$A$53&lt;&gt;""))&gt;0),0),0)),"no",IF(ISBLANK(INDEX('Profesores'!$C$4:$C$53,MATCH(1,INDEX(EXACT('Profesores'!$A$4:$A$53,$F52)*1*((('Profesores'!$A$4:$A$53&lt;&gt;""))&gt;0),0),0))),"",INDEX('Profesores'!$C$4:$C$53,MATCH(1,INDEX(EXACT('Profesores'!$A$4:$A$53,$F52)*1*((('Profesores'!$A$4:$A$53&lt;&gt;""))&gt;0),0),0))))</f>
        <v/>
      </c>
      <c r="N52" s="3">
        <f>IF(EXACT($L52,"si"),IF(ISNA(MATCH(1,INDEX(1*((('Dias que asisten los contratado'!$A$4:$A$24&lt;&gt;"")+('Dias que asisten los contratado'!$B$4:$B$24&lt;&gt;""))&gt;0)*(EXACT('Dias que asisten los contratado'!$A$4:$A$24,$F52))*(EXACT('Dias que asisten los contratado'!$B$4:$B$24,$B52)),0),0)),"no",IF(ISBLANK(INDEX('Dias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contratado'!$B$4:$B$24,$B52)),0),0))),"",INDEX('Dias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contratado'!$B$4:$B$24,$B52)),0),0)))),"")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3">
        <f>IF(ISBLANK('Horario del grupo - 10-4'!F8),"",'Horario del grupo - 10-4'!F8)</f>
        <v/>
      </c>
      <c r="E53" s="3">
        <f>IF(ISNA(MATCH(1,INDEX(EXACT('Asignaturas'!$A$4:$A$38,$D53)*1*((('Asignaturas'!$A$4:$A$38&lt;&gt;""))&gt;0),0),0)),"",IF(ISBLANK(INDEX('Asignaturas'!$B$4:$B$38,MATCH(1,INDEX(EXACT('Asignaturas'!$A$4:$A$38,$D53)*1*((('Asignaturas'!$A$4:$A$38&lt;&gt;""))&gt;0),0),0))),"",INDEX('Asignaturas'!$B$4:$B$38,MATCH(1,INDEX(EXACT('Asignaturas'!$A$4:$A$38,$D53)*1*((('Asignaturas'!$A$4:$A$38&lt;&gt;""))&gt;0),0),0))))</f>
        <v/>
      </c>
      <c r="F53" s="3">
        <f>IF(ISNA(MATCH(1,INDEX(1*((('Plan por grupo'!$A$4:$A$53&lt;&gt;"")+('Plan por grupo'!$B$4:$B$53&lt;&gt;""))&gt;0)*(EXACT('Plan por grupo'!$A$4:$A$53,$A53))*(EXACT('Plan por grupo'!$B$4:$B$53,$D53)),0),0)),"",IF(ISBLANK(INDEX('Plan por grupo'!$C$4:$C$53,MATCH(1,INDEX(1*((('Plan por grupo'!$A$4:$A$53&lt;&gt;"")+('Plan por grupo'!$B$4:$B$53&lt;&gt;""))&gt;0)*(EXACT('Plan por grupo'!$A$4:$A$53,$A53))*(EXACT('Plan por grupo'!$B$4:$B$53,$D53)),0),0))),"",INDEX('Plan por grupo'!$C$4:$C$53,MATCH(1,INDEX(1*((('Plan por grupo'!$A$4:$A$53&lt;&gt;"")+('Plan por grupo'!$B$4:$B$53&lt;&gt;""))&gt;0)*(EXACT('Plan por grupo'!$A$4:$A$53,$A53))*(EXACT('Plan por grupo'!$B$4:$B$53,$D53)),0),0))))</f>
        <v/>
      </c>
      <c r="G53" s="3">
        <f>IF(ISNA(MATCH(1,INDEX(EXACT('Asignaturas'!$A$4:$A$38,$D53)*1*((('Asignaturas'!$A$4:$A$38&lt;&gt;""))&gt;0),0),0)),"",IF(ISBLANK(INDEX('Asignaturas'!$D$4:$D$38,MATCH(1,INDEX(EXACT('Asignaturas'!$A$4:$A$38,$D53)*1*((('Asignaturas'!$A$4:$A$38&lt;&gt;""))&gt;0),0),0))),"",INDEX('Asignaturas'!$D$4:$D$38,MATCH(1,INDEX(EXACT('Asignaturas'!$A$4:$A$38,$D53)*1*((('Asignaturas'!$A$4:$A$38&lt;&gt;""))&gt;0)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IF(ISNA(MATCH(1,INDEX(1*((('Plan por grupo'!$A$4:$A$53&lt;&gt;"")+('Plan por grupo'!$B$4:$B$53&lt;&gt;""))&gt;0)*(EXACT('Plan por grupo'!$A$4:$A$53,$A53))*(EXACT('Plan por grupo'!$B$4:$B$53,$D53)),0),0)),"no",IF(ISBLANK(INDEX('Plan por grupo'!$G$4:$G$53,MATCH(1,INDEX(1*((('Plan por grupo'!$A$4:$A$53&lt;&gt;"")+('Plan por grupo'!$B$4:$B$53&lt;&gt;""))&gt;0)*(EXACT('Plan por grupo'!$A$4:$A$53,$A53))*(EXACT('Plan por grupo'!$B$4:$B$53,$D53)),0),0))),"",INDEX('Plan por grupo'!$G$4:$G$53,MATCH(1,INDEX(1*((('Plan por grupo'!$A$4:$A$53&lt;&gt;"")+('Plan por grupo'!$B$4:$B$53&lt;&gt;""))&gt;0)*(EXACT('Plan por grupo'!$A$4:$A$53,$A53))*(EXACT('Plan por grupo'!$B$4:$B$53,$D53)),0),0))))</f>
        <v/>
      </c>
      <c r="J53" s="3">
        <f>IF(ISNA(MATCH(1,INDEX(1*((('Plan por grupo'!$A$4:$A$53&lt;&gt;"")+('Plan por grupo'!$B$4:$B$53&lt;&gt;""))&gt;0)*(EXACT('Plan por grupo'!$A$4:$A$53,$A53))*(EXACT('Plan por grupo'!$B$4:$B$53,$D53)),0),0)),"no",IF(ISBLANK(INDEX('Plan por grupo'!$E$4:$E$53,MATCH(1,INDEX(1*((('Plan por grupo'!$A$4:$A$53&lt;&gt;"")+('Plan por grupo'!$B$4:$B$53&lt;&gt;""))&gt;0)*(EXACT('Plan por grupo'!$A$4:$A$53,$A53))*(EXACT('Plan por grupo'!$B$4:$B$53,$D53)),0),0))),"",INDEX('Plan por grupo'!$E$4:$E$53,MATCH(1,INDEX(1*((('Plan por grupo'!$A$4:$A$53&lt;&gt;"")+('Plan por grupo'!$B$4:$B$53&lt;&gt;""))&gt;0)*(EXACT('Plan por grupo'!$A$4:$A$53,$A53))*(EXACT('Plan por grupo'!$B$4:$B$53,$D53)),0),0))))</f>
        <v/>
      </c>
      <c r="K53" s="3">
        <f>IF(ISNA(MATCH(1,INDEX(EXACT('Asignaturas'!$A$4:$A$38,$D53)*1*((('Asignaturas'!$A$4:$A$38&lt;&gt;""))&gt;0),0),0)),"",IF(ISBLANK(INDEX('Asignaturas'!$C$4:$C$38,MATCH(1,INDEX(EXACT('Asignaturas'!$A$4:$A$38,$D53)*1*((('Asignaturas'!$A$4:$A$38&lt;&gt;""))&gt;0),0),0))),"",INDEX('Asignaturas'!$C$4:$C$38,MATCH(1,INDEX(EXACT('Asignaturas'!$A$4:$A$38,$D53)*1*((('Asignaturas'!$A$4:$A$38&lt;&gt;""))&gt;0),0),0))))</f>
        <v/>
      </c>
      <c r="L53" s="3">
        <f>IF(ISNA(MATCH(1,INDEX(EXACT('Profesores'!$A$4:$A$53,$F53)*1*((('Profesores'!$A$4:$A$53&lt;&gt;""))&gt;0),0),0)),"no",IF(ISBLANK(INDEX('Profesores'!$B$4:$B$53,MATCH(1,INDEX(EXACT('Profesores'!$A$4:$A$53,$F53)*1*((('Profesores'!$A$4:$A$53&lt;&gt;""))&gt;0),0),0))),"",INDEX('Profesores'!$B$4:$B$53,MATCH(1,INDEX(EXACT('Profesores'!$A$4:$A$53,$F53)*1*((('Profesores'!$A$4:$A$53&lt;&gt;""))&gt;0),0),0))))</f>
        <v/>
      </c>
      <c r="M53" s="3">
        <f>IF(ISNA(MATCH(1,INDEX(EXACT('Profesores'!$A$4:$A$53,$F53)*1*((('Profesores'!$A$4:$A$53&lt;&gt;""))&gt;0),0),0)),"no",IF(ISBLANK(INDEX('Profesores'!$C$4:$C$53,MATCH(1,INDEX(EXACT('Profesores'!$A$4:$A$53,$F53)*1*((('Profesores'!$A$4:$A$53&lt;&gt;""))&gt;0),0),0))),"",INDEX('Profesores'!$C$4:$C$53,MATCH(1,INDEX(EXACT('Profesores'!$A$4:$A$53,$F53)*1*((('Profesores'!$A$4:$A$53&lt;&gt;""))&gt;0),0),0))))</f>
        <v/>
      </c>
      <c r="N53" s="3">
        <f>IF(EXACT($L53,"si"),IF(ISNA(MATCH(1,INDEX(1*((('Dias que asisten los contratado'!$A$4:$A$24&lt;&gt;"")+('Dias que asisten los contratado'!$B$4:$B$24&lt;&gt;""))&gt;0)*(EXACT('Dias que asisten los contratado'!$A$4:$A$24,$F53))*(EXACT('Dias que asisten los contratado'!$B$4:$B$24,$B53)),0),0)),"no",IF(ISBLANK(INDEX('Dias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contratado'!$B$4:$B$24,$B53)),0),0))),"",INDEX('Dias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contratado'!$B$4:$B$24,$B53)),0),0)))),"")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3">
        <f>IF(ISBLANK('Horario del grupo - 10-3'!B9),"",'Horario del grupo - 10-3'!B9)</f>
        <v/>
      </c>
      <c r="E54" s="3">
        <f>IF(ISNA(MATCH(1,INDEX(EXACT('Asignaturas'!$A$4:$A$38,$D54)*1*((('Asignaturas'!$A$4:$A$38&lt;&gt;""))&gt;0),0),0)),"",IF(ISBLANK(INDEX('Asignaturas'!$B$4:$B$38,MATCH(1,INDEX(EXACT('Asignaturas'!$A$4:$A$38,$D54)*1*((('Asignaturas'!$A$4:$A$38&lt;&gt;""))&gt;0),0),0))),"",INDEX('Asignaturas'!$B$4:$B$38,MATCH(1,INDEX(EXACT('Asignaturas'!$A$4:$A$38,$D54)*1*((('Asignaturas'!$A$4:$A$38&lt;&gt;""))&gt;0),0),0))))</f>
        <v/>
      </c>
      <c r="F54" s="3">
        <f>IF(ISNA(MATCH(1,INDEX(1*((('Plan por grupo'!$A$4:$A$53&lt;&gt;"")+('Plan por grupo'!$B$4:$B$53&lt;&gt;""))&gt;0)*(EXACT('Plan por grupo'!$A$4:$A$53,$A54))*(EXACT('Plan por grupo'!$B$4:$B$53,$D54)),0),0)),"",IF(ISBLANK(INDEX('Plan por grupo'!$C$4:$C$53,MATCH(1,INDEX(1*((('Plan por grupo'!$A$4:$A$53&lt;&gt;"")+('Plan por grupo'!$B$4:$B$53&lt;&gt;""))&gt;0)*(EXACT('Plan por grupo'!$A$4:$A$53,$A54))*(EXACT('Plan por grupo'!$B$4:$B$53,$D54)),0),0))),"",INDEX('Plan por grupo'!$C$4:$C$53,MATCH(1,INDEX(1*((('Plan por grupo'!$A$4:$A$53&lt;&gt;"")+('Plan por grupo'!$B$4:$B$53&lt;&gt;""))&gt;0)*(EXACT('Plan por grupo'!$A$4:$A$53,$A54))*(EXACT('Plan por grupo'!$B$4:$B$53,$D54)),0),0))))</f>
        <v/>
      </c>
      <c r="G54" s="3">
        <f>IF(ISNA(MATCH(1,INDEX(EXACT('Asignaturas'!$A$4:$A$38,$D54)*1*((('Asignaturas'!$A$4:$A$38&lt;&gt;""))&gt;0),0),0)),"",IF(ISBLANK(INDEX('Asignaturas'!$D$4:$D$38,MATCH(1,INDEX(EXACT('Asignaturas'!$A$4:$A$38,$D54)*1*((('Asignaturas'!$A$4:$A$38&lt;&gt;""))&gt;0),0),0))),"",INDEX('Asignaturas'!$D$4:$D$38,MATCH(1,INDEX(EXACT('Asignaturas'!$A$4:$A$38,$D54)*1*((('Asignaturas'!$A$4:$A$38&lt;&gt;""))&gt;0)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IF(ISNA(MATCH(1,INDEX(1*((('Plan por grupo'!$A$4:$A$53&lt;&gt;"")+('Plan por grupo'!$B$4:$B$53&lt;&gt;""))&gt;0)*(EXACT('Plan por grupo'!$A$4:$A$53,$A54))*(EXACT('Plan por grupo'!$B$4:$B$53,$D54)),0),0)),"no",IF(ISBLANK(INDEX('Plan por grupo'!$G$4:$G$53,MATCH(1,INDEX(1*((('Plan por grupo'!$A$4:$A$53&lt;&gt;"")+('Plan por grupo'!$B$4:$B$53&lt;&gt;""))&gt;0)*(EXACT('Plan por grupo'!$A$4:$A$53,$A54))*(EXACT('Plan por grupo'!$B$4:$B$53,$D54)),0),0))),"",INDEX('Plan por grupo'!$G$4:$G$53,MATCH(1,INDEX(1*((('Plan por grupo'!$A$4:$A$53&lt;&gt;"")+('Plan por grupo'!$B$4:$B$53&lt;&gt;""))&gt;0)*(EXACT('Plan por grupo'!$A$4:$A$53,$A54))*(EXACT('Plan por grupo'!$B$4:$B$53,$D54)),0),0))))</f>
        <v/>
      </c>
      <c r="J54" s="3">
        <f>IF(ISNA(MATCH(1,INDEX(1*((('Plan por grupo'!$A$4:$A$53&lt;&gt;"")+('Plan por grupo'!$B$4:$B$53&lt;&gt;""))&gt;0)*(EXACT('Plan por grupo'!$A$4:$A$53,$A54))*(EXACT('Plan por grupo'!$B$4:$B$53,$D54)),0),0)),"no",IF(ISBLANK(INDEX('Plan por grupo'!$E$4:$E$53,MATCH(1,INDEX(1*((('Plan por grupo'!$A$4:$A$53&lt;&gt;"")+('Plan por grupo'!$B$4:$B$53&lt;&gt;""))&gt;0)*(EXACT('Plan por grupo'!$A$4:$A$53,$A54))*(EXACT('Plan por grupo'!$B$4:$B$53,$D54)),0),0))),"",INDEX('Plan por grupo'!$E$4:$E$53,MATCH(1,INDEX(1*((('Plan por grupo'!$A$4:$A$53&lt;&gt;"")+('Plan por grupo'!$B$4:$B$53&lt;&gt;""))&gt;0)*(EXACT('Plan por grupo'!$A$4:$A$53,$A54))*(EXACT('Plan por grupo'!$B$4:$B$53,$D54)),0),0))))</f>
        <v/>
      </c>
      <c r="K54" s="3">
        <f>IF(ISNA(MATCH(1,INDEX(EXACT('Asignaturas'!$A$4:$A$38,$D54)*1*((('Asignaturas'!$A$4:$A$38&lt;&gt;""))&gt;0),0),0)),"",IF(ISBLANK(INDEX('Asignaturas'!$C$4:$C$38,MATCH(1,INDEX(EXACT('Asignaturas'!$A$4:$A$38,$D54)*1*((('Asignaturas'!$A$4:$A$38&lt;&gt;""))&gt;0),0),0))),"",INDEX('Asignaturas'!$C$4:$C$38,MATCH(1,INDEX(EXACT('Asignaturas'!$A$4:$A$38,$D54)*1*((('Asignaturas'!$A$4:$A$38&lt;&gt;""))&gt;0),0),0))))</f>
        <v/>
      </c>
      <c r="L54" s="3">
        <f>IF(ISNA(MATCH(1,INDEX(EXACT('Profesores'!$A$4:$A$53,$F54)*1*((('Profesores'!$A$4:$A$53&lt;&gt;""))&gt;0),0),0)),"no",IF(ISBLANK(INDEX('Profesores'!$B$4:$B$53,MATCH(1,INDEX(EXACT('Profesores'!$A$4:$A$53,$F54)*1*((('Profesores'!$A$4:$A$53&lt;&gt;""))&gt;0),0),0))),"",INDEX('Profesores'!$B$4:$B$53,MATCH(1,INDEX(EXACT('Profesores'!$A$4:$A$53,$F54)*1*((('Profesores'!$A$4:$A$53&lt;&gt;""))&gt;0),0),0))))</f>
        <v/>
      </c>
      <c r="M54" s="3">
        <f>IF(ISNA(MATCH(1,INDEX(EXACT('Profesores'!$A$4:$A$53,$F54)*1*((('Profesores'!$A$4:$A$53&lt;&gt;""))&gt;0),0),0)),"no",IF(ISBLANK(INDEX('Profesores'!$C$4:$C$53,MATCH(1,INDEX(EXACT('Profesores'!$A$4:$A$53,$F54)*1*((('Profesores'!$A$4:$A$53&lt;&gt;""))&gt;0),0),0))),"",INDEX('Profesores'!$C$4:$C$53,MATCH(1,INDEX(EXACT('Profesores'!$A$4:$A$53,$F54)*1*((('Profesores'!$A$4:$A$53&lt;&gt;""))&gt;0),0),0))))</f>
        <v/>
      </c>
      <c r="N54" s="3">
        <f>IF(EXACT($L54,"si"),IF(ISNA(MATCH(1,INDEX(1*((('Dias que asisten los contratado'!$A$4:$A$24&lt;&gt;"")+('Dias que asisten los contratado'!$B$4:$B$24&lt;&gt;""))&gt;0)*(EXACT('Dias que asisten los contratado'!$A$4:$A$24,$F54))*(EXACT('Dias que asisten los contratado'!$B$4:$B$24,$B54)),0),0)),"no",IF(ISBLANK(INDEX('Dias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contratado'!$B$4:$B$24,$B54)),0),0))),"",INDEX('Dias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contratado'!$B$4:$B$24,$B54)),0),0)))),"")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3">
        <f>IF(ISBLANK('Horario del grupo - 10-3'!C9),"",'Horario del grupo - 10-3'!C9)</f>
        <v/>
      </c>
      <c r="E55" s="3">
        <f>IF(ISNA(MATCH(1,INDEX(EXACT('Asignaturas'!$A$4:$A$38,$D55)*1*((('Asignaturas'!$A$4:$A$38&lt;&gt;""))&gt;0),0),0)),"",IF(ISBLANK(INDEX('Asignaturas'!$B$4:$B$38,MATCH(1,INDEX(EXACT('Asignaturas'!$A$4:$A$38,$D55)*1*((('Asignaturas'!$A$4:$A$38&lt;&gt;""))&gt;0),0),0))),"",INDEX('Asignaturas'!$B$4:$B$38,MATCH(1,INDEX(EXACT('Asignaturas'!$A$4:$A$38,$D55)*1*((('Asignaturas'!$A$4:$A$38&lt;&gt;""))&gt;0),0),0))))</f>
        <v/>
      </c>
      <c r="F55" s="3">
        <f>IF(ISNA(MATCH(1,INDEX(1*((('Plan por grupo'!$A$4:$A$53&lt;&gt;"")+('Plan por grupo'!$B$4:$B$53&lt;&gt;""))&gt;0)*(EXACT('Plan por grupo'!$A$4:$A$53,$A55))*(EXACT('Plan por grupo'!$B$4:$B$53,$D55)),0),0)),"",IF(ISBLANK(INDEX('Plan por grupo'!$C$4:$C$53,MATCH(1,INDEX(1*((('Plan por grupo'!$A$4:$A$53&lt;&gt;"")+('Plan por grupo'!$B$4:$B$53&lt;&gt;""))&gt;0)*(EXACT('Plan por grupo'!$A$4:$A$53,$A55))*(EXACT('Plan por grupo'!$B$4:$B$53,$D55)),0),0))),"",INDEX('Plan por grupo'!$C$4:$C$53,MATCH(1,INDEX(1*((('Plan por grupo'!$A$4:$A$53&lt;&gt;"")+('Plan por grupo'!$B$4:$B$53&lt;&gt;""))&gt;0)*(EXACT('Plan por grupo'!$A$4:$A$53,$A55))*(EXACT('Plan por grupo'!$B$4:$B$53,$D55)),0),0))))</f>
        <v/>
      </c>
      <c r="G55" s="3">
        <f>IF(ISNA(MATCH(1,INDEX(EXACT('Asignaturas'!$A$4:$A$38,$D55)*1*((('Asignaturas'!$A$4:$A$38&lt;&gt;""))&gt;0),0),0)),"",IF(ISBLANK(INDEX('Asignaturas'!$D$4:$D$38,MATCH(1,INDEX(EXACT('Asignaturas'!$A$4:$A$38,$D55)*1*((('Asignaturas'!$A$4:$A$38&lt;&gt;""))&gt;0),0),0))),"",INDEX('Asignaturas'!$D$4:$D$38,MATCH(1,INDEX(EXACT('Asignaturas'!$A$4:$A$38,$D55)*1*((('Asignaturas'!$A$4:$A$38&lt;&gt;""))&gt;0)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IF(ISNA(MATCH(1,INDEX(1*((('Plan por grupo'!$A$4:$A$53&lt;&gt;"")+('Plan por grupo'!$B$4:$B$53&lt;&gt;""))&gt;0)*(EXACT('Plan por grupo'!$A$4:$A$53,$A55))*(EXACT('Plan por grupo'!$B$4:$B$53,$D55)),0),0)),"no",IF(ISBLANK(INDEX('Plan por grupo'!$G$4:$G$53,MATCH(1,INDEX(1*((('Plan por grupo'!$A$4:$A$53&lt;&gt;"")+('Plan por grupo'!$B$4:$B$53&lt;&gt;""))&gt;0)*(EXACT('Plan por grupo'!$A$4:$A$53,$A55))*(EXACT('Plan por grupo'!$B$4:$B$53,$D55)),0),0))),"",INDEX('Plan por grupo'!$G$4:$G$53,MATCH(1,INDEX(1*((('Plan por grupo'!$A$4:$A$53&lt;&gt;"")+('Plan por grupo'!$B$4:$B$53&lt;&gt;""))&gt;0)*(EXACT('Plan por grupo'!$A$4:$A$53,$A55))*(EXACT('Plan por grupo'!$B$4:$B$53,$D55)),0),0))))</f>
        <v/>
      </c>
      <c r="J55" s="3">
        <f>IF(ISNA(MATCH(1,INDEX(1*((('Plan por grupo'!$A$4:$A$53&lt;&gt;"")+('Plan por grupo'!$B$4:$B$53&lt;&gt;""))&gt;0)*(EXACT('Plan por grupo'!$A$4:$A$53,$A55))*(EXACT('Plan por grupo'!$B$4:$B$53,$D55)),0),0)),"no",IF(ISBLANK(INDEX('Plan por grupo'!$E$4:$E$53,MATCH(1,INDEX(1*((('Plan por grupo'!$A$4:$A$53&lt;&gt;"")+('Plan por grupo'!$B$4:$B$53&lt;&gt;""))&gt;0)*(EXACT('Plan por grupo'!$A$4:$A$53,$A55))*(EXACT('Plan por grupo'!$B$4:$B$53,$D55)),0),0))),"",INDEX('Plan por grupo'!$E$4:$E$53,MATCH(1,INDEX(1*((('Plan por grupo'!$A$4:$A$53&lt;&gt;"")+('Plan por grupo'!$B$4:$B$53&lt;&gt;""))&gt;0)*(EXACT('Plan por grupo'!$A$4:$A$53,$A55))*(EXACT('Plan por grupo'!$B$4:$B$53,$D55)),0),0))))</f>
        <v/>
      </c>
      <c r="K55" s="3">
        <f>IF(ISNA(MATCH(1,INDEX(EXACT('Asignaturas'!$A$4:$A$38,$D55)*1*((('Asignaturas'!$A$4:$A$38&lt;&gt;""))&gt;0),0),0)),"",IF(ISBLANK(INDEX('Asignaturas'!$C$4:$C$38,MATCH(1,INDEX(EXACT('Asignaturas'!$A$4:$A$38,$D55)*1*((('Asignaturas'!$A$4:$A$38&lt;&gt;""))&gt;0),0),0))),"",INDEX('Asignaturas'!$C$4:$C$38,MATCH(1,INDEX(EXACT('Asignaturas'!$A$4:$A$38,$D55)*1*((('Asignaturas'!$A$4:$A$38&lt;&gt;""))&gt;0),0),0))))</f>
        <v/>
      </c>
      <c r="L55" s="3">
        <f>IF(ISNA(MATCH(1,INDEX(EXACT('Profesores'!$A$4:$A$53,$F55)*1*((('Profesores'!$A$4:$A$53&lt;&gt;""))&gt;0),0),0)),"no",IF(ISBLANK(INDEX('Profesores'!$B$4:$B$53,MATCH(1,INDEX(EXACT('Profesores'!$A$4:$A$53,$F55)*1*((('Profesores'!$A$4:$A$53&lt;&gt;""))&gt;0),0),0))),"",INDEX('Profesores'!$B$4:$B$53,MATCH(1,INDEX(EXACT('Profesores'!$A$4:$A$53,$F55)*1*((('Profesores'!$A$4:$A$53&lt;&gt;""))&gt;0),0),0))))</f>
        <v/>
      </c>
      <c r="M55" s="3">
        <f>IF(ISNA(MATCH(1,INDEX(EXACT('Profesores'!$A$4:$A$53,$F55)*1*((('Profesores'!$A$4:$A$53&lt;&gt;""))&gt;0),0),0)),"no",IF(ISBLANK(INDEX('Profesores'!$C$4:$C$53,MATCH(1,INDEX(EXACT('Profesores'!$A$4:$A$53,$F55)*1*((('Profesores'!$A$4:$A$53&lt;&gt;""))&gt;0),0),0))),"",INDEX('Profesores'!$C$4:$C$53,MATCH(1,INDEX(EXACT('Profesores'!$A$4:$A$53,$F55)*1*((('Profesores'!$A$4:$A$53&lt;&gt;""))&gt;0),0),0))))</f>
        <v/>
      </c>
      <c r="N55" s="3">
        <f>IF(EXACT($L55,"si"),IF(ISNA(MATCH(1,INDEX(1*((('Dias que asisten los contratado'!$A$4:$A$24&lt;&gt;"")+('Dias que asisten los contratado'!$B$4:$B$24&lt;&gt;""))&gt;0)*(EXACT('Dias que asisten los contratado'!$A$4:$A$24,$F55))*(EXACT('Dias que asisten los contratado'!$B$4:$B$24,$B55)),0),0)),"no",IF(ISBLANK(INDEX('Dias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contratado'!$B$4:$B$24,$B55)),0),0))),"",INDEX('Dias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contratado'!$B$4:$B$24,$B55)),0),0)))),"")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3">
        <f>IF(ISBLANK('Horario del grupo - 10-3'!D9),"",'Horario del grupo - 10-3'!D9)</f>
        <v/>
      </c>
      <c r="E56" s="3">
        <f>IF(ISNA(MATCH(1,INDEX(EXACT('Asignaturas'!$A$4:$A$38,$D56)*1*((('Asignaturas'!$A$4:$A$38&lt;&gt;""))&gt;0),0),0)),"",IF(ISBLANK(INDEX('Asignaturas'!$B$4:$B$38,MATCH(1,INDEX(EXACT('Asignaturas'!$A$4:$A$38,$D56)*1*((('Asignaturas'!$A$4:$A$38&lt;&gt;""))&gt;0),0),0))),"",INDEX('Asignaturas'!$B$4:$B$38,MATCH(1,INDEX(EXACT('Asignaturas'!$A$4:$A$38,$D56)*1*((('Asignaturas'!$A$4:$A$38&lt;&gt;""))&gt;0),0),0))))</f>
        <v/>
      </c>
      <c r="F56" s="3">
        <f>IF(ISNA(MATCH(1,INDEX(1*((('Plan por grupo'!$A$4:$A$53&lt;&gt;"")+('Plan por grupo'!$B$4:$B$53&lt;&gt;""))&gt;0)*(EXACT('Plan por grupo'!$A$4:$A$53,$A56))*(EXACT('Plan por grupo'!$B$4:$B$53,$D56)),0),0)),"",IF(ISBLANK(INDEX('Plan por grupo'!$C$4:$C$53,MATCH(1,INDEX(1*((('Plan por grupo'!$A$4:$A$53&lt;&gt;"")+('Plan por grupo'!$B$4:$B$53&lt;&gt;""))&gt;0)*(EXACT('Plan por grupo'!$A$4:$A$53,$A56))*(EXACT('Plan por grupo'!$B$4:$B$53,$D56)),0),0))),"",INDEX('Plan por grupo'!$C$4:$C$53,MATCH(1,INDEX(1*((('Plan por grupo'!$A$4:$A$53&lt;&gt;"")+('Plan por grupo'!$B$4:$B$53&lt;&gt;""))&gt;0)*(EXACT('Plan por grupo'!$A$4:$A$53,$A56))*(EXACT('Plan por grupo'!$B$4:$B$53,$D56)),0),0))))</f>
        <v/>
      </c>
      <c r="G56" s="3">
        <f>IF(ISNA(MATCH(1,INDEX(EXACT('Asignaturas'!$A$4:$A$38,$D56)*1*((('Asignaturas'!$A$4:$A$38&lt;&gt;""))&gt;0),0),0)),"",IF(ISBLANK(INDEX('Asignaturas'!$D$4:$D$38,MATCH(1,INDEX(EXACT('Asignaturas'!$A$4:$A$38,$D56)*1*((('Asignaturas'!$A$4:$A$38&lt;&gt;""))&gt;0),0),0))),"",INDEX('Asignaturas'!$D$4:$D$38,MATCH(1,INDEX(EXACT('Asignaturas'!$A$4:$A$38,$D56)*1*((('Asignaturas'!$A$4:$A$38&lt;&gt;""))&gt;0)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IF(ISNA(MATCH(1,INDEX(1*((('Plan por grupo'!$A$4:$A$53&lt;&gt;"")+('Plan por grupo'!$B$4:$B$53&lt;&gt;""))&gt;0)*(EXACT('Plan por grupo'!$A$4:$A$53,$A56))*(EXACT('Plan por grupo'!$B$4:$B$53,$D56)),0),0)),"no",IF(ISBLANK(INDEX('Plan por grupo'!$G$4:$G$53,MATCH(1,INDEX(1*((('Plan por grupo'!$A$4:$A$53&lt;&gt;"")+('Plan por grupo'!$B$4:$B$53&lt;&gt;""))&gt;0)*(EXACT('Plan por grupo'!$A$4:$A$53,$A56))*(EXACT('Plan por grupo'!$B$4:$B$53,$D56)),0),0))),"",INDEX('Plan por grupo'!$G$4:$G$53,MATCH(1,INDEX(1*((('Plan por grupo'!$A$4:$A$53&lt;&gt;"")+('Plan por grupo'!$B$4:$B$53&lt;&gt;""))&gt;0)*(EXACT('Plan por grupo'!$A$4:$A$53,$A56))*(EXACT('Plan por grupo'!$B$4:$B$53,$D56)),0),0))))</f>
        <v/>
      </c>
      <c r="J56" s="3">
        <f>IF(ISNA(MATCH(1,INDEX(1*((('Plan por grupo'!$A$4:$A$53&lt;&gt;"")+('Plan por grupo'!$B$4:$B$53&lt;&gt;""))&gt;0)*(EXACT('Plan por grupo'!$A$4:$A$53,$A56))*(EXACT('Plan por grupo'!$B$4:$B$53,$D56)),0),0)),"no",IF(ISBLANK(INDEX('Plan por grupo'!$E$4:$E$53,MATCH(1,INDEX(1*((('Plan por grupo'!$A$4:$A$53&lt;&gt;"")+('Plan por grupo'!$B$4:$B$53&lt;&gt;""))&gt;0)*(EXACT('Plan por grupo'!$A$4:$A$53,$A56))*(EXACT('Plan por grupo'!$B$4:$B$53,$D56)),0),0))),"",INDEX('Plan por grupo'!$E$4:$E$53,MATCH(1,INDEX(1*((('Plan por grupo'!$A$4:$A$53&lt;&gt;"")+('Plan por grupo'!$B$4:$B$53&lt;&gt;""))&gt;0)*(EXACT('Plan por grupo'!$A$4:$A$53,$A56))*(EXACT('Plan por grupo'!$B$4:$B$53,$D56)),0),0))))</f>
        <v/>
      </c>
      <c r="K56" s="3">
        <f>IF(ISNA(MATCH(1,INDEX(EXACT('Asignaturas'!$A$4:$A$38,$D56)*1*((('Asignaturas'!$A$4:$A$38&lt;&gt;""))&gt;0),0),0)),"",IF(ISBLANK(INDEX('Asignaturas'!$C$4:$C$38,MATCH(1,INDEX(EXACT('Asignaturas'!$A$4:$A$38,$D56)*1*((('Asignaturas'!$A$4:$A$38&lt;&gt;""))&gt;0),0),0))),"",INDEX('Asignaturas'!$C$4:$C$38,MATCH(1,INDEX(EXACT('Asignaturas'!$A$4:$A$38,$D56)*1*((('Asignaturas'!$A$4:$A$38&lt;&gt;""))&gt;0),0),0))))</f>
        <v/>
      </c>
      <c r="L56" s="3">
        <f>IF(ISNA(MATCH(1,INDEX(EXACT('Profesores'!$A$4:$A$53,$F56)*1*((('Profesores'!$A$4:$A$53&lt;&gt;""))&gt;0),0),0)),"no",IF(ISBLANK(INDEX('Profesores'!$B$4:$B$53,MATCH(1,INDEX(EXACT('Profesores'!$A$4:$A$53,$F56)*1*((('Profesores'!$A$4:$A$53&lt;&gt;""))&gt;0),0),0))),"",INDEX('Profesores'!$B$4:$B$53,MATCH(1,INDEX(EXACT('Profesores'!$A$4:$A$53,$F56)*1*((('Profesores'!$A$4:$A$53&lt;&gt;""))&gt;0),0),0))))</f>
        <v/>
      </c>
      <c r="M56" s="3">
        <f>IF(ISNA(MATCH(1,INDEX(EXACT('Profesores'!$A$4:$A$53,$F56)*1*((('Profesores'!$A$4:$A$53&lt;&gt;""))&gt;0),0),0)),"no",IF(ISBLANK(INDEX('Profesores'!$C$4:$C$53,MATCH(1,INDEX(EXACT('Profesores'!$A$4:$A$53,$F56)*1*((('Profesores'!$A$4:$A$53&lt;&gt;""))&gt;0),0),0))),"",INDEX('Profesores'!$C$4:$C$53,MATCH(1,INDEX(EXACT('Profesores'!$A$4:$A$53,$F56)*1*((('Profesores'!$A$4:$A$53&lt;&gt;""))&gt;0),0),0))))</f>
        <v/>
      </c>
      <c r="N56" s="3">
        <f>IF(EXACT($L56,"si"),IF(ISNA(MATCH(1,INDEX(1*((('Dias que asisten los contratado'!$A$4:$A$24&lt;&gt;"")+('Dias que asisten los contratado'!$B$4:$B$24&lt;&gt;""))&gt;0)*(EXACT('Dias que asisten los contratado'!$A$4:$A$24,$F56))*(EXACT('Dias que asisten los contratado'!$B$4:$B$24,$B56)),0),0)),"no",IF(ISBLANK(INDEX('Dias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contratado'!$B$4:$B$24,$B56)),0),0))),"",INDEX('Dias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contratado'!$B$4:$B$24,$B56)),0),0)))),"")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3">
        <f>IF(ISBLANK('Horario del grupo - 10-3'!E9),"",'Horario del grupo - 10-3'!E9)</f>
        <v/>
      </c>
      <c r="E57" s="3">
        <f>IF(ISNA(MATCH(1,INDEX(EXACT('Asignaturas'!$A$4:$A$38,$D57)*1*((('Asignaturas'!$A$4:$A$38&lt;&gt;""))&gt;0),0),0)),"",IF(ISBLANK(INDEX('Asignaturas'!$B$4:$B$38,MATCH(1,INDEX(EXACT('Asignaturas'!$A$4:$A$38,$D57)*1*((('Asignaturas'!$A$4:$A$38&lt;&gt;""))&gt;0),0),0))),"",INDEX('Asignaturas'!$B$4:$B$38,MATCH(1,INDEX(EXACT('Asignaturas'!$A$4:$A$38,$D57)*1*((('Asignaturas'!$A$4:$A$38&lt;&gt;""))&gt;0),0),0))))</f>
        <v/>
      </c>
      <c r="F57" s="3">
        <f>IF(ISNA(MATCH(1,INDEX(1*((('Plan por grupo'!$A$4:$A$53&lt;&gt;"")+('Plan por grupo'!$B$4:$B$53&lt;&gt;""))&gt;0)*(EXACT('Plan por grupo'!$A$4:$A$53,$A57))*(EXACT('Plan por grupo'!$B$4:$B$53,$D57)),0),0)),"",IF(ISBLANK(INDEX('Plan por grupo'!$C$4:$C$53,MATCH(1,INDEX(1*((('Plan por grupo'!$A$4:$A$53&lt;&gt;"")+('Plan por grupo'!$B$4:$B$53&lt;&gt;""))&gt;0)*(EXACT('Plan por grupo'!$A$4:$A$53,$A57))*(EXACT('Plan por grupo'!$B$4:$B$53,$D57)),0),0))),"",INDEX('Plan por grupo'!$C$4:$C$53,MATCH(1,INDEX(1*((('Plan por grupo'!$A$4:$A$53&lt;&gt;"")+('Plan por grupo'!$B$4:$B$53&lt;&gt;""))&gt;0)*(EXACT('Plan por grupo'!$A$4:$A$53,$A57))*(EXACT('Plan por grupo'!$B$4:$B$53,$D57)),0),0))))</f>
        <v/>
      </c>
      <c r="G57" s="3">
        <f>IF(ISNA(MATCH(1,INDEX(EXACT('Asignaturas'!$A$4:$A$38,$D57)*1*((('Asignaturas'!$A$4:$A$38&lt;&gt;""))&gt;0),0),0)),"",IF(ISBLANK(INDEX('Asignaturas'!$D$4:$D$38,MATCH(1,INDEX(EXACT('Asignaturas'!$A$4:$A$38,$D57)*1*((('Asignaturas'!$A$4:$A$38&lt;&gt;""))&gt;0),0),0))),"",INDEX('Asignaturas'!$D$4:$D$38,MATCH(1,INDEX(EXACT('Asignaturas'!$A$4:$A$38,$D57)*1*((('Asignaturas'!$A$4:$A$38&lt;&gt;""))&gt;0)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IF(ISNA(MATCH(1,INDEX(1*((('Plan por grupo'!$A$4:$A$53&lt;&gt;"")+('Plan por grupo'!$B$4:$B$53&lt;&gt;""))&gt;0)*(EXACT('Plan por grupo'!$A$4:$A$53,$A57))*(EXACT('Plan por grupo'!$B$4:$B$53,$D57)),0),0)),"no",IF(ISBLANK(INDEX('Plan por grupo'!$G$4:$G$53,MATCH(1,INDEX(1*((('Plan por grupo'!$A$4:$A$53&lt;&gt;"")+('Plan por grupo'!$B$4:$B$53&lt;&gt;""))&gt;0)*(EXACT('Plan por grupo'!$A$4:$A$53,$A57))*(EXACT('Plan por grupo'!$B$4:$B$53,$D57)),0),0))),"",INDEX('Plan por grupo'!$G$4:$G$53,MATCH(1,INDEX(1*((('Plan por grupo'!$A$4:$A$53&lt;&gt;"")+('Plan por grupo'!$B$4:$B$53&lt;&gt;""))&gt;0)*(EXACT('Plan por grupo'!$A$4:$A$53,$A57))*(EXACT('Plan por grupo'!$B$4:$B$53,$D57)),0),0))))</f>
        <v/>
      </c>
      <c r="J57" s="3">
        <f>IF(ISNA(MATCH(1,INDEX(1*((('Plan por grupo'!$A$4:$A$53&lt;&gt;"")+('Plan por grupo'!$B$4:$B$53&lt;&gt;""))&gt;0)*(EXACT('Plan por grupo'!$A$4:$A$53,$A57))*(EXACT('Plan por grupo'!$B$4:$B$53,$D57)),0),0)),"no",IF(ISBLANK(INDEX('Plan por grupo'!$E$4:$E$53,MATCH(1,INDEX(1*((('Plan por grupo'!$A$4:$A$53&lt;&gt;"")+('Plan por grupo'!$B$4:$B$53&lt;&gt;""))&gt;0)*(EXACT('Plan por grupo'!$A$4:$A$53,$A57))*(EXACT('Plan por grupo'!$B$4:$B$53,$D57)),0),0))),"",INDEX('Plan por grupo'!$E$4:$E$53,MATCH(1,INDEX(1*((('Plan por grupo'!$A$4:$A$53&lt;&gt;"")+('Plan por grupo'!$B$4:$B$53&lt;&gt;""))&gt;0)*(EXACT('Plan por grupo'!$A$4:$A$53,$A57))*(EXACT('Plan por grupo'!$B$4:$B$53,$D57)),0),0))))</f>
        <v/>
      </c>
      <c r="K57" s="3">
        <f>IF(ISNA(MATCH(1,INDEX(EXACT('Asignaturas'!$A$4:$A$38,$D57)*1*((('Asignaturas'!$A$4:$A$38&lt;&gt;""))&gt;0),0),0)),"",IF(ISBLANK(INDEX('Asignaturas'!$C$4:$C$38,MATCH(1,INDEX(EXACT('Asignaturas'!$A$4:$A$38,$D57)*1*((('Asignaturas'!$A$4:$A$38&lt;&gt;""))&gt;0),0),0))),"",INDEX('Asignaturas'!$C$4:$C$38,MATCH(1,INDEX(EXACT('Asignaturas'!$A$4:$A$38,$D57)*1*((('Asignaturas'!$A$4:$A$38&lt;&gt;""))&gt;0),0),0))))</f>
        <v/>
      </c>
      <c r="L57" s="3">
        <f>IF(ISNA(MATCH(1,INDEX(EXACT('Profesores'!$A$4:$A$53,$F57)*1*((('Profesores'!$A$4:$A$53&lt;&gt;""))&gt;0),0),0)),"no",IF(ISBLANK(INDEX('Profesores'!$B$4:$B$53,MATCH(1,INDEX(EXACT('Profesores'!$A$4:$A$53,$F57)*1*((('Profesores'!$A$4:$A$53&lt;&gt;""))&gt;0),0),0))),"",INDEX('Profesores'!$B$4:$B$53,MATCH(1,INDEX(EXACT('Profesores'!$A$4:$A$53,$F57)*1*((('Profesores'!$A$4:$A$53&lt;&gt;""))&gt;0),0),0))))</f>
        <v/>
      </c>
      <c r="M57" s="3">
        <f>IF(ISNA(MATCH(1,INDEX(EXACT('Profesores'!$A$4:$A$53,$F57)*1*((('Profesores'!$A$4:$A$53&lt;&gt;""))&gt;0),0),0)),"no",IF(ISBLANK(INDEX('Profesores'!$C$4:$C$53,MATCH(1,INDEX(EXACT('Profesores'!$A$4:$A$53,$F57)*1*((('Profesores'!$A$4:$A$53&lt;&gt;""))&gt;0),0),0))),"",INDEX('Profesores'!$C$4:$C$53,MATCH(1,INDEX(EXACT('Profesores'!$A$4:$A$53,$F57)*1*((('Profesores'!$A$4:$A$53&lt;&gt;""))&gt;0),0),0))))</f>
        <v/>
      </c>
      <c r="N57" s="3">
        <f>IF(EXACT($L57,"si"),IF(ISNA(MATCH(1,INDEX(1*((('Dias que asisten los contratado'!$A$4:$A$24&lt;&gt;"")+('Dias que asisten los contratado'!$B$4:$B$24&lt;&gt;""))&gt;0)*(EXACT('Dias que asisten los contratado'!$A$4:$A$24,$F57))*(EXACT('Dias que asisten los contratado'!$B$4:$B$24,$B57)),0),0)),"no",IF(ISBLANK(INDEX('Dias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contratado'!$B$4:$B$24,$B57)),0),0))),"",INDEX('Dias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contratado'!$B$4:$B$24,$B57)),0),0)))),"")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3">
        <f>IF(ISBLANK('Horario del grupo - 10-3'!F9),"",'Horario del grupo - 10-3'!F9)</f>
        <v/>
      </c>
      <c r="E58" s="3">
        <f>IF(ISNA(MATCH(1,INDEX(EXACT('Asignaturas'!$A$4:$A$38,$D58)*1*((('Asignaturas'!$A$4:$A$38&lt;&gt;""))&gt;0),0),0)),"",IF(ISBLANK(INDEX('Asignaturas'!$B$4:$B$38,MATCH(1,INDEX(EXACT('Asignaturas'!$A$4:$A$38,$D58)*1*((('Asignaturas'!$A$4:$A$38&lt;&gt;""))&gt;0),0),0))),"",INDEX('Asignaturas'!$B$4:$B$38,MATCH(1,INDEX(EXACT('Asignaturas'!$A$4:$A$38,$D58)*1*((('Asignaturas'!$A$4:$A$38&lt;&gt;""))&gt;0),0),0))))</f>
        <v/>
      </c>
      <c r="F58" s="3">
        <f>IF(ISNA(MATCH(1,INDEX(1*((('Plan por grupo'!$A$4:$A$53&lt;&gt;"")+('Plan por grupo'!$B$4:$B$53&lt;&gt;""))&gt;0)*(EXACT('Plan por grupo'!$A$4:$A$53,$A58))*(EXACT('Plan por grupo'!$B$4:$B$53,$D58)),0),0)),"",IF(ISBLANK(INDEX('Plan por grupo'!$C$4:$C$53,MATCH(1,INDEX(1*((('Plan por grupo'!$A$4:$A$53&lt;&gt;"")+('Plan por grupo'!$B$4:$B$53&lt;&gt;""))&gt;0)*(EXACT('Plan por grupo'!$A$4:$A$53,$A58))*(EXACT('Plan por grupo'!$B$4:$B$53,$D58)),0),0))),"",INDEX('Plan por grupo'!$C$4:$C$53,MATCH(1,INDEX(1*((('Plan por grupo'!$A$4:$A$53&lt;&gt;"")+('Plan por grupo'!$B$4:$B$53&lt;&gt;""))&gt;0)*(EXACT('Plan por grupo'!$A$4:$A$53,$A58))*(EXACT('Plan por grupo'!$B$4:$B$53,$D58)),0),0))))</f>
        <v/>
      </c>
      <c r="G58" s="3">
        <f>IF(ISNA(MATCH(1,INDEX(EXACT('Asignaturas'!$A$4:$A$38,$D58)*1*((('Asignaturas'!$A$4:$A$38&lt;&gt;""))&gt;0),0),0)),"",IF(ISBLANK(INDEX('Asignaturas'!$D$4:$D$38,MATCH(1,INDEX(EXACT('Asignaturas'!$A$4:$A$38,$D58)*1*((('Asignaturas'!$A$4:$A$38&lt;&gt;""))&gt;0),0),0))),"",INDEX('Asignaturas'!$D$4:$D$38,MATCH(1,INDEX(EXACT('Asignaturas'!$A$4:$A$38,$D58)*1*((('Asignaturas'!$A$4:$A$38&lt;&gt;""))&gt;0)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IF(ISNA(MATCH(1,INDEX(1*((('Plan por grupo'!$A$4:$A$53&lt;&gt;"")+('Plan por grupo'!$B$4:$B$53&lt;&gt;""))&gt;0)*(EXACT('Plan por grupo'!$A$4:$A$53,$A58))*(EXACT('Plan por grupo'!$B$4:$B$53,$D58)),0),0)),"no",IF(ISBLANK(INDEX('Plan por grupo'!$G$4:$G$53,MATCH(1,INDEX(1*((('Plan por grupo'!$A$4:$A$53&lt;&gt;"")+('Plan por grupo'!$B$4:$B$53&lt;&gt;""))&gt;0)*(EXACT('Plan por grupo'!$A$4:$A$53,$A58))*(EXACT('Plan por grupo'!$B$4:$B$53,$D58)),0),0))),"",INDEX('Plan por grupo'!$G$4:$G$53,MATCH(1,INDEX(1*((('Plan por grupo'!$A$4:$A$53&lt;&gt;"")+('Plan por grupo'!$B$4:$B$53&lt;&gt;""))&gt;0)*(EXACT('Plan por grupo'!$A$4:$A$53,$A58))*(EXACT('Plan por grupo'!$B$4:$B$53,$D58)),0),0))))</f>
        <v/>
      </c>
      <c r="J58" s="3">
        <f>IF(ISNA(MATCH(1,INDEX(1*((('Plan por grupo'!$A$4:$A$53&lt;&gt;"")+('Plan por grupo'!$B$4:$B$53&lt;&gt;""))&gt;0)*(EXACT('Plan por grupo'!$A$4:$A$53,$A58))*(EXACT('Plan por grupo'!$B$4:$B$53,$D58)),0),0)),"no",IF(ISBLANK(INDEX('Plan por grupo'!$E$4:$E$53,MATCH(1,INDEX(1*((('Plan por grupo'!$A$4:$A$53&lt;&gt;"")+('Plan por grupo'!$B$4:$B$53&lt;&gt;""))&gt;0)*(EXACT('Plan por grupo'!$A$4:$A$53,$A58))*(EXACT('Plan por grupo'!$B$4:$B$53,$D58)),0),0))),"",INDEX('Plan por grupo'!$E$4:$E$53,MATCH(1,INDEX(1*((('Plan por grupo'!$A$4:$A$53&lt;&gt;"")+('Plan por grupo'!$B$4:$B$53&lt;&gt;""))&gt;0)*(EXACT('Plan por grupo'!$A$4:$A$53,$A58))*(EXACT('Plan por grupo'!$B$4:$B$53,$D58)),0),0))))</f>
        <v/>
      </c>
      <c r="K58" s="3">
        <f>IF(ISNA(MATCH(1,INDEX(EXACT('Asignaturas'!$A$4:$A$38,$D58)*1*((('Asignaturas'!$A$4:$A$38&lt;&gt;""))&gt;0),0),0)),"",IF(ISBLANK(INDEX('Asignaturas'!$C$4:$C$38,MATCH(1,INDEX(EXACT('Asignaturas'!$A$4:$A$38,$D58)*1*((('Asignaturas'!$A$4:$A$38&lt;&gt;""))&gt;0),0),0))),"",INDEX('Asignaturas'!$C$4:$C$38,MATCH(1,INDEX(EXACT('Asignaturas'!$A$4:$A$38,$D58)*1*((('Asignaturas'!$A$4:$A$38&lt;&gt;""))&gt;0),0),0))))</f>
        <v/>
      </c>
      <c r="L58" s="3">
        <f>IF(ISNA(MATCH(1,INDEX(EXACT('Profesores'!$A$4:$A$53,$F58)*1*((('Profesores'!$A$4:$A$53&lt;&gt;""))&gt;0),0),0)),"no",IF(ISBLANK(INDEX('Profesores'!$B$4:$B$53,MATCH(1,INDEX(EXACT('Profesores'!$A$4:$A$53,$F58)*1*((('Profesores'!$A$4:$A$53&lt;&gt;""))&gt;0),0),0))),"",INDEX('Profesores'!$B$4:$B$53,MATCH(1,INDEX(EXACT('Profesores'!$A$4:$A$53,$F58)*1*((('Profesores'!$A$4:$A$53&lt;&gt;""))&gt;0),0),0))))</f>
        <v/>
      </c>
      <c r="M58" s="3">
        <f>IF(ISNA(MATCH(1,INDEX(EXACT('Profesores'!$A$4:$A$53,$F58)*1*((('Profesores'!$A$4:$A$53&lt;&gt;""))&gt;0),0),0)),"no",IF(ISBLANK(INDEX('Profesores'!$C$4:$C$53,MATCH(1,INDEX(EXACT('Profesores'!$A$4:$A$53,$F58)*1*((('Profesores'!$A$4:$A$53&lt;&gt;""))&gt;0),0),0))),"",INDEX('Profesores'!$C$4:$C$53,MATCH(1,INDEX(EXACT('Profesores'!$A$4:$A$53,$F58)*1*((('Profesores'!$A$4:$A$53&lt;&gt;""))&gt;0),0),0))))</f>
        <v/>
      </c>
      <c r="N58" s="3">
        <f>IF(EXACT($L58,"si"),IF(ISNA(MATCH(1,INDEX(1*((('Dias que asisten los contratado'!$A$4:$A$24&lt;&gt;"")+('Dias que asisten los contratado'!$B$4:$B$24&lt;&gt;""))&gt;0)*(EXACT('Dias que asisten los contratado'!$A$4:$A$24,$F58))*(EXACT('Dias que asisten los contratado'!$B$4:$B$24,$B58)),0),0)),"no",IF(ISBLANK(INDEX('Dias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contratado'!$B$4:$B$24,$B58)),0),0))),"",INDEX('Dias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contratado'!$B$4:$B$24,$B58)),0),0)))),"")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3">
        <f>IF(ISBLANK('Horario del grupo - 10-4'!B9),"",'Horario del grupo - 10-4'!B9)</f>
        <v/>
      </c>
      <c r="E59" s="3">
        <f>IF(ISNA(MATCH(1,INDEX(EXACT('Asignaturas'!$A$4:$A$38,$D59)*1*((('Asignaturas'!$A$4:$A$38&lt;&gt;""))&gt;0),0),0)),"",IF(ISBLANK(INDEX('Asignaturas'!$B$4:$B$38,MATCH(1,INDEX(EXACT('Asignaturas'!$A$4:$A$38,$D59)*1*((('Asignaturas'!$A$4:$A$38&lt;&gt;""))&gt;0),0),0))),"",INDEX('Asignaturas'!$B$4:$B$38,MATCH(1,INDEX(EXACT('Asignaturas'!$A$4:$A$38,$D59)*1*((('Asignaturas'!$A$4:$A$38&lt;&gt;""))&gt;0),0),0))))</f>
        <v/>
      </c>
      <c r="F59" s="3">
        <f>IF(ISNA(MATCH(1,INDEX(1*((('Plan por grupo'!$A$4:$A$53&lt;&gt;"")+('Plan por grupo'!$B$4:$B$53&lt;&gt;""))&gt;0)*(EXACT('Plan por grupo'!$A$4:$A$53,$A59))*(EXACT('Plan por grupo'!$B$4:$B$53,$D59)),0),0)),"",IF(ISBLANK(INDEX('Plan por grupo'!$C$4:$C$53,MATCH(1,INDEX(1*((('Plan por grupo'!$A$4:$A$53&lt;&gt;"")+('Plan por grupo'!$B$4:$B$53&lt;&gt;""))&gt;0)*(EXACT('Plan por grupo'!$A$4:$A$53,$A59))*(EXACT('Plan por grupo'!$B$4:$B$53,$D59)),0),0))),"",INDEX('Plan por grupo'!$C$4:$C$53,MATCH(1,INDEX(1*((('Plan por grupo'!$A$4:$A$53&lt;&gt;"")+('Plan por grupo'!$B$4:$B$53&lt;&gt;""))&gt;0)*(EXACT('Plan por grupo'!$A$4:$A$53,$A59))*(EXACT('Plan por grupo'!$B$4:$B$53,$D59)),0),0))))</f>
        <v/>
      </c>
      <c r="G59" s="3">
        <f>IF(ISNA(MATCH(1,INDEX(EXACT('Asignaturas'!$A$4:$A$38,$D59)*1*((('Asignaturas'!$A$4:$A$38&lt;&gt;""))&gt;0),0),0)),"",IF(ISBLANK(INDEX('Asignaturas'!$D$4:$D$38,MATCH(1,INDEX(EXACT('Asignaturas'!$A$4:$A$38,$D59)*1*((('Asignaturas'!$A$4:$A$38&lt;&gt;""))&gt;0),0),0))),"",INDEX('Asignaturas'!$D$4:$D$38,MATCH(1,INDEX(EXACT('Asignaturas'!$A$4:$A$38,$D59)*1*((('Asignaturas'!$A$4:$A$38&lt;&gt;""))&gt;0)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IF(ISNA(MATCH(1,INDEX(1*((('Plan por grupo'!$A$4:$A$53&lt;&gt;"")+('Plan por grupo'!$B$4:$B$53&lt;&gt;""))&gt;0)*(EXACT('Plan por grupo'!$A$4:$A$53,$A59))*(EXACT('Plan por grupo'!$B$4:$B$53,$D59)),0),0)),"no",IF(ISBLANK(INDEX('Plan por grupo'!$G$4:$G$53,MATCH(1,INDEX(1*((('Plan por grupo'!$A$4:$A$53&lt;&gt;"")+('Plan por grupo'!$B$4:$B$53&lt;&gt;""))&gt;0)*(EXACT('Plan por grupo'!$A$4:$A$53,$A59))*(EXACT('Plan por grupo'!$B$4:$B$53,$D59)),0),0))),"",INDEX('Plan por grupo'!$G$4:$G$53,MATCH(1,INDEX(1*((('Plan por grupo'!$A$4:$A$53&lt;&gt;"")+('Plan por grupo'!$B$4:$B$53&lt;&gt;""))&gt;0)*(EXACT('Plan por grupo'!$A$4:$A$53,$A59))*(EXACT('Plan por grupo'!$B$4:$B$53,$D59)),0),0))))</f>
        <v/>
      </c>
      <c r="J59" s="3">
        <f>IF(ISNA(MATCH(1,INDEX(1*((('Plan por grupo'!$A$4:$A$53&lt;&gt;"")+('Plan por grupo'!$B$4:$B$53&lt;&gt;""))&gt;0)*(EXACT('Plan por grupo'!$A$4:$A$53,$A59))*(EXACT('Plan por grupo'!$B$4:$B$53,$D59)),0),0)),"no",IF(ISBLANK(INDEX('Plan por grupo'!$E$4:$E$53,MATCH(1,INDEX(1*((('Plan por grupo'!$A$4:$A$53&lt;&gt;"")+('Plan por grupo'!$B$4:$B$53&lt;&gt;""))&gt;0)*(EXACT('Plan por grupo'!$A$4:$A$53,$A59))*(EXACT('Plan por grupo'!$B$4:$B$53,$D59)),0),0))),"",INDEX('Plan por grupo'!$E$4:$E$53,MATCH(1,INDEX(1*((('Plan por grupo'!$A$4:$A$53&lt;&gt;"")+('Plan por grupo'!$B$4:$B$53&lt;&gt;""))&gt;0)*(EXACT('Plan por grupo'!$A$4:$A$53,$A59))*(EXACT('Plan por grupo'!$B$4:$B$53,$D59)),0),0))))</f>
        <v/>
      </c>
      <c r="K59" s="3">
        <f>IF(ISNA(MATCH(1,INDEX(EXACT('Asignaturas'!$A$4:$A$38,$D59)*1*((('Asignaturas'!$A$4:$A$38&lt;&gt;""))&gt;0),0),0)),"",IF(ISBLANK(INDEX('Asignaturas'!$C$4:$C$38,MATCH(1,INDEX(EXACT('Asignaturas'!$A$4:$A$38,$D59)*1*((('Asignaturas'!$A$4:$A$38&lt;&gt;""))&gt;0),0),0))),"",INDEX('Asignaturas'!$C$4:$C$38,MATCH(1,INDEX(EXACT('Asignaturas'!$A$4:$A$38,$D59)*1*((('Asignaturas'!$A$4:$A$38&lt;&gt;""))&gt;0),0),0))))</f>
        <v/>
      </c>
      <c r="L59" s="3">
        <f>IF(ISNA(MATCH(1,INDEX(EXACT('Profesores'!$A$4:$A$53,$F59)*1*((('Profesores'!$A$4:$A$53&lt;&gt;""))&gt;0),0),0)),"no",IF(ISBLANK(INDEX('Profesores'!$B$4:$B$53,MATCH(1,INDEX(EXACT('Profesores'!$A$4:$A$53,$F59)*1*((('Profesores'!$A$4:$A$53&lt;&gt;""))&gt;0),0),0))),"",INDEX('Profesores'!$B$4:$B$53,MATCH(1,INDEX(EXACT('Profesores'!$A$4:$A$53,$F59)*1*((('Profesores'!$A$4:$A$53&lt;&gt;""))&gt;0),0),0))))</f>
        <v/>
      </c>
      <c r="M59" s="3">
        <f>IF(ISNA(MATCH(1,INDEX(EXACT('Profesores'!$A$4:$A$53,$F59)*1*((('Profesores'!$A$4:$A$53&lt;&gt;""))&gt;0),0),0)),"no",IF(ISBLANK(INDEX('Profesores'!$C$4:$C$53,MATCH(1,INDEX(EXACT('Profesores'!$A$4:$A$53,$F59)*1*((('Profesores'!$A$4:$A$53&lt;&gt;""))&gt;0),0),0))),"",INDEX('Profesores'!$C$4:$C$53,MATCH(1,INDEX(EXACT('Profesores'!$A$4:$A$53,$F59)*1*((('Profesores'!$A$4:$A$53&lt;&gt;""))&gt;0),0),0))))</f>
        <v/>
      </c>
      <c r="N59" s="3">
        <f>IF(EXACT($L59,"si"),IF(ISNA(MATCH(1,INDEX(1*((('Dias que asisten los contratado'!$A$4:$A$24&lt;&gt;"")+('Dias que asisten los contratado'!$B$4:$B$24&lt;&gt;""))&gt;0)*(EXACT('Dias que asisten los contratado'!$A$4:$A$24,$F59))*(EXACT('Dias que asisten los contratado'!$B$4:$B$24,$B59)),0),0)),"no",IF(ISBLANK(INDEX('Dias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contratado'!$B$4:$B$24,$B59)),0),0))),"",INDEX('Dias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contratado'!$B$4:$B$24,$B59)),0),0)))),"")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3">
        <f>IF(ISBLANK('Horario del grupo - 10-4'!C9),"",'Horario del grupo - 10-4'!C9)</f>
        <v/>
      </c>
      <c r="E60" s="3">
        <f>IF(ISNA(MATCH(1,INDEX(EXACT('Asignaturas'!$A$4:$A$38,$D60)*1*((('Asignaturas'!$A$4:$A$38&lt;&gt;""))&gt;0),0),0)),"",IF(ISBLANK(INDEX('Asignaturas'!$B$4:$B$38,MATCH(1,INDEX(EXACT('Asignaturas'!$A$4:$A$38,$D60)*1*((('Asignaturas'!$A$4:$A$38&lt;&gt;""))&gt;0),0),0))),"",INDEX('Asignaturas'!$B$4:$B$38,MATCH(1,INDEX(EXACT('Asignaturas'!$A$4:$A$38,$D60)*1*((('Asignaturas'!$A$4:$A$38&lt;&gt;""))&gt;0),0),0))))</f>
        <v/>
      </c>
      <c r="F60" s="3">
        <f>IF(ISNA(MATCH(1,INDEX(1*((('Plan por grupo'!$A$4:$A$53&lt;&gt;"")+('Plan por grupo'!$B$4:$B$53&lt;&gt;""))&gt;0)*(EXACT('Plan por grupo'!$A$4:$A$53,$A60))*(EXACT('Plan por grupo'!$B$4:$B$53,$D60)),0),0)),"",IF(ISBLANK(INDEX('Plan por grupo'!$C$4:$C$53,MATCH(1,INDEX(1*((('Plan por grupo'!$A$4:$A$53&lt;&gt;"")+('Plan por grupo'!$B$4:$B$53&lt;&gt;""))&gt;0)*(EXACT('Plan por grupo'!$A$4:$A$53,$A60))*(EXACT('Plan por grupo'!$B$4:$B$53,$D60)),0),0))),"",INDEX('Plan por grupo'!$C$4:$C$53,MATCH(1,INDEX(1*((('Plan por grupo'!$A$4:$A$53&lt;&gt;"")+('Plan por grupo'!$B$4:$B$53&lt;&gt;""))&gt;0)*(EXACT('Plan por grupo'!$A$4:$A$53,$A60))*(EXACT('Plan por grupo'!$B$4:$B$53,$D60)),0),0))))</f>
        <v/>
      </c>
      <c r="G60" s="3">
        <f>IF(ISNA(MATCH(1,INDEX(EXACT('Asignaturas'!$A$4:$A$38,$D60)*1*((('Asignaturas'!$A$4:$A$38&lt;&gt;""))&gt;0),0),0)),"",IF(ISBLANK(INDEX('Asignaturas'!$D$4:$D$38,MATCH(1,INDEX(EXACT('Asignaturas'!$A$4:$A$38,$D60)*1*((('Asignaturas'!$A$4:$A$38&lt;&gt;""))&gt;0),0),0))),"",INDEX('Asignaturas'!$D$4:$D$38,MATCH(1,INDEX(EXACT('Asignaturas'!$A$4:$A$38,$D60)*1*((('Asignaturas'!$A$4:$A$38&lt;&gt;""))&gt;0)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IF(ISNA(MATCH(1,INDEX(1*((('Plan por grupo'!$A$4:$A$53&lt;&gt;"")+('Plan por grupo'!$B$4:$B$53&lt;&gt;""))&gt;0)*(EXACT('Plan por grupo'!$A$4:$A$53,$A60))*(EXACT('Plan por grupo'!$B$4:$B$53,$D60)),0),0)),"no",IF(ISBLANK(INDEX('Plan por grupo'!$G$4:$G$53,MATCH(1,INDEX(1*((('Plan por grupo'!$A$4:$A$53&lt;&gt;"")+('Plan por grupo'!$B$4:$B$53&lt;&gt;""))&gt;0)*(EXACT('Plan por grupo'!$A$4:$A$53,$A60))*(EXACT('Plan por grupo'!$B$4:$B$53,$D60)),0),0))),"",INDEX('Plan por grupo'!$G$4:$G$53,MATCH(1,INDEX(1*((('Plan por grupo'!$A$4:$A$53&lt;&gt;"")+('Plan por grupo'!$B$4:$B$53&lt;&gt;""))&gt;0)*(EXACT('Plan por grupo'!$A$4:$A$53,$A60))*(EXACT('Plan por grupo'!$B$4:$B$53,$D60)),0),0))))</f>
        <v/>
      </c>
      <c r="J60" s="3">
        <f>IF(ISNA(MATCH(1,INDEX(1*((('Plan por grupo'!$A$4:$A$53&lt;&gt;"")+('Plan por grupo'!$B$4:$B$53&lt;&gt;""))&gt;0)*(EXACT('Plan por grupo'!$A$4:$A$53,$A60))*(EXACT('Plan por grupo'!$B$4:$B$53,$D60)),0),0)),"no",IF(ISBLANK(INDEX('Plan por grupo'!$E$4:$E$53,MATCH(1,INDEX(1*((('Plan por grupo'!$A$4:$A$53&lt;&gt;"")+('Plan por grupo'!$B$4:$B$53&lt;&gt;""))&gt;0)*(EXACT('Plan por grupo'!$A$4:$A$53,$A60))*(EXACT('Plan por grupo'!$B$4:$B$53,$D60)),0),0))),"",INDEX('Plan por grupo'!$E$4:$E$53,MATCH(1,INDEX(1*((('Plan por grupo'!$A$4:$A$53&lt;&gt;"")+('Plan por grupo'!$B$4:$B$53&lt;&gt;""))&gt;0)*(EXACT('Plan por grupo'!$A$4:$A$53,$A60))*(EXACT('Plan por grupo'!$B$4:$B$53,$D60)),0),0))))</f>
        <v/>
      </c>
      <c r="K60" s="3">
        <f>IF(ISNA(MATCH(1,INDEX(EXACT('Asignaturas'!$A$4:$A$38,$D60)*1*((('Asignaturas'!$A$4:$A$38&lt;&gt;""))&gt;0),0),0)),"",IF(ISBLANK(INDEX('Asignaturas'!$C$4:$C$38,MATCH(1,INDEX(EXACT('Asignaturas'!$A$4:$A$38,$D60)*1*((('Asignaturas'!$A$4:$A$38&lt;&gt;""))&gt;0),0),0))),"",INDEX('Asignaturas'!$C$4:$C$38,MATCH(1,INDEX(EXACT('Asignaturas'!$A$4:$A$38,$D60)*1*((('Asignaturas'!$A$4:$A$38&lt;&gt;""))&gt;0),0),0))))</f>
        <v/>
      </c>
      <c r="L60" s="3">
        <f>IF(ISNA(MATCH(1,INDEX(EXACT('Profesores'!$A$4:$A$53,$F60)*1*((('Profesores'!$A$4:$A$53&lt;&gt;""))&gt;0),0),0)),"no",IF(ISBLANK(INDEX('Profesores'!$B$4:$B$53,MATCH(1,INDEX(EXACT('Profesores'!$A$4:$A$53,$F60)*1*((('Profesores'!$A$4:$A$53&lt;&gt;""))&gt;0),0),0))),"",INDEX('Profesores'!$B$4:$B$53,MATCH(1,INDEX(EXACT('Profesores'!$A$4:$A$53,$F60)*1*((('Profesores'!$A$4:$A$53&lt;&gt;""))&gt;0),0),0))))</f>
        <v/>
      </c>
      <c r="M60" s="3">
        <f>IF(ISNA(MATCH(1,INDEX(EXACT('Profesores'!$A$4:$A$53,$F60)*1*((('Profesores'!$A$4:$A$53&lt;&gt;""))&gt;0),0),0)),"no",IF(ISBLANK(INDEX('Profesores'!$C$4:$C$53,MATCH(1,INDEX(EXACT('Profesores'!$A$4:$A$53,$F60)*1*((('Profesores'!$A$4:$A$53&lt;&gt;""))&gt;0),0),0))),"",INDEX('Profesores'!$C$4:$C$53,MATCH(1,INDEX(EXACT('Profesores'!$A$4:$A$53,$F60)*1*((('Profesores'!$A$4:$A$53&lt;&gt;""))&gt;0),0),0))))</f>
        <v/>
      </c>
      <c r="N60" s="3">
        <f>IF(EXACT($L60,"si"),IF(ISNA(MATCH(1,INDEX(1*((('Dias que asisten los contratado'!$A$4:$A$24&lt;&gt;"")+('Dias que asisten los contratado'!$B$4:$B$24&lt;&gt;""))&gt;0)*(EXACT('Dias que asisten los contratado'!$A$4:$A$24,$F60))*(EXACT('Dias que asisten los contratado'!$B$4:$B$24,$B60)),0),0)),"no",IF(ISBLANK(INDEX('Dias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contratado'!$B$4:$B$24,$B60)),0),0))),"",INDEX('Dias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contratado'!$B$4:$B$24,$B60)),0),0)))),"")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3">
        <f>IF(ISBLANK('Horario del grupo - 10-4'!D9),"",'Horario del grupo - 10-4'!D9)</f>
        <v/>
      </c>
      <c r="E61" s="3">
        <f>IF(ISNA(MATCH(1,INDEX(EXACT('Asignaturas'!$A$4:$A$38,$D61)*1*((('Asignaturas'!$A$4:$A$38&lt;&gt;""))&gt;0),0),0)),"",IF(ISBLANK(INDEX('Asignaturas'!$B$4:$B$38,MATCH(1,INDEX(EXACT('Asignaturas'!$A$4:$A$38,$D61)*1*((('Asignaturas'!$A$4:$A$38&lt;&gt;""))&gt;0),0),0))),"",INDEX('Asignaturas'!$B$4:$B$38,MATCH(1,INDEX(EXACT('Asignaturas'!$A$4:$A$38,$D61)*1*((('Asignaturas'!$A$4:$A$38&lt;&gt;""))&gt;0),0),0))))</f>
        <v/>
      </c>
      <c r="F61" s="3">
        <f>IF(ISNA(MATCH(1,INDEX(1*((('Plan por grupo'!$A$4:$A$53&lt;&gt;"")+('Plan por grupo'!$B$4:$B$53&lt;&gt;""))&gt;0)*(EXACT('Plan por grupo'!$A$4:$A$53,$A61))*(EXACT('Plan por grupo'!$B$4:$B$53,$D61)),0),0)),"",IF(ISBLANK(INDEX('Plan por grupo'!$C$4:$C$53,MATCH(1,INDEX(1*((('Plan por grupo'!$A$4:$A$53&lt;&gt;"")+('Plan por grupo'!$B$4:$B$53&lt;&gt;""))&gt;0)*(EXACT('Plan por grupo'!$A$4:$A$53,$A61))*(EXACT('Plan por grupo'!$B$4:$B$53,$D61)),0),0))),"",INDEX('Plan por grupo'!$C$4:$C$53,MATCH(1,INDEX(1*((('Plan por grupo'!$A$4:$A$53&lt;&gt;"")+('Plan por grupo'!$B$4:$B$53&lt;&gt;""))&gt;0)*(EXACT('Plan por grupo'!$A$4:$A$53,$A61))*(EXACT('Plan por grupo'!$B$4:$B$53,$D61)),0),0))))</f>
        <v/>
      </c>
      <c r="G61" s="3">
        <f>IF(ISNA(MATCH(1,INDEX(EXACT('Asignaturas'!$A$4:$A$38,$D61)*1*((('Asignaturas'!$A$4:$A$38&lt;&gt;""))&gt;0),0),0)),"",IF(ISBLANK(INDEX('Asignaturas'!$D$4:$D$38,MATCH(1,INDEX(EXACT('Asignaturas'!$A$4:$A$38,$D61)*1*((('Asignaturas'!$A$4:$A$38&lt;&gt;""))&gt;0),0),0))),"",INDEX('Asignaturas'!$D$4:$D$38,MATCH(1,INDEX(EXACT('Asignaturas'!$A$4:$A$38,$D61)*1*((('Asignaturas'!$A$4:$A$38&lt;&gt;""))&gt;0)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IF(ISNA(MATCH(1,INDEX(1*((('Plan por grupo'!$A$4:$A$53&lt;&gt;"")+('Plan por grupo'!$B$4:$B$53&lt;&gt;""))&gt;0)*(EXACT('Plan por grupo'!$A$4:$A$53,$A61))*(EXACT('Plan por grupo'!$B$4:$B$53,$D61)),0),0)),"no",IF(ISBLANK(INDEX('Plan por grupo'!$G$4:$G$53,MATCH(1,INDEX(1*((('Plan por grupo'!$A$4:$A$53&lt;&gt;"")+('Plan por grupo'!$B$4:$B$53&lt;&gt;""))&gt;0)*(EXACT('Plan por grupo'!$A$4:$A$53,$A61))*(EXACT('Plan por grupo'!$B$4:$B$53,$D61)),0),0))),"",INDEX('Plan por grupo'!$G$4:$G$53,MATCH(1,INDEX(1*((('Plan por grupo'!$A$4:$A$53&lt;&gt;"")+('Plan por grupo'!$B$4:$B$53&lt;&gt;""))&gt;0)*(EXACT('Plan por grupo'!$A$4:$A$53,$A61))*(EXACT('Plan por grupo'!$B$4:$B$53,$D61)),0),0))))</f>
        <v/>
      </c>
      <c r="J61" s="3">
        <f>IF(ISNA(MATCH(1,INDEX(1*((('Plan por grupo'!$A$4:$A$53&lt;&gt;"")+('Plan por grupo'!$B$4:$B$53&lt;&gt;""))&gt;0)*(EXACT('Plan por grupo'!$A$4:$A$53,$A61))*(EXACT('Plan por grupo'!$B$4:$B$53,$D61)),0),0)),"no",IF(ISBLANK(INDEX('Plan por grupo'!$E$4:$E$53,MATCH(1,INDEX(1*((('Plan por grupo'!$A$4:$A$53&lt;&gt;"")+('Plan por grupo'!$B$4:$B$53&lt;&gt;""))&gt;0)*(EXACT('Plan por grupo'!$A$4:$A$53,$A61))*(EXACT('Plan por grupo'!$B$4:$B$53,$D61)),0),0))),"",INDEX('Plan por grupo'!$E$4:$E$53,MATCH(1,INDEX(1*((('Plan por grupo'!$A$4:$A$53&lt;&gt;"")+('Plan por grupo'!$B$4:$B$53&lt;&gt;""))&gt;0)*(EXACT('Plan por grupo'!$A$4:$A$53,$A61))*(EXACT('Plan por grupo'!$B$4:$B$53,$D61)),0),0))))</f>
        <v/>
      </c>
      <c r="K61" s="3">
        <f>IF(ISNA(MATCH(1,INDEX(EXACT('Asignaturas'!$A$4:$A$38,$D61)*1*((('Asignaturas'!$A$4:$A$38&lt;&gt;""))&gt;0),0),0)),"",IF(ISBLANK(INDEX('Asignaturas'!$C$4:$C$38,MATCH(1,INDEX(EXACT('Asignaturas'!$A$4:$A$38,$D61)*1*((('Asignaturas'!$A$4:$A$38&lt;&gt;""))&gt;0),0),0))),"",INDEX('Asignaturas'!$C$4:$C$38,MATCH(1,INDEX(EXACT('Asignaturas'!$A$4:$A$38,$D61)*1*((('Asignaturas'!$A$4:$A$38&lt;&gt;""))&gt;0),0),0))))</f>
        <v/>
      </c>
      <c r="L61" s="3">
        <f>IF(ISNA(MATCH(1,INDEX(EXACT('Profesores'!$A$4:$A$53,$F61)*1*((('Profesores'!$A$4:$A$53&lt;&gt;""))&gt;0),0),0)),"no",IF(ISBLANK(INDEX('Profesores'!$B$4:$B$53,MATCH(1,INDEX(EXACT('Profesores'!$A$4:$A$53,$F61)*1*((('Profesores'!$A$4:$A$53&lt;&gt;""))&gt;0),0),0))),"",INDEX('Profesores'!$B$4:$B$53,MATCH(1,INDEX(EXACT('Profesores'!$A$4:$A$53,$F61)*1*((('Profesores'!$A$4:$A$53&lt;&gt;""))&gt;0),0),0))))</f>
        <v/>
      </c>
      <c r="M61" s="3">
        <f>IF(ISNA(MATCH(1,INDEX(EXACT('Profesores'!$A$4:$A$53,$F61)*1*((('Profesores'!$A$4:$A$53&lt;&gt;""))&gt;0),0),0)),"no",IF(ISBLANK(INDEX('Profesores'!$C$4:$C$53,MATCH(1,INDEX(EXACT('Profesores'!$A$4:$A$53,$F61)*1*((('Profesores'!$A$4:$A$53&lt;&gt;""))&gt;0),0),0))),"",INDEX('Profesores'!$C$4:$C$53,MATCH(1,INDEX(EXACT('Profesores'!$A$4:$A$53,$F61)*1*((('Profesores'!$A$4:$A$53&lt;&gt;""))&gt;0),0),0))))</f>
        <v/>
      </c>
      <c r="N61" s="3">
        <f>IF(EXACT($L61,"si"),IF(ISNA(MATCH(1,INDEX(1*((('Dias que asisten los contratado'!$A$4:$A$24&lt;&gt;"")+('Dias que asisten los contratado'!$B$4:$B$24&lt;&gt;""))&gt;0)*(EXACT('Dias que asisten los contratado'!$A$4:$A$24,$F61))*(EXACT('Dias que asisten los contratado'!$B$4:$B$24,$B61)),0),0)),"no",IF(ISBLANK(INDEX('Dias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contratado'!$B$4:$B$24,$B61)),0),0))),"",INDEX('Dias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contratado'!$B$4:$B$24,$B61)),0),0)))),"")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3">
        <f>IF(ISBLANK('Horario del grupo - 10-4'!E9),"",'Horario del grupo - 10-4'!E9)</f>
        <v/>
      </c>
      <c r="E62" s="3">
        <f>IF(ISNA(MATCH(1,INDEX(EXACT('Asignaturas'!$A$4:$A$38,$D62)*1*((('Asignaturas'!$A$4:$A$38&lt;&gt;""))&gt;0),0),0)),"",IF(ISBLANK(INDEX('Asignaturas'!$B$4:$B$38,MATCH(1,INDEX(EXACT('Asignaturas'!$A$4:$A$38,$D62)*1*((('Asignaturas'!$A$4:$A$38&lt;&gt;""))&gt;0),0),0))),"",INDEX('Asignaturas'!$B$4:$B$38,MATCH(1,INDEX(EXACT('Asignaturas'!$A$4:$A$38,$D62)*1*((('Asignaturas'!$A$4:$A$38&lt;&gt;""))&gt;0),0),0))))</f>
        <v/>
      </c>
      <c r="F62" s="3">
        <f>IF(ISNA(MATCH(1,INDEX(1*((('Plan por grupo'!$A$4:$A$53&lt;&gt;"")+('Plan por grupo'!$B$4:$B$53&lt;&gt;""))&gt;0)*(EXACT('Plan por grupo'!$A$4:$A$53,$A62))*(EXACT('Plan por grupo'!$B$4:$B$53,$D62)),0),0)),"",IF(ISBLANK(INDEX('Plan por grupo'!$C$4:$C$53,MATCH(1,INDEX(1*((('Plan por grupo'!$A$4:$A$53&lt;&gt;"")+('Plan por grupo'!$B$4:$B$53&lt;&gt;""))&gt;0)*(EXACT('Plan por grupo'!$A$4:$A$53,$A62))*(EXACT('Plan por grupo'!$B$4:$B$53,$D62)),0),0))),"",INDEX('Plan por grupo'!$C$4:$C$53,MATCH(1,INDEX(1*((('Plan por grupo'!$A$4:$A$53&lt;&gt;"")+('Plan por grupo'!$B$4:$B$53&lt;&gt;""))&gt;0)*(EXACT('Plan por grupo'!$A$4:$A$53,$A62))*(EXACT('Plan por grupo'!$B$4:$B$53,$D62)),0),0))))</f>
        <v/>
      </c>
      <c r="G62" s="3">
        <f>IF(ISNA(MATCH(1,INDEX(EXACT('Asignaturas'!$A$4:$A$38,$D62)*1*((('Asignaturas'!$A$4:$A$38&lt;&gt;""))&gt;0),0),0)),"",IF(ISBLANK(INDEX('Asignaturas'!$D$4:$D$38,MATCH(1,INDEX(EXACT('Asignaturas'!$A$4:$A$38,$D62)*1*((('Asignaturas'!$A$4:$A$38&lt;&gt;""))&gt;0),0),0))),"",INDEX('Asignaturas'!$D$4:$D$38,MATCH(1,INDEX(EXACT('Asignaturas'!$A$4:$A$38,$D62)*1*((('Asignaturas'!$A$4:$A$38&lt;&gt;""))&gt;0)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IF(ISNA(MATCH(1,INDEX(1*((('Plan por grupo'!$A$4:$A$53&lt;&gt;"")+('Plan por grupo'!$B$4:$B$53&lt;&gt;""))&gt;0)*(EXACT('Plan por grupo'!$A$4:$A$53,$A62))*(EXACT('Plan por grupo'!$B$4:$B$53,$D62)),0),0)),"no",IF(ISBLANK(INDEX('Plan por grupo'!$G$4:$G$53,MATCH(1,INDEX(1*((('Plan por grupo'!$A$4:$A$53&lt;&gt;"")+('Plan por grupo'!$B$4:$B$53&lt;&gt;""))&gt;0)*(EXACT('Plan por grupo'!$A$4:$A$53,$A62))*(EXACT('Plan por grupo'!$B$4:$B$53,$D62)),0),0))),"",INDEX('Plan por grupo'!$G$4:$G$53,MATCH(1,INDEX(1*((('Plan por grupo'!$A$4:$A$53&lt;&gt;"")+('Plan por grupo'!$B$4:$B$53&lt;&gt;""))&gt;0)*(EXACT('Plan por grupo'!$A$4:$A$53,$A62))*(EXACT('Plan por grupo'!$B$4:$B$53,$D62)),0),0))))</f>
        <v/>
      </c>
      <c r="J62" s="3">
        <f>IF(ISNA(MATCH(1,INDEX(1*((('Plan por grupo'!$A$4:$A$53&lt;&gt;"")+('Plan por grupo'!$B$4:$B$53&lt;&gt;""))&gt;0)*(EXACT('Plan por grupo'!$A$4:$A$53,$A62))*(EXACT('Plan por grupo'!$B$4:$B$53,$D62)),0),0)),"no",IF(ISBLANK(INDEX('Plan por grupo'!$E$4:$E$53,MATCH(1,INDEX(1*((('Plan por grupo'!$A$4:$A$53&lt;&gt;"")+('Plan por grupo'!$B$4:$B$53&lt;&gt;""))&gt;0)*(EXACT('Plan por grupo'!$A$4:$A$53,$A62))*(EXACT('Plan por grupo'!$B$4:$B$53,$D62)),0),0))),"",INDEX('Plan por grupo'!$E$4:$E$53,MATCH(1,INDEX(1*((('Plan por grupo'!$A$4:$A$53&lt;&gt;"")+('Plan por grupo'!$B$4:$B$53&lt;&gt;""))&gt;0)*(EXACT('Plan por grupo'!$A$4:$A$53,$A62))*(EXACT('Plan por grupo'!$B$4:$B$53,$D62)),0),0))))</f>
        <v/>
      </c>
      <c r="K62" s="3">
        <f>IF(ISNA(MATCH(1,INDEX(EXACT('Asignaturas'!$A$4:$A$38,$D62)*1*((('Asignaturas'!$A$4:$A$38&lt;&gt;""))&gt;0),0),0)),"",IF(ISBLANK(INDEX('Asignaturas'!$C$4:$C$38,MATCH(1,INDEX(EXACT('Asignaturas'!$A$4:$A$38,$D62)*1*((('Asignaturas'!$A$4:$A$38&lt;&gt;""))&gt;0),0),0))),"",INDEX('Asignaturas'!$C$4:$C$38,MATCH(1,INDEX(EXACT('Asignaturas'!$A$4:$A$38,$D62)*1*((('Asignaturas'!$A$4:$A$38&lt;&gt;""))&gt;0),0),0))))</f>
        <v/>
      </c>
      <c r="L62" s="3">
        <f>IF(ISNA(MATCH(1,INDEX(EXACT('Profesores'!$A$4:$A$53,$F62)*1*((('Profesores'!$A$4:$A$53&lt;&gt;""))&gt;0),0),0)),"no",IF(ISBLANK(INDEX('Profesores'!$B$4:$B$53,MATCH(1,INDEX(EXACT('Profesores'!$A$4:$A$53,$F62)*1*((('Profesores'!$A$4:$A$53&lt;&gt;""))&gt;0),0),0))),"",INDEX('Profesores'!$B$4:$B$53,MATCH(1,INDEX(EXACT('Profesores'!$A$4:$A$53,$F62)*1*((('Profesores'!$A$4:$A$53&lt;&gt;""))&gt;0),0),0))))</f>
        <v/>
      </c>
      <c r="M62" s="3">
        <f>IF(ISNA(MATCH(1,INDEX(EXACT('Profesores'!$A$4:$A$53,$F62)*1*((('Profesores'!$A$4:$A$53&lt;&gt;""))&gt;0),0),0)),"no",IF(ISBLANK(INDEX('Profesores'!$C$4:$C$53,MATCH(1,INDEX(EXACT('Profesores'!$A$4:$A$53,$F62)*1*((('Profesores'!$A$4:$A$53&lt;&gt;""))&gt;0),0),0))),"",INDEX('Profesores'!$C$4:$C$53,MATCH(1,INDEX(EXACT('Profesores'!$A$4:$A$53,$F62)*1*((('Profesores'!$A$4:$A$53&lt;&gt;""))&gt;0),0),0))))</f>
        <v/>
      </c>
      <c r="N62" s="3">
        <f>IF(EXACT($L62,"si"),IF(ISNA(MATCH(1,INDEX(1*((('Dias que asisten los contratado'!$A$4:$A$24&lt;&gt;"")+('Dias que asisten los contratado'!$B$4:$B$24&lt;&gt;""))&gt;0)*(EXACT('Dias que asisten los contratado'!$A$4:$A$24,$F62))*(EXACT('Dias que asisten los contratado'!$B$4:$B$24,$B62)),0),0)),"no",IF(ISBLANK(INDEX('Dias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contratado'!$B$4:$B$24,$B62)),0),0))),"",INDEX('Dias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contratado'!$B$4:$B$24,$B62)),0),0)))),"")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3">
        <f>IF(ISBLANK('Horario del grupo - 10-4'!F9),"",'Horario del grupo - 10-4'!F9)</f>
        <v/>
      </c>
      <c r="E63" s="3">
        <f>IF(ISNA(MATCH(1,INDEX(EXACT('Asignaturas'!$A$4:$A$38,$D63)*1*((('Asignaturas'!$A$4:$A$38&lt;&gt;""))&gt;0),0),0)),"",IF(ISBLANK(INDEX('Asignaturas'!$B$4:$B$38,MATCH(1,INDEX(EXACT('Asignaturas'!$A$4:$A$38,$D63)*1*((('Asignaturas'!$A$4:$A$38&lt;&gt;""))&gt;0),0),0))),"",INDEX('Asignaturas'!$B$4:$B$38,MATCH(1,INDEX(EXACT('Asignaturas'!$A$4:$A$38,$D63)*1*((('Asignaturas'!$A$4:$A$38&lt;&gt;""))&gt;0),0),0))))</f>
        <v/>
      </c>
      <c r="F63" s="3">
        <f>IF(ISNA(MATCH(1,INDEX(1*((('Plan por grupo'!$A$4:$A$53&lt;&gt;"")+('Plan por grupo'!$B$4:$B$53&lt;&gt;""))&gt;0)*(EXACT('Plan por grupo'!$A$4:$A$53,$A63))*(EXACT('Plan por grupo'!$B$4:$B$53,$D63)),0),0)),"",IF(ISBLANK(INDEX('Plan por grupo'!$C$4:$C$53,MATCH(1,INDEX(1*((('Plan por grupo'!$A$4:$A$53&lt;&gt;"")+('Plan por grupo'!$B$4:$B$53&lt;&gt;""))&gt;0)*(EXACT('Plan por grupo'!$A$4:$A$53,$A63))*(EXACT('Plan por grupo'!$B$4:$B$53,$D63)),0),0))),"",INDEX('Plan por grupo'!$C$4:$C$53,MATCH(1,INDEX(1*((('Plan por grupo'!$A$4:$A$53&lt;&gt;"")+('Plan por grupo'!$B$4:$B$53&lt;&gt;""))&gt;0)*(EXACT('Plan por grupo'!$A$4:$A$53,$A63))*(EXACT('Plan por grupo'!$B$4:$B$53,$D63)),0),0))))</f>
        <v/>
      </c>
      <c r="G63" s="3">
        <f>IF(ISNA(MATCH(1,INDEX(EXACT('Asignaturas'!$A$4:$A$38,$D63)*1*((('Asignaturas'!$A$4:$A$38&lt;&gt;""))&gt;0),0),0)),"",IF(ISBLANK(INDEX('Asignaturas'!$D$4:$D$38,MATCH(1,INDEX(EXACT('Asignaturas'!$A$4:$A$38,$D63)*1*((('Asignaturas'!$A$4:$A$38&lt;&gt;""))&gt;0),0),0))),"",INDEX('Asignaturas'!$D$4:$D$38,MATCH(1,INDEX(EXACT('Asignaturas'!$A$4:$A$38,$D63)*1*((('Asignaturas'!$A$4:$A$38&lt;&gt;""))&gt;0)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IF(ISNA(MATCH(1,INDEX(1*((('Plan por grupo'!$A$4:$A$53&lt;&gt;"")+('Plan por grupo'!$B$4:$B$53&lt;&gt;""))&gt;0)*(EXACT('Plan por grupo'!$A$4:$A$53,$A63))*(EXACT('Plan por grupo'!$B$4:$B$53,$D63)),0),0)),"no",IF(ISBLANK(INDEX('Plan por grupo'!$G$4:$G$53,MATCH(1,INDEX(1*((('Plan por grupo'!$A$4:$A$53&lt;&gt;"")+('Plan por grupo'!$B$4:$B$53&lt;&gt;""))&gt;0)*(EXACT('Plan por grupo'!$A$4:$A$53,$A63))*(EXACT('Plan por grupo'!$B$4:$B$53,$D63)),0),0))),"",INDEX('Plan por grupo'!$G$4:$G$53,MATCH(1,INDEX(1*((('Plan por grupo'!$A$4:$A$53&lt;&gt;"")+('Plan por grupo'!$B$4:$B$53&lt;&gt;""))&gt;0)*(EXACT('Plan por grupo'!$A$4:$A$53,$A63))*(EXACT('Plan por grupo'!$B$4:$B$53,$D63)),0),0))))</f>
        <v/>
      </c>
      <c r="J63" s="3">
        <f>IF(ISNA(MATCH(1,INDEX(1*((('Plan por grupo'!$A$4:$A$53&lt;&gt;"")+('Plan por grupo'!$B$4:$B$53&lt;&gt;""))&gt;0)*(EXACT('Plan por grupo'!$A$4:$A$53,$A63))*(EXACT('Plan por grupo'!$B$4:$B$53,$D63)),0),0)),"no",IF(ISBLANK(INDEX('Plan por grupo'!$E$4:$E$53,MATCH(1,INDEX(1*((('Plan por grupo'!$A$4:$A$53&lt;&gt;"")+('Plan por grupo'!$B$4:$B$53&lt;&gt;""))&gt;0)*(EXACT('Plan por grupo'!$A$4:$A$53,$A63))*(EXACT('Plan por grupo'!$B$4:$B$53,$D63)),0),0))),"",INDEX('Plan por grupo'!$E$4:$E$53,MATCH(1,INDEX(1*((('Plan por grupo'!$A$4:$A$53&lt;&gt;"")+('Plan por grupo'!$B$4:$B$53&lt;&gt;""))&gt;0)*(EXACT('Plan por grupo'!$A$4:$A$53,$A63))*(EXACT('Plan por grupo'!$B$4:$B$53,$D63)),0),0))))</f>
        <v/>
      </c>
      <c r="K63" s="3">
        <f>IF(ISNA(MATCH(1,INDEX(EXACT('Asignaturas'!$A$4:$A$38,$D63)*1*((('Asignaturas'!$A$4:$A$38&lt;&gt;""))&gt;0),0),0)),"",IF(ISBLANK(INDEX('Asignaturas'!$C$4:$C$38,MATCH(1,INDEX(EXACT('Asignaturas'!$A$4:$A$38,$D63)*1*((('Asignaturas'!$A$4:$A$38&lt;&gt;""))&gt;0),0),0))),"",INDEX('Asignaturas'!$C$4:$C$38,MATCH(1,INDEX(EXACT('Asignaturas'!$A$4:$A$38,$D63)*1*((('Asignaturas'!$A$4:$A$38&lt;&gt;""))&gt;0),0),0))))</f>
        <v/>
      </c>
      <c r="L63" s="3">
        <f>IF(ISNA(MATCH(1,INDEX(EXACT('Profesores'!$A$4:$A$53,$F63)*1*((('Profesores'!$A$4:$A$53&lt;&gt;""))&gt;0),0),0)),"no",IF(ISBLANK(INDEX('Profesores'!$B$4:$B$53,MATCH(1,INDEX(EXACT('Profesores'!$A$4:$A$53,$F63)*1*((('Profesores'!$A$4:$A$53&lt;&gt;""))&gt;0),0),0))),"",INDEX('Profesores'!$B$4:$B$53,MATCH(1,INDEX(EXACT('Profesores'!$A$4:$A$53,$F63)*1*((('Profesores'!$A$4:$A$53&lt;&gt;""))&gt;0),0),0))))</f>
        <v/>
      </c>
      <c r="M63" s="3">
        <f>IF(ISNA(MATCH(1,INDEX(EXACT('Profesores'!$A$4:$A$53,$F63)*1*((('Profesores'!$A$4:$A$53&lt;&gt;""))&gt;0),0),0)),"no",IF(ISBLANK(INDEX('Profesores'!$C$4:$C$53,MATCH(1,INDEX(EXACT('Profesores'!$A$4:$A$53,$F63)*1*((('Profesores'!$A$4:$A$53&lt;&gt;""))&gt;0),0),0))),"",INDEX('Profesores'!$C$4:$C$53,MATCH(1,INDEX(EXACT('Profesores'!$A$4:$A$53,$F63)*1*((('Profesores'!$A$4:$A$53&lt;&gt;""))&gt;0),0),0))))</f>
        <v/>
      </c>
      <c r="N63" s="3">
        <f>IF(EXACT($L63,"si"),IF(ISNA(MATCH(1,INDEX(1*((('Dias que asisten los contratado'!$A$4:$A$24&lt;&gt;"")+('Dias que asisten los contratado'!$B$4:$B$24&lt;&gt;""))&gt;0)*(EXACT('Dias que asisten los contratado'!$A$4:$A$24,$F63))*(EXACT('Dias que asisten los contratado'!$B$4:$B$24,$B63)),0),0)),"no",IF(ISBLANK(INDEX('Dias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contratado'!$B$4:$B$24,$B63)),0),0))),"",INDEX('Dias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contratado'!$B$4:$B$24,$B63)),0),0)))),"")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3">
        <f>IF(ISBLANK('Horario del grupo - 10-3'!B10),"",'Horario del grupo - 10-3'!B10)</f>
        <v/>
      </c>
      <c r="E64" s="3">
        <f>IF(ISNA(MATCH(1,INDEX(EXACT('Asignaturas'!$A$4:$A$38,$D64)*1*((('Asignaturas'!$A$4:$A$38&lt;&gt;""))&gt;0),0),0)),"",IF(ISBLANK(INDEX('Asignaturas'!$B$4:$B$38,MATCH(1,INDEX(EXACT('Asignaturas'!$A$4:$A$38,$D64)*1*((('Asignaturas'!$A$4:$A$38&lt;&gt;""))&gt;0),0),0))),"",INDEX('Asignaturas'!$B$4:$B$38,MATCH(1,INDEX(EXACT('Asignaturas'!$A$4:$A$38,$D64)*1*((('Asignaturas'!$A$4:$A$38&lt;&gt;""))&gt;0),0),0))))</f>
        <v/>
      </c>
      <c r="F64" s="3">
        <f>IF(ISNA(MATCH(1,INDEX(1*((('Plan por grupo'!$A$4:$A$53&lt;&gt;"")+('Plan por grupo'!$B$4:$B$53&lt;&gt;""))&gt;0)*(EXACT('Plan por grupo'!$A$4:$A$53,$A64))*(EXACT('Plan por grupo'!$B$4:$B$53,$D64)),0),0)),"",IF(ISBLANK(INDEX('Plan por grupo'!$C$4:$C$53,MATCH(1,INDEX(1*((('Plan por grupo'!$A$4:$A$53&lt;&gt;"")+('Plan por grupo'!$B$4:$B$53&lt;&gt;""))&gt;0)*(EXACT('Plan por grupo'!$A$4:$A$53,$A64))*(EXACT('Plan por grupo'!$B$4:$B$53,$D64)),0),0))),"",INDEX('Plan por grupo'!$C$4:$C$53,MATCH(1,INDEX(1*((('Plan por grupo'!$A$4:$A$53&lt;&gt;"")+('Plan por grupo'!$B$4:$B$53&lt;&gt;""))&gt;0)*(EXACT('Plan por grupo'!$A$4:$A$53,$A64))*(EXACT('Plan por grupo'!$B$4:$B$53,$D64)),0),0))))</f>
        <v/>
      </c>
      <c r="G64" s="3">
        <f>IF(ISNA(MATCH(1,INDEX(EXACT('Asignaturas'!$A$4:$A$38,$D64)*1*((('Asignaturas'!$A$4:$A$38&lt;&gt;""))&gt;0),0),0)),"",IF(ISBLANK(INDEX('Asignaturas'!$D$4:$D$38,MATCH(1,INDEX(EXACT('Asignaturas'!$A$4:$A$38,$D64)*1*((('Asignaturas'!$A$4:$A$38&lt;&gt;""))&gt;0),0),0))),"",INDEX('Asignaturas'!$D$4:$D$38,MATCH(1,INDEX(EXACT('Asignaturas'!$A$4:$A$38,$D64)*1*((('Asignaturas'!$A$4:$A$38&lt;&gt;""))&gt;0)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IF(ISNA(MATCH(1,INDEX(1*((('Plan por grupo'!$A$4:$A$53&lt;&gt;"")+('Plan por grupo'!$B$4:$B$53&lt;&gt;""))&gt;0)*(EXACT('Plan por grupo'!$A$4:$A$53,$A64))*(EXACT('Plan por grupo'!$B$4:$B$53,$D64)),0),0)),"no",IF(ISBLANK(INDEX('Plan por grupo'!$G$4:$G$53,MATCH(1,INDEX(1*((('Plan por grupo'!$A$4:$A$53&lt;&gt;"")+('Plan por grupo'!$B$4:$B$53&lt;&gt;""))&gt;0)*(EXACT('Plan por grupo'!$A$4:$A$53,$A64))*(EXACT('Plan por grupo'!$B$4:$B$53,$D64)),0),0))),"",INDEX('Plan por grupo'!$G$4:$G$53,MATCH(1,INDEX(1*((('Plan por grupo'!$A$4:$A$53&lt;&gt;"")+('Plan por grupo'!$B$4:$B$53&lt;&gt;""))&gt;0)*(EXACT('Plan por grupo'!$A$4:$A$53,$A64))*(EXACT('Plan por grupo'!$B$4:$B$53,$D64)),0),0))))</f>
        <v/>
      </c>
      <c r="J64" s="3">
        <f>IF(ISNA(MATCH(1,INDEX(1*((('Plan por grupo'!$A$4:$A$53&lt;&gt;"")+('Plan por grupo'!$B$4:$B$53&lt;&gt;""))&gt;0)*(EXACT('Plan por grupo'!$A$4:$A$53,$A64))*(EXACT('Plan por grupo'!$B$4:$B$53,$D64)),0),0)),"no",IF(ISBLANK(INDEX('Plan por grupo'!$E$4:$E$53,MATCH(1,INDEX(1*((('Plan por grupo'!$A$4:$A$53&lt;&gt;"")+('Plan por grupo'!$B$4:$B$53&lt;&gt;""))&gt;0)*(EXACT('Plan por grupo'!$A$4:$A$53,$A64))*(EXACT('Plan por grupo'!$B$4:$B$53,$D64)),0),0))),"",INDEX('Plan por grupo'!$E$4:$E$53,MATCH(1,INDEX(1*((('Plan por grupo'!$A$4:$A$53&lt;&gt;"")+('Plan por grupo'!$B$4:$B$53&lt;&gt;""))&gt;0)*(EXACT('Plan por grupo'!$A$4:$A$53,$A64))*(EXACT('Plan por grupo'!$B$4:$B$53,$D64)),0),0))))</f>
        <v/>
      </c>
      <c r="K64" s="3">
        <f>IF(ISNA(MATCH(1,INDEX(EXACT('Asignaturas'!$A$4:$A$38,$D64)*1*((('Asignaturas'!$A$4:$A$38&lt;&gt;""))&gt;0),0),0)),"",IF(ISBLANK(INDEX('Asignaturas'!$C$4:$C$38,MATCH(1,INDEX(EXACT('Asignaturas'!$A$4:$A$38,$D64)*1*((('Asignaturas'!$A$4:$A$38&lt;&gt;""))&gt;0),0),0))),"",INDEX('Asignaturas'!$C$4:$C$38,MATCH(1,INDEX(EXACT('Asignaturas'!$A$4:$A$38,$D64)*1*((('Asignaturas'!$A$4:$A$38&lt;&gt;""))&gt;0),0),0))))</f>
        <v/>
      </c>
      <c r="L64" s="3">
        <f>IF(ISNA(MATCH(1,INDEX(EXACT('Profesores'!$A$4:$A$53,$F64)*1*((('Profesores'!$A$4:$A$53&lt;&gt;""))&gt;0),0),0)),"no",IF(ISBLANK(INDEX('Profesores'!$B$4:$B$53,MATCH(1,INDEX(EXACT('Profesores'!$A$4:$A$53,$F64)*1*((('Profesores'!$A$4:$A$53&lt;&gt;""))&gt;0),0),0))),"",INDEX('Profesores'!$B$4:$B$53,MATCH(1,INDEX(EXACT('Profesores'!$A$4:$A$53,$F64)*1*((('Profesores'!$A$4:$A$53&lt;&gt;""))&gt;0),0),0))))</f>
        <v/>
      </c>
      <c r="M64" s="3">
        <f>IF(ISNA(MATCH(1,INDEX(EXACT('Profesores'!$A$4:$A$53,$F64)*1*((('Profesores'!$A$4:$A$53&lt;&gt;""))&gt;0),0),0)),"no",IF(ISBLANK(INDEX('Profesores'!$C$4:$C$53,MATCH(1,INDEX(EXACT('Profesores'!$A$4:$A$53,$F64)*1*((('Profesores'!$A$4:$A$53&lt;&gt;""))&gt;0),0),0))),"",INDEX('Profesores'!$C$4:$C$53,MATCH(1,INDEX(EXACT('Profesores'!$A$4:$A$53,$F64)*1*((('Profesores'!$A$4:$A$53&lt;&gt;""))&gt;0),0),0))))</f>
        <v/>
      </c>
      <c r="N64" s="3">
        <f>IF(EXACT($L64,"si"),IF(ISNA(MATCH(1,INDEX(1*((('Dias que asisten los contratado'!$A$4:$A$24&lt;&gt;"")+('Dias que asisten los contratado'!$B$4:$B$24&lt;&gt;""))&gt;0)*(EXACT('Dias que asisten los contratado'!$A$4:$A$24,$F64))*(EXACT('Dias que asisten los contratado'!$B$4:$B$24,$B64)),0),0)),"no",IF(ISBLANK(INDEX('Dias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contratado'!$B$4:$B$24,$B64)),0),0))),"",INDEX('Dias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contratado'!$B$4:$B$24,$B64)),0),0)))),"")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3">
        <f>IF(ISBLANK('Horario del grupo - 10-3'!C10),"",'Horario del grupo - 10-3'!C10)</f>
        <v/>
      </c>
      <c r="E65" s="3">
        <f>IF(ISNA(MATCH(1,INDEX(EXACT('Asignaturas'!$A$4:$A$38,$D65)*1*((('Asignaturas'!$A$4:$A$38&lt;&gt;""))&gt;0),0),0)),"",IF(ISBLANK(INDEX('Asignaturas'!$B$4:$B$38,MATCH(1,INDEX(EXACT('Asignaturas'!$A$4:$A$38,$D65)*1*((('Asignaturas'!$A$4:$A$38&lt;&gt;""))&gt;0),0),0))),"",INDEX('Asignaturas'!$B$4:$B$38,MATCH(1,INDEX(EXACT('Asignaturas'!$A$4:$A$38,$D65)*1*((('Asignaturas'!$A$4:$A$38&lt;&gt;""))&gt;0),0),0))))</f>
        <v/>
      </c>
      <c r="F65" s="3">
        <f>IF(ISNA(MATCH(1,INDEX(1*((('Plan por grupo'!$A$4:$A$53&lt;&gt;"")+('Plan por grupo'!$B$4:$B$53&lt;&gt;""))&gt;0)*(EXACT('Plan por grupo'!$A$4:$A$53,$A65))*(EXACT('Plan por grupo'!$B$4:$B$53,$D65)),0),0)),"",IF(ISBLANK(INDEX('Plan por grupo'!$C$4:$C$53,MATCH(1,INDEX(1*((('Plan por grupo'!$A$4:$A$53&lt;&gt;"")+('Plan por grupo'!$B$4:$B$53&lt;&gt;""))&gt;0)*(EXACT('Plan por grupo'!$A$4:$A$53,$A65))*(EXACT('Plan por grupo'!$B$4:$B$53,$D65)),0),0))),"",INDEX('Plan por grupo'!$C$4:$C$53,MATCH(1,INDEX(1*((('Plan por grupo'!$A$4:$A$53&lt;&gt;"")+('Plan por grupo'!$B$4:$B$53&lt;&gt;""))&gt;0)*(EXACT('Plan por grupo'!$A$4:$A$53,$A65))*(EXACT('Plan por grupo'!$B$4:$B$53,$D65)),0),0))))</f>
        <v/>
      </c>
      <c r="G65" s="3">
        <f>IF(ISNA(MATCH(1,INDEX(EXACT('Asignaturas'!$A$4:$A$38,$D65)*1*((('Asignaturas'!$A$4:$A$38&lt;&gt;""))&gt;0),0),0)),"",IF(ISBLANK(INDEX('Asignaturas'!$D$4:$D$38,MATCH(1,INDEX(EXACT('Asignaturas'!$A$4:$A$38,$D65)*1*((('Asignaturas'!$A$4:$A$38&lt;&gt;""))&gt;0),0),0))),"",INDEX('Asignaturas'!$D$4:$D$38,MATCH(1,INDEX(EXACT('Asignaturas'!$A$4:$A$38,$D65)*1*((('Asignaturas'!$A$4:$A$38&lt;&gt;""))&gt;0)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IF(ISNA(MATCH(1,INDEX(1*((('Plan por grupo'!$A$4:$A$53&lt;&gt;"")+('Plan por grupo'!$B$4:$B$53&lt;&gt;""))&gt;0)*(EXACT('Plan por grupo'!$A$4:$A$53,$A65))*(EXACT('Plan por grupo'!$B$4:$B$53,$D65)),0),0)),"no",IF(ISBLANK(INDEX('Plan por grupo'!$G$4:$G$53,MATCH(1,INDEX(1*((('Plan por grupo'!$A$4:$A$53&lt;&gt;"")+('Plan por grupo'!$B$4:$B$53&lt;&gt;""))&gt;0)*(EXACT('Plan por grupo'!$A$4:$A$53,$A65))*(EXACT('Plan por grupo'!$B$4:$B$53,$D65)),0),0))),"",INDEX('Plan por grupo'!$G$4:$G$53,MATCH(1,INDEX(1*((('Plan por grupo'!$A$4:$A$53&lt;&gt;"")+('Plan por grupo'!$B$4:$B$53&lt;&gt;""))&gt;0)*(EXACT('Plan por grupo'!$A$4:$A$53,$A65))*(EXACT('Plan por grupo'!$B$4:$B$53,$D65)),0),0))))</f>
        <v/>
      </c>
      <c r="J65" s="3">
        <f>IF(ISNA(MATCH(1,INDEX(1*((('Plan por grupo'!$A$4:$A$53&lt;&gt;"")+('Plan por grupo'!$B$4:$B$53&lt;&gt;""))&gt;0)*(EXACT('Plan por grupo'!$A$4:$A$53,$A65))*(EXACT('Plan por grupo'!$B$4:$B$53,$D65)),0),0)),"no",IF(ISBLANK(INDEX('Plan por grupo'!$E$4:$E$53,MATCH(1,INDEX(1*((('Plan por grupo'!$A$4:$A$53&lt;&gt;"")+('Plan por grupo'!$B$4:$B$53&lt;&gt;""))&gt;0)*(EXACT('Plan por grupo'!$A$4:$A$53,$A65))*(EXACT('Plan por grupo'!$B$4:$B$53,$D65)),0),0))),"",INDEX('Plan por grupo'!$E$4:$E$53,MATCH(1,INDEX(1*((('Plan por grupo'!$A$4:$A$53&lt;&gt;"")+('Plan por grupo'!$B$4:$B$53&lt;&gt;""))&gt;0)*(EXACT('Plan por grupo'!$A$4:$A$53,$A65))*(EXACT('Plan por grupo'!$B$4:$B$53,$D65)),0),0))))</f>
        <v/>
      </c>
      <c r="K65" s="3">
        <f>IF(ISNA(MATCH(1,INDEX(EXACT('Asignaturas'!$A$4:$A$38,$D65)*1*((('Asignaturas'!$A$4:$A$38&lt;&gt;""))&gt;0),0),0)),"",IF(ISBLANK(INDEX('Asignaturas'!$C$4:$C$38,MATCH(1,INDEX(EXACT('Asignaturas'!$A$4:$A$38,$D65)*1*((('Asignaturas'!$A$4:$A$38&lt;&gt;""))&gt;0),0),0))),"",INDEX('Asignaturas'!$C$4:$C$38,MATCH(1,INDEX(EXACT('Asignaturas'!$A$4:$A$38,$D65)*1*((('Asignaturas'!$A$4:$A$38&lt;&gt;""))&gt;0),0),0))))</f>
        <v/>
      </c>
      <c r="L65" s="3">
        <f>IF(ISNA(MATCH(1,INDEX(EXACT('Profesores'!$A$4:$A$53,$F65)*1*((('Profesores'!$A$4:$A$53&lt;&gt;""))&gt;0),0),0)),"no",IF(ISBLANK(INDEX('Profesores'!$B$4:$B$53,MATCH(1,INDEX(EXACT('Profesores'!$A$4:$A$53,$F65)*1*((('Profesores'!$A$4:$A$53&lt;&gt;""))&gt;0),0),0))),"",INDEX('Profesores'!$B$4:$B$53,MATCH(1,INDEX(EXACT('Profesores'!$A$4:$A$53,$F65)*1*((('Profesores'!$A$4:$A$53&lt;&gt;""))&gt;0),0),0))))</f>
        <v/>
      </c>
      <c r="M65" s="3">
        <f>IF(ISNA(MATCH(1,INDEX(EXACT('Profesores'!$A$4:$A$53,$F65)*1*((('Profesores'!$A$4:$A$53&lt;&gt;""))&gt;0),0),0)),"no",IF(ISBLANK(INDEX('Profesores'!$C$4:$C$53,MATCH(1,INDEX(EXACT('Profesores'!$A$4:$A$53,$F65)*1*((('Profesores'!$A$4:$A$53&lt;&gt;""))&gt;0),0),0))),"",INDEX('Profesores'!$C$4:$C$53,MATCH(1,INDEX(EXACT('Profesores'!$A$4:$A$53,$F65)*1*((('Profesores'!$A$4:$A$53&lt;&gt;""))&gt;0),0),0))))</f>
        <v/>
      </c>
      <c r="N65" s="3">
        <f>IF(EXACT($L65,"si"),IF(ISNA(MATCH(1,INDEX(1*((('Dias que asisten los contratado'!$A$4:$A$24&lt;&gt;"")+('Dias que asisten los contratado'!$B$4:$B$24&lt;&gt;""))&gt;0)*(EXACT('Dias que asisten los contratado'!$A$4:$A$24,$F65))*(EXACT('Dias que asisten los contratado'!$B$4:$B$24,$B65)),0),0)),"no",IF(ISBLANK(INDEX('Dias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contratado'!$B$4:$B$24,$B65)),0),0))),"",INDEX('Dias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contratado'!$B$4:$B$24,$B65)),0),0)))),"")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3">
        <f>IF(ISBLANK('Horario del grupo - 10-3'!D10),"",'Horario del grupo - 10-3'!D10)</f>
        <v/>
      </c>
      <c r="E66" s="3">
        <f>IF(ISNA(MATCH(1,INDEX(EXACT('Asignaturas'!$A$4:$A$38,$D66)*1*((('Asignaturas'!$A$4:$A$38&lt;&gt;""))&gt;0),0),0)),"",IF(ISBLANK(INDEX('Asignaturas'!$B$4:$B$38,MATCH(1,INDEX(EXACT('Asignaturas'!$A$4:$A$38,$D66)*1*((('Asignaturas'!$A$4:$A$38&lt;&gt;""))&gt;0),0),0))),"",INDEX('Asignaturas'!$B$4:$B$38,MATCH(1,INDEX(EXACT('Asignaturas'!$A$4:$A$38,$D66)*1*((('Asignaturas'!$A$4:$A$38&lt;&gt;""))&gt;0),0),0))))</f>
        <v/>
      </c>
      <c r="F66" s="3">
        <f>IF(ISNA(MATCH(1,INDEX(1*((('Plan por grupo'!$A$4:$A$53&lt;&gt;"")+('Plan por grupo'!$B$4:$B$53&lt;&gt;""))&gt;0)*(EXACT('Plan por grupo'!$A$4:$A$53,$A66))*(EXACT('Plan por grupo'!$B$4:$B$53,$D66)),0),0)),"",IF(ISBLANK(INDEX('Plan por grupo'!$C$4:$C$53,MATCH(1,INDEX(1*((('Plan por grupo'!$A$4:$A$53&lt;&gt;"")+('Plan por grupo'!$B$4:$B$53&lt;&gt;""))&gt;0)*(EXACT('Plan por grupo'!$A$4:$A$53,$A66))*(EXACT('Plan por grupo'!$B$4:$B$53,$D66)),0),0))),"",INDEX('Plan por grupo'!$C$4:$C$53,MATCH(1,INDEX(1*((('Plan por grupo'!$A$4:$A$53&lt;&gt;"")+('Plan por grupo'!$B$4:$B$53&lt;&gt;""))&gt;0)*(EXACT('Plan por grupo'!$A$4:$A$53,$A66))*(EXACT('Plan por grupo'!$B$4:$B$53,$D66)),0),0))))</f>
        <v/>
      </c>
      <c r="G66" s="3">
        <f>IF(ISNA(MATCH(1,INDEX(EXACT('Asignaturas'!$A$4:$A$38,$D66)*1*((('Asignaturas'!$A$4:$A$38&lt;&gt;""))&gt;0),0),0)),"",IF(ISBLANK(INDEX('Asignaturas'!$D$4:$D$38,MATCH(1,INDEX(EXACT('Asignaturas'!$A$4:$A$38,$D66)*1*((('Asignaturas'!$A$4:$A$38&lt;&gt;""))&gt;0),0),0))),"",INDEX('Asignaturas'!$D$4:$D$38,MATCH(1,INDEX(EXACT('Asignaturas'!$A$4:$A$38,$D66)*1*((('Asignaturas'!$A$4:$A$38&lt;&gt;""))&gt;0)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IF(ISNA(MATCH(1,INDEX(1*((('Plan por grupo'!$A$4:$A$53&lt;&gt;"")+('Plan por grupo'!$B$4:$B$53&lt;&gt;""))&gt;0)*(EXACT('Plan por grupo'!$A$4:$A$53,$A66))*(EXACT('Plan por grupo'!$B$4:$B$53,$D66)),0),0)),"no",IF(ISBLANK(INDEX('Plan por grupo'!$G$4:$G$53,MATCH(1,INDEX(1*((('Plan por grupo'!$A$4:$A$53&lt;&gt;"")+('Plan por grupo'!$B$4:$B$53&lt;&gt;""))&gt;0)*(EXACT('Plan por grupo'!$A$4:$A$53,$A66))*(EXACT('Plan por grupo'!$B$4:$B$53,$D66)),0),0))),"",INDEX('Plan por grupo'!$G$4:$G$53,MATCH(1,INDEX(1*((('Plan por grupo'!$A$4:$A$53&lt;&gt;"")+('Plan por grupo'!$B$4:$B$53&lt;&gt;""))&gt;0)*(EXACT('Plan por grupo'!$A$4:$A$53,$A66))*(EXACT('Plan por grupo'!$B$4:$B$53,$D66)),0),0))))</f>
        <v/>
      </c>
      <c r="J66" s="3">
        <f>IF(ISNA(MATCH(1,INDEX(1*((('Plan por grupo'!$A$4:$A$53&lt;&gt;"")+('Plan por grupo'!$B$4:$B$53&lt;&gt;""))&gt;0)*(EXACT('Plan por grupo'!$A$4:$A$53,$A66))*(EXACT('Plan por grupo'!$B$4:$B$53,$D66)),0),0)),"no",IF(ISBLANK(INDEX('Plan por grupo'!$E$4:$E$53,MATCH(1,INDEX(1*((('Plan por grupo'!$A$4:$A$53&lt;&gt;"")+('Plan por grupo'!$B$4:$B$53&lt;&gt;""))&gt;0)*(EXACT('Plan por grupo'!$A$4:$A$53,$A66))*(EXACT('Plan por grupo'!$B$4:$B$53,$D66)),0),0))),"",INDEX('Plan por grupo'!$E$4:$E$53,MATCH(1,INDEX(1*((('Plan por grupo'!$A$4:$A$53&lt;&gt;"")+('Plan por grupo'!$B$4:$B$53&lt;&gt;""))&gt;0)*(EXACT('Plan por grupo'!$A$4:$A$53,$A66))*(EXACT('Plan por grupo'!$B$4:$B$53,$D66)),0),0))))</f>
        <v/>
      </c>
      <c r="K66" s="3">
        <f>IF(ISNA(MATCH(1,INDEX(EXACT('Asignaturas'!$A$4:$A$38,$D66)*1*((('Asignaturas'!$A$4:$A$38&lt;&gt;""))&gt;0),0),0)),"",IF(ISBLANK(INDEX('Asignaturas'!$C$4:$C$38,MATCH(1,INDEX(EXACT('Asignaturas'!$A$4:$A$38,$D66)*1*((('Asignaturas'!$A$4:$A$38&lt;&gt;""))&gt;0),0),0))),"",INDEX('Asignaturas'!$C$4:$C$38,MATCH(1,INDEX(EXACT('Asignaturas'!$A$4:$A$38,$D66)*1*((('Asignaturas'!$A$4:$A$38&lt;&gt;""))&gt;0),0),0))))</f>
        <v/>
      </c>
      <c r="L66" s="3">
        <f>IF(ISNA(MATCH(1,INDEX(EXACT('Profesores'!$A$4:$A$53,$F66)*1*((('Profesores'!$A$4:$A$53&lt;&gt;""))&gt;0),0),0)),"no",IF(ISBLANK(INDEX('Profesores'!$B$4:$B$53,MATCH(1,INDEX(EXACT('Profesores'!$A$4:$A$53,$F66)*1*((('Profesores'!$A$4:$A$53&lt;&gt;""))&gt;0),0),0))),"",INDEX('Profesores'!$B$4:$B$53,MATCH(1,INDEX(EXACT('Profesores'!$A$4:$A$53,$F66)*1*((('Profesores'!$A$4:$A$53&lt;&gt;""))&gt;0),0),0))))</f>
        <v/>
      </c>
      <c r="M66" s="3">
        <f>IF(ISNA(MATCH(1,INDEX(EXACT('Profesores'!$A$4:$A$53,$F66)*1*((('Profesores'!$A$4:$A$53&lt;&gt;""))&gt;0),0),0)),"no",IF(ISBLANK(INDEX('Profesores'!$C$4:$C$53,MATCH(1,INDEX(EXACT('Profesores'!$A$4:$A$53,$F66)*1*((('Profesores'!$A$4:$A$53&lt;&gt;""))&gt;0),0),0))),"",INDEX('Profesores'!$C$4:$C$53,MATCH(1,INDEX(EXACT('Profesores'!$A$4:$A$53,$F66)*1*((('Profesores'!$A$4:$A$53&lt;&gt;""))&gt;0),0),0))))</f>
        <v/>
      </c>
      <c r="N66" s="3">
        <f>IF(EXACT($L66,"si"),IF(ISNA(MATCH(1,INDEX(1*((('Dias que asisten los contratado'!$A$4:$A$24&lt;&gt;"")+('Dias que asisten los contratado'!$B$4:$B$24&lt;&gt;""))&gt;0)*(EXACT('Dias que asisten los contratado'!$A$4:$A$24,$F66))*(EXACT('Dias que asisten los contratado'!$B$4:$B$24,$B66)),0),0)),"no",IF(ISBLANK(INDEX('Dias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contratado'!$B$4:$B$24,$B66)),0),0))),"",INDEX('Dias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contratado'!$B$4:$B$24,$B66)),0),0)))),"")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3">
        <f>IF(ISBLANK('Horario del grupo - 10-3'!E10),"",'Horario del grupo - 10-3'!E10)</f>
        <v/>
      </c>
      <c r="E67" s="3">
        <f>IF(ISNA(MATCH(1,INDEX(EXACT('Asignaturas'!$A$4:$A$38,$D67)*1*((('Asignaturas'!$A$4:$A$38&lt;&gt;""))&gt;0),0),0)),"",IF(ISBLANK(INDEX('Asignaturas'!$B$4:$B$38,MATCH(1,INDEX(EXACT('Asignaturas'!$A$4:$A$38,$D67)*1*((('Asignaturas'!$A$4:$A$38&lt;&gt;""))&gt;0),0),0))),"",INDEX('Asignaturas'!$B$4:$B$38,MATCH(1,INDEX(EXACT('Asignaturas'!$A$4:$A$38,$D67)*1*((('Asignaturas'!$A$4:$A$38&lt;&gt;""))&gt;0),0),0))))</f>
        <v/>
      </c>
      <c r="F67" s="3">
        <f>IF(ISNA(MATCH(1,INDEX(1*((('Plan por grupo'!$A$4:$A$53&lt;&gt;"")+('Plan por grupo'!$B$4:$B$53&lt;&gt;""))&gt;0)*(EXACT('Plan por grupo'!$A$4:$A$53,$A67))*(EXACT('Plan por grupo'!$B$4:$B$53,$D67)),0),0)),"",IF(ISBLANK(INDEX('Plan por grupo'!$C$4:$C$53,MATCH(1,INDEX(1*((('Plan por grupo'!$A$4:$A$53&lt;&gt;"")+('Plan por grupo'!$B$4:$B$53&lt;&gt;""))&gt;0)*(EXACT('Plan por grupo'!$A$4:$A$53,$A67))*(EXACT('Plan por grupo'!$B$4:$B$53,$D67)),0),0))),"",INDEX('Plan por grupo'!$C$4:$C$53,MATCH(1,INDEX(1*((('Plan por grupo'!$A$4:$A$53&lt;&gt;"")+('Plan por grupo'!$B$4:$B$53&lt;&gt;""))&gt;0)*(EXACT('Plan por grupo'!$A$4:$A$53,$A67))*(EXACT('Plan por grupo'!$B$4:$B$53,$D67)),0),0))))</f>
        <v/>
      </c>
      <c r="G67" s="3">
        <f>IF(ISNA(MATCH(1,INDEX(EXACT('Asignaturas'!$A$4:$A$38,$D67)*1*((('Asignaturas'!$A$4:$A$38&lt;&gt;""))&gt;0),0),0)),"",IF(ISBLANK(INDEX('Asignaturas'!$D$4:$D$38,MATCH(1,INDEX(EXACT('Asignaturas'!$A$4:$A$38,$D67)*1*((('Asignaturas'!$A$4:$A$38&lt;&gt;""))&gt;0),0),0))),"",INDEX('Asignaturas'!$D$4:$D$38,MATCH(1,INDEX(EXACT('Asignaturas'!$A$4:$A$38,$D67)*1*((('Asignaturas'!$A$4:$A$38&lt;&gt;""))&gt;0)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IF(ISNA(MATCH(1,INDEX(1*((('Plan por grupo'!$A$4:$A$53&lt;&gt;"")+('Plan por grupo'!$B$4:$B$53&lt;&gt;""))&gt;0)*(EXACT('Plan por grupo'!$A$4:$A$53,$A67))*(EXACT('Plan por grupo'!$B$4:$B$53,$D67)),0),0)),"no",IF(ISBLANK(INDEX('Plan por grupo'!$G$4:$G$53,MATCH(1,INDEX(1*((('Plan por grupo'!$A$4:$A$53&lt;&gt;"")+('Plan por grupo'!$B$4:$B$53&lt;&gt;""))&gt;0)*(EXACT('Plan por grupo'!$A$4:$A$53,$A67))*(EXACT('Plan por grupo'!$B$4:$B$53,$D67)),0),0))),"",INDEX('Plan por grupo'!$G$4:$G$53,MATCH(1,INDEX(1*((('Plan por grupo'!$A$4:$A$53&lt;&gt;"")+('Plan por grupo'!$B$4:$B$53&lt;&gt;""))&gt;0)*(EXACT('Plan por grupo'!$A$4:$A$53,$A67))*(EXACT('Plan por grupo'!$B$4:$B$53,$D67)),0),0))))</f>
        <v/>
      </c>
      <c r="J67" s="3">
        <f>IF(ISNA(MATCH(1,INDEX(1*((('Plan por grupo'!$A$4:$A$53&lt;&gt;"")+('Plan por grupo'!$B$4:$B$53&lt;&gt;""))&gt;0)*(EXACT('Plan por grupo'!$A$4:$A$53,$A67))*(EXACT('Plan por grupo'!$B$4:$B$53,$D67)),0),0)),"no",IF(ISBLANK(INDEX('Plan por grupo'!$E$4:$E$53,MATCH(1,INDEX(1*((('Plan por grupo'!$A$4:$A$53&lt;&gt;"")+('Plan por grupo'!$B$4:$B$53&lt;&gt;""))&gt;0)*(EXACT('Plan por grupo'!$A$4:$A$53,$A67))*(EXACT('Plan por grupo'!$B$4:$B$53,$D67)),0),0))),"",INDEX('Plan por grupo'!$E$4:$E$53,MATCH(1,INDEX(1*((('Plan por grupo'!$A$4:$A$53&lt;&gt;"")+('Plan por grupo'!$B$4:$B$53&lt;&gt;""))&gt;0)*(EXACT('Plan por grupo'!$A$4:$A$53,$A67))*(EXACT('Plan por grupo'!$B$4:$B$53,$D67)),0),0))))</f>
        <v/>
      </c>
      <c r="K67" s="3">
        <f>IF(ISNA(MATCH(1,INDEX(EXACT('Asignaturas'!$A$4:$A$38,$D67)*1*((('Asignaturas'!$A$4:$A$38&lt;&gt;""))&gt;0),0),0)),"",IF(ISBLANK(INDEX('Asignaturas'!$C$4:$C$38,MATCH(1,INDEX(EXACT('Asignaturas'!$A$4:$A$38,$D67)*1*((('Asignaturas'!$A$4:$A$38&lt;&gt;""))&gt;0),0),0))),"",INDEX('Asignaturas'!$C$4:$C$38,MATCH(1,INDEX(EXACT('Asignaturas'!$A$4:$A$38,$D67)*1*((('Asignaturas'!$A$4:$A$38&lt;&gt;""))&gt;0),0),0))))</f>
        <v/>
      </c>
      <c r="L67" s="3">
        <f>IF(ISNA(MATCH(1,INDEX(EXACT('Profesores'!$A$4:$A$53,$F67)*1*((('Profesores'!$A$4:$A$53&lt;&gt;""))&gt;0),0),0)),"no",IF(ISBLANK(INDEX('Profesores'!$B$4:$B$53,MATCH(1,INDEX(EXACT('Profesores'!$A$4:$A$53,$F67)*1*((('Profesores'!$A$4:$A$53&lt;&gt;""))&gt;0),0),0))),"",INDEX('Profesores'!$B$4:$B$53,MATCH(1,INDEX(EXACT('Profesores'!$A$4:$A$53,$F67)*1*((('Profesores'!$A$4:$A$53&lt;&gt;""))&gt;0),0),0))))</f>
        <v/>
      </c>
      <c r="M67" s="3">
        <f>IF(ISNA(MATCH(1,INDEX(EXACT('Profesores'!$A$4:$A$53,$F67)*1*((('Profesores'!$A$4:$A$53&lt;&gt;""))&gt;0),0),0)),"no",IF(ISBLANK(INDEX('Profesores'!$C$4:$C$53,MATCH(1,INDEX(EXACT('Profesores'!$A$4:$A$53,$F67)*1*((('Profesores'!$A$4:$A$53&lt;&gt;""))&gt;0),0),0))),"",INDEX('Profesores'!$C$4:$C$53,MATCH(1,INDEX(EXACT('Profesores'!$A$4:$A$53,$F67)*1*((('Profesores'!$A$4:$A$53&lt;&gt;""))&gt;0),0),0))))</f>
        <v/>
      </c>
      <c r="N67" s="3">
        <f>IF(EXACT($L67,"si"),IF(ISNA(MATCH(1,INDEX(1*((('Dias que asisten los contratado'!$A$4:$A$24&lt;&gt;"")+('Dias que asisten los contratado'!$B$4:$B$24&lt;&gt;""))&gt;0)*(EXACT('Dias que asisten los contratado'!$A$4:$A$24,$F67))*(EXACT('Dias que asisten los contratado'!$B$4:$B$24,$B67)),0),0)),"no",IF(ISBLANK(INDEX('Dias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contratado'!$B$4:$B$24,$B67)),0),0))),"",INDEX('Dias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contratado'!$B$4:$B$24,$B67)),0),0)))),"")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3">
        <f>IF(ISBLANK('Horario del grupo - 10-3'!F10),"",'Horario del grupo - 10-3'!F10)</f>
        <v/>
      </c>
      <c r="E68" s="3">
        <f>IF(ISNA(MATCH(1,INDEX(EXACT('Asignaturas'!$A$4:$A$38,$D68)*1*((('Asignaturas'!$A$4:$A$38&lt;&gt;""))&gt;0),0),0)),"",IF(ISBLANK(INDEX('Asignaturas'!$B$4:$B$38,MATCH(1,INDEX(EXACT('Asignaturas'!$A$4:$A$38,$D68)*1*((('Asignaturas'!$A$4:$A$38&lt;&gt;""))&gt;0),0),0))),"",INDEX('Asignaturas'!$B$4:$B$38,MATCH(1,INDEX(EXACT('Asignaturas'!$A$4:$A$38,$D68)*1*((('Asignaturas'!$A$4:$A$38&lt;&gt;""))&gt;0),0),0))))</f>
        <v/>
      </c>
      <c r="F68" s="3">
        <f>IF(ISNA(MATCH(1,INDEX(1*((('Plan por grupo'!$A$4:$A$53&lt;&gt;"")+('Plan por grupo'!$B$4:$B$53&lt;&gt;""))&gt;0)*(EXACT('Plan por grupo'!$A$4:$A$53,$A68))*(EXACT('Plan por grupo'!$B$4:$B$53,$D68)),0),0)),"",IF(ISBLANK(INDEX('Plan por grupo'!$C$4:$C$53,MATCH(1,INDEX(1*((('Plan por grupo'!$A$4:$A$53&lt;&gt;"")+('Plan por grupo'!$B$4:$B$53&lt;&gt;""))&gt;0)*(EXACT('Plan por grupo'!$A$4:$A$53,$A68))*(EXACT('Plan por grupo'!$B$4:$B$53,$D68)),0),0))),"",INDEX('Plan por grupo'!$C$4:$C$53,MATCH(1,INDEX(1*((('Plan por grupo'!$A$4:$A$53&lt;&gt;"")+('Plan por grupo'!$B$4:$B$53&lt;&gt;""))&gt;0)*(EXACT('Plan por grupo'!$A$4:$A$53,$A68))*(EXACT('Plan por grupo'!$B$4:$B$53,$D68)),0),0))))</f>
        <v/>
      </c>
      <c r="G68" s="3">
        <f>IF(ISNA(MATCH(1,INDEX(EXACT('Asignaturas'!$A$4:$A$38,$D68)*1*((('Asignaturas'!$A$4:$A$38&lt;&gt;""))&gt;0),0),0)),"",IF(ISBLANK(INDEX('Asignaturas'!$D$4:$D$38,MATCH(1,INDEX(EXACT('Asignaturas'!$A$4:$A$38,$D68)*1*((('Asignaturas'!$A$4:$A$38&lt;&gt;""))&gt;0),0),0))),"",INDEX('Asignaturas'!$D$4:$D$38,MATCH(1,INDEX(EXACT('Asignaturas'!$A$4:$A$38,$D68)*1*((('Asignaturas'!$A$4:$A$38&lt;&gt;""))&gt;0)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IF(ISNA(MATCH(1,INDEX(1*((('Plan por grupo'!$A$4:$A$53&lt;&gt;"")+('Plan por grupo'!$B$4:$B$53&lt;&gt;""))&gt;0)*(EXACT('Plan por grupo'!$A$4:$A$53,$A68))*(EXACT('Plan por grupo'!$B$4:$B$53,$D68)),0),0)),"no",IF(ISBLANK(INDEX('Plan por grupo'!$G$4:$G$53,MATCH(1,INDEX(1*((('Plan por grupo'!$A$4:$A$53&lt;&gt;"")+('Plan por grupo'!$B$4:$B$53&lt;&gt;""))&gt;0)*(EXACT('Plan por grupo'!$A$4:$A$53,$A68))*(EXACT('Plan por grupo'!$B$4:$B$53,$D68)),0),0))),"",INDEX('Plan por grupo'!$G$4:$G$53,MATCH(1,INDEX(1*((('Plan por grupo'!$A$4:$A$53&lt;&gt;"")+('Plan por grupo'!$B$4:$B$53&lt;&gt;""))&gt;0)*(EXACT('Plan por grupo'!$A$4:$A$53,$A68))*(EXACT('Plan por grupo'!$B$4:$B$53,$D68)),0),0))))</f>
        <v/>
      </c>
      <c r="J68" s="3">
        <f>IF(ISNA(MATCH(1,INDEX(1*((('Plan por grupo'!$A$4:$A$53&lt;&gt;"")+('Plan por grupo'!$B$4:$B$53&lt;&gt;""))&gt;0)*(EXACT('Plan por grupo'!$A$4:$A$53,$A68))*(EXACT('Plan por grupo'!$B$4:$B$53,$D68)),0),0)),"no",IF(ISBLANK(INDEX('Plan por grupo'!$E$4:$E$53,MATCH(1,INDEX(1*((('Plan por grupo'!$A$4:$A$53&lt;&gt;"")+('Plan por grupo'!$B$4:$B$53&lt;&gt;""))&gt;0)*(EXACT('Plan por grupo'!$A$4:$A$53,$A68))*(EXACT('Plan por grupo'!$B$4:$B$53,$D68)),0),0))),"",INDEX('Plan por grupo'!$E$4:$E$53,MATCH(1,INDEX(1*((('Plan por grupo'!$A$4:$A$53&lt;&gt;"")+('Plan por grupo'!$B$4:$B$53&lt;&gt;""))&gt;0)*(EXACT('Plan por grupo'!$A$4:$A$53,$A68))*(EXACT('Plan por grupo'!$B$4:$B$53,$D68)),0),0))))</f>
        <v/>
      </c>
      <c r="K68" s="3">
        <f>IF(ISNA(MATCH(1,INDEX(EXACT('Asignaturas'!$A$4:$A$38,$D68)*1*((('Asignaturas'!$A$4:$A$38&lt;&gt;""))&gt;0),0),0)),"",IF(ISBLANK(INDEX('Asignaturas'!$C$4:$C$38,MATCH(1,INDEX(EXACT('Asignaturas'!$A$4:$A$38,$D68)*1*((('Asignaturas'!$A$4:$A$38&lt;&gt;""))&gt;0),0),0))),"",INDEX('Asignaturas'!$C$4:$C$38,MATCH(1,INDEX(EXACT('Asignaturas'!$A$4:$A$38,$D68)*1*((('Asignaturas'!$A$4:$A$38&lt;&gt;""))&gt;0),0),0))))</f>
        <v/>
      </c>
      <c r="L68" s="3">
        <f>IF(ISNA(MATCH(1,INDEX(EXACT('Profesores'!$A$4:$A$53,$F68)*1*((('Profesores'!$A$4:$A$53&lt;&gt;""))&gt;0),0),0)),"no",IF(ISBLANK(INDEX('Profesores'!$B$4:$B$53,MATCH(1,INDEX(EXACT('Profesores'!$A$4:$A$53,$F68)*1*((('Profesores'!$A$4:$A$53&lt;&gt;""))&gt;0),0),0))),"",INDEX('Profesores'!$B$4:$B$53,MATCH(1,INDEX(EXACT('Profesores'!$A$4:$A$53,$F68)*1*((('Profesores'!$A$4:$A$53&lt;&gt;""))&gt;0),0),0))))</f>
        <v/>
      </c>
      <c r="M68" s="3">
        <f>IF(ISNA(MATCH(1,INDEX(EXACT('Profesores'!$A$4:$A$53,$F68)*1*((('Profesores'!$A$4:$A$53&lt;&gt;""))&gt;0),0),0)),"no",IF(ISBLANK(INDEX('Profesores'!$C$4:$C$53,MATCH(1,INDEX(EXACT('Profesores'!$A$4:$A$53,$F68)*1*((('Profesores'!$A$4:$A$53&lt;&gt;""))&gt;0),0),0))),"",INDEX('Profesores'!$C$4:$C$53,MATCH(1,INDEX(EXACT('Profesores'!$A$4:$A$53,$F68)*1*((('Profesores'!$A$4:$A$53&lt;&gt;""))&gt;0),0),0))))</f>
        <v/>
      </c>
      <c r="N68" s="3">
        <f>IF(EXACT($L68,"si"),IF(ISNA(MATCH(1,INDEX(1*((('Dias que asisten los contratado'!$A$4:$A$24&lt;&gt;"")+('Dias que asisten los contratado'!$B$4:$B$24&lt;&gt;""))&gt;0)*(EXACT('Dias que asisten los contratado'!$A$4:$A$24,$F68))*(EXACT('Dias que asisten los contratado'!$B$4:$B$24,$B68)),0),0)),"no",IF(ISBLANK(INDEX('Dias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contratado'!$B$4:$B$24,$B68)),0),0))),"",INDEX('Dias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contratado'!$B$4:$B$24,$B68)),0),0)))),"")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3">
        <f>IF(ISBLANK('Horario del grupo - 10-4'!B10),"",'Horario del grupo - 10-4'!B10)</f>
        <v/>
      </c>
      <c r="E69" s="3">
        <f>IF(ISNA(MATCH(1,INDEX(EXACT('Asignaturas'!$A$4:$A$38,$D69)*1*((('Asignaturas'!$A$4:$A$38&lt;&gt;""))&gt;0),0),0)),"",IF(ISBLANK(INDEX('Asignaturas'!$B$4:$B$38,MATCH(1,INDEX(EXACT('Asignaturas'!$A$4:$A$38,$D69)*1*((('Asignaturas'!$A$4:$A$38&lt;&gt;""))&gt;0),0),0))),"",INDEX('Asignaturas'!$B$4:$B$38,MATCH(1,INDEX(EXACT('Asignaturas'!$A$4:$A$38,$D69)*1*((('Asignaturas'!$A$4:$A$38&lt;&gt;""))&gt;0),0),0))))</f>
        <v/>
      </c>
      <c r="F69" s="3">
        <f>IF(ISNA(MATCH(1,INDEX(1*((('Plan por grupo'!$A$4:$A$53&lt;&gt;"")+('Plan por grupo'!$B$4:$B$53&lt;&gt;""))&gt;0)*(EXACT('Plan por grupo'!$A$4:$A$53,$A69))*(EXACT('Plan por grupo'!$B$4:$B$53,$D69)),0),0)),"",IF(ISBLANK(INDEX('Plan por grupo'!$C$4:$C$53,MATCH(1,INDEX(1*((('Plan por grupo'!$A$4:$A$53&lt;&gt;"")+('Plan por grupo'!$B$4:$B$53&lt;&gt;""))&gt;0)*(EXACT('Plan por grupo'!$A$4:$A$53,$A69))*(EXACT('Plan por grupo'!$B$4:$B$53,$D69)),0),0))),"",INDEX('Plan por grupo'!$C$4:$C$53,MATCH(1,INDEX(1*((('Plan por grupo'!$A$4:$A$53&lt;&gt;"")+('Plan por grupo'!$B$4:$B$53&lt;&gt;""))&gt;0)*(EXACT('Plan por grupo'!$A$4:$A$53,$A69))*(EXACT('Plan por grupo'!$B$4:$B$53,$D69)),0),0))))</f>
        <v/>
      </c>
      <c r="G69" s="3">
        <f>IF(ISNA(MATCH(1,INDEX(EXACT('Asignaturas'!$A$4:$A$38,$D69)*1*((('Asignaturas'!$A$4:$A$38&lt;&gt;""))&gt;0),0),0)),"",IF(ISBLANK(INDEX('Asignaturas'!$D$4:$D$38,MATCH(1,INDEX(EXACT('Asignaturas'!$A$4:$A$38,$D69)*1*((('Asignaturas'!$A$4:$A$38&lt;&gt;""))&gt;0),0),0))),"",INDEX('Asignaturas'!$D$4:$D$38,MATCH(1,INDEX(EXACT('Asignaturas'!$A$4:$A$38,$D69)*1*((('Asignaturas'!$A$4:$A$38&lt;&gt;""))&gt;0)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IF(ISNA(MATCH(1,INDEX(1*((('Plan por grupo'!$A$4:$A$53&lt;&gt;"")+('Plan por grupo'!$B$4:$B$53&lt;&gt;""))&gt;0)*(EXACT('Plan por grupo'!$A$4:$A$53,$A69))*(EXACT('Plan por grupo'!$B$4:$B$53,$D69)),0),0)),"no",IF(ISBLANK(INDEX('Plan por grupo'!$G$4:$G$53,MATCH(1,INDEX(1*((('Plan por grupo'!$A$4:$A$53&lt;&gt;"")+('Plan por grupo'!$B$4:$B$53&lt;&gt;""))&gt;0)*(EXACT('Plan por grupo'!$A$4:$A$53,$A69))*(EXACT('Plan por grupo'!$B$4:$B$53,$D69)),0),0))),"",INDEX('Plan por grupo'!$G$4:$G$53,MATCH(1,INDEX(1*((('Plan por grupo'!$A$4:$A$53&lt;&gt;"")+('Plan por grupo'!$B$4:$B$53&lt;&gt;""))&gt;0)*(EXACT('Plan por grupo'!$A$4:$A$53,$A69))*(EXACT('Plan por grupo'!$B$4:$B$53,$D69)),0),0))))</f>
        <v/>
      </c>
      <c r="J69" s="3">
        <f>IF(ISNA(MATCH(1,INDEX(1*((('Plan por grupo'!$A$4:$A$53&lt;&gt;"")+('Plan por grupo'!$B$4:$B$53&lt;&gt;""))&gt;0)*(EXACT('Plan por grupo'!$A$4:$A$53,$A69))*(EXACT('Plan por grupo'!$B$4:$B$53,$D69)),0),0)),"no",IF(ISBLANK(INDEX('Plan por grupo'!$E$4:$E$53,MATCH(1,INDEX(1*((('Plan por grupo'!$A$4:$A$53&lt;&gt;"")+('Plan por grupo'!$B$4:$B$53&lt;&gt;""))&gt;0)*(EXACT('Plan por grupo'!$A$4:$A$53,$A69))*(EXACT('Plan por grupo'!$B$4:$B$53,$D69)),0),0))),"",INDEX('Plan por grupo'!$E$4:$E$53,MATCH(1,INDEX(1*((('Plan por grupo'!$A$4:$A$53&lt;&gt;"")+('Plan por grupo'!$B$4:$B$53&lt;&gt;""))&gt;0)*(EXACT('Plan por grupo'!$A$4:$A$53,$A69))*(EXACT('Plan por grupo'!$B$4:$B$53,$D69)),0),0))))</f>
        <v/>
      </c>
      <c r="K69" s="3">
        <f>IF(ISNA(MATCH(1,INDEX(EXACT('Asignaturas'!$A$4:$A$38,$D69)*1*((('Asignaturas'!$A$4:$A$38&lt;&gt;""))&gt;0),0),0)),"",IF(ISBLANK(INDEX('Asignaturas'!$C$4:$C$38,MATCH(1,INDEX(EXACT('Asignaturas'!$A$4:$A$38,$D69)*1*((('Asignaturas'!$A$4:$A$38&lt;&gt;""))&gt;0),0),0))),"",INDEX('Asignaturas'!$C$4:$C$38,MATCH(1,INDEX(EXACT('Asignaturas'!$A$4:$A$38,$D69)*1*((('Asignaturas'!$A$4:$A$38&lt;&gt;""))&gt;0),0),0))))</f>
        <v/>
      </c>
      <c r="L69" s="3">
        <f>IF(ISNA(MATCH(1,INDEX(EXACT('Profesores'!$A$4:$A$53,$F69)*1*((('Profesores'!$A$4:$A$53&lt;&gt;""))&gt;0),0),0)),"no",IF(ISBLANK(INDEX('Profesores'!$B$4:$B$53,MATCH(1,INDEX(EXACT('Profesores'!$A$4:$A$53,$F69)*1*((('Profesores'!$A$4:$A$53&lt;&gt;""))&gt;0),0),0))),"",INDEX('Profesores'!$B$4:$B$53,MATCH(1,INDEX(EXACT('Profesores'!$A$4:$A$53,$F69)*1*((('Profesores'!$A$4:$A$53&lt;&gt;""))&gt;0),0),0))))</f>
        <v/>
      </c>
      <c r="M69" s="3">
        <f>IF(ISNA(MATCH(1,INDEX(EXACT('Profesores'!$A$4:$A$53,$F69)*1*((('Profesores'!$A$4:$A$53&lt;&gt;""))&gt;0),0),0)),"no",IF(ISBLANK(INDEX('Profesores'!$C$4:$C$53,MATCH(1,INDEX(EXACT('Profesores'!$A$4:$A$53,$F69)*1*((('Profesores'!$A$4:$A$53&lt;&gt;""))&gt;0),0),0))),"",INDEX('Profesores'!$C$4:$C$53,MATCH(1,INDEX(EXACT('Profesores'!$A$4:$A$53,$F69)*1*((('Profesores'!$A$4:$A$53&lt;&gt;""))&gt;0),0),0))))</f>
        <v/>
      </c>
      <c r="N69" s="3">
        <f>IF(EXACT($L69,"si"),IF(ISNA(MATCH(1,INDEX(1*((('Dias que asisten los contratado'!$A$4:$A$24&lt;&gt;"")+('Dias que asisten los contratado'!$B$4:$B$24&lt;&gt;""))&gt;0)*(EXACT('Dias que asisten los contratado'!$A$4:$A$24,$F69))*(EXACT('Dias que asisten los contratado'!$B$4:$B$24,$B69)),0),0)),"no",IF(ISBLANK(INDEX('Dias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contratado'!$B$4:$B$24,$B69)),0),0))),"",INDEX('Dias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contratado'!$B$4:$B$24,$B69)),0),0)))),"")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3">
        <f>IF(ISBLANK('Horario del grupo - 10-4'!C10),"",'Horario del grupo - 10-4'!C10)</f>
        <v/>
      </c>
      <c r="E70" s="3">
        <f>IF(ISNA(MATCH(1,INDEX(EXACT('Asignaturas'!$A$4:$A$38,$D70)*1*((('Asignaturas'!$A$4:$A$38&lt;&gt;""))&gt;0),0),0)),"",IF(ISBLANK(INDEX('Asignaturas'!$B$4:$B$38,MATCH(1,INDEX(EXACT('Asignaturas'!$A$4:$A$38,$D70)*1*((('Asignaturas'!$A$4:$A$38&lt;&gt;""))&gt;0),0),0))),"",INDEX('Asignaturas'!$B$4:$B$38,MATCH(1,INDEX(EXACT('Asignaturas'!$A$4:$A$38,$D70)*1*((('Asignaturas'!$A$4:$A$38&lt;&gt;""))&gt;0),0),0))))</f>
        <v/>
      </c>
      <c r="F70" s="3">
        <f>IF(ISNA(MATCH(1,INDEX(1*((('Plan por grupo'!$A$4:$A$53&lt;&gt;"")+('Plan por grupo'!$B$4:$B$53&lt;&gt;""))&gt;0)*(EXACT('Plan por grupo'!$A$4:$A$53,$A70))*(EXACT('Plan por grupo'!$B$4:$B$53,$D70)),0),0)),"",IF(ISBLANK(INDEX('Plan por grupo'!$C$4:$C$53,MATCH(1,INDEX(1*((('Plan por grupo'!$A$4:$A$53&lt;&gt;"")+('Plan por grupo'!$B$4:$B$53&lt;&gt;""))&gt;0)*(EXACT('Plan por grupo'!$A$4:$A$53,$A70))*(EXACT('Plan por grupo'!$B$4:$B$53,$D70)),0),0))),"",INDEX('Plan por grupo'!$C$4:$C$53,MATCH(1,INDEX(1*((('Plan por grupo'!$A$4:$A$53&lt;&gt;"")+('Plan por grupo'!$B$4:$B$53&lt;&gt;""))&gt;0)*(EXACT('Plan por grupo'!$A$4:$A$53,$A70))*(EXACT('Plan por grupo'!$B$4:$B$53,$D70)),0),0))))</f>
        <v/>
      </c>
      <c r="G70" s="3">
        <f>IF(ISNA(MATCH(1,INDEX(EXACT('Asignaturas'!$A$4:$A$38,$D70)*1*((('Asignaturas'!$A$4:$A$38&lt;&gt;""))&gt;0),0),0)),"",IF(ISBLANK(INDEX('Asignaturas'!$D$4:$D$38,MATCH(1,INDEX(EXACT('Asignaturas'!$A$4:$A$38,$D70)*1*((('Asignaturas'!$A$4:$A$38&lt;&gt;""))&gt;0),0),0))),"",INDEX('Asignaturas'!$D$4:$D$38,MATCH(1,INDEX(EXACT('Asignaturas'!$A$4:$A$38,$D70)*1*((('Asignaturas'!$A$4:$A$38&lt;&gt;""))&gt;0)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IF(ISNA(MATCH(1,INDEX(1*((('Plan por grupo'!$A$4:$A$53&lt;&gt;"")+('Plan por grupo'!$B$4:$B$53&lt;&gt;""))&gt;0)*(EXACT('Plan por grupo'!$A$4:$A$53,$A70))*(EXACT('Plan por grupo'!$B$4:$B$53,$D70)),0),0)),"no",IF(ISBLANK(INDEX('Plan por grupo'!$G$4:$G$53,MATCH(1,INDEX(1*((('Plan por grupo'!$A$4:$A$53&lt;&gt;"")+('Plan por grupo'!$B$4:$B$53&lt;&gt;""))&gt;0)*(EXACT('Plan por grupo'!$A$4:$A$53,$A70))*(EXACT('Plan por grupo'!$B$4:$B$53,$D70)),0),0))),"",INDEX('Plan por grupo'!$G$4:$G$53,MATCH(1,INDEX(1*((('Plan por grupo'!$A$4:$A$53&lt;&gt;"")+('Plan por grupo'!$B$4:$B$53&lt;&gt;""))&gt;0)*(EXACT('Plan por grupo'!$A$4:$A$53,$A70))*(EXACT('Plan por grupo'!$B$4:$B$53,$D70)),0),0))))</f>
        <v/>
      </c>
      <c r="J70" s="3">
        <f>IF(ISNA(MATCH(1,INDEX(1*((('Plan por grupo'!$A$4:$A$53&lt;&gt;"")+('Plan por grupo'!$B$4:$B$53&lt;&gt;""))&gt;0)*(EXACT('Plan por grupo'!$A$4:$A$53,$A70))*(EXACT('Plan por grupo'!$B$4:$B$53,$D70)),0),0)),"no",IF(ISBLANK(INDEX('Plan por grupo'!$E$4:$E$53,MATCH(1,INDEX(1*((('Plan por grupo'!$A$4:$A$53&lt;&gt;"")+('Plan por grupo'!$B$4:$B$53&lt;&gt;""))&gt;0)*(EXACT('Plan por grupo'!$A$4:$A$53,$A70))*(EXACT('Plan por grupo'!$B$4:$B$53,$D70)),0),0))),"",INDEX('Plan por grupo'!$E$4:$E$53,MATCH(1,INDEX(1*((('Plan por grupo'!$A$4:$A$53&lt;&gt;"")+('Plan por grupo'!$B$4:$B$53&lt;&gt;""))&gt;0)*(EXACT('Plan por grupo'!$A$4:$A$53,$A70))*(EXACT('Plan por grupo'!$B$4:$B$53,$D70)),0),0))))</f>
        <v/>
      </c>
      <c r="K70" s="3">
        <f>IF(ISNA(MATCH(1,INDEX(EXACT('Asignaturas'!$A$4:$A$38,$D70)*1*((('Asignaturas'!$A$4:$A$38&lt;&gt;""))&gt;0),0),0)),"",IF(ISBLANK(INDEX('Asignaturas'!$C$4:$C$38,MATCH(1,INDEX(EXACT('Asignaturas'!$A$4:$A$38,$D70)*1*((('Asignaturas'!$A$4:$A$38&lt;&gt;""))&gt;0),0),0))),"",INDEX('Asignaturas'!$C$4:$C$38,MATCH(1,INDEX(EXACT('Asignaturas'!$A$4:$A$38,$D70)*1*((('Asignaturas'!$A$4:$A$38&lt;&gt;""))&gt;0),0),0))))</f>
        <v/>
      </c>
      <c r="L70" s="3">
        <f>IF(ISNA(MATCH(1,INDEX(EXACT('Profesores'!$A$4:$A$53,$F70)*1*((('Profesores'!$A$4:$A$53&lt;&gt;""))&gt;0),0),0)),"no",IF(ISBLANK(INDEX('Profesores'!$B$4:$B$53,MATCH(1,INDEX(EXACT('Profesores'!$A$4:$A$53,$F70)*1*((('Profesores'!$A$4:$A$53&lt;&gt;""))&gt;0),0),0))),"",INDEX('Profesores'!$B$4:$B$53,MATCH(1,INDEX(EXACT('Profesores'!$A$4:$A$53,$F70)*1*((('Profesores'!$A$4:$A$53&lt;&gt;""))&gt;0),0),0))))</f>
        <v/>
      </c>
      <c r="M70" s="3">
        <f>IF(ISNA(MATCH(1,INDEX(EXACT('Profesores'!$A$4:$A$53,$F70)*1*((('Profesores'!$A$4:$A$53&lt;&gt;""))&gt;0),0),0)),"no",IF(ISBLANK(INDEX('Profesores'!$C$4:$C$53,MATCH(1,INDEX(EXACT('Profesores'!$A$4:$A$53,$F70)*1*((('Profesores'!$A$4:$A$53&lt;&gt;""))&gt;0),0),0))),"",INDEX('Profesores'!$C$4:$C$53,MATCH(1,INDEX(EXACT('Profesores'!$A$4:$A$53,$F70)*1*((('Profesores'!$A$4:$A$53&lt;&gt;""))&gt;0),0),0))))</f>
        <v/>
      </c>
      <c r="N70" s="3">
        <f>IF(EXACT($L70,"si"),IF(ISNA(MATCH(1,INDEX(1*((('Dias que asisten los contratado'!$A$4:$A$24&lt;&gt;"")+('Dias que asisten los contratado'!$B$4:$B$24&lt;&gt;""))&gt;0)*(EXACT('Dias que asisten los contratado'!$A$4:$A$24,$F70))*(EXACT('Dias que asisten los contratado'!$B$4:$B$24,$B70)),0),0)),"no",IF(ISBLANK(INDEX('Dias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contratado'!$B$4:$B$24,$B70)),0),0))),"",INDEX('Dias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contratado'!$B$4:$B$24,$B70)),0),0)))),"")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3">
        <f>IF(ISBLANK('Horario del grupo - 10-4'!D10),"",'Horario del grupo - 10-4'!D10)</f>
        <v/>
      </c>
      <c r="E71" s="3">
        <f>IF(ISNA(MATCH(1,INDEX(EXACT('Asignaturas'!$A$4:$A$38,$D71)*1*((('Asignaturas'!$A$4:$A$38&lt;&gt;""))&gt;0),0),0)),"",IF(ISBLANK(INDEX('Asignaturas'!$B$4:$B$38,MATCH(1,INDEX(EXACT('Asignaturas'!$A$4:$A$38,$D71)*1*((('Asignaturas'!$A$4:$A$38&lt;&gt;""))&gt;0),0),0))),"",INDEX('Asignaturas'!$B$4:$B$38,MATCH(1,INDEX(EXACT('Asignaturas'!$A$4:$A$38,$D71)*1*((('Asignaturas'!$A$4:$A$38&lt;&gt;""))&gt;0),0),0))))</f>
        <v/>
      </c>
      <c r="F71" s="3">
        <f>IF(ISNA(MATCH(1,INDEX(1*((('Plan por grupo'!$A$4:$A$53&lt;&gt;"")+('Plan por grupo'!$B$4:$B$53&lt;&gt;""))&gt;0)*(EXACT('Plan por grupo'!$A$4:$A$53,$A71))*(EXACT('Plan por grupo'!$B$4:$B$53,$D71)),0),0)),"",IF(ISBLANK(INDEX('Plan por grupo'!$C$4:$C$53,MATCH(1,INDEX(1*((('Plan por grupo'!$A$4:$A$53&lt;&gt;"")+('Plan por grupo'!$B$4:$B$53&lt;&gt;""))&gt;0)*(EXACT('Plan por grupo'!$A$4:$A$53,$A71))*(EXACT('Plan por grupo'!$B$4:$B$53,$D71)),0),0))),"",INDEX('Plan por grupo'!$C$4:$C$53,MATCH(1,INDEX(1*((('Plan por grupo'!$A$4:$A$53&lt;&gt;"")+('Plan por grupo'!$B$4:$B$53&lt;&gt;""))&gt;0)*(EXACT('Plan por grupo'!$A$4:$A$53,$A71))*(EXACT('Plan por grupo'!$B$4:$B$53,$D71)),0),0))))</f>
        <v/>
      </c>
      <c r="G71" s="3">
        <f>IF(ISNA(MATCH(1,INDEX(EXACT('Asignaturas'!$A$4:$A$38,$D71)*1*((('Asignaturas'!$A$4:$A$38&lt;&gt;""))&gt;0),0),0)),"",IF(ISBLANK(INDEX('Asignaturas'!$D$4:$D$38,MATCH(1,INDEX(EXACT('Asignaturas'!$A$4:$A$38,$D71)*1*((('Asignaturas'!$A$4:$A$38&lt;&gt;""))&gt;0),0),0))),"",INDEX('Asignaturas'!$D$4:$D$38,MATCH(1,INDEX(EXACT('Asignaturas'!$A$4:$A$38,$D71)*1*((('Asignaturas'!$A$4:$A$38&lt;&gt;""))&gt;0)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IF(ISNA(MATCH(1,INDEX(1*((('Plan por grupo'!$A$4:$A$53&lt;&gt;"")+('Plan por grupo'!$B$4:$B$53&lt;&gt;""))&gt;0)*(EXACT('Plan por grupo'!$A$4:$A$53,$A71))*(EXACT('Plan por grupo'!$B$4:$B$53,$D71)),0),0)),"no",IF(ISBLANK(INDEX('Plan por grupo'!$G$4:$G$53,MATCH(1,INDEX(1*((('Plan por grupo'!$A$4:$A$53&lt;&gt;"")+('Plan por grupo'!$B$4:$B$53&lt;&gt;""))&gt;0)*(EXACT('Plan por grupo'!$A$4:$A$53,$A71))*(EXACT('Plan por grupo'!$B$4:$B$53,$D71)),0),0))),"",INDEX('Plan por grupo'!$G$4:$G$53,MATCH(1,INDEX(1*((('Plan por grupo'!$A$4:$A$53&lt;&gt;"")+('Plan por grupo'!$B$4:$B$53&lt;&gt;""))&gt;0)*(EXACT('Plan por grupo'!$A$4:$A$53,$A71))*(EXACT('Plan por grupo'!$B$4:$B$53,$D71)),0),0))))</f>
        <v/>
      </c>
      <c r="J71" s="3">
        <f>IF(ISNA(MATCH(1,INDEX(1*((('Plan por grupo'!$A$4:$A$53&lt;&gt;"")+('Plan por grupo'!$B$4:$B$53&lt;&gt;""))&gt;0)*(EXACT('Plan por grupo'!$A$4:$A$53,$A71))*(EXACT('Plan por grupo'!$B$4:$B$53,$D71)),0),0)),"no",IF(ISBLANK(INDEX('Plan por grupo'!$E$4:$E$53,MATCH(1,INDEX(1*((('Plan por grupo'!$A$4:$A$53&lt;&gt;"")+('Plan por grupo'!$B$4:$B$53&lt;&gt;""))&gt;0)*(EXACT('Plan por grupo'!$A$4:$A$53,$A71))*(EXACT('Plan por grupo'!$B$4:$B$53,$D71)),0),0))),"",INDEX('Plan por grupo'!$E$4:$E$53,MATCH(1,INDEX(1*((('Plan por grupo'!$A$4:$A$53&lt;&gt;"")+('Plan por grupo'!$B$4:$B$53&lt;&gt;""))&gt;0)*(EXACT('Plan por grupo'!$A$4:$A$53,$A71))*(EXACT('Plan por grupo'!$B$4:$B$53,$D71)),0),0))))</f>
        <v/>
      </c>
      <c r="K71" s="3">
        <f>IF(ISNA(MATCH(1,INDEX(EXACT('Asignaturas'!$A$4:$A$38,$D71)*1*((('Asignaturas'!$A$4:$A$38&lt;&gt;""))&gt;0),0),0)),"",IF(ISBLANK(INDEX('Asignaturas'!$C$4:$C$38,MATCH(1,INDEX(EXACT('Asignaturas'!$A$4:$A$38,$D71)*1*((('Asignaturas'!$A$4:$A$38&lt;&gt;""))&gt;0),0),0))),"",INDEX('Asignaturas'!$C$4:$C$38,MATCH(1,INDEX(EXACT('Asignaturas'!$A$4:$A$38,$D71)*1*((('Asignaturas'!$A$4:$A$38&lt;&gt;""))&gt;0),0),0))))</f>
        <v/>
      </c>
      <c r="L71" s="3">
        <f>IF(ISNA(MATCH(1,INDEX(EXACT('Profesores'!$A$4:$A$53,$F71)*1*((('Profesores'!$A$4:$A$53&lt;&gt;""))&gt;0),0),0)),"no",IF(ISBLANK(INDEX('Profesores'!$B$4:$B$53,MATCH(1,INDEX(EXACT('Profesores'!$A$4:$A$53,$F71)*1*((('Profesores'!$A$4:$A$53&lt;&gt;""))&gt;0),0),0))),"",INDEX('Profesores'!$B$4:$B$53,MATCH(1,INDEX(EXACT('Profesores'!$A$4:$A$53,$F71)*1*((('Profesores'!$A$4:$A$53&lt;&gt;""))&gt;0),0),0))))</f>
        <v/>
      </c>
      <c r="M71" s="3">
        <f>IF(ISNA(MATCH(1,INDEX(EXACT('Profesores'!$A$4:$A$53,$F71)*1*((('Profesores'!$A$4:$A$53&lt;&gt;""))&gt;0),0),0)),"no",IF(ISBLANK(INDEX('Profesores'!$C$4:$C$53,MATCH(1,INDEX(EXACT('Profesores'!$A$4:$A$53,$F71)*1*((('Profesores'!$A$4:$A$53&lt;&gt;""))&gt;0),0),0))),"",INDEX('Profesores'!$C$4:$C$53,MATCH(1,INDEX(EXACT('Profesores'!$A$4:$A$53,$F71)*1*((('Profesores'!$A$4:$A$53&lt;&gt;""))&gt;0),0),0))))</f>
        <v/>
      </c>
      <c r="N71" s="3">
        <f>IF(EXACT($L71,"si"),IF(ISNA(MATCH(1,INDEX(1*((('Dias que asisten los contratado'!$A$4:$A$24&lt;&gt;"")+('Dias que asisten los contratado'!$B$4:$B$24&lt;&gt;""))&gt;0)*(EXACT('Dias que asisten los contratado'!$A$4:$A$24,$F71))*(EXACT('Dias que asisten los contratado'!$B$4:$B$24,$B71)),0),0)),"no",IF(ISBLANK(INDEX('Dias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contratado'!$B$4:$B$24,$B71)),0),0))),"",INDEX('Dias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contratado'!$B$4:$B$24,$B71)),0),0)))),"")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3">
        <f>IF(ISBLANK('Horario del grupo - 10-4'!E10),"",'Horario del grupo - 10-4'!E10)</f>
        <v/>
      </c>
      <c r="E72" s="3">
        <f>IF(ISNA(MATCH(1,INDEX(EXACT('Asignaturas'!$A$4:$A$38,$D72)*1*((('Asignaturas'!$A$4:$A$38&lt;&gt;""))&gt;0),0),0)),"",IF(ISBLANK(INDEX('Asignaturas'!$B$4:$B$38,MATCH(1,INDEX(EXACT('Asignaturas'!$A$4:$A$38,$D72)*1*((('Asignaturas'!$A$4:$A$38&lt;&gt;""))&gt;0),0),0))),"",INDEX('Asignaturas'!$B$4:$B$38,MATCH(1,INDEX(EXACT('Asignaturas'!$A$4:$A$38,$D72)*1*((('Asignaturas'!$A$4:$A$38&lt;&gt;""))&gt;0),0),0))))</f>
        <v/>
      </c>
      <c r="F72" s="3">
        <f>IF(ISNA(MATCH(1,INDEX(1*((('Plan por grupo'!$A$4:$A$53&lt;&gt;"")+('Plan por grupo'!$B$4:$B$53&lt;&gt;""))&gt;0)*(EXACT('Plan por grupo'!$A$4:$A$53,$A72))*(EXACT('Plan por grupo'!$B$4:$B$53,$D72)),0),0)),"",IF(ISBLANK(INDEX('Plan por grupo'!$C$4:$C$53,MATCH(1,INDEX(1*((('Plan por grupo'!$A$4:$A$53&lt;&gt;"")+('Plan por grupo'!$B$4:$B$53&lt;&gt;""))&gt;0)*(EXACT('Plan por grupo'!$A$4:$A$53,$A72))*(EXACT('Plan por grupo'!$B$4:$B$53,$D72)),0),0))),"",INDEX('Plan por grupo'!$C$4:$C$53,MATCH(1,INDEX(1*((('Plan por grupo'!$A$4:$A$53&lt;&gt;"")+('Plan por grupo'!$B$4:$B$53&lt;&gt;""))&gt;0)*(EXACT('Plan por grupo'!$A$4:$A$53,$A72))*(EXACT('Plan por grupo'!$B$4:$B$53,$D72)),0),0))))</f>
        <v/>
      </c>
      <c r="G72" s="3">
        <f>IF(ISNA(MATCH(1,INDEX(EXACT('Asignaturas'!$A$4:$A$38,$D72)*1*((('Asignaturas'!$A$4:$A$38&lt;&gt;""))&gt;0),0),0)),"",IF(ISBLANK(INDEX('Asignaturas'!$D$4:$D$38,MATCH(1,INDEX(EXACT('Asignaturas'!$A$4:$A$38,$D72)*1*((('Asignaturas'!$A$4:$A$38&lt;&gt;""))&gt;0),0),0))),"",INDEX('Asignaturas'!$D$4:$D$38,MATCH(1,INDEX(EXACT('Asignaturas'!$A$4:$A$38,$D72)*1*((('Asignaturas'!$A$4:$A$38&lt;&gt;""))&gt;0)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IF(ISNA(MATCH(1,INDEX(1*((('Plan por grupo'!$A$4:$A$53&lt;&gt;"")+('Plan por grupo'!$B$4:$B$53&lt;&gt;""))&gt;0)*(EXACT('Plan por grupo'!$A$4:$A$53,$A72))*(EXACT('Plan por grupo'!$B$4:$B$53,$D72)),0),0)),"no",IF(ISBLANK(INDEX('Plan por grupo'!$G$4:$G$53,MATCH(1,INDEX(1*((('Plan por grupo'!$A$4:$A$53&lt;&gt;"")+('Plan por grupo'!$B$4:$B$53&lt;&gt;""))&gt;0)*(EXACT('Plan por grupo'!$A$4:$A$53,$A72))*(EXACT('Plan por grupo'!$B$4:$B$53,$D72)),0),0))),"",INDEX('Plan por grupo'!$G$4:$G$53,MATCH(1,INDEX(1*((('Plan por grupo'!$A$4:$A$53&lt;&gt;"")+('Plan por grupo'!$B$4:$B$53&lt;&gt;""))&gt;0)*(EXACT('Plan por grupo'!$A$4:$A$53,$A72))*(EXACT('Plan por grupo'!$B$4:$B$53,$D72)),0),0))))</f>
        <v/>
      </c>
      <c r="J72" s="3">
        <f>IF(ISNA(MATCH(1,INDEX(1*((('Plan por grupo'!$A$4:$A$53&lt;&gt;"")+('Plan por grupo'!$B$4:$B$53&lt;&gt;""))&gt;0)*(EXACT('Plan por grupo'!$A$4:$A$53,$A72))*(EXACT('Plan por grupo'!$B$4:$B$53,$D72)),0),0)),"no",IF(ISBLANK(INDEX('Plan por grupo'!$E$4:$E$53,MATCH(1,INDEX(1*((('Plan por grupo'!$A$4:$A$53&lt;&gt;"")+('Plan por grupo'!$B$4:$B$53&lt;&gt;""))&gt;0)*(EXACT('Plan por grupo'!$A$4:$A$53,$A72))*(EXACT('Plan por grupo'!$B$4:$B$53,$D72)),0),0))),"",INDEX('Plan por grupo'!$E$4:$E$53,MATCH(1,INDEX(1*((('Plan por grupo'!$A$4:$A$53&lt;&gt;"")+('Plan por grupo'!$B$4:$B$53&lt;&gt;""))&gt;0)*(EXACT('Plan por grupo'!$A$4:$A$53,$A72))*(EXACT('Plan por grupo'!$B$4:$B$53,$D72)),0),0))))</f>
        <v/>
      </c>
      <c r="K72" s="3">
        <f>IF(ISNA(MATCH(1,INDEX(EXACT('Asignaturas'!$A$4:$A$38,$D72)*1*((('Asignaturas'!$A$4:$A$38&lt;&gt;""))&gt;0),0),0)),"",IF(ISBLANK(INDEX('Asignaturas'!$C$4:$C$38,MATCH(1,INDEX(EXACT('Asignaturas'!$A$4:$A$38,$D72)*1*((('Asignaturas'!$A$4:$A$38&lt;&gt;""))&gt;0),0),0))),"",INDEX('Asignaturas'!$C$4:$C$38,MATCH(1,INDEX(EXACT('Asignaturas'!$A$4:$A$38,$D72)*1*((('Asignaturas'!$A$4:$A$38&lt;&gt;""))&gt;0),0),0))))</f>
        <v/>
      </c>
      <c r="L72" s="3">
        <f>IF(ISNA(MATCH(1,INDEX(EXACT('Profesores'!$A$4:$A$53,$F72)*1*((('Profesores'!$A$4:$A$53&lt;&gt;""))&gt;0),0),0)),"no",IF(ISBLANK(INDEX('Profesores'!$B$4:$B$53,MATCH(1,INDEX(EXACT('Profesores'!$A$4:$A$53,$F72)*1*((('Profesores'!$A$4:$A$53&lt;&gt;""))&gt;0),0),0))),"",INDEX('Profesores'!$B$4:$B$53,MATCH(1,INDEX(EXACT('Profesores'!$A$4:$A$53,$F72)*1*((('Profesores'!$A$4:$A$53&lt;&gt;""))&gt;0),0),0))))</f>
        <v/>
      </c>
      <c r="M72" s="3">
        <f>IF(ISNA(MATCH(1,INDEX(EXACT('Profesores'!$A$4:$A$53,$F72)*1*((('Profesores'!$A$4:$A$53&lt;&gt;""))&gt;0),0),0)),"no",IF(ISBLANK(INDEX('Profesores'!$C$4:$C$53,MATCH(1,INDEX(EXACT('Profesores'!$A$4:$A$53,$F72)*1*((('Profesores'!$A$4:$A$53&lt;&gt;""))&gt;0),0),0))),"",INDEX('Profesores'!$C$4:$C$53,MATCH(1,INDEX(EXACT('Profesores'!$A$4:$A$53,$F72)*1*((('Profesores'!$A$4:$A$53&lt;&gt;""))&gt;0),0),0))))</f>
        <v/>
      </c>
      <c r="N72" s="3">
        <f>IF(EXACT($L72,"si"),IF(ISNA(MATCH(1,INDEX(1*((('Dias que asisten los contratado'!$A$4:$A$24&lt;&gt;"")+('Dias que asisten los contratado'!$B$4:$B$24&lt;&gt;""))&gt;0)*(EXACT('Dias que asisten los contratado'!$A$4:$A$24,$F72))*(EXACT('Dias que asisten los contratado'!$B$4:$B$24,$B72)),0),0)),"no",IF(ISBLANK(INDEX('Dias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contratado'!$B$4:$B$24,$B72)),0),0))),"",INDEX('Dias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contratado'!$B$4:$B$24,$B72)),0),0)))),"")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3">
        <f>IF(ISBLANK('Horario del grupo - 10-4'!F10),"",'Horario del grupo - 10-4'!F10)</f>
        <v/>
      </c>
      <c r="E73" s="3">
        <f>IF(ISNA(MATCH(1,INDEX(EXACT('Asignaturas'!$A$4:$A$38,$D73)*1*((('Asignaturas'!$A$4:$A$38&lt;&gt;""))&gt;0),0),0)),"",IF(ISBLANK(INDEX('Asignaturas'!$B$4:$B$38,MATCH(1,INDEX(EXACT('Asignaturas'!$A$4:$A$38,$D73)*1*((('Asignaturas'!$A$4:$A$38&lt;&gt;""))&gt;0),0),0))),"",INDEX('Asignaturas'!$B$4:$B$38,MATCH(1,INDEX(EXACT('Asignaturas'!$A$4:$A$38,$D73)*1*((('Asignaturas'!$A$4:$A$38&lt;&gt;""))&gt;0),0),0))))</f>
        <v/>
      </c>
      <c r="F73" s="3">
        <f>IF(ISNA(MATCH(1,INDEX(1*((('Plan por grupo'!$A$4:$A$53&lt;&gt;"")+('Plan por grupo'!$B$4:$B$53&lt;&gt;""))&gt;0)*(EXACT('Plan por grupo'!$A$4:$A$53,$A73))*(EXACT('Plan por grupo'!$B$4:$B$53,$D73)),0),0)),"",IF(ISBLANK(INDEX('Plan por grupo'!$C$4:$C$53,MATCH(1,INDEX(1*((('Plan por grupo'!$A$4:$A$53&lt;&gt;"")+('Plan por grupo'!$B$4:$B$53&lt;&gt;""))&gt;0)*(EXACT('Plan por grupo'!$A$4:$A$53,$A73))*(EXACT('Plan por grupo'!$B$4:$B$53,$D73)),0),0))),"",INDEX('Plan por grupo'!$C$4:$C$53,MATCH(1,INDEX(1*((('Plan por grupo'!$A$4:$A$53&lt;&gt;"")+('Plan por grupo'!$B$4:$B$53&lt;&gt;""))&gt;0)*(EXACT('Plan por grupo'!$A$4:$A$53,$A73))*(EXACT('Plan por grupo'!$B$4:$B$53,$D73)),0),0))))</f>
        <v/>
      </c>
      <c r="G73" s="3">
        <f>IF(ISNA(MATCH(1,INDEX(EXACT('Asignaturas'!$A$4:$A$38,$D73)*1*((('Asignaturas'!$A$4:$A$38&lt;&gt;""))&gt;0),0),0)),"",IF(ISBLANK(INDEX('Asignaturas'!$D$4:$D$38,MATCH(1,INDEX(EXACT('Asignaturas'!$A$4:$A$38,$D73)*1*((('Asignaturas'!$A$4:$A$38&lt;&gt;""))&gt;0),0),0))),"",INDEX('Asignaturas'!$D$4:$D$38,MATCH(1,INDEX(EXACT('Asignaturas'!$A$4:$A$38,$D73)*1*((('Asignaturas'!$A$4:$A$38&lt;&gt;""))&gt;0)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IF(ISNA(MATCH(1,INDEX(1*((('Plan por grupo'!$A$4:$A$53&lt;&gt;"")+('Plan por grupo'!$B$4:$B$53&lt;&gt;""))&gt;0)*(EXACT('Plan por grupo'!$A$4:$A$53,$A73))*(EXACT('Plan por grupo'!$B$4:$B$53,$D73)),0),0)),"no",IF(ISBLANK(INDEX('Plan por grupo'!$G$4:$G$53,MATCH(1,INDEX(1*((('Plan por grupo'!$A$4:$A$53&lt;&gt;"")+('Plan por grupo'!$B$4:$B$53&lt;&gt;""))&gt;0)*(EXACT('Plan por grupo'!$A$4:$A$53,$A73))*(EXACT('Plan por grupo'!$B$4:$B$53,$D73)),0),0))),"",INDEX('Plan por grupo'!$G$4:$G$53,MATCH(1,INDEX(1*((('Plan por grupo'!$A$4:$A$53&lt;&gt;"")+('Plan por grupo'!$B$4:$B$53&lt;&gt;""))&gt;0)*(EXACT('Plan por grupo'!$A$4:$A$53,$A73))*(EXACT('Plan por grupo'!$B$4:$B$53,$D73)),0),0))))</f>
        <v/>
      </c>
      <c r="J73" s="3">
        <f>IF(ISNA(MATCH(1,INDEX(1*((('Plan por grupo'!$A$4:$A$53&lt;&gt;"")+('Plan por grupo'!$B$4:$B$53&lt;&gt;""))&gt;0)*(EXACT('Plan por grupo'!$A$4:$A$53,$A73))*(EXACT('Plan por grupo'!$B$4:$B$53,$D73)),0),0)),"no",IF(ISBLANK(INDEX('Plan por grupo'!$E$4:$E$53,MATCH(1,INDEX(1*((('Plan por grupo'!$A$4:$A$53&lt;&gt;"")+('Plan por grupo'!$B$4:$B$53&lt;&gt;""))&gt;0)*(EXACT('Plan por grupo'!$A$4:$A$53,$A73))*(EXACT('Plan por grupo'!$B$4:$B$53,$D73)),0),0))),"",INDEX('Plan por grupo'!$E$4:$E$53,MATCH(1,INDEX(1*((('Plan por grupo'!$A$4:$A$53&lt;&gt;"")+('Plan por grupo'!$B$4:$B$53&lt;&gt;""))&gt;0)*(EXACT('Plan por grupo'!$A$4:$A$53,$A73))*(EXACT('Plan por grupo'!$B$4:$B$53,$D73)),0),0))))</f>
        <v/>
      </c>
      <c r="K73" s="3">
        <f>IF(ISNA(MATCH(1,INDEX(EXACT('Asignaturas'!$A$4:$A$38,$D73)*1*((('Asignaturas'!$A$4:$A$38&lt;&gt;""))&gt;0),0),0)),"",IF(ISBLANK(INDEX('Asignaturas'!$C$4:$C$38,MATCH(1,INDEX(EXACT('Asignaturas'!$A$4:$A$38,$D73)*1*((('Asignaturas'!$A$4:$A$38&lt;&gt;""))&gt;0),0),0))),"",INDEX('Asignaturas'!$C$4:$C$38,MATCH(1,INDEX(EXACT('Asignaturas'!$A$4:$A$38,$D73)*1*((('Asignaturas'!$A$4:$A$38&lt;&gt;""))&gt;0),0),0))))</f>
        <v/>
      </c>
      <c r="L73" s="3">
        <f>IF(ISNA(MATCH(1,INDEX(EXACT('Profesores'!$A$4:$A$53,$F73)*1*((('Profesores'!$A$4:$A$53&lt;&gt;""))&gt;0),0),0)),"no",IF(ISBLANK(INDEX('Profesores'!$B$4:$B$53,MATCH(1,INDEX(EXACT('Profesores'!$A$4:$A$53,$F73)*1*((('Profesores'!$A$4:$A$53&lt;&gt;""))&gt;0),0),0))),"",INDEX('Profesores'!$B$4:$B$53,MATCH(1,INDEX(EXACT('Profesores'!$A$4:$A$53,$F73)*1*((('Profesores'!$A$4:$A$53&lt;&gt;""))&gt;0),0),0))))</f>
        <v/>
      </c>
      <c r="M73" s="3">
        <f>IF(ISNA(MATCH(1,INDEX(EXACT('Profesores'!$A$4:$A$53,$F73)*1*((('Profesores'!$A$4:$A$53&lt;&gt;""))&gt;0),0),0)),"no",IF(ISBLANK(INDEX('Profesores'!$C$4:$C$53,MATCH(1,INDEX(EXACT('Profesores'!$A$4:$A$53,$F73)*1*((('Profesores'!$A$4:$A$53&lt;&gt;""))&gt;0),0),0))),"",INDEX('Profesores'!$C$4:$C$53,MATCH(1,INDEX(EXACT('Profesores'!$A$4:$A$53,$F73)*1*((('Profesores'!$A$4:$A$53&lt;&gt;""))&gt;0),0),0))))</f>
        <v/>
      </c>
      <c r="N73" s="3">
        <f>IF(EXACT($L73,"si"),IF(ISNA(MATCH(1,INDEX(1*((('Dias que asisten los contratado'!$A$4:$A$24&lt;&gt;"")+('Dias que asisten los contratado'!$B$4:$B$24&lt;&gt;""))&gt;0)*(EXACT('Dias que asisten los contratado'!$A$4:$A$24,$F73))*(EXACT('Dias que asisten los contratado'!$B$4:$B$24,$B73)),0),0)),"no",IF(ISBLANK(INDEX('Dias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contratado'!$B$4:$B$24,$B73)),0),0))),"",INDEX('Dias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contratado'!$B$4:$B$24,$B73)),0),0)))),"")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6" t="inlineStr">
        <is>
          <t>Leyenda</t>
        </is>
      </c>
    </row>
    <row r="76">
      <c r="A76" s="7" t="n"/>
      <c r="B76" t="inlineStr">
        <is>
          <t>Este profesor ya da clase a otro grupo en este mismo turno</t>
        </is>
      </c>
    </row>
    <row r="77">
      <c r="A77" s="8" t="n"/>
      <c r="B77" t="inlineStr">
        <is>
          <t>Ese local esta ocupado por otro grupo a esa hora</t>
        </is>
      </c>
    </row>
    <row r="78">
      <c r="A78" s="9" t="n"/>
      <c r="B78" t="inlineStr">
        <is>
          <t>La asignatura se repite el mismo dia en el grupo sin admitir turno doble, o sin ir en turnos seguidos</t>
        </is>
      </c>
    </row>
    <row r="79">
      <c r="A79" s="10" t="n"/>
      <c r="B79" t="inlineStr">
        <is>
          <t>Es el dia de preparacion de la asignatura</t>
        </is>
      </c>
    </row>
    <row r="80">
      <c r="A80" s="11" t="n"/>
      <c r="B80" t="inlineStr">
        <is>
          <t>Educacion Fisica no puede caer despues del tercer turno</t>
        </is>
      </c>
    </row>
    <row r="81">
      <c r="A81" s="12" t="n"/>
      <c r="B81" t="inlineStr">
        <is>
          <t>Esta asignatura no admite turnos de tarde</t>
        </is>
      </c>
    </row>
    <row r="82">
      <c r="A82" s="13" t="n"/>
      <c r="B82" t="inlineStr">
        <is>
          <t>Este profesor esta contratado y no asiste al centro este dia</t>
        </is>
      </c>
    </row>
    <row r="83">
      <c r="A83" s="14" t="n"/>
      <c r="B83" t="inlineStr">
        <is>
          <t>Se preferiria no darle el primer turno a un profesor que vive lejos</t>
        </is>
      </c>
    </row>
    <row r="84">
      <c r="A84" s="15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0" customWidth="1" min="3" max="3"/>
    <col width="13" customWidth="1" min="4" max="4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Dia de preparacion</t>
        </is>
      </c>
      <c r="D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4" t="n"/>
      <c r="D4" s="4" t="n"/>
    </row>
    <row r="5">
      <c r="A5" s="3" t="inlineStr">
        <is>
          <t>Lit-L</t>
        </is>
      </c>
      <c r="B5" s="3" t="inlineStr">
        <is>
          <t>Literatura y Lengua</t>
        </is>
      </c>
      <c r="C5" s="4" t="n"/>
      <c r="D5" s="4" t="n"/>
    </row>
    <row r="6">
      <c r="A6" s="3" t="inlineStr">
        <is>
          <t>F</t>
        </is>
      </c>
      <c r="B6" s="3" t="inlineStr">
        <is>
          <t>Fisica</t>
        </is>
      </c>
      <c r="C6" s="4" t="n"/>
      <c r="D6" s="4" t="n"/>
    </row>
    <row r="7">
      <c r="A7" s="3" t="inlineStr">
        <is>
          <t>I</t>
        </is>
      </c>
      <c r="B7" s="3" t="inlineStr">
        <is>
          <t>Ingles</t>
        </is>
      </c>
      <c r="C7" s="4" t="n"/>
      <c r="D7" s="4" t="n"/>
    </row>
    <row r="8">
      <c r="A8" s="3" t="inlineStr">
        <is>
          <t>H</t>
        </is>
      </c>
      <c r="B8" s="3" t="inlineStr">
        <is>
          <t>Historia</t>
        </is>
      </c>
      <c r="C8" s="4" t="n"/>
      <c r="D8" s="4" t="n"/>
    </row>
    <row r="9">
      <c r="A9" s="3" t="inlineStr">
        <is>
          <t>EF</t>
        </is>
      </c>
      <c r="B9" s="3" t="inlineStr">
        <is>
          <t>Educacion Fisica</t>
        </is>
      </c>
      <c r="C9" s="4" t="n"/>
      <c r="D9" s="4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4" t="n"/>
      <c r="D10" s="4" t="n"/>
    </row>
    <row r="11">
      <c r="A11" s="3" t="inlineStr">
        <is>
          <t>G</t>
        </is>
      </c>
      <c r="B11" s="3" t="inlineStr">
        <is>
          <t>Geografia</t>
        </is>
      </c>
      <c r="C11" s="4" t="n"/>
      <c r="D11" s="4" t="n"/>
    </row>
    <row r="12">
      <c r="A12" s="3" t="inlineStr">
        <is>
          <t>INF</t>
        </is>
      </c>
      <c r="B12" s="3" t="inlineStr">
        <is>
          <t>Informatica</t>
        </is>
      </c>
      <c r="C12" s="4" t="n"/>
      <c r="D12" s="4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4" t="n"/>
      <c r="D13" s="4" t="n"/>
    </row>
    <row r="14">
      <c r="A14" s="3" t="inlineStr">
        <is>
          <t>CP</t>
        </is>
      </c>
      <c r="B14" s="3" t="inlineStr">
        <is>
          <t>(CP, por confirmar)</t>
        </is>
      </c>
      <c r="C14" s="4" t="n"/>
      <c r="D14" s="4" t="n"/>
    </row>
    <row r="15">
      <c r="A15" s="3" t="inlineStr">
        <is>
          <t>DC</t>
        </is>
      </c>
      <c r="B15" s="3" t="inlineStr">
        <is>
          <t>(DC, por confirmar)</t>
        </is>
      </c>
      <c r="C15" s="4" t="n"/>
      <c r="D15" s="4" t="n"/>
    </row>
    <row r="16">
      <c r="A16" s="3" t="inlineStr">
        <is>
          <t>CA</t>
        </is>
      </c>
      <c r="B16" s="3" t="inlineStr">
        <is>
          <t>(CA, por confirmar)</t>
        </is>
      </c>
      <c r="C16" s="4" t="n"/>
      <c r="D16" s="4" t="n"/>
    </row>
    <row r="17">
      <c r="A17" s="3" t="inlineStr">
        <is>
          <t>RD</t>
        </is>
      </c>
      <c r="B17" s="3" t="inlineStr">
        <is>
          <t>(RD, por confirmar)</t>
        </is>
      </c>
      <c r="C17" s="4" t="n"/>
      <c r="D17" s="4" t="n"/>
    </row>
    <row r="18">
      <c r="A18" s="3" t="inlineStr">
        <is>
          <t>AL/AC</t>
        </is>
      </c>
      <c r="B18" s="3" t="inlineStr">
        <is>
          <t>(AL/AC, por confirmar)</t>
        </is>
      </c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38" showDropDown="0" showInputMessage="0" showErrorMessage="1" allowBlank="1" errorTitle="Valor fuera del dominio" error="Ese valor no esta en la lista." type="list" errorStyle="information">
      <formula1>'Listas'!$B$4:$B$8</formula1>
    </dataValidation>
  </dataValidations>
  <pageMargins left="0.75" right="0.75" top="1" bottom="1" header="0.5" footer="0.5"/>
  <pageSetup fitToHeight="0" fitToWidth="1"/>
</worksheet>
</file>

<file path=xl/worksheets/sheet4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12" customWidth="1" min="4" max="4"/>
    <col width="14" customWidth="1" min="5" max="5"/>
    <col width="24" customWidth="1" min="6" max="6"/>
    <col width="13" customWidth="1" min="7" max="7"/>
    <col width="11" customWidth="1" min="8" max="8"/>
    <col width="8" customWidth="1" min="9" max="9"/>
    <col width="8" customWidth="1" min="10" max="10"/>
    <col hidden="1" width="24" customWidth="1" min="11" max="11"/>
  </cols>
  <sheetData>
    <row r="1">
      <c r="A1" s="1" t="inlineStr">
        <is>
          <t>Plan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Frecuencia</t>
        </is>
      </c>
      <c r="E3" s="2" t="inlineStr">
        <is>
          <t>Admite tarde</t>
        </is>
      </c>
      <c r="F3" s="2" t="inlineStr">
        <is>
          <t>Asignatura</t>
        </is>
      </c>
      <c r="G3" s="2" t="inlineStr">
        <is>
          <t>Turno doble</t>
        </is>
      </c>
      <c r="H3" s="2" t="inlineStr">
        <is>
          <t>Asignadas</t>
        </is>
      </c>
      <c r="I3" s="2" t="inlineStr">
        <is>
          <t>Faltan</t>
        </is>
      </c>
      <c r="J3" s="2" t="inlineStr">
        <is>
          <t>Estado</t>
        </is>
      </c>
      <c r="K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4" t="inlineStr">
        <is>
          <t>Profesor de M en 10-3</t>
        </is>
      </c>
      <c r="D4" s="4" t="n">
        <v>5</v>
      </c>
      <c r="E4" s="4" t="inlineStr">
        <is>
          <t>no</t>
        </is>
      </c>
      <c r="F4" s="3">
        <f>IF(AND($A4="",$B4=""),"",IF(ISNA(MATCH(1,INDEX(EXACT('Asignaturas'!$A$4:$A$38,$B4)*1*((('Asignaturas'!$A$4:$A$38&lt;&gt;""))&gt;0),0),0)),"",IF(ISBLANK(INDEX('Asignaturas'!$B$4:$B$38,MATCH(1,INDEX(EXACT('Asignaturas'!$A$4:$A$38,$B4)*1*((('Asignaturas'!$A$4:$A$38&lt;&gt;""))&gt;0),0),0))),"",INDEX('Asignaturas'!$B$4:$B$38,MATCH(1,INDEX(EXACT('Asignaturas'!$A$4:$A$38,$B4)*1*((('Asignaturas'!$A$4:$A$38&lt;&gt;""))&gt;0),0),0)))))</f>
        <v/>
      </c>
      <c r="G4" s="3">
        <f>IF(AND($A4="",$B4=""),"",IF(EXACT($D4,5),"si","no"))</f>
        <v/>
      </c>
      <c r="H4" s="3">
        <f>IF(AND($A4="",$B4=""),"",SUMPRODUCT(1*((EXACT('Casillas del horario'!$A$4:$A$73,$A4)))*((EXACT('Casillas del horario'!$D$4:$D$73,$B4)))))</f>
        <v/>
      </c>
      <c r="I4" s="3">
        <f>IF(AND($A4="",$B4=""),"",(IFERROR(VALUE($D4&amp;""),0)-IFERROR(VALUE($H4&amp;""),0)))</f>
        <v/>
      </c>
      <c r="J4" s="3">
        <f>IF(AND($A4="",$B4=""),"",MID(IF((IFERROR(VALUE($I4&amp;""),0)&gt;0),"; "&amp;IF(ISNUMBER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,IF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=0,"0",ROUND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,9-INT(LOG10(ABS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)))&amp;""),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&amp;""),"")&amp;IF((IFERROR(VALUE($I4&amp;""),0)&lt;0),"; "&amp;IF(ISNUMBER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,IF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=0,"0",ROUND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,9-INT(LOG10(ABS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)))&amp;""),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&amp;""),""),3,32767))</f>
        <v/>
      </c>
      <c r="K4" s="3">
        <f>IF(OR((IFERROR(VALUE($I4&amp;""),0)&gt;0),(IFERROR(VALUE($I4&amp;""),0)&lt;0)),3,0)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4" t="inlineStr">
        <is>
          <t>Profesor de Lit-L en 10-3</t>
        </is>
      </c>
      <c r="D5" s="4" t="n">
        <v>4</v>
      </c>
      <c r="E5" s="4" t="inlineStr">
        <is>
          <t>no</t>
        </is>
      </c>
      <c r="F5" s="3">
        <f>IF(AND($A5="",$B5=""),"",IF(ISNA(MATCH(1,INDEX(EXACT('Asignaturas'!$A$4:$A$38,$B5)*1*((('Asignaturas'!$A$4:$A$38&lt;&gt;""))&gt;0),0),0)),"",IF(ISBLANK(INDEX('Asignaturas'!$B$4:$B$38,MATCH(1,INDEX(EXACT('Asignaturas'!$A$4:$A$38,$B5)*1*((('Asignaturas'!$A$4:$A$38&lt;&gt;""))&gt;0),0),0))),"",INDEX('Asignaturas'!$B$4:$B$38,MATCH(1,INDEX(EXACT('Asignaturas'!$A$4:$A$38,$B5)*1*((('Asignaturas'!$A$4:$A$38&lt;&gt;""))&gt;0),0),0)))))</f>
        <v/>
      </c>
      <c r="G5" s="3">
        <f>IF(AND($A5="",$B5=""),"",IF(EXACT($D5,5),"si","no"))</f>
        <v/>
      </c>
      <c r="H5" s="3">
        <f>IF(AND($A5="",$B5=""),"",SUMPRODUCT(1*((EXACT('Casillas del horario'!$A$4:$A$73,$A5)))*((EXACT('Casillas del horario'!$D$4:$D$73,$B5)))))</f>
        <v/>
      </c>
      <c r="I5" s="3">
        <f>IF(AND($A5="",$B5=""),"",(IFERROR(VALUE($D5&amp;""),0)-IFERROR(VALUE($H5&amp;""),0)))</f>
        <v/>
      </c>
      <c r="J5" s="3">
        <f>IF(AND($A5="",$B5=""),"",MID(IF((IFERROR(VALUE($I5&amp;""),0)&gt;0),"; "&amp;IF(ISNUMBER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,IF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=0,"0",ROUND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,9-INT(LOG10(ABS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)))&amp;""),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&amp;""),"")&amp;IF((IFERROR(VALUE($I5&amp;""),0)&lt;0),"; "&amp;IF(ISNUMBER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,IF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=0,"0",ROUND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,9-INT(LOG10(ABS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)))&amp;""),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&amp;""),""),3,32767))</f>
        <v/>
      </c>
      <c r="K5" s="3">
        <f>IF(OR((IFERROR(VALUE($I5&amp;""),0)&gt;0),(IFERROR(VALUE($I5&amp;""),0)&lt;0)),3,0)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4" t="inlineStr">
        <is>
          <t>Profesor de F en 10-3</t>
        </is>
      </c>
      <c r="D6" s="4" t="n">
        <v>3</v>
      </c>
      <c r="E6" s="4" t="inlineStr">
        <is>
          <t>no</t>
        </is>
      </c>
      <c r="F6" s="3">
        <f>IF(AND($A6="",$B6=""),"",IF(ISNA(MATCH(1,INDEX(EXACT('Asignaturas'!$A$4:$A$38,$B6)*1*((('Asignaturas'!$A$4:$A$38&lt;&gt;""))&gt;0),0),0)),"",IF(ISBLANK(INDEX('Asignaturas'!$B$4:$B$38,MATCH(1,INDEX(EXACT('Asignaturas'!$A$4:$A$38,$B6)*1*((('Asignaturas'!$A$4:$A$38&lt;&gt;""))&gt;0),0),0))),"",INDEX('Asignaturas'!$B$4:$B$38,MATCH(1,INDEX(EXACT('Asignaturas'!$A$4:$A$38,$B6)*1*((('Asignaturas'!$A$4:$A$38&lt;&gt;""))&gt;0),0),0)))))</f>
        <v/>
      </c>
      <c r="G6" s="3">
        <f>IF(AND($A6="",$B6=""),"",IF(EXACT($D6,5),"si","no"))</f>
        <v/>
      </c>
      <c r="H6" s="3">
        <f>IF(AND($A6="",$B6=""),"",SUMPRODUCT(1*((EXACT('Casillas del horario'!$A$4:$A$73,$A6)))*((EXACT('Casillas del horario'!$D$4:$D$73,$B6)))))</f>
        <v/>
      </c>
      <c r="I6" s="3">
        <f>IF(AND($A6="",$B6=""),"",(IFERROR(VALUE($D6&amp;""),0)-IFERROR(VALUE($H6&amp;""),0)))</f>
        <v/>
      </c>
      <c r="J6" s="3">
        <f>IF(AND($A6="",$B6=""),"",MID(IF((IFERROR(VALUE($I6&amp;""),0)&gt;0),"; "&amp;IF(ISNUMBER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,IF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=0,"0",ROUND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,9-INT(LOG10(ABS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)))&amp;""),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&amp;""),"")&amp;IF((IFERROR(VALUE($I6&amp;""),0)&lt;0),"; "&amp;IF(ISNUMBER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,IF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=0,"0",ROUND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,9-INT(LOG10(ABS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)))&amp;""),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&amp;""),""),3,32767))</f>
        <v/>
      </c>
      <c r="K6" s="3">
        <f>IF(OR((IFERROR(VALUE($I6&amp;""),0)&gt;0),(IFERROR(VALUE($I6&amp;""),0)&lt;0)),3,0)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4" t="inlineStr">
        <is>
          <t>Profesor de I en 10-3</t>
        </is>
      </c>
      <c r="D7" s="4" t="n">
        <v>3</v>
      </c>
      <c r="E7" s="4" t="inlineStr">
        <is>
          <t>no</t>
        </is>
      </c>
      <c r="F7" s="3">
        <f>IF(AND($A7="",$B7=""),"",IF(ISNA(MATCH(1,INDEX(EXACT('Asignaturas'!$A$4:$A$38,$B7)*1*((('Asignaturas'!$A$4:$A$38&lt;&gt;""))&gt;0),0),0)),"",IF(ISBLANK(INDEX('Asignaturas'!$B$4:$B$38,MATCH(1,INDEX(EXACT('Asignaturas'!$A$4:$A$38,$B7)*1*((('Asignaturas'!$A$4:$A$38&lt;&gt;""))&gt;0),0),0))),"",INDEX('Asignaturas'!$B$4:$B$38,MATCH(1,INDEX(EXACT('Asignaturas'!$A$4:$A$38,$B7)*1*((('Asignaturas'!$A$4:$A$38&lt;&gt;""))&gt;0),0),0)))))</f>
        <v/>
      </c>
      <c r="G7" s="3">
        <f>IF(AND($A7="",$B7=""),"",IF(EXACT($D7,5),"si","no"))</f>
        <v/>
      </c>
      <c r="H7" s="3">
        <f>IF(AND($A7="",$B7=""),"",SUMPRODUCT(1*((EXACT('Casillas del horario'!$A$4:$A$73,$A7)))*((EXACT('Casillas del horario'!$D$4:$D$73,$B7)))))</f>
        <v/>
      </c>
      <c r="I7" s="3">
        <f>IF(AND($A7="",$B7=""),"",(IFERROR(VALUE($D7&amp;""),0)-IFERROR(VALUE($H7&amp;""),0)))</f>
        <v/>
      </c>
      <c r="J7" s="3">
        <f>IF(AND($A7="",$B7=""),"",MID(IF((IFERROR(VALUE($I7&amp;""),0)&gt;0),"; "&amp;IF(ISNUMBER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,IF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=0,"0",ROUND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,9-INT(LOG10(ABS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)))&amp;""),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&amp;""),"")&amp;IF((IFERROR(VALUE($I7&amp;""),0)&lt;0),"; "&amp;IF(ISNUMBER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,IF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=0,"0",ROUND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,9-INT(LOG10(ABS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)))&amp;""),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&amp;""),""),3,32767))</f>
        <v/>
      </c>
      <c r="K7" s="3">
        <f>IF(OR((IFERROR(VALUE($I7&amp;""),0)&gt;0),(IFERROR(VALUE($I7&amp;""),0)&lt;0)),3,0)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4" t="inlineStr">
        <is>
          <t>Profesor de H en 10-3</t>
        </is>
      </c>
      <c r="D8" s="4" t="n">
        <v>3</v>
      </c>
      <c r="E8" s="4" t="inlineStr">
        <is>
          <t>no</t>
        </is>
      </c>
      <c r="F8" s="3">
        <f>IF(AND($A8="",$B8=""),"",IF(ISNA(MATCH(1,INDEX(EXACT('Asignaturas'!$A$4:$A$38,$B8)*1*((('Asignaturas'!$A$4:$A$38&lt;&gt;""))&gt;0),0),0)),"",IF(ISBLANK(INDEX('Asignaturas'!$B$4:$B$38,MATCH(1,INDEX(EXACT('Asignaturas'!$A$4:$A$38,$B8)*1*((('Asignaturas'!$A$4:$A$38&lt;&gt;""))&gt;0),0),0))),"",INDEX('Asignaturas'!$B$4:$B$38,MATCH(1,INDEX(EXACT('Asignaturas'!$A$4:$A$38,$B8)*1*((('Asignaturas'!$A$4:$A$38&lt;&gt;""))&gt;0),0),0)))))</f>
        <v/>
      </c>
      <c r="G8" s="3">
        <f>IF(AND($A8="",$B8=""),"",IF(EXACT($D8,5),"si","no"))</f>
        <v/>
      </c>
      <c r="H8" s="3">
        <f>IF(AND($A8="",$B8=""),"",SUMPRODUCT(1*((EXACT('Casillas del horario'!$A$4:$A$73,$A8)))*((EXACT('Casillas del horario'!$D$4:$D$73,$B8)))))</f>
        <v/>
      </c>
      <c r="I8" s="3">
        <f>IF(AND($A8="",$B8=""),"",(IFERROR(VALUE($D8&amp;""),0)-IFERROR(VALUE($H8&amp;""),0)))</f>
        <v/>
      </c>
      <c r="J8" s="3">
        <f>IF(AND($A8="",$B8=""),"",MID(IF((IFERROR(VALUE($I8&amp;""),0)&gt;0),"; "&amp;IF(ISNUMBER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,IF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=0,"0",ROUND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,9-INT(LOG10(ABS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)))&amp;""),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&amp;""),"")&amp;IF((IFERROR(VALUE($I8&amp;""),0)&lt;0),"; "&amp;IF(ISNUMBER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,IF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=0,"0",ROUND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,9-INT(LOG10(ABS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)))&amp;""),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&amp;""),""),3,32767))</f>
        <v/>
      </c>
      <c r="K8" s="3">
        <f>IF(OR((IFERROR(VALUE($I8&amp;""),0)&gt;0),(IFERROR(VALUE($I8&amp;""),0)&lt;0)),3,0)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4" t="inlineStr">
        <is>
          <t>Profesor de EF en 10-3</t>
        </is>
      </c>
      <c r="D9" s="4" t="n">
        <v>2</v>
      </c>
      <c r="E9" s="4" t="inlineStr">
        <is>
          <t>no</t>
        </is>
      </c>
      <c r="F9" s="3">
        <f>IF(AND($A9="",$B9=""),"",IF(ISNA(MATCH(1,INDEX(EXACT('Asignaturas'!$A$4:$A$38,$B9)*1*((('Asignaturas'!$A$4:$A$38&lt;&gt;""))&gt;0),0),0)),"",IF(ISBLANK(INDEX('Asignaturas'!$B$4:$B$38,MATCH(1,INDEX(EXACT('Asignaturas'!$A$4:$A$38,$B9)*1*((('Asignaturas'!$A$4:$A$38&lt;&gt;""))&gt;0),0),0))),"",INDEX('Asignaturas'!$B$4:$B$38,MATCH(1,INDEX(EXACT('Asignaturas'!$A$4:$A$38,$B9)*1*((('Asignaturas'!$A$4:$A$38&lt;&gt;""))&gt;0),0),0)))))</f>
        <v/>
      </c>
      <c r="G9" s="3">
        <f>IF(AND($A9="",$B9=""),"",IF(EXACT($D9,5),"si","no"))</f>
        <v/>
      </c>
      <c r="H9" s="3">
        <f>IF(AND($A9="",$B9=""),"",SUMPRODUCT(1*((EXACT('Casillas del horario'!$A$4:$A$73,$A9)))*((EXACT('Casillas del horario'!$D$4:$D$73,$B9)))))</f>
        <v/>
      </c>
      <c r="I9" s="3">
        <f>IF(AND($A9="",$B9=""),"",(IFERROR(VALUE($D9&amp;""),0)-IFERROR(VALUE($H9&amp;""),0)))</f>
        <v/>
      </c>
      <c r="J9" s="3">
        <f>IF(AND($A9="",$B9=""),"",MID(IF((IFERROR(VALUE($I9&amp;""),0)&gt;0),"; "&amp;IF(ISNUMBER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,IF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=0,"0",ROUND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,9-INT(LOG10(ABS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)))&amp;""),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&amp;""),"")&amp;IF((IFERROR(VALUE($I9&amp;""),0)&lt;0),"; "&amp;IF(ISNUMBER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,IF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=0,"0",ROUND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,9-INT(LOG10(ABS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)))&amp;""),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&amp;""),""),3,32767))</f>
        <v/>
      </c>
      <c r="K9" s="3">
        <f>IF(OR((IFERROR(VALUE($I9&amp;""),0)&gt;0),(IFERROR(VALUE($I9&amp;""),0)&lt;0)),3,0)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4" t="inlineStr">
        <is>
          <t>Profesor de B en 10-3</t>
        </is>
      </c>
      <c r="D10" s="4" t="n">
        <v>2</v>
      </c>
      <c r="E10" s="4" t="inlineStr">
        <is>
          <t>no</t>
        </is>
      </c>
      <c r="F10" s="3">
        <f>IF(AND($A10="",$B10=""),"",IF(ISNA(MATCH(1,INDEX(EXACT('Asignaturas'!$A$4:$A$38,$B10)*1*((('Asignaturas'!$A$4:$A$38&lt;&gt;""))&gt;0),0),0)),"",IF(ISBLANK(INDEX('Asignaturas'!$B$4:$B$38,MATCH(1,INDEX(EXACT('Asignaturas'!$A$4:$A$38,$B10)*1*((('Asignaturas'!$A$4:$A$38&lt;&gt;""))&gt;0),0),0))),"",INDEX('Asignaturas'!$B$4:$B$38,MATCH(1,INDEX(EXACT('Asignaturas'!$A$4:$A$38,$B10)*1*((('Asignaturas'!$A$4:$A$38&lt;&gt;""))&gt;0),0),0)))))</f>
        <v/>
      </c>
      <c r="G10" s="3">
        <f>IF(AND($A10="",$B10=""),"",IF(EXACT($D10,5),"si","no"))</f>
        <v/>
      </c>
      <c r="H10" s="3">
        <f>IF(AND($A10="",$B10=""),"",SUMPRODUCT(1*((EXACT('Casillas del horario'!$A$4:$A$73,$A10)))*((EXACT('Casillas del horario'!$D$4:$D$73,$B10)))))</f>
        <v/>
      </c>
      <c r="I10" s="3">
        <f>IF(AND($A10="",$B10=""),"",(IFERROR(VALUE($D10&amp;""),0)-IFERROR(VALUE($H10&amp;""),0)))</f>
        <v/>
      </c>
      <c r="J10" s="3">
        <f>IF(AND($A10="",$B10=""),"",MID(IF((IFERROR(VALUE($I10&amp;""),0)&gt;0),"; "&amp;IF(ISNUMBER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,IF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=0,"0",ROUND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,9-INT(LOG10(ABS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)))&amp;""),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&amp;""),"")&amp;IF((IFERROR(VALUE($I10&amp;""),0)&lt;0),"; "&amp;IF(ISNUMBER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,IF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=0,"0",ROUND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,9-INT(LOG10(ABS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)))&amp;""),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&amp;""),""),3,32767))</f>
        <v/>
      </c>
      <c r="K10" s="3">
        <f>IF(OR((IFERROR(VALUE($I10&amp;""),0)&gt;0),(IFERROR(VALUE($I10&amp;""),0)&lt;0)),3,0)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4" t="inlineStr">
        <is>
          <t>Profesor de G en 10-3</t>
        </is>
      </c>
      <c r="D11" s="4" t="n">
        <v>2</v>
      </c>
      <c r="E11" s="4" t="inlineStr">
        <is>
          <t>no</t>
        </is>
      </c>
      <c r="F11" s="3">
        <f>IF(AND($A11="",$B11=""),"",IF(ISNA(MATCH(1,INDEX(EXACT('Asignaturas'!$A$4:$A$38,$B11)*1*((('Asignaturas'!$A$4:$A$38&lt;&gt;""))&gt;0),0),0)),"",IF(ISBLANK(INDEX('Asignaturas'!$B$4:$B$38,MATCH(1,INDEX(EXACT('Asignaturas'!$A$4:$A$38,$B11)*1*((('Asignaturas'!$A$4:$A$38&lt;&gt;""))&gt;0),0),0))),"",INDEX('Asignaturas'!$B$4:$B$38,MATCH(1,INDEX(EXACT('Asignaturas'!$A$4:$A$38,$B11)*1*((('Asignaturas'!$A$4:$A$38&lt;&gt;""))&gt;0),0),0)))))</f>
        <v/>
      </c>
      <c r="G11" s="3">
        <f>IF(AND($A11="",$B11=""),"",IF(EXACT($D11,5),"si","no"))</f>
        <v/>
      </c>
      <c r="H11" s="3">
        <f>IF(AND($A11="",$B11=""),"",SUMPRODUCT(1*((EXACT('Casillas del horario'!$A$4:$A$73,$A11)))*((EXACT('Casillas del horario'!$D$4:$D$73,$B11)))))</f>
        <v/>
      </c>
      <c r="I11" s="3">
        <f>IF(AND($A11="",$B11=""),"",(IFERROR(VALUE($D11&amp;""),0)-IFERROR(VALUE($H11&amp;""),0)))</f>
        <v/>
      </c>
      <c r="J11" s="3">
        <f>IF(AND($A11="",$B11=""),"",MID(IF((IFERROR(VALUE($I11&amp;""),0)&gt;0),"; "&amp;IF(ISNUMBER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,IF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=0,"0",ROUND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,9-INT(LOG10(ABS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)))&amp;""),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&amp;""),"")&amp;IF((IFERROR(VALUE($I11&amp;""),0)&lt;0),"; "&amp;IF(ISNUMBER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,IF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=0,"0",ROUND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,9-INT(LOG10(ABS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)))&amp;""),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&amp;""),""),3,32767))</f>
        <v/>
      </c>
      <c r="K11" s="3">
        <f>IF(OR((IFERROR(VALUE($I11&amp;""),0)&gt;0),(IFERROR(VALUE($I11&amp;""),0)&lt;0)),3,0)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4" t="inlineStr">
        <is>
          <t>Profesor de INF en 10-3</t>
        </is>
      </c>
      <c r="D12" s="4" t="n">
        <v>1</v>
      </c>
      <c r="E12" s="4" t="inlineStr">
        <is>
          <t>no</t>
        </is>
      </c>
      <c r="F12" s="3">
        <f>IF(AND($A12="",$B12=""),"",IF(ISNA(MATCH(1,INDEX(EXACT('Asignaturas'!$A$4:$A$38,$B12)*1*((('Asignaturas'!$A$4:$A$38&lt;&gt;""))&gt;0),0),0)),"",IF(ISBLANK(INDEX('Asignaturas'!$B$4:$B$38,MATCH(1,INDEX(EXACT('Asignaturas'!$A$4:$A$38,$B12)*1*((('Asignaturas'!$A$4:$A$38&lt;&gt;""))&gt;0),0),0))),"",INDEX('Asignaturas'!$B$4:$B$38,MATCH(1,INDEX(EXACT('Asignaturas'!$A$4:$A$38,$B12)*1*((('Asignaturas'!$A$4:$A$38&lt;&gt;""))&gt;0),0),0)))))</f>
        <v/>
      </c>
      <c r="G12" s="3">
        <f>IF(AND($A12="",$B12=""),"",IF(EXACT($D12,5),"si","no"))</f>
        <v/>
      </c>
      <c r="H12" s="3">
        <f>IF(AND($A12="",$B12=""),"",SUMPRODUCT(1*((EXACT('Casillas del horario'!$A$4:$A$73,$A12)))*((EXACT('Casillas del horario'!$D$4:$D$73,$B12)))))</f>
        <v/>
      </c>
      <c r="I12" s="3">
        <f>IF(AND($A12="",$B12=""),"",(IFERROR(VALUE($D12&amp;""),0)-IFERROR(VALUE($H12&amp;""),0)))</f>
        <v/>
      </c>
      <c r="J12" s="3">
        <f>IF(AND($A12="",$B12=""),"",MID(IF((IFERROR(VALUE($I12&amp;""),0)&gt;0),"; "&amp;IF(ISNUMBER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,IF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=0,"0",ROUND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,9-INT(LOG10(ABS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)))&amp;""),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&amp;""),"")&amp;IF((IFERROR(VALUE($I12&amp;""),0)&lt;0),"; "&amp;IF(ISNUMBER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,IF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=0,"0",ROUND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,9-INT(LOG10(ABS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)))&amp;""),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&amp;""),""),3,32767))</f>
        <v/>
      </c>
      <c r="K12" s="3">
        <f>IF(OR((IFERROR(VALUE($I12&amp;""),0)&gt;0),(IFERROR(VALUE($I12&amp;""),0)&lt;0)),3,0)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4" t="inlineStr">
        <is>
          <t>Profesor de Q en 10-3</t>
        </is>
      </c>
      <c r="D13" s="4" t="n">
        <v>1</v>
      </c>
      <c r="E13" s="4" t="inlineStr">
        <is>
          <t>no</t>
        </is>
      </c>
      <c r="F13" s="3">
        <f>IF(AND($A13="",$B13=""),"",IF(ISNA(MATCH(1,INDEX(EXACT('Asignaturas'!$A$4:$A$38,$B13)*1*((('Asignaturas'!$A$4:$A$38&lt;&gt;""))&gt;0),0),0)),"",IF(ISBLANK(INDEX('Asignaturas'!$B$4:$B$38,MATCH(1,INDEX(EXACT('Asignaturas'!$A$4:$A$38,$B13)*1*((('Asignaturas'!$A$4:$A$38&lt;&gt;""))&gt;0),0),0))),"",INDEX('Asignaturas'!$B$4:$B$38,MATCH(1,INDEX(EXACT('Asignaturas'!$A$4:$A$38,$B13)*1*((('Asignaturas'!$A$4:$A$38&lt;&gt;""))&gt;0),0),0)))))</f>
        <v/>
      </c>
      <c r="G13" s="3">
        <f>IF(AND($A13="",$B13=""),"",IF(EXACT($D13,5),"si","no"))</f>
        <v/>
      </c>
      <c r="H13" s="3">
        <f>IF(AND($A13="",$B13=""),"",SUMPRODUCT(1*((EXACT('Casillas del horario'!$A$4:$A$73,$A13)))*((EXACT('Casillas del horario'!$D$4:$D$73,$B13)))))</f>
        <v/>
      </c>
      <c r="I13" s="3">
        <f>IF(AND($A13="",$B13=""),"",(IFERROR(VALUE($D13&amp;""),0)-IFERROR(VALUE($H13&amp;""),0)))</f>
        <v/>
      </c>
      <c r="J13" s="3">
        <f>IF(AND($A13="",$B13=""),"",MID(IF((IFERROR(VALUE($I13&amp;""),0)&gt;0),"; "&amp;IF(ISNUMBER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,IF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=0,"0",ROUND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,9-INT(LOG10(ABS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)))&amp;""),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&amp;""),"")&amp;IF((IFERROR(VALUE($I13&amp;""),0)&lt;0),"; "&amp;IF(ISNUMBER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,IF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=0,"0",ROUND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,9-INT(LOG10(ABS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)))&amp;""),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&amp;""),""),3,32767))</f>
        <v/>
      </c>
      <c r="K13" s="3">
        <f>IF(OR((IFERROR(VALUE($I13&amp;""),0)&gt;0),(IFERROR(VALUE($I13&amp;""),0)&lt;0)),3,0)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4" t="inlineStr">
        <is>
          <t>Profesor de CP en 10-3</t>
        </is>
      </c>
      <c r="D14" s="4" t="n">
        <v>1</v>
      </c>
      <c r="E14" s="4" t="inlineStr">
        <is>
          <t>no</t>
        </is>
      </c>
      <c r="F14" s="3">
        <f>IF(AND($A14="",$B14=""),"",IF(ISNA(MATCH(1,INDEX(EXACT('Asignaturas'!$A$4:$A$38,$B14)*1*((('Asignaturas'!$A$4:$A$38&lt;&gt;""))&gt;0),0),0)),"",IF(ISBLANK(INDEX('Asignaturas'!$B$4:$B$38,MATCH(1,INDEX(EXACT('Asignaturas'!$A$4:$A$38,$B14)*1*((('Asignaturas'!$A$4:$A$38&lt;&gt;""))&gt;0),0),0))),"",INDEX('Asignaturas'!$B$4:$B$38,MATCH(1,INDEX(EXACT('Asignaturas'!$A$4:$A$38,$B14)*1*((('Asignaturas'!$A$4:$A$38&lt;&gt;""))&gt;0),0),0)))))</f>
        <v/>
      </c>
      <c r="G14" s="3">
        <f>IF(AND($A14="",$B14=""),"",IF(EXACT($D14,5),"si","no"))</f>
        <v/>
      </c>
      <c r="H14" s="3">
        <f>IF(AND($A14="",$B14=""),"",SUMPRODUCT(1*((EXACT('Casillas del horario'!$A$4:$A$73,$A14)))*((EXACT('Casillas del horario'!$D$4:$D$73,$B14)))))</f>
        <v/>
      </c>
      <c r="I14" s="3">
        <f>IF(AND($A14="",$B14=""),"",(IFERROR(VALUE($D14&amp;""),0)-IFERROR(VALUE($H14&amp;""),0)))</f>
        <v/>
      </c>
      <c r="J14" s="3">
        <f>IF(AND($A14="",$B14=""),"",MID(IF((IFERROR(VALUE($I14&amp;""),0)&gt;0),"; "&amp;IF(ISNUMBER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,IF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=0,"0",ROUND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,9-INT(LOG10(ABS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)))&amp;""),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&amp;""),"")&amp;IF((IFERROR(VALUE($I14&amp;""),0)&lt;0),"; "&amp;IF(ISNUMBER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,IF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=0,"0",ROUND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,9-INT(LOG10(ABS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)))&amp;""),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&amp;""),""),3,32767))</f>
        <v/>
      </c>
      <c r="K14" s="3">
        <f>IF(OR((IFERROR(VALUE($I14&amp;""),0)&gt;0),(IFERROR(VALUE($I14&amp;""),0)&lt;0)),3,0)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4" t="inlineStr">
        <is>
          <t>Profesor de DC en 10-3</t>
        </is>
      </c>
      <c r="D15" s="4" t="n">
        <v>1</v>
      </c>
      <c r="E15" s="4" t="inlineStr">
        <is>
          <t>no</t>
        </is>
      </c>
      <c r="F15" s="3">
        <f>IF(AND($A15="",$B15=""),"",IF(ISNA(MATCH(1,INDEX(EXACT('Asignaturas'!$A$4:$A$38,$B15)*1*((('Asignaturas'!$A$4:$A$38&lt;&gt;""))&gt;0),0),0)),"",IF(ISBLANK(INDEX('Asignaturas'!$B$4:$B$38,MATCH(1,INDEX(EXACT('Asignaturas'!$A$4:$A$38,$B15)*1*((('Asignaturas'!$A$4:$A$38&lt;&gt;""))&gt;0),0),0))),"",INDEX('Asignaturas'!$B$4:$B$38,MATCH(1,INDEX(EXACT('Asignaturas'!$A$4:$A$38,$B15)*1*((('Asignaturas'!$A$4:$A$38&lt;&gt;""))&gt;0),0),0)))))</f>
        <v/>
      </c>
      <c r="G15" s="3">
        <f>IF(AND($A15="",$B15=""),"",IF(EXACT($D15,5),"si","no"))</f>
        <v/>
      </c>
      <c r="H15" s="3">
        <f>IF(AND($A15="",$B15=""),"",SUMPRODUCT(1*((EXACT('Casillas del horario'!$A$4:$A$73,$A15)))*((EXACT('Casillas del horario'!$D$4:$D$73,$B15)))))</f>
        <v/>
      </c>
      <c r="I15" s="3">
        <f>IF(AND($A15="",$B15=""),"",(IFERROR(VALUE($D15&amp;""),0)-IFERROR(VALUE($H15&amp;""),0)))</f>
        <v/>
      </c>
      <c r="J15" s="3">
        <f>IF(AND($A15="",$B15=""),"",MID(IF((IFERROR(VALUE($I15&amp;""),0)&gt;0),"; "&amp;IF(ISNUMBER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,IF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=0,"0",ROUND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,9-INT(LOG10(ABS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)))&amp;""),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&amp;""),"")&amp;IF((IFERROR(VALUE($I15&amp;""),0)&lt;0),"; "&amp;IF(ISNUMBER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,IF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=0,"0",ROUND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,9-INT(LOG10(ABS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)))&amp;""),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&amp;""),""),3,32767))</f>
        <v/>
      </c>
      <c r="K15" s="3">
        <f>IF(OR((IFERROR(VALUE($I15&amp;""),0)&gt;0),(IFERROR(VALUE($I15&amp;""),0)&lt;0)),3,0)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4" t="inlineStr">
        <is>
          <t>Profesor de CA en 10-3</t>
        </is>
      </c>
      <c r="D16" s="4" t="n">
        <v>1</v>
      </c>
      <c r="E16" s="4" t="inlineStr">
        <is>
          <t>no</t>
        </is>
      </c>
      <c r="F16" s="3">
        <f>IF(AND($A16="",$B16=""),"",IF(ISNA(MATCH(1,INDEX(EXACT('Asignaturas'!$A$4:$A$38,$B16)*1*((('Asignaturas'!$A$4:$A$38&lt;&gt;""))&gt;0),0),0)),"",IF(ISBLANK(INDEX('Asignaturas'!$B$4:$B$38,MATCH(1,INDEX(EXACT('Asignaturas'!$A$4:$A$38,$B16)*1*((('Asignaturas'!$A$4:$A$38&lt;&gt;""))&gt;0),0),0))),"",INDEX('Asignaturas'!$B$4:$B$38,MATCH(1,INDEX(EXACT('Asignaturas'!$A$4:$A$38,$B16)*1*((('Asignaturas'!$A$4:$A$38&lt;&gt;""))&gt;0),0),0)))))</f>
        <v/>
      </c>
      <c r="G16" s="3">
        <f>IF(AND($A16="",$B16=""),"",IF(EXACT($D16,5),"si","no"))</f>
        <v/>
      </c>
      <c r="H16" s="3">
        <f>IF(AND($A16="",$B16=""),"",SUMPRODUCT(1*((EXACT('Casillas del horario'!$A$4:$A$73,$A16)))*((EXACT('Casillas del horario'!$D$4:$D$73,$B16)))))</f>
        <v/>
      </c>
      <c r="I16" s="3">
        <f>IF(AND($A16="",$B16=""),"",(IFERROR(VALUE($D16&amp;""),0)-IFERROR(VALUE($H16&amp;""),0)))</f>
        <v/>
      </c>
      <c r="J16" s="3">
        <f>IF(AND($A16="",$B16=""),"",MID(IF((IFERROR(VALUE($I16&amp;""),0)&gt;0),"; "&amp;IF(ISNUMBER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,IF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=0,"0",ROUND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,9-INT(LOG10(ABS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)))&amp;""),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&amp;""),"")&amp;IF((IFERROR(VALUE($I16&amp;""),0)&lt;0),"; "&amp;IF(ISNUMBER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,IF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=0,"0",ROUND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,9-INT(LOG10(ABS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)))&amp;""),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&amp;""),""),3,32767))</f>
        <v/>
      </c>
      <c r="K16" s="3">
        <f>IF(OR((IFERROR(VALUE($I16&amp;""),0)&gt;0),(IFERROR(VALUE($I16&amp;""),0)&lt;0)),3,0)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4" t="inlineStr">
        <is>
          <t>Profesor de RD en 10-3</t>
        </is>
      </c>
      <c r="D17" s="4" t="n">
        <v>1</v>
      </c>
      <c r="E17" s="4" t="inlineStr">
        <is>
          <t>no</t>
        </is>
      </c>
      <c r="F17" s="3">
        <f>IF(AND($A17="",$B17=""),"",IF(ISNA(MATCH(1,INDEX(EXACT('Asignaturas'!$A$4:$A$38,$B17)*1*((('Asignaturas'!$A$4:$A$38&lt;&gt;""))&gt;0),0),0)),"",IF(ISBLANK(INDEX('Asignaturas'!$B$4:$B$38,MATCH(1,INDEX(EXACT('Asignaturas'!$A$4:$A$38,$B17)*1*((('Asignaturas'!$A$4:$A$38&lt;&gt;""))&gt;0),0),0))),"",INDEX('Asignaturas'!$B$4:$B$38,MATCH(1,INDEX(EXACT('Asignaturas'!$A$4:$A$38,$B17)*1*((('Asignaturas'!$A$4:$A$38&lt;&gt;""))&gt;0),0),0)))))</f>
        <v/>
      </c>
      <c r="G17" s="3">
        <f>IF(AND($A17="",$B17=""),"",IF(EXACT($D17,5),"si","no"))</f>
        <v/>
      </c>
      <c r="H17" s="3">
        <f>IF(AND($A17="",$B17=""),"",SUMPRODUCT(1*((EXACT('Casillas del horario'!$A$4:$A$73,$A17)))*((EXACT('Casillas del horario'!$D$4:$D$73,$B17)))))</f>
        <v/>
      </c>
      <c r="I17" s="3">
        <f>IF(AND($A17="",$B17=""),"",(IFERROR(VALUE($D17&amp;""),0)-IFERROR(VALUE($H17&amp;""),0)))</f>
        <v/>
      </c>
      <c r="J17" s="3">
        <f>IF(AND($A17="",$B17=""),"",MID(IF((IFERROR(VALUE($I17&amp;""),0)&gt;0),"; "&amp;IF(ISNUMBER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,IF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=0,"0",ROUND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,9-INT(LOG10(ABS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)))&amp;""),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&amp;""),"")&amp;IF((IFERROR(VALUE($I17&amp;""),0)&lt;0),"; "&amp;IF(ISNUMBER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,IF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=0,"0",ROUND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,9-INT(LOG10(ABS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)))&amp;""),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&amp;""),""),3,32767))</f>
        <v/>
      </c>
      <c r="K17" s="3">
        <f>IF(OR((IFERROR(VALUE($I17&amp;""),0)&gt;0),(IFERROR(VALUE($I17&amp;""),0)&lt;0)),3,0)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4" t="inlineStr">
        <is>
          <t>Profesor de AL/AC en 10-3</t>
        </is>
      </c>
      <c r="D18" s="4" t="n">
        <v>1</v>
      </c>
      <c r="E18" s="4" t="inlineStr">
        <is>
          <t>si</t>
        </is>
      </c>
      <c r="F18" s="3">
        <f>IF(AND($A18="",$B18=""),"",IF(ISNA(MATCH(1,INDEX(EXACT('Asignaturas'!$A$4:$A$38,$B18)*1*((('Asignaturas'!$A$4:$A$38&lt;&gt;""))&gt;0),0),0)),"",IF(ISBLANK(INDEX('Asignaturas'!$B$4:$B$38,MATCH(1,INDEX(EXACT('Asignaturas'!$A$4:$A$38,$B18)*1*((('Asignaturas'!$A$4:$A$38&lt;&gt;""))&gt;0),0),0))),"",INDEX('Asignaturas'!$B$4:$B$38,MATCH(1,INDEX(EXACT('Asignaturas'!$A$4:$A$38,$B18)*1*((('Asignaturas'!$A$4:$A$38&lt;&gt;""))&gt;0),0),0)))))</f>
        <v/>
      </c>
      <c r="G18" s="3">
        <f>IF(AND($A18="",$B18=""),"",IF(EXACT($D18,5),"si","no"))</f>
        <v/>
      </c>
      <c r="H18" s="3">
        <f>IF(AND($A18="",$B18=""),"",SUMPRODUCT(1*((EXACT('Casillas del horario'!$A$4:$A$73,$A18)))*((EXACT('Casillas del horario'!$D$4:$D$73,$B18)))))</f>
        <v/>
      </c>
      <c r="I18" s="3">
        <f>IF(AND($A18="",$B18=""),"",(IFERROR(VALUE($D18&amp;""),0)-IFERROR(VALUE($H18&amp;""),0)))</f>
        <v/>
      </c>
      <c r="J18" s="3">
        <f>IF(AND($A18="",$B18=""),"",MID(IF((IFERROR(VALUE($I18&amp;""),0)&gt;0),"; "&amp;IF(ISNUMBER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,IF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=0,"0",ROUND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,9-INT(LOG10(ABS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)))&amp;""),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&amp;""),"")&amp;IF((IFERROR(VALUE($I18&amp;""),0)&lt;0),"; "&amp;IF(ISNUMBER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,IF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=0,"0",ROUND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,9-INT(LOG10(ABS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)))&amp;""),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&amp;""),""),3,32767))</f>
        <v/>
      </c>
      <c r="K18" s="3">
        <f>IF(OR((IFERROR(VALUE($I18&amp;""),0)&gt;0),(IFERROR(VALUE($I18&amp;""),0)&lt;0)),3,0)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4" t="inlineStr">
        <is>
          <t>Profesor de M en 10-4</t>
        </is>
      </c>
      <c r="D19" s="4" t="n">
        <v>5</v>
      </c>
      <c r="E19" s="4" t="inlineStr">
        <is>
          <t>no</t>
        </is>
      </c>
      <c r="F19" s="3">
        <f>IF(AND($A19="",$B19=""),"",IF(ISNA(MATCH(1,INDEX(EXACT('Asignaturas'!$A$4:$A$38,$B19)*1*((('Asignaturas'!$A$4:$A$38&lt;&gt;""))&gt;0),0),0)),"",IF(ISBLANK(INDEX('Asignaturas'!$B$4:$B$38,MATCH(1,INDEX(EXACT('Asignaturas'!$A$4:$A$38,$B19)*1*((('Asignaturas'!$A$4:$A$38&lt;&gt;""))&gt;0),0),0))),"",INDEX('Asignaturas'!$B$4:$B$38,MATCH(1,INDEX(EXACT('Asignaturas'!$A$4:$A$38,$B19)*1*((('Asignaturas'!$A$4:$A$38&lt;&gt;""))&gt;0),0),0)))))</f>
        <v/>
      </c>
      <c r="G19" s="3">
        <f>IF(AND($A19="",$B19=""),"",IF(EXACT($D19,5),"si","no"))</f>
        <v/>
      </c>
      <c r="H19" s="3">
        <f>IF(AND($A19="",$B19=""),"",SUMPRODUCT(1*((EXACT('Casillas del horario'!$A$4:$A$73,$A19)))*((EXACT('Casillas del horario'!$D$4:$D$73,$B19)))))</f>
        <v/>
      </c>
      <c r="I19" s="3">
        <f>IF(AND($A19="",$B19=""),"",(IFERROR(VALUE($D19&amp;""),0)-IFERROR(VALUE($H19&amp;""),0)))</f>
        <v/>
      </c>
      <c r="J19" s="3">
        <f>IF(AND($A19="",$B19=""),"",MID(IF((IFERROR(VALUE($I19&amp;""),0)&gt;0),"; "&amp;IF(ISNUMBER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,IF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=0,"0",ROUND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,9-INT(LOG10(ABS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)))&amp;""),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&amp;""),"")&amp;IF((IFERROR(VALUE($I19&amp;""),0)&lt;0),"; "&amp;IF(ISNUMBER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,IF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=0,"0",ROUND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,9-INT(LOG10(ABS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)))&amp;""),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&amp;""),""),3,32767))</f>
        <v/>
      </c>
      <c r="K19" s="3">
        <f>IF(OR((IFERROR(VALUE($I19&amp;""),0)&gt;0),(IFERROR(VALUE($I19&amp;""),0)&lt;0)),3,0)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4" t="inlineStr">
        <is>
          <t>Profesor de Lit-L en 10-4</t>
        </is>
      </c>
      <c r="D20" s="4" t="n">
        <v>4</v>
      </c>
      <c r="E20" s="4" t="inlineStr">
        <is>
          <t>no</t>
        </is>
      </c>
      <c r="F20" s="3">
        <f>IF(AND($A20="",$B20=""),"",IF(ISNA(MATCH(1,INDEX(EXACT('Asignaturas'!$A$4:$A$38,$B20)*1*((('Asignaturas'!$A$4:$A$38&lt;&gt;""))&gt;0),0),0)),"",IF(ISBLANK(INDEX('Asignaturas'!$B$4:$B$38,MATCH(1,INDEX(EXACT('Asignaturas'!$A$4:$A$38,$B20)*1*((('Asignaturas'!$A$4:$A$38&lt;&gt;""))&gt;0),0),0))),"",INDEX('Asignaturas'!$B$4:$B$38,MATCH(1,INDEX(EXACT('Asignaturas'!$A$4:$A$38,$B20)*1*((('Asignaturas'!$A$4:$A$38&lt;&gt;""))&gt;0),0),0)))))</f>
        <v/>
      </c>
      <c r="G20" s="3">
        <f>IF(AND($A20="",$B20=""),"",IF(EXACT($D20,5),"si","no"))</f>
        <v/>
      </c>
      <c r="H20" s="3">
        <f>IF(AND($A20="",$B20=""),"",SUMPRODUCT(1*((EXACT('Casillas del horario'!$A$4:$A$73,$A20)))*((EXACT('Casillas del horario'!$D$4:$D$73,$B20)))))</f>
        <v/>
      </c>
      <c r="I20" s="3">
        <f>IF(AND($A20="",$B20=""),"",(IFERROR(VALUE($D20&amp;""),0)-IFERROR(VALUE($H20&amp;""),0)))</f>
        <v/>
      </c>
      <c r="J20" s="3">
        <f>IF(AND($A20="",$B20=""),"",MID(IF((IFERROR(VALUE($I20&amp;""),0)&gt;0),"; "&amp;IF(ISNUMBER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,IF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=0,"0",ROUND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,9-INT(LOG10(ABS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)))&amp;""),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&amp;""),"")&amp;IF((IFERROR(VALUE($I20&amp;""),0)&lt;0),"; "&amp;IF(ISNUMBER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,IF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=0,"0",ROUND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,9-INT(LOG10(ABS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)))&amp;""),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&amp;""),""),3,32767))</f>
        <v/>
      </c>
      <c r="K20" s="3">
        <f>IF(OR((IFERROR(VALUE($I20&amp;""),0)&gt;0),(IFERROR(VALUE($I20&amp;""),0)&lt;0)),3,0)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4" t="inlineStr">
        <is>
          <t>Profesor de F en 10-4</t>
        </is>
      </c>
      <c r="D21" s="4" t="n">
        <v>3</v>
      </c>
      <c r="E21" s="4" t="inlineStr">
        <is>
          <t>no</t>
        </is>
      </c>
      <c r="F21" s="3">
        <f>IF(AND($A21="",$B21=""),"",IF(ISNA(MATCH(1,INDEX(EXACT('Asignaturas'!$A$4:$A$38,$B21)*1*((('Asignaturas'!$A$4:$A$38&lt;&gt;""))&gt;0),0),0)),"",IF(ISBLANK(INDEX('Asignaturas'!$B$4:$B$38,MATCH(1,INDEX(EXACT('Asignaturas'!$A$4:$A$38,$B21)*1*((('Asignaturas'!$A$4:$A$38&lt;&gt;""))&gt;0),0),0))),"",INDEX('Asignaturas'!$B$4:$B$38,MATCH(1,INDEX(EXACT('Asignaturas'!$A$4:$A$38,$B21)*1*((('Asignaturas'!$A$4:$A$38&lt;&gt;""))&gt;0),0),0)))))</f>
        <v/>
      </c>
      <c r="G21" s="3">
        <f>IF(AND($A21="",$B21=""),"",IF(EXACT($D21,5),"si","no"))</f>
        <v/>
      </c>
      <c r="H21" s="3">
        <f>IF(AND($A21="",$B21=""),"",SUMPRODUCT(1*((EXACT('Casillas del horario'!$A$4:$A$73,$A21)))*((EXACT('Casillas del horario'!$D$4:$D$73,$B21)))))</f>
        <v/>
      </c>
      <c r="I21" s="3">
        <f>IF(AND($A21="",$B21=""),"",(IFERROR(VALUE($D21&amp;""),0)-IFERROR(VALUE($H21&amp;""),0)))</f>
        <v/>
      </c>
      <c r="J21" s="3">
        <f>IF(AND($A21="",$B21=""),"",MID(IF((IFERROR(VALUE($I21&amp;""),0)&gt;0),"; "&amp;IF(ISNUMBER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,IF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=0,"0",ROUND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,9-INT(LOG10(ABS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)))&amp;""),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&amp;""),"")&amp;IF((IFERROR(VALUE($I21&amp;""),0)&lt;0),"; "&amp;IF(ISNUMBER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,IF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=0,"0",ROUND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,9-INT(LOG10(ABS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)))&amp;""),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&amp;""),""),3,32767))</f>
        <v/>
      </c>
      <c r="K21" s="3">
        <f>IF(OR((IFERROR(VALUE($I21&amp;""),0)&gt;0),(IFERROR(VALUE($I21&amp;""),0)&lt;0)),3,0)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4" t="inlineStr">
        <is>
          <t>Profesor de I en 10-4</t>
        </is>
      </c>
      <c r="D22" s="4" t="n">
        <v>3</v>
      </c>
      <c r="E22" s="4" t="inlineStr">
        <is>
          <t>no</t>
        </is>
      </c>
      <c r="F22" s="3">
        <f>IF(AND($A22="",$B22=""),"",IF(ISNA(MATCH(1,INDEX(EXACT('Asignaturas'!$A$4:$A$38,$B22)*1*((('Asignaturas'!$A$4:$A$38&lt;&gt;""))&gt;0),0),0)),"",IF(ISBLANK(INDEX('Asignaturas'!$B$4:$B$38,MATCH(1,INDEX(EXACT('Asignaturas'!$A$4:$A$38,$B22)*1*((('Asignaturas'!$A$4:$A$38&lt;&gt;""))&gt;0),0),0))),"",INDEX('Asignaturas'!$B$4:$B$38,MATCH(1,INDEX(EXACT('Asignaturas'!$A$4:$A$38,$B22)*1*((('Asignaturas'!$A$4:$A$38&lt;&gt;""))&gt;0),0),0)))))</f>
        <v/>
      </c>
      <c r="G22" s="3">
        <f>IF(AND($A22="",$B22=""),"",IF(EXACT($D22,5),"si","no"))</f>
        <v/>
      </c>
      <c r="H22" s="3">
        <f>IF(AND($A22="",$B22=""),"",SUMPRODUCT(1*((EXACT('Casillas del horario'!$A$4:$A$73,$A22)))*((EXACT('Casillas del horario'!$D$4:$D$73,$B22)))))</f>
        <v/>
      </c>
      <c r="I22" s="3">
        <f>IF(AND($A22="",$B22=""),"",(IFERROR(VALUE($D22&amp;""),0)-IFERROR(VALUE($H22&amp;""),0)))</f>
        <v/>
      </c>
      <c r="J22" s="3">
        <f>IF(AND($A22="",$B22=""),"",MID(IF((IFERROR(VALUE($I22&amp;""),0)&gt;0),"; "&amp;IF(ISNUMBER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,IF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=0,"0",ROUND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,9-INT(LOG10(ABS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)))&amp;""),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&amp;""),"")&amp;IF((IFERROR(VALUE($I22&amp;""),0)&lt;0),"; "&amp;IF(ISNUMBER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,IF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=0,"0",ROUND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,9-INT(LOG10(ABS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)))&amp;""),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&amp;""),""),3,32767))</f>
        <v/>
      </c>
      <c r="K22" s="3">
        <f>IF(OR((IFERROR(VALUE($I22&amp;""),0)&gt;0),(IFERROR(VALUE($I22&amp;""),0)&lt;0)),3,0)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4" t="inlineStr">
        <is>
          <t>Profesor de H en 10-4</t>
        </is>
      </c>
      <c r="D23" s="4" t="n">
        <v>3</v>
      </c>
      <c r="E23" s="4" t="inlineStr">
        <is>
          <t>no</t>
        </is>
      </c>
      <c r="F23" s="3">
        <f>IF(AND($A23="",$B23=""),"",IF(ISNA(MATCH(1,INDEX(EXACT('Asignaturas'!$A$4:$A$38,$B23)*1*((('Asignaturas'!$A$4:$A$38&lt;&gt;""))&gt;0),0),0)),"",IF(ISBLANK(INDEX('Asignaturas'!$B$4:$B$38,MATCH(1,INDEX(EXACT('Asignaturas'!$A$4:$A$38,$B23)*1*((('Asignaturas'!$A$4:$A$38&lt;&gt;""))&gt;0),0),0))),"",INDEX('Asignaturas'!$B$4:$B$38,MATCH(1,INDEX(EXACT('Asignaturas'!$A$4:$A$38,$B23)*1*((('Asignaturas'!$A$4:$A$38&lt;&gt;""))&gt;0),0),0)))))</f>
        <v/>
      </c>
      <c r="G23" s="3">
        <f>IF(AND($A23="",$B23=""),"",IF(EXACT($D23,5),"si","no"))</f>
        <v/>
      </c>
      <c r="H23" s="3">
        <f>IF(AND($A23="",$B23=""),"",SUMPRODUCT(1*((EXACT('Casillas del horario'!$A$4:$A$73,$A23)))*((EXACT('Casillas del horario'!$D$4:$D$73,$B23)))))</f>
        <v/>
      </c>
      <c r="I23" s="3">
        <f>IF(AND($A23="",$B23=""),"",(IFERROR(VALUE($D23&amp;""),0)-IFERROR(VALUE($H23&amp;""),0)))</f>
        <v/>
      </c>
      <c r="J23" s="3">
        <f>IF(AND($A23="",$B23=""),"",MID(IF((IFERROR(VALUE($I23&amp;""),0)&gt;0),"; "&amp;IF(ISNUMBER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,IF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=0,"0",ROUND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,9-INT(LOG10(ABS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)))&amp;""),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&amp;""),"")&amp;IF((IFERROR(VALUE($I23&amp;""),0)&lt;0),"; "&amp;IF(ISNUMBER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,IF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=0,"0",ROUND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,9-INT(LOG10(ABS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)))&amp;""),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&amp;""),""),3,32767))</f>
        <v/>
      </c>
      <c r="K23" s="3">
        <f>IF(OR((IFERROR(VALUE($I23&amp;""),0)&gt;0),(IFERROR(VALUE($I23&amp;""),0)&lt;0)),3,0)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4" t="inlineStr">
        <is>
          <t>Profesor de EF en 10-4</t>
        </is>
      </c>
      <c r="D24" s="4" t="n">
        <v>2</v>
      </c>
      <c r="E24" s="4" t="inlineStr">
        <is>
          <t>no</t>
        </is>
      </c>
      <c r="F24" s="3">
        <f>IF(AND($A24="",$B24=""),"",IF(ISNA(MATCH(1,INDEX(EXACT('Asignaturas'!$A$4:$A$38,$B24)*1*((('Asignaturas'!$A$4:$A$38&lt;&gt;""))&gt;0),0),0)),"",IF(ISBLANK(INDEX('Asignaturas'!$B$4:$B$38,MATCH(1,INDEX(EXACT('Asignaturas'!$A$4:$A$38,$B24)*1*((('Asignaturas'!$A$4:$A$38&lt;&gt;""))&gt;0),0),0))),"",INDEX('Asignaturas'!$B$4:$B$38,MATCH(1,INDEX(EXACT('Asignaturas'!$A$4:$A$38,$B24)*1*((('Asignaturas'!$A$4:$A$38&lt;&gt;""))&gt;0),0),0)))))</f>
        <v/>
      </c>
      <c r="G24" s="3">
        <f>IF(AND($A24="",$B24=""),"",IF(EXACT($D24,5),"si","no"))</f>
        <v/>
      </c>
      <c r="H24" s="3">
        <f>IF(AND($A24="",$B24=""),"",SUMPRODUCT(1*((EXACT('Casillas del horario'!$A$4:$A$73,$A24)))*((EXACT('Casillas del horario'!$D$4:$D$73,$B24)))))</f>
        <v/>
      </c>
      <c r="I24" s="3">
        <f>IF(AND($A24="",$B24=""),"",(IFERROR(VALUE($D24&amp;""),0)-IFERROR(VALUE($H24&amp;""),0)))</f>
        <v/>
      </c>
      <c r="J24" s="3">
        <f>IF(AND($A24="",$B24=""),"",MID(IF((IFERROR(VALUE($I24&amp;""),0)&gt;0),"; "&amp;IF(ISNUMBER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,IF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=0,"0",ROUND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,9-INT(LOG10(ABS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)))&amp;""),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&amp;""),"")&amp;IF((IFERROR(VALUE($I24&amp;""),0)&lt;0),"; "&amp;IF(ISNUMBER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,IF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=0,"0",ROUND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,9-INT(LOG10(ABS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)))&amp;""),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&amp;""),""),3,32767))</f>
        <v/>
      </c>
      <c r="K24" s="3">
        <f>IF(OR((IFERROR(VALUE($I24&amp;""),0)&gt;0),(IFERROR(VALUE($I24&amp;""),0)&lt;0)),3,0)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4" t="inlineStr">
        <is>
          <t>Profesor de B en 10-4</t>
        </is>
      </c>
      <c r="D25" s="4" t="n">
        <v>2</v>
      </c>
      <c r="E25" s="4" t="inlineStr">
        <is>
          <t>no</t>
        </is>
      </c>
      <c r="F25" s="3">
        <f>IF(AND($A25="",$B25=""),"",IF(ISNA(MATCH(1,INDEX(EXACT('Asignaturas'!$A$4:$A$38,$B25)*1*((('Asignaturas'!$A$4:$A$38&lt;&gt;""))&gt;0),0),0)),"",IF(ISBLANK(INDEX('Asignaturas'!$B$4:$B$38,MATCH(1,INDEX(EXACT('Asignaturas'!$A$4:$A$38,$B25)*1*((('Asignaturas'!$A$4:$A$38&lt;&gt;""))&gt;0),0),0))),"",INDEX('Asignaturas'!$B$4:$B$38,MATCH(1,INDEX(EXACT('Asignaturas'!$A$4:$A$38,$B25)*1*((('Asignaturas'!$A$4:$A$38&lt;&gt;""))&gt;0),0),0)))))</f>
        <v/>
      </c>
      <c r="G25" s="3">
        <f>IF(AND($A25="",$B25=""),"",IF(EXACT($D25,5),"si","no"))</f>
        <v/>
      </c>
      <c r="H25" s="3">
        <f>IF(AND($A25="",$B25=""),"",SUMPRODUCT(1*((EXACT('Casillas del horario'!$A$4:$A$73,$A25)))*((EXACT('Casillas del horario'!$D$4:$D$73,$B25)))))</f>
        <v/>
      </c>
      <c r="I25" s="3">
        <f>IF(AND($A25="",$B25=""),"",(IFERROR(VALUE($D25&amp;""),0)-IFERROR(VALUE($H25&amp;""),0)))</f>
        <v/>
      </c>
      <c r="J25" s="3">
        <f>IF(AND($A25="",$B25=""),"",MID(IF((IFERROR(VALUE($I25&amp;""),0)&gt;0),"; "&amp;IF(ISNUMBER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,IF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=0,"0",ROUND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,9-INT(LOG10(ABS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)))&amp;""),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&amp;""),"")&amp;IF((IFERROR(VALUE($I25&amp;""),0)&lt;0),"; "&amp;IF(ISNUMBER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,IF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=0,"0",ROUND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,9-INT(LOG10(ABS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)))&amp;""),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&amp;""),""),3,32767))</f>
        <v/>
      </c>
      <c r="K25" s="3">
        <f>IF(OR((IFERROR(VALUE($I25&amp;""),0)&gt;0),(IFERROR(VALUE($I25&amp;""),0)&lt;0)),3,0)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4" t="inlineStr">
        <is>
          <t>Profesor de G en 10-4</t>
        </is>
      </c>
      <c r="D26" s="4" t="n">
        <v>2</v>
      </c>
      <c r="E26" s="4" t="inlineStr">
        <is>
          <t>no</t>
        </is>
      </c>
      <c r="F26" s="3">
        <f>IF(AND($A26="",$B26=""),"",IF(ISNA(MATCH(1,INDEX(EXACT('Asignaturas'!$A$4:$A$38,$B26)*1*((('Asignaturas'!$A$4:$A$38&lt;&gt;""))&gt;0),0),0)),"",IF(ISBLANK(INDEX('Asignaturas'!$B$4:$B$38,MATCH(1,INDEX(EXACT('Asignaturas'!$A$4:$A$38,$B26)*1*((('Asignaturas'!$A$4:$A$38&lt;&gt;""))&gt;0),0),0))),"",INDEX('Asignaturas'!$B$4:$B$38,MATCH(1,INDEX(EXACT('Asignaturas'!$A$4:$A$38,$B26)*1*((('Asignaturas'!$A$4:$A$38&lt;&gt;""))&gt;0),0),0)))))</f>
        <v/>
      </c>
      <c r="G26" s="3">
        <f>IF(AND($A26="",$B26=""),"",IF(EXACT($D26,5),"si","no"))</f>
        <v/>
      </c>
      <c r="H26" s="3">
        <f>IF(AND($A26="",$B26=""),"",SUMPRODUCT(1*((EXACT('Casillas del horario'!$A$4:$A$73,$A26)))*((EXACT('Casillas del horario'!$D$4:$D$73,$B26)))))</f>
        <v/>
      </c>
      <c r="I26" s="3">
        <f>IF(AND($A26="",$B26=""),"",(IFERROR(VALUE($D26&amp;""),0)-IFERROR(VALUE($H26&amp;""),0)))</f>
        <v/>
      </c>
      <c r="J26" s="3">
        <f>IF(AND($A26="",$B26=""),"",MID(IF((IFERROR(VALUE($I26&amp;""),0)&gt;0),"; "&amp;IF(ISNUMBER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,IF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=0,"0",ROUND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,9-INT(LOG10(ABS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)))&amp;""),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&amp;""),"")&amp;IF((IFERROR(VALUE($I26&amp;""),0)&lt;0),"; "&amp;IF(ISNUMBER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,IF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=0,"0",ROUND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,9-INT(LOG10(ABS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)))&amp;""),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&amp;""),""),3,32767))</f>
        <v/>
      </c>
      <c r="K26" s="3">
        <f>IF(OR((IFERROR(VALUE($I26&amp;""),0)&gt;0),(IFERROR(VALUE($I26&amp;""),0)&lt;0)),3,0)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4" t="inlineStr">
        <is>
          <t>Profesor de INF en 10-4</t>
        </is>
      </c>
      <c r="D27" s="4" t="n">
        <v>1</v>
      </c>
      <c r="E27" s="4" t="inlineStr">
        <is>
          <t>no</t>
        </is>
      </c>
      <c r="F27" s="3">
        <f>IF(AND($A27="",$B27=""),"",IF(ISNA(MATCH(1,INDEX(EXACT('Asignaturas'!$A$4:$A$38,$B27)*1*((('Asignaturas'!$A$4:$A$38&lt;&gt;""))&gt;0),0),0)),"",IF(ISBLANK(INDEX('Asignaturas'!$B$4:$B$38,MATCH(1,INDEX(EXACT('Asignaturas'!$A$4:$A$38,$B27)*1*((('Asignaturas'!$A$4:$A$38&lt;&gt;""))&gt;0),0),0))),"",INDEX('Asignaturas'!$B$4:$B$38,MATCH(1,INDEX(EXACT('Asignaturas'!$A$4:$A$38,$B27)*1*((('Asignaturas'!$A$4:$A$38&lt;&gt;""))&gt;0),0),0)))))</f>
        <v/>
      </c>
      <c r="G27" s="3">
        <f>IF(AND($A27="",$B27=""),"",IF(EXACT($D27,5),"si","no"))</f>
        <v/>
      </c>
      <c r="H27" s="3">
        <f>IF(AND($A27="",$B27=""),"",SUMPRODUCT(1*((EXACT('Casillas del horario'!$A$4:$A$73,$A27)))*((EXACT('Casillas del horario'!$D$4:$D$73,$B27)))))</f>
        <v/>
      </c>
      <c r="I27" s="3">
        <f>IF(AND($A27="",$B27=""),"",(IFERROR(VALUE($D27&amp;""),0)-IFERROR(VALUE($H27&amp;""),0)))</f>
        <v/>
      </c>
      <c r="J27" s="3">
        <f>IF(AND($A27="",$B27=""),"",MID(IF((IFERROR(VALUE($I27&amp;""),0)&gt;0),"; "&amp;IF(ISNUMBER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,IF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=0,"0",ROUND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,9-INT(LOG10(ABS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)))&amp;""),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&amp;""),"")&amp;IF((IFERROR(VALUE($I27&amp;""),0)&lt;0),"; "&amp;IF(ISNUMBER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,IF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=0,"0",ROUND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,9-INT(LOG10(ABS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)))&amp;""),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&amp;""),""),3,32767))</f>
        <v/>
      </c>
      <c r="K27" s="3">
        <f>IF(OR((IFERROR(VALUE($I27&amp;""),0)&gt;0),(IFERROR(VALUE($I27&amp;""),0)&lt;0)),3,0)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4" t="inlineStr">
        <is>
          <t>Profesor de Q en 10-4</t>
        </is>
      </c>
      <c r="D28" s="4" t="n">
        <v>1</v>
      </c>
      <c r="E28" s="4" t="inlineStr">
        <is>
          <t>no</t>
        </is>
      </c>
      <c r="F28" s="3">
        <f>IF(AND($A28="",$B28=""),"",IF(ISNA(MATCH(1,INDEX(EXACT('Asignaturas'!$A$4:$A$38,$B28)*1*((('Asignaturas'!$A$4:$A$38&lt;&gt;""))&gt;0),0),0)),"",IF(ISBLANK(INDEX('Asignaturas'!$B$4:$B$38,MATCH(1,INDEX(EXACT('Asignaturas'!$A$4:$A$38,$B28)*1*((('Asignaturas'!$A$4:$A$38&lt;&gt;""))&gt;0),0),0))),"",INDEX('Asignaturas'!$B$4:$B$38,MATCH(1,INDEX(EXACT('Asignaturas'!$A$4:$A$38,$B28)*1*((('Asignaturas'!$A$4:$A$38&lt;&gt;""))&gt;0),0),0)))))</f>
        <v/>
      </c>
      <c r="G28" s="3">
        <f>IF(AND($A28="",$B28=""),"",IF(EXACT($D28,5),"si","no"))</f>
        <v/>
      </c>
      <c r="H28" s="3">
        <f>IF(AND($A28="",$B28=""),"",SUMPRODUCT(1*((EXACT('Casillas del horario'!$A$4:$A$73,$A28)))*((EXACT('Casillas del horario'!$D$4:$D$73,$B28)))))</f>
        <v/>
      </c>
      <c r="I28" s="3">
        <f>IF(AND($A28="",$B28=""),"",(IFERROR(VALUE($D28&amp;""),0)-IFERROR(VALUE($H28&amp;""),0)))</f>
        <v/>
      </c>
      <c r="J28" s="3">
        <f>IF(AND($A28="",$B28=""),"",MID(IF((IFERROR(VALUE($I28&amp;""),0)&gt;0),"; "&amp;IF(ISNUMBER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,IF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=0,"0",ROUND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,9-INT(LOG10(ABS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)))&amp;""),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&amp;""),"")&amp;IF((IFERROR(VALUE($I28&amp;""),0)&lt;0),"; "&amp;IF(ISNUMBER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,IF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=0,"0",ROUND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,9-INT(LOG10(ABS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)))&amp;""),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&amp;""),""),3,32767))</f>
        <v/>
      </c>
      <c r="K28" s="3">
        <f>IF(OR((IFERROR(VALUE($I28&amp;""),0)&gt;0),(IFERROR(VALUE($I28&amp;""),0)&lt;0)),3,0)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4" t="inlineStr">
        <is>
          <t>Profesor de CP en 10-4</t>
        </is>
      </c>
      <c r="D29" s="4" t="n">
        <v>1</v>
      </c>
      <c r="E29" s="4" t="inlineStr">
        <is>
          <t>no</t>
        </is>
      </c>
      <c r="F29" s="3">
        <f>IF(AND($A29="",$B29=""),"",IF(ISNA(MATCH(1,INDEX(EXACT('Asignaturas'!$A$4:$A$38,$B29)*1*((('Asignaturas'!$A$4:$A$38&lt;&gt;""))&gt;0),0),0)),"",IF(ISBLANK(INDEX('Asignaturas'!$B$4:$B$38,MATCH(1,INDEX(EXACT('Asignaturas'!$A$4:$A$38,$B29)*1*((('Asignaturas'!$A$4:$A$38&lt;&gt;""))&gt;0),0),0))),"",INDEX('Asignaturas'!$B$4:$B$38,MATCH(1,INDEX(EXACT('Asignaturas'!$A$4:$A$38,$B29)*1*((('Asignaturas'!$A$4:$A$38&lt;&gt;""))&gt;0),0),0)))))</f>
        <v/>
      </c>
      <c r="G29" s="3">
        <f>IF(AND($A29="",$B29=""),"",IF(EXACT($D29,5),"si","no"))</f>
        <v/>
      </c>
      <c r="H29" s="3">
        <f>IF(AND($A29="",$B29=""),"",SUMPRODUCT(1*((EXACT('Casillas del horario'!$A$4:$A$73,$A29)))*((EXACT('Casillas del horario'!$D$4:$D$73,$B29)))))</f>
        <v/>
      </c>
      <c r="I29" s="3">
        <f>IF(AND($A29="",$B29=""),"",(IFERROR(VALUE($D29&amp;""),0)-IFERROR(VALUE($H29&amp;""),0)))</f>
        <v/>
      </c>
      <c r="J29" s="3">
        <f>IF(AND($A29="",$B29=""),"",MID(IF((IFERROR(VALUE($I29&amp;""),0)&gt;0),"; "&amp;IF(ISNUMBER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,IF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=0,"0",ROUND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,9-INT(LOG10(ABS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)))&amp;""),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&amp;""),"")&amp;IF((IFERROR(VALUE($I29&amp;""),0)&lt;0),"; "&amp;IF(ISNUMBER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,IF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=0,"0",ROUND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,9-INT(LOG10(ABS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)))&amp;""),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&amp;""),""),3,32767))</f>
        <v/>
      </c>
      <c r="K29" s="3">
        <f>IF(OR((IFERROR(VALUE($I29&amp;""),0)&gt;0),(IFERROR(VALUE($I29&amp;""),0)&lt;0)),3,0)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4" t="inlineStr">
        <is>
          <t>Profesor de DC en 10-4</t>
        </is>
      </c>
      <c r="D30" s="4" t="n">
        <v>1</v>
      </c>
      <c r="E30" s="4" t="inlineStr">
        <is>
          <t>no</t>
        </is>
      </c>
      <c r="F30" s="3">
        <f>IF(AND($A30="",$B30=""),"",IF(ISNA(MATCH(1,INDEX(EXACT('Asignaturas'!$A$4:$A$38,$B30)*1*((('Asignaturas'!$A$4:$A$38&lt;&gt;""))&gt;0),0),0)),"",IF(ISBLANK(INDEX('Asignaturas'!$B$4:$B$38,MATCH(1,INDEX(EXACT('Asignaturas'!$A$4:$A$38,$B30)*1*((('Asignaturas'!$A$4:$A$38&lt;&gt;""))&gt;0),0),0))),"",INDEX('Asignaturas'!$B$4:$B$38,MATCH(1,INDEX(EXACT('Asignaturas'!$A$4:$A$38,$B30)*1*((('Asignaturas'!$A$4:$A$38&lt;&gt;""))&gt;0),0),0)))))</f>
        <v/>
      </c>
      <c r="G30" s="3">
        <f>IF(AND($A30="",$B30=""),"",IF(EXACT($D30,5),"si","no"))</f>
        <v/>
      </c>
      <c r="H30" s="3">
        <f>IF(AND($A30="",$B30=""),"",SUMPRODUCT(1*((EXACT('Casillas del horario'!$A$4:$A$73,$A30)))*((EXACT('Casillas del horario'!$D$4:$D$73,$B30)))))</f>
        <v/>
      </c>
      <c r="I30" s="3">
        <f>IF(AND($A30="",$B30=""),"",(IFERROR(VALUE($D30&amp;""),0)-IFERROR(VALUE($H30&amp;""),0)))</f>
        <v/>
      </c>
      <c r="J30" s="3">
        <f>IF(AND($A30="",$B30=""),"",MID(IF((IFERROR(VALUE($I30&amp;""),0)&gt;0),"; "&amp;IF(ISNUMBER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,IF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=0,"0",ROUND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,9-INT(LOG10(ABS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)))&amp;""),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&amp;""),"")&amp;IF((IFERROR(VALUE($I30&amp;""),0)&lt;0),"; "&amp;IF(ISNUMBER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,IF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=0,"0",ROUND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,9-INT(LOG10(ABS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)))&amp;""),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&amp;""),""),3,32767))</f>
        <v/>
      </c>
      <c r="K30" s="3">
        <f>IF(OR((IFERROR(VALUE($I30&amp;""),0)&gt;0),(IFERROR(VALUE($I30&amp;""),0)&lt;0)),3,0)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4" t="inlineStr">
        <is>
          <t>Profesor de CA en 10-4</t>
        </is>
      </c>
      <c r="D31" s="4" t="n">
        <v>1</v>
      </c>
      <c r="E31" s="4" t="inlineStr">
        <is>
          <t>no</t>
        </is>
      </c>
      <c r="F31" s="3">
        <f>IF(AND($A31="",$B31=""),"",IF(ISNA(MATCH(1,INDEX(EXACT('Asignaturas'!$A$4:$A$38,$B31)*1*((('Asignaturas'!$A$4:$A$38&lt;&gt;""))&gt;0),0),0)),"",IF(ISBLANK(INDEX('Asignaturas'!$B$4:$B$38,MATCH(1,INDEX(EXACT('Asignaturas'!$A$4:$A$38,$B31)*1*((('Asignaturas'!$A$4:$A$38&lt;&gt;""))&gt;0),0),0))),"",INDEX('Asignaturas'!$B$4:$B$38,MATCH(1,INDEX(EXACT('Asignaturas'!$A$4:$A$38,$B31)*1*((('Asignaturas'!$A$4:$A$38&lt;&gt;""))&gt;0),0),0)))))</f>
        <v/>
      </c>
      <c r="G31" s="3">
        <f>IF(AND($A31="",$B31=""),"",IF(EXACT($D31,5),"si","no"))</f>
        <v/>
      </c>
      <c r="H31" s="3">
        <f>IF(AND($A31="",$B31=""),"",SUMPRODUCT(1*((EXACT('Casillas del horario'!$A$4:$A$73,$A31)))*((EXACT('Casillas del horario'!$D$4:$D$73,$B31)))))</f>
        <v/>
      </c>
      <c r="I31" s="3">
        <f>IF(AND($A31="",$B31=""),"",(IFERROR(VALUE($D31&amp;""),0)-IFERROR(VALUE($H31&amp;""),0)))</f>
        <v/>
      </c>
      <c r="J31" s="3">
        <f>IF(AND($A31="",$B31=""),"",MID(IF((IFERROR(VALUE($I31&amp;""),0)&gt;0),"; "&amp;IF(ISNUMBER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,IF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=0,"0",ROUND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,9-INT(LOG10(ABS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)))&amp;""),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&amp;""),"")&amp;IF((IFERROR(VALUE($I31&amp;""),0)&lt;0),"; "&amp;IF(ISNUMBER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,IF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=0,"0",ROUND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,9-INT(LOG10(ABS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)))&amp;""),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&amp;""),""),3,32767))</f>
        <v/>
      </c>
      <c r="K31" s="3">
        <f>IF(OR((IFERROR(VALUE($I31&amp;""),0)&gt;0),(IFERROR(VALUE($I31&amp;""),0)&lt;0)),3,0)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4" t="inlineStr">
        <is>
          <t>Profesor de RD en 10-4</t>
        </is>
      </c>
      <c r="D32" s="4" t="n">
        <v>1</v>
      </c>
      <c r="E32" s="4" t="inlineStr">
        <is>
          <t>no</t>
        </is>
      </c>
      <c r="F32" s="3">
        <f>IF(AND($A32="",$B32=""),"",IF(ISNA(MATCH(1,INDEX(EXACT('Asignaturas'!$A$4:$A$38,$B32)*1*((('Asignaturas'!$A$4:$A$38&lt;&gt;""))&gt;0),0),0)),"",IF(ISBLANK(INDEX('Asignaturas'!$B$4:$B$38,MATCH(1,INDEX(EXACT('Asignaturas'!$A$4:$A$38,$B32)*1*((('Asignaturas'!$A$4:$A$38&lt;&gt;""))&gt;0),0),0))),"",INDEX('Asignaturas'!$B$4:$B$38,MATCH(1,INDEX(EXACT('Asignaturas'!$A$4:$A$38,$B32)*1*((('Asignaturas'!$A$4:$A$38&lt;&gt;""))&gt;0),0),0)))))</f>
        <v/>
      </c>
      <c r="G32" s="3">
        <f>IF(AND($A32="",$B32=""),"",IF(EXACT($D32,5),"si","no"))</f>
        <v/>
      </c>
      <c r="H32" s="3">
        <f>IF(AND($A32="",$B32=""),"",SUMPRODUCT(1*((EXACT('Casillas del horario'!$A$4:$A$73,$A32)))*((EXACT('Casillas del horario'!$D$4:$D$73,$B32)))))</f>
        <v/>
      </c>
      <c r="I32" s="3">
        <f>IF(AND($A32="",$B32=""),"",(IFERROR(VALUE($D32&amp;""),0)-IFERROR(VALUE($H32&amp;""),0)))</f>
        <v/>
      </c>
      <c r="J32" s="3">
        <f>IF(AND($A32="",$B32=""),"",MID(IF((IFERROR(VALUE($I32&amp;""),0)&gt;0),"; "&amp;IF(ISNUMBER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,IF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=0,"0",ROUND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,9-INT(LOG10(ABS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)))&amp;""),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&amp;""),"")&amp;IF((IFERROR(VALUE($I32&amp;""),0)&lt;0),"; "&amp;IF(ISNUMBER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,IF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=0,"0",ROUND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,9-INT(LOG10(ABS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)))&amp;""),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&amp;""),""),3,32767))</f>
        <v/>
      </c>
      <c r="K32" s="3">
        <f>IF(OR((IFERROR(VALUE($I32&amp;""),0)&gt;0),(IFERROR(VALUE($I32&amp;""),0)&lt;0)),3,0)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4" t="inlineStr">
        <is>
          <t>Profesor de AL/AC en 10-4</t>
        </is>
      </c>
      <c r="D33" s="4" t="n">
        <v>1</v>
      </c>
      <c r="E33" s="4" t="inlineStr">
        <is>
          <t>si</t>
        </is>
      </c>
      <c r="F33" s="3">
        <f>IF(AND($A33="",$B33=""),"",IF(ISNA(MATCH(1,INDEX(EXACT('Asignaturas'!$A$4:$A$38,$B33)*1*((('Asignaturas'!$A$4:$A$38&lt;&gt;""))&gt;0),0),0)),"",IF(ISBLANK(INDEX('Asignaturas'!$B$4:$B$38,MATCH(1,INDEX(EXACT('Asignaturas'!$A$4:$A$38,$B33)*1*((('Asignaturas'!$A$4:$A$38&lt;&gt;""))&gt;0),0),0))),"",INDEX('Asignaturas'!$B$4:$B$38,MATCH(1,INDEX(EXACT('Asignaturas'!$A$4:$A$38,$B33)*1*((('Asignaturas'!$A$4:$A$38&lt;&gt;""))&gt;0),0),0)))))</f>
        <v/>
      </c>
      <c r="G33" s="3">
        <f>IF(AND($A33="",$B33=""),"",IF(EXACT($D33,5),"si","no"))</f>
        <v/>
      </c>
      <c r="H33" s="3">
        <f>IF(AND($A33="",$B33=""),"",SUMPRODUCT(1*((EXACT('Casillas del horario'!$A$4:$A$73,$A33)))*((EXACT('Casillas del horario'!$D$4:$D$73,$B33)))))</f>
        <v/>
      </c>
      <c r="I33" s="3">
        <f>IF(AND($A33="",$B33=""),"",(IFERROR(VALUE($D33&amp;""),0)-IFERROR(VALUE($H33&amp;""),0)))</f>
        <v/>
      </c>
      <c r="J33" s="3">
        <f>IF(AND($A33="",$B33=""),"",MID(IF((IFERROR(VALUE($I33&amp;""),0)&gt;0),"; "&amp;IF(ISNUMBER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,IF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=0,"0",ROUND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,9-INT(LOG10(ABS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)))&amp;""),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&amp;""),"")&amp;IF((IFERROR(VALUE($I33&amp;""),0)&lt;0),"; "&amp;IF(ISNUMBER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,IF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=0,"0",ROUND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,9-INT(LOG10(ABS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)))&amp;""),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&amp;""),""),3,32767))</f>
        <v/>
      </c>
      <c r="K33" s="3">
        <f>IF(OR((IFERROR(VALUE($I33&amp;""),0)&gt;0),(IFERROR(VALUE($I33&amp;""),0)&lt;0)),3,0)</f>
        <v/>
      </c>
    </row>
    <row r="34">
      <c r="A34" s="4" t="n"/>
      <c r="B34" s="4" t="n"/>
      <c r="C34" s="4" t="n"/>
      <c r="D34" s="4" t="n"/>
      <c r="E34" s="4" t="n"/>
      <c r="F34" s="3">
        <f>IF(AND($A34="",$B34=""),"",IF(ISNA(MATCH(1,INDEX(EXACT('Asignaturas'!$A$4:$A$38,$B34)*1*((('Asignaturas'!$A$4:$A$38&lt;&gt;""))&gt;0),0),0)),"",IF(ISBLANK(INDEX('Asignaturas'!$B$4:$B$38,MATCH(1,INDEX(EXACT('Asignaturas'!$A$4:$A$38,$B34)*1*((('Asignaturas'!$A$4:$A$38&lt;&gt;""))&gt;0),0),0))),"",INDEX('Asignaturas'!$B$4:$B$38,MATCH(1,INDEX(EXACT('Asignaturas'!$A$4:$A$38,$B34)*1*((('Asignaturas'!$A$4:$A$38&lt;&gt;""))&gt;0),0),0)))))</f>
        <v/>
      </c>
      <c r="G34" s="3">
        <f>IF(AND($A34="",$B34=""),"",IF(EXACT($D34,5),"si","no"))</f>
        <v/>
      </c>
      <c r="H34" s="3">
        <f>IF(AND($A34="",$B34=""),"",SUMPRODUCT(1*((EXACT('Casillas del horario'!$A$4:$A$73,$A34)))*((EXACT('Casillas del horario'!$D$4:$D$73,$B34)))))</f>
        <v/>
      </c>
      <c r="I34" s="3">
        <f>IF(AND($A34="",$B34=""),"",(IFERROR(VALUE($D34&amp;""),0)-IFERROR(VALUE($H34&amp;""),0)))</f>
        <v/>
      </c>
      <c r="J34" s="3">
        <f>IF(AND($A34="",$B34=""),"",MID(IF((IFERROR(VALUE($I34&amp;""),0)&gt;0),"; "&amp;IF(ISNUMBER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,IF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=0,"0",ROUND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,9-INT(LOG10(ABS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)))&amp;""),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&amp;""),"")&amp;IF((IFERROR(VALUE($I34&amp;""),0)&lt;0),"; "&amp;IF(ISNUMBER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,IF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=0,"0",ROUND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,9-INT(LOG10(ABS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)))&amp;""),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&amp;""),""),3,32767))</f>
        <v/>
      </c>
      <c r="K34" s="3">
        <f>IF(OR((IFERROR(VALUE($I34&amp;""),0)&gt;0),(IFERROR(VALUE($I34&amp;""),0)&lt;0)),3,0)</f>
        <v/>
      </c>
    </row>
    <row r="35">
      <c r="A35" s="4" t="n"/>
      <c r="B35" s="4" t="n"/>
      <c r="C35" s="4" t="n"/>
      <c r="D35" s="4" t="n"/>
      <c r="E35" s="4" t="n"/>
      <c r="F35" s="3">
        <f>IF(AND($A35="",$B35=""),"",IF(ISNA(MATCH(1,INDEX(EXACT('Asignaturas'!$A$4:$A$38,$B35)*1*((('Asignaturas'!$A$4:$A$38&lt;&gt;""))&gt;0),0),0)),"",IF(ISBLANK(INDEX('Asignaturas'!$B$4:$B$38,MATCH(1,INDEX(EXACT('Asignaturas'!$A$4:$A$38,$B35)*1*((('Asignaturas'!$A$4:$A$38&lt;&gt;""))&gt;0),0),0))),"",INDEX('Asignaturas'!$B$4:$B$38,MATCH(1,INDEX(EXACT('Asignaturas'!$A$4:$A$38,$B35)*1*((('Asignaturas'!$A$4:$A$38&lt;&gt;""))&gt;0),0),0)))))</f>
        <v/>
      </c>
      <c r="G35" s="3">
        <f>IF(AND($A35="",$B35=""),"",IF(EXACT($D35,5),"si","no"))</f>
        <v/>
      </c>
      <c r="H35" s="3">
        <f>IF(AND($A35="",$B35=""),"",SUMPRODUCT(1*((EXACT('Casillas del horario'!$A$4:$A$73,$A35)))*((EXACT('Casillas del horario'!$D$4:$D$73,$B35)))))</f>
        <v/>
      </c>
      <c r="I35" s="3">
        <f>IF(AND($A35="",$B35=""),"",(IFERROR(VALUE($D35&amp;""),0)-IFERROR(VALUE($H35&amp;""),0)))</f>
        <v/>
      </c>
      <c r="J35" s="3">
        <f>IF(AND($A35="",$B35=""),"",MID(IF((IFERROR(VALUE($I35&amp;""),0)&gt;0),"; "&amp;IF(ISNUMBER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,IF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=0,"0",ROUND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,9-INT(LOG10(ABS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)))&amp;""),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&amp;""),"")&amp;IF((IFERROR(VALUE($I35&amp;""),0)&lt;0),"; "&amp;IF(ISNUMBER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,IF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=0,"0",ROUND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,9-INT(LOG10(ABS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)))&amp;""),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&amp;""),""),3,32767))</f>
        <v/>
      </c>
      <c r="K35" s="3">
        <f>IF(OR((IFERROR(VALUE($I35&amp;""),0)&gt;0),(IFERROR(VALUE($I35&amp;""),0)&lt;0)),3,0)</f>
        <v/>
      </c>
    </row>
    <row r="36">
      <c r="A36" s="4" t="n"/>
      <c r="B36" s="4" t="n"/>
      <c r="C36" s="4" t="n"/>
      <c r="D36" s="4" t="n"/>
      <c r="E36" s="4" t="n"/>
      <c r="F36" s="3">
        <f>IF(AND($A36="",$B36=""),"",IF(ISNA(MATCH(1,INDEX(EXACT('Asignaturas'!$A$4:$A$38,$B36)*1*((('Asignaturas'!$A$4:$A$38&lt;&gt;""))&gt;0),0),0)),"",IF(ISBLANK(INDEX('Asignaturas'!$B$4:$B$38,MATCH(1,INDEX(EXACT('Asignaturas'!$A$4:$A$38,$B36)*1*((('Asignaturas'!$A$4:$A$38&lt;&gt;""))&gt;0),0),0))),"",INDEX('Asignaturas'!$B$4:$B$38,MATCH(1,INDEX(EXACT('Asignaturas'!$A$4:$A$38,$B36)*1*((('Asignaturas'!$A$4:$A$38&lt;&gt;""))&gt;0),0),0)))))</f>
        <v/>
      </c>
      <c r="G36" s="3">
        <f>IF(AND($A36="",$B36=""),"",IF(EXACT($D36,5),"si","no"))</f>
        <v/>
      </c>
      <c r="H36" s="3">
        <f>IF(AND($A36="",$B36=""),"",SUMPRODUCT(1*((EXACT('Casillas del horario'!$A$4:$A$73,$A36)))*((EXACT('Casillas del horario'!$D$4:$D$73,$B36)))))</f>
        <v/>
      </c>
      <c r="I36" s="3">
        <f>IF(AND($A36="",$B36=""),"",(IFERROR(VALUE($D36&amp;""),0)-IFERROR(VALUE($H36&amp;""),0)))</f>
        <v/>
      </c>
      <c r="J36" s="3">
        <f>IF(AND($A36="",$B36=""),"",MID(IF((IFERROR(VALUE($I36&amp;""),0)&gt;0),"; "&amp;IF(ISNUMBER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,IF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=0,"0",ROUND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,9-INT(LOG10(ABS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)))&amp;""),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&amp;""),"")&amp;IF((IFERROR(VALUE($I36&amp;""),0)&lt;0),"; "&amp;IF(ISNUMBER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,IF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=0,"0",ROUND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,9-INT(LOG10(ABS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)))&amp;""),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&amp;""),""),3,32767))</f>
        <v/>
      </c>
      <c r="K36" s="3">
        <f>IF(OR((IFERROR(VALUE($I36&amp;""),0)&gt;0),(IFERROR(VALUE($I36&amp;""),0)&lt;0)),3,0)</f>
        <v/>
      </c>
    </row>
    <row r="37">
      <c r="A37" s="4" t="n"/>
      <c r="B37" s="4" t="n"/>
      <c r="C37" s="4" t="n"/>
      <c r="D37" s="4" t="n"/>
      <c r="E37" s="4" t="n"/>
      <c r="F37" s="3">
        <f>IF(AND($A37="",$B37=""),"",IF(ISNA(MATCH(1,INDEX(EXACT('Asignaturas'!$A$4:$A$38,$B37)*1*((('Asignaturas'!$A$4:$A$38&lt;&gt;""))&gt;0),0),0)),"",IF(ISBLANK(INDEX('Asignaturas'!$B$4:$B$38,MATCH(1,INDEX(EXACT('Asignaturas'!$A$4:$A$38,$B37)*1*((('Asignaturas'!$A$4:$A$38&lt;&gt;""))&gt;0),0),0))),"",INDEX('Asignaturas'!$B$4:$B$38,MATCH(1,INDEX(EXACT('Asignaturas'!$A$4:$A$38,$B37)*1*((('Asignaturas'!$A$4:$A$38&lt;&gt;""))&gt;0),0),0)))))</f>
        <v/>
      </c>
      <c r="G37" s="3">
        <f>IF(AND($A37="",$B37=""),"",IF(EXACT($D37,5),"si","no"))</f>
        <v/>
      </c>
      <c r="H37" s="3">
        <f>IF(AND($A37="",$B37=""),"",SUMPRODUCT(1*((EXACT('Casillas del horario'!$A$4:$A$73,$A37)))*((EXACT('Casillas del horario'!$D$4:$D$73,$B37)))))</f>
        <v/>
      </c>
      <c r="I37" s="3">
        <f>IF(AND($A37="",$B37=""),"",(IFERROR(VALUE($D37&amp;""),0)-IFERROR(VALUE($H37&amp;""),0)))</f>
        <v/>
      </c>
      <c r="J37" s="3">
        <f>IF(AND($A37="",$B37=""),"",MID(IF((IFERROR(VALUE($I37&amp;""),0)&gt;0),"; "&amp;IF(ISNUMBER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,IF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=0,"0",ROUND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,9-INT(LOG10(ABS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)))&amp;""),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&amp;""),"")&amp;IF((IFERROR(VALUE($I37&amp;""),0)&lt;0),"; "&amp;IF(ISNUMBER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,IF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=0,"0",ROUND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,9-INT(LOG10(ABS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)))&amp;""),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&amp;""),""),3,32767))</f>
        <v/>
      </c>
      <c r="K37" s="3">
        <f>IF(OR((IFERROR(VALUE($I37&amp;""),0)&gt;0),(IFERROR(VALUE($I37&amp;""),0)&lt;0)),3,0)</f>
        <v/>
      </c>
    </row>
    <row r="38">
      <c r="A38" s="4" t="n"/>
      <c r="B38" s="4" t="n"/>
      <c r="C38" s="4" t="n"/>
      <c r="D38" s="4" t="n"/>
      <c r="E38" s="4" t="n"/>
      <c r="F38" s="3">
        <f>IF(AND($A38="",$B38=""),"",IF(ISNA(MATCH(1,INDEX(EXACT('Asignaturas'!$A$4:$A$38,$B38)*1*((('Asignaturas'!$A$4:$A$38&lt;&gt;""))&gt;0),0),0)),"",IF(ISBLANK(INDEX('Asignaturas'!$B$4:$B$38,MATCH(1,INDEX(EXACT('Asignaturas'!$A$4:$A$38,$B38)*1*((('Asignaturas'!$A$4:$A$38&lt;&gt;""))&gt;0),0),0))),"",INDEX('Asignaturas'!$B$4:$B$38,MATCH(1,INDEX(EXACT('Asignaturas'!$A$4:$A$38,$B38)*1*((('Asignaturas'!$A$4:$A$38&lt;&gt;""))&gt;0),0),0)))))</f>
        <v/>
      </c>
      <c r="G38" s="3">
        <f>IF(AND($A38="",$B38=""),"",IF(EXACT($D38,5),"si","no"))</f>
        <v/>
      </c>
      <c r="H38" s="3">
        <f>IF(AND($A38="",$B38=""),"",SUMPRODUCT(1*((EXACT('Casillas del horario'!$A$4:$A$73,$A38)))*((EXACT('Casillas del horario'!$D$4:$D$73,$B38)))))</f>
        <v/>
      </c>
      <c r="I38" s="3">
        <f>IF(AND($A38="",$B38=""),"",(IFERROR(VALUE($D38&amp;""),0)-IFERROR(VALUE($H38&amp;""),0)))</f>
        <v/>
      </c>
      <c r="J38" s="3">
        <f>IF(AND($A38="",$B38=""),"",MID(IF((IFERROR(VALUE($I38&amp;""),0)&gt;0),"; "&amp;IF(ISNUMBER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,IF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=0,"0",ROUND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,9-INT(LOG10(ABS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)))&amp;""),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&amp;""),"")&amp;IF((IFERROR(VALUE($I38&amp;""),0)&lt;0),"; "&amp;IF(ISNUMBER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,IF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=0,"0",ROUND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,9-INT(LOG10(ABS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)))&amp;""),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&amp;""),""),3,32767))</f>
        <v/>
      </c>
      <c r="K38" s="3">
        <f>IF(OR((IFERROR(VALUE($I38&amp;""),0)&gt;0),(IFERROR(VALUE($I38&amp;""),0)&lt;0)),3,0)</f>
        <v/>
      </c>
    </row>
    <row r="39">
      <c r="A39" s="4" t="n"/>
      <c r="B39" s="4" t="n"/>
      <c r="C39" s="4" t="n"/>
      <c r="D39" s="4" t="n"/>
      <c r="E39" s="4" t="n"/>
      <c r="F39" s="3">
        <f>IF(AND($A39="",$B39=""),"",IF(ISNA(MATCH(1,INDEX(EXACT('Asignaturas'!$A$4:$A$38,$B39)*1*((('Asignaturas'!$A$4:$A$38&lt;&gt;""))&gt;0),0),0)),"",IF(ISBLANK(INDEX('Asignaturas'!$B$4:$B$38,MATCH(1,INDEX(EXACT('Asignaturas'!$A$4:$A$38,$B39)*1*((('Asignaturas'!$A$4:$A$38&lt;&gt;""))&gt;0),0),0))),"",INDEX('Asignaturas'!$B$4:$B$38,MATCH(1,INDEX(EXACT('Asignaturas'!$A$4:$A$38,$B39)*1*((('Asignaturas'!$A$4:$A$38&lt;&gt;""))&gt;0),0),0)))))</f>
        <v/>
      </c>
      <c r="G39" s="3">
        <f>IF(AND($A39="",$B39=""),"",IF(EXACT($D39,5),"si","no"))</f>
        <v/>
      </c>
      <c r="H39" s="3">
        <f>IF(AND($A39="",$B39=""),"",SUMPRODUCT(1*((EXACT('Casillas del horario'!$A$4:$A$73,$A39)))*((EXACT('Casillas del horario'!$D$4:$D$73,$B39)))))</f>
        <v/>
      </c>
      <c r="I39" s="3">
        <f>IF(AND($A39="",$B39=""),"",(IFERROR(VALUE($D39&amp;""),0)-IFERROR(VALUE($H39&amp;""),0)))</f>
        <v/>
      </c>
      <c r="J39" s="3">
        <f>IF(AND($A39="",$B39=""),"",MID(IF((IFERROR(VALUE($I39&amp;""),0)&gt;0),"; "&amp;IF(ISNUMBER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,IF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=0,"0",ROUND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,9-INT(LOG10(ABS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)))&amp;""),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&amp;""),"")&amp;IF((IFERROR(VALUE($I39&amp;""),0)&lt;0),"; "&amp;IF(ISNUMBER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,IF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=0,"0",ROUND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,9-INT(LOG10(ABS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)))&amp;""),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&amp;""),""),3,32767))</f>
        <v/>
      </c>
      <c r="K39" s="3">
        <f>IF(OR((IFERROR(VALUE($I39&amp;""),0)&gt;0),(IFERROR(VALUE($I39&amp;""),0)&lt;0)),3,0)</f>
        <v/>
      </c>
    </row>
    <row r="40">
      <c r="A40" s="4" t="n"/>
      <c r="B40" s="4" t="n"/>
      <c r="C40" s="4" t="n"/>
      <c r="D40" s="4" t="n"/>
      <c r="E40" s="4" t="n"/>
      <c r="F40" s="3">
        <f>IF(AND($A40="",$B40=""),"",IF(ISNA(MATCH(1,INDEX(EXACT('Asignaturas'!$A$4:$A$38,$B40)*1*((('Asignaturas'!$A$4:$A$38&lt;&gt;""))&gt;0),0),0)),"",IF(ISBLANK(INDEX('Asignaturas'!$B$4:$B$38,MATCH(1,INDEX(EXACT('Asignaturas'!$A$4:$A$38,$B40)*1*((('Asignaturas'!$A$4:$A$38&lt;&gt;""))&gt;0),0),0))),"",INDEX('Asignaturas'!$B$4:$B$38,MATCH(1,INDEX(EXACT('Asignaturas'!$A$4:$A$38,$B40)*1*((('Asignaturas'!$A$4:$A$38&lt;&gt;""))&gt;0),0),0)))))</f>
        <v/>
      </c>
      <c r="G40" s="3">
        <f>IF(AND($A40="",$B40=""),"",IF(EXACT($D40,5),"si","no"))</f>
        <v/>
      </c>
      <c r="H40" s="3">
        <f>IF(AND($A40="",$B40=""),"",SUMPRODUCT(1*((EXACT('Casillas del horario'!$A$4:$A$73,$A40)))*((EXACT('Casillas del horario'!$D$4:$D$73,$B40)))))</f>
        <v/>
      </c>
      <c r="I40" s="3">
        <f>IF(AND($A40="",$B40=""),"",(IFERROR(VALUE($D40&amp;""),0)-IFERROR(VALUE($H40&amp;""),0)))</f>
        <v/>
      </c>
      <c r="J40" s="3">
        <f>IF(AND($A40="",$B40=""),"",MID(IF((IFERROR(VALUE($I40&amp;""),0)&gt;0),"; "&amp;IF(ISNUMBER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,IF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=0,"0",ROUND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,9-INT(LOG10(ABS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)))&amp;""),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&amp;""),"")&amp;IF((IFERROR(VALUE($I40&amp;""),0)&lt;0),"; "&amp;IF(ISNUMBER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,IF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=0,"0",ROUND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,9-INT(LOG10(ABS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)))&amp;""),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&amp;""),""),3,32767))</f>
        <v/>
      </c>
      <c r="K40" s="3">
        <f>IF(OR((IFERROR(VALUE($I40&amp;""),0)&gt;0),(IFERROR(VALUE($I40&amp;""),0)&lt;0)),3,0)</f>
        <v/>
      </c>
    </row>
    <row r="41">
      <c r="A41" s="4" t="n"/>
      <c r="B41" s="4" t="n"/>
      <c r="C41" s="4" t="n"/>
      <c r="D41" s="4" t="n"/>
      <c r="E41" s="4" t="n"/>
      <c r="F41" s="3">
        <f>IF(AND($A41="",$B41=""),"",IF(ISNA(MATCH(1,INDEX(EXACT('Asignaturas'!$A$4:$A$38,$B41)*1*((('Asignaturas'!$A$4:$A$38&lt;&gt;""))&gt;0),0),0)),"",IF(ISBLANK(INDEX('Asignaturas'!$B$4:$B$38,MATCH(1,INDEX(EXACT('Asignaturas'!$A$4:$A$38,$B41)*1*((('Asignaturas'!$A$4:$A$38&lt;&gt;""))&gt;0),0),0))),"",INDEX('Asignaturas'!$B$4:$B$38,MATCH(1,INDEX(EXACT('Asignaturas'!$A$4:$A$38,$B41)*1*((('Asignaturas'!$A$4:$A$38&lt;&gt;""))&gt;0),0),0)))))</f>
        <v/>
      </c>
      <c r="G41" s="3">
        <f>IF(AND($A41="",$B41=""),"",IF(EXACT($D41,5),"si","no"))</f>
        <v/>
      </c>
      <c r="H41" s="3">
        <f>IF(AND($A41="",$B41=""),"",SUMPRODUCT(1*((EXACT('Casillas del horario'!$A$4:$A$73,$A41)))*((EXACT('Casillas del horario'!$D$4:$D$73,$B41)))))</f>
        <v/>
      </c>
      <c r="I41" s="3">
        <f>IF(AND($A41="",$B41=""),"",(IFERROR(VALUE($D41&amp;""),0)-IFERROR(VALUE($H41&amp;""),0)))</f>
        <v/>
      </c>
      <c r="J41" s="3">
        <f>IF(AND($A41="",$B41=""),"",MID(IF((IFERROR(VALUE($I41&amp;""),0)&gt;0),"; "&amp;IF(ISNUMBER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,IF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=0,"0",ROUND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,9-INT(LOG10(ABS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)))&amp;""),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&amp;""),"")&amp;IF((IFERROR(VALUE($I41&amp;""),0)&lt;0),"; "&amp;IF(ISNUMBER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,IF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=0,"0",ROUND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,9-INT(LOG10(ABS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)))&amp;""),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&amp;""),""),3,32767))</f>
        <v/>
      </c>
      <c r="K41" s="3">
        <f>IF(OR((IFERROR(VALUE($I41&amp;""),0)&gt;0),(IFERROR(VALUE($I41&amp;""),0)&lt;0)),3,0)</f>
        <v/>
      </c>
    </row>
    <row r="42">
      <c r="A42" s="4" t="n"/>
      <c r="B42" s="4" t="n"/>
      <c r="C42" s="4" t="n"/>
      <c r="D42" s="4" t="n"/>
      <c r="E42" s="4" t="n"/>
      <c r="F42" s="3">
        <f>IF(AND($A42="",$B42=""),"",IF(ISNA(MATCH(1,INDEX(EXACT('Asignaturas'!$A$4:$A$38,$B42)*1*((('Asignaturas'!$A$4:$A$38&lt;&gt;""))&gt;0),0),0)),"",IF(ISBLANK(INDEX('Asignaturas'!$B$4:$B$38,MATCH(1,INDEX(EXACT('Asignaturas'!$A$4:$A$38,$B42)*1*((('Asignaturas'!$A$4:$A$38&lt;&gt;""))&gt;0),0),0))),"",INDEX('Asignaturas'!$B$4:$B$38,MATCH(1,INDEX(EXACT('Asignaturas'!$A$4:$A$38,$B42)*1*((('Asignaturas'!$A$4:$A$38&lt;&gt;""))&gt;0),0),0)))))</f>
        <v/>
      </c>
      <c r="G42" s="3">
        <f>IF(AND($A42="",$B42=""),"",IF(EXACT($D42,5),"si","no"))</f>
        <v/>
      </c>
      <c r="H42" s="3">
        <f>IF(AND($A42="",$B42=""),"",SUMPRODUCT(1*((EXACT('Casillas del horario'!$A$4:$A$73,$A42)))*((EXACT('Casillas del horario'!$D$4:$D$73,$B42)))))</f>
        <v/>
      </c>
      <c r="I42" s="3">
        <f>IF(AND($A42="",$B42=""),"",(IFERROR(VALUE($D42&amp;""),0)-IFERROR(VALUE($H42&amp;""),0)))</f>
        <v/>
      </c>
      <c r="J42" s="3">
        <f>IF(AND($A42="",$B42=""),"",MID(IF((IFERROR(VALUE($I42&amp;""),0)&gt;0),"; "&amp;IF(ISNUMBER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,IF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=0,"0",ROUND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,9-INT(LOG10(ABS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)))&amp;""),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&amp;""),"")&amp;IF((IFERROR(VALUE($I42&amp;""),0)&lt;0),"; "&amp;IF(ISNUMBER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,IF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=0,"0",ROUND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,9-INT(LOG10(ABS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)))&amp;""),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&amp;""),""),3,32767))</f>
        <v/>
      </c>
      <c r="K42" s="3">
        <f>IF(OR((IFERROR(VALUE($I42&amp;""),0)&gt;0),(IFERROR(VALUE($I42&amp;""),0)&lt;0)),3,0)</f>
        <v/>
      </c>
    </row>
    <row r="43">
      <c r="A43" s="4" t="n"/>
      <c r="B43" s="4" t="n"/>
      <c r="C43" s="4" t="n"/>
      <c r="D43" s="4" t="n"/>
      <c r="E43" s="4" t="n"/>
      <c r="F43" s="3">
        <f>IF(AND($A43="",$B43=""),"",IF(ISNA(MATCH(1,INDEX(EXACT('Asignaturas'!$A$4:$A$38,$B43)*1*((('Asignaturas'!$A$4:$A$38&lt;&gt;""))&gt;0),0),0)),"",IF(ISBLANK(INDEX('Asignaturas'!$B$4:$B$38,MATCH(1,INDEX(EXACT('Asignaturas'!$A$4:$A$38,$B43)*1*((('Asignaturas'!$A$4:$A$38&lt;&gt;""))&gt;0),0),0))),"",INDEX('Asignaturas'!$B$4:$B$38,MATCH(1,INDEX(EXACT('Asignaturas'!$A$4:$A$38,$B43)*1*((('Asignaturas'!$A$4:$A$38&lt;&gt;""))&gt;0),0),0)))))</f>
        <v/>
      </c>
      <c r="G43" s="3">
        <f>IF(AND($A43="",$B43=""),"",IF(EXACT($D43,5),"si","no"))</f>
        <v/>
      </c>
      <c r="H43" s="3">
        <f>IF(AND($A43="",$B43=""),"",SUMPRODUCT(1*((EXACT('Casillas del horario'!$A$4:$A$73,$A43)))*((EXACT('Casillas del horario'!$D$4:$D$73,$B43)))))</f>
        <v/>
      </c>
      <c r="I43" s="3">
        <f>IF(AND($A43="",$B43=""),"",(IFERROR(VALUE($D43&amp;""),0)-IFERROR(VALUE($H43&amp;""),0)))</f>
        <v/>
      </c>
      <c r="J43" s="3">
        <f>IF(AND($A43="",$B43=""),"",MID(IF((IFERROR(VALUE($I43&amp;""),0)&gt;0),"; "&amp;IF(ISNUMBER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,IF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=0,"0",ROUND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,9-INT(LOG10(ABS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)))&amp;""),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&amp;""),"")&amp;IF((IFERROR(VALUE($I43&amp;""),0)&lt;0),"; "&amp;IF(ISNUMBER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,IF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=0,"0",ROUND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,9-INT(LOG10(ABS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)))&amp;""),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&amp;""),""),3,32767))</f>
        <v/>
      </c>
      <c r="K43" s="3">
        <f>IF(OR((IFERROR(VALUE($I43&amp;""),0)&gt;0),(IFERROR(VALUE($I43&amp;""),0)&lt;0)),3,0)</f>
        <v/>
      </c>
    </row>
    <row r="44">
      <c r="A44" s="4" t="n"/>
      <c r="B44" s="4" t="n"/>
      <c r="C44" s="4" t="n"/>
      <c r="D44" s="4" t="n"/>
      <c r="E44" s="4" t="n"/>
      <c r="F44" s="3">
        <f>IF(AND($A44="",$B44=""),"",IF(ISNA(MATCH(1,INDEX(EXACT('Asignaturas'!$A$4:$A$38,$B44)*1*((('Asignaturas'!$A$4:$A$38&lt;&gt;""))&gt;0),0),0)),"",IF(ISBLANK(INDEX('Asignaturas'!$B$4:$B$38,MATCH(1,INDEX(EXACT('Asignaturas'!$A$4:$A$38,$B44)*1*((('Asignaturas'!$A$4:$A$38&lt;&gt;""))&gt;0),0),0))),"",INDEX('Asignaturas'!$B$4:$B$38,MATCH(1,INDEX(EXACT('Asignaturas'!$A$4:$A$38,$B44)*1*((('Asignaturas'!$A$4:$A$38&lt;&gt;""))&gt;0),0),0)))))</f>
        <v/>
      </c>
      <c r="G44" s="3">
        <f>IF(AND($A44="",$B44=""),"",IF(EXACT($D44,5),"si","no"))</f>
        <v/>
      </c>
      <c r="H44" s="3">
        <f>IF(AND($A44="",$B44=""),"",SUMPRODUCT(1*((EXACT('Casillas del horario'!$A$4:$A$73,$A44)))*((EXACT('Casillas del horario'!$D$4:$D$73,$B44)))))</f>
        <v/>
      </c>
      <c r="I44" s="3">
        <f>IF(AND($A44="",$B44=""),"",(IFERROR(VALUE($D44&amp;""),0)-IFERROR(VALUE($H44&amp;""),0)))</f>
        <v/>
      </c>
      <c r="J44" s="3">
        <f>IF(AND($A44="",$B44=""),"",MID(IF((IFERROR(VALUE($I44&amp;""),0)&gt;0),"; "&amp;IF(ISNUMBER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,IF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=0,"0",ROUND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,9-INT(LOG10(ABS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)))&amp;""),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&amp;""),"")&amp;IF((IFERROR(VALUE($I44&amp;""),0)&lt;0),"; "&amp;IF(ISNUMBER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,IF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=0,"0",ROUND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,9-INT(LOG10(ABS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)))&amp;""),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&amp;""),""),3,32767))</f>
        <v/>
      </c>
      <c r="K44" s="3">
        <f>IF(OR((IFERROR(VALUE($I44&amp;""),0)&gt;0),(IFERROR(VALUE($I44&amp;""),0)&lt;0)),3,0)</f>
        <v/>
      </c>
    </row>
    <row r="45">
      <c r="A45" s="4" t="n"/>
      <c r="B45" s="4" t="n"/>
      <c r="C45" s="4" t="n"/>
      <c r="D45" s="4" t="n"/>
      <c r="E45" s="4" t="n"/>
      <c r="F45" s="3">
        <f>IF(AND($A45="",$B45=""),"",IF(ISNA(MATCH(1,INDEX(EXACT('Asignaturas'!$A$4:$A$38,$B45)*1*((('Asignaturas'!$A$4:$A$38&lt;&gt;""))&gt;0),0),0)),"",IF(ISBLANK(INDEX('Asignaturas'!$B$4:$B$38,MATCH(1,INDEX(EXACT('Asignaturas'!$A$4:$A$38,$B45)*1*((('Asignaturas'!$A$4:$A$38&lt;&gt;""))&gt;0),0),0))),"",INDEX('Asignaturas'!$B$4:$B$38,MATCH(1,INDEX(EXACT('Asignaturas'!$A$4:$A$38,$B45)*1*((('Asignaturas'!$A$4:$A$38&lt;&gt;""))&gt;0),0),0)))))</f>
        <v/>
      </c>
      <c r="G45" s="3">
        <f>IF(AND($A45="",$B45=""),"",IF(EXACT($D45,5),"si","no"))</f>
        <v/>
      </c>
      <c r="H45" s="3">
        <f>IF(AND($A45="",$B45=""),"",SUMPRODUCT(1*((EXACT('Casillas del horario'!$A$4:$A$73,$A45)))*((EXACT('Casillas del horario'!$D$4:$D$73,$B45)))))</f>
        <v/>
      </c>
      <c r="I45" s="3">
        <f>IF(AND($A45="",$B45=""),"",(IFERROR(VALUE($D45&amp;""),0)-IFERROR(VALUE($H45&amp;""),0)))</f>
        <v/>
      </c>
      <c r="J45" s="3">
        <f>IF(AND($A45="",$B45=""),"",MID(IF((IFERROR(VALUE($I45&amp;""),0)&gt;0),"; "&amp;IF(ISNUMBER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,IF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=0,"0",ROUND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,9-INT(LOG10(ABS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)))&amp;""),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&amp;""),"")&amp;IF((IFERROR(VALUE($I45&amp;""),0)&lt;0),"; "&amp;IF(ISNUMBER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,IF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=0,"0",ROUND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,9-INT(LOG10(ABS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)))&amp;""),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&amp;""),""),3,32767))</f>
        <v/>
      </c>
      <c r="K45" s="3">
        <f>IF(OR((IFERROR(VALUE($I45&amp;""),0)&gt;0),(IFERROR(VALUE($I45&amp;""),0)&lt;0)),3,0)</f>
        <v/>
      </c>
    </row>
    <row r="46">
      <c r="A46" s="4" t="n"/>
      <c r="B46" s="4" t="n"/>
      <c r="C46" s="4" t="n"/>
      <c r="D46" s="4" t="n"/>
      <c r="E46" s="4" t="n"/>
      <c r="F46" s="3">
        <f>IF(AND($A46="",$B46=""),"",IF(ISNA(MATCH(1,INDEX(EXACT('Asignaturas'!$A$4:$A$38,$B46)*1*((('Asignaturas'!$A$4:$A$38&lt;&gt;""))&gt;0),0),0)),"",IF(ISBLANK(INDEX('Asignaturas'!$B$4:$B$38,MATCH(1,INDEX(EXACT('Asignaturas'!$A$4:$A$38,$B46)*1*((('Asignaturas'!$A$4:$A$38&lt;&gt;""))&gt;0),0),0))),"",INDEX('Asignaturas'!$B$4:$B$38,MATCH(1,INDEX(EXACT('Asignaturas'!$A$4:$A$38,$B46)*1*((('Asignaturas'!$A$4:$A$38&lt;&gt;""))&gt;0),0),0)))))</f>
        <v/>
      </c>
      <c r="G46" s="3">
        <f>IF(AND($A46="",$B46=""),"",IF(EXACT($D46,5),"si","no"))</f>
        <v/>
      </c>
      <c r="H46" s="3">
        <f>IF(AND($A46="",$B46=""),"",SUMPRODUCT(1*((EXACT('Casillas del horario'!$A$4:$A$73,$A46)))*((EXACT('Casillas del horario'!$D$4:$D$73,$B46)))))</f>
        <v/>
      </c>
      <c r="I46" s="3">
        <f>IF(AND($A46="",$B46=""),"",(IFERROR(VALUE($D46&amp;""),0)-IFERROR(VALUE($H46&amp;""),0)))</f>
        <v/>
      </c>
      <c r="J46" s="3">
        <f>IF(AND($A46="",$B46=""),"",MID(IF((IFERROR(VALUE($I46&amp;""),0)&gt;0),"; "&amp;IF(ISNUMBER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,IF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=0,"0",ROUND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,9-INT(LOG10(ABS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)))&amp;""),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&amp;""),"")&amp;IF((IFERROR(VALUE($I46&amp;""),0)&lt;0),"; "&amp;IF(ISNUMBER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,IF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=0,"0",ROUND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,9-INT(LOG10(ABS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)))&amp;""),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&amp;""),""),3,32767))</f>
        <v/>
      </c>
      <c r="K46" s="3">
        <f>IF(OR((IFERROR(VALUE($I46&amp;""),0)&gt;0),(IFERROR(VALUE($I46&amp;""),0)&lt;0)),3,0)</f>
        <v/>
      </c>
    </row>
    <row r="47">
      <c r="A47" s="4" t="n"/>
      <c r="B47" s="4" t="n"/>
      <c r="C47" s="4" t="n"/>
      <c r="D47" s="4" t="n"/>
      <c r="E47" s="4" t="n"/>
      <c r="F47" s="3">
        <f>IF(AND($A47="",$B47=""),"",IF(ISNA(MATCH(1,INDEX(EXACT('Asignaturas'!$A$4:$A$38,$B47)*1*((('Asignaturas'!$A$4:$A$38&lt;&gt;""))&gt;0),0),0)),"",IF(ISBLANK(INDEX('Asignaturas'!$B$4:$B$38,MATCH(1,INDEX(EXACT('Asignaturas'!$A$4:$A$38,$B47)*1*((('Asignaturas'!$A$4:$A$38&lt;&gt;""))&gt;0),0),0))),"",INDEX('Asignaturas'!$B$4:$B$38,MATCH(1,INDEX(EXACT('Asignaturas'!$A$4:$A$38,$B47)*1*((('Asignaturas'!$A$4:$A$38&lt;&gt;""))&gt;0),0),0)))))</f>
        <v/>
      </c>
      <c r="G47" s="3">
        <f>IF(AND($A47="",$B47=""),"",IF(EXACT($D47,5),"si","no"))</f>
        <v/>
      </c>
      <c r="H47" s="3">
        <f>IF(AND($A47="",$B47=""),"",SUMPRODUCT(1*((EXACT('Casillas del horario'!$A$4:$A$73,$A47)))*((EXACT('Casillas del horario'!$D$4:$D$73,$B47)))))</f>
        <v/>
      </c>
      <c r="I47" s="3">
        <f>IF(AND($A47="",$B47=""),"",(IFERROR(VALUE($D47&amp;""),0)-IFERROR(VALUE($H47&amp;""),0)))</f>
        <v/>
      </c>
      <c r="J47" s="3">
        <f>IF(AND($A47="",$B47=""),"",MID(IF((IFERROR(VALUE($I47&amp;""),0)&gt;0),"; "&amp;IF(ISNUMBER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,IF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=0,"0",ROUND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,9-INT(LOG10(ABS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)))&amp;""),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&amp;""),"")&amp;IF((IFERROR(VALUE($I47&amp;""),0)&lt;0),"; "&amp;IF(ISNUMBER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,IF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=0,"0",ROUND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,9-INT(LOG10(ABS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)))&amp;""),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&amp;""),""),3,32767))</f>
        <v/>
      </c>
      <c r="K47" s="3">
        <f>IF(OR((IFERROR(VALUE($I47&amp;""),0)&gt;0),(IFERROR(VALUE($I47&amp;""),0)&lt;0)),3,0)</f>
        <v/>
      </c>
    </row>
    <row r="48">
      <c r="A48" s="4" t="n"/>
      <c r="B48" s="4" t="n"/>
      <c r="C48" s="4" t="n"/>
      <c r="D48" s="4" t="n"/>
      <c r="E48" s="4" t="n"/>
      <c r="F48" s="3">
        <f>IF(AND($A48="",$B48=""),"",IF(ISNA(MATCH(1,INDEX(EXACT('Asignaturas'!$A$4:$A$38,$B48)*1*((('Asignaturas'!$A$4:$A$38&lt;&gt;""))&gt;0),0),0)),"",IF(ISBLANK(INDEX('Asignaturas'!$B$4:$B$38,MATCH(1,INDEX(EXACT('Asignaturas'!$A$4:$A$38,$B48)*1*((('Asignaturas'!$A$4:$A$38&lt;&gt;""))&gt;0),0),0))),"",INDEX('Asignaturas'!$B$4:$B$38,MATCH(1,INDEX(EXACT('Asignaturas'!$A$4:$A$38,$B48)*1*((('Asignaturas'!$A$4:$A$38&lt;&gt;""))&gt;0),0),0)))))</f>
        <v/>
      </c>
      <c r="G48" s="3">
        <f>IF(AND($A48="",$B48=""),"",IF(EXACT($D48,5),"si","no"))</f>
        <v/>
      </c>
      <c r="H48" s="3">
        <f>IF(AND($A48="",$B48=""),"",SUMPRODUCT(1*((EXACT('Casillas del horario'!$A$4:$A$73,$A48)))*((EXACT('Casillas del horario'!$D$4:$D$73,$B48)))))</f>
        <v/>
      </c>
      <c r="I48" s="3">
        <f>IF(AND($A48="",$B48=""),"",(IFERROR(VALUE($D48&amp;""),0)-IFERROR(VALUE($H48&amp;""),0)))</f>
        <v/>
      </c>
      <c r="J48" s="3">
        <f>IF(AND($A48="",$B48=""),"",MID(IF((IFERROR(VALUE($I48&amp;""),0)&gt;0),"; "&amp;IF(ISNUMBER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,IF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=0,"0",ROUND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,9-INT(LOG10(ABS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)))&amp;""),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&amp;""),"")&amp;IF((IFERROR(VALUE($I48&amp;""),0)&lt;0),"; "&amp;IF(ISNUMBER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,IF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=0,"0",ROUND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,9-INT(LOG10(ABS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)))&amp;""),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&amp;""),""),3,32767))</f>
        <v/>
      </c>
      <c r="K48" s="3">
        <f>IF(OR((IFERROR(VALUE($I48&amp;""),0)&gt;0),(IFERROR(VALUE($I48&amp;""),0)&lt;0)),3,0)</f>
        <v/>
      </c>
    </row>
    <row r="49">
      <c r="A49" s="4" t="n"/>
      <c r="B49" s="4" t="n"/>
      <c r="C49" s="4" t="n"/>
      <c r="D49" s="4" t="n"/>
      <c r="E49" s="4" t="n"/>
      <c r="F49" s="3">
        <f>IF(AND($A49="",$B49=""),"",IF(ISNA(MATCH(1,INDEX(EXACT('Asignaturas'!$A$4:$A$38,$B49)*1*((('Asignaturas'!$A$4:$A$38&lt;&gt;""))&gt;0),0),0)),"",IF(ISBLANK(INDEX('Asignaturas'!$B$4:$B$38,MATCH(1,INDEX(EXACT('Asignaturas'!$A$4:$A$38,$B49)*1*((('Asignaturas'!$A$4:$A$38&lt;&gt;""))&gt;0),0),0))),"",INDEX('Asignaturas'!$B$4:$B$38,MATCH(1,INDEX(EXACT('Asignaturas'!$A$4:$A$38,$B49)*1*((('Asignaturas'!$A$4:$A$38&lt;&gt;""))&gt;0),0),0)))))</f>
        <v/>
      </c>
      <c r="G49" s="3">
        <f>IF(AND($A49="",$B49=""),"",IF(EXACT($D49,5),"si","no"))</f>
        <v/>
      </c>
      <c r="H49" s="3">
        <f>IF(AND($A49="",$B49=""),"",SUMPRODUCT(1*((EXACT('Casillas del horario'!$A$4:$A$73,$A49)))*((EXACT('Casillas del horario'!$D$4:$D$73,$B49)))))</f>
        <v/>
      </c>
      <c r="I49" s="3">
        <f>IF(AND($A49="",$B49=""),"",(IFERROR(VALUE($D49&amp;""),0)-IFERROR(VALUE($H49&amp;""),0)))</f>
        <v/>
      </c>
      <c r="J49" s="3">
        <f>IF(AND($A49="",$B49=""),"",MID(IF((IFERROR(VALUE($I49&amp;""),0)&gt;0),"; "&amp;IF(ISNUMBER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,IF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=0,"0",ROUND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,9-INT(LOG10(ABS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)))&amp;""),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&amp;""),"")&amp;IF((IFERROR(VALUE($I49&amp;""),0)&lt;0),"; "&amp;IF(ISNUMBER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,IF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=0,"0",ROUND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,9-INT(LOG10(ABS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)))&amp;""),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&amp;""),""),3,32767))</f>
        <v/>
      </c>
      <c r="K49" s="3">
        <f>IF(OR((IFERROR(VALUE($I49&amp;""),0)&gt;0),(IFERROR(VALUE($I49&amp;""),0)&lt;0)),3,0)</f>
        <v/>
      </c>
    </row>
    <row r="50">
      <c r="A50" s="4" t="n"/>
      <c r="B50" s="4" t="n"/>
      <c r="C50" s="4" t="n"/>
      <c r="D50" s="4" t="n"/>
      <c r="E50" s="4" t="n"/>
      <c r="F50" s="3">
        <f>IF(AND($A50="",$B50=""),"",IF(ISNA(MATCH(1,INDEX(EXACT('Asignaturas'!$A$4:$A$38,$B50)*1*((('Asignaturas'!$A$4:$A$38&lt;&gt;""))&gt;0),0),0)),"",IF(ISBLANK(INDEX('Asignaturas'!$B$4:$B$38,MATCH(1,INDEX(EXACT('Asignaturas'!$A$4:$A$38,$B50)*1*((('Asignaturas'!$A$4:$A$38&lt;&gt;""))&gt;0),0),0))),"",INDEX('Asignaturas'!$B$4:$B$38,MATCH(1,INDEX(EXACT('Asignaturas'!$A$4:$A$38,$B50)*1*((('Asignaturas'!$A$4:$A$38&lt;&gt;""))&gt;0),0),0)))))</f>
        <v/>
      </c>
      <c r="G50" s="3">
        <f>IF(AND($A50="",$B50=""),"",IF(EXACT($D50,5),"si","no"))</f>
        <v/>
      </c>
      <c r="H50" s="3">
        <f>IF(AND($A50="",$B50=""),"",SUMPRODUCT(1*((EXACT('Casillas del horario'!$A$4:$A$73,$A50)))*((EXACT('Casillas del horario'!$D$4:$D$73,$B50)))))</f>
        <v/>
      </c>
      <c r="I50" s="3">
        <f>IF(AND($A50="",$B50=""),"",(IFERROR(VALUE($D50&amp;""),0)-IFERROR(VALUE($H50&amp;""),0)))</f>
        <v/>
      </c>
      <c r="J50" s="3">
        <f>IF(AND($A50="",$B50=""),"",MID(IF((IFERROR(VALUE($I50&amp;""),0)&gt;0),"; "&amp;IF(ISNUMBER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,IF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=0,"0",ROUND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,9-INT(LOG10(ABS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)))&amp;""),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&amp;""),"")&amp;IF((IFERROR(VALUE($I50&amp;""),0)&lt;0),"; "&amp;IF(ISNUMBER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,IF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=0,"0",ROUND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,9-INT(LOG10(ABS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)))&amp;""),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&amp;""),""),3,32767))</f>
        <v/>
      </c>
      <c r="K50" s="3">
        <f>IF(OR((IFERROR(VALUE($I50&amp;""),0)&gt;0),(IFERROR(VALUE($I50&amp;""),0)&lt;0)),3,0)</f>
        <v/>
      </c>
    </row>
    <row r="51">
      <c r="A51" s="4" t="n"/>
      <c r="B51" s="4" t="n"/>
      <c r="C51" s="4" t="n"/>
      <c r="D51" s="4" t="n"/>
      <c r="E51" s="4" t="n"/>
      <c r="F51" s="3">
        <f>IF(AND($A51="",$B51=""),"",IF(ISNA(MATCH(1,INDEX(EXACT('Asignaturas'!$A$4:$A$38,$B51)*1*((('Asignaturas'!$A$4:$A$38&lt;&gt;""))&gt;0),0),0)),"",IF(ISBLANK(INDEX('Asignaturas'!$B$4:$B$38,MATCH(1,INDEX(EXACT('Asignaturas'!$A$4:$A$38,$B51)*1*((('Asignaturas'!$A$4:$A$38&lt;&gt;""))&gt;0),0),0))),"",INDEX('Asignaturas'!$B$4:$B$38,MATCH(1,INDEX(EXACT('Asignaturas'!$A$4:$A$38,$B51)*1*((('Asignaturas'!$A$4:$A$38&lt;&gt;""))&gt;0),0),0)))))</f>
        <v/>
      </c>
      <c r="G51" s="3">
        <f>IF(AND($A51="",$B51=""),"",IF(EXACT($D51,5),"si","no"))</f>
        <v/>
      </c>
      <c r="H51" s="3">
        <f>IF(AND($A51="",$B51=""),"",SUMPRODUCT(1*((EXACT('Casillas del horario'!$A$4:$A$73,$A51)))*((EXACT('Casillas del horario'!$D$4:$D$73,$B51)))))</f>
        <v/>
      </c>
      <c r="I51" s="3">
        <f>IF(AND($A51="",$B51=""),"",(IFERROR(VALUE($D51&amp;""),0)-IFERROR(VALUE($H51&amp;""),0)))</f>
        <v/>
      </c>
      <c r="J51" s="3">
        <f>IF(AND($A51="",$B51=""),"",MID(IF((IFERROR(VALUE($I51&amp;""),0)&gt;0),"; "&amp;IF(ISNUMBER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,IF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=0,"0",ROUND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,9-INT(LOG10(ABS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)))&amp;""),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&amp;""),"")&amp;IF((IFERROR(VALUE($I51&amp;""),0)&lt;0),"; "&amp;IF(ISNUMBER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,IF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=0,"0",ROUND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,9-INT(LOG10(ABS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)))&amp;""),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&amp;""),""),3,32767))</f>
        <v/>
      </c>
      <c r="K51" s="3">
        <f>IF(OR((IFERROR(VALUE($I51&amp;""),0)&gt;0),(IFERROR(VALUE($I51&amp;""),0)&lt;0)),3,0)</f>
        <v/>
      </c>
    </row>
    <row r="52">
      <c r="A52" s="4" t="n"/>
      <c r="B52" s="4" t="n"/>
      <c r="C52" s="4" t="n"/>
      <c r="D52" s="4" t="n"/>
      <c r="E52" s="4" t="n"/>
      <c r="F52" s="3">
        <f>IF(AND($A52="",$B52=""),"",IF(ISNA(MATCH(1,INDEX(EXACT('Asignaturas'!$A$4:$A$38,$B52)*1*((('Asignaturas'!$A$4:$A$38&lt;&gt;""))&gt;0),0),0)),"",IF(ISBLANK(INDEX('Asignaturas'!$B$4:$B$38,MATCH(1,INDEX(EXACT('Asignaturas'!$A$4:$A$38,$B52)*1*((('Asignaturas'!$A$4:$A$38&lt;&gt;""))&gt;0),0),0))),"",INDEX('Asignaturas'!$B$4:$B$38,MATCH(1,INDEX(EXACT('Asignaturas'!$A$4:$A$38,$B52)*1*((('Asignaturas'!$A$4:$A$38&lt;&gt;""))&gt;0),0),0)))))</f>
        <v/>
      </c>
      <c r="G52" s="3">
        <f>IF(AND($A52="",$B52=""),"",IF(EXACT($D52,5),"si","no"))</f>
        <v/>
      </c>
      <c r="H52" s="3">
        <f>IF(AND($A52="",$B52=""),"",SUMPRODUCT(1*((EXACT('Casillas del horario'!$A$4:$A$73,$A52)))*((EXACT('Casillas del horario'!$D$4:$D$73,$B52)))))</f>
        <v/>
      </c>
      <c r="I52" s="3">
        <f>IF(AND($A52="",$B52=""),"",(IFERROR(VALUE($D52&amp;""),0)-IFERROR(VALUE($H52&amp;""),0)))</f>
        <v/>
      </c>
      <c r="J52" s="3">
        <f>IF(AND($A52="",$B52=""),"",MID(IF((IFERROR(VALUE($I52&amp;""),0)&gt;0),"; "&amp;IF(ISNUMBER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,IF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=0,"0",ROUND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,9-INT(LOG10(ABS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)))&amp;""),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&amp;""),"")&amp;IF((IFERROR(VALUE($I52&amp;""),0)&lt;0),"; "&amp;IF(ISNUMBER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,IF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=0,"0",ROUND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,9-INT(LOG10(ABS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)))&amp;""),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&amp;""),""),3,32767))</f>
        <v/>
      </c>
      <c r="K52" s="3">
        <f>IF(OR((IFERROR(VALUE($I52&amp;""),0)&gt;0),(IFERROR(VALUE($I52&amp;""),0)&lt;0)),3,0)</f>
        <v/>
      </c>
    </row>
    <row r="53">
      <c r="A53" s="4" t="n"/>
      <c r="B53" s="4" t="n"/>
      <c r="C53" s="4" t="n"/>
      <c r="D53" s="4" t="n"/>
      <c r="E53" s="4" t="n"/>
      <c r="F53" s="3">
        <f>IF(AND($A53="",$B53=""),"",IF(ISNA(MATCH(1,INDEX(EXACT('Asignaturas'!$A$4:$A$38,$B53)*1*((('Asignaturas'!$A$4:$A$38&lt;&gt;""))&gt;0),0),0)),"",IF(ISBLANK(INDEX('Asignaturas'!$B$4:$B$38,MATCH(1,INDEX(EXACT('Asignaturas'!$A$4:$A$38,$B53)*1*((('Asignaturas'!$A$4:$A$38&lt;&gt;""))&gt;0),0),0))),"",INDEX('Asignaturas'!$B$4:$B$38,MATCH(1,INDEX(EXACT('Asignaturas'!$A$4:$A$38,$B53)*1*((('Asignaturas'!$A$4:$A$38&lt;&gt;""))&gt;0),0),0)))))</f>
        <v/>
      </c>
      <c r="G53" s="3">
        <f>IF(AND($A53="",$B53=""),"",IF(EXACT($D53,5),"si","no"))</f>
        <v/>
      </c>
      <c r="H53" s="3">
        <f>IF(AND($A53="",$B53=""),"",SUMPRODUCT(1*((EXACT('Casillas del horario'!$A$4:$A$73,$A53)))*((EXACT('Casillas del horario'!$D$4:$D$73,$B53)))))</f>
        <v/>
      </c>
      <c r="I53" s="3">
        <f>IF(AND($A53="",$B53=""),"",(IFERROR(VALUE($D53&amp;""),0)-IFERROR(VALUE($H53&amp;""),0)))</f>
        <v/>
      </c>
      <c r="J53" s="3">
        <f>IF(AND($A53="",$B53=""),"",MID(IF((IFERROR(VALUE($I53&amp;""),0)&gt;0),"; "&amp;IF(ISNUMBER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,IF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=0,"0",ROUND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,9-INT(LOG10(ABS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)))&amp;""),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&amp;""),"")&amp;IF((IFERROR(VALUE($I53&amp;""),0)&lt;0),"; "&amp;IF(ISNUMBER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,IF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=0,"0",ROUND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,9-INT(LOG10(ABS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)))&amp;""),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&amp;""),""),3,32767))</f>
        <v/>
      </c>
      <c r="K53" s="3">
        <f>IF(OR((IFERROR(VALUE($I53&amp;""),0)&gt;0),(IFERROR(VALUE($I53&amp;""),0)&lt;0)),3,0)</f>
        <v/>
      </c>
    </row>
    <row r="55">
      <c r="A55" s="6" t="inlineStr">
        <is>
          <t>Leyenda</t>
        </is>
      </c>
    </row>
    <row r="56">
      <c r="A56" s="7" t="n"/>
      <c r="B56" t="inlineStr">
        <is>
          <t>El grupo recibe la asignatura menos veces que su frecuencia</t>
        </is>
      </c>
    </row>
    <row r="57">
      <c r="A57" s="8" t="n"/>
      <c r="B57" t="inlineStr">
        <is>
          <t>El grupo recibe la asignatura mas veces que su frecuencia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H4:H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conditionalFormatting sqref="I4:I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dataValidations count="2">
    <dataValidation sqref="C4:C53" showDropDown="0" showInputMessage="0" showErrorMessage="1" allowBlank="1" errorTitle="Valor fuera del dominio" error="Ese valor no esta en la lista." type="list" errorStyle="information">
      <formula1>'Listas'!$C$4:$C$33</formula1>
    </dataValidation>
    <dataValidation sqref="E4:E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4" t="inlineStr">
        <is>
          <t>no</t>
        </is>
      </c>
      <c r="C4" s="4" t="inlineStr">
        <is>
          <t>no</t>
        </is>
      </c>
    </row>
    <row r="5">
      <c r="A5" s="3" t="inlineStr">
        <is>
          <t>Profesor de Lit-L en 10-3</t>
        </is>
      </c>
      <c r="B5" s="4" t="inlineStr">
        <is>
          <t>no</t>
        </is>
      </c>
      <c r="C5" s="4" t="inlineStr">
        <is>
          <t>no</t>
        </is>
      </c>
    </row>
    <row r="6">
      <c r="A6" s="3" t="inlineStr">
        <is>
          <t>Profesor de F en 10-3</t>
        </is>
      </c>
      <c r="B6" s="4" t="inlineStr">
        <is>
          <t>no</t>
        </is>
      </c>
      <c r="C6" s="4" t="inlineStr">
        <is>
          <t>no</t>
        </is>
      </c>
    </row>
    <row r="7">
      <c r="A7" s="3" t="inlineStr">
        <is>
          <t>Profesor de I en 10-3</t>
        </is>
      </c>
      <c r="B7" s="4" t="inlineStr">
        <is>
          <t>no</t>
        </is>
      </c>
      <c r="C7" s="4" t="inlineStr">
        <is>
          <t>no</t>
        </is>
      </c>
    </row>
    <row r="8">
      <c r="A8" s="3" t="inlineStr">
        <is>
          <t>Profesor de H en 10-3</t>
        </is>
      </c>
      <c r="B8" s="4" t="inlineStr">
        <is>
          <t>no</t>
        </is>
      </c>
      <c r="C8" s="4" t="inlineStr">
        <is>
          <t>no</t>
        </is>
      </c>
    </row>
    <row r="9">
      <c r="A9" s="3" t="inlineStr">
        <is>
          <t>Profesor de EF en 10-3</t>
        </is>
      </c>
      <c r="B9" s="4" t="inlineStr">
        <is>
          <t>no</t>
        </is>
      </c>
      <c r="C9" s="4" t="inlineStr">
        <is>
          <t>no</t>
        </is>
      </c>
    </row>
    <row r="10">
      <c r="A10" s="3" t="inlineStr">
        <is>
          <t>Profesor de B en 10-3</t>
        </is>
      </c>
      <c r="B10" s="4" t="inlineStr">
        <is>
          <t>no</t>
        </is>
      </c>
      <c r="C10" s="4" t="inlineStr">
        <is>
          <t>no</t>
        </is>
      </c>
    </row>
    <row r="11">
      <c r="A11" s="3" t="inlineStr">
        <is>
          <t>Profesor de G en 10-3</t>
        </is>
      </c>
      <c r="B11" s="4" t="inlineStr">
        <is>
          <t>no</t>
        </is>
      </c>
      <c r="C11" s="4" t="inlineStr">
        <is>
          <t>no</t>
        </is>
      </c>
    </row>
    <row r="12">
      <c r="A12" s="3" t="inlineStr">
        <is>
          <t>Profesor de INF en 10-3</t>
        </is>
      </c>
      <c r="B12" s="4" t="inlineStr">
        <is>
          <t>no</t>
        </is>
      </c>
      <c r="C12" s="4" t="inlineStr">
        <is>
          <t>no</t>
        </is>
      </c>
    </row>
    <row r="13">
      <c r="A13" s="3" t="inlineStr">
        <is>
          <t>Profesor de Q en 10-3</t>
        </is>
      </c>
      <c r="B13" s="4" t="inlineStr">
        <is>
          <t>no</t>
        </is>
      </c>
      <c r="C13" s="4" t="inlineStr">
        <is>
          <t>no</t>
        </is>
      </c>
    </row>
    <row r="14">
      <c r="A14" s="3" t="inlineStr">
        <is>
          <t>Profesor de CP en 10-3</t>
        </is>
      </c>
      <c r="B14" s="4" t="inlineStr">
        <is>
          <t>no</t>
        </is>
      </c>
      <c r="C14" s="4" t="inlineStr">
        <is>
          <t>no</t>
        </is>
      </c>
    </row>
    <row r="15">
      <c r="A15" s="3" t="inlineStr">
        <is>
          <t>Profesor de DC en 10-3</t>
        </is>
      </c>
      <c r="B15" s="4" t="inlineStr">
        <is>
          <t>no</t>
        </is>
      </c>
      <c r="C15" s="4" t="inlineStr">
        <is>
          <t>no</t>
        </is>
      </c>
    </row>
    <row r="16">
      <c r="A16" s="3" t="inlineStr">
        <is>
          <t>Profesor de CA en 10-3</t>
        </is>
      </c>
      <c r="B16" s="4" t="inlineStr">
        <is>
          <t>no</t>
        </is>
      </c>
      <c r="C16" s="4" t="inlineStr">
        <is>
          <t>no</t>
        </is>
      </c>
    </row>
    <row r="17">
      <c r="A17" s="3" t="inlineStr">
        <is>
          <t>Profesor de RD en 10-3</t>
        </is>
      </c>
      <c r="B17" s="4" t="inlineStr">
        <is>
          <t>no</t>
        </is>
      </c>
      <c r="C17" s="4" t="inlineStr">
        <is>
          <t>no</t>
        </is>
      </c>
    </row>
    <row r="18">
      <c r="A18" s="3" t="inlineStr">
        <is>
          <t>Profesor de AL/AC en 10-3</t>
        </is>
      </c>
      <c r="B18" s="4" t="inlineStr">
        <is>
          <t>no</t>
        </is>
      </c>
      <c r="C18" s="4" t="inlineStr">
        <is>
          <t>no</t>
        </is>
      </c>
    </row>
    <row r="19">
      <c r="A19" s="3" t="inlineStr">
        <is>
          <t>Profesor de M en 10-4</t>
        </is>
      </c>
      <c r="B19" s="4" t="inlineStr">
        <is>
          <t>no</t>
        </is>
      </c>
      <c r="C19" s="4" t="inlineStr">
        <is>
          <t>no</t>
        </is>
      </c>
    </row>
    <row r="20">
      <c r="A20" s="3" t="inlineStr">
        <is>
          <t>Profesor de Lit-L en 10-4</t>
        </is>
      </c>
      <c r="B20" s="4" t="inlineStr">
        <is>
          <t>no</t>
        </is>
      </c>
      <c r="C20" s="4" t="inlineStr">
        <is>
          <t>no</t>
        </is>
      </c>
    </row>
    <row r="21">
      <c r="A21" s="3" t="inlineStr">
        <is>
          <t>Profesor de F en 10-4</t>
        </is>
      </c>
      <c r="B21" s="4" t="inlineStr">
        <is>
          <t>no</t>
        </is>
      </c>
      <c r="C21" s="4" t="inlineStr">
        <is>
          <t>no</t>
        </is>
      </c>
    </row>
    <row r="22">
      <c r="A22" s="3" t="inlineStr">
        <is>
          <t>Profesor de I en 10-4</t>
        </is>
      </c>
      <c r="B22" s="4" t="inlineStr">
        <is>
          <t>no</t>
        </is>
      </c>
      <c r="C22" s="4" t="inlineStr">
        <is>
          <t>no</t>
        </is>
      </c>
    </row>
    <row r="23">
      <c r="A23" s="3" t="inlineStr">
        <is>
          <t>Profesor de H en 10-4</t>
        </is>
      </c>
      <c r="B23" s="4" t="inlineStr">
        <is>
          <t>no</t>
        </is>
      </c>
      <c r="C23" s="4" t="inlineStr">
        <is>
          <t>no</t>
        </is>
      </c>
    </row>
    <row r="24">
      <c r="A24" s="3" t="inlineStr">
        <is>
          <t>Profesor de EF en 10-4</t>
        </is>
      </c>
      <c r="B24" s="4" t="inlineStr">
        <is>
          <t>no</t>
        </is>
      </c>
      <c r="C24" s="4" t="inlineStr">
        <is>
          <t>no</t>
        </is>
      </c>
    </row>
    <row r="25">
      <c r="A25" s="3" t="inlineStr">
        <is>
          <t>Profesor de B en 10-4</t>
        </is>
      </c>
      <c r="B25" s="4" t="inlineStr">
        <is>
          <t>no</t>
        </is>
      </c>
      <c r="C25" s="4" t="inlineStr">
        <is>
          <t>no</t>
        </is>
      </c>
    </row>
    <row r="26">
      <c r="A26" s="3" t="inlineStr">
        <is>
          <t>Profesor de G en 10-4</t>
        </is>
      </c>
      <c r="B26" s="4" t="inlineStr">
        <is>
          <t>no</t>
        </is>
      </c>
      <c r="C26" s="4" t="inlineStr">
        <is>
          <t>no</t>
        </is>
      </c>
    </row>
    <row r="27">
      <c r="A27" s="3" t="inlineStr">
        <is>
          <t>Profesor de INF en 10-4</t>
        </is>
      </c>
      <c r="B27" s="4" t="inlineStr">
        <is>
          <t>no</t>
        </is>
      </c>
      <c r="C27" s="4" t="inlineStr">
        <is>
          <t>no</t>
        </is>
      </c>
    </row>
    <row r="28">
      <c r="A28" s="3" t="inlineStr">
        <is>
          <t>Profesor de Q en 10-4</t>
        </is>
      </c>
      <c r="B28" s="4" t="inlineStr">
        <is>
          <t>no</t>
        </is>
      </c>
      <c r="C28" s="4" t="inlineStr">
        <is>
          <t>no</t>
        </is>
      </c>
    </row>
    <row r="29">
      <c r="A29" s="3" t="inlineStr">
        <is>
          <t>Profesor de CP en 10-4</t>
        </is>
      </c>
      <c r="B29" s="4" t="inlineStr">
        <is>
          <t>no</t>
        </is>
      </c>
      <c r="C29" s="4" t="inlineStr">
        <is>
          <t>no</t>
        </is>
      </c>
    </row>
    <row r="30">
      <c r="A30" s="3" t="inlineStr">
        <is>
          <t>Profesor de DC en 10-4</t>
        </is>
      </c>
      <c r="B30" s="4" t="inlineStr">
        <is>
          <t>no</t>
        </is>
      </c>
      <c r="C30" s="4" t="inlineStr">
        <is>
          <t>no</t>
        </is>
      </c>
    </row>
    <row r="31">
      <c r="A31" s="3" t="inlineStr">
        <is>
          <t>Profesor de CA en 10-4</t>
        </is>
      </c>
      <c r="B31" s="4" t="inlineStr">
        <is>
          <t>no</t>
        </is>
      </c>
      <c r="C31" s="4" t="inlineStr">
        <is>
          <t>no</t>
        </is>
      </c>
    </row>
    <row r="32">
      <c r="A32" s="3" t="inlineStr">
        <is>
          <t>Profesor de RD en 10-4</t>
        </is>
      </c>
      <c r="B32" s="4" t="inlineStr">
        <is>
          <t>no</t>
        </is>
      </c>
      <c r="C32" s="4" t="inlineStr">
        <is>
          <t>no</t>
        </is>
      </c>
    </row>
    <row r="33">
      <c r="A33" s="3" t="inlineStr">
        <is>
          <t>Profesor de AL/AC en 10-4</t>
        </is>
      </c>
      <c r="B33" s="4" t="inlineStr">
        <is>
          <t>no</t>
        </is>
      </c>
      <c r="C33" s="4" t="inlineStr">
        <is>
          <t>no</t>
        </is>
      </c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2">
    <dataValidation sqref="B4:B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C4:C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4" t="n"/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4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IF(AND($A4="",$B4=""),"",SUMPRODUCT(1*((EXACT('Casillas del horario'!$F$4:$F$73,$A4)))*((EXACT('Casillas del horario'!$B$4:$B$73,$B4)))*((1-(('Casillas del horario'!$D$4:$D$73=""))))))</f>
        <v/>
      </c>
      <c r="D4" s="3">
        <f>IF(AND($A4="",$B4=""),"",MID(IF((IFERROR(VALUE($C4&amp;""),0)&gt;IFERROR(VALUE('Parametros'!$B$4&amp;""),0)),";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dia")&amp;""),""),3,32767))</f>
        <v/>
      </c>
      <c r="E4" s="3">
        <f>IF(OR((IFERROR(VALUE($C4&amp;""),0)&gt;IFERROR(VALUE('Parametros'!$B$4&amp;""),0))),2,0)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IF(AND($A5="",$B5=""),"",SUMPRODUCT(1*((EXACT('Casillas del horario'!$F$4:$F$73,$A5)))*((EXACT('Casillas del horario'!$B$4:$B$73,$B5)))*((1-(('Casillas del horario'!$D$4:$D$73=""))))))</f>
        <v/>
      </c>
      <c r="D5" s="3">
        <f>IF(AND($A5="",$B5=""),"",MID(IF((IFERROR(VALUE($C5&amp;""),0)&gt;IFERROR(VALUE('Parametros'!$B$4&amp;""),0)),";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dia")&amp;""),""),3,32767))</f>
        <v/>
      </c>
      <c r="E5" s="3">
        <f>IF(OR((IFERROR(VALUE($C5&amp;""),0)&gt;IFERROR(VALUE('Parametros'!$B$4&amp;""),0))),2,0)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IF(AND($A6="",$B6=""),"",SUMPRODUCT(1*((EXACT('Casillas del horario'!$F$4:$F$73,$A6)))*((EXACT('Casillas del horario'!$B$4:$B$73,$B6)))*((1-(('Casillas del horario'!$D$4:$D$73=""))))))</f>
        <v/>
      </c>
      <c r="D6" s="3">
        <f>IF(AND($A6="",$B6=""),"",MID(IF((IFERROR(VALUE($C6&amp;""),0)&gt;IFERROR(VALUE('Parametros'!$B$4&amp;""),0)),";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dia")&amp;""),""),3,32767))</f>
        <v/>
      </c>
      <c r="E6" s="3">
        <f>IF(OR((IFERROR(VALUE($C6&amp;""),0)&gt;IFERROR(VALUE('Parametros'!$B$4&amp;""),0))),2,0)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IF(AND($A7="",$B7=""),"",SUMPRODUCT(1*((EXACT('Casillas del horario'!$F$4:$F$73,$A7)))*((EXACT('Casillas del horario'!$B$4:$B$73,$B7)))*((1-(('Casillas del horario'!$D$4:$D$73=""))))))</f>
        <v/>
      </c>
      <c r="D7" s="3">
        <f>IF(AND($A7="",$B7=""),"",MID(IF((IFERROR(VALUE($C7&amp;""),0)&gt;IFERROR(VALUE('Parametros'!$B$4&amp;""),0)),";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dia")&amp;""),""),3,32767))</f>
        <v/>
      </c>
      <c r="E7" s="3">
        <f>IF(OR((IFERROR(VALUE($C7&amp;""),0)&gt;IFERROR(VALUE('Parametros'!$B$4&amp;""),0))),2,0)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IF(AND($A8="",$B8=""),"",SUMPRODUCT(1*((EXACT('Casillas del horario'!$F$4:$F$73,$A8)))*((EXACT('Casillas del horario'!$B$4:$B$73,$B8)))*((1-(('Casillas del horario'!$D$4:$D$73=""))))))</f>
        <v/>
      </c>
      <c r="D8" s="3">
        <f>IF(AND($A8="",$B8=""),"",MID(IF((IFERROR(VALUE($C8&amp;""),0)&gt;IFERROR(VALUE('Parametros'!$B$4&amp;""),0)),";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dia")&amp;""),""),3,32767))</f>
        <v/>
      </c>
      <c r="E8" s="3">
        <f>IF(OR((IFERROR(VALUE($C8&amp;""),0)&gt;IFERROR(VALUE('Parametros'!$B$4&amp;""),0))),2,0)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IF(AND($A9="",$B9=""),"",SUMPRODUCT(1*((EXACT('Casillas del horario'!$F$4:$F$73,$A9)))*((EXACT('Casillas del horario'!$B$4:$B$73,$B9)))*((1-(('Casillas del horario'!$D$4:$D$73=""))))))</f>
        <v/>
      </c>
      <c r="D9" s="3">
        <f>IF(AND($A9="",$B9=""),"",MID(IF((IFERROR(VALUE($C9&amp;""),0)&gt;IFERROR(VALUE('Parametros'!$B$4&amp;""),0)),";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dia")&amp;""),""),3,32767))</f>
        <v/>
      </c>
      <c r="E9" s="3">
        <f>IF(OR((IFERROR(VALUE($C9&amp;""),0)&gt;IFERROR(VALUE('Parametros'!$B$4&amp;""),0))),2,0)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IF(AND($A10="",$B10=""),"",SUMPRODUCT(1*((EXACT('Casillas del horario'!$F$4:$F$73,$A10)))*((EXACT('Casillas del horario'!$B$4:$B$73,$B10)))*((1-(('Casillas del horario'!$D$4:$D$73=""))))))</f>
        <v/>
      </c>
      <c r="D10" s="3">
        <f>IF(AND($A10="",$B10=""),"",MID(IF((IFERROR(VALUE($C10&amp;""),0)&gt;IFERROR(VALUE('Parametros'!$B$4&amp;""),0)),";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dia")&amp;""),""),3,32767))</f>
        <v/>
      </c>
      <c r="E10" s="3">
        <f>IF(OR((IFERROR(VALUE($C10&amp;""),0)&gt;IFERROR(VALUE('Parametros'!$B$4&amp;""),0))),2,0)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IF(AND($A11="",$B11=""),"",SUMPRODUCT(1*((EXACT('Casillas del horario'!$F$4:$F$73,$A11)))*((EXACT('Casillas del horario'!$B$4:$B$73,$B11)))*((1-(('Casillas del horario'!$D$4:$D$73=""))))))</f>
        <v/>
      </c>
      <c r="D11" s="3">
        <f>IF(AND($A11="",$B11=""),"",MID(IF((IFERROR(VALUE($C11&amp;""),0)&gt;IFERROR(VALUE('Parametros'!$B$4&amp;""),0)),";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dia")&amp;""),""),3,32767))</f>
        <v/>
      </c>
      <c r="E11" s="3">
        <f>IF(OR((IFERROR(VALUE($C11&amp;""),0)&gt;IFERROR(VALUE('Parametros'!$B$4&amp;""),0))),2,0)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IF(AND($A12="",$B12=""),"",SUMPRODUCT(1*((EXACT('Casillas del horario'!$F$4:$F$73,$A12)))*((EXACT('Casillas del horario'!$B$4:$B$73,$B12)))*((1-(('Casillas del horario'!$D$4:$D$73=""))))))</f>
        <v/>
      </c>
      <c r="D12" s="3">
        <f>IF(AND($A12="",$B12=""),"",MID(IF((IFERROR(VALUE($C12&amp;""),0)&gt;IFERROR(VALUE('Parametros'!$B$4&amp;""),0)),";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dia")&amp;""),""),3,32767))</f>
        <v/>
      </c>
      <c r="E12" s="3">
        <f>IF(OR((IFERROR(VALUE($C12&amp;""),0)&gt;IFERROR(VALUE('Parametros'!$B$4&amp;""),0))),2,0)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IF(AND($A13="",$B13=""),"",SUMPRODUCT(1*((EXACT('Casillas del horario'!$F$4:$F$73,$A13)))*((EXACT('Casillas del horario'!$B$4:$B$73,$B13)))*((1-(('Casillas del horario'!$D$4:$D$73=""))))))</f>
        <v/>
      </c>
      <c r="D13" s="3">
        <f>IF(AND($A13="",$B13=""),"",MID(IF((IFERROR(VALUE($C13&amp;""),0)&gt;IFERROR(VALUE('Parametros'!$B$4&amp;""),0)),";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dia")&amp;""),""),3,32767))</f>
        <v/>
      </c>
      <c r="E13" s="3">
        <f>IF(OR((IFERROR(VALUE($C13&amp;""),0)&gt;IFERROR(VALUE('Parametros'!$B$4&amp;""),0))),2,0)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IF(AND($A14="",$B14=""),"",SUMPRODUCT(1*((EXACT('Casillas del horario'!$F$4:$F$73,$A14)))*((EXACT('Casillas del horario'!$B$4:$B$73,$B14)))*((1-(('Casillas del horario'!$D$4:$D$73=""))))))</f>
        <v/>
      </c>
      <c r="D14" s="3">
        <f>IF(AND($A14="",$B14=""),"",MID(IF((IFERROR(VALUE($C14&amp;""),0)&gt;IFERROR(VALUE('Parametros'!$B$4&amp;""),0)),";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dia")&amp;""),""),3,32767))</f>
        <v/>
      </c>
      <c r="E14" s="3">
        <f>IF(OR((IFERROR(VALUE($C14&amp;""),0)&gt;IFERROR(VALUE('Parametros'!$B$4&amp;""),0))),2,0)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IF(AND($A15="",$B15=""),"",SUMPRODUCT(1*((EXACT('Casillas del horario'!$F$4:$F$73,$A15)))*((EXACT('Casillas del horario'!$B$4:$B$73,$B15)))*((1-(('Casillas del horario'!$D$4:$D$73=""))))))</f>
        <v/>
      </c>
      <c r="D15" s="3">
        <f>IF(AND($A15="",$B15=""),"",MID(IF((IFERROR(VALUE($C15&amp;""),0)&gt;IFERROR(VALUE('Parametros'!$B$4&amp;""),0)),";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dia")&amp;""),""),3,32767))</f>
        <v/>
      </c>
      <c r="E15" s="3">
        <f>IF(OR((IFERROR(VALUE($C15&amp;""),0)&gt;IFERROR(VALUE('Parametros'!$B$4&amp;""),0))),2,0)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IF(AND($A16="",$B16=""),"",SUMPRODUCT(1*((EXACT('Casillas del horario'!$F$4:$F$73,$A16)))*((EXACT('Casillas del horario'!$B$4:$B$73,$B16)))*((1-(('Casillas del horario'!$D$4:$D$73=""))))))</f>
        <v/>
      </c>
      <c r="D16" s="3">
        <f>IF(AND($A16="",$B16=""),"",MID(IF((IFERROR(VALUE($C16&amp;""),0)&gt;IFERROR(VALUE('Parametros'!$B$4&amp;""),0)),";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dia")&amp;""),""),3,32767))</f>
        <v/>
      </c>
      <c r="E16" s="3">
        <f>IF(OR((IFERROR(VALUE($C16&amp;""),0)&gt;IFERROR(VALUE('Parametros'!$B$4&amp;""),0))),2,0)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IF(AND($A17="",$B17=""),"",SUMPRODUCT(1*((EXACT('Casillas del horario'!$F$4:$F$73,$A17)))*((EXACT('Casillas del horario'!$B$4:$B$73,$B17)))*((1-(('Casillas del horario'!$D$4:$D$73=""))))))</f>
        <v/>
      </c>
      <c r="D17" s="3">
        <f>IF(AND($A17="",$B17=""),"",MID(IF((IFERROR(VALUE($C17&amp;""),0)&gt;IFERROR(VALUE('Parametros'!$B$4&amp;""),0)),";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dia")&amp;""),""),3,32767))</f>
        <v/>
      </c>
      <c r="E17" s="3">
        <f>IF(OR((IFERROR(VALUE($C17&amp;""),0)&gt;IFERROR(VALUE('Parametros'!$B$4&amp;""),0))),2,0)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IF(AND($A18="",$B18=""),"",SUMPRODUCT(1*((EXACT('Casillas del horario'!$F$4:$F$73,$A18)))*((EXACT('Casillas del horario'!$B$4:$B$73,$B18)))*((1-(('Casillas del horario'!$D$4:$D$73=""))))))</f>
        <v/>
      </c>
      <c r="D18" s="3">
        <f>IF(AND($A18="",$B18=""),"",MID(IF((IFERROR(VALUE($C18&amp;""),0)&gt;IFERROR(VALUE('Parametros'!$B$4&amp;""),0)),";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dia")&amp;""),""),3,32767))</f>
        <v/>
      </c>
      <c r="E18" s="3">
        <f>IF(OR((IFERROR(VALUE($C18&amp;""),0)&gt;IFERROR(VALUE('Parametros'!$B$4&amp;""),0))),2,0)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IF(AND($A19="",$B19=""),"",SUMPRODUCT(1*((EXACT('Casillas del horario'!$F$4:$F$73,$A19)))*((EXACT('Casillas del horario'!$B$4:$B$73,$B19)))*((1-(('Casillas del horario'!$D$4:$D$73=""))))))</f>
        <v/>
      </c>
      <c r="D19" s="3">
        <f>IF(AND($A19="",$B19=""),"",MID(IF((IFERROR(VALUE($C19&amp;""),0)&gt;IFERROR(VALUE('Parametros'!$B$4&amp;""),0)),";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dia")&amp;""),""),3,32767))</f>
        <v/>
      </c>
      <c r="E19" s="3">
        <f>IF(OR((IFERROR(VALUE($C19&amp;""),0)&gt;IFERROR(VALUE('Parametros'!$B$4&amp;""),0))),2,0)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IF(AND($A20="",$B20=""),"",SUMPRODUCT(1*((EXACT('Casillas del horario'!$F$4:$F$73,$A20)))*((EXACT('Casillas del horario'!$B$4:$B$73,$B20)))*((1-(('Casillas del horario'!$D$4:$D$73=""))))))</f>
        <v/>
      </c>
      <c r="D20" s="3">
        <f>IF(AND($A20="",$B20=""),"",MID(IF((IFERROR(VALUE($C20&amp;""),0)&gt;IFERROR(VALUE('Parametros'!$B$4&amp;""),0)),";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dia")&amp;""),""),3,32767))</f>
        <v/>
      </c>
      <c r="E20" s="3">
        <f>IF(OR((IFERROR(VALUE($C20&amp;""),0)&gt;IFERROR(VALUE('Parametros'!$B$4&amp;""),0))),2,0)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IF(AND($A21="",$B21=""),"",SUMPRODUCT(1*((EXACT('Casillas del horario'!$F$4:$F$73,$A21)))*((EXACT('Casillas del horario'!$B$4:$B$73,$B21)))*((1-(('Casillas del horario'!$D$4:$D$73=""))))))</f>
        <v/>
      </c>
      <c r="D21" s="3">
        <f>IF(AND($A21="",$B21=""),"",MID(IF((IFERROR(VALUE($C21&amp;""),0)&gt;IFERROR(VALUE('Parametros'!$B$4&amp;""),0)),";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dia")&amp;""),""),3,32767))</f>
        <v/>
      </c>
      <c r="E21" s="3">
        <f>IF(OR((IFERROR(VALUE($C21&amp;""),0)&gt;IFERROR(VALUE('Parametros'!$B$4&amp;""),0))),2,0)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IF(AND($A22="",$B22=""),"",SUMPRODUCT(1*((EXACT('Casillas del horario'!$F$4:$F$73,$A22)))*((EXACT('Casillas del horario'!$B$4:$B$73,$B22)))*((1-(('Casillas del horario'!$D$4:$D$73=""))))))</f>
        <v/>
      </c>
      <c r="D22" s="3">
        <f>IF(AND($A22="",$B22=""),"",MID(IF((IFERROR(VALUE($C22&amp;""),0)&gt;IFERROR(VALUE('Parametros'!$B$4&amp;""),0)),";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dia")&amp;""),""),3,32767))</f>
        <v/>
      </c>
      <c r="E22" s="3">
        <f>IF(OR((IFERROR(VALUE($C22&amp;""),0)&gt;IFERROR(VALUE('Parametros'!$B$4&amp;""),0))),2,0)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IF(AND($A23="",$B23=""),"",SUMPRODUCT(1*((EXACT('Casillas del horario'!$F$4:$F$73,$A23)))*((EXACT('Casillas del horario'!$B$4:$B$73,$B23)))*((1-(('Casillas del horario'!$D$4:$D$73=""))))))</f>
        <v/>
      </c>
      <c r="D23" s="3">
        <f>IF(AND($A23="",$B23=""),"",MID(IF((IFERROR(VALUE($C23&amp;""),0)&gt;IFERROR(VALUE('Parametros'!$B$4&amp;""),0)),";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dia")&amp;""),""),3,32767))</f>
        <v/>
      </c>
      <c r="E23" s="3">
        <f>IF(OR((IFERROR(VALUE($C23&amp;""),0)&gt;IFERROR(VALUE('Parametros'!$B$4&amp;""),0))),2,0)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IF(AND($A24="",$B24=""),"",SUMPRODUCT(1*((EXACT('Casillas del horario'!$F$4:$F$73,$A24)))*((EXACT('Casillas del horario'!$B$4:$B$73,$B24)))*((1-(('Casillas del horario'!$D$4:$D$73=""))))))</f>
        <v/>
      </c>
      <c r="D24" s="3">
        <f>IF(AND($A24="",$B24=""),"",MID(IF((IFERROR(VALUE($C24&amp;""),0)&gt;IFERROR(VALUE('Parametros'!$B$4&amp;""),0)),";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dia")&amp;""),""),3,32767))</f>
        <v/>
      </c>
      <c r="E24" s="3">
        <f>IF(OR((IFERROR(VALUE($C24&amp;""),0)&gt;IFERROR(VALUE('Parametros'!$B$4&amp;""),0))),2,0)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IF(AND($A25="",$B25=""),"",SUMPRODUCT(1*((EXACT('Casillas del horario'!$F$4:$F$73,$A25)))*((EXACT('Casillas del horario'!$B$4:$B$73,$B25)))*((1-(('Casillas del horario'!$D$4:$D$73=""))))))</f>
        <v/>
      </c>
      <c r="D25" s="3">
        <f>IF(AND($A25="",$B25=""),"",MID(IF((IFERROR(VALUE($C25&amp;""),0)&gt;IFERROR(VALUE('Parametros'!$B$4&amp;""),0)),";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dia")&amp;""),""),3,32767))</f>
        <v/>
      </c>
      <c r="E25" s="3">
        <f>IF(OR((IFERROR(VALUE($C25&amp;""),0)&gt;IFERROR(VALUE('Parametros'!$B$4&amp;""),0))),2,0)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IF(AND($A26="",$B26=""),"",SUMPRODUCT(1*((EXACT('Casillas del horario'!$F$4:$F$73,$A26)))*((EXACT('Casillas del horario'!$B$4:$B$73,$B26)))*((1-(('Casillas del horario'!$D$4:$D$73=""))))))</f>
        <v/>
      </c>
      <c r="D26" s="3">
        <f>IF(AND($A26="",$B26=""),"",MID(IF((IFERROR(VALUE($C26&amp;""),0)&gt;IFERROR(VALUE('Parametros'!$B$4&amp;""),0)),";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dia")&amp;""),""),3,32767))</f>
        <v/>
      </c>
      <c r="E26" s="3">
        <f>IF(OR((IFERROR(VALUE($C26&amp;""),0)&gt;IFERROR(VALUE('Parametros'!$B$4&amp;""),0))),2,0)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IF(AND($A27="",$B27=""),"",SUMPRODUCT(1*((EXACT('Casillas del horario'!$F$4:$F$73,$A27)))*((EXACT('Casillas del horario'!$B$4:$B$73,$B27)))*((1-(('Casillas del horario'!$D$4:$D$73=""))))))</f>
        <v/>
      </c>
      <c r="D27" s="3">
        <f>IF(AND($A27="",$B27=""),"",MID(IF((IFERROR(VALUE($C27&amp;""),0)&gt;IFERROR(VALUE('Parametros'!$B$4&amp;""),0)),";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dia")&amp;""),""),3,32767))</f>
        <v/>
      </c>
      <c r="E27" s="3">
        <f>IF(OR((IFERROR(VALUE($C27&amp;""),0)&gt;IFERROR(VALUE('Parametros'!$B$4&amp;""),0))),2,0)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IF(AND($A28="",$B28=""),"",SUMPRODUCT(1*((EXACT('Casillas del horario'!$F$4:$F$73,$A28)))*((EXACT('Casillas del horario'!$B$4:$B$73,$B28)))*((1-(('Casillas del horario'!$D$4:$D$73=""))))))</f>
        <v/>
      </c>
      <c r="D28" s="3">
        <f>IF(AND($A28="",$B28=""),"",MID(IF((IFERROR(VALUE($C28&amp;""),0)&gt;IFERROR(VALUE('Parametros'!$B$4&amp;""),0)),";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dia")&amp;""),""),3,32767))</f>
        <v/>
      </c>
      <c r="E28" s="3">
        <f>IF(OR((IFERROR(VALUE($C28&amp;""),0)&gt;IFERROR(VALUE('Parametros'!$B$4&amp;""),0))),2,0)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IF(AND($A29="",$B29=""),"",SUMPRODUCT(1*((EXACT('Casillas del horario'!$F$4:$F$73,$A29)))*((EXACT('Casillas del horario'!$B$4:$B$73,$B29)))*((1-(('Casillas del horario'!$D$4:$D$73=""))))))</f>
        <v/>
      </c>
      <c r="D29" s="3">
        <f>IF(AND($A29="",$B29=""),"",MID(IF((IFERROR(VALUE($C29&amp;""),0)&gt;IFERROR(VALUE('Parametros'!$B$4&amp;""),0)),";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dia")&amp;""),""),3,32767))</f>
        <v/>
      </c>
      <c r="E29" s="3">
        <f>IF(OR((IFERROR(VALUE($C29&amp;""),0)&gt;IFERROR(VALUE('Parametros'!$B$4&amp;""),0))),2,0)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IF(AND($A30="",$B30=""),"",SUMPRODUCT(1*((EXACT('Casillas del horario'!$F$4:$F$73,$A30)))*((EXACT('Casillas del horario'!$B$4:$B$73,$B30)))*((1-(('Casillas del horario'!$D$4:$D$73=""))))))</f>
        <v/>
      </c>
      <c r="D30" s="3">
        <f>IF(AND($A30="",$B30=""),"",MID(IF((IFERROR(VALUE($C30&amp;""),0)&gt;IFERROR(VALUE('Parametros'!$B$4&amp;""),0)),";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dia")&amp;""),""),3,32767))</f>
        <v/>
      </c>
      <c r="E30" s="3">
        <f>IF(OR((IFERROR(VALUE($C30&amp;""),0)&gt;IFERROR(VALUE('Parametros'!$B$4&amp;""),0))),2,0)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IF(AND($A31="",$B31=""),"",SUMPRODUCT(1*((EXACT('Casillas del horario'!$F$4:$F$73,$A31)))*((EXACT('Casillas del horario'!$B$4:$B$73,$B31)))*((1-(('Casillas del horario'!$D$4:$D$73=""))))))</f>
        <v/>
      </c>
      <c r="D31" s="3">
        <f>IF(AND($A31="",$B31=""),"",MID(IF((IFERROR(VALUE($C31&amp;""),0)&gt;IFERROR(VALUE('Parametros'!$B$4&amp;""),0)),";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dia")&amp;""),""),3,32767))</f>
        <v/>
      </c>
      <c r="E31" s="3">
        <f>IF(OR((IFERROR(VALUE($C31&amp;""),0)&gt;IFERROR(VALUE('Parametros'!$B$4&amp;""),0))),2,0)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IF(AND($A32="",$B32=""),"",SUMPRODUCT(1*((EXACT('Casillas del horario'!$F$4:$F$73,$A32)))*((EXACT('Casillas del horario'!$B$4:$B$73,$B32)))*((1-(('Casillas del horario'!$D$4:$D$73=""))))))</f>
        <v/>
      </c>
      <c r="D32" s="3">
        <f>IF(AND($A32="",$B32=""),"",MID(IF((IFERROR(VALUE($C32&amp;""),0)&gt;IFERROR(VALUE('Parametros'!$B$4&amp;""),0)),";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dia")&amp;""),""),3,32767))</f>
        <v/>
      </c>
      <c r="E32" s="3">
        <f>IF(OR((IFERROR(VALUE($C32&amp;""),0)&gt;IFERROR(VALUE('Parametros'!$B$4&amp;""),0))),2,0)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IF(AND($A33="",$B33=""),"",SUMPRODUCT(1*((EXACT('Casillas del horario'!$F$4:$F$73,$A33)))*((EXACT('Casillas del horario'!$B$4:$B$73,$B33)))*((1-(('Casillas del horario'!$D$4:$D$73=""))))))</f>
        <v/>
      </c>
      <c r="D33" s="3">
        <f>IF(AND($A33="",$B33=""),"",MID(IF((IFERROR(VALUE($C33&amp;""),0)&gt;IFERROR(VALUE('Parametros'!$B$4&amp;""),0)),";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dia")&amp;""),""),3,32767))</f>
        <v/>
      </c>
      <c r="E33" s="3">
        <f>IF(OR((IFERROR(VALUE($C33&amp;""),0)&gt;IFERROR(VALUE('Parametros'!$B$4&amp;""),0))),2,0)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IF(AND($A34="",$B34=""),"",SUMPRODUCT(1*((EXACT('Casillas del horario'!$F$4:$F$73,$A34)))*((EXACT('Casillas del horario'!$B$4:$B$73,$B34)))*((1-(('Casillas del horario'!$D$4:$D$73=""))))))</f>
        <v/>
      </c>
      <c r="D34" s="3">
        <f>IF(AND($A34="",$B34=""),"",MID(IF((IFERROR(VALUE($C34&amp;""),0)&gt;IFERROR(VALUE('Parametros'!$B$4&amp;""),0)),";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dia")&amp;""),""),3,32767))</f>
        <v/>
      </c>
      <c r="E34" s="3">
        <f>IF(OR((IFERROR(VALUE($C34&amp;""),0)&gt;IFERROR(VALUE('Parametros'!$B$4&amp;""),0))),2,0)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IF(AND($A35="",$B35=""),"",SUMPRODUCT(1*((EXACT('Casillas del horario'!$F$4:$F$73,$A35)))*((EXACT('Casillas del horario'!$B$4:$B$73,$B35)))*((1-(('Casillas del horario'!$D$4:$D$73=""))))))</f>
        <v/>
      </c>
      <c r="D35" s="3">
        <f>IF(AND($A35="",$B35=""),"",MID(IF((IFERROR(VALUE($C35&amp;""),0)&gt;IFERROR(VALUE('Parametros'!$B$4&amp;""),0)),";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dia")&amp;""),""),3,32767))</f>
        <v/>
      </c>
      <c r="E35" s="3">
        <f>IF(OR((IFERROR(VALUE($C35&amp;""),0)&gt;IFERROR(VALUE('Parametros'!$B$4&amp;""),0))),2,0)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IF(AND($A36="",$B36=""),"",SUMPRODUCT(1*((EXACT('Casillas del horario'!$F$4:$F$73,$A36)))*((EXACT('Casillas del horario'!$B$4:$B$73,$B36)))*((1-(('Casillas del horario'!$D$4:$D$73=""))))))</f>
        <v/>
      </c>
      <c r="D36" s="3">
        <f>IF(AND($A36="",$B36=""),"",MID(IF((IFERROR(VALUE($C36&amp;""),0)&gt;IFERROR(VALUE('Parametros'!$B$4&amp;""),0)),";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dia")&amp;""),""),3,32767))</f>
        <v/>
      </c>
      <c r="E36" s="3">
        <f>IF(OR((IFERROR(VALUE($C36&amp;""),0)&gt;IFERROR(VALUE('Parametros'!$B$4&amp;""),0))),2,0)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IF(AND($A37="",$B37=""),"",SUMPRODUCT(1*((EXACT('Casillas del horario'!$F$4:$F$73,$A37)))*((EXACT('Casillas del horario'!$B$4:$B$73,$B37)))*((1-(('Casillas del horario'!$D$4:$D$73=""))))))</f>
        <v/>
      </c>
      <c r="D37" s="3">
        <f>IF(AND($A37="",$B37=""),"",MID(IF((IFERROR(VALUE($C37&amp;""),0)&gt;IFERROR(VALUE('Parametros'!$B$4&amp;""),0)),";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dia")&amp;""),""),3,32767))</f>
        <v/>
      </c>
      <c r="E37" s="3">
        <f>IF(OR((IFERROR(VALUE($C37&amp;""),0)&gt;IFERROR(VALUE('Parametros'!$B$4&amp;""),0))),2,0)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IF(AND($A38="",$B38=""),"",SUMPRODUCT(1*((EXACT('Casillas del horario'!$F$4:$F$73,$A38)))*((EXACT('Casillas del horario'!$B$4:$B$73,$B38)))*((1-(('Casillas del horario'!$D$4:$D$73=""))))))</f>
        <v/>
      </c>
      <c r="D38" s="3">
        <f>IF(AND($A38="",$B38=""),"",MID(IF((IFERROR(VALUE($C38&amp;""),0)&gt;IFERROR(VALUE('Parametros'!$B$4&amp;""),0)),";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dia")&amp;""),""),3,32767))</f>
        <v/>
      </c>
      <c r="E38" s="3">
        <f>IF(OR((IFERROR(VALUE($C38&amp;""),0)&gt;IFERROR(VALUE('Parametros'!$B$4&amp;""),0))),2,0)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IF(AND($A39="",$B39=""),"",SUMPRODUCT(1*((EXACT('Casillas del horario'!$F$4:$F$73,$A39)))*((EXACT('Casillas del horario'!$B$4:$B$73,$B39)))*((1-(('Casillas del horario'!$D$4:$D$73=""))))))</f>
        <v/>
      </c>
      <c r="D39" s="3">
        <f>IF(AND($A39="",$B39=""),"",MID(IF((IFERROR(VALUE($C39&amp;""),0)&gt;IFERROR(VALUE('Parametros'!$B$4&amp;""),0)),";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dia")&amp;""),""),3,32767))</f>
        <v/>
      </c>
      <c r="E39" s="3">
        <f>IF(OR((IFERROR(VALUE($C39&amp;""),0)&gt;IFERROR(VALUE('Parametros'!$B$4&amp;""),0))),2,0)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IF(AND($A40="",$B40=""),"",SUMPRODUCT(1*((EXACT('Casillas del horario'!$F$4:$F$73,$A40)))*((EXACT('Casillas del horario'!$B$4:$B$73,$B40)))*((1-(('Casillas del horario'!$D$4:$D$73=""))))))</f>
        <v/>
      </c>
      <c r="D40" s="3">
        <f>IF(AND($A40="",$B40=""),"",MID(IF((IFERROR(VALUE($C40&amp;""),0)&gt;IFERROR(VALUE('Parametros'!$B$4&amp;""),0)),";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dia")&amp;""),""),3,32767))</f>
        <v/>
      </c>
      <c r="E40" s="3">
        <f>IF(OR((IFERROR(VALUE($C40&amp;""),0)&gt;IFERROR(VALUE('Parametros'!$B$4&amp;""),0))),2,0)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IF(AND($A41="",$B41=""),"",SUMPRODUCT(1*((EXACT('Casillas del horario'!$F$4:$F$73,$A41)))*((EXACT('Casillas del horario'!$B$4:$B$73,$B41)))*((1-(('Casillas del horario'!$D$4:$D$73=""))))))</f>
        <v/>
      </c>
      <c r="D41" s="3">
        <f>IF(AND($A41="",$B41=""),"",MID(IF((IFERROR(VALUE($C41&amp;""),0)&gt;IFERROR(VALUE('Parametros'!$B$4&amp;""),0)),";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dia")&amp;""),""),3,32767))</f>
        <v/>
      </c>
      <c r="E41" s="3">
        <f>IF(OR((IFERROR(VALUE($C41&amp;""),0)&gt;IFERROR(VALUE('Parametros'!$B$4&amp;""),0))),2,0)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IF(AND($A42="",$B42=""),"",SUMPRODUCT(1*((EXACT('Casillas del horario'!$F$4:$F$73,$A42)))*((EXACT('Casillas del horario'!$B$4:$B$73,$B42)))*((1-(('Casillas del horario'!$D$4:$D$73=""))))))</f>
        <v/>
      </c>
      <c r="D42" s="3">
        <f>IF(AND($A42="",$B42=""),"",MID(IF((IFERROR(VALUE($C42&amp;""),0)&gt;IFERROR(VALUE('Parametros'!$B$4&amp;""),0)),";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dia")&amp;""),""),3,32767))</f>
        <v/>
      </c>
      <c r="E42" s="3">
        <f>IF(OR((IFERROR(VALUE($C42&amp;""),0)&gt;IFERROR(VALUE('Parametros'!$B$4&amp;""),0))),2,0)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IF(AND($A43="",$B43=""),"",SUMPRODUCT(1*((EXACT('Casillas del horario'!$F$4:$F$73,$A43)))*((EXACT('Casillas del horario'!$B$4:$B$73,$B43)))*((1-(('Casillas del horario'!$D$4:$D$73=""))))))</f>
        <v/>
      </c>
      <c r="D43" s="3">
        <f>IF(AND($A43="",$B43=""),"",MID(IF((IFERROR(VALUE($C43&amp;""),0)&gt;IFERROR(VALUE('Parametros'!$B$4&amp;""),0)),";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dia")&amp;""),""),3,32767))</f>
        <v/>
      </c>
      <c r="E43" s="3">
        <f>IF(OR((IFERROR(VALUE($C43&amp;""),0)&gt;IFERROR(VALUE('Parametros'!$B$4&amp;""),0))),2,0)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IF(AND($A44="",$B44=""),"",SUMPRODUCT(1*((EXACT('Casillas del horario'!$F$4:$F$73,$A44)))*((EXACT('Casillas del horario'!$B$4:$B$73,$B44)))*((1-(('Casillas del horario'!$D$4:$D$73=""))))))</f>
        <v/>
      </c>
      <c r="D44" s="3">
        <f>IF(AND($A44="",$B44=""),"",MID(IF((IFERROR(VALUE($C44&amp;""),0)&gt;IFERROR(VALUE('Parametros'!$B$4&amp;""),0)),";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dia")&amp;""),""),3,32767))</f>
        <v/>
      </c>
      <c r="E44" s="3">
        <f>IF(OR((IFERROR(VALUE($C44&amp;""),0)&gt;IFERROR(VALUE('Parametros'!$B$4&amp;""),0))),2,0)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IF(AND($A45="",$B45=""),"",SUMPRODUCT(1*((EXACT('Casillas del horario'!$F$4:$F$73,$A45)))*((EXACT('Casillas del horario'!$B$4:$B$73,$B45)))*((1-(('Casillas del horario'!$D$4:$D$73=""))))))</f>
        <v/>
      </c>
      <c r="D45" s="3">
        <f>IF(AND($A45="",$B45=""),"",MID(IF((IFERROR(VALUE($C45&amp;""),0)&gt;IFERROR(VALUE('Parametros'!$B$4&amp;""),0)),";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dia")&amp;""),""),3,32767))</f>
        <v/>
      </c>
      <c r="E45" s="3">
        <f>IF(OR((IFERROR(VALUE($C45&amp;""),0)&gt;IFERROR(VALUE('Parametros'!$B$4&amp;""),0))),2,0)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IF(AND($A46="",$B46=""),"",SUMPRODUCT(1*((EXACT('Casillas del horario'!$F$4:$F$73,$A46)))*((EXACT('Casillas del horario'!$B$4:$B$73,$B46)))*((1-(('Casillas del horario'!$D$4:$D$73=""))))))</f>
        <v/>
      </c>
      <c r="D46" s="3">
        <f>IF(AND($A46="",$B46=""),"",MID(IF((IFERROR(VALUE($C46&amp;""),0)&gt;IFERROR(VALUE('Parametros'!$B$4&amp;""),0)),";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dia")&amp;""),""),3,32767))</f>
        <v/>
      </c>
      <c r="E46" s="3">
        <f>IF(OR((IFERROR(VALUE($C46&amp;""),0)&gt;IFERROR(VALUE('Parametros'!$B$4&amp;""),0))),2,0)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IF(AND($A47="",$B47=""),"",SUMPRODUCT(1*((EXACT('Casillas del horario'!$F$4:$F$73,$A47)))*((EXACT('Casillas del horario'!$B$4:$B$73,$B47)))*((1-(('Casillas del horario'!$D$4:$D$73=""))))))</f>
        <v/>
      </c>
      <c r="D47" s="3">
        <f>IF(AND($A47="",$B47=""),"",MID(IF((IFERROR(VALUE($C47&amp;""),0)&gt;IFERROR(VALUE('Parametros'!$B$4&amp;""),0)),";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dia")&amp;""),""),3,32767))</f>
        <v/>
      </c>
      <c r="E47" s="3">
        <f>IF(OR((IFERROR(VALUE($C47&amp;""),0)&gt;IFERROR(VALUE('Parametros'!$B$4&amp;""),0))),2,0)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IF(AND($A48="",$B48=""),"",SUMPRODUCT(1*((EXACT('Casillas del horario'!$F$4:$F$73,$A48)))*((EXACT('Casillas del horario'!$B$4:$B$73,$B48)))*((1-(('Casillas del horario'!$D$4:$D$73=""))))))</f>
        <v/>
      </c>
      <c r="D48" s="3">
        <f>IF(AND($A48="",$B48=""),"",MID(IF((IFERROR(VALUE($C48&amp;""),0)&gt;IFERROR(VALUE('Parametros'!$B$4&amp;""),0)),";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dia")&amp;""),""),3,32767))</f>
        <v/>
      </c>
      <c r="E48" s="3">
        <f>IF(OR((IFERROR(VALUE($C48&amp;""),0)&gt;IFERROR(VALUE('Parametros'!$B$4&amp;""),0))),2,0)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IF(AND($A49="",$B49=""),"",SUMPRODUCT(1*((EXACT('Casillas del horario'!$F$4:$F$73,$A49)))*((EXACT('Casillas del horario'!$B$4:$B$73,$B49)))*((1-(('Casillas del horario'!$D$4:$D$73=""))))))</f>
        <v/>
      </c>
      <c r="D49" s="3">
        <f>IF(AND($A49="",$B49=""),"",MID(IF((IFERROR(VALUE($C49&amp;""),0)&gt;IFERROR(VALUE('Parametros'!$B$4&amp;""),0)),";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dia")&amp;""),""),3,32767))</f>
        <v/>
      </c>
      <c r="E49" s="3">
        <f>IF(OR((IFERROR(VALUE($C49&amp;""),0)&gt;IFERROR(VALUE('Parametros'!$B$4&amp;""),0))),2,0)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IF(AND($A50="",$B50=""),"",SUMPRODUCT(1*((EXACT('Casillas del horario'!$F$4:$F$73,$A50)))*((EXACT('Casillas del horario'!$B$4:$B$73,$B50)))*((1-(('Casillas del horario'!$D$4:$D$73=""))))))</f>
        <v/>
      </c>
      <c r="D50" s="3">
        <f>IF(AND($A50="",$B50=""),"",MID(IF((IFERROR(VALUE($C50&amp;""),0)&gt;IFERROR(VALUE('Parametros'!$B$4&amp;""),0)),";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dia")&amp;""),""),3,32767))</f>
        <v/>
      </c>
      <c r="E50" s="3">
        <f>IF(OR((IFERROR(VALUE($C50&amp;""),0)&gt;IFERROR(VALUE('Parametros'!$B$4&amp;""),0))),2,0)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IF(AND($A51="",$B51=""),"",SUMPRODUCT(1*((EXACT('Casillas del horario'!$F$4:$F$73,$A51)))*((EXACT('Casillas del horario'!$B$4:$B$73,$B51)))*((1-(('Casillas del horario'!$D$4:$D$73=""))))))</f>
        <v/>
      </c>
      <c r="D51" s="3">
        <f>IF(AND($A51="",$B51=""),"",MID(IF((IFERROR(VALUE($C51&amp;""),0)&gt;IFERROR(VALUE('Parametros'!$B$4&amp;""),0)),";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dia")&amp;""),""),3,32767))</f>
        <v/>
      </c>
      <c r="E51" s="3">
        <f>IF(OR((IFERROR(VALUE($C51&amp;""),0)&gt;IFERROR(VALUE('Parametros'!$B$4&amp;""),0))),2,0)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IF(AND($A52="",$B52=""),"",SUMPRODUCT(1*((EXACT('Casillas del horario'!$F$4:$F$73,$A52)))*((EXACT('Casillas del horario'!$B$4:$B$73,$B52)))*((1-(('Casillas del horario'!$D$4:$D$73=""))))))</f>
        <v/>
      </c>
      <c r="D52" s="3">
        <f>IF(AND($A52="",$B52=""),"",MID(IF((IFERROR(VALUE($C52&amp;""),0)&gt;IFERROR(VALUE('Parametros'!$B$4&amp;""),0)),";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dia")&amp;""),""),3,32767))</f>
        <v/>
      </c>
      <c r="E52" s="3">
        <f>IF(OR((IFERROR(VALUE($C52&amp;""),0)&gt;IFERROR(VALUE('Parametros'!$B$4&amp;""),0))),2,0)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IF(AND($A53="",$B53=""),"",SUMPRODUCT(1*((EXACT('Casillas del horario'!$F$4:$F$73,$A53)))*((EXACT('Casillas del horario'!$B$4:$B$73,$B53)))*((1-(('Casillas del horario'!$D$4:$D$73=""))))))</f>
        <v/>
      </c>
      <c r="D53" s="3">
        <f>IF(AND($A53="",$B53=""),"",MID(IF((IFERROR(VALUE($C53&amp;""),0)&gt;IFERROR(VALUE('Parametros'!$B$4&amp;""),0)),";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dia")&amp;""),""),3,32767))</f>
        <v/>
      </c>
      <c r="E53" s="3">
        <f>IF(OR((IFERROR(VALUE($C53&amp;""),0)&gt;IFERROR(VALUE('Parametros'!$B$4&amp;""),0))),2,0)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IF(AND($A54="",$B54=""),"",SUMPRODUCT(1*((EXACT('Casillas del horario'!$F$4:$F$73,$A54)))*((EXACT('Casillas del horario'!$B$4:$B$73,$B54)))*((1-(('Casillas del horario'!$D$4:$D$73=""))))))</f>
        <v/>
      </c>
      <c r="D54" s="3">
        <f>IF(AND($A54="",$B54=""),"",MID(IF((IFERROR(VALUE($C54&amp;""),0)&gt;IFERROR(VALUE('Parametros'!$B$4&amp;""),0)),";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dia")&amp;""),""),3,32767))</f>
        <v/>
      </c>
      <c r="E54" s="3">
        <f>IF(OR((IFERROR(VALUE($C54&amp;""),0)&gt;IFERROR(VALUE('Parametros'!$B$4&amp;""),0))),2,0)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IF(AND($A55="",$B55=""),"",SUMPRODUCT(1*((EXACT('Casillas del horario'!$F$4:$F$73,$A55)))*((EXACT('Casillas del horario'!$B$4:$B$73,$B55)))*((1-(('Casillas del horario'!$D$4:$D$73=""))))))</f>
        <v/>
      </c>
      <c r="D55" s="3">
        <f>IF(AND($A55="",$B55=""),"",MID(IF((IFERROR(VALUE($C55&amp;""),0)&gt;IFERROR(VALUE('Parametros'!$B$4&amp;""),0)),";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dia")&amp;""),""),3,32767))</f>
        <v/>
      </c>
      <c r="E55" s="3">
        <f>IF(OR((IFERROR(VALUE($C55&amp;""),0)&gt;IFERROR(VALUE('Parametros'!$B$4&amp;""),0))),2,0)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IF(AND($A56="",$B56=""),"",SUMPRODUCT(1*((EXACT('Casillas del horario'!$F$4:$F$73,$A56)))*((EXACT('Casillas del horario'!$B$4:$B$73,$B56)))*((1-(('Casillas del horario'!$D$4:$D$73=""))))))</f>
        <v/>
      </c>
      <c r="D56" s="3">
        <f>IF(AND($A56="",$B56=""),"",MID(IF((IFERROR(VALUE($C56&amp;""),0)&gt;IFERROR(VALUE('Parametros'!$B$4&amp;""),0)),";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dia")&amp;""),""),3,32767))</f>
        <v/>
      </c>
      <c r="E56" s="3">
        <f>IF(OR((IFERROR(VALUE($C56&amp;""),0)&gt;IFERROR(VALUE('Parametros'!$B$4&amp;""),0))),2,0)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IF(AND($A57="",$B57=""),"",SUMPRODUCT(1*((EXACT('Casillas del horario'!$F$4:$F$73,$A57)))*((EXACT('Casillas del horario'!$B$4:$B$73,$B57)))*((1-(('Casillas del horario'!$D$4:$D$73=""))))))</f>
        <v/>
      </c>
      <c r="D57" s="3">
        <f>IF(AND($A57="",$B57=""),"",MID(IF((IFERROR(VALUE($C57&amp;""),0)&gt;IFERROR(VALUE('Parametros'!$B$4&amp;""),0)),";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dia")&amp;""),""),3,32767))</f>
        <v/>
      </c>
      <c r="E57" s="3">
        <f>IF(OR((IFERROR(VALUE($C57&amp;""),0)&gt;IFERROR(VALUE('Parametros'!$B$4&amp;""),0))),2,0)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IF(AND($A58="",$B58=""),"",SUMPRODUCT(1*((EXACT('Casillas del horario'!$F$4:$F$73,$A58)))*((EXACT('Casillas del horario'!$B$4:$B$73,$B58)))*((1-(('Casillas del horario'!$D$4:$D$73=""))))))</f>
        <v/>
      </c>
      <c r="D58" s="3">
        <f>IF(AND($A58="",$B58=""),"",MID(IF((IFERROR(VALUE($C58&amp;""),0)&gt;IFERROR(VALUE('Parametros'!$B$4&amp;""),0)),";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dia")&amp;""),""),3,32767))</f>
        <v/>
      </c>
      <c r="E58" s="3">
        <f>IF(OR((IFERROR(VALUE($C58&amp;""),0)&gt;IFERROR(VALUE('Parametros'!$B$4&amp;""),0))),2,0)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IF(AND($A59="",$B59=""),"",SUMPRODUCT(1*((EXACT('Casillas del horario'!$F$4:$F$73,$A59)))*((EXACT('Casillas del horario'!$B$4:$B$73,$B59)))*((1-(('Casillas del horario'!$D$4:$D$73=""))))))</f>
        <v/>
      </c>
      <c r="D59" s="3">
        <f>IF(AND($A59="",$B59=""),"",MID(IF((IFERROR(VALUE($C59&amp;""),0)&gt;IFERROR(VALUE('Parametros'!$B$4&amp;""),0)),";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dia")&amp;""),""),3,32767))</f>
        <v/>
      </c>
      <c r="E59" s="3">
        <f>IF(OR((IFERROR(VALUE($C59&amp;""),0)&gt;IFERROR(VALUE('Parametros'!$B$4&amp;""),0))),2,0)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IF(AND($A60="",$B60=""),"",SUMPRODUCT(1*((EXACT('Casillas del horario'!$F$4:$F$73,$A60)))*((EXACT('Casillas del horario'!$B$4:$B$73,$B60)))*((1-(('Casillas del horario'!$D$4:$D$73=""))))))</f>
        <v/>
      </c>
      <c r="D60" s="3">
        <f>IF(AND($A60="",$B60=""),"",MID(IF((IFERROR(VALUE($C60&amp;""),0)&gt;IFERROR(VALUE('Parametros'!$B$4&amp;""),0)),";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dia")&amp;""),""),3,32767))</f>
        <v/>
      </c>
      <c r="E60" s="3">
        <f>IF(OR((IFERROR(VALUE($C60&amp;""),0)&gt;IFERROR(VALUE('Parametros'!$B$4&amp;""),0))),2,0)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IF(AND($A61="",$B61=""),"",SUMPRODUCT(1*((EXACT('Casillas del horario'!$F$4:$F$73,$A61)))*((EXACT('Casillas del horario'!$B$4:$B$73,$B61)))*((1-(('Casillas del horario'!$D$4:$D$73=""))))))</f>
        <v/>
      </c>
      <c r="D61" s="3">
        <f>IF(AND($A61="",$B61=""),"",MID(IF((IFERROR(VALUE($C61&amp;""),0)&gt;IFERROR(VALUE('Parametros'!$B$4&amp;""),0)),";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dia")&amp;""),""),3,32767))</f>
        <v/>
      </c>
      <c r="E61" s="3">
        <f>IF(OR((IFERROR(VALUE($C61&amp;""),0)&gt;IFERROR(VALUE('Parametros'!$B$4&amp;""),0))),2,0)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IF(AND($A62="",$B62=""),"",SUMPRODUCT(1*((EXACT('Casillas del horario'!$F$4:$F$73,$A62)))*((EXACT('Casillas del horario'!$B$4:$B$73,$B62)))*((1-(('Casillas del horario'!$D$4:$D$73=""))))))</f>
        <v/>
      </c>
      <c r="D62" s="3">
        <f>IF(AND($A62="",$B62=""),"",MID(IF((IFERROR(VALUE($C62&amp;""),0)&gt;IFERROR(VALUE('Parametros'!$B$4&amp;""),0)),";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dia")&amp;""),""),3,32767))</f>
        <v/>
      </c>
      <c r="E62" s="3">
        <f>IF(OR((IFERROR(VALUE($C62&amp;""),0)&gt;IFERROR(VALUE('Parametros'!$B$4&amp;""),0))),2,0)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IF(AND($A63="",$B63=""),"",SUMPRODUCT(1*((EXACT('Casillas del horario'!$F$4:$F$73,$A63)))*((EXACT('Casillas del horario'!$B$4:$B$73,$B63)))*((1-(('Casillas del horario'!$D$4:$D$73=""))))))</f>
        <v/>
      </c>
      <c r="D63" s="3">
        <f>IF(AND($A63="",$B63=""),"",MID(IF((IFERROR(VALUE($C63&amp;""),0)&gt;IFERROR(VALUE('Parametros'!$B$4&amp;""),0)),";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dia")&amp;""),""),3,32767))</f>
        <v/>
      </c>
      <c r="E63" s="3">
        <f>IF(OR((IFERROR(VALUE($C63&amp;""),0)&gt;IFERROR(VALUE('Parametros'!$B$4&amp;""),0))),2,0)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IF(AND($A64="",$B64=""),"",SUMPRODUCT(1*((EXACT('Casillas del horario'!$F$4:$F$73,$A64)))*((EXACT('Casillas del horario'!$B$4:$B$73,$B64)))*((1-(('Casillas del horario'!$D$4:$D$73=""))))))</f>
        <v/>
      </c>
      <c r="D64" s="3">
        <f>IF(AND($A64="",$B64=""),"",MID(IF((IFERROR(VALUE($C64&amp;""),0)&gt;IFERROR(VALUE('Parametros'!$B$4&amp;""),0)),";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dia")&amp;""),""),3,32767))</f>
        <v/>
      </c>
      <c r="E64" s="3">
        <f>IF(OR((IFERROR(VALUE($C64&amp;""),0)&gt;IFERROR(VALUE('Parametros'!$B$4&amp;""),0))),2,0)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IF(AND($A65="",$B65=""),"",SUMPRODUCT(1*((EXACT('Casillas del horario'!$F$4:$F$73,$A65)))*((EXACT('Casillas del horario'!$B$4:$B$73,$B65)))*((1-(('Casillas del horario'!$D$4:$D$73=""))))))</f>
        <v/>
      </c>
      <c r="D65" s="3">
        <f>IF(AND($A65="",$B65=""),"",MID(IF((IFERROR(VALUE($C65&amp;""),0)&gt;IFERROR(VALUE('Parametros'!$B$4&amp;""),0)),";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dia")&amp;""),""),3,32767))</f>
        <v/>
      </c>
      <c r="E65" s="3">
        <f>IF(OR((IFERROR(VALUE($C65&amp;""),0)&gt;IFERROR(VALUE('Parametros'!$B$4&amp;""),0))),2,0)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IF(AND($A66="",$B66=""),"",SUMPRODUCT(1*((EXACT('Casillas del horario'!$F$4:$F$73,$A66)))*((EXACT('Casillas del horario'!$B$4:$B$73,$B66)))*((1-(('Casillas del horario'!$D$4:$D$73=""))))))</f>
        <v/>
      </c>
      <c r="D66" s="3">
        <f>IF(AND($A66="",$B66=""),"",MID(IF((IFERROR(VALUE($C66&amp;""),0)&gt;IFERROR(VALUE('Parametros'!$B$4&amp;""),0)),";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dia")&amp;""),""),3,32767))</f>
        <v/>
      </c>
      <c r="E66" s="3">
        <f>IF(OR((IFERROR(VALUE($C66&amp;""),0)&gt;IFERROR(VALUE('Parametros'!$B$4&amp;""),0))),2,0)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IF(AND($A67="",$B67=""),"",SUMPRODUCT(1*((EXACT('Casillas del horario'!$F$4:$F$73,$A67)))*((EXACT('Casillas del horario'!$B$4:$B$73,$B67)))*((1-(('Casillas del horario'!$D$4:$D$73=""))))))</f>
        <v/>
      </c>
      <c r="D67" s="3">
        <f>IF(AND($A67="",$B67=""),"",MID(IF((IFERROR(VALUE($C67&amp;""),0)&gt;IFERROR(VALUE('Parametros'!$B$4&amp;""),0)),";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dia")&amp;""),""),3,32767))</f>
        <v/>
      </c>
      <c r="E67" s="3">
        <f>IF(OR((IFERROR(VALUE($C67&amp;""),0)&gt;IFERROR(VALUE('Parametros'!$B$4&amp;""),0))),2,0)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IF(AND($A68="",$B68=""),"",SUMPRODUCT(1*((EXACT('Casillas del horario'!$F$4:$F$73,$A68)))*((EXACT('Casillas del horario'!$B$4:$B$73,$B68)))*((1-(('Casillas del horario'!$D$4:$D$73=""))))))</f>
        <v/>
      </c>
      <c r="D68" s="3">
        <f>IF(AND($A68="",$B68=""),"",MID(IF((IFERROR(VALUE($C68&amp;""),0)&gt;IFERROR(VALUE('Parametros'!$B$4&amp;""),0)),";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dia")&amp;""),""),3,32767))</f>
        <v/>
      </c>
      <c r="E68" s="3">
        <f>IF(OR((IFERROR(VALUE($C68&amp;""),0)&gt;IFERROR(VALUE('Parametros'!$B$4&amp;""),0))),2,0)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IF(AND($A69="",$B69=""),"",SUMPRODUCT(1*((EXACT('Casillas del horario'!$F$4:$F$73,$A69)))*((EXACT('Casillas del horario'!$B$4:$B$73,$B69)))*((1-(('Casillas del horario'!$D$4:$D$73=""))))))</f>
        <v/>
      </c>
      <c r="D69" s="3">
        <f>IF(AND($A69="",$B69=""),"",MID(IF((IFERROR(VALUE($C69&amp;""),0)&gt;IFERROR(VALUE('Parametros'!$B$4&amp;""),0)),";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dia")&amp;""),""),3,32767))</f>
        <v/>
      </c>
      <c r="E69" s="3">
        <f>IF(OR((IFERROR(VALUE($C69&amp;""),0)&gt;IFERROR(VALUE('Parametros'!$B$4&amp;""),0))),2,0)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IF(AND($A70="",$B70=""),"",SUMPRODUCT(1*((EXACT('Casillas del horario'!$F$4:$F$73,$A70)))*((EXACT('Casillas del horario'!$B$4:$B$73,$B70)))*((1-(('Casillas del horario'!$D$4:$D$73=""))))))</f>
        <v/>
      </c>
      <c r="D70" s="3">
        <f>IF(AND($A70="",$B70=""),"",MID(IF((IFERROR(VALUE($C70&amp;""),0)&gt;IFERROR(VALUE('Parametros'!$B$4&amp;""),0)),";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dia")&amp;""),""),3,32767))</f>
        <v/>
      </c>
      <c r="E70" s="3">
        <f>IF(OR((IFERROR(VALUE($C70&amp;""),0)&gt;IFERROR(VALUE('Parametros'!$B$4&amp;""),0))),2,0)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IF(AND($A71="",$B71=""),"",SUMPRODUCT(1*((EXACT('Casillas del horario'!$F$4:$F$73,$A71)))*((EXACT('Casillas del horario'!$B$4:$B$73,$B71)))*((1-(('Casillas del horario'!$D$4:$D$73=""))))))</f>
        <v/>
      </c>
      <c r="D71" s="3">
        <f>IF(AND($A71="",$B71=""),"",MID(IF((IFERROR(VALUE($C71&amp;""),0)&gt;IFERROR(VALUE('Parametros'!$B$4&amp;""),0)),";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dia")&amp;""),""),3,32767))</f>
        <v/>
      </c>
      <c r="E71" s="3">
        <f>IF(OR((IFERROR(VALUE($C71&amp;""),0)&gt;IFERROR(VALUE('Parametros'!$B$4&amp;""),0))),2,0)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IF(AND($A72="",$B72=""),"",SUMPRODUCT(1*((EXACT('Casillas del horario'!$F$4:$F$73,$A72)))*((EXACT('Casillas del horario'!$B$4:$B$73,$B72)))*((1-(('Casillas del horario'!$D$4:$D$73=""))))))</f>
        <v/>
      </c>
      <c r="D72" s="3">
        <f>IF(AND($A72="",$B72=""),"",MID(IF((IFERROR(VALUE($C72&amp;""),0)&gt;IFERROR(VALUE('Parametros'!$B$4&amp;""),0)),";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dia")&amp;""),""),3,32767))</f>
        <v/>
      </c>
      <c r="E72" s="3">
        <f>IF(OR((IFERROR(VALUE($C72&amp;""),0)&gt;IFERROR(VALUE('Parametros'!$B$4&amp;""),0))),2,0)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IF(AND($A73="",$B73=""),"",SUMPRODUCT(1*((EXACT('Casillas del horario'!$F$4:$F$73,$A73)))*((EXACT('Casillas del horario'!$B$4:$B$73,$B73)))*((1-(('Casillas del horario'!$D$4:$D$73=""))))))</f>
        <v/>
      </c>
      <c r="D73" s="3">
        <f>IF(AND($A73="",$B73=""),"",MID(IF((IFERROR(VALUE($C73&amp;""),0)&gt;IFERROR(VALUE('Parametros'!$B$4&amp;""),0)),";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dia")&amp;""),""),3,32767))</f>
        <v/>
      </c>
      <c r="E73" s="3">
        <f>IF(OR((IFERROR(VALUE($C73&amp;""),0)&gt;IFERROR(VALUE('Parametros'!$B$4&amp;""),0))),2,0)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IF(AND($A74="",$B74=""),"",SUMPRODUCT(1*((EXACT('Casillas del horario'!$F$4:$F$73,$A74)))*((EXACT('Casillas del horario'!$B$4:$B$73,$B74)))*((1-(('Casillas del horario'!$D$4:$D$73=""))))))</f>
        <v/>
      </c>
      <c r="D74" s="3">
        <f>IF(AND($A74="",$B74=""),"",MID(IF((IFERROR(VALUE($C74&amp;""),0)&gt;IFERROR(VALUE('Parametros'!$B$4&amp;""),0)),";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dia")&amp;""),""),3,32767))</f>
        <v/>
      </c>
      <c r="E74" s="3">
        <f>IF(OR((IFERROR(VALUE($C74&amp;""),0)&gt;IFERROR(VALUE('Parametros'!$B$4&amp;""),0))),2,0)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IF(AND($A75="",$B75=""),"",SUMPRODUCT(1*((EXACT('Casillas del horario'!$F$4:$F$73,$A75)))*((EXACT('Casillas del horario'!$B$4:$B$73,$B75)))*((1-(('Casillas del horario'!$D$4:$D$73=""))))))</f>
        <v/>
      </c>
      <c r="D75" s="3">
        <f>IF(AND($A75="",$B75=""),"",MID(IF((IFERROR(VALUE($C75&amp;""),0)&gt;IFERROR(VALUE('Parametros'!$B$4&amp;""),0)),";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dia")&amp;""),""),3,32767))</f>
        <v/>
      </c>
      <c r="E75" s="3">
        <f>IF(OR((IFERROR(VALUE($C75&amp;""),0)&gt;IFERROR(VALUE('Parametros'!$B$4&amp;""),0))),2,0)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IF(AND($A76="",$B76=""),"",SUMPRODUCT(1*((EXACT('Casillas del horario'!$F$4:$F$73,$A76)))*((EXACT('Casillas del horario'!$B$4:$B$73,$B76)))*((1-(('Casillas del horario'!$D$4:$D$73=""))))))</f>
        <v/>
      </c>
      <c r="D76" s="3">
        <f>IF(AND($A76="",$B76=""),"",MID(IF((IFERROR(VALUE($C76&amp;""),0)&gt;IFERROR(VALUE('Parametros'!$B$4&amp;""),0)),";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dia")&amp;""),""),3,32767))</f>
        <v/>
      </c>
      <c r="E76" s="3">
        <f>IF(OR((IFERROR(VALUE($C76&amp;""),0)&gt;IFERROR(VALUE('Parametros'!$B$4&amp;""),0))),2,0)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IF(AND($A77="",$B77=""),"",SUMPRODUCT(1*((EXACT('Casillas del horario'!$F$4:$F$73,$A77)))*((EXACT('Casillas del horario'!$B$4:$B$73,$B77)))*((1-(('Casillas del horario'!$D$4:$D$73=""))))))</f>
        <v/>
      </c>
      <c r="D77" s="3">
        <f>IF(AND($A77="",$B77=""),"",MID(IF((IFERROR(VALUE($C77&amp;""),0)&gt;IFERROR(VALUE('Parametros'!$B$4&amp;""),0)),";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dia")&amp;""),""),3,32767))</f>
        <v/>
      </c>
      <c r="E77" s="3">
        <f>IF(OR((IFERROR(VALUE($C77&amp;""),0)&gt;IFERROR(VALUE('Parametros'!$B$4&amp;""),0))),2,0)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IF(AND($A78="",$B78=""),"",SUMPRODUCT(1*((EXACT('Casillas del horario'!$F$4:$F$73,$A78)))*((EXACT('Casillas del horario'!$B$4:$B$73,$B78)))*((1-(('Casillas del horario'!$D$4:$D$73=""))))))</f>
        <v/>
      </c>
      <c r="D78" s="3">
        <f>IF(AND($A78="",$B78=""),"",MID(IF((IFERROR(VALUE($C78&amp;""),0)&gt;IFERROR(VALUE('Parametros'!$B$4&amp;""),0)),";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dia")&amp;""),""),3,32767))</f>
        <v/>
      </c>
      <c r="E78" s="3">
        <f>IF(OR((IFERROR(VALUE($C78&amp;""),0)&gt;IFERROR(VALUE('Parametros'!$B$4&amp;""),0))),2,0)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IF(AND($A79="",$B79=""),"",SUMPRODUCT(1*((EXACT('Casillas del horario'!$F$4:$F$73,$A79)))*((EXACT('Casillas del horario'!$B$4:$B$73,$B79)))*((1-(('Casillas del horario'!$D$4:$D$73=""))))))</f>
        <v/>
      </c>
      <c r="D79" s="3">
        <f>IF(AND($A79="",$B79=""),"",MID(IF((IFERROR(VALUE($C79&amp;""),0)&gt;IFERROR(VALUE('Parametros'!$B$4&amp;""),0)),";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dia")&amp;""),""),3,32767))</f>
        <v/>
      </c>
      <c r="E79" s="3">
        <f>IF(OR((IFERROR(VALUE($C79&amp;""),0)&gt;IFERROR(VALUE('Parametros'!$B$4&amp;""),0))),2,0)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IF(AND($A80="",$B80=""),"",SUMPRODUCT(1*((EXACT('Casillas del horario'!$F$4:$F$73,$A80)))*((EXACT('Casillas del horario'!$B$4:$B$73,$B80)))*((1-(('Casillas del horario'!$D$4:$D$73=""))))))</f>
        <v/>
      </c>
      <c r="D80" s="3">
        <f>IF(AND($A80="",$B80=""),"",MID(IF((IFERROR(VALUE($C80&amp;""),0)&gt;IFERROR(VALUE('Parametros'!$B$4&amp;""),0)),";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dia")&amp;""),""),3,32767))</f>
        <v/>
      </c>
      <c r="E80" s="3">
        <f>IF(OR((IFERROR(VALUE($C80&amp;""),0)&gt;IFERROR(VALUE('Parametros'!$B$4&amp;""),0))),2,0)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IF(AND($A81="",$B81=""),"",SUMPRODUCT(1*((EXACT('Casillas del horario'!$F$4:$F$73,$A81)))*((EXACT('Casillas del horario'!$B$4:$B$73,$B81)))*((1-(('Casillas del horario'!$D$4:$D$73=""))))))</f>
        <v/>
      </c>
      <c r="D81" s="3">
        <f>IF(AND($A81="",$B81=""),"",MID(IF((IFERROR(VALUE($C81&amp;""),0)&gt;IFERROR(VALUE('Parametros'!$B$4&amp;""),0)),";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dia")&amp;""),""),3,32767))</f>
        <v/>
      </c>
      <c r="E81" s="3">
        <f>IF(OR((IFERROR(VALUE($C81&amp;""),0)&gt;IFERROR(VALUE('Parametros'!$B$4&amp;""),0))),2,0)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IF(AND($A82="",$B82=""),"",SUMPRODUCT(1*((EXACT('Casillas del horario'!$F$4:$F$73,$A82)))*((EXACT('Casillas del horario'!$B$4:$B$73,$B82)))*((1-(('Casillas del horario'!$D$4:$D$73=""))))))</f>
        <v/>
      </c>
      <c r="D82" s="3">
        <f>IF(AND($A82="",$B82=""),"",MID(IF((IFERROR(VALUE($C82&amp;""),0)&gt;IFERROR(VALUE('Parametros'!$B$4&amp;""),0)),";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dia")&amp;""),""),3,32767))</f>
        <v/>
      </c>
      <c r="E82" s="3">
        <f>IF(OR((IFERROR(VALUE($C82&amp;""),0)&gt;IFERROR(VALUE('Parametros'!$B$4&amp;""),0))),2,0)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IF(AND($A83="",$B83=""),"",SUMPRODUCT(1*((EXACT('Casillas del horario'!$F$4:$F$73,$A83)))*((EXACT('Casillas del horario'!$B$4:$B$73,$B83)))*((1-(('Casillas del horario'!$D$4:$D$73=""))))))</f>
        <v/>
      </c>
      <c r="D83" s="3">
        <f>IF(AND($A83="",$B83=""),"",MID(IF((IFERROR(VALUE($C83&amp;""),0)&gt;IFERROR(VALUE('Parametros'!$B$4&amp;""),0)),";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dia")&amp;""),""),3,32767))</f>
        <v/>
      </c>
      <c r="E83" s="3">
        <f>IF(OR((IFERROR(VALUE($C83&amp;""),0)&gt;IFERROR(VALUE('Parametros'!$B$4&amp;""),0))),2,0)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IF(AND($A84="",$B84=""),"",SUMPRODUCT(1*((EXACT('Casillas del horario'!$F$4:$F$73,$A84)))*((EXACT('Casillas del horario'!$B$4:$B$73,$B84)))*((1-(('Casillas del horario'!$D$4:$D$73=""))))))</f>
        <v/>
      </c>
      <c r="D84" s="3">
        <f>IF(AND($A84="",$B84=""),"",MID(IF((IFERROR(VALUE($C84&amp;""),0)&gt;IFERROR(VALUE('Parametros'!$B$4&amp;""),0)),";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dia")&amp;""),""),3,32767))</f>
        <v/>
      </c>
      <c r="E84" s="3">
        <f>IF(OR((IFERROR(VALUE($C84&amp;""),0)&gt;IFERROR(VALUE('Parametros'!$B$4&amp;""),0))),2,0)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IF(AND($A85="",$B85=""),"",SUMPRODUCT(1*((EXACT('Casillas del horario'!$F$4:$F$73,$A85)))*((EXACT('Casillas del horario'!$B$4:$B$73,$B85)))*((1-(('Casillas del horario'!$D$4:$D$73=""))))))</f>
        <v/>
      </c>
      <c r="D85" s="3">
        <f>IF(AND($A85="",$B85=""),"",MID(IF((IFERROR(VALUE($C85&amp;""),0)&gt;IFERROR(VALUE('Parametros'!$B$4&amp;""),0)),";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dia")&amp;""),""),3,32767))</f>
        <v/>
      </c>
      <c r="E85" s="3">
        <f>IF(OR((IFERROR(VALUE($C85&amp;""),0)&gt;IFERROR(VALUE('Parametros'!$B$4&amp;""),0))),2,0)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IF(AND($A86="",$B86=""),"",SUMPRODUCT(1*((EXACT('Casillas del horario'!$F$4:$F$73,$A86)))*((EXACT('Casillas del horario'!$B$4:$B$73,$B86)))*((1-(('Casillas del horario'!$D$4:$D$73=""))))))</f>
        <v/>
      </c>
      <c r="D86" s="3">
        <f>IF(AND($A86="",$B86=""),"",MID(IF((IFERROR(VALUE($C86&amp;""),0)&gt;IFERROR(VALUE('Parametros'!$B$4&amp;""),0)),";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dia")&amp;""),""),3,32767))</f>
        <v/>
      </c>
      <c r="E86" s="3">
        <f>IF(OR((IFERROR(VALUE($C86&amp;""),0)&gt;IFERROR(VALUE('Parametros'!$B$4&amp;""),0))),2,0)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IF(AND($A87="",$B87=""),"",SUMPRODUCT(1*((EXACT('Casillas del horario'!$F$4:$F$73,$A87)))*((EXACT('Casillas del horario'!$B$4:$B$73,$B87)))*((1-(('Casillas del horario'!$D$4:$D$73=""))))))</f>
        <v/>
      </c>
      <c r="D87" s="3">
        <f>IF(AND($A87="",$B87=""),"",MID(IF((IFERROR(VALUE($C87&amp;""),0)&gt;IFERROR(VALUE('Parametros'!$B$4&amp;""),0)),";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dia")&amp;""),""),3,32767))</f>
        <v/>
      </c>
      <c r="E87" s="3">
        <f>IF(OR((IFERROR(VALUE($C87&amp;""),0)&gt;IFERROR(VALUE('Parametros'!$B$4&amp;""),0))),2,0)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IF(AND($A88="",$B88=""),"",SUMPRODUCT(1*((EXACT('Casillas del horario'!$F$4:$F$73,$A88)))*((EXACT('Casillas del horario'!$B$4:$B$73,$B88)))*((1-(('Casillas del horario'!$D$4:$D$73=""))))))</f>
        <v/>
      </c>
      <c r="D88" s="3">
        <f>IF(AND($A88="",$B88=""),"",MID(IF((IFERROR(VALUE($C88&amp;""),0)&gt;IFERROR(VALUE('Parametros'!$B$4&amp;""),0)),";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dia")&amp;""),""),3,32767))</f>
        <v/>
      </c>
      <c r="E88" s="3">
        <f>IF(OR((IFERROR(VALUE($C88&amp;""),0)&gt;IFERROR(VALUE('Parametros'!$B$4&amp;""),0))),2,0)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IF(AND($A89="",$B89=""),"",SUMPRODUCT(1*((EXACT('Casillas del horario'!$F$4:$F$73,$A89)))*((EXACT('Casillas del horario'!$B$4:$B$73,$B89)))*((1-(('Casillas del horario'!$D$4:$D$73=""))))))</f>
        <v/>
      </c>
      <c r="D89" s="3">
        <f>IF(AND($A89="",$B89=""),"",MID(IF((IFERROR(VALUE($C89&amp;""),0)&gt;IFERROR(VALUE('Parametros'!$B$4&amp;""),0)),";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dia")&amp;""),""),3,32767))</f>
        <v/>
      </c>
      <c r="E89" s="3">
        <f>IF(OR((IFERROR(VALUE($C89&amp;""),0)&gt;IFERROR(VALUE('Parametros'!$B$4&amp;""),0))),2,0)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IF(AND($A90="",$B90=""),"",SUMPRODUCT(1*((EXACT('Casillas del horario'!$F$4:$F$73,$A90)))*((EXACT('Casillas del horario'!$B$4:$B$73,$B90)))*((1-(('Casillas del horario'!$D$4:$D$73=""))))))</f>
        <v/>
      </c>
      <c r="D90" s="3">
        <f>IF(AND($A90="",$B90=""),"",MID(IF((IFERROR(VALUE($C90&amp;""),0)&gt;IFERROR(VALUE('Parametros'!$B$4&amp;""),0)),";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dia")&amp;""),""),3,32767))</f>
        <v/>
      </c>
      <c r="E90" s="3">
        <f>IF(OR((IFERROR(VALUE($C90&amp;""),0)&gt;IFERROR(VALUE('Parametros'!$B$4&amp;""),0))),2,0)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IF(AND($A91="",$B91=""),"",SUMPRODUCT(1*((EXACT('Casillas del horario'!$F$4:$F$73,$A91)))*((EXACT('Casillas del horario'!$B$4:$B$73,$B91)))*((1-(('Casillas del horario'!$D$4:$D$73=""))))))</f>
        <v/>
      </c>
      <c r="D91" s="3">
        <f>IF(AND($A91="",$B91=""),"",MID(IF((IFERROR(VALUE($C91&amp;""),0)&gt;IFERROR(VALUE('Parametros'!$B$4&amp;""),0)),";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dia")&amp;""),""),3,32767))</f>
        <v/>
      </c>
      <c r="E91" s="3">
        <f>IF(OR((IFERROR(VALUE($C91&amp;""),0)&gt;IFERROR(VALUE('Parametros'!$B$4&amp;""),0))),2,0)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IF(AND($A92="",$B92=""),"",SUMPRODUCT(1*((EXACT('Casillas del horario'!$F$4:$F$73,$A92)))*((EXACT('Casillas del horario'!$B$4:$B$73,$B92)))*((1-(('Casillas del horario'!$D$4:$D$73=""))))))</f>
        <v/>
      </c>
      <c r="D92" s="3">
        <f>IF(AND($A92="",$B92=""),"",MID(IF((IFERROR(VALUE($C92&amp;""),0)&gt;IFERROR(VALUE('Parametros'!$B$4&amp;""),0)),";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dia")&amp;""),""),3,32767))</f>
        <v/>
      </c>
      <c r="E92" s="3">
        <f>IF(OR((IFERROR(VALUE($C92&amp;""),0)&gt;IFERROR(VALUE('Parametros'!$B$4&amp;""),0))),2,0)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IF(AND($A93="",$B93=""),"",SUMPRODUCT(1*((EXACT('Casillas del horario'!$F$4:$F$73,$A93)))*((EXACT('Casillas del horario'!$B$4:$B$73,$B93)))*((1-(('Casillas del horario'!$D$4:$D$73=""))))))</f>
        <v/>
      </c>
      <c r="D93" s="3">
        <f>IF(AND($A93="",$B93=""),"",MID(IF((IFERROR(VALUE($C93&amp;""),0)&gt;IFERROR(VALUE('Parametros'!$B$4&amp;""),0)),";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dia")&amp;""),""),3,32767))</f>
        <v/>
      </c>
      <c r="E93" s="3">
        <f>IF(OR((IFERROR(VALUE($C93&amp;""),0)&gt;IFERROR(VALUE('Parametros'!$B$4&amp;""),0))),2,0)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IF(AND($A94="",$B94=""),"",SUMPRODUCT(1*((EXACT('Casillas del horario'!$F$4:$F$73,$A94)))*((EXACT('Casillas del horario'!$B$4:$B$73,$B94)))*((1-(('Casillas del horario'!$D$4:$D$73=""))))))</f>
        <v/>
      </c>
      <c r="D94" s="3">
        <f>IF(AND($A94="",$B94=""),"",MID(IF((IFERROR(VALUE($C94&amp;""),0)&gt;IFERROR(VALUE('Parametros'!$B$4&amp;""),0)),";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dia")&amp;""),""),3,32767))</f>
        <v/>
      </c>
      <c r="E94" s="3">
        <f>IF(OR((IFERROR(VALUE($C94&amp;""),0)&gt;IFERROR(VALUE('Parametros'!$B$4&amp;""),0))),2,0)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IF(AND($A95="",$B95=""),"",SUMPRODUCT(1*((EXACT('Casillas del horario'!$F$4:$F$73,$A95)))*((EXACT('Casillas del horario'!$B$4:$B$73,$B95)))*((1-(('Casillas del horario'!$D$4:$D$73=""))))))</f>
        <v/>
      </c>
      <c r="D95" s="3">
        <f>IF(AND($A95="",$B95=""),"",MID(IF((IFERROR(VALUE($C95&amp;""),0)&gt;IFERROR(VALUE('Parametros'!$B$4&amp;""),0)),";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dia")&amp;""),""),3,32767))</f>
        <v/>
      </c>
      <c r="E95" s="3">
        <f>IF(OR((IFERROR(VALUE($C95&amp;""),0)&gt;IFERROR(VALUE('Parametros'!$B$4&amp;""),0))),2,0)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IF(AND($A96="",$B96=""),"",SUMPRODUCT(1*((EXACT('Casillas del horario'!$F$4:$F$73,$A96)))*((EXACT('Casillas del horario'!$B$4:$B$73,$B96)))*((1-(('Casillas del horario'!$D$4:$D$73=""))))))</f>
        <v/>
      </c>
      <c r="D96" s="3">
        <f>IF(AND($A96="",$B96=""),"",MID(IF((IFERROR(VALUE($C96&amp;""),0)&gt;IFERROR(VALUE('Parametros'!$B$4&amp;""),0)),";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dia")&amp;""),""),3,32767))</f>
        <v/>
      </c>
      <c r="E96" s="3">
        <f>IF(OR((IFERROR(VALUE($C96&amp;""),0)&gt;IFERROR(VALUE('Parametros'!$B$4&amp;""),0))),2,0)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IF(AND($A97="",$B97=""),"",SUMPRODUCT(1*((EXACT('Casillas del horario'!$F$4:$F$73,$A97)))*((EXACT('Casillas del horario'!$B$4:$B$73,$B97)))*((1-(('Casillas del horario'!$D$4:$D$73=""))))))</f>
        <v/>
      </c>
      <c r="D97" s="3">
        <f>IF(AND($A97="",$B97=""),"",MID(IF((IFERROR(VALUE($C97&amp;""),0)&gt;IFERROR(VALUE('Parametros'!$B$4&amp;""),0)),";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dia")&amp;""),""),3,32767))</f>
        <v/>
      </c>
      <c r="E97" s="3">
        <f>IF(OR((IFERROR(VALUE($C97&amp;""),0)&gt;IFERROR(VALUE('Parametros'!$B$4&amp;""),0))),2,0)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IF(AND($A98="",$B98=""),"",SUMPRODUCT(1*((EXACT('Casillas del horario'!$F$4:$F$73,$A98)))*((EXACT('Casillas del horario'!$B$4:$B$73,$B98)))*((1-(('Casillas del horario'!$D$4:$D$73=""))))))</f>
        <v/>
      </c>
      <c r="D98" s="3">
        <f>IF(AND($A98="",$B98=""),"",MID(IF((IFERROR(VALUE($C98&amp;""),0)&gt;IFERROR(VALUE('Parametros'!$B$4&amp;""),0)),";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dia")&amp;""),""),3,32767))</f>
        <v/>
      </c>
      <c r="E98" s="3">
        <f>IF(OR((IFERROR(VALUE($C98&amp;""),0)&gt;IFERROR(VALUE('Parametros'!$B$4&amp;""),0))),2,0)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IF(AND($A99="",$B99=""),"",SUMPRODUCT(1*((EXACT('Casillas del horario'!$F$4:$F$73,$A99)))*((EXACT('Casillas del horario'!$B$4:$B$73,$B99)))*((1-(('Casillas del horario'!$D$4:$D$73=""))))))</f>
        <v/>
      </c>
      <c r="D99" s="3">
        <f>IF(AND($A99="",$B99=""),"",MID(IF((IFERROR(VALUE($C99&amp;""),0)&gt;IFERROR(VALUE('Parametros'!$B$4&amp;""),0)),";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dia")&amp;""),""),3,32767))</f>
        <v/>
      </c>
      <c r="E99" s="3">
        <f>IF(OR((IFERROR(VALUE($C99&amp;""),0)&gt;IFERROR(VALUE('Parametros'!$B$4&amp;""),0))),2,0)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IF(AND($A100="",$B100=""),"",SUMPRODUCT(1*((EXACT('Casillas del horario'!$F$4:$F$73,$A100)))*((EXACT('Casillas del horario'!$B$4:$B$73,$B100)))*((1-(('Casillas del horario'!$D$4:$D$73=""))))))</f>
        <v/>
      </c>
      <c r="D100" s="3">
        <f>IF(AND($A100="",$B100=""),"",MID(IF((IFERROR(VALUE($C100&amp;""),0)&gt;IFERROR(VALUE('Parametros'!$B$4&amp;""),0)),";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dia")&amp;""),""),3,32767))</f>
        <v/>
      </c>
      <c r="E100" s="3">
        <f>IF(OR((IFERROR(VALUE($C100&amp;""),0)&gt;IFERROR(VALUE('Parametros'!$B$4&amp;""),0))),2,0)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IF(AND($A101="",$B101=""),"",SUMPRODUCT(1*((EXACT('Casillas del horario'!$F$4:$F$73,$A101)))*((EXACT('Casillas del horario'!$B$4:$B$73,$B101)))*((1-(('Casillas del horario'!$D$4:$D$73=""))))))</f>
        <v/>
      </c>
      <c r="D101" s="3">
        <f>IF(AND($A101="",$B101=""),"",MID(IF((IFERROR(VALUE($C101&amp;""),0)&gt;IFERROR(VALUE('Parametros'!$B$4&amp;""),0)),";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dia")&amp;""),""),3,32767))</f>
        <v/>
      </c>
      <c r="E101" s="3">
        <f>IF(OR((IFERROR(VALUE($C101&amp;""),0)&gt;IFERROR(VALUE('Parametros'!$B$4&amp;""),0))),2,0)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IF(AND($A102="",$B102=""),"",SUMPRODUCT(1*((EXACT('Casillas del horario'!$F$4:$F$73,$A102)))*((EXACT('Casillas del horario'!$B$4:$B$73,$B102)))*((1-(('Casillas del horario'!$D$4:$D$73=""))))))</f>
        <v/>
      </c>
      <c r="D102" s="3">
        <f>IF(AND($A102="",$B102=""),"",MID(IF((IFERROR(VALUE($C102&amp;""),0)&gt;IFERROR(VALUE('Parametros'!$B$4&amp;""),0)),";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dia")&amp;""),""),3,32767))</f>
        <v/>
      </c>
      <c r="E102" s="3">
        <f>IF(OR((IFERROR(VALUE($C102&amp;""),0)&gt;IFERROR(VALUE('Parametros'!$B$4&amp;""),0))),2,0)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IF(AND($A103="",$B103=""),"",SUMPRODUCT(1*((EXACT('Casillas del horario'!$F$4:$F$73,$A103)))*((EXACT('Casillas del horario'!$B$4:$B$73,$B103)))*((1-(('Casillas del horario'!$D$4:$D$73=""))))))</f>
        <v/>
      </c>
      <c r="D103" s="3">
        <f>IF(AND($A103="",$B103=""),"",MID(IF((IFERROR(VALUE($C103&amp;""),0)&gt;IFERROR(VALUE('Parametros'!$B$4&amp;""),0)),";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dia")&amp;""),""),3,32767))</f>
        <v/>
      </c>
      <c r="E103" s="3">
        <f>IF(OR((IFERROR(VALUE($C103&amp;""),0)&gt;IFERROR(VALUE('Parametros'!$B$4&amp;""),0))),2,0)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IF(AND($A104="",$B104=""),"",SUMPRODUCT(1*((EXACT('Casillas del horario'!$F$4:$F$73,$A104)))*((EXACT('Casillas del horario'!$B$4:$B$73,$B104)))*((1-(('Casillas del horario'!$D$4:$D$73=""))))))</f>
        <v/>
      </c>
      <c r="D104" s="3">
        <f>IF(AND($A104="",$B104=""),"",MID(IF((IFERROR(VALUE($C104&amp;""),0)&gt;IFERROR(VALUE('Parametros'!$B$4&amp;""),0)),";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dia")&amp;""),""),3,32767))</f>
        <v/>
      </c>
      <c r="E104" s="3">
        <f>IF(OR((IFERROR(VALUE($C104&amp;""),0)&gt;IFERROR(VALUE('Parametros'!$B$4&amp;""),0))),2,0)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IF(AND($A105="",$B105=""),"",SUMPRODUCT(1*((EXACT('Casillas del horario'!$F$4:$F$73,$A105)))*((EXACT('Casillas del horario'!$B$4:$B$73,$B105)))*((1-(('Casillas del horario'!$D$4:$D$73=""))))))</f>
        <v/>
      </c>
      <c r="D105" s="3">
        <f>IF(AND($A105="",$B105=""),"",MID(IF((IFERROR(VALUE($C105&amp;""),0)&gt;IFERROR(VALUE('Parametros'!$B$4&amp;""),0)),";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dia")&amp;""),""),3,32767))</f>
        <v/>
      </c>
      <c r="E105" s="3">
        <f>IF(OR((IFERROR(VALUE($C105&amp;""),0)&gt;IFERROR(VALUE('Parametros'!$B$4&amp;""),0))),2,0)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IF(AND($A106="",$B106=""),"",SUMPRODUCT(1*((EXACT('Casillas del horario'!$F$4:$F$73,$A106)))*((EXACT('Casillas del horario'!$B$4:$B$73,$B106)))*((1-(('Casillas del horario'!$D$4:$D$73=""))))))</f>
        <v/>
      </c>
      <c r="D106" s="3">
        <f>IF(AND($A106="",$B106=""),"",MID(IF((IFERROR(VALUE($C106&amp;""),0)&gt;IFERROR(VALUE('Parametros'!$B$4&amp;""),0)),";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dia")&amp;""),""),3,32767))</f>
        <v/>
      </c>
      <c r="E106" s="3">
        <f>IF(OR((IFERROR(VALUE($C106&amp;""),0)&gt;IFERROR(VALUE('Parametros'!$B$4&amp;""),0))),2,0)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IF(AND($A107="",$B107=""),"",SUMPRODUCT(1*((EXACT('Casillas del horario'!$F$4:$F$73,$A107)))*((EXACT('Casillas del horario'!$B$4:$B$73,$B107)))*((1-(('Casillas del horario'!$D$4:$D$73=""))))))</f>
        <v/>
      </c>
      <c r="D107" s="3">
        <f>IF(AND($A107="",$B107=""),"",MID(IF((IFERROR(VALUE($C107&amp;""),0)&gt;IFERROR(VALUE('Parametros'!$B$4&amp;""),0)),";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dia")&amp;""),""),3,32767))</f>
        <v/>
      </c>
      <c r="E107" s="3">
        <f>IF(OR((IFERROR(VALUE($C107&amp;""),0)&gt;IFERROR(VALUE('Parametros'!$B$4&amp;""),0))),2,0)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IF(AND($A108="",$B108=""),"",SUMPRODUCT(1*((EXACT('Casillas del horario'!$F$4:$F$73,$A108)))*((EXACT('Casillas del horario'!$B$4:$B$73,$B108)))*((1-(('Casillas del horario'!$D$4:$D$73=""))))))</f>
        <v/>
      </c>
      <c r="D108" s="3">
        <f>IF(AND($A108="",$B108=""),"",MID(IF((IFERROR(VALUE($C108&amp;""),0)&gt;IFERROR(VALUE('Parametros'!$B$4&amp;""),0)),";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dia")&amp;""),""),3,32767))</f>
        <v/>
      </c>
      <c r="E108" s="3">
        <f>IF(OR((IFERROR(VALUE($C108&amp;""),0)&gt;IFERROR(VALUE('Parametros'!$B$4&amp;""),0))),2,0)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IF(AND($A109="",$B109=""),"",SUMPRODUCT(1*((EXACT('Casillas del horario'!$F$4:$F$73,$A109)))*((EXACT('Casillas del horario'!$B$4:$B$73,$B109)))*((1-(('Casillas del horario'!$D$4:$D$73=""))))))</f>
        <v/>
      </c>
      <c r="D109" s="3">
        <f>IF(AND($A109="",$B109=""),"",MID(IF((IFERROR(VALUE($C109&amp;""),0)&gt;IFERROR(VALUE('Parametros'!$B$4&amp;""),0)),";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dia")&amp;""),""),3,32767))</f>
        <v/>
      </c>
      <c r="E109" s="3">
        <f>IF(OR((IFERROR(VALUE($C109&amp;""),0)&gt;IFERROR(VALUE('Parametros'!$B$4&amp;""),0))),2,0)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IF(AND($A110="",$B110=""),"",SUMPRODUCT(1*((EXACT('Casillas del horario'!$F$4:$F$73,$A110)))*((EXACT('Casillas del horario'!$B$4:$B$73,$B110)))*((1-(('Casillas del horario'!$D$4:$D$73=""))))))</f>
        <v/>
      </c>
      <c r="D110" s="3">
        <f>IF(AND($A110="",$B110=""),"",MID(IF((IFERROR(VALUE($C110&amp;""),0)&gt;IFERROR(VALUE('Parametros'!$B$4&amp;""),0)),";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dia")&amp;""),""),3,32767))</f>
        <v/>
      </c>
      <c r="E110" s="3">
        <f>IF(OR((IFERROR(VALUE($C110&amp;""),0)&gt;IFERROR(VALUE('Parametros'!$B$4&amp;""),0))),2,0)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IF(AND($A111="",$B111=""),"",SUMPRODUCT(1*((EXACT('Casillas del horario'!$F$4:$F$73,$A111)))*((EXACT('Casillas del horario'!$B$4:$B$73,$B111)))*((1-(('Casillas del horario'!$D$4:$D$73=""))))))</f>
        <v/>
      </c>
      <c r="D111" s="3">
        <f>IF(AND($A111="",$B111=""),"",MID(IF((IFERROR(VALUE($C111&amp;""),0)&gt;IFERROR(VALUE('Parametros'!$B$4&amp;""),0)),";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dia")&amp;""),""),3,32767))</f>
        <v/>
      </c>
      <c r="E111" s="3">
        <f>IF(OR((IFERROR(VALUE($C111&amp;""),0)&gt;IFERROR(VALUE('Parametros'!$B$4&amp;""),0))),2,0)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IF(AND($A112="",$B112=""),"",SUMPRODUCT(1*((EXACT('Casillas del horario'!$F$4:$F$73,$A112)))*((EXACT('Casillas del horario'!$B$4:$B$73,$B112)))*((1-(('Casillas del horario'!$D$4:$D$73=""))))))</f>
        <v/>
      </c>
      <c r="D112" s="3">
        <f>IF(AND($A112="",$B112=""),"",MID(IF((IFERROR(VALUE($C112&amp;""),0)&gt;IFERROR(VALUE('Parametros'!$B$4&amp;""),0)),";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dia")&amp;""),""),3,32767))</f>
        <v/>
      </c>
      <c r="E112" s="3">
        <f>IF(OR((IFERROR(VALUE($C112&amp;""),0)&gt;IFERROR(VALUE('Parametros'!$B$4&amp;""),0))),2,0)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IF(AND($A113="",$B113=""),"",SUMPRODUCT(1*((EXACT('Casillas del horario'!$F$4:$F$73,$A113)))*((EXACT('Casillas del horario'!$B$4:$B$73,$B113)))*((1-(('Casillas del horario'!$D$4:$D$73=""))))))</f>
        <v/>
      </c>
      <c r="D113" s="3">
        <f>IF(AND($A113="",$B113=""),"",MID(IF((IFERROR(VALUE($C113&amp;""),0)&gt;IFERROR(VALUE('Parametros'!$B$4&amp;""),0)),";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dia")&amp;""),""),3,32767))</f>
        <v/>
      </c>
      <c r="E113" s="3">
        <f>IF(OR((IFERROR(VALUE($C113&amp;""),0)&gt;IFERROR(VALUE('Parametros'!$B$4&amp;""),0))),2,0)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IF(AND($A114="",$B114=""),"",SUMPRODUCT(1*((EXACT('Casillas del horario'!$F$4:$F$73,$A114)))*((EXACT('Casillas del horario'!$B$4:$B$73,$B114)))*((1-(('Casillas del horario'!$D$4:$D$73=""))))))</f>
        <v/>
      </c>
      <c r="D114" s="3">
        <f>IF(AND($A114="",$B114=""),"",MID(IF((IFERROR(VALUE($C114&amp;""),0)&gt;IFERROR(VALUE('Parametros'!$B$4&amp;""),0)),";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dia")&amp;""),""),3,32767))</f>
        <v/>
      </c>
      <c r="E114" s="3">
        <f>IF(OR((IFERROR(VALUE($C114&amp;""),0)&gt;IFERROR(VALUE('Parametros'!$B$4&amp;""),0))),2,0)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IF(AND($A115="",$B115=""),"",SUMPRODUCT(1*((EXACT('Casillas del horario'!$F$4:$F$73,$A115)))*((EXACT('Casillas del horario'!$B$4:$B$73,$B115)))*((1-(('Casillas del horario'!$D$4:$D$73=""))))))</f>
        <v/>
      </c>
      <c r="D115" s="3">
        <f>IF(AND($A115="",$B115=""),"",MID(IF((IFERROR(VALUE($C115&amp;""),0)&gt;IFERROR(VALUE('Parametros'!$B$4&amp;""),0)),";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dia")&amp;""),""),3,32767))</f>
        <v/>
      </c>
      <c r="E115" s="3">
        <f>IF(OR((IFERROR(VALUE($C115&amp;""),0)&gt;IFERROR(VALUE('Parametros'!$B$4&amp;""),0))),2,0)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IF(AND($A116="",$B116=""),"",SUMPRODUCT(1*((EXACT('Casillas del horario'!$F$4:$F$73,$A116)))*((EXACT('Casillas del horario'!$B$4:$B$73,$B116)))*((1-(('Casillas del horario'!$D$4:$D$73=""))))))</f>
        <v/>
      </c>
      <c r="D116" s="3">
        <f>IF(AND($A116="",$B116=""),"",MID(IF((IFERROR(VALUE($C116&amp;""),0)&gt;IFERROR(VALUE('Parametros'!$B$4&amp;""),0)),";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dia")&amp;""),""),3,32767))</f>
        <v/>
      </c>
      <c r="E116" s="3">
        <f>IF(OR((IFERROR(VALUE($C116&amp;""),0)&gt;IFERROR(VALUE('Parametros'!$B$4&amp;""),0))),2,0)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IF(AND($A117="",$B117=""),"",SUMPRODUCT(1*((EXACT('Casillas del horario'!$F$4:$F$73,$A117)))*((EXACT('Casillas del horario'!$B$4:$B$73,$B117)))*((1-(('Casillas del horario'!$D$4:$D$73=""))))))</f>
        <v/>
      </c>
      <c r="D117" s="3">
        <f>IF(AND($A117="",$B117=""),"",MID(IF((IFERROR(VALUE($C117&amp;""),0)&gt;IFERROR(VALUE('Parametros'!$B$4&amp;""),0)),";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dia")&amp;""),""),3,32767))</f>
        <v/>
      </c>
      <c r="E117" s="3">
        <f>IF(OR((IFERROR(VALUE($C117&amp;""),0)&gt;IFERROR(VALUE('Parametros'!$B$4&amp;""),0))),2,0)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IF(AND($A118="",$B118=""),"",SUMPRODUCT(1*((EXACT('Casillas del horario'!$F$4:$F$73,$A118)))*((EXACT('Casillas del horario'!$B$4:$B$73,$B118)))*((1-(('Casillas del horario'!$D$4:$D$73=""))))))</f>
        <v/>
      </c>
      <c r="D118" s="3">
        <f>IF(AND($A118="",$B118=""),"",MID(IF((IFERROR(VALUE($C118&amp;""),0)&gt;IFERROR(VALUE('Parametros'!$B$4&amp;""),0)),";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dia")&amp;""),""),3,32767))</f>
        <v/>
      </c>
      <c r="E118" s="3">
        <f>IF(OR((IFERROR(VALUE($C118&amp;""),0)&gt;IFERROR(VALUE('Parametros'!$B$4&amp;""),0))),2,0)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IF(AND($A119="",$B119=""),"",SUMPRODUCT(1*((EXACT('Casillas del horario'!$F$4:$F$73,$A119)))*((EXACT('Casillas del horario'!$B$4:$B$73,$B119)))*((1-(('Casillas del horario'!$D$4:$D$73=""))))))</f>
        <v/>
      </c>
      <c r="D119" s="3">
        <f>IF(AND($A119="",$B119=""),"",MID(IF((IFERROR(VALUE($C119&amp;""),0)&gt;IFERROR(VALUE('Parametros'!$B$4&amp;""),0)),";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dia")&amp;""),""),3,32767))</f>
        <v/>
      </c>
      <c r="E119" s="3">
        <f>IF(OR((IFERROR(VALUE($C119&amp;""),0)&gt;IFERROR(VALUE('Parametros'!$B$4&amp;""),0))),2,0)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IF(AND($A120="",$B120=""),"",SUMPRODUCT(1*((EXACT('Casillas del horario'!$F$4:$F$73,$A120)))*((EXACT('Casillas del horario'!$B$4:$B$73,$B120)))*((1-(('Casillas del horario'!$D$4:$D$73=""))))))</f>
        <v/>
      </c>
      <c r="D120" s="3">
        <f>IF(AND($A120="",$B120=""),"",MID(IF((IFERROR(VALUE($C120&amp;""),0)&gt;IFERROR(VALUE('Parametros'!$B$4&amp;""),0)),";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dia")&amp;""),""),3,32767))</f>
        <v/>
      </c>
      <c r="E120" s="3">
        <f>IF(OR((IFERROR(VALUE($C120&amp;""),0)&gt;IFERROR(VALUE('Parametros'!$B$4&amp;""),0))),2,0)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IF(AND($A121="",$B121=""),"",SUMPRODUCT(1*((EXACT('Casillas del horario'!$F$4:$F$73,$A121)))*((EXACT('Casillas del horario'!$B$4:$B$73,$B121)))*((1-(('Casillas del horario'!$D$4:$D$73=""))))))</f>
        <v/>
      </c>
      <c r="D121" s="3">
        <f>IF(AND($A121="",$B121=""),"",MID(IF((IFERROR(VALUE($C121&amp;""),0)&gt;IFERROR(VALUE('Parametros'!$B$4&amp;""),0)),";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dia")&amp;""),""),3,32767))</f>
        <v/>
      </c>
      <c r="E121" s="3">
        <f>IF(OR((IFERROR(VALUE($C121&amp;""),0)&gt;IFERROR(VALUE('Parametros'!$B$4&amp;""),0))),2,0)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IF(AND($A122="",$B122=""),"",SUMPRODUCT(1*((EXACT('Casillas del horario'!$F$4:$F$73,$A122)))*((EXACT('Casillas del horario'!$B$4:$B$73,$B122)))*((1-(('Casillas del horario'!$D$4:$D$73=""))))))</f>
        <v/>
      </c>
      <c r="D122" s="3">
        <f>IF(AND($A122="",$B122=""),"",MID(IF((IFERROR(VALUE($C122&amp;""),0)&gt;IFERROR(VALUE('Parametros'!$B$4&amp;""),0)),";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dia")&amp;""),""),3,32767))</f>
        <v/>
      </c>
      <c r="E122" s="3">
        <f>IF(OR((IFERROR(VALUE($C122&amp;""),0)&gt;IFERROR(VALUE('Parametros'!$B$4&amp;""),0))),2,0)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IF(AND($A123="",$B123=""),"",SUMPRODUCT(1*((EXACT('Casillas del horario'!$F$4:$F$73,$A123)))*((EXACT('Casillas del horario'!$B$4:$B$73,$B123)))*((1-(('Casillas del horario'!$D$4:$D$73=""))))))</f>
        <v/>
      </c>
      <c r="D123" s="3">
        <f>IF(AND($A123="",$B123=""),"",MID(IF((IFERROR(VALUE($C123&amp;""),0)&gt;IFERROR(VALUE('Parametros'!$B$4&amp;""),0)),";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dia")&amp;""),""),3,32767))</f>
        <v/>
      </c>
      <c r="E123" s="3">
        <f>IF(OR((IFERROR(VALUE($C123&amp;""),0)&gt;IFERROR(VALUE('Parametros'!$B$4&amp;""),0))),2,0)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IF(AND($A124="",$B124=""),"",SUMPRODUCT(1*((EXACT('Casillas del horario'!$F$4:$F$73,$A124)))*((EXACT('Casillas del horario'!$B$4:$B$73,$B124)))*((1-(('Casillas del horario'!$D$4:$D$73=""))))))</f>
        <v/>
      </c>
      <c r="D124" s="3">
        <f>IF(AND($A124="",$B124=""),"",MID(IF((IFERROR(VALUE($C124&amp;""),0)&gt;IFERROR(VALUE('Parametros'!$B$4&amp;""),0)),";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dia")&amp;""),""),3,32767))</f>
        <v/>
      </c>
      <c r="E124" s="3">
        <f>IF(OR((IFERROR(VALUE($C124&amp;""),0)&gt;IFERROR(VALUE('Parametros'!$B$4&amp;""),0))),2,0)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IF(AND($A125="",$B125=""),"",SUMPRODUCT(1*((EXACT('Casillas del horario'!$F$4:$F$73,$A125)))*((EXACT('Casillas del horario'!$B$4:$B$73,$B125)))*((1-(('Casillas del horario'!$D$4:$D$73=""))))))</f>
        <v/>
      </c>
      <c r="D125" s="3">
        <f>IF(AND($A125="",$B125=""),"",MID(IF((IFERROR(VALUE($C125&amp;""),0)&gt;IFERROR(VALUE('Parametros'!$B$4&amp;""),0)),";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dia")&amp;""),""),3,32767))</f>
        <v/>
      </c>
      <c r="E125" s="3">
        <f>IF(OR((IFERROR(VALUE($C125&amp;""),0)&gt;IFERROR(VALUE('Parametros'!$B$4&amp;""),0))),2,0)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IF(AND($A126="",$B126=""),"",SUMPRODUCT(1*((EXACT('Casillas del horario'!$F$4:$F$73,$A126)))*((EXACT('Casillas del horario'!$B$4:$B$73,$B126)))*((1-(('Casillas del horario'!$D$4:$D$73=""))))))</f>
        <v/>
      </c>
      <c r="D126" s="3">
        <f>IF(AND($A126="",$B126=""),"",MID(IF((IFERROR(VALUE($C126&amp;""),0)&gt;IFERROR(VALUE('Parametros'!$B$4&amp;""),0)),";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dia")&amp;""),""),3,32767))</f>
        <v/>
      </c>
      <c r="E126" s="3">
        <f>IF(OR((IFERROR(VALUE($C126&amp;""),0)&gt;IFERROR(VALUE('Parametros'!$B$4&amp;""),0))),2,0)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IF(AND($A127="",$B127=""),"",SUMPRODUCT(1*((EXACT('Casillas del horario'!$F$4:$F$73,$A127)))*((EXACT('Casillas del horario'!$B$4:$B$73,$B127)))*((1-(('Casillas del horario'!$D$4:$D$73=""))))))</f>
        <v/>
      </c>
      <c r="D127" s="3">
        <f>IF(AND($A127="",$B127=""),"",MID(IF((IFERROR(VALUE($C127&amp;""),0)&gt;IFERROR(VALUE('Parametros'!$B$4&amp;""),0)),";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dia")&amp;""),""),3,32767))</f>
        <v/>
      </c>
      <c r="E127" s="3">
        <f>IF(OR((IFERROR(VALUE($C127&amp;""),0)&gt;IFERROR(VALUE('Parametros'!$B$4&amp;""),0))),2,0)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IF(AND($A128="",$B128=""),"",SUMPRODUCT(1*((EXACT('Casillas del horario'!$F$4:$F$73,$A128)))*((EXACT('Casillas del horario'!$B$4:$B$73,$B128)))*((1-(('Casillas del horario'!$D$4:$D$73=""))))))</f>
        <v/>
      </c>
      <c r="D128" s="3">
        <f>IF(AND($A128="",$B128=""),"",MID(IF((IFERROR(VALUE($C128&amp;""),0)&gt;IFERROR(VALUE('Parametros'!$B$4&amp;""),0)),";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dia")&amp;""),""),3,32767))</f>
        <v/>
      </c>
      <c r="E128" s="3">
        <f>IF(OR((IFERROR(VALUE($C128&amp;""),0)&gt;IFERROR(VALUE('Parametros'!$B$4&amp;""),0))),2,0)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IF(AND($A129="",$B129=""),"",SUMPRODUCT(1*((EXACT('Casillas del horario'!$F$4:$F$73,$A129)))*((EXACT('Casillas del horario'!$B$4:$B$73,$B129)))*((1-(('Casillas del horario'!$D$4:$D$73=""))))))</f>
        <v/>
      </c>
      <c r="D129" s="3">
        <f>IF(AND($A129="",$B129=""),"",MID(IF((IFERROR(VALUE($C129&amp;""),0)&gt;IFERROR(VALUE('Parametros'!$B$4&amp;""),0)),";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dia")&amp;""),""),3,32767))</f>
        <v/>
      </c>
      <c r="E129" s="3">
        <f>IF(OR((IFERROR(VALUE($C129&amp;""),0)&gt;IFERROR(VALUE('Parametros'!$B$4&amp;""),0))),2,0)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IF(AND($A130="",$B130=""),"",SUMPRODUCT(1*((EXACT('Casillas del horario'!$F$4:$F$73,$A130)))*((EXACT('Casillas del horario'!$B$4:$B$73,$B130)))*((1-(('Casillas del horario'!$D$4:$D$73=""))))))</f>
        <v/>
      </c>
      <c r="D130" s="3">
        <f>IF(AND($A130="",$B130=""),"",MID(IF((IFERROR(VALUE($C130&amp;""),0)&gt;IFERROR(VALUE('Parametros'!$B$4&amp;""),0)),";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dia")&amp;""),""),3,32767))</f>
        <v/>
      </c>
      <c r="E130" s="3">
        <f>IF(OR((IFERROR(VALUE($C130&amp;""),0)&gt;IFERROR(VALUE('Parametros'!$B$4&amp;""),0))),2,0)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IF(AND($A131="",$B131=""),"",SUMPRODUCT(1*((EXACT('Casillas del horario'!$F$4:$F$73,$A131)))*((EXACT('Casillas del horario'!$B$4:$B$73,$B131)))*((1-(('Casillas del horario'!$D$4:$D$73=""))))))</f>
        <v/>
      </c>
      <c r="D131" s="3">
        <f>IF(AND($A131="",$B131=""),"",MID(IF((IFERROR(VALUE($C131&amp;""),0)&gt;IFERROR(VALUE('Parametros'!$B$4&amp;""),0)),";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dia")&amp;""),""),3,32767))</f>
        <v/>
      </c>
      <c r="E131" s="3">
        <f>IF(OR((IFERROR(VALUE($C131&amp;""),0)&gt;IFERROR(VALUE('Parametros'!$B$4&amp;""),0))),2,0)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IF(AND($A132="",$B132=""),"",SUMPRODUCT(1*((EXACT('Casillas del horario'!$F$4:$F$73,$A132)))*((EXACT('Casillas del horario'!$B$4:$B$73,$B132)))*((1-(('Casillas del horario'!$D$4:$D$73=""))))))</f>
        <v/>
      </c>
      <c r="D132" s="3">
        <f>IF(AND($A132="",$B132=""),"",MID(IF((IFERROR(VALUE($C132&amp;""),0)&gt;IFERROR(VALUE('Parametros'!$B$4&amp;""),0)),";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dia")&amp;""),""),3,32767))</f>
        <v/>
      </c>
      <c r="E132" s="3">
        <f>IF(OR((IFERROR(VALUE($C132&amp;""),0)&gt;IFERROR(VALUE('Parametros'!$B$4&amp;""),0))),2,0)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IF(AND($A133="",$B133=""),"",SUMPRODUCT(1*((EXACT('Casillas del horario'!$F$4:$F$73,$A133)))*((EXACT('Casillas del horario'!$B$4:$B$73,$B133)))*((1-(('Casillas del horario'!$D$4:$D$73=""))))))</f>
        <v/>
      </c>
      <c r="D133" s="3">
        <f>IF(AND($A133="",$B133=""),"",MID(IF((IFERROR(VALUE($C133&amp;""),0)&gt;IFERROR(VALUE('Parametros'!$B$4&amp;""),0)),";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dia")&amp;""),""),3,32767))</f>
        <v/>
      </c>
      <c r="E133" s="3">
        <f>IF(OR((IFERROR(VALUE($C133&amp;""),0)&gt;IFERROR(VALUE('Parametros'!$B$4&amp;""),0))),2,0)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IF(AND($A134="",$B134=""),"",SUMPRODUCT(1*((EXACT('Casillas del horario'!$F$4:$F$73,$A134)))*((EXACT('Casillas del horario'!$B$4:$B$73,$B134)))*((1-(('Casillas del horario'!$D$4:$D$73=""))))))</f>
        <v/>
      </c>
      <c r="D134" s="3">
        <f>IF(AND($A134="",$B134=""),"",MID(IF((IFERROR(VALUE($C134&amp;""),0)&gt;IFERROR(VALUE('Parametros'!$B$4&amp;""),0)),";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dia")&amp;""),""),3,32767))</f>
        <v/>
      </c>
      <c r="E134" s="3">
        <f>IF(OR((IFERROR(VALUE($C134&amp;""),0)&gt;IFERROR(VALUE('Parametros'!$B$4&amp;""),0))),2,0)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IF(AND($A135="",$B135=""),"",SUMPRODUCT(1*((EXACT('Casillas del horario'!$F$4:$F$73,$A135)))*((EXACT('Casillas del horario'!$B$4:$B$73,$B135)))*((1-(('Casillas del horario'!$D$4:$D$73=""))))))</f>
        <v/>
      </c>
      <c r="D135" s="3">
        <f>IF(AND($A135="",$B135=""),"",MID(IF((IFERROR(VALUE($C135&amp;""),0)&gt;IFERROR(VALUE('Parametros'!$B$4&amp;""),0)),";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dia")&amp;""),""),3,32767))</f>
        <v/>
      </c>
      <c r="E135" s="3">
        <f>IF(OR((IFERROR(VALUE($C135&amp;""),0)&gt;IFERROR(VALUE('Parametros'!$B$4&amp;""),0))),2,0)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IF(AND($A136="",$B136=""),"",SUMPRODUCT(1*((EXACT('Casillas del horario'!$F$4:$F$73,$A136)))*((EXACT('Casillas del horario'!$B$4:$B$73,$B136)))*((1-(('Casillas del horario'!$D$4:$D$73=""))))))</f>
        <v/>
      </c>
      <c r="D136" s="3">
        <f>IF(AND($A136="",$B136=""),"",MID(IF((IFERROR(VALUE($C136&amp;""),0)&gt;IFERROR(VALUE('Parametros'!$B$4&amp;""),0)),";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dia")&amp;""),""),3,32767))</f>
        <v/>
      </c>
      <c r="E136" s="3">
        <f>IF(OR((IFERROR(VALUE($C136&amp;""),0)&gt;IFERROR(VALUE('Parametros'!$B$4&amp;""),0))),2,0)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IF(AND($A137="",$B137=""),"",SUMPRODUCT(1*((EXACT('Casillas del horario'!$F$4:$F$73,$A137)))*((EXACT('Casillas del horario'!$B$4:$B$73,$B137)))*((1-(('Casillas del horario'!$D$4:$D$73=""))))))</f>
        <v/>
      </c>
      <c r="D137" s="3">
        <f>IF(AND($A137="",$B137=""),"",MID(IF((IFERROR(VALUE($C137&amp;""),0)&gt;IFERROR(VALUE('Parametros'!$B$4&amp;""),0)),";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dia")&amp;""),""),3,32767))</f>
        <v/>
      </c>
      <c r="E137" s="3">
        <f>IF(OR((IFERROR(VALUE($C137&amp;""),0)&gt;IFERROR(VALUE('Parametros'!$B$4&amp;""),0))),2,0)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IF(AND($A138="",$B138=""),"",SUMPRODUCT(1*((EXACT('Casillas del horario'!$F$4:$F$73,$A138)))*((EXACT('Casillas del horario'!$B$4:$B$73,$B138)))*((1-(('Casillas del horario'!$D$4:$D$73=""))))))</f>
        <v/>
      </c>
      <c r="D138" s="3">
        <f>IF(AND($A138="",$B138=""),"",MID(IF((IFERROR(VALUE($C138&amp;""),0)&gt;IFERROR(VALUE('Parametros'!$B$4&amp;""),0)),";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dia")&amp;""),""),3,32767))</f>
        <v/>
      </c>
      <c r="E138" s="3">
        <f>IF(OR((IFERROR(VALUE($C138&amp;""),0)&gt;IFERROR(VALUE('Parametros'!$B$4&amp;""),0))),2,0)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IF(AND($A139="",$B139=""),"",SUMPRODUCT(1*((EXACT('Casillas del horario'!$F$4:$F$73,$A139)))*((EXACT('Casillas del horario'!$B$4:$B$73,$B139)))*((1-(('Casillas del horario'!$D$4:$D$73=""))))))</f>
        <v/>
      </c>
      <c r="D139" s="3">
        <f>IF(AND($A139="",$B139=""),"",MID(IF((IFERROR(VALUE($C139&amp;""),0)&gt;IFERROR(VALUE('Parametros'!$B$4&amp;""),0)),";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dia")&amp;""),""),3,32767))</f>
        <v/>
      </c>
      <c r="E139" s="3">
        <f>IF(OR((IFERROR(VALUE($C139&amp;""),0)&gt;IFERROR(VALUE('Parametros'!$B$4&amp;""),0))),2,0)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IF(AND($A140="",$B140=""),"",SUMPRODUCT(1*((EXACT('Casillas del horario'!$F$4:$F$73,$A140)))*((EXACT('Casillas del horario'!$B$4:$B$73,$B140)))*((1-(('Casillas del horario'!$D$4:$D$73=""))))))</f>
        <v/>
      </c>
      <c r="D140" s="3">
        <f>IF(AND($A140="",$B140=""),"",MID(IF((IFERROR(VALUE($C140&amp;""),0)&gt;IFERROR(VALUE('Parametros'!$B$4&amp;""),0)),";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dia")&amp;""),""),3,32767))</f>
        <v/>
      </c>
      <c r="E140" s="3">
        <f>IF(OR((IFERROR(VALUE($C140&amp;""),0)&gt;IFERROR(VALUE('Parametros'!$B$4&amp;""),0))),2,0)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IF(AND($A141="",$B141=""),"",SUMPRODUCT(1*((EXACT('Casillas del horario'!$F$4:$F$73,$A141)))*((EXACT('Casillas del horario'!$B$4:$B$73,$B141)))*((1-(('Casillas del horario'!$D$4:$D$73=""))))))</f>
        <v/>
      </c>
      <c r="D141" s="3">
        <f>IF(AND($A141="",$B141=""),"",MID(IF((IFERROR(VALUE($C141&amp;""),0)&gt;IFERROR(VALUE('Parametros'!$B$4&amp;""),0)),";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dia")&amp;""),""),3,32767))</f>
        <v/>
      </c>
      <c r="E141" s="3">
        <f>IF(OR((IFERROR(VALUE($C141&amp;""),0)&gt;IFERROR(VALUE('Parametros'!$B$4&amp;""),0))),2,0)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IF(AND($A142="",$B142=""),"",SUMPRODUCT(1*((EXACT('Casillas del horario'!$F$4:$F$73,$A142)))*((EXACT('Casillas del horario'!$B$4:$B$73,$B142)))*((1-(('Casillas del horario'!$D$4:$D$73=""))))))</f>
        <v/>
      </c>
      <c r="D142" s="3">
        <f>IF(AND($A142="",$B142=""),"",MID(IF((IFERROR(VALUE($C142&amp;""),0)&gt;IFERROR(VALUE('Parametros'!$B$4&amp;""),0)),";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dia")&amp;""),""),3,32767))</f>
        <v/>
      </c>
      <c r="E142" s="3">
        <f>IF(OR((IFERROR(VALUE($C142&amp;""),0)&gt;IFERROR(VALUE('Parametros'!$B$4&amp;""),0))),2,0)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IF(AND($A143="",$B143=""),"",SUMPRODUCT(1*((EXACT('Casillas del horario'!$F$4:$F$73,$A143)))*((EXACT('Casillas del horario'!$B$4:$B$73,$B143)))*((1-(('Casillas del horario'!$D$4:$D$73=""))))))</f>
        <v/>
      </c>
      <c r="D143" s="3">
        <f>IF(AND($A143="",$B143=""),"",MID(IF((IFERROR(VALUE($C143&amp;""),0)&gt;IFERROR(VALUE('Parametros'!$B$4&amp;""),0)),";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dia")&amp;""),""),3,32767))</f>
        <v/>
      </c>
      <c r="E143" s="3">
        <f>IF(OR((IFERROR(VALUE($C143&amp;""),0)&gt;IFERROR(VALUE('Parametros'!$B$4&amp;""),0))),2,0)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IF(AND($A144="",$B144=""),"",SUMPRODUCT(1*((EXACT('Casillas del horario'!$F$4:$F$73,$A144)))*((EXACT('Casillas del horario'!$B$4:$B$73,$B144)))*((1-(('Casillas del horario'!$D$4:$D$73=""))))))</f>
        <v/>
      </c>
      <c r="D144" s="3">
        <f>IF(AND($A144="",$B144=""),"",MID(IF((IFERROR(VALUE($C144&amp;""),0)&gt;IFERROR(VALUE('Parametros'!$B$4&amp;""),0)),";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dia")&amp;""),""),3,32767))</f>
        <v/>
      </c>
      <c r="E144" s="3">
        <f>IF(OR((IFERROR(VALUE($C144&amp;""),0)&gt;IFERROR(VALUE('Parametros'!$B$4&amp;""),0))),2,0)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IF(AND($A145="",$B145=""),"",SUMPRODUCT(1*((EXACT('Casillas del horario'!$F$4:$F$73,$A145)))*((EXACT('Casillas del horario'!$B$4:$B$73,$B145)))*((1-(('Casillas del horario'!$D$4:$D$73=""))))))</f>
        <v/>
      </c>
      <c r="D145" s="3">
        <f>IF(AND($A145="",$B145=""),"",MID(IF((IFERROR(VALUE($C145&amp;""),0)&gt;IFERROR(VALUE('Parametros'!$B$4&amp;""),0)),";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dia")&amp;""),""),3,32767))</f>
        <v/>
      </c>
      <c r="E145" s="3">
        <f>IF(OR((IFERROR(VALUE($C145&amp;""),0)&gt;IFERROR(VALUE('Parametros'!$B$4&amp;""),0))),2,0)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IF(AND($A146="",$B146=""),"",SUMPRODUCT(1*((EXACT('Casillas del horario'!$F$4:$F$73,$A146)))*((EXACT('Casillas del horario'!$B$4:$B$73,$B146)))*((1-(('Casillas del horario'!$D$4:$D$73=""))))))</f>
        <v/>
      </c>
      <c r="D146" s="3">
        <f>IF(AND($A146="",$B146=""),"",MID(IF((IFERROR(VALUE($C146&amp;""),0)&gt;IFERROR(VALUE('Parametros'!$B$4&amp;""),0)),";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dia")&amp;""),""),3,32767))</f>
        <v/>
      </c>
      <c r="E146" s="3">
        <f>IF(OR((IFERROR(VALUE($C146&amp;""),0)&gt;IFERROR(VALUE('Parametros'!$B$4&amp;""),0))),2,0)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IF(AND($A147="",$B147=""),"",SUMPRODUCT(1*((EXACT('Casillas del horario'!$F$4:$F$73,$A147)))*((EXACT('Casillas del horario'!$B$4:$B$73,$B147)))*((1-(('Casillas del horario'!$D$4:$D$73=""))))))</f>
        <v/>
      </c>
      <c r="D147" s="3">
        <f>IF(AND($A147="",$B147=""),"",MID(IF((IFERROR(VALUE($C147&amp;""),0)&gt;IFERROR(VALUE('Parametros'!$B$4&amp;""),0)),";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dia")&amp;""),""),3,32767))</f>
        <v/>
      </c>
      <c r="E147" s="3">
        <f>IF(OR((IFERROR(VALUE($C147&amp;""),0)&gt;IFERROR(VALUE('Parametros'!$B$4&amp;""),0))),2,0)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IF(AND($A148="",$B148=""),"",SUMPRODUCT(1*((EXACT('Casillas del horario'!$F$4:$F$73,$A148)))*((EXACT('Casillas del horario'!$B$4:$B$73,$B148)))*((1-(('Casillas del horario'!$D$4:$D$73=""))))))</f>
        <v/>
      </c>
      <c r="D148" s="3">
        <f>IF(AND($A148="",$B148=""),"",MID(IF((IFERROR(VALUE($C148&amp;""),0)&gt;IFERROR(VALUE('Parametros'!$B$4&amp;""),0)),";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dia")&amp;""),""),3,32767))</f>
        <v/>
      </c>
      <c r="E148" s="3">
        <f>IF(OR((IFERROR(VALUE($C148&amp;""),0)&gt;IFERROR(VALUE('Parametros'!$B$4&amp;""),0))),2,0)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IF(AND($A149="",$B149=""),"",SUMPRODUCT(1*((EXACT('Casillas del horario'!$F$4:$F$73,$A149)))*((EXACT('Casillas del horario'!$B$4:$B$73,$B149)))*((1-(('Casillas del horario'!$D$4:$D$73=""))))))</f>
        <v/>
      </c>
      <c r="D149" s="3">
        <f>IF(AND($A149="",$B149=""),"",MID(IF((IFERROR(VALUE($C149&amp;""),0)&gt;IFERROR(VALUE('Parametros'!$B$4&amp;""),0)),";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dia")&amp;""),""),3,32767))</f>
        <v/>
      </c>
      <c r="E149" s="3">
        <f>IF(OR((IFERROR(VALUE($C149&amp;""),0)&gt;IFERROR(VALUE('Parametros'!$B$4&amp;""),0))),2,0)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IF(AND($A150="",$B150=""),"",SUMPRODUCT(1*((EXACT('Casillas del horario'!$F$4:$F$73,$A150)))*((EXACT('Casillas del horario'!$B$4:$B$73,$B150)))*((1-(('Casillas del horario'!$D$4:$D$73=""))))))</f>
        <v/>
      </c>
      <c r="D150" s="3">
        <f>IF(AND($A150="",$B150=""),"",MID(IF((IFERROR(VALUE($C150&amp;""),0)&gt;IFERROR(VALUE('Parametros'!$B$4&amp;""),0)),";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dia")&amp;""),""),3,32767))</f>
        <v/>
      </c>
      <c r="E150" s="3">
        <f>IF(OR((IFERROR(VALUE($C150&amp;""),0)&gt;IFERROR(VALUE('Parametros'!$B$4&amp;""),0))),2,0)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IF(AND($A151="",$B151=""),"",SUMPRODUCT(1*((EXACT('Casillas del horario'!$F$4:$F$73,$A151)))*((EXACT('Casillas del horario'!$B$4:$B$73,$B151)))*((1-(('Casillas del horario'!$D$4:$D$73=""))))))</f>
        <v/>
      </c>
      <c r="D151" s="3">
        <f>IF(AND($A151="",$B151=""),"",MID(IF((IFERROR(VALUE($C151&amp;""),0)&gt;IFERROR(VALUE('Parametros'!$B$4&amp;""),0)),";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dia")&amp;""),""),3,32767))</f>
        <v/>
      </c>
      <c r="E151" s="3">
        <f>IF(OR((IFERROR(VALUE($C151&amp;""),0)&gt;IFERROR(VALUE('Parametros'!$B$4&amp;""),0))),2,0)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IF(AND($A152="",$B152=""),"",SUMPRODUCT(1*((EXACT('Casillas del horario'!$F$4:$F$73,$A152)))*((EXACT('Casillas del horario'!$B$4:$B$73,$B152)))*((1-(('Casillas del horario'!$D$4:$D$73=""))))))</f>
        <v/>
      </c>
      <c r="D152" s="3">
        <f>IF(AND($A152="",$B152=""),"",MID(IF((IFERROR(VALUE($C152&amp;""),0)&gt;IFERROR(VALUE('Parametros'!$B$4&amp;""),0)),";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dia")&amp;""),""),3,32767))</f>
        <v/>
      </c>
      <c r="E152" s="3">
        <f>IF(OR((IFERROR(VALUE($C152&amp;""),0)&gt;IFERROR(VALUE('Parametros'!$B$4&amp;""),0))),2,0)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IF(AND($A153="",$B153=""),"",SUMPRODUCT(1*((EXACT('Casillas del horario'!$F$4:$F$73,$A153)))*((EXACT('Casillas del horario'!$B$4:$B$73,$B153)))*((1-(('Casillas del horario'!$D$4:$D$73=""))))))</f>
        <v/>
      </c>
      <c r="D153" s="3">
        <f>IF(AND($A153="",$B153=""),"",MID(IF((IFERROR(VALUE($C153&amp;""),0)&gt;IFERROR(VALUE('Parametros'!$B$4&amp;""),0)),";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dia")&amp;""),""),3,32767))</f>
        <v/>
      </c>
      <c r="E153" s="3">
        <f>IF(OR((IFERROR(VALUE($C153&amp;""),0)&gt;IFERROR(VALUE('Parametros'!$B$4&amp;""),0))),2,0)</f>
        <v/>
      </c>
    </row>
    <row r="154">
      <c r="A154" s="4" t="n"/>
      <c r="B154" s="4" t="n"/>
      <c r="C154" s="3">
        <f>IF(AND($A154="",$B154=""),"",SUMPRODUCT(1*((EXACT('Casillas del horario'!$F$4:$F$73,$A154)))*((EXACT('Casillas del horario'!$B$4:$B$73,$B154)))*((1-(('Casillas del horario'!$D$4:$D$73=""))))))</f>
        <v/>
      </c>
      <c r="D154" s="3">
        <f>IF(AND($A154="",$B154=""),"",MID(IF((IFERROR(VALUE($C154&amp;""),0)&gt;IFERROR(VALUE('Parametros'!$B$4&amp;""),0)),"; "&amp;IF(ISNUMBER(("Da "&amp;IF(ISNUMBER($C154),IF($C154=0,"0",ROUND($C154,9-INT(LOG10(ABS($C154))))&amp;""),$C154&amp;"")&amp;" sesiones ese dia")),IF(("Da "&amp;IF(ISNUMBER($C154),IF($C154=0,"0",ROUND($C154,9-INT(LOG10(ABS($C154))))&amp;""),$C154&amp;"")&amp;" sesiones ese dia")=0,"0",ROUND(("Da "&amp;IF(ISNUMBER($C154),IF($C154=0,"0",ROUND($C154,9-INT(LOG10(ABS($C154))))&amp;""),$C154&amp;"")&amp;" sesiones ese dia"),9-INT(LOG10(ABS(("Da "&amp;IF(ISNUMBER($C154),IF($C154=0,"0",ROUND($C154,9-INT(LOG10(ABS($C154))))&amp;""),$C154&amp;"")&amp;" sesiones ese dia")))))&amp;""),("Da "&amp;IF(ISNUMBER($C154),IF($C154=0,"0",ROUND($C154,9-INT(LOG10(ABS($C154))))&amp;""),$C154&amp;"")&amp;" sesiones ese dia")&amp;""),""),3,32767))</f>
        <v/>
      </c>
      <c r="E154" s="3">
        <f>IF(OR((IFERROR(VALUE($C154&amp;""),0)&gt;IFERROR(VALUE('Parametros'!$B$4&amp;""),0))),2,0)</f>
        <v/>
      </c>
    </row>
    <row r="155">
      <c r="A155" s="4" t="n"/>
      <c r="B155" s="4" t="n"/>
      <c r="C155" s="3">
        <f>IF(AND($A155="",$B155=""),"",SUMPRODUCT(1*((EXACT('Casillas del horario'!$F$4:$F$73,$A155)))*((EXACT('Casillas del horario'!$B$4:$B$73,$B155)))*((1-(('Casillas del horario'!$D$4:$D$73=""))))))</f>
        <v/>
      </c>
      <c r="D155" s="3">
        <f>IF(AND($A155="",$B155=""),"",MID(IF((IFERROR(VALUE($C155&amp;""),0)&gt;IFERROR(VALUE('Parametros'!$B$4&amp;""),0)),"; "&amp;IF(ISNUMBER(("Da "&amp;IF(ISNUMBER($C155),IF($C155=0,"0",ROUND($C155,9-INT(LOG10(ABS($C155))))&amp;""),$C155&amp;"")&amp;" sesiones ese dia")),IF(("Da "&amp;IF(ISNUMBER($C155),IF($C155=0,"0",ROUND($C155,9-INT(LOG10(ABS($C155))))&amp;""),$C155&amp;"")&amp;" sesiones ese dia")=0,"0",ROUND(("Da "&amp;IF(ISNUMBER($C155),IF($C155=0,"0",ROUND($C155,9-INT(LOG10(ABS($C155))))&amp;""),$C155&amp;"")&amp;" sesiones ese dia"),9-INT(LOG10(ABS(("Da "&amp;IF(ISNUMBER($C155),IF($C155=0,"0",ROUND($C155,9-INT(LOG10(ABS($C155))))&amp;""),$C155&amp;"")&amp;" sesiones ese dia")))))&amp;""),("Da "&amp;IF(ISNUMBER($C155),IF($C155=0,"0",ROUND($C155,9-INT(LOG10(ABS($C155))))&amp;""),$C155&amp;"")&amp;" sesiones ese dia")&amp;""),""),3,32767))</f>
        <v/>
      </c>
      <c r="E155" s="3">
        <f>IF(OR((IFERROR(VALUE($C155&amp;""),0)&gt;IFERROR(VALUE('Parametros'!$B$4&amp;""),0))),2,0)</f>
        <v/>
      </c>
    </row>
    <row r="156">
      <c r="A156" s="4" t="n"/>
      <c r="B156" s="4" t="n"/>
      <c r="C156" s="3">
        <f>IF(AND($A156="",$B156=""),"",SUMPRODUCT(1*((EXACT('Casillas del horario'!$F$4:$F$73,$A156)))*((EXACT('Casillas del horario'!$B$4:$B$73,$B156)))*((1-(('Casillas del horario'!$D$4:$D$73=""))))))</f>
        <v/>
      </c>
      <c r="D156" s="3">
        <f>IF(AND($A156="",$B156=""),"",MID(IF((IFERROR(VALUE($C156&amp;""),0)&gt;IFERROR(VALUE('Parametros'!$B$4&amp;""),0)),"; "&amp;IF(ISNUMBER(("Da "&amp;IF(ISNUMBER($C156),IF($C156=0,"0",ROUND($C156,9-INT(LOG10(ABS($C156))))&amp;""),$C156&amp;"")&amp;" sesiones ese dia")),IF(("Da "&amp;IF(ISNUMBER($C156),IF($C156=0,"0",ROUND($C156,9-INT(LOG10(ABS($C156))))&amp;""),$C156&amp;"")&amp;" sesiones ese dia")=0,"0",ROUND(("Da "&amp;IF(ISNUMBER($C156),IF($C156=0,"0",ROUND($C156,9-INT(LOG10(ABS($C156))))&amp;""),$C156&amp;"")&amp;" sesiones ese dia"),9-INT(LOG10(ABS(("Da "&amp;IF(ISNUMBER($C156),IF($C156=0,"0",ROUND($C156,9-INT(LOG10(ABS($C156))))&amp;""),$C156&amp;"")&amp;" sesiones ese dia")))))&amp;""),("Da "&amp;IF(ISNUMBER($C156),IF($C156=0,"0",ROUND($C156,9-INT(LOG10(ABS($C156))))&amp;""),$C156&amp;"")&amp;" sesiones ese dia")&amp;""),""),3,32767))</f>
        <v/>
      </c>
      <c r="E156" s="3">
        <f>IF(OR((IFERROR(VALUE($C156&amp;""),0)&gt;IFERROR(VALUE('Parametros'!$B$4&amp;""),0))),2,0)</f>
        <v/>
      </c>
    </row>
    <row r="157">
      <c r="A157" s="4" t="n"/>
      <c r="B157" s="4" t="n"/>
      <c r="C157" s="3">
        <f>IF(AND($A157="",$B157=""),"",SUMPRODUCT(1*((EXACT('Casillas del horario'!$F$4:$F$73,$A157)))*((EXACT('Casillas del horario'!$B$4:$B$73,$B157)))*((1-(('Casillas del horario'!$D$4:$D$73=""))))))</f>
        <v/>
      </c>
      <c r="D157" s="3">
        <f>IF(AND($A157="",$B157=""),"",MID(IF((IFERROR(VALUE($C157&amp;""),0)&gt;IFERROR(VALUE('Parametros'!$B$4&amp;""),0)),"; "&amp;IF(ISNUMBER(("Da "&amp;IF(ISNUMBER($C157),IF($C157=0,"0",ROUND($C157,9-INT(LOG10(ABS($C157))))&amp;""),$C157&amp;"")&amp;" sesiones ese dia")),IF(("Da "&amp;IF(ISNUMBER($C157),IF($C157=0,"0",ROUND($C157,9-INT(LOG10(ABS($C157))))&amp;""),$C157&amp;"")&amp;" sesiones ese dia")=0,"0",ROUND(("Da "&amp;IF(ISNUMBER($C157),IF($C157=0,"0",ROUND($C157,9-INT(LOG10(ABS($C157))))&amp;""),$C157&amp;"")&amp;" sesiones ese dia"),9-INT(LOG10(ABS(("Da "&amp;IF(ISNUMBER($C157),IF($C157=0,"0",ROUND($C157,9-INT(LOG10(ABS($C157))))&amp;""),$C157&amp;"")&amp;" sesiones ese dia")))))&amp;""),("Da "&amp;IF(ISNUMBER($C157),IF($C157=0,"0",ROUND($C157,9-INT(LOG10(ABS($C157))))&amp;""),$C157&amp;"")&amp;" sesiones ese dia")&amp;""),""),3,32767))</f>
        <v/>
      </c>
      <c r="E157" s="3">
        <f>IF(OR((IFERROR(VALUE($C157&amp;""),0)&gt;IFERROR(VALUE('Parametros'!$B$4&amp;""),0))),2,0)</f>
        <v/>
      </c>
    </row>
    <row r="158">
      <c r="A158" s="4" t="n"/>
      <c r="B158" s="4" t="n"/>
      <c r="C158" s="3">
        <f>IF(AND($A158="",$B158=""),"",SUMPRODUCT(1*((EXACT('Casillas del horario'!$F$4:$F$73,$A158)))*((EXACT('Casillas del horario'!$B$4:$B$73,$B158)))*((1-(('Casillas del horario'!$D$4:$D$73=""))))))</f>
        <v/>
      </c>
      <c r="D158" s="3">
        <f>IF(AND($A158="",$B158=""),"",MID(IF((IFERROR(VALUE($C158&amp;""),0)&gt;IFERROR(VALUE('Parametros'!$B$4&amp;""),0)),"; "&amp;IF(ISNUMBER(("Da "&amp;IF(ISNUMBER($C158),IF($C158=0,"0",ROUND($C158,9-INT(LOG10(ABS($C158))))&amp;""),$C158&amp;"")&amp;" sesiones ese dia")),IF(("Da "&amp;IF(ISNUMBER($C158),IF($C158=0,"0",ROUND($C158,9-INT(LOG10(ABS($C158))))&amp;""),$C158&amp;"")&amp;" sesiones ese dia")=0,"0",ROUND(("Da "&amp;IF(ISNUMBER($C158),IF($C158=0,"0",ROUND($C158,9-INT(LOG10(ABS($C158))))&amp;""),$C158&amp;"")&amp;" sesiones ese dia"),9-INT(LOG10(ABS(("Da "&amp;IF(ISNUMBER($C158),IF($C158=0,"0",ROUND($C158,9-INT(LOG10(ABS($C158))))&amp;""),$C158&amp;"")&amp;" sesiones ese dia")))))&amp;""),("Da "&amp;IF(ISNUMBER($C158),IF($C158=0,"0",ROUND($C158,9-INT(LOG10(ABS($C158))))&amp;""),$C158&amp;"")&amp;" sesiones ese dia")&amp;""),""),3,32767))</f>
        <v/>
      </c>
      <c r="E158" s="3">
        <f>IF(OR((IFERROR(VALUE($C158&amp;""),0)&gt;IFERROR(VALUE('Parametros'!$B$4&amp;""),0))),2,0)</f>
        <v/>
      </c>
    </row>
    <row r="159">
      <c r="A159" s="4" t="n"/>
      <c r="B159" s="4" t="n"/>
      <c r="C159" s="3">
        <f>IF(AND($A159="",$B159=""),"",SUMPRODUCT(1*((EXACT('Casillas del horario'!$F$4:$F$73,$A159)))*((EXACT('Casillas del horario'!$B$4:$B$73,$B159)))*((1-(('Casillas del horario'!$D$4:$D$73=""))))))</f>
        <v/>
      </c>
      <c r="D159" s="3">
        <f>IF(AND($A159="",$B159=""),"",MID(IF((IFERROR(VALUE($C159&amp;""),0)&gt;IFERROR(VALUE('Parametros'!$B$4&amp;""),0)),"; "&amp;IF(ISNUMBER(("Da "&amp;IF(ISNUMBER($C159),IF($C159=0,"0",ROUND($C159,9-INT(LOG10(ABS($C159))))&amp;""),$C159&amp;"")&amp;" sesiones ese dia")),IF(("Da "&amp;IF(ISNUMBER($C159),IF($C159=0,"0",ROUND($C159,9-INT(LOG10(ABS($C159))))&amp;""),$C159&amp;"")&amp;" sesiones ese dia")=0,"0",ROUND(("Da "&amp;IF(ISNUMBER($C159),IF($C159=0,"0",ROUND($C159,9-INT(LOG10(ABS($C159))))&amp;""),$C159&amp;"")&amp;" sesiones ese dia"),9-INT(LOG10(ABS(("Da "&amp;IF(ISNUMBER($C159),IF($C159=0,"0",ROUND($C159,9-INT(LOG10(ABS($C159))))&amp;""),$C159&amp;"")&amp;" sesiones ese dia")))))&amp;""),("Da "&amp;IF(ISNUMBER($C159),IF($C159=0,"0",ROUND($C159,9-INT(LOG10(ABS($C159))))&amp;""),$C159&amp;"")&amp;" sesiones ese dia")&amp;""),""),3,32767))</f>
        <v/>
      </c>
      <c r="E159" s="3">
        <f>IF(OR((IFERROR(VALUE($C159&amp;""),0)&gt;IFERROR(VALUE('Parametros'!$B$4&amp;""),0))),2,0)</f>
        <v/>
      </c>
    </row>
    <row r="160">
      <c r="A160" s="4" t="n"/>
      <c r="B160" s="4" t="n"/>
      <c r="C160" s="3">
        <f>IF(AND($A160="",$B160=""),"",SUMPRODUCT(1*((EXACT('Casillas del horario'!$F$4:$F$73,$A160)))*((EXACT('Casillas del horario'!$B$4:$B$73,$B160)))*((1-(('Casillas del horario'!$D$4:$D$73=""))))))</f>
        <v/>
      </c>
      <c r="D160" s="3">
        <f>IF(AND($A160="",$B160=""),"",MID(IF((IFERROR(VALUE($C160&amp;""),0)&gt;IFERROR(VALUE('Parametros'!$B$4&amp;""),0)),"; "&amp;IF(ISNUMBER(("Da "&amp;IF(ISNUMBER($C160),IF($C160=0,"0",ROUND($C160,9-INT(LOG10(ABS($C160))))&amp;""),$C160&amp;"")&amp;" sesiones ese dia")),IF(("Da "&amp;IF(ISNUMBER($C160),IF($C160=0,"0",ROUND($C160,9-INT(LOG10(ABS($C160))))&amp;""),$C160&amp;"")&amp;" sesiones ese dia")=0,"0",ROUND(("Da "&amp;IF(ISNUMBER($C160),IF($C160=0,"0",ROUND($C160,9-INT(LOG10(ABS($C160))))&amp;""),$C160&amp;"")&amp;" sesiones ese dia"),9-INT(LOG10(ABS(("Da "&amp;IF(ISNUMBER($C160),IF($C160=0,"0",ROUND($C160,9-INT(LOG10(ABS($C160))))&amp;""),$C160&amp;"")&amp;" sesiones ese dia")))))&amp;""),("Da "&amp;IF(ISNUMBER($C160),IF($C160=0,"0",ROUND($C160,9-INT(LOG10(ABS($C160))))&amp;""),$C160&amp;"")&amp;" sesiones ese dia")&amp;""),""),3,32767))</f>
        <v/>
      </c>
      <c r="E160" s="3">
        <f>IF(OR((IFERROR(VALUE($C160&amp;""),0)&gt;IFERROR(VALUE('Parametros'!$B$4&amp;""),0))),2,0)</f>
        <v/>
      </c>
    </row>
    <row r="161">
      <c r="A161" s="4" t="n"/>
      <c r="B161" s="4" t="n"/>
      <c r="C161" s="3">
        <f>IF(AND($A161="",$B161=""),"",SUMPRODUCT(1*((EXACT('Casillas del horario'!$F$4:$F$73,$A161)))*((EXACT('Casillas del horario'!$B$4:$B$73,$B161)))*((1-(('Casillas del horario'!$D$4:$D$73=""))))))</f>
        <v/>
      </c>
      <c r="D161" s="3">
        <f>IF(AND($A161="",$B161=""),"",MID(IF((IFERROR(VALUE($C161&amp;""),0)&gt;IFERROR(VALUE('Parametros'!$B$4&amp;""),0)),"; "&amp;IF(ISNUMBER(("Da "&amp;IF(ISNUMBER($C161),IF($C161=0,"0",ROUND($C161,9-INT(LOG10(ABS($C161))))&amp;""),$C161&amp;"")&amp;" sesiones ese dia")),IF(("Da "&amp;IF(ISNUMBER($C161),IF($C161=0,"0",ROUND($C161,9-INT(LOG10(ABS($C161))))&amp;""),$C161&amp;"")&amp;" sesiones ese dia")=0,"0",ROUND(("Da "&amp;IF(ISNUMBER($C161),IF($C161=0,"0",ROUND($C161,9-INT(LOG10(ABS($C161))))&amp;""),$C161&amp;"")&amp;" sesiones ese dia"),9-INT(LOG10(ABS(("Da "&amp;IF(ISNUMBER($C161),IF($C161=0,"0",ROUND($C161,9-INT(LOG10(ABS($C161))))&amp;""),$C161&amp;"")&amp;" sesiones ese dia")))))&amp;""),("Da "&amp;IF(ISNUMBER($C161),IF($C161=0,"0",ROUND($C161,9-INT(LOG10(ABS($C161))))&amp;""),$C161&amp;"")&amp;" sesiones ese dia")&amp;""),""),3,32767))</f>
        <v/>
      </c>
      <c r="E161" s="3">
        <f>IF(OR((IFERROR(VALUE($C161&amp;""),0)&gt;IFERROR(VALUE('Parametros'!$B$4&amp;""),0))),2,0)</f>
        <v/>
      </c>
    </row>
    <row r="162">
      <c r="A162" s="4" t="n"/>
      <c r="B162" s="4" t="n"/>
      <c r="C162" s="3">
        <f>IF(AND($A162="",$B162=""),"",SUMPRODUCT(1*((EXACT('Casillas del horario'!$F$4:$F$73,$A162)))*((EXACT('Casillas del horario'!$B$4:$B$73,$B162)))*((1-(('Casillas del horario'!$D$4:$D$73=""))))))</f>
        <v/>
      </c>
      <c r="D162" s="3">
        <f>IF(AND($A162="",$B162=""),"",MID(IF((IFERROR(VALUE($C162&amp;""),0)&gt;IFERROR(VALUE('Parametros'!$B$4&amp;""),0)),"; "&amp;IF(ISNUMBER(("Da "&amp;IF(ISNUMBER($C162),IF($C162=0,"0",ROUND($C162,9-INT(LOG10(ABS($C162))))&amp;""),$C162&amp;"")&amp;" sesiones ese dia")),IF(("Da "&amp;IF(ISNUMBER($C162),IF($C162=0,"0",ROUND($C162,9-INT(LOG10(ABS($C162))))&amp;""),$C162&amp;"")&amp;" sesiones ese dia")=0,"0",ROUND(("Da "&amp;IF(ISNUMBER($C162),IF($C162=0,"0",ROUND($C162,9-INT(LOG10(ABS($C162))))&amp;""),$C162&amp;"")&amp;" sesiones ese dia"),9-INT(LOG10(ABS(("Da "&amp;IF(ISNUMBER($C162),IF($C162=0,"0",ROUND($C162,9-INT(LOG10(ABS($C162))))&amp;""),$C162&amp;"")&amp;" sesiones ese dia")))))&amp;""),("Da "&amp;IF(ISNUMBER($C162),IF($C162=0,"0",ROUND($C162,9-INT(LOG10(ABS($C162))))&amp;""),$C162&amp;"")&amp;" sesiones ese dia")&amp;""),""),3,32767))</f>
        <v/>
      </c>
      <c r="E162" s="3">
        <f>IF(OR((IFERROR(VALUE($C162&amp;""),0)&gt;IFERROR(VALUE('Parametros'!$B$4&amp;""),0))),2,0)</f>
        <v/>
      </c>
    </row>
    <row r="163">
      <c r="A163" s="4" t="n"/>
      <c r="B163" s="4" t="n"/>
      <c r="C163" s="3">
        <f>IF(AND($A163="",$B163=""),"",SUMPRODUCT(1*((EXACT('Casillas del horario'!$F$4:$F$73,$A163)))*((EXACT('Casillas del horario'!$B$4:$B$73,$B163)))*((1-(('Casillas del horario'!$D$4:$D$73=""))))))</f>
        <v/>
      </c>
      <c r="D163" s="3">
        <f>IF(AND($A163="",$B163=""),"",MID(IF((IFERROR(VALUE($C163&amp;""),0)&gt;IFERROR(VALUE('Parametros'!$B$4&amp;""),0)),"; "&amp;IF(ISNUMBER(("Da "&amp;IF(ISNUMBER($C163),IF($C163=0,"0",ROUND($C163,9-INT(LOG10(ABS($C163))))&amp;""),$C163&amp;"")&amp;" sesiones ese dia")),IF(("Da "&amp;IF(ISNUMBER($C163),IF($C163=0,"0",ROUND($C163,9-INT(LOG10(ABS($C163))))&amp;""),$C163&amp;"")&amp;" sesiones ese dia")=0,"0",ROUND(("Da "&amp;IF(ISNUMBER($C163),IF($C163=0,"0",ROUND($C163,9-INT(LOG10(ABS($C163))))&amp;""),$C163&amp;"")&amp;" sesiones ese dia"),9-INT(LOG10(ABS(("Da "&amp;IF(ISNUMBER($C163),IF($C163=0,"0",ROUND($C163,9-INT(LOG10(ABS($C163))))&amp;""),$C163&amp;"")&amp;" sesiones ese dia")))))&amp;""),("Da "&amp;IF(ISNUMBER($C163),IF($C163=0,"0",ROUND($C163,9-INT(LOG10(ABS($C163))))&amp;""),$C163&amp;"")&amp;" sesiones ese dia")&amp;""),""),3,32767))</f>
        <v/>
      </c>
      <c r="E163" s="3">
        <f>IF(OR((IFERROR(VALUE($C163&amp;""),0)&gt;IFERROR(VALUE('Parametros'!$B$4&amp;""),0))),2,0)</f>
        <v/>
      </c>
    </row>
    <row r="164">
      <c r="A164" s="4" t="n"/>
      <c r="B164" s="4" t="n"/>
      <c r="C164" s="3">
        <f>IF(AND($A164="",$B164=""),"",SUMPRODUCT(1*((EXACT('Casillas del horario'!$F$4:$F$73,$A164)))*((EXACT('Casillas del horario'!$B$4:$B$73,$B164)))*((1-(('Casillas del horario'!$D$4:$D$73=""))))))</f>
        <v/>
      </c>
      <c r="D164" s="3">
        <f>IF(AND($A164="",$B164=""),"",MID(IF((IFERROR(VALUE($C164&amp;""),0)&gt;IFERROR(VALUE('Parametros'!$B$4&amp;""),0)),"; "&amp;IF(ISNUMBER(("Da "&amp;IF(ISNUMBER($C164),IF($C164=0,"0",ROUND($C164,9-INT(LOG10(ABS($C164))))&amp;""),$C164&amp;"")&amp;" sesiones ese dia")),IF(("Da "&amp;IF(ISNUMBER($C164),IF($C164=0,"0",ROUND($C164,9-INT(LOG10(ABS($C164))))&amp;""),$C164&amp;"")&amp;" sesiones ese dia")=0,"0",ROUND(("Da "&amp;IF(ISNUMBER($C164),IF($C164=0,"0",ROUND($C164,9-INT(LOG10(ABS($C164))))&amp;""),$C164&amp;"")&amp;" sesiones ese dia"),9-INT(LOG10(ABS(("Da "&amp;IF(ISNUMBER($C164),IF($C164=0,"0",ROUND($C164,9-INT(LOG10(ABS($C164))))&amp;""),$C164&amp;"")&amp;" sesiones ese dia")))))&amp;""),("Da "&amp;IF(ISNUMBER($C164),IF($C164=0,"0",ROUND($C164,9-INT(LOG10(ABS($C164))))&amp;""),$C164&amp;"")&amp;" sesiones ese dia")&amp;""),""),3,32767))</f>
        <v/>
      </c>
      <c r="E164" s="3">
        <f>IF(OR((IFERROR(VALUE($C164&amp;""),0)&gt;IFERROR(VALUE('Parametros'!$B$4&amp;""),0))),2,0)</f>
        <v/>
      </c>
    </row>
    <row r="165">
      <c r="A165" s="4" t="n"/>
      <c r="B165" s="4" t="n"/>
      <c r="C165" s="3">
        <f>IF(AND($A165="",$B165=""),"",SUMPRODUCT(1*((EXACT('Casillas del horario'!$F$4:$F$73,$A165)))*((EXACT('Casillas del horario'!$B$4:$B$73,$B165)))*((1-(('Casillas del horario'!$D$4:$D$73=""))))))</f>
        <v/>
      </c>
      <c r="D165" s="3">
        <f>IF(AND($A165="",$B165=""),"",MID(IF((IFERROR(VALUE($C165&amp;""),0)&gt;IFERROR(VALUE('Parametros'!$B$4&amp;""),0)),"; "&amp;IF(ISNUMBER(("Da "&amp;IF(ISNUMBER($C165),IF($C165=0,"0",ROUND($C165,9-INT(LOG10(ABS($C165))))&amp;""),$C165&amp;"")&amp;" sesiones ese dia")),IF(("Da "&amp;IF(ISNUMBER($C165),IF($C165=0,"0",ROUND($C165,9-INT(LOG10(ABS($C165))))&amp;""),$C165&amp;"")&amp;" sesiones ese dia")=0,"0",ROUND(("Da "&amp;IF(ISNUMBER($C165),IF($C165=0,"0",ROUND($C165,9-INT(LOG10(ABS($C165))))&amp;""),$C165&amp;"")&amp;" sesiones ese dia"),9-INT(LOG10(ABS(("Da "&amp;IF(ISNUMBER($C165),IF($C165=0,"0",ROUND($C165,9-INT(LOG10(ABS($C165))))&amp;""),$C165&amp;"")&amp;" sesiones ese dia")))))&amp;""),("Da "&amp;IF(ISNUMBER($C165),IF($C165=0,"0",ROUND($C165,9-INT(LOG10(ABS($C165))))&amp;""),$C165&amp;"")&amp;" sesiones ese dia")&amp;""),""),3,32767))</f>
        <v/>
      </c>
      <c r="E165" s="3">
        <f>IF(OR((IFERROR(VALUE($C165&amp;""),0)&gt;IFERROR(VALUE('Parametros'!$B$4&amp;""),0))),2,0)</f>
        <v/>
      </c>
    </row>
    <row r="166">
      <c r="A166" s="4" t="n"/>
      <c r="B166" s="4" t="n"/>
      <c r="C166" s="3">
        <f>IF(AND($A166="",$B166=""),"",SUMPRODUCT(1*((EXACT('Casillas del horario'!$F$4:$F$73,$A166)))*((EXACT('Casillas del horario'!$B$4:$B$73,$B166)))*((1-(('Casillas del horario'!$D$4:$D$73=""))))))</f>
        <v/>
      </c>
      <c r="D166" s="3">
        <f>IF(AND($A166="",$B166=""),"",MID(IF((IFERROR(VALUE($C166&amp;""),0)&gt;IFERROR(VALUE('Parametros'!$B$4&amp;""),0)),"; "&amp;IF(ISNUMBER(("Da "&amp;IF(ISNUMBER($C166),IF($C166=0,"0",ROUND($C166,9-INT(LOG10(ABS($C166))))&amp;""),$C166&amp;"")&amp;" sesiones ese dia")),IF(("Da "&amp;IF(ISNUMBER($C166),IF($C166=0,"0",ROUND($C166,9-INT(LOG10(ABS($C166))))&amp;""),$C166&amp;"")&amp;" sesiones ese dia")=0,"0",ROUND(("Da "&amp;IF(ISNUMBER($C166),IF($C166=0,"0",ROUND($C166,9-INT(LOG10(ABS($C166))))&amp;""),$C166&amp;"")&amp;" sesiones ese dia"),9-INT(LOG10(ABS(("Da "&amp;IF(ISNUMBER($C166),IF($C166=0,"0",ROUND($C166,9-INT(LOG10(ABS($C166))))&amp;""),$C166&amp;"")&amp;" sesiones ese dia")))))&amp;""),("Da "&amp;IF(ISNUMBER($C166),IF($C166=0,"0",ROUND($C166,9-INT(LOG10(ABS($C166))))&amp;""),$C166&amp;"")&amp;" sesiones ese dia")&amp;""),""),3,32767))</f>
        <v/>
      </c>
      <c r="E166" s="3">
        <f>IF(OR((IFERROR(VALUE($C166&amp;""),0)&gt;IFERROR(VALUE('Parametros'!$B$4&amp;""),0))),2,0)</f>
        <v/>
      </c>
    </row>
    <row r="167">
      <c r="A167" s="4" t="n"/>
      <c r="B167" s="4" t="n"/>
      <c r="C167" s="3">
        <f>IF(AND($A167="",$B167=""),"",SUMPRODUCT(1*((EXACT('Casillas del horario'!$F$4:$F$73,$A167)))*((EXACT('Casillas del horario'!$B$4:$B$73,$B167)))*((1-(('Casillas del horario'!$D$4:$D$73=""))))))</f>
        <v/>
      </c>
      <c r="D167" s="3">
        <f>IF(AND($A167="",$B167=""),"",MID(IF((IFERROR(VALUE($C167&amp;""),0)&gt;IFERROR(VALUE('Parametros'!$B$4&amp;""),0)),"; "&amp;IF(ISNUMBER(("Da "&amp;IF(ISNUMBER($C167),IF($C167=0,"0",ROUND($C167,9-INT(LOG10(ABS($C167))))&amp;""),$C167&amp;"")&amp;" sesiones ese dia")),IF(("Da "&amp;IF(ISNUMBER($C167),IF($C167=0,"0",ROUND($C167,9-INT(LOG10(ABS($C167))))&amp;""),$C167&amp;"")&amp;" sesiones ese dia")=0,"0",ROUND(("Da "&amp;IF(ISNUMBER($C167),IF($C167=0,"0",ROUND($C167,9-INT(LOG10(ABS($C167))))&amp;""),$C167&amp;"")&amp;" sesiones ese dia"),9-INT(LOG10(ABS(("Da "&amp;IF(ISNUMBER($C167),IF($C167=0,"0",ROUND($C167,9-INT(LOG10(ABS($C167))))&amp;""),$C167&amp;"")&amp;" sesiones ese dia")))))&amp;""),("Da "&amp;IF(ISNUMBER($C167),IF($C167=0,"0",ROUND($C167,9-INT(LOG10(ABS($C167))))&amp;""),$C167&amp;"")&amp;" sesiones ese dia")&amp;""),""),3,32767))</f>
        <v/>
      </c>
      <c r="E167" s="3">
        <f>IF(OR((IFERROR(VALUE($C167&amp;""),0)&gt;IFERROR(VALUE('Parametros'!$B$4&amp;""),0))),2,0)</f>
        <v/>
      </c>
    </row>
    <row r="168">
      <c r="A168" s="4" t="n"/>
      <c r="B168" s="4" t="n"/>
      <c r="C168" s="3">
        <f>IF(AND($A168="",$B168=""),"",SUMPRODUCT(1*((EXACT('Casillas del horario'!$F$4:$F$73,$A168)))*((EXACT('Casillas del horario'!$B$4:$B$73,$B168)))*((1-(('Casillas del horario'!$D$4:$D$73=""))))))</f>
        <v/>
      </c>
      <c r="D168" s="3">
        <f>IF(AND($A168="",$B168=""),"",MID(IF((IFERROR(VALUE($C168&amp;""),0)&gt;IFERROR(VALUE('Parametros'!$B$4&amp;""),0)),"; "&amp;IF(ISNUMBER(("Da "&amp;IF(ISNUMBER($C168),IF($C168=0,"0",ROUND($C168,9-INT(LOG10(ABS($C168))))&amp;""),$C168&amp;"")&amp;" sesiones ese dia")),IF(("Da "&amp;IF(ISNUMBER($C168),IF($C168=0,"0",ROUND($C168,9-INT(LOG10(ABS($C168))))&amp;""),$C168&amp;"")&amp;" sesiones ese dia")=0,"0",ROUND(("Da "&amp;IF(ISNUMBER($C168),IF($C168=0,"0",ROUND($C168,9-INT(LOG10(ABS($C168))))&amp;""),$C168&amp;"")&amp;" sesiones ese dia"),9-INT(LOG10(ABS(("Da "&amp;IF(ISNUMBER($C168),IF($C168=0,"0",ROUND($C168,9-INT(LOG10(ABS($C168))))&amp;""),$C168&amp;"")&amp;" sesiones ese dia")))))&amp;""),("Da "&amp;IF(ISNUMBER($C168),IF($C168=0,"0",ROUND($C168,9-INT(LOG10(ABS($C168))))&amp;""),$C168&amp;"")&amp;" sesiones ese dia")&amp;""),""),3,32767))</f>
        <v/>
      </c>
      <c r="E168" s="3">
        <f>IF(OR((IFERROR(VALUE($C168&amp;""),0)&gt;IFERROR(VALUE('Parametros'!$B$4&amp;""),0))),2,0)</f>
        <v/>
      </c>
    </row>
    <row r="169">
      <c r="A169" s="4" t="n"/>
      <c r="B169" s="4" t="n"/>
      <c r="C169" s="3">
        <f>IF(AND($A169="",$B169=""),"",SUMPRODUCT(1*((EXACT('Casillas del horario'!$F$4:$F$73,$A169)))*((EXACT('Casillas del horario'!$B$4:$B$73,$B169)))*((1-(('Casillas del horario'!$D$4:$D$73=""))))))</f>
        <v/>
      </c>
      <c r="D169" s="3">
        <f>IF(AND($A169="",$B169=""),"",MID(IF((IFERROR(VALUE($C169&amp;""),0)&gt;IFERROR(VALUE('Parametros'!$B$4&amp;""),0)),"; "&amp;IF(ISNUMBER(("Da "&amp;IF(ISNUMBER($C169),IF($C169=0,"0",ROUND($C169,9-INT(LOG10(ABS($C169))))&amp;""),$C169&amp;"")&amp;" sesiones ese dia")),IF(("Da "&amp;IF(ISNUMBER($C169),IF($C169=0,"0",ROUND($C169,9-INT(LOG10(ABS($C169))))&amp;""),$C169&amp;"")&amp;" sesiones ese dia")=0,"0",ROUND(("Da "&amp;IF(ISNUMBER($C169),IF($C169=0,"0",ROUND($C169,9-INT(LOG10(ABS($C169))))&amp;""),$C169&amp;"")&amp;" sesiones ese dia"),9-INT(LOG10(ABS(("Da "&amp;IF(ISNUMBER($C169),IF($C169=0,"0",ROUND($C169,9-INT(LOG10(ABS($C169))))&amp;""),$C169&amp;"")&amp;" sesiones ese dia")))))&amp;""),("Da "&amp;IF(ISNUMBER($C169),IF($C169=0,"0",ROUND($C169,9-INT(LOG10(ABS($C169))))&amp;""),$C169&amp;"")&amp;" sesiones ese dia")&amp;""),""),3,32767))</f>
        <v/>
      </c>
      <c r="E169" s="3">
        <f>IF(OR((IFERROR(VALUE($C169&amp;""),0)&gt;IFERROR(VALUE('Parametros'!$B$4&amp;""),0))),2,0)</f>
        <v/>
      </c>
    </row>
    <row r="170">
      <c r="A170" s="4" t="n"/>
      <c r="B170" s="4" t="n"/>
      <c r="C170" s="3">
        <f>IF(AND($A170="",$B170=""),"",SUMPRODUCT(1*((EXACT('Casillas del horario'!$F$4:$F$73,$A170)))*((EXACT('Casillas del horario'!$B$4:$B$73,$B170)))*((1-(('Casillas del horario'!$D$4:$D$73=""))))))</f>
        <v/>
      </c>
      <c r="D170" s="3">
        <f>IF(AND($A170="",$B170=""),"",MID(IF((IFERROR(VALUE($C170&amp;""),0)&gt;IFERROR(VALUE('Parametros'!$B$4&amp;""),0)),"; "&amp;IF(ISNUMBER(("Da "&amp;IF(ISNUMBER($C170),IF($C170=0,"0",ROUND($C170,9-INT(LOG10(ABS($C170))))&amp;""),$C170&amp;"")&amp;" sesiones ese dia")),IF(("Da "&amp;IF(ISNUMBER($C170),IF($C170=0,"0",ROUND($C170,9-INT(LOG10(ABS($C170))))&amp;""),$C170&amp;"")&amp;" sesiones ese dia")=0,"0",ROUND(("Da "&amp;IF(ISNUMBER($C170),IF($C170=0,"0",ROUND($C170,9-INT(LOG10(ABS($C170))))&amp;""),$C170&amp;"")&amp;" sesiones ese dia"),9-INT(LOG10(ABS(("Da "&amp;IF(ISNUMBER($C170),IF($C170=0,"0",ROUND($C170,9-INT(LOG10(ABS($C170))))&amp;""),$C170&amp;"")&amp;" sesiones ese dia")))))&amp;""),("Da "&amp;IF(ISNUMBER($C170),IF($C170=0,"0",ROUND($C170,9-INT(LOG10(ABS($C170))))&amp;""),$C170&amp;"")&amp;" sesiones ese dia")&amp;""),""),3,32767))</f>
        <v/>
      </c>
      <c r="E170" s="3">
        <f>IF(OR((IFERROR(VALUE($C170&amp;""),0)&gt;IFERROR(VALUE('Parametros'!$B$4&amp;""),0))),2,0)</f>
        <v/>
      </c>
    </row>
    <row r="171">
      <c r="A171" s="4" t="n"/>
      <c r="B171" s="4" t="n"/>
      <c r="C171" s="3">
        <f>IF(AND($A171="",$B171=""),"",SUMPRODUCT(1*((EXACT('Casillas del horario'!$F$4:$F$73,$A171)))*((EXACT('Casillas del horario'!$B$4:$B$73,$B171)))*((1-(('Casillas del horario'!$D$4:$D$73=""))))))</f>
        <v/>
      </c>
      <c r="D171" s="3">
        <f>IF(AND($A171="",$B171=""),"",MID(IF((IFERROR(VALUE($C171&amp;""),0)&gt;IFERROR(VALUE('Parametros'!$B$4&amp;""),0)),"; "&amp;IF(ISNUMBER(("Da "&amp;IF(ISNUMBER($C171),IF($C171=0,"0",ROUND($C171,9-INT(LOG10(ABS($C171))))&amp;""),$C171&amp;"")&amp;" sesiones ese dia")),IF(("Da "&amp;IF(ISNUMBER($C171),IF($C171=0,"0",ROUND($C171,9-INT(LOG10(ABS($C171))))&amp;""),$C171&amp;"")&amp;" sesiones ese dia")=0,"0",ROUND(("Da "&amp;IF(ISNUMBER($C171),IF($C171=0,"0",ROUND($C171,9-INT(LOG10(ABS($C171))))&amp;""),$C171&amp;"")&amp;" sesiones ese dia"),9-INT(LOG10(ABS(("Da "&amp;IF(ISNUMBER($C171),IF($C171=0,"0",ROUND($C171,9-INT(LOG10(ABS($C171))))&amp;""),$C171&amp;"")&amp;" sesiones ese dia")))))&amp;""),("Da "&amp;IF(ISNUMBER($C171),IF($C171=0,"0",ROUND($C171,9-INT(LOG10(ABS($C171))))&amp;""),$C171&amp;"")&amp;" sesiones ese dia")&amp;""),""),3,32767))</f>
        <v/>
      </c>
      <c r="E171" s="3">
        <f>IF(OR((IFERROR(VALUE($C171&amp;""),0)&gt;IFERROR(VALUE('Parametros'!$B$4&amp;""),0))),2,0)</f>
        <v/>
      </c>
    </row>
    <row r="172">
      <c r="A172" s="4" t="n"/>
      <c r="B172" s="4" t="n"/>
      <c r="C172" s="3">
        <f>IF(AND($A172="",$B172=""),"",SUMPRODUCT(1*((EXACT('Casillas del horario'!$F$4:$F$73,$A172)))*((EXACT('Casillas del horario'!$B$4:$B$73,$B172)))*((1-(('Casillas del horario'!$D$4:$D$73=""))))))</f>
        <v/>
      </c>
      <c r="D172" s="3">
        <f>IF(AND($A172="",$B172=""),"",MID(IF((IFERROR(VALUE($C172&amp;""),0)&gt;IFERROR(VALUE('Parametros'!$B$4&amp;""),0)),"; "&amp;IF(ISNUMBER(("Da "&amp;IF(ISNUMBER($C172),IF($C172=0,"0",ROUND($C172,9-INT(LOG10(ABS($C172))))&amp;""),$C172&amp;"")&amp;" sesiones ese dia")),IF(("Da "&amp;IF(ISNUMBER($C172),IF($C172=0,"0",ROUND($C172,9-INT(LOG10(ABS($C172))))&amp;""),$C172&amp;"")&amp;" sesiones ese dia")=0,"0",ROUND(("Da "&amp;IF(ISNUMBER($C172),IF($C172=0,"0",ROUND($C172,9-INT(LOG10(ABS($C172))))&amp;""),$C172&amp;"")&amp;" sesiones ese dia"),9-INT(LOG10(ABS(("Da "&amp;IF(ISNUMBER($C172),IF($C172=0,"0",ROUND($C172,9-INT(LOG10(ABS($C172))))&amp;""),$C172&amp;"")&amp;" sesiones ese dia")))))&amp;""),("Da "&amp;IF(ISNUMBER($C172),IF($C172=0,"0",ROUND($C172,9-INT(LOG10(ABS($C172))))&amp;""),$C172&amp;"")&amp;" sesiones ese dia")&amp;""),""),3,32767))</f>
        <v/>
      </c>
      <c r="E172" s="3">
        <f>IF(OR((IFERROR(VALUE($C172&amp;""),0)&gt;IFERROR(VALUE('Parametros'!$B$4&amp;""),0))),2,0)</f>
        <v/>
      </c>
    </row>
    <row r="173">
      <c r="A173" s="4" t="n"/>
      <c r="B173" s="4" t="n"/>
      <c r="C173" s="3">
        <f>IF(AND($A173="",$B173=""),"",SUMPRODUCT(1*((EXACT('Casillas del horario'!$F$4:$F$73,$A173)))*((EXACT('Casillas del horario'!$B$4:$B$73,$B173)))*((1-(('Casillas del horario'!$D$4:$D$73=""))))))</f>
        <v/>
      </c>
      <c r="D173" s="3">
        <f>IF(AND($A173="",$B173=""),"",MID(IF((IFERROR(VALUE($C173&amp;""),0)&gt;IFERROR(VALUE('Parametros'!$B$4&amp;""),0)),"; "&amp;IF(ISNUMBER(("Da "&amp;IF(ISNUMBER($C173),IF($C173=0,"0",ROUND($C173,9-INT(LOG10(ABS($C173))))&amp;""),$C173&amp;"")&amp;" sesiones ese dia")),IF(("Da "&amp;IF(ISNUMBER($C173),IF($C173=0,"0",ROUND($C173,9-INT(LOG10(ABS($C173))))&amp;""),$C173&amp;"")&amp;" sesiones ese dia")=0,"0",ROUND(("Da "&amp;IF(ISNUMBER($C173),IF($C173=0,"0",ROUND($C173,9-INT(LOG10(ABS($C173))))&amp;""),$C173&amp;"")&amp;" sesiones ese dia"),9-INT(LOG10(ABS(("Da "&amp;IF(ISNUMBER($C173),IF($C173=0,"0",ROUND($C173,9-INT(LOG10(ABS($C173))))&amp;""),$C173&amp;"")&amp;" sesiones ese dia")))))&amp;""),("Da "&amp;IF(ISNUMBER($C173),IF($C173=0,"0",ROUND($C173,9-INT(LOG10(ABS($C173))))&amp;""),$C173&amp;"")&amp;" sesiones ese dia")&amp;""),""),3,32767))</f>
        <v/>
      </c>
      <c r="E173" s="3">
        <f>IF(OR((IFERROR(VALUE($C173&amp;""),0)&gt;IFERROR(VALUE('Parametros'!$B$4&amp;""),0))),2,0)</f>
        <v/>
      </c>
    </row>
    <row r="174">
      <c r="A174" s="4" t="n"/>
      <c r="B174" s="4" t="n"/>
      <c r="C174" s="3">
        <f>IF(AND($A174="",$B174=""),"",SUMPRODUCT(1*((EXACT('Casillas del horario'!$F$4:$F$73,$A174)))*((EXACT('Casillas del horario'!$B$4:$B$73,$B174)))*((1-(('Casillas del horario'!$D$4:$D$73=""))))))</f>
        <v/>
      </c>
      <c r="D174" s="3">
        <f>IF(AND($A174="",$B174=""),"",MID(IF((IFERROR(VALUE($C174&amp;""),0)&gt;IFERROR(VALUE('Parametros'!$B$4&amp;""),0)),"; "&amp;IF(ISNUMBER(("Da "&amp;IF(ISNUMBER($C174),IF($C174=0,"0",ROUND($C174,9-INT(LOG10(ABS($C174))))&amp;""),$C174&amp;"")&amp;" sesiones ese dia")),IF(("Da "&amp;IF(ISNUMBER($C174),IF($C174=0,"0",ROUND($C174,9-INT(LOG10(ABS($C174))))&amp;""),$C174&amp;"")&amp;" sesiones ese dia")=0,"0",ROUND(("Da "&amp;IF(ISNUMBER($C174),IF($C174=0,"0",ROUND($C174,9-INT(LOG10(ABS($C174))))&amp;""),$C174&amp;"")&amp;" sesiones ese dia"),9-INT(LOG10(ABS(("Da "&amp;IF(ISNUMBER($C174),IF($C174=0,"0",ROUND($C174,9-INT(LOG10(ABS($C174))))&amp;""),$C174&amp;"")&amp;" sesiones ese dia")))))&amp;""),("Da "&amp;IF(ISNUMBER($C174),IF($C174=0,"0",ROUND($C174,9-INT(LOG10(ABS($C174))))&amp;""),$C174&amp;"")&amp;" sesiones ese dia")&amp;""),""),3,32767))</f>
        <v/>
      </c>
      <c r="E174" s="3">
        <f>IF(OR((IFERROR(VALUE($C174&amp;""),0)&gt;IFERROR(VALUE('Parametros'!$B$4&amp;""),0))),2,0)</f>
        <v/>
      </c>
    </row>
    <row r="175">
      <c r="A175" s="4" t="n"/>
      <c r="B175" s="4" t="n"/>
      <c r="C175" s="3">
        <f>IF(AND($A175="",$B175=""),"",SUMPRODUCT(1*((EXACT('Casillas del horario'!$F$4:$F$73,$A175)))*((EXACT('Casillas del horario'!$B$4:$B$73,$B175)))*((1-(('Casillas del horario'!$D$4:$D$73=""))))))</f>
        <v/>
      </c>
      <c r="D175" s="3">
        <f>IF(AND($A175="",$B175=""),"",MID(IF((IFERROR(VALUE($C175&amp;""),0)&gt;IFERROR(VALUE('Parametros'!$B$4&amp;""),0)),"; "&amp;IF(ISNUMBER(("Da "&amp;IF(ISNUMBER($C175),IF($C175=0,"0",ROUND($C175,9-INT(LOG10(ABS($C175))))&amp;""),$C175&amp;"")&amp;" sesiones ese dia")),IF(("Da "&amp;IF(ISNUMBER($C175),IF($C175=0,"0",ROUND($C175,9-INT(LOG10(ABS($C175))))&amp;""),$C175&amp;"")&amp;" sesiones ese dia")=0,"0",ROUND(("Da "&amp;IF(ISNUMBER($C175),IF($C175=0,"0",ROUND($C175,9-INT(LOG10(ABS($C175))))&amp;""),$C175&amp;"")&amp;" sesiones ese dia"),9-INT(LOG10(ABS(("Da "&amp;IF(ISNUMBER($C175),IF($C175=0,"0",ROUND($C175,9-INT(LOG10(ABS($C175))))&amp;""),$C175&amp;"")&amp;" sesiones ese dia")))))&amp;""),("Da "&amp;IF(ISNUMBER($C175),IF($C175=0,"0",ROUND($C175,9-INT(LOG10(ABS($C175))))&amp;""),$C175&amp;"")&amp;" sesiones ese dia")&amp;""),""),3,32767))</f>
        <v/>
      </c>
      <c r="E175" s="3">
        <f>IF(OR((IFERROR(VALUE($C175&amp;""),0)&gt;IFERROR(VALUE('Parametros'!$B$4&amp;""),0))),2,0)</f>
        <v/>
      </c>
    </row>
    <row r="176">
      <c r="A176" s="4" t="n"/>
      <c r="B176" s="4" t="n"/>
      <c r="C176" s="3">
        <f>IF(AND($A176="",$B176=""),"",SUMPRODUCT(1*((EXACT('Casillas del horario'!$F$4:$F$73,$A176)))*((EXACT('Casillas del horario'!$B$4:$B$73,$B176)))*((1-(('Casillas del horario'!$D$4:$D$73=""))))))</f>
        <v/>
      </c>
      <c r="D176" s="3">
        <f>IF(AND($A176="",$B176=""),"",MID(IF((IFERROR(VALUE($C176&amp;""),0)&gt;IFERROR(VALUE('Parametros'!$B$4&amp;""),0)),"; "&amp;IF(ISNUMBER(("Da "&amp;IF(ISNUMBER($C176),IF($C176=0,"0",ROUND($C176,9-INT(LOG10(ABS($C176))))&amp;""),$C176&amp;"")&amp;" sesiones ese dia")),IF(("Da "&amp;IF(ISNUMBER($C176),IF($C176=0,"0",ROUND($C176,9-INT(LOG10(ABS($C176))))&amp;""),$C176&amp;"")&amp;" sesiones ese dia")=0,"0",ROUND(("Da "&amp;IF(ISNUMBER($C176),IF($C176=0,"0",ROUND($C176,9-INT(LOG10(ABS($C176))))&amp;""),$C176&amp;"")&amp;" sesiones ese dia"),9-INT(LOG10(ABS(("Da "&amp;IF(ISNUMBER($C176),IF($C176=0,"0",ROUND($C176,9-INT(LOG10(ABS($C176))))&amp;""),$C176&amp;"")&amp;" sesiones ese dia")))))&amp;""),("Da "&amp;IF(ISNUMBER($C176),IF($C176=0,"0",ROUND($C176,9-INT(LOG10(ABS($C176))))&amp;""),$C176&amp;"")&amp;" sesiones ese dia")&amp;""),""),3,32767))</f>
        <v/>
      </c>
      <c r="E176" s="3">
        <f>IF(OR((IFERROR(VALUE($C176&amp;""),0)&gt;IFERROR(VALUE('Parametros'!$B$4&amp;""),0))),2,0)</f>
        <v/>
      </c>
    </row>
    <row r="177">
      <c r="A177" s="4" t="n"/>
      <c r="B177" s="4" t="n"/>
      <c r="C177" s="3">
        <f>IF(AND($A177="",$B177=""),"",SUMPRODUCT(1*((EXACT('Casillas del horario'!$F$4:$F$73,$A177)))*((EXACT('Casillas del horario'!$B$4:$B$73,$B177)))*((1-(('Casillas del horario'!$D$4:$D$73=""))))))</f>
        <v/>
      </c>
      <c r="D177" s="3">
        <f>IF(AND($A177="",$B177=""),"",MID(IF((IFERROR(VALUE($C177&amp;""),0)&gt;IFERROR(VALUE('Parametros'!$B$4&amp;""),0)),"; "&amp;IF(ISNUMBER(("Da "&amp;IF(ISNUMBER($C177),IF($C177=0,"0",ROUND($C177,9-INT(LOG10(ABS($C177))))&amp;""),$C177&amp;"")&amp;" sesiones ese dia")),IF(("Da "&amp;IF(ISNUMBER($C177),IF($C177=0,"0",ROUND($C177,9-INT(LOG10(ABS($C177))))&amp;""),$C177&amp;"")&amp;" sesiones ese dia")=0,"0",ROUND(("Da "&amp;IF(ISNUMBER($C177),IF($C177=0,"0",ROUND($C177,9-INT(LOG10(ABS($C177))))&amp;""),$C177&amp;"")&amp;" sesiones ese dia"),9-INT(LOG10(ABS(("Da "&amp;IF(ISNUMBER($C177),IF($C177=0,"0",ROUND($C177,9-INT(LOG10(ABS($C177))))&amp;""),$C177&amp;"")&amp;" sesiones ese dia")))))&amp;""),("Da "&amp;IF(ISNUMBER($C177),IF($C177=0,"0",ROUND($C177,9-INT(LOG10(ABS($C177))))&amp;""),$C177&amp;"")&amp;" sesiones ese dia")&amp;""),""),3,32767))</f>
        <v/>
      </c>
      <c r="E177" s="3">
        <f>IF(OR((IFERROR(VALUE($C177&amp;""),0)&gt;IFERROR(VALUE('Parametros'!$B$4&amp;""),0))),2,0)</f>
        <v/>
      </c>
    </row>
    <row r="178">
      <c r="A178" s="4" t="n"/>
      <c r="B178" s="4" t="n"/>
      <c r="C178" s="3">
        <f>IF(AND($A178="",$B178=""),"",SUMPRODUCT(1*((EXACT('Casillas del horario'!$F$4:$F$73,$A178)))*((EXACT('Casillas del horario'!$B$4:$B$73,$B178)))*((1-(('Casillas del horario'!$D$4:$D$73=""))))))</f>
        <v/>
      </c>
      <c r="D178" s="3">
        <f>IF(AND($A178="",$B178=""),"",MID(IF((IFERROR(VALUE($C178&amp;""),0)&gt;IFERROR(VALUE('Parametros'!$B$4&amp;""),0)),"; "&amp;IF(ISNUMBER(("Da "&amp;IF(ISNUMBER($C178),IF($C178=0,"0",ROUND($C178,9-INT(LOG10(ABS($C178))))&amp;""),$C178&amp;"")&amp;" sesiones ese dia")),IF(("Da "&amp;IF(ISNUMBER($C178),IF($C178=0,"0",ROUND($C178,9-INT(LOG10(ABS($C178))))&amp;""),$C178&amp;"")&amp;" sesiones ese dia")=0,"0",ROUND(("Da "&amp;IF(ISNUMBER($C178),IF($C178=0,"0",ROUND($C178,9-INT(LOG10(ABS($C178))))&amp;""),$C178&amp;"")&amp;" sesiones ese dia"),9-INT(LOG10(ABS(("Da "&amp;IF(ISNUMBER($C178),IF($C178=0,"0",ROUND($C178,9-INT(LOG10(ABS($C178))))&amp;""),$C178&amp;"")&amp;" sesiones ese dia")))))&amp;""),("Da "&amp;IF(ISNUMBER($C178),IF($C178=0,"0",ROUND($C178,9-INT(LOG10(ABS($C178))))&amp;""),$C178&amp;"")&amp;" sesiones ese dia")&amp;""),""),3,32767))</f>
        <v/>
      </c>
      <c r="E178" s="3">
        <f>IF(OR((IFERROR(VALUE($C178&amp;""),0)&gt;IFERROR(VALUE('Parametros'!$B$4&amp;""),0))),2,0)</f>
        <v/>
      </c>
    </row>
    <row r="179">
      <c r="A179" s="4" t="n"/>
      <c r="B179" s="4" t="n"/>
      <c r="C179" s="3">
        <f>IF(AND($A179="",$B179=""),"",SUMPRODUCT(1*((EXACT('Casillas del horario'!$F$4:$F$73,$A179)))*((EXACT('Casillas del horario'!$B$4:$B$73,$B179)))*((1-(('Casillas del horario'!$D$4:$D$73=""))))))</f>
        <v/>
      </c>
      <c r="D179" s="3">
        <f>IF(AND($A179="",$B179=""),"",MID(IF((IFERROR(VALUE($C179&amp;""),0)&gt;IFERROR(VALUE('Parametros'!$B$4&amp;""),0)),"; "&amp;IF(ISNUMBER(("Da "&amp;IF(ISNUMBER($C179),IF($C179=0,"0",ROUND($C179,9-INT(LOG10(ABS($C179))))&amp;""),$C179&amp;"")&amp;" sesiones ese dia")),IF(("Da "&amp;IF(ISNUMBER($C179),IF($C179=0,"0",ROUND($C179,9-INT(LOG10(ABS($C179))))&amp;""),$C179&amp;"")&amp;" sesiones ese dia")=0,"0",ROUND(("Da "&amp;IF(ISNUMBER($C179),IF($C179=0,"0",ROUND($C179,9-INT(LOG10(ABS($C179))))&amp;""),$C179&amp;"")&amp;" sesiones ese dia"),9-INT(LOG10(ABS(("Da "&amp;IF(ISNUMBER($C179),IF($C179=0,"0",ROUND($C179,9-INT(LOG10(ABS($C179))))&amp;""),$C179&amp;"")&amp;" sesiones ese dia")))))&amp;""),("Da "&amp;IF(ISNUMBER($C179),IF($C179=0,"0",ROUND($C179,9-INT(LOG10(ABS($C179))))&amp;""),$C179&amp;"")&amp;" sesiones ese dia")&amp;""),""),3,32767))</f>
        <v/>
      </c>
      <c r="E179" s="3">
        <f>IF(OR((IFERROR(VALUE($C179&amp;""),0)&gt;IFERROR(VALUE('Parametros'!$B$4&amp;""),0))),2,0)</f>
        <v/>
      </c>
    </row>
    <row r="180">
      <c r="A180" s="4" t="n"/>
      <c r="B180" s="4" t="n"/>
      <c r="C180" s="3">
        <f>IF(AND($A180="",$B180=""),"",SUMPRODUCT(1*((EXACT('Casillas del horario'!$F$4:$F$73,$A180)))*((EXACT('Casillas del horario'!$B$4:$B$73,$B180)))*((1-(('Casillas del horario'!$D$4:$D$73=""))))))</f>
        <v/>
      </c>
      <c r="D180" s="3">
        <f>IF(AND($A180="",$B180=""),"",MID(IF((IFERROR(VALUE($C180&amp;""),0)&gt;IFERROR(VALUE('Parametros'!$B$4&amp;""),0)),"; "&amp;IF(ISNUMBER(("Da "&amp;IF(ISNUMBER($C180),IF($C180=0,"0",ROUND($C180,9-INT(LOG10(ABS($C180))))&amp;""),$C180&amp;"")&amp;" sesiones ese dia")),IF(("Da "&amp;IF(ISNUMBER($C180),IF($C180=0,"0",ROUND($C180,9-INT(LOG10(ABS($C180))))&amp;""),$C180&amp;"")&amp;" sesiones ese dia")=0,"0",ROUND(("Da "&amp;IF(ISNUMBER($C180),IF($C180=0,"0",ROUND($C180,9-INT(LOG10(ABS($C180))))&amp;""),$C180&amp;"")&amp;" sesiones ese dia"),9-INT(LOG10(ABS(("Da "&amp;IF(ISNUMBER($C180),IF($C180=0,"0",ROUND($C180,9-INT(LOG10(ABS($C180))))&amp;""),$C180&amp;"")&amp;" sesiones ese dia")))))&amp;""),("Da "&amp;IF(ISNUMBER($C180),IF($C180=0,"0",ROUND($C180,9-INT(LOG10(ABS($C180))))&amp;""),$C180&amp;"")&amp;" sesiones ese dia")&amp;""),""),3,32767))</f>
        <v/>
      </c>
      <c r="E180" s="3">
        <f>IF(OR((IFERROR(VALUE($C180&amp;""),0)&gt;IFERROR(VALUE('Parametros'!$B$4&amp;""),0))),2,0)</f>
        <v/>
      </c>
    </row>
    <row r="181">
      <c r="A181" s="4" t="n"/>
      <c r="B181" s="4" t="n"/>
      <c r="C181" s="3">
        <f>IF(AND($A181="",$B181=""),"",SUMPRODUCT(1*((EXACT('Casillas del horario'!$F$4:$F$73,$A181)))*((EXACT('Casillas del horario'!$B$4:$B$73,$B181)))*((1-(('Casillas del horario'!$D$4:$D$73=""))))))</f>
        <v/>
      </c>
      <c r="D181" s="3">
        <f>IF(AND($A181="",$B181=""),"",MID(IF((IFERROR(VALUE($C181&amp;""),0)&gt;IFERROR(VALUE('Parametros'!$B$4&amp;""),0)),"; "&amp;IF(ISNUMBER(("Da "&amp;IF(ISNUMBER($C181),IF($C181=0,"0",ROUND($C181,9-INT(LOG10(ABS($C181))))&amp;""),$C181&amp;"")&amp;" sesiones ese dia")),IF(("Da "&amp;IF(ISNUMBER($C181),IF($C181=0,"0",ROUND($C181,9-INT(LOG10(ABS($C181))))&amp;""),$C181&amp;"")&amp;" sesiones ese dia")=0,"0",ROUND(("Da "&amp;IF(ISNUMBER($C181),IF($C181=0,"0",ROUND($C181,9-INT(LOG10(ABS($C181))))&amp;""),$C181&amp;"")&amp;" sesiones ese dia"),9-INT(LOG10(ABS(("Da "&amp;IF(ISNUMBER($C181),IF($C181=0,"0",ROUND($C181,9-INT(LOG10(ABS($C181))))&amp;""),$C181&amp;"")&amp;" sesiones ese dia")))))&amp;""),("Da "&amp;IF(ISNUMBER($C181),IF($C181=0,"0",ROUND($C181,9-INT(LOG10(ABS($C181))))&amp;""),$C181&amp;"")&amp;" sesiones ese dia")&amp;""),""),3,32767))</f>
        <v/>
      </c>
      <c r="E181" s="3">
        <f>IF(OR((IFERROR(VALUE($C181&amp;""),0)&gt;IFERROR(VALUE('Parametros'!$B$4&amp;""),0))),2,0)</f>
        <v/>
      </c>
    </row>
    <row r="182">
      <c r="A182" s="4" t="n"/>
      <c r="B182" s="4" t="n"/>
      <c r="C182" s="3">
        <f>IF(AND($A182="",$B182=""),"",SUMPRODUCT(1*((EXACT('Casillas del horario'!$F$4:$F$73,$A182)))*((EXACT('Casillas del horario'!$B$4:$B$73,$B182)))*((1-(('Casillas del horario'!$D$4:$D$73=""))))))</f>
        <v/>
      </c>
      <c r="D182" s="3">
        <f>IF(AND($A182="",$B182=""),"",MID(IF((IFERROR(VALUE($C182&amp;""),0)&gt;IFERROR(VALUE('Parametros'!$B$4&amp;""),0)),"; "&amp;IF(ISNUMBER(("Da "&amp;IF(ISNUMBER($C182),IF($C182=0,"0",ROUND($C182,9-INT(LOG10(ABS($C182))))&amp;""),$C182&amp;"")&amp;" sesiones ese dia")),IF(("Da "&amp;IF(ISNUMBER($C182),IF($C182=0,"0",ROUND($C182,9-INT(LOG10(ABS($C182))))&amp;""),$C182&amp;"")&amp;" sesiones ese dia")=0,"0",ROUND(("Da "&amp;IF(ISNUMBER($C182),IF($C182=0,"0",ROUND($C182,9-INT(LOG10(ABS($C182))))&amp;""),$C182&amp;"")&amp;" sesiones ese dia"),9-INT(LOG10(ABS(("Da "&amp;IF(ISNUMBER($C182),IF($C182=0,"0",ROUND($C182,9-INT(LOG10(ABS($C182))))&amp;""),$C182&amp;"")&amp;" sesiones ese dia")))))&amp;""),("Da "&amp;IF(ISNUMBER($C182),IF($C182=0,"0",ROUND($C182,9-INT(LOG10(ABS($C182))))&amp;""),$C182&amp;"")&amp;" sesiones ese dia")&amp;""),""),3,32767))</f>
        <v/>
      </c>
      <c r="E182" s="3">
        <f>IF(OR((IFERROR(VALUE($C182&amp;""),0)&gt;IFERROR(VALUE('Parametros'!$B$4&amp;""),0))),2,0)</f>
        <v/>
      </c>
    </row>
    <row r="183">
      <c r="A183" s="4" t="n"/>
      <c r="B183" s="4" t="n"/>
      <c r="C183" s="3">
        <f>IF(AND($A183="",$B183=""),"",SUMPRODUCT(1*((EXACT('Casillas del horario'!$F$4:$F$73,$A183)))*((EXACT('Casillas del horario'!$B$4:$B$73,$B183)))*((1-(('Casillas del horario'!$D$4:$D$73=""))))))</f>
        <v/>
      </c>
      <c r="D183" s="3">
        <f>IF(AND($A183="",$B183=""),"",MID(IF((IFERROR(VALUE($C183&amp;""),0)&gt;IFERROR(VALUE('Parametros'!$B$4&amp;""),0)),"; "&amp;IF(ISNUMBER(("Da "&amp;IF(ISNUMBER($C183),IF($C183=0,"0",ROUND($C183,9-INT(LOG10(ABS($C183))))&amp;""),$C183&amp;"")&amp;" sesiones ese dia")),IF(("Da "&amp;IF(ISNUMBER($C183),IF($C183=0,"0",ROUND($C183,9-INT(LOG10(ABS($C183))))&amp;""),$C183&amp;"")&amp;" sesiones ese dia")=0,"0",ROUND(("Da "&amp;IF(ISNUMBER($C183),IF($C183=0,"0",ROUND($C183,9-INT(LOG10(ABS($C183))))&amp;""),$C183&amp;"")&amp;" sesiones ese dia"),9-INT(LOG10(ABS(("Da "&amp;IF(ISNUMBER($C183),IF($C183=0,"0",ROUND($C183,9-INT(LOG10(ABS($C183))))&amp;""),$C183&amp;"")&amp;" sesiones ese dia")))))&amp;""),("Da "&amp;IF(ISNUMBER($C183),IF($C183=0,"0",ROUND($C183,9-INT(LOG10(ABS($C183))))&amp;""),$C183&amp;"")&amp;" sesiones ese dia")&amp;""),""),3,32767))</f>
        <v/>
      </c>
      <c r="E183" s="3">
        <f>IF(OR((IFERROR(VALUE($C183&amp;""),0)&gt;IFERROR(VALUE('Parametros'!$B$4&amp;""),0))),2,0)</f>
        <v/>
      </c>
    </row>
    <row r="184">
      <c r="A184" s="4" t="n"/>
      <c r="B184" s="4" t="n"/>
      <c r="C184" s="3">
        <f>IF(AND($A184="",$B184=""),"",SUMPRODUCT(1*((EXACT('Casillas del horario'!$F$4:$F$73,$A184)))*((EXACT('Casillas del horario'!$B$4:$B$73,$B184)))*((1-(('Casillas del horario'!$D$4:$D$73=""))))))</f>
        <v/>
      </c>
      <c r="D184" s="3">
        <f>IF(AND($A184="",$B184=""),"",MID(IF((IFERROR(VALUE($C184&amp;""),0)&gt;IFERROR(VALUE('Parametros'!$B$4&amp;""),0)),"; "&amp;IF(ISNUMBER(("Da "&amp;IF(ISNUMBER($C184),IF($C184=0,"0",ROUND($C184,9-INT(LOG10(ABS($C184))))&amp;""),$C184&amp;"")&amp;" sesiones ese dia")),IF(("Da "&amp;IF(ISNUMBER($C184),IF($C184=0,"0",ROUND($C184,9-INT(LOG10(ABS($C184))))&amp;""),$C184&amp;"")&amp;" sesiones ese dia")=0,"0",ROUND(("Da "&amp;IF(ISNUMBER($C184),IF($C184=0,"0",ROUND($C184,9-INT(LOG10(ABS($C184))))&amp;""),$C184&amp;"")&amp;" sesiones ese dia"),9-INT(LOG10(ABS(("Da "&amp;IF(ISNUMBER($C184),IF($C184=0,"0",ROUND($C184,9-INT(LOG10(ABS($C184))))&amp;""),$C184&amp;"")&amp;" sesiones ese dia")))))&amp;""),("Da "&amp;IF(ISNUMBER($C184),IF($C184=0,"0",ROUND($C184,9-INT(LOG10(ABS($C184))))&amp;""),$C184&amp;"")&amp;" sesiones ese dia")&amp;""),""),3,32767))</f>
        <v/>
      </c>
      <c r="E184" s="3">
        <f>IF(OR((IFERROR(VALUE($C184&amp;""),0)&gt;IFERROR(VALUE('Parametros'!$B$4&amp;""),0))),2,0)</f>
        <v/>
      </c>
    </row>
    <row r="185">
      <c r="A185" s="4" t="n"/>
      <c r="B185" s="4" t="n"/>
      <c r="C185" s="3">
        <f>IF(AND($A185="",$B185=""),"",SUMPRODUCT(1*((EXACT('Casillas del horario'!$F$4:$F$73,$A185)))*((EXACT('Casillas del horario'!$B$4:$B$73,$B185)))*((1-(('Casillas del horario'!$D$4:$D$73=""))))))</f>
        <v/>
      </c>
      <c r="D185" s="3">
        <f>IF(AND($A185="",$B185=""),"",MID(IF((IFERROR(VALUE($C185&amp;""),0)&gt;IFERROR(VALUE('Parametros'!$B$4&amp;""),0)),"; "&amp;IF(ISNUMBER(("Da "&amp;IF(ISNUMBER($C185),IF($C185=0,"0",ROUND($C185,9-INT(LOG10(ABS($C185))))&amp;""),$C185&amp;"")&amp;" sesiones ese dia")),IF(("Da "&amp;IF(ISNUMBER($C185),IF($C185=0,"0",ROUND($C185,9-INT(LOG10(ABS($C185))))&amp;""),$C185&amp;"")&amp;" sesiones ese dia")=0,"0",ROUND(("Da "&amp;IF(ISNUMBER($C185),IF($C185=0,"0",ROUND($C185,9-INT(LOG10(ABS($C185))))&amp;""),$C185&amp;"")&amp;" sesiones ese dia"),9-INT(LOG10(ABS(("Da "&amp;IF(ISNUMBER($C185),IF($C185=0,"0",ROUND($C185,9-INT(LOG10(ABS($C185))))&amp;""),$C185&amp;"")&amp;" sesiones ese dia")))))&amp;""),("Da "&amp;IF(ISNUMBER($C185),IF($C185=0,"0",ROUND($C185,9-INT(LOG10(ABS($C185))))&amp;""),$C185&amp;"")&amp;" sesiones ese dia")&amp;""),""),3,32767))</f>
        <v/>
      </c>
      <c r="E185" s="3">
        <f>IF(OR((IFERROR(VALUE($C185&amp;""),0)&gt;IFERROR(VALUE('Parametros'!$B$4&amp;""),0))),2,0)</f>
        <v/>
      </c>
    </row>
    <row r="186">
      <c r="A186" s="4" t="n"/>
      <c r="B186" s="4" t="n"/>
      <c r="C186" s="3">
        <f>IF(AND($A186="",$B186=""),"",SUMPRODUCT(1*((EXACT('Casillas del horario'!$F$4:$F$73,$A186)))*((EXACT('Casillas del horario'!$B$4:$B$73,$B186)))*((1-(('Casillas del horario'!$D$4:$D$73=""))))))</f>
        <v/>
      </c>
      <c r="D186" s="3">
        <f>IF(AND($A186="",$B186=""),"",MID(IF((IFERROR(VALUE($C186&amp;""),0)&gt;IFERROR(VALUE('Parametros'!$B$4&amp;""),0)),"; "&amp;IF(ISNUMBER(("Da "&amp;IF(ISNUMBER($C186),IF($C186=0,"0",ROUND($C186,9-INT(LOG10(ABS($C186))))&amp;""),$C186&amp;"")&amp;" sesiones ese dia")),IF(("Da "&amp;IF(ISNUMBER($C186),IF($C186=0,"0",ROUND($C186,9-INT(LOG10(ABS($C186))))&amp;""),$C186&amp;"")&amp;" sesiones ese dia")=0,"0",ROUND(("Da "&amp;IF(ISNUMBER($C186),IF($C186=0,"0",ROUND($C186,9-INT(LOG10(ABS($C186))))&amp;""),$C186&amp;"")&amp;" sesiones ese dia"),9-INT(LOG10(ABS(("Da "&amp;IF(ISNUMBER($C186),IF($C186=0,"0",ROUND($C186,9-INT(LOG10(ABS($C186))))&amp;""),$C186&amp;"")&amp;" sesiones ese dia")))))&amp;""),("Da "&amp;IF(ISNUMBER($C186),IF($C186=0,"0",ROUND($C186,9-INT(LOG10(ABS($C186))))&amp;""),$C186&amp;"")&amp;" sesiones ese dia")&amp;""),""),3,32767))</f>
        <v/>
      </c>
      <c r="E186" s="3">
        <f>IF(OR((IFERROR(VALUE($C186&amp;""),0)&gt;IFERROR(VALUE('Parametros'!$B$4&amp;""),0))),2,0)</f>
        <v/>
      </c>
    </row>
    <row r="187">
      <c r="A187" s="4" t="n"/>
      <c r="B187" s="4" t="n"/>
      <c r="C187" s="3">
        <f>IF(AND($A187="",$B187=""),"",SUMPRODUCT(1*((EXACT('Casillas del horario'!$F$4:$F$73,$A187)))*((EXACT('Casillas del horario'!$B$4:$B$73,$B187)))*((1-(('Casillas del horario'!$D$4:$D$73=""))))))</f>
        <v/>
      </c>
      <c r="D187" s="3">
        <f>IF(AND($A187="",$B187=""),"",MID(IF((IFERROR(VALUE($C187&amp;""),0)&gt;IFERROR(VALUE('Parametros'!$B$4&amp;""),0)),"; "&amp;IF(ISNUMBER(("Da "&amp;IF(ISNUMBER($C187),IF($C187=0,"0",ROUND($C187,9-INT(LOG10(ABS($C187))))&amp;""),$C187&amp;"")&amp;" sesiones ese dia")),IF(("Da "&amp;IF(ISNUMBER($C187),IF($C187=0,"0",ROUND($C187,9-INT(LOG10(ABS($C187))))&amp;""),$C187&amp;"")&amp;" sesiones ese dia")=0,"0",ROUND(("Da "&amp;IF(ISNUMBER($C187),IF($C187=0,"0",ROUND($C187,9-INT(LOG10(ABS($C187))))&amp;""),$C187&amp;"")&amp;" sesiones ese dia"),9-INT(LOG10(ABS(("Da "&amp;IF(ISNUMBER($C187),IF($C187=0,"0",ROUND($C187,9-INT(LOG10(ABS($C187))))&amp;""),$C187&amp;"")&amp;" sesiones ese dia")))))&amp;""),("Da "&amp;IF(ISNUMBER($C187),IF($C187=0,"0",ROUND($C187,9-INT(LOG10(ABS($C187))))&amp;""),$C187&amp;"")&amp;" sesiones ese dia")&amp;""),""),3,32767))</f>
        <v/>
      </c>
      <c r="E187" s="3">
        <f>IF(OR((IFERROR(VALUE($C187&amp;""),0)&gt;IFERROR(VALUE('Parametros'!$B$4&amp;""),0))),2,0)</f>
        <v/>
      </c>
    </row>
    <row r="188">
      <c r="A188" s="4" t="n"/>
      <c r="B188" s="4" t="n"/>
      <c r="C188" s="3">
        <f>IF(AND($A188="",$B188=""),"",SUMPRODUCT(1*((EXACT('Casillas del horario'!$F$4:$F$73,$A188)))*((EXACT('Casillas del horario'!$B$4:$B$73,$B188)))*((1-(('Casillas del horario'!$D$4:$D$73=""))))))</f>
        <v/>
      </c>
      <c r="D188" s="3">
        <f>IF(AND($A188="",$B188=""),"",MID(IF((IFERROR(VALUE($C188&amp;""),0)&gt;IFERROR(VALUE('Parametros'!$B$4&amp;""),0)),"; "&amp;IF(ISNUMBER(("Da "&amp;IF(ISNUMBER($C188),IF($C188=0,"0",ROUND($C188,9-INT(LOG10(ABS($C188))))&amp;""),$C188&amp;"")&amp;" sesiones ese dia")),IF(("Da "&amp;IF(ISNUMBER($C188),IF($C188=0,"0",ROUND($C188,9-INT(LOG10(ABS($C188))))&amp;""),$C188&amp;"")&amp;" sesiones ese dia")=0,"0",ROUND(("Da "&amp;IF(ISNUMBER($C188),IF($C188=0,"0",ROUND($C188,9-INT(LOG10(ABS($C188))))&amp;""),$C188&amp;"")&amp;" sesiones ese dia"),9-INT(LOG10(ABS(("Da "&amp;IF(ISNUMBER($C188),IF($C188=0,"0",ROUND($C188,9-INT(LOG10(ABS($C188))))&amp;""),$C188&amp;"")&amp;" sesiones ese dia")))))&amp;""),("Da "&amp;IF(ISNUMBER($C188),IF($C188=0,"0",ROUND($C188,9-INT(LOG10(ABS($C188))))&amp;""),$C188&amp;"")&amp;" sesiones ese dia")&amp;""),""),3,32767))</f>
        <v/>
      </c>
      <c r="E188" s="3">
        <f>IF(OR((IFERROR(VALUE($C188&amp;""),0)&gt;IFERROR(VALUE('Parametros'!$B$4&amp;""),0))),2,0)</f>
        <v/>
      </c>
    </row>
    <row r="189">
      <c r="A189" s="4" t="n"/>
      <c r="B189" s="4" t="n"/>
      <c r="C189" s="3">
        <f>IF(AND($A189="",$B189=""),"",SUMPRODUCT(1*((EXACT('Casillas del horario'!$F$4:$F$73,$A189)))*((EXACT('Casillas del horario'!$B$4:$B$73,$B189)))*((1-(('Casillas del horario'!$D$4:$D$73=""))))))</f>
        <v/>
      </c>
      <c r="D189" s="3">
        <f>IF(AND($A189="",$B189=""),"",MID(IF((IFERROR(VALUE($C189&amp;""),0)&gt;IFERROR(VALUE('Parametros'!$B$4&amp;""),0)),"; "&amp;IF(ISNUMBER(("Da "&amp;IF(ISNUMBER($C189),IF($C189=0,"0",ROUND($C189,9-INT(LOG10(ABS($C189))))&amp;""),$C189&amp;"")&amp;" sesiones ese dia")),IF(("Da "&amp;IF(ISNUMBER($C189),IF($C189=0,"0",ROUND($C189,9-INT(LOG10(ABS($C189))))&amp;""),$C189&amp;"")&amp;" sesiones ese dia")=0,"0",ROUND(("Da "&amp;IF(ISNUMBER($C189),IF($C189=0,"0",ROUND($C189,9-INT(LOG10(ABS($C189))))&amp;""),$C189&amp;"")&amp;" sesiones ese dia"),9-INT(LOG10(ABS(("Da "&amp;IF(ISNUMBER($C189),IF($C189=0,"0",ROUND($C189,9-INT(LOG10(ABS($C189))))&amp;""),$C189&amp;"")&amp;" sesiones ese dia")))))&amp;""),("Da "&amp;IF(ISNUMBER($C189),IF($C189=0,"0",ROUND($C189,9-INT(LOG10(ABS($C189))))&amp;""),$C189&amp;"")&amp;" sesiones ese dia")&amp;""),""),3,32767))</f>
        <v/>
      </c>
      <c r="E189" s="3">
        <f>IF(OR((IFERROR(VALUE($C189&amp;""),0)&gt;IFERROR(VALUE('Parametros'!$B$4&amp;""),0))),2,0)</f>
        <v/>
      </c>
    </row>
    <row r="190">
      <c r="A190" s="4" t="n"/>
      <c r="B190" s="4" t="n"/>
      <c r="C190" s="3">
        <f>IF(AND($A190="",$B190=""),"",SUMPRODUCT(1*((EXACT('Casillas del horario'!$F$4:$F$73,$A190)))*((EXACT('Casillas del horario'!$B$4:$B$73,$B190)))*((1-(('Casillas del horario'!$D$4:$D$73=""))))))</f>
        <v/>
      </c>
      <c r="D190" s="3">
        <f>IF(AND($A190="",$B190=""),"",MID(IF((IFERROR(VALUE($C190&amp;""),0)&gt;IFERROR(VALUE('Parametros'!$B$4&amp;""),0)),"; "&amp;IF(ISNUMBER(("Da "&amp;IF(ISNUMBER($C190),IF($C190=0,"0",ROUND($C190,9-INT(LOG10(ABS($C190))))&amp;""),$C190&amp;"")&amp;" sesiones ese dia")),IF(("Da "&amp;IF(ISNUMBER($C190),IF($C190=0,"0",ROUND($C190,9-INT(LOG10(ABS($C190))))&amp;""),$C190&amp;"")&amp;" sesiones ese dia")=0,"0",ROUND(("Da "&amp;IF(ISNUMBER($C190),IF($C190=0,"0",ROUND($C190,9-INT(LOG10(ABS($C190))))&amp;""),$C190&amp;"")&amp;" sesiones ese dia"),9-INT(LOG10(ABS(("Da "&amp;IF(ISNUMBER($C190),IF($C190=0,"0",ROUND($C190,9-INT(LOG10(ABS($C190))))&amp;""),$C190&amp;"")&amp;" sesiones ese dia")))))&amp;""),("Da "&amp;IF(ISNUMBER($C190),IF($C190=0,"0",ROUND($C190,9-INT(LOG10(ABS($C190))))&amp;""),$C190&amp;"")&amp;" sesiones ese dia")&amp;""),""),3,32767))</f>
        <v/>
      </c>
      <c r="E190" s="3">
        <f>IF(OR((IFERROR(VALUE($C190&amp;""),0)&gt;IFERROR(VALUE('Parametros'!$B$4&amp;""),0))),2,0)</f>
        <v/>
      </c>
    </row>
    <row r="191">
      <c r="A191" s="4" t="n"/>
      <c r="B191" s="4" t="n"/>
      <c r="C191" s="3">
        <f>IF(AND($A191="",$B191=""),"",SUMPRODUCT(1*((EXACT('Casillas del horario'!$F$4:$F$73,$A191)))*((EXACT('Casillas del horario'!$B$4:$B$73,$B191)))*((1-(('Casillas del horario'!$D$4:$D$73=""))))))</f>
        <v/>
      </c>
      <c r="D191" s="3">
        <f>IF(AND($A191="",$B191=""),"",MID(IF((IFERROR(VALUE($C191&amp;""),0)&gt;IFERROR(VALUE('Parametros'!$B$4&amp;""),0)),"; "&amp;IF(ISNUMBER(("Da "&amp;IF(ISNUMBER($C191),IF($C191=0,"0",ROUND($C191,9-INT(LOG10(ABS($C191))))&amp;""),$C191&amp;"")&amp;" sesiones ese dia")),IF(("Da "&amp;IF(ISNUMBER($C191),IF($C191=0,"0",ROUND($C191,9-INT(LOG10(ABS($C191))))&amp;""),$C191&amp;"")&amp;" sesiones ese dia")=0,"0",ROUND(("Da "&amp;IF(ISNUMBER($C191),IF($C191=0,"0",ROUND($C191,9-INT(LOG10(ABS($C191))))&amp;""),$C191&amp;"")&amp;" sesiones ese dia"),9-INT(LOG10(ABS(("Da "&amp;IF(ISNUMBER($C191),IF($C191=0,"0",ROUND($C191,9-INT(LOG10(ABS($C191))))&amp;""),$C191&amp;"")&amp;" sesiones ese dia")))))&amp;""),("Da "&amp;IF(ISNUMBER($C191),IF($C191=0,"0",ROUND($C191,9-INT(LOG10(ABS($C191))))&amp;""),$C191&amp;"")&amp;" sesiones ese dia")&amp;""),""),3,32767))</f>
        <v/>
      </c>
      <c r="E191" s="3">
        <f>IF(OR((IFERROR(VALUE($C191&amp;""),0)&gt;IFERROR(VALUE('Parametros'!$B$4&amp;""),0))),2,0)</f>
        <v/>
      </c>
    </row>
    <row r="192">
      <c r="A192" s="4" t="n"/>
      <c r="B192" s="4" t="n"/>
      <c r="C192" s="3">
        <f>IF(AND($A192="",$B192=""),"",SUMPRODUCT(1*((EXACT('Casillas del horario'!$F$4:$F$73,$A192)))*((EXACT('Casillas del horario'!$B$4:$B$73,$B192)))*((1-(('Casillas del horario'!$D$4:$D$73=""))))))</f>
        <v/>
      </c>
      <c r="D192" s="3">
        <f>IF(AND($A192="",$B192=""),"",MID(IF((IFERROR(VALUE($C192&amp;""),0)&gt;IFERROR(VALUE('Parametros'!$B$4&amp;""),0)),"; "&amp;IF(ISNUMBER(("Da "&amp;IF(ISNUMBER($C192),IF($C192=0,"0",ROUND($C192,9-INT(LOG10(ABS($C192))))&amp;""),$C192&amp;"")&amp;" sesiones ese dia")),IF(("Da "&amp;IF(ISNUMBER($C192),IF($C192=0,"0",ROUND($C192,9-INT(LOG10(ABS($C192))))&amp;""),$C192&amp;"")&amp;" sesiones ese dia")=0,"0",ROUND(("Da "&amp;IF(ISNUMBER($C192),IF($C192=0,"0",ROUND($C192,9-INT(LOG10(ABS($C192))))&amp;""),$C192&amp;"")&amp;" sesiones ese dia"),9-INT(LOG10(ABS(("Da "&amp;IF(ISNUMBER($C192),IF($C192=0,"0",ROUND($C192,9-INT(LOG10(ABS($C192))))&amp;""),$C192&amp;"")&amp;" sesiones ese dia")))))&amp;""),("Da "&amp;IF(ISNUMBER($C192),IF($C192=0,"0",ROUND($C192,9-INT(LOG10(ABS($C192))))&amp;""),$C192&amp;"")&amp;" sesiones ese dia")&amp;""),""),3,32767))</f>
        <v/>
      </c>
      <c r="E192" s="3">
        <f>IF(OR((IFERROR(VALUE($C192&amp;""),0)&gt;IFERROR(VALUE('Parametros'!$B$4&amp;""),0))),2,0)</f>
        <v/>
      </c>
    </row>
    <row r="193">
      <c r="A193" s="4" t="n"/>
      <c r="B193" s="4" t="n"/>
      <c r="C193" s="3">
        <f>IF(AND($A193="",$B193=""),"",SUMPRODUCT(1*((EXACT('Casillas del horario'!$F$4:$F$73,$A193)))*((EXACT('Casillas del horario'!$B$4:$B$73,$B193)))*((1-(('Casillas del horario'!$D$4:$D$73=""))))))</f>
        <v/>
      </c>
      <c r="D193" s="3">
        <f>IF(AND($A193="",$B193=""),"",MID(IF((IFERROR(VALUE($C193&amp;""),0)&gt;IFERROR(VALUE('Parametros'!$B$4&amp;""),0)),"; "&amp;IF(ISNUMBER(("Da "&amp;IF(ISNUMBER($C193),IF($C193=0,"0",ROUND($C193,9-INT(LOG10(ABS($C193))))&amp;""),$C193&amp;"")&amp;" sesiones ese dia")),IF(("Da "&amp;IF(ISNUMBER($C193),IF($C193=0,"0",ROUND($C193,9-INT(LOG10(ABS($C193))))&amp;""),$C193&amp;"")&amp;" sesiones ese dia")=0,"0",ROUND(("Da "&amp;IF(ISNUMBER($C193),IF($C193=0,"0",ROUND($C193,9-INT(LOG10(ABS($C193))))&amp;""),$C193&amp;"")&amp;" sesiones ese dia"),9-INT(LOG10(ABS(("Da "&amp;IF(ISNUMBER($C193),IF($C193=0,"0",ROUND($C193,9-INT(LOG10(ABS($C193))))&amp;""),$C193&amp;"")&amp;" sesiones ese dia")))))&amp;""),("Da "&amp;IF(ISNUMBER($C193),IF($C193=0,"0",ROUND($C193,9-INT(LOG10(ABS($C193))))&amp;""),$C193&amp;"")&amp;" sesiones ese dia")&amp;""),""),3,32767))</f>
        <v/>
      </c>
      <c r="E193" s="3">
        <f>IF(OR((IFERROR(VALUE($C193&amp;""),0)&gt;IFERROR(VALUE('Parametros'!$B$4&amp;""),0))),2,0)</f>
        <v/>
      </c>
    </row>
    <row r="194">
      <c r="A194" s="4" t="n"/>
      <c r="B194" s="4" t="n"/>
      <c r="C194" s="3">
        <f>IF(AND($A194="",$B194=""),"",SUMPRODUCT(1*((EXACT('Casillas del horario'!$F$4:$F$73,$A194)))*((EXACT('Casillas del horario'!$B$4:$B$73,$B194)))*((1-(('Casillas del horario'!$D$4:$D$73=""))))))</f>
        <v/>
      </c>
      <c r="D194" s="3">
        <f>IF(AND($A194="",$B194=""),"",MID(IF((IFERROR(VALUE($C194&amp;""),0)&gt;IFERROR(VALUE('Parametros'!$B$4&amp;""),0)),"; "&amp;IF(ISNUMBER(("Da "&amp;IF(ISNUMBER($C194),IF($C194=0,"0",ROUND($C194,9-INT(LOG10(ABS($C194))))&amp;""),$C194&amp;"")&amp;" sesiones ese dia")),IF(("Da "&amp;IF(ISNUMBER($C194),IF($C194=0,"0",ROUND($C194,9-INT(LOG10(ABS($C194))))&amp;""),$C194&amp;"")&amp;" sesiones ese dia")=0,"0",ROUND(("Da "&amp;IF(ISNUMBER($C194),IF($C194=0,"0",ROUND($C194,9-INT(LOG10(ABS($C194))))&amp;""),$C194&amp;"")&amp;" sesiones ese dia"),9-INT(LOG10(ABS(("Da "&amp;IF(ISNUMBER($C194),IF($C194=0,"0",ROUND($C194,9-INT(LOG10(ABS($C194))))&amp;""),$C194&amp;"")&amp;" sesiones ese dia")))))&amp;""),("Da "&amp;IF(ISNUMBER($C194),IF($C194=0,"0",ROUND($C194,9-INT(LOG10(ABS($C194))))&amp;""),$C194&amp;"")&amp;" sesiones ese dia")&amp;""),""),3,32767))</f>
        <v/>
      </c>
      <c r="E194" s="3">
        <f>IF(OR((IFERROR(VALUE($C194&amp;""),0)&gt;IFERROR(VALUE('Parametros'!$B$4&amp;""),0))),2,0)</f>
        <v/>
      </c>
    </row>
    <row r="195">
      <c r="A195" s="4" t="n"/>
      <c r="B195" s="4" t="n"/>
      <c r="C195" s="3">
        <f>IF(AND($A195="",$B195=""),"",SUMPRODUCT(1*((EXACT('Casillas del horario'!$F$4:$F$73,$A195)))*((EXACT('Casillas del horario'!$B$4:$B$73,$B195)))*((1-(('Casillas del horario'!$D$4:$D$73=""))))))</f>
        <v/>
      </c>
      <c r="D195" s="3">
        <f>IF(AND($A195="",$B195=""),"",MID(IF((IFERROR(VALUE($C195&amp;""),0)&gt;IFERROR(VALUE('Parametros'!$B$4&amp;""),0)),"; "&amp;IF(ISNUMBER(("Da "&amp;IF(ISNUMBER($C195),IF($C195=0,"0",ROUND($C195,9-INT(LOG10(ABS($C195))))&amp;""),$C195&amp;"")&amp;" sesiones ese dia")),IF(("Da "&amp;IF(ISNUMBER($C195),IF($C195=0,"0",ROUND($C195,9-INT(LOG10(ABS($C195))))&amp;""),$C195&amp;"")&amp;" sesiones ese dia")=0,"0",ROUND(("Da "&amp;IF(ISNUMBER($C195),IF($C195=0,"0",ROUND($C195,9-INT(LOG10(ABS($C195))))&amp;""),$C195&amp;"")&amp;" sesiones ese dia"),9-INT(LOG10(ABS(("Da "&amp;IF(ISNUMBER($C195),IF($C195=0,"0",ROUND($C195,9-INT(LOG10(ABS($C195))))&amp;""),$C195&amp;"")&amp;" sesiones ese dia")))))&amp;""),("Da "&amp;IF(ISNUMBER($C195),IF($C195=0,"0",ROUND($C195,9-INT(LOG10(ABS($C195))))&amp;""),$C195&amp;"")&amp;" sesiones ese dia")&amp;""),""),3,32767))</f>
        <v/>
      </c>
      <c r="E195" s="3">
        <f>IF(OR((IFERROR(VALUE($C195&amp;""),0)&gt;IFERROR(VALUE('Parametros'!$B$4&amp;""),0))),2,0)</f>
        <v/>
      </c>
    </row>
    <row r="196">
      <c r="A196" s="4" t="n"/>
      <c r="B196" s="4" t="n"/>
      <c r="C196" s="3">
        <f>IF(AND($A196="",$B196=""),"",SUMPRODUCT(1*((EXACT('Casillas del horario'!$F$4:$F$73,$A196)))*((EXACT('Casillas del horario'!$B$4:$B$73,$B196)))*((1-(('Casillas del horario'!$D$4:$D$73=""))))))</f>
        <v/>
      </c>
      <c r="D196" s="3">
        <f>IF(AND($A196="",$B196=""),"",MID(IF((IFERROR(VALUE($C196&amp;""),0)&gt;IFERROR(VALUE('Parametros'!$B$4&amp;""),0)),"; "&amp;IF(ISNUMBER(("Da "&amp;IF(ISNUMBER($C196),IF($C196=0,"0",ROUND($C196,9-INT(LOG10(ABS($C196))))&amp;""),$C196&amp;"")&amp;" sesiones ese dia")),IF(("Da "&amp;IF(ISNUMBER($C196),IF($C196=0,"0",ROUND($C196,9-INT(LOG10(ABS($C196))))&amp;""),$C196&amp;"")&amp;" sesiones ese dia")=0,"0",ROUND(("Da "&amp;IF(ISNUMBER($C196),IF($C196=0,"0",ROUND($C196,9-INT(LOG10(ABS($C196))))&amp;""),$C196&amp;"")&amp;" sesiones ese dia"),9-INT(LOG10(ABS(("Da "&amp;IF(ISNUMBER($C196),IF($C196=0,"0",ROUND($C196,9-INT(LOG10(ABS($C196))))&amp;""),$C196&amp;"")&amp;" sesiones ese dia")))))&amp;""),("Da "&amp;IF(ISNUMBER($C196),IF($C196=0,"0",ROUND($C196,9-INT(LOG10(ABS($C196))))&amp;""),$C196&amp;"")&amp;" sesiones ese dia")&amp;""),""),3,32767))</f>
        <v/>
      </c>
      <c r="E196" s="3">
        <f>IF(OR((IFERROR(VALUE($C196&amp;""),0)&gt;IFERROR(VALUE('Parametros'!$B$4&amp;""),0))),2,0)</f>
        <v/>
      </c>
    </row>
    <row r="197">
      <c r="A197" s="4" t="n"/>
      <c r="B197" s="4" t="n"/>
      <c r="C197" s="3">
        <f>IF(AND($A197="",$B197=""),"",SUMPRODUCT(1*((EXACT('Casillas del horario'!$F$4:$F$73,$A197)))*((EXACT('Casillas del horario'!$B$4:$B$73,$B197)))*((1-(('Casillas del horario'!$D$4:$D$73=""))))))</f>
        <v/>
      </c>
      <c r="D197" s="3">
        <f>IF(AND($A197="",$B197=""),"",MID(IF((IFERROR(VALUE($C197&amp;""),0)&gt;IFERROR(VALUE('Parametros'!$B$4&amp;""),0)),"; "&amp;IF(ISNUMBER(("Da "&amp;IF(ISNUMBER($C197),IF($C197=0,"0",ROUND($C197,9-INT(LOG10(ABS($C197))))&amp;""),$C197&amp;"")&amp;" sesiones ese dia")),IF(("Da "&amp;IF(ISNUMBER($C197),IF($C197=0,"0",ROUND($C197,9-INT(LOG10(ABS($C197))))&amp;""),$C197&amp;"")&amp;" sesiones ese dia")=0,"0",ROUND(("Da "&amp;IF(ISNUMBER($C197),IF($C197=0,"0",ROUND($C197,9-INT(LOG10(ABS($C197))))&amp;""),$C197&amp;"")&amp;" sesiones ese dia"),9-INT(LOG10(ABS(("Da "&amp;IF(ISNUMBER($C197),IF($C197=0,"0",ROUND($C197,9-INT(LOG10(ABS($C197))))&amp;""),$C197&amp;"")&amp;" sesiones ese dia")))))&amp;""),("Da "&amp;IF(ISNUMBER($C197),IF($C197=0,"0",ROUND($C197,9-INT(LOG10(ABS($C197))))&amp;""),$C197&amp;"")&amp;" sesiones ese dia")&amp;""),""),3,32767))</f>
        <v/>
      </c>
      <c r="E197" s="3">
        <f>IF(OR((IFERROR(VALUE($C197&amp;""),0)&gt;IFERROR(VALUE('Parametros'!$B$4&amp;""),0))),2,0)</f>
        <v/>
      </c>
    </row>
    <row r="198">
      <c r="A198" s="4" t="n"/>
      <c r="B198" s="4" t="n"/>
      <c r="C198" s="3">
        <f>IF(AND($A198="",$B198=""),"",SUMPRODUCT(1*((EXACT('Casillas del horario'!$F$4:$F$73,$A198)))*((EXACT('Casillas del horario'!$B$4:$B$73,$B198)))*((1-(('Casillas del horario'!$D$4:$D$73=""))))))</f>
        <v/>
      </c>
      <c r="D198" s="3">
        <f>IF(AND($A198="",$B198=""),"",MID(IF((IFERROR(VALUE($C198&amp;""),0)&gt;IFERROR(VALUE('Parametros'!$B$4&amp;""),0)),"; "&amp;IF(ISNUMBER(("Da "&amp;IF(ISNUMBER($C198),IF($C198=0,"0",ROUND($C198,9-INT(LOG10(ABS($C198))))&amp;""),$C198&amp;"")&amp;" sesiones ese dia")),IF(("Da "&amp;IF(ISNUMBER($C198),IF($C198=0,"0",ROUND($C198,9-INT(LOG10(ABS($C198))))&amp;""),$C198&amp;"")&amp;" sesiones ese dia")=0,"0",ROUND(("Da "&amp;IF(ISNUMBER($C198),IF($C198=0,"0",ROUND($C198,9-INT(LOG10(ABS($C198))))&amp;""),$C198&amp;"")&amp;" sesiones ese dia"),9-INT(LOG10(ABS(("Da "&amp;IF(ISNUMBER($C198),IF($C198=0,"0",ROUND($C198,9-INT(LOG10(ABS($C198))))&amp;""),$C198&amp;"")&amp;" sesiones ese dia")))))&amp;""),("Da "&amp;IF(ISNUMBER($C198),IF($C198=0,"0",ROUND($C198,9-INT(LOG10(ABS($C198))))&amp;""),$C198&amp;"")&amp;" sesiones ese dia")&amp;""),""),3,32767))</f>
        <v/>
      </c>
      <c r="E198" s="3">
        <f>IF(OR((IFERROR(VALUE($C198&amp;""),0)&gt;IFERROR(VALUE('Parametros'!$B$4&amp;""),0))),2,0)</f>
        <v/>
      </c>
    </row>
    <row r="199">
      <c r="A199" s="4" t="n"/>
      <c r="B199" s="4" t="n"/>
      <c r="C199" s="3">
        <f>IF(AND($A199="",$B199=""),"",SUMPRODUCT(1*((EXACT('Casillas del horario'!$F$4:$F$73,$A199)))*((EXACT('Casillas del horario'!$B$4:$B$73,$B199)))*((1-(('Casillas del horario'!$D$4:$D$73=""))))))</f>
        <v/>
      </c>
      <c r="D199" s="3">
        <f>IF(AND($A199="",$B199=""),"",MID(IF((IFERROR(VALUE($C199&amp;""),0)&gt;IFERROR(VALUE('Parametros'!$B$4&amp;""),0)),"; "&amp;IF(ISNUMBER(("Da "&amp;IF(ISNUMBER($C199),IF($C199=0,"0",ROUND($C199,9-INT(LOG10(ABS($C199))))&amp;""),$C199&amp;"")&amp;" sesiones ese dia")),IF(("Da "&amp;IF(ISNUMBER($C199),IF($C199=0,"0",ROUND($C199,9-INT(LOG10(ABS($C199))))&amp;""),$C199&amp;"")&amp;" sesiones ese dia")=0,"0",ROUND(("Da "&amp;IF(ISNUMBER($C199),IF($C199=0,"0",ROUND($C199,9-INT(LOG10(ABS($C199))))&amp;""),$C199&amp;"")&amp;" sesiones ese dia"),9-INT(LOG10(ABS(("Da "&amp;IF(ISNUMBER($C199),IF($C199=0,"0",ROUND($C199,9-INT(LOG10(ABS($C199))))&amp;""),$C199&amp;"")&amp;" sesiones ese dia")))))&amp;""),("Da "&amp;IF(ISNUMBER($C199),IF($C199=0,"0",ROUND($C199,9-INT(LOG10(ABS($C199))))&amp;""),$C199&amp;"")&amp;" sesiones ese dia")&amp;""),""),3,32767))</f>
        <v/>
      </c>
      <c r="E199" s="3">
        <f>IF(OR((IFERROR(VALUE($C199&amp;""),0)&gt;IFERROR(VALUE('Parametros'!$B$4&amp;""),0))),2,0)</f>
        <v/>
      </c>
    </row>
    <row r="200">
      <c r="A200" s="4" t="n"/>
      <c r="B200" s="4" t="n"/>
      <c r="C200" s="3">
        <f>IF(AND($A200="",$B200=""),"",SUMPRODUCT(1*((EXACT('Casillas del horario'!$F$4:$F$73,$A200)))*((EXACT('Casillas del horario'!$B$4:$B$73,$B200)))*((1-(('Casillas del horario'!$D$4:$D$73=""))))))</f>
        <v/>
      </c>
      <c r="D200" s="3">
        <f>IF(AND($A200="",$B200=""),"",MID(IF((IFERROR(VALUE($C200&amp;""),0)&gt;IFERROR(VALUE('Parametros'!$B$4&amp;""),0)),"; "&amp;IF(ISNUMBER(("Da "&amp;IF(ISNUMBER($C200),IF($C200=0,"0",ROUND($C200,9-INT(LOG10(ABS($C200))))&amp;""),$C200&amp;"")&amp;" sesiones ese dia")),IF(("Da "&amp;IF(ISNUMBER($C200),IF($C200=0,"0",ROUND($C200,9-INT(LOG10(ABS($C200))))&amp;""),$C200&amp;"")&amp;" sesiones ese dia")=0,"0",ROUND(("Da "&amp;IF(ISNUMBER($C200),IF($C200=0,"0",ROUND($C200,9-INT(LOG10(ABS($C200))))&amp;""),$C200&amp;"")&amp;" sesiones ese dia"),9-INT(LOG10(ABS(("Da "&amp;IF(ISNUMBER($C200),IF($C200=0,"0",ROUND($C200,9-INT(LOG10(ABS($C200))))&amp;""),$C200&amp;"")&amp;" sesiones ese dia")))))&amp;""),("Da "&amp;IF(ISNUMBER($C200),IF($C200=0,"0",ROUND($C200,9-INT(LOG10(ABS($C200))))&amp;""),$C200&amp;"")&amp;" sesiones ese dia")&amp;""),""),3,32767))</f>
        <v/>
      </c>
      <c r="E200" s="3">
        <f>IF(OR((IFERROR(VALUE($C200&amp;""),0)&gt;IFERROR(VALUE('Parametros'!$B$4&amp;""),0))),2,0)</f>
        <v/>
      </c>
    </row>
    <row r="201">
      <c r="A201" s="4" t="n"/>
      <c r="B201" s="4" t="n"/>
      <c r="C201" s="3">
        <f>IF(AND($A201="",$B201=""),"",SUMPRODUCT(1*((EXACT('Casillas del horario'!$F$4:$F$73,$A201)))*((EXACT('Casillas del horario'!$B$4:$B$73,$B201)))*((1-(('Casillas del horario'!$D$4:$D$73=""))))))</f>
        <v/>
      </c>
      <c r="D201" s="3">
        <f>IF(AND($A201="",$B201=""),"",MID(IF((IFERROR(VALUE($C201&amp;""),0)&gt;IFERROR(VALUE('Parametros'!$B$4&amp;""),0)),"; "&amp;IF(ISNUMBER(("Da "&amp;IF(ISNUMBER($C201),IF($C201=0,"0",ROUND($C201,9-INT(LOG10(ABS($C201))))&amp;""),$C201&amp;"")&amp;" sesiones ese dia")),IF(("Da "&amp;IF(ISNUMBER($C201),IF($C201=0,"0",ROUND($C201,9-INT(LOG10(ABS($C201))))&amp;""),$C201&amp;"")&amp;" sesiones ese dia")=0,"0",ROUND(("Da "&amp;IF(ISNUMBER($C201),IF($C201=0,"0",ROUND($C201,9-INT(LOG10(ABS($C201))))&amp;""),$C201&amp;"")&amp;" sesiones ese dia"),9-INT(LOG10(ABS(("Da "&amp;IF(ISNUMBER($C201),IF($C201=0,"0",ROUND($C201,9-INT(LOG10(ABS($C201))))&amp;""),$C201&amp;"")&amp;" sesiones ese dia")))))&amp;""),("Da "&amp;IF(ISNUMBER($C201),IF($C201=0,"0",ROUND($C201,9-INT(LOG10(ABS($C201))))&amp;""),$C201&amp;"")&amp;" sesiones ese dia")&amp;""),""),3,32767))</f>
        <v/>
      </c>
      <c r="E201" s="3">
        <f>IF(OR((IFERROR(VALUE($C201&amp;""),0)&gt;IFERROR(VALUE('Parametros'!$B$4&amp;""),0))),2,0)</f>
        <v/>
      </c>
    </row>
    <row r="202">
      <c r="A202" s="4" t="n"/>
      <c r="B202" s="4" t="n"/>
      <c r="C202" s="3">
        <f>IF(AND($A202="",$B202=""),"",SUMPRODUCT(1*((EXACT('Casillas del horario'!$F$4:$F$73,$A202)))*((EXACT('Casillas del horario'!$B$4:$B$73,$B202)))*((1-(('Casillas del horario'!$D$4:$D$73=""))))))</f>
        <v/>
      </c>
      <c r="D202" s="3">
        <f>IF(AND($A202="",$B202=""),"",MID(IF((IFERROR(VALUE($C202&amp;""),0)&gt;IFERROR(VALUE('Parametros'!$B$4&amp;""),0)),"; "&amp;IF(ISNUMBER(("Da "&amp;IF(ISNUMBER($C202),IF($C202=0,"0",ROUND($C202,9-INT(LOG10(ABS($C202))))&amp;""),$C202&amp;"")&amp;" sesiones ese dia")),IF(("Da "&amp;IF(ISNUMBER($C202),IF($C202=0,"0",ROUND($C202,9-INT(LOG10(ABS($C202))))&amp;""),$C202&amp;"")&amp;" sesiones ese dia")=0,"0",ROUND(("Da "&amp;IF(ISNUMBER($C202),IF($C202=0,"0",ROUND($C202,9-INT(LOG10(ABS($C202))))&amp;""),$C202&amp;"")&amp;" sesiones ese dia"),9-INT(LOG10(ABS(("Da "&amp;IF(ISNUMBER($C202),IF($C202=0,"0",ROUND($C202,9-INT(LOG10(ABS($C202))))&amp;""),$C202&amp;"")&amp;" sesiones ese dia")))))&amp;""),("Da "&amp;IF(ISNUMBER($C202),IF($C202=0,"0",ROUND($C202,9-INT(LOG10(ABS($C202))))&amp;""),$C202&amp;"")&amp;" sesiones ese dia")&amp;""),""),3,32767))</f>
        <v/>
      </c>
      <c r="E202" s="3">
        <f>IF(OR((IFERROR(VALUE($C202&amp;""),0)&gt;IFERROR(VALUE('Parametros'!$B$4&amp;""),0))),2,0)</f>
        <v/>
      </c>
    </row>
    <row r="203">
      <c r="A203" s="4" t="n"/>
      <c r="B203" s="4" t="n"/>
      <c r="C203" s="3">
        <f>IF(AND($A203="",$B203=""),"",SUMPRODUCT(1*((EXACT('Casillas del horario'!$F$4:$F$73,$A203)))*((EXACT('Casillas del horario'!$B$4:$B$73,$B203)))*((1-(('Casillas del horario'!$D$4:$D$73=""))))))</f>
        <v/>
      </c>
      <c r="D203" s="3">
        <f>IF(AND($A203="",$B203=""),"",MID(IF((IFERROR(VALUE($C203&amp;""),0)&gt;IFERROR(VALUE('Parametros'!$B$4&amp;""),0)),"; "&amp;IF(ISNUMBER(("Da "&amp;IF(ISNUMBER($C203),IF($C203=0,"0",ROUND($C203,9-INT(LOG10(ABS($C203))))&amp;""),$C203&amp;"")&amp;" sesiones ese dia")),IF(("Da "&amp;IF(ISNUMBER($C203),IF($C203=0,"0",ROUND($C203,9-INT(LOG10(ABS($C203))))&amp;""),$C203&amp;"")&amp;" sesiones ese dia")=0,"0",ROUND(("Da "&amp;IF(ISNUMBER($C203),IF($C203=0,"0",ROUND($C203,9-INT(LOG10(ABS($C203))))&amp;""),$C203&amp;"")&amp;" sesiones ese dia"),9-INT(LOG10(ABS(("Da "&amp;IF(ISNUMBER($C203),IF($C203=0,"0",ROUND($C203,9-INT(LOG10(ABS($C203))))&amp;""),$C203&amp;"")&amp;" sesiones ese dia")))))&amp;""),("Da "&amp;IF(ISNUMBER($C203),IF($C203=0,"0",ROUND($C203,9-INT(LOG10(ABS($C203))))&amp;""),$C203&amp;"")&amp;" sesiones ese dia")&amp;""),""),3,32767))</f>
        <v/>
      </c>
      <c r="E203" s="3">
        <f>IF(OR((IFERROR(VALUE($C203&amp;""),0)&gt;IFERROR(VALUE('Parametros'!$B$4&amp;""),0))),2,0)</f>
        <v/>
      </c>
    </row>
    <row r="204">
      <c r="A204" s="4" t="n"/>
      <c r="B204" s="4" t="n"/>
      <c r="C204" s="3">
        <f>IF(AND($A204="",$B204=""),"",SUMPRODUCT(1*((EXACT('Casillas del horario'!$F$4:$F$73,$A204)))*((EXACT('Casillas del horario'!$B$4:$B$73,$B204)))*((1-(('Casillas del horario'!$D$4:$D$73=""))))))</f>
        <v/>
      </c>
      <c r="D204" s="3">
        <f>IF(AND($A204="",$B204=""),"",MID(IF((IFERROR(VALUE($C204&amp;""),0)&gt;IFERROR(VALUE('Parametros'!$B$4&amp;""),0)),"; "&amp;IF(ISNUMBER(("Da "&amp;IF(ISNUMBER($C204),IF($C204=0,"0",ROUND($C204,9-INT(LOG10(ABS($C204))))&amp;""),$C204&amp;"")&amp;" sesiones ese dia")),IF(("Da "&amp;IF(ISNUMBER($C204),IF($C204=0,"0",ROUND($C204,9-INT(LOG10(ABS($C204))))&amp;""),$C204&amp;"")&amp;" sesiones ese dia")=0,"0",ROUND(("Da "&amp;IF(ISNUMBER($C204),IF($C204=0,"0",ROUND($C204,9-INT(LOG10(ABS($C204))))&amp;""),$C204&amp;"")&amp;" sesiones ese dia"),9-INT(LOG10(ABS(("Da "&amp;IF(ISNUMBER($C204),IF($C204=0,"0",ROUND($C204,9-INT(LOG10(ABS($C204))))&amp;""),$C204&amp;"")&amp;" sesiones ese dia")))))&amp;""),("Da "&amp;IF(ISNUMBER($C204),IF($C204=0,"0",ROUND($C204,9-INT(LOG10(ABS($C204))))&amp;""),$C204&amp;"")&amp;" sesiones ese dia")&amp;""),""),3,32767))</f>
        <v/>
      </c>
      <c r="E204" s="3">
        <f>IF(OR((IFERROR(VALUE($C204&amp;""),0)&gt;IFERROR(VALUE('Parametros'!$B$4&amp;""),0))),2,0)</f>
        <v/>
      </c>
    </row>
    <row r="205">
      <c r="A205" s="4" t="n"/>
      <c r="B205" s="4" t="n"/>
      <c r="C205" s="3">
        <f>IF(AND($A205="",$B205=""),"",SUMPRODUCT(1*((EXACT('Casillas del horario'!$F$4:$F$73,$A205)))*((EXACT('Casillas del horario'!$B$4:$B$73,$B205)))*((1-(('Casillas del horario'!$D$4:$D$73=""))))))</f>
        <v/>
      </c>
      <c r="D205" s="3">
        <f>IF(AND($A205="",$B205=""),"",MID(IF((IFERROR(VALUE($C205&amp;""),0)&gt;IFERROR(VALUE('Parametros'!$B$4&amp;""),0)),"; "&amp;IF(ISNUMBER(("Da "&amp;IF(ISNUMBER($C205),IF($C205=0,"0",ROUND($C205,9-INT(LOG10(ABS($C205))))&amp;""),$C205&amp;"")&amp;" sesiones ese dia")),IF(("Da "&amp;IF(ISNUMBER($C205),IF($C205=0,"0",ROUND($C205,9-INT(LOG10(ABS($C205))))&amp;""),$C205&amp;"")&amp;" sesiones ese dia")=0,"0",ROUND(("Da "&amp;IF(ISNUMBER($C205),IF($C205=0,"0",ROUND($C205,9-INT(LOG10(ABS($C205))))&amp;""),$C205&amp;"")&amp;" sesiones ese dia"),9-INT(LOG10(ABS(("Da "&amp;IF(ISNUMBER($C205),IF($C205=0,"0",ROUND($C205,9-INT(LOG10(ABS($C205))))&amp;""),$C205&amp;"")&amp;" sesiones ese dia")))))&amp;""),("Da "&amp;IF(ISNUMBER($C205),IF($C205=0,"0",ROUND($C205,9-INT(LOG10(ABS($C205))))&amp;""),$C205&amp;"")&amp;" sesiones ese dia")&amp;""),""),3,32767))</f>
        <v/>
      </c>
      <c r="E205" s="3">
        <f>IF(OR((IFERROR(VALUE($C205&amp;""),0)&gt;IFERROR(VALUE('Parametros'!$B$4&amp;""),0))),2,0)</f>
        <v/>
      </c>
    </row>
    <row r="206">
      <c r="A206" s="4" t="n"/>
      <c r="B206" s="4" t="n"/>
      <c r="C206" s="3">
        <f>IF(AND($A206="",$B206=""),"",SUMPRODUCT(1*((EXACT('Casillas del horario'!$F$4:$F$73,$A206)))*((EXACT('Casillas del horario'!$B$4:$B$73,$B206)))*((1-(('Casillas del horario'!$D$4:$D$73=""))))))</f>
        <v/>
      </c>
      <c r="D206" s="3">
        <f>IF(AND($A206="",$B206=""),"",MID(IF((IFERROR(VALUE($C206&amp;""),0)&gt;IFERROR(VALUE('Parametros'!$B$4&amp;""),0)),"; "&amp;IF(ISNUMBER(("Da "&amp;IF(ISNUMBER($C206),IF($C206=0,"0",ROUND($C206,9-INT(LOG10(ABS($C206))))&amp;""),$C206&amp;"")&amp;" sesiones ese dia")),IF(("Da "&amp;IF(ISNUMBER($C206),IF($C206=0,"0",ROUND($C206,9-INT(LOG10(ABS($C206))))&amp;""),$C206&amp;"")&amp;" sesiones ese dia")=0,"0",ROUND(("Da "&amp;IF(ISNUMBER($C206),IF($C206=0,"0",ROUND($C206,9-INT(LOG10(ABS($C206))))&amp;""),$C206&amp;"")&amp;" sesiones ese dia"),9-INT(LOG10(ABS(("Da "&amp;IF(ISNUMBER($C206),IF($C206=0,"0",ROUND($C206,9-INT(LOG10(ABS($C206))))&amp;""),$C206&amp;"")&amp;" sesiones ese dia")))))&amp;""),("Da "&amp;IF(ISNUMBER($C206),IF($C206=0,"0",ROUND($C206,9-INT(LOG10(ABS($C206))))&amp;""),$C206&amp;"")&amp;" sesiones ese dia")&amp;""),""),3,32767))</f>
        <v/>
      </c>
      <c r="E206" s="3">
        <f>IF(OR((IFERROR(VALUE($C206&amp;""),0)&gt;IFERROR(VALUE('Parametros'!$B$4&amp;""),0))),2,0)</f>
        <v/>
      </c>
    </row>
    <row r="207">
      <c r="A207" s="4" t="n"/>
      <c r="B207" s="4" t="n"/>
      <c r="C207" s="3">
        <f>IF(AND($A207="",$B207=""),"",SUMPRODUCT(1*((EXACT('Casillas del horario'!$F$4:$F$73,$A207)))*((EXACT('Casillas del horario'!$B$4:$B$73,$B207)))*((1-(('Casillas del horario'!$D$4:$D$73=""))))))</f>
        <v/>
      </c>
      <c r="D207" s="3">
        <f>IF(AND($A207="",$B207=""),"",MID(IF((IFERROR(VALUE($C207&amp;""),0)&gt;IFERROR(VALUE('Parametros'!$B$4&amp;""),0)),"; "&amp;IF(ISNUMBER(("Da "&amp;IF(ISNUMBER($C207),IF($C207=0,"0",ROUND($C207,9-INT(LOG10(ABS($C207))))&amp;""),$C207&amp;"")&amp;" sesiones ese dia")),IF(("Da "&amp;IF(ISNUMBER($C207),IF($C207=0,"0",ROUND($C207,9-INT(LOG10(ABS($C207))))&amp;""),$C207&amp;"")&amp;" sesiones ese dia")=0,"0",ROUND(("Da "&amp;IF(ISNUMBER($C207),IF($C207=0,"0",ROUND($C207,9-INT(LOG10(ABS($C207))))&amp;""),$C207&amp;"")&amp;" sesiones ese dia"),9-INT(LOG10(ABS(("Da "&amp;IF(ISNUMBER($C207),IF($C207=0,"0",ROUND($C207,9-INT(LOG10(ABS($C207))))&amp;""),$C207&amp;"")&amp;" sesiones ese dia")))))&amp;""),("Da "&amp;IF(ISNUMBER($C207),IF($C207=0,"0",ROUND($C207,9-INT(LOG10(ABS($C207))))&amp;""),$C207&amp;"")&amp;" sesiones ese dia")&amp;""),""),3,32767))</f>
        <v/>
      </c>
      <c r="E207" s="3">
        <f>IF(OR((IFERROR(VALUE($C207&amp;""),0)&gt;IFERROR(VALUE('Parametros'!$B$4&amp;""),0))),2,0)</f>
        <v/>
      </c>
    </row>
    <row r="208">
      <c r="A208" s="4" t="n"/>
      <c r="B208" s="4" t="n"/>
      <c r="C208" s="3">
        <f>IF(AND($A208="",$B208=""),"",SUMPRODUCT(1*((EXACT('Casillas del horario'!$F$4:$F$73,$A208)))*((EXACT('Casillas del horario'!$B$4:$B$73,$B208)))*((1-(('Casillas del horario'!$D$4:$D$73=""))))))</f>
        <v/>
      </c>
      <c r="D208" s="3">
        <f>IF(AND($A208="",$B208=""),"",MID(IF((IFERROR(VALUE($C208&amp;""),0)&gt;IFERROR(VALUE('Parametros'!$B$4&amp;""),0)),"; "&amp;IF(ISNUMBER(("Da "&amp;IF(ISNUMBER($C208),IF($C208=0,"0",ROUND($C208,9-INT(LOG10(ABS($C208))))&amp;""),$C208&amp;"")&amp;" sesiones ese dia")),IF(("Da "&amp;IF(ISNUMBER($C208),IF($C208=0,"0",ROUND($C208,9-INT(LOG10(ABS($C208))))&amp;""),$C208&amp;"")&amp;" sesiones ese dia")=0,"0",ROUND(("Da "&amp;IF(ISNUMBER($C208),IF($C208=0,"0",ROUND($C208,9-INT(LOG10(ABS($C208))))&amp;""),$C208&amp;"")&amp;" sesiones ese dia"),9-INT(LOG10(ABS(("Da "&amp;IF(ISNUMBER($C208),IF($C208=0,"0",ROUND($C208,9-INT(LOG10(ABS($C208))))&amp;""),$C208&amp;"")&amp;" sesiones ese dia")))))&amp;""),("Da "&amp;IF(ISNUMBER($C208),IF($C208=0,"0",ROUND($C208,9-INT(LOG10(ABS($C208))))&amp;""),$C208&amp;"")&amp;" sesiones ese dia")&amp;""),""),3,32767))</f>
        <v/>
      </c>
      <c r="E208" s="3">
        <f>IF(OR((IFERROR(VALUE($C208&amp;""),0)&gt;IFERROR(VALUE('Parametros'!$B$4&amp;""),0))),2,0)</f>
        <v/>
      </c>
    </row>
    <row r="209">
      <c r="A209" s="4" t="n"/>
      <c r="B209" s="4" t="n"/>
      <c r="C209" s="3">
        <f>IF(AND($A209="",$B209=""),"",SUMPRODUCT(1*((EXACT('Casillas del horario'!$F$4:$F$73,$A209)))*((EXACT('Casillas del horario'!$B$4:$B$73,$B209)))*((1-(('Casillas del horario'!$D$4:$D$73=""))))))</f>
        <v/>
      </c>
      <c r="D209" s="3">
        <f>IF(AND($A209="",$B209=""),"",MID(IF((IFERROR(VALUE($C209&amp;""),0)&gt;IFERROR(VALUE('Parametros'!$B$4&amp;""),0)),"; "&amp;IF(ISNUMBER(("Da "&amp;IF(ISNUMBER($C209),IF($C209=0,"0",ROUND($C209,9-INT(LOG10(ABS($C209))))&amp;""),$C209&amp;"")&amp;" sesiones ese dia")),IF(("Da "&amp;IF(ISNUMBER($C209),IF($C209=0,"0",ROUND($C209,9-INT(LOG10(ABS($C209))))&amp;""),$C209&amp;"")&amp;" sesiones ese dia")=0,"0",ROUND(("Da "&amp;IF(ISNUMBER($C209),IF($C209=0,"0",ROUND($C209,9-INT(LOG10(ABS($C209))))&amp;""),$C209&amp;"")&amp;" sesiones ese dia"),9-INT(LOG10(ABS(("Da "&amp;IF(ISNUMBER($C209),IF($C209=0,"0",ROUND($C209,9-INT(LOG10(ABS($C209))))&amp;""),$C209&amp;"")&amp;" sesiones ese dia")))))&amp;""),("Da "&amp;IF(ISNUMBER($C209),IF($C209=0,"0",ROUND($C209,9-INT(LOG10(ABS($C209))))&amp;""),$C209&amp;"")&amp;" sesiones ese dia")&amp;""),""),3,32767))</f>
        <v/>
      </c>
      <c r="E209" s="3">
        <f>IF(OR((IFERROR(VALUE($C209&amp;""),0)&gt;IFERROR(VALUE('Parametros'!$B$4&amp;""),0))),2,0)</f>
        <v/>
      </c>
    </row>
    <row r="210">
      <c r="A210" s="4" t="n"/>
      <c r="B210" s="4" t="n"/>
      <c r="C210" s="3">
        <f>IF(AND($A210="",$B210=""),"",SUMPRODUCT(1*((EXACT('Casillas del horario'!$F$4:$F$73,$A210)))*((EXACT('Casillas del horario'!$B$4:$B$73,$B210)))*((1-(('Casillas del horario'!$D$4:$D$73=""))))))</f>
        <v/>
      </c>
      <c r="D210" s="3">
        <f>IF(AND($A210="",$B210=""),"",MID(IF((IFERROR(VALUE($C210&amp;""),0)&gt;IFERROR(VALUE('Parametros'!$B$4&amp;""),0)),"; "&amp;IF(ISNUMBER(("Da "&amp;IF(ISNUMBER($C210),IF($C210=0,"0",ROUND($C210,9-INT(LOG10(ABS($C210))))&amp;""),$C210&amp;"")&amp;" sesiones ese dia")),IF(("Da "&amp;IF(ISNUMBER($C210),IF($C210=0,"0",ROUND($C210,9-INT(LOG10(ABS($C210))))&amp;""),$C210&amp;"")&amp;" sesiones ese dia")=0,"0",ROUND(("Da "&amp;IF(ISNUMBER($C210),IF($C210=0,"0",ROUND($C210,9-INT(LOG10(ABS($C210))))&amp;""),$C210&amp;"")&amp;" sesiones ese dia"),9-INT(LOG10(ABS(("Da "&amp;IF(ISNUMBER($C210),IF($C210=0,"0",ROUND($C210,9-INT(LOG10(ABS($C210))))&amp;""),$C210&amp;"")&amp;" sesiones ese dia")))))&amp;""),("Da "&amp;IF(ISNUMBER($C210),IF($C210=0,"0",ROUND($C210,9-INT(LOG10(ABS($C210))))&amp;""),$C210&amp;"")&amp;" sesiones ese dia")&amp;""),""),3,32767))</f>
        <v/>
      </c>
      <c r="E210" s="3">
        <f>IF(OR((IFERROR(VALUE($C210&amp;""),0)&gt;IFERROR(VALUE('Parametros'!$B$4&amp;""),0))),2,0)</f>
        <v/>
      </c>
    </row>
    <row r="211">
      <c r="A211" s="4" t="n"/>
      <c r="B211" s="4" t="n"/>
      <c r="C211" s="3">
        <f>IF(AND($A211="",$B211=""),"",SUMPRODUCT(1*((EXACT('Casillas del horario'!$F$4:$F$73,$A211)))*((EXACT('Casillas del horario'!$B$4:$B$73,$B211)))*((1-(('Casillas del horario'!$D$4:$D$73=""))))))</f>
        <v/>
      </c>
      <c r="D211" s="3">
        <f>IF(AND($A211="",$B211=""),"",MID(IF((IFERROR(VALUE($C211&amp;""),0)&gt;IFERROR(VALUE('Parametros'!$B$4&amp;""),0)),"; "&amp;IF(ISNUMBER(("Da "&amp;IF(ISNUMBER($C211),IF($C211=0,"0",ROUND($C211,9-INT(LOG10(ABS($C211))))&amp;""),$C211&amp;"")&amp;" sesiones ese dia")),IF(("Da "&amp;IF(ISNUMBER($C211),IF($C211=0,"0",ROUND($C211,9-INT(LOG10(ABS($C211))))&amp;""),$C211&amp;"")&amp;" sesiones ese dia")=0,"0",ROUND(("Da "&amp;IF(ISNUMBER($C211),IF($C211=0,"0",ROUND($C211,9-INT(LOG10(ABS($C211))))&amp;""),$C211&amp;"")&amp;" sesiones ese dia"),9-INT(LOG10(ABS(("Da "&amp;IF(ISNUMBER($C211),IF($C211=0,"0",ROUND($C211,9-INT(LOG10(ABS($C211))))&amp;""),$C211&amp;"")&amp;" sesiones ese dia")))))&amp;""),("Da "&amp;IF(ISNUMBER($C211),IF($C211=0,"0",ROUND($C211,9-INT(LOG10(ABS($C211))))&amp;""),$C211&amp;"")&amp;" sesiones ese dia")&amp;""),""),3,32767))</f>
        <v/>
      </c>
      <c r="E211" s="3">
        <f>IF(OR((IFERROR(VALUE($C211&amp;""),0)&gt;IFERROR(VALUE('Parametros'!$B$4&amp;""),0))),2,0)</f>
        <v/>
      </c>
    </row>
    <row r="212">
      <c r="A212" s="4" t="n"/>
      <c r="B212" s="4" t="n"/>
      <c r="C212" s="3">
        <f>IF(AND($A212="",$B212=""),"",SUMPRODUCT(1*((EXACT('Casillas del horario'!$F$4:$F$73,$A212)))*((EXACT('Casillas del horario'!$B$4:$B$73,$B212)))*((1-(('Casillas del horario'!$D$4:$D$73=""))))))</f>
        <v/>
      </c>
      <c r="D212" s="3">
        <f>IF(AND($A212="",$B212=""),"",MID(IF((IFERROR(VALUE($C212&amp;""),0)&gt;IFERROR(VALUE('Parametros'!$B$4&amp;""),0)),"; "&amp;IF(ISNUMBER(("Da "&amp;IF(ISNUMBER($C212),IF($C212=0,"0",ROUND($C212,9-INT(LOG10(ABS($C212))))&amp;""),$C212&amp;"")&amp;" sesiones ese dia")),IF(("Da "&amp;IF(ISNUMBER($C212),IF($C212=0,"0",ROUND($C212,9-INT(LOG10(ABS($C212))))&amp;""),$C212&amp;"")&amp;" sesiones ese dia")=0,"0",ROUND(("Da "&amp;IF(ISNUMBER($C212),IF($C212=0,"0",ROUND($C212,9-INT(LOG10(ABS($C212))))&amp;""),$C212&amp;"")&amp;" sesiones ese dia"),9-INT(LOG10(ABS(("Da "&amp;IF(ISNUMBER($C212),IF($C212=0,"0",ROUND($C212,9-INT(LOG10(ABS($C212))))&amp;""),$C212&amp;"")&amp;" sesiones ese dia")))))&amp;""),("Da "&amp;IF(ISNUMBER($C212),IF($C212=0,"0",ROUND($C212,9-INT(LOG10(ABS($C212))))&amp;""),$C212&amp;"")&amp;" sesiones ese dia")&amp;""),""),3,32767))</f>
        <v/>
      </c>
      <c r="E212" s="3">
        <f>IF(OR((IFERROR(VALUE($C212&amp;""),0)&gt;IFERROR(VALUE('Parametros'!$B$4&amp;""),0))),2,0)</f>
        <v/>
      </c>
    </row>
    <row r="213">
      <c r="A213" s="4" t="n"/>
      <c r="B213" s="4" t="n"/>
      <c r="C213" s="3">
        <f>IF(AND($A213="",$B213=""),"",SUMPRODUCT(1*((EXACT('Casillas del horario'!$F$4:$F$73,$A213)))*((EXACT('Casillas del horario'!$B$4:$B$73,$B213)))*((1-(('Casillas del horario'!$D$4:$D$73=""))))))</f>
        <v/>
      </c>
      <c r="D213" s="3">
        <f>IF(AND($A213="",$B213=""),"",MID(IF((IFERROR(VALUE($C213&amp;""),0)&gt;IFERROR(VALUE('Parametros'!$B$4&amp;""),0)),"; "&amp;IF(ISNUMBER(("Da "&amp;IF(ISNUMBER($C213),IF($C213=0,"0",ROUND($C213,9-INT(LOG10(ABS($C213))))&amp;""),$C213&amp;"")&amp;" sesiones ese dia")),IF(("Da "&amp;IF(ISNUMBER($C213),IF($C213=0,"0",ROUND($C213,9-INT(LOG10(ABS($C213))))&amp;""),$C213&amp;"")&amp;" sesiones ese dia")=0,"0",ROUND(("Da "&amp;IF(ISNUMBER($C213),IF($C213=0,"0",ROUND($C213,9-INT(LOG10(ABS($C213))))&amp;""),$C213&amp;"")&amp;" sesiones ese dia"),9-INT(LOG10(ABS(("Da "&amp;IF(ISNUMBER($C213),IF($C213=0,"0",ROUND($C213,9-INT(LOG10(ABS($C213))))&amp;""),$C213&amp;"")&amp;" sesiones ese dia")))))&amp;""),("Da "&amp;IF(ISNUMBER($C213),IF($C213=0,"0",ROUND($C213,9-INT(LOG10(ABS($C213))))&amp;""),$C213&amp;"")&amp;" sesiones ese dia")&amp;""),""),3,32767))</f>
        <v/>
      </c>
      <c r="E213" s="3">
        <f>IF(OR((IFERROR(VALUE($C213&amp;""),0)&gt;IFERROR(VALUE('Parametros'!$B$4&amp;""),0))),2,0)</f>
        <v/>
      </c>
    </row>
    <row r="214">
      <c r="A214" s="4" t="n"/>
      <c r="B214" s="4" t="n"/>
      <c r="C214" s="3">
        <f>IF(AND($A214="",$B214=""),"",SUMPRODUCT(1*((EXACT('Casillas del horario'!$F$4:$F$73,$A214)))*((EXACT('Casillas del horario'!$B$4:$B$73,$B214)))*((1-(('Casillas del horario'!$D$4:$D$73=""))))))</f>
        <v/>
      </c>
      <c r="D214" s="3">
        <f>IF(AND($A214="",$B214=""),"",MID(IF((IFERROR(VALUE($C214&amp;""),0)&gt;IFERROR(VALUE('Parametros'!$B$4&amp;""),0)),"; "&amp;IF(ISNUMBER(("Da "&amp;IF(ISNUMBER($C214),IF($C214=0,"0",ROUND($C214,9-INT(LOG10(ABS($C214))))&amp;""),$C214&amp;"")&amp;" sesiones ese dia")),IF(("Da "&amp;IF(ISNUMBER($C214),IF($C214=0,"0",ROUND($C214,9-INT(LOG10(ABS($C214))))&amp;""),$C214&amp;"")&amp;" sesiones ese dia")=0,"0",ROUND(("Da "&amp;IF(ISNUMBER($C214),IF($C214=0,"0",ROUND($C214,9-INT(LOG10(ABS($C214))))&amp;""),$C214&amp;"")&amp;" sesiones ese dia"),9-INT(LOG10(ABS(("Da "&amp;IF(ISNUMBER($C214),IF($C214=0,"0",ROUND($C214,9-INT(LOG10(ABS($C214))))&amp;""),$C214&amp;"")&amp;" sesiones ese dia")))))&amp;""),("Da "&amp;IF(ISNUMBER($C214),IF($C214=0,"0",ROUND($C214,9-INT(LOG10(ABS($C214))))&amp;""),$C214&amp;"")&amp;" sesiones ese dia")&amp;""),""),3,32767))</f>
        <v/>
      </c>
      <c r="E214" s="3">
        <f>IF(OR((IFERROR(VALUE($C214&amp;""),0)&gt;IFERROR(VALUE('Parametros'!$B$4&amp;""),0))),2,0)</f>
        <v/>
      </c>
    </row>
    <row r="215">
      <c r="A215" s="4" t="n"/>
      <c r="B215" s="4" t="n"/>
      <c r="C215" s="3">
        <f>IF(AND($A215="",$B215=""),"",SUMPRODUCT(1*((EXACT('Casillas del horario'!$F$4:$F$73,$A215)))*((EXACT('Casillas del horario'!$B$4:$B$73,$B215)))*((1-(('Casillas del horario'!$D$4:$D$73=""))))))</f>
        <v/>
      </c>
      <c r="D215" s="3">
        <f>IF(AND($A215="",$B215=""),"",MID(IF((IFERROR(VALUE($C215&amp;""),0)&gt;IFERROR(VALUE('Parametros'!$B$4&amp;""),0)),"; "&amp;IF(ISNUMBER(("Da "&amp;IF(ISNUMBER($C215),IF($C215=0,"0",ROUND($C215,9-INT(LOG10(ABS($C215))))&amp;""),$C215&amp;"")&amp;" sesiones ese dia")),IF(("Da "&amp;IF(ISNUMBER($C215),IF($C215=0,"0",ROUND($C215,9-INT(LOG10(ABS($C215))))&amp;""),$C215&amp;"")&amp;" sesiones ese dia")=0,"0",ROUND(("Da "&amp;IF(ISNUMBER($C215),IF($C215=0,"0",ROUND($C215,9-INT(LOG10(ABS($C215))))&amp;""),$C215&amp;"")&amp;" sesiones ese dia"),9-INT(LOG10(ABS(("Da "&amp;IF(ISNUMBER($C215),IF($C215=0,"0",ROUND($C215,9-INT(LOG10(ABS($C215))))&amp;""),$C215&amp;"")&amp;" sesiones ese dia")))))&amp;""),("Da "&amp;IF(ISNUMBER($C215),IF($C215=0,"0",ROUND($C215,9-INT(LOG10(ABS($C215))))&amp;""),$C215&amp;"")&amp;" sesiones ese dia")&amp;""),""),3,32767))</f>
        <v/>
      </c>
      <c r="E215" s="3">
        <f>IF(OR((IFERROR(VALUE($C215&amp;""),0)&gt;IFERROR(VALUE('Parametros'!$B$4&amp;""),0))),2,0)</f>
        <v/>
      </c>
    </row>
    <row r="216">
      <c r="A216" s="4" t="n"/>
      <c r="B216" s="4" t="n"/>
      <c r="C216" s="3">
        <f>IF(AND($A216="",$B216=""),"",SUMPRODUCT(1*((EXACT('Casillas del horario'!$F$4:$F$73,$A216)))*((EXACT('Casillas del horario'!$B$4:$B$73,$B216)))*((1-(('Casillas del horario'!$D$4:$D$73=""))))))</f>
        <v/>
      </c>
      <c r="D216" s="3">
        <f>IF(AND($A216="",$B216=""),"",MID(IF((IFERROR(VALUE($C216&amp;""),0)&gt;IFERROR(VALUE('Parametros'!$B$4&amp;""),0)),"; "&amp;IF(ISNUMBER(("Da "&amp;IF(ISNUMBER($C216),IF($C216=0,"0",ROUND($C216,9-INT(LOG10(ABS($C216))))&amp;""),$C216&amp;"")&amp;" sesiones ese dia")),IF(("Da "&amp;IF(ISNUMBER($C216),IF($C216=0,"0",ROUND($C216,9-INT(LOG10(ABS($C216))))&amp;""),$C216&amp;"")&amp;" sesiones ese dia")=0,"0",ROUND(("Da "&amp;IF(ISNUMBER($C216),IF($C216=0,"0",ROUND($C216,9-INT(LOG10(ABS($C216))))&amp;""),$C216&amp;"")&amp;" sesiones ese dia"),9-INT(LOG10(ABS(("Da "&amp;IF(ISNUMBER($C216),IF($C216=0,"0",ROUND($C216,9-INT(LOG10(ABS($C216))))&amp;""),$C216&amp;"")&amp;" sesiones ese dia")))))&amp;""),("Da "&amp;IF(ISNUMBER($C216),IF($C216=0,"0",ROUND($C216,9-INT(LOG10(ABS($C216))))&amp;""),$C216&amp;"")&amp;" sesiones ese dia")&amp;""),""),3,32767))</f>
        <v/>
      </c>
      <c r="E216" s="3">
        <f>IF(OR((IFERROR(VALUE($C216&amp;""),0)&gt;IFERROR(VALUE('Parametros'!$B$4&amp;""),0))),2,0)</f>
        <v/>
      </c>
    </row>
    <row r="217">
      <c r="A217" s="4" t="n"/>
      <c r="B217" s="4" t="n"/>
      <c r="C217" s="3">
        <f>IF(AND($A217="",$B217=""),"",SUMPRODUCT(1*((EXACT('Casillas del horario'!$F$4:$F$73,$A217)))*((EXACT('Casillas del horario'!$B$4:$B$73,$B217)))*((1-(('Casillas del horario'!$D$4:$D$73=""))))))</f>
        <v/>
      </c>
      <c r="D217" s="3">
        <f>IF(AND($A217="",$B217=""),"",MID(IF((IFERROR(VALUE($C217&amp;""),0)&gt;IFERROR(VALUE('Parametros'!$B$4&amp;""),0)),"; "&amp;IF(ISNUMBER(("Da "&amp;IF(ISNUMBER($C217),IF($C217=0,"0",ROUND($C217,9-INT(LOG10(ABS($C217))))&amp;""),$C217&amp;"")&amp;" sesiones ese dia")),IF(("Da "&amp;IF(ISNUMBER($C217),IF($C217=0,"0",ROUND($C217,9-INT(LOG10(ABS($C217))))&amp;""),$C217&amp;"")&amp;" sesiones ese dia")=0,"0",ROUND(("Da "&amp;IF(ISNUMBER($C217),IF($C217=0,"0",ROUND($C217,9-INT(LOG10(ABS($C217))))&amp;""),$C217&amp;"")&amp;" sesiones ese dia"),9-INT(LOG10(ABS(("Da "&amp;IF(ISNUMBER($C217),IF($C217=0,"0",ROUND($C217,9-INT(LOG10(ABS($C217))))&amp;""),$C217&amp;"")&amp;" sesiones ese dia")))))&amp;""),("Da "&amp;IF(ISNUMBER($C217),IF($C217=0,"0",ROUND($C217,9-INT(LOG10(ABS($C217))))&amp;""),$C217&amp;"")&amp;" sesiones ese dia")&amp;""),""),3,32767))</f>
        <v/>
      </c>
      <c r="E217" s="3">
        <f>IF(OR((IFERROR(VALUE($C217&amp;""),0)&gt;IFERROR(VALUE('Parametros'!$B$4&amp;""),0))),2,0)</f>
        <v/>
      </c>
    </row>
    <row r="218">
      <c r="A218" s="4" t="n"/>
      <c r="B218" s="4" t="n"/>
      <c r="C218" s="3">
        <f>IF(AND($A218="",$B218=""),"",SUMPRODUCT(1*((EXACT('Casillas del horario'!$F$4:$F$73,$A218)))*((EXACT('Casillas del horario'!$B$4:$B$73,$B218)))*((1-(('Casillas del horario'!$D$4:$D$73=""))))))</f>
        <v/>
      </c>
      <c r="D218" s="3">
        <f>IF(AND($A218="",$B218=""),"",MID(IF((IFERROR(VALUE($C218&amp;""),0)&gt;IFERROR(VALUE('Parametros'!$B$4&amp;""),0)),"; "&amp;IF(ISNUMBER(("Da "&amp;IF(ISNUMBER($C218),IF($C218=0,"0",ROUND($C218,9-INT(LOG10(ABS($C218))))&amp;""),$C218&amp;"")&amp;" sesiones ese dia")),IF(("Da "&amp;IF(ISNUMBER($C218),IF($C218=0,"0",ROUND($C218,9-INT(LOG10(ABS($C218))))&amp;""),$C218&amp;"")&amp;" sesiones ese dia")=0,"0",ROUND(("Da "&amp;IF(ISNUMBER($C218),IF($C218=0,"0",ROUND($C218,9-INT(LOG10(ABS($C218))))&amp;""),$C218&amp;"")&amp;" sesiones ese dia"),9-INT(LOG10(ABS(("Da "&amp;IF(ISNUMBER($C218),IF($C218=0,"0",ROUND($C218,9-INT(LOG10(ABS($C218))))&amp;""),$C218&amp;"")&amp;" sesiones ese dia")))))&amp;""),("Da "&amp;IF(ISNUMBER($C218),IF($C218=0,"0",ROUND($C218,9-INT(LOG10(ABS($C218))))&amp;""),$C218&amp;"")&amp;" sesiones ese dia")&amp;""),""),3,32767))</f>
        <v/>
      </c>
      <c r="E218" s="3">
        <f>IF(OR((IFERROR(VALUE($C218&amp;""),0)&gt;IFERROR(VALUE('Parametros'!$B$4&amp;""),0))),2,0)</f>
        <v/>
      </c>
    </row>
    <row r="219">
      <c r="A219" s="4" t="n"/>
      <c r="B219" s="4" t="n"/>
      <c r="C219" s="3">
        <f>IF(AND($A219="",$B219=""),"",SUMPRODUCT(1*((EXACT('Casillas del horario'!$F$4:$F$73,$A219)))*((EXACT('Casillas del horario'!$B$4:$B$73,$B219)))*((1-(('Casillas del horario'!$D$4:$D$73=""))))))</f>
        <v/>
      </c>
      <c r="D219" s="3">
        <f>IF(AND($A219="",$B219=""),"",MID(IF((IFERROR(VALUE($C219&amp;""),0)&gt;IFERROR(VALUE('Parametros'!$B$4&amp;""),0)),"; "&amp;IF(ISNUMBER(("Da "&amp;IF(ISNUMBER($C219),IF($C219=0,"0",ROUND($C219,9-INT(LOG10(ABS($C219))))&amp;""),$C219&amp;"")&amp;" sesiones ese dia")),IF(("Da "&amp;IF(ISNUMBER($C219),IF($C219=0,"0",ROUND($C219,9-INT(LOG10(ABS($C219))))&amp;""),$C219&amp;"")&amp;" sesiones ese dia")=0,"0",ROUND(("Da "&amp;IF(ISNUMBER($C219),IF($C219=0,"0",ROUND($C219,9-INT(LOG10(ABS($C219))))&amp;""),$C219&amp;"")&amp;" sesiones ese dia"),9-INT(LOG10(ABS(("Da "&amp;IF(ISNUMBER($C219),IF($C219=0,"0",ROUND($C219,9-INT(LOG10(ABS($C219))))&amp;""),$C219&amp;"")&amp;" sesiones ese dia")))))&amp;""),("Da "&amp;IF(ISNUMBER($C219),IF($C219=0,"0",ROUND($C219,9-INT(LOG10(ABS($C219))))&amp;""),$C219&amp;"")&amp;" sesiones ese dia")&amp;""),""),3,32767))</f>
        <v/>
      </c>
      <c r="E219" s="3">
        <f>IF(OR((IFERROR(VALUE($C219&amp;""),0)&gt;IFERROR(VALUE('Parametros'!$B$4&amp;""),0))),2,0)</f>
        <v/>
      </c>
    </row>
    <row r="220">
      <c r="A220" s="4" t="n"/>
      <c r="B220" s="4" t="n"/>
      <c r="C220" s="3">
        <f>IF(AND($A220="",$B220=""),"",SUMPRODUCT(1*((EXACT('Casillas del horario'!$F$4:$F$73,$A220)))*((EXACT('Casillas del horario'!$B$4:$B$73,$B220)))*((1-(('Casillas del horario'!$D$4:$D$73=""))))))</f>
        <v/>
      </c>
      <c r="D220" s="3">
        <f>IF(AND($A220="",$B220=""),"",MID(IF((IFERROR(VALUE($C220&amp;""),0)&gt;IFERROR(VALUE('Parametros'!$B$4&amp;""),0)),"; "&amp;IF(ISNUMBER(("Da "&amp;IF(ISNUMBER($C220),IF($C220=0,"0",ROUND($C220,9-INT(LOG10(ABS($C220))))&amp;""),$C220&amp;"")&amp;" sesiones ese dia")),IF(("Da "&amp;IF(ISNUMBER($C220),IF($C220=0,"0",ROUND($C220,9-INT(LOG10(ABS($C220))))&amp;""),$C220&amp;"")&amp;" sesiones ese dia")=0,"0",ROUND(("Da "&amp;IF(ISNUMBER($C220),IF($C220=0,"0",ROUND($C220,9-INT(LOG10(ABS($C220))))&amp;""),$C220&amp;"")&amp;" sesiones ese dia"),9-INT(LOG10(ABS(("Da "&amp;IF(ISNUMBER($C220),IF($C220=0,"0",ROUND($C220,9-INT(LOG10(ABS($C220))))&amp;""),$C220&amp;"")&amp;" sesiones ese dia")))))&amp;""),("Da "&amp;IF(ISNUMBER($C220),IF($C220=0,"0",ROUND($C220,9-INT(LOG10(ABS($C220))))&amp;""),$C220&amp;"")&amp;" sesiones ese dia")&amp;""),""),3,32767))</f>
        <v/>
      </c>
      <c r="E220" s="3">
        <f>IF(OR((IFERROR(VALUE($C220&amp;""),0)&gt;IFERROR(VALUE('Parametros'!$B$4&amp;""),0))),2,0)</f>
        <v/>
      </c>
    </row>
    <row r="221">
      <c r="A221" s="4" t="n"/>
      <c r="B221" s="4" t="n"/>
      <c r="C221" s="3">
        <f>IF(AND($A221="",$B221=""),"",SUMPRODUCT(1*((EXACT('Casillas del horario'!$F$4:$F$73,$A221)))*((EXACT('Casillas del horario'!$B$4:$B$73,$B221)))*((1-(('Casillas del horario'!$D$4:$D$73=""))))))</f>
        <v/>
      </c>
      <c r="D221" s="3">
        <f>IF(AND($A221="",$B221=""),"",MID(IF((IFERROR(VALUE($C221&amp;""),0)&gt;IFERROR(VALUE('Parametros'!$B$4&amp;""),0)),"; "&amp;IF(ISNUMBER(("Da "&amp;IF(ISNUMBER($C221),IF($C221=0,"0",ROUND($C221,9-INT(LOG10(ABS($C221))))&amp;""),$C221&amp;"")&amp;" sesiones ese dia")),IF(("Da "&amp;IF(ISNUMBER($C221),IF($C221=0,"0",ROUND($C221,9-INT(LOG10(ABS($C221))))&amp;""),$C221&amp;"")&amp;" sesiones ese dia")=0,"0",ROUND(("Da "&amp;IF(ISNUMBER($C221),IF($C221=0,"0",ROUND($C221,9-INT(LOG10(ABS($C221))))&amp;""),$C221&amp;"")&amp;" sesiones ese dia"),9-INT(LOG10(ABS(("Da "&amp;IF(ISNUMBER($C221),IF($C221=0,"0",ROUND($C221,9-INT(LOG10(ABS($C221))))&amp;""),$C221&amp;"")&amp;" sesiones ese dia")))))&amp;""),("Da "&amp;IF(ISNUMBER($C221),IF($C221=0,"0",ROUND($C221,9-INT(LOG10(ABS($C221))))&amp;""),$C221&amp;"")&amp;" sesiones ese dia")&amp;""),""),3,32767))</f>
        <v/>
      </c>
      <c r="E221" s="3">
        <f>IF(OR((IFERROR(VALUE($C221&amp;""),0)&gt;IFERROR(VALUE('Parametros'!$B$4&amp;""),0))),2,0)</f>
        <v/>
      </c>
    </row>
    <row r="222">
      <c r="A222" s="4" t="n"/>
      <c r="B222" s="4" t="n"/>
      <c r="C222" s="3">
        <f>IF(AND($A222="",$B222=""),"",SUMPRODUCT(1*((EXACT('Casillas del horario'!$F$4:$F$73,$A222)))*((EXACT('Casillas del horario'!$B$4:$B$73,$B222)))*((1-(('Casillas del horario'!$D$4:$D$73=""))))))</f>
        <v/>
      </c>
      <c r="D222" s="3">
        <f>IF(AND($A222="",$B222=""),"",MID(IF((IFERROR(VALUE($C222&amp;""),0)&gt;IFERROR(VALUE('Parametros'!$B$4&amp;""),0)),"; "&amp;IF(ISNUMBER(("Da "&amp;IF(ISNUMBER($C222),IF($C222=0,"0",ROUND($C222,9-INT(LOG10(ABS($C222))))&amp;""),$C222&amp;"")&amp;" sesiones ese dia")),IF(("Da "&amp;IF(ISNUMBER($C222),IF($C222=0,"0",ROUND($C222,9-INT(LOG10(ABS($C222))))&amp;""),$C222&amp;"")&amp;" sesiones ese dia")=0,"0",ROUND(("Da "&amp;IF(ISNUMBER($C222),IF($C222=0,"0",ROUND($C222,9-INT(LOG10(ABS($C222))))&amp;""),$C222&amp;"")&amp;" sesiones ese dia"),9-INT(LOG10(ABS(("Da "&amp;IF(ISNUMBER($C222),IF($C222=0,"0",ROUND($C222,9-INT(LOG10(ABS($C222))))&amp;""),$C222&amp;"")&amp;" sesiones ese dia")))))&amp;""),("Da "&amp;IF(ISNUMBER($C222),IF($C222=0,"0",ROUND($C222,9-INT(LOG10(ABS($C222))))&amp;""),$C222&amp;"")&amp;" sesiones ese dia")&amp;""),""),3,32767))</f>
        <v/>
      </c>
      <c r="E222" s="3">
        <f>IF(OR((IFERROR(VALUE($C222&amp;""),0)&gt;IFERROR(VALUE('Parametros'!$B$4&amp;""),0))),2,0)</f>
        <v/>
      </c>
    </row>
    <row r="223">
      <c r="A223" s="4" t="n"/>
      <c r="B223" s="4" t="n"/>
      <c r="C223" s="3">
        <f>IF(AND($A223="",$B223=""),"",SUMPRODUCT(1*((EXACT('Casillas del horario'!$F$4:$F$73,$A223)))*((EXACT('Casillas del horario'!$B$4:$B$73,$B223)))*((1-(('Casillas del horario'!$D$4:$D$73=""))))))</f>
        <v/>
      </c>
      <c r="D223" s="3">
        <f>IF(AND($A223="",$B223=""),"",MID(IF((IFERROR(VALUE($C223&amp;""),0)&gt;IFERROR(VALUE('Parametros'!$B$4&amp;""),0)),"; "&amp;IF(ISNUMBER(("Da "&amp;IF(ISNUMBER($C223),IF($C223=0,"0",ROUND($C223,9-INT(LOG10(ABS($C223))))&amp;""),$C223&amp;"")&amp;" sesiones ese dia")),IF(("Da "&amp;IF(ISNUMBER($C223),IF($C223=0,"0",ROUND($C223,9-INT(LOG10(ABS($C223))))&amp;""),$C223&amp;"")&amp;" sesiones ese dia")=0,"0",ROUND(("Da "&amp;IF(ISNUMBER($C223),IF($C223=0,"0",ROUND($C223,9-INT(LOG10(ABS($C223))))&amp;""),$C223&amp;"")&amp;" sesiones ese dia"),9-INT(LOG10(ABS(("Da "&amp;IF(ISNUMBER($C223),IF($C223=0,"0",ROUND($C223,9-INT(LOG10(ABS($C223))))&amp;""),$C223&amp;"")&amp;" sesiones ese dia")))))&amp;""),("Da "&amp;IF(ISNUMBER($C223),IF($C223=0,"0",ROUND($C223,9-INT(LOG10(ABS($C223))))&amp;""),$C223&amp;"")&amp;" sesiones ese dia")&amp;""),""),3,32767))</f>
        <v/>
      </c>
      <c r="E223" s="3">
        <f>IF(OR((IFERROR(VALUE($C223&amp;""),0)&gt;IFERROR(VALUE('Parametros'!$B$4&amp;""),0))),2,0)</f>
        <v/>
      </c>
    </row>
    <row r="224">
      <c r="A224" s="4" t="n"/>
      <c r="B224" s="4" t="n"/>
      <c r="C224" s="3">
        <f>IF(AND($A224="",$B224=""),"",SUMPRODUCT(1*((EXACT('Casillas del horario'!$F$4:$F$73,$A224)))*((EXACT('Casillas del horario'!$B$4:$B$73,$B224)))*((1-(('Casillas del horario'!$D$4:$D$73=""))))))</f>
        <v/>
      </c>
      <c r="D224" s="3">
        <f>IF(AND($A224="",$B224=""),"",MID(IF((IFERROR(VALUE($C224&amp;""),0)&gt;IFERROR(VALUE('Parametros'!$B$4&amp;""),0)),"; "&amp;IF(ISNUMBER(("Da "&amp;IF(ISNUMBER($C224),IF($C224=0,"0",ROUND($C224,9-INT(LOG10(ABS($C224))))&amp;""),$C224&amp;"")&amp;" sesiones ese dia")),IF(("Da "&amp;IF(ISNUMBER($C224),IF($C224=0,"0",ROUND($C224,9-INT(LOG10(ABS($C224))))&amp;""),$C224&amp;"")&amp;" sesiones ese dia")=0,"0",ROUND(("Da "&amp;IF(ISNUMBER($C224),IF($C224=0,"0",ROUND($C224,9-INT(LOG10(ABS($C224))))&amp;""),$C224&amp;"")&amp;" sesiones ese dia"),9-INT(LOG10(ABS(("Da "&amp;IF(ISNUMBER($C224),IF($C224=0,"0",ROUND($C224,9-INT(LOG10(ABS($C224))))&amp;""),$C224&amp;"")&amp;" sesiones ese dia")))))&amp;""),("Da "&amp;IF(ISNUMBER($C224),IF($C224=0,"0",ROUND($C224,9-INT(LOG10(ABS($C224))))&amp;""),$C224&amp;"")&amp;" sesiones ese dia")&amp;""),""),3,32767))</f>
        <v/>
      </c>
      <c r="E224" s="3">
        <f>IF(OR((IFERROR(VALUE($C224&amp;""),0)&gt;IFERROR(VALUE('Parametros'!$B$4&amp;""),0))),2,0)</f>
        <v/>
      </c>
    </row>
    <row r="225">
      <c r="A225" s="4" t="n"/>
      <c r="B225" s="4" t="n"/>
      <c r="C225" s="3">
        <f>IF(AND($A225="",$B225=""),"",SUMPRODUCT(1*((EXACT('Casillas del horario'!$F$4:$F$73,$A225)))*((EXACT('Casillas del horario'!$B$4:$B$73,$B225)))*((1-(('Casillas del horario'!$D$4:$D$73=""))))))</f>
        <v/>
      </c>
      <c r="D225" s="3">
        <f>IF(AND($A225="",$B225=""),"",MID(IF((IFERROR(VALUE($C225&amp;""),0)&gt;IFERROR(VALUE('Parametros'!$B$4&amp;""),0)),"; "&amp;IF(ISNUMBER(("Da "&amp;IF(ISNUMBER($C225),IF($C225=0,"0",ROUND($C225,9-INT(LOG10(ABS($C225))))&amp;""),$C225&amp;"")&amp;" sesiones ese dia")),IF(("Da "&amp;IF(ISNUMBER($C225),IF($C225=0,"0",ROUND($C225,9-INT(LOG10(ABS($C225))))&amp;""),$C225&amp;"")&amp;" sesiones ese dia")=0,"0",ROUND(("Da "&amp;IF(ISNUMBER($C225),IF($C225=0,"0",ROUND($C225,9-INT(LOG10(ABS($C225))))&amp;""),$C225&amp;"")&amp;" sesiones ese dia"),9-INT(LOG10(ABS(("Da "&amp;IF(ISNUMBER($C225),IF($C225=0,"0",ROUND($C225,9-INT(LOG10(ABS($C225))))&amp;""),$C225&amp;"")&amp;" sesiones ese dia")))))&amp;""),("Da "&amp;IF(ISNUMBER($C225),IF($C225=0,"0",ROUND($C225,9-INT(LOG10(ABS($C225))))&amp;""),$C225&amp;"")&amp;" sesiones ese dia")&amp;""),""),3,32767))</f>
        <v/>
      </c>
      <c r="E225" s="3">
        <f>IF(OR((IFERROR(VALUE($C225&amp;""),0)&gt;IFERROR(VALUE('Parametros'!$B$4&amp;""),0))),2,0)</f>
        <v/>
      </c>
    </row>
    <row r="226">
      <c r="A226" s="4" t="n"/>
      <c r="B226" s="4" t="n"/>
      <c r="C226" s="3">
        <f>IF(AND($A226="",$B226=""),"",SUMPRODUCT(1*((EXACT('Casillas del horario'!$F$4:$F$73,$A226)))*((EXACT('Casillas del horario'!$B$4:$B$73,$B226)))*((1-(('Casillas del horario'!$D$4:$D$73=""))))))</f>
        <v/>
      </c>
      <c r="D226" s="3">
        <f>IF(AND($A226="",$B226=""),"",MID(IF((IFERROR(VALUE($C226&amp;""),0)&gt;IFERROR(VALUE('Parametros'!$B$4&amp;""),0)),"; "&amp;IF(ISNUMBER(("Da "&amp;IF(ISNUMBER($C226),IF($C226=0,"0",ROUND($C226,9-INT(LOG10(ABS($C226))))&amp;""),$C226&amp;"")&amp;" sesiones ese dia")),IF(("Da "&amp;IF(ISNUMBER($C226),IF($C226=0,"0",ROUND($C226,9-INT(LOG10(ABS($C226))))&amp;""),$C226&amp;"")&amp;" sesiones ese dia")=0,"0",ROUND(("Da "&amp;IF(ISNUMBER($C226),IF($C226=0,"0",ROUND($C226,9-INT(LOG10(ABS($C226))))&amp;""),$C226&amp;"")&amp;" sesiones ese dia"),9-INT(LOG10(ABS(("Da "&amp;IF(ISNUMBER($C226),IF($C226=0,"0",ROUND($C226,9-INT(LOG10(ABS($C226))))&amp;""),$C226&amp;"")&amp;" sesiones ese dia")))))&amp;""),("Da "&amp;IF(ISNUMBER($C226),IF($C226=0,"0",ROUND($C226,9-INT(LOG10(ABS($C226))))&amp;""),$C226&amp;"")&amp;" sesiones ese dia")&amp;""),""),3,32767))</f>
        <v/>
      </c>
      <c r="E226" s="3">
        <f>IF(OR((IFERROR(VALUE($C226&amp;""),0)&gt;IFERROR(VALUE('Parametros'!$B$4&amp;""),0))),2,0)</f>
        <v/>
      </c>
    </row>
    <row r="227">
      <c r="A227" s="4" t="n"/>
      <c r="B227" s="4" t="n"/>
      <c r="C227" s="3">
        <f>IF(AND($A227="",$B227=""),"",SUMPRODUCT(1*((EXACT('Casillas del horario'!$F$4:$F$73,$A227)))*((EXACT('Casillas del horario'!$B$4:$B$73,$B227)))*((1-(('Casillas del horario'!$D$4:$D$73=""))))))</f>
        <v/>
      </c>
      <c r="D227" s="3">
        <f>IF(AND($A227="",$B227=""),"",MID(IF((IFERROR(VALUE($C227&amp;""),0)&gt;IFERROR(VALUE('Parametros'!$B$4&amp;""),0)),"; "&amp;IF(ISNUMBER(("Da "&amp;IF(ISNUMBER($C227),IF($C227=0,"0",ROUND($C227,9-INT(LOG10(ABS($C227))))&amp;""),$C227&amp;"")&amp;" sesiones ese dia")),IF(("Da "&amp;IF(ISNUMBER($C227),IF($C227=0,"0",ROUND($C227,9-INT(LOG10(ABS($C227))))&amp;""),$C227&amp;"")&amp;" sesiones ese dia")=0,"0",ROUND(("Da "&amp;IF(ISNUMBER($C227),IF($C227=0,"0",ROUND($C227,9-INT(LOG10(ABS($C227))))&amp;""),$C227&amp;"")&amp;" sesiones ese dia"),9-INT(LOG10(ABS(("Da "&amp;IF(ISNUMBER($C227),IF($C227=0,"0",ROUND($C227,9-INT(LOG10(ABS($C227))))&amp;""),$C227&amp;"")&amp;" sesiones ese dia")))))&amp;""),("Da "&amp;IF(ISNUMBER($C227),IF($C227=0,"0",ROUND($C227,9-INT(LOG10(ABS($C227))))&amp;""),$C227&amp;"")&amp;" sesiones ese dia")&amp;""),""),3,32767))</f>
        <v/>
      </c>
      <c r="E227" s="3">
        <f>IF(OR((IFERROR(VALUE($C227&amp;""),0)&gt;IFERROR(VALUE('Parametros'!$B$4&amp;""),0))),2,0)</f>
        <v/>
      </c>
    </row>
    <row r="228">
      <c r="A228" s="4" t="n"/>
      <c r="B228" s="4" t="n"/>
      <c r="C228" s="3">
        <f>IF(AND($A228="",$B228=""),"",SUMPRODUCT(1*((EXACT('Casillas del horario'!$F$4:$F$73,$A228)))*((EXACT('Casillas del horario'!$B$4:$B$73,$B228)))*((1-(('Casillas del horario'!$D$4:$D$73=""))))))</f>
        <v/>
      </c>
      <c r="D228" s="3">
        <f>IF(AND($A228="",$B228=""),"",MID(IF((IFERROR(VALUE($C228&amp;""),0)&gt;IFERROR(VALUE('Parametros'!$B$4&amp;""),0)),"; "&amp;IF(ISNUMBER(("Da "&amp;IF(ISNUMBER($C228),IF($C228=0,"0",ROUND($C228,9-INT(LOG10(ABS($C228))))&amp;""),$C228&amp;"")&amp;" sesiones ese dia")),IF(("Da "&amp;IF(ISNUMBER($C228),IF($C228=0,"0",ROUND($C228,9-INT(LOG10(ABS($C228))))&amp;""),$C228&amp;"")&amp;" sesiones ese dia")=0,"0",ROUND(("Da "&amp;IF(ISNUMBER($C228),IF($C228=0,"0",ROUND($C228,9-INT(LOG10(ABS($C228))))&amp;""),$C228&amp;"")&amp;" sesiones ese dia"),9-INT(LOG10(ABS(("Da "&amp;IF(ISNUMBER($C228),IF($C228=0,"0",ROUND($C228,9-INT(LOG10(ABS($C228))))&amp;""),$C228&amp;"")&amp;" sesiones ese dia")))))&amp;""),("Da "&amp;IF(ISNUMBER($C228),IF($C228=0,"0",ROUND($C228,9-INT(LOG10(ABS($C228))))&amp;""),$C228&amp;"")&amp;" sesiones ese dia")&amp;""),""),3,32767))</f>
        <v/>
      </c>
      <c r="E228" s="3">
        <f>IF(OR((IFERROR(VALUE($C228&amp;""),0)&gt;IFERROR(VALUE('Parametros'!$B$4&amp;""),0))),2,0)</f>
        <v/>
      </c>
    </row>
    <row r="230">
      <c r="A230" s="6" t="inlineStr">
        <is>
          <t>Leyenda</t>
        </is>
      </c>
    </row>
    <row r="231">
      <c r="A231" s="14" t="n"/>
      <c r="B231" t="inlineStr">
        <is>
          <t>El profesor da mas sesiones ese dia que el tope de la hoja Parametros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28">
    <cfRule type="expression" priority="1" dxfId="1" stopIfTrue="0">
      <formula>(IFERROR(VALUE($C4&amp;""),0)&gt;IFERROR(VALUE('Parametros'!$B$4&amp;""),0))</formula>
    </cfRule>
  </conditionalFormatting>
  <pageMargins left="0.75" right="0.75" top="1" bottom="1" header="0.5" footer="0.5"/>
  <pageSetup fitToHeight="0" fitToWidth="1"/>
</worksheet>
</file>

<file path=xl/worksheets/sheet44.xml><?xml version="1.0" encoding="utf-8"?>
<worksheet xmlns="http://schemas.openxmlformats.org/spreadsheetml/2006/main">
  <sheetPr>
    <tabColor rgb="004472C4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3" customWidth="1" min="2" max="2"/>
  </cols>
  <sheetData>
    <row r="1">
      <c r="A1" s="1" t="inlineStr">
        <is>
          <t>Parametros</t>
        </is>
      </c>
    </row>
    <row r="3">
      <c r="A3" s="2" t="inlineStr">
        <is>
          <t>Parametro</t>
        </is>
      </c>
      <c r="B3" s="2" t="inlineStr">
        <is>
          <t>Valor</t>
        </is>
      </c>
    </row>
    <row r="4">
      <c r="A4" s="3" t="inlineStr">
        <is>
          <t>Tope de sesiones al dia por profesor</t>
        </is>
      </c>
      <c r="B4" s="4" t="n">
        <v>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BFBFBF"/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  <c r="B4" t="inlineStr">
        <is>
          <t>L</t>
        </is>
      </c>
      <c r="C4" t="inlineStr">
        <is>
          <t>Profesor de M en 10-3</t>
        </is>
      </c>
      <c r="D4" t="inlineStr">
        <is>
          <t>si</t>
        </is>
      </c>
    </row>
    <row r="5">
      <c r="A5" s="3" t="inlineStr">
        <is>
          <t>Lit-L</t>
        </is>
      </c>
      <c r="B5" t="inlineStr">
        <is>
          <t>M</t>
        </is>
      </c>
      <c r="C5" t="inlineStr">
        <is>
          <t>Profesor de Lit-L en 10-3</t>
        </is>
      </c>
      <c r="D5" t="inlineStr">
        <is>
          <t>no</t>
        </is>
      </c>
    </row>
    <row r="6">
      <c r="A6" s="3" t="inlineStr">
        <is>
          <t>F</t>
        </is>
      </c>
      <c r="B6" t="inlineStr">
        <is>
          <t>MI</t>
        </is>
      </c>
      <c r="C6" t="inlineStr">
        <is>
          <t>Profesor de F en 10-3</t>
        </is>
      </c>
    </row>
    <row r="7">
      <c r="A7" s="3" t="inlineStr">
        <is>
          <t>I</t>
        </is>
      </c>
      <c r="B7" t="inlineStr">
        <is>
          <t>J</t>
        </is>
      </c>
      <c r="C7" t="inlineStr">
        <is>
          <t>Profesor de I en 10-3</t>
        </is>
      </c>
    </row>
    <row r="8">
      <c r="A8" s="3" t="inlineStr">
        <is>
          <t>H</t>
        </is>
      </c>
      <c r="B8" t="inlineStr">
        <is>
          <t>V</t>
        </is>
      </c>
      <c r="C8" t="inlineStr">
        <is>
          <t>Profesor de H en 10-3</t>
        </is>
      </c>
    </row>
    <row r="9">
      <c r="A9" s="3" t="inlineStr">
        <is>
          <t>EF</t>
        </is>
      </c>
      <c r="C9" t="inlineStr">
        <is>
          <t>Profesor de EF en 10-3</t>
        </is>
      </c>
    </row>
    <row r="10">
      <c r="A10" s="3" t="inlineStr">
        <is>
          <t>B</t>
        </is>
      </c>
      <c r="C10" t="inlineStr">
        <is>
          <t>Profesor de B en 10-3</t>
        </is>
      </c>
    </row>
    <row r="11">
      <c r="A11" s="3" t="inlineStr">
        <is>
          <t>G</t>
        </is>
      </c>
      <c r="C11" t="inlineStr">
        <is>
          <t>Profesor de G en 10-3</t>
        </is>
      </c>
    </row>
    <row r="12">
      <c r="A12" s="3" t="inlineStr">
        <is>
          <t>INF</t>
        </is>
      </c>
      <c r="C12" t="inlineStr">
        <is>
          <t>Profesor de INF en 10-3</t>
        </is>
      </c>
    </row>
    <row r="13">
      <c r="A13" s="3" t="inlineStr">
        <is>
          <t>Q</t>
        </is>
      </c>
      <c r="C13" t="inlineStr">
        <is>
          <t>Profesor de Q en 10-3</t>
        </is>
      </c>
    </row>
    <row r="14">
      <c r="A14" s="3" t="inlineStr">
        <is>
          <t>CP</t>
        </is>
      </c>
      <c r="C14" t="inlineStr">
        <is>
          <t>Profesor de CP en 10-3</t>
        </is>
      </c>
    </row>
    <row r="15">
      <c r="A15" s="3" t="inlineStr">
        <is>
          <t>DC</t>
        </is>
      </c>
      <c r="C15" t="inlineStr">
        <is>
          <t>Profesor de DC en 10-3</t>
        </is>
      </c>
    </row>
    <row r="16">
      <c r="A16" s="3" t="inlineStr">
        <is>
          <t>CA</t>
        </is>
      </c>
      <c r="C16" t="inlineStr">
        <is>
          <t>Profesor de CA en 10-3</t>
        </is>
      </c>
    </row>
    <row r="17">
      <c r="A17" s="3" t="inlineStr">
        <is>
          <t>RD</t>
        </is>
      </c>
      <c r="C17" t="inlineStr">
        <is>
          <t>Profesor de RD en 10-3</t>
        </is>
      </c>
    </row>
    <row r="18">
      <c r="A18" s="3" t="inlineStr">
        <is>
          <t>AL/AC</t>
        </is>
      </c>
      <c r="C18" t="inlineStr">
        <is>
          <t>Profesor de AL/AC en 10-3</t>
        </is>
      </c>
    </row>
    <row r="19">
      <c r="A19" s="3" t="n"/>
      <c r="C19" t="inlineStr">
        <is>
          <t>Profesor de M en 10-4</t>
        </is>
      </c>
    </row>
    <row r="20">
      <c r="A20" s="3" t="n"/>
      <c r="C20" t="inlineStr">
        <is>
          <t>Profesor de Lit-L en 10-4</t>
        </is>
      </c>
    </row>
    <row r="21">
      <c r="A21" s="3" t="n"/>
      <c r="C21" t="inlineStr">
        <is>
          <t>Profesor de F en 10-4</t>
        </is>
      </c>
    </row>
    <row r="22">
      <c r="A22" s="3" t="n"/>
      <c r="C22" t="inlineStr">
        <is>
          <t>Profesor de I en 10-4</t>
        </is>
      </c>
    </row>
    <row r="23">
      <c r="A23" s="3" t="n"/>
      <c r="C23" t="inlineStr">
        <is>
          <t>Profesor de H en 10-4</t>
        </is>
      </c>
    </row>
    <row r="24">
      <c r="A24" s="3" t="n"/>
      <c r="C24" t="inlineStr">
        <is>
          <t>Profesor de EF en 10-4</t>
        </is>
      </c>
    </row>
    <row r="25">
      <c r="A25" s="3" t="n"/>
      <c r="C25" t="inlineStr">
        <is>
          <t>Profesor de B en 10-4</t>
        </is>
      </c>
    </row>
    <row r="26">
      <c r="A26" s="3" t="n"/>
      <c r="C26" t="inlineStr">
        <is>
          <t>Profesor de G en 10-4</t>
        </is>
      </c>
    </row>
    <row r="27">
      <c r="A27" s="3" t="n"/>
      <c r="C27" t="inlineStr">
        <is>
          <t>Profesor de INF en 10-4</t>
        </is>
      </c>
    </row>
    <row r="28">
      <c r="A28" s="3" t="n"/>
      <c r="C28" t="inlineStr">
        <is>
          <t>Profesor de Q en 10-4</t>
        </is>
      </c>
    </row>
    <row r="29">
      <c r="A29" s="3" t="n"/>
      <c r="C29" t="inlineStr">
        <is>
          <t>Profesor de CP en 10-4</t>
        </is>
      </c>
    </row>
    <row r="30">
      <c r="A30" s="3" t="n"/>
      <c r="C30" t="inlineStr">
        <is>
          <t>Profesor de DC en 10-4</t>
        </is>
      </c>
    </row>
    <row r="31">
      <c r="A31" s="3" t="n"/>
      <c r="C31" t="inlineStr">
        <is>
          <t>Profesor de CA en 10-4</t>
        </is>
      </c>
    </row>
    <row r="32">
      <c r="A32" s="3" t="n"/>
      <c r="C32" t="inlineStr">
        <is>
          <t>Profesor de RD en 10-4</t>
        </is>
      </c>
    </row>
    <row r="33">
      <c r="A33" s="3" t="n"/>
      <c r="C33" t="inlineStr">
        <is>
          <t>Profesor de AL/AC en 10-4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2026-10-21T11:30:07Z</dcterms:created>
  <dcterms:modified xmlns:dcterms="http://purl.org/dc/terms/" xmlns:xsi="http://www.w3.org/2001/XMLSchema-instance" xsi:type="dcterms:W3CDTF">2026-10-21T11:30:07Z</dcterms:modified>
</cp:coreProperties>
</file>