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del grupo - 10-3" sheetId="1" state="visible" r:id="rId1"/>
    <sheet xmlns:r="http://schemas.openxmlformats.org/officeDocument/2006/relationships" name="Horario del grupo - 10-4" sheetId="2" state="visible" r:id="rId2"/>
    <sheet xmlns:r="http://schemas.openxmlformats.org/officeDocument/2006/relationships" name="HP - Profesor de M en 10-3" sheetId="3" state="visible" r:id="rId3"/>
    <sheet xmlns:r="http://schemas.openxmlformats.org/officeDocument/2006/relationships" name="HP - Profesor de Lit-L en 10-3" sheetId="4" state="visible" r:id="rId4"/>
    <sheet xmlns:r="http://schemas.openxmlformats.org/officeDocument/2006/relationships" name="HP - Profesor de F en 10-3" sheetId="5" state="visible" r:id="rId5"/>
    <sheet xmlns:r="http://schemas.openxmlformats.org/officeDocument/2006/relationships" name="HP - Profesor de I en 10-3" sheetId="6" state="visible" r:id="rId6"/>
    <sheet xmlns:r="http://schemas.openxmlformats.org/officeDocument/2006/relationships" name="HP - Profesor de H en 10-3" sheetId="7" state="visible" r:id="rId7"/>
    <sheet xmlns:r="http://schemas.openxmlformats.org/officeDocument/2006/relationships" name="HP - Profesor de EF en 10-3" sheetId="8" state="visible" r:id="rId8"/>
    <sheet xmlns:r="http://schemas.openxmlformats.org/officeDocument/2006/relationships" name="HP - Profesor de B en 10-3" sheetId="9" state="visible" r:id="rId9"/>
    <sheet xmlns:r="http://schemas.openxmlformats.org/officeDocument/2006/relationships" name="HP - Profesor de G en 10-3" sheetId="10" state="visible" r:id="rId10"/>
    <sheet xmlns:r="http://schemas.openxmlformats.org/officeDocument/2006/relationships" name="HP - Profesor de INF en 10-3" sheetId="11" state="visible" r:id="rId11"/>
    <sheet xmlns:r="http://schemas.openxmlformats.org/officeDocument/2006/relationships" name="HP - Profesor de Q en 10-3" sheetId="12" state="visible" r:id="rId12"/>
    <sheet xmlns:r="http://schemas.openxmlformats.org/officeDocument/2006/relationships" name="HP - Profesor de CP en 10-3" sheetId="13" state="visible" r:id="rId13"/>
    <sheet xmlns:r="http://schemas.openxmlformats.org/officeDocument/2006/relationships" name="HP - Profesor de DC en 10-3" sheetId="14" state="visible" r:id="rId14"/>
    <sheet xmlns:r="http://schemas.openxmlformats.org/officeDocument/2006/relationships" name="HP - Profesor de CA en 10-3" sheetId="15" state="visible" r:id="rId15"/>
    <sheet xmlns:r="http://schemas.openxmlformats.org/officeDocument/2006/relationships" name="HP - Profesor de RD en 10-3" sheetId="16" state="visible" r:id="rId16"/>
    <sheet xmlns:r="http://schemas.openxmlformats.org/officeDocument/2006/relationships" name="HP - Profesor de ALAC en 10-3" sheetId="17" state="visible" r:id="rId17"/>
    <sheet xmlns:r="http://schemas.openxmlformats.org/officeDocument/2006/relationships" name="HP - Profesor de M en 10-4" sheetId="18" state="visible" r:id="rId18"/>
    <sheet xmlns:r="http://schemas.openxmlformats.org/officeDocument/2006/relationships" name="HP - Profesor de Lit-L en 10-4" sheetId="19" state="visible" r:id="rId19"/>
    <sheet xmlns:r="http://schemas.openxmlformats.org/officeDocument/2006/relationships" name="HP - Profesor de F en 10-4" sheetId="20" state="visible" r:id="rId20"/>
    <sheet xmlns:r="http://schemas.openxmlformats.org/officeDocument/2006/relationships" name="HP - Profesor de I en 10-4" sheetId="21" state="visible" r:id="rId21"/>
    <sheet xmlns:r="http://schemas.openxmlformats.org/officeDocument/2006/relationships" name="HP - Profesor de H en 10-4" sheetId="22" state="visible" r:id="rId22"/>
    <sheet xmlns:r="http://schemas.openxmlformats.org/officeDocument/2006/relationships" name="HP - Profesor de EF en 10-4" sheetId="23" state="visible" r:id="rId23"/>
    <sheet xmlns:r="http://schemas.openxmlformats.org/officeDocument/2006/relationships" name="HP - Profesor de B en 10-4" sheetId="24" state="visible" r:id="rId24"/>
    <sheet xmlns:r="http://schemas.openxmlformats.org/officeDocument/2006/relationships" name="HP - Profesor de G en 10-4" sheetId="25" state="visible" r:id="rId25"/>
    <sheet xmlns:r="http://schemas.openxmlformats.org/officeDocument/2006/relationships" name="HP - Profesor de INF en 10-4" sheetId="26" state="visible" r:id="rId26"/>
    <sheet xmlns:r="http://schemas.openxmlformats.org/officeDocument/2006/relationships" name="HP - Profesor de Q en 10-4" sheetId="27" state="visible" r:id="rId27"/>
    <sheet xmlns:r="http://schemas.openxmlformats.org/officeDocument/2006/relationships" name="HP - Profesor de CP en 10-4" sheetId="28" state="visible" r:id="rId28"/>
    <sheet xmlns:r="http://schemas.openxmlformats.org/officeDocument/2006/relationships" name="HP - Profesor de DC en 10-4" sheetId="29" state="visible" r:id="rId29"/>
    <sheet xmlns:r="http://schemas.openxmlformats.org/officeDocument/2006/relationships" name="HP - Profesor de CA en 10-4" sheetId="30" state="visible" r:id="rId30"/>
    <sheet xmlns:r="http://schemas.openxmlformats.org/officeDocument/2006/relationships" name="HP - Profesor de RD en 10-4" sheetId="31" state="visible" r:id="rId31"/>
    <sheet xmlns:r="http://schemas.openxmlformats.org/officeDocument/2006/relationships" name="HP - Profesor de ALAC en 10-4" sheetId="32" state="visible" r:id="rId32"/>
    <sheet xmlns:r="http://schemas.openxmlformats.org/officeDocument/2006/relationships" name="Horario del aula - Aula 10-3" sheetId="33" state="visible" r:id="rId33"/>
    <sheet xmlns:r="http://schemas.openxmlformats.org/officeDocument/2006/relationships" name="Horario del aula - Aula 10-4" sheetId="34" state="visible" r:id="rId34"/>
    <sheet xmlns:r="http://schemas.openxmlformats.org/officeDocument/2006/relationships" name="Horario del aula - Laboratorio" sheetId="35" state="visible" r:id="rId35"/>
    <sheet xmlns:r="http://schemas.openxmlformats.org/officeDocument/2006/relationships" name="Horario del aula - Terreno" sheetId="36" state="visible" r:id="rId36"/>
    <sheet xmlns:r="http://schemas.openxmlformats.org/officeDocument/2006/relationships" name="Casillas del horario" sheetId="37" state="visible" r:id="rId37"/>
    <sheet xmlns:r="http://schemas.openxmlformats.org/officeDocument/2006/relationships" name="Asignaturas" sheetId="38" state="visible" r:id="rId38"/>
    <sheet xmlns:r="http://schemas.openxmlformats.org/officeDocument/2006/relationships" name="Frecuencias por grupo" sheetId="39" state="visible" r:id="rId39"/>
    <sheet xmlns:r="http://schemas.openxmlformats.org/officeDocument/2006/relationships" name="Profesores" sheetId="40" state="visible" r:id="rId40"/>
    <sheet xmlns:r="http://schemas.openxmlformats.org/officeDocument/2006/relationships" name="Dias que asisten los contratado" sheetId="41" state="visible" r:id="rId41"/>
    <sheet xmlns:r="http://schemas.openxmlformats.org/officeDocument/2006/relationships" name="Carga diaria" sheetId="42" state="visible" r:id="rId42"/>
    <sheet xmlns:r="http://schemas.openxmlformats.org/officeDocument/2006/relationships" name="Listas" sheetId="43" state="hidden" r:id="rId43"/>
  </sheets>
  <definedNames>
    <definedName name="Casillas">'Casillas del horario'!$A$4:$O$73</definedName>
    <definedName name="Asignaturas">'Asignaturas'!$A$4:$G$18</definedName>
    <definedName name="PlanPorGrupo">'Frecuencias por grupo'!$A$4:$G$33</definedName>
    <definedName name="Profesores">'Profesores'!$A$4:$C$33</definedName>
    <definedName name="Disponibilidad">'Dias que asisten los contratado'!$A$4:$C$4</definedName>
    <definedName name="CargaDiaria">'Carga diaria'!$A$4:$C$153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2A2A2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2A2A2"/>
        </patternFill>
      </fill>
    </dxf>
    <dxf>
      <fill>
        <patternFill patternType="solid">
          <fgColor rgb="00FCD5B4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6" customWidth="1" min="6" max="6"/>
  </cols>
  <sheetData>
    <row r="1">
      <c r="A1" s="1" t="inlineStr">
        <is>
          <t>Horario del grupo - 10-3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IF(ISNA(MATCH(1,INDEX(EXACT('Casillas del horario'!$R$4:$R$73,"10-3"&amp;CHAR(31)&amp;$A4&amp;CHAR(31)&amp;B$3)*1,0),0)),"",IF(ISBLANK(INDEX('Casillas del horario'!$D$4:$D$73,MATCH(1,INDEX(EXACT('Casillas del horario'!$R$4:$R$73,"10-3"&amp;CHAR(31)&amp;$A4&amp;CHAR(31)&amp;B$3)*1,0),0))),"",INDEX('Casillas del horario'!$D$4:$D$73,MATCH(1,INDEX(EXACT('Casillas del horario'!$R$4:$R$73,"10-3"&amp;CHAR(31)&amp;$A4&amp;CHAR(31)&amp;B$3)*1,0),0))))</f>
        <v/>
      </c>
      <c r="C4" s="3">
        <f>IF(ISNA(MATCH(1,INDEX(EXACT('Casillas del horario'!$R$4:$R$73,"10-3"&amp;CHAR(31)&amp;$A4&amp;CHAR(31)&amp;C$3)*1,0),0)),"",IF(ISBLANK(INDEX('Casillas del horario'!$D$4:$D$73,MATCH(1,INDEX(EXACT('Casillas del horario'!$R$4:$R$73,"10-3"&amp;CHAR(31)&amp;$A4&amp;CHAR(31)&amp;C$3)*1,0),0))),"",INDEX('Casillas del horario'!$D$4:$D$73,MATCH(1,INDEX(EXACT('Casillas del horario'!$R$4:$R$73,"10-3"&amp;CHAR(31)&amp;$A4&amp;CHAR(31)&amp;C$3)*1,0),0))))</f>
        <v/>
      </c>
      <c r="D4" s="3">
        <f>IF(ISNA(MATCH(1,INDEX(EXACT('Casillas del horario'!$R$4:$R$73,"10-3"&amp;CHAR(31)&amp;$A4&amp;CHAR(31)&amp;D$3)*1,0),0)),"",IF(ISBLANK(INDEX('Casillas del horario'!$D$4:$D$73,MATCH(1,INDEX(EXACT('Casillas del horario'!$R$4:$R$73,"10-3"&amp;CHAR(31)&amp;$A4&amp;CHAR(31)&amp;D$3)*1,0),0))),"",INDEX('Casillas del horario'!$D$4:$D$73,MATCH(1,INDEX(EXACT('Casillas del horario'!$R$4:$R$73,"10-3"&amp;CHAR(31)&amp;$A4&amp;CHAR(31)&amp;D$3)*1,0),0))))</f>
        <v/>
      </c>
      <c r="E4" s="3">
        <f>IF(ISNA(MATCH(1,INDEX(EXACT('Casillas del horario'!$R$4:$R$73,"10-3"&amp;CHAR(31)&amp;$A4&amp;CHAR(31)&amp;E$3)*1,0),0)),"",IF(ISBLANK(INDEX('Casillas del horario'!$D$4:$D$73,MATCH(1,INDEX(EXACT('Casillas del horario'!$R$4:$R$73,"10-3"&amp;CHAR(31)&amp;$A4&amp;CHAR(31)&amp;E$3)*1,0),0))),"",INDEX('Casillas del horario'!$D$4:$D$73,MATCH(1,INDEX(EXACT('Casillas del horario'!$R$4:$R$73,"10-3"&amp;CHAR(31)&amp;$A4&amp;CHAR(31)&amp;E$3)*1,0),0))))</f>
        <v/>
      </c>
      <c r="F4" s="3">
        <f>IF(ISNA(MATCH(1,INDEX(EXACT('Casillas del horario'!$R$4:$R$73,"10-3"&amp;CHAR(31)&amp;$A4&amp;CHAR(31)&amp;F$3)*1,0),0)),"",IF(ISBLANK(INDEX('Casillas del horario'!$D$4:$D$73,MATCH(1,INDEX(EXACT('Casillas del horario'!$R$4:$R$73,"10-3"&amp;CHAR(31)&amp;$A4&amp;CHAR(31)&amp;F$3)*1,0),0))),"",INDEX('Casillas del horario'!$D$4:$D$73,MATCH(1,INDEX(EXACT('Casillas del horario'!$R$4:$R$73,"10-3"&amp;CHAR(31)&amp;$A4&amp;CHAR(31)&amp;F$3)*1,0),0))))</f>
        <v/>
      </c>
    </row>
    <row r="5">
      <c r="A5" s="3" t="n">
        <v>2</v>
      </c>
      <c r="B5" s="3">
        <f>IF(ISNA(MATCH(1,INDEX(EXACT('Casillas del horario'!$R$4:$R$73,"10-3"&amp;CHAR(31)&amp;$A5&amp;CHAR(31)&amp;B$3)*1,0),0)),"",IF(ISBLANK(INDEX('Casillas del horario'!$D$4:$D$73,MATCH(1,INDEX(EXACT('Casillas del horario'!$R$4:$R$73,"10-3"&amp;CHAR(31)&amp;$A5&amp;CHAR(31)&amp;B$3)*1,0),0))),"",INDEX('Casillas del horario'!$D$4:$D$73,MATCH(1,INDEX(EXACT('Casillas del horario'!$R$4:$R$73,"10-3"&amp;CHAR(31)&amp;$A5&amp;CHAR(31)&amp;B$3)*1,0),0))))</f>
        <v/>
      </c>
      <c r="C5" s="3">
        <f>IF(ISNA(MATCH(1,INDEX(EXACT('Casillas del horario'!$R$4:$R$73,"10-3"&amp;CHAR(31)&amp;$A5&amp;CHAR(31)&amp;C$3)*1,0),0)),"",IF(ISBLANK(INDEX('Casillas del horario'!$D$4:$D$73,MATCH(1,INDEX(EXACT('Casillas del horario'!$R$4:$R$73,"10-3"&amp;CHAR(31)&amp;$A5&amp;CHAR(31)&amp;C$3)*1,0),0))),"",INDEX('Casillas del horario'!$D$4:$D$73,MATCH(1,INDEX(EXACT('Casillas del horario'!$R$4:$R$73,"10-3"&amp;CHAR(31)&amp;$A5&amp;CHAR(31)&amp;C$3)*1,0),0))))</f>
        <v/>
      </c>
      <c r="D5" s="3">
        <f>IF(ISNA(MATCH(1,INDEX(EXACT('Casillas del horario'!$R$4:$R$73,"10-3"&amp;CHAR(31)&amp;$A5&amp;CHAR(31)&amp;D$3)*1,0),0)),"",IF(ISBLANK(INDEX('Casillas del horario'!$D$4:$D$73,MATCH(1,INDEX(EXACT('Casillas del horario'!$R$4:$R$73,"10-3"&amp;CHAR(31)&amp;$A5&amp;CHAR(31)&amp;D$3)*1,0),0))),"",INDEX('Casillas del horario'!$D$4:$D$73,MATCH(1,INDEX(EXACT('Casillas del horario'!$R$4:$R$73,"10-3"&amp;CHAR(31)&amp;$A5&amp;CHAR(31)&amp;D$3)*1,0),0))))</f>
        <v/>
      </c>
      <c r="E5" s="3">
        <f>IF(ISNA(MATCH(1,INDEX(EXACT('Casillas del horario'!$R$4:$R$73,"10-3"&amp;CHAR(31)&amp;$A5&amp;CHAR(31)&amp;E$3)*1,0),0)),"",IF(ISBLANK(INDEX('Casillas del horario'!$D$4:$D$73,MATCH(1,INDEX(EXACT('Casillas del horario'!$R$4:$R$73,"10-3"&amp;CHAR(31)&amp;$A5&amp;CHAR(31)&amp;E$3)*1,0),0))),"",INDEX('Casillas del horario'!$D$4:$D$73,MATCH(1,INDEX(EXACT('Casillas del horario'!$R$4:$R$73,"10-3"&amp;CHAR(31)&amp;$A5&amp;CHAR(31)&amp;E$3)*1,0),0))))</f>
        <v/>
      </c>
      <c r="F5" s="3">
        <f>IF(ISNA(MATCH(1,INDEX(EXACT('Casillas del horario'!$R$4:$R$73,"10-3"&amp;CHAR(31)&amp;$A5&amp;CHAR(31)&amp;F$3)*1,0),0)),"",IF(ISBLANK(INDEX('Casillas del horario'!$D$4:$D$73,MATCH(1,INDEX(EXACT('Casillas del horario'!$R$4:$R$73,"10-3"&amp;CHAR(31)&amp;$A5&amp;CHAR(31)&amp;F$3)*1,0),0))),"",INDEX('Casillas del horario'!$D$4:$D$73,MATCH(1,INDEX(EXACT('Casillas del horario'!$R$4:$R$73,"10-3"&amp;CHAR(31)&amp;$A5&amp;CHAR(31)&amp;F$3)*1,0),0))))</f>
        <v/>
      </c>
    </row>
    <row r="6">
      <c r="A6" s="3" t="n">
        <v>3</v>
      </c>
      <c r="B6" s="3">
        <f>IF(ISNA(MATCH(1,INDEX(EXACT('Casillas del horario'!$R$4:$R$73,"10-3"&amp;CHAR(31)&amp;$A6&amp;CHAR(31)&amp;B$3)*1,0),0)),"",IF(ISBLANK(INDEX('Casillas del horario'!$D$4:$D$73,MATCH(1,INDEX(EXACT('Casillas del horario'!$R$4:$R$73,"10-3"&amp;CHAR(31)&amp;$A6&amp;CHAR(31)&amp;B$3)*1,0),0))),"",INDEX('Casillas del horario'!$D$4:$D$73,MATCH(1,INDEX(EXACT('Casillas del horario'!$R$4:$R$73,"10-3"&amp;CHAR(31)&amp;$A6&amp;CHAR(31)&amp;B$3)*1,0),0))))</f>
        <v/>
      </c>
      <c r="C6" s="3">
        <f>IF(ISNA(MATCH(1,INDEX(EXACT('Casillas del horario'!$R$4:$R$73,"10-3"&amp;CHAR(31)&amp;$A6&amp;CHAR(31)&amp;C$3)*1,0),0)),"",IF(ISBLANK(INDEX('Casillas del horario'!$D$4:$D$73,MATCH(1,INDEX(EXACT('Casillas del horario'!$R$4:$R$73,"10-3"&amp;CHAR(31)&amp;$A6&amp;CHAR(31)&amp;C$3)*1,0),0))),"",INDEX('Casillas del horario'!$D$4:$D$73,MATCH(1,INDEX(EXACT('Casillas del horario'!$R$4:$R$73,"10-3"&amp;CHAR(31)&amp;$A6&amp;CHAR(31)&amp;C$3)*1,0),0))))</f>
        <v/>
      </c>
      <c r="D6" s="3">
        <f>IF(ISNA(MATCH(1,INDEX(EXACT('Casillas del horario'!$R$4:$R$73,"10-3"&amp;CHAR(31)&amp;$A6&amp;CHAR(31)&amp;D$3)*1,0),0)),"",IF(ISBLANK(INDEX('Casillas del horario'!$D$4:$D$73,MATCH(1,INDEX(EXACT('Casillas del horario'!$R$4:$R$73,"10-3"&amp;CHAR(31)&amp;$A6&amp;CHAR(31)&amp;D$3)*1,0),0))),"",INDEX('Casillas del horario'!$D$4:$D$73,MATCH(1,INDEX(EXACT('Casillas del horario'!$R$4:$R$73,"10-3"&amp;CHAR(31)&amp;$A6&amp;CHAR(31)&amp;D$3)*1,0),0))))</f>
        <v/>
      </c>
      <c r="E6" s="3">
        <f>IF(ISNA(MATCH(1,INDEX(EXACT('Casillas del horario'!$R$4:$R$73,"10-3"&amp;CHAR(31)&amp;$A6&amp;CHAR(31)&amp;E$3)*1,0),0)),"",IF(ISBLANK(INDEX('Casillas del horario'!$D$4:$D$73,MATCH(1,INDEX(EXACT('Casillas del horario'!$R$4:$R$73,"10-3"&amp;CHAR(31)&amp;$A6&amp;CHAR(31)&amp;E$3)*1,0),0))),"",INDEX('Casillas del horario'!$D$4:$D$73,MATCH(1,INDEX(EXACT('Casillas del horario'!$R$4:$R$73,"10-3"&amp;CHAR(31)&amp;$A6&amp;CHAR(31)&amp;E$3)*1,0),0))))</f>
        <v/>
      </c>
      <c r="F6" s="3">
        <f>IF(ISNA(MATCH(1,INDEX(EXACT('Casillas del horario'!$R$4:$R$73,"10-3"&amp;CHAR(31)&amp;$A6&amp;CHAR(31)&amp;F$3)*1,0),0)),"",IF(ISBLANK(INDEX('Casillas del horario'!$D$4:$D$73,MATCH(1,INDEX(EXACT('Casillas del horario'!$R$4:$R$73,"10-3"&amp;CHAR(31)&amp;$A6&amp;CHAR(31)&amp;F$3)*1,0),0))),"",INDEX('Casillas del horario'!$D$4:$D$73,MATCH(1,INDEX(EXACT('Casillas del horario'!$R$4:$R$73,"10-3"&amp;CHAR(31)&amp;$A6&amp;CHAR(31)&amp;F$3)*1,0),0))))</f>
        <v/>
      </c>
    </row>
    <row r="7">
      <c r="A7" s="3" t="n">
        <v>4</v>
      </c>
      <c r="B7" s="3">
        <f>IF(ISNA(MATCH(1,INDEX(EXACT('Casillas del horario'!$R$4:$R$73,"10-3"&amp;CHAR(31)&amp;$A7&amp;CHAR(31)&amp;B$3)*1,0),0)),"",IF(ISBLANK(INDEX('Casillas del horario'!$D$4:$D$73,MATCH(1,INDEX(EXACT('Casillas del horario'!$R$4:$R$73,"10-3"&amp;CHAR(31)&amp;$A7&amp;CHAR(31)&amp;B$3)*1,0),0))),"",INDEX('Casillas del horario'!$D$4:$D$73,MATCH(1,INDEX(EXACT('Casillas del horario'!$R$4:$R$73,"10-3"&amp;CHAR(31)&amp;$A7&amp;CHAR(31)&amp;B$3)*1,0),0))))</f>
        <v/>
      </c>
      <c r="C7" s="3">
        <f>IF(ISNA(MATCH(1,INDEX(EXACT('Casillas del horario'!$R$4:$R$73,"10-3"&amp;CHAR(31)&amp;$A7&amp;CHAR(31)&amp;C$3)*1,0),0)),"",IF(ISBLANK(INDEX('Casillas del horario'!$D$4:$D$73,MATCH(1,INDEX(EXACT('Casillas del horario'!$R$4:$R$73,"10-3"&amp;CHAR(31)&amp;$A7&amp;CHAR(31)&amp;C$3)*1,0),0))),"",INDEX('Casillas del horario'!$D$4:$D$73,MATCH(1,INDEX(EXACT('Casillas del horario'!$R$4:$R$73,"10-3"&amp;CHAR(31)&amp;$A7&amp;CHAR(31)&amp;C$3)*1,0),0))))</f>
        <v/>
      </c>
      <c r="D7" s="3">
        <f>IF(ISNA(MATCH(1,INDEX(EXACT('Casillas del horario'!$R$4:$R$73,"10-3"&amp;CHAR(31)&amp;$A7&amp;CHAR(31)&amp;D$3)*1,0),0)),"",IF(ISBLANK(INDEX('Casillas del horario'!$D$4:$D$73,MATCH(1,INDEX(EXACT('Casillas del horario'!$R$4:$R$73,"10-3"&amp;CHAR(31)&amp;$A7&amp;CHAR(31)&amp;D$3)*1,0),0))),"",INDEX('Casillas del horario'!$D$4:$D$73,MATCH(1,INDEX(EXACT('Casillas del horario'!$R$4:$R$73,"10-3"&amp;CHAR(31)&amp;$A7&amp;CHAR(31)&amp;D$3)*1,0),0))))</f>
        <v/>
      </c>
      <c r="E7" s="3">
        <f>IF(ISNA(MATCH(1,INDEX(EXACT('Casillas del horario'!$R$4:$R$73,"10-3"&amp;CHAR(31)&amp;$A7&amp;CHAR(31)&amp;E$3)*1,0),0)),"",IF(ISBLANK(INDEX('Casillas del horario'!$D$4:$D$73,MATCH(1,INDEX(EXACT('Casillas del horario'!$R$4:$R$73,"10-3"&amp;CHAR(31)&amp;$A7&amp;CHAR(31)&amp;E$3)*1,0),0))),"",INDEX('Casillas del horario'!$D$4:$D$73,MATCH(1,INDEX(EXACT('Casillas del horario'!$R$4:$R$73,"10-3"&amp;CHAR(31)&amp;$A7&amp;CHAR(31)&amp;E$3)*1,0),0))))</f>
        <v/>
      </c>
      <c r="F7" s="3">
        <f>IF(ISNA(MATCH(1,INDEX(EXACT('Casillas del horario'!$R$4:$R$73,"10-3"&amp;CHAR(31)&amp;$A7&amp;CHAR(31)&amp;F$3)*1,0),0)),"",IF(ISBLANK(INDEX('Casillas del horario'!$D$4:$D$73,MATCH(1,INDEX(EXACT('Casillas del horario'!$R$4:$R$73,"10-3"&amp;CHAR(31)&amp;$A7&amp;CHAR(31)&amp;F$3)*1,0),0))),"",INDEX('Casillas del horario'!$D$4:$D$73,MATCH(1,INDEX(EXACT('Casillas del horario'!$R$4:$R$73,"10-3"&amp;CHAR(31)&amp;$A7&amp;CHAR(31)&amp;F$3)*1,0),0))))</f>
        <v/>
      </c>
    </row>
    <row r="8">
      <c r="A8" s="3" t="n">
        <v>5</v>
      </c>
      <c r="B8" s="3">
        <f>IF(ISNA(MATCH(1,INDEX(EXACT('Casillas del horario'!$R$4:$R$73,"10-3"&amp;CHAR(31)&amp;$A8&amp;CHAR(31)&amp;B$3)*1,0),0)),"",IF(ISBLANK(INDEX('Casillas del horario'!$D$4:$D$73,MATCH(1,INDEX(EXACT('Casillas del horario'!$R$4:$R$73,"10-3"&amp;CHAR(31)&amp;$A8&amp;CHAR(31)&amp;B$3)*1,0),0))),"",INDEX('Casillas del horario'!$D$4:$D$73,MATCH(1,INDEX(EXACT('Casillas del horario'!$R$4:$R$73,"10-3"&amp;CHAR(31)&amp;$A8&amp;CHAR(31)&amp;B$3)*1,0),0))))</f>
        <v/>
      </c>
      <c r="C8" s="3">
        <f>IF(ISNA(MATCH(1,INDEX(EXACT('Casillas del horario'!$R$4:$R$73,"10-3"&amp;CHAR(31)&amp;$A8&amp;CHAR(31)&amp;C$3)*1,0),0)),"",IF(ISBLANK(INDEX('Casillas del horario'!$D$4:$D$73,MATCH(1,INDEX(EXACT('Casillas del horario'!$R$4:$R$73,"10-3"&amp;CHAR(31)&amp;$A8&amp;CHAR(31)&amp;C$3)*1,0),0))),"",INDEX('Casillas del horario'!$D$4:$D$73,MATCH(1,INDEX(EXACT('Casillas del horario'!$R$4:$R$73,"10-3"&amp;CHAR(31)&amp;$A8&amp;CHAR(31)&amp;C$3)*1,0),0))))</f>
        <v/>
      </c>
      <c r="D8" s="3">
        <f>IF(ISNA(MATCH(1,INDEX(EXACT('Casillas del horario'!$R$4:$R$73,"10-3"&amp;CHAR(31)&amp;$A8&amp;CHAR(31)&amp;D$3)*1,0),0)),"",IF(ISBLANK(INDEX('Casillas del horario'!$D$4:$D$73,MATCH(1,INDEX(EXACT('Casillas del horario'!$R$4:$R$73,"10-3"&amp;CHAR(31)&amp;$A8&amp;CHAR(31)&amp;D$3)*1,0),0))),"",INDEX('Casillas del horario'!$D$4:$D$73,MATCH(1,INDEX(EXACT('Casillas del horario'!$R$4:$R$73,"10-3"&amp;CHAR(31)&amp;$A8&amp;CHAR(31)&amp;D$3)*1,0),0))))</f>
        <v/>
      </c>
      <c r="E8" s="3">
        <f>IF(ISNA(MATCH(1,INDEX(EXACT('Casillas del horario'!$R$4:$R$73,"10-3"&amp;CHAR(31)&amp;$A8&amp;CHAR(31)&amp;E$3)*1,0),0)),"",IF(ISBLANK(INDEX('Casillas del horario'!$D$4:$D$73,MATCH(1,INDEX(EXACT('Casillas del horario'!$R$4:$R$73,"10-3"&amp;CHAR(31)&amp;$A8&amp;CHAR(31)&amp;E$3)*1,0),0))),"",INDEX('Casillas del horario'!$D$4:$D$73,MATCH(1,INDEX(EXACT('Casillas del horario'!$R$4:$R$73,"10-3"&amp;CHAR(31)&amp;$A8&amp;CHAR(31)&amp;E$3)*1,0),0))))</f>
        <v/>
      </c>
      <c r="F8" s="3">
        <f>IF(ISNA(MATCH(1,INDEX(EXACT('Casillas del horario'!$R$4:$R$73,"10-3"&amp;CHAR(31)&amp;$A8&amp;CHAR(31)&amp;F$3)*1,0),0)),"",IF(ISBLANK(INDEX('Casillas del horario'!$D$4:$D$73,MATCH(1,INDEX(EXACT('Casillas del horario'!$R$4:$R$73,"10-3"&amp;CHAR(31)&amp;$A8&amp;CHAR(31)&amp;F$3)*1,0),0))),"",INDEX('Casillas del horario'!$D$4:$D$73,MATCH(1,INDEX(EXACT('Casillas del horario'!$R$4:$R$73,"10-3"&amp;CHAR(31)&amp;$A8&amp;CHAR(31)&amp;F$3)*1,0),0))))</f>
        <v/>
      </c>
    </row>
    <row r="9">
      <c r="A9" s="3" t="n">
        <v>6</v>
      </c>
      <c r="B9" s="3">
        <f>IF(ISNA(MATCH(1,INDEX(EXACT('Casillas del horario'!$R$4:$R$73,"10-3"&amp;CHAR(31)&amp;$A9&amp;CHAR(31)&amp;B$3)*1,0),0)),"",IF(ISBLANK(INDEX('Casillas del horario'!$D$4:$D$73,MATCH(1,INDEX(EXACT('Casillas del horario'!$R$4:$R$73,"10-3"&amp;CHAR(31)&amp;$A9&amp;CHAR(31)&amp;B$3)*1,0),0))),"",INDEX('Casillas del horario'!$D$4:$D$73,MATCH(1,INDEX(EXACT('Casillas del horario'!$R$4:$R$73,"10-3"&amp;CHAR(31)&amp;$A9&amp;CHAR(31)&amp;B$3)*1,0),0))))</f>
        <v/>
      </c>
      <c r="C9" s="3">
        <f>IF(ISNA(MATCH(1,INDEX(EXACT('Casillas del horario'!$R$4:$R$73,"10-3"&amp;CHAR(31)&amp;$A9&amp;CHAR(31)&amp;C$3)*1,0),0)),"",IF(ISBLANK(INDEX('Casillas del horario'!$D$4:$D$73,MATCH(1,INDEX(EXACT('Casillas del horario'!$R$4:$R$73,"10-3"&amp;CHAR(31)&amp;$A9&amp;CHAR(31)&amp;C$3)*1,0),0))),"",INDEX('Casillas del horario'!$D$4:$D$73,MATCH(1,INDEX(EXACT('Casillas del horario'!$R$4:$R$73,"10-3"&amp;CHAR(31)&amp;$A9&amp;CHAR(31)&amp;C$3)*1,0),0))))</f>
        <v/>
      </c>
      <c r="D9" s="3">
        <f>IF(ISNA(MATCH(1,INDEX(EXACT('Casillas del horario'!$R$4:$R$73,"10-3"&amp;CHAR(31)&amp;$A9&amp;CHAR(31)&amp;D$3)*1,0),0)),"",IF(ISBLANK(INDEX('Casillas del horario'!$D$4:$D$73,MATCH(1,INDEX(EXACT('Casillas del horario'!$R$4:$R$73,"10-3"&amp;CHAR(31)&amp;$A9&amp;CHAR(31)&amp;D$3)*1,0),0))),"",INDEX('Casillas del horario'!$D$4:$D$73,MATCH(1,INDEX(EXACT('Casillas del horario'!$R$4:$R$73,"10-3"&amp;CHAR(31)&amp;$A9&amp;CHAR(31)&amp;D$3)*1,0),0))))</f>
        <v/>
      </c>
      <c r="E9" s="3">
        <f>IF(ISNA(MATCH(1,INDEX(EXACT('Casillas del horario'!$R$4:$R$73,"10-3"&amp;CHAR(31)&amp;$A9&amp;CHAR(31)&amp;E$3)*1,0),0)),"",IF(ISBLANK(INDEX('Casillas del horario'!$D$4:$D$73,MATCH(1,INDEX(EXACT('Casillas del horario'!$R$4:$R$73,"10-3"&amp;CHAR(31)&amp;$A9&amp;CHAR(31)&amp;E$3)*1,0),0))),"",INDEX('Casillas del horario'!$D$4:$D$73,MATCH(1,INDEX(EXACT('Casillas del horario'!$R$4:$R$73,"10-3"&amp;CHAR(31)&amp;$A9&amp;CHAR(31)&amp;E$3)*1,0),0))))</f>
        <v/>
      </c>
      <c r="F9" s="3">
        <f>IF(ISNA(MATCH(1,INDEX(EXACT('Casillas del horario'!$R$4:$R$73,"10-3"&amp;CHAR(31)&amp;$A9&amp;CHAR(31)&amp;F$3)*1,0),0)),"",IF(ISBLANK(INDEX('Casillas del horario'!$D$4:$D$73,MATCH(1,INDEX(EXACT('Casillas del horario'!$R$4:$R$73,"10-3"&amp;CHAR(31)&amp;$A9&amp;CHAR(31)&amp;F$3)*1,0),0))),"",INDEX('Casillas del horario'!$D$4:$D$73,MATCH(1,INDEX(EXACT('Casillas del horario'!$R$4:$R$73,"10-3"&amp;CHAR(31)&amp;$A9&amp;CHAR(31)&amp;F$3)*1,0),0))))</f>
        <v/>
      </c>
    </row>
    <row r="10">
      <c r="A10" s="3" t="n">
        <v>7</v>
      </c>
      <c r="B10" s="3">
        <f>IF(ISNA(MATCH(1,INDEX(EXACT('Casillas del horario'!$R$4:$R$73,"10-3"&amp;CHAR(31)&amp;$A10&amp;CHAR(31)&amp;B$3)*1,0),0)),"",IF(ISBLANK(INDEX('Casillas del horario'!$D$4:$D$73,MATCH(1,INDEX(EXACT('Casillas del horario'!$R$4:$R$73,"10-3"&amp;CHAR(31)&amp;$A10&amp;CHAR(31)&amp;B$3)*1,0),0))),"",INDEX('Casillas del horario'!$D$4:$D$73,MATCH(1,INDEX(EXACT('Casillas del horario'!$R$4:$R$73,"10-3"&amp;CHAR(31)&amp;$A10&amp;CHAR(31)&amp;B$3)*1,0),0))))</f>
        <v/>
      </c>
      <c r="C10" s="3">
        <f>IF(ISNA(MATCH(1,INDEX(EXACT('Casillas del horario'!$R$4:$R$73,"10-3"&amp;CHAR(31)&amp;$A10&amp;CHAR(31)&amp;C$3)*1,0),0)),"",IF(ISBLANK(INDEX('Casillas del horario'!$D$4:$D$73,MATCH(1,INDEX(EXACT('Casillas del horario'!$R$4:$R$73,"10-3"&amp;CHAR(31)&amp;$A10&amp;CHAR(31)&amp;C$3)*1,0),0))),"",INDEX('Casillas del horario'!$D$4:$D$73,MATCH(1,INDEX(EXACT('Casillas del horario'!$R$4:$R$73,"10-3"&amp;CHAR(31)&amp;$A10&amp;CHAR(31)&amp;C$3)*1,0),0))))</f>
        <v/>
      </c>
      <c r="D10" s="3">
        <f>IF(ISNA(MATCH(1,INDEX(EXACT('Casillas del horario'!$R$4:$R$73,"10-3"&amp;CHAR(31)&amp;$A10&amp;CHAR(31)&amp;D$3)*1,0),0)),"",IF(ISBLANK(INDEX('Casillas del horario'!$D$4:$D$73,MATCH(1,INDEX(EXACT('Casillas del horario'!$R$4:$R$73,"10-3"&amp;CHAR(31)&amp;$A10&amp;CHAR(31)&amp;D$3)*1,0),0))),"",INDEX('Casillas del horario'!$D$4:$D$73,MATCH(1,INDEX(EXACT('Casillas del horario'!$R$4:$R$73,"10-3"&amp;CHAR(31)&amp;$A10&amp;CHAR(31)&amp;D$3)*1,0),0))))</f>
        <v/>
      </c>
      <c r="E10" s="3">
        <f>IF(ISNA(MATCH(1,INDEX(EXACT('Casillas del horario'!$R$4:$R$73,"10-3"&amp;CHAR(31)&amp;$A10&amp;CHAR(31)&amp;E$3)*1,0),0)),"",IF(ISBLANK(INDEX('Casillas del horario'!$D$4:$D$73,MATCH(1,INDEX(EXACT('Casillas del horario'!$R$4:$R$73,"10-3"&amp;CHAR(31)&amp;$A10&amp;CHAR(31)&amp;E$3)*1,0),0))),"",INDEX('Casillas del horario'!$D$4:$D$73,MATCH(1,INDEX(EXACT('Casillas del horario'!$R$4:$R$73,"10-3"&amp;CHAR(31)&amp;$A10&amp;CHAR(31)&amp;E$3)*1,0),0))))</f>
        <v/>
      </c>
      <c r="F10" s="3">
        <f>IF(ISNA(MATCH(1,INDEX(EXACT('Casillas del horario'!$R$4:$R$73,"10-3"&amp;CHAR(31)&amp;$A10&amp;CHAR(31)&amp;F$3)*1,0),0)),"",IF(ISBLANK(INDEX('Casillas del horario'!$D$4:$D$73,MATCH(1,INDEX(EXACT('Casillas del horario'!$R$4:$R$73,"10-3"&amp;CHAR(31)&amp;$A10&amp;CHAR(31)&amp;F$3)*1,0),0))),"",INDEX('Casillas del horario'!$D$4:$D$73,MATCH(1,INDEX(EXACT('Casillas del horario'!$R$4:$R$73,"10-3"&amp;CHAR(31)&amp;$A10&amp;CHAR(31)&amp;F$3)*1,0),0))))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horario'!$R$4:$R$73,"10-3"&amp;CHAR(31)&amp;$A4&amp;CHAR(31)&amp;B$3)*1,0),0)),0)=3</formula>
    </cfRule>
    <cfRule type="expression" priority="2" dxfId="1" stopIfTrue="0">
      <formula>IFERROR(INDEX('Casillas del horario'!$Q$4:$Q$73,MATCH(1,INDEX(EXACT('Casillas del horario'!$R$4:$R$73,"10-3"&amp;CHAR(31)&amp;$A4&amp;CHAR(31)&amp;B$3)*1,0),0)),0)=2</formula>
    </cfRule>
    <cfRule type="expression" priority="3" dxfId="2" stopIfTrue="0">
      <formula>IFERROR(INDEX('Casillas del horario'!$Q$4:$Q$73,MATCH(1,INDEX(EXACT('Casillas del horario'!$R$4:$R$73,"10-3"&amp;CHAR(31)&amp;$A4&amp;CHAR(31)&amp;B$3)*1,0),0)),0)=1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  <col width="7" customWidth="1" min="5" max="5"/>
    <col width="7" customWidth="1" min="6" max="6"/>
  </cols>
  <sheetData>
    <row r="1">
      <c r="A1" s="1" t="inlineStr">
        <is>
          <t>Horario del grupo - 10-4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IF(ISNA(MATCH(1,INDEX(EXACT('Casillas del horario'!$R$4:$R$73,"10-4"&amp;CHAR(31)&amp;$A4&amp;CHAR(31)&amp;B$3)*1,0),0)),"",IF(ISBLANK(INDEX('Casillas del horario'!$D$4:$D$73,MATCH(1,INDEX(EXACT('Casillas del horario'!$R$4:$R$73,"10-4"&amp;CHAR(31)&amp;$A4&amp;CHAR(31)&amp;B$3)*1,0),0))),"",INDEX('Casillas del horario'!$D$4:$D$73,MATCH(1,INDEX(EXACT('Casillas del horario'!$R$4:$R$73,"10-4"&amp;CHAR(31)&amp;$A4&amp;CHAR(31)&amp;B$3)*1,0),0))))</f>
        <v/>
      </c>
      <c r="C4" s="3">
        <f>IF(ISNA(MATCH(1,INDEX(EXACT('Casillas del horario'!$R$4:$R$73,"10-4"&amp;CHAR(31)&amp;$A4&amp;CHAR(31)&amp;C$3)*1,0),0)),"",IF(ISBLANK(INDEX('Casillas del horario'!$D$4:$D$73,MATCH(1,INDEX(EXACT('Casillas del horario'!$R$4:$R$73,"10-4"&amp;CHAR(31)&amp;$A4&amp;CHAR(31)&amp;C$3)*1,0),0))),"",INDEX('Casillas del horario'!$D$4:$D$73,MATCH(1,INDEX(EXACT('Casillas del horario'!$R$4:$R$73,"10-4"&amp;CHAR(31)&amp;$A4&amp;CHAR(31)&amp;C$3)*1,0),0))))</f>
        <v/>
      </c>
      <c r="D4" s="3">
        <f>IF(ISNA(MATCH(1,INDEX(EXACT('Casillas del horario'!$R$4:$R$73,"10-4"&amp;CHAR(31)&amp;$A4&amp;CHAR(31)&amp;D$3)*1,0),0)),"",IF(ISBLANK(INDEX('Casillas del horario'!$D$4:$D$73,MATCH(1,INDEX(EXACT('Casillas del horario'!$R$4:$R$73,"10-4"&amp;CHAR(31)&amp;$A4&amp;CHAR(31)&amp;D$3)*1,0),0))),"",INDEX('Casillas del horario'!$D$4:$D$73,MATCH(1,INDEX(EXACT('Casillas del horario'!$R$4:$R$73,"10-4"&amp;CHAR(31)&amp;$A4&amp;CHAR(31)&amp;D$3)*1,0),0))))</f>
        <v/>
      </c>
      <c r="E4" s="3">
        <f>IF(ISNA(MATCH(1,INDEX(EXACT('Casillas del horario'!$R$4:$R$73,"10-4"&amp;CHAR(31)&amp;$A4&amp;CHAR(31)&amp;E$3)*1,0),0)),"",IF(ISBLANK(INDEX('Casillas del horario'!$D$4:$D$73,MATCH(1,INDEX(EXACT('Casillas del horario'!$R$4:$R$73,"10-4"&amp;CHAR(31)&amp;$A4&amp;CHAR(31)&amp;E$3)*1,0),0))),"",INDEX('Casillas del horario'!$D$4:$D$73,MATCH(1,INDEX(EXACT('Casillas del horario'!$R$4:$R$73,"10-4"&amp;CHAR(31)&amp;$A4&amp;CHAR(31)&amp;E$3)*1,0),0))))</f>
        <v/>
      </c>
      <c r="F4" s="3">
        <f>IF(ISNA(MATCH(1,INDEX(EXACT('Casillas del horario'!$R$4:$R$73,"10-4"&amp;CHAR(31)&amp;$A4&amp;CHAR(31)&amp;F$3)*1,0),0)),"",IF(ISBLANK(INDEX('Casillas del horario'!$D$4:$D$73,MATCH(1,INDEX(EXACT('Casillas del horario'!$R$4:$R$73,"10-4"&amp;CHAR(31)&amp;$A4&amp;CHAR(31)&amp;F$3)*1,0),0))),"",INDEX('Casillas del horario'!$D$4:$D$73,MATCH(1,INDEX(EXACT('Casillas del horario'!$R$4:$R$73,"10-4"&amp;CHAR(31)&amp;$A4&amp;CHAR(31)&amp;F$3)*1,0),0))))</f>
        <v/>
      </c>
    </row>
    <row r="5">
      <c r="A5" s="3" t="n">
        <v>2</v>
      </c>
      <c r="B5" s="3">
        <f>IF(ISNA(MATCH(1,INDEX(EXACT('Casillas del horario'!$R$4:$R$73,"10-4"&amp;CHAR(31)&amp;$A5&amp;CHAR(31)&amp;B$3)*1,0),0)),"",IF(ISBLANK(INDEX('Casillas del horario'!$D$4:$D$73,MATCH(1,INDEX(EXACT('Casillas del horario'!$R$4:$R$73,"10-4"&amp;CHAR(31)&amp;$A5&amp;CHAR(31)&amp;B$3)*1,0),0))),"",INDEX('Casillas del horario'!$D$4:$D$73,MATCH(1,INDEX(EXACT('Casillas del horario'!$R$4:$R$73,"10-4"&amp;CHAR(31)&amp;$A5&amp;CHAR(31)&amp;B$3)*1,0),0))))</f>
        <v/>
      </c>
      <c r="C5" s="3">
        <f>IF(ISNA(MATCH(1,INDEX(EXACT('Casillas del horario'!$R$4:$R$73,"10-4"&amp;CHAR(31)&amp;$A5&amp;CHAR(31)&amp;C$3)*1,0),0)),"",IF(ISBLANK(INDEX('Casillas del horario'!$D$4:$D$73,MATCH(1,INDEX(EXACT('Casillas del horario'!$R$4:$R$73,"10-4"&amp;CHAR(31)&amp;$A5&amp;CHAR(31)&amp;C$3)*1,0),0))),"",INDEX('Casillas del horario'!$D$4:$D$73,MATCH(1,INDEX(EXACT('Casillas del horario'!$R$4:$R$73,"10-4"&amp;CHAR(31)&amp;$A5&amp;CHAR(31)&amp;C$3)*1,0),0))))</f>
        <v/>
      </c>
      <c r="D5" s="3">
        <f>IF(ISNA(MATCH(1,INDEX(EXACT('Casillas del horario'!$R$4:$R$73,"10-4"&amp;CHAR(31)&amp;$A5&amp;CHAR(31)&amp;D$3)*1,0),0)),"",IF(ISBLANK(INDEX('Casillas del horario'!$D$4:$D$73,MATCH(1,INDEX(EXACT('Casillas del horario'!$R$4:$R$73,"10-4"&amp;CHAR(31)&amp;$A5&amp;CHAR(31)&amp;D$3)*1,0),0))),"",INDEX('Casillas del horario'!$D$4:$D$73,MATCH(1,INDEX(EXACT('Casillas del horario'!$R$4:$R$73,"10-4"&amp;CHAR(31)&amp;$A5&amp;CHAR(31)&amp;D$3)*1,0),0))))</f>
        <v/>
      </c>
      <c r="E5" s="3">
        <f>IF(ISNA(MATCH(1,INDEX(EXACT('Casillas del horario'!$R$4:$R$73,"10-4"&amp;CHAR(31)&amp;$A5&amp;CHAR(31)&amp;E$3)*1,0),0)),"",IF(ISBLANK(INDEX('Casillas del horario'!$D$4:$D$73,MATCH(1,INDEX(EXACT('Casillas del horario'!$R$4:$R$73,"10-4"&amp;CHAR(31)&amp;$A5&amp;CHAR(31)&amp;E$3)*1,0),0))),"",INDEX('Casillas del horario'!$D$4:$D$73,MATCH(1,INDEX(EXACT('Casillas del horario'!$R$4:$R$73,"10-4"&amp;CHAR(31)&amp;$A5&amp;CHAR(31)&amp;E$3)*1,0),0))))</f>
        <v/>
      </c>
      <c r="F5" s="3">
        <f>IF(ISNA(MATCH(1,INDEX(EXACT('Casillas del horario'!$R$4:$R$73,"10-4"&amp;CHAR(31)&amp;$A5&amp;CHAR(31)&amp;F$3)*1,0),0)),"",IF(ISBLANK(INDEX('Casillas del horario'!$D$4:$D$73,MATCH(1,INDEX(EXACT('Casillas del horario'!$R$4:$R$73,"10-4"&amp;CHAR(31)&amp;$A5&amp;CHAR(31)&amp;F$3)*1,0),0))),"",INDEX('Casillas del horario'!$D$4:$D$73,MATCH(1,INDEX(EXACT('Casillas del horario'!$R$4:$R$73,"10-4"&amp;CHAR(31)&amp;$A5&amp;CHAR(31)&amp;F$3)*1,0),0))))</f>
        <v/>
      </c>
    </row>
    <row r="6">
      <c r="A6" s="3" t="n">
        <v>3</v>
      </c>
      <c r="B6" s="3">
        <f>IF(ISNA(MATCH(1,INDEX(EXACT('Casillas del horario'!$R$4:$R$73,"10-4"&amp;CHAR(31)&amp;$A6&amp;CHAR(31)&amp;B$3)*1,0),0)),"",IF(ISBLANK(INDEX('Casillas del horario'!$D$4:$D$73,MATCH(1,INDEX(EXACT('Casillas del horario'!$R$4:$R$73,"10-4"&amp;CHAR(31)&amp;$A6&amp;CHAR(31)&amp;B$3)*1,0),0))),"",INDEX('Casillas del horario'!$D$4:$D$73,MATCH(1,INDEX(EXACT('Casillas del horario'!$R$4:$R$73,"10-4"&amp;CHAR(31)&amp;$A6&amp;CHAR(31)&amp;B$3)*1,0),0))))</f>
        <v/>
      </c>
      <c r="C6" s="3">
        <f>IF(ISNA(MATCH(1,INDEX(EXACT('Casillas del horario'!$R$4:$R$73,"10-4"&amp;CHAR(31)&amp;$A6&amp;CHAR(31)&amp;C$3)*1,0),0)),"",IF(ISBLANK(INDEX('Casillas del horario'!$D$4:$D$73,MATCH(1,INDEX(EXACT('Casillas del horario'!$R$4:$R$73,"10-4"&amp;CHAR(31)&amp;$A6&amp;CHAR(31)&amp;C$3)*1,0),0))),"",INDEX('Casillas del horario'!$D$4:$D$73,MATCH(1,INDEX(EXACT('Casillas del horario'!$R$4:$R$73,"10-4"&amp;CHAR(31)&amp;$A6&amp;CHAR(31)&amp;C$3)*1,0),0))))</f>
        <v/>
      </c>
      <c r="D6" s="3">
        <f>IF(ISNA(MATCH(1,INDEX(EXACT('Casillas del horario'!$R$4:$R$73,"10-4"&amp;CHAR(31)&amp;$A6&amp;CHAR(31)&amp;D$3)*1,0),0)),"",IF(ISBLANK(INDEX('Casillas del horario'!$D$4:$D$73,MATCH(1,INDEX(EXACT('Casillas del horario'!$R$4:$R$73,"10-4"&amp;CHAR(31)&amp;$A6&amp;CHAR(31)&amp;D$3)*1,0),0))),"",INDEX('Casillas del horario'!$D$4:$D$73,MATCH(1,INDEX(EXACT('Casillas del horario'!$R$4:$R$73,"10-4"&amp;CHAR(31)&amp;$A6&amp;CHAR(31)&amp;D$3)*1,0),0))))</f>
        <v/>
      </c>
      <c r="E6" s="3">
        <f>IF(ISNA(MATCH(1,INDEX(EXACT('Casillas del horario'!$R$4:$R$73,"10-4"&amp;CHAR(31)&amp;$A6&amp;CHAR(31)&amp;E$3)*1,0),0)),"",IF(ISBLANK(INDEX('Casillas del horario'!$D$4:$D$73,MATCH(1,INDEX(EXACT('Casillas del horario'!$R$4:$R$73,"10-4"&amp;CHAR(31)&amp;$A6&amp;CHAR(31)&amp;E$3)*1,0),0))),"",INDEX('Casillas del horario'!$D$4:$D$73,MATCH(1,INDEX(EXACT('Casillas del horario'!$R$4:$R$73,"10-4"&amp;CHAR(31)&amp;$A6&amp;CHAR(31)&amp;E$3)*1,0),0))))</f>
        <v/>
      </c>
      <c r="F6" s="3">
        <f>IF(ISNA(MATCH(1,INDEX(EXACT('Casillas del horario'!$R$4:$R$73,"10-4"&amp;CHAR(31)&amp;$A6&amp;CHAR(31)&amp;F$3)*1,0),0)),"",IF(ISBLANK(INDEX('Casillas del horario'!$D$4:$D$73,MATCH(1,INDEX(EXACT('Casillas del horario'!$R$4:$R$73,"10-4"&amp;CHAR(31)&amp;$A6&amp;CHAR(31)&amp;F$3)*1,0),0))),"",INDEX('Casillas del horario'!$D$4:$D$73,MATCH(1,INDEX(EXACT('Casillas del horario'!$R$4:$R$73,"10-4"&amp;CHAR(31)&amp;$A6&amp;CHAR(31)&amp;F$3)*1,0),0))))</f>
        <v/>
      </c>
    </row>
    <row r="7">
      <c r="A7" s="3" t="n">
        <v>4</v>
      </c>
      <c r="B7" s="3">
        <f>IF(ISNA(MATCH(1,INDEX(EXACT('Casillas del horario'!$R$4:$R$73,"10-4"&amp;CHAR(31)&amp;$A7&amp;CHAR(31)&amp;B$3)*1,0),0)),"",IF(ISBLANK(INDEX('Casillas del horario'!$D$4:$D$73,MATCH(1,INDEX(EXACT('Casillas del horario'!$R$4:$R$73,"10-4"&amp;CHAR(31)&amp;$A7&amp;CHAR(31)&amp;B$3)*1,0),0))),"",INDEX('Casillas del horario'!$D$4:$D$73,MATCH(1,INDEX(EXACT('Casillas del horario'!$R$4:$R$73,"10-4"&amp;CHAR(31)&amp;$A7&amp;CHAR(31)&amp;B$3)*1,0),0))))</f>
        <v/>
      </c>
      <c r="C7" s="3">
        <f>IF(ISNA(MATCH(1,INDEX(EXACT('Casillas del horario'!$R$4:$R$73,"10-4"&amp;CHAR(31)&amp;$A7&amp;CHAR(31)&amp;C$3)*1,0),0)),"",IF(ISBLANK(INDEX('Casillas del horario'!$D$4:$D$73,MATCH(1,INDEX(EXACT('Casillas del horario'!$R$4:$R$73,"10-4"&amp;CHAR(31)&amp;$A7&amp;CHAR(31)&amp;C$3)*1,0),0))),"",INDEX('Casillas del horario'!$D$4:$D$73,MATCH(1,INDEX(EXACT('Casillas del horario'!$R$4:$R$73,"10-4"&amp;CHAR(31)&amp;$A7&amp;CHAR(31)&amp;C$3)*1,0),0))))</f>
        <v/>
      </c>
      <c r="D7" s="3">
        <f>IF(ISNA(MATCH(1,INDEX(EXACT('Casillas del horario'!$R$4:$R$73,"10-4"&amp;CHAR(31)&amp;$A7&amp;CHAR(31)&amp;D$3)*1,0),0)),"",IF(ISBLANK(INDEX('Casillas del horario'!$D$4:$D$73,MATCH(1,INDEX(EXACT('Casillas del horario'!$R$4:$R$73,"10-4"&amp;CHAR(31)&amp;$A7&amp;CHAR(31)&amp;D$3)*1,0),0))),"",INDEX('Casillas del horario'!$D$4:$D$73,MATCH(1,INDEX(EXACT('Casillas del horario'!$R$4:$R$73,"10-4"&amp;CHAR(31)&amp;$A7&amp;CHAR(31)&amp;D$3)*1,0),0))))</f>
        <v/>
      </c>
      <c r="E7" s="3">
        <f>IF(ISNA(MATCH(1,INDEX(EXACT('Casillas del horario'!$R$4:$R$73,"10-4"&amp;CHAR(31)&amp;$A7&amp;CHAR(31)&amp;E$3)*1,0),0)),"",IF(ISBLANK(INDEX('Casillas del horario'!$D$4:$D$73,MATCH(1,INDEX(EXACT('Casillas del horario'!$R$4:$R$73,"10-4"&amp;CHAR(31)&amp;$A7&amp;CHAR(31)&amp;E$3)*1,0),0))),"",INDEX('Casillas del horario'!$D$4:$D$73,MATCH(1,INDEX(EXACT('Casillas del horario'!$R$4:$R$73,"10-4"&amp;CHAR(31)&amp;$A7&amp;CHAR(31)&amp;E$3)*1,0),0))))</f>
        <v/>
      </c>
      <c r="F7" s="3">
        <f>IF(ISNA(MATCH(1,INDEX(EXACT('Casillas del horario'!$R$4:$R$73,"10-4"&amp;CHAR(31)&amp;$A7&amp;CHAR(31)&amp;F$3)*1,0),0)),"",IF(ISBLANK(INDEX('Casillas del horario'!$D$4:$D$73,MATCH(1,INDEX(EXACT('Casillas del horario'!$R$4:$R$73,"10-4"&amp;CHAR(31)&amp;$A7&amp;CHAR(31)&amp;F$3)*1,0),0))),"",INDEX('Casillas del horario'!$D$4:$D$73,MATCH(1,INDEX(EXACT('Casillas del horario'!$R$4:$R$73,"10-4"&amp;CHAR(31)&amp;$A7&amp;CHAR(31)&amp;F$3)*1,0),0))))</f>
        <v/>
      </c>
    </row>
    <row r="8">
      <c r="A8" s="3" t="n">
        <v>5</v>
      </c>
      <c r="B8" s="3">
        <f>IF(ISNA(MATCH(1,INDEX(EXACT('Casillas del horario'!$R$4:$R$73,"10-4"&amp;CHAR(31)&amp;$A8&amp;CHAR(31)&amp;B$3)*1,0),0)),"",IF(ISBLANK(INDEX('Casillas del horario'!$D$4:$D$73,MATCH(1,INDEX(EXACT('Casillas del horario'!$R$4:$R$73,"10-4"&amp;CHAR(31)&amp;$A8&amp;CHAR(31)&amp;B$3)*1,0),0))),"",INDEX('Casillas del horario'!$D$4:$D$73,MATCH(1,INDEX(EXACT('Casillas del horario'!$R$4:$R$73,"10-4"&amp;CHAR(31)&amp;$A8&amp;CHAR(31)&amp;B$3)*1,0),0))))</f>
        <v/>
      </c>
      <c r="C8" s="3">
        <f>IF(ISNA(MATCH(1,INDEX(EXACT('Casillas del horario'!$R$4:$R$73,"10-4"&amp;CHAR(31)&amp;$A8&amp;CHAR(31)&amp;C$3)*1,0),0)),"",IF(ISBLANK(INDEX('Casillas del horario'!$D$4:$D$73,MATCH(1,INDEX(EXACT('Casillas del horario'!$R$4:$R$73,"10-4"&amp;CHAR(31)&amp;$A8&amp;CHAR(31)&amp;C$3)*1,0),0))),"",INDEX('Casillas del horario'!$D$4:$D$73,MATCH(1,INDEX(EXACT('Casillas del horario'!$R$4:$R$73,"10-4"&amp;CHAR(31)&amp;$A8&amp;CHAR(31)&amp;C$3)*1,0),0))))</f>
        <v/>
      </c>
      <c r="D8" s="3">
        <f>IF(ISNA(MATCH(1,INDEX(EXACT('Casillas del horario'!$R$4:$R$73,"10-4"&amp;CHAR(31)&amp;$A8&amp;CHAR(31)&amp;D$3)*1,0),0)),"",IF(ISBLANK(INDEX('Casillas del horario'!$D$4:$D$73,MATCH(1,INDEX(EXACT('Casillas del horario'!$R$4:$R$73,"10-4"&amp;CHAR(31)&amp;$A8&amp;CHAR(31)&amp;D$3)*1,0),0))),"",INDEX('Casillas del horario'!$D$4:$D$73,MATCH(1,INDEX(EXACT('Casillas del horario'!$R$4:$R$73,"10-4"&amp;CHAR(31)&amp;$A8&amp;CHAR(31)&amp;D$3)*1,0),0))))</f>
        <v/>
      </c>
      <c r="E8" s="3">
        <f>IF(ISNA(MATCH(1,INDEX(EXACT('Casillas del horario'!$R$4:$R$73,"10-4"&amp;CHAR(31)&amp;$A8&amp;CHAR(31)&amp;E$3)*1,0),0)),"",IF(ISBLANK(INDEX('Casillas del horario'!$D$4:$D$73,MATCH(1,INDEX(EXACT('Casillas del horario'!$R$4:$R$73,"10-4"&amp;CHAR(31)&amp;$A8&amp;CHAR(31)&amp;E$3)*1,0),0))),"",INDEX('Casillas del horario'!$D$4:$D$73,MATCH(1,INDEX(EXACT('Casillas del horario'!$R$4:$R$73,"10-4"&amp;CHAR(31)&amp;$A8&amp;CHAR(31)&amp;E$3)*1,0),0))))</f>
        <v/>
      </c>
      <c r="F8" s="3">
        <f>IF(ISNA(MATCH(1,INDEX(EXACT('Casillas del horario'!$R$4:$R$73,"10-4"&amp;CHAR(31)&amp;$A8&amp;CHAR(31)&amp;F$3)*1,0),0)),"",IF(ISBLANK(INDEX('Casillas del horario'!$D$4:$D$73,MATCH(1,INDEX(EXACT('Casillas del horario'!$R$4:$R$73,"10-4"&amp;CHAR(31)&amp;$A8&amp;CHAR(31)&amp;F$3)*1,0),0))),"",INDEX('Casillas del horario'!$D$4:$D$73,MATCH(1,INDEX(EXACT('Casillas del horario'!$R$4:$R$73,"10-4"&amp;CHAR(31)&amp;$A8&amp;CHAR(31)&amp;F$3)*1,0),0))))</f>
        <v/>
      </c>
    </row>
    <row r="9">
      <c r="A9" s="3" t="n">
        <v>6</v>
      </c>
      <c r="B9" s="3">
        <f>IF(ISNA(MATCH(1,INDEX(EXACT('Casillas del horario'!$R$4:$R$73,"10-4"&amp;CHAR(31)&amp;$A9&amp;CHAR(31)&amp;B$3)*1,0),0)),"",IF(ISBLANK(INDEX('Casillas del horario'!$D$4:$D$73,MATCH(1,INDEX(EXACT('Casillas del horario'!$R$4:$R$73,"10-4"&amp;CHAR(31)&amp;$A9&amp;CHAR(31)&amp;B$3)*1,0),0))),"",INDEX('Casillas del horario'!$D$4:$D$73,MATCH(1,INDEX(EXACT('Casillas del horario'!$R$4:$R$73,"10-4"&amp;CHAR(31)&amp;$A9&amp;CHAR(31)&amp;B$3)*1,0),0))))</f>
        <v/>
      </c>
      <c r="C9" s="3">
        <f>IF(ISNA(MATCH(1,INDEX(EXACT('Casillas del horario'!$R$4:$R$73,"10-4"&amp;CHAR(31)&amp;$A9&amp;CHAR(31)&amp;C$3)*1,0),0)),"",IF(ISBLANK(INDEX('Casillas del horario'!$D$4:$D$73,MATCH(1,INDEX(EXACT('Casillas del horario'!$R$4:$R$73,"10-4"&amp;CHAR(31)&amp;$A9&amp;CHAR(31)&amp;C$3)*1,0),0))),"",INDEX('Casillas del horario'!$D$4:$D$73,MATCH(1,INDEX(EXACT('Casillas del horario'!$R$4:$R$73,"10-4"&amp;CHAR(31)&amp;$A9&amp;CHAR(31)&amp;C$3)*1,0),0))))</f>
        <v/>
      </c>
      <c r="D9" s="3">
        <f>IF(ISNA(MATCH(1,INDEX(EXACT('Casillas del horario'!$R$4:$R$73,"10-4"&amp;CHAR(31)&amp;$A9&amp;CHAR(31)&amp;D$3)*1,0),0)),"",IF(ISBLANK(INDEX('Casillas del horario'!$D$4:$D$73,MATCH(1,INDEX(EXACT('Casillas del horario'!$R$4:$R$73,"10-4"&amp;CHAR(31)&amp;$A9&amp;CHAR(31)&amp;D$3)*1,0),0))),"",INDEX('Casillas del horario'!$D$4:$D$73,MATCH(1,INDEX(EXACT('Casillas del horario'!$R$4:$R$73,"10-4"&amp;CHAR(31)&amp;$A9&amp;CHAR(31)&amp;D$3)*1,0),0))))</f>
        <v/>
      </c>
      <c r="E9" s="3">
        <f>IF(ISNA(MATCH(1,INDEX(EXACT('Casillas del horario'!$R$4:$R$73,"10-4"&amp;CHAR(31)&amp;$A9&amp;CHAR(31)&amp;E$3)*1,0),0)),"",IF(ISBLANK(INDEX('Casillas del horario'!$D$4:$D$73,MATCH(1,INDEX(EXACT('Casillas del horario'!$R$4:$R$73,"10-4"&amp;CHAR(31)&amp;$A9&amp;CHAR(31)&amp;E$3)*1,0),0))),"",INDEX('Casillas del horario'!$D$4:$D$73,MATCH(1,INDEX(EXACT('Casillas del horario'!$R$4:$R$73,"10-4"&amp;CHAR(31)&amp;$A9&amp;CHAR(31)&amp;E$3)*1,0),0))))</f>
        <v/>
      </c>
      <c r="F9" s="3">
        <f>IF(ISNA(MATCH(1,INDEX(EXACT('Casillas del horario'!$R$4:$R$73,"10-4"&amp;CHAR(31)&amp;$A9&amp;CHAR(31)&amp;F$3)*1,0),0)),"",IF(ISBLANK(INDEX('Casillas del horario'!$D$4:$D$73,MATCH(1,INDEX(EXACT('Casillas del horario'!$R$4:$R$73,"10-4"&amp;CHAR(31)&amp;$A9&amp;CHAR(31)&amp;F$3)*1,0),0))),"",INDEX('Casillas del horario'!$D$4:$D$73,MATCH(1,INDEX(EXACT('Casillas del horario'!$R$4:$R$73,"10-4"&amp;CHAR(31)&amp;$A9&amp;CHAR(31)&amp;F$3)*1,0),0))))</f>
        <v/>
      </c>
    </row>
    <row r="10">
      <c r="A10" s="3" t="n">
        <v>7</v>
      </c>
      <c r="B10" s="3">
        <f>IF(ISNA(MATCH(1,INDEX(EXACT('Casillas del horario'!$R$4:$R$73,"10-4"&amp;CHAR(31)&amp;$A10&amp;CHAR(31)&amp;B$3)*1,0),0)),"",IF(ISBLANK(INDEX('Casillas del horario'!$D$4:$D$73,MATCH(1,INDEX(EXACT('Casillas del horario'!$R$4:$R$73,"10-4"&amp;CHAR(31)&amp;$A10&amp;CHAR(31)&amp;B$3)*1,0),0))),"",INDEX('Casillas del horario'!$D$4:$D$73,MATCH(1,INDEX(EXACT('Casillas del horario'!$R$4:$R$73,"10-4"&amp;CHAR(31)&amp;$A10&amp;CHAR(31)&amp;B$3)*1,0),0))))</f>
        <v/>
      </c>
      <c r="C10" s="3">
        <f>IF(ISNA(MATCH(1,INDEX(EXACT('Casillas del horario'!$R$4:$R$73,"10-4"&amp;CHAR(31)&amp;$A10&amp;CHAR(31)&amp;C$3)*1,0),0)),"",IF(ISBLANK(INDEX('Casillas del horario'!$D$4:$D$73,MATCH(1,INDEX(EXACT('Casillas del horario'!$R$4:$R$73,"10-4"&amp;CHAR(31)&amp;$A10&amp;CHAR(31)&amp;C$3)*1,0),0))),"",INDEX('Casillas del horario'!$D$4:$D$73,MATCH(1,INDEX(EXACT('Casillas del horario'!$R$4:$R$73,"10-4"&amp;CHAR(31)&amp;$A10&amp;CHAR(31)&amp;C$3)*1,0),0))))</f>
        <v/>
      </c>
      <c r="D10" s="3">
        <f>IF(ISNA(MATCH(1,INDEX(EXACT('Casillas del horario'!$R$4:$R$73,"10-4"&amp;CHAR(31)&amp;$A10&amp;CHAR(31)&amp;D$3)*1,0),0)),"",IF(ISBLANK(INDEX('Casillas del horario'!$D$4:$D$73,MATCH(1,INDEX(EXACT('Casillas del horario'!$R$4:$R$73,"10-4"&amp;CHAR(31)&amp;$A10&amp;CHAR(31)&amp;D$3)*1,0),0))),"",INDEX('Casillas del horario'!$D$4:$D$73,MATCH(1,INDEX(EXACT('Casillas del horario'!$R$4:$R$73,"10-4"&amp;CHAR(31)&amp;$A10&amp;CHAR(31)&amp;D$3)*1,0),0))))</f>
        <v/>
      </c>
      <c r="E10" s="3">
        <f>IF(ISNA(MATCH(1,INDEX(EXACT('Casillas del horario'!$R$4:$R$73,"10-4"&amp;CHAR(31)&amp;$A10&amp;CHAR(31)&amp;E$3)*1,0),0)),"",IF(ISBLANK(INDEX('Casillas del horario'!$D$4:$D$73,MATCH(1,INDEX(EXACT('Casillas del horario'!$R$4:$R$73,"10-4"&amp;CHAR(31)&amp;$A10&amp;CHAR(31)&amp;E$3)*1,0),0))),"",INDEX('Casillas del horario'!$D$4:$D$73,MATCH(1,INDEX(EXACT('Casillas del horario'!$R$4:$R$73,"10-4"&amp;CHAR(31)&amp;$A10&amp;CHAR(31)&amp;E$3)*1,0),0))))</f>
        <v/>
      </c>
      <c r="F10" s="3">
        <f>IF(ISNA(MATCH(1,INDEX(EXACT('Casillas del horario'!$R$4:$R$73,"10-4"&amp;CHAR(31)&amp;$A10&amp;CHAR(31)&amp;F$3)*1,0),0)),"",IF(ISBLANK(INDEX('Casillas del horario'!$D$4:$D$73,MATCH(1,INDEX(EXACT('Casillas del horario'!$R$4:$R$73,"10-4"&amp;CHAR(31)&amp;$A10&amp;CHAR(31)&amp;F$3)*1,0),0))),"",INDEX('Casillas del horario'!$D$4:$D$73,MATCH(1,INDEX(EXACT('Casillas del horario'!$R$4:$R$73,"10-4"&amp;CHAR(31)&amp;$A10&amp;CHAR(31)&amp;F$3)*1,0),0))))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horario'!$R$4:$R$73,"10-4"&amp;CHAR(31)&amp;$A4&amp;CHAR(31)&amp;B$3)*1,0),0)),0)=3</formula>
    </cfRule>
    <cfRule type="expression" priority="2" dxfId="1" stopIfTrue="0">
      <formula>IFERROR(INDEX('Casillas del horario'!$Q$4:$Q$73,MATCH(1,INDEX(EXACT('Casillas del horario'!$R$4:$R$73,"10-4"&amp;CHAR(31)&amp;$A4&amp;CHAR(31)&amp;B$3)*1,0),0)),0)=2</formula>
    </cfRule>
    <cfRule type="expression" priority="3" dxfId="2" stopIfTrue="0">
      <formula>IFERROR(INDEX('Casillas del horario'!$Q$4:$Q$73,MATCH(1,INDEX(EXACT('Casillas del horario'!$R$4:$R$73,"10-4"&amp;CHAR(31)&amp;$A4&amp;CHAR(31)&amp;B$3)*1,0),0)),0)=1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M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10-3"&amp;CHAR(31)&amp;$A4&amp;CHAR(31)&amp;B$3))&gt;1,IF(ISNA(MATCH(1,INDEX(EXACT('Casillas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10-3"&amp;CHAR(31)&amp;$A4&amp;CHAR(31)&amp;B$3)*1,0),0))))&amp;" (+"&amp;(SUMPRODUCT(1*EXACT('Casillas del horario'!$S$4:$S$73,"Profesor de M en 10-3"&amp;CHAR(31)&amp;$A4&amp;CHAR(31)&amp;B$3))-1)&amp;")",IF(ISNA(MATCH(1,INDEX(EXACT('Casillas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10-3"&amp;CHAR(31)&amp;$A4&amp;CHAR(31)&amp;B$3)*1,0),0)))))</f>
        <v/>
      </c>
      <c r="C4" s="3">
        <f>IF(SUMPRODUCT(1*EXACT('Casillas del horario'!$S$4:$S$73,"Profesor de M en 10-3"&amp;CHAR(31)&amp;$A4&amp;CHAR(31)&amp;C$3))&gt;1,IF(ISNA(MATCH(1,INDEX(EXACT('Casillas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10-3"&amp;CHAR(31)&amp;$A4&amp;CHAR(31)&amp;C$3)*1,0),0))))&amp;" (+"&amp;(SUMPRODUCT(1*EXACT('Casillas del horario'!$S$4:$S$73,"Profesor de M en 10-3"&amp;CHAR(31)&amp;$A4&amp;CHAR(31)&amp;C$3))-1)&amp;")",IF(ISNA(MATCH(1,INDEX(EXACT('Casillas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10-3"&amp;CHAR(31)&amp;$A4&amp;CHAR(31)&amp;C$3)*1,0),0)))))</f>
        <v/>
      </c>
      <c r="D4" s="3">
        <f>IF(SUMPRODUCT(1*EXACT('Casillas del horario'!$S$4:$S$73,"Profesor de M en 10-3"&amp;CHAR(31)&amp;$A4&amp;CHAR(31)&amp;D$3))&gt;1,IF(ISNA(MATCH(1,INDEX(EXACT('Casillas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10-3"&amp;CHAR(31)&amp;$A4&amp;CHAR(31)&amp;D$3)*1,0),0))))&amp;" (+"&amp;(SUMPRODUCT(1*EXACT('Casillas del horario'!$S$4:$S$73,"Profesor de M en 10-3"&amp;CHAR(31)&amp;$A4&amp;CHAR(31)&amp;D$3))-1)&amp;")",IF(ISNA(MATCH(1,INDEX(EXACT('Casillas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10-3"&amp;CHAR(31)&amp;$A4&amp;CHAR(31)&amp;D$3)*1,0),0)))))</f>
        <v/>
      </c>
      <c r="E4" s="3">
        <f>IF(SUMPRODUCT(1*EXACT('Casillas del horario'!$S$4:$S$73,"Profesor de M en 10-3"&amp;CHAR(31)&amp;$A4&amp;CHAR(31)&amp;E$3))&gt;1,IF(ISNA(MATCH(1,INDEX(EXACT('Casillas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10-3"&amp;CHAR(31)&amp;$A4&amp;CHAR(31)&amp;E$3)*1,0),0))))&amp;" (+"&amp;(SUMPRODUCT(1*EXACT('Casillas del horario'!$S$4:$S$73,"Profesor de M en 10-3"&amp;CHAR(31)&amp;$A4&amp;CHAR(31)&amp;E$3))-1)&amp;")",IF(ISNA(MATCH(1,INDEX(EXACT('Casillas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10-3"&amp;CHAR(31)&amp;$A4&amp;CHAR(31)&amp;E$3)*1,0),0)))))</f>
        <v/>
      </c>
      <c r="F4" s="3">
        <f>IF(SUMPRODUCT(1*EXACT('Casillas del horario'!$S$4:$S$73,"Profesor de M en 10-3"&amp;CHAR(31)&amp;$A4&amp;CHAR(31)&amp;F$3))&gt;1,IF(ISNA(MATCH(1,INDEX(EXACT('Casillas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10-3"&amp;CHAR(31)&amp;$A4&amp;CHAR(31)&amp;F$3)*1,0),0))))&amp;" (+"&amp;(SUMPRODUCT(1*EXACT('Casillas del horario'!$S$4:$S$73,"Profesor de M en 10-3"&amp;CHAR(31)&amp;$A4&amp;CHAR(31)&amp;F$3))-1)&amp;")",IF(ISNA(MATCH(1,INDEX(EXACT('Casillas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10-3"&amp;CHAR(31)&amp;$A5&amp;CHAR(31)&amp;B$3))&gt;1,IF(ISNA(MATCH(1,INDEX(EXACT('Casillas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10-3"&amp;CHAR(31)&amp;$A5&amp;CHAR(31)&amp;B$3)*1,0),0))))&amp;" (+"&amp;(SUMPRODUCT(1*EXACT('Casillas del horario'!$S$4:$S$73,"Profesor de M en 10-3"&amp;CHAR(31)&amp;$A5&amp;CHAR(31)&amp;B$3))-1)&amp;")",IF(ISNA(MATCH(1,INDEX(EXACT('Casillas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10-3"&amp;CHAR(31)&amp;$A5&amp;CHAR(31)&amp;B$3)*1,0),0)))))</f>
        <v/>
      </c>
      <c r="C5" s="3">
        <f>IF(SUMPRODUCT(1*EXACT('Casillas del horario'!$S$4:$S$73,"Profesor de M en 10-3"&amp;CHAR(31)&amp;$A5&amp;CHAR(31)&amp;C$3))&gt;1,IF(ISNA(MATCH(1,INDEX(EXACT('Casillas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10-3"&amp;CHAR(31)&amp;$A5&amp;CHAR(31)&amp;C$3)*1,0),0))))&amp;" (+"&amp;(SUMPRODUCT(1*EXACT('Casillas del horario'!$S$4:$S$73,"Profesor de M en 10-3"&amp;CHAR(31)&amp;$A5&amp;CHAR(31)&amp;C$3))-1)&amp;")",IF(ISNA(MATCH(1,INDEX(EXACT('Casillas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10-3"&amp;CHAR(31)&amp;$A5&amp;CHAR(31)&amp;C$3)*1,0),0)))))</f>
        <v/>
      </c>
      <c r="D5" s="3">
        <f>IF(SUMPRODUCT(1*EXACT('Casillas del horario'!$S$4:$S$73,"Profesor de M en 10-3"&amp;CHAR(31)&amp;$A5&amp;CHAR(31)&amp;D$3))&gt;1,IF(ISNA(MATCH(1,INDEX(EXACT('Casillas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10-3"&amp;CHAR(31)&amp;$A5&amp;CHAR(31)&amp;D$3)*1,0),0))))&amp;" (+"&amp;(SUMPRODUCT(1*EXACT('Casillas del horario'!$S$4:$S$73,"Profesor de M en 10-3"&amp;CHAR(31)&amp;$A5&amp;CHAR(31)&amp;D$3))-1)&amp;")",IF(ISNA(MATCH(1,INDEX(EXACT('Casillas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10-3"&amp;CHAR(31)&amp;$A5&amp;CHAR(31)&amp;D$3)*1,0),0)))))</f>
        <v/>
      </c>
      <c r="E5" s="3">
        <f>IF(SUMPRODUCT(1*EXACT('Casillas del horario'!$S$4:$S$73,"Profesor de M en 10-3"&amp;CHAR(31)&amp;$A5&amp;CHAR(31)&amp;E$3))&gt;1,IF(ISNA(MATCH(1,INDEX(EXACT('Casillas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10-3"&amp;CHAR(31)&amp;$A5&amp;CHAR(31)&amp;E$3)*1,0),0))))&amp;" (+"&amp;(SUMPRODUCT(1*EXACT('Casillas del horario'!$S$4:$S$73,"Profesor de M en 10-3"&amp;CHAR(31)&amp;$A5&amp;CHAR(31)&amp;E$3))-1)&amp;")",IF(ISNA(MATCH(1,INDEX(EXACT('Casillas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10-3"&amp;CHAR(31)&amp;$A5&amp;CHAR(31)&amp;E$3)*1,0),0)))))</f>
        <v/>
      </c>
      <c r="F5" s="3">
        <f>IF(SUMPRODUCT(1*EXACT('Casillas del horario'!$S$4:$S$73,"Profesor de M en 10-3"&amp;CHAR(31)&amp;$A5&amp;CHAR(31)&amp;F$3))&gt;1,IF(ISNA(MATCH(1,INDEX(EXACT('Casillas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10-3"&amp;CHAR(31)&amp;$A5&amp;CHAR(31)&amp;F$3)*1,0),0))))&amp;" (+"&amp;(SUMPRODUCT(1*EXACT('Casillas del horario'!$S$4:$S$73,"Profesor de M en 10-3"&amp;CHAR(31)&amp;$A5&amp;CHAR(31)&amp;F$3))-1)&amp;")",IF(ISNA(MATCH(1,INDEX(EXACT('Casillas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10-3"&amp;CHAR(31)&amp;$A6&amp;CHAR(31)&amp;B$3))&gt;1,IF(ISNA(MATCH(1,INDEX(EXACT('Casillas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10-3"&amp;CHAR(31)&amp;$A6&amp;CHAR(31)&amp;B$3)*1,0),0))))&amp;" (+"&amp;(SUMPRODUCT(1*EXACT('Casillas del horario'!$S$4:$S$73,"Profesor de M en 10-3"&amp;CHAR(31)&amp;$A6&amp;CHAR(31)&amp;B$3))-1)&amp;")",IF(ISNA(MATCH(1,INDEX(EXACT('Casillas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10-3"&amp;CHAR(31)&amp;$A6&amp;CHAR(31)&amp;B$3)*1,0),0)))))</f>
        <v/>
      </c>
      <c r="C6" s="3">
        <f>IF(SUMPRODUCT(1*EXACT('Casillas del horario'!$S$4:$S$73,"Profesor de M en 10-3"&amp;CHAR(31)&amp;$A6&amp;CHAR(31)&amp;C$3))&gt;1,IF(ISNA(MATCH(1,INDEX(EXACT('Casillas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10-3"&amp;CHAR(31)&amp;$A6&amp;CHAR(31)&amp;C$3)*1,0),0))))&amp;" (+"&amp;(SUMPRODUCT(1*EXACT('Casillas del horario'!$S$4:$S$73,"Profesor de M en 10-3"&amp;CHAR(31)&amp;$A6&amp;CHAR(31)&amp;C$3))-1)&amp;")",IF(ISNA(MATCH(1,INDEX(EXACT('Casillas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10-3"&amp;CHAR(31)&amp;$A6&amp;CHAR(31)&amp;C$3)*1,0),0)))))</f>
        <v/>
      </c>
      <c r="D6" s="3">
        <f>IF(SUMPRODUCT(1*EXACT('Casillas del horario'!$S$4:$S$73,"Profesor de M en 10-3"&amp;CHAR(31)&amp;$A6&amp;CHAR(31)&amp;D$3))&gt;1,IF(ISNA(MATCH(1,INDEX(EXACT('Casillas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10-3"&amp;CHAR(31)&amp;$A6&amp;CHAR(31)&amp;D$3)*1,0),0))))&amp;" (+"&amp;(SUMPRODUCT(1*EXACT('Casillas del horario'!$S$4:$S$73,"Profesor de M en 10-3"&amp;CHAR(31)&amp;$A6&amp;CHAR(31)&amp;D$3))-1)&amp;")",IF(ISNA(MATCH(1,INDEX(EXACT('Casillas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10-3"&amp;CHAR(31)&amp;$A6&amp;CHAR(31)&amp;D$3)*1,0),0)))))</f>
        <v/>
      </c>
      <c r="E6" s="3">
        <f>IF(SUMPRODUCT(1*EXACT('Casillas del horario'!$S$4:$S$73,"Profesor de M en 10-3"&amp;CHAR(31)&amp;$A6&amp;CHAR(31)&amp;E$3))&gt;1,IF(ISNA(MATCH(1,INDEX(EXACT('Casillas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10-3"&amp;CHAR(31)&amp;$A6&amp;CHAR(31)&amp;E$3)*1,0),0))))&amp;" (+"&amp;(SUMPRODUCT(1*EXACT('Casillas del horario'!$S$4:$S$73,"Profesor de M en 10-3"&amp;CHAR(31)&amp;$A6&amp;CHAR(31)&amp;E$3))-1)&amp;")",IF(ISNA(MATCH(1,INDEX(EXACT('Casillas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10-3"&amp;CHAR(31)&amp;$A6&amp;CHAR(31)&amp;E$3)*1,0),0)))))</f>
        <v/>
      </c>
      <c r="F6" s="3">
        <f>IF(SUMPRODUCT(1*EXACT('Casillas del horario'!$S$4:$S$73,"Profesor de M en 10-3"&amp;CHAR(31)&amp;$A6&amp;CHAR(31)&amp;F$3))&gt;1,IF(ISNA(MATCH(1,INDEX(EXACT('Casillas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10-3"&amp;CHAR(31)&amp;$A6&amp;CHAR(31)&amp;F$3)*1,0),0))))&amp;" (+"&amp;(SUMPRODUCT(1*EXACT('Casillas del horario'!$S$4:$S$73,"Profesor de M en 10-3"&amp;CHAR(31)&amp;$A6&amp;CHAR(31)&amp;F$3))-1)&amp;")",IF(ISNA(MATCH(1,INDEX(EXACT('Casillas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10-3"&amp;CHAR(31)&amp;$A7&amp;CHAR(31)&amp;B$3))&gt;1,IF(ISNA(MATCH(1,INDEX(EXACT('Casillas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10-3"&amp;CHAR(31)&amp;$A7&amp;CHAR(31)&amp;B$3)*1,0),0))))&amp;" (+"&amp;(SUMPRODUCT(1*EXACT('Casillas del horario'!$S$4:$S$73,"Profesor de M en 10-3"&amp;CHAR(31)&amp;$A7&amp;CHAR(31)&amp;B$3))-1)&amp;")",IF(ISNA(MATCH(1,INDEX(EXACT('Casillas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10-3"&amp;CHAR(31)&amp;$A7&amp;CHAR(31)&amp;B$3)*1,0),0)))))</f>
        <v/>
      </c>
      <c r="C7" s="3">
        <f>IF(SUMPRODUCT(1*EXACT('Casillas del horario'!$S$4:$S$73,"Profesor de M en 10-3"&amp;CHAR(31)&amp;$A7&amp;CHAR(31)&amp;C$3))&gt;1,IF(ISNA(MATCH(1,INDEX(EXACT('Casillas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10-3"&amp;CHAR(31)&amp;$A7&amp;CHAR(31)&amp;C$3)*1,0),0))))&amp;" (+"&amp;(SUMPRODUCT(1*EXACT('Casillas del horario'!$S$4:$S$73,"Profesor de M en 10-3"&amp;CHAR(31)&amp;$A7&amp;CHAR(31)&amp;C$3))-1)&amp;")",IF(ISNA(MATCH(1,INDEX(EXACT('Casillas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10-3"&amp;CHAR(31)&amp;$A7&amp;CHAR(31)&amp;C$3)*1,0),0)))))</f>
        <v/>
      </c>
      <c r="D7" s="3">
        <f>IF(SUMPRODUCT(1*EXACT('Casillas del horario'!$S$4:$S$73,"Profesor de M en 10-3"&amp;CHAR(31)&amp;$A7&amp;CHAR(31)&amp;D$3))&gt;1,IF(ISNA(MATCH(1,INDEX(EXACT('Casillas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10-3"&amp;CHAR(31)&amp;$A7&amp;CHAR(31)&amp;D$3)*1,0),0))))&amp;" (+"&amp;(SUMPRODUCT(1*EXACT('Casillas del horario'!$S$4:$S$73,"Profesor de M en 10-3"&amp;CHAR(31)&amp;$A7&amp;CHAR(31)&amp;D$3))-1)&amp;")",IF(ISNA(MATCH(1,INDEX(EXACT('Casillas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10-3"&amp;CHAR(31)&amp;$A7&amp;CHAR(31)&amp;D$3)*1,0),0)))))</f>
        <v/>
      </c>
      <c r="E7" s="3">
        <f>IF(SUMPRODUCT(1*EXACT('Casillas del horario'!$S$4:$S$73,"Profesor de M en 10-3"&amp;CHAR(31)&amp;$A7&amp;CHAR(31)&amp;E$3))&gt;1,IF(ISNA(MATCH(1,INDEX(EXACT('Casillas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10-3"&amp;CHAR(31)&amp;$A7&amp;CHAR(31)&amp;E$3)*1,0),0))))&amp;" (+"&amp;(SUMPRODUCT(1*EXACT('Casillas del horario'!$S$4:$S$73,"Profesor de M en 10-3"&amp;CHAR(31)&amp;$A7&amp;CHAR(31)&amp;E$3))-1)&amp;")",IF(ISNA(MATCH(1,INDEX(EXACT('Casillas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10-3"&amp;CHAR(31)&amp;$A7&amp;CHAR(31)&amp;E$3)*1,0),0)))))</f>
        <v/>
      </c>
      <c r="F7" s="3">
        <f>IF(SUMPRODUCT(1*EXACT('Casillas del horario'!$S$4:$S$73,"Profesor de M en 10-3"&amp;CHAR(31)&amp;$A7&amp;CHAR(31)&amp;F$3))&gt;1,IF(ISNA(MATCH(1,INDEX(EXACT('Casillas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10-3"&amp;CHAR(31)&amp;$A7&amp;CHAR(31)&amp;F$3)*1,0),0))))&amp;" (+"&amp;(SUMPRODUCT(1*EXACT('Casillas del horario'!$S$4:$S$73,"Profesor de M en 10-3"&amp;CHAR(31)&amp;$A7&amp;CHAR(31)&amp;F$3))-1)&amp;")",IF(ISNA(MATCH(1,INDEX(EXACT('Casillas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10-3"&amp;CHAR(31)&amp;$A8&amp;CHAR(31)&amp;B$3))&gt;1,IF(ISNA(MATCH(1,INDEX(EXACT('Casillas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10-3"&amp;CHAR(31)&amp;$A8&amp;CHAR(31)&amp;B$3)*1,0),0))))&amp;" (+"&amp;(SUMPRODUCT(1*EXACT('Casillas del horario'!$S$4:$S$73,"Profesor de M en 10-3"&amp;CHAR(31)&amp;$A8&amp;CHAR(31)&amp;B$3))-1)&amp;")",IF(ISNA(MATCH(1,INDEX(EXACT('Casillas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10-3"&amp;CHAR(31)&amp;$A8&amp;CHAR(31)&amp;B$3)*1,0),0)))))</f>
        <v/>
      </c>
      <c r="C8" s="3">
        <f>IF(SUMPRODUCT(1*EXACT('Casillas del horario'!$S$4:$S$73,"Profesor de M en 10-3"&amp;CHAR(31)&amp;$A8&amp;CHAR(31)&amp;C$3))&gt;1,IF(ISNA(MATCH(1,INDEX(EXACT('Casillas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10-3"&amp;CHAR(31)&amp;$A8&amp;CHAR(31)&amp;C$3)*1,0),0))))&amp;" (+"&amp;(SUMPRODUCT(1*EXACT('Casillas del horario'!$S$4:$S$73,"Profesor de M en 10-3"&amp;CHAR(31)&amp;$A8&amp;CHAR(31)&amp;C$3))-1)&amp;")",IF(ISNA(MATCH(1,INDEX(EXACT('Casillas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10-3"&amp;CHAR(31)&amp;$A8&amp;CHAR(31)&amp;C$3)*1,0),0)))))</f>
        <v/>
      </c>
      <c r="D8" s="3">
        <f>IF(SUMPRODUCT(1*EXACT('Casillas del horario'!$S$4:$S$73,"Profesor de M en 10-3"&amp;CHAR(31)&amp;$A8&amp;CHAR(31)&amp;D$3))&gt;1,IF(ISNA(MATCH(1,INDEX(EXACT('Casillas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10-3"&amp;CHAR(31)&amp;$A8&amp;CHAR(31)&amp;D$3)*1,0),0))))&amp;" (+"&amp;(SUMPRODUCT(1*EXACT('Casillas del horario'!$S$4:$S$73,"Profesor de M en 10-3"&amp;CHAR(31)&amp;$A8&amp;CHAR(31)&amp;D$3))-1)&amp;")",IF(ISNA(MATCH(1,INDEX(EXACT('Casillas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10-3"&amp;CHAR(31)&amp;$A8&amp;CHAR(31)&amp;D$3)*1,0),0)))))</f>
        <v/>
      </c>
      <c r="E8" s="3">
        <f>IF(SUMPRODUCT(1*EXACT('Casillas del horario'!$S$4:$S$73,"Profesor de M en 10-3"&amp;CHAR(31)&amp;$A8&amp;CHAR(31)&amp;E$3))&gt;1,IF(ISNA(MATCH(1,INDEX(EXACT('Casillas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10-3"&amp;CHAR(31)&amp;$A8&amp;CHAR(31)&amp;E$3)*1,0),0))))&amp;" (+"&amp;(SUMPRODUCT(1*EXACT('Casillas del horario'!$S$4:$S$73,"Profesor de M en 10-3"&amp;CHAR(31)&amp;$A8&amp;CHAR(31)&amp;E$3))-1)&amp;")",IF(ISNA(MATCH(1,INDEX(EXACT('Casillas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10-3"&amp;CHAR(31)&amp;$A8&amp;CHAR(31)&amp;E$3)*1,0),0)))))</f>
        <v/>
      </c>
      <c r="F8" s="3">
        <f>IF(SUMPRODUCT(1*EXACT('Casillas del horario'!$S$4:$S$73,"Profesor de M en 10-3"&amp;CHAR(31)&amp;$A8&amp;CHAR(31)&amp;F$3))&gt;1,IF(ISNA(MATCH(1,INDEX(EXACT('Casillas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10-3"&amp;CHAR(31)&amp;$A8&amp;CHAR(31)&amp;F$3)*1,0),0))))&amp;" (+"&amp;(SUMPRODUCT(1*EXACT('Casillas del horario'!$S$4:$S$73,"Profesor de M en 10-3"&amp;CHAR(31)&amp;$A8&amp;CHAR(31)&amp;F$3))-1)&amp;")",IF(ISNA(MATCH(1,INDEX(EXACT('Casillas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10-3"&amp;CHAR(31)&amp;$A9&amp;CHAR(31)&amp;B$3))&gt;1,IF(ISNA(MATCH(1,INDEX(EXACT('Casillas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10-3"&amp;CHAR(31)&amp;$A9&amp;CHAR(31)&amp;B$3)*1,0),0))))&amp;" (+"&amp;(SUMPRODUCT(1*EXACT('Casillas del horario'!$S$4:$S$73,"Profesor de M en 10-3"&amp;CHAR(31)&amp;$A9&amp;CHAR(31)&amp;B$3))-1)&amp;")",IF(ISNA(MATCH(1,INDEX(EXACT('Casillas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10-3"&amp;CHAR(31)&amp;$A9&amp;CHAR(31)&amp;B$3)*1,0),0)))))</f>
        <v/>
      </c>
      <c r="C9" s="3">
        <f>IF(SUMPRODUCT(1*EXACT('Casillas del horario'!$S$4:$S$73,"Profesor de M en 10-3"&amp;CHAR(31)&amp;$A9&amp;CHAR(31)&amp;C$3))&gt;1,IF(ISNA(MATCH(1,INDEX(EXACT('Casillas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10-3"&amp;CHAR(31)&amp;$A9&amp;CHAR(31)&amp;C$3)*1,0),0))))&amp;" (+"&amp;(SUMPRODUCT(1*EXACT('Casillas del horario'!$S$4:$S$73,"Profesor de M en 10-3"&amp;CHAR(31)&amp;$A9&amp;CHAR(31)&amp;C$3))-1)&amp;")",IF(ISNA(MATCH(1,INDEX(EXACT('Casillas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10-3"&amp;CHAR(31)&amp;$A9&amp;CHAR(31)&amp;C$3)*1,0),0)))))</f>
        <v/>
      </c>
      <c r="D9" s="3">
        <f>IF(SUMPRODUCT(1*EXACT('Casillas del horario'!$S$4:$S$73,"Profesor de M en 10-3"&amp;CHAR(31)&amp;$A9&amp;CHAR(31)&amp;D$3))&gt;1,IF(ISNA(MATCH(1,INDEX(EXACT('Casillas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10-3"&amp;CHAR(31)&amp;$A9&amp;CHAR(31)&amp;D$3)*1,0),0))))&amp;" (+"&amp;(SUMPRODUCT(1*EXACT('Casillas del horario'!$S$4:$S$73,"Profesor de M en 10-3"&amp;CHAR(31)&amp;$A9&amp;CHAR(31)&amp;D$3))-1)&amp;")",IF(ISNA(MATCH(1,INDEX(EXACT('Casillas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10-3"&amp;CHAR(31)&amp;$A9&amp;CHAR(31)&amp;D$3)*1,0),0)))))</f>
        <v/>
      </c>
      <c r="E9" s="3">
        <f>IF(SUMPRODUCT(1*EXACT('Casillas del horario'!$S$4:$S$73,"Profesor de M en 10-3"&amp;CHAR(31)&amp;$A9&amp;CHAR(31)&amp;E$3))&gt;1,IF(ISNA(MATCH(1,INDEX(EXACT('Casillas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10-3"&amp;CHAR(31)&amp;$A9&amp;CHAR(31)&amp;E$3)*1,0),0))))&amp;" (+"&amp;(SUMPRODUCT(1*EXACT('Casillas del horario'!$S$4:$S$73,"Profesor de M en 10-3"&amp;CHAR(31)&amp;$A9&amp;CHAR(31)&amp;E$3))-1)&amp;")",IF(ISNA(MATCH(1,INDEX(EXACT('Casillas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10-3"&amp;CHAR(31)&amp;$A9&amp;CHAR(31)&amp;E$3)*1,0),0)))))</f>
        <v/>
      </c>
      <c r="F9" s="3">
        <f>IF(SUMPRODUCT(1*EXACT('Casillas del horario'!$S$4:$S$73,"Profesor de M en 10-3"&amp;CHAR(31)&amp;$A9&amp;CHAR(31)&amp;F$3))&gt;1,IF(ISNA(MATCH(1,INDEX(EXACT('Casillas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10-3"&amp;CHAR(31)&amp;$A9&amp;CHAR(31)&amp;F$3)*1,0),0))))&amp;" (+"&amp;(SUMPRODUCT(1*EXACT('Casillas del horario'!$S$4:$S$73,"Profesor de M en 10-3"&amp;CHAR(31)&amp;$A9&amp;CHAR(31)&amp;F$3))-1)&amp;")",IF(ISNA(MATCH(1,INDEX(EXACT('Casillas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10-3"&amp;CHAR(31)&amp;$A10&amp;CHAR(31)&amp;B$3))&gt;1,IF(ISNA(MATCH(1,INDEX(EXACT('Casillas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10-3"&amp;CHAR(31)&amp;$A10&amp;CHAR(31)&amp;B$3)*1,0),0))))&amp;" (+"&amp;(SUMPRODUCT(1*EXACT('Casillas del horario'!$S$4:$S$73,"Profesor de M en 10-3"&amp;CHAR(31)&amp;$A10&amp;CHAR(31)&amp;B$3))-1)&amp;")",IF(ISNA(MATCH(1,INDEX(EXACT('Casillas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10-3"&amp;CHAR(31)&amp;$A10&amp;CHAR(31)&amp;B$3)*1,0),0)))))</f>
        <v/>
      </c>
      <c r="C10" s="3">
        <f>IF(SUMPRODUCT(1*EXACT('Casillas del horario'!$S$4:$S$73,"Profesor de M en 10-3"&amp;CHAR(31)&amp;$A10&amp;CHAR(31)&amp;C$3))&gt;1,IF(ISNA(MATCH(1,INDEX(EXACT('Casillas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10-3"&amp;CHAR(31)&amp;$A10&amp;CHAR(31)&amp;C$3)*1,0),0))))&amp;" (+"&amp;(SUMPRODUCT(1*EXACT('Casillas del horario'!$S$4:$S$73,"Profesor de M en 10-3"&amp;CHAR(31)&amp;$A10&amp;CHAR(31)&amp;C$3))-1)&amp;")",IF(ISNA(MATCH(1,INDEX(EXACT('Casillas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10-3"&amp;CHAR(31)&amp;$A10&amp;CHAR(31)&amp;C$3)*1,0),0)))))</f>
        <v/>
      </c>
      <c r="D10" s="3">
        <f>IF(SUMPRODUCT(1*EXACT('Casillas del horario'!$S$4:$S$73,"Profesor de M en 10-3"&amp;CHAR(31)&amp;$A10&amp;CHAR(31)&amp;D$3))&gt;1,IF(ISNA(MATCH(1,INDEX(EXACT('Casillas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10-3"&amp;CHAR(31)&amp;$A10&amp;CHAR(31)&amp;D$3)*1,0),0))))&amp;" (+"&amp;(SUMPRODUCT(1*EXACT('Casillas del horario'!$S$4:$S$73,"Profesor de M en 10-3"&amp;CHAR(31)&amp;$A10&amp;CHAR(31)&amp;D$3))-1)&amp;")",IF(ISNA(MATCH(1,INDEX(EXACT('Casillas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10-3"&amp;CHAR(31)&amp;$A10&amp;CHAR(31)&amp;D$3)*1,0),0)))))</f>
        <v/>
      </c>
      <c r="E10" s="3">
        <f>IF(SUMPRODUCT(1*EXACT('Casillas del horario'!$S$4:$S$73,"Profesor de M en 10-3"&amp;CHAR(31)&amp;$A10&amp;CHAR(31)&amp;E$3))&gt;1,IF(ISNA(MATCH(1,INDEX(EXACT('Casillas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10-3"&amp;CHAR(31)&amp;$A10&amp;CHAR(31)&amp;E$3)*1,0),0))))&amp;" (+"&amp;(SUMPRODUCT(1*EXACT('Casillas del horario'!$S$4:$S$73,"Profesor de M en 10-3"&amp;CHAR(31)&amp;$A10&amp;CHAR(31)&amp;E$3))-1)&amp;")",IF(ISNA(MATCH(1,INDEX(EXACT('Casillas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10-3"&amp;CHAR(31)&amp;$A10&amp;CHAR(31)&amp;E$3)*1,0),0)))))</f>
        <v/>
      </c>
      <c r="F10" s="3">
        <f>IF(SUMPRODUCT(1*EXACT('Casillas del horario'!$S$4:$S$73,"Profesor de M en 10-3"&amp;CHAR(31)&amp;$A10&amp;CHAR(31)&amp;F$3))&gt;1,IF(ISNA(MATCH(1,INDEX(EXACT('Casillas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10-3"&amp;CHAR(31)&amp;$A10&amp;CHAR(31)&amp;F$3)*1,0),0))))&amp;" (+"&amp;(SUMPRODUCT(1*EXACT('Casillas del horario'!$S$4:$S$73,"Profesor de M en 10-3"&amp;CHAR(31)&amp;$A10&amp;CHAR(31)&amp;F$3))-1)&amp;")",IF(ISNA(MATCH(1,INDEX(EXACT('Casillas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Lit-L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10-3"&amp;CHAR(31)&amp;$A4&amp;CHAR(31)&amp;B$3))&gt;1,IF(ISNA(MATCH(1,INDEX(EXACT('Casillas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10-3"&amp;CHAR(31)&amp;$A4&amp;CHAR(31)&amp;B$3)*1,0),0))))&amp;" (+"&amp;(SUMPRODUCT(1*EXACT('Casillas del horario'!$S$4:$S$73,"Profesor de Lit-L en 10-3"&amp;CHAR(31)&amp;$A4&amp;CHAR(31)&amp;B$3))-1)&amp;")",IF(ISNA(MATCH(1,INDEX(EXACT('Casillas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10-3"&amp;CHAR(31)&amp;$A4&amp;CHAR(31)&amp;B$3)*1,0),0)))))</f>
        <v/>
      </c>
      <c r="C4" s="3">
        <f>IF(SUMPRODUCT(1*EXACT('Casillas del horario'!$S$4:$S$73,"Profesor de Lit-L en 10-3"&amp;CHAR(31)&amp;$A4&amp;CHAR(31)&amp;C$3))&gt;1,IF(ISNA(MATCH(1,INDEX(EXACT('Casillas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10-3"&amp;CHAR(31)&amp;$A4&amp;CHAR(31)&amp;C$3)*1,0),0))))&amp;" (+"&amp;(SUMPRODUCT(1*EXACT('Casillas del horario'!$S$4:$S$73,"Profesor de Lit-L en 10-3"&amp;CHAR(31)&amp;$A4&amp;CHAR(31)&amp;C$3))-1)&amp;")",IF(ISNA(MATCH(1,INDEX(EXACT('Casillas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10-3"&amp;CHAR(31)&amp;$A4&amp;CHAR(31)&amp;C$3)*1,0),0)))))</f>
        <v/>
      </c>
      <c r="D4" s="3">
        <f>IF(SUMPRODUCT(1*EXACT('Casillas del horario'!$S$4:$S$73,"Profesor de Lit-L en 10-3"&amp;CHAR(31)&amp;$A4&amp;CHAR(31)&amp;D$3))&gt;1,IF(ISNA(MATCH(1,INDEX(EXACT('Casillas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10-3"&amp;CHAR(31)&amp;$A4&amp;CHAR(31)&amp;D$3)*1,0),0))))&amp;" (+"&amp;(SUMPRODUCT(1*EXACT('Casillas del horario'!$S$4:$S$73,"Profesor de Lit-L en 10-3"&amp;CHAR(31)&amp;$A4&amp;CHAR(31)&amp;D$3))-1)&amp;")",IF(ISNA(MATCH(1,INDEX(EXACT('Casillas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10-3"&amp;CHAR(31)&amp;$A4&amp;CHAR(31)&amp;D$3)*1,0),0)))))</f>
        <v/>
      </c>
      <c r="E4" s="3">
        <f>IF(SUMPRODUCT(1*EXACT('Casillas del horario'!$S$4:$S$73,"Profesor de Lit-L en 10-3"&amp;CHAR(31)&amp;$A4&amp;CHAR(31)&amp;E$3))&gt;1,IF(ISNA(MATCH(1,INDEX(EXACT('Casillas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10-3"&amp;CHAR(31)&amp;$A4&amp;CHAR(31)&amp;E$3)*1,0),0))))&amp;" (+"&amp;(SUMPRODUCT(1*EXACT('Casillas del horario'!$S$4:$S$73,"Profesor de Lit-L en 10-3"&amp;CHAR(31)&amp;$A4&amp;CHAR(31)&amp;E$3))-1)&amp;")",IF(ISNA(MATCH(1,INDEX(EXACT('Casillas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10-3"&amp;CHAR(31)&amp;$A4&amp;CHAR(31)&amp;E$3)*1,0),0)))))</f>
        <v/>
      </c>
      <c r="F4" s="3">
        <f>IF(SUMPRODUCT(1*EXACT('Casillas del horario'!$S$4:$S$73,"Profesor de Lit-L en 10-3"&amp;CHAR(31)&amp;$A4&amp;CHAR(31)&amp;F$3))&gt;1,IF(ISNA(MATCH(1,INDEX(EXACT('Casillas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10-3"&amp;CHAR(31)&amp;$A4&amp;CHAR(31)&amp;F$3)*1,0),0))))&amp;" (+"&amp;(SUMPRODUCT(1*EXACT('Casillas del horario'!$S$4:$S$73,"Profesor de Lit-L en 10-3"&amp;CHAR(31)&amp;$A4&amp;CHAR(31)&amp;F$3))-1)&amp;")",IF(ISNA(MATCH(1,INDEX(EXACT('Casillas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10-3"&amp;CHAR(31)&amp;$A5&amp;CHAR(31)&amp;B$3))&gt;1,IF(ISNA(MATCH(1,INDEX(EXACT('Casillas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10-3"&amp;CHAR(31)&amp;$A5&amp;CHAR(31)&amp;B$3)*1,0),0))))&amp;" (+"&amp;(SUMPRODUCT(1*EXACT('Casillas del horario'!$S$4:$S$73,"Profesor de Lit-L en 10-3"&amp;CHAR(31)&amp;$A5&amp;CHAR(31)&amp;B$3))-1)&amp;")",IF(ISNA(MATCH(1,INDEX(EXACT('Casillas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10-3"&amp;CHAR(31)&amp;$A5&amp;CHAR(31)&amp;B$3)*1,0),0)))))</f>
        <v/>
      </c>
      <c r="C5" s="3">
        <f>IF(SUMPRODUCT(1*EXACT('Casillas del horario'!$S$4:$S$73,"Profesor de Lit-L en 10-3"&amp;CHAR(31)&amp;$A5&amp;CHAR(31)&amp;C$3))&gt;1,IF(ISNA(MATCH(1,INDEX(EXACT('Casillas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10-3"&amp;CHAR(31)&amp;$A5&amp;CHAR(31)&amp;C$3)*1,0),0))))&amp;" (+"&amp;(SUMPRODUCT(1*EXACT('Casillas del horario'!$S$4:$S$73,"Profesor de Lit-L en 10-3"&amp;CHAR(31)&amp;$A5&amp;CHAR(31)&amp;C$3))-1)&amp;")",IF(ISNA(MATCH(1,INDEX(EXACT('Casillas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10-3"&amp;CHAR(31)&amp;$A5&amp;CHAR(31)&amp;C$3)*1,0),0)))))</f>
        <v/>
      </c>
      <c r="D5" s="3">
        <f>IF(SUMPRODUCT(1*EXACT('Casillas del horario'!$S$4:$S$73,"Profesor de Lit-L en 10-3"&amp;CHAR(31)&amp;$A5&amp;CHAR(31)&amp;D$3))&gt;1,IF(ISNA(MATCH(1,INDEX(EXACT('Casillas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10-3"&amp;CHAR(31)&amp;$A5&amp;CHAR(31)&amp;D$3)*1,0),0))))&amp;" (+"&amp;(SUMPRODUCT(1*EXACT('Casillas del horario'!$S$4:$S$73,"Profesor de Lit-L en 10-3"&amp;CHAR(31)&amp;$A5&amp;CHAR(31)&amp;D$3))-1)&amp;")",IF(ISNA(MATCH(1,INDEX(EXACT('Casillas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10-3"&amp;CHAR(31)&amp;$A5&amp;CHAR(31)&amp;D$3)*1,0),0)))))</f>
        <v/>
      </c>
      <c r="E5" s="3">
        <f>IF(SUMPRODUCT(1*EXACT('Casillas del horario'!$S$4:$S$73,"Profesor de Lit-L en 10-3"&amp;CHAR(31)&amp;$A5&amp;CHAR(31)&amp;E$3))&gt;1,IF(ISNA(MATCH(1,INDEX(EXACT('Casillas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10-3"&amp;CHAR(31)&amp;$A5&amp;CHAR(31)&amp;E$3)*1,0),0))))&amp;" (+"&amp;(SUMPRODUCT(1*EXACT('Casillas del horario'!$S$4:$S$73,"Profesor de Lit-L en 10-3"&amp;CHAR(31)&amp;$A5&amp;CHAR(31)&amp;E$3))-1)&amp;")",IF(ISNA(MATCH(1,INDEX(EXACT('Casillas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10-3"&amp;CHAR(31)&amp;$A5&amp;CHAR(31)&amp;E$3)*1,0),0)))))</f>
        <v/>
      </c>
      <c r="F5" s="3">
        <f>IF(SUMPRODUCT(1*EXACT('Casillas del horario'!$S$4:$S$73,"Profesor de Lit-L en 10-3"&amp;CHAR(31)&amp;$A5&amp;CHAR(31)&amp;F$3))&gt;1,IF(ISNA(MATCH(1,INDEX(EXACT('Casillas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10-3"&amp;CHAR(31)&amp;$A5&amp;CHAR(31)&amp;F$3)*1,0),0))))&amp;" (+"&amp;(SUMPRODUCT(1*EXACT('Casillas del horario'!$S$4:$S$73,"Profesor de Lit-L en 10-3"&amp;CHAR(31)&amp;$A5&amp;CHAR(31)&amp;F$3))-1)&amp;")",IF(ISNA(MATCH(1,INDEX(EXACT('Casillas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10-3"&amp;CHAR(31)&amp;$A6&amp;CHAR(31)&amp;B$3))&gt;1,IF(ISNA(MATCH(1,INDEX(EXACT('Casillas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10-3"&amp;CHAR(31)&amp;$A6&amp;CHAR(31)&amp;B$3)*1,0),0))))&amp;" (+"&amp;(SUMPRODUCT(1*EXACT('Casillas del horario'!$S$4:$S$73,"Profesor de Lit-L en 10-3"&amp;CHAR(31)&amp;$A6&amp;CHAR(31)&amp;B$3))-1)&amp;")",IF(ISNA(MATCH(1,INDEX(EXACT('Casillas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10-3"&amp;CHAR(31)&amp;$A6&amp;CHAR(31)&amp;B$3)*1,0),0)))))</f>
        <v/>
      </c>
      <c r="C6" s="3">
        <f>IF(SUMPRODUCT(1*EXACT('Casillas del horario'!$S$4:$S$73,"Profesor de Lit-L en 10-3"&amp;CHAR(31)&amp;$A6&amp;CHAR(31)&amp;C$3))&gt;1,IF(ISNA(MATCH(1,INDEX(EXACT('Casillas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10-3"&amp;CHAR(31)&amp;$A6&amp;CHAR(31)&amp;C$3)*1,0),0))))&amp;" (+"&amp;(SUMPRODUCT(1*EXACT('Casillas del horario'!$S$4:$S$73,"Profesor de Lit-L en 10-3"&amp;CHAR(31)&amp;$A6&amp;CHAR(31)&amp;C$3))-1)&amp;")",IF(ISNA(MATCH(1,INDEX(EXACT('Casillas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10-3"&amp;CHAR(31)&amp;$A6&amp;CHAR(31)&amp;C$3)*1,0),0)))))</f>
        <v/>
      </c>
      <c r="D6" s="3">
        <f>IF(SUMPRODUCT(1*EXACT('Casillas del horario'!$S$4:$S$73,"Profesor de Lit-L en 10-3"&amp;CHAR(31)&amp;$A6&amp;CHAR(31)&amp;D$3))&gt;1,IF(ISNA(MATCH(1,INDEX(EXACT('Casillas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10-3"&amp;CHAR(31)&amp;$A6&amp;CHAR(31)&amp;D$3)*1,0),0))))&amp;" (+"&amp;(SUMPRODUCT(1*EXACT('Casillas del horario'!$S$4:$S$73,"Profesor de Lit-L en 10-3"&amp;CHAR(31)&amp;$A6&amp;CHAR(31)&amp;D$3))-1)&amp;")",IF(ISNA(MATCH(1,INDEX(EXACT('Casillas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10-3"&amp;CHAR(31)&amp;$A6&amp;CHAR(31)&amp;D$3)*1,0),0)))))</f>
        <v/>
      </c>
      <c r="E6" s="3">
        <f>IF(SUMPRODUCT(1*EXACT('Casillas del horario'!$S$4:$S$73,"Profesor de Lit-L en 10-3"&amp;CHAR(31)&amp;$A6&amp;CHAR(31)&amp;E$3))&gt;1,IF(ISNA(MATCH(1,INDEX(EXACT('Casillas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10-3"&amp;CHAR(31)&amp;$A6&amp;CHAR(31)&amp;E$3)*1,0),0))))&amp;" (+"&amp;(SUMPRODUCT(1*EXACT('Casillas del horario'!$S$4:$S$73,"Profesor de Lit-L en 10-3"&amp;CHAR(31)&amp;$A6&amp;CHAR(31)&amp;E$3))-1)&amp;")",IF(ISNA(MATCH(1,INDEX(EXACT('Casillas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10-3"&amp;CHAR(31)&amp;$A6&amp;CHAR(31)&amp;E$3)*1,0),0)))))</f>
        <v/>
      </c>
      <c r="F6" s="3">
        <f>IF(SUMPRODUCT(1*EXACT('Casillas del horario'!$S$4:$S$73,"Profesor de Lit-L en 10-3"&amp;CHAR(31)&amp;$A6&amp;CHAR(31)&amp;F$3))&gt;1,IF(ISNA(MATCH(1,INDEX(EXACT('Casillas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10-3"&amp;CHAR(31)&amp;$A6&amp;CHAR(31)&amp;F$3)*1,0),0))))&amp;" (+"&amp;(SUMPRODUCT(1*EXACT('Casillas del horario'!$S$4:$S$73,"Profesor de Lit-L en 10-3"&amp;CHAR(31)&amp;$A6&amp;CHAR(31)&amp;F$3))-1)&amp;")",IF(ISNA(MATCH(1,INDEX(EXACT('Casillas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10-3"&amp;CHAR(31)&amp;$A7&amp;CHAR(31)&amp;B$3))&gt;1,IF(ISNA(MATCH(1,INDEX(EXACT('Casillas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10-3"&amp;CHAR(31)&amp;$A7&amp;CHAR(31)&amp;B$3)*1,0),0))))&amp;" (+"&amp;(SUMPRODUCT(1*EXACT('Casillas del horario'!$S$4:$S$73,"Profesor de Lit-L en 10-3"&amp;CHAR(31)&amp;$A7&amp;CHAR(31)&amp;B$3))-1)&amp;")",IF(ISNA(MATCH(1,INDEX(EXACT('Casillas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10-3"&amp;CHAR(31)&amp;$A7&amp;CHAR(31)&amp;B$3)*1,0),0)))))</f>
        <v/>
      </c>
      <c r="C7" s="3">
        <f>IF(SUMPRODUCT(1*EXACT('Casillas del horario'!$S$4:$S$73,"Profesor de Lit-L en 10-3"&amp;CHAR(31)&amp;$A7&amp;CHAR(31)&amp;C$3))&gt;1,IF(ISNA(MATCH(1,INDEX(EXACT('Casillas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10-3"&amp;CHAR(31)&amp;$A7&amp;CHAR(31)&amp;C$3)*1,0),0))))&amp;" (+"&amp;(SUMPRODUCT(1*EXACT('Casillas del horario'!$S$4:$S$73,"Profesor de Lit-L en 10-3"&amp;CHAR(31)&amp;$A7&amp;CHAR(31)&amp;C$3))-1)&amp;")",IF(ISNA(MATCH(1,INDEX(EXACT('Casillas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10-3"&amp;CHAR(31)&amp;$A7&amp;CHAR(31)&amp;C$3)*1,0),0)))))</f>
        <v/>
      </c>
      <c r="D7" s="3">
        <f>IF(SUMPRODUCT(1*EXACT('Casillas del horario'!$S$4:$S$73,"Profesor de Lit-L en 10-3"&amp;CHAR(31)&amp;$A7&amp;CHAR(31)&amp;D$3))&gt;1,IF(ISNA(MATCH(1,INDEX(EXACT('Casillas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10-3"&amp;CHAR(31)&amp;$A7&amp;CHAR(31)&amp;D$3)*1,0),0))))&amp;" (+"&amp;(SUMPRODUCT(1*EXACT('Casillas del horario'!$S$4:$S$73,"Profesor de Lit-L en 10-3"&amp;CHAR(31)&amp;$A7&amp;CHAR(31)&amp;D$3))-1)&amp;")",IF(ISNA(MATCH(1,INDEX(EXACT('Casillas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10-3"&amp;CHAR(31)&amp;$A7&amp;CHAR(31)&amp;D$3)*1,0),0)))))</f>
        <v/>
      </c>
      <c r="E7" s="3">
        <f>IF(SUMPRODUCT(1*EXACT('Casillas del horario'!$S$4:$S$73,"Profesor de Lit-L en 10-3"&amp;CHAR(31)&amp;$A7&amp;CHAR(31)&amp;E$3))&gt;1,IF(ISNA(MATCH(1,INDEX(EXACT('Casillas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10-3"&amp;CHAR(31)&amp;$A7&amp;CHAR(31)&amp;E$3)*1,0),0))))&amp;" (+"&amp;(SUMPRODUCT(1*EXACT('Casillas del horario'!$S$4:$S$73,"Profesor de Lit-L en 10-3"&amp;CHAR(31)&amp;$A7&amp;CHAR(31)&amp;E$3))-1)&amp;")",IF(ISNA(MATCH(1,INDEX(EXACT('Casillas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10-3"&amp;CHAR(31)&amp;$A7&amp;CHAR(31)&amp;E$3)*1,0),0)))))</f>
        <v/>
      </c>
      <c r="F7" s="3">
        <f>IF(SUMPRODUCT(1*EXACT('Casillas del horario'!$S$4:$S$73,"Profesor de Lit-L en 10-3"&amp;CHAR(31)&amp;$A7&amp;CHAR(31)&amp;F$3))&gt;1,IF(ISNA(MATCH(1,INDEX(EXACT('Casillas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10-3"&amp;CHAR(31)&amp;$A7&amp;CHAR(31)&amp;F$3)*1,0),0))))&amp;" (+"&amp;(SUMPRODUCT(1*EXACT('Casillas del horario'!$S$4:$S$73,"Profesor de Lit-L en 10-3"&amp;CHAR(31)&amp;$A7&amp;CHAR(31)&amp;F$3))-1)&amp;")",IF(ISNA(MATCH(1,INDEX(EXACT('Casillas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10-3"&amp;CHAR(31)&amp;$A8&amp;CHAR(31)&amp;B$3))&gt;1,IF(ISNA(MATCH(1,INDEX(EXACT('Casillas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10-3"&amp;CHAR(31)&amp;$A8&amp;CHAR(31)&amp;B$3)*1,0),0))))&amp;" (+"&amp;(SUMPRODUCT(1*EXACT('Casillas del horario'!$S$4:$S$73,"Profesor de Lit-L en 10-3"&amp;CHAR(31)&amp;$A8&amp;CHAR(31)&amp;B$3))-1)&amp;")",IF(ISNA(MATCH(1,INDEX(EXACT('Casillas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10-3"&amp;CHAR(31)&amp;$A8&amp;CHAR(31)&amp;B$3)*1,0),0)))))</f>
        <v/>
      </c>
      <c r="C8" s="3">
        <f>IF(SUMPRODUCT(1*EXACT('Casillas del horario'!$S$4:$S$73,"Profesor de Lit-L en 10-3"&amp;CHAR(31)&amp;$A8&amp;CHAR(31)&amp;C$3))&gt;1,IF(ISNA(MATCH(1,INDEX(EXACT('Casillas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10-3"&amp;CHAR(31)&amp;$A8&amp;CHAR(31)&amp;C$3)*1,0),0))))&amp;" (+"&amp;(SUMPRODUCT(1*EXACT('Casillas del horario'!$S$4:$S$73,"Profesor de Lit-L en 10-3"&amp;CHAR(31)&amp;$A8&amp;CHAR(31)&amp;C$3))-1)&amp;")",IF(ISNA(MATCH(1,INDEX(EXACT('Casillas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10-3"&amp;CHAR(31)&amp;$A8&amp;CHAR(31)&amp;C$3)*1,0),0)))))</f>
        <v/>
      </c>
      <c r="D8" s="3">
        <f>IF(SUMPRODUCT(1*EXACT('Casillas del horario'!$S$4:$S$73,"Profesor de Lit-L en 10-3"&amp;CHAR(31)&amp;$A8&amp;CHAR(31)&amp;D$3))&gt;1,IF(ISNA(MATCH(1,INDEX(EXACT('Casillas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10-3"&amp;CHAR(31)&amp;$A8&amp;CHAR(31)&amp;D$3)*1,0),0))))&amp;" (+"&amp;(SUMPRODUCT(1*EXACT('Casillas del horario'!$S$4:$S$73,"Profesor de Lit-L en 10-3"&amp;CHAR(31)&amp;$A8&amp;CHAR(31)&amp;D$3))-1)&amp;")",IF(ISNA(MATCH(1,INDEX(EXACT('Casillas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10-3"&amp;CHAR(31)&amp;$A8&amp;CHAR(31)&amp;D$3)*1,0),0)))))</f>
        <v/>
      </c>
      <c r="E8" s="3">
        <f>IF(SUMPRODUCT(1*EXACT('Casillas del horario'!$S$4:$S$73,"Profesor de Lit-L en 10-3"&amp;CHAR(31)&amp;$A8&amp;CHAR(31)&amp;E$3))&gt;1,IF(ISNA(MATCH(1,INDEX(EXACT('Casillas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10-3"&amp;CHAR(31)&amp;$A8&amp;CHAR(31)&amp;E$3)*1,0),0))))&amp;" (+"&amp;(SUMPRODUCT(1*EXACT('Casillas del horario'!$S$4:$S$73,"Profesor de Lit-L en 10-3"&amp;CHAR(31)&amp;$A8&amp;CHAR(31)&amp;E$3))-1)&amp;")",IF(ISNA(MATCH(1,INDEX(EXACT('Casillas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10-3"&amp;CHAR(31)&amp;$A8&amp;CHAR(31)&amp;E$3)*1,0),0)))))</f>
        <v/>
      </c>
      <c r="F8" s="3">
        <f>IF(SUMPRODUCT(1*EXACT('Casillas del horario'!$S$4:$S$73,"Profesor de Lit-L en 10-3"&amp;CHAR(31)&amp;$A8&amp;CHAR(31)&amp;F$3))&gt;1,IF(ISNA(MATCH(1,INDEX(EXACT('Casillas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10-3"&amp;CHAR(31)&amp;$A8&amp;CHAR(31)&amp;F$3)*1,0),0))))&amp;" (+"&amp;(SUMPRODUCT(1*EXACT('Casillas del horario'!$S$4:$S$73,"Profesor de Lit-L en 10-3"&amp;CHAR(31)&amp;$A8&amp;CHAR(31)&amp;F$3))-1)&amp;")",IF(ISNA(MATCH(1,INDEX(EXACT('Casillas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10-3"&amp;CHAR(31)&amp;$A9&amp;CHAR(31)&amp;B$3))&gt;1,IF(ISNA(MATCH(1,INDEX(EXACT('Casillas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10-3"&amp;CHAR(31)&amp;$A9&amp;CHAR(31)&amp;B$3)*1,0),0))))&amp;" (+"&amp;(SUMPRODUCT(1*EXACT('Casillas del horario'!$S$4:$S$73,"Profesor de Lit-L en 10-3"&amp;CHAR(31)&amp;$A9&amp;CHAR(31)&amp;B$3))-1)&amp;")",IF(ISNA(MATCH(1,INDEX(EXACT('Casillas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10-3"&amp;CHAR(31)&amp;$A9&amp;CHAR(31)&amp;B$3)*1,0),0)))))</f>
        <v/>
      </c>
      <c r="C9" s="3">
        <f>IF(SUMPRODUCT(1*EXACT('Casillas del horario'!$S$4:$S$73,"Profesor de Lit-L en 10-3"&amp;CHAR(31)&amp;$A9&amp;CHAR(31)&amp;C$3))&gt;1,IF(ISNA(MATCH(1,INDEX(EXACT('Casillas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10-3"&amp;CHAR(31)&amp;$A9&amp;CHAR(31)&amp;C$3)*1,0),0))))&amp;" (+"&amp;(SUMPRODUCT(1*EXACT('Casillas del horario'!$S$4:$S$73,"Profesor de Lit-L en 10-3"&amp;CHAR(31)&amp;$A9&amp;CHAR(31)&amp;C$3))-1)&amp;")",IF(ISNA(MATCH(1,INDEX(EXACT('Casillas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10-3"&amp;CHAR(31)&amp;$A9&amp;CHAR(31)&amp;C$3)*1,0),0)))))</f>
        <v/>
      </c>
      <c r="D9" s="3">
        <f>IF(SUMPRODUCT(1*EXACT('Casillas del horario'!$S$4:$S$73,"Profesor de Lit-L en 10-3"&amp;CHAR(31)&amp;$A9&amp;CHAR(31)&amp;D$3))&gt;1,IF(ISNA(MATCH(1,INDEX(EXACT('Casillas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10-3"&amp;CHAR(31)&amp;$A9&amp;CHAR(31)&amp;D$3)*1,0),0))))&amp;" (+"&amp;(SUMPRODUCT(1*EXACT('Casillas del horario'!$S$4:$S$73,"Profesor de Lit-L en 10-3"&amp;CHAR(31)&amp;$A9&amp;CHAR(31)&amp;D$3))-1)&amp;")",IF(ISNA(MATCH(1,INDEX(EXACT('Casillas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10-3"&amp;CHAR(31)&amp;$A9&amp;CHAR(31)&amp;D$3)*1,0),0)))))</f>
        <v/>
      </c>
      <c r="E9" s="3">
        <f>IF(SUMPRODUCT(1*EXACT('Casillas del horario'!$S$4:$S$73,"Profesor de Lit-L en 10-3"&amp;CHAR(31)&amp;$A9&amp;CHAR(31)&amp;E$3))&gt;1,IF(ISNA(MATCH(1,INDEX(EXACT('Casillas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10-3"&amp;CHAR(31)&amp;$A9&amp;CHAR(31)&amp;E$3)*1,0),0))))&amp;" (+"&amp;(SUMPRODUCT(1*EXACT('Casillas del horario'!$S$4:$S$73,"Profesor de Lit-L en 10-3"&amp;CHAR(31)&amp;$A9&amp;CHAR(31)&amp;E$3))-1)&amp;")",IF(ISNA(MATCH(1,INDEX(EXACT('Casillas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10-3"&amp;CHAR(31)&amp;$A9&amp;CHAR(31)&amp;E$3)*1,0),0)))))</f>
        <v/>
      </c>
      <c r="F9" s="3">
        <f>IF(SUMPRODUCT(1*EXACT('Casillas del horario'!$S$4:$S$73,"Profesor de Lit-L en 10-3"&amp;CHAR(31)&amp;$A9&amp;CHAR(31)&amp;F$3))&gt;1,IF(ISNA(MATCH(1,INDEX(EXACT('Casillas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10-3"&amp;CHAR(31)&amp;$A9&amp;CHAR(31)&amp;F$3)*1,0),0))))&amp;" (+"&amp;(SUMPRODUCT(1*EXACT('Casillas del horario'!$S$4:$S$73,"Profesor de Lit-L en 10-3"&amp;CHAR(31)&amp;$A9&amp;CHAR(31)&amp;F$3))-1)&amp;")",IF(ISNA(MATCH(1,INDEX(EXACT('Casillas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10-3"&amp;CHAR(31)&amp;$A10&amp;CHAR(31)&amp;B$3))&gt;1,IF(ISNA(MATCH(1,INDEX(EXACT('Casillas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10-3"&amp;CHAR(31)&amp;$A10&amp;CHAR(31)&amp;B$3)*1,0),0))))&amp;" (+"&amp;(SUMPRODUCT(1*EXACT('Casillas del horario'!$S$4:$S$73,"Profesor de Lit-L en 10-3"&amp;CHAR(31)&amp;$A10&amp;CHAR(31)&amp;B$3))-1)&amp;")",IF(ISNA(MATCH(1,INDEX(EXACT('Casillas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10-3"&amp;CHAR(31)&amp;$A10&amp;CHAR(31)&amp;B$3)*1,0),0)))))</f>
        <v/>
      </c>
      <c r="C10" s="3">
        <f>IF(SUMPRODUCT(1*EXACT('Casillas del horario'!$S$4:$S$73,"Profesor de Lit-L en 10-3"&amp;CHAR(31)&amp;$A10&amp;CHAR(31)&amp;C$3))&gt;1,IF(ISNA(MATCH(1,INDEX(EXACT('Casillas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10-3"&amp;CHAR(31)&amp;$A10&amp;CHAR(31)&amp;C$3)*1,0),0))))&amp;" (+"&amp;(SUMPRODUCT(1*EXACT('Casillas del horario'!$S$4:$S$73,"Profesor de Lit-L en 10-3"&amp;CHAR(31)&amp;$A10&amp;CHAR(31)&amp;C$3))-1)&amp;")",IF(ISNA(MATCH(1,INDEX(EXACT('Casillas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10-3"&amp;CHAR(31)&amp;$A10&amp;CHAR(31)&amp;C$3)*1,0),0)))))</f>
        <v/>
      </c>
      <c r="D10" s="3">
        <f>IF(SUMPRODUCT(1*EXACT('Casillas del horario'!$S$4:$S$73,"Profesor de Lit-L en 10-3"&amp;CHAR(31)&amp;$A10&amp;CHAR(31)&amp;D$3))&gt;1,IF(ISNA(MATCH(1,INDEX(EXACT('Casillas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10-3"&amp;CHAR(31)&amp;$A10&amp;CHAR(31)&amp;D$3)*1,0),0))))&amp;" (+"&amp;(SUMPRODUCT(1*EXACT('Casillas del horario'!$S$4:$S$73,"Profesor de Lit-L en 10-3"&amp;CHAR(31)&amp;$A10&amp;CHAR(31)&amp;D$3))-1)&amp;")",IF(ISNA(MATCH(1,INDEX(EXACT('Casillas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10-3"&amp;CHAR(31)&amp;$A10&amp;CHAR(31)&amp;D$3)*1,0),0)))))</f>
        <v/>
      </c>
      <c r="E10" s="3">
        <f>IF(SUMPRODUCT(1*EXACT('Casillas del horario'!$S$4:$S$73,"Profesor de Lit-L en 10-3"&amp;CHAR(31)&amp;$A10&amp;CHAR(31)&amp;E$3))&gt;1,IF(ISNA(MATCH(1,INDEX(EXACT('Casillas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10-3"&amp;CHAR(31)&amp;$A10&amp;CHAR(31)&amp;E$3)*1,0),0))))&amp;" (+"&amp;(SUMPRODUCT(1*EXACT('Casillas del horario'!$S$4:$S$73,"Profesor de Lit-L en 10-3"&amp;CHAR(31)&amp;$A10&amp;CHAR(31)&amp;E$3))-1)&amp;")",IF(ISNA(MATCH(1,INDEX(EXACT('Casillas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10-3"&amp;CHAR(31)&amp;$A10&amp;CHAR(31)&amp;E$3)*1,0),0)))))</f>
        <v/>
      </c>
      <c r="F10" s="3">
        <f>IF(SUMPRODUCT(1*EXACT('Casillas del horario'!$S$4:$S$73,"Profesor de Lit-L en 10-3"&amp;CHAR(31)&amp;$A10&amp;CHAR(31)&amp;F$3))&gt;1,IF(ISNA(MATCH(1,INDEX(EXACT('Casillas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10-3"&amp;CHAR(31)&amp;$A10&amp;CHAR(31)&amp;F$3)*1,0),0))))&amp;" (+"&amp;(SUMPRODUCT(1*EXACT('Casillas del horario'!$S$4:$S$73,"Profesor de Lit-L en 10-3"&amp;CHAR(31)&amp;$A10&amp;CHAR(31)&amp;F$3))-1)&amp;")",IF(ISNA(MATCH(1,INDEX(EXACT('Casillas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10-3"&amp;CHAR(31)&amp;$A4&amp;CHAR(31)&amp;B$3))&gt;1,IF(ISNA(MATCH(1,INDEX(EXACT('Casillas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10-3"&amp;CHAR(31)&amp;$A4&amp;CHAR(31)&amp;B$3)*1,0),0))))&amp;" (+"&amp;(SUMPRODUCT(1*EXACT('Casillas del horario'!$S$4:$S$73,"Profesor de F en 10-3"&amp;CHAR(31)&amp;$A4&amp;CHAR(31)&amp;B$3))-1)&amp;")",IF(ISNA(MATCH(1,INDEX(EXACT('Casillas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10-3"&amp;CHAR(31)&amp;$A4&amp;CHAR(31)&amp;B$3)*1,0),0)))))</f>
        <v/>
      </c>
      <c r="C4" s="3">
        <f>IF(SUMPRODUCT(1*EXACT('Casillas del horario'!$S$4:$S$73,"Profesor de F en 10-3"&amp;CHAR(31)&amp;$A4&amp;CHAR(31)&amp;C$3))&gt;1,IF(ISNA(MATCH(1,INDEX(EXACT('Casillas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10-3"&amp;CHAR(31)&amp;$A4&amp;CHAR(31)&amp;C$3)*1,0),0))))&amp;" (+"&amp;(SUMPRODUCT(1*EXACT('Casillas del horario'!$S$4:$S$73,"Profesor de F en 10-3"&amp;CHAR(31)&amp;$A4&amp;CHAR(31)&amp;C$3))-1)&amp;")",IF(ISNA(MATCH(1,INDEX(EXACT('Casillas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10-3"&amp;CHAR(31)&amp;$A4&amp;CHAR(31)&amp;C$3)*1,0),0)))))</f>
        <v/>
      </c>
      <c r="D4" s="3">
        <f>IF(SUMPRODUCT(1*EXACT('Casillas del horario'!$S$4:$S$73,"Profesor de F en 10-3"&amp;CHAR(31)&amp;$A4&amp;CHAR(31)&amp;D$3))&gt;1,IF(ISNA(MATCH(1,INDEX(EXACT('Casillas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10-3"&amp;CHAR(31)&amp;$A4&amp;CHAR(31)&amp;D$3)*1,0),0))))&amp;" (+"&amp;(SUMPRODUCT(1*EXACT('Casillas del horario'!$S$4:$S$73,"Profesor de F en 10-3"&amp;CHAR(31)&amp;$A4&amp;CHAR(31)&amp;D$3))-1)&amp;")",IF(ISNA(MATCH(1,INDEX(EXACT('Casillas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10-3"&amp;CHAR(31)&amp;$A4&amp;CHAR(31)&amp;D$3)*1,0),0)))))</f>
        <v/>
      </c>
      <c r="E4" s="3">
        <f>IF(SUMPRODUCT(1*EXACT('Casillas del horario'!$S$4:$S$73,"Profesor de F en 10-3"&amp;CHAR(31)&amp;$A4&amp;CHAR(31)&amp;E$3))&gt;1,IF(ISNA(MATCH(1,INDEX(EXACT('Casillas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10-3"&amp;CHAR(31)&amp;$A4&amp;CHAR(31)&amp;E$3)*1,0),0))))&amp;" (+"&amp;(SUMPRODUCT(1*EXACT('Casillas del horario'!$S$4:$S$73,"Profesor de F en 10-3"&amp;CHAR(31)&amp;$A4&amp;CHAR(31)&amp;E$3))-1)&amp;")",IF(ISNA(MATCH(1,INDEX(EXACT('Casillas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10-3"&amp;CHAR(31)&amp;$A4&amp;CHAR(31)&amp;E$3)*1,0),0)))))</f>
        <v/>
      </c>
      <c r="F4" s="3">
        <f>IF(SUMPRODUCT(1*EXACT('Casillas del horario'!$S$4:$S$73,"Profesor de F en 10-3"&amp;CHAR(31)&amp;$A4&amp;CHAR(31)&amp;F$3))&gt;1,IF(ISNA(MATCH(1,INDEX(EXACT('Casillas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10-3"&amp;CHAR(31)&amp;$A4&amp;CHAR(31)&amp;F$3)*1,0),0))))&amp;" (+"&amp;(SUMPRODUCT(1*EXACT('Casillas del horario'!$S$4:$S$73,"Profesor de F en 10-3"&amp;CHAR(31)&amp;$A4&amp;CHAR(31)&amp;F$3))-1)&amp;")",IF(ISNA(MATCH(1,INDEX(EXACT('Casillas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10-3"&amp;CHAR(31)&amp;$A5&amp;CHAR(31)&amp;B$3))&gt;1,IF(ISNA(MATCH(1,INDEX(EXACT('Casillas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10-3"&amp;CHAR(31)&amp;$A5&amp;CHAR(31)&amp;B$3)*1,0),0))))&amp;" (+"&amp;(SUMPRODUCT(1*EXACT('Casillas del horario'!$S$4:$S$73,"Profesor de F en 10-3"&amp;CHAR(31)&amp;$A5&amp;CHAR(31)&amp;B$3))-1)&amp;")",IF(ISNA(MATCH(1,INDEX(EXACT('Casillas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10-3"&amp;CHAR(31)&amp;$A5&amp;CHAR(31)&amp;B$3)*1,0),0)))))</f>
        <v/>
      </c>
      <c r="C5" s="3">
        <f>IF(SUMPRODUCT(1*EXACT('Casillas del horario'!$S$4:$S$73,"Profesor de F en 10-3"&amp;CHAR(31)&amp;$A5&amp;CHAR(31)&amp;C$3))&gt;1,IF(ISNA(MATCH(1,INDEX(EXACT('Casillas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10-3"&amp;CHAR(31)&amp;$A5&amp;CHAR(31)&amp;C$3)*1,0),0))))&amp;" (+"&amp;(SUMPRODUCT(1*EXACT('Casillas del horario'!$S$4:$S$73,"Profesor de F en 10-3"&amp;CHAR(31)&amp;$A5&amp;CHAR(31)&amp;C$3))-1)&amp;")",IF(ISNA(MATCH(1,INDEX(EXACT('Casillas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10-3"&amp;CHAR(31)&amp;$A5&amp;CHAR(31)&amp;C$3)*1,0),0)))))</f>
        <v/>
      </c>
      <c r="D5" s="3">
        <f>IF(SUMPRODUCT(1*EXACT('Casillas del horario'!$S$4:$S$73,"Profesor de F en 10-3"&amp;CHAR(31)&amp;$A5&amp;CHAR(31)&amp;D$3))&gt;1,IF(ISNA(MATCH(1,INDEX(EXACT('Casillas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10-3"&amp;CHAR(31)&amp;$A5&amp;CHAR(31)&amp;D$3)*1,0),0))))&amp;" (+"&amp;(SUMPRODUCT(1*EXACT('Casillas del horario'!$S$4:$S$73,"Profesor de F en 10-3"&amp;CHAR(31)&amp;$A5&amp;CHAR(31)&amp;D$3))-1)&amp;")",IF(ISNA(MATCH(1,INDEX(EXACT('Casillas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10-3"&amp;CHAR(31)&amp;$A5&amp;CHAR(31)&amp;D$3)*1,0),0)))))</f>
        <v/>
      </c>
      <c r="E5" s="3">
        <f>IF(SUMPRODUCT(1*EXACT('Casillas del horario'!$S$4:$S$73,"Profesor de F en 10-3"&amp;CHAR(31)&amp;$A5&amp;CHAR(31)&amp;E$3))&gt;1,IF(ISNA(MATCH(1,INDEX(EXACT('Casillas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10-3"&amp;CHAR(31)&amp;$A5&amp;CHAR(31)&amp;E$3)*1,0),0))))&amp;" (+"&amp;(SUMPRODUCT(1*EXACT('Casillas del horario'!$S$4:$S$73,"Profesor de F en 10-3"&amp;CHAR(31)&amp;$A5&amp;CHAR(31)&amp;E$3))-1)&amp;")",IF(ISNA(MATCH(1,INDEX(EXACT('Casillas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10-3"&amp;CHAR(31)&amp;$A5&amp;CHAR(31)&amp;E$3)*1,0),0)))))</f>
        <v/>
      </c>
      <c r="F5" s="3">
        <f>IF(SUMPRODUCT(1*EXACT('Casillas del horario'!$S$4:$S$73,"Profesor de F en 10-3"&amp;CHAR(31)&amp;$A5&amp;CHAR(31)&amp;F$3))&gt;1,IF(ISNA(MATCH(1,INDEX(EXACT('Casillas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10-3"&amp;CHAR(31)&amp;$A5&amp;CHAR(31)&amp;F$3)*1,0),0))))&amp;" (+"&amp;(SUMPRODUCT(1*EXACT('Casillas del horario'!$S$4:$S$73,"Profesor de F en 10-3"&amp;CHAR(31)&amp;$A5&amp;CHAR(31)&amp;F$3))-1)&amp;")",IF(ISNA(MATCH(1,INDEX(EXACT('Casillas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10-3"&amp;CHAR(31)&amp;$A6&amp;CHAR(31)&amp;B$3))&gt;1,IF(ISNA(MATCH(1,INDEX(EXACT('Casillas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10-3"&amp;CHAR(31)&amp;$A6&amp;CHAR(31)&amp;B$3)*1,0),0))))&amp;" (+"&amp;(SUMPRODUCT(1*EXACT('Casillas del horario'!$S$4:$S$73,"Profesor de F en 10-3"&amp;CHAR(31)&amp;$A6&amp;CHAR(31)&amp;B$3))-1)&amp;")",IF(ISNA(MATCH(1,INDEX(EXACT('Casillas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10-3"&amp;CHAR(31)&amp;$A6&amp;CHAR(31)&amp;B$3)*1,0),0)))))</f>
        <v/>
      </c>
      <c r="C6" s="3">
        <f>IF(SUMPRODUCT(1*EXACT('Casillas del horario'!$S$4:$S$73,"Profesor de F en 10-3"&amp;CHAR(31)&amp;$A6&amp;CHAR(31)&amp;C$3))&gt;1,IF(ISNA(MATCH(1,INDEX(EXACT('Casillas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10-3"&amp;CHAR(31)&amp;$A6&amp;CHAR(31)&amp;C$3)*1,0),0))))&amp;" (+"&amp;(SUMPRODUCT(1*EXACT('Casillas del horario'!$S$4:$S$73,"Profesor de F en 10-3"&amp;CHAR(31)&amp;$A6&amp;CHAR(31)&amp;C$3))-1)&amp;")",IF(ISNA(MATCH(1,INDEX(EXACT('Casillas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10-3"&amp;CHAR(31)&amp;$A6&amp;CHAR(31)&amp;C$3)*1,0),0)))))</f>
        <v/>
      </c>
      <c r="D6" s="3">
        <f>IF(SUMPRODUCT(1*EXACT('Casillas del horario'!$S$4:$S$73,"Profesor de F en 10-3"&amp;CHAR(31)&amp;$A6&amp;CHAR(31)&amp;D$3))&gt;1,IF(ISNA(MATCH(1,INDEX(EXACT('Casillas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10-3"&amp;CHAR(31)&amp;$A6&amp;CHAR(31)&amp;D$3)*1,0),0))))&amp;" (+"&amp;(SUMPRODUCT(1*EXACT('Casillas del horario'!$S$4:$S$73,"Profesor de F en 10-3"&amp;CHAR(31)&amp;$A6&amp;CHAR(31)&amp;D$3))-1)&amp;")",IF(ISNA(MATCH(1,INDEX(EXACT('Casillas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10-3"&amp;CHAR(31)&amp;$A6&amp;CHAR(31)&amp;D$3)*1,0),0)))))</f>
        <v/>
      </c>
      <c r="E6" s="3">
        <f>IF(SUMPRODUCT(1*EXACT('Casillas del horario'!$S$4:$S$73,"Profesor de F en 10-3"&amp;CHAR(31)&amp;$A6&amp;CHAR(31)&amp;E$3))&gt;1,IF(ISNA(MATCH(1,INDEX(EXACT('Casillas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10-3"&amp;CHAR(31)&amp;$A6&amp;CHAR(31)&amp;E$3)*1,0),0))))&amp;" (+"&amp;(SUMPRODUCT(1*EXACT('Casillas del horario'!$S$4:$S$73,"Profesor de F en 10-3"&amp;CHAR(31)&amp;$A6&amp;CHAR(31)&amp;E$3))-1)&amp;")",IF(ISNA(MATCH(1,INDEX(EXACT('Casillas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10-3"&amp;CHAR(31)&amp;$A6&amp;CHAR(31)&amp;E$3)*1,0),0)))))</f>
        <v/>
      </c>
      <c r="F6" s="3">
        <f>IF(SUMPRODUCT(1*EXACT('Casillas del horario'!$S$4:$S$73,"Profesor de F en 10-3"&amp;CHAR(31)&amp;$A6&amp;CHAR(31)&amp;F$3))&gt;1,IF(ISNA(MATCH(1,INDEX(EXACT('Casillas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10-3"&amp;CHAR(31)&amp;$A6&amp;CHAR(31)&amp;F$3)*1,0),0))))&amp;" (+"&amp;(SUMPRODUCT(1*EXACT('Casillas del horario'!$S$4:$S$73,"Profesor de F en 10-3"&amp;CHAR(31)&amp;$A6&amp;CHAR(31)&amp;F$3))-1)&amp;")",IF(ISNA(MATCH(1,INDEX(EXACT('Casillas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10-3"&amp;CHAR(31)&amp;$A7&amp;CHAR(31)&amp;B$3))&gt;1,IF(ISNA(MATCH(1,INDEX(EXACT('Casillas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10-3"&amp;CHAR(31)&amp;$A7&amp;CHAR(31)&amp;B$3)*1,0),0))))&amp;" (+"&amp;(SUMPRODUCT(1*EXACT('Casillas del horario'!$S$4:$S$73,"Profesor de F en 10-3"&amp;CHAR(31)&amp;$A7&amp;CHAR(31)&amp;B$3))-1)&amp;")",IF(ISNA(MATCH(1,INDEX(EXACT('Casillas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10-3"&amp;CHAR(31)&amp;$A7&amp;CHAR(31)&amp;B$3)*1,0),0)))))</f>
        <v/>
      </c>
      <c r="C7" s="3">
        <f>IF(SUMPRODUCT(1*EXACT('Casillas del horario'!$S$4:$S$73,"Profesor de F en 10-3"&amp;CHAR(31)&amp;$A7&amp;CHAR(31)&amp;C$3))&gt;1,IF(ISNA(MATCH(1,INDEX(EXACT('Casillas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10-3"&amp;CHAR(31)&amp;$A7&amp;CHAR(31)&amp;C$3)*1,0),0))))&amp;" (+"&amp;(SUMPRODUCT(1*EXACT('Casillas del horario'!$S$4:$S$73,"Profesor de F en 10-3"&amp;CHAR(31)&amp;$A7&amp;CHAR(31)&amp;C$3))-1)&amp;")",IF(ISNA(MATCH(1,INDEX(EXACT('Casillas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10-3"&amp;CHAR(31)&amp;$A7&amp;CHAR(31)&amp;C$3)*1,0),0)))))</f>
        <v/>
      </c>
      <c r="D7" s="3">
        <f>IF(SUMPRODUCT(1*EXACT('Casillas del horario'!$S$4:$S$73,"Profesor de F en 10-3"&amp;CHAR(31)&amp;$A7&amp;CHAR(31)&amp;D$3))&gt;1,IF(ISNA(MATCH(1,INDEX(EXACT('Casillas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10-3"&amp;CHAR(31)&amp;$A7&amp;CHAR(31)&amp;D$3)*1,0),0))))&amp;" (+"&amp;(SUMPRODUCT(1*EXACT('Casillas del horario'!$S$4:$S$73,"Profesor de F en 10-3"&amp;CHAR(31)&amp;$A7&amp;CHAR(31)&amp;D$3))-1)&amp;")",IF(ISNA(MATCH(1,INDEX(EXACT('Casillas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10-3"&amp;CHAR(31)&amp;$A7&amp;CHAR(31)&amp;D$3)*1,0),0)))))</f>
        <v/>
      </c>
      <c r="E7" s="3">
        <f>IF(SUMPRODUCT(1*EXACT('Casillas del horario'!$S$4:$S$73,"Profesor de F en 10-3"&amp;CHAR(31)&amp;$A7&amp;CHAR(31)&amp;E$3))&gt;1,IF(ISNA(MATCH(1,INDEX(EXACT('Casillas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10-3"&amp;CHAR(31)&amp;$A7&amp;CHAR(31)&amp;E$3)*1,0),0))))&amp;" (+"&amp;(SUMPRODUCT(1*EXACT('Casillas del horario'!$S$4:$S$73,"Profesor de F en 10-3"&amp;CHAR(31)&amp;$A7&amp;CHAR(31)&amp;E$3))-1)&amp;")",IF(ISNA(MATCH(1,INDEX(EXACT('Casillas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10-3"&amp;CHAR(31)&amp;$A7&amp;CHAR(31)&amp;E$3)*1,0),0)))))</f>
        <v/>
      </c>
      <c r="F7" s="3">
        <f>IF(SUMPRODUCT(1*EXACT('Casillas del horario'!$S$4:$S$73,"Profesor de F en 10-3"&amp;CHAR(31)&amp;$A7&amp;CHAR(31)&amp;F$3))&gt;1,IF(ISNA(MATCH(1,INDEX(EXACT('Casillas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10-3"&amp;CHAR(31)&amp;$A7&amp;CHAR(31)&amp;F$3)*1,0),0))))&amp;" (+"&amp;(SUMPRODUCT(1*EXACT('Casillas del horario'!$S$4:$S$73,"Profesor de F en 10-3"&amp;CHAR(31)&amp;$A7&amp;CHAR(31)&amp;F$3))-1)&amp;")",IF(ISNA(MATCH(1,INDEX(EXACT('Casillas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10-3"&amp;CHAR(31)&amp;$A8&amp;CHAR(31)&amp;B$3))&gt;1,IF(ISNA(MATCH(1,INDEX(EXACT('Casillas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10-3"&amp;CHAR(31)&amp;$A8&amp;CHAR(31)&amp;B$3)*1,0),0))))&amp;" (+"&amp;(SUMPRODUCT(1*EXACT('Casillas del horario'!$S$4:$S$73,"Profesor de F en 10-3"&amp;CHAR(31)&amp;$A8&amp;CHAR(31)&amp;B$3))-1)&amp;")",IF(ISNA(MATCH(1,INDEX(EXACT('Casillas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10-3"&amp;CHAR(31)&amp;$A8&amp;CHAR(31)&amp;B$3)*1,0),0)))))</f>
        <v/>
      </c>
      <c r="C8" s="3">
        <f>IF(SUMPRODUCT(1*EXACT('Casillas del horario'!$S$4:$S$73,"Profesor de F en 10-3"&amp;CHAR(31)&amp;$A8&amp;CHAR(31)&amp;C$3))&gt;1,IF(ISNA(MATCH(1,INDEX(EXACT('Casillas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10-3"&amp;CHAR(31)&amp;$A8&amp;CHAR(31)&amp;C$3)*1,0),0))))&amp;" (+"&amp;(SUMPRODUCT(1*EXACT('Casillas del horario'!$S$4:$S$73,"Profesor de F en 10-3"&amp;CHAR(31)&amp;$A8&amp;CHAR(31)&amp;C$3))-1)&amp;")",IF(ISNA(MATCH(1,INDEX(EXACT('Casillas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10-3"&amp;CHAR(31)&amp;$A8&amp;CHAR(31)&amp;C$3)*1,0),0)))))</f>
        <v/>
      </c>
      <c r="D8" s="3">
        <f>IF(SUMPRODUCT(1*EXACT('Casillas del horario'!$S$4:$S$73,"Profesor de F en 10-3"&amp;CHAR(31)&amp;$A8&amp;CHAR(31)&amp;D$3))&gt;1,IF(ISNA(MATCH(1,INDEX(EXACT('Casillas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10-3"&amp;CHAR(31)&amp;$A8&amp;CHAR(31)&amp;D$3)*1,0),0))))&amp;" (+"&amp;(SUMPRODUCT(1*EXACT('Casillas del horario'!$S$4:$S$73,"Profesor de F en 10-3"&amp;CHAR(31)&amp;$A8&amp;CHAR(31)&amp;D$3))-1)&amp;")",IF(ISNA(MATCH(1,INDEX(EXACT('Casillas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10-3"&amp;CHAR(31)&amp;$A8&amp;CHAR(31)&amp;D$3)*1,0),0)))))</f>
        <v/>
      </c>
      <c r="E8" s="3">
        <f>IF(SUMPRODUCT(1*EXACT('Casillas del horario'!$S$4:$S$73,"Profesor de F en 10-3"&amp;CHAR(31)&amp;$A8&amp;CHAR(31)&amp;E$3))&gt;1,IF(ISNA(MATCH(1,INDEX(EXACT('Casillas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10-3"&amp;CHAR(31)&amp;$A8&amp;CHAR(31)&amp;E$3)*1,0),0))))&amp;" (+"&amp;(SUMPRODUCT(1*EXACT('Casillas del horario'!$S$4:$S$73,"Profesor de F en 10-3"&amp;CHAR(31)&amp;$A8&amp;CHAR(31)&amp;E$3))-1)&amp;")",IF(ISNA(MATCH(1,INDEX(EXACT('Casillas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10-3"&amp;CHAR(31)&amp;$A8&amp;CHAR(31)&amp;E$3)*1,0),0)))))</f>
        <v/>
      </c>
      <c r="F8" s="3">
        <f>IF(SUMPRODUCT(1*EXACT('Casillas del horario'!$S$4:$S$73,"Profesor de F en 10-3"&amp;CHAR(31)&amp;$A8&amp;CHAR(31)&amp;F$3))&gt;1,IF(ISNA(MATCH(1,INDEX(EXACT('Casillas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10-3"&amp;CHAR(31)&amp;$A8&amp;CHAR(31)&amp;F$3)*1,0),0))))&amp;" (+"&amp;(SUMPRODUCT(1*EXACT('Casillas del horario'!$S$4:$S$73,"Profesor de F en 10-3"&amp;CHAR(31)&amp;$A8&amp;CHAR(31)&amp;F$3))-1)&amp;")",IF(ISNA(MATCH(1,INDEX(EXACT('Casillas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10-3"&amp;CHAR(31)&amp;$A9&amp;CHAR(31)&amp;B$3))&gt;1,IF(ISNA(MATCH(1,INDEX(EXACT('Casillas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10-3"&amp;CHAR(31)&amp;$A9&amp;CHAR(31)&amp;B$3)*1,0),0))))&amp;" (+"&amp;(SUMPRODUCT(1*EXACT('Casillas del horario'!$S$4:$S$73,"Profesor de F en 10-3"&amp;CHAR(31)&amp;$A9&amp;CHAR(31)&amp;B$3))-1)&amp;")",IF(ISNA(MATCH(1,INDEX(EXACT('Casillas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10-3"&amp;CHAR(31)&amp;$A9&amp;CHAR(31)&amp;B$3)*1,0),0)))))</f>
        <v/>
      </c>
      <c r="C9" s="3">
        <f>IF(SUMPRODUCT(1*EXACT('Casillas del horario'!$S$4:$S$73,"Profesor de F en 10-3"&amp;CHAR(31)&amp;$A9&amp;CHAR(31)&amp;C$3))&gt;1,IF(ISNA(MATCH(1,INDEX(EXACT('Casillas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10-3"&amp;CHAR(31)&amp;$A9&amp;CHAR(31)&amp;C$3)*1,0),0))))&amp;" (+"&amp;(SUMPRODUCT(1*EXACT('Casillas del horario'!$S$4:$S$73,"Profesor de F en 10-3"&amp;CHAR(31)&amp;$A9&amp;CHAR(31)&amp;C$3))-1)&amp;")",IF(ISNA(MATCH(1,INDEX(EXACT('Casillas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10-3"&amp;CHAR(31)&amp;$A9&amp;CHAR(31)&amp;C$3)*1,0),0)))))</f>
        <v/>
      </c>
      <c r="D9" s="3">
        <f>IF(SUMPRODUCT(1*EXACT('Casillas del horario'!$S$4:$S$73,"Profesor de F en 10-3"&amp;CHAR(31)&amp;$A9&amp;CHAR(31)&amp;D$3))&gt;1,IF(ISNA(MATCH(1,INDEX(EXACT('Casillas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10-3"&amp;CHAR(31)&amp;$A9&amp;CHAR(31)&amp;D$3)*1,0),0))))&amp;" (+"&amp;(SUMPRODUCT(1*EXACT('Casillas del horario'!$S$4:$S$73,"Profesor de F en 10-3"&amp;CHAR(31)&amp;$A9&amp;CHAR(31)&amp;D$3))-1)&amp;")",IF(ISNA(MATCH(1,INDEX(EXACT('Casillas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10-3"&amp;CHAR(31)&amp;$A9&amp;CHAR(31)&amp;D$3)*1,0),0)))))</f>
        <v/>
      </c>
      <c r="E9" s="3">
        <f>IF(SUMPRODUCT(1*EXACT('Casillas del horario'!$S$4:$S$73,"Profesor de F en 10-3"&amp;CHAR(31)&amp;$A9&amp;CHAR(31)&amp;E$3))&gt;1,IF(ISNA(MATCH(1,INDEX(EXACT('Casillas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10-3"&amp;CHAR(31)&amp;$A9&amp;CHAR(31)&amp;E$3)*1,0),0))))&amp;" (+"&amp;(SUMPRODUCT(1*EXACT('Casillas del horario'!$S$4:$S$73,"Profesor de F en 10-3"&amp;CHAR(31)&amp;$A9&amp;CHAR(31)&amp;E$3))-1)&amp;")",IF(ISNA(MATCH(1,INDEX(EXACT('Casillas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10-3"&amp;CHAR(31)&amp;$A9&amp;CHAR(31)&amp;E$3)*1,0),0)))))</f>
        <v/>
      </c>
      <c r="F9" s="3">
        <f>IF(SUMPRODUCT(1*EXACT('Casillas del horario'!$S$4:$S$73,"Profesor de F en 10-3"&amp;CHAR(31)&amp;$A9&amp;CHAR(31)&amp;F$3))&gt;1,IF(ISNA(MATCH(1,INDEX(EXACT('Casillas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10-3"&amp;CHAR(31)&amp;$A9&amp;CHAR(31)&amp;F$3)*1,0),0))))&amp;" (+"&amp;(SUMPRODUCT(1*EXACT('Casillas del horario'!$S$4:$S$73,"Profesor de F en 10-3"&amp;CHAR(31)&amp;$A9&amp;CHAR(31)&amp;F$3))-1)&amp;")",IF(ISNA(MATCH(1,INDEX(EXACT('Casillas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10-3"&amp;CHAR(31)&amp;$A10&amp;CHAR(31)&amp;B$3))&gt;1,IF(ISNA(MATCH(1,INDEX(EXACT('Casillas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10-3"&amp;CHAR(31)&amp;$A10&amp;CHAR(31)&amp;B$3)*1,0),0))))&amp;" (+"&amp;(SUMPRODUCT(1*EXACT('Casillas del horario'!$S$4:$S$73,"Profesor de F en 10-3"&amp;CHAR(31)&amp;$A10&amp;CHAR(31)&amp;B$3))-1)&amp;")",IF(ISNA(MATCH(1,INDEX(EXACT('Casillas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10-3"&amp;CHAR(31)&amp;$A10&amp;CHAR(31)&amp;B$3)*1,0),0)))))</f>
        <v/>
      </c>
      <c r="C10" s="3">
        <f>IF(SUMPRODUCT(1*EXACT('Casillas del horario'!$S$4:$S$73,"Profesor de F en 10-3"&amp;CHAR(31)&amp;$A10&amp;CHAR(31)&amp;C$3))&gt;1,IF(ISNA(MATCH(1,INDEX(EXACT('Casillas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10-3"&amp;CHAR(31)&amp;$A10&amp;CHAR(31)&amp;C$3)*1,0),0))))&amp;" (+"&amp;(SUMPRODUCT(1*EXACT('Casillas del horario'!$S$4:$S$73,"Profesor de F en 10-3"&amp;CHAR(31)&amp;$A10&amp;CHAR(31)&amp;C$3))-1)&amp;")",IF(ISNA(MATCH(1,INDEX(EXACT('Casillas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10-3"&amp;CHAR(31)&amp;$A10&amp;CHAR(31)&amp;C$3)*1,0),0)))))</f>
        <v/>
      </c>
      <c r="D10" s="3">
        <f>IF(SUMPRODUCT(1*EXACT('Casillas del horario'!$S$4:$S$73,"Profesor de F en 10-3"&amp;CHAR(31)&amp;$A10&amp;CHAR(31)&amp;D$3))&gt;1,IF(ISNA(MATCH(1,INDEX(EXACT('Casillas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10-3"&amp;CHAR(31)&amp;$A10&amp;CHAR(31)&amp;D$3)*1,0),0))))&amp;" (+"&amp;(SUMPRODUCT(1*EXACT('Casillas del horario'!$S$4:$S$73,"Profesor de F en 10-3"&amp;CHAR(31)&amp;$A10&amp;CHAR(31)&amp;D$3))-1)&amp;")",IF(ISNA(MATCH(1,INDEX(EXACT('Casillas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10-3"&amp;CHAR(31)&amp;$A10&amp;CHAR(31)&amp;D$3)*1,0),0)))))</f>
        <v/>
      </c>
      <c r="E10" s="3">
        <f>IF(SUMPRODUCT(1*EXACT('Casillas del horario'!$S$4:$S$73,"Profesor de F en 10-3"&amp;CHAR(31)&amp;$A10&amp;CHAR(31)&amp;E$3))&gt;1,IF(ISNA(MATCH(1,INDEX(EXACT('Casillas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10-3"&amp;CHAR(31)&amp;$A10&amp;CHAR(31)&amp;E$3)*1,0),0))))&amp;" (+"&amp;(SUMPRODUCT(1*EXACT('Casillas del horario'!$S$4:$S$73,"Profesor de F en 10-3"&amp;CHAR(31)&amp;$A10&amp;CHAR(31)&amp;E$3))-1)&amp;")",IF(ISNA(MATCH(1,INDEX(EXACT('Casillas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10-3"&amp;CHAR(31)&amp;$A10&amp;CHAR(31)&amp;E$3)*1,0),0)))))</f>
        <v/>
      </c>
      <c r="F10" s="3">
        <f>IF(SUMPRODUCT(1*EXACT('Casillas del horario'!$S$4:$S$73,"Profesor de F en 10-3"&amp;CHAR(31)&amp;$A10&amp;CHAR(31)&amp;F$3))&gt;1,IF(ISNA(MATCH(1,INDEX(EXACT('Casillas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10-3"&amp;CHAR(31)&amp;$A10&amp;CHAR(31)&amp;F$3)*1,0),0))))&amp;" (+"&amp;(SUMPRODUCT(1*EXACT('Casillas del horario'!$S$4:$S$73,"Profesor de F en 10-3"&amp;CHAR(31)&amp;$A10&amp;CHAR(31)&amp;F$3))-1)&amp;")",IF(ISNA(MATCH(1,INDEX(EXACT('Casillas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10-3"&amp;CHAR(31)&amp;$A4&amp;CHAR(31)&amp;B$3))&gt;1,IF(ISNA(MATCH(1,INDEX(EXACT('Casillas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10-3"&amp;CHAR(31)&amp;$A4&amp;CHAR(31)&amp;B$3)*1,0),0))))&amp;" (+"&amp;(SUMPRODUCT(1*EXACT('Casillas del horario'!$S$4:$S$73,"Profesor de I en 10-3"&amp;CHAR(31)&amp;$A4&amp;CHAR(31)&amp;B$3))-1)&amp;")",IF(ISNA(MATCH(1,INDEX(EXACT('Casillas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10-3"&amp;CHAR(31)&amp;$A4&amp;CHAR(31)&amp;B$3)*1,0),0)))))</f>
        <v/>
      </c>
      <c r="C4" s="3">
        <f>IF(SUMPRODUCT(1*EXACT('Casillas del horario'!$S$4:$S$73,"Profesor de I en 10-3"&amp;CHAR(31)&amp;$A4&amp;CHAR(31)&amp;C$3))&gt;1,IF(ISNA(MATCH(1,INDEX(EXACT('Casillas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10-3"&amp;CHAR(31)&amp;$A4&amp;CHAR(31)&amp;C$3)*1,0),0))))&amp;" (+"&amp;(SUMPRODUCT(1*EXACT('Casillas del horario'!$S$4:$S$73,"Profesor de I en 10-3"&amp;CHAR(31)&amp;$A4&amp;CHAR(31)&amp;C$3))-1)&amp;")",IF(ISNA(MATCH(1,INDEX(EXACT('Casillas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10-3"&amp;CHAR(31)&amp;$A4&amp;CHAR(31)&amp;C$3)*1,0),0)))))</f>
        <v/>
      </c>
      <c r="D4" s="3">
        <f>IF(SUMPRODUCT(1*EXACT('Casillas del horario'!$S$4:$S$73,"Profesor de I en 10-3"&amp;CHAR(31)&amp;$A4&amp;CHAR(31)&amp;D$3))&gt;1,IF(ISNA(MATCH(1,INDEX(EXACT('Casillas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10-3"&amp;CHAR(31)&amp;$A4&amp;CHAR(31)&amp;D$3)*1,0),0))))&amp;" (+"&amp;(SUMPRODUCT(1*EXACT('Casillas del horario'!$S$4:$S$73,"Profesor de I en 10-3"&amp;CHAR(31)&amp;$A4&amp;CHAR(31)&amp;D$3))-1)&amp;")",IF(ISNA(MATCH(1,INDEX(EXACT('Casillas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10-3"&amp;CHAR(31)&amp;$A4&amp;CHAR(31)&amp;D$3)*1,0),0)))))</f>
        <v/>
      </c>
      <c r="E4" s="3">
        <f>IF(SUMPRODUCT(1*EXACT('Casillas del horario'!$S$4:$S$73,"Profesor de I en 10-3"&amp;CHAR(31)&amp;$A4&amp;CHAR(31)&amp;E$3))&gt;1,IF(ISNA(MATCH(1,INDEX(EXACT('Casillas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10-3"&amp;CHAR(31)&amp;$A4&amp;CHAR(31)&amp;E$3)*1,0),0))))&amp;" (+"&amp;(SUMPRODUCT(1*EXACT('Casillas del horario'!$S$4:$S$73,"Profesor de I en 10-3"&amp;CHAR(31)&amp;$A4&amp;CHAR(31)&amp;E$3))-1)&amp;")",IF(ISNA(MATCH(1,INDEX(EXACT('Casillas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10-3"&amp;CHAR(31)&amp;$A4&amp;CHAR(31)&amp;E$3)*1,0),0)))))</f>
        <v/>
      </c>
      <c r="F4" s="3">
        <f>IF(SUMPRODUCT(1*EXACT('Casillas del horario'!$S$4:$S$73,"Profesor de I en 10-3"&amp;CHAR(31)&amp;$A4&amp;CHAR(31)&amp;F$3))&gt;1,IF(ISNA(MATCH(1,INDEX(EXACT('Casillas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10-3"&amp;CHAR(31)&amp;$A4&amp;CHAR(31)&amp;F$3)*1,0),0))))&amp;" (+"&amp;(SUMPRODUCT(1*EXACT('Casillas del horario'!$S$4:$S$73,"Profesor de I en 10-3"&amp;CHAR(31)&amp;$A4&amp;CHAR(31)&amp;F$3))-1)&amp;")",IF(ISNA(MATCH(1,INDEX(EXACT('Casillas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10-3"&amp;CHAR(31)&amp;$A5&amp;CHAR(31)&amp;B$3))&gt;1,IF(ISNA(MATCH(1,INDEX(EXACT('Casillas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10-3"&amp;CHAR(31)&amp;$A5&amp;CHAR(31)&amp;B$3)*1,0),0))))&amp;" (+"&amp;(SUMPRODUCT(1*EXACT('Casillas del horario'!$S$4:$S$73,"Profesor de I en 10-3"&amp;CHAR(31)&amp;$A5&amp;CHAR(31)&amp;B$3))-1)&amp;")",IF(ISNA(MATCH(1,INDEX(EXACT('Casillas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10-3"&amp;CHAR(31)&amp;$A5&amp;CHAR(31)&amp;B$3)*1,0),0)))))</f>
        <v/>
      </c>
      <c r="C5" s="3">
        <f>IF(SUMPRODUCT(1*EXACT('Casillas del horario'!$S$4:$S$73,"Profesor de I en 10-3"&amp;CHAR(31)&amp;$A5&amp;CHAR(31)&amp;C$3))&gt;1,IF(ISNA(MATCH(1,INDEX(EXACT('Casillas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10-3"&amp;CHAR(31)&amp;$A5&amp;CHAR(31)&amp;C$3)*1,0),0))))&amp;" (+"&amp;(SUMPRODUCT(1*EXACT('Casillas del horario'!$S$4:$S$73,"Profesor de I en 10-3"&amp;CHAR(31)&amp;$A5&amp;CHAR(31)&amp;C$3))-1)&amp;")",IF(ISNA(MATCH(1,INDEX(EXACT('Casillas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10-3"&amp;CHAR(31)&amp;$A5&amp;CHAR(31)&amp;C$3)*1,0),0)))))</f>
        <v/>
      </c>
      <c r="D5" s="3">
        <f>IF(SUMPRODUCT(1*EXACT('Casillas del horario'!$S$4:$S$73,"Profesor de I en 10-3"&amp;CHAR(31)&amp;$A5&amp;CHAR(31)&amp;D$3))&gt;1,IF(ISNA(MATCH(1,INDEX(EXACT('Casillas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10-3"&amp;CHAR(31)&amp;$A5&amp;CHAR(31)&amp;D$3)*1,0),0))))&amp;" (+"&amp;(SUMPRODUCT(1*EXACT('Casillas del horario'!$S$4:$S$73,"Profesor de I en 10-3"&amp;CHAR(31)&amp;$A5&amp;CHAR(31)&amp;D$3))-1)&amp;")",IF(ISNA(MATCH(1,INDEX(EXACT('Casillas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10-3"&amp;CHAR(31)&amp;$A5&amp;CHAR(31)&amp;D$3)*1,0),0)))))</f>
        <v/>
      </c>
      <c r="E5" s="3">
        <f>IF(SUMPRODUCT(1*EXACT('Casillas del horario'!$S$4:$S$73,"Profesor de I en 10-3"&amp;CHAR(31)&amp;$A5&amp;CHAR(31)&amp;E$3))&gt;1,IF(ISNA(MATCH(1,INDEX(EXACT('Casillas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10-3"&amp;CHAR(31)&amp;$A5&amp;CHAR(31)&amp;E$3)*1,0),0))))&amp;" (+"&amp;(SUMPRODUCT(1*EXACT('Casillas del horario'!$S$4:$S$73,"Profesor de I en 10-3"&amp;CHAR(31)&amp;$A5&amp;CHAR(31)&amp;E$3))-1)&amp;")",IF(ISNA(MATCH(1,INDEX(EXACT('Casillas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10-3"&amp;CHAR(31)&amp;$A5&amp;CHAR(31)&amp;E$3)*1,0),0)))))</f>
        <v/>
      </c>
      <c r="F5" s="3">
        <f>IF(SUMPRODUCT(1*EXACT('Casillas del horario'!$S$4:$S$73,"Profesor de I en 10-3"&amp;CHAR(31)&amp;$A5&amp;CHAR(31)&amp;F$3))&gt;1,IF(ISNA(MATCH(1,INDEX(EXACT('Casillas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10-3"&amp;CHAR(31)&amp;$A5&amp;CHAR(31)&amp;F$3)*1,0),0))))&amp;" (+"&amp;(SUMPRODUCT(1*EXACT('Casillas del horario'!$S$4:$S$73,"Profesor de I en 10-3"&amp;CHAR(31)&amp;$A5&amp;CHAR(31)&amp;F$3))-1)&amp;")",IF(ISNA(MATCH(1,INDEX(EXACT('Casillas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10-3"&amp;CHAR(31)&amp;$A6&amp;CHAR(31)&amp;B$3))&gt;1,IF(ISNA(MATCH(1,INDEX(EXACT('Casillas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10-3"&amp;CHAR(31)&amp;$A6&amp;CHAR(31)&amp;B$3)*1,0),0))))&amp;" (+"&amp;(SUMPRODUCT(1*EXACT('Casillas del horario'!$S$4:$S$73,"Profesor de I en 10-3"&amp;CHAR(31)&amp;$A6&amp;CHAR(31)&amp;B$3))-1)&amp;")",IF(ISNA(MATCH(1,INDEX(EXACT('Casillas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10-3"&amp;CHAR(31)&amp;$A6&amp;CHAR(31)&amp;B$3)*1,0),0)))))</f>
        <v/>
      </c>
      <c r="C6" s="3">
        <f>IF(SUMPRODUCT(1*EXACT('Casillas del horario'!$S$4:$S$73,"Profesor de I en 10-3"&amp;CHAR(31)&amp;$A6&amp;CHAR(31)&amp;C$3))&gt;1,IF(ISNA(MATCH(1,INDEX(EXACT('Casillas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10-3"&amp;CHAR(31)&amp;$A6&amp;CHAR(31)&amp;C$3)*1,0),0))))&amp;" (+"&amp;(SUMPRODUCT(1*EXACT('Casillas del horario'!$S$4:$S$73,"Profesor de I en 10-3"&amp;CHAR(31)&amp;$A6&amp;CHAR(31)&amp;C$3))-1)&amp;")",IF(ISNA(MATCH(1,INDEX(EXACT('Casillas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10-3"&amp;CHAR(31)&amp;$A6&amp;CHAR(31)&amp;C$3)*1,0),0)))))</f>
        <v/>
      </c>
      <c r="D6" s="3">
        <f>IF(SUMPRODUCT(1*EXACT('Casillas del horario'!$S$4:$S$73,"Profesor de I en 10-3"&amp;CHAR(31)&amp;$A6&amp;CHAR(31)&amp;D$3))&gt;1,IF(ISNA(MATCH(1,INDEX(EXACT('Casillas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10-3"&amp;CHAR(31)&amp;$A6&amp;CHAR(31)&amp;D$3)*1,0),0))))&amp;" (+"&amp;(SUMPRODUCT(1*EXACT('Casillas del horario'!$S$4:$S$73,"Profesor de I en 10-3"&amp;CHAR(31)&amp;$A6&amp;CHAR(31)&amp;D$3))-1)&amp;")",IF(ISNA(MATCH(1,INDEX(EXACT('Casillas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10-3"&amp;CHAR(31)&amp;$A6&amp;CHAR(31)&amp;D$3)*1,0),0)))))</f>
        <v/>
      </c>
      <c r="E6" s="3">
        <f>IF(SUMPRODUCT(1*EXACT('Casillas del horario'!$S$4:$S$73,"Profesor de I en 10-3"&amp;CHAR(31)&amp;$A6&amp;CHAR(31)&amp;E$3))&gt;1,IF(ISNA(MATCH(1,INDEX(EXACT('Casillas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10-3"&amp;CHAR(31)&amp;$A6&amp;CHAR(31)&amp;E$3)*1,0),0))))&amp;" (+"&amp;(SUMPRODUCT(1*EXACT('Casillas del horario'!$S$4:$S$73,"Profesor de I en 10-3"&amp;CHAR(31)&amp;$A6&amp;CHAR(31)&amp;E$3))-1)&amp;")",IF(ISNA(MATCH(1,INDEX(EXACT('Casillas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10-3"&amp;CHAR(31)&amp;$A6&amp;CHAR(31)&amp;E$3)*1,0),0)))))</f>
        <v/>
      </c>
      <c r="F6" s="3">
        <f>IF(SUMPRODUCT(1*EXACT('Casillas del horario'!$S$4:$S$73,"Profesor de I en 10-3"&amp;CHAR(31)&amp;$A6&amp;CHAR(31)&amp;F$3))&gt;1,IF(ISNA(MATCH(1,INDEX(EXACT('Casillas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10-3"&amp;CHAR(31)&amp;$A6&amp;CHAR(31)&amp;F$3)*1,0),0))))&amp;" (+"&amp;(SUMPRODUCT(1*EXACT('Casillas del horario'!$S$4:$S$73,"Profesor de I en 10-3"&amp;CHAR(31)&amp;$A6&amp;CHAR(31)&amp;F$3))-1)&amp;")",IF(ISNA(MATCH(1,INDEX(EXACT('Casillas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10-3"&amp;CHAR(31)&amp;$A7&amp;CHAR(31)&amp;B$3))&gt;1,IF(ISNA(MATCH(1,INDEX(EXACT('Casillas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10-3"&amp;CHAR(31)&amp;$A7&amp;CHAR(31)&amp;B$3)*1,0),0))))&amp;" (+"&amp;(SUMPRODUCT(1*EXACT('Casillas del horario'!$S$4:$S$73,"Profesor de I en 10-3"&amp;CHAR(31)&amp;$A7&amp;CHAR(31)&amp;B$3))-1)&amp;")",IF(ISNA(MATCH(1,INDEX(EXACT('Casillas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10-3"&amp;CHAR(31)&amp;$A7&amp;CHAR(31)&amp;B$3)*1,0),0)))))</f>
        <v/>
      </c>
      <c r="C7" s="3">
        <f>IF(SUMPRODUCT(1*EXACT('Casillas del horario'!$S$4:$S$73,"Profesor de I en 10-3"&amp;CHAR(31)&amp;$A7&amp;CHAR(31)&amp;C$3))&gt;1,IF(ISNA(MATCH(1,INDEX(EXACT('Casillas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10-3"&amp;CHAR(31)&amp;$A7&amp;CHAR(31)&amp;C$3)*1,0),0))))&amp;" (+"&amp;(SUMPRODUCT(1*EXACT('Casillas del horario'!$S$4:$S$73,"Profesor de I en 10-3"&amp;CHAR(31)&amp;$A7&amp;CHAR(31)&amp;C$3))-1)&amp;")",IF(ISNA(MATCH(1,INDEX(EXACT('Casillas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10-3"&amp;CHAR(31)&amp;$A7&amp;CHAR(31)&amp;C$3)*1,0),0)))))</f>
        <v/>
      </c>
      <c r="D7" s="3">
        <f>IF(SUMPRODUCT(1*EXACT('Casillas del horario'!$S$4:$S$73,"Profesor de I en 10-3"&amp;CHAR(31)&amp;$A7&amp;CHAR(31)&amp;D$3))&gt;1,IF(ISNA(MATCH(1,INDEX(EXACT('Casillas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10-3"&amp;CHAR(31)&amp;$A7&amp;CHAR(31)&amp;D$3)*1,0),0))))&amp;" (+"&amp;(SUMPRODUCT(1*EXACT('Casillas del horario'!$S$4:$S$73,"Profesor de I en 10-3"&amp;CHAR(31)&amp;$A7&amp;CHAR(31)&amp;D$3))-1)&amp;")",IF(ISNA(MATCH(1,INDEX(EXACT('Casillas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10-3"&amp;CHAR(31)&amp;$A7&amp;CHAR(31)&amp;D$3)*1,0),0)))))</f>
        <v/>
      </c>
      <c r="E7" s="3">
        <f>IF(SUMPRODUCT(1*EXACT('Casillas del horario'!$S$4:$S$73,"Profesor de I en 10-3"&amp;CHAR(31)&amp;$A7&amp;CHAR(31)&amp;E$3))&gt;1,IF(ISNA(MATCH(1,INDEX(EXACT('Casillas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10-3"&amp;CHAR(31)&amp;$A7&amp;CHAR(31)&amp;E$3)*1,0),0))))&amp;" (+"&amp;(SUMPRODUCT(1*EXACT('Casillas del horario'!$S$4:$S$73,"Profesor de I en 10-3"&amp;CHAR(31)&amp;$A7&amp;CHAR(31)&amp;E$3))-1)&amp;")",IF(ISNA(MATCH(1,INDEX(EXACT('Casillas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10-3"&amp;CHAR(31)&amp;$A7&amp;CHAR(31)&amp;E$3)*1,0),0)))))</f>
        <v/>
      </c>
      <c r="F7" s="3">
        <f>IF(SUMPRODUCT(1*EXACT('Casillas del horario'!$S$4:$S$73,"Profesor de I en 10-3"&amp;CHAR(31)&amp;$A7&amp;CHAR(31)&amp;F$3))&gt;1,IF(ISNA(MATCH(1,INDEX(EXACT('Casillas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10-3"&amp;CHAR(31)&amp;$A7&amp;CHAR(31)&amp;F$3)*1,0),0))))&amp;" (+"&amp;(SUMPRODUCT(1*EXACT('Casillas del horario'!$S$4:$S$73,"Profesor de I en 10-3"&amp;CHAR(31)&amp;$A7&amp;CHAR(31)&amp;F$3))-1)&amp;")",IF(ISNA(MATCH(1,INDEX(EXACT('Casillas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10-3"&amp;CHAR(31)&amp;$A8&amp;CHAR(31)&amp;B$3))&gt;1,IF(ISNA(MATCH(1,INDEX(EXACT('Casillas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10-3"&amp;CHAR(31)&amp;$A8&amp;CHAR(31)&amp;B$3)*1,0),0))))&amp;" (+"&amp;(SUMPRODUCT(1*EXACT('Casillas del horario'!$S$4:$S$73,"Profesor de I en 10-3"&amp;CHAR(31)&amp;$A8&amp;CHAR(31)&amp;B$3))-1)&amp;")",IF(ISNA(MATCH(1,INDEX(EXACT('Casillas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10-3"&amp;CHAR(31)&amp;$A8&amp;CHAR(31)&amp;B$3)*1,0),0)))))</f>
        <v/>
      </c>
      <c r="C8" s="3">
        <f>IF(SUMPRODUCT(1*EXACT('Casillas del horario'!$S$4:$S$73,"Profesor de I en 10-3"&amp;CHAR(31)&amp;$A8&amp;CHAR(31)&amp;C$3))&gt;1,IF(ISNA(MATCH(1,INDEX(EXACT('Casillas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10-3"&amp;CHAR(31)&amp;$A8&amp;CHAR(31)&amp;C$3)*1,0),0))))&amp;" (+"&amp;(SUMPRODUCT(1*EXACT('Casillas del horario'!$S$4:$S$73,"Profesor de I en 10-3"&amp;CHAR(31)&amp;$A8&amp;CHAR(31)&amp;C$3))-1)&amp;")",IF(ISNA(MATCH(1,INDEX(EXACT('Casillas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10-3"&amp;CHAR(31)&amp;$A8&amp;CHAR(31)&amp;C$3)*1,0),0)))))</f>
        <v/>
      </c>
      <c r="D8" s="3">
        <f>IF(SUMPRODUCT(1*EXACT('Casillas del horario'!$S$4:$S$73,"Profesor de I en 10-3"&amp;CHAR(31)&amp;$A8&amp;CHAR(31)&amp;D$3))&gt;1,IF(ISNA(MATCH(1,INDEX(EXACT('Casillas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10-3"&amp;CHAR(31)&amp;$A8&amp;CHAR(31)&amp;D$3)*1,0),0))))&amp;" (+"&amp;(SUMPRODUCT(1*EXACT('Casillas del horario'!$S$4:$S$73,"Profesor de I en 10-3"&amp;CHAR(31)&amp;$A8&amp;CHAR(31)&amp;D$3))-1)&amp;")",IF(ISNA(MATCH(1,INDEX(EXACT('Casillas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10-3"&amp;CHAR(31)&amp;$A8&amp;CHAR(31)&amp;D$3)*1,0),0)))))</f>
        <v/>
      </c>
      <c r="E8" s="3">
        <f>IF(SUMPRODUCT(1*EXACT('Casillas del horario'!$S$4:$S$73,"Profesor de I en 10-3"&amp;CHAR(31)&amp;$A8&amp;CHAR(31)&amp;E$3))&gt;1,IF(ISNA(MATCH(1,INDEX(EXACT('Casillas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10-3"&amp;CHAR(31)&amp;$A8&amp;CHAR(31)&amp;E$3)*1,0),0))))&amp;" (+"&amp;(SUMPRODUCT(1*EXACT('Casillas del horario'!$S$4:$S$73,"Profesor de I en 10-3"&amp;CHAR(31)&amp;$A8&amp;CHAR(31)&amp;E$3))-1)&amp;")",IF(ISNA(MATCH(1,INDEX(EXACT('Casillas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10-3"&amp;CHAR(31)&amp;$A8&amp;CHAR(31)&amp;E$3)*1,0),0)))))</f>
        <v/>
      </c>
      <c r="F8" s="3">
        <f>IF(SUMPRODUCT(1*EXACT('Casillas del horario'!$S$4:$S$73,"Profesor de I en 10-3"&amp;CHAR(31)&amp;$A8&amp;CHAR(31)&amp;F$3))&gt;1,IF(ISNA(MATCH(1,INDEX(EXACT('Casillas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10-3"&amp;CHAR(31)&amp;$A8&amp;CHAR(31)&amp;F$3)*1,0),0))))&amp;" (+"&amp;(SUMPRODUCT(1*EXACT('Casillas del horario'!$S$4:$S$73,"Profesor de I en 10-3"&amp;CHAR(31)&amp;$A8&amp;CHAR(31)&amp;F$3))-1)&amp;")",IF(ISNA(MATCH(1,INDEX(EXACT('Casillas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10-3"&amp;CHAR(31)&amp;$A9&amp;CHAR(31)&amp;B$3))&gt;1,IF(ISNA(MATCH(1,INDEX(EXACT('Casillas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10-3"&amp;CHAR(31)&amp;$A9&amp;CHAR(31)&amp;B$3)*1,0),0))))&amp;" (+"&amp;(SUMPRODUCT(1*EXACT('Casillas del horario'!$S$4:$S$73,"Profesor de I en 10-3"&amp;CHAR(31)&amp;$A9&amp;CHAR(31)&amp;B$3))-1)&amp;")",IF(ISNA(MATCH(1,INDEX(EXACT('Casillas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10-3"&amp;CHAR(31)&amp;$A9&amp;CHAR(31)&amp;B$3)*1,0),0)))))</f>
        <v/>
      </c>
      <c r="C9" s="3">
        <f>IF(SUMPRODUCT(1*EXACT('Casillas del horario'!$S$4:$S$73,"Profesor de I en 10-3"&amp;CHAR(31)&amp;$A9&amp;CHAR(31)&amp;C$3))&gt;1,IF(ISNA(MATCH(1,INDEX(EXACT('Casillas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10-3"&amp;CHAR(31)&amp;$A9&amp;CHAR(31)&amp;C$3)*1,0),0))))&amp;" (+"&amp;(SUMPRODUCT(1*EXACT('Casillas del horario'!$S$4:$S$73,"Profesor de I en 10-3"&amp;CHAR(31)&amp;$A9&amp;CHAR(31)&amp;C$3))-1)&amp;")",IF(ISNA(MATCH(1,INDEX(EXACT('Casillas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10-3"&amp;CHAR(31)&amp;$A9&amp;CHAR(31)&amp;C$3)*1,0),0)))))</f>
        <v/>
      </c>
      <c r="D9" s="3">
        <f>IF(SUMPRODUCT(1*EXACT('Casillas del horario'!$S$4:$S$73,"Profesor de I en 10-3"&amp;CHAR(31)&amp;$A9&amp;CHAR(31)&amp;D$3))&gt;1,IF(ISNA(MATCH(1,INDEX(EXACT('Casillas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10-3"&amp;CHAR(31)&amp;$A9&amp;CHAR(31)&amp;D$3)*1,0),0))))&amp;" (+"&amp;(SUMPRODUCT(1*EXACT('Casillas del horario'!$S$4:$S$73,"Profesor de I en 10-3"&amp;CHAR(31)&amp;$A9&amp;CHAR(31)&amp;D$3))-1)&amp;")",IF(ISNA(MATCH(1,INDEX(EXACT('Casillas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10-3"&amp;CHAR(31)&amp;$A9&amp;CHAR(31)&amp;D$3)*1,0),0)))))</f>
        <v/>
      </c>
      <c r="E9" s="3">
        <f>IF(SUMPRODUCT(1*EXACT('Casillas del horario'!$S$4:$S$73,"Profesor de I en 10-3"&amp;CHAR(31)&amp;$A9&amp;CHAR(31)&amp;E$3))&gt;1,IF(ISNA(MATCH(1,INDEX(EXACT('Casillas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10-3"&amp;CHAR(31)&amp;$A9&amp;CHAR(31)&amp;E$3)*1,0),0))))&amp;" (+"&amp;(SUMPRODUCT(1*EXACT('Casillas del horario'!$S$4:$S$73,"Profesor de I en 10-3"&amp;CHAR(31)&amp;$A9&amp;CHAR(31)&amp;E$3))-1)&amp;")",IF(ISNA(MATCH(1,INDEX(EXACT('Casillas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10-3"&amp;CHAR(31)&amp;$A9&amp;CHAR(31)&amp;E$3)*1,0),0)))))</f>
        <v/>
      </c>
      <c r="F9" s="3">
        <f>IF(SUMPRODUCT(1*EXACT('Casillas del horario'!$S$4:$S$73,"Profesor de I en 10-3"&amp;CHAR(31)&amp;$A9&amp;CHAR(31)&amp;F$3))&gt;1,IF(ISNA(MATCH(1,INDEX(EXACT('Casillas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10-3"&amp;CHAR(31)&amp;$A9&amp;CHAR(31)&amp;F$3)*1,0),0))))&amp;" (+"&amp;(SUMPRODUCT(1*EXACT('Casillas del horario'!$S$4:$S$73,"Profesor de I en 10-3"&amp;CHAR(31)&amp;$A9&amp;CHAR(31)&amp;F$3))-1)&amp;")",IF(ISNA(MATCH(1,INDEX(EXACT('Casillas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10-3"&amp;CHAR(31)&amp;$A10&amp;CHAR(31)&amp;B$3))&gt;1,IF(ISNA(MATCH(1,INDEX(EXACT('Casillas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10-3"&amp;CHAR(31)&amp;$A10&amp;CHAR(31)&amp;B$3)*1,0),0))))&amp;" (+"&amp;(SUMPRODUCT(1*EXACT('Casillas del horario'!$S$4:$S$73,"Profesor de I en 10-3"&amp;CHAR(31)&amp;$A10&amp;CHAR(31)&amp;B$3))-1)&amp;")",IF(ISNA(MATCH(1,INDEX(EXACT('Casillas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10-3"&amp;CHAR(31)&amp;$A10&amp;CHAR(31)&amp;B$3)*1,0),0)))))</f>
        <v/>
      </c>
      <c r="C10" s="3">
        <f>IF(SUMPRODUCT(1*EXACT('Casillas del horario'!$S$4:$S$73,"Profesor de I en 10-3"&amp;CHAR(31)&amp;$A10&amp;CHAR(31)&amp;C$3))&gt;1,IF(ISNA(MATCH(1,INDEX(EXACT('Casillas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10-3"&amp;CHAR(31)&amp;$A10&amp;CHAR(31)&amp;C$3)*1,0),0))))&amp;" (+"&amp;(SUMPRODUCT(1*EXACT('Casillas del horario'!$S$4:$S$73,"Profesor de I en 10-3"&amp;CHAR(31)&amp;$A10&amp;CHAR(31)&amp;C$3))-1)&amp;")",IF(ISNA(MATCH(1,INDEX(EXACT('Casillas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10-3"&amp;CHAR(31)&amp;$A10&amp;CHAR(31)&amp;C$3)*1,0),0)))))</f>
        <v/>
      </c>
      <c r="D10" s="3">
        <f>IF(SUMPRODUCT(1*EXACT('Casillas del horario'!$S$4:$S$73,"Profesor de I en 10-3"&amp;CHAR(31)&amp;$A10&amp;CHAR(31)&amp;D$3))&gt;1,IF(ISNA(MATCH(1,INDEX(EXACT('Casillas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10-3"&amp;CHAR(31)&amp;$A10&amp;CHAR(31)&amp;D$3)*1,0),0))))&amp;" (+"&amp;(SUMPRODUCT(1*EXACT('Casillas del horario'!$S$4:$S$73,"Profesor de I en 10-3"&amp;CHAR(31)&amp;$A10&amp;CHAR(31)&amp;D$3))-1)&amp;")",IF(ISNA(MATCH(1,INDEX(EXACT('Casillas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10-3"&amp;CHAR(31)&amp;$A10&amp;CHAR(31)&amp;D$3)*1,0),0)))))</f>
        <v/>
      </c>
      <c r="E10" s="3">
        <f>IF(SUMPRODUCT(1*EXACT('Casillas del horario'!$S$4:$S$73,"Profesor de I en 10-3"&amp;CHAR(31)&amp;$A10&amp;CHAR(31)&amp;E$3))&gt;1,IF(ISNA(MATCH(1,INDEX(EXACT('Casillas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10-3"&amp;CHAR(31)&amp;$A10&amp;CHAR(31)&amp;E$3)*1,0),0))))&amp;" (+"&amp;(SUMPRODUCT(1*EXACT('Casillas del horario'!$S$4:$S$73,"Profesor de I en 10-3"&amp;CHAR(31)&amp;$A10&amp;CHAR(31)&amp;E$3))-1)&amp;")",IF(ISNA(MATCH(1,INDEX(EXACT('Casillas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10-3"&amp;CHAR(31)&amp;$A10&amp;CHAR(31)&amp;E$3)*1,0),0)))))</f>
        <v/>
      </c>
      <c r="F10" s="3">
        <f>IF(SUMPRODUCT(1*EXACT('Casillas del horario'!$S$4:$S$73,"Profesor de I en 10-3"&amp;CHAR(31)&amp;$A10&amp;CHAR(31)&amp;F$3))&gt;1,IF(ISNA(MATCH(1,INDEX(EXACT('Casillas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10-3"&amp;CHAR(31)&amp;$A10&amp;CHAR(31)&amp;F$3)*1,0),0))))&amp;" (+"&amp;(SUMPRODUCT(1*EXACT('Casillas del horario'!$S$4:$S$73,"Profesor de I en 10-3"&amp;CHAR(31)&amp;$A10&amp;CHAR(31)&amp;F$3))-1)&amp;")",IF(ISNA(MATCH(1,INDEX(EXACT('Casillas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10-3"&amp;CHAR(31)&amp;$A4&amp;CHAR(31)&amp;B$3))&gt;1,IF(ISNA(MATCH(1,INDEX(EXACT('Casillas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10-3"&amp;CHAR(31)&amp;$A4&amp;CHAR(31)&amp;B$3)*1,0),0))))&amp;" (+"&amp;(SUMPRODUCT(1*EXACT('Casillas del horario'!$S$4:$S$73,"Profesor de H en 10-3"&amp;CHAR(31)&amp;$A4&amp;CHAR(31)&amp;B$3))-1)&amp;")",IF(ISNA(MATCH(1,INDEX(EXACT('Casillas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10-3"&amp;CHAR(31)&amp;$A4&amp;CHAR(31)&amp;B$3)*1,0),0)))))</f>
        <v/>
      </c>
      <c r="C4" s="3">
        <f>IF(SUMPRODUCT(1*EXACT('Casillas del horario'!$S$4:$S$73,"Profesor de H en 10-3"&amp;CHAR(31)&amp;$A4&amp;CHAR(31)&amp;C$3))&gt;1,IF(ISNA(MATCH(1,INDEX(EXACT('Casillas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10-3"&amp;CHAR(31)&amp;$A4&amp;CHAR(31)&amp;C$3)*1,0),0))))&amp;" (+"&amp;(SUMPRODUCT(1*EXACT('Casillas del horario'!$S$4:$S$73,"Profesor de H en 10-3"&amp;CHAR(31)&amp;$A4&amp;CHAR(31)&amp;C$3))-1)&amp;")",IF(ISNA(MATCH(1,INDEX(EXACT('Casillas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10-3"&amp;CHAR(31)&amp;$A4&amp;CHAR(31)&amp;C$3)*1,0),0)))))</f>
        <v/>
      </c>
      <c r="D4" s="3">
        <f>IF(SUMPRODUCT(1*EXACT('Casillas del horario'!$S$4:$S$73,"Profesor de H en 10-3"&amp;CHAR(31)&amp;$A4&amp;CHAR(31)&amp;D$3))&gt;1,IF(ISNA(MATCH(1,INDEX(EXACT('Casillas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10-3"&amp;CHAR(31)&amp;$A4&amp;CHAR(31)&amp;D$3)*1,0),0))))&amp;" (+"&amp;(SUMPRODUCT(1*EXACT('Casillas del horario'!$S$4:$S$73,"Profesor de H en 10-3"&amp;CHAR(31)&amp;$A4&amp;CHAR(31)&amp;D$3))-1)&amp;")",IF(ISNA(MATCH(1,INDEX(EXACT('Casillas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10-3"&amp;CHAR(31)&amp;$A4&amp;CHAR(31)&amp;D$3)*1,0),0)))))</f>
        <v/>
      </c>
      <c r="E4" s="3">
        <f>IF(SUMPRODUCT(1*EXACT('Casillas del horario'!$S$4:$S$73,"Profesor de H en 10-3"&amp;CHAR(31)&amp;$A4&amp;CHAR(31)&amp;E$3))&gt;1,IF(ISNA(MATCH(1,INDEX(EXACT('Casillas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10-3"&amp;CHAR(31)&amp;$A4&amp;CHAR(31)&amp;E$3)*1,0),0))))&amp;" (+"&amp;(SUMPRODUCT(1*EXACT('Casillas del horario'!$S$4:$S$73,"Profesor de H en 10-3"&amp;CHAR(31)&amp;$A4&amp;CHAR(31)&amp;E$3))-1)&amp;")",IF(ISNA(MATCH(1,INDEX(EXACT('Casillas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10-3"&amp;CHAR(31)&amp;$A4&amp;CHAR(31)&amp;E$3)*1,0),0)))))</f>
        <v/>
      </c>
      <c r="F4" s="3">
        <f>IF(SUMPRODUCT(1*EXACT('Casillas del horario'!$S$4:$S$73,"Profesor de H en 10-3"&amp;CHAR(31)&amp;$A4&amp;CHAR(31)&amp;F$3))&gt;1,IF(ISNA(MATCH(1,INDEX(EXACT('Casillas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10-3"&amp;CHAR(31)&amp;$A4&amp;CHAR(31)&amp;F$3)*1,0),0))))&amp;" (+"&amp;(SUMPRODUCT(1*EXACT('Casillas del horario'!$S$4:$S$73,"Profesor de H en 10-3"&amp;CHAR(31)&amp;$A4&amp;CHAR(31)&amp;F$3))-1)&amp;")",IF(ISNA(MATCH(1,INDEX(EXACT('Casillas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10-3"&amp;CHAR(31)&amp;$A5&amp;CHAR(31)&amp;B$3))&gt;1,IF(ISNA(MATCH(1,INDEX(EXACT('Casillas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10-3"&amp;CHAR(31)&amp;$A5&amp;CHAR(31)&amp;B$3)*1,0),0))))&amp;" (+"&amp;(SUMPRODUCT(1*EXACT('Casillas del horario'!$S$4:$S$73,"Profesor de H en 10-3"&amp;CHAR(31)&amp;$A5&amp;CHAR(31)&amp;B$3))-1)&amp;")",IF(ISNA(MATCH(1,INDEX(EXACT('Casillas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10-3"&amp;CHAR(31)&amp;$A5&amp;CHAR(31)&amp;B$3)*1,0),0)))))</f>
        <v/>
      </c>
      <c r="C5" s="3">
        <f>IF(SUMPRODUCT(1*EXACT('Casillas del horario'!$S$4:$S$73,"Profesor de H en 10-3"&amp;CHAR(31)&amp;$A5&amp;CHAR(31)&amp;C$3))&gt;1,IF(ISNA(MATCH(1,INDEX(EXACT('Casillas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10-3"&amp;CHAR(31)&amp;$A5&amp;CHAR(31)&amp;C$3)*1,0),0))))&amp;" (+"&amp;(SUMPRODUCT(1*EXACT('Casillas del horario'!$S$4:$S$73,"Profesor de H en 10-3"&amp;CHAR(31)&amp;$A5&amp;CHAR(31)&amp;C$3))-1)&amp;")",IF(ISNA(MATCH(1,INDEX(EXACT('Casillas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10-3"&amp;CHAR(31)&amp;$A5&amp;CHAR(31)&amp;C$3)*1,0),0)))))</f>
        <v/>
      </c>
      <c r="D5" s="3">
        <f>IF(SUMPRODUCT(1*EXACT('Casillas del horario'!$S$4:$S$73,"Profesor de H en 10-3"&amp;CHAR(31)&amp;$A5&amp;CHAR(31)&amp;D$3))&gt;1,IF(ISNA(MATCH(1,INDEX(EXACT('Casillas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10-3"&amp;CHAR(31)&amp;$A5&amp;CHAR(31)&amp;D$3)*1,0),0))))&amp;" (+"&amp;(SUMPRODUCT(1*EXACT('Casillas del horario'!$S$4:$S$73,"Profesor de H en 10-3"&amp;CHAR(31)&amp;$A5&amp;CHAR(31)&amp;D$3))-1)&amp;")",IF(ISNA(MATCH(1,INDEX(EXACT('Casillas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10-3"&amp;CHAR(31)&amp;$A5&amp;CHAR(31)&amp;D$3)*1,0),0)))))</f>
        <v/>
      </c>
      <c r="E5" s="3">
        <f>IF(SUMPRODUCT(1*EXACT('Casillas del horario'!$S$4:$S$73,"Profesor de H en 10-3"&amp;CHAR(31)&amp;$A5&amp;CHAR(31)&amp;E$3))&gt;1,IF(ISNA(MATCH(1,INDEX(EXACT('Casillas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10-3"&amp;CHAR(31)&amp;$A5&amp;CHAR(31)&amp;E$3)*1,0),0))))&amp;" (+"&amp;(SUMPRODUCT(1*EXACT('Casillas del horario'!$S$4:$S$73,"Profesor de H en 10-3"&amp;CHAR(31)&amp;$A5&amp;CHAR(31)&amp;E$3))-1)&amp;")",IF(ISNA(MATCH(1,INDEX(EXACT('Casillas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10-3"&amp;CHAR(31)&amp;$A5&amp;CHAR(31)&amp;E$3)*1,0),0)))))</f>
        <v/>
      </c>
      <c r="F5" s="3">
        <f>IF(SUMPRODUCT(1*EXACT('Casillas del horario'!$S$4:$S$73,"Profesor de H en 10-3"&amp;CHAR(31)&amp;$A5&amp;CHAR(31)&amp;F$3))&gt;1,IF(ISNA(MATCH(1,INDEX(EXACT('Casillas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10-3"&amp;CHAR(31)&amp;$A5&amp;CHAR(31)&amp;F$3)*1,0),0))))&amp;" (+"&amp;(SUMPRODUCT(1*EXACT('Casillas del horario'!$S$4:$S$73,"Profesor de H en 10-3"&amp;CHAR(31)&amp;$A5&amp;CHAR(31)&amp;F$3))-1)&amp;")",IF(ISNA(MATCH(1,INDEX(EXACT('Casillas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10-3"&amp;CHAR(31)&amp;$A6&amp;CHAR(31)&amp;B$3))&gt;1,IF(ISNA(MATCH(1,INDEX(EXACT('Casillas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10-3"&amp;CHAR(31)&amp;$A6&amp;CHAR(31)&amp;B$3)*1,0),0))))&amp;" (+"&amp;(SUMPRODUCT(1*EXACT('Casillas del horario'!$S$4:$S$73,"Profesor de H en 10-3"&amp;CHAR(31)&amp;$A6&amp;CHAR(31)&amp;B$3))-1)&amp;")",IF(ISNA(MATCH(1,INDEX(EXACT('Casillas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10-3"&amp;CHAR(31)&amp;$A6&amp;CHAR(31)&amp;B$3)*1,0),0)))))</f>
        <v/>
      </c>
      <c r="C6" s="3">
        <f>IF(SUMPRODUCT(1*EXACT('Casillas del horario'!$S$4:$S$73,"Profesor de H en 10-3"&amp;CHAR(31)&amp;$A6&amp;CHAR(31)&amp;C$3))&gt;1,IF(ISNA(MATCH(1,INDEX(EXACT('Casillas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10-3"&amp;CHAR(31)&amp;$A6&amp;CHAR(31)&amp;C$3)*1,0),0))))&amp;" (+"&amp;(SUMPRODUCT(1*EXACT('Casillas del horario'!$S$4:$S$73,"Profesor de H en 10-3"&amp;CHAR(31)&amp;$A6&amp;CHAR(31)&amp;C$3))-1)&amp;")",IF(ISNA(MATCH(1,INDEX(EXACT('Casillas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10-3"&amp;CHAR(31)&amp;$A6&amp;CHAR(31)&amp;C$3)*1,0),0)))))</f>
        <v/>
      </c>
      <c r="D6" s="3">
        <f>IF(SUMPRODUCT(1*EXACT('Casillas del horario'!$S$4:$S$73,"Profesor de H en 10-3"&amp;CHAR(31)&amp;$A6&amp;CHAR(31)&amp;D$3))&gt;1,IF(ISNA(MATCH(1,INDEX(EXACT('Casillas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10-3"&amp;CHAR(31)&amp;$A6&amp;CHAR(31)&amp;D$3)*1,0),0))))&amp;" (+"&amp;(SUMPRODUCT(1*EXACT('Casillas del horario'!$S$4:$S$73,"Profesor de H en 10-3"&amp;CHAR(31)&amp;$A6&amp;CHAR(31)&amp;D$3))-1)&amp;")",IF(ISNA(MATCH(1,INDEX(EXACT('Casillas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10-3"&amp;CHAR(31)&amp;$A6&amp;CHAR(31)&amp;D$3)*1,0),0)))))</f>
        <v/>
      </c>
      <c r="E6" s="3">
        <f>IF(SUMPRODUCT(1*EXACT('Casillas del horario'!$S$4:$S$73,"Profesor de H en 10-3"&amp;CHAR(31)&amp;$A6&amp;CHAR(31)&amp;E$3))&gt;1,IF(ISNA(MATCH(1,INDEX(EXACT('Casillas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10-3"&amp;CHAR(31)&amp;$A6&amp;CHAR(31)&amp;E$3)*1,0),0))))&amp;" (+"&amp;(SUMPRODUCT(1*EXACT('Casillas del horario'!$S$4:$S$73,"Profesor de H en 10-3"&amp;CHAR(31)&amp;$A6&amp;CHAR(31)&amp;E$3))-1)&amp;")",IF(ISNA(MATCH(1,INDEX(EXACT('Casillas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10-3"&amp;CHAR(31)&amp;$A6&amp;CHAR(31)&amp;E$3)*1,0),0)))))</f>
        <v/>
      </c>
      <c r="F6" s="3">
        <f>IF(SUMPRODUCT(1*EXACT('Casillas del horario'!$S$4:$S$73,"Profesor de H en 10-3"&amp;CHAR(31)&amp;$A6&amp;CHAR(31)&amp;F$3))&gt;1,IF(ISNA(MATCH(1,INDEX(EXACT('Casillas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10-3"&amp;CHAR(31)&amp;$A6&amp;CHAR(31)&amp;F$3)*1,0),0))))&amp;" (+"&amp;(SUMPRODUCT(1*EXACT('Casillas del horario'!$S$4:$S$73,"Profesor de H en 10-3"&amp;CHAR(31)&amp;$A6&amp;CHAR(31)&amp;F$3))-1)&amp;")",IF(ISNA(MATCH(1,INDEX(EXACT('Casillas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10-3"&amp;CHAR(31)&amp;$A7&amp;CHAR(31)&amp;B$3))&gt;1,IF(ISNA(MATCH(1,INDEX(EXACT('Casillas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10-3"&amp;CHAR(31)&amp;$A7&amp;CHAR(31)&amp;B$3)*1,0),0))))&amp;" (+"&amp;(SUMPRODUCT(1*EXACT('Casillas del horario'!$S$4:$S$73,"Profesor de H en 10-3"&amp;CHAR(31)&amp;$A7&amp;CHAR(31)&amp;B$3))-1)&amp;")",IF(ISNA(MATCH(1,INDEX(EXACT('Casillas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10-3"&amp;CHAR(31)&amp;$A7&amp;CHAR(31)&amp;B$3)*1,0),0)))))</f>
        <v/>
      </c>
      <c r="C7" s="3">
        <f>IF(SUMPRODUCT(1*EXACT('Casillas del horario'!$S$4:$S$73,"Profesor de H en 10-3"&amp;CHAR(31)&amp;$A7&amp;CHAR(31)&amp;C$3))&gt;1,IF(ISNA(MATCH(1,INDEX(EXACT('Casillas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10-3"&amp;CHAR(31)&amp;$A7&amp;CHAR(31)&amp;C$3)*1,0),0))))&amp;" (+"&amp;(SUMPRODUCT(1*EXACT('Casillas del horario'!$S$4:$S$73,"Profesor de H en 10-3"&amp;CHAR(31)&amp;$A7&amp;CHAR(31)&amp;C$3))-1)&amp;")",IF(ISNA(MATCH(1,INDEX(EXACT('Casillas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10-3"&amp;CHAR(31)&amp;$A7&amp;CHAR(31)&amp;C$3)*1,0),0)))))</f>
        <v/>
      </c>
      <c r="D7" s="3">
        <f>IF(SUMPRODUCT(1*EXACT('Casillas del horario'!$S$4:$S$73,"Profesor de H en 10-3"&amp;CHAR(31)&amp;$A7&amp;CHAR(31)&amp;D$3))&gt;1,IF(ISNA(MATCH(1,INDEX(EXACT('Casillas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10-3"&amp;CHAR(31)&amp;$A7&amp;CHAR(31)&amp;D$3)*1,0),0))))&amp;" (+"&amp;(SUMPRODUCT(1*EXACT('Casillas del horario'!$S$4:$S$73,"Profesor de H en 10-3"&amp;CHAR(31)&amp;$A7&amp;CHAR(31)&amp;D$3))-1)&amp;")",IF(ISNA(MATCH(1,INDEX(EXACT('Casillas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10-3"&amp;CHAR(31)&amp;$A7&amp;CHAR(31)&amp;D$3)*1,0),0)))))</f>
        <v/>
      </c>
      <c r="E7" s="3">
        <f>IF(SUMPRODUCT(1*EXACT('Casillas del horario'!$S$4:$S$73,"Profesor de H en 10-3"&amp;CHAR(31)&amp;$A7&amp;CHAR(31)&amp;E$3))&gt;1,IF(ISNA(MATCH(1,INDEX(EXACT('Casillas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10-3"&amp;CHAR(31)&amp;$A7&amp;CHAR(31)&amp;E$3)*1,0),0))))&amp;" (+"&amp;(SUMPRODUCT(1*EXACT('Casillas del horario'!$S$4:$S$73,"Profesor de H en 10-3"&amp;CHAR(31)&amp;$A7&amp;CHAR(31)&amp;E$3))-1)&amp;")",IF(ISNA(MATCH(1,INDEX(EXACT('Casillas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10-3"&amp;CHAR(31)&amp;$A7&amp;CHAR(31)&amp;E$3)*1,0),0)))))</f>
        <v/>
      </c>
      <c r="F7" s="3">
        <f>IF(SUMPRODUCT(1*EXACT('Casillas del horario'!$S$4:$S$73,"Profesor de H en 10-3"&amp;CHAR(31)&amp;$A7&amp;CHAR(31)&amp;F$3))&gt;1,IF(ISNA(MATCH(1,INDEX(EXACT('Casillas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10-3"&amp;CHAR(31)&amp;$A7&amp;CHAR(31)&amp;F$3)*1,0),0))))&amp;" (+"&amp;(SUMPRODUCT(1*EXACT('Casillas del horario'!$S$4:$S$73,"Profesor de H en 10-3"&amp;CHAR(31)&amp;$A7&amp;CHAR(31)&amp;F$3))-1)&amp;")",IF(ISNA(MATCH(1,INDEX(EXACT('Casillas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10-3"&amp;CHAR(31)&amp;$A8&amp;CHAR(31)&amp;B$3))&gt;1,IF(ISNA(MATCH(1,INDEX(EXACT('Casillas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10-3"&amp;CHAR(31)&amp;$A8&amp;CHAR(31)&amp;B$3)*1,0),0))))&amp;" (+"&amp;(SUMPRODUCT(1*EXACT('Casillas del horario'!$S$4:$S$73,"Profesor de H en 10-3"&amp;CHAR(31)&amp;$A8&amp;CHAR(31)&amp;B$3))-1)&amp;")",IF(ISNA(MATCH(1,INDEX(EXACT('Casillas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10-3"&amp;CHAR(31)&amp;$A8&amp;CHAR(31)&amp;B$3)*1,0),0)))))</f>
        <v/>
      </c>
      <c r="C8" s="3">
        <f>IF(SUMPRODUCT(1*EXACT('Casillas del horario'!$S$4:$S$73,"Profesor de H en 10-3"&amp;CHAR(31)&amp;$A8&amp;CHAR(31)&amp;C$3))&gt;1,IF(ISNA(MATCH(1,INDEX(EXACT('Casillas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10-3"&amp;CHAR(31)&amp;$A8&amp;CHAR(31)&amp;C$3)*1,0),0))))&amp;" (+"&amp;(SUMPRODUCT(1*EXACT('Casillas del horario'!$S$4:$S$73,"Profesor de H en 10-3"&amp;CHAR(31)&amp;$A8&amp;CHAR(31)&amp;C$3))-1)&amp;")",IF(ISNA(MATCH(1,INDEX(EXACT('Casillas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10-3"&amp;CHAR(31)&amp;$A8&amp;CHAR(31)&amp;C$3)*1,0),0)))))</f>
        <v/>
      </c>
      <c r="D8" s="3">
        <f>IF(SUMPRODUCT(1*EXACT('Casillas del horario'!$S$4:$S$73,"Profesor de H en 10-3"&amp;CHAR(31)&amp;$A8&amp;CHAR(31)&amp;D$3))&gt;1,IF(ISNA(MATCH(1,INDEX(EXACT('Casillas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10-3"&amp;CHAR(31)&amp;$A8&amp;CHAR(31)&amp;D$3)*1,0),0))))&amp;" (+"&amp;(SUMPRODUCT(1*EXACT('Casillas del horario'!$S$4:$S$73,"Profesor de H en 10-3"&amp;CHAR(31)&amp;$A8&amp;CHAR(31)&amp;D$3))-1)&amp;")",IF(ISNA(MATCH(1,INDEX(EXACT('Casillas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10-3"&amp;CHAR(31)&amp;$A8&amp;CHAR(31)&amp;D$3)*1,0),0)))))</f>
        <v/>
      </c>
      <c r="E8" s="3">
        <f>IF(SUMPRODUCT(1*EXACT('Casillas del horario'!$S$4:$S$73,"Profesor de H en 10-3"&amp;CHAR(31)&amp;$A8&amp;CHAR(31)&amp;E$3))&gt;1,IF(ISNA(MATCH(1,INDEX(EXACT('Casillas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10-3"&amp;CHAR(31)&amp;$A8&amp;CHAR(31)&amp;E$3)*1,0),0))))&amp;" (+"&amp;(SUMPRODUCT(1*EXACT('Casillas del horario'!$S$4:$S$73,"Profesor de H en 10-3"&amp;CHAR(31)&amp;$A8&amp;CHAR(31)&amp;E$3))-1)&amp;")",IF(ISNA(MATCH(1,INDEX(EXACT('Casillas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10-3"&amp;CHAR(31)&amp;$A8&amp;CHAR(31)&amp;E$3)*1,0),0)))))</f>
        <v/>
      </c>
      <c r="F8" s="3">
        <f>IF(SUMPRODUCT(1*EXACT('Casillas del horario'!$S$4:$S$73,"Profesor de H en 10-3"&amp;CHAR(31)&amp;$A8&amp;CHAR(31)&amp;F$3))&gt;1,IF(ISNA(MATCH(1,INDEX(EXACT('Casillas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10-3"&amp;CHAR(31)&amp;$A8&amp;CHAR(31)&amp;F$3)*1,0),0))))&amp;" (+"&amp;(SUMPRODUCT(1*EXACT('Casillas del horario'!$S$4:$S$73,"Profesor de H en 10-3"&amp;CHAR(31)&amp;$A8&amp;CHAR(31)&amp;F$3))-1)&amp;")",IF(ISNA(MATCH(1,INDEX(EXACT('Casillas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10-3"&amp;CHAR(31)&amp;$A9&amp;CHAR(31)&amp;B$3))&gt;1,IF(ISNA(MATCH(1,INDEX(EXACT('Casillas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10-3"&amp;CHAR(31)&amp;$A9&amp;CHAR(31)&amp;B$3)*1,0),0))))&amp;" (+"&amp;(SUMPRODUCT(1*EXACT('Casillas del horario'!$S$4:$S$73,"Profesor de H en 10-3"&amp;CHAR(31)&amp;$A9&amp;CHAR(31)&amp;B$3))-1)&amp;")",IF(ISNA(MATCH(1,INDEX(EXACT('Casillas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10-3"&amp;CHAR(31)&amp;$A9&amp;CHAR(31)&amp;B$3)*1,0),0)))))</f>
        <v/>
      </c>
      <c r="C9" s="3">
        <f>IF(SUMPRODUCT(1*EXACT('Casillas del horario'!$S$4:$S$73,"Profesor de H en 10-3"&amp;CHAR(31)&amp;$A9&amp;CHAR(31)&amp;C$3))&gt;1,IF(ISNA(MATCH(1,INDEX(EXACT('Casillas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10-3"&amp;CHAR(31)&amp;$A9&amp;CHAR(31)&amp;C$3)*1,0),0))))&amp;" (+"&amp;(SUMPRODUCT(1*EXACT('Casillas del horario'!$S$4:$S$73,"Profesor de H en 10-3"&amp;CHAR(31)&amp;$A9&amp;CHAR(31)&amp;C$3))-1)&amp;")",IF(ISNA(MATCH(1,INDEX(EXACT('Casillas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10-3"&amp;CHAR(31)&amp;$A9&amp;CHAR(31)&amp;C$3)*1,0),0)))))</f>
        <v/>
      </c>
      <c r="D9" s="3">
        <f>IF(SUMPRODUCT(1*EXACT('Casillas del horario'!$S$4:$S$73,"Profesor de H en 10-3"&amp;CHAR(31)&amp;$A9&amp;CHAR(31)&amp;D$3))&gt;1,IF(ISNA(MATCH(1,INDEX(EXACT('Casillas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10-3"&amp;CHAR(31)&amp;$A9&amp;CHAR(31)&amp;D$3)*1,0),0))))&amp;" (+"&amp;(SUMPRODUCT(1*EXACT('Casillas del horario'!$S$4:$S$73,"Profesor de H en 10-3"&amp;CHAR(31)&amp;$A9&amp;CHAR(31)&amp;D$3))-1)&amp;")",IF(ISNA(MATCH(1,INDEX(EXACT('Casillas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10-3"&amp;CHAR(31)&amp;$A9&amp;CHAR(31)&amp;D$3)*1,0),0)))))</f>
        <v/>
      </c>
      <c r="E9" s="3">
        <f>IF(SUMPRODUCT(1*EXACT('Casillas del horario'!$S$4:$S$73,"Profesor de H en 10-3"&amp;CHAR(31)&amp;$A9&amp;CHAR(31)&amp;E$3))&gt;1,IF(ISNA(MATCH(1,INDEX(EXACT('Casillas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10-3"&amp;CHAR(31)&amp;$A9&amp;CHAR(31)&amp;E$3)*1,0),0))))&amp;" (+"&amp;(SUMPRODUCT(1*EXACT('Casillas del horario'!$S$4:$S$73,"Profesor de H en 10-3"&amp;CHAR(31)&amp;$A9&amp;CHAR(31)&amp;E$3))-1)&amp;")",IF(ISNA(MATCH(1,INDEX(EXACT('Casillas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10-3"&amp;CHAR(31)&amp;$A9&amp;CHAR(31)&amp;E$3)*1,0),0)))))</f>
        <v/>
      </c>
      <c r="F9" s="3">
        <f>IF(SUMPRODUCT(1*EXACT('Casillas del horario'!$S$4:$S$73,"Profesor de H en 10-3"&amp;CHAR(31)&amp;$A9&amp;CHAR(31)&amp;F$3))&gt;1,IF(ISNA(MATCH(1,INDEX(EXACT('Casillas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10-3"&amp;CHAR(31)&amp;$A9&amp;CHAR(31)&amp;F$3)*1,0),0))))&amp;" (+"&amp;(SUMPRODUCT(1*EXACT('Casillas del horario'!$S$4:$S$73,"Profesor de H en 10-3"&amp;CHAR(31)&amp;$A9&amp;CHAR(31)&amp;F$3))-1)&amp;")",IF(ISNA(MATCH(1,INDEX(EXACT('Casillas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10-3"&amp;CHAR(31)&amp;$A10&amp;CHAR(31)&amp;B$3))&gt;1,IF(ISNA(MATCH(1,INDEX(EXACT('Casillas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10-3"&amp;CHAR(31)&amp;$A10&amp;CHAR(31)&amp;B$3)*1,0),0))))&amp;" (+"&amp;(SUMPRODUCT(1*EXACT('Casillas del horario'!$S$4:$S$73,"Profesor de H en 10-3"&amp;CHAR(31)&amp;$A10&amp;CHAR(31)&amp;B$3))-1)&amp;")",IF(ISNA(MATCH(1,INDEX(EXACT('Casillas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10-3"&amp;CHAR(31)&amp;$A10&amp;CHAR(31)&amp;B$3)*1,0),0)))))</f>
        <v/>
      </c>
      <c r="C10" s="3">
        <f>IF(SUMPRODUCT(1*EXACT('Casillas del horario'!$S$4:$S$73,"Profesor de H en 10-3"&amp;CHAR(31)&amp;$A10&amp;CHAR(31)&amp;C$3))&gt;1,IF(ISNA(MATCH(1,INDEX(EXACT('Casillas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10-3"&amp;CHAR(31)&amp;$A10&amp;CHAR(31)&amp;C$3)*1,0),0))))&amp;" (+"&amp;(SUMPRODUCT(1*EXACT('Casillas del horario'!$S$4:$S$73,"Profesor de H en 10-3"&amp;CHAR(31)&amp;$A10&amp;CHAR(31)&amp;C$3))-1)&amp;")",IF(ISNA(MATCH(1,INDEX(EXACT('Casillas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10-3"&amp;CHAR(31)&amp;$A10&amp;CHAR(31)&amp;C$3)*1,0),0)))))</f>
        <v/>
      </c>
      <c r="D10" s="3">
        <f>IF(SUMPRODUCT(1*EXACT('Casillas del horario'!$S$4:$S$73,"Profesor de H en 10-3"&amp;CHAR(31)&amp;$A10&amp;CHAR(31)&amp;D$3))&gt;1,IF(ISNA(MATCH(1,INDEX(EXACT('Casillas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10-3"&amp;CHAR(31)&amp;$A10&amp;CHAR(31)&amp;D$3)*1,0),0))))&amp;" (+"&amp;(SUMPRODUCT(1*EXACT('Casillas del horario'!$S$4:$S$73,"Profesor de H en 10-3"&amp;CHAR(31)&amp;$A10&amp;CHAR(31)&amp;D$3))-1)&amp;")",IF(ISNA(MATCH(1,INDEX(EXACT('Casillas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10-3"&amp;CHAR(31)&amp;$A10&amp;CHAR(31)&amp;D$3)*1,0),0)))))</f>
        <v/>
      </c>
      <c r="E10" s="3">
        <f>IF(SUMPRODUCT(1*EXACT('Casillas del horario'!$S$4:$S$73,"Profesor de H en 10-3"&amp;CHAR(31)&amp;$A10&amp;CHAR(31)&amp;E$3))&gt;1,IF(ISNA(MATCH(1,INDEX(EXACT('Casillas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10-3"&amp;CHAR(31)&amp;$A10&amp;CHAR(31)&amp;E$3)*1,0),0))))&amp;" (+"&amp;(SUMPRODUCT(1*EXACT('Casillas del horario'!$S$4:$S$73,"Profesor de H en 10-3"&amp;CHAR(31)&amp;$A10&amp;CHAR(31)&amp;E$3))-1)&amp;")",IF(ISNA(MATCH(1,INDEX(EXACT('Casillas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10-3"&amp;CHAR(31)&amp;$A10&amp;CHAR(31)&amp;E$3)*1,0),0)))))</f>
        <v/>
      </c>
      <c r="F10" s="3">
        <f>IF(SUMPRODUCT(1*EXACT('Casillas del horario'!$S$4:$S$73,"Profesor de H en 10-3"&amp;CHAR(31)&amp;$A10&amp;CHAR(31)&amp;F$3))&gt;1,IF(ISNA(MATCH(1,INDEX(EXACT('Casillas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10-3"&amp;CHAR(31)&amp;$A10&amp;CHAR(31)&amp;F$3)*1,0),0))))&amp;" (+"&amp;(SUMPRODUCT(1*EXACT('Casillas del horario'!$S$4:$S$73,"Profesor de H en 10-3"&amp;CHAR(31)&amp;$A10&amp;CHAR(31)&amp;F$3))-1)&amp;")",IF(ISNA(MATCH(1,INDEX(EXACT('Casillas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10-3"&amp;CHAR(31)&amp;$A4&amp;CHAR(31)&amp;B$3))&gt;1,IF(ISNA(MATCH(1,INDEX(EXACT('Casillas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10-3"&amp;CHAR(31)&amp;$A4&amp;CHAR(31)&amp;B$3)*1,0),0))))&amp;" (+"&amp;(SUMPRODUCT(1*EXACT('Casillas del horario'!$S$4:$S$73,"Profesor de EF en 10-3"&amp;CHAR(31)&amp;$A4&amp;CHAR(31)&amp;B$3))-1)&amp;")",IF(ISNA(MATCH(1,INDEX(EXACT('Casillas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10-3"&amp;CHAR(31)&amp;$A4&amp;CHAR(31)&amp;B$3)*1,0),0)))))</f>
        <v/>
      </c>
      <c r="C4" s="3">
        <f>IF(SUMPRODUCT(1*EXACT('Casillas del horario'!$S$4:$S$73,"Profesor de EF en 10-3"&amp;CHAR(31)&amp;$A4&amp;CHAR(31)&amp;C$3))&gt;1,IF(ISNA(MATCH(1,INDEX(EXACT('Casillas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10-3"&amp;CHAR(31)&amp;$A4&amp;CHAR(31)&amp;C$3)*1,0),0))))&amp;" (+"&amp;(SUMPRODUCT(1*EXACT('Casillas del horario'!$S$4:$S$73,"Profesor de EF en 10-3"&amp;CHAR(31)&amp;$A4&amp;CHAR(31)&amp;C$3))-1)&amp;")",IF(ISNA(MATCH(1,INDEX(EXACT('Casillas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10-3"&amp;CHAR(31)&amp;$A4&amp;CHAR(31)&amp;C$3)*1,0),0)))))</f>
        <v/>
      </c>
      <c r="D4" s="3">
        <f>IF(SUMPRODUCT(1*EXACT('Casillas del horario'!$S$4:$S$73,"Profesor de EF en 10-3"&amp;CHAR(31)&amp;$A4&amp;CHAR(31)&amp;D$3))&gt;1,IF(ISNA(MATCH(1,INDEX(EXACT('Casillas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10-3"&amp;CHAR(31)&amp;$A4&amp;CHAR(31)&amp;D$3)*1,0),0))))&amp;" (+"&amp;(SUMPRODUCT(1*EXACT('Casillas del horario'!$S$4:$S$73,"Profesor de EF en 10-3"&amp;CHAR(31)&amp;$A4&amp;CHAR(31)&amp;D$3))-1)&amp;")",IF(ISNA(MATCH(1,INDEX(EXACT('Casillas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10-3"&amp;CHAR(31)&amp;$A4&amp;CHAR(31)&amp;D$3)*1,0),0)))))</f>
        <v/>
      </c>
      <c r="E4" s="3">
        <f>IF(SUMPRODUCT(1*EXACT('Casillas del horario'!$S$4:$S$73,"Profesor de EF en 10-3"&amp;CHAR(31)&amp;$A4&amp;CHAR(31)&amp;E$3))&gt;1,IF(ISNA(MATCH(1,INDEX(EXACT('Casillas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10-3"&amp;CHAR(31)&amp;$A4&amp;CHAR(31)&amp;E$3)*1,0),0))))&amp;" (+"&amp;(SUMPRODUCT(1*EXACT('Casillas del horario'!$S$4:$S$73,"Profesor de EF en 10-3"&amp;CHAR(31)&amp;$A4&amp;CHAR(31)&amp;E$3))-1)&amp;")",IF(ISNA(MATCH(1,INDEX(EXACT('Casillas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10-3"&amp;CHAR(31)&amp;$A4&amp;CHAR(31)&amp;E$3)*1,0),0)))))</f>
        <v/>
      </c>
      <c r="F4" s="3">
        <f>IF(SUMPRODUCT(1*EXACT('Casillas del horario'!$S$4:$S$73,"Profesor de EF en 10-3"&amp;CHAR(31)&amp;$A4&amp;CHAR(31)&amp;F$3))&gt;1,IF(ISNA(MATCH(1,INDEX(EXACT('Casillas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10-3"&amp;CHAR(31)&amp;$A4&amp;CHAR(31)&amp;F$3)*1,0),0))))&amp;" (+"&amp;(SUMPRODUCT(1*EXACT('Casillas del horario'!$S$4:$S$73,"Profesor de EF en 10-3"&amp;CHAR(31)&amp;$A4&amp;CHAR(31)&amp;F$3))-1)&amp;")",IF(ISNA(MATCH(1,INDEX(EXACT('Casillas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10-3"&amp;CHAR(31)&amp;$A5&amp;CHAR(31)&amp;B$3))&gt;1,IF(ISNA(MATCH(1,INDEX(EXACT('Casillas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10-3"&amp;CHAR(31)&amp;$A5&amp;CHAR(31)&amp;B$3)*1,0),0))))&amp;" (+"&amp;(SUMPRODUCT(1*EXACT('Casillas del horario'!$S$4:$S$73,"Profesor de EF en 10-3"&amp;CHAR(31)&amp;$A5&amp;CHAR(31)&amp;B$3))-1)&amp;")",IF(ISNA(MATCH(1,INDEX(EXACT('Casillas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10-3"&amp;CHAR(31)&amp;$A5&amp;CHAR(31)&amp;B$3)*1,0),0)))))</f>
        <v/>
      </c>
      <c r="C5" s="3">
        <f>IF(SUMPRODUCT(1*EXACT('Casillas del horario'!$S$4:$S$73,"Profesor de EF en 10-3"&amp;CHAR(31)&amp;$A5&amp;CHAR(31)&amp;C$3))&gt;1,IF(ISNA(MATCH(1,INDEX(EXACT('Casillas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10-3"&amp;CHAR(31)&amp;$A5&amp;CHAR(31)&amp;C$3)*1,0),0))))&amp;" (+"&amp;(SUMPRODUCT(1*EXACT('Casillas del horario'!$S$4:$S$73,"Profesor de EF en 10-3"&amp;CHAR(31)&amp;$A5&amp;CHAR(31)&amp;C$3))-1)&amp;")",IF(ISNA(MATCH(1,INDEX(EXACT('Casillas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10-3"&amp;CHAR(31)&amp;$A5&amp;CHAR(31)&amp;C$3)*1,0),0)))))</f>
        <v/>
      </c>
      <c r="D5" s="3">
        <f>IF(SUMPRODUCT(1*EXACT('Casillas del horario'!$S$4:$S$73,"Profesor de EF en 10-3"&amp;CHAR(31)&amp;$A5&amp;CHAR(31)&amp;D$3))&gt;1,IF(ISNA(MATCH(1,INDEX(EXACT('Casillas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10-3"&amp;CHAR(31)&amp;$A5&amp;CHAR(31)&amp;D$3)*1,0),0))))&amp;" (+"&amp;(SUMPRODUCT(1*EXACT('Casillas del horario'!$S$4:$S$73,"Profesor de EF en 10-3"&amp;CHAR(31)&amp;$A5&amp;CHAR(31)&amp;D$3))-1)&amp;")",IF(ISNA(MATCH(1,INDEX(EXACT('Casillas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10-3"&amp;CHAR(31)&amp;$A5&amp;CHAR(31)&amp;D$3)*1,0),0)))))</f>
        <v/>
      </c>
      <c r="E5" s="3">
        <f>IF(SUMPRODUCT(1*EXACT('Casillas del horario'!$S$4:$S$73,"Profesor de EF en 10-3"&amp;CHAR(31)&amp;$A5&amp;CHAR(31)&amp;E$3))&gt;1,IF(ISNA(MATCH(1,INDEX(EXACT('Casillas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10-3"&amp;CHAR(31)&amp;$A5&amp;CHAR(31)&amp;E$3)*1,0),0))))&amp;" (+"&amp;(SUMPRODUCT(1*EXACT('Casillas del horario'!$S$4:$S$73,"Profesor de EF en 10-3"&amp;CHAR(31)&amp;$A5&amp;CHAR(31)&amp;E$3))-1)&amp;")",IF(ISNA(MATCH(1,INDEX(EXACT('Casillas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10-3"&amp;CHAR(31)&amp;$A5&amp;CHAR(31)&amp;E$3)*1,0),0)))))</f>
        <v/>
      </c>
      <c r="F5" s="3">
        <f>IF(SUMPRODUCT(1*EXACT('Casillas del horario'!$S$4:$S$73,"Profesor de EF en 10-3"&amp;CHAR(31)&amp;$A5&amp;CHAR(31)&amp;F$3))&gt;1,IF(ISNA(MATCH(1,INDEX(EXACT('Casillas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10-3"&amp;CHAR(31)&amp;$A5&amp;CHAR(31)&amp;F$3)*1,0),0))))&amp;" (+"&amp;(SUMPRODUCT(1*EXACT('Casillas del horario'!$S$4:$S$73,"Profesor de EF en 10-3"&amp;CHAR(31)&amp;$A5&amp;CHAR(31)&amp;F$3))-1)&amp;")",IF(ISNA(MATCH(1,INDEX(EXACT('Casillas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10-3"&amp;CHAR(31)&amp;$A6&amp;CHAR(31)&amp;B$3))&gt;1,IF(ISNA(MATCH(1,INDEX(EXACT('Casillas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10-3"&amp;CHAR(31)&amp;$A6&amp;CHAR(31)&amp;B$3)*1,0),0))))&amp;" (+"&amp;(SUMPRODUCT(1*EXACT('Casillas del horario'!$S$4:$S$73,"Profesor de EF en 10-3"&amp;CHAR(31)&amp;$A6&amp;CHAR(31)&amp;B$3))-1)&amp;")",IF(ISNA(MATCH(1,INDEX(EXACT('Casillas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10-3"&amp;CHAR(31)&amp;$A6&amp;CHAR(31)&amp;B$3)*1,0),0)))))</f>
        <v/>
      </c>
      <c r="C6" s="3">
        <f>IF(SUMPRODUCT(1*EXACT('Casillas del horario'!$S$4:$S$73,"Profesor de EF en 10-3"&amp;CHAR(31)&amp;$A6&amp;CHAR(31)&amp;C$3))&gt;1,IF(ISNA(MATCH(1,INDEX(EXACT('Casillas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10-3"&amp;CHAR(31)&amp;$A6&amp;CHAR(31)&amp;C$3)*1,0),0))))&amp;" (+"&amp;(SUMPRODUCT(1*EXACT('Casillas del horario'!$S$4:$S$73,"Profesor de EF en 10-3"&amp;CHAR(31)&amp;$A6&amp;CHAR(31)&amp;C$3))-1)&amp;")",IF(ISNA(MATCH(1,INDEX(EXACT('Casillas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10-3"&amp;CHAR(31)&amp;$A6&amp;CHAR(31)&amp;C$3)*1,0),0)))))</f>
        <v/>
      </c>
      <c r="D6" s="3">
        <f>IF(SUMPRODUCT(1*EXACT('Casillas del horario'!$S$4:$S$73,"Profesor de EF en 10-3"&amp;CHAR(31)&amp;$A6&amp;CHAR(31)&amp;D$3))&gt;1,IF(ISNA(MATCH(1,INDEX(EXACT('Casillas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10-3"&amp;CHAR(31)&amp;$A6&amp;CHAR(31)&amp;D$3)*1,0),0))))&amp;" (+"&amp;(SUMPRODUCT(1*EXACT('Casillas del horario'!$S$4:$S$73,"Profesor de EF en 10-3"&amp;CHAR(31)&amp;$A6&amp;CHAR(31)&amp;D$3))-1)&amp;")",IF(ISNA(MATCH(1,INDEX(EXACT('Casillas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10-3"&amp;CHAR(31)&amp;$A6&amp;CHAR(31)&amp;D$3)*1,0),0)))))</f>
        <v/>
      </c>
      <c r="E6" s="3">
        <f>IF(SUMPRODUCT(1*EXACT('Casillas del horario'!$S$4:$S$73,"Profesor de EF en 10-3"&amp;CHAR(31)&amp;$A6&amp;CHAR(31)&amp;E$3))&gt;1,IF(ISNA(MATCH(1,INDEX(EXACT('Casillas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10-3"&amp;CHAR(31)&amp;$A6&amp;CHAR(31)&amp;E$3)*1,0),0))))&amp;" (+"&amp;(SUMPRODUCT(1*EXACT('Casillas del horario'!$S$4:$S$73,"Profesor de EF en 10-3"&amp;CHAR(31)&amp;$A6&amp;CHAR(31)&amp;E$3))-1)&amp;")",IF(ISNA(MATCH(1,INDEX(EXACT('Casillas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10-3"&amp;CHAR(31)&amp;$A6&amp;CHAR(31)&amp;E$3)*1,0),0)))))</f>
        <v/>
      </c>
      <c r="F6" s="3">
        <f>IF(SUMPRODUCT(1*EXACT('Casillas del horario'!$S$4:$S$73,"Profesor de EF en 10-3"&amp;CHAR(31)&amp;$A6&amp;CHAR(31)&amp;F$3))&gt;1,IF(ISNA(MATCH(1,INDEX(EXACT('Casillas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10-3"&amp;CHAR(31)&amp;$A6&amp;CHAR(31)&amp;F$3)*1,0),0))))&amp;" (+"&amp;(SUMPRODUCT(1*EXACT('Casillas del horario'!$S$4:$S$73,"Profesor de EF en 10-3"&amp;CHAR(31)&amp;$A6&amp;CHAR(31)&amp;F$3))-1)&amp;")",IF(ISNA(MATCH(1,INDEX(EXACT('Casillas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10-3"&amp;CHAR(31)&amp;$A7&amp;CHAR(31)&amp;B$3))&gt;1,IF(ISNA(MATCH(1,INDEX(EXACT('Casillas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10-3"&amp;CHAR(31)&amp;$A7&amp;CHAR(31)&amp;B$3)*1,0),0))))&amp;" (+"&amp;(SUMPRODUCT(1*EXACT('Casillas del horario'!$S$4:$S$73,"Profesor de EF en 10-3"&amp;CHAR(31)&amp;$A7&amp;CHAR(31)&amp;B$3))-1)&amp;")",IF(ISNA(MATCH(1,INDEX(EXACT('Casillas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10-3"&amp;CHAR(31)&amp;$A7&amp;CHAR(31)&amp;B$3)*1,0),0)))))</f>
        <v/>
      </c>
      <c r="C7" s="3">
        <f>IF(SUMPRODUCT(1*EXACT('Casillas del horario'!$S$4:$S$73,"Profesor de EF en 10-3"&amp;CHAR(31)&amp;$A7&amp;CHAR(31)&amp;C$3))&gt;1,IF(ISNA(MATCH(1,INDEX(EXACT('Casillas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10-3"&amp;CHAR(31)&amp;$A7&amp;CHAR(31)&amp;C$3)*1,0),0))))&amp;" (+"&amp;(SUMPRODUCT(1*EXACT('Casillas del horario'!$S$4:$S$73,"Profesor de EF en 10-3"&amp;CHAR(31)&amp;$A7&amp;CHAR(31)&amp;C$3))-1)&amp;")",IF(ISNA(MATCH(1,INDEX(EXACT('Casillas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10-3"&amp;CHAR(31)&amp;$A7&amp;CHAR(31)&amp;C$3)*1,0),0)))))</f>
        <v/>
      </c>
      <c r="D7" s="3">
        <f>IF(SUMPRODUCT(1*EXACT('Casillas del horario'!$S$4:$S$73,"Profesor de EF en 10-3"&amp;CHAR(31)&amp;$A7&amp;CHAR(31)&amp;D$3))&gt;1,IF(ISNA(MATCH(1,INDEX(EXACT('Casillas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10-3"&amp;CHAR(31)&amp;$A7&amp;CHAR(31)&amp;D$3)*1,0),0))))&amp;" (+"&amp;(SUMPRODUCT(1*EXACT('Casillas del horario'!$S$4:$S$73,"Profesor de EF en 10-3"&amp;CHAR(31)&amp;$A7&amp;CHAR(31)&amp;D$3))-1)&amp;")",IF(ISNA(MATCH(1,INDEX(EXACT('Casillas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10-3"&amp;CHAR(31)&amp;$A7&amp;CHAR(31)&amp;D$3)*1,0),0)))))</f>
        <v/>
      </c>
      <c r="E7" s="3">
        <f>IF(SUMPRODUCT(1*EXACT('Casillas del horario'!$S$4:$S$73,"Profesor de EF en 10-3"&amp;CHAR(31)&amp;$A7&amp;CHAR(31)&amp;E$3))&gt;1,IF(ISNA(MATCH(1,INDEX(EXACT('Casillas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10-3"&amp;CHAR(31)&amp;$A7&amp;CHAR(31)&amp;E$3)*1,0),0))))&amp;" (+"&amp;(SUMPRODUCT(1*EXACT('Casillas del horario'!$S$4:$S$73,"Profesor de EF en 10-3"&amp;CHAR(31)&amp;$A7&amp;CHAR(31)&amp;E$3))-1)&amp;")",IF(ISNA(MATCH(1,INDEX(EXACT('Casillas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10-3"&amp;CHAR(31)&amp;$A7&amp;CHAR(31)&amp;E$3)*1,0),0)))))</f>
        <v/>
      </c>
      <c r="F7" s="3">
        <f>IF(SUMPRODUCT(1*EXACT('Casillas del horario'!$S$4:$S$73,"Profesor de EF en 10-3"&amp;CHAR(31)&amp;$A7&amp;CHAR(31)&amp;F$3))&gt;1,IF(ISNA(MATCH(1,INDEX(EXACT('Casillas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10-3"&amp;CHAR(31)&amp;$A7&amp;CHAR(31)&amp;F$3)*1,0),0))))&amp;" (+"&amp;(SUMPRODUCT(1*EXACT('Casillas del horario'!$S$4:$S$73,"Profesor de EF en 10-3"&amp;CHAR(31)&amp;$A7&amp;CHAR(31)&amp;F$3))-1)&amp;")",IF(ISNA(MATCH(1,INDEX(EXACT('Casillas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10-3"&amp;CHAR(31)&amp;$A8&amp;CHAR(31)&amp;B$3))&gt;1,IF(ISNA(MATCH(1,INDEX(EXACT('Casillas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10-3"&amp;CHAR(31)&amp;$A8&amp;CHAR(31)&amp;B$3)*1,0),0))))&amp;" (+"&amp;(SUMPRODUCT(1*EXACT('Casillas del horario'!$S$4:$S$73,"Profesor de EF en 10-3"&amp;CHAR(31)&amp;$A8&amp;CHAR(31)&amp;B$3))-1)&amp;")",IF(ISNA(MATCH(1,INDEX(EXACT('Casillas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10-3"&amp;CHAR(31)&amp;$A8&amp;CHAR(31)&amp;B$3)*1,0),0)))))</f>
        <v/>
      </c>
      <c r="C8" s="3">
        <f>IF(SUMPRODUCT(1*EXACT('Casillas del horario'!$S$4:$S$73,"Profesor de EF en 10-3"&amp;CHAR(31)&amp;$A8&amp;CHAR(31)&amp;C$3))&gt;1,IF(ISNA(MATCH(1,INDEX(EXACT('Casillas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10-3"&amp;CHAR(31)&amp;$A8&amp;CHAR(31)&amp;C$3)*1,0),0))))&amp;" (+"&amp;(SUMPRODUCT(1*EXACT('Casillas del horario'!$S$4:$S$73,"Profesor de EF en 10-3"&amp;CHAR(31)&amp;$A8&amp;CHAR(31)&amp;C$3))-1)&amp;")",IF(ISNA(MATCH(1,INDEX(EXACT('Casillas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10-3"&amp;CHAR(31)&amp;$A8&amp;CHAR(31)&amp;C$3)*1,0),0)))))</f>
        <v/>
      </c>
      <c r="D8" s="3">
        <f>IF(SUMPRODUCT(1*EXACT('Casillas del horario'!$S$4:$S$73,"Profesor de EF en 10-3"&amp;CHAR(31)&amp;$A8&amp;CHAR(31)&amp;D$3))&gt;1,IF(ISNA(MATCH(1,INDEX(EXACT('Casillas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10-3"&amp;CHAR(31)&amp;$A8&amp;CHAR(31)&amp;D$3)*1,0),0))))&amp;" (+"&amp;(SUMPRODUCT(1*EXACT('Casillas del horario'!$S$4:$S$73,"Profesor de EF en 10-3"&amp;CHAR(31)&amp;$A8&amp;CHAR(31)&amp;D$3))-1)&amp;")",IF(ISNA(MATCH(1,INDEX(EXACT('Casillas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10-3"&amp;CHAR(31)&amp;$A8&amp;CHAR(31)&amp;D$3)*1,0),0)))))</f>
        <v/>
      </c>
      <c r="E8" s="3">
        <f>IF(SUMPRODUCT(1*EXACT('Casillas del horario'!$S$4:$S$73,"Profesor de EF en 10-3"&amp;CHAR(31)&amp;$A8&amp;CHAR(31)&amp;E$3))&gt;1,IF(ISNA(MATCH(1,INDEX(EXACT('Casillas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10-3"&amp;CHAR(31)&amp;$A8&amp;CHAR(31)&amp;E$3)*1,0),0))))&amp;" (+"&amp;(SUMPRODUCT(1*EXACT('Casillas del horario'!$S$4:$S$73,"Profesor de EF en 10-3"&amp;CHAR(31)&amp;$A8&amp;CHAR(31)&amp;E$3))-1)&amp;")",IF(ISNA(MATCH(1,INDEX(EXACT('Casillas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10-3"&amp;CHAR(31)&amp;$A8&amp;CHAR(31)&amp;E$3)*1,0),0)))))</f>
        <v/>
      </c>
      <c r="F8" s="3">
        <f>IF(SUMPRODUCT(1*EXACT('Casillas del horario'!$S$4:$S$73,"Profesor de EF en 10-3"&amp;CHAR(31)&amp;$A8&amp;CHAR(31)&amp;F$3))&gt;1,IF(ISNA(MATCH(1,INDEX(EXACT('Casillas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10-3"&amp;CHAR(31)&amp;$A8&amp;CHAR(31)&amp;F$3)*1,0),0))))&amp;" (+"&amp;(SUMPRODUCT(1*EXACT('Casillas del horario'!$S$4:$S$73,"Profesor de EF en 10-3"&amp;CHAR(31)&amp;$A8&amp;CHAR(31)&amp;F$3))-1)&amp;")",IF(ISNA(MATCH(1,INDEX(EXACT('Casillas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10-3"&amp;CHAR(31)&amp;$A9&amp;CHAR(31)&amp;B$3))&gt;1,IF(ISNA(MATCH(1,INDEX(EXACT('Casillas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10-3"&amp;CHAR(31)&amp;$A9&amp;CHAR(31)&amp;B$3)*1,0),0))))&amp;" (+"&amp;(SUMPRODUCT(1*EXACT('Casillas del horario'!$S$4:$S$73,"Profesor de EF en 10-3"&amp;CHAR(31)&amp;$A9&amp;CHAR(31)&amp;B$3))-1)&amp;")",IF(ISNA(MATCH(1,INDEX(EXACT('Casillas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10-3"&amp;CHAR(31)&amp;$A9&amp;CHAR(31)&amp;B$3)*1,0),0)))))</f>
        <v/>
      </c>
      <c r="C9" s="3">
        <f>IF(SUMPRODUCT(1*EXACT('Casillas del horario'!$S$4:$S$73,"Profesor de EF en 10-3"&amp;CHAR(31)&amp;$A9&amp;CHAR(31)&amp;C$3))&gt;1,IF(ISNA(MATCH(1,INDEX(EXACT('Casillas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10-3"&amp;CHAR(31)&amp;$A9&amp;CHAR(31)&amp;C$3)*1,0),0))))&amp;" (+"&amp;(SUMPRODUCT(1*EXACT('Casillas del horario'!$S$4:$S$73,"Profesor de EF en 10-3"&amp;CHAR(31)&amp;$A9&amp;CHAR(31)&amp;C$3))-1)&amp;")",IF(ISNA(MATCH(1,INDEX(EXACT('Casillas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10-3"&amp;CHAR(31)&amp;$A9&amp;CHAR(31)&amp;C$3)*1,0),0)))))</f>
        <v/>
      </c>
      <c r="D9" s="3">
        <f>IF(SUMPRODUCT(1*EXACT('Casillas del horario'!$S$4:$S$73,"Profesor de EF en 10-3"&amp;CHAR(31)&amp;$A9&amp;CHAR(31)&amp;D$3))&gt;1,IF(ISNA(MATCH(1,INDEX(EXACT('Casillas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10-3"&amp;CHAR(31)&amp;$A9&amp;CHAR(31)&amp;D$3)*1,0),0))))&amp;" (+"&amp;(SUMPRODUCT(1*EXACT('Casillas del horario'!$S$4:$S$73,"Profesor de EF en 10-3"&amp;CHAR(31)&amp;$A9&amp;CHAR(31)&amp;D$3))-1)&amp;")",IF(ISNA(MATCH(1,INDEX(EXACT('Casillas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10-3"&amp;CHAR(31)&amp;$A9&amp;CHAR(31)&amp;D$3)*1,0),0)))))</f>
        <v/>
      </c>
      <c r="E9" s="3">
        <f>IF(SUMPRODUCT(1*EXACT('Casillas del horario'!$S$4:$S$73,"Profesor de EF en 10-3"&amp;CHAR(31)&amp;$A9&amp;CHAR(31)&amp;E$3))&gt;1,IF(ISNA(MATCH(1,INDEX(EXACT('Casillas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10-3"&amp;CHAR(31)&amp;$A9&amp;CHAR(31)&amp;E$3)*1,0),0))))&amp;" (+"&amp;(SUMPRODUCT(1*EXACT('Casillas del horario'!$S$4:$S$73,"Profesor de EF en 10-3"&amp;CHAR(31)&amp;$A9&amp;CHAR(31)&amp;E$3))-1)&amp;")",IF(ISNA(MATCH(1,INDEX(EXACT('Casillas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10-3"&amp;CHAR(31)&amp;$A9&amp;CHAR(31)&amp;E$3)*1,0),0)))))</f>
        <v/>
      </c>
      <c r="F9" s="3">
        <f>IF(SUMPRODUCT(1*EXACT('Casillas del horario'!$S$4:$S$73,"Profesor de EF en 10-3"&amp;CHAR(31)&amp;$A9&amp;CHAR(31)&amp;F$3))&gt;1,IF(ISNA(MATCH(1,INDEX(EXACT('Casillas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10-3"&amp;CHAR(31)&amp;$A9&amp;CHAR(31)&amp;F$3)*1,0),0))))&amp;" (+"&amp;(SUMPRODUCT(1*EXACT('Casillas del horario'!$S$4:$S$73,"Profesor de EF en 10-3"&amp;CHAR(31)&amp;$A9&amp;CHAR(31)&amp;F$3))-1)&amp;")",IF(ISNA(MATCH(1,INDEX(EXACT('Casillas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10-3"&amp;CHAR(31)&amp;$A10&amp;CHAR(31)&amp;B$3))&gt;1,IF(ISNA(MATCH(1,INDEX(EXACT('Casillas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10-3"&amp;CHAR(31)&amp;$A10&amp;CHAR(31)&amp;B$3)*1,0),0))))&amp;" (+"&amp;(SUMPRODUCT(1*EXACT('Casillas del horario'!$S$4:$S$73,"Profesor de EF en 10-3"&amp;CHAR(31)&amp;$A10&amp;CHAR(31)&amp;B$3))-1)&amp;")",IF(ISNA(MATCH(1,INDEX(EXACT('Casillas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10-3"&amp;CHAR(31)&amp;$A10&amp;CHAR(31)&amp;B$3)*1,0),0)))))</f>
        <v/>
      </c>
      <c r="C10" s="3">
        <f>IF(SUMPRODUCT(1*EXACT('Casillas del horario'!$S$4:$S$73,"Profesor de EF en 10-3"&amp;CHAR(31)&amp;$A10&amp;CHAR(31)&amp;C$3))&gt;1,IF(ISNA(MATCH(1,INDEX(EXACT('Casillas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10-3"&amp;CHAR(31)&amp;$A10&amp;CHAR(31)&amp;C$3)*1,0),0))))&amp;" (+"&amp;(SUMPRODUCT(1*EXACT('Casillas del horario'!$S$4:$S$73,"Profesor de EF en 10-3"&amp;CHAR(31)&amp;$A10&amp;CHAR(31)&amp;C$3))-1)&amp;")",IF(ISNA(MATCH(1,INDEX(EXACT('Casillas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10-3"&amp;CHAR(31)&amp;$A10&amp;CHAR(31)&amp;C$3)*1,0),0)))))</f>
        <v/>
      </c>
      <c r="D10" s="3">
        <f>IF(SUMPRODUCT(1*EXACT('Casillas del horario'!$S$4:$S$73,"Profesor de EF en 10-3"&amp;CHAR(31)&amp;$A10&amp;CHAR(31)&amp;D$3))&gt;1,IF(ISNA(MATCH(1,INDEX(EXACT('Casillas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10-3"&amp;CHAR(31)&amp;$A10&amp;CHAR(31)&amp;D$3)*1,0),0))))&amp;" (+"&amp;(SUMPRODUCT(1*EXACT('Casillas del horario'!$S$4:$S$73,"Profesor de EF en 10-3"&amp;CHAR(31)&amp;$A10&amp;CHAR(31)&amp;D$3))-1)&amp;")",IF(ISNA(MATCH(1,INDEX(EXACT('Casillas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10-3"&amp;CHAR(31)&amp;$A10&amp;CHAR(31)&amp;D$3)*1,0),0)))))</f>
        <v/>
      </c>
      <c r="E10" s="3">
        <f>IF(SUMPRODUCT(1*EXACT('Casillas del horario'!$S$4:$S$73,"Profesor de EF en 10-3"&amp;CHAR(31)&amp;$A10&amp;CHAR(31)&amp;E$3))&gt;1,IF(ISNA(MATCH(1,INDEX(EXACT('Casillas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10-3"&amp;CHAR(31)&amp;$A10&amp;CHAR(31)&amp;E$3)*1,0),0))))&amp;" (+"&amp;(SUMPRODUCT(1*EXACT('Casillas del horario'!$S$4:$S$73,"Profesor de EF en 10-3"&amp;CHAR(31)&amp;$A10&amp;CHAR(31)&amp;E$3))-1)&amp;")",IF(ISNA(MATCH(1,INDEX(EXACT('Casillas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10-3"&amp;CHAR(31)&amp;$A10&amp;CHAR(31)&amp;E$3)*1,0),0)))))</f>
        <v/>
      </c>
      <c r="F10" s="3">
        <f>IF(SUMPRODUCT(1*EXACT('Casillas del horario'!$S$4:$S$73,"Profesor de EF en 10-3"&amp;CHAR(31)&amp;$A10&amp;CHAR(31)&amp;F$3))&gt;1,IF(ISNA(MATCH(1,INDEX(EXACT('Casillas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10-3"&amp;CHAR(31)&amp;$A10&amp;CHAR(31)&amp;F$3)*1,0),0))))&amp;" (+"&amp;(SUMPRODUCT(1*EXACT('Casillas del horario'!$S$4:$S$73,"Profesor de EF en 10-3"&amp;CHAR(31)&amp;$A10&amp;CHAR(31)&amp;F$3))-1)&amp;")",IF(ISNA(MATCH(1,INDEX(EXACT('Casillas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10-3"&amp;CHAR(31)&amp;$A4&amp;CHAR(31)&amp;B$3))&gt;1,IF(ISNA(MATCH(1,INDEX(EXACT('Casillas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10-3"&amp;CHAR(31)&amp;$A4&amp;CHAR(31)&amp;B$3)*1,0),0))))&amp;" (+"&amp;(SUMPRODUCT(1*EXACT('Casillas del horario'!$S$4:$S$73,"Profesor de B en 10-3"&amp;CHAR(31)&amp;$A4&amp;CHAR(31)&amp;B$3))-1)&amp;")",IF(ISNA(MATCH(1,INDEX(EXACT('Casillas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10-3"&amp;CHAR(31)&amp;$A4&amp;CHAR(31)&amp;B$3)*1,0),0)))))</f>
        <v/>
      </c>
      <c r="C4" s="3">
        <f>IF(SUMPRODUCT(1*EXACT('Casillas del horario'!$S$4:$S$73,"Profesor de B en 10-3"&amp;CHAR(31)&amp;$A4&amp;CHAR(31)&amp;C$3))&gt;1,IF(ISNA(MATCH(1,INDEX(EXACT('Casillas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10-3"&amp;CHAR(31)&amp;$A4&amp;CHAR(31)&amp;C$3)*1,0),0))))&amp;" (+"&amp;(SUMPRODUCT(1*EXACT('Casillas del horario'!$S$4:$S$73,"Profesor de B en 10-3"&amp;CHAR(31)&amp;$A4&amp;CHAR(31)&amp;C$3))-1)&amp;")",IF(ISNA(MATCH(1,INDEX(EXACT('Casillas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10-3"&amp;CHAR(31)&amp;$A4&amp;CHAR(31)&amp;C$3)*1,0),0)))))</f>
        <v/>
      </c>
      <c r="D4" s="3">
        <f>IF(SUMPRODUCT(1*EXACT('Casillas del horario'!$S$4:$S$73,"Profesor de B en 10-3"&amp;CHAR(31)&amp;$A4&amp;CHAR(31)&amp;D$3))&gt;1,IF(ISNA(MATCH(1,INDEX(EXACT('Casillas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10-3"&amp;CHAR(31)&amp;$A4&amp;CHAR(31)&amp;D$3)*1,0),0))))&amp;" (+"&amp;(SUMPRODUCT(1*EXACT('Casillas del horario'!$S$4:$S$73,"Profesor de B en 10-3"&amp;CHAR(31)&amp;$A4&amp;CHAR(31)&amp;D$3))-1)&amp;")",IF(ISNA(MATCH(1,INDEX(EXACT('Casillas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10-3"&amp;CHAR(31)&amp;$A4&amp;CHAR(31)&amp;D$3)*1,0),0)))))</f>
        <v/>
      </c>
      <c r="E4" s="3">
        <f>IF(SUMPRODUCT(1*EXACT('Casillas del horario'!$S$4:$S$73,"Profesor de B en 10-3"&amp;CHAR(31)&amp;$A4&amp;CHAR(31)&amp;E$3))&gt;1,IF(ISNA(MATCH(1,INDEX(EXACT('Casillas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10-3"&amp;CHAR(31)&amp;$A4&amp;CHAR(31)&amp;E$3)*1,0),0))))&amp;" (+"&amp;(SUMPRODUCT(1*EXACT('Casillas del horario'!$S$4:$S$73,"Profesor de B en 10-3"&amp;CHAR(31)&amp;$A4&amp;CHAR(31)&amp;E$3))-1)&amp;")",IF(ISNA(MATCH(1,INDEX(EXACT('Casillas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10-3"&amp;CHAR(31)&amp;$A4&amp;CHAR(31)&amp;E$3)*1,0),0)))))</f>
        <v/>
      </c>
      <c r="F4" s="3">
        <f>IF(SUMPRODUCT(1*EXACT('Casillas del horario'!$S$4:$S$73,"Profesor de B en 10-3"&amp;CHAR(31)&amp;$A4&amp;CHAR(31)&amp;F$3))&gt;1,IF(ISNA(MATCH(1,INDEX(EXACT('Casillas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10-3"&amp;CHAR(31)&amp;$A4&amp;CHAR(31)&amp;F$3)*1,0),0))))&amp;" (+"&amp;(SUMPRODUCT(1*EXACT('Casillas del horario'!$S$4:$S$73,"Profesor de B en 10-3"&amp;CHAR(31)&amp;$A4&amp;CHAR(31)&amp;F$3))-1)&amp;")",IF(ISNA(MATCH(1,INDEX(EXACT('Casillas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10-3"&amp;CHAR(31)&amp;$A5&amp;CHAR(31)&amp;B$3))&gt;1,IF(ISNA(MATCH(1,INDEX(EXACT('Casillas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10-3"&amp;CHAR(31)&amp;$A5&amp;CHAR(31)&amp;B$3)*1,0),0))))&amp;" (+"&amp;(SUMPRODUCT(1*EXACT('Casillas del horario'!$S$4:$S$73,"Profesor de B en 10-3"&amp;CHAR(31)&amp;$A5&amp;CHAR(31)&amp;B$3))-1)&amp;")",IF(ISNA(MATCH(1,INDEX(EXACT('Casillas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10-3"&amp;CHAR(31)&amp;$A5&amp;CHAR(31)&amp;B$3)*1,0),0)))))</f>
        <v/>
      </c>
      <c r="C5" s="3">
        <f>IF(SUMPRODUCT(1*EXACT('Casillas del horario'!$S$4:$S$73,"Profesor de B en 10-3"&amp;CHAR(31)&amp;$A5&amp;CHAR(31)&amp;C$3))&gt;1,IF(ISNA(MATCH(1,INDEX(EXACT('Casillas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10-3"&amp;CHAR(31)&amp;$A5&amp;CHAR(31)&amp;C$3)*1,0),0))))&amp;" (+"&amp;(SUMPRODUCT(1*EXACT('Casillas del horario'!$S$4:$S$73,"Profesor de B en 10-3"&amp;CHAR(31)&amp;$A5&amp;CHAR(31)&amp;C$3))-1)&amp;")",IF(ISNA(MATCH(1,INDEX(EXACT('Casillas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10-3"&amp;CHAR(31)&amp;$A5&amp;CHAR(31)&amp;C$3)*1,0),0)))))</f>
        <v/>
      </c>
      <c r="D5" s="3">
        <f>IF(SUMPRODUCT(1*EXACT('Casillas del horario'!$S$4:$S$73,"Profesor de B en 10-3"&amp;CHAR(31)&amp;$A5&amp;CHAR(31)&amp;D$3))&gt;1,IF(ISNA(MATCH(1,INDEX(EXACT('Casillas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10-3"&amp;CHAR(31)&amp;$A5&amp;CHAR(31)&amp;D$3)*1,0),0))))&amp;" (+"&amp;(SUMPRODUCT(1*EXACT('Casillas del horario'!$S$4:$S$73,"Profesor de B en 10-3"&amp;CHAR(31)&amp;$A5&amp;CHAR(31)&amp;D$3))-1)&amp;")",IF(ISNA(MATCH(1,INDEX(EXACT('Casillas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10-3"&amp;CHAR(31)&amp;$A5&amp;CHAR(31)&amp;D$3)*1,0),0)))))</f>
        <v/>
      </c>
      <c r="E5" s="3">
        <f>IF(SUMPRODUCT(1*EXACT('Casillas del horario'!$S$4:$S$73,"Profesor de B en 10-3"&amp;CHAR(31)&amp;$A5&amp;CHAR(31)&amp;E$3))&gt;1,IF(ISNA(MATCH(1,INDEX(EXACT('Casillas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10-3"&amp;CHAR(31)&amp;$A5&amp;CHAR(31)&amp;E$3)*1,0),0))))&amp;" (+"&amp;(SUMPRODUCT(1*EXACT('Casillas del horario'!$S$4:$S$73,"Profesor de B en 10-3"&amp;CHAR(31)&amp;$A5&amp;CHAR(31)&amp;E$3))-1)&amp;")",IF(ISNA(MATCH(1,INDEX(EXACT('Casillas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10-3"&amp;CHAR(31)&amp;$A5&amp;CHAR(31)&amp;E$3)*1,0),0)))))</f>
        <v/>
      </c>
      <c r="F5" s="3">
        <f>IF(SUMPRODUCT(1*EXACT('Casillas del horario'!$S$4:$S$73,"Profesor de B en 10-3"&amp;CHAR(31)&amp;$A5&amp;CHAR(31)&amp;F$3))&gt;1,IF(ISNA(MATCH(1,INDEX(EXACT('Casillas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10-3"&amp;CHAR(31)&amp;$A5&amp;CHAR(31)&amp;F$3)*1,0),0))))&amp;" (+"&amp;(SUMPRODUCT(1*EXACT('Casillas del horario'!$S$4:$S$73,"Profesor de B en 10-3"&amp;CHAR(31)&amp;$A5&amp;CHAR(31)&amp;F$3))-1)&amp;")",IF(ISNA(MATCH(1,INDEX(EXACT('Casillas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10-3"&amp;CHAR(31)&amp;$A6&amp;CHAR(31)&amp;B$3))&gt;1,IF(ISNA(MATCH(1,INDEX(EXACT('Casillas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10-3"&amp;CHAR(31)&amp;$A6&amp;CHAR(31)&amp;B$3)*1,0),0))))&amp;" (+"&amp;(SUMPRODUCT(1*EXACT('Casillas del horario'!$S$4:$S$73,"Profesor de B en 10-3"&amp;CHAR(31)&amp;$A6&amp;CHAR(31)&amp;B$3))-1)&amp;")",IF(ISNA(MATCH(1,INDEX(EXACT('Casillas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10-3"&amp;CHAR(31)&amp;$A6&amp;CHAR(31)&amp;B$3)*1,0),0)))))</f>
        <v/>
      </c>
      <c r="C6" s="3">
        <f>IF(SUMPRODUCT(1*EXACT('Casillas del horario'!$S$4:$S$73,"Profesor de B en 10-3"&amp;CHAR(31)&amp;$A6&amp;CHAR(31)&amp;C$3))&gt;1,IF(ISNA(MATCH(1,INDEX(EXACT('Casillas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10-3"&amp;CHAR(31)&amp;$A6&amp;CHAR(31)&amp;C$3)*1,0),0))))&amp;" (+"&amp;(SUMPRODUCT(1*EXACT('Casillas del horario'!$S$4:$S$73,"Profesor de B en 10-3"&amp;CHAR(31)&amp;$A6&amp;CHAR(31)&amp;C$3))-1)&amp;")",IF(ISNA(MATCH(1,INDEX(EXACT('Casillas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10-3"&amp;CHAR(31)&amp;$A6&amp;CHAR(31)&amp;C$3)*1,0),0)))))</f>
        <v/>
      </c>
      <c r="D6" s="3">
        <f>IF(SUMPRODUCT(1*EXACT('Casillas del horario'!$S$4:$S$73,"Profesor de B en 10-3"&amp;CHAR(31)&amp;$A6&amp;CHAR(31)&amp;D$3))&gt;1,IF(ISNA(MATCH(1,INDEX(EXACT('Casillas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10-3"&amp;CHAR(31)&amp;$A6&amp;CHAR(31)&amp;D$3)*1,0),0))))&amp;" (+"&amp;(SUMPRODUCT(1*EXACT('Casillas del horario'!$S$4:$S$73,"Profesor de B en 10-3"&amp;CHAR(31)&amp;$A6&amp;CHAR(31)&amp;D$3))-1)&amp;")",IF(ISNA(MATCH(1,INDEX(EXACT('Casillas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10-3"&amp;CHAR(31)&amp;$A6&amp;CHAR(31)&amp;D$3)*1,0),0)))))</f>
        <v/>
      </c>
      <c r="E6" s="3">
        <f>IF(SUMPRODUCT(1*EXACT('Casillas del horario'!$S$4:$S$73,"Profesor de B en 10-3"&amp;CHAR(31)&amp;$A6&amp;CHAR(31)&amp;E$3))&gt;1,IF(ISNA(MATCH(1,INDEX(EXACT('Casillas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10-3"&amp;CHAR(31)&amp;$A6&amp;CHAR(31)&amp;E$3)*1,0),0))))&amp;" (+"&amp;(SUMPRODUCT(1*EXACT('Casillas del horario'!$S$4:$S$73,"Profesor de B en 10-3"&amp;CHAR(31)&amp;$A6&amp;CHAR(31)&amp;E$3))-1)&amp;")",IF(ISNA(MATCH(1,INDEX(EXACT('Casillas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10-3"&amp;CHAR(31)&amp;$A6&amp;CHAR(31)&amp;E$3)*1,0),0)))))</f>
        <v/>
      </c>
      <c r="F6" s="3">
        <f>IF(SUMPRODUCT(1*EXACT('Casillas del horario'!$S$4:$S$73,"Profesor de B en 10-3"&amp;CHAR(31)&amp;$A6&amp;CHAR(31)&amp;F$3))&gt;1,IF(ISNA(MATCH(1,INDEX(EXACT('Casillas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10-3"&amp;CHAR(31)&amp;$A6&amp;CHAR(31)&amp;F$3)*1,0),0))))&amp;" (+"&amp;(SUMPRODUCT(1*EXACT('Casillas del horario'!$S$4:$S$73,"Profesor de B en 10-3"&amp;CHAR(31)&amp;$A6&amp;CHAR(31)&amp;F$3))-1)&amp;")",IF(ISNA(MATCH(1,INDEX(EXACT('Casillas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10-3"&amp;CHAR(31)&amp;$A7&amp;CHAR(31)&amp;B$3))&gt;1,IF(ISNA(MATCH(1,INDEX(EXACT('Casillas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10-3"&amp;CHAR(31)&amp;$A7&amp;CHAR(31)&amp;B$3)*1,0),0))))&amp;" (+"&amp;(SUMPRODUCT(1*EXACT('Casillas del horario'!$S$4:$S$73,"Profesor de B en 10-3"&amp;CHAR(31)&amp;$A7&amp;CHAR(31)&amp;B$3))-1)&amp;")",IF(ISNA(MATCH(1,INDEX(EXACT('Casillas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10-3"&amp;CHAR(31)&amp;$A7&amp;CHAR(31)&amp;B$3)*1,0),0)))))</f>
        <v/>
      </c>
      <c r="C7" s="3">
        <f>IF(SUMPRODUCT(1*EXACT('Casillas del horario'!$S$4:$S$73,"Profesor de B en 10-3"&amp;CHAR(31)&amp;$A7&amp;CHAR(31)&amp;C$3))&gt;1,IF(ISNA(MATCH(1,INDEX(EXACT('Casillas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10-3"&amp;CHAR(31)&amp;$A7&amp;CHAR(31)&amp;C$3)*1,0),0))))&amp;" (+"&amp;(SUMPRODUCT(1*EXACT('Casillas del horario'!$S$4:$S$73,"Profesor de B en 10-3"&amp;CHAR(31)&amp;$A7&amp;CHAR(31)&amp;C$3))-1)&amp;")",IF(ISNA(MATCH(1,INDEX(EXACT('Casillas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10-3"&amp;CHAR(31)&amp;$A7&amp;CHAR(31)&amp;C$3)*1,0),0)))))</f>
        <v/>
      </c>
      <c r="D7" s="3">
        <f>IF(SUMPRODUCT(1*EXACT('Casillas del horario'!$S$4:$S$73,"Profesor de B en 10-3"&amp;CHAR(31)&amp;$A7&amp;CHAR(31)&amp;D$3))&gt;1,IF(ISNA(MATCH(1,INDEX(EXACT('Casillas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10-3"&amp;CHAR(31)&amp;$A7&amp;CHAR(31)&amp;D$3)*1,0),0))))&amp;" (+"&amp;(SUMPRODUCT(1*EXACT('Casillas del horario'!$S$4:$S$73,"Profesor de B en 10-3"&amp;CHAR(31)&amp;$A7&amp;CHAR(31)&amp;D$3))-1)&amp;")",IF(ISNA(MATCH(1,INDEX(EXACT('Casillas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10-3"&amp;CHAR(31)&amp;$A7&amp;CHAR(31)&amp;D$3)*1,0),0)))))</f>
        <v/>
      </c>
      <c r="E7" s="3">
        <f>IF(SUMPRODUCT(1*EXACT('Casillas del horario'!$S$4:$S$73,"Profesor de B en 10-3"&amp;CHAR(31)&amp;$A7&amp;CHAR(31)&amp;E$3))&gt;1,IF(ISNA(MATCH(1,INDEX(EXACT('Casillas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10-3"&amp;CHAR(31)&amp;$A7&amp;CHAR(31)&amp;E$3)*1,0),0))))&amp;" (+"&amp;(SUMPRODUCT(1*EXACT('Casillas del horario'!$S$4:$S$73,"Profesor de B en 10-3"&amp;CHAR(31)&amp;$A7&amp;CHAR(31)&amp;E$3))-1)&amp;")",IF(ISNA(MATCH(1,INDEX(EXACT('Casillas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10-3"&amp;CHAR(31)&amp;$A7&amp;CHAR(31)&amp;E$3)*1,0),0)))))</f>
        <v/>
      </c>
      <c r="F7" s="3">
        <f>IF(SUMPRODUCT(1*EXACT('Casillas del horario'!$S$4:$S$73,"Profesor de B en 10-3"&amp;CHAR(31)&amp;$A7&amp;CHAR(31)&amp;F$3))&gt;1,IF(ISNA(MATCH(1,INDEX(EXACT('Casillas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10-3"&amp;CHAR(31)&amp;$A7&amp;CHAR(31)&amp;F$3)*1,0),0))))&amp;" (+"&amp;(SUMPRODUCT(1*EXACT('Casillas del horario'!$S$4:$S$73,"Profesor de B en 10-3"&amp;CHAR(31)&amp;$A7&amp;CHAR(31)&amp;F$3))-1)&amp;")",IF(ISNA(MATCH(1,INDEX(EXACT('Casillas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10-3"&amp;CHAR(31)&amp;$A8&amp;CHAR(31)&amp;B$3))&gt;1,IF(ISNA(MATCH(1,INDEX(EXACT('Casillas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10-3"&amp;CHAR(31)&amp;$A8&amp;CHAR(31)&amp;B$3)*1,0),0))))&amp;" (+"&amp;(SUMPRODUCT(1*EXACT('Casillas del horario'!$S$4:$S$73,"Profesor de B en 10-3"&amp;CHAR(31)&amp;$A8&amp;CHAR(31)&amp;B$3))-1)&amp;")",IF(ISNA(MATCH(1,INDEX(EXACT('Casillas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10-3"&amp;CHAR(31)&amp;$A8&amp;CHAR(31)&amp;B$3)*1,0),0)))))</f>
        <v/>
      </c>
      <c r="C8" s="3">
        <f>IF(SUMPRODUCT(1*EXACT('Casillas del horario'!$S$4:$S$73,"Profesor de B en 10-3"&amp;CHAR(31)&amp;$A8&amp;CHAR(31)&amp;C$3))&gt;1,IF(ISNA(MATCH(1,INDEX(EXACT('Casillas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10-3"&amp;CHAR(31)&amp;$A8&amp;CHAR(31)&amp;C$3)*1,0),0))))&amp;" (+"&amp;(SUMPRODUCT(1*EXACT('Casillas del horario'!$S$4:$S$73,"Profesor de B en 10-3"&amp;CHAR(31)&amp;$A8&amp;CHAR(31)&amp;C$3))-1)&amp;")",IF(ISNA(MATCH(1,INDEX(EXACT('Casillas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10-3"&amp;CHAR(31)&amp;$A8&amp;CHAR(31)&amp;C$3)*1,0),0)))))</f>
        <v/>
      </c>
      <c r="D8" s="3">
        <f>IF(SUMPRODUCT(1*EXACT('Casillas del horario'!$S$4:$S$73,"Profesor de B en 10-3"&amp;CHAR(31)&amp;$A8&amp;CHAR(31)&amp;D$3))&gt;1,IF(ISNA(MATCH(1,INDEX(EXACT('Casillas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10-3"&amp;CHAR(31)&amp;$A8&amp;CHAR(31)&amp;D$3)*1,0),0))))&amp;" (+"&amp;(SUMPRODUCT(1*EXACT('Casillas del horario'!$S$4:$S$73,"Profesor de B en 10-3"&amp;CHAR(31)&amp;$A8&amp;CHAR(31)&amp;D$3))-1)&amp;")",IF(ISNA(MATCH(1,INDEX(EXACT('Casillas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10-3"&amp;CHAR(31)&amp;$A8&amp;CHAR(31)&amp;D$3)*1,0),0)))))</f>
        <v/>
      </c>
      <c r="E8" s="3">
        <f>IF(SUMPRODUCT(1*EXACT('Casillas del horario'!$S$4:$S$73,"Profesor de B en 10-3"&amp;CHAR(31)&amp;$A8&amp;CHAR(31)&amp;E$3))&gt;1,IF(ISNA(MATCH(1,INDEX(EXACT('Casillas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10-3"&amp;CHAR(31)&amp;$A8&amp;CHAR(31)&amp;E$3)*1,0),0))))&amp;" (+"&amp;(SUMPRODUCT(1*EXACT('Casillas del horario'!$S$4:$S$73,"Profesor de B en 10-3"&amp;CHAR(31)&amp;$A8&amp;CHAR(31)&amp;E$3))-1)&amp;")",IF(ISNA(MATCH(1,INDEX(EXACT('Casillas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10-3"&amp;CHAR(31)&amp;$A8&amp;CHAR(31)&amp;E$3)*1,0),0)))))</f>
        <v/>
      </c>
      <c r="F8" s="3">
        <f>IF(SUMPRODUCT(1*EXACT('Casillas del horario'!$S$4:$S$73,"Profesor de B en 10-3"&amp;CHAR(31)&amp;$A8&amp;CHAR(31)&amp;F$3))&gt;1,IF(ISNA(MATCH(1,INDEX(EXACT('Casillas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10-3"&amp;CHAR(31)&amp;$A8&amp;CHAR(31)&amp;F$3)*1,0),0))))&amp;" (+"&amp;(SUMPRODUCT(1*EXACT('Casillas del horario'!$S$4:$S$73,"Profesor de B en 10-3"&amp;CHAR(31)&amp;$A8&amp;CHAR(31)&amp;F$3))-1)&amp;")",IF(ISNA(MATCH(1,INDEX(EXACT('Casillas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10-3"&amp;CHAR(31)&amp;$A9&amp;CHAR(31)&amp;B$3))&gt;1,IF(ISNA(MATCH(1,INDEX(EXACT('Casillas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10-3"&amp;CHAR(31)&amp;$A9&amp;CHAR(31)&amp;B$3)*1,0),0))))&amp;" (+"&amp;(SUMPRODUCT(1*EXACT('Casillas del horario'!$S$4:$S$73,"Profesor de B en 10-3"&amp;CHAR(31)&amp;$A9&amp;CHAR(31)&amp;B$3))-1)&amp;")",IF(ISNA(MATCH(1,INDEX(EXACT('Casillas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10-3"&amp;CHAR(31)&amp;$A9&amp;CHAR(31)&amp;B$3)*1,0),0)))))</f>
        <v/>
      </c>
      <c r="C9" s="3">
        <f>IF(SUMPRODUCT(1*EXACT('Casillas del horario'!$S$4:$S$73,"Profesor de B en 10-3"&amp;CHAR(31)&amp;$A9&amp;CHAR(31)&amp;C$3))&gt;1,IF(ISNA(MATCH(1,INDEX(EXACT('Casillas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10-3"&amp;CHAR(31)&amp;$A9&amp;CHAR(31)&amp;C$3)*1,0),0))))&amp;" (+"&amp;(SUMPRODUCT(1*EXACT('Casillas del horario'!$S$4:$S$73,"Profesor de B en 10-3"&amp;CHAR(31)&amp;$A9&amp;CHAR(31)&amp;C$3))-1)&amp;")",IF(ISNA(MATCH(1,INDEX(EXACT('Casillas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10-3"&amp;CHAR(31)&amp;$A9&amp;CHAR(31)&amp;C$3)*1,0),0)))))</f>
        <v/>
      </c>
      <c r="D9" s="3">
        <f>IF(SUMPRODUCT(1*EXACT('Casillas del horario'!$S$4:$S$73,"Profesor de B en 10-3"&amp;CHAR(31)&amp;$A9&amp;CHAR(31)&amp;D$3))&gt;1,IF(ISNA(MATCH(1,INDEX(EXACT('Casillas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10-3"&amp;CHAR(31)&amp;$A9&amp;CHAR(31)&amp;D$3)*1,0),0))))&amp;" (+"&amp;(SUMPRODUCT(1*EXACT('Casillas del horario'!$S$4:$S$73,"Profesor de B en 10-3"&amp;CHAR(31)&amp;$A9&amp;CHAR(31)&amp;D$3))-1)&amp;")",IF(ISNA(MATCH(1,INDEX(EXACT('Casillas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10-3"&amp;CHAR(31)&amp;$A9&amp;CHAR(31)&amp;D$3)*1,0),0)))))</f>
        <v/>
      </c>
      <c r="E9" s="3">
        <f>IF(SUMPRODUCT(1*EXACT('Casillas del horario'!$S$4:$S$73,"Profesor de B en 10-3"&amp;CHAR(31)&amp;$A9&amp;CHAR(31)&amp;E$3))&gt;1,IF(ISNA(MATCH(1,INDEX(EXACT('Casillas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10-3"&amp;CHAR(31)&amp;$A9&amp;CHAR(31)&amp;E$3)*1,0),0))))&amp;" (+"&amp;(SUMPRODUCT(1*EXACT('Casillas del horario'!$S$4:$S$73,"Profesor de B en 10-3"&amp;CHAR(31)&amp;$A9&amp;CHAR(31)&amp;E$3))-1)&amp;")",IF(ISNA(MATCH(1,INDEX(EXACT('Casillas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10-3"&amp;CHAR(31)&amp;$A9&amp;CHAR(31)&amp;E$3)*1,0),0)))))</f>
        <v/>
      </c>
      <c r="F9" s="3">
        <f>IF(SUMPRODUCT(1*EXACT('Casillas del horario'!$S$4:$S$73,"Profesor de B en 10-3"&amp;CHAR(31)&amp;$A9&amp;CHAR(31)&amp;F$3))&gt;1,IF(ISNA(MATCH(1,INDEX(EXACT('Casillas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10-3"&amp;CHAR(31)&amp;$A9&amp;CHAR(31)&amp;F$3)*1,0),0))))&amp;" (+"&amp;(SUMPRODUCT(1*EXACT('Casillas del horario'!$S$4:$S$73,"Profesor de B en 10-3"&amp;CHAR(31)&amp;$A9&amp;CHAR(31)&amp;F$3))-1)&amp;")",IF(ISNA(MATCH(1,INDEX(EXACT('Casillas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10-3"&amp;CHAR(31)&amp;$A10&amp;CHAR(31)&amp;B$3))&gt;1,IF(ISNA(MATCH(1,INDEX(EXACT('Casillas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10-3"&amp;CHAR(31)&amp;$A10&amp;CHAR(31)&amp;B$3)*1,0),0))))&amp;" (+"&amp;(SUMPRODUCT(1*EXACT('Casillas del horario'!$S$4:$S$73,"Profesor de B en 10-3"&amp;CHAR(31)&amp;$A10&amp;CHAR(31)&amp;B$3))-1)&amp;")",IF(ISNA(MATCH(1,INDEX(EXACT('Casillas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10-3"&amp;CHAR(31)&amp;$A10&amp;CHAR(31)&amp;B$3)*1,0),0)))))</f>
        <v/>
      </c>
      <c r="C10" s="3">
        <f>IF(SUMPRODUCT(1*EXACT('Casillas del horario'!$S$4:$S$73,"Profesor de B en 10-3"&amp;CHAR(31)&amp;$A10&amp;CHAR(31)&amp;C$3))&gt;1,IF(ISNA(MATCH(1,INDEX(EXACT('Casillas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10-3"&amp;CHAR(31)&amp;$A10&amp;CHAR(31)&amp;C$3)*1,0),0))))&amp;" (+"&amp;(SUMPRODUCT(1*EXACT('Casillas del horario'!$S$4:$S$73,"Profesor de B en 10-3"&amp;CHAR(31)&amp;$A10&amp;CHAR(31)&amp;C$3))-1)&amp;")",IF(ISNA(MATCH(1,INDEX(EXACT('Casillas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10-3"&amp;CHAR(31)&amp;$A10&amp;CHAR(31)&amp;C$3)*1,0),0)))))</f>
        <v/>
      </c>
      <c r="D10" s="3">
        <f>IF(SUMPRODUCT(1*EXACT('Casillas del horario'!$S$4:$S$73,"Profesor de B en 10-3"&amp;CHAR(31)&amp;$A10&amp;CHAR(31)&amp;D$3))&gt;1,IF(ISNA(MATCH(1,INDEX(EXACT('Casillas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10-3"&amp;CHAR(31)&amp;$A10&amp;CHAR(31)&amp;D$3)*1,0),0))))&amp;" (+"&amp;(SUMPRODUCT(1*EXACT('Casillas del horario'!$S$4:$S$73,"Profesor de B en 10-3"&amp;CHAR(31)&amp;$A10&amp;CHAR(31)&amp;D$3))-1)&amp;")",IF(ISNA(MATCH(1,INDEX(EXACT('Casillas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10-3"&amp;CHAR(31)&amp;$A10&amp;CHAR(31)&amp;D$3)*1,0),0)))))</f>
        <v/>
      </c>
      <c r="E10" s="3">
        <f>IF(SUMPRODUCT(1*EXACT('Casillas del horario'!$S$4:$S$73,"Profesor de B en 10-3"&amp;CHAR(31)&amp;$A10&amp;CHAR(31)&amp;E$3))&gt;1,IF(ISNA(MATCH(1,INDEX(EXACT('Casillas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10-3"&amp;CHAR(31)&amp;$A10&amp;CHAR(31)&amp;E$3)*1,0),0))))&amp;" (+"&amp;(SUMPRODUCT(1*EXACT('Casillas del horario'!$S$4:$S$73,"Profesor de B en 10-3"&amp;CHAR(31)&amp;$A10&amp;CHAR(31)&amp;E$3))-1)&amp;")",IF(ISNA(MATCH(1,INDEX(EXACT('Casillas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10-3"&amp;CHAR(31)&amp;$A10&amp;CHAR(31)&amp;E$3)*1,0),0)))))</f>
        <v/>
      </c>
      <c r="F10" s="3">
        <f>IF(SUMPRODUCT(1*EXACT('Casillas del horario'!$S$4:$S$73,"Profesor de B en 10-3"&amp;CHAR(31)&amp;$A10&amp;CHAR(31)&amp;F$3))&gt;1,IF(ISNA(MATCH(1,INDEX(EXACT('Casillas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10-3"&amp;CHAR(31)&amp;$A10&amp;CHAR(31)&amp;F$3)*1,0),0))))&amp;" (+"&amp;(SUMPRODUCT(1*EXACT('Casillas del horario'!$S$4:$S$73,"Profesor de B en 10-3"&amp;CHAR(31)&amp;$A10&amp;CHAR(31)&amp;F$3))-1)&amp;")",IF(ISNA(MATCH(1,INDEX(EXACT('Casillas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10-3"&amp;CHAR(31)&amp;$A4&amp;CHAR(31)&amp;B$3))&gt;1,IF(ISNA(MATCH(1,INDEX(EXACT('Casillas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10-3"&amp;CHAR(31)&amp;$A4&amp;CHAR(31)&amp;B$3)*1,0),0))))&amp;" (+"&amp;(SUMPRODUCT(1*EXACT('Casillas del horario'!$S$4:$S$73,"Profesor de G en 10-3"&amp;CHAR(31)&amp;$A4&amp;CHAR(31)&amp;B$3))-1)&amp;")",IF(ISNA(MATCH(1,INDEX(EXACT('Casillas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10-3"&amp;CHAR(31)&amp;$A4&amp;CHAR(31)&amp;B$3)*1,0),0)))))</f>
        <v/>
      </c>
      <c r="C4" s="3">
        <f>IF(SUMPRODUCT(1*EXACT('Casillas del horario'!$S$4:$S$73,"Profesor de G en 10-3"&amp;CHAR(31)&amp;$A4&amp;CHAR(31)&amp;C$3))&gt;1,IF(ISNA(MATCH(1,INDEX(EXACT('Casillas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10-3"&amp;CHAR(31)&amp;$A4&amp;CHAR(31)&amp;C$3)*1,0),0))))&amp;" (+"&amp;(SUMPRODUCT(1*EXACT('Casillas del horario'!$S$4:$S$73,"Profesor de G en 10-3"&amp;CHAR(31)&amp;$A4&amp;CHAR(31)&amp;C$3))-1)&amp;")",IF(ISNA(MATCH(1,INDEX(EXACT('Casillas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10-3"&amp;CHAR(31)&amp;$A4&amp;CHAR(31)&amp;C$3)*1,0),0)))))</f>
        <v/>
      </c>
      <c r="D4" s="3">
        <f>IF(SUMPRODUCT(1*EXACT('Casillas del horario'!$S$4:$S$73,"Profesor de G en 10-3"&amp;CHAR(31)&amp;$A4&amp;CHAR(31)&amp;D$3))&gt;1,IF(ISNA(MATCH(1,INDEX(EXACT('Casillas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10-3"&amp;CHAR(31)&amp;$A4&amp;CHAR(31)&amp;D$3)*1,0),0))))&amp;" (+"&amp;(SUMPRODUCT(1*EXACT('Casillas del horario'!$S$4:$S$73,"Profesor de G en 10-3"&amp;CHAR(31)&amp;$A4&amp;CHAR(31)&amp;D$3))-1)&amp;")",IF(ISNA(MATCH(1,INDEX(EXACT('Casillas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10-3"&amp;CHAR(31)&amp;$A4&amp;CHAR(31)&amp;D$3)*1,0),0)))))</f>
        <v/>
      </c>
      <c r="E4" s="3">
        <f>IF(SUMPRODUCT(1*EXACT('Casillas del horario'!$S$4:$S$73,"Profesor de G en 10-3"&amp;CHAR(31)&amp;$A4&amp;CHAR(31)&amp;E$3))&gt;1,IF(ISNA(MATCH(1,INDEX(EXACT('Casillas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10-3"&amp;CHAR(31)&amp;$A4&amp;CHAR(31)&amp;E$3)*1,0),0))))&amp;" (+"&amp;(SUMPRODUCT(1*EXACT('Casillas del horario'!$S$4:$S$73,"Profesor de G en 10-3"&amp;CHAR(31)&amp;$A4&amp;CHAR(31)&amp;E$3))-1)&amp;")",IF(ISNA(MATCH(1,INDEX(EXACT('Casillas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10-3"&amp;CHAR(31)&amp;$A4&amp;CHAR(31)&amp;E$3)*1,0),0)))))</f>
        <v/>
      </c>
      <c r="F4" s="3">
        <f>IF(SUMPRODUCT(1*EXACT('Casillas del horario'!$S$4:$S$73,"Profesor de G en 10-3"&amp;CHAR(31)&amp;$A4&amp;CHAR(31)&amp;F$3))&gt;1,IF(ISNA(MATCH(1,INDEX(EXACT('Casillas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10-3"&amp;CHAR(31)&amp;$A4&amp;CHAR(31)&amp;F$3)*1,0),0))))&amp;" (+"&amp;(SUMPRODUCT(1*EXACT('Casillas del horario'!$S$4:$S$73,"Profesor de G en 10-3"&amp;CHAR(31)&amp;$A4&amp;CHAR(31)&amp;F$3))-1)&amp;")",IF(ISNA(MATCH(1,INDEX(EXACT('Casillas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10-3"&amp;CHAR(31)&amp;$A5&amp;CHAR(31)&amp;B$3))&gt;1,IF(ISNA(MATCH(1,INDEX(EXACT('Casillas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10-3"&amp;CHAR(31)&amp;$A5&amp;CHAR(31)&amp;B$3)*1,0),0))))&amp;" (+"&amp;(SUMPRODUCT(1*EXACT('Casillas del horario'!$S$4:$S$73,"Profesor de G en 10-3"&amp;CHAR(31)&amp;$A5&amp;CHAR(31)&amp;B$3))-1)&amp;")",IF(ISNA(MATCH(1,INDEX(EXACT('Casillas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10-3"&amp;CHAR(31)&amp;$A5&amp;CHAR(31)&amp;B$3)*1,0),0)))))</f>
        <v/>
      </c>
      <c r="C5" s="3">
        <f>IF(SUMPRODUCT(1*EXACT('Casillas del horario'!$S$4:$S$73,"Profesor de G en 10-3"&amp;CHAR(31)&amp;$A5&amp;CHAR(31)&amp;C$3))&gt;1,IF(ISNA(MATCH(1,INDEX(EXACT('Casillas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10-3"&amp;CHAR(31)&amp;$A5&amp;CHAR(31)&amp;C$3)*1,0),0))))&amp;" (+"&amp;(SUMPRODUCT(1*EXACT('Casillas del horario'!$S$4:$S$73,"Profesor de G en 10-3"&amp;CHAR(31)&amp;$A5&amp;CHAR(31)&amp;C$3))-1)&amp;")",IF(ISNA(MATCH(1,INDEX(EXACT('Casillas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10-3"&amp;CHAR(31)&amp;$A5&amp;CHAR(31)&amp;C$3)*1,0),0)))))</f>
        <v/>
      </c>
      <c r="D5" s="3">
        <f>IF(SUMPRODUCT(1*EXACT('Casillas del horario'!$S$4:$S$73,"Profesor de G en 10-3"&amp;CHAR(31)&amp;$A5&amp;CHAR(31)&amp;D$3))&gt;1,IF(ISNA(MATCH(1,INDEX(EXACT('Casillas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10-3"&amp;CHAR(31)&amp;$A5&amp;CHAR(31)&amp;D$3)*1,0),0))))&amp;" (+"&amp;(SUMPRODUCT(1*EXACT('Casillas del horario'!$S$4:$S$73,"Profesor de G en 10-3"&amp;CHAR(31)&amp;$A5&amp;CHAR(31)&amp;D$3))-1)&amp;")",IF(ISNA(MATCH(1,INDEX(EXACT('Casillas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10-3"&amp;CHAR(31)&amp;$A5&amp;CHAR(31)&amp;D$3)*1,0),0)))))</f>
        <v/>
      </c>
      <c r="E5" s="3">
        <f>IF(SUMPRODUCT(1*EXACT('Casillas del horario'!$S$4:$S$73,"Profesor de G en 10-3"&amp;CHAR(31)&amp;$A5&amp;CHAR(31)&amp;E$3))&gt;1,IF(ISNA(MATCH(1,INDEX(EXACT('Casillas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10-3"&amp;CHAR(31)&amp;$A5&amp;CHAR(31)&amp;E$3)*1,0),0))))&amp;" (+"&amp;(SUMPRODUCT(1*EXACT('Casillas del horario'!$S$4:$S$73,"Profesor de G en 10-3"&amp;CHAR(31)&amp;$A5&amp;CHAR(31)&amp;E$3))-1)&amp;")",IF(ISNA(MATCH(1,INDEX(EXACT('Casillas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10-3"&amp;CHAR(31)&amp;$A5&amp;CHAR(31)&amp;E$3)*1,0),0)))))</f>
        <v/>
      </c>
      <c r="F5" s="3">
        <f>IF(SUMPRODUCT(1*EXACT('Casillas del horario'!$S$4:$S$73,"Profesor de G en 10-3"&amp;CHAR(31)&amp;$A5&amp;CHAR(31)&amp;F$3))&gt;1,IF(ISNA(MATCH(1,INDEX(EXACT('Casillas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10-3"&amp;CHAR(31)&amp;$A5&amp;CHAR(31)&amp;F$3)*1,0),0))))&amp;" (+"&amp;(SUMPRODUCT(1*EXACT('Casillas del horario'!$S$4:$S$73,"Profesor de G en 10-3"&amp;CHAR(31)&amp;$A5&amp;CHAR(31)&amp;F$3))-1)&amp;")",IF(ISNA(MATCH(1,INDEX(EXACT('Casillas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10-3"&amp;CHAR(31)&amp;$A6&amp;CHAR(31)&amp;B$3))&gt;1,IF(ISNA(MATCH(1,INDEX(EXACT('Casillas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10-3"&amp;CHAR(31)&amp;$A6&amp;CHAR(31)&amp;B$3)*1,0),0))))&amp;" (+"&amp;(SUMPRODUCT(1*EXACT('Casillas del horario'!$S$4:$S$73,"Profesor de G en 10-3"&amp;CHAR(31)&amp;$A6&amp;CHAR(31)&amp;B$3))-1)&amp;")",IF(ISNA(MATCH(1,INDEX(EXACT('Casillas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10-3"&amp;CHAR(31)&amp;$A6&amp;CHAR(31)&amp;B$3)*1,0),0)))))</f>
        <v/>
      </c>
      <c r="C6" s="3">
        <f>IF(SUMPRODUCT(1*EXACT('Casillas del horario'!$S$4:$S$73,"Profesor de G en 10-3"&amp;CHAR(31)&amp;$A6&amp;CHAR(31)&amp;C$3))&gt;1,IF(ISNA(MATCH(1,INDEX(EXACT('Casillas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10-3"&amp;CHAR(31)&amp;$A6&amp;CHAR(31)&amp;C$3)*1,0),0))))&amp;" (+"&amp;(SUMPRODUCT(1*EXACT('Casillas del horario'!$S$4:$S$73,"Profesor de G en 10-3"&amp;CHAR(31)&amp;$A6&amp;CHAR(31)&amp;C$3))-1)&amp;")",IF(ISNA(MATCH(1,INDEX(EXACT('Casillas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10-3"&amp;CHAR(31)&amp;$A6&amp;CHAR(31)&amp;C$3)*1,0),0)))))</f>
        <v/>
      </c>
      <c r="D6" s="3">
        <f>IF(SUMPRODUCT(1*EXACT('Casillas del horario'!$S$4:$S$73,"Profesor de G en 10-3"&amp;CHAR(31)&amp;$A6&amp;CHAR(31)&amp;D$3))&gt;1,IF(ISNA(MATCH(1,INDEX(EXACT('Casillas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10-3"&amp;CHAR(31)&amp;$A6&amp;CHAR(31)&amp;D$3)*1,0),0))))&amp;" (+"&amp;(SUMPRODUCT(1*EXACT('Casillas del horario'!$S$4:$S$73,"Profesor de G en 10-3"&amp;CHAR(31)&amp;$A6&amp;CHAR(31)&amp;D$3))-1)&amp;")",IF(ISNA(MATCH(1,INDEX(EXACT('Casillas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10-3"&amp;CHAR(31)&amp;$A6&amp;CHAR(31)&amp;D$3)*1,0),0)))))</f>
        <v/>
      </c>
      <c r="E6" s="3">
        <f>IF(SUMPRODUCT(1*EXACT('Casillas del horario'!$S$4:$S$73,"Profesor de G en 10-3"&amp;CHAR(31)&amp;$A6&amp;CHAR(31)&amp;E$3))&gt;1,IF(ISNA(MATCH(1,INDEX(EXACT('Casillas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10-3"&amp;CHAR(31)&amp;$A6&amp;CHAR(31)&amp;E$3)*1,0),0))))&amp;" (+"&amp;(SUMPRODUCT(1*EXACT('Casillas del horario'!$S$4:$S$73,"Profesor de G en 10-3"&amp;CHAR(31)&amp;$A6&amp;CHAR(31)&amp;E$3))-1)&amp;")",IF(ISNA(MATCH(1,INDEX(EXACT('Casillas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10-3"&amp;CHAR(31)&amp;$A6&amp;CHAR(31)&amp;E$3)*1,0),0)))))</f>
        <v/>
      </c>
      <c r="F6" s="3">
        <f>IF(SUMPRODUCT(1*EXACT('Casillas del horario'!$S$4:$S$73,"Profesor de G en 10-3"&amp;CHAR(31)&amp;$A6&amp;CHAR(31)&amp;F$3))&gt;1,IF(ISNA(MATCH(1,INDEX(EXACT('Casillas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10-3"&amp;CHAR(31)&amp;$A6&amp;CHAR(31)&amp;F$3)*1,0),0))))&amp;" (+"&amp;(SUMPRODUCT(1*EXACT('Casillas del horario'!$S$4:$S$73,"Profesor de G en 10-3"&amp;CHAR(31)&amp;$A6&amp;CHAR(31)&amp;F$3))-1)&amp;")",IF(ISNA(MATCH(1,INDEX(EXACT('Casillas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10-3"&amp;CHAR(31)&amp;$A7&amp;CHAR(31)&amp;B$3))&gt;1,IF(ISNA(MATCH(1,INDEX(EXACT('Casillas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10-3"&amp;CHAR(31)&amp;$A7&amp;CHAR(31)&amp;B$3)*1,0),0))))&amp;" (+"&amp;(SUMPRODUCT(1*EXACT('Casillas del horario'!$S$4:$S$73,"Profesor de G en 10-3"&amp;CHAR(31)&amp;$A7&amp;CHAR(31)&amp;B$3))-1)&amp;")",IF(ISNA(MATCH(1,INDEX(EXACT('Casillas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10-3"&amp;CHAR(31)&amp;$A7&amp;CHAR(31)&amp;B$3)*1,0),0)))))</f>
        <v/>
      </c>
      <c r="C7" s="3">
        <f>IF(SUMPRODUCT(1*EXACT('Casillas del horario'!$S$4:$S$73,"Profesor de G en 10-3"&amp;CHAR(31)&amp;$A7&amp;CHAR(31)&amp;C$3))&gt;1,IF(ISNA(MATCH(1,INDEX(EXACT('Casillas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10-3"&amp;CHAR(31)&amp;$A7&amp;CHAR(31)&amp;C$3)*1,0),0))))&amp;" (+"&amp;(SUMPRODUCT(1*EXACT('Casillas del horario'!$S$4:$S$73,"Profesor de G en 10-3"&amp;CHAR(31)&amp;$A7&amp;CHAR(31)&amp;C$3))-1)&amp;")",IF(ISNA(MATCH(1,INDEX(EXACT('Casillas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10-3"&amp;CHAR(31)&amp;$A7&amp;CHAR(31)&amp;C$3)*1,0),0)))))</f>
        <v/>
      </c>
      <c r="D7" s="3">
        <f>IF(SUMPRODUCT(1*EXACT('Casillas del horario'!$S$4:$S$73,"Profesor de G en 10-3"&amp;CHAR(31)&amp;$A7&amp;CHAR(31)&amp;D$3))&gt;1,IF(ISNA(MATCH(1,INDEX(EXACT('Casillas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10-3"&amp;CHAR(31)&amp;$A7&amp;CHAR(31)&amp;D$3)*1,0),0))))&amp;" (+"&amp;(SUMPRODUCT(1*EXACT('Casillas del horario'!$S$4:$S$73,"Profesor de G en 10-3"&amp;CHAR(31)&amp;$A7&amp;CHAR(31)&amp;D$3))-1)&amp;")",IF(ISNA(MATCH(1,INDEX(EXACT('Casillas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10-3"&amp;CHAR(31)&amp;$A7&amp;CHAR(31)&amp;D$3)*1,0),0)))))</f>
        <v/>
      </c>
      <c r="E7" s="3">
        <f>IF(SUMPRODUCT(1*EXACT('Casillas del horario'!$S$4:$S$73,"Profesor de G en 10-3"&amp;CHAR(31)&amp;$A7&amp;CHAR(31)&amp;E$3))&gt;1,IF(ISNA(MATCH(1,INDEX(EXACT('Casillas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10-3"&amp;CHAR(31)&amp;$A7&amp;CHAR(31)&amp;E$3)*1,0),0))))&amp;" (+"&amp;(SUMPRODUCT(1*EXACT('Casillas del horario'!$S$4:$S$73,"Profesor de G en 10-3"&amp;CHAR(31)&amp;$A7&amp;CHAR(31)&amp;E$3))-1)&amp;")",IF(ISNA(MATCH(1,INDEX(EXACT('Casillas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10-3"&amp;CHAR(31)&amp;$A7&amp;CHAR(31)&amp;E$3)*1,0),0)))))</f>
        <v/>
      </c>
      <c r="F7" s="3">
        <f>IF(SUMPRODUCT(1*EXACT('Casillas del horario'!$S$4:$S$73,"Profesor de G en 10-3"&amp;CHAR(31)&amp;$A7&amp;CHAR(31)&amp;F$3))&gt;1,IF(ISNA(MATCH(1,INDEX(EXACT('Casillas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10-3"&amp;CHAR(31)&amp;$A7&amp;CHAR(31)&amp;F$3)*1,0),0))))&amp;" (+"&amp;(SUMPRODUCT(1*EXACT('Casillas del horario'!$S$4:$S$73,"Profesor de G en 10-3"&amp;CHAR(31)&amp;$A7&amp;CHAR(31)&amp;F$3))-1)&amp;")",IF(ISNA(MATCH(1,INDEX(EXACT('Casillas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10-3"&amp;CHAR(31)&amp;$A8&amp;CHAR(31)&amp;B$3))&gt;1,IF(ISNA(MATCH(1,INDEX(EXACT('Casillas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10-3"&amp;CHAR(31)&amp;$A8&amp;CHAR(31)&amp;B$3)*1,0),0))))&amp;" (+"&amp;(SUMPRODUCT(1*EXACT('Casillas del horario'!$S$4:$S$73,"Profesor de G en 10-3"&amp;CHAR(31)&amp;$A8&amp;CHAR(31)&amp;B$3))-1)&amp;")",IF(ISNA(MATCH(1,INDEX(EXACT('Casillas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10-3"&amp;CHAR(31)&amp;$A8&amp;CHAR(31)&amp;B$3)*1,0),0)))))</f>
        <v/>
      </c>
      <c r="C8" s="3">
        <f>IF(SUMPRODUCT(1*EXACT('Casillas del horario'!$S$4:$S$73,"Profesor de G en 10-3"&amp;CHAR(31)&amp;$A8&amp;CHAR(31)&amp;C$3))&gt;1,IF(ISNA(MATCH(1,INDEX(EXACT('Casillas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10-3"&amp;CHAR(31)&amp;$A8&amp;CHAR(31)&amp;C$3)*1,0),0))))&amp;" (+"&amp;(SUMPRODUCT(1*EXACT('Casillas del horario'!$S$4:$S$73,"Profesor de G en 10-3"&amp;CHAR(31)&amp;$A8&amp;CHAR(31)&amp;C$3))-1)&amp;")",IF(ISNA(MATCH(1,INDEX(EXACT('Casillas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10-3"&amp;CHAR(31)&amp;$A8&amp;CHAR(31)&amp;C$3)*1,0),0)))))</f>
        <v/>
      </c>
      <c r="D8" s="3">
        <f>IF(SUMPRODUCT(1*EXACT('Casillas del horario'!$S$4:$S$73,"Profesor de G en 10-3"&amp;CHAR(31)&amp;$A8&amp;CHAR(31)&amp;D$3))&gt;1,IF(ISNA(MATCH(1,INDEX(EXACT('Casillas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10-3"&amp;CHAR(31)&amp;$A8&amp;CHAR(31)&amp;D$3)*1,0),0))))&amp;" (+"&amp;(SUMPRODUCT(1*EXACT('Casillas del horario'!$S$4:$S$73,"Profesor de G en 10-3"&amp;CHAR(31)&amp;$A8&amp;CHAR(31)&amp;D$3))-1)&amp;")",IF(ISNA(MATCH(1,INDEX(EXACT('Casillas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10-3"&amp;CHAR(31)&amp;$A8&amp;CHAR(31)&amp;D$3)*1,0),0)))))</f>
        <v/>
      </c>
      <c r="E8" s="3">
        <f>IF(SUMPRODUCT(1*EXACT('Casillas del horario'!$S$4:$S$73,"Profesor de G en 10-3"&amp;CHAR(31)&amp;$A8&amp;CHAR(31)&amp;E$3))&gt;1,IF(ISNA(MATCH(1,INDEX(EXACT('Casillas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10-3"&amp;CHAR(31)&amp;$A8&amp;CHAR(31)&amp;E$3)*1,0),0))))&amp;" (+"&amp;(SUMPRODUCT(1*EXACT('Casillas del horario'!$S$4:$S$73,"Profesor de G en 10-3"&amp;CHAR(31)&amp;$A8&amp;CHAR(31)&amp;E$3))-1)&amp;")",IF(ISNA(MATCH(1,INDEX(EXACT('Casillas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10-3"&amp;CHAR(31)&amp;$A8&amp;CHAR(31)&amp;E$3)*1,0),0)))))</f>
        <v/>
      </c>
      <c r="F8" s="3">
        <f>IF(SUMPRODUCT(1*EXACT('Casillas del horario'!$S$4:$S$73,"Profesor de G en 10-3"&amp;CHAR(31)&amp;$A8&amp;CHAR(31)&amp;F$3))&gt;1,IF(ISNA(MATCH(1,INDEX(EXACT('Casillas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10-3"&amp;CHAR(31)&amp;$A8&amp;CHAR(31)&amp;F$3)*1,0),0))))&amp;" (+"&amp;(SUMPRODUCT(1*EXACT('Casillas del horario'!$S$4:$S$73,"Profesor de G en 10-3"&amp;CHAR(31)&amp;$A8&amp;CHAR(31)&amp;F$3))-1)&amp;")",IF(ISNA(MATCH(1,INDEX(EXACT('Casillas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10-3"&amp;CHAR(31)&amp;$A9&amp;CHAR(31)&amp;B$3))&gt;1,IF(ISNA(MATCH(1,INDEX(EXACT('Casillas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10-3"&amp;CHAR(31)&amp;$A9&amp;CHAR(31)&amp;B$3)*1,0),0))))&amp;" (+"&amp;(SUMPRODUCT(1*EXACT('Casillas del horario'!$S$4:$S$73,"Profesor de G en 10-3"&amp;CHAR(31)&amp;$A9&amp;CHAR(31)&amp;B$3))-1)&amp;")",IF(ISNA(MATCH(1,INDEX(EXACT('Casillas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10-3"&amp;CHAR(31)&amp;$A9&amp;CHAR(31)&amp;B$3)*1,0),0)))))</f>
        <v/>
      </c>
      <c r="C9" s="3">
        <f>IF(SUMPRODUCT(1*EXACT('Casillas del horario'!$S$4:$S$73,"Profesor de G en 10-3"&amp;CHAR(31)&amp;$A9&amp;CHAR(31)&amp;C$3))&gt;1,IF(ISNA(MATCH(1,INDEX(EXACT('Casillas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10-3"&amp;CHAR(31)&amp;$A9&amp;CHAR(31)&amp;C$3)*1,0),0))))&amp;" (+"&amp;(SUMPRODUCT(1*EXACT('Casillas del horario'!$S$4:$S$73,"Profesor de G en 10-3"&amp;CHAR(31)&amp;$A9&amp;CHAR(31)&amp;C$3))-1)&amp;")",IF(ISNA(MATCH(1,INDEX(EXACT('Casillas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10-3"&amp;CHAR(31)&amp;$A9&amp;CHAR(31)&amp;C$3)*1,0),0)))))</f>
        <v/>
      </c>
      <c r="D9" s="3">
        <f>IF(SUMPRODUCT(1*EXACT('Casillas del horario'!$S$4:$S$73,"Profesor de G en 10-3"&amp;CHAR(31)&amp;$A9&amp;CHAR(31)&amp;D$3))&gt;1,IF(ISNA(MATCH(1,INDEX(EXACT('Casillas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10-3"&amp;CHAR(31)&amp;$A9&amp;CHAR(31)&amp;D$3)*1,0),0))))&amp;" (+"&amp;(SUMPRODUCT(1*EXACT('Casillas del horario'!$S$4:$S$73,"Profesor de G en 10-3"&amp;CHAR(31)&amp;$A9&amp;CHAR(31)&amp;D$3))-1)&amp;")",IF(ISNA(MATCH(1,INDEX(EXACT('Casillas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10-3"&amp;CHAR(31)&amp;$A9&amp;CHAR(31)&amp;D$3)*1,0),0)))))</f>
        <v/>
      </c>
      <c r="E9" s="3">
        <f>IF(SUMPRODUCT(1*EXACT('Casillas del horario'!$S$4:$S$73,"Profesor de G en 10-3"&amp;CHAR(31)&amp;$A9&amp;CHAR(31)&amp;E$3))&gt;1,IF(ISNA(MATCH(1,INDEX(EXACT('Casillas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10-3"&amp;CHAR(31)&amp;$A9&amp;CHAR(31)&amp;E$3)*1,0),0))))&amp;" (+"&amp;(SUMPRODUCT(1*EXACT('Casillas del horario'!$S$4:$S$73,"Profesor de G en 10-3"&amp;CHAR(31)&amp;$A9&amp;CHAR(31)&amp;E$3))-1)&amp;")",IF(ISNA(MATCH(1,INDEX(EXACT('Casillas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10-3"&amp;CHAR(31)&amp;$A9&amp;CHAR(31)&amp;E$3)*1,0),0)))))</f>
        <v/>
      </c>
      <c r="F9" s="3">
        <f>IF(SUMPRODUCT(1*EXACT('Casillas del horario'!$S$4:$S$73,"Profesor de G en 10-3"&amp;CHAR(31)&amp;$A9&amp;CHAR(31)&amp;F$3))&gt;1,IF(ISNA(MATCH(1,INDEX(EXACT('Casillas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10-3"&amp;CHAR(31)&amp;$A9&amp;CHAR(31)&amp;F$3)*1,0),0))))&amp;" (+"&amp;(SUMPRODUCT(1*EXACT('Casillas del horario'!$S$4:$S$73,"Profesor de G en 10-3"&amp;CHAR(31)&amp;$A9&amp;CHAR(31)&amp;F$3))-1)&amp;")",IF(ISNA(MATCH(1,INDEX(EXACT('Casillas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10-3"&amp;CHAR(31)&amp;$A10&amp;CHAR(31)&amp;B$3))&gt;1,IF(ISNA(MATCH(1,INDEX(EXACT('Casillas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10-3"&amp;CHAR(31)&amp;$A10&amp;CHAR(31)&amp;B$3)*1,0),0))))&amp;" (+"&amp;(SUMPRODUCT(1*EXACT('Casillas del horario'!$S$4:$S$73,"Profesor de G en 10-3"&amp;CHAR(31)&amp;$A10&amp;CHAR(31)&amp;B$3))-1)&amp;")",IF(ISNA(MATCH(1,INDEX(EXACT('Casillas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10-3"&amp;CHAR(31)&amp;$A10&amp;CHAR(31)&amp;B$3)*1,0),0)))))</f>
        <v/>
      </c>
      <c r="C10" s="3">
        <f>IF(SUMPRODUCT(1*EXACT('Casillas del horario'!$S$4:$S$73,"Profesor de G en 10-3"&amp;CHAR(31)&amp;$A10&amp;CHAR(31)&amp;C$3))&gt;1,IF(ISNA(MATCH(1,INDEX(EXACT('Casillas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10-3"&amp;CHAR(31)&amp;$A10&amp;CHAR(31)&amp;C$3)*1,0),0))))&amp;" (+"&amp;(SUMPRODUCT(1*EXACT('Casillas del horario'!$S$4:$S$73,"Profesor de G en 10-3"&amp;CHAR(31)&amp;$A10&amp;CHAR(31)&amp;C$3))-1)&amp;")",IF(ISNA(MATCH(1,INDEX(EXACT('Casillas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10-3"&amp;CHAR(31)&amp;$A10&amp;CHAR(31)&amp;C$3)*1,0),0)))))</f>
        <v/>
      </c>
      <c r="D10" s="3">
        <f>IF(SUMPRODUCT(1*EXACT('Casillas del horario'!$S$4:$S$73,"Profesor de G en 10-3"&amp;CHAR(31)&amp;$A10&amp;CHAR(31)&amp;D$3))&gt;1,IF(ISNA(MATCH(1,INDEX(EXACT('Casillas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10-3"&amp;CHAR(31)&amp;$A10&amp;CHAR(31)&amp;D$3)*1,0),0))))&amp;" (+"&amp;(SUMPRODUCT(1*EXACT('Casillas del horario'!$S$4:$S$73,"Profesor de G en 10-3"&amp;CHAR(31)&amp;$A10&amp;CHAR(31)&amp;D$3))-1)&amp;")",IF(ISNA(MATCH(1,INDEX(EXACT('Casillas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10-3"&amp;CHAR(31)&amp;$A10&amp;CHAR(31)&amp;D$3)*1,0),0)))))</f>
        <v/>
      </c>
      <c r="E10" s="3">
        <f>IF(SUMPRODUCT(1*EXACT('Casillas del horario'!$S$4:$S$73,"Profesor de G en 10-3"&amp;CHAR(31)&amp;$A10&amp;CHAR(31)&amp;E$3))&gt;1,IF(ISNA(MATCH(1,INDEX(EXACT('Casillas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10-3"&amp;CHAR(31)&amp;$A10&amp;CHAR(31)&amp;E$3)*1,0),0))))&amp;" (+"&amp;(SUMPRODUCT(1*EXACT('Casillas del horario'!$S$4:$S$73,"Profesor de G en 10-3"&amp;CHAR(31)&amp;$A10&amp;CHAR(31)&amp;E$3))-1)&amp;")",IF(ISNA(MATCH(1,INDEX(EXACT('Casillas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10-3"&amp;CHAR(31)&amp;$A10&amp;CHAR(31)&amp;E$3)*1,0),0)))))</f>
        <v/>
      </c>
      <c r="F10" s="3">
        <f>IF(SUMPRODUCT(1*EXACT('Casillas del horario'!$S$4:$S$73,"Profesor de G en 10-3"&amp;CHAR(31)&amp;$A10&amp;CHAR(31)&amp;F$3))&gt;1,IF(ISNA(MATCH(1,INDEX(EXACT('Casillas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10-3"&amp;CHAR(31)&amp;$A10&amp;CHAR(31)&amp;F$3)*1,0),0))))&amp;" (+"&amp;(SUMPRODUCT(1*EXACT('Casillas del horario'!$S$4:$S$73,"Profesor de G en 10-3"&amp;CHAR(31)&amp;$A10&amp;CHAR(31)&amp;F$3))-1)&amp;")",IF(ISNA(MATCH(1,INDEX(EXACT('Casillas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10-3"&amp;CHAR(31)&amp;$A4&amp;CHAR(31)&amp;B$3))&gt;1,IF(ISNA(MATCH(1,INDEX(EXACT('Casillas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10-3"&amp;CHAR(31)&amp;$A4&amp;CHAR(31)&amp;B$3)*1,0),0))))&amp;" (+"&amp;(SUMPRODUCT(1*EXACT('Casillas del horario'!$S$4:$S$73,"Profesor de INF en 10-3"&amp;CHAR(31)&amp;$A4&amp;CHAR(31)&amp;B$3))-1)&amp;")",IF(ISNA(MATCH(1,INDEX(EXACT('Casillas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10-3"&amp;CHAR(31)&amp;$A4&amp;CHAR(31)&amp;B$3)*1,0),0)))))</f>
        <v/>
      </c>
      <c r="C4" s="3">
        <f>IF(SUMPRODUCT(1*EXACT('Casillas del horario'!$S$4:$S$73,"Profesor de INF en 10-3"&amp;CHAR(31)&amp;$A4&amp;CHAR(31)&amp;C$3))&gt;1,IF(ISNA(MATCH(1,INDEX(EXACT('Casillas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10-3"&amp;CHAR(31)&amp;$A4&amp;CHAR(31)&amp;C$3)*1,0),0))))&amp;" (+"&amp;(SUMPRODUCT(1*EXACT('Casillas del horario'!$S$4:$S$73,"Profesor de INF en 10-3"&amp;CHAR(31)&amp;$A4&amp;CHAR(31)&amp;C$3))-1)&amp;")",IF(ISNA(MATCH(1,INDEX(EXACT('Casillas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10-3"&amp;CHAR(31)&amp;$A4&amp;CHAR(31)&amp;C$3)*1,0),0)))))</f>
        <v/>
      </c>
      <c r="D4" s="3">
        <f>IF(SUMPRODUCT(1*EXACT('Casillas del horario'!$S$4:$S$73,"Profesor de INF en 10-3"&amp;CHAR(31)&amp;$A4&amp;CHAR(31)&amp;D$3))&gt;1,IF(ISNA(MATCH(1,INDEX(EXACT('Casillas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10-3"&amp;CHAR(31)&amp;$A4&amp;CHAR(31)&amp;D$3)*1,0),0))))&amp;" (+"&amp;(SUMPRODUCT(1*EXACT('Casillas del horario'!$S$4:$S$73,"Profesor de INF en 10-3"&amp;CHAR(31)&amp;$A4&amp;CHAR(31)&amp;D$3))-1)&amp;")",IF(ISNA(MATCH(1,INDEX(EXACT('Casillas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10-3"&amp;CHAR(31)&amp;$A4&amp;CHAR(31)&amp;D$3)*1,0),0)))))</f>
        <v/>
      </c>
      <c r="E4" s="3">
        <f>IF(SUMPRODUCT(1*EXACT('Casillas del horario'!$S$4:$S$73,"Profesor de INF en 10-3"&amp;CHAR(31)&amp;$A4&amp;CHAR(31)&amp;E$3))&gt;1,IF(ISNA(MATCH(1,INDEX(EXACT('Casillas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10-3"&amp;CHAR(31)&amp;$A4&amp;CHAR(31)&amp;E$3)*1,0),0))))&amp;" (+"&amp;(SUMPRODUCT(1*EXACT('Casillas del horario'!$S$4:$S$73,"Profesor de INF en 10-3"&amp;CHAR(31)&amp;$A4&amp;CHAR(31)&amp;E$3))-1)&amp;")",IF(ISNA(MATCH(1,INDEX(EXACT('Casillas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10-3"&amp;CHAR(31)&amp;$A4&amp;CHAR(31)&amp;E$3)*1,0),0)))))</f>
        <v/>
      </c>
      <c r="F4" s="3">
        <f>IF(SUMPRODUCT(1*EXACT('Casillas del horario'!$S$4:$S$73,"Profesor de INF en 10-3"&amp;CHAR(31)&amp;$A4&amp;CHAR(31)&amp;F$3))&gt;1,IF(ISNA(MATCH(1,INDEX(EXACT('Casillas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10-3"&amp;CHAR(31)&amp;$A4&amp;CHAR(31)&amp;F$3)*1,0),0))))&amp;" (+"&amp;(SUMPRODUCT(1*EXACT('Casillas del horario'!$S$4:$S$73,"Profesor de INF en 10-3"&amp;CHAR(31)&amp;$A4&amp;CHAR(31)&amp;F$3))-1)&amp;")",IF(ISNA(MATCH(1,INDEX(EXACT('Casillas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10-3"&amp;CHAR(31)&amp;$A5&amp;CHAR(31)&amp;B$3))&gt;1,IF(ISNA(MATCH(1,INDEX(EXACT('Casillas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10-3"&amp;CHAR(31)&amp;$A5&amp;CHAR(31)&amp;B$3)*1,0),0))))&amp;" (+"&amp;(SUMPRODUCT(1*EXACT('Casillas del horario'!$S$4:$S$73,"Profesor de INF en 10-3"&amp;CHAR(31)&amp;$A5&amp;CHAR(31)&amp;B$3))-1)&amp;")",IF(ISNA(MATCH(1,INDEX(EXACT('Casillas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10-3"&amp;CHAR(31)&amp;$A5&amp;CHAR(31)&amp;B$3)*1,0),0)))))</f>
        <v/>
      </c>
      <c r="C5" s="3">
        <f>IF(SUMPRODUCT(1*EXACT('Casillas del horario'!$S$4:$S$73,"Profesor de INF en 10-3"&amp;CHAR(31)&amp;$A5&amp;CHAR(31)&amp;C$3))&gt;1,IF(ISNA(MATCH(1,INDEX(EXACT('Casillas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10-3"&amp;CHAR(31)&amp;$A5&amp;CHAR(31)&amp;C$3)*1,0),0))))&amp;" (+"&amp;(SUMPRODUCT(1*EXACT('Casillas del horario'!$S$4:$S$73,"Profesor de INF en 10-3"&amp;CHAR(31)&amp;$A5&amp;CHAR(31)&amp;C$3))-1)&amp;")",IF(ISNA(MATCH(1,INDEX(EXACT('Casillas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10-3"&amp;CHAR(31)&amp;$A5&amp;CHAR(31)&amp;C$3)*1,0),0)))))</f>
        <v/>
      </c>
      <c r="D5" s="3">
        <f>IF(SUMPRODUCT(1*EXACT('Casillas del horario'!$S$4:$S$73,"Profesor de INF en 10-3"&amp;CHAR(31)&amp;$A5&amp;CHAR(31)&amp;D$3))&gt;1,IF(ISNA(MATCH(1,INDEX(EXACT('Casillas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10-3"&amp;CHAR(31)&amp;$A5&amp;CHAR(31)&amp;D$3)*1,0),0))))&amp;" (+"&amp;(SUMPRODUCT(1*EXACT('Casillas del horario'!$S$4:$S$73,"Profesor de INF en 10-3"&amp;CHAR(31)&amp;$A5&amp;CHAR(31)&amp;D$3))-1)&amp;")",IF(ISNA(MATCH(1,INDEX(EXACT('Casillas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10-3"&amp;CHAR(31)&amp;$A5&amp;CHAR(31)&amp;D$3)*1,0),0)))))</f>
        <v/>
      </c>
      <c r="E5" s="3">
        <f>IF(SUMPRODUCT(1*EXACT('Casillas del horario'!$S$4:$S$73,"Profesor de INF en 10-3"&amp;CHAR(31)&amp;$A5&amp;CHAR(31)&amp;E$3))&gt;1,IF(ISNA(MATCH(1,INDEX(EXACT('Casillas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10-3"&amp;CHAR(31)&amp;$A5&amp;CHAR(31)&amp;E$3)*1,0),0))))&amp;" (+"&amp;(SUMPRODUCT(1*EXACT('Casillas del horario'!$S$4:$S$73,"Profesor de INF en 10-3"&amp;CHAR(31)&amp;$A5&amp;CHAR(31)&amp;E$3))-1)&amp;")",IF(ISNA(MATCH(1,INDEX(EXACT('Casillas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10-3"&amp;CHAR(31)&amp;$A5&amp;CHAR(31)&amp;E$3)*1,0),0)))))</f>
        <v/>
      </c>
      <c r="F5" s="3">
        <f>IF(SUMPRODUCT(1*EXACT('Casillas del horario'!$S$4:$S$73,"Profesor de INF en 10-3"&amp;CHAR(31)&amp;$A5&amp;CHAR(31)&amp;F$3))&gt;1,IF(ISNA(MATCH(1,INDEX(EXACT('Casillas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10-3"&amp;CHAR(31)&amp;$A5&amp;CHAR(31)&amp;F$3)*1,0),0))))&amp;" (+"&amp;(SUMPRODUCT(1*EXACT('Casillas del horario'!$S$4:$S$73,"Profesor de INF en 10-3"&amp;CHAR(31)&amp;$A5&amp;CHAR(31)&amp;F$3))-1)&amp;")",IF(ISNA(MATCH(1,INDEX(EXACT('Casillas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10-3"&amp;CHAR(31)&amp;$A6&amp;CHAR(31)&amp;B$3))&gt;1,IF(ISNA(MATCH(1,INDEX(EXACT('Casillas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10-3"&amp;CHAR(31)&amp;$A6&amp;CHAR(31)&amp;B$3)*1,0),0))))&amp;" (+"&amp;(SUMPRODUCT(1*EXACT('Casillas del horario'!$S$4:$S$73,"Profesor de INF en 10-3"&amp;CHAR(31)&amp;$A6&amp;CHAR(31)&amp;B$3))-1)&amp;")",IF(ISNA(MATCH(1,INDEX(EXACT('Casillas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10-3"&amp;CHAR(31)&amp;$A6&amp;CHAR(31)&amp;B$3)*1,0),0)))))</f>
        <v/>
      </c>
      <c r="C6" s="3">
        <f>IF(SUMPRODUCT(1*EXACT('Casillas del horario'!$S$4:$S$73,"Profesor de INF en 10-3"&amp;CHAR(31)&amp;$A6&amp;CHAR(31)&amp;C$3))&gt;1,IF(ISNA(MATCH(1,INDEX(EXACT('Casillas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10-3"&amp;CHAR(31)&amp;$A6&amp;CHAR(31)&amp;C$3)*1,0),0))))&amp;" (+"&amp;(SUMPRODUCT(1*EXACT('Casillas del horario'!$S$4:$S$73,"Profesor de INF en 10-3"&amp;CHAR(31)&amp;$A6&amp;CHAR(31)&amp;C$3))-1)&amp;")",IF(ISNA(MATCH(1,INDEX(EXACT('Casillas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10-3"&amp;CHAR(31)&amp;$A6&amp;CHAR(31)&amp;C$3)*1,0),0)))))</f>
        <v/>
      </c>
      <c r="D6" s="3">
        <f>IF(SUMPRODUCT(1*EXACT('Casillas del horario'!$S$4:$S$73,"Profesor de INF en 10-3"&amp;CHAR(31)&amp;$A6&amp;CHAR(31)&amp;D$3))&gt;1,IF(ISNA(MATCH(1,INDEX(EXACT('Casillas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10-3"&amp;CHAR(31)&amp;$A6&amp;CHAR(31)&amp;D$3)*1,0),0))))&amp;" (+"&amp;(SUMPRODUCT(1*EXACT('Casillas del horario'!$S$4:$S$73,"Profesor de INF en 10-3"&amp;CHAR(31)&amp;$A6&amp;CHAR(31)&amp;D$3))-1)&amp;")",IF(ISNA(MATCH(1,INDEX(EXACT('Casillas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10-3"&amp;CHAR(31)&amp;$A6&amp;CHAR(31)&amp;D$3)*1,0),0)))))</f>
        <v/>
      </c>
      <c r="E6" s="3">
        <f>IF(SUMPRODUCT(1*EXACT('Casillas del horario'!$S$4:$S$73,"Profesor de INF en 10-3"&amp;CHAR(31)&amp;$A6&amp;CHAR(31)&amp;E$3))&gt;1,IF(ISNA(MATCH(1,INDEX(EXACT('Casillas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10-3"&amp;CHAR(31)&amp;$A6&amp;CHAR(31)&amp;E$3)*1,0),0))))&amp;" (+"&amp;(SUMPRODUCT(1*EXACT('Casillas del horario'!$S$4:$S$73,"Profesor de INF en 10-3"&amp;CHAR(31)&amp;$A6&amp;CHAR(31)&amp;E$3))-1)&amp;")",IF(ISNA(MATCH(1,INDEX(EXACT('Casillas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10-3"&amp;CHAR(31)&amp;$A6&amp;CHAR(31)&amp;E$3)*1,0),0)))))</f>
        <v/>
      </c>
      <c r="F6" s="3">
        <f>IF(SUMPRODUCT(1*EXACT('Casillas del horario'!$S$4:$S$73,"Profesor de INF en 10-3"&amp;CHAR(31)&amp;$A6&amp;CHAR(31)&amp;F$3))&gt;1,IF(ISNA(MATCH(1,INDEX(EXACT('Casillas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10-3"&amp;CHAR(31)&amp;$A6&amp;CHAR(31)&amp;F$3)*1,0),0))))&amp;" (+"&amp;(SUMPRODUCT(1*EXACT('Casillas del horario'!$S$4:$S$73,"Profesor de INF en 10-3"&amp;CHAR(31)&amp;$A6&amp;CHAR(31)&amp;F$3))-1)&amp;")",IF(ISNA(MATCH(1,INDEX(EXACT('Casillas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10-3"&amp;CHAR(31)&amp;$A7&amp;CHAR(31)&amp;B$3))&gt;1,IF(ISNA(MATCH(1,INDEX(EXACT('Casillas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10-3"&amp;CHAR(31)&amp;$A7&amp;CHAR(31)&amp;B$3)*1,0),0))))&amp;" (+"&amp;(SUMPRODUCT(1*EXACT('Casillas del horario'!$S$4:$S$73,"Profesor de INF en 10-3"&amp;CHAR(31)&amp;$A7&amp;CHAR(31)&amp;B$3))-1)&amp;")",IF(ISNA(MATCH(1,INDEX(EXACT('Casillas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10-3"&amp;CHAR(31)&amp;$A7&amp;CHAR(31)&amp;B$3)*1,0),0)))))</f>
        <v/>
      </c>
      <c r="C7" s="3">
        <f>IF(SUMPRODUCT(1*EXACT('Casillas del horario'!$S$4:$S$73,"Profesor de INF en 10-3"&amp;CHAR(31)&amp;$A7&amp;CHAR(31)&amp;C$3))&gt;1,IF(ISNA(MATCH(1,INDEX(EXACT('Casillas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10-3"&amp;CHAR(31)&amp;$A7&amp;CHAR(31)&amp;C$3)*1,0),0))))&amp;" (+"&amp;(SUMPRODUCT(1*EXACT('Casillas del horario'!$S$4:$S$73,"Profesor de INF en 10-3"&amp;CHAR(31)&amp;$A7&amp;CHAR(31)&amp;C$3))-1)&amp;")",IF(ISNA(MATCH(1,INDEX(EXACT('Casillas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10-3"&amp;CHAR(31)&amp;$A7&amp;CHAR(31)&amp;C$3)*1,0),0)))))</f>
        <v/>
      </c>
      <c r="D7" s="3">
        <f>IF(SUMPRODUCT(1*EXACT('Casillas del horario'!$S$4:$S$73,"Profesor de INF en 10-3"&amp;CHAR(31)&amp;$A7&amp;CHAR(31)&amp;D$3))&gt;1,IF(ISNA(MATCH(1,INDEX(EXACT('Casillas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10-3"&amp;CHAR(31)&amp;$A7&amp;CHAR(31)&amp;D$3)*1,0),0))))&amp;" (+"&amp;(SUMPRODUCT(1*EXACT('Casillas del horario'!$S$4:$S$73,"Profesor de INF en 10-3"&amp;CHAR(31)&amp;$A7&amp;CHAR(31)&amp;D$3))-1)&amp;")",IF(ISNA(MATCH(1,INDEX(EXACT('Casillas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10-3"&amp;CHAR(31)&amp;$A7&amp;CHAR(31)&amp;D$3)*1,0),0)))))</f>
        <v/>
      </c>
      <c r="E7" s="3">
        <f>IF(SUMPRODUCT(1*EXACT('Casillas del horario'!$S$4:$S$73,"Profesor de INF en 10-3"&amp;CHAR(31)&amp;$A7&amp;CHAR(31)&amp;E$3))&gt;1,IF(ISNA(MATCH(1,INDEX(EXACT('Casillas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10-3"&amp;CHAR(31)&amp;$A7&amp;CHAR(31)&amp;E$3)*1,0),0))))&amp;" (+"&amp;(SUMPRODUCT(1*EXACT('Casillas del horario'!$S$4:$S$73,"Profesor de INF en 10-3"&amp;CHAR(31)&amp;$A7&amp;CHAR(31)&amp;E$3))-1)&amp;")",IF(ISNA(MATCH(1,INDEX(EXACT('Casillas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10-3"&amp;CHAR(31)&amp;$A7&amp;CHAR(31)&amp;E$3)*1,0),0)))))</f>
        <v/>
      </c>
      <c r="F7" s="3">
        <f>IF(SUMPRODUCT(1*EXACT('Casillas del horario'!$S$4:$S$73,"Profesor de INF en 10-3"&amp;CHAR(31)&amp;$A7&amp;CHAR(31)&amp;F$3))&gt;1,IF(ISNA(MATCH(1,INDEX(EXACT('Casillas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10-3"&amp;CHAR(31)&amp;$A7&amp;CHAR(31)&amp;F$3)*1,0),0))))&amp;" (+"&amp;(SUMPRODUCT(1*EXACT('Casillas del horario'!$S$4:$S$73,"Profesor de INF en 10-3"&amp;CHAR(31)&amp;$A7&amp;CHAR(31)&amp;F$3))-1)&amp;")",IF(ISNA(MATCH(1,INDEX(EXACT('Casillas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10-3"&amp;CHAR(31)&amp;$A8&amp;CHAR(31)&amp;B$3))&gt;1,IF(ISNA(MATCH(1,INDEX(EXACT('Casillas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10-3"&amp;CHAR(31)&amp;$A8&amp;CHAR(31)&amp;B$3)*1,0),0))))&amp;" (+"&amp;(SUMPRODUCT(1*EXACT('Casillas del horario'!$S$4:$S$73,"Profesor de INF en 10-3"&amp;CHAR(31)&amp;$A8&amp;CHAR(31)&amp;B$3))-1)&amp;")",IF(ISNA(MATCH(1,INDEX(EXACT('Casillas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10-3"&amp;CHAR(31)&amp;$A8&amp;CHAR(31)&amp;B$3)*1,0),0)))))</f>
        <v/>
      </c>
      <c r="C8" s="3">
        <f>IF(SUMPRODUCT(1*EXACT('Casillas del horario'!$S$4:$S$73,"Profesor de INF en 10-3"&amp;CHAR(31)&amp;$A8&amp;CHAR(31)&amp;C$3))&gt;1,IF(ISNA(MATCH(1,INDEX(EXACT('Casillas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10-3"&amp;CHAR(31)&amp;$A8&amp;CHAR(31)&amp;C$3)*1,0),0))))&amp;" (+"&amp;(SUMPRODUCT(1*EXACT('Casillas del horario'!$S$4:$S$73,"Profesor de INF en 10-3"&amp;CHAR(31)&amp;$A8&amp;CHAR(31)&amp;C$3))-1)&amp;")",IF(ISNA(MATCH(1,INDEX(EXACT('Casillas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10-3"&amp;CHAR(31)&amp;$A8&amp;CHAR(31)&amp;C$3)*1,0),0)))))</f>
        <v/>
      </c>
      <c r="D8" s="3">
        <f>IF(SUMPRODUCT(1*EXACT('Casillas del horario'!$S$4:$S$73,"Profesor de INF en 10-3"&amp;CHAR(31)&amp;$A8&amp;CHAR(31)&amp;D$3))&gt;1,IF(ISNA(MATCH(1,INDEX(EXACT('Casillas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10-3"&amp;CHAR(31)&amp;$A8&amp;CHAR(31)&amp;D$3)*1,0),0))))&amp;" (+"&amp;(SUMPRODUCT(1*EXACT('Casillas del horario'!$S$4:$S$73,"Profesor de INF en 10-3"&amp;CHAR(31)&amp;$A8&amp;CHAR(31)&amp;D$3))-1)&amp;")",IF(ISNA(MATCH(1,INDEX(EXACT('Casillas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10-3"&amp;CHAR(31)&amp;$A8&amp;CHAR(31)&amp;D$3)*1,0),0)))))</f>
        <v/>
      </c>
      <c r="E8" s="3">
        <f>IF(SUMPRODUCT(1*EXACT('Casillas del horario'!$S$4:$S$73,"Profesor de INF en 10-3"&amp;CHAR(31)&amp;$A8&amp;CHAR(31)&amp;E$3))&gt;1,IF(ISNA(MATCH(1,INDEX(EXACT('Casillas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10-3"&amp;CHAR(31)&amp;$A8&amp;CHAR(31)&amp;E$3)*1,0),0))))&amp;" (+"&amp;(SUMPRODUCT(1*EXACT('Casillas del horario'!$S$4:$S$73,"Profesor de INF en 10-3"&amp;CHAR(31)&amp;$A8&amp;CHAR(31)&amp;E$3))-1)&amp;")",IF(ISNA(MATCH(1,INDEX(EXACT('Casillas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10-3"&amp;CHAR(31)&amp;$A8&amp;CHAR(31)&amp;E$3)*1,0),0)))))</f>
        <v/>
      </c>
      <c r="F8" s="3">
        <f>IF(SUMPRODUCT(1*EXACT('Casillas del horario'!$S$4:$S$73,"Profesor de INF en 10-3"&amp;CHAR(31)&amp;$A8&amp;CHAR(31)&amp;F$3))&gt;1,IF(ISNA(MATCH(1,INDEX(EXACT('Casillas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10-3"&amp;CHAR(31)&amp;$A8&amp;CHAR(31)&amp;F$3)*1,0),0))))&amp;" (+"&amp;(SUMPRODUCT(1*EXACT('Casillas del horario'!$S$4:$S$73,"Profesor de INF en 10-3"&amp;CHAR(31)&amp;$A8&amp;CHAR(31)&amp;F$3))-1)&amp;")",IF(ISNA(MATCH(1,INDEX(EXACT('Casillas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10-3"&amp;CHAR(31)&amp;$A9&amp;CHAR(31)&amp;B$3))&gt;1,IF(ISNA(MATCH(1,INDEX(EXACT('Casillas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10-3"&amp;CHAR(31)&amp;$A9&amp;CHAR(31)&amp;B$3)*1,0),0))))&amp;" (+"&amp;(SUMPRODUCT(1*EXACT('Casillas del horario'!$S$4:$S$73,"Profesor de INF en 10-3"&amp;CHAR(31)&amp;$A9&amp;CHAR(31)&amp;B$3))-1)&amp;")",IF(ISNA(MATCH(1,INDEX(EXACT('Casillas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10-3"&amp;CHAR(31)&amp;$A9&amp;CHAR(31)&amp;B$3)*1,0),0)))))</f>
        <v/>
      </c>
      <c r="C9" s="3">
        <f>IF(SUMPRODUCT(1*EXACT('Casillas del horario'!$S$4:$S$73,"Profesor de INF en 10-3"&amp;CHAR(31)&amp;$A9&amp;CHAR(31)&amp;C$3))&gt;1,IF(ISNA(MATCH(1,INDEX(EXACT('Casillas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10-3"&amp;CHAR(31)&amp;$A9&amp;CHAR(31)&amp;C$3)*1,0),0))))&amp;" (+"&amp;(SUMPRODUCT(1*EXACT('Casillas del horario'!$S$4:$S$73,"Profesor de INF en 10-3"&amp;CHAR(31)&amp;$A9&amp;CHAR(31)&amp;C$3))-1)&amp;")",IF(ISNA(MATCH(1,INDEX(EXACT('Casillas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10-3"&amp;CHAR(31)&amp;$A9&amp;CHAR(31)&amp;C$3)*1,0),0)))))</f>
        <v/>
      </c>
      <c r="D9" s="3">
        <f>IF(SUMPRODUCT(1*EXACT('Casillas del horario'!$S$4:$S$73,"Profesor de INF en 10-3"&amp;CHAR(31)&amp;$A9&amp;CHAR(31)&amp;D$3))&gt;1,IF(ISNA(MATCH(1,INDEX(EXACT('Casillas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10-3"&amp;CHAR(31)&amp;$A9&amp;CHAR(31)&amp;D$3)*1,0),0))))&amp;" (+"&amp;(SUMPRODUCT(1*EXACT('Casillas del horario'!$S$4:$S$73,"Profesor de INF en 10-3"&amp;CHAR(31)&amp;$A9&amp;CHAR(31)&amp;D$3))-1)&amp;")",IF(ISNA(MATCH(1,INDEX(EXACT('Casillas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10-3"&amp;CHAR(31)&amp;$A9&amp;CHAR(31)&amp;D$3)*1,0),0)))))</f>
        <v/>
      </c>
      <c r="E9" s="3">
        <f>IF(SUMPRODUCT(1*EXACT('Casillas del horario'!$S$4:$S$73,"Profesor de INF en 10-3"&amp;CHAR(31)&amp;$A9&amp;CHAR(31)&amp;E$3))&gt;1,IF(ISNA(MATCH(1,INDEX(EXACT('Casillas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10-3"&amp;CHAR(31)&amp;$A9&amp;CHAR(31)&amp;E$3)*1,0),0))))&amp;" (+"&amp;(SUMPRODUCT(1*EXACT('Casillas del horario'!$S$4:$S$73,"Profesor de INF en 10-3"&amp;CHAR(31)&amp;$A9&amp;CHAR(31)&amp;E$3))-1)&amp;")",IF(ISNA(MATCH(1,INDEX(EXACT('Casillas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10-3"&amp;CHAR(31)&amp;$A9&amp;CHAR(31)&amp;E$3)*1,0),0)))))</f>
        <v/>
      </c>
      <c r="F9" s="3">
        <f>IF(SUMPRODUCT(1*EXACT('Casillas del horario'!$S$4:$S$73,"Profesor de INF en 10-3"&amp;CHAR(31)&amp;$A9&amp;CHAR(31)&amp;F$3))&gt;1,IF(ISNA(MATCH(1,INDEX(EXACT('Casillas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10-3"&amp;CHAR(31)&amp;$A9&amp;CHAR(31)&amp;F$3)*1,0),0))))&amp;" (+"&amp;(SUMPRODUCT(1*EXACT('Casillas del horario'!$S$4:$S$73,"Profesor de INF en 10-3"&amp;CHAR(31)&amp;$A9&amp;CHAR(31)&amp;F$3))-1)&amp;")",IF(ISNA(MATCH(1,INDEX(EXACT('Casillas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10-3"&amp;CHAR(31)&amp;$A10&amp;CHAR(31)&amp;B$3))&gt;1,IF(ISNA(MATCH(1,INDEX(EXACT('Casillas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10-3"&amp;CHAR(31)&amp;$A10&amp;CHAR(31)&amp;B$3)*1,0),0))))&amp;" (+"&amp;(SUMPRODUCT(1*EXACT('Casillas del horario'!$S$4:$S$73,"Profesor de INF en 10-3"&amp;CHAR(31)&amp;$A10&amp;CHAR(31)&amp;B$3))-1)&amp;")",IF(ISNA(MATCH(1,INDEX(EXACT('Casillas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10-3"&amp;CHAR(31)&amp;$A10&amp;CHAR(31)&amp;B$3)*1,0),0)))))</f>
        <v/>
      </c>
      <c r="C10" s="3">
        <f>IF(SUMPRODUCT(1*EXACT('Casillas del horario'!$S$4:$S$73,"Profesor de INF en 10-3"&amp;CHAR(31)&amp;$A10&amp;CHAR(31)&amp;C$3))&gt;1,IF(ISNA(MATCH(1,INDEX(EXACT('Casillas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10-3"&amp;CHAR(31)&amp;$A10&amp;CHAR(31)&amp;C$3)*1,0),0))))&amp;" (+"&amp;(SUMPRODUCT(1*EXACT('Casillas del horario'!$S$4:$S$73,"Profesor de INF en 10-3"&amp;CHAR(31)&amp;$A10&amp;CHAR(31)&amp;C$3))-1)&amp;")",IF(ISNA(MATCH(1,INDEX(EXACT('Casillas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10-3"&amp;CHAR(31)&amp;$A10&amp;CHAR(31)&amp;C$3)*1,0),0)))))</f>
        <v/>
      </c>
      <c r="D10" s="3">
        <f>IF(SUMPRODUCT(1*EXACT('Casillas del horario'!$S$4:$S$73,"Profesor de INF en 10-3"&amp;CHAR(31)&amp;$A10&amp;CHAR(31)&amp;D$3))&gt;1,IF(ISNA(MATCH(1,INDEX(EXACT('Casillas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10-3"&amp;CHAR(31)&amp;$A10&amp;CHAR(31)&amp;D$3)*1,0),0))))&amp;" (+"&amp;(SUMPRODUCT(1*EXACT('Casillas del horario'!$S$4:$S$73,"Profesor de INF en 10-3"&amp;CHAR(31)&amp;$A10&amp;CHAR(31)&amp;D$3))-1)&amp;")",IF(ISNA(MATCH(1,INDEX(EXACT('Casillas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10-3"&amp;CHAR(31)&amp;$A10&amp;CHAR(31)&amp;D$3)*1,0),0)))))</f>
        <v/>
      </c>
      <c r="E10" s="3">
        <f>IF(SUMPRODUCT(1*EXACT('Casillas del horario'!$S$4:$S$73,"Profesor de INF en 10-3"&amp;CHAR(31)&amp;$A10&amp;CHAR(31)&amp;E$3))&gt;1,IF(ISNA(MATCH(1,INDEX(EXACT('Casillas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10-3"&amp;CHAR(31)&amp;$A10&amp;CHAR(31)&amp;E$3)*1,0),0))))&amp;" (+"&amp;(SUMPRODUCT(1*EXACT('Casillas del horario'!$S$4:$S$73,"Profesor de INF en 10-3"&amp;CHAR(31)&amp;$A10&amp;CHAR(31)&amp;E$3))-1)&amp;")",IF(ISNA(MATCH(1,INDEX(EXACT('Casillas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10-3"&amp;CHAR(31)&amp;$A10&amp;CHAR(31)&amp;E$3)*1,0),0)))))</f>
        <v/>
      </c>
      <c r="F10" s="3">
        <f>IF(SUMPRODUCT(1*EXACT('Casillas del horario'!$S$4:$S$73,"Profesor de INF en 10-3"&amp;CHAR(31)&amp;$A10&amp;CHAR(31)&amp;F$3))&gt;1,IF(ISNA(MATCH(1,INDEX(EXACT('Casillas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10-3"&amp;CHAR(31)&amp;$A10&amp;CHAR(31)&amp;F$3)*1,0),0))))&amp;" (+"&amp;(SUMPRODUCT(1*EXACT('Casillas del horario'!$S$4:$S$73,"Profesor de INF en 10-3"&amp;CHAR(31)&amp;$A10&amp;CHAR(31)&amp;F$3))-1)&amp;")",IF(ISNA(MATCH(1,INDEX(EXACT('Casillas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10-3"&amp;CHAR(31)&amp;$A4&amp;CHAR(31)&amp;B$3))&gt;1,IF(ISNA(MATCH(1,INDEX(EXACT('Casillas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10-3"&amp;CHAR(31)&amp;$A4&amp;CHAR(31)&amp;B$3)*1,0),0))))&amp;" (+"&amp;(SUMPRODUCT(1*EXACT('Casillas del horario'!$S$4:$S$73,"Profesor de Q en 10-3"&amp;CHAR(31)&amp;$A4&amp;CHAR(31)&amp;B$3))-1)&amp;")",IF(ISNA(MATCH(1,INDEX(EXACT('Casillas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10-3"&amp;CHAR(31)&amp;$A4&amp;CHAR(31)&amp;B$3)*1,0),0)))))</f>
        <v/>
      </c>
      <c r="C4" s="3">
        <f>IF(SUMPRODUCT(1*EXACT('Casillas del horario'!$S$4:$S$73,"Profesor de Q en 10-3"&amp;CHAR(31)&amp;$A4&amp;CHAR(31)&amp;C$3))&gt;1,IF(ISNA(MATCH(1,INDEX(EXACT('Casillas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10-3"&amp;CHAR(31)&amp;$A4&amp;CHAR(31)&amp;C$3)*1,0),0))))&amp;" (+"&amp;(SUMPRODUCT(1*EXACT('Casillas del horario'!$S$4:$S$73,"Profesor de Q en 10-3"&amp;CHAR(31)&amp;$A4&amp;CHAR(31)&amp;C$3))-1)&amp;")",IF(ISNA(MATCH(1,INDEX(EXACT('Casillas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10-3"&amp;CHAR(31)&amp;$A4&amp;CHAR(31)&amp;C$3)*1,0),0)))))</f>
        <v/>
      </c>
      <c r="D4" s="3">
        <f>IF(SUMPRODUCT(1*EXACT('Casillas del horario'!$S$4:$S$73,"Profesor de Q en 10-3"&amp;CHAR(31)&amp;$A4&amp;CHAR(31)&amp;D$3))&gt;1,IF(ISNA(MATCH(1,INDEX(EXACT('Casillas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10-3"&amp;CHAR(31)&amp;$A4&amp;CHAR(31)&amp;D$3)*1,0),0))))&amp;" (+"&amp;(SUMPRODUCT(1*EXACT('Casillas del horario'!$S$4:$S$73,"Profesor de Q en 10-3"&amp;CHAR(31)&amp;$A4&amp;CHAR(31)&amp;D$3))-1)&amp;")",IF(ISNA(MATCH(1,INDEX(EXACT('Casillas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10-3"&amp;CHAR(31)&amp;$A4&amp;CHAR(31)&amp;D$3)*1,0),0)))))</f>
        <v/>
      </c>
      <c r="E4" s="3">
        <f>IF(SUMPRODUCT(1*EXACT('Casillas del horario'!$S$4:$S$73,"Profesor de Q en 10-3"&amp;CHAR(31)&amp;$A4&amp;CHAR(31)&amp;E$3))&gt;1,IF(ISNA(MATCH(1,INDEX(EXACT('Casillas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10-3"&amp;CHAR(31)&amp;$A4&amp;CHAR(31)&amp;E$3)*1,0),0))))&amp;" (+"&amp;(SUMPRODUCT(1*EXACT('Casillas del horario'!$S$4:$S$73,"Profesor de Q en 10-3"&amp;CHAR(31)&amp;$A4&amp;CHAR(31)&amp;E$3))-1)&amp;")",IF(ISNA(MATCH(1,INDEX(EXACT('Casillas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10-3"&amp;CHAR(31)&amp;$A4&amp;CHAR(31)&amp;E$3)*1,0),0)))))</f>
        <v/>
      </c>
      <c r="F4" s="3">
        <f>IF(SUMPRODUCT(1*EXACT('Casillas del horario'!$S$4:$S$73,"Profesor de Q en 10-3"&amp;CHAR(31)&amp;$A4&amp;CHAR(31)&amp;F$3))&gt;1,IF(ISNA(MATCH(1,INDEX(EXACT('Casillas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10-3"&amp;CHAR(31)&amp;$A4&amp;CHAR(31)&amp;F$3)*1,0),0))))&amp;" (+"&amp;(SUMPRODUCT(1*EXACT('Casillas del horario'!$S$4:$S$73,"Profesor de Q en 10-3"&amp;CHAR(31)&amp;$A4&amp;CHAR(31)&amp;F$3))-1)&amp;")",IF(ISNA(MATCH(1,INDEX(EXACT('Casillas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10-3"&amp;CHAR(31)&amp;$A5&amp;CHAR(31)&amp;B$3))&gt;1,IF(ISNA(MATCH(1,INDEX(EXACT('Casillas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10-3"&amp;CHAR(31)&amp;$A5&amp;CHAR(31)&amp;B$3)*1,0),0))))&amp;" (+"&amp;(SUMPRODUCT(1*EXACT('Casillas del horario'!$S$4:$S$73,"Profesor de Q en 10-3"&amp;CHAR(31)&amp;$A5&amp;CHAR(31)&amp;B$3))-1)&amp;")",IF(ISNA(MATCH(1,INDEX(EXACT('Casillas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10-3"&amp;CHAR(31)&amp;$A5&amp;CHAR(31)&amp;B$3)*1,0),0)))))</f>
        <v/>
      </c>
      <c r="C5" s="3">
        <f>IF(SUMPRODUCT(1*EXACT('Casillas del horario'!$S$4:$S$73,"Profesor de Q en 10-3"&amp;CHAR(31)&amp;$A5&amp;CHAR(31)&amp;C$3))&gt;1,IF(ISNA(MATCH(1,INDEX(EXACT('Casillas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10-3"&amp;CHAR(31)&amp;$A5&amp;CHAR(31)&amp;C$3)*1,0),0))))&amp;" (+"&amp;(SUMPRODUCT(1*EXACT('Casillas del horario'!$S$4:$S$73,"Profesor de Q en 10-3"&amp;CHAR(31)&amp;$A5&amp;CHAR(31)&amp;C$3))-1)&amp;")",IF(ISNA(MATCH(1,INDEX(EXACT('Casillas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10-3"&amp;CHAR(31)&amp;$A5&amp;CHAR(31)&amp;C$3)*1,0),0)))))</f>
        <v/>
      </c>
      <c r="D5" s="3">
        <f>IF(SUMPRODUCT(1*EXACT('Casillas del horario'!$S$4:$S$73,"Profesor de Q en 10-3"&amp;CHAR(31)&amp;$A5&amp;CHAR(31)&amp;D$3))&gt;1,IF(ISNA(MATCH(1,INDEX(EXACT('Casillas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10-3"&amp;CHAR(31)&amp;$A5&amp;CHAR(31)&amp;D$3)*1,0),0))))&amp;" (+"&amp;(SUMPRODUCT(1*EXACT('Casillas del horario'!$S$4:$S$73,"Profesor de Q en 10-3"&amp;CHAR(31)&amp;$A5&amp;CHAR(31)&amp;D$3))-1)&amp;")",IF(ISNA(MATCH(1,INDEX(EXACT('Casillas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10-3"&amp;CHAR(31)&amp;$A5&amp;CHAR(31)&amp;D$3)*1,0),0)))))</f>
        <v/>
      </c>
      <c r="E5" s="3">
        <f>IF(SUMPRODUCT(1*EXACT('Casillas del horario'!$S$4:$S$73,"Profesor de Q en 10-3"&amp;CHAR(31)&amp;$A5&amp;CHAR(31)&amp;E$3))&gt;1,IF(ISNA(MATCH(1,INDEX(EXACT('Casillas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10-3"&amp;CHAR(31)&amp;$A5&amp;CHAR(31)&amp;E$3)*1,0),0))))&amp;" (+"&amp;(SUMPRODUCT(1*EXACT('Casillas del horario'!$S$4:$S$73,"Profesor de Q en 10-3"&amp;CHAR(31)&amp;$A5&amp;CHAR(31)&amp;E$3))-1)&amp;")",IF(ISNA(MATCH(1,INDEX(EXACT('Casillas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10-3"&amp;CHAR(31)&amp;$A5&amp;CHAR(31)&amp;E$3)*1,0),0)))))</f>
        <v/>
      </c>
      <c r="F5" s="3">
        <f>IF(SUMPRODUCT(1*EXACT('Casillas del horario'!$S$4:$S$73,"Profesor de Q en 10-3"&amp;CHAR(31)&amp;$A5&amp;CHAR(31)&amp;F$3))&gt;1,IF(ISNA(MATCH(1,INDEX(EXACT('Casillas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10-3"&amp;CHAR(31)&amp;$A5&amp;CHAR(31)&amp;F$3)*1,0),0))))&amp;" (+"&amp;(SUMPRODUCT(1*EXACT('Casillas del horario'!$S$4:$S$73,"Profesor de Q en 10-3"&amp;CHAR(31)&amp;$A5&amp;CHAR(31)&amp;F$3))-1)&amp;")",IF(ISNA(MATCH(1,INDEX(EXACT('Casillas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10-3"&amp;CHAR(31)&amp;$A6&amp;CHAR(31)&amp;B$3))&gt;1,IF(ISNA(MATCH(1,INDEX(EXACT('Casillas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10-3"&amp;CHAR(31)&amp;$A6&amp;CHAR(31)&amp;B$3)*1,0),0))))&amp;" (+"&amp;(SUMPRODUCT(1*EXACT('Casillas del horario'!$S$4:$S$73,"Profesor de Q en 10-3"&amp;CHAR(31)&amp;$A6&amp;CHAR(31)&amp;B$3))-1)&amp;")",IF(ISNA(MATCH(1,INDEX(EXACT('Casillas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10-3"&amp;CHAR(31)&amp;$A6&amp;CHAR(31)&amp;B$3)*1,0),0)))))</f>
        <v/>
      </c>
      <c r="C6" s="3">
        <f>IF(SUMPRODUCT(1*EXACT('Casillas del horario'!$S$4:$S$73,"Profesor de Q en 10-3"&amp;CHAR(31)&amp;$A6&amp;CHAR(31)&amp;C$3))&gt;1,IF(ISNA(MATCH(1,INDEX(EXACT('Casillas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10-3"&amp;CHAR(31)&amp;$A6&amp;CHAR(31)&amp;C$3)*1,0),0))))&amp;" (+"&amp;(SUMPRODUCT(1*EXACT('Casillas del horario'!$S$4:$S$73,"Profesor de Q en 10-3"&amp;CHAR(31)&amp;$A6&amp;CHAR(31)&amp;C$3))-1)&amp;")",IF(ISNA(MATCH(1,INDEX(EXACT('Casillas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10-3"&amp;CHAR(31)&amp;$A6&amp;CHAR(31)&amp;C$3)*1,0),0)))))</f>
        <v/>
      </c>
      <c r="D6" s="3">
        <f>IF(SUMPRODUCT(1*EXACT('Casillas del horario'!$S$4:$S$73,"Profesor de Q en 10-3"&amp;CHAR(31)&amp;$A6&amp;CHAR(31)&amp;D$3))&gt;1,IF(ISNA(MATCH(1,INDEX(EXACT('Casillas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10-3"&amp;CHAR(31)&amp;$A6&amp;CHAR(31)&amp;D$3)*1,0),0))))&amp;" (+"&amp;(SUMPRODUCT(1*EXACT('Casillas del horario'!$S$4:$S$73,"Profesor de Q en 10-3"&amp;CHAR(31)&amp;$A6&amp;CHAR(31)&amp;D$3))-1)&amp;")",IF(ISNA(MATCH(1,INDEX(EXACT('Casillas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10-3"&amp;CHAR(31)&amp;$A6&amp;CHAR(31)&amp;D$3)*1,0),0)))))</f>
        <v/>
      </c>
      <c r="E6" s="3">
        <f>IF(SUMPRODUCT(1*EXACT('Casillas del horario'!$S$4:$S$73,"Profesor de Q en 10-3"&amp;CHAR(31)&amp;$A6&amp;CHAR(31)&amp;E$3))&gt;1,IF(ISNA(MATCH(1,INDEX(EXACT('Casillas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10-3"&amp;CHAR(31)&amp;$A6&amp;CHAR(31)&amp;E$3)*1,0),0))))&amp;" (+"&amp;(SUMPRODUCT(1*EXACT('Casillas del horario'!$S$4:$S$73,"Profesor de Q en 10-3"&amp;CHAR(31)&amp;$A6&amp;CHAR(31)&amp;E$3))-1)&amp;")",IF(ISNA(MATCH(1,INDEX(EXACT('Casillas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10-3"&amp;CHAR(31)&amp;$A6&amp;CHAR(31)&amp;E$3)*1,0),0)))))</f>
        <v/>
      </c>
      <c r="F6" s="3">
        <f>IF(SUMPRODUCT(1*EXACT('Casillas del horario'!$S$4:$S$73,"Profesor de Q en 10-3"&amp;CHAR(31)&amp;$A6&amp;CHAR(31)&amp;F$3))&gt;1,IF(ISNA(MATCH(1,INDEX(EXACT('Casillas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10-3"&amp;CHAR(31)&amp;$A6&amp;CHAR(31)&amp;F$3)*1,0),0))))&amp;" (+"&amp;(SUMPRODUCT(1*EXACT('Casillas del horario'!$S$4:$S$73,"Profesor de Q en 10-3"&amp;CHAR(31)&amp;$A6&amp;CHAR(31)&amp;F$3))-1)&amp;")",IF(ISNA(MATCH(1,INDEX(EXACT('Casillas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10-3"&amp;CHAR(31)&amp;$A7&amp;CHAR(31)&amp;B$3))&gt;1,IF(ISNA(MATCH(1,INDEX(EXACT('Casillas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10-3"&amp;CHAR(31)&amp;$A7&amp;CHAR(31)&amp;B$3)*1,0),0))))&amp;" (+"&amp;(SUMPRODUCT(1*EXACT('Casillas del horario'!$S$4:$S$73,"Profesor de Q en 10-3"&amp;CHAR(31)&amp;$A7&amp;CHAR(31)&amp;B$3))-1)&amp;")",IF(ISNA(MATCH(1,INDEX(EXACT('Casillas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10-3"&amp;CHAR(31)&amp;$A7&amp;CHAR(31)&amp;B$3)*1,0),0)))))</f>
        <v/>
      </c>
      <c r="C7" s="3">
        <f>IF(SUMPRODUCT(1*EXACT('Casillas del horario'!$S$4:$S$73,"Profesor de Q en 10-3"&amp;CHAR(31)&amp;$A7&amp;CHAR(31)&amp;C$3))&gt;1,IF(ISNA(MATCH(1,INDEX(EXACT('Casillas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10-3"&amp;CHAR(31)&amp;$A7&amp;CHAR(31)&amp;C$3)*1,0),0))))&amp;" (+"&amp;(SUMPRODUCT(1*EXACT('Casillas del horario'!$S$4:$S$73,"Profesor de Q en 10-3"&amp;CHAR(31)&amp;$A7&amp;CHAR(31)&amp;C$3))-1)&amp;")",IF(ISNA(MATCH(1,INDEX(EXACT('Casillas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10-3"&amp;CHAR(31)&amp;$A7&amp;CHAR(31)&amp;C$3)*1,0),0)))))</f>
        <v/>
      </c>
      <c r="D7" s="3">
        <f>IF(SUMPRODUCT(1*EXACT('Casillas del horario'!$S$4:$S$73,"Profesor de Q en 10-3"&amp;CHAR(31)&amp;$A7&amp;CHAR(31)&amp;D$3))&gt;1,IF(ISNA(MATCH(1,INDEX(EXACT('Casillas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10-3"&amp;CHAR(31)&amp;$A7&amp;CHAR(31)&amp;D$3)*1,0),0))))&amp;" (+"&amp;(SUMPRODUCT(1*EXACT('Casillas del horario'!$S$4:$S$73,"Profesor de Q en 10-3"&amp;CHAR(31)&amp;$A7&amp;CHAR(31)&amp;D$3))-1)&amp;")",IF(ISNA(MATCH(1,INDEX(EXACT('Casillas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10-3"&amp;CHAR(31)&amp;$A7&amp;CHAR(31)&amp;D$3)*1,0),0)))))</f>
        <v/>
      </c>
      <c r="E7" s="3">
        <f>IF(SUMPRODUCT(1*EXACT('Casillas del horario'!$S$4:$S$73,"Profesor de Q en 10-3"&amp;CHAR(31)&amp;$A7&amp;CHAR(31)&amp;E$3))&gt;1,IF(ISNA(MATCH(1,INDEX(EXACT('Casillas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10-3"&amp;CHAR(31)&amp;$A7&amp;CHAR(31)&amp;E$3)*1,0),0))))&amp;" (+"&amp;(SUMPRODUCT(1*EXACT('Casillas del horario'!$S$4:$S$73,"Profesor de Q en 10-3"&amp;CHAR(31)&amp;$A7&amp;CHAR(31)&amp;E$3))-1)&amp;")",IF(ISNA(MATCH(1,INDEX(EXACT('Casillas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10-3"&amp;CHAR(31)&amp;$A7&amp;CHAR(31)&amp;E$3)*1,0),0)))))</f>
        <v/>
      </c>
      <c r="F7" s="3">
        <f>IF(SUMPRODUCT(1*EXACT('Casillas del horario'!$S$4:$S$73,"Profesor de Q en 10-3"&amp;CHAR(31)&amp;$A7&amp;CHAR(31)&amp;F$3))&gt;1,IF(ISNA(MATCH(1,INDEX(EXACT('Casillas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10-3"&amp;CHAR(31)&amp;$A7&amp;CHAR(31)&amp;F$3)*1,0),0))))&amp;" (+"&amp;(SUMPRODUCT(1*EXACT('Casillas del horario'!$S$4:$S$73,"Profesor de Q en 10-3"&amp;CHAR(31)&amp;$A7&amp;CHAR(31)&amp;F$3))-1)&amp;")",IF(ISNA(MATCH(1,INDEX(EXACT('Casillas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10-3"&amp;CHAR(31)&amp;$A8&amp;CHAR(31)&amp;B$3))&gt;1,IF(ISNA(MATCH(1,INDEX(EXACT('Casillas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10-3"&amp;CHAR(31)&amp;$A8&amp;CHAR(31)&amp;B$3)*1,0),0))))&amp;" (+"&amp;(SUMPRODUCT(1*EXACT('Casillas del horario'!$S$4:$S$73,"Profesor de Q en 10-3"&amp;CHAR(31)&amp;$A8&amp;CHAR(31)&amp;B$3))-1)&amp;")",IF(ISNA(MATCH(1,INDEX(EXACT('Casillas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10-3"&amp;CHAR(31)&amp;$A8&amp;CHAR(31)&amp;B$3)*1,0),0)))))</f>
        <v/>
      </c>
      <c r="C8" s="3">
        <f>IF(SUMPRODUCT(1*EXACT('Casillas del horario'!$S$4:$S$73,"Profesor de Q en 10-3"&amp;CHAR(31)&amp;$A8&amp;CHAR(31)&amp;C$3))&gt;1,IF(ISNA(MATCH(1,INDEX(EXACT('Casillas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10-3"&amp;CHAR(31)&amp;$A8&amp;CHAR(31)&amp;C$3)*1,0),0))))&amp;" (+"&amp;(SUMPRODUCT(1*EXACT('Casillas del horario'!$S$4:$S$73,"Profesor de Q en 10-3"&amp;CHAR(31)&amp;$A8&amp;CHAR(31)&amp;C$3))-1)&amp;")",IF(ISNA(MATCH(1,INDEX(EXACT('Casillas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10-3"&amp;CHAR(31)&amp;$A8&amp;CHAR(31)&amp;C$3)*1,0),0)))))</f>
        <v/>
      </c>
      <c r="D8" s="3">
        <f>IF(SUMPRODUCT(1*EXACT('Casillas del horario'!$S$4:$S$73,"Profesor de Q en 10-3"&amp;CHAR(31)&amp;$A8&amp;CHAR(31)&amp;D$3))&gt;1,IF(ISNA(MATCH(1,INDEX(EXACT('Casillas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10-3"&amp;CHAR(31)&amp;$A8&amp;CHAR(31)&amp;D$3)*1,0),0))))&amp;" (+"&amp;(SUMPRODUCT(1*EXACT('Casillas del horario'!$S$4:$S$73,"Profesor de Q en 10-3"&amp;CHAR(31)&amp;$A8&amp;CHAR(31)&amp;D$3))-1)&amp;")",IF(ISNA(MATCH(1,INDEX(EXACT('Casillas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10-3"&amp;CHAR(31)&amp;$A8&amp;CHAR(31)&amp;D$3)*1,0),0)))))</f>
        <v/>
      </c>
      <c r="E8" s="3">
        <f>IF(SUMPRODUCT(1*EXACT('Casillas del horario'!$S$4:$S$73,"Profesor de Q en 10-3"&amp;CHAR(31)&amp;$A8&amp;CHAR(31)&amp;E$3))&gt;1,IF(ISNA(MATCH(1,INDEX(EXACT('Casillas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10-3"&amp;CHAR(31)&amp;$A8&amp;CHAR(31)&amp;E$3)*1,0),0))))&amp;" (+"&amp;(SUMPRODUCT(1*EXACT('Casillas del horario'!$S$4:$S$73,"Profesor de Q en 10-3"&amp;CHAR(31)&amp;$A8&amp;CHAR(31)&amp;E$3))-1)&amp;")",IF(ISNA(MATCH(1,INDEX(EXACT('Casillas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10-3"&amp;CHAR(31)&amp;$A8&amp;CHAR(31)&amp;E$3)*1,0),0)))))</f>
        <v/>
      </c>
      <c r="F8" s="3">
        <f>IF(SUMPRODUCT(1*EXACT('Casillas del horario'!$S$4:$S$73,"Profesor de Q en 10-3"&amp;CHAR(31)&amp;$A8&amp;CHAR(31)&amp;F$3))&gt;1,IF(ISNA(MATCH(1,INDEX(EXACT('Casillas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10-3"&amp;CHAR(31)&amp;$A8&amp;CHAR(31)&amp;F$3)*1,0),0))))&amp;" (+"&amp;(SUMPRODUCT(1*EXACT('Casillas del horario'!$S$4:$S$73,"Profesor de Q en 10-3"&amp;CHAR(31)&amp;$A8&amp;CHAR(31)&amp;F$3))-1)&amp;")",IF(ISNA(MATCH(1,INDEX(EXACT('Casillas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10-3"&amp;CHAR(31)&amp;$A9&amp;CHAR(31)&amp;B$3))&gt;1,IF(ISNA(MATCH(1,INDEX(EXACT('Casillas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10-3"&amp;CHAR(31)&amp;$A9&amp;CHAR(31)&amp;B$3)*1,0),0))))&amp;" (+"&amp;(SUMPRODUCT(1*EXACT('Casillas del horario'!$S$4:$S$73,"Profesor de Q en 10-3"&amp;CHAR(31)&amp;$A9&amp;CHAR(31)&amp;B$3))-1)&amp;")",IF(ISNA(MATCH(1,INDEX(EXACT('Casillas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10-3"&amp;CHAR(31)&amp;$A9&amp;CHAR(31)&amp;B$3)*1,0),0)))))</f>
        <v/>
      </c>
      <c r="C9" s="3">
        <f>IF(SUMPRODUCT(1*EXACT('Casillas del horario'!$S$4:$S$73,"Profesor de Q en 10-3"&amp;CHAR(31)&amp;$A9&amp;CHAR(31)&amp;C$3))&gt;1,IF(ISNA(MATCH(1,INDEX(EXACT('Casillas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10-3"&amp;CHAR(31)&amp;$A9&amp;CHAR(31)&amp;C$3)*1,0),0))))&amp;" (+"&amp;(SUMPRODUCT(1*EXACT('Casillas del horario'!$S$4:$S$73,"Profesor de Q en 10-3"&amp;CHAR(31)&amp;$A9&amp;CHAR(31)&amp;C$3))-1)&amp;")",IF(ISNA(MATCH(1,INDEX(EXACT('Casillas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10-3"&amp;CHAR(31)&amp;$A9&amp;CHAR(31)&amp;C$3)*1,0),0)))))</f>
        <v/>
      </c>
      <c r="D9" s="3">
        <f>IF(SUMPRODUCT(1*EXACT('Casillas del horario'!$S$4:$S$73,"Profesor de Q en 10-3"&amp;CHAR(31)&amp;$A9&amp;CHAR(31)&amp;D$3))&gt;1,IF(ISNA(MATCH(1,INDEX(EXACT('Casillas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10-3"&amp;CHAR(31)&amp;$A9&amp;CHAR(31)&amp;D$3)*1,0),0))))&amp;" (+"&amp;(SUMPRODUCT(1*EXACT('Casillas del horario'!$S$4:$S$73,"Profesor de Q en 10-3"&amp;CHAR(31)&amp;$A9&amp;CHAR(31)&amp;D$3))-1)&amp;")",IF(ISNA(MATCH(1,INDEX(EXACT('Casillas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10-3"&amp;CHAR(31)&amp;$A9&amp;CHAR(31)&amp;D$3)*1,0),0)))))</f>
        <v/>
      </c>
      <c r="E9" s="3">
        <f>IF(SUMPRODUCT(1*EXACT('Casillas del horario'!$S$4:$S$73,"Profesor de Q en 10-3"&amp;CHAR(31)&amp;$A9&amp;CHAR(31)&amp;E$3))&gt;1,IF(ISNA(MATCH(1,INDEX(EXACT('Casillas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10-3"&amp;CHAR(31)&amp;$A9&amp;CHAR(31)&amp;E$3)*1,0),0))))&amp;" (+"&amp;(SUMPRODUCT(1*EXACT('Casillas del horario'!$S$4:$S$73,"Profesor de Q en 10-3"&amp;CHAR(31)&amp;$A9&amp;CHAR(31)&amp;E$3))-1)&amp;")",IF(ISNA(MATCH(1,INDEX(EXACT('Casillas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10-3"&amp;CHAR(31)&amp;$A9&amp;CHAR(31)&amp;E$3)*1,0),0)))))</f>
        <v/>
      </c>
      <c r="F9" s="3">
        <f>IF(SUMPRODUCT(1*EXACT('Casillas del horario'!$S$4:$S$73,"Profesor de Q en 10-3"&amp;CHAR(31)&amp;$A9&amp;CHAR(31)&amp;F$3))&gt;1,IF(ISNA(MATCH(1,INDEX(EXACT('Casillas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10-3"&amp;CHAR(31)&amp;$A9&amp;CHAR(31)&amp;F$3)*1,0),0))))&amp;" (+"&amp;(SUMPRODUCT(1*EXACT('Casillas del horario'!$S$4:$S$73,"Profesor de Q en 10-3"&amp;CHAR(31)&amp;$A9&amp;CHAR(31)&amp;F$3))-1)&amp;")",IF(ISNA(MATCH(1,INDEX(EXACT('Casillas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10-3"&amp;CHAR(31)&amp;$A10&amp;CHAR(31)&amp;B$3))&gt;1,IF(ISNA(MATCH(1,INDEX(EXACT('Casillas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10-3"&amp;CHAR(31)&amp;$A10&amp;CHAR(31)&amp;B$3)*1,0),0))))&amp;" (+"&amp;(SUMPRODUCT(1*EXACT('Casillas del horario'!$S$4:$S$73,"Profesor de Q en 10-3"&amp;CHAR(31)&amp;$A10&amp;CHAR(31)&amp;B$3))-1)&amp;")",IF(ISNA(MATCH(1,INDEX(EXACT('Casillas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10-3"&amp;CHAR(31)&amp;$A10&amp;CHAR(31)&amp;B$3)*1,0),0)))))</f>
        <v/>
      </c>
      <c r="C10" s="3">
        <f>IF(SUMPRODUCT(1*EXACT('Casillas del horario'!$S$4:$S$73,"Profesor de Q en 10-3"&amp;CHAR(31)&amp;$A10&amp;CHAR(31)&amp;C$3))&gt;1,IF(ISNA(MATCH(1,INDEX(EXACT('Casillas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10-3"&amp;CHAR(31)&amp;$A10&amp;CHAR(31)&amp;C$3)*1,0),0))))&amp;" (+"&amp;(SUMPRODUCT(1*EXACT('Casillas del horario'!$S$4:$S$73,"Profesor de Q en 10-3"&amp;CHAR(31)&amp;$A10&amp;CHAR(31)&amp;C$3))-1)&amp;")",IF(ISNA(MATCH(1,INDEX(EXACT('Casillas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10-3"&amp;CHAR(31)&amp;$A10&amp;CHAR(31)&amp;C$3)*1,0),0)))))</f>
        <v/>
      </c>
      <c r="D10" s="3">
        <f>IF(SUMPRODUCT(1*EXACT('Casillas del horario'!$S$4:$S$73,"Profesor de Q en 10-3"&amp;CHAR(31)&amp;$A10&amp;CHAR(31)&amp;D$3))&gt;1,IF(ISNA(MATCH(1,INDEX(EXACT('Casillas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10-3"&amp;CHAR(31)&amp;$A10&amp;CHAR(31)&amp;D$3)*1,0),0))))&amp;" (+"&amp;(SUMPRODUCT(1*EXACT('Casillas del horario'!$S$4:$S$73,"Profesor de Q en 10-3"&amp;CHAR(31)&amp;$A10&amp;CHAR(31)&amp;D$3))-1)&amp;")",IF(ISNA(MATCH(1,INDEX(EXACT('Casillas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10-3"&amp;CHAR(31)&amp;$A10&amp;CHAR(31)&amp;D$3)*1,0),0)))))</f>
        <v/>
      </c>
      <c r="E10" s="3">
        <f>IF(SUMPRODUCT(1*EXACT('Casillas del horario'!$S$4:$S$73,"Profesor de Q en 10-3"&amp;CHAR(31)&amp;$A10&amp;CHAR(31)&amp;E$3))&gt;1,IF(ISNA(MATCH(1,INDEX(EXACT('Casillas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10-3"&amp;CHAR(31)&amp;$A10&amp;CHAR(31)&amp;E$3)*1,0),0))))&amp;" (+"&amp;(SUMPRODUCT(1*EXACT('Casillas del horario'!$S$4:$S$73,"Profesor de Q en 10-3"&amp;CHAR(31)&amp;$A10&amp;CHAR(31)&amp;E$3))-1)&amp;")",IF(ISNA(MATCH(1,INDEX(EXACT('Casillas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10-3"&amp;CHAR(31)&amp;$A10&amp;CHAR(31)&amp;E$3)*1,0),0)))))</f>
        <v/>
      </c>
      <c r="F10" s="3">
        <f>IF(SUMPRODUCT(1*EXACT('Casillas del horario'!$S$4:$S$73,"Profesor de Q en 10-3"&amp;CHAR(31)&amp;$A10&amp;CHAR(31)&amp;F$3))&gt;1,IF(ISNA(MATCH(1,INDEX(EXACT('Casillas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10-3"&amp;CHAR(31)&amp;$A10&amp;CHAR(31)&amp;F$3)*1,0),0))))&amp;" (+"&amp;(SUMPRODUCT(1*EXACT('Casillas del horario'!$S$4:$S$73,"Profesor de Q en 10-3"&amp;CHAR(31)&amp;$A10&amp;CHAR(31)&amp;F$3))-1)&amp;")",IF(ISNA(MATCH(1,INDEX(EXACT('Casillas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10-3"&amp;CHAR(31)&amp;$A4&amp;CHAR(31)&amp;B$3))&gt;1,IF(ISNA(MATCH(1,INDEX(EXACT('Casillas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10-3"&amp;CHAR(31)&amp;$A4&amp;CHAR(31)&amp;B$3)*1,0),0))))&amp;" (+"&amp;(SUMPRODUCT(1*EXACT('Casillas del horario'!$S$4:$S$73,"Profesor de CP en 10-3"&amp;CHAR(31)&amp;$A4&amp;CHAR(31)&amp;B$3))-1)&amp;")",IF(ISNA(MATCH(1,INDEX(EXACT('Casillas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10-3"&amp;CHAR(31)&amp;$A4&amp;CHAR(31)&amp;B$3)*1,0),0)))))</f>
        <v/>
      </c>
      <c r="C4" s="3">
        <f>IF(SUMPRODUCT(1*EXACT('Casillas del horario'!$S$4:$S$73,"Profesor de CP en 10-3"&amp;CHAR(31)&amp;$A4&amp;CHAR(31)&amp;C$3))&gt;1,IF(ISNA(MATCH(1,INDEX(EXACT('Casillas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10-3"&amp;CHAR(31)&amp;$A4&amp;CHAR(31)&amp;C$3)*1,0),0))))&amp;" (+"&amp;(SUMPRODUCT(1*EXACT('Casillas del horario'!$S$4:$S$73,"Profesor de CP en 10-3"&amp;CHAR(31)&amp;$A4&amp;CHAR(31)&amp;C$3))-1)&amp;")",IF(ISNA(MATCH(1,INDEX(EXACT('Casillas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10-3"&amp;CHAR(31)&amp;$A4&amp;CHAR(31)&amp;C$3)*1,0),0)))))</f>
        <v/>
      </c>
      <c r="D4" s="3">
        <f>IF(SUMPRODUCT(1*EXACT('Casillas del horario'!$S$4:$S$73,"Profesor de CP en 10-3"&amp;CHAR(31)&amp;$A4&amp;CHAR(31)&amp;D$3))&gt;1,IF(ISNA(MATCH(1,INDEX(EXACT('Casillas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10-3"&amp;CHAR(31)&amp;$A4&amp;CHAR(31)&amp;D$3)*1,0),0))))&amp;" (+"&amp;(SUMPRODUCT(1*EXACT('Casillas del horario'!$S$4:$S$73,"Profesor de CP en 10-3"&amp;CHAR(31)&amp;$A4&amp;CHAR(31)&amp;D$3))-1)&amp;")",IF(ISNA(MATCH(1,INDEX(EXACT('Casillas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10-3"&amp;CHAR(31)&amp;$A4&amp;CHAR(31)&amp;D$3)*1,0),0)))))</f>
        <v/>
      </c>
      <c r="E4" s="3">
        <f>IF(SUMPRODUCT(1*EXACT('Casillas del horario'!$S$4:$S$73,"Profesor de CP en 10-3"&amp;CHAR(31)&amp;$A4&amp;CHAR(31)&amp;E$3))&gt;1,IF(ISNA(MATCH(1,INDEX(EXACT('Casillas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10-3"&amp;CHAR(31)&amp;$A4&amp;CHAR(31)&amp;E$3)*1,0),0))))&amp;" (+"&amp;(SUMPRODUCT(1*EXACT('Casillas del horario'!$S$4:$S$73,"Profesor de CP en 10-3"&amp;CHAR(31)&amp;$A4&amp;CHAR(31)&amp;E$3))-1)&amp;")",IF(ISNA(MATCH(1,INDEX(EXACT('Casillas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10-3"&amp;CHAR(31)&amp;$A4&amp;CHAR(31)&amp;E$3)*1,0),0)))))</f>
        <v/>
      </c>
      <c r="F4" s="3">
        <f>IF(SUMPRODUCT(1*EXACT('Casillas del horario'!$S$4:$S$73,"Profesor de CP en 10-3"&amp;CHAR(31)&amp;$A4&amp;CHAR(31)&amp;F$3))&gt;1,IF(ISNA(MATCH(1,INDEX(EXACT('Casillas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10-3"&amp;CHAR(31)&amp;$A4&amp;CHAR(31)&amp;F$3)*1,0),0))))&amp;" (+"&amp;(SUMPRODUCT(1*EXACT('Casillas del horario'!$S$4:$S$73,"Profesor de CP en 10-3"&amp;CHAR(31)&amp;$A4&amp;CHAR(31)&amp;F$3))-1)&amp;")",IF(ISNA(MATCH(1,INDEX(EXACT('Casillas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10-3"&amp;CHAR(31)&amp;$A5&amp;CHAR(31)&amp;B$3))&gt;1,IF(ISNA(MATCH(1,INDEX(EXACT('Casillas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10-3"&amp;CHAR(31)&amp;$A5&amp;CHAR(31)&amp;B$3)*1,0),0))))&amp;" (+"&amp;(SUMPRODUCT(1*EXACT('Casillas del horario'!$S$4:$S$73,"Profesor de CP en 10-3"&amp;CHAR(31)&amp;$A5&amp;CHAR(31)&amp;B$3))-1)&amp;")",IF(ISNA(MATCH(1,INDEX(EXACT('Casillas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10-3"&amp;CHAR(31)&amp;$A5&amp;CHAR(31)&amp;B$3)*1,0),0)))))</f>
        <v/>
      </c>
      <c r="C5" s="3">
        <f>IF(SUMPRODUCT(1*EXACT('Casillas del horario'!$S$4:$S$73,"Profesor de CP en 10-3"&amp;CHAR(31)&amp;$A5&amp;CHAR(31)&amp;C$3))&gt;1,IF(ISNA(MATCH(1,INDEX(EXACT('Casillas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10-3"&amp;CHAR(31)&amp;$A5&amp;CHAR(31)&amp;C$3)*1,0),0))))&amp;" (+"&amp;(SUMPRODUCT(1*EXACT('Casillas del horario'!$S$4:$S$73,"Profesor de CP en 10-3"&amp;CHAR(31)&amp;$A5&amp;CHAR(31)&amp;C$3))-1)&amp;")",IF(ISNA(MATCH(1,INDEX(EXACT('Casillas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10-3"&amp;CHAR(31)&amp;$A5&amp;CHAR(31)&amp;C$3)*1,0),0)))))</f>
        <v/>
      </c>
      <c r="D5" s="3">
        <f>IF(SUMPRODUCT(1*EXACT('Casillas del horario'!$S$4:$S$73,"Profesor de CP en 10-3"&amp;CHAR(31)&amp;$A5&amp;CHAR(31)&amp;D$3))&gt;1,IF(ISNA(MATCH(1,INDEX(EXACT('Casillas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10-3"&amp;CHAR(31)&amp;$A5&amp;CHAR(31)&amp;D$3)*1,0),0))))&amp;" (+"&amp;(SUMPRODUCT(1*EXACT('Casillas del horario'!$S$4:$S$73,"Profesor de CP en 10-3"&amp;CHAR(31)&amp;$A5&amp;CHAR(31)&amp;D$3))-1)&amp;")",IF(ISNA(MATCH(1,INDEX(EXACT('Casillas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10-3"&amp;CHAR(31)&amp;$A5&amp;CHAR(31)&amp;D$3)*1,0),0)))))</f>
        <v/>
      </c>
      <c r="E5" s="3">
        <f>IF(SUMPRODUCT(1*EXACT('Casillas del horario'!$S$4:$S$73,"Profesor de CP en 10-3"&amp;CHAR(31)&amp;$A5&amp;CHAR(31)&amp;E$3))&gt;1,IF(ISNA(MATCH(1,INDEX(EXACT('Casillas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10-3"&amp;CHAR(31)&amp;$A5&amp;CHAR(31)&amp;E$3)*1,0),0))))&amp;" (+"&amp;(SUMPRODUCT(1*EXACT('Casillas del horario'!$S$4:$S$73,"Profesor de CP en 10-3"&amp;CHAR(31)&amp;$A5&amp;CHAR(31)&amp;E$3))-1)&amp;")",IF(ISNA(MATCH(1,INDEX(EXACT('Casillas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10-3"&amp;CHAR(31)&amp;$A5&amp;CHAR(31)&amp;E$3)*1,0),0)))))</f>
        <v/>
      </c>
      <c r="F5" s="3">
        <f>IF(SUMPRODUCT(1*EXACT('Casillas del horario'!$S$4:$S$73,"Profesor de CP en 10-3"&amp;CHAR(31)&amp;$A5&amp;CHAR(31)&amp;F$3))&gt;1,IF(ISNA(MATCH(1,INDEX(EXACT('Casillas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10-3"&amp;CHAR(31)&amp;$A5&amp;CHAR(31)&amp;F$3)*1,0),0))))&amp;" (+"&amp;(SUMPRODUCT(1*EXACT('Casillas del horario'!$S$4:$S$73,"Profesor de CP en 10-3"&amp;CHAR(31)&amp;$A5&amp;CHAR(31)&amp;F$3))-1)&amp;")",IF(ISNA(MATCH(1,INDEX(EXACT('Casillas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10-3"&amp;CHAR(31)&amp;$A6&amp;CHAR(31)&amp;B$3))&gt;1,IF(ISNA(MATCH(1,INDEX(EXACT('Casillas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10-3"&amp;CHAR(31)&amp;$A6&amp;CHAR(31)&amp;B$3)*1,0),0))))&amp;" (+"&amp;(SUMPRODUCT(1*EXACT('Casillas del horario'!$S$4:$S$73,"Profesor de CP en 10-3"&amp;CHAR(31)&amp;$A6&amp;CHAR(31)&amp;B$3))-1)&amp;")",IF(ISNA(MATCH(1,INDEX(EXACT('Casillas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10-3"&amp;CHAR(31)&amp;$A6&amp;CHAR(31)&amp;B$3)*1,0),0)))))</f>
        <v/>
      </c>
      <c r="C6" s="3">
        <f>IF(SUMPRODUCT(1*EXACT('Casillas del horario'!$S$4:$S$73,"Profesor de CP en 10-3"&amp;CHAR(31)&amp;$A6&amp;CHAR(31)&amp;C$3))&gt;1,IF(ISNA(MATCH(1,INDEX(EXACT('Casillas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10-3"&amp;CHAR(31)&amp;$A6&amp;CHAR(31)&amp;C$3)*1,0),0))))&amp;" (+"&amp;(SUMPRODUCT(1*EXACT('Casillas del horario'!$S$4:$S$73,"Profesor de CP en 10-3"&amp;CHAR(31)&amp;$A6&amp;CHAR(31)&amp;C$3))-1)&amp;")",IF(ISNA(MATCH(1,INDEX(EXACT('Casillas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10-3"&amp;CHAR(31)&amp;$A6&amp;CHAR(31)&amp;C$3)*1,0),0)))))</f>
        <v/>
      </c>
      <c r="D6" s="3">
        <f>IF(SUMPRODUCT(1*EXACT('Casillas del horario'!$S$4:$S$73,"Profesor de CP en 10-3"&amp;CHAR(31)&amp;$A6&amp;CHAR(31)&amp;D$3))&gt;1,IF(ISNA(MATCH(1,INDEX(EXACT('Casillas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10-3"&amp;CHAR(31)&amp;$A6&amp;CHAR(31)&amp;D$3)*1,0),0))))&amp;" (+"&amp;(SUMPRODUCT(1*EXACT('Casillas del horario'!$S$4:$S$73,"Profesor de CP en 10-3"&amp;CHAR(31)&amp;$A6&amp;CHAR(31)&amp;D$3))-1)&amp;")",IF(ISNA(MATCH(1,INDEX(EXACT('Casillas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10-3"&amp;CHAR(31)&amp;$A6&amp;CHAR(31)&amp;D$3)*1,0),0)))))</f>
        <v/>
      </c>
      <c r="E6" s="3">
        <f>IF(SUMPRODUCT(1*EXACT('Casillas del horario'!$S$4:$S$73,"Profesor de CP en 10-3"&amp;CHAR(31)&amp;$A6&amp;CHAR(31)&amp;E$3))&gt;1,IF(ISNA(MATCH(1,INDEX(EXACT('Casillas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10-3"&amp;CHAR(31)&amp;$A6&amp;CHAR(31)&amp;E$3)*1,0),0))))&amp;" (+"&amp;(SUMPRODUCT(1*EXACT('Casillas del horario'!$S$4:$S$73,"Profesor de CP en 10-3"&amp;CHAR(31)&amp;$A6&amp;CHAR(31)&amp;E$3))-1)&amp;")",IF(ISNA(MATCH(1,INDEX(EXACT('Casillas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10-3"&amp;CHAR(31)&amp;$A6&amp;CHAR(31)&amp;E$3)*1,0),0)))))</f>
        <v/>
      </c>
      <c r="F6" s="3">
        <f>IF(SUMPRODUCT(1*EXACT('Casillas del horario'!$S$4:$S$73,"Profesor de CP en 10-3"&amp;CHAR(31)&amp;$A6&amp;CHAR(31)&amp;F$3))&gt;1,IF(ISNA(MATCH(1,INDEX(EXACT('Casillas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10-3"&amp;CHAR(31)&amp;$A6&amp;CHAR(31)&amp;F$3)*1,0),0))))&amp;" (+"&amp;(SUMPRODUCT(1*EXACT('Casillas del horario'!$S$4:$S$73,"Profesor de CP en 10-3"&amp;CHAR(31)&amp;$A6&amp;CHAR(31)&amp;F$3))-1)&amp;")",IF(ISNA(MATCH(1,INDEX(EXACT('Casillas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10-3"&amp;CHAR(31)&amp;$A7&amp;CHAR(31)&amp;B$3))&gt;1,IF(ISNA(MATCH(1,INDEX(EXACT('Casillas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10-3"&amp;CHAR(31)&amp;$A7&amp;CHAR(31)&amp;B$3)*1,0),0))))&amp;" (+"&amp;(SUMPRODUCT(1*EXACT('Casillas del horario'!$S$4:$S$73,"Profesor de CP en 10-3"&amp;CHAR(31)&amp;$A7&amp;CHAR(31)&amp;B$3))-1)&amp;")",IF(ISNA(MATCH(1,INDEX(EXACT('Casillas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10-3"&amp;CHAR(31)&amp;$A7&amp;CHAR(31)&amp;B$3)*1,0),0)))))</f>
        <v/>
      </c>
      <c r="C7" s="3">
        <f>IF(SUMPRODUCT(1*EXACT('Casillas del horario'!$S$4:$S$73,"Profesor de CP en 10-3"&amp;CHAR(31)&amp;$A7&amp;CHAR(31)&amp;C$3))&gt;1,IF(ISNA(MATCH(1,INDEX(EXACT('Casillas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10-3"&amp;CHAR(31)&amp;$A7&amp;CHAR(31)&amp;C$3)*1,0),0))))&amp;" (+"&amp;(SUMPRODUCT(1*EXACT('Casillas del horario'!$S$4:$S$73,"Profesor de CP en 10-3"&amp;CHAR(31)&amp;$A7&amp;CHAR(31)&amp;C$3))-1)&amp;")",IF(ISNA(MATCH(1,INDEX(EXACT('Casillas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10-3"&amp;CHAR(31)&amp;$A7&amp;CHAR(31)&amp;C$3)*1,0),0)))))</f>
        <v/>
      </c>
      <c r="D7" s="3">
        <f>IF(SUMPRODUCT(1*EXACT('Casillas del horario'!$S$4:$S$73,"Profesor de CP en 10-3"&amp;CHAR(31)&amp;$A7&amp;CHAR(31)&amp;D$3))&gt;1,IF(ISNA(MATCH(1,INDEX(EXACT('Casillas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10-3"&amp;CHAR(31)&amp;$A7&amp;CHAR(31)&amp;D$3)*1,0),0))))&amp;" (+"&amp;(SUMPRODUCT(1*EXACT('Casillas del horario'!$S$4:$S$73,"Profesor de CP en 10-3"&amp;CHAR(31)&amp;$A7&amp;CHAR(31)&amp;D$3))-1)&amp;")",IF(ISNA(MATCH(1,INDEX(EXACT('Casillas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10-3"&amp;CHAR(31)&amp;$A7&amp;CHAR(31)&amp;D$3)*1,0),0)))))</f>
        <v/>
      </c>
      <c r="E7" s="3">
        <f>IF(SUMPRODUCT(1*EXACT('Casillas del horario'!$S$4:$S$73,"Profesor de CP en 10-3"&amp;CHAR(31)&amp;$A7&amp;CHAR(31)&amp;E$3))&gt;1,IF(ISNA(MATCH(1,INDEX(EXACT('Casillas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10-3"&amp;CHAR(31)&amp;$A7&amp;CHAR(31)&amp;E$3)*1,0),0))))&amp;" (+"&amp;(SUMPRODUCT(1*EXACT('Casillas del horario'!$S$4:$S$73,"Profesor de CP en 10-3"&amp;CHAR(31)&amp;$A7&amp;CHAR(31)&amp;E$3))-1)&amp;")",IF(ISNA(MATCH(1,INDEX(EXACT('Casillas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10-3"&amp;CHAR(31)&amp;$A7&amp;CHAR(31)&amp;E$3)*1,0),0)))))</f>
        <v/>
      </c>
      <c r="F7" s="3">
        <f>IF(SUMPRODUCT(1*EXACT('Casillas del horario'!$S$4:$S$73,"Profesor de CP en 10-3"&amp;CHAR(31)&amp;$A7&amp;CHAR(31)&amp;F$3))&gt;1,IF(ISNA(MATCH(1,INDEX(EXACT('Casillas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10-3"&amp;CHAR(31)&amp;$A7&amp;CHAR(31)&amp;F$3)*1,0),0))))&amp;" (+"&amp;(SUMPRODUCT(1*EXACT('Casillas del horario'!$S$4:$S$73,"Profesor de CP en 10-3"&amp;CHAR(31)&amp;$A7&amp;CHAR(31)&amp;F$3))-1)&amp;")",IF(ISNA(MATCH(1,INDEX(EXACT('Casillas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10-3"&amp;CHAR(31)&amp;$A8&amp;CHAR(31)&amp;B$3))&gt;1,IF(ISNA(MATCH(1,INDEX(EXACT('Casillas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10-3"&amp;CHAR(31)&amp;$A8&amp;CHAR(31)&amp;B$3)*1,0),0))))&amp;" (+"&amp;(SUMPRODUCT(1*EXACT('Casillas del horario'!$S$4:$S$73,"Profesor de CP en 10-3"&amp;CHAR(31)&amp;$A8&amp;CHAR(31)&amp;B$3))-1)&amp;")",IF(ISNA(MATCH(1,INDEX(EXACT('Casillas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10-3"&amp;CHAR(31)&amp;$A8&amp;CHAR(31)&amp;B$3)*1,0),0)))))</f>
        <v/>
      </c>
      <c r="C8" s="3">
        <f>IF(SUMPRODUCT(1*EXACT('Casillas del horario'!$S$4:$S$73,"Profesor de CP en 10-3"&amp;CHAR(31)&amp;$A8&amp;CHAR(31)&amp;C$3))&gt;1,IF(ISNA(MATCH(1,INDEX(EXACT('Casillas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10-3"&amp;CHAR(31)&amp;$A8&amp;CHAR(31)&amp;C$3)*1,0),0))))&amp;" (+"&amp;(SUMPRODUCT(1*EXACT('Casillas del horario'!$S$4:$S$73,"Profesor de CP en 10-3"&amp;CHAR(31)&amp;$A8&amp;CHAR(31)&amp;C$3))-1)&amp;")",IF(ISNA(MATCH(1,INDEX(EXACT('Casillas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10-3"&amp;CHAR(31)&amp;$A8&amp;CHAR(31)&amp;C$3)*1,0),0)))))</f>
        <v/>
      </c>
      <c r="D8" s="3">
        <f>IF(SUMPRODUCT(1*EXACT('Casillas del horario'!$S$4:$S$73,"Profesor de CP en 10-3"&amp;CHAR(31)&amp;$A8&amp;CHAR(31)&amp;D$3))&gt;1,IF(ISNA(MATCH(1,INDEX(EXACT('Casillas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10-3"&amp;CHAR(31)&amp;$A8&amp;CHAR(31)&amp;D$3)*1,0),0))))&amp;" (+"&amp;(SUMPRODUCT(1*EXACT('Casillas del horario'!$S$4:$S$73,"Profesor de CP en 10-3"&amp;CHAR(31)&amp;$A8&amp;CHAR(31)&amp;D$3))-1)&amp;")",IF(ISNA(MATCH(1,INDEX(EXACT('Casillas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10-3"&amp;CHAR(31)&amp;$A8&amp;CHAR(31)&amp;D$3)*1,0),0)))))</f>
        <v/>
      </c>
      <c r="E8" s="3">
        <f>IF(SUMPRODUCT(1*EXACT('Casillas del horario'!$S$4:$S$73,"Profesor de CP en 10-3"&amp;CHAR(31)&amp;$A8&amp;CHAR(31)&amp;E$3))&gt;1,IF(ISNA(MATCH(1,INDEX(EXACT('Casillas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10-3"&amp;CHAR(31)&amp;$A8&amp;CHAR(31)&amp;E$3)*1,0),0))))&amp;" (+"&amp;(SUMPRODUCT(1*EXACT('Casillas del horario'!$S$4:$S$73,"Profesor de CP en 10-3"&amp;CHAR(31)&amp;$A8&amp;CHAR(31)&amp;E$3))-1)&amp;")",IF(ISNA(MATCH(1,INDEX(EXACT('Casillas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10-3"&amp;CHAR(31)&amp;$A8&amp;CHAR(31)&amp;E$3)*1,0),0)))))</f>
        <v/>
      </c>
      <c r="F8" s="3">
        <f>IF(SUMPRODUCT(1*EXACT('Casillas del horario'!$S$4:$S$73,"Profesor de CP en 10-3"&amp;CHAR(31)&amp;$A8&amp;CHAR(31)&amp;F$3))&gt;1,IF(ISNA(MATCH(1,INDEX(EXACT('Casillas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10-3"&amp;CHAR(31)&amp;$A8&amp;CHAR(31)&amp;F$3)*1,0),0))))&amp;" (+"&amp;(SUMPRODUCT(1*EXACT('Casillas del horario'!$S$4:$S$73,"Profesor de CP en 10-3"&amp;CHAR(31)&amp;$A8&amp;CHAR(31)&amp;F$3))-1)&amp;")",IF(ISNA(MATCH(1,INDEX(EXACT('Casillas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10-3"&amp;CHAR(31)&amp;$A9&amp;CHAR(31)&amp;B$3))&gt;1,IF(ISNA(MATCH(1,INDEX(EXACT('Casillas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10-3"&amp;CHAR(31)&amp;$A9&amp;CHAR(31)&amp;B$3)*1,0),0))))&amp;" (+"&amp;(SUMPRODUCT(1*EXACT('Casillas del horario'!$S$4:$S$73,"Profesor de CP en 10-3"&amp;CHAR(31)&amp;$A9&amp;CHAR(31)&amp;B$3))-1)&amp;")",IF(ISNA(MATCH(1,INDEX(EXACT('Casillas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10-3"&amp;CHAR(31)&amp;$A9&amp;CHAR(31)&amp;B$3)*1,0),0)))))</f>
        <v/>
      </c>
      <c r="C9" s="3">
        <f>IF(SUMPRODUCT(1*EXACT('Casillas del horario'!$S$4:$S$73,"Profesor de CP en 10-3"&amp;CHAR(31)&amp;$A9&amp;CHAR(31)&amp;C$3))&gt;1,IF(ISNA(MATCH(1,INDEX(EXACT('Casillas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10-3"&amp;CHAR(31)&amp;$A9&amp;CHAR(31)&amp;C$3)*1,0),0))))&amp;" (+"&amp;(SUMPRODUCT(1*EXACT('Casillas del horario'!$S$4:$S$73,"Profesor de CP en 10-3"&amp;CHAR(31)&amp;$A9&amp;CHAR(31)&amp;C$3))-1)&amp;")",IF(ISNA(MATCH(1,INDEX(EXACT('Casillas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10-3"&amp;CHAR(31)&amp;$A9&amp;CHAR(31)&amp;C$3)*1,0),0)))))</f>
        <v/>
      </c>
      <c r="D9" s="3">
        <f>IF(SUMPRODUCT(1*EXACT('Casillas del horario'!$S$4:$S$73,"Profesor de CP en 10-3"&amp;CHAR(31)&amp;$A9&amp;CHAR(31)&amp;D$3))&gt;1,IF(ISNA(MATCH(1,INDEX(EXACT('Casillas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10-3"&amp;CHAR(31)&amp;$A9&amp;CHAR(31)&amp;D$3)*1,0),0))))&amp;" (+"&amp;(SUMPRODUCT(1*EXACT('Casillas del horario'!$S$4:$S$73,"Profesor de CP en 10-3"&amp;CHAR(31)&amp;$A9&amp;CHAR(31)&amp;D$3))-1)&amp;")",IF(ISNA(MATCH(1,INDEX(EXACT('Casillas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10-3"&amp;CHAR(31)&amp;$A9&amp;CHAR(31)&amp;D$3)*1,0),0)))))</f>
        <v/>
      </c>
      <c r="E9" s="3">
        <f>IF(SUMPRODUCT(1*EXACT('Casillas del horario'!$S$4:$S$73,"Profesor de CP en 10-3"&amp;CHAR(31)&amp;$A9&amp;CHAR(31)&amp;E$3))&gt;1,IF(ISNA(MATCH(1,INDEX(EXACT('Casillas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10-3"&amp;CHAR(31)&amp;$A9&amp;CHAR(31)&amp;E$3)*1,0),0))))&amp;" (+"&amp;(SUMPRODUCT(1*EXACT('Casillas del horario'!$S$4:$S$73,"Profesor de CP en 10-3"&amp;CHAR(31)&amp;$A9&amp;CHAR(31)&amp;E$3))-1)&amp;")",IF(ISNA(MATCH(1,INDEX(EXACT('Casillas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10-3"&amp;CHAR(31)&amp;$A9&amp;CHAR(31)&amp;E$3)*1,0),0)))))</f>
        <v/>
      </c>
      <c r="F9" s="3">
        <f>IF(SUMPRODUCT(1*EXACT('Casillas del horario'!$S$4:$S$73,"Profesor de CP en 10-3"&amp;CHAR(31)&amp;$A9&amp;CHAR(31)&amp;F$3))&gt;1,IF(ISNA(MATCH(1,INDEX(EXACT('Casillas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10-3"&amp;CHAR(31)&amp;$A9&amp;CHAR(31)&amp;F$3)*1,0),0))))&amp;" (+"&amp;(SUMPRODUCT(1*EXACT('Casillas del horario'!$S$4:$S$73,"Profesor de CP en 10-3"&amp;CHAR(31)&amp;$A9&amp;CHAR(31)&amp;F$3))-1)&amp;")",IF(ISNA(MATCH(1,INDEX(EXACT('Casillas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10-3"&amp;CHAR(31)&amp;$A10&amp;CHAR(31)&amp;B$3))&gt;1,IF(ISNA(MATCH(1,INDEX(EXACT('Casillas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10-3"&amp;CHAR(31)&amp;$A10&amp;CHAR(31)&amp;B$3)*1,0),0))))&amp;" (+"&amp;(SUMPRODUCT(1*EXACT('Casillas del horario'!$S$4:$S$73,"Profesor de CP en 10-3"&amp;CHAR(31)&amp;$A10&amp;CHAR(31)&amp;B$3))-1)&amp;")",IF(ISNA(MATCH(1,INDEX(EXACT('Casillas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10-3"&amp;CHAR(31)&amp;$A10&amp;CHAR(31)&amp;B$3)*1,0),0)))))</f>
        <v/>
      </c>
      <c r="C10" s="3">
        <f>IF(SUMPRODUCT(1*EXACT('Casillas del horario'!$S$4:$S$73,"Profesor de CP en 10-3"&amp;CHAR(31)&amp;$A10&amp;CHAR(31)&amp;C$3))&gt;1,IF(ISNA(MATCH(1,INDEX(EXACT('Casillas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10-3"&amp;CHAR(31)&amp;$A10&amp;CHAR(31)&amp;C$3)*1,0),0))))&amp;" (+"&amp;(SUMPRODUCT(1*EXACT('Casillas del horario'!$S$4:$S$73,"Profesor de CP en 10-3"&amp;CHAR(31)&amp;$A10&amp;CHAR(31)&amp;C$3))-1)&amp;")",IF(ISNA(MATCH(1,INDEX(EXACT('Casillas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10-3"&amp;CHAR(31)&amp;$A10&amp;CHAR(31)&amp;C$3)*1,0),0)))))</f>
        <v/>
      </c>
      <c r="D10" s="3">
        <f>IF(SUMPRODUCT(1*EXACT('Casillas del horario'!$S$4:$S$73,"Profesor de CP en 10-3"&amp;CHAR(31)&amp;$A10&amp;CHAR(31)&amp;D$3))&gt;1,IF(ISNA(MATCH(1,INDEX(EXACT('Casillas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10-3"&amp;CHAR(31)&amp;$A10&amp;CHAR(31)&amp;D$3)*1,0),0))))&amp;" (+"&amp;(SUMPRODUCT(1*EXACT('Casillas del horario'!$S$4:$S$73,"Profesor de CP en 10-3"&amp;CHAR(31)&amp;$A10&amp;CHAR(31)&amp;D$3))-1)&amp;")",IF(ISNA(MATCH(1,INDEX(EXACT('Casillas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10-3"&amp;CHAR(31)&amp;$A10&amp;CHAR(31)&amp;D$3)*1,0),0)))))</f>
        <v/>
      </c>
      <c r="E10" s="3">
        <f>IF(SUMPRODUCT(1*EXACT('Casillas del horario'!$S$4:$S$73,"Profesor de CP en 10-3"&amp;CHAR(31)&amp;$A10&amp;CHAR(31)&amp;E$3))&gt;1,IF(ISNA(MATCH(1,INDEX(EXACT('Casillas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10-3"&amp;CHAR(31)&amp;$A10&amp;CHAR(31)&amp;E$3)*1,0),0))))&amp;" (+"&amp;(SUMPRODUCT(1*EXACT('Casillas del horario'!$S$4:$S$73,"Profesor de CP en 10-3"&amp;CHAR(31)&amp;$A10&amp;CHAR(31)&amp;E$3))-1)&amp;")",IF(ISNA(MATCH(1,INDEX(EXACT('Casillas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10-3"&amp;CHAR(31)&amp;$A10&amp;CHAR(31)&amp;E$3)*1,0),0)))))</f>
        <v/>
      </c>
      <c r="F10" s="3">
        <f>IF(SUMPRODUCT(1*EXACT('Casillas del horario'!$S$4:$S$73,"Profesor de CP en 10-3"&amp;CHAR(31)&amp;$A10&amp;CHAR(31)&amp;F$3))&gt;1,IF(ISNA(MATCH(1,INDEX(EXACT('Casillas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10-3"&amp;CHAR(31)&amp;$A10&amp;CHAR(31)&amp;F$3)*1,0),0))))&amp;" (+"&amp;(SUMPRODUCT(1*EXACT('Casillas del horario'!$S$4:$S$73,"Profesor de CP en 10-3"&amp;CHAR(31)&amp;$A10&amp;CHAR(31)&amp;F$3))-1)&amp;")",IF(ISNA(MATCH(1,INDEX(EXACT('Casillas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DC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10-3"&amp;CHAR(31)&amp;$A4&amp;CHAR(31)&amp;B$3))&gt;1,IF(ISNA(MATCH(1,INDEX(EXACT('Casillas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10-3"&amp;CHAR(31)&amp;$A4&amp;CHAR(31)&amp;B$3)*1,0),0))))&amp;" (+"&amp;(SUMPRODUCT(1*EXACT('Casillas del horario'!$S$4:$S$73,"Profesor de DC en 10-3"&amp;CHAR(31)&amp;$A4&amp;CHAR(31)&amp;B$3))-1)&amp;")",IF(ISNA(MATCH(1,INDEX(EXACT('Casillas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10-3"&amp;CHAR(31)&amp;$A4&amp;CHAR(31)&amp;B$3)*1,0),0)))))</f>
        <v/>
      </c>
      <c r="C4" s="3">
        <f>IF(SUMPRODUCT(1*EXACT('Casillas del horario'!$S$4:$S$73,"Profesor de DC en 10-3"&amp;CHAR(31)&amp;$A4&amp;CHAR(31)&amp;C$3))&gt;1,IF(ISNA(MATCH(1,INDEX(EXACT('Casillas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10-3"&amp;CHAR(31)&amp;$A4&amp;CHAR(31)&amp;C$3)*1,0),0))))&amp;" (+"&amp;(SUMPRODUCT(1*EXACT('Casillas del horario'!$S$4:$S$73,"Profesor de DC en 10-3"&amp;CHAR(31)&amp;$A4&amp;CHAR(31)&amp;C$3))-1)&amp;")",IF(ISNA(MATCH(1,INDEX(EXACT('Casillas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10-3"&amp;CHAR(31)&amp;$A4&amp;CHAR(31)&amp;C$3)*1,0),0)))))</f>
        <v/>
      </c>
      <c r="D4" s="3">
        <f>IF(SUMPRODUCT(1*EXACT('Casillas del horario'!$S$4:$S$73,"Profesor de DC en 10-3"&amp;CHAR(31)&amp;$A4&amp;CHAR(31)&amp;D$3))&gt;1,IF(ISNA(MATCH(1,INDEX(EXACT('Casillas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10-3"&amp;CHAR(31)&amp;$A4&amp;CHAR(31)&amp;D$3)*1,0),0))))&amp;" (+"&amp;(SUMPRODUCT(1*EXACT('Casillas del horario'!$S$4:$S$73,"Profesor de DC en 10-3"&amp;CHAR(31)&amp;$A4&amp;CHAR(31)&amp;D$3))-1)&amp;")",IF(ISNA(MATCH(1,INDEX(EXACT('Casillas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10-3"&amp;CHAR(31)&amp;$A4&amp;CHAR(31)&amp;D$3)*1,0),0)))))</f>
        <v/>
      </c>
      <c r="E4" s="3">
        <f>IF(SUMPRODUCT(1*EXACT('Casillas del horario'!$S$4:$S$73,"Profesor de DC en 10-3"&amp;CHAR(31)&amp;$A4&amp;CHAR(31)&amp;E$3))&gt;1,IF(ISNA(MATCH(1,INDEX(EXACT('Casillas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10-3"&amp;CHAR(31)&amp;$A4&amp;CHAR(31)&amp;E$3)*1,0),0))))&amp;" (+"&amp;(SUMPRODUCT(1*EXACT('Casillas del horario'!$S$4:$S$73,"Profesor de DC en 10-3"&amp;CHAR(31)&amp;$A4&amp;CHAR(31)&amp;E$3))-1)&amp;")",IF(ISNA(MATCH(1,INDEX(EXACT('Casillas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10-3"&amp;CHAR(31)&amp;$A4&amp;CHAR(31)&amp;E$3)*1,0),0)))))</f>
        <v/>
      </c>
      <c r="F4" s="3">
        <f>IF(SUMPRODUCT(1*EXACT('Casillas del horario'!$S$4:$S$73,"Profesor de DC en 10-3"&amp;CHAR(31)&amp;$A4&amp;CHAR(31)&amp;F$3))&gt;1,IF(ISNA(MATCH(1,INDEX(EXACT('Casillas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10-3"&amp;CHAR(31)&amp;$A4&amp;CHAR(31)&amp;F$3)*1,0),0))))&amp;" (+"&amp;(SUMPRODUCT(1*EXACT('Casillas del horario'!$S$4:$S$73,"Profesor de DC en 10-3"&amp;CHAR(31)&amp;$A4&amp;CHAR(31)&amp;F$3))-1)&amp;")",IF(ISNA(MATCH(1,INDEX(EXACT('Casillas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10-3"&amp;CHAR(31)&amp;$A5&amp;CHAR(31)&amp;B$3))&gt;1,IF(ISNA(MATCH(1,INDEX(EXACT('Casillas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10-3"&amp;CHAR(31)&amp;$A5&amp;CHAR(31)&amp;B$3)*1,0),0))))&amp;" (+"&amp;(SUMPRODUCT(1*EXACT('Casillas del horario'!$S$4:$S$73,"Profesor de DC en 10-3"&amp;CHAR(31)&amp;$A5&amp;CHAR(31)&amp;B$3))-1)&amp;")",IF(ISNA(MATCH(1,INDEX(EXACT('Casillas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10-3"&amp;CHAR(31)&amp;$A5&amp;CHAR(31)&amp;B$3)*1,0),0)))))</f>
        <v/>
      </c>
      <c r="C5" s="3">
        <f>IF(SUMPRODUCT(1*EXACT('Casillas del horario'!$S$4:$S$73,"Profesor de DC en 10-3"&amp;CHAR(31)&amp;$A5&amp;CHAR(31)&amp;C$3))&gt;1,IF(ISNA(MATCH(1,INDEX(EXACT('Casillas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10-3"&amp;CHAR(31)&amp;$A5&amp;CHAR(31)&amp;C$3)*1,0),0))))&amp;" (+"&amp;(SUMPRODUCT(1*EXACT('Casillas del horario'!$S$4:$S$73,"Profesor de DC en 10-3"&amp;CHAR(31)&amp;$A5&amp;CHAR(31)&amp;C$3))-1)&amp;")",IF(ISNA(MATCH(1,INDEX(EXACT('Casillas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10-3"&amp;CHAR(31)&amp;$A5&amp;CHAR(31)&amp;C$3)*1,0),0)))))</f>
        <v/>
      </c>
      <c r="D5" s="3">
        <f>IF(SUMPRODUCT(1*EXACT('Casillas del horario'!$S$4:$S$73,"Profesor de DC en 10-3"&amp;CHAR(31)&amp;$A5&amp;CHAR(31)&amp;D$3))&gt;1,IF(ISNA(MATCH(1,INDEX(EXACT('Casillas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10-3"&amp;CHAR(31)&amp;$A5&amp;CHAR(31)&amp;D$3)*1,0),0))))&amp;" (+"&amp;(SUMPRODUCT(1*EXACT('Casillas del horario'!$S$4:$S$73,"Profesor de DC en 10-3"&amp;CHAR(31)&amp;$A5&amp;CHAR(31)&amp;D$3))-1)&amp;")",IF(ISNA(MATCH(1,INDEX(EXACT('Casillas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10-3"&amp;CHAR(31)&amp;$A5&amp;CHAR(31)&amp;D$3)*1,0),0)))))</f>
        <v/>
      </c>
      <c r="E5" s="3">
        <f>IF(SUMPRODUCT(1*EXACT('Casillas del horario'!$S$4:$S$73,"Profesor de DC en 10-3"&amp;CHAR(31)&amp;$A5&amp;CHAR(31)&amp;E$3))&gt;1,IF(ISNA(MATCH(1,INDEX(EXACT('Casillas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10-3"&amp;CHAR(31)&amp;$A5&amp;CHAR(31)&amp;E$3)*1,0),0))))&amp;" (+"&amp;(SUMPRODUCT(1*EXACT('Casillas del horario'!$S$4:$S$73,"Profesor de DC en 10-3"&amp;CHAR(31)&amp;$A5&amp;CHAR(31)&amp;E$3))-1)&amp;")",IF(ISNA(MATCH(1,INDEX(EXACT('Casillas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10-3"&amp;CHAR(31)&amp;$A5&amp;CHAR(31)&amp;E$3)*1,0),0)))))</f>
        <v/>
      </c>
      <c r="F5" s="3">
        <f>IF(SUMPRODUCT(1*EXACT('Casillas del horario'!$S$4:$S$73,"Profesor de DC en 10-3"&amp;CHAR(31)&amp;$A5&amp;CHAR(31)&amp;F$3))&gt;1,IF(ISNA(MATCH(1,INDEX(EXACT('Casillas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10-3"&amp;CHAR(31)&amp;$A5&amp;CHAR(31)&amp;F$3)*1,0),0))))&amp;" (+"&amp;(SUMPRODUCT(1*EXACT('Casillas del horario'!$S$4:$S$73,"Profesor de DC en 10-3"&amp;CHAR(31)&amp;$A5&amp;CHAR(31)&amp;F$3))-1)&amp;")",IF(ISNA(MATCH(1,INDEX(EXACT('Casillas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10-3"&amp;CHAR(31)&amp;$A6&amp;CHAR(31)&amp;B$3))&gt;1,IF(ISNA(MATCH(1,INDEX(EXACT('Casillas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10-3"&amp;CHAR(31)&amp;$A6&amp;CHAR(31)&amp;B$3)*1,0),0))))&amp;" (+"&amp;(SUMPRODUCT(1*EXACT('Casillas del horario'!$S$4:$S$73,"Profesor de DC en 10-3"&amp;CHAR(31)&amp;$A6&amp;CHAR(31)&amp;B$3))-1)&amp;")",IF(ISNA(MATCH(1,INDEX(EXACT('Casillas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10-3"&amp;CHAR(31)&amp;$A6&amp;CHAR(31)&amp;B$3)*1,0),0)))))</f>
        <v/>
      </c>
      <c r="C6" s="3">
        <f>IF(SUMPRODUCT(1*EXACT('Casillas del horario'!$S$4:$S$73,"Profesor de DC en 10-3"&amp;CHAR(31)&amp;$A6&amp;CHAR(31)&amp;C$3))&gt;1,IF(ISNA(MATCH(1,INDEX(EXACT('Casillas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10-3"&amp;CHAR(31)&amp;$A6&amp;CHAR(31)&amp;C$3)*1,0),0))))&amp;" (+"&amp;(SUMPRODUCT(1*EXACT('Casillas del horario'!$S$4:$S$73,"Profesor de DC en 10-3"&amp;CHAR(31)&amp;$A6&amp;CHAR(31)&amp;C$3))-1)&amp;")",IF(ISNA(MATCH(1,INDEX(EXACT('Casillas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10-3"&amp;CHAR(31)&amp;$A6&amp;CHAR(31)&amp;C$3)*1,0),0)))))</f>
        <v/>
      </c>
      <c r="D6" s="3">
        <f>IF(SUMPRODUCT(1*EXACT('Casillas del horario'!$S$4:$S$73,"Profesor de DC en 10-3"&amp;CHAR(31)&amp;$A6&amp;CHAR(31)&amp;D$3))&gt;1,IF(ISNA(MATCH(1,INDEX(EXACT('Casillas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10-3"&amp;CHAR(31)&amp;$A6&amp;CHAR(31)&amp;D$3)*1,0),0))))&amp;" (+"&amp;(SUMPRODUCT(1*EXACT('Casillas del horario'!$S$4:$S$73,"Profesor de DC en 10-3"&amp;CHAR(31)&amp;$A6&amp;CHAR(31)&amp;D$3))-1)&amp;")",IF(ISNA(MATCH(1,INDEX(EXACT('Casillas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10-3"&amp;CHAR(31)&amp;$A6&amp;CHAR(31)&amp;D$3)*1,0),0)))))</f>
        <v/>
      </c>
      <c r="E6" s="3">
        <f>IF(SUMPRODUCT(1*EXACT('Casillas del horario'!$S$4:$S$73,"Profesor de DC en 10-3"&amp;CHAR(31)&amp;$A6&amp;CHAR(31)&amp;E$3))&gt;1,IF(ISNA(MATCH(1,INDEX(EXACT('Casillas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10-3"&amp;CHAR(31)&amp;$A6&amp;CHAR(31)&amp;E$3)*1,0),0))))&amp;" (+"&amp;(SUMPRODUCT(1*EXACT('Casillas del horario'!$S$4:$S$73,"Profesor de DC en 10-3"&amp;CHAR(31)&amp;$A6&amp;CHAR(31)&amp;E$3))-1)&amp;")",IF(ISNA(MATCH(1,INDEX(EXACT('Casillas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10-3"&amp;CHAR(31)&amp;$A6&amp;CHAR(31)&amp;E$3)*1,0),0)))))</f>
        <v/>
      </c>
      <c r="F6" s="3">
        <f>IF(SUMPRODUCT(1*EXACT('Casillas del horario'!$S$4:$S$73,"Profesor de DC en 10-3"&amp;CHAR(31)&amp;$A6&amp;CHAR(31)&amp;F$3))&gt;1,IF(ISNA(MATCH(1,INDEX(EXACT('Casillas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10-3"&amp;CHAR(31)&amp;$A6&amp;CHAR(31)&amp;F$3)*1,0),0))))&amp;" (+"&amp;(SUMPRODUCT(1*EXACT('Casillas del horario'!$S$4:$S$73,"Profesor de DC en 10-3"&amp;CHAR(31)&amp;$A6&amp;CHAR(31)&amp;F$3))-1)&amp;")",IF(ISNA(MATCH(1,INDEX(EXACT('Casillas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10-3"&amp;CHAR(31)&amp;$A7&amp;CHAR(31)&amp;B$3))&gt;1,IF(ISNA(MATCH(1,INDEX(EXACT('Casillas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10-3"&amp;CHAR(31)&amp;$A7&amp;CHAR(31)&amp;B$3)*1,0),0))))&amp;" (+"&amp;(SUMPRODUCT(1*EXACT('Casillas del horario'!$S$4:$S$73,"Profesor de DC en 10-3"&amp;CHAR(31)&amp;$A7&amp;CHAR(31)&amp;B$3))-1)&amp;")",IF(ISNA(MATCH(1,INDEX(EXACT('Casillas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10-3"&amp;CHAR(31)&amp;$A7&amp;CHAR(31)&amp;B$3)*1,0),0)))))</f>
        <v/>
      </c>
      <c r="C7" s="3">
        <f>IF(SUMPRODUCT(1*EXACT('Casillas del horario'!$S$4:$S$73,"Profesor de DC en 10-3"&amp;CHAR(31)&amp;$A7&amp;CHAR(31)&amp;C$3))&gt;1,IF(ISNA(MATCH(1,INDEX(EXACT('Casillas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10-3"&amp;CHAR(31)&amp;$A7&amp;CHAR(31)&amp;C$3)*1,0),0))))&amp;" (+"&amp;(SUMPRODUCT(1*EXACT('Casillas del horario'!$S$4:$S$73,"Profesor de DC en 10-3"&amp;CHAR(31)&amp;$A7&amp;CHAR(31)&amp;C$3))-1)&amp;")",IF(ISNA(MATCH(1,INDEX(EXACT('Casillas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10-3"&amp;CHAR(31)&amp;$A7&amp;CHAR(31)&amp;C$3)*1,0),0)))))</f>
        <v/>
      </c>
      <c r="D7" s="3">
        <f>IF(SUMPRODUCT(1*EXACT('Casillas del horario'!$S$4:$S$73,"Profesor de DC en 10-3"&amp;CHAR(31)&amp;$A7&amp;CHAR(31)&amp;D$3))&gt;1,IF(ISNA(MATCH(1,INDEX(EXACT('Casillas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10-3"&amp;CHAR(31)&amp;$A7&amp;CHAR(31)&amp;D$3)*1,0),0))))&amp;" (+"&amp;(SUMPRODUCT(1*EXACT('Casillas del horario'!$S$4:$S$73,"Profesor de DC en 10-3"&amp;CHAR(31)&amp;$A7&amp;CHAR(31)&amp;D$3))-1)&amp;")",IF(ISNA(MATCH(1,INDEX(EXACT('Casillas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10-3"&amp;CHAR(31)&amp;$A7&amp;CHAR(31)&amp;D$3)*1,0),0)))))</f>
        <v/>
      </c>
      <c r="E7" s="3">
        <f>IF(SUMPRODUCT(1*EXACT('Casillas del horario'!$S$4:$S$73,"Profesor de DC en 10-3"&amp;CHAR(31)&amp;$A7&amp;CHAR(31)&amp;E$3))&gt;1,IF(ISNA(MATCH(1,INDEX(EXACT('Casillas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10-3"&amp;CHAR(31)&amp;$A7&amp;CHAR(31)&amp;E$3)*1,0),0))))&amp;" (+"&amp;(SUMPRODUCT(1*EXACT('Casillas del horario'!$S$4:$S$73,"Profesor de DC en 10-3"&amp;CHAR(31)&amp;$A7&amp;CHAR(31)&amp;E$3))-1)&amp;")",IF(ISNA(MATCH(1,INDEX(EXACT('Casillas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10-3"&amp;CHAR(31)&amp;$A7&amp;CHAR(31)&amp;E$3)*1,0),0)))))</f>
        <v/>
      </c>
      <c r="F7" s="3">
        <f>IF(SUMPRODUCT(1*EXACT('Casillas del horario'!$S$4:$S$73,"Profesor de DC en 10-3"&amp;CHAR(31)&amp;$A7&amp;CHAR(31)&amp;F$3))&gt;1,IF(ISNA(MATCH(1,INDEX(EXACT('Casillas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10-3"&amp;CHAR(31)&amp;$A7&amp;CHAR(31)&amp;F$3)*1,0),0))))&amp;" (+"&amp;(SUMPRODUCT(1*EXACT('Casillas del horario'!$S$4:$S$73,"Profesor de DC en 10-3"&amp;CHAR(31)&amp;$A7&amp;CHAR(31)&amp;F$3))-1)&amp;")",IF(ISNA(MATCH(1,INDEX(EXACT('Casillas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10-3"&amp;CHAR(31)&amp;$A8&amp;CHAR(31)&amp;B$3))&gt;1,IF(ISNA(MATCH(1,INDEX(EXACT('Casillas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10-3"&amp;CHAR(31)&amp;$A8&amp;CHAR(31)&amp;B$3)*1,0),0))))&amp;" (+"&amp;(SUMPRODUCT(1*EXACT('Casillas del horario'!$S$4:$S$73,"Profesor de DC en 10-3"&amp;CHAR(31)&amp;$A8&amp;CHAR(31)&amp;B$3))-1)&amp;")",IF(ISNA(MATCH(1,INDEX(EXACT('Casillas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10-3"&amp;CHAR(31)&amp;$A8&amp;CHAR(31)&amp;B$3)*1,0),0)))))</f>
        <v/>
      </c>
      <c r="C8" s="3">
        <f>IF(SUMPRODUCT(1*EXACT('Casillas del horario'!$S$4:$S$73,"Profesor de DC en 10-3"&amp;CHAR(31)&amp;$A8&amp;CHAR(31)&amp;C$3))&gt;1,IF(ISNA(MATCH(1,INDEX(EXACT('Casillas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10-3"&amp;CHAR(31)&amp;$A8&amp;CHAR(31)&amp;C$3)*1,0),0))))&amp;" (+"&amp;(SUMPRODUCT(1*EXACT('Casillas del horario'!$S$4:$S$73,"Profesor de DC en 10-3"&amp;CHAR(31)&amp;$A8&amp;CHAR(31)&amp;C$3))-1)&amp;")",IF(ISNA(MATCH(1,INDEX(EXACT('Casillas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10-3"&amp;CHAR(31)&amp;$A8&amp;CHAR(31)&amp;C$3)*1,0),0)))))</f>
        <v/>
      </c>
      <c r="D8" s="3">
        <f>IF(SUMPRODUCT(1*EXACT('Casillas del horario'!$S$4:$S$73,"Profesor de DC en 10-3"&amp;CHAR(31)&amp;$A8&amp;CHAR(31)&amp;D$3))&gt;1,IF(ISNA(MATCH(1,INDEX(EXACT('Casillas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10-3"&amp;CHAR(31)&amp;$A8&amp;CHAR(31)&amp;D$3)*1,0),0))))&amp;" (+"&amp;(SUMPRODUCT(1*EXACT('Casillas del horario'!$S$4:$S$73,"Profesor de DC en 10-3"&amp;CHAR(31)&amp;$A8&amp;CHAR(31)&amp;D$3))-1)&amp;")",IF(ISNA(MATCH(1,INDEX(EXACT('Casillas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10-3"&amp;CHAR(31)&amp;$A8&amp;CHAR(31)&amp;D$3)*1,0),0)))))</f>
        <v/>
      </c>
      <c r="E8" s="3">
        <f>IF(SUMPRODUCT(1*EXACT('Casillas del horario'!$S$4:$S$73,"Profesor de DC en 10-3"&amp;CHAR(31)&amp;$A8&amp;CHAR(31)&amp;E$3))&gt;1,IF(ISNA(MATCH(1,INDEX(EXACT('Casillas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10-3"&amp;CHAR(31)&amp;$A8&amp;CHAR(31)&amp;E$3)*1,0),0))))&amp;" (+"&amp;(SUMPRODUCT(1*EXACT('Casillas del horario'!$S$4:$S$73,"Profesor de DC en 10-3"&amp;CHAR(31)&amp;$A8&amp;CHAR(31)&amp;E$3))-1)&amp;")",IF(ISNA(MATCH(1,INDEX(EXACT('Casillas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10-3"&amp;CHAR(31)&amp;$A8&amp;CHAR(31)&amp;E$3)*1,0),0)))))</f>
        <v/>
      </c>
      <c r="F8" s="3">
        <f>IF(SUMPRODUCT(1*EXACT('Casillas del horario'!$S$4:$S$73,"Profesor de DC en 10-3"&amp;CHAR(31)&amp;$A8&amp;CHAR(31)&amp;F$3))&gt;1,IF(ISNA(MATCH(1,INDEX(EXACT('Casillas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10-3"&amp;CHAR(31)&amp;$A8&amp;CHAR(31)&amp;F$3)*1,0),0))))&amp;" (+"&amp;(SUMPRODUCT(1*EXACT('Casillas del horario'!$S$4:$S$73,"Profesor de DC en 10-3"&amp;CHAR(31)&amp;$A8&amp;CHAR(31)&amp;F$3))-1)&amp;")",IF(ISNA(MATCH(1,INDEX(EXACT('Casillas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10-3"&amp;CHAR(31)&amp;$A9&amp;CHAR(31)&amp;B$3))&gt;1,IF(ISNA(MATCH(1,INDEX(EXACT('Casillas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10-3"&amp;CHAR(31)&amp;$A9&amp;CHAR(31)&amp;B$3)*1,0),0))))&amp;" (+"&amp;(SUMPRODUCT(1*EXACT('Casillas del horario'!$S$4:$S$73,"Profesor de DC en 10-3"&amp;CHAR(31)&amp;$A9&amp;CHAR(31)&amp;B$3))-1)&amp;")",IF(ISNA(MATCH(1,INDEX(EXACT('Casillas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10-3"&amp;CHAR(31)&amp;$A9&amp;CHAR(31)&amp;B$3)*1,0),0)))))</f>
        <v/>
      </c>
      <c r="C9" s="3">
        <f>IF(SUMPRODUCT(1*EXACT('Casillas del horario'!$S$4:$S$73,"Profesor de DC en 10-3"&amp;CHAR(31)&amp;$A9&amp;CHAR(31)&amp;C$3))&gt;1,IF(ISNA(MATCH(1,INDEX(EXACT('Casillas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10-3"&amp;CHAR(31)&amp;$A9&amp;CHAR(31)&amp;C$3)*1,0),0))))&amp;" (+"&amp;(SUMPRODUCT(1*EXACT('Casillas del horario'!$S$4:$S$73,"Profesor de DC en 10-3"&amp;CHAR(31)&amp;$A9&amp;CHAR(31)&amp;C$3))-1)&amp;")",IF(ISNA(MATCH(1,INDEX(EXACT('Casillas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10-3"&amp;CHAR(31)&amp;$A9&amp;CHAR(31)&amp;C$3)*1,0),0)))))</f>
        <v/>
      </c>
      <c r="D9" s="3">
        <f>IF(SUMPRODUCT(1*EXACT('Casillas del horario'!$S$4:$S$73,"Profesor de DC en 10-3"&amp;CHAR(31)&amp;$A9&amp;CHAR(31)&amp;D$3))&gt;1,IF(ISNA(MATCH(1,INDEX(EXACT('Casillas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10-3"&amp;CHAR(31)&amp;$A9&amp;CHAR(31)&amp;D$3)*1,0),0))))&amp;" (+"&amp;(SUMPRODUCT(1*EXACT('Casillas del horario'!$S$4:$S$73,"Profesor de DC en 10-3"&amp;CHAR(31)&amp;$A9&amp;CHAR(31)&amp;D$3))-1)&amp;")",IF(ISNA(MATCH(1,INDEX(EXACT('Casillas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10-3"&amp;CHAR(31)&amp;$A9&amp;CHAR(31)&amp;D$3)*1,0),0)))))</f>
        <v/>
      </c>
      <c r="E9" s="3">
        <f>IF(SUMPRODUCT(1*EXACT('Casillas del horario'!$S$4:$S$73,"Profesor de DC en 10-3"&amp;CHAR(31)&amp;$A9&amp;CHAR(31)&amp;E$3))&gt;1,IF(ISNA(MATCH(1,INDEX(EXACT('Casillas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10-3"&amp;CHAR(31)&amp;$A9&amp;CHAR(31)&amp;E$3)*1,0),0))))&amp;" (+"&amp;(SUMPRODUCT(1*EXACT('Casillas del horario'!$S$4:$S$73,"Profesor de DC en 10-3"&amp;CHAR(31)&amp;$A9&amp;CHAR(31)&amp;E$3))-1)&amp;")",IF(ISNA(MATCH(1,INDEX(EXACT('Casillas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10-3"&amp;CHAR(31)&amp;$A9&amp;CHAR(31)&amp;E$3)*1,0),0)))))</f>
        <v/>
      </c>
      <c r="F9" s="3">
        <f>IF(SUMPRODUCT(1*EXACT('Casillas del horario'!$S$4:$S$73,"Profesor de DC en 10-3"&amp;CHAR(31)&amp;$A9&amp;CHAR(31)&amp;F$3))&gt;1,IF(ISNA(MATCH(1,INDEX(EXACT('Casillas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10-3"&amp;CHAR(31)&amp;$A9&amp;CHAR(31)&amp;F$3)*1,0),0))))&amp;" (+"&amp;(SUMPRODUCT(1*EXACT('Casillas del horario'!$S$4:$S$73,"Profesor de DC en 10-3"&amp;CHAR(31)&amp;$A9&amp;CHAR(31)&amp;F$3))-1)&amp;")",IF(ISNA(MATCH(1,INDEX(EXACT('Casillas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10-3"&amp;CHAR(31)&amp;$A10&amp;CHAR(31)&amp;B$3))&gt;1,IF(ISNA(MATCH(1,INDEX(EXACT('Casillas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10-3"&amp;CHAR(31)&amp;$A10&amp;CHAR(31)&amp;B$3)*1,0),0))))&amp;" (+"&amp;(SUMPRODUCT(1*EXACT('Casillas del horario'!$S$4:$S$73,"Profesor de DC en 10-3"&amp;CHAR(31)&amp;$A10&amp;CHAR(31)&amp;B$3))-1)&amp;")",IF(ISNA(MATCH(1,INDEX(EXACT('Casillas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10-3"&amp;CHAR(31)&amp;$A10&amp;CHAR(31)&amp;B$3)*1,0),0)))))</f>
        <v/>
      </c>
      <c r="C10" s="3">
        <f>IF(SUMPRODUCT(1*EXACT('Casillas del horario'!$S$4:$S$73,"Profesor de DC en 10-3"&amp;CHAR(31)&amp;$A10&amp;CHAR(31)&amp;C$3))&gt;1,IF(ISNA(MATCH(1,INDEX(EXACT('Casillas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10-3"&amp;CHAR(31)&amp;$A10&amp;CHAR(31)&amp;C$3)*1,0),0))))&amp;" (+"&amp;(SUMPRODUCT(1*EXACT('Casillas del horario'!$S$4:$S$73,"Profesor de DC en 10-3"&amp;CHAR(31)&amp;$A10&amp;CHAR(31)&amp;C$3))-1)&amp;")",IF(ISNA(MATCH(1,INDEX(EXACT('Casillas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10-3"&amp;CHAR(31)&amp;$A10&amp;CHAR(31)&amp;C$3)*1,0),0)))))</f>
        <v/>
      </c>
      <c r="D10" s="3">
        <f>IF(SUMPRODUCT(1*EXACT('Casillas del horario'!$S$4:$S$73,"Profesor de DC en 10-3"&amp;CHAR(31)&amp;$A10&amp;CHAR(31)&amp;D$3))&gt;1,IF(ISNA(MATCH(1,INDEX(EXACT('Casillas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10-3"&amp;CHAR(31)&amp;$A10&amp;CHAR(31)&amp;D$3)*1,0),0))))&amp;" (+"&amp;(SUMPRODUCT(1*EXACT('Casillas del horario'!$S$4:$S$73,"Profesor de DC en 10-3"&amp;CHAR(31)&amp;$A10&amp;CHAR(31)&amp;D$3))-1)&amp;")",IF(ISNA(MATCH(1,INDEX(EXACT('Casillas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10-3"&amp;CHAR(31)&amp;$A10&amp;CHAR(31)&amp;D$3)*1,0),0)))))</f>
        <v/>
      </c>
      <c r="E10" s="3">
        <f>IF(SUMPRODUCT(1*EXACT('Casillas del horario'!$S$4:$S$73,"Profesor de DC en 10-3"&amp;CHAR(31)&amp;$A10&amp;CHAR(31)&amp;E$3))&gt;1,IF(ISNA(MATCH(1,INDEX(EXACT('Casillas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10-3"&amp;CHAR(31)&amp;$A10&amp;CHAR(31)&amp;E$3)*1,0),0))))&amp;" (+"&amp;(SUMPRODUCT(1*EXACT('Casillas del horario'!$S$4:$S$73,"Profesor de DC en 10-3"&amp;CHAR(31)&amp;$A10&amp;CHAR(31)&amp;E$3))-1)&amp;")",IF(ISNA(MATCH(1,INDEX(EXACT('Casillas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10-3"&amp;CHAR(31)&amp;$A10&amp;CHAR(31)&amp;E$3)*1,0),0)))))</f>
        <v/>
      </c>
      <c r="F10" s="3">
        <f>IF(SUMPRODUCT(1*EXACT('Casillas del horario'!$S$4:$S$73,"Profesor de DC en 10-3"&amp;CHAR(31)&amp;$A10&amp;CHAR(31)&amp;F$3))&gt;1,IF(ISNA(MATCH(1,INDEX(EXACT('Casillas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10-3"&amp;CHAR(31)&amp;$A10&amp;CHAR(31)&amp;F$3)*1,0),0))))&amp;" (+"&amp;(SUMPRODUCT(1*EXACT('Casillas del horario'!$S$4:$S$73,"Profesor de DC en 10-3"&amp;CHAR(31)&amp;$A10&amp;CHAR(31)&amp;F$3))-1)&amp;")",IF(ISNA(MATCH(1,INDEX(EXACT('Casillas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10-3"&amp;CHAR(31)&amp;$A4&amp;CHAR(31)&amp;B$3))&gt;1,IF(ISNA(MATCH(1,INDEX(EXACT('Casillas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10-3"&amp;CHAR(31)&amp;$A4&amp;CHAR(31)&amp;B$3)*1,0),0))))&amp;" (+"&amp;(SUMPRODUCT(1*EXACT('Casillas del horario'!$S$4:$S$73,"Profesor de CA en 10-3"&amp;CHAR(31)&amp;$A4&amp;CHAR(31)&amp;B$3))-1)&amp;")",IF(ISNA(MATCH(1,INDEX(EXACT('Casillas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10-3"&amp;CHAR(31)&amp;$A4&amp;CHAR(31)&amp;B$3)*1,0),0)))))</f>
        <v/>
      </c>
      <c r="C4" s="3">
        <f>IF(SUMPRODUCT(1*EXACT('Casillas del horario'!$S$4:$S$73,"Profesor de CA en 10-3"&amp;CHAR(31)&amp;$A4&amp;CHAR(31)&amp;C$3))&gt;1,IF(ISNA(MATCH(1,INDEX(EXACT('Casillas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10-3"&amp;CHAR(31)&amp;$A4&amp;CHAR(31)&amp;C$3)*1,0),0))))&amp;" (+"&amp;(SUMPRODUCT(1*EXACT('Casillas del horario'!$S$4:$S$73,"Profesor de CA en 10-3"&amp;CHAR(31)&amp;$A4&amp;CHAR(31)&amp;C$3))-1)&amp;")",IF(ISNA(MATCH(1,INDEX(EXACT('Casillas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10-3"&amp;CHAR(31)&amp;$A4&amp;CHAR(31)&amp;C$3)*1,0),0)))))</f>
        <v/>
      </c>
      <c r="D4" s="3">
        <f>IF(SUMPRODUCT(1*EXACT('Casillas del horario'!$S$4:$S$73,"Profesor de CA en 10-3"&amp;CHAR(31)&amp;$A4&amp;CHAR(31)&amp;D$3))&gt;1,IF(ISNA(MATCH(1,INDEX(EXACT('Casillas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10-3"&amp;CHAR(31)&amp;$A4&amp;CHAR(31)&amp;D$3)*1,0),0))))&amp;" (+"&amp;(SUMPRODUCT(1*EXACT('Casillas del horario'!$S$4:$S$73,"Profesor de CA en 10-3"&amp;CHAR(31)&amp;$A4&amp;CHAR(31)&amp;D$3))-1)&amp;")",IF(ISNA(MATCH(1,INDEX(EXACT('Casillas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10-3"&amp;CHAR(31)&amp;$A4&amp;CHAR(31)&amp;D$3)*1,0),0)))))</f>
        <v/>
      </c>
      <c r="E4" s="3">
        <f>IF(SUMPRODUCT(1*EXACT('Casillas del horario'!$S$4:$S$73,"Profesor de CA en 10-3"&amp;CHAR(31)&amp;$A4&amp;CHAR(31)&amp;E$3))&gt;1,IF(ISNA(MATCH(1,INDEX(EXACT('Casillas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10-3"&amp;CHAR(31)&amp;$A4&amp;CHAR(31)&amp;E$3)*1,0),0))))&amp;" (+"&amp;(SUMPRODUCT(1*EXACT('Casillas del horario'!$S$4:$S$73,"Profesor de CA en 10-3"&amp;CHAR(31)&amp;$A4&amp;CHAR(31)&amp;E$3))-1)&amp;")",IF(ISNA(MATCH(1,INDEX(EXACT('Casillas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10-3"&amp;CHAR(31)&amp;$A4&amp;CHAR(31)&amp;E$3)*1,0),0)))))</f>
        <v/>
      </c>
      <c r="F4" s="3">
        <f>IF(SUMPRODUCT(1*EXACT('Casillas del horario'!$S$4:$S$73,"Profesor de CA en 10-3"&amp;CHAR(31)&amp;$A4&amp;CHAR(31)&amp;F$3))&gt;1,IF(ISNA(MATCH(1,INDEX(EXACT('Casillas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10-3"&amp;CHAR(31)&amp;$A4&amp;CHAR(31)&amp;F$3)*1,0),0))))&amp;" (+"&amp;(SUMPRODUCT(1*EXACT('Casillas del horario'!$S$4:$S$73,"Profesor de CA en 10-3"&amp;CHAR(31)&amp;$A4&amp;CHAR(31)&amp;F$3))-1)&amp;")",IF(ISNA(MATCH(1,INDEX(EXACT('Casillas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10-3"&amp;CHAR(31)&amp;$A5&amp;CHAR(31)&amp;B$3))&gt;1,IF(ISNA(MATCH(1,INDEX(EXACT('Casillas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10-3"&amp;CHAR(31)&amp;$A5&amp;CHAR(31)&amp;B$3)*1,0),0))))&amp;" (+"&amp;(SUMPRODUCT(1*EXACT('Casillas del horario'!$S$4:$S$73,"Profesor de CA en 10-3"&amp;CHAR(31)&amp;$A5&amp;CHAR(31)&amp;B$3))-1)&amp;")",IF(ISNA(MATCH(1,INDEX(EXACT('Casillas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10-3"&amp;CHAR(31)&amp;$A5&amp;CHAR(31)&amp;B$3)*1,0),0)))))</f>
        <v/>
      </c>
      <c r="C5" s="3">
        <f>IF(SUMPRODUCT(1*EXACT('Casillas del horario'!$S$4:$S$73,"Profesor de CA en 10-3"&amp;CHAR(31)&amp;$A5&amp;CHAR(31)&amp;C$3))&gt;1,IF(ISNA(MATCH(1,INDEX(EXACT('Casillas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10-3"&amp;CHAR(31)&amp;$A5&amp;CHAR(31)&amp;C$3)*1,0),0))))&amp;" (+"&amp;(SUMPRODUCT(1*EXACT('Casillas del horario'!$S$4:$S$73,"Profesor de CA en 10-3"&amp;CHAR(31)&amp;$A5&amp;CHAR(31)&amp;C$3))-1)&amp;")",IF(ISNA(MATCH(1,INDEX(EXACT('Casillas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10-3"&amp;CHAR(31)&amp;$A5&amp;CHAR(31)&amp;C$3)*1,0),0)))))</f>
        <v/>
      </c>
      <c r="D5" s="3">
        <f>IF(SUMPRODUCT(1*EXACT('Casillas del horario'!$S$4:$S$73,"Profesor de CA en 10-3"&amp;CHAR(31)&amp;$A5&amp;CHAR(31)&amp;D$3))&gt;1,IF(ISNA(MATCH(1,INDEX(EXACT('Casillas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10-3"&amp;CHAR(31)&amp;$A5&amp;CHAR(31)&amp;D$3)*1,0),0))))&amp;" (+"&amp;(SUMPRODUCT(1*EXACT('Casillas del horario'!$S$4:$S$73,"Profesor de CA en 10-3"&amp;CHAR(31)&amp;$A5&amp;CHAR(31)&amp;D$3))-1)&amp;")",IF(ISNA(MATCH(1,INDEX(EXACT('Casillas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10-3"&amp;CHAR(31)&amp;$A5&amp;CHAR(31)&amp;D$3)*1,0),0)))))</f>
        <v/>
      </c>
      <c r="E5" s="3">
        <f>IF(SUMPRODUCT(1*EXACT('Casillas del horario'!$S$4:$S$73,"Profesor de CA en 10-3"&amp;CHAR(31)&amp;$A5&amp;CHAR(31)&amp;E$3))&gt;1,IF(ISNA(MATCH(1,INDEX(EXACT('Casillas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10-3"&amp;CHAR(31)&amp;$A5&amp;CHAR(31)&amp;E$3)*1,0),0))))&amp;" (+"&amp;(SUMPRODUCT(1*EXACT('Casillas del horario'!$S$4:$S$73,"Profesor de CA en 10-3"&amp;CHAR(31)&amp;$A5&amp;CHAR(31)&amp;E$3))-1)&amp;")",IF(ISNA(MATCH(1,INDEX(EXACT('Casillas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10-3"&amp;CHAR(31)&amp;$A5&amp;CHAR(31)&amp;E$3)*1,0),0)))))</f>
        <v/>
      </c>
      <c r="F5" s="3">
        <f>IF(SUMPRODUCT(1*EXACT('Casillas del horario'!$S$4:$S$73,"Profesor de CA en 10-3"&amp;CHAR(31)&amp;$A5&amp;CHAR(31)&amp;F$3))&gt;1,IF(ISNA(MATCH(1,INDEX(EXACT('Casillas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10-3"&amp;CHAR(31)&amp;$A5&amp;CHAR(31)&amp;F$3)*1,0),0))))&amp;" (+"&amp;(SUMPRODUCT(1*EXACT('Casillas del horario'!$S$4:$S$73,"Profesor de CA en 10-3"&amp;CHAR(31)&amp;$A5&amp;CHAR(31)&amp;F$3))-1)&amp;")",IF(ISNA(MATCH(1,INDEX(EXACT('Casillas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10-3"&amp;CHAR(31)&amp;$A6&amp;CHAR(31)&amp;B$3))&gt;1,IF(ISNA(MATCH(1,INDEX(EXACT('Casillas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10-3"&amp;CHAR(31)&amp;$A6&amp;CHAR(31)&amp;B$3)*1,0),0))))&amp;" (+"&amp;(SUMPRODUCT(1*EXACT('Casillas del horario'!$S$4:$S$73,"Profesor de CA en 10-3"&amp;CHAR(31)&amp;$A6&amp;CHAR(31)&amp;B$3))-1)&amp;")",IF(ISNA(MATCH(1,INDEX(EXACT('Casillas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10-3"&amp;CHAR(31)&amp;$A6&amp;CHAR(31)&amp;B$3)*1,0),0)))))</f>
        <v/>
      </c>
      <c r="C6" s="3">
        <f>IF(SUMPRODUCT(1*EXACT('Casillas del horario'!$S$4:$S$73,"Profesor de CA en 10-3"&amp;CHAR(31)&amp;$A6&amp;CHAR(31)&amp;C$3))&gt;1,IF(ISNA(MATCH(1,INDEX(EXACT('Casillas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10-3"&amp;CHAR(31)&amp;$A6&amp;CHAR(31)&amp;C$3)*1,0),0))))&amp;" (+"&amp;(SUMPRODUCT(1*EXACT('Casillas del horario'!$S$4:$S$73,"Profesor de CA en 10-3"&amp;CHAR(31)&amp;$A6&amp;CHAR(31)&amp;C$3))-1)&amp;")",IF(ISNA(MATCH(1,INDEX(EXACT('Casillas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10-3"&amp;CHAR(31)&amp;$A6&amp;CHAR(31)&amp;C$3)*1,0),0)))))</f>
        <v/>
      </c>
      <c r="D6" s="3">
        <f>IF(SUMPRODUCT(1*EXACT('Casillas del horario'!$S$4:$S$73,"Profesor de CA en 10-3"&amp;CHAR(31)&amp;$A6&amp;CHAR(31)&amp;D$3))&gt;1,IF(ISNA(MATCH(1,INDEX(EXACT('Casillas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10-3"&amp;CHAR(31)&amp;$A6&amp;CHAR(31)&amp;D$3)*1,0),0))))&amp;" (+"&amp;(SUMPRODUCT(1*EXACT('Casillas del horario'!$S$4:$S$73,"Profesor de CA en 10-3"&amp;CHAR(31)&amp;$A6&amp;CHAR(31)&amp;D$3))-1)&amp;")",IF(ISNA(MATCH(1,INDEX(EXACT('Casillas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10-3"&amp;CHAR(31)&amp;$A6&amp;CHAR(31)&amp;D$3)*1,0),0)))))</f>
        <v/>
      </c>
      <c r="E6" s="3">
        <f>IF(SUMPRODUCT(1*EXACT('Casillas del horario'!$S$4:$S$73,"Profesor de CA en 10-3"&amp;CHAR(31)&amp;$A6&amp;CHAR(31)&amp;E$3))&gt;1,IF(ISNA(MATCH(1,INDEX(EXACT('Casillas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10-3"&amp;CHAR(31)&amp;$A6&amp;CHAR(31)&amp;E$3)*1,0),0))))&amp;" (+"&amp;(SUMPRODUCT(1*EXACT('Casillas del horario'!$S$4:$S$73,"Profesor de CA en 10-3"&amp;CHAR(31)&amp;$A6&amp;CHAR(31)&amp;E$3))-1)&amp;")",IF(ISNA(MATCH(1,INDEX(EXACT('Casillas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10-3"&amp;CHAR(31)&amp;$A6&amp;CHAR(31)&amp;E$3)*1,0),0)))))</f>
        <v/>
      </c>
      <c r="F6" s="3">
        <f>IF(SUMPRODUCT(1*EXACT('Casillas del horario'!$S$4:$S$73,"Profesor de CA en 10-3"&amp;CHAR(31)&amp;$A6&amp;CHAR(31)&amp;F$3))&gt;1,IF(ISNA(MATCH(1,INDEX(EXACT('Casillas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10-3"&amp;CHAR(31)&amp;$A6&amp;CHAR(31)&amp;F$3)*1,0),0))))&amp;" (+"&amp;(SUMPRODUCT(1*EXACT('Casillas del horario'!$S$4:$S$73,"Profesor de CA en 10-3"&amp;CHAR(31)&amp;$A6&amp;CHAR(31)&amp;F$3))-1)&amp;")",IF(ISNA(MATCH(1,INDEX(EXACT('Casillas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10-3"&amp;CHAR(31)&amp;$A7&amp;CHAR(31)&amp;B$3))&gt;1,IF(ISNA(MATCH(1,INDEX(EXACT('Casillas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10-3"&amp;CHAR(31)&amp;$A7&amp;CHAR(31)&amp;B$3)*1,0),0))))&amp;" (+"&amp;(SUMPRODUCT(1*EXACT('Casillas del horario'!$S$4:$S$73,"Profesor de CA en 10-3"&amp;CHAR(31)&amp;$A7&amp;CHAR(31)&amp;B$3))-1)&amp;")",IF(ISNA(MATCH(1,INDEX(EXACT('Casillas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10-3"&amp;CHAR(31)&amp;$A7&amp;CHAR(31)&amp;B$3)*1,0),0)))))</f>
        <v/>
      </c>
      <c r="C7" s="3">
        <f>IF(SUMPRODUCT(1*EXACT('Casillas del horario'!$S$4:$S$73,"Profesor de CA en 10-3"&amp;CHAR(31)&amp;$A7&amp;CHAR(31)&amp;C$3))&gt;1,IF(ISNA(MATCH(1,INDEX(EXACT('Casillas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10-3"&amp;CHAR(31)&amp;$A7&amp;CHAR(31)&amp;C$3)*1,0),0))))&amp;" (+"&amp;(SUMPRODUCT(1*EXACT('Casillas del horario'!$S$4:$S$73,"Profesor de CA en 10-3"&amp;CHAR(31)&amp;$A7&amp;CHAR(31)&amp;C$3))-1)&amp;")",IF(ISNA(MATCH(1,INDEX(EXACT('Casillas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10-3"&amp;CHAR(31)&amp;$A7&amp;CHAR(31)&amp;C$3)*1,0),0)))))</f>
        <v/>
      </c>
      <c r="D7" s="3">
        <f>IF(SUMPRODUCT(1*EXACT('Casillas del horario'!$S$4:$S$73,"Profesor de CA en 10-3"&amp;CHAR(31)&amp;$A7&amp;CHAR(31)&amp;D$3))&gt;1,IF(ISNA(MATCH(1,INDEX(EXACT('Casillas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10-3"&amp;CHAR(31)&amp;$A7&amp;CHAR(31)&amp;D$3)*1,0),0))))&amp;" (+"&amp;(SUMPRODUCT(1*EXACT('Casillas del horario'!$S$4:$S$73,"Profesor de CA en 10-3"&amp;CHAR(31)&amp;$A7&amp;CHAR(31)&amp;D$3))-1)&amp;")",IF(ISNA(MATCH(1,INDEX(EXACT('Casillas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10-3"&amp;CHAR(31)&amp;$A7&amp;CHAR(31)&amp;D$3)*1,0),0)))))</f>
        <v/>
      </c>
      <c r="E7" s="3">
        <f>IF(SUMPRODUCT(1*EXACT('Casillas del horario'!$S$4:$S$73,"Profesor de CA en 10-3"&amp;CHAR(31)&amp;$A7&amp;CHAR(31)&amp;E$3))&gt;1,IF(ISNA(MATCH(1,INDEX(EXACT('Casillas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10-3"&amp;CHAR(31)&amp;$A7&amp;CHAR(31)&amp;E$3)*1,0),0))))&amp;" (+"&amp;(SUMPRODUCT(1*EXACT('Casillas del horario'!$S$4:$S$73,"Profesor de CA en 10-3"&amp;CHAR(31)&amp;$A7&amp;CHAR(31)&amp;E$3))-1)&amp;")",IF(ISNA(MATCH(1,INDEX(EXACT('Casillas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10-3"&amp;CHAR(31)&amp;$A7&amp;CHAR(31)&amp;E$3)*1,0),0)))))</f>
        <v/>
      </c>
      <c r="F7" s="3">
        <f>IF(SUMPRODUCT(1*EXACT('Casillas del horario'!$S$4:$S$73,"Profesor de CA en 10-3"&amp;CHAR(31)&amp;$A7&amp;CHAR(31)&amp;F$3))&gt;1,IF(ISNA(MATCH(1,INDEX(EXACT('Casillas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10-3"&amp;CHAR(31)&amp;$A7&amp;CHAR(31)&amp;F$3)*1,0),0))))&amp;" (+"&amp;(SUMPRODUCT(1*EXACT('Casillas del horario'!$S$4:$S$73,"Profesor de CA en 10-3"&amp;CHAR(31)&amp;$A7&amp;CHAR(31)&amp;F$3))-1)&amp;")",IF(ISNA(MATCH(1,INDEX(EXACT('Casillas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10-3"&amp;CHAR(31)&amp;$A8&amp;CHAR(31)&amp;B$3))&gt;1,IF(ISNA(MATCH(1,INDEX(EXACT('Casillas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10-3"&amp;CHAR(31)&amp;$A8&amp;CHAR(31)&amp;B$3)*1,0),0))))&amp;" (+"&amp;(SUMPRODUCT(1*EXACT('Casillas del horario'!$S$4:$S$73,"Profesor de CA en 10-3"&amp;CHAR(31)&amp;$A8&amp;CHAR(31)&amp;B$3))-1)&amp;")",IF(ISNA(MATCH(1,INDEX(EXACT('Casillas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10-3"&amp;CHAR(31)&amp;$A8&amp;CHAR(31)&amp;B$3)*1,0),0)))))</f>
        <v/>
      </c>
      <c r="C8" s="3">
        <f>IF(SUMPRODUCT(1*EXACT('Casillas del horario'!$S$4:$S$73,"Profesor de CA en 10-3"&amp;CHAR(31)&amp;$A8&amp;CHAR(31)&amp;C$3))&gt;1,IF(ISNA(MATCH(1,INDEX(EXACT('Casillas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10-3"&amp;CHAR(31)&amp;$A8&amp;CHAR(31)&amp;C$3)*1,0),0))))&amp;" (+"&amp;(SUMPRODUCT(1*EXACT('Casillas del horario'!$S$4:$S$73,"Profesor de CA en 10-3"&amp;CHAR(31)&amp;$A8&amp;CHAR(31)&amp;C$3))-1)&amp;")",IF(ISNA(MATCH(1,INDEX(EXACT('Casillas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10-3"&amp;CHAR(31)&amp;$A8&amp;CHAR(31)&amp;C$3)*1,0),0)))))</f>
        <v/>
      </c>
      <c r="D8" s="3">
        <f>IF(SUMPRODUCT(1*EXACT('Casillas del horario'!$S$4:$S$73,"Profesor de CA en 10-3"&amp;CHAR(31)&amp;$A8&amp;CHAR(31)&amp;D$3))&gt;1,IF(ISNA(MATCH(1,INDEX(EXACT('Casillas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10-3"&amp;CHAR(31)&amp;$A8&amp;CHAR(31)&amp;D$3)*1,0),0))))&amp;" (+"&amp;(SUMPRODUCT(1*EXACT('Casillas del horario'!$S$4:$S$73,"Profesor de CA en 10-3"&amp;CHAR(31)&amp;$A8&amp;CHAR(31)&amp;D$3))-1)&amp;")",IF(ISNA(MATCH(1,INDEX(EXACT('Casillas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10-3"&amp;CHAR(31)&amp;$A8&amp;CHAR(31)&amp;D$3)*1,0),0)))))</f>
        <v/>
      </c>
      <c r="E8" s="3">
        <f>IF(SUMPRODUCT(1*EXACT('Casillas del horario'!$S$4:$S$73,"Profesor de CA en 10-3"&amp;CHAR(31)&amp;$A8&amp;CHAR(31)&amp;E$3))&gt;1,IF(ISNA(MATCH(1,INDEX(EXACT('Casillas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10-3"&amp;CHAR(31)&amp;$A8&amp;CHAR(31)&amp;E$3)*1,0),0))))&amp;" (+"&amp;(SUMPRODUCT(1*EXACT('Casillas del horario'!$S$4:$S$73,"Profesor de CA en 10-3"&amp;CHAR(31)&amp;$A8&amp;CHAR(31)&amp;E$3))-1)&amp;")",IF(ISNA(MATCH(1,INDEX(EXACT('Casillas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10-3"&amp;CHAR(31)&amp;$A8&amp;CHAR(31)&amp;E$3)*1,0),0)))))</f>
        <v/>
      </c>
      <c r="F8" s="3">
        <f>IF(SUMPRODUCT(1*EXACT('Casillas del horario'!$S$4:$S$73,"Profesor de CA en 10-3"&amp;CHAR(31)&amp;$A8&amp;CHAR(31)&amp;F$3))&gt;1,IF(ISNA(MATCH(1,INDEX(EXACT('Casillas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10-3"&amp;CHAR(31)&amp;$A8&amp;CHAR(31)&amp;F$3)*1,0),0))))&amp;" (+"&amp;(SUMPRODUCT(1*EXACT('Casillas del horario'!$S$4:$S$73,"Profesor de CA en 10-3"&amp;CHAR(31)&amp;$A8&amp;CHAR(31)&amp;F$3))-1)&amp;")",IF(ISNA(MATCH(1,INDEX(EXACT('Casillas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10-3"&amp;CHAR(31)&amp;$A9&amp;CHAR(31)&amp;B$3))&gt;1,IF(ISNA(MATCH(1,INDEX(EXACT('Casillas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10-3"&amp;CHAR(31)&amp;$A9&amp;CHAR(31)&amp;B$3)*1,0),0))))&amp;" (+"&amp;(SUMPRODUCT(1*EXACT('Casillas del horario'!$S$4:$S$73,"Profesor de CA en 10-3"&amp;CHAR(31)&amp;$A9&amp;CHAR(31)&amp;B$3))-1)&amp;")",IF(ISNA(MATCH(1,INDEX(EXACT('Casillas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10-3"&amp;CHAR(31)&amp;$A9&amp;CHAR(31)&amp;B$3)*1,0),0)))))</f>
        <v/>
      </c>
      <c r="C9" s="3">
        <f>IF(SUMPRODUCT(1*EXACT('Casillas del horario'!$S$4:$S$73,"Profesor de CA en 10-3"&amp;CHAR(31)&amp;$A9&amp;CHAR(31)&amp;C$3))&gt;1,IF(ISNA(MATCH(1,INDEX(EXACT('Casillas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10-3"&amp;CHAR(31)&amp;$A9&amp;CHAR(31)&amp;C$3)*1,0),0))))&amp;" (+"&amp;(SUMPRODUCT(1*EXACT('Casillas del horario'!$S$4:$S$73,"Profesor de CA en 10-3"&amp;CHAR(31)&amp;$A9&amp;CHAR(31)&amp;C$3))-1)&amp;")",IF(ISNA(MATCH(1,INDEX(EXACT('Casillas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10-3"&amp;CHAR(31)&amp;$A9&amp;CHAR(31)&amp;C$3)*1,0),0)))))</f>
        <v/>
      </c>
      <c r="D9" s="3">
        <f>IF(SUMPRODUCT(1*EXACT('Casillas del horario'!$S$4:$S$73,"Profesor de CA en 10-3"&amp;CHAR(31)&amp;$A9&amp;CHAR(31)&amp;D$3))&gt;1,IF(ISNA(MATCH(1,INDEX(EXACT('Casillas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10-3"&amp;CHAR(31)&amp;$A9&amp;CHAR(31)&amp;D$3)*1,0),0))))&amp;" (+"&amp;(SUMPRODUCT(1*EXACT('Casillas del horario'!$S$4:$S$73,"Profesor de CA en 10-3"&amp;CHAR(31)&amp;$A9&amp;CHAR(31)&amp;D$3))-1)&amp;")",IF(ISNA(MATCH(1,INDEX(EXACT('Casillas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10-3"&amp;CHAR(31)&amp;$A9&amp;CHAR(31)&amp;D$3)*1,0),0)))))</f>
        <v/>
      </c>
      <c r="E9" s="3">
        <f>IF(SUMPRODUCT(1*EXACT('Casillas del horario'!$S$4:$S$73,"Profesor de CA en 10-3"&amp;CHAR(31)&amp;$A9&amp;CHAR(31)&amp;E$3))&gt;1,IF(ISNA(MATCH(1,INDEX(EXACT('Casillas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10-3"&amp;CHAR(31)&amp;$A9&amp;CHAR(31)&amp;E$3)*1,0),0))))&amp;" (+"&amp;(SUMPRODUCT(1*EXACT('Casillas del horario'!$S$4:$S$73,"Profesor de CA en 10-3"&amp;CHAR(31)&amp;$A9&amp;CHAR(31)&amp;E$3))-1)&amp;")",IF(ISNA(MATCH(1,INDEX(EXACT('Casillas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10-3"&amp;CHAR(31)&amp;$A9&amp;CHAR(31)&amp;E$3)*1,0),0)))))</f>
        <v/>
      </c>
      <c r="F9" s="3">
        <f>IF(SUMPRODUCT(1*EXACT('Casillas del horario'!$S$4:$S$73,"Profesor de CA en 10-3"&amp;CHAR(31)&amp;$A9&amp;CHAR(31)&amp;F$3))&gt;1,IF(ISNA(MATCH(1,INDEX(EXACT('Casillas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10-3"&amp;CHAR(31)&amp;$A9&amp;CHAR(31)&amp;F$3)*1,0),0))))&amp;" (+"&amp;(SUMPRODUCT(1*EXACT('Casillas del horario'!$S$4:$S$73,"Profesor de CA en 10-3"&amp;CHAR(31)&amp;$A9&amp;CHAR(31)&amp;F$3))-1)&amp;")",IF(ISNA(MATCH(1,INDEX(EXACT('Casillas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10-3"&amp;CHAR(31)&amp;$A10&amp;CHAR(31)&amp;B$3))&gt;1,IF(ISNA(MATCH(1,INDEX(EXACT('Casillas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10-3"&amp;CHAR(31)&amp;$A10&amp;CHAR(31)&amp;B$3)*1,0),0))))&amp;" (+"&amp;(SUMPRODUCT(1*EXACT('Casillas del horario'!$S$4:$S$73,"Profesor de CA en 10-3"&amp;CHAR(31)&amp;$A10&amp;CHAR(31)&amp;B$3))-1)&amp;")",IF(ISNA(MATCH(1,INDEX(EXACT('Casillas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10-3"&amp;CHAR(31)&amp;$A10&amp;CHAR(31)&amp;B$3)*1,0),0)))))</f>
        <v/>
      </c>
      <c r="C10" s="3">
        <f>IF(SUMPRODUCT(1*EXACT('Casillas del horario'!$S$4:$S$73,"Profesor de CA en 10-3"&amp;CHAR(31)&amp;$A10&amp;CHAR(31)&amp;C$3))&gt;1,IF(ISNA(MATCH(1,INDEX(EXACT('Casillas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10-3"&amp;CHAR(31)&amp;$A10&amp;CHAR(31)&amp;C$3)*1,0),0))))&amp;" (+"&amp;(SUMPRODUCT(1*EXACT('Casillas del horario'!$S$4:$S$73,"Profesor de CA en 10-3"&amp;CHAR(31)&amp;$A10&amp;CHAR(31)&amp;C$3))-1)&amp;")",IF(ISNA(MATCH(1,INDEX(EXACT('Casillas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10-3"&amp;CHAR(31)&amp;$A10&amp;CHAR(31)&amp;C$3)*1,0),0)))))</f>
        <v/>
      </c>
      <c r="D10" s="3">
        <f>IF(SUMPRODUCT(1*EXACT('Casillas del horario'!$S$4:$S$73,"Profesor de CA en 10-3"&amp;CHAR(31)&amp;$A10&amp;CHAR(31)&amp;D$3))&gt;1,IF(ISNA(MATCH(1,INDEX(EXACT('Casillas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10-3"&amp;CHAR(31)&amp;$A10&amp;CHAR(31)&amp;D$3)*1,0),0))))&amp;" (+"&amp;(SUMPRODUCT(1*EXACT('Casillas del horario'!$S$4:$S$73,"Profesor de CA en 10-3"&amp;CHAR(31)&amp;$A10&amp;CHAR(31)&amp;D$3))-1)&amp;")",IF(ISNA(MATCH(1,INDEX(EXACT('Casillas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10-3"&amp;CHAR(31)&amp;$A10&amp;CHAR(31)&amp;D$3)*1,0),0)))))</f>
        <v/>
      </c>
      <c r="E10" s="3">
        <f>IF(SUMPRODUCT(1*EXACT('Casillas del horario'!$S$4:$S$73,"Profesor de CA en 10-3"&amp;CHAR(31)&amp;$A10&amp;CHAR(31)&amp;E$3))&gt;1,IF(ISNA(MATCH(1,INDEX(EXACT('Casillas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10-3"&amp;CHAR(31)&amp;$A10&amp;CHAR(31)&amp;E$3)*1,0),0))))&amp;" (+"&amp;(SUMPRODUCT(1*EXACT('Casillas del horario'!$S$4:$S$73,"Profesor de CA en 10-3"&amp;CHAR(31)&amp;$A10&amp;CHAR(31)&amp;E$3))-1)&amp;")",IF(ISNA(MATCH(1,INDEX(EXACT('Casillas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10-3"&amp;CHAR(31)&amp;$A10&amp;CHAR(31)&amp;E$3)*1,0),0)))))</f>
        <v/>
      </c>
      <c r="F10" s="3">
        <f>IF(SUMPRODUCT(1*EXACT('Casillas del horario'!$S$4:$S$73,"Profesor de CA en 10-3"&amp;CHAR(31)&amp;$A10&amp;CHAR(31)&amp;F$3))&gt;1,IF(ISNA(MATCH(1,INDEX(EXACT('Casillas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10-3"&amp;CHAR(31)&amp;$A10&amp;CHAR(31)&amp;F$3)*1,0),0))))&amp;" (+"&amp;(SUMPRODUCT(1*EXACT('Casillas del horario'!$S$4:$S$73,"Profesor de CA en 10-3"&amp;CHAR(31)&amp;$A10&amp;CHAR(31)&amp;F$3))-1)&amp;")",IF(ISNA(MATCH(1,INDEX(EXACT('Casillas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10-3"&amp;CHAR(31)&amp;$A4&amp;CHAR(31)&amp;B$3))&gt;1,IF(ISNA(MATCH(1,INDEX(EXACT('Casillas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10-3"&amp;CHAR(31)&amp;$A4&amp;CHAR(31)&amp;B$3)*1,0),0))))&amp;" (+"&amp;(SUMPRODUCT(1*EXACT('Casillas del horario'!$S$4:$S$73,"Profesor de RD en 10-3"&amp;CHAR(31)&amp;$A4&amp;CHAR(31)&amp;B$3))-1)&amp;")",IF(ISNA(MATCH(1,INDEX(EXACT('Casillas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10-3"&amp;CHAR(31)&amp;$A4&amp;CHAR(31)&amp;B$3)*1,0),0)))))</f>
        <v/>
      </c>
      <c r="C4" s="3">
        <f>IF(SUMPRODUCT(1*EXACT('Casillas del horario'!$S$4:$S$73,"Profesor de RD en 10-3"&amp;CHAR(31)&amp;$A4&amp;CHAR(31)&amp;C$3))&gt;1,IF(ISNA(MATCH(1,INDEX(EXACT('Casillas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10-3"&amp;CHAR(31)&amp;$A4&amp;CHAR(31)&amp;C$3)*1,0),0))))&amp;" (+"&amp;(SUMPRODUCT(1*EXACT('Casillas del horario'!$S$4:$S$73,"Profesor de RD en 10-3"&amp;CHAR(31)&amp;$A4&amp;CHAR(31)&amp;C$3))-1)&amp;")",IF(ISNA(MATCH(1,INDEX(EXACT('Casillas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10-3"&amp;CHAR(31)&amp;$A4&amp;CHAR(31)&amp;C$3)*1,0),0)))))</f>
        <v/>
      </c>
      <c r="D4" s="3">
        <f>IF(SUMPRODUCT(1*EXACT('Casillas del horario'!$S$4:$S$73,"Profesor de RD en 10-3"&amp;CHAR(31)&amp;$A4&amp;CHAR(31)&amp;D$3))&gt;1,IF(ISNA(MATCH(1,INDEX(EXACT('Casillas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10-3"&amp;CHAR(31)&amp;$A4&amp;CHAR(31)&amp;D$3)*1,0),0))))&amp;" (+"&amp;(SUMPRODUCT(1*EXACT('Casillas del horario'!$S$4:$S$73,"Profesor de RD en 10-3"&amp;CHAR(31)&amp;$A4&amp;CHAR(31)&amp;D$3))-1)&amp;")",IF(ISNA(MATCH(1,INDEX(EXACT('Casillas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10-3"&amp;CHAR(31)&amp;$A4&amp;CHAR(31)&amp;D$3)*1,0),0)))))</f>
        <v/>
      </c>
      <c r="E4" s="3">
        <f>IF(SUMPRODUCT(1*EXACT('Casillas del horario'!$S$4:$S$73,"Profesor de RD en 10-3"&amp;CHAR(31)&amp;$A4&amp;CHAR(31)&amp;E$3))&gt;1,IF(ISNA(MATCH(1,INDEX(EXACT('Casillas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10-3"&amp;CHAR(31)&amp;$A4&amp;CHAR(31)&amp;E$3)*1,0),0))))&amp;" (+"&amp;(SUMPRODUCT(1*EXACT('Casillas del horario'!$S$4:$S$73,"Profesor de RD en 10-3"&amp;CHAR(31)&amp;$A4&amp;CHAR(31)&amp;E$3))-1)&amp;")",IF(ISNA(MATCH(1,INDEX(EXACT('Casillas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10-3"&amp;CHAR(31)&amp;$A4&amp;CHAR(31)&amp;E$3)*1,0),0)))))</f>
        <v/>
      </c>
      <c r="F4" s="3">
        <f>IF(SUMPRODUCT(1*EXACT('Casillas del horario'!$S$4:$S$73,"Profesor de RD en 10-3"&amp;CHAR(31)&amp;$A4&amp;CHAR(31)&amp;F$3))&gt;1,IF(ISNA(MATCH(1,INDEX(EXACT('Casillas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10-3"&amp;CHAR(31)&amp;$A4&amp;CHAR(31)&amp;F$3)*1,0),0))))&amp;" (+"&amp;(SUMPRODUCT(1*EXACT('Casillas del horario'!$S$4:$S$73,"Profesor de RD en 10-3"&amp;CHAR(31)&amp;$A4&amp;CHAR(31)&amp;F$3))-1)&amp;")",IF(ISNA(MATCH(1,INDEX(EXACT('Casillas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10-3"&amp;CHAR(31)&amp;$A5&amp;CHAR(31)&amp;B$3))&gt;1,IF(ISNA(MATCH(1,INDEX(EXACT('Casillas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10-3"&amp;CHAR(31)&amp;$A5&amp;CHAR(31)&amp;B$3)*1,0),0))))&amp;" (+"&amp;(SUMPRODUCT(1*EXACT('Casillas del horario'!$S$4:$S$73,"Profesor de RD en 10-3"&amp;CHAR(31)&amp;$A5&amp;CHAR(31)&amp;B$3))-1)&amp;")",IF(ISNA(MATCH(1,INDEX(EXACT('Casillas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10-3"&amp;CHAR(31)&amp;$A5&amp;CHAR(31)&amp;B$3)*1,0),0)))))</f>
        <v/>
      </c>
      <c r="C5" s="3">
        <f>IF(SUMPRODUCT(1*EXACT('Casillas del horario'!$S$4:$S$73,"Profesor de RD en 10-3"&amp;CHAR(31)&amp;$A5&amp;CHAR(31)&amp;C$3))&gt;1,IF(ISNA(MATCH(1,INDEX(EXACT('Casillas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10-3"&amp;CHAR(31)&amp;$A5&amp;CHAR(31)&amp;C$3)*1,0),0))))&amp;" (+"&amp;(SUMPRODUCT(1*EXACT('Casillas del horario'!$S$4:$S$73,"Profesor de RD en 10-3"&amp;CHAR(31)&amp;$A5&amp;CHAR(31)&amp;C$3))-1)&amp;")",IF(ISNA(MATCH(1,INDEX(EXACT('Casillas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10-3"&amp;CHAR(31)&amp;$A5&amp;CHAR(31)&amp;C$3)*1,0),0)))))</f>
        <v/>
      </c>
      <c r="D5" s="3">
        <f>IF(SUMPRODUCT(1*EXACT('Casillas del horario'!$S$4:$S$73,"Profesor de RD en 10-3"&amp;CHAR(31)&amp;$A5&amp;CHAR(31)&amp;D$3))&gt;1,IF(ISNA(MATCH(1,INDEX(EXACT('Casillas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10-3"&amp;CHAR(31)&amp;$A5&amp;CHAR(31)&amp;D$3)*1,0),0))))&amp;" (+"&amp;(SUMPRODUCT(1*EXACT('Casillas del horario'!$S$4:$S$73,"Profesor de RD en 10-3"&amp;CHAR(31)&amp;$A5&amp;CHAR(31)&amp;D$3))-1)&amp;")",IF(ISNA(MATCH(1,INDEX(EXACT('Casillas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10-3"&amp;CHAR(31)&amp;$A5&amp;CHAR(31)&amp;D$3)*1,0),0)))))</f>
        <v/>
      </c>
      <c r="E5" s="3">
        <f>IF(SUMPRODUCT(1*EXACT('Casillas del horario'!$S$4:$S$73,"Profesor de RD en 10-3"&amp;CHAR(31)&amp;$A5&amp;CHAR(31)&amp;E$3))&gt;1,IF(ISNA(MATCH(1,INDEX(EXACT('Casillas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10-3"&amp;CHAR(31)&amp;$A5&amp;CHAR(31)&amp;E$3)*1,0),0))))&amp;" (+"&amp;(SUMPRODUCT(1*EXACT('Casillas del horario'!$S$4:$S$73,"Profesor de RD en 10-3"&amp;CHAR(31)&amp;$A5&amp;CHAR(31)&amp;E$3))-1)&amp;")",IF(ISNA(MATCH(1,INDEX(EXACT('Casillas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10-3"&amp;CHAR(31)&amp;$A5&amp;CHAR(31)&amp;E$3)*1,0),0)))))</f>
        <v/>
      </c>
      <c r="F5" s="3">
        <f>IF(SUMPRODUCT(1*EXACT('Casillas del horario'!$S$4:$S$73,"Profesor de RD en 10-3"&amp;CHAR(31)&amp;$A5&amp;CHAR(31)&amp;F$3))&gt;1,IF(ISNA(MATCH(1,INDEX(EXACT('Casillas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10-3"&amp;CHAR(31)&amp;$A5&amp;CHAR(31)&amp;F$3)*1,0),0))))&amp;" (+"&amp;(SUMPRODUCT(1*EXACT('Casillas del horario'!$S$4:$S$73,"Profesor de RD en 10-3"&amp;CHAR(31)&amp;$A5&amp;CHAR(31)&amp;F$3))-1)&amp;")",IF(ISNA(MATCH(1,INDEX(EXACT('Casillas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10-3"&amp;CHAR(31)&amp;$A6&amp;CHAR(31)&amp;B$3))&gt;1,IF(ISNA(MATCH(1,INDEX(EXACT('Casillas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10-3"&amp;CHAR(31)&amp;$A6&amp;CHAR(31)&amp;B$3)*1,0),0))))&amp;" (+"&amp;(SUMPRODUCT(1*EXACT('Casillas del horario'!$S$4:$S$73,"Profesor de RD en 10-3"&amp;CHAR(31)&amp;$A6&amp;CHAR(31)&amp;B$3))-1)&amp;")",IF(ISNA(MATCH(1,INDEX(EXACT('Casillas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10-3"&amp;CHAR(31)&amp;$A6&amp;CHAR(31)&amp;B$3)*1,0),0)))))</f>
        <v/>
      </c>
      <c r="C6" s="3">
        <f>IF(SUMPRODUCT(1*EXACT('Casillas del horario'!$S$4:$S$73,"Profesor de RD en 10-3"&amp;CHAR(31)&amp;$A6&amp;CHAR(31)&amp;C$3))&gt;1,IF(ISNA(MATCH(1,INDEX(EXACT('Casillas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10-3"&amp;CHAR(31)&amp;$A6&amp;CHAR(31)&amp;C$3)*1,0),0))))&amp;" (+"&amp;(SUMPRODUCT(1*EXACT('Casillas del horario'!$S$4:$S$73,"Profesor de RD en 10-3"&amp;CHAR(31)&amp;$A6&amp;CHAR(31)&amp;C$3))-1)&amp;")",IF(ISNA(MATCH(1,INDEX(EXACT('Casillas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10-3"&amp;CHAR(31)&amp;$A6&amp;CHAR(31)&amp;C$3)*1,0),0)))))</f>
        <v/>
      </c>
      <c r="D6" s="3">
        <f>IF(SUMPRODUCT(1*EXACT('Casillas del horario'!$S$4:$S$73,"Profesor de RD en 10-3"&amp;CHAR(31)&amp;$A6&amp;CHAR(31)&amp;D$3))&gt;1,IF(ISNA(MATCH(1,INDEX(EXACT('Casillas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10-3"&amp;CHAR(31)&amp;$A6&amp;CHAR(31)&amp;D$3)*1,0),0))))&amp;" (+"&amp;(SUMPRODUCT(1*EXACT('Casillas del horario'!$S$4:$S$73,"Profesor de RD en 10-3"&amp;CHAR(31)&amp;$A6&amp;CHAR(31)&amp;D$3))-1)&amp;")",IF(ISNA(MATCH(1,INDEX(EXACT('Casillas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10-3"&amp;CHAR(31)&amp;$A6&amp;CHAR(31)&amp;D$3)*1,0),0)))))</f>
        <v/>
      </c>
      <c r="E6" s="3">
        <f>IF(SUMPRODUCT(1*EXACT('Casillas del horario'!$S$4:$S$73,"Profesor de RD en 10-3"&amp;CHAR(31)&amp;$A6&amp;CHAR(31)&amp;E$3))&gt;1,IF(ISNA(MATCH(1,INDEX(EXACT('Casillas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10-3"&amp;CHAR(31)&amp;$A6&amp;CHAR(31)&amp;E$3)*1,0),0))))&amp;" (+"&amp;(SUMPRODUCT(1*EXACT('Casillas del horario'!$S$4:$S$73,"Profesor de RD en 10-3"&amp;CHAR(31)&amp;$A6&amp;CHAR(31)&amp;E$3))-1)&amp;")",IF(ISNA(MATCH(1,INDEX(EXACT('Casillas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10-3"&amp;CHAR(31)&amp;$A6&amp;CHAR(31)&amp;E$3)*1,0),0)))))</f>
        <v/>
      </c>
      <c r="F6" s="3">
        <f>IF(SUMPRODUCT(1*EXACT('Casillas del horario'!$S$4:$S$73,"Profesor de RD en 10-3"&amp;CHAR(31)&amp;$A6&amp;CHAR(31)&amp;F$3))&gt;1,IF(ISNA(MATCH(1,INDEX(EXACT('Casillas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10-3"&amp;CHAR(31)&amp;$A6&amp;CHAR(31)&amp;F$3)*1,0),0))))&amp;" (+"&amp;(SUMPRODUCT(1*EXACT('Casillas del horario'!$S$4:$S$73,"Profesor de RD en 10-3"&amp;CHAR(31)&amp;$A6&amp;CHAR(31)&amp;F$3))-1)&amp;")",IF(ISNA(MATCH(1,INDEX(EXACT('Casillas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10-3"&amp;CHAR(31)&amp;$A7&amp;CHAR(31)&amp;B$3))&gt;1,IF(ISNA(MATCH(1,INDEX(EXACT('Casillas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10-3"&amp;CHAR(31)&amp;$A7&amp;CHAR(31)&amp;B$3)*1,0),0))))&amp;" (+"&amp;(SUMPRODUCT(1*EXACT('Casillas del horario'!$S$4:$S$73,"Profesor de RD en 10-3"&amp;CHAR(31)&amp;$A7&amp;CHAR(31)&amp;B$3))-1)&amp;")",IF(ISNA(MATCH(1,INDEX(EXACT('Casillas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10-3"&amp;CHAR(31)&amp;$A7&amp;CHAR(31)&amp;B$3)*1,0),0)))))</f>
        <v/>
      </c>
      <c r="C7" s="3">
        <f>IF(SUMPRODUCT(1*EXACT('Casillas del horario'!$S$4:$S$73,"Profesor de RD en 10-3"&amp;CHAR(31)&amp;$A7&amp;CHAR(31)&amp;C$3))&gt;1,IF(ISNA(MATCH(1,INDEX(EXACT('Casillas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10-3"&amp;CHAR(31)&amp;$A7&amp;CHAR(31)&amp;C$3)*1,0),0))))&amp;" (+"&amp;(SUMPRODUCT(1*EXACT('Casillas del horario'!$S$4:$S$73,"Profesor de RD en 10-3"&amp;CHAR(31)&amp;$A7&amp;CHAR(31)&amp;C$3))-1)&amp;")",IF(ISNA(MATCH(1,INDEX(EXACT('Casillas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10-3"&amp;CHAR(31)&amp;$A7&amp;CHAR(31)&amp;C$3)*1,0),0)))))</f>
        <v/>
      </c>
      <c r="D7" s="3">
        <f>IF(SUMPRODUCT(1*EXACT('Casillas del horario'!$S$4:$S$73,"Profesor de RD en 10-3"&amp;CHAR(31)&amp;$A7&amp;CHAR(31)&amp;D$3))&gt;1,IF(ISNA(MATCH(1,INDEX(EXACT('Casillas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10-3"&amp;CHAR(31)&amp;$A7&amp;CHAR(31)&amp;D$3)*1,0),0))))&amp;" (+"&amp;(SUMPRODUCT(1*EXACT('Casillas del horario'!$S$4:$S$73,"Profesor de RD en 10-3"&amp;CHAR(31)&amp;$A7&amp;CHAR(31)&amp;D$3))-1)&amp;")",IF(ISNA(MATCH(1,INDEX(EXACT('Casillas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10-3"&amp;CHAR(31)&amp;$A7&amp;CHAR(31)&amp;D$3)*1,0),0)))))</f>
        <v/>
      </c>
      <c r="E7" s="3">
        <f>IF(SUMPRODUCT(1*EXACT('Casillas del horario'!$S$4:$S$73,"Profesor de RD en 10-3"&amp;CHAR(31)&amp;$A7&amp;CHAR(31)&amp;E$3))&gt;1,IF(ISNA(MATCH(1,INDEX(EXACT('Casillas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10-3"&amp;CHAR(31)&amp;$A7&amp;CHAR(31)&amp;E$3)*1,0),0))))&amp;" (+"&amp;(SUMPRODUCT(1*EXACT('Casillas del horario'!$S$4:$S$73,"Profesor de RD en 10-3"&amp;CHAR(31)&amp;$A7&amp;CHAR(31)&amp;E$3))-1)&amp;")",IF(ISNA(MATCH(1,INDEX(EXACT('Casillas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10-3"&amp;CHAR(31)&amp;$A7&amp;CHAR(31)&amp;E$3)*1,0),0)))))</f>
        <v/>
      </c>
      <c r="F7" s="3">
        <f>IF(SUMPRODUCT(1*EXACT('Casillas del horario'!$S$4:$S$73,"Profesor de RD en 10-3"&amp;CHAR(31)&amp;$A7&amp;CHAR(31)&amp;F$3))&gt;1,IF(ISNA(MATCH(1,INDEX(EXACT('Casillas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10-3"&amp;CHAR(31)&amp;$A7&amp;CHAR(31)&amp;F$3)*1,0),0))))&amp;" (+"&amp;(SUMPRODUCT(1*EXACT('Casillas del horario'!$S$4:$S$73,"Profesor de RD en 10-3"&amp;CHAR(31)&amp;$A7&amp;CHAR(31)&amp;F$3))-1)&amp;")",IF(ISNA(MATCH(1,INDEX(EXACT('Casillas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10-3"&amp;CHAR(31)&amp;$A8&amp;CHAR(31)&amp;B$3))&gt;1,IF(ISNA(MATCH(1,INDEX(EXACT('Casillas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10-3"&amp;CHAR(31)&amp;$A8&amp;CHAR(31)&amp;B$3)*1,0),0))))&amp;" (+"&amp;(SUMPRODUCT(1*EXACT('Casillas del horario'!$S$4:$S$73,"Profesor de RD en 10-3"&amp;CHAR(31)&amp;$A8&amp;CHAR(31)&amp;B$3))-1)&amp;")",IF(ISNA(MATCH(1,INDEX(EXACT('Casillas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10-3"&amp;CHAR(31)&amp;$A8&amp;CHAR(31)&amp;B$3)*1,0),0)))))</f>
        <v/>
      </c>
      <c r="C8" s="3">
        <f>IF(SUMPRODUCT(1*EXACT('Casillas del horario'!$S$4:$S$73,"Profesor de RD en 10-3"&amp;CHAR(31)&amp;$A8&amp;CHAR(31)&amp;C$3))&gt;1,IF(ISNA(MATCH(1,INDEX(EXACT('Casillas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10-3"&amp;CHAR(31)&amp;$A8&amp;CHAR(31)&amp;C$3)*1,0),0))))&amp;" (+"&amp;(SUMPRODUCT(1*EXACT('Casillas del horario'!$S$4:$S$73,"Profesor de RD en 10-3"&amp;CHAR(31)&amp;$A8&amp;CHAR(31)&amp;C$3))-1)&amp;")",IF(ISNA(MATCH(1,INDEX(EXACT('Casillas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10-3"&amp;CHAR(31)&amp;$A8&amp;CHAR(31)&amp;C$3)*1,0),0)))))</f>
        <v/>
      </c>
      <c r="D8" s="3">
        <f>IF(SUMPRODUCT(1*EXACT('Casillas del horario'!$S$4:$S$73,"Profesor de RD en 10-3"&amp;CHAR(31)&amp;$A8&amp;CHAR(31)&amp;D$3))&gt;1,IF(ISNA(MATCH(1,INDEX(EXACT('Casillas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10-3"&amp;CHAR(31)&amp;$A8&amp;CHAR(31)&amp;D$3)*1,0),0))))&amp;" (+"&amp;(SUMPRODUCT(1*EXACT('Casillas del horario'!$S$4:$S$73,"Profesor de RD en 10-3"&amp;CHAR(31)&amp;$A8&amp;CHAR(31)&amp;D$3))-1)&amp;")",IF(ISNA(MATCH(1,INDEX(EXACT('Casillas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10-3"&amp;CHAR(31)&amp;$A8&amp;CHAR(31)&amp;D$3)*1,0),0)))))</f>
        <v/>
      </c>
      <c r="E8" s="3">
        <f>IF(SUMPRODUCT(1*EXACT('Casillas del horario'!$S$4:$S$73,"Profesor de RD en 10-3"&amp;CHAR(31)&amp;$A8&amp;CHAR(31)&amp;E$3))&gt;1,IF(ISNA(MATCH(1,INDEX(EXACT('Casillas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10-3"&amp;CHAR(31)&amp;$A8&amp;CHAR(31)&amp;E$3)*1,0),0))))&amp;" (+"&amp;(SUMPRODUCT(1*EXACT('Casillas del horario'!$S$4:$S$73,"Profesor de RD en 10-3"&amp;CHAR(31)&amp;$A8&amp;CHAR(31)&amp;E$3))-1)&amp;")",IF(ISNA(MATCH(1,INDEX(EXACT('Casillas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10-3"&amp;CHAR(31)&amp;$A8&amp;CHAR(31)&amp;E$3)*1,0),0)))))</f>
        <v/>
      </c>
      <c r="F8" s="3">
        <f>IF(SUMPRODUCT(1*EXACT('Casillas del horario'!$S$4:$S$73,"Profesor de RD en 10-3"&amp;CHAR(31)&amp;$A8&amp;CHAR(31)&amp;F$3))&gt;1,IF(ISNA(MATCH(1,INDEX(EXACT('Casillas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10-3"&amp;CHAR(31)&amp;$A8&amp;CHAR(31)&amp;F$3)*1,0),0))))&amp;" (+"&amp;(SUMPRODUCT(1*EXACT('Casillas del horario'!$S$4:$S$73,"Profesor de RD en 10-3"&amp;CHAR(31)&amp;$A8&amp;CHAR(31)&amp;F$3))-1)&amp;")",IF(ISNA(MATCH(1,INDEX(EXACT('Casillas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10-3"&amp;CHAR(31)&amp;$A9&amp;CHAR(31)&amp;B$3))&gt;1,IF(ISNA(MATCH(1,INDEX(EXACT('Casillas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10-3"&amp;CHAR(31)&amp;$A9&amp;CHAR(31)&amp;B$3)*1,0),0))))&amp;" (+"&amp;(SUMPRODUCT(1*EXACT('Casillas del horario'!$S$4:$S$73,"Profesor de RD en 10-3"&amp;CHAR(31)&amp;$A9&amp;CHAR(31)&amp;B$3))-1)&amp;")",IF(ISNA(MATCH(1,INDEX(EXACT('Casillas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10-3"&amp;CHAR(31)&amp;$A9&amp;CHAR(31)&amp;B$3)*1,0),0)))))</f>
        <v/>
      </c>
      <c r="C9" s="3">
        <f>IF(SUMPRODUCT(1*EXACT('Casillas del horario'!$S$4:$S$73,"Profesor de RD en 10-3"&amp;CHAR(31)&amp;$A9&amp;CHAR(31)&amp;C$3))&gt;1,IF(ISNA(MATCH(1,INDEX(EXACT('Casillas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10-3"&amp;CHAR(31)&amp;$A9&amp;CHAR(31)&amp;C$3)*1,0),0))))&amp;" (+"&amp;(SUMPRODUCT(1*EXACT('Casillas del horario'!$S$4:$S$73,"Profesor de RD en 10-3"&amp;CHAR(31)&amp;$A9&amp;CHAR(31)&amp;C$3))-1)&amp;")",IF(ISNA(MATCH(1,INDEX(EXACT('Casillas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10-3"&amp;CHAR(31)&amp;$A9&amp;CHAR(31)&amp;C$3)*1,0),0)))))</f>
        <v/>
      </c>
      <c r="D9" s="3">
        <f>IF(SUMPRODUCT(1*EXACT('Casillas del horario'!$S$4:$S$73,"Profesor de RD en 10-3"&amp;CHAR(31)&amp;$A9&amp;CHAR(31)&amp;D$3))&gt;1,IF(ISNA(MATCH(1,INDEX(EXACT('Casillas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10-3"&amp;CHAR(31)&amp;$A9&amp;CHAR(31)&amp;D$3)*1,0),0))))&amp;" (+"&amp;(SUMPRODUCT(1*EXACT('Casillas del horario'!$S$4:$S$73,"Profesor de RD en 10-3"&amp;CHAR(31)&amp;$A9&amp;CHAR(31)&amp;D$3))-1)&amp;")",IF(ISNA(MATCH(1,INDEX(EXACT('Casillas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10-3"&amp;CHAR(31)&amp;$A9&amp;CHAR(31)&amp;D$3)*1,0),0)))))</f>
        <v/>
      </c>
      <c r="E9" s="3">
        <f>IF(SUMPRODUCT(1*EXACT('Casillas del horario'!$S$4:$S$73,"Profesor de RD en 10-3"&amp;CHAR(31)&amp;$A9&amp;CHAR(31)&amp;E$3))&gt;1,IF(ISNA(MATCH(1,INDEX(EXACT('Casillas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10-3"&amp;CHAR(31)&amp;$A9&amp;CHAR(31)&amp;E$3)*1,0),0))))&amp;" (+"&amp;(SUMPRODUCT(1*EXACT('Casillas del horario'!$S$4:$S$73,"Profesor de RD en 10-3"&amp;CHAR(31)&amp;$A9&amp;CHAR(31)&amp;E$3))-1)&amp;")",IF(ISNA(MATCH(1,INDEX(EXACT('Casillas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10-3"&amp;CHAR(31)&amp;$A9&amp;CHAR(31)&amp;E$3)*1,0),0)))))</f>
        <v/>
      </c>
      <c r="F9" s="3">
        <f>IF(SUMPRODUCT(1*EXACT('Casillas del horario'!$S$4:$S$73,"Profesor de RD en 10-3"&amp;CHAR(31)&amp;$A9&amp;CHAR(31)&amp;F$3))&gt;1,IF(ISNA(MATCH(1,INDEX(EXACT('Casillas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10-3"&amp;CHAR(31)&amp;$A9&amp;CHAR(31)&amp;F$3)*1,0),0))))&amp;" (+"&amp;(SUMPRODUCT(1*EXACT('Casillas del horario'!$S$4:$S$73,"Profesor de RD en 10-3"&amp;CHAR(31)&amp;$A9&amp;CHAR(31)&amp;F$3))-1)&amp;")",IF(ISNA(MATCH(1,INDEX(EXACT('Casillas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10-3"&amp;CHAR(31)&amp;$A10&amp;CHAR(31)&amp;B$3))&gt;1,IF(ISNA(MATCH(1,INDEX(EXACT('Casillas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10-3"&amp;CHAR(31)&amp;$A10&amp;CHAR(31)&amp;B$3)*1,0),0))))&amp;" (+"&amp;(SUMPRODUCT(1*EXACT('Casillas del horario'!$S$4:$S$73,"Profesor de RD en 10-3"&amp;CHAR(31)&amp;$A10&amp;CHAR(31)&amp;B$3))-1)&amp;")",IF(ISNA(MATCH(1,INDEX(EXACT('Casillas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10-3"&amp;CHAR(31)&amp;$A10&amp;CHAR(31)&amp;B$3)*1,0),0)))))</f>
        <v/>
      </c>
      <c r="C10" s="3">
        <f>IF(SUMPRODUCT(1*EXACT('Casillas del horario'!$S$4:$S$73,"Profesor de RD en 10-3"&amp;CHAR(31)&amp;$A10&amp;CHAR(31)&amp;C$3))&gt;1,IF(ISNA(MATCH(1,INDEX(EXACT('Casillas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10-3"&amp;CHAR(31)&amp;$A10&amp;CHAR(31)&amp;C$3)*1,0),0))))&amp;" (+"&amp;(SUMPRODUCT(1*EXACT('Casillas del horario'!$S$4:$S$73,"Profesor de RD en 10-3"&amp;CHAR(31)&amp;$A10&amp;CHAR(31)&amp;C$3))-1)&amp;")",IF(ISNA(MATCH(1,INDEX(EXACT('Casillas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10-3"&amp;CHAR(31)&amp;$A10&amp;CHAR(31)&amp;C$3)*1,0),0)))))</f>
        <v/>
      </c>
      <c r="D10" s="3">
        <f>IF(SUMPRODUCT(1*EXACT('Casillas del horario'!$S$4:$S$73,"Profesor de RD en 10-3"&amp;CHAR(31)&amp;$A10&amp;CHAR(31)&amp;D$3))&gt;1,IF(ISNA(MATCH(1,INDEX(EXACT('Casillas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10-3"&amp;CHAR(31)&amp;$A10&amp;CHAR(31)&amp;D$3)*1,0),0))))&amp;" (+"&amp;(SUMPRODUCT(1*EXACT('Casillas del horario'!$S$4:$S$73,"Profesor de RD en 10-3"&amp;CHAR(31)&amp;$A10&amp;CHAR(31)&amp;D$3))-1)&amp;")",IF(ISNA(MATCH(1,INDEX(EXACT('Casillas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10-3"&amp;CHAR(31)&amp;$A10&amp;CHAR(31)&amp;D$3)*1,0),0)))))</f>
        <v/>
      </c>
      <c r="E10" s="3">
        <f>IF(SUMPRODUCT(1*EXACT('Casillas del horario'!$S$4:$S$73,"Profesor de RD en 10-3"&amp;CHAR(31)&amp;$A10&amp;CHAR(31)&amp;E$3))&gt;1,IF(ISNA(MATCH(1,INDEX(EXACT('Casillas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10-3"&amp;CHAR(31)&amp;$A10&amp;CHAR(31)&amp;E$3)*1,0),0))))&amp;" (+"&amp;(SUMPRODUCT(1*EXACT('Casillas del horario'!$S$4:$S$73,"Profesor de RD en 10-3"&amp;CHAR(31)&amp;$A10&amp;CHAR(31)&amp;E$3))-1)&amp;")",IF(ISNA(MATCH(1,INDEX(EXACT('Casillas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10-3"&amp;CHAR(31)&amp;$A10&amp;CHAR(31)&amp;E$3)*1,0),0)))))</f>
        <v/>
      </c>
      <c r="F10" s="3">
        <f>IF(SUMPRODUCT(1*EXACT('Casillas del horario'!$S$4:$S$73,"Profesor de RD en 10-3"&amp;CHAR(31)&amp;$A10&amp;CHAR(31)&amp;F$3))&gt;1,IF(ISNA(MATCH(1,INDEX(EXACT('Casillas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10-3"&amp;CHAR(31)&amp;$A10&amp;CHAR(31)&amp;F$3)*1,0),0))))&amp;" (+"&amp;(SUMPRODUCT(1*EXACT('Casillas del horario'!$S$4:$S$73,"Profesor de RD en 10-3"&amp;CHAR(31)&amp;$A10&amp;CHAR(31)&amp;F$3))-1)&amp;")",IF(ISNA(MATCH(1,INDEX(EXACT('Casillas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10-3"&amp;CHAR(31)&amp;$A4&amp;CHAR(31)&amp;B$3))&gt;1,IF(ISNA(MATCH(1,INDEX(EXACT('Casillas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10-3"&amp;CHAR(31)&amp;$A4&amp;CHAR(31)&amp;B$3)*1,0),0))))&amp;" (+"&amp;(SUMPRODUCT(1*EXACT('Casillas del horario'!$S$4:$S$73,"Profesor de AL/AC en 10-3"&amp;CHAR(31)&amp;$A4&amp;CHAR(31)&amp;B$3))-1)&amp;")",IF(ISNA(MATCH(1,INDEX(EXACT('Casillas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10-3"&amp;CHAR(31)&amp;$A4&amp;CHAR(31)&amp;B$3)*1,0),0)))))</f>
        <v/>
      </c>
      <c r="C4" s="3">
        <f>IF(SUMPRODUCT(1*EXACT('Casillas del horario'!$S$4:$S$73,"Profesor de AL/AC en 10-3"&amp;CHAR(31)&amp;$A4&amp;CHAR(31)&amp;C$3))&gt;1,IF(ISNA(MATCH(1,INDEX(EXACT('Casillas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10-3"&amp;CHAR(31)&amp;$A4&amp;CHAR(31)&amp;C$3)*1,0),0))))&amp;" (+"&amp;(SUMPRODUCT(1*EXACT('Casillas del horario'!$S$4:$S$73,"Profesor de AL/AC en 10-3"&amp;CHAR(31)&amp;$A4&amp;CHAR(31)&amp;C$3))-1)&amp;")",IF(ISNA(MATCH(1,INDEX(EXACT('Casillas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10-3"&amp;CHAR(31)&amp;$A4&amp;CHAR(31)&amp;C$3)*1,0),0)))))</f>
        <v/>
      </c>
      <c r="D4" s="3">
        <f>IF(SUMPRODUCT(1*EXACT('Casillas del horario'!$S$4:$S$73,"Profesor de AL/AC en 10-3"&amp;CHAR(31)&amp;$A4&amp;CHAR(31)&amp;D$3))&gt;1,IF(ISNA(MATCH(1,INDEX(EXACT('Casillas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10-3"&amp;CHAR(31)&amp;$A4&amp;CHAR(31)&amp;D$3)*1,0),0))))&amp;" (+"&amp;(SUMPRODUCT(1*EXACT('Casillas del horario'!$S$4:$S$73,"Profesor de AL/AC en 10-3"&amp;CHAR(31)&amp;$A4&amp;CHAR(31)&amp;D$3))-1)&amp;")",IF(ISNA(MATCH(1,INDEX(EXACT('Casillas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10-3"&amp;CHAR(31)&amp;$A4&amp;CHAR(31)&amp;D$3)*1,0),0)))))</f>
        <v/>
      </c>
      <c r="E4" s="3">
        <f>IF(SUMPRODUCT(1*EXACT('Casillas del horario'!$S$4:$S$73,"Profesor de AL/AC en 10-3"&amp;CHAR(31)&amp;$A4&amp;CHAR(31)&amp;E$3))&gt;1,IF(ISNA(MATCH(1,INDEX(EXACT('Casillas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10-3"&amp;CHAR(31)&amp;$A4&amp;CHAR(31)&amp;E$3)*1,0),0))))&amp;" (+"&amp;(SUMPRODUCT(1*EXACT('Casillas del horario'!$S$4:$S$73,"Profesor de AL/AC en 10-3"&amp;CHAR(31)&amp;$A4&amp;CHAR(31)&amp;E$3))-1)&amp;")",IF(ISNA(MATCH(1,INDEX(EXACT('Casillas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10-3"&amp;CHAR(31)&amp;$A4&amp;CHAR(31)&amp;E$3)*1,0),0)))))</f>
        <v/>
      </c>
      <c r="F4" s="3">
        <f>IF(SUMPRODUCT(1*EXACT('Casillas del horario'!$S$4:$S$73,"Profesor de AL/AC en 10-3"&amp;CHAR(31)&amp;$A4&amp;CHAR(31)&amp;F$3))&gt;1,IF(ISNA(MATCH(1,INDEX(EXACT('Casillas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10-3"&amp;CHAR(31)&amp;$A4&amp;CHAR(31)&amp;F$3)*1,0),0))))&amp;" (+"&amp;(SUMPRODUCT(1*EXACT('Casillas del horario'!$S$4:$S$73,"Profesor de AL/AC en 10-3"&amp;CHAR(31)&amp;$A4&amp;CHAR(31)&amp;F$3))-1)&amp;")",IF(ISNA(MATCH(1,INDEX(EXACT('Casillas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10-3"&amp;CHAR(31)&amp;$A5&amp;CHAR(31)&amp;B$3))&gt;1,IF(ISNA(MATCH(1,INDEX(EXACT('Casillas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10-3"&amp;CHAR(31)&amp;$A5&amp;CHAR(31)&amp;B$3)*1,0),0))))&amp;" (+"&amp;(SUMPRODUCT(1*EXACT('Casillas del horario'!$S$4:$S$73,"Profesor de AL/AC en 10-3"&amp;CHAR(31)&amp;$A5&amp;CHAR(31)&amp;B$3))-1)&amp;")",IF(ISNA(MATCH(1,INDEX(EXACT('Casillas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10-3"&amp;CHAR(31)&amp;$A5&amp;CHAR(31)&amp;B$3)*1,0),0)))))</f>
        <v/>
      </c>
      <c r="C5" s="3">
        <f>IF(SUMPRODUCT(1*EXACT('Casillas del horario'!$S$4:$S$73,"Profesor de AL/AC en 10-3"&amp;CHAR(31)&amp;$A5&amp;CHAR(31)&amp;C$3))&gt;1,IF(ISNA(MATCH(1,INDEX(EXACT('Casillas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10-3"&amp;CHAR(31)&amp;$A5&amp;CHAR(31)&amp;C$3)*1,0),0))))&amp;" (+"&amp;(SUMPRODUCT(1*EXACT('Casillas del horario'!$S$4:$S$73,"Profesor de AL/AC en 10-3"&amp;CHAR(31)&amp;$A5&amp;CHAR(31)&amp;C$3))-1)&amp;")",IF(ISNA(MATCH(1,INDEX(EXACT('Casillas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10-3"&amp;CHAR(31)&amp;$A5&amp;CHAR(31)&amp;C$3)*1,0),0)))))</f>
        <v/>
      </c>
      <c r="D5" s="3">
        <f>IF(SUMPRODUCT(1*EXACT('Casillas del horario'!$S$4:$S$73,"Profesor de AL/AC en 10-3"&amp;CHAR(31)&amp;$A5&amp;CHAR(31)&amp;D$3))&gt;1,IF(ISNA(MATCH(1,INDEX(EXACT('Casillas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10-3"&amp;CHAR(31)&amp;$A5&amp;CHAR(31)&amp;D$3)*1,0),0))))&amp;" (+"&amp;(SUMPRODUCT(1*EXACT('Casillas del horario'!$S$4:$S$73,"Profesor de AL/AC en 10-3"&amp;CHAR(31)&amp;$A5&amp;CHAR(31)&amp;D$3))-1)&amp;")",IF(ISNA(MATCH(1,INDEX(EXACT('Casillas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10-3"&amp;CHAR(31)&amp;$A5&amp;CHAR(31)&amp;D$3)*1,0),0)))))</f>
        <v/>
      </c>
      <c r="E5" s="3">
        <f>IF(SUMPRODUCT(1*EXACT('Casillas del horario'!$S$4:$S$73,"Profesor de AL/AC en 10-3"&amp;CHAR(31)&amp;$A5&amp;CHAR(31)&amp;E$3))&gt;1,IF(ISNA(MATCH(1,INDEX(EXACT('Casillas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10-3"&amp;CHAR(31)&amp;$A5&amp;CHAR(31)&amp;E$3)*1,0),0))))&amp;" (+"&amp;(SUMPRODUCT(1*EXACT('Casillas del horario'!$S$4:$S$73,"Profesor de AL/AC en 10-3"&amp;CHAR(31)&amp;$A5&amp;CHAR(31)&amp;E$3))-1)&amp;")",IF(ISNA(MATCH(1,INDEX(EXACT('Casillas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10-3"&amp;CHAR(31)&amp;$A5&amp;CHAR(31)&amp;E$3)*1,0),0)))))</f>
        <v/>
      </c>
      <c r="F5" s="3">
        <f>IF(SUMPRODUCT(1*EXACT('Casillas del horario'!$S$4:$S$73,"Profesor de AL/AC en 10-3"&amp;CHAR(31)&amp;$A5&amp;CHAR(31)&amp;F$3))&gt;1,IF(ISNA(MATCH(1,INDEX(EXACT('Casillas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10-3"&amp;CHAR(31)&amp;$A5&amp;CHAR(31)&amp;F$3)*1,0),0))))&amp;" (+"&amp;(SUMPRODUCT(1*EXACT('Casillas del horario'!$S$4:$S$73,"Profesor de AL/AC en 10-3"&amp;CHAR(31)&amp;$A5&amp;CHAR(31)&amp;F$3))-1)&amp;")",IF(ISNA(MATCH(1,INDEX(EXACT('Casillas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10-3"&amp;CHAR(31)&amp;$A6&amp;CHAR(31)&amp;B$3))&gt;1,IF(ISNA(MATCH(1,INDEX(EXACT('Casillas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10-3"&amp;CHAR(31)&amp;$A6&amp;CHAR(31)&amp;B$3)*1,0),0))))&amp;" (+"&amp;(SUMPRODUCT(1*EXACT('Casillas del horario'!$S$4:$S$73,"Profesor de AL/AC en 10-3"&amp;CHAR(31)&amp;$A6&amp;CHAR(31)&amp;B$3))-1)&amp;")",IF(ISNA(MATCH(1,INDEX(EXACT('Casillas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10-3"&amp;CHAR(31)&amp;$A6&amp;CHAR(31)&amp;B$3)*1,0),0)))))</f>
        <v/>
      </c>
      <c r="C6" s="3">
        <f>IF(SUMPRODUCT(1*EXACT('Casillas del horario'!$S$4:$S$73,"Profesor de AL/AC en 10-3"&amp;CHAR(31)&amp;$A6&amp;CHAR(31)&amp;C$3))&gt;1,IF(ISNA(MATCH(1,INDEX(EXACT('Casillas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10-3"&amp;CHAR(31)&amp;$A6&amp;CHAR(31)&amp;C$3)*1,0),0))))&amp;" (+"&amp;(SUMPRODUCT(1*EXACT('Casillas del horario'!$S$4:$S$73,"Profesor de AL/AC en 10-3"&amp;CHAR(31)&amp;$A6&amp;CHAR(31)&amp;C$3))-1)&amp;")",IF(ISNA(MATCH(1,INDEX(EXACT('Casillas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10-3"&amp;CHAR(31)&amp;$A6&amp;CHAR(31)&amp;C$3)*1,0),0)))))</f>
        <v/>
      </c>
      <c r="D6" s="3">
        <f>IF(SUMPRODUCT(1*EXACT('Casillas del horario'!$S$4:$S$73,"Profesor de AL/AC en 10-3"&amp;CHAR(31)&amp;$A6&amp;CHAR(31)&amp;D$3))&gt;1,IF(ISNA(MATCH(1,INDEX(EXACT('Casillas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10-3"&amp;CHAR(31)&amp;$A6&amp;CHAR(31)&amp;D$3)*1,0),0))))&amp;" (+"&amp;(SUMPRODUCT(1*EXACT('Casillas del horario'!$S$4:$S$73,"Profesor de AL/AC en 10-3"&amp;CHAR(31)&amp;$A6&amp;CHAR(31)&amp;D$3))-1)&amp;")",IF(ISNA(MATCH(1,INDEX(EXACT('Casillas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10-3"&amp;CHAR(31)&amp;$A6&amp;CHAR(31)&amp;D$3)*1,0),0)))))</f>
        <v/>
      </c>
      <c r="E6" s="3">
        <f>IF(SUMPRODUCT(1*EXACT('Casillas del horario'!$S$4:$S$73,"Profesor de AL/AC en 10-3"&amp;CHAR(31)&amp;$A6&amp;CHAR(31)&amp;E$3))&gt;1,IF(ISNA(MATCH(1,INDEX(EXACT('Casillas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10-3"&amp;CHAR(31)&amp;$A6&amp;CHAR(31)&amp;E$3)*1,0),0))))&amp;" (+"&amp;(SUMPRODUCT(1*EXACT('Casillas del horario'!$S$4:$S$73,"Profesor de AL/AC en 10-3"&amp;CHAR(31)&amp;$A6&amp;CHAR(31)&amp;E$3))-1)&amp;")",IF(ISNA(MATCH(1,INDEX(EXACT('Casillas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10-3"&amp;CHAR(31)&amp;$A6&amp;CHAR(31)&amp;E$3)*1,0),0)))))</f>
        <v/>
      </c>
      <c r="F6" s="3">
        <f>IF(SUMPRODUCT(1*EXACT('Casillas del horario'!$S$4:$S$73,"Profesor de AL/AC en 10-3"&amp;CHAR(31)&amp;$A6&amp;CHAR(31)&amp;F$3))&gt;1,IF(ISNA(MATCH(1,INDEX(EXACT('Casillas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10-3"&amp;CHAR(31)&amp;$A6&amp;CHAR(31)&amp;F$3)*1,0),0))))&amp;" (+"&amp;(SUMPRODUCT(1*EXACT('Casillas del horario'!$S$4:$S$73,"Profesor de AL/AC en 10-3"&amp;CHAR(31)&amp;$A6&amp;CHAR(31)&amp;F$3))-1)&amp;")",IF(ISNA(MATCH(1,INDEX(EXACT('Casillas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10-3"&amp;CHAR(31)&amp;$A7&amp;CHAR(31)&amp;B$3))&gt;1,IF(ISNA(MATCH(1,INDEX(EXACT('Casillas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10-3"&amp;CHAR(31)&amp;$A7&amp;CHAR(31)&amp;B$3)*1,0),0))))&amp;" (+"&amp;(SUMPRODUCT(1*EXACT('Casillas del horario'!$S$4:$S$73,"Profesor de AL/AC en 10-3"&amp;CHAR(31)&amp;$A7&amp;CHAR(31)&amp;B$3))-1)&amp;")",IF(ISNA(MATCH(1,INDEX(EXACT('Casillas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10-3"&amp;CHAR(31)&amp;$A7&amp;CHAR(31)&amp;B$3)*1,0),0)))))</f>
        <v/>
      </c>
      <c r="C7" s="3">
        <f>IF(SUMPRODUCT(1*EXACT('Casillas del horario'!$S$4:$S$73,"Profesor de AL/AC en 10-3"&amp;CHAR(31)&amp;$A7&amp;CHAR(31)&amp;C$3))&gt;1,IF(ISNA(MATCH(1,INDEX(EXACT('Casillas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10-3"&amp;CHAR(31)&amp;$A7&amp;CHAR(31)&amp;C$3)*1,0),0))))&amp;" (+"&amp;(SUMPRODUCT(1*EXACT('Casillas del horario'!$S$4:$S$73,"Profesor de AL/AC en 10-3"&amp;CHAR(31)&amp;$A7&amp;CHAR(31)&amp;C$3))-1)&amp;")",IF(ISNA(MATCH(1,INDEX(EXACT('Casillas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10-3"&amp;CHAR(31)&amp;$A7&amp;CHAR(31)&amp;C$3)*1,0),0)))))</f>
        <v/>
      </c>
      <c r="D7" s="3">
        <f>IF(SUMPRODUCT(1*EXACT('Casillas del horario'!$S$4:$S$73,"Profesor de AL/AC en 10-3"&amp;CHAR(31)&amp;$A7&amp;CHAR(31)&amp;D$3))&gt;1,IF(ISNA(MATCH(1,INDEX(EXACT('Casillas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10-3"&amp;CHAR(31)&amp;$A7&amp;CHAR(31)&amp;D$3)*1,0),0))))&amp;" (+"&amp;(SUMPRODUCT(1*EXACT('Casillas del horario'!$S$4:$S$73,"Profesor de AL/AC en 10-3"&amp;CHAR(31)&amp;$A7&amp;CHAR(31)&amp;D$3))-1)&amp;")",IF(ISNA(MATCH(1,INDEX(EXACT('Casillas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10-3"&amp;CHAR(31)&amp;$A7&amp;CHAR(31)&amp;D$3)*1,0),0)))))</f>
        <v/>
      </c>
      <c r="E7" s="3">
        <f>IF(SUMPRODUCT(1*EXACT('Casillas del horario'!$S$4:$S$73,"Profesor de AL/AC en 10-3"&amp;CHAR(31)&amp;$A7&amp;CHAR(31)&amp;E$3))&gt;1,IF(ISNA(MATCH(1,INDEX(EXACT('Casillas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10-3"&amp;CHAR(31)&amp;$A7&amp;CHAR(31)&amp;E$3)*1,0),0))))&amp;" (+"&amp;(SUMPRODUCT(1*EXACT('Casillas del horario'!$S$4:$S$73,"Profesor de AL/AC en 10-3"&amp;CHAR(31)&amp;$A7&amp;CHAR(31)&amp;E$3))-1)&amp;")",IF(ISNA(MATCH(1,INDEX(EXACT('Casillas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10-3"&amp;CHAR(31)&amp;$A7&amp;CHAR(31)&amp;E$3)*1,0),0)))))</f>
        <v/>
      </c>
      <c r="F7" s="3">
        <f>IF(SUMPRODUCT(1*EXACT('Casillas del horario'!$S$4:$S$73,"Profesor de AL/AC en 10-3"&amp;CHAR(31)&amp;$A7&amp;CHAR(31)&amp;F$3))&gt;1,IF(ISNA(MATCH(1,INDEX(EXACT('Casillas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10-3"&amp;CHAR(31)&amp;$A7&amp;CHAR(31)&amp;F$3)*1,0),0))))&amp;" (+"&amp;(SUMPRODUCT(1*EXACT('Casillas del horario'!$S$4:$S$73,"Profesor de AL/AC en 10-3"&amp;CHAR(31)&amp;$A7&amp;CHAR(31)&amp;F$3))-1)&amp;")",IF(ISNA(MATCH(1,INDEX(EXACT('Casillas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10-3"&amp;CHAR(31)&amp;$A8&amp;CHAR(31)&amp;B$3))&gt;1,IF(ISNA(MATCH(1,INDEX(EXACT('Casillas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10-3"&amp;CHAR(31)&amp;$A8&amp;CHAR(31)&amp;B$3)*1,0),0))))&amp;" (+"&amp;(SUMPRODUCT(1*EXACT('Casillas del horario'!$S$4:$S$73,"Profesor de AL/AC en 10-3"&amp;CHAR(31)&amp;$A8&amp;CHAR(31)&amp;B$3))-1)&amp;")",IF(ISNA(MATCH(1,INDEX(EXACT('Casillas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10-3"&amp;CHAR(31)&amp;$A8&amp;CHAR(31)&amp;B$3)*1,0),0)))))</f>
        <v/>
      </c>
      <c r="C8" s="3">
        <f>IF(SUMPRODUCT(1*EXACT('Casillas del horario'!$S$4:$S$73,"Profesor de AL/AC en 10-3"&amp;CHAR(31)&amp;$A8&amp;CHAR(31)&amp;C$3))&gt;1,IF(ISNA(MATCH(1,INDEX(EXACT('Casillas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10-3"&amp;CHAR(31)&amp;$A8&amp;CHAR(31)&amp;C$3)*1,0),0))))&amp;" (+"&amp;(SUMPRODUCT(1*EXACT('Casillas del horario'!$S$4:$S$73,"Profesor de AL/AC en 10-3"&amp;CHAR(31)&amp;$A8&amp;CHAR(31)&amp;C$3))-1)&amp;")",IF(ISNA(MATCH(1,INDEX(EXACT('Casillas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10-3"&amp;CHAR(31)&amp;$A8&amp;CHAR(31)&amp;C$3)*1,0),0)))))</f>
        <v/>
      </c>
      <c r="D8" s="3">
        <f>IF(SUMPRODUCT(1*EXACT('Casillas del horario'!$S$4:$S$73,"Profesor de AL/AC en 10-3"&amp;CHAR(31)&amp;$A8&amp;CHAR(31)&amp;D$3))&gt;1,IF(ISNA(MATCH(1,INDEX(EXACT('Casillas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10-3"&amp;CHAR(31)&amp;$A8&amp;CHAR(31)&amp;D$3)*1,0),0))))&amp;" (+"&amp;(SUMPRODUCT(1*EXACT('Casillas del horario'!$S$4:$S$73,"Profesor de AL/AC en 10-3"&amp;CHAR(31)&amp;$A8&amp;CHAR(31)&amp;D$3))-1)&amp;")",IF(ISNA(MATCH(1,INDEX(EXACT('Casillas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10-3"&amp;CHAR(31)&amp;$A8&amp;CHAR(31)&amp;D$3)*1,0),0)))))</f>
        <v/>
      </c>
      <c r="E8" s="3">
        <f>IF(SUMPRODUCT(1*EXACT('Casillas del horario'!$S$4:$S$73,"Profesor de AL/AC en 10-3"&amp;CHAR(31)&amp;$A8&amp;CHAR(31)&amp;E$3))&gt;1,IF(ISNA(MATCH(1,INDEX(EXACT('Casillas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10-3"&amp;CHAR(31)&amp;$A8&amp;CHAR(31)&amp;E$3)*1,0),0))))&amp;" (+"&amp;(SUMPRODUCT(1*EXACT('Casillas del horario'!$S$4:$S$73,"Profesor de AL/AC en 10-3"&amp;CHAR(31)&amp;$A8&amp;CHAR(31)&amp;E$3))-1)&amp;")",IF(ISNA(MATCH(1,INDEX(EXACT('Casillas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10-3"&amp;CHAR(31)&amp;$A8&amp;CHAR(31)&amp;E$3)*1,0),0)))))</f>
        <v/>
      </c>
      <c r="F8" s="3">
        <f>IF(SUMPRODUCT(1*EXACT('Casillas del horario'!$S$4:$S$73,"Profesor de AL/AC en 10-3"&amp;CHAR(31)&amp;$A8&amp;CHAR(31)&amp;F$3))&gt;1,IF(ISNA(MATCH(1,INDEX(EXACT('Casillas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10-3"&amp;CHAR(31)&amp;$A8&amp;CHAR(31)&amp;F$3)*1,0),0))))&amp;" (+"&amp;(SUMPRODUCT(1*EXACT('Casillas del horario'!$S$4:$S$73,"Profesor de AL/AC en 10-3"&amp;CHAR(31)&amp;$A8&amp;CHAR(31)&amp;F$3))-1)&amp;")",IF(ISNA(MATCH(1,INDEX(EXACT('Casillas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10-3"&amp;CHAR(31)&amp;$A9&amp;CHAR(31)&amp;B$3))&gt;1,IF(ISNA(MATCH(1,INDEX(EXACT('Casillas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10-3"&amp;CHAR(31)&amp;$A9&amp;CHAR(31)&amp;B$3)*1,0),0))))&amp;" (+"&amp;(SUMPRODUCT(1*EXACT('Casillas del horario'!$S$4:$S$73,"Profesor de AL/AC en 10-3"&amp;CHAR(31)&amp;$A9&amp;CHAR(31)&amp;B$3))-1)&amp;")",IF(ISNA(MATCH(1,INDEX(EXACT('Casillas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10-3"&amp;CHAR(31)&amp;$A9&amp;CHAR(31)&amp;B$3)*1,0),0)))))</f>
        <v/>
      </c>
      <c r="C9" s="3">
        <f>IF(SUMPRODUCT(1*EXACT('Casillas del horario'!$S$4:$S$73,"Profesor de AL/AC en 10-3"&amp;CHAR(31)&amp;$A9&amp;CHAR(31)&amp;C$3))&gt;1,IF(ISNA(MATCH(1,INDEX(EXACT('Casillas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10-3"&amp;CHAR(31)&amp;$A9&amp;CHAR(31)&amp;C$3)*1,0),0))))&amp;" (+"&amp;(SUMPRODUCT(1*EXACT('Casillas del horario'!$S$4:$S$73,"Profesor de AL/AC en 10-3"&amp;CHAR(31)&amp;$A9&amp;CHAR(31)&amp;C$3))-1)&amp;")",IF(ISNA(MATCH(1,INDEX(EXACT('Casillas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10-3"&amp;CHAR(31)&amp;$A9&amp;CHAR(31)&amp;C$3)*1,0),0)))))</f>
        <v/>
      </c>
      <c r="D9" s="3">
        <f>IF(SUMPRODUCT(1*EXACT('Casillas del horario'!$S$4:$S$73,"Profesor de AL/AC en 10-3"&amp;CHAR(31)&amp;$A9&amp;CHAR(31)&amp;D$3))&gt;1,IF(ISNA(MATCH(1,INDEX(EXACT('Casillas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10-3"&amp;CHAR(31)&amp;$A9&amp;CHAR(31)&amp;D$3)*1,0),0))))&amp;" (+"&amp;(SUMPRODUCT(1*EXACT('Casillas del horario'!$S$4:$S$73,"Profesor de AL/AC en 10-3"&amp;CHAR(31)&amp;$A9&amp;CHAR(31)&amp;D$3))-1)&amp;")",IF(ISNA(MATCH(1,INDEX(EXACT('Casillas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10-3"&amp;CHAR(31)&amp;$A9&amp;CHAR(31)&amp;D$3)*1,0),0)))))</f>
        <v/>
      </c>
      <c r="E9" s="3">
        <f>IF(SUMPRODUCT(1*EXACT('Casillas del horario'!$S$4:$S$73,"Profesor de AL/AC en 10-3"&amp;CHAR(31)&amp;$A9&amp;CHAR(31)&amp;E$3))&gt;1,IF(ISNA(MATCH(1,INDEX(EXACT('Casillas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10-3"&amp;CHAR(31)&amp;$A9&amp;CHAR(31)&amp;E$3)*1,0),0))))&amp;" (+"&amp;(SUMPRODUCT(1*EXACT('Casillas del horario'!$S$4:$S$73,"Profesor de AL/AC en 10-3"&amp;CHAR(31)&amp;$A9&amp;CHAR(31)&amp;E$3))-1)&amp;")",IF(ISNA(MATCH(1,INDEX(EXACT('Casillas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10-3"&amp;CHAR(31)&amp;$A9&amp;CHAR(31)&amp;E$3)*1,0),0)))))</f>
        <v/>
      </c>
      <c r="F9" s="3">
        <f>IF(SUMPRODUCT(1*EXACT('Casillas del horario'!$S$4:$S$73,"Profesor de AL/AC en 10-3"&amp;CHAR(31)&amp;$A9&amp;CHAR(31)&amp;F$3))&gt;1,IF(ISNA(MATCH(1,INDEX(EXACT('Casillas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10-3"&amp;CHAR(31)&amp;$A9&amp;CHAR(31)&amp;F$3)*1,0),0))))&amp;" (+"&amp;(SUMPRODUCT(1*EXACT('Casillas del horario'!$S$4:$S$73,"Profesor de AL/AC en 10-3"&amp;CHAR(31)&amp;$A9&amp;CHAR(31)&amp;F$3))-1)&amp;")",IF(ISNA(MATCH(1,INDEX(EXACT('Casillas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10-3"&amp;CHAR(31)&amp;$A10&amp;CHAR(31)&amp;B$3))&gt;1,IF(ISNA(MATCH(1,INDEX(EXACT('Casillas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10-3"&amp;CHAR(31)&amp;$A10&amp;CHAR(31)&amp;B$3)*1,0),0))))&amp;" (+"&amp;(SUMPRODUCT(1*EXACT('Casillas del horario'!$S$4:$S$73,"Profesor de AL/AC en 10-3"&amp;CHAR(31)&amp;$A10&amp;CHAR(31)&amp;B$3))-1)&amp;")",IF(ISNA(MATCH(1,INDEX(EXACT('Casillas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10-3"&amp;CHAR(31)&amp;$A10&amp;CHAR(31)&amp;B$3)*1,0),0)))))</f>
        <v/>
      </c>
      <c r="C10" s="3">
        <f>IF(SUMPRODUCT(1*EXACT('Casillas del horario'!$S$4:$S$73,"Profesor de AL/AC en 10-3"&amp;CHAR(31)&amp;$A10&amp;CHAR(31)&amp;C$3))&gt;1,IF(ISNA(MATCH(1,INDEX(EXACT('Casillas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10-3"&amp;CHAR(31)&amp;$A10&amp;CHAR(31)&amp;C$3)*1,0),0))))&amp;" (+"&amp;(SUMPRODUCT(1*EXACT('Casillas del horario'!$S$4:$S$73,"Profesor de AL/AC en 10-3"&amp;CHAR(31)&amp;$A10&amp;CHAR(31)&amp;C$3))-1)&amp;")",IF(ISNA(MATCH(1,INDEX(EXACT('Casillas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10-3"&amp;CHAR(31)&amp;$A10&amp;CHAR(31)&amp;C$3)*1,0),0)))))</f>
        <v/>
      </c>
      <c r="D10" s="3">
        <f>IF(SUMPRODUCT(1*EXACT('Casillas del horario'!$S$4:$S$73,"Profesor de AL/AC en 10-3"&amp;CHAR(31)&amp;$A10&amp;CHAR(31)&amp;D$3))&gt;1,IF(ISNA(MATCH(1,INDEX(EXACT('Casillas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10-3"&amp;CHAR(31)&amp;$A10&amp;CHAR(31)&amp;D$3)*1,0),0))))&amp;" (+"&amp;(SUMPRODUCT(1*EXACT('Casillas del horario'!$S$4:$S$73,"Profesor de AL/AC en 10-3"&amp;CHAR(31)&amp;$A10&amp;CHAR(31)&amp;D$3))-1)&amp;")",IF(ISNA(MATCH(1,INDEX(EXACT('Casillas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10-3"&amp;CHAR(31)&amp;$A10&amp;CHAR(31)&amp;D$3)*1,0),0)))))</f>
        <v/>
      </c>
      <c r="E10" s="3">
        <f>IF(SUMPRODUCT(1*EXACT('Casillas del horario'!$S$4:$S$73,"Profesor de AL/AC en 10-3"&amp;CHAR(31)&amp;$A10&amp;CHAR(31)&amp;E$3))&gt;1,IF(ISNA(MATCH(1,INDEX(EXACT('Casillas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10-3"&amp;CHAR(31)&amp;$A10&amp;CHAR(31)&amp;E$3)*1,0),0))))&amp;" (+"&amp;(SUMPRODUCT(1*EXACT('Casillas del horario'!$S$4:$S$73,"Profesor de AL/AC en 10-3"&amp;CHAR(31)&amp;$A10&amp;CHAR(31)&amp;E$3))-1)&amp;")",IF(ISNA(MATCH(1,INDEX(EXACT('Casillas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10-3"&amp;CHAR(31)&amp;$A10&amp;CHAR(31)&amp;E$3)*1,0),0)))))</f>
        <v/>
      </c>
      <c r="F10" s="3">
        <f>IF(SUMPRODUCT(1*EXACT('Casillas del horario'!$S$4:$S$73,"Profesor de AL/AC en 10-3"&amp;CHAR(31)&amp;$A10&amp;CHAR(31)&amp;F$3))&gt;1,IF(ISNA(MATCH(1,INDEX(EXACT('Casillas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10-3"&amp;CHAR(31)&amp;$A10&amp;CHAR(31)&amp;F$3)*1,0),0))))&amp;" (+"&amp;(SUMPRODUCT(1*EXACT('Casillas del horario'!$S$4:$S$73,"Profesor de AL/AC en 10-3"&amp;CHAR(31)&amp;$A10&amp;CHAR(31)&amp;F$3))-1)&amp;")",IF(ISNA(MATCH(1,INDEX(EXACT('Casillas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M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10-4"&amp;CHAR(31)&amp;$A4&amp;CHAR(31)&amp;B$3))&gt;1,IF(ISNA(MATCH(1,INDEX(EXACT('Casillas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10-4"&amp;CHAR(31)&amp;$A4&amp;CHAR(31)&amp;B$3)*1,0),0))))&amp;" (+"&amp;(SUMPRODUCT(1*EXACT('Casillas del horario'!$S$4:$S$73,"Profesor de M en 10-4"&amp;CHAR(31)&amp;$A4&amp;CHAR(31)&amp;B$3))-1)&amp;")",IF(ISNA(MATCH(1,INDEX(EXACT('Casillas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10-4"&amp;CHAR(31)&amp;$A4&amp;CHAR(31)&amp;B$3)*1,0),0)))))</f>
        <v/>
      </c>
      <c r="C4" s="3">
        <f>IF(SUMPRODUCT(1*EXACT('Casillas del horario'!$S$4:$S$73,"Profesor de M en 10-4"&amp;CHAR(31)&amp;$A4&amp;CHAR(31)&amp;C$3))&gt;1,IF(ISNA(MATCH(1,INDEX(EXACT('Casillas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10-4"&amp;CHAR(31)&amp;$A4&amp;CHAR(31)&amp;C$3)*1,0),0))))&amp;" (+"&amp;(SUMPRODUCT(1*EXACT('Casillas del horario'!$S$4:$S$73,"Profesor de M en 10-4"&amp;CHAR(31)&amp;$A4&amp;CHAR(31)&amp;C$3))-1)&amp;")",IF(ISNA(MATCH(1,INDEX(EXACT('Casillas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10-4"&amp;CHAR(31)&amp;$A4&amp;CHAR(31)&amp;C$3)*1,0),0)))))</f>
        <v/>
      </c>
      <c r="D4" s="3">
        <f>IF(SUMPRODUCT(1*EXACT('Casillas del horario'!$S$4:$S$73,"Profesor de M en 10-4"&amp;CHAR(31)&amp;$A4&amp;CHAR(31)&amp;D$3))&gt;1,IF(ISNA(MATCH(1,INDEX(EXACT('Casillas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10-4"&amp;CHAR(31)&amp;$A4&amp;CHAR(31)&amp;D$3)*1,0),0))))&amp;" (+"&amp;(SUMPRODUCT(1*EXACT('Casillas del horario'!$S$4:$S$73,"Profesor de M en 10-4"&amp;CHAR(31)&amp;$A4&amp;CHAR(31)&amp;D$3))-1)&amp;")",IF(ISNA(MATCH(1,INDEX(EXACT('Casillas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10-4"&amp;CHAR(31)&amp;$A4&amp;CHAR(31)&amp;D$3)*1,0),0)))))</f>
        <v/>
      </c>
      <c r="E4" s="3">
        <f>IF(SUMPRODUCT(1*EXACT('Casillas del horario'!$S$4:$S$73,"Profesor de M en 10-4"&amp;CHAR(31)&amp;$A4&amp;CHAR(31)&amp;E$3))&gt;1,IF(ISNA(MATCH(1,INDEX(EXACT('Casillas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10-4"&amp;CHAR(31)&amp;$A4&amp;CHAR(31)&amp;E$3)*1,0),0))))&amp;" (+"&amp;(SUMPRODUCT(1*EXACT('Casillas del horario'!$S$4:$S$73,"Profesor de M en 10-4"&amp;CHAR(31)&amp;$A4&amp;CHAR(31)&amp;E$3))-1)&amp;")",IF(ISNA(MATCH(1,INDEX(EXACT('Casillas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10-4"&amp;CHAR(31)&amp;$A4&amp;CHAR(31)&amp;E$3)*1,0),0)))))</f>
        <v/>
      </c>
      <c r="F4" s="3">
        <f>IF(SUMPRODUCT(1*EXACT('Casillas del horario'!$S$4:$S$73,"Profesor de M en 10-4"&amp;CHAR(31)&amp;$A4&amp;CHAR(31)&amp;F$3))&gt;1,IF(ISNA(MATCH(1,INDEX(EXACT('Casillas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10-4"&amp;CHAR(31)&amp;$A4&amp;CHAR(31)&amp;F$3)*1,0),0))))&amp;" (+"&amp;(SUMPRODUCT(1*EXACT('Casillas del horario'!$S$4:$S$73,"Profesor de M en 10-4"&amp;CHAR(31)&amp;$A4&amp;CHAR(31)&amp;F$3))-1)&amp;")",IF(ISNA(MATCH(1,INDEX(EXACT('Casillas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10-4"&amp;CHAR(31)&amp;$A5&amp;CHAR(31)&amp;B$3))&gt;1,IF(ISNA(MATCH(1,INDEX(EXACT('Casillas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10-4"&amp;CHAR(31)&amp;$A5&amp;CHAR(31)&amp;B$3)*1,0),0))))&amp;" (+"&amp;(SUMPRODUCT(1*EXACT('Casillas del horario'!$S$4:$S$73,"Profesor de M en 10-4"&amp;CHAR(31)&amp;$A5&amp;CHAR(31)&amp;B$3))-1)&amp;")",IF(ISNA(MATCH(1,INDEX(EXACT('Casillas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10-4"&amp;CHAR(31)&amp;$A5&amp;CHAR(31)&amp;B$3)*1,0),0)))))</f>
        <v/>
      </c>
      <c r="C5" s="3">
        <f>IF(SUMPRODUCT(1*EXACT('Casillas del horario'!$S$4:$S$73,"Profesor de M en 10-4"&amp;CHAR(31)&amp;$A5&amp;CHAR(31)&amp;C$3))&gt;1,IF(ISNA(MATCH(1,INDEX(EXACT('Casillas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10-4"&amp;CHAR(31)&amp;$A5&amp;CHAR(31)&amp;C$3)*1,0),0))))&amp;" (+"&amp;(SUMPRODUCT(1*EXACT('Casillas del horario'!$S$4:$S$73,"Profesor de M en 10-4"&amp;CHAR(31)&amp;$A5&amp;CHAR(31)&amp;C$3))-1)&amp;")",IF(ISNA(MATCH(1,INDEX(EXACT('Casillas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10-4"&amp;CHAR(31)&amp;$A5&amp;CHAR(31)&amp;C$3)*1,0),0)))))</f>
        <v/>
      </c>
      <c r="D5" s="3">
        <f>IF(SUMPRODUCT(1*EXACT('Casillas del horario'!$S$4:$S$73,"Profesor de M en 10-4"&amp;CHAR(31)&amp;$A5&amp;CHAR(31)&amp;D$3))&gt;1,IF(ISNA(MATCH(1,INDEX(EXACT('Casillas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10-4"&amp;CHAR(31)&amp;$A5&amp;CHAR(31)&amp;D$3)*1,0),0))))&amp;" (+"&amp;(SUMPRODUCT(1*EXACT('Casillas del horario'!$S$4:$S$73,"Profesor de M en 10-4"&amp;CHAR(31)&amp;$A5&amp;CHAR(31)&amp;D$3))-1)&amp;")",IF(ISNA(MATCH(1,INDEX(EXACT('Casillas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10-4"&amp;CHAR(31)&amp;$A5&amp;CHAR(31)&amp;D$3)*1,0),0)))))</f>
        <v/>
      </c>
      <c r="E5" s="3">
        <f>IF(SUMPRODUCT(1*EXACT('Casillas del horario'!$S$4:$S$73,"Profesor de M en 10-4"&amp;CHAR(31)&amp;$A5&amp;CHAR(31)&amp;E$3))&gt;1,IF(ISNA(MATCH(1,INDEX(EXACT('Casillas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10-4"&amp;CHAR(31)&amp;$A5&amp;CHAR(31)&amp;E$3)*1,0),0))))&amp;" (+"&amp;(SUMPRODUCT(1*EXACT('Casillas del horario'!$S$4:$S$73,"Profesor de M en 10-4"&amp;CHAR(31)&amp;$A5&amp;CHAR(31)&amp;E$3))-1)&amp;")",IF(ISNA(MATCH(1,INDEX(EXACT('Casillas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10-4"&amp;CHAR(31)&amp;$A5&amp;CHAR(31)&amp;E$3)*1,0),0)))))</f>
        <v/>
      </c>
      <c r="F5" s="3">
        <f>IF(SUMPRODUCT(1*EXACT('Casillas del horario'!$S$4:$S$73,"Profesor de M en 10-4"&amp;CHAR(31)&amp;$A5&amp;CHAR(31)&amp;F$3))&gt;1,IF(ISNA(MATCH(1,INDEX(EXACT('Casillas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10-4"&amp;CHAR(31)&amp;$A5&amp;CHAR(31)&amp;F$3)*1,0),0))))&amp;" (+"&amp;(SUMPRODUCT(1*EXACT('Casillas del horario'!$S$4:$S$73,"Profesor de M en 10-4"&amp;CHAR(31)&amp;$A5&amp;CHAR(31)&amp;F$3))-1)&amp;")",IF(ISNA(MATCH(1,INDEX(EXACT('Casillas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10-4"&amp;CHAR(31)&amp;$A6&amp;CHAR(31)&amp;B$3))&gt;1,IF(ISNA(MATCH(1,INDEX(EXACT('Casillas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10-4"&amp;CHAR(31)&amp;$A6&amp;CHAR(31)&amp;B$3)*1,0),0))))&amp;" (+"&amp;(SUMPRODUCT(1*EXACT('Casillas del horario'!$S$4:$S$73,"Profesor de M en 10-4"&amp;CHAR(31)&amp;$A6&amp;CHAR(31)&amp;B$3))-1)&amp;")",IF(ISNA(MATCH(1,INDEX(EXACT('Casillas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10-4"&amp;CHAR(31)&amp;$A6&amp;CHAR(31)&amp;B$3)*1,0),0)))))</f>
        <v/>
      </c>
      <c r="C6" s="3">
        <f>IF(SUMPRODUCT(1*EXACT('Casillas del horario'!$S$4:$S$73,"Profesor de M en 10-4"&amp;CHAR(31)&amp;$A6&amp;CHAR(31)&amp;C$3))&gt;1,IF(ISNA(MATCH(1,INDEX(EXACT('Casillas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10-4"&amp;CHAR(31)&amp;$A6&amp;CHAR(31)&amp;C$3)*1,0),0))))&amp;" (+"&amp;(SUMPRODUCT(1*EXACT('Casillas del horario'!$S$4:$S$73,"Profesor de M en 10-4"&amp;CHAR(31)&amp;$A6&amp;CHAR(31)&amp;C$3))-1)&amp;")",IF(ISNA(MATCH(1,INDEX(EXACT('Casillas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10-4"&amp;CHAR(31)&amp;$A6&amp;CHAR(31)&amp;C$3)*1,0),0)))))</f>
        <v/>
      </c>
      <c r="D6" s="3">
        <f>IF(SUMPRODUCT(1*EXACT('Casillas del horario'!$S$4:$S$73,"Profesor de M en 10-4"&amp;CHAR(31)&amp;$A6&amp;CHAR(31)&amp;D$3))&gt;1,IF(ISNA(MATCH(1,INDEX(EXACT('Casillas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10-4"&amp;CHAR(31)&amp;$A6&amp;CHAR(31)&amp;D$3)*1,0),0))))&amp;" (+"&amp;(SUMPRODUCT(1*EXACT('Casillas del horario'!$S$4:$S$73,"Profesor de M en 10-4"&amp;CHAR(31)&amp;$A6&amp;CHAR(31)&amp;D$3))-1)&amp;")",IF(ISNA(MATCH(1,INDEX(EXACT('Casillas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10-4"&amp;CHAR(31)&amp;$A6&amp;CHAR(31)&amp;D$3)*1,0),0)))))</f>
        <v/>
      </c>
      <c r="E6" s="3">
        <f>IF(SUMPRODUCT(1*EXACT('Casillas del horario'!$S$4:$S$73,"Profesor de M en 10-4"&amp;CHAR(31)&amp;$A6&amp;CHAR(31)&amp;E$3))&gt;1,IF(ISNA(MATCH(1,INDEX(EXACT('Casillas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10-4"&amp;CHAR(31)&amp;$A6&amp;CHAR(31)&amp;E$3)*1,0),0))))&amp;" (+"&amp;(SUMPRODUCT(1*EXACT('Casillas del horario'!$S$4:$S$73,"Profesor de M en 10-4"&amp;CHAR(31)&amp;$A6&amp;CHAR(31)&amp;E$3))-1)&amp;")",IF(ISNA(MATCH(1,INDEX(EXACT('Casillas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10-4"&amp;CHAR(31)&amp;$A6&amp;CHAR(31)&amp;E$3)*1,0),0)))))</f>
        <v/>
      </c>
      <c r="F6" s="3">
        <f>IF(SUMPRODUCT(1*EXACT('Casillas del horario'!$S$4:$S$73,"Profesor de M en 10-4"&amp;CHAR(31)&amp;$A6&amp;CHAR(31)&amp;F$3))&gt;1,IF(ISNA(MATCH(1,INDEX(EXACT('Casillas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10-4"&amp;CHAR(31)&amp;$A6&amp;CHAR(31)&amp;F$3)*1,0),0))))&amp;" (+"&amp;(SUMPRODUCT(1*EXACT('Casillas del horario'!$S$4:$S$73,"Profesor de M en 10-4"&amp;CHAR(31)&amp;$A6&amp;CHAR(31)&amp;F$3))-1)&amp;")",IF(ISNA(MATCH(1,INDEX(EXACT('Casillas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10-4"&amp;CHAR(31)&amp;$A7&amp;CHAR(31)&amp;B$3))&gt;1,IF(ISNA(MATCH(1,INDEX(EXACT('Casillas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10-4"&amp;CHAR(31)&amp;$A7&amp;CHAR(31)&amp;B$3)*1,0),0))))&amp;" (+"&amp;(SUMPRODUCT(1*EXACT('Casillas del horario'!$S$4:$S$73,"Profesor de M en 10-4"&amp;CHAR(31)&amp;$A7&amp;CHAR(31)&amp;B$3))-1)&amp;")",IF(ISNA(MATCH(1,INDEX(EXACT('Casillas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10-4"&amp;CHAR(31)&amp;$A7&amp;CHAR(31)&amp;B$3)*1,0),0)))))</f>
        <v/>
      </c>
      <c r="C7" s="3">
        <f>IF(SUMPRODUCT(1*EXACT('Casillas del horario'!$S$4:$S$73,"Profesor de M en 10-4"&amp;CHAR(31)&amp;$A7&amp;CHAR(31)&amp;C$3))&gt;1,IF(ISNA(MATCH(1,INDEX(EXACT('Casillas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10-4"&amp;CHAR(31)&amp;$A7&amp;CHAR(31)&amp;C$3)*1,0),0))))&amp;" (+"&amp;(SUMPRODUCT(1*EXACT('Casillas del horario'!$S$4:$S$73,"Profesor de M en 10-4"&amp;CHAR(31)&amp;$A7&amp;CHAR(31)&amp;C$3))-1)&amp;")",IF(ISNA(MATCH(1,INDEX(EXACT('Casillas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10-4"&amp;CHAR(31)&amp;$A7&amp;CHAR(31)&amp;C$3)*1,0),0)))))</f>
        <v/>
      </c>
      <c r="D7" s="3">
        <f>IF(SUMPRODUCT(1*EXACT('Casillas del horario'!$S$4:$S$73,"Profesor de M en 10-4"&amp;CHAR(31)&amp;$A7&amp;CHAR(31)&amp;D$3))&gt;1,IF(ISNA(MATCH(1,INDEX(EXACT('Casillas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10-4"&amp;CHAR(31)&amp;$A7&amp;CHAR(31)&amp;D$3)*1,0),0))))&amp;" (+"&amp;(SUMPRODUCT(1*EXACT('Casillas del horario'!$S$4:$S$73,"Profesor de M en 10-4"&amp;CHAR(31)&amp;$A7&amp;CHAR(31)&amp;D$3))-1)&amp;")",IF(ISNA(MATCH(1,INDEX(EXACT('Casillas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10-4"&amp;CHAR(31)&amp;$A7&amp;CHAR(31)&amp;D$3)*1,0),0)))))</f>
        <v/>
      </c>
      <c r="E7" s="3">
        <f>IF(SUMPRODUCT(1*EXACT('Casillas del horario'!$S$4:$S$73,"Profesor de M en 10-4"&amp;CHAR(31)&amp;$A7&amp;CHAR(31)&amp;E$3))&gt;1,IF(ISNA(MATCH(1,INDEX(EXACT('Casillas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10-4"&amp;CHAR(31)&amp;$A7&amp;CHAR(31)&amp;E$3)*1,0),0))))&amp;" (+"&amp;(SUMPRODUCT(1*EXACT('Casillas del horario'!$S$4:$S$73,"Profesor de M en 10-4"&amp;CHAR(31)&amp;$A7&amp;CHAR(31)&amp;E$3))-1)&amp;")",IF(ISNA(MATCH(1,INDEX(EXACT('Casillas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10-4"&amp;CHAR(31)&amp;$A7&amp;CHAR(31)&amp;E$3)*1,0),0)))))</f>
        <v/>
      </c>
      <c r="F7" s="3">
        <f>IF(SUMPRODUCT(1*EXACT('Casillas del horario'!$S$4:$S$73,"Profesor de M en 10-4"&amp;CHAR(31)&amp;$A7&amp;CHAR(31)&amp;F$3))&gt;1,IF(ISNA(MATCH(1,INDEX(EXACT('Casillas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10-4"&amp;CHAR(31)&amp;$A7&amp;CHAR(31)&amp;F$3)*1,0),0))))&amp;" (+"&amp;(SUMPRODUCT(1*EXACT('Casillas del horario'!$S$4:$S$73,"Profesor de M en 10-4"&amp;CHAR(31)&amp;$A7&amp;CHAR(31)&amp;F$3))-1)&amp;")",IF(ISNA(MATCH(1,INDEX(EXACT('Casillas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10-4"&amp;CHAR(31)&amp;$A8&amp;CHAR(31)&amp;B$3))&gt;1,IF(ISNA(MATCH(1,INDEX(EXACT('Casillas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10-4"&amp;CHAR(31)&amp;$A8&amp;CHAR(31)&amp;B$3)*1,0),0))))&amp;" (+"&amp;(SUMPRODUCT(1*EXACT('Casillas del horario'!$S$4:$S$73,"Profesor de M en 10-4"&amp;CHAR(31)&amp;$A8&amp;CHAR(31)&amp;B$3))-1)&amp;")",IF(ISNA(MATCH(1,INDEX(EXACT('Casillas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10-4"&amp;CHAR(31)&amp;$A8&amp;CHAR(31)&amp;B$3)*1,0),0)))))</f>
        <v/>
      </c>
      <c r="C8" s="3">
        <f>IF(SUMPRODUCT(1*EXACT('Casillas del horario'!$S$4:$S$73,"Profesor de M en 10-4"&amp;CHAR(31)&amp;$A8&amp;CHAR(31)&amp;C$3))&gt;1,IF(ISNA(MATCH(1,INDEX(EXACT('Casillas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10-4"&amp;CHAR(31)&amp;$A8&amp;CHAR(31)&amp;C$3)*1,0),0))))&amp;" (+"&amp;(SUMPRODUCT(1*EXACT('Casillas del horario'!$S$4:$S$73,"Profesor de M en 10-4"&amp;CHAR(31)&amp;$A8&amp;CHAR(31)&amp;C$3))-1)&amp;")",IF(ISNA(MATCH(1,INDEX(EXACT('Casillas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10-4"&amp;CHAR(31)&amp;$A8&amp;CHAR(31)&amp;C$3)*1,0),0)))))</f>
        <v/>
      </c>
      <c r="D8" s="3">
        <f>IF(SUMPRODUCT(1*EXACT('Casillas del horario'!$S$4:$S$73,"Profesor de M en 10-4"&amp;CHAR(31)&amp;$A8&amp;CHAR(31)&amp;D$3))&gt;1,IF(ISNA(MATCH(1,INDEX(EXACT('Casillas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10-4"&amp;CHAR(31)&amp;$A8&amp;CHAR(31)&amp;D$3)*1,0),0))))&amp;" (+"&amp;(SUMPRODUCT(1*EXACT('Casillas del horario'!$S$4:$S$73,"Profesor de M en 10-4"&amp;CHAR(31)&amp;$A8&amp;CHAR(31)&amp;D$3))-1)&amp;")",IF(ISNA(MATCH(1,INDEX(EXACT('Casillas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10-4"&amp;CHAR(31)&amp;$A8&amp;CHAR(31)&amp;D$3)*1,0),0)))))</f>
        <v/>
      </c>
      <c r="E8" s="3">
        <f>IF(SUMPRODUCT(1*EXACT('Casillas del horario'!$S$4:$S$73,"Profesor de M en 10-4"&amp;CHAR(31)&amp;$A8&amp;CHAR(31)&amp;E$3))&gt;1,IF(ISNA(MATCH(1,INDEX(EXACT('Casillas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10-4"&amp;CHAR(31)&amp;$A8&amp;CHAR(31)&amp;E$3)*1,0),0))))&amp;" (+"&amp;(SUMPRODUCT(1*EXACT('Casillas del horario'!$S$4:$S$73,"Profesor de M en 10-4"&amp;CHAR(31)&amp;$A8&amp;CHAR(31)&amp;E$3))-1)&amp;")",IF(ISNA(MATCH(1,INDEX(EXACT('Casillas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10-4"&amp;CHAR(31)&amp;$A8&amp;CHAR(31)&amp;E$3)*1,0),0)))))</f>
        <v/>
      </c>
      <c r="F8" s="3">
        <f>IF(SUMPRODUCT(1*EXACT('Casillas del horario'!$S$4:$S$73,"Profesor de M en 10-4"&amp;CHAR(31)&amp;$A8&amp;CHAR(31)&amp;F$3))&gt;1,IF(ISNA(MATCH(1,INDEX(EXACT('Casillas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10-4"&amp;CHAR(31)&amp;$A8&amp;CHAR(31)&amp;F$3)*1,0),0))))&amp;" (+"&amp;(SUMPRODUCT(1*EXACT('Casillas del horario'!$S$4:$S$73,"Profesor de M en 10-4"&amp;CHAR(31)&amp;$A8&amp;CHAR(31)&amp;F$3))-1)&amp;")",IF(ISNA(MATCH(1,INDEX(EXACT('Casillas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10-4"&amp;CHAR(31)&amp;$A9&amp;CHAR(31)&amp;B$3))&gt;1,IF(ISNA(MATCH(1,INDEX(EXACT('Casillas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10-4"&amp;CHAR(31)&amp;$A9&amp;CHAR(31)&amp;B$3)*1,0),0))))&amp;" (+"&amp;(SUMPRODUCT(1*EXACT('Casillas del horario'!$S$4:$S$73,"Profesor de M en 10-4"&amp;CHAR(31)&amp;$A9&amp;CHAR(31)&amp;B$3))-1)&amp;")",IF(ISNA(MATCH(1,INDEX(EXACT('Casillas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10-4"&amp;CHAR(31)&amp;$A9&amp;CHAR(31)&amp;B$3)*1,0),0)))))</f>
        <v/>
      </c>
      <c r="C9" s="3">
        <f>IF(SUMPRODUCT(1*EXACT('Casillas del horario'!$S$4:$S$73,"Profesor de M en 10-4"&amp;CHAR(31)&amp;$A9&amp;CHAR(31)&amp;C$3))&gt;1,IF(ISNA(MATCH(1,INDEX(EXACT('Casillas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10-4"&amp;CHAR(31)&amp;$A9&amp;CHAR(31)&amp;C$3)*1,0),0))))&amp;" (+"&amp;(SUMPRODUCT(1*EXACT('Casillas del horario'!$S$4:$S$73,"Profesor de M en 10-4"&amp;CHAR(31)&amp;$A9&amp;CHAR(31)&amp;C$3))-1)&amp;")",IF(ISNA(MATCH(1,INDEX(EXACT('Casillas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10-4"&amp;CHAR(31)&amp;$A9&amp;CHAR(31)&amp;C$3)*1,0),0)))))</f>
        <v/>
      </c>
      <c r="D9" s="3">
        <f>IF(SUMPRODUCT(1*EXACT('Casillas del horario'!$S$4:$S$73,"Profesor de M en 10-4"&amp;CHAR(31)&amp;$A9&amp;CHAR(31)&amp;D$3))&gt;1,IF(ISNA(MATCH(1,INDEX(EXACT('Casillas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10-4"&amp;CHAR(31)&amp;$A9&amp;CHAR(31)&amp;D$3)*1,0),0))))&amp;" (+"&amp;(SUMPRODUCT(1*EXACT('Casillas del horario'!$S$4:$S$73,"Profesor de M en 10-4"&amp;CHAR(31)&amp;$A9&amp;CHAR(31)&amp;D$3))-1)&amp;")",IF(ISNA(MATCH(1,INDEX(EXACT('Casillas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10-4"&amp;CHAR(31)&amp;$A9&amp;CHAR(31)&amp;D$3)*1,0),0)))))</f>
        <v/>
      </c>
      <c r="E9" s="3">
        <f>IF(SUMPRODUCT(1*EXACT('Casillas del horario'!$S$4:$S$73,"Profesor de M en 10-4"&amp;CHAR(31)&amp;$A9&amp;CHAR(31)&amp;E$3))&gt;1,IF(ISNA(MATCH(1,INDEX(EXACT('Casillas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10-4"&amp;CHAR(31)&amp;$A9&amp;CHAR(31)&amp;E$3)*1,0),0))))&amp;" (+"&amp;(SUMPRODUCT(1*EXACT('Casillas del horario'!$S$4:$S$73,"Profesor de M en 10-4"&amp;CHAR(31)&amp;$A9&amp;CHAR(31)&amp;E$3))-1)&amp;")",IF(ISNA(MATCH(1,INDEX(EXACT('Casillas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10-4"&amp;CHAR(31)&amp;$A9&amp;CHAR(31)&amp;E$3)*1,0),0)))))</f>
        <v/>
      </c>
      <c r="F9" s="3">
        <f>IF(SUMPRODUCT(1*EXACT('Casillas del horario'!$S$4:$S$73,"Profesor de M en 10-4"&amp;CHAR(31)&amp;$A9&amp;CHAR(31)&amp;F$3))&gt;1,IF(ISNA(MATCH(1,INDEX(EXACT('Casillas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10-4"&amp;CHAR(31)&amp;$A9&amp;CHAR(31)&amp;F$3)*1,0),0))))&amp;" (+"&amp;(SUMPRODUCT(1*EXACT('Casillas del horario'!$S$4:$S$73,"Profesor de M en 10-4"&amp;CHAR(31)&amp;$A9&amp;CHAR(31)&amp;F$3))-1)&amp;")",IF(ISNA(MATCH(1,INDEX(EXACT('Casillas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10-4"&amp;CHAR(31)&amp;$A10&amp;CHAR(31)&amp;B$3))&gt;1,IF(ISNA(MATCH(1,INDEX(EXACT('Casillas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10-4"&amp;CHAR(31)&amp;$A10&amp;CHAR(31)&amp;B$3)*1,0),0))))&amp;" (+"&amp;(SUMPRODUCT(1*EXACT('Casillas del horario'!$S$4:$S$73,"Profesor de M en 10-4"&amp;CHAR(31)&amp;$A10&amp;CHAR(31)&amp;B$3))-1)&amp;")",IF(ISNA(MATCH(1,INDEX(EXACT('Casillas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10-4"&amp;CHAR(31)&amp;$A10&amp;CHAR(31)&amp;B$3)*1,0),0)))))</f>
        <v/>
      </c>
      <c r="C10" s="3">
        <f>IF(SUMPRODUCT(1*EXACT('Casillas del horario'!$S$4:$S$73,"Profesor de M en 10-4"&amp;CHAR(31)&amp;$A10&amp;CHAR(31)&amp;C$3))&gt;1,IF(ISNA(MATCH(1,INDEX(EXACT('Casillas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10-4"&amp;CHAR(31)&amp;$A10&amp;CHAR(31)&amp;C$3)*1,0),0))))&amp;" (+"&amp;(SUMPRODUCT(1*EXACT('Casillas del horario'!$S$4:$S$73,"Profesor de M en 10-4"&amp;CHAR(31)&amp;$A10&amp;CHAR(31)&amp;C$3))-1)&amp;")",IF(ISNA(MATCH(1,INDEX(EXACT('Casillas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10-4"&amp;CHAR(31)&amp;$A10&amp;CHAR(31)&amp;C$3)*1,0),0)))))</f>
        <v/>
      </c>
      <c r="D10" s="3">
        <f>IF(SUMPRODUCT(1*EXACT('Casillas del horario'!$S$4:$S$73,"Profesor de M en 10-4"&amp;CHAR(31)&amp;$A10&amp;CHAR(31)&amp;D$3))&gt;1,IF(ISNA(MATCH(1,INDEX(EXACT('Casillas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10-4"&amp;CHAR(31)&amp;$A10&amp;CHAR(31)&amp;D$3)*1,0),0))))&amp;" (+"&amp;(SUMPRODUCT(1*EXACT('Casillas del horario'!$S$4:$S$73,"Profesor de M en 10-4"&amp;CHAR(31)&amp;$A10&amp;CHAR(31)&amp;D$3))-1)&amp;")",IF(ISNA(MATCH(1,INDEX(EXACT('Casillas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10-4"&amp;CHAR(31)&amp;$A10&amp;CHAR(31)&amp;D$3)*1,0),0)))))</f>
        <v/>
      </c>
      <c r="E10" s="3">
        <f>IF(SUMPRODUCT(1*EXACT('Casillas del horario'!$S$4:$S$73,"Profesor de M en 10-4"&amp;CHAR(31)&amp;$A10&amp;CHAR(31)&amp;E$3))&gt;1,IF(ISNA(MATCH(1,INDEX(EXACT('Casillas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10-4"&amp;CHAR(31)&amp;$A10&amp;CHAR(31)&amp;E$3)*1,0),0))))&amp;" (+"&amp;(SUMPRODUCT(1*EXACT('Casillas del horario'!$S$4:$S$73,"Profesor de M en 10-4"&amp;CHAR(31)&amp;$A10&amp;CHAR(31)&amp;E$3))-1)&amp;")",IF(ISNA(MATCH(1,INDEX(EXACT('Casillas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10-4"&amp;CHAR(31)&amp;$A10&amp;CHAR(31)&amp;E$3)*1,0),0)))))</f>
        <v/>
      </c>
      <c r="F10" s="3">
        <f>IF(SUMPRODUCT(1*EXACT('Casillas del horario'!$S$4:$S$73,"Profesor de M en 10-4"&amp;CHAR(31)&amp;$A10&amp;CHAR(31)&amp;F$3))&gt;1,IF(ISNA(MATCH(1,INDEX(EXACT('Casillas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10-4"&amp;CHAR(31)&amp;$A10&amp;CHAR(31)&amp;F$3)*1,0),0))))&amp;" (+"&amp;(SUMPRODUCT(1*EXACT('Casillas del horario'!$S$4:$S$73,"Profesor de M en 10-4"&amp;CHAR(31)&amp;$A10&amp;CHAR(31)&amp;F$3))-1)&amp;")",IF(ISNA(MATCH(1,INDEX(EXACT('Casillas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Lit-L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10-4"&amp;CHAR(31)&amp;$A4&amp;CHAR(31)&amp;B$3))&gt;1,IF(ISNA(MATCH(1,INDEX(EXACT('Casillas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10-4"&amp;CHAR(31)&amp;$A4&amp;CHAR(31)&amp;B$3)*1,0),0))))&amp;" (+"&amp;(SUMPRODUCT(1*EXACT('Casillas del horario'!$S$4:$S$73,"Profesor de Lit-L en 10-4"&amp;CHAR(31)&amp;$A4&amp;CHAR(31)&amp;B$3))-1)&amp;")",IF(ISNA(MATCH(1,INDEX(EXACT('Casillas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10-4"&amp;CHAR(31)&amp;$A4&amp;CHAR(31)&amp;B$3)*1,0),0)))))</f>
        <v/>
      </c>
      <c r="C4" s="3">
        <f>IF(SUMPRODUCT(1*EXACT('Casillas del horario'!$S$4:$S$73,"Profesor de Lit-L en 10-4"&amp;CHAR(31)&amp;$A4&amp;CHAR(31)&amp;C$3))&gt;1,IF(ISNA(MATCH(1,INDEX(EXACT('Casillas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10-4"&amp;CHAR(31)&amp;$A4&amp;CHAR(31)&amp;C$3)*1,0),0))))&amp;" (+"&amp;(SUMPRODUCT(1*EXACT('Casillas del horario'!$S$4:$S$73,"Profesor de Lit-L en 10-4"&amp;CHAR(31)&amp;$A4&amp;CHAR(31)&amp;C$3))-1)&amp;")",IF(ISNA(MATCH(1,INDEX(EXACT('Casillas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10-4"&amp;CHAR(31)&amp;$A4&amp;CHAR(31)&amp;C$3)*1,0),0)))))</f>
        <v/>
      </c>
      <c r="D4" s="3">
        <f>IF(SUMPRODUCT(1*EXACT('Casillas del horario'!$S$4:$S$73,"Profesor de Lit-L en 10-4"&amp;CHAR(31)&amp;$A4&amp;CHAR(31)&amp;D$3))&gt;1,IF(ISNA(MATCH(1,INDEX(EXACT('Casillas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10-4"&amp;CHAR(31)&amp;$A4&amp;CHAR(31)&amp;D$3)*1,0),0))))&amp;" (+"&amp;(SUMPRODUCT(1*EXACT('Casillas del horario'!$S$4:$S$73,"Profesor de Lit-L en 10-4"&amp;CHAR(31)&amp;$A4&amp;CHAR(31)&amp;D$3))-1)&amp;")",IF(ISNA(MATCH(1,INDEX(EXACT('Casillas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10-4"&amp;CHAR(31)&amp;$A4&amp;CHAR(31)&amp;D$3)*1,0),0)))))</f>
        <v/>
      </c>
      <c r="E4" s="3">
        <f>IF(SUMPRODUCT(1*EXACT('Casillas del horario'!$S$4:$S$73,"Profesor de Lit-L en 10-4"&amp;CHAR(31)&amp;$A4&amp;CHAR(31)&amp;E$3))&gt;1,IF(ISNA(MATCH(1,INDEX(EXACT('Casillas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10-4"&amp;CHAR(31)&amp;$A4&amp;CHAR(31)&amp;E$3)*1,0),0))))&amp;" (+"&amp;(SUMPRODUCT(1*EXACT('Casillas del horario'!$S$4:$S$73,"Profesor de Lit-L en 10-4"&amp;CHAR(31)&amp;$A4&amp;CHAR(31)&amp;E$3))-1)&amp;")",IF(ISNA(MATCH(1,INDEX(EXACT('Casillas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10-4"&amp;CHAR(31)&amp;$A4&amp;CHAR(31)&amp;E$3)*1,0),0)))))</f>
        <v/>
      </c>
      <c r="F4" s="3">
        <f>IF(SUMPRODUCT(1*EXACT('Casillas del horario'!$S$4:$S$73,"Profesor de Lit-L en 10-4"&amp;CHAR(31)&amp;$A4&amp;CHAR(31)&amp;F$3))&gt;1,IF(ISNA(MATCH(1,INDEX(EXACT('Casillas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10-4"&amp;CHAR(31)&amp;$A4&amp;CHAR(31)&amp;F$3)*1,0),0))))&amp;" (+"&amp;(SUMPRODUCT(1*EXACT('Casillas del horario'!$S$4:$S$73,"Profesor de Lit-L en 10-4"&amp;CHAR(31)&amp;$A4&amp;CHAR(31)&amp;F$3))-1)&amp;")",IF(ISNA(MATCH(1,INDEX(EXACT('Casillas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10-4"&amp;CHAR(31)&amp;$A5&amp;CHAR(31)&amp;B$3))&gt;1,IF(ISNA(MATCH(1,INDEX(EXACT('Casillas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10-4"&amp;CHAR(31)&amp;$A5&amp;CHAR(31)&amp;B$3)*1,0),0))))&amp;" (+"&amp;(SUMPRODUCT(1*EXACT('Casillas del horario'!$S$4:$S$73,"Profesor de Lit-L en 10-4"&amp;CHAR(31)&amp;$A5&amp;CHAR(31)&amp;B$3))-1)&amp;")",IF(ISNA(MATCH(1,INDEX(EXACT('Casillas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10-4"&amp;CHAR(31)&amp;$A5&amp;CHAR(31)&amp;B$3)*1,0),0)))))</f>
        <v/>
      </c>
      <c r="C5" s="3">
        <f>IF(SUMPRODUCT(1*EXACT('Casillas del horario'!$S$4:$S$73,"Profesor de Lit-L en 10-4"&amp;CHAR(31)&amp;$A5&amp;CHAR(31)&amp;C$3))&gt;1,IF(ISNA(MATCH(1,INDEX(EXACT('Casillas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10-4"&amp;CHAR(31)&amp;$A5&amp;CHAR(31)&amp;C$3)*1,0),0))))&amp;" (+"&amp;(SUMPRODUCT(1*EXACT('Casillas del horario'!$S$4:$S$73,"Profesor de Lit-L en 10-4"&amp;CHAR(31)&amp;$A5&amp;CHAR(31)&amp;C$3))-1)&amp;")",IF(ISNA(MATCH(1,INDEX(EXACT('Casillas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10-4"&amp;CHAR(31)&amp;$A5&amp;CHAR(31)&amp;C$3)*1,0),0)))))</f>
        <v/>
      </c>
      <c r="D5" s="3">
        <f>IF(SUMPRODUCT(1*EXACT('Casillas del horario'!$S$4:$S$73,"Profesor de Lit-L en 10-4"&amp;CHAR(31)&amp;$A5&amp;CHAR(31)&amp;D$3))&gt;1,IF(ISNA(MATCH(1,INDEX(EXACT('Casillas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10-4"&amp;CHAR(31)&amp;$A5&amp;CHAR(31)&amp;D$3)*1,0),0))))&amp;" (+"&amp;(SUMPRODUCT(1*EXACT('Casillas del horario'!$S$4:$S$73,"Profesor de Lit-L en 10-4"&amp;CHAR(31)&amp;$A5&amp;CHAR(31)&amp;D$3))-1)&amp;")",IF(ISNA(MATCH(1,INDEX(EXACT('Casillas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10-4"&amp;CHAR(31)&amp;$A5&amp;CHAR(31)&amp;D$3)*1,0),0)))))</f>
        <v/>
      </c>
      <c r="E5" s="3">
        <f>IF(SUMPRODUCT(1*EXACT('Casillas del horario'!$S$4:$S$73,"Profesor de Lit-L en 10-4"&amp;CHAR(31)&amp;$A5&amp;CHAR(31)&amp;E$3))&gt;1,IF(ISNA(MATCH(1,INDEX(EXACT('Casillas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10-4"&amp;CHAR(31)&amp;$A5&amp;CHAR(31)&amp;E$3)*1,0),0))))&amp;" (+"&amp;(SUMPRODUCT(1*EXACT('Casillas del horario'!$S$4:$S$73,"Profesor de Lit-L en 10-4"&amp;CHAR(31)&amp;$A5&amp;CHAR(31)&amp;E$3))-1)&amp;")",IF(ISNA(MATCH(1,INDEX(EXACT('Casillas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10-4"&amp;CHAR(31)&amp;$A5&amp;CHAR(31)&amp;E$3)*1,0),0)))))</f>
        <v/>
      </c>
      <c r="F5" s="3">
        <f>IF(SUMPRODUCT(1*EXACT('Casillas del horario'!$S$4:$S$73,"Profesor de Lit-L en 10-4"&amp;CHAR(31)&amp;$A5&amp;CHAR(31)&amp;F$3))&gt;1,IF(ISNA(MATCH(1,INDEX(EXACT('Casillas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10-4"&amp;CHAR(31)&amp;$A5&amp;CHAR(31)&amp;F$3)*1,0),0))))&amp;" (+"&amp;(SUMPRODUCT(1*EXACT('Casillas del horario'!$S$4:$S$73,"Profesor de Lit-L en 10-4"&amp;CHAR(31)&amp;$A5&amp;CHAR(31)&amp;F$3))-1)&amp;")",IF(ISNA(MATCH(1,INDEX(EXACT('Casillas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10-4"&amp;CHAR(31)&amp;$A6&amp;CHAR(31)&amp;B$3))&gt;1,IF(ISNA(MATCH(1,INDEX(EXACT('Casillas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10-4"&amp;CHAR(31)&amp;$A6&amp;CHAR(31)&amp;B$3)*1,0),0))))&amp;" (+"&amp;(SUMPRODUCT(1*EXACT('Casillas del horario'!$S$4:$S$73,"Profesor de Lit-L en 10-4"&amp;CHAR(31)&amp;$A6&amp;CHAR(31)&amp;B$3))-1)&amp;")",IF(ISNA(MATCH(1,INDEX(EXACT('Casillas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10-4"&amp;CHAR(31)&amp;$A6&amp;CHAR(31)&amp;B$3)*1,0),0)))))</f>
        <v/>
      </c>
      <c r="C6" s="3">
        <f>IF(SUMPRODUCT(1*EXACT('Casillas del horario'!$S$4:$S$73,"Profesor de Lit-L en 10-4"&amp;CHAR(31)&amp;$A6&amp;CHAR(31)&amp;C$3))&gt;1,IF(ISNA(MATCH(1,INDEX(EXACT('Casillas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10-4"&amp;CHAR(31)&amp;$A6&amp;CHAR(31)&amp;C$3)*1,0),0))))&amp;" (+"&amp;(SUMPRODUCT(1*EXACT('Casillas del horario'!$S$4:$S$73,"Profesor de Lit-L en 10-4"&amp;CHAR(31)&amp;$A6&amp;CHAR(31)&amp;C$3))-1)&amp;")",IF(ISNA(MATCH(1,INDEX(EXACT('Casillas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10-4"&amp;CHAR(31)&amp;$A6&amp;CHAR(31)&amp;C$3)*1,0),0)))))</f>
        <v/>
      </c>
      <c r="D6" s="3">
        <f>IF(SUMPRODUCT(1*EXACT('Casillas del horario'!$S$4:$S$73,"Profesor de Lit-L en 10-4"&amp;CHAR(31)&amp;$A6&amp;CHAR(31)&amp;D$3))&gt;1,IF(ISNA(MATCH(1,INDEX(EXACT('Casillas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10-4"&amp;CHAR(31)&amp;$A6&amp;CHAR(31)&amp;D$3)*1,0),0))))&amp;" (+"&amp;(SUMPRODUCT(1*EXACT('Casillas del horario'!$S$4:$S$73,"Profesor de Lit-L en 10-4"&amp;CHAR(31)&amp;$A6&amp;CHAR(31)&amp;D$3))-1)&amp;")",IF(ISNA(MATCH(1,INDEX(EXACT('Casillas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10-4"&amp;CHAR(31)&amp;$A6&amp;CHAR(31)&amp;D$3)*1,0),0)))))</f>
        <v/>
      </c>
      <c r="E6" s="3">
        <f>IF(SUMPRODUCT(1*EXACT('Casillas del horario'!$S$4:$S$73,"Profesor de Lit-L en 10-4"&amp;CHAR(31)&amp;$A6&amp;CHAR(31)&amp;E$3))&gt;1,IF(ISNA(MATCH(1,INDEX(EXACT('Casillas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10-4"&amp;CHAR(31)&amp;$A6&amp;CHAR(31)&amp;E$3)*1,0),0))))&amp;" (+"&amp;(SUMPRODUCT(1*EXACT('Casillas del horario'!$S$4:$S$73,"Profesor de Lit-L en 10-4"&amp;CHAR(31)&amp;$A6&amp;CHAR(31)&amp;E$3))-1)&amp;")",IF(ISNA(MATCH(1,INDEX(EXACT('Casillas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10-4"&amp;CHAR(31)&amp;$A6&amp;CHAR(31)&amp;E$3)*1,0),0)))))</f>
        <v/>
      </c>
      <c r="F6" s="3">
        <f>IF(SUMPRODUCT(1*EXACT('Casillas del horario'!$S$4:$S$73,"Profesor de Lit-L en 10-4"&amp;CHAR(31)&amp;$A6&amp;CHAR(31)&amp;F$3))&gt;1,IF(ISNA(MATCH(1,INDEX(EXACT('Casillas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10-4"&amp;CHAR(31)&amp;$A6&amp;CHAR(31)&amp;F$3)*1,0),0))))&amp;" (+"&amp;(SUMPRODUCT(1*EXACT('Casillas del horario'!$S$4:$S$73,"Profesor de Lit-L en 10-4"&amp;CHAR(31)&amp;$A6&amp;CHAR(31)&amp;F$3))-1)&amp;")",IF(ISNA(MATCH(1,INDEX(EXACT('Casillas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10-4"&amp;CHAR(31)&amp;$A7&amp;CHAR(31)&amp;B$3))&gt;1,IF(ISNA(MATCH(1,INDEX(EXACT('Casillas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10-4"&amp;CHAR(31)&amp;$A7&amp;CHAR(31)&amp;B$3)*1,0),0))))&amp;" (+"&amp;(SUMPRODUCT(1*EXACT('Casillas del horario'!$S$4:$S$73,"Profesor de Lit-L en 10-4"&amp;CHAR(31)&amp;$A7&amp;CHAR(31)&amp;B$3))-1)&amp;")",IF(ISNA(MATCH(1,INDEX(EXACT('Casillas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10-4"&amp;CHAR(31)&amp;$A7&amp;CHAR(31)&amp;B$3)*1,0),0)))))</f>
        <v/>
      </c>
      <c r="C7" s="3">
        <f>IF(SUMPRODUCT(1*EXACT('Casillas del horario'!$S$4:$S$73,"Profesor de Lit-L en 10-4"&amp;CHAR(31)&amp;$A7&amp;CHAR(31)&amp;C$3))&gt;1,IF(ISNA(MATCH(1,INDEX(EXACT('Casillas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10-4"&amp;CHAR(31)&amp;$A7&amp;CHAR(31)&amp;C$3)*1,0),0))))&amp;" (+"&amp;(SUMPRODUCT(1*EXACT('Casillas del horario'!$S$4:$S$73,"Profesor de Lit-L en 10-4"&amp;CHAR(31)&amp;$A7&amp;CHAR(31)&amp;C$3))-1)&amp;")",IF(ISNA(MATCH(1,INDEX(EXACT('Casillas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10-4"&amp;CHAR(31)&amp;$A7&amp;CHAR(31)&amp;C$3)*1,0),0)))))</f>
        <v/>
      </c>
      <c r="D7" s="3">
        <f>IF(SUMPRODUCT(1*EXACT('Casillas del horario'!$S$4:$S$73,"Profesor de Lit-L en 10-4"&amp;CHAR(31)&amp;$A7&amp;CHAR(31)&amp;D$3))&gt;1,IF(ISNA(MATCH(1,INDEX(EXACT('Casillas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10-4"&amp;CHAR(31)&amp;$A7&amp;CHAR(31)&amp;D$3)*1,0),0))))&amp;" (+"&amp;(SUMPRODUCT(1*EXACT('Casillas del horario'!$S$4:$S$73,"Profesor de Lit-L en 10-4"&amp;CHAR(31)&amp;$A7&amp;CHAR(31)&amp;D$3))-1)&amp;")",IF(ISNA(MATCH(1,INDEX(EXACT('Casillas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10-4"&amp;CHAR(31)&amp;$A7&amp;CHAR(31)&amp;D$3)*1,0),0)))))</f>
        <v/>
      </c>
      <c r="E7" s="3">
        <f>IF(SUMPRODUCT(1*EXACT('Casillas del horario'!$S$4:$S$73,"Profesor de Lit-L en 10-4"&amp;CHAR(31)&amp;$A7&amp;CHAR(31)&amp;E$3))&gt;1,IF(ISNA(MATCH(1,INDEX(EXACT('Casillas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10-4"&amp;CHAR(31)&amp;$A7&amp;CHAR(31)&amp;E$3)*1,0),0))))&amp;" (+"&amp;(SUMPRODUCT(1*EXACT('Casillas del horario'!$S$4:$S$73,"Profesor de Lit-L en 10-4"&amp;CHAR(31)&amp;$A7&amp;CHAR(31)&amp;E$3))-1)&amp;")",IF(ISNA(MATCH(1,INDEX(EXACT('Casillas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10-4"&amp;CHAR(31)&amp;$A7&amp;CHAR(31)&amp;E$3)*1,0),0)))))</f>
        <v/>
      </c>
      <c r="F7" s="3">
        <f>IF(SUMPRODUCT(1*EXACT('Casillas del horario'!$S$4:$S$73,"Profesor de Lit-L en 10-4"&amp;CHAR(31)&amp;$A7&amp;CHAR(31)&amp;F$3))&gt;1,IF(ISNA(MATCH(1,INDEX(EXACT('Casillas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10-4"&amp;CHAR(31)&amp;$A7&amp;CHAR(31)&amp;F$3)*1,0),0))))&amp;" (+"&amp;(SUMPRODUCT(1*EXACT('Casillas del horario'!$S$4:$S$73,"Profesor de Lit-L en 10-4"&amp;CHAR(31)&amp;$A7&amp;CHAR(31)&amp;F$3))-1)&amp;")",IF(ISNA(MATCH(1,INDEX(EXACT('Casillas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10-4"&amp;CHAR(31)&amp;$A8&amp;CHAR(31)&amp;B$3))&gt;1,IF(ISNA(MATCH(1,INDEX(EXACT('Casillas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10-4"&amp;CHAR(31)&amp;$A8&amp;CHAR(31)&amp;B$3)*1,0),0))))&amp;" (+"&amp;(SUMPRODUCT(1*EXACT('Casillas del horario'!$S$4:$S$73,"Profesor de Lit-L en 10-4"&amp;CHAR(31)&amp;$A8&amp;CHAR(31)&amp;B$3))-1)&amp;")",IF(ISNA(MATCH(1,INDEX(EXACT('Casillas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10-4"&amp;CHAR(31)&amp;$A8&amp;CHAR(31)&amp;B$3)*1,0),0)))))</f>
        <v/>
      </c>
      <c r="C8" s="3">
        <f>IF(SUMPRODUCT(1*EXACT('Casillas del horario'!$S$4:$S$73,"Profesor de Lit-L en 10-4"&amp;CHAR(31)&amp;$A8&amp;CHAR(31)&amp;C$3))&gt;1,IF(ISNA(MATCH(1,INDEX(EXACT('Casillas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10-4"&amp;CHAR(31)&amp;$A8&amp;CHAR(31)&amp;C$3)*1,0),0))))&amp;" (+"&amp;(SUMPRODUCT(1*EXACT('Casillas del horario'!$S$4:$S$73,"Profesor de Lit-L en 10-4"&amp;CHAR(31)&amp;$A8&amp;CHAR(31)&amp;C$3))-1)&amp;")",IF(ISNA(MATCH(1,INDEX(EXACT('Casillas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10-4"&amp;CHAR(31)&amp;$A8&amp;CHAR(31)&amp;C$3)*1,0),0)))))</f>
        <v/>
      </c>
      <c r="D8" s="3">
        <f>IF(SUMPRODUCT(1*EXACT('Casillas del horario'!$S$4:$S$73,"Profesor de Lit-L en 10-4"&amp;CHAR(31)&amp;$A8&amp;CHAR(31)&amp;D$3))&gt;1,IF(ISNA(MATCH(1,INDEX(EXACT('Casillas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10-4"&amp;CHAR(31)&amp;$A8&amp;CHAR(31)&amp;D$3)*1,0),0))))&amp;" (+"&amp;(SUMPRODUCT(1*EXACT('Casillas del horario'!$S$4:$S$73,"Profesor de Lit-L en 10-4"&amp;CHAR(31)&amp;$A8&amp;CHAR(31)&amp;D$3))-1)&amp;")",IF(ISNA(MATCH(1,INDEX(EXACT('Casillas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10-4"&amp;CHAR(31)&amp;$A8&amp;CHAR(31)&amp;D$3)*1,0),0)))))</f>
        <v/>
      </c>
      <c r="E8" s="3">
        <f>IF(SUMPRODUCT(1*EXACT('Casillas del horario'!$S$4:$S$73,"Profesor de Lit-L en 10-4"&amp;CHAR(31)&amp;$A8&amp;CHAR(31)&amp;E$3))&gt;1,IF(ISNA(MATCH(1,INDEX(EXACT('Casillas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10-4"&amp;CHAR(31)&amp;$A8&amp;CHAR(31)&amp;E$3)*1,0),0))))&amp;" (+"&amp;(SUMPRODUCT(1*EXACT('Casillas del horario'!$S$4:$S$73,"Profesor de Lit-L en 10-4"&amp;CHAR(31)&amp;$A8&amp;CHAR(31)&amp;E$3))-1)&amp;")",IF(ISNA(MATCH(1,INDEX(EXACT('Casillas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10-4"&amp;CHAR(31)&amp;$A8&amp;CHAR(31)&amp;E$3)*1,0),0)))))</f>
        <v/>
      </c>
      <c r="F8" s="3">
        <f>IF(SUMPRODUCT(1*EXACT('Casillas del horario'!$S$4:$S$73,"Profesor de Lit-L en 10-4"&amp;CHAR(31)&amp;$A8&amp;CHAR(31)&amp;F$3))&gt;1,IF(ISNA(MATCH(1,INDEX(EXACT('Casillas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10-4"&amp;CHAR(31)&amp;$A8&amp;CHAR(31)&amp;F$3)*1,0),0))))&amp;" (+"&amp;(SUMPRODUCT(1*EXACT('Casillas del horario'!$S$4:$S$73,"Profesor de Lit-L en 10-4"&amp;CHAR(31)&amp;$A8&amp;CHAR(31)&amp;F$3))-1)&amp;")",IF(ISNA(MATCH(1,INDEX(EXACT('Casillas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10-4"&amp;CHAR(31)&amp;$A9&amp;CHAR(31)&amp;B$3))&gt;1,IF(ISNA(MATCH(1,INDEX(EXACT('Casillas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10-4"&amp;CHAR(31)&amp;$A9&amp;CHAR(31)&amp;B$3)*1,0),0))))&amp;" (+"&amp;(SUMPRODUCT(1*EXACT('Casillas del horario'!$S$4:$S$73,"Profesor de Lit-L en 10-4"&amp;CHAR(31)&amp;$A9&amp;CHAR(31)&amp;B$3))-1)&amp;")",IF(ISNA(MATCH(1,INDEX(EXACT('Casillas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10-4"&amp;CHAR(31)&amp;$A9&amp;CHAR(31)&amp;B$3)*1,0),0)))))</f>
        <v/>
      </c>
      <c r="C9" s="3">
        <f>IF(SUMPRODUCT(1*EXACT('Casillas del horario'!$S$4:$S$73,"Profesor de Lit-L en 10-4"&amp;CHAR(31)&amp;$A9&amp;CHAR(31)&amp;C$3))&gt;1,IF(ISNA(MATCH(1,INDEX(EXACT('Casillas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10-4"&amp;CHAR(31)&amp;$A9&amp;CHAR(31)&amp;C$3)*1,0),0))))&amp;" (+"&amp;(SUMPRODUCT(1*EXACT('Casillas del horario'!$S$4:$S$73,"Profesor de Lit-L en 10-4"&amp;CHAR(31)&amp;$A9&amp;CHAR(31)&amp;C$3))-1)&amp;")",IF(ISNA(MATCH(1,INDEX(EXACT('Casillas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10-4"&amp;CHAR(31)&amp;$A9&amp;CHAR(31)&amp;C$3)*1,0),0)))))</f>
        <v/>
      </c>
      <c r="D9" s="3">
        <f>IF(SUMPRODUCT(1*EXACT('Casillas del horario'!$S$4:$S$73,"Profesor de Lit-L en 10-4"&amp;CHAR(31)&amp;$A9&amp;CHAR(31)&amp;D$3))&gt;1,IF(ISNA(MATCH(1,INDEX(EXACT('Casillas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10-4"&amp;CHAR(31)&amp;$A9&amp;CHAR(31)&amp;D$3)*1,0),0))))&amp;" (+"&amp;(SUMPRODUCT(1*EXACT('Casillas del horario'!$S$4:$S$73,"Profesor de Lit-L en 10-4"&amp;CHAR(31)&amp;$A9&amp;CHAR(31)&amp;D$3))-1)&amp;")",IF(ISNA(MATCH(1,INDEX(EXACT('Casillas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10-4"&amp;CHAR(31)&amp;$A9&amp;CHAR(31)&amp;D$3)*1,0),0)))))</f>
        <v/>
      </c>
      <c r="E9" s="3">
        <f>IF(SUMPRODUCT(1*EXACT('Casillas del horario'!$S$4:$S$73,"Profesor de Lit-L en 10-4"&amp;CHAR(31)&amp;$A9&amp;CHAR(31)&amp;E$3))&gt;1,IF(ISNA(MATCH(1,INDEX(EXACT('Casillas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10-4"&amp;CHAR(31)&amp;$A9&amp;CHAR(31)&amp;E$3)*1,0),0))))&amp;" (+"&amp;(SUMPRODUCT(1*EXACT('Casillas del horario'!$S$4:$S$73,"Profesor de Lit-L en 10-4"&amp;CHAR(31)&amp;$A9&amp;CHAR(31)&amp;E$3))-1)&amp;")",IF(ISNA(MATCH(1,INDEX(EXACT('Casillas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10-4"&amp;CHAR(31)&amp;$A9&amp;CHAR(31)&amp;E$3)*1,0),0)))))</f>
        <v/>
      </c>
      <c r="F9" s="3">
        <f>IF(SUMPRODUCT(1*EXACT('Casillas del horario'!$S$4:$S$73,"Profesor de Lit-L en 10-4"&amp;CHAR(31)&amp;$A9&amp;CHAR(31)&amp;F$3))&gt;1,IF(ISNA(MATCH(1,INDEX(EXACT('Casillas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10-4"&amp;CHAR(31)&amp;$A9&amp;CHAR(31)&amp;F$3)*1,0),0))))&amp;" (+"&amp;(SUMPRODUCT(1*EXACT('Casillas del horario'!$S$4:$S$73,"Profesor de Lit-L en 10-4"&amp;CHAR(31)&amp;$A9&amp;CHAR(31)&amp;F$3))-1)&amp;")",IF(ISNA(MATCH(1,INDEX(EXACT('Casillas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10-4"&amp;CHAR(31)&amp;$A10&amp;CHAR(31)&amp;B$3))&gt;1,IF(ISNA(MATCH(1,INDEX(EXACT('Casillas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10-4"&amp;CHAR(31)&amp;$A10&amp;CHAR(31)&amp;B$3)*1,0),0))))&amp;" (+"&amp;(SUMPRODUCT(1*EXACT('Casillas del horario'!$S$4:$S$73,"Profesor de Lit-L en 10-4"&amp;CHAR(31)&amp;$A10&amp;CHAR(31)&amp;B$3))-1)&amp;")",IF(ISNA(MATCH(1,INDEX(EXACT('Casillas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10-4"&amp;CHAR(31)&amp;$A10&amp;CHAR(31)&amp;B$3)*1,0),0)))))</f>
        <v/>
      </c>
      <c r="C10" s="3">
        <f>IF(SUMPRODUCT(1*EXACT('Casillas del horario'!$S$4:$S$73,"Profesor de Lit-L en 10-4"&amp;CHAR(31)&amp;$A10&amp;CHAR(31)&amp;C$3))&gt;1,IF(ISNA(MATCH(1,INDEX(EXACT('Casillas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10-4"&amp;CHAR(31)&amp;$A10&amp;CHAR(31)&amp;C$3)*1,0),0))))&amp;" (+"&amp;(SUMPRODUCT(1*EXACT('Casillas del horario'!$S$4:$S$73,"Profesor de Lit-L en 10-4"&amp;CHAR(31)&amp;$A10&amp;CHAR(31)&amp;C$3))-1)&amp;")",IF(ISNA(MATCH(1,INDEX(EXACT('Casillas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10-4"&amp;CHAR(31)&amp;$A10&amp;CHAR(31)&amp;C$3)*1,0),0)))))</f>
        <v/>
      </c>
      <c r="D10" s="3">
        <f>IF(SUMPRODUCT(1*EXACT('Casillas del horario'!$S$4:$S$73,"Profesor de Lit-L en 10-4"&amp;CHAR(31)&amp;$A10&amp;CHAR(31)&amp;D$3))&gt;1,IF(ISNA(MATCH(1,INDEX(EXACT('Casillas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10-4"&amp;CHAR(31)&amp;$A10&amp;CHAR(31)&amp;D$3)*1,0),0))))&amp;" (+"&amp;(SUMPRODUCT(1*EXACT('Casillas del horario'!$S$4:$S$73,"Profesor de Lit-L en 10-4"&amp;CHAR(31)&amp;$A10&amp;CHAR(31)&amp;D$3))-1)&amp;")",IF(ISNA(MATCH(1,INDEX(EXACT('Casillas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10-4"&amp;CHAR(31)&amp;$A10&amp;CHAR(31)&amp;D$3)*1,0),0)))))</f>
        <v/>
      </c>
      <c r="E10" s="3">
        <f>IF(SUMPRODUCT(1*EXACT('Casillas del horario'!$S$4:$S$73,"Profesor de Lit-L en 10-4"&amp;CHAR(31)&amp;$A10&amp;CHAR(31)&amp;E$3))&gt;1,IF(ISNA(MATCH(1,INDEX(EXACT('Casillas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10-4"&amp;CHAR(31)&amp;$A10&amp;CHAR(31)&amp;E$3)*1,0),0))))&amp;" (+"&amp;(SUMPRODUCT(1*EXACT('Casillas del horario'!$S$4:$S$73,"Profesor de Lit-L en 10-4"&amp;CHAR(31)&amp;$A10&amp;CHAR(31)&amp;E$3))-1)&amp;")",IF(ISNA(MATCH(1,INDEX(EXACT('Casillas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10-4"&amp;CHAR(31)&amp;$A10&amp;CHAR(31)&amp;E$3)*1,0),0)))))</f>
        <v/>
      </c>
      <c r="F10" s="3">
        <f>IF(SUMPRODUCT(1*EXACT('Casillas del horario'!$S$4:$S$73,"Profesor de Lit-L en 10-4"&amp;CHAR(31)&amp;$A10&amp;CHAR(31)&amp;F$3))&gt;1,IF(ISNA(MATCH(1,INDEX(EXACT('Casillas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10-4"&amp;CHAR(31)&amp;$A10&amp;CHAR(31)&amp;F$3)*1,0),0))))&amp;" (+"&amp;(SUMPRODUCT(1*EXACT('Casillas del horario'!$S$4:$S$73,"Profesor de Lit-L en 10-4"&amp;CHAR(31)&amp;$A10&amp;CHAR(31)&amp;F$3))-1)&amp;")",IF(ISNA(MATCH(1,INDEX(EXACT('Casillas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10-4"&amp;CHAR(31)&amp;$A4&amp;CHAR(31)&amp;B$3))&gt;1,IF(ISNA(MATCH(1,INDEX(EXACT('Casillas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10-4"&amp;CHAR(31)&amp;$A4&amp;CHAR(31)&amp;B$3)*1,0),0))))&amp;" (+"&amp;(SUMPRODUCT(1*EXACT('Casillas del horario'!$S$4:$S$73,"Profesor de F en 10-4"&amp;CHAR(31)&amp;$A4&amp;CHAR(31)&amp;B$3))-1)&amp;")",IF(ISNA(MATCH(1,INDEX(EXACT('Casillas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10-4"&amp;CHAR(31)&amp;$A4&amp;CHAR(31)&amp;B$3)*1,0),0)))))</f>
        <v/>
      </c>
      <c r="C4" s="3">
        <f>IF(SUMPRODUCT(1*EXACT('Casillas del horario'!$S$4:$S$73,"Profesor de F en 10-4"&amp;CHAR(31)&amp;$A4&amp;CHAR(31)&amp;C$3))&gt;1,IF(ISNA(MATCH(1,INDEX(EXACT('Casillas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10-4"&amp;CHAR(31)&amp;$A4&amp;CHAR(31)&amp;C$3)*1,0),0))))&amp;" (+"&amp;(SUMPRODUCT(1*EXACT('Casillas del horario'!$S$4:$S$73,"Profesor de F en 10-4"&amp;CHAR(31)&amp;$A4&amp;CHAR(31)&amp;C$3))-1)&amp;")",IF(ISNA(MATCH(1,INDEX(EXACT('Casillas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10-4"&amp;CHAR(31)&amp;$A4&amp;CHAR(31)&amp;C$3)*1,0),0)))))</f>
        <v/>
      </c>
      <c r="D4" s="3">
        <f>IF(SUMPRODUCT(1*EXACT('Casillas del horario'!$S$4:$S$73,"Profesor de F en 10-4"&amp;CHAR(31)&amp;$A4&amp;CHAR(31)&amp;D$3))&gt;1,IF(ISNA(MATCH(1,INDEX(EXACT('Casillas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10-4"&amp;CHAR(31)&amp;$A4&amp;CHAR(31)&amp;D$3)*1,0),0))))&amp;" (+"&amp;(SUMPRODUCT(1*EXACT('Casillas del horario'!$S$4:$S$73,"Profesor de F en 10-4"&amp;CHAR(31)&amp;$A4&amp;CHAR(31)&amp;D$3))-1)&amp;")",IF(ISNA(MATCH(1,INDEX(EXACT('Casillas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10-4"&amp;CHAR(31)&amp;$A4&amp;CHAR(31)&amp;D$3)*1,0),0)))))</f>
        <v/>
      </c>
      <c r="E4" s="3">
        <f>IF(SUMPRODUCT(1*EXACT('Casillas del horario'!$S$4:$S$73,"Profesor de F en 10-4"&amp;CHAR(31)&amp;$A4&amp;CHAR(31)&amp;E$3))&gt;1,IF(ISNA(MATCH(1,INDEX(EXACT('Casillas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10-4"&amp;CHAR(31)&amp;$A4&amp;CHAR(31)&amp;E$3)*1,0),0))))&amp;" (+"&amp;(SUMPRODUCT(1*EXACT('Casillas del horario'!$S$4:$S$73,"Profesor de F en 10-4"&amp;CHAR(31)&amp;$A4&amp;CHAR(31)&amp;E$3))-1)&amp;")",IF(ISNA(MATCH(1,INDEX(EXACT('Casillas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10-4"&amp;CHAR(31)&amp;$A4&amp;CHAR(31)&amp;E$3)*1,0),0)))))</f>
        <v/>
      </c>
      <c r="F4" s="3">
        <f>IF(SUMPRODUCT(1*EXACT('Casillas del horario'!$S$4:$S$73,"Profesor de F en 10-4"&amp;CHAR(31)&amp;$A4&amp;CHAR(31)&amp;F$3))&gt;1,IF(ISNA(MATCH(1,INDEX(EXACT('Casillas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10-4"&amp;CHAR(31)&amp;$A4&amp;CHAR(31)&amp;F$3)*1,0),0))))&amp;" (+"&amp;(SUMPRODUCT(1*EXACT('Casillas del horario'!$S$4:$S$73,"Profesor de F en 10-4"&amp;CHAR(31)&amp;$A4&amp;CHAR(31)&amp;F$3))-1)&amp;")",IF(ISNA(MATCH(1,INDEX(EXACT('Casillas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10-4"&amp;CHAR(31)&amp;$A5&amp;CHAR(31)&amp;B$3))&gt;1,IF(ISNA(MATCH(1,INDEX(EXACT('Casillas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10-4"&amp;CHAR(31)&amp;$A5&amp;CHAR(31)&amp;B$3)*1,0),0))))&amp;" (+"&amp;(SUMPRODUCT(1*EXACT('Casillas del horario'!$S$4:$S$73,"Profesor de F en 10-4"&amp;CHAR(31)&amp;$A5&amp;CHAR(31)&amp;B$3))-1)&amp;")",IF(ISNA(MATCH(1,INDEX(EXACT('Casillas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10-4"&amp;CHAR(31)&amp;$A5&amp;CHAR(31)&amp;B$3)*1,0),0)))))</f>
        <v/>
      </c>
      <c r="C5" s="3">
        <f>IF(SUMPRODUCT(1*EXACT('Casillas del horario'!$S$4:$S$73,"Profesor de F en 10-4"&amp;CHAR(31)&amp;$A5&amp;CHAR(31)&amp;C$3))&gt;1,IF(ISNA(MATCH(1,INDEX(EXACT('Casillas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10-4"&amp;CHAR(31)&amp;$A5&amp;CHAR(31)&amp;C$3)*1,0),0))))&amp;" (+"&amp;(SUMPRODUCT(1*EXACT('Casillas del horario'!$S$4:$S$73,"Profesor de F en 10-4"&amp;CHAR(31)&amp;$A5&amp;CHAR(31)&amp;C$3))-1)&amp;")",IF(ISNA(MATCH(1,INDEX(EXACT('Casillas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10-4"&amp;CHAR(31)&amp;$A5&amp;CHAR(31)&amp;C$3)*1,0),0)))))</f>
        <v/>
      </c>
      <c r="D5" s="3">
        <f>IF(SUMPRODUCT(1*EXACT('Casillas del horario'!$S$4:$S$73,"Profesor de F en 10-4"&amp;CHAR(31)&amp;$A5&amp;CHAR(31)&amp;D$3))&gt;1,IF(ISNA(MATCH(1,INDEX(EXACT('Casillas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10-4"&amp;CHAR(31)&amp;$A5&amp;CHAR(31)&amp;D$3)*1,0),0))))&amp;" (+"&amp;(SUMPRODUCT(1*EXACT('Casillas del horario'!$S$4:$S$73,"Profesor de F en 10-4"&amp;CHAR(31)&amp;$A5&amp;CHAR(31)&amp;D$3))-1)&amp;")",IF(ISNA(MATCH(1,INDEX(EXACT('Casillas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10-4"&amp;CHAR(31)&amp;$A5&amp;CHAR(31)&amp;D$3)*1,0),0)))))</f>
        <v/>
      </c>
      <c r="E5" s="3">
        <f>IF(SUMPRODUCT(1*EXACT('Casillas del horario'!$S$4:$S$73,"Profesor de F en 10-4"&amp;CHAR(31)&amp;$A5&amp;CHAR(31)&amp;E$3))&gt;1,IF(ISNA(MATCH(1,INDEX(EXACT('Casillas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10-4"&amp;CHAR(31)&amp;$A5&amp;CHAR(31)&amp;E$3)*1,0),0))))&amp;" (+"&amp;(SUMPRODUCT(1*EXACT('Casillas del horario'!$S$4:$S$73,"Profesor de F en 10-4"&amp;CHAR(31)&amp;$A5&amp;CHAR(31)&amp;E$3))-1)&amp;")",IF(ISNA(MATCH(1,INDEX(EXACT('Casillas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10-4"&amp;CHAR(31)&amp;$A5&amp;CHAR(31)&amp;E$3)*1,0),0)))))</f>
        <v/>
      </c>
      <c r="F5" s="3">
        <f>IF(SUMPRODUCT(1*EXACT('Casillas del horario'!$S$4:$S$73,"Profesor de F en 10-4"&amp;CHAR(31)&amp;$A5&amp;CHAR(31)&amp;F$3))&gt;1,IF(ISNA(MATCH(1,INDEX(EXACT('Casillas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10-4"&amp;CHAR(31)&amp;$A5&amp;CHAR(31)&amp;F$3)*1,0),0))))&amp;" (+"&amp;(SUMPRODUCT(1*EXACT('Casillas del horario'!$S$4:$S$73,"Profesor de F en 10-4"&amp;CHAR(31)&amp;$A5&amp;CHAR(31)&amp;F$3))-1)&amp;")",IF(ISNA(MATCH(1,INDEX(EXACT('Casillas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10-4"&amp;CHAR(31)&amp;$A6&amp;CHAR(31)&amp;B$3))&gt;1,IF(ISNA(MATCH(1,INDEX(EXACT('Casillas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10-4"&amp;CHAR(31)&amp;$A6&amp;CHAR(31)&amp;B$3)*1,0),0))))&amp;" (+"&amp;(SUMPRODUCT(1*EXACT('Casillas del horario'!$S$4:$S$73,"Profesor de F en 10-4"&amp;CHAR(31)&amp;$A6&amp;CHAR(31)&amp;B$3))-1)&amp;")",IF(ISNA(MATCH(1,INDEX(EXACT('Casillas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10-4"&amp;CHAR(31)&amp;$A6&amp;CHAR(31)&amp;B$3)*1,0),0)))))</f>
        <v/>
      </c>
      <c r="C6" s="3">
        <f>IF(SUMPRODUCT(1*EXACT('Casillas del horario'!$S$4:$S$73,"Profesor de F en 10-4"&amp;CHAR(31)&amp;$A6&amp;CHAR(31)&amp;C$3))&gt;1,IF(ISNA(MATCH(1,INDEX(EXACT('Casillas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10-4"&amp;CHAR(31)&amp;$A6&amp;CHAR(31)&amp;C$3)*1,0),0))))&amp;" (+"&amp;(SUMPRODUCT(1*EXACT('Casillas del horario'!$S$4:$S$73,"Profesor de F en 10-4"&amp;CHAR(31)&amp;$A6&amp;CHAR(31)&amp;C$3))-1)&amp;")",IF(ISNA(MATCH(1,INDEX(EXACT('Casillas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10-4"&amp;CHAR(31)&amp;$A6&amp;CHAR(31)&amp;C$3)*1,0),0)))))</f>
        <v/>
      </c>
      <c r="D6" s="3">
        <f>IF(SUMPRODUCT(1*EXACT('Casillas del horario'!$S$4:$S$73,"Profesor de F en 10-4"&amp;CHAR(31)&amp;$A6&amp;CHAR(31)&amp;D$3))&gt;1,IF(ISNA(MATCH(1,INDEX(EXACT('Casillas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10-4"&amp;CHAR(31)&amp;$A6&amp;CHAR(31)&amp;D$3)*1,0),0))))&amp;" (+"&amp;(SUMPRODUCT(1*EXACT('Casillas del horario'!$S$4:$S$73,"Profesor de F en 10-4"&amp;CHAR(31)&amp;$A6&amp;CHAR(31)&amp;D$3))-1)&amp;")",IF(ISNA(MATCH(1,INDEX(EXACT('Casillas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10-4"&amp;CHAR(31)&amp;$A6&amp;CHAR(31)&amp;D$3)*1,0),0)))))</f>
        <v/>
      </c>
      <c r="E6" s="3">
        <f>IF(SUMPRODUCT(1*EXACT('Casillas del horario'!$S$4:$S$73,"Profesor de F en 10-4"&amp;CHAR(31)&amp;$A6&amp;CHAR(31)&amp;E$3))&gt;1,IF(ISNA(MATCH(1,INDEX(EXACT('Casillas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10-4"&amp;CHAR(31)&amp;$A6&amp;CHAR(31)&amp;E$3)*1,0),0))))&amp;" (+"&amp;(SUMPRODUCT(1*EXACT('Casillas del horario'!$S$4:$S$73,"Profesor de F en 10-4"&amp;CHAR(31)&amp;$A6&amp;CHAR(31)&amp;E$3))-1)&amp;")",IF(ISNA(MATCH(1,INDEX(EXACT('Casillas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10-4"&amp;CHAR(31)&amp;$A6&amp;CHAR(31)&amp;E$3)*1,0),0)))))</f>
        <v/>
      </c>
      <c r="F6" s="3">
        <f>IF(SUMPRODUCT(1*EXACT('Casillas del horario'!$S$4:$S$73,"Profesor de F en 10-4"&amp;CHAR(31)&amp;$A6&amp;CHAR(31)&amp;F$3))&gt;1,IF(ISNA(MATCH(1,INDEX(EXACT('Casillas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10-4"&amp;CHAR(31)&amp;$A6&amp;CHAR(31)&amp;F$3)*1,0),0))))&amp;" (+"&amp;(SUMPRODUCT(1*EXACT('Casillas del horario'!$S$4:$S$73,"Profesor de F en 10-4"&amp;CHAR(31)&amp;$A6&amp;CHAR(31)&amp;F$3))-1)&amp;")",IF(ISNA(MATCH(1,INDEX(EXACT('Casillas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10-4"&amp;CHAR(31)&amp;$A7&amp;CHAR(31)&amp;B$3))&gt;1,IF(ISNA(MATCH(1,INDEX(EXACT('Casillas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10-4"&amp;CHAR(31)&amp;$A7&amp;CHAR(31)&amp;B$3)*1,0),0))))&amp;" (+"&amp;(SUMPRODUCT(1*EXACT('Casillas del horario'!$S$4:$S$73,"Profesor de F en 10-4"&amp;CHAR(31)&amp;$A7&amp;CHAR(31)&amp;B$3))-1)&amp;")",IF(ISNA(MATCH(1,INDEX(EXACT('Casillas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10-4"&amp;CHAR(31)&amp;$A7&amp;CHAR(31)&amp;B$3)*1,0),0)))))</f>
        <v/>
      </c>
      <c r="C7" s="3">
        <f>IF(SUMPRODUCT(1*EXACT('Casillas del horario'!$S$4:$S$73,"Profesor de F en 10-4"&amp;CHAR(31)&amp;$A7&amp;CHAR(31)&amp;C$3))&gt;1,IF(ISNA(MATCH(1,INDEX(EXACT('Casillas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10-4"&amp;CHAR(31)&amp;$A7&amp;CHAR(31)&amp;C$3)*1,0),0))))&amp;" (+"&amp;(SUMPRODUCT(1*EXACT('Casillas del horario'!$S$4:$S$73,"Profesor de F en 10-4"&amp;CHAR(31)&amp;$A7&amp;CHAR(31)&amp;C$3))-1)&amp;")",IF(ISNA(MATCH(1,INDEX(EXACT('Casillas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10-4"&amp;CHAR(31)&amp;$A7&amp;CHAR(31)&amp;C$3)*1,0),0)))))</f>
        <v/>
      </c>
      <c r="D7" s="3">
        <f>IF(SUMPRODUCT(1*EXACT('Casillas del horario'!$S$4:$S$73,"Profesor de F en 10-4"&amp;CHAR(31)&amp;$A7&amp;CHAR(31)&amp;D$3))&gt;1,IF(ISNA(MATCH(1,INDEX(EXACT('Casillas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10-4"&amp;CHAR(31)&amp;$A7&amp;CHAR(31)&amp;D$3)*1,0),0))))&amp;" (+"&amp;(SUMPRODUCT(1*EXACT('Casillas del horario'!$S$4:$S$73,"Profesor de F en 10-4"&amp;CHAR(31)&amp;$A7&amp;CHAR(31)&amp;D$3))-1)&amp;")",IF(ISNA(MATCH(1,INDEX(EXACT('Casillas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10-4"&amp;CHAR(31)&amp;$A7&amp;CHAR(31)&amp;D$3)*1,0),0)))))</f>
        <v/>
      </c>
      <c r="E7" s="3">
        <f>IF(SUMPRODUCT(1*EXACT('Casillas del horario'!$S$4:$S$73,"Profesor de F en 10-4"&amp;CHAR(31)&amp;$A7&amp;CHAR(31)&amp;E$3))&gt;1,IF(ISNA(MATCH(1,INDEX(EXACT('Casillas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10-4"&amp;CHAR(31)&amp;$A7&amp;CHAR(31)&amp;E$3)*1,0),0))))&amp;" (+"&amp;(SUMPRODUCT(1*EXACT('Casillas del horario'!$S$4:$S$73,"Profesor de F en 10-4"&amp;CHAR(31)&amp;$A7&amp;CHAR(31)&amp;E$3))-1)&amp;")",IF(ISNA(MATCH(1,INDEX(EXACT('Casillas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10-4"&amp;CHAR(31)&amp;$A7&amp;CHAR(31)&amp;E$3)*1,0),0)))))</f>
        <v/>
      </c>
      <c r="F7" s="3">
        <f>IF(SUMPRODUCT(1*EXACT('Casillas del horario'!$S$4:$S$73,"Profesor de F en 10-4"&amp;CHAR(31)&amp;$A7&amp;CHAR(31)&amp;F$3))&gt;1,IF(ISNA(MATCH(1,INDEX(EXACT('Casillas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10-4"&amp;CHAR(31)&amp;$A7&amp;CHAR(31)&amp;F$3)*1,0),0))))&amp;" (+"&amp;(SUMPRODUCT(1*EXACT('Casillas del horario'!$S$4:$S$73,"Profesor de F en 10-4"&amp;CHAR(31)&amp;$A7&amp;CHAR(31)&amp;F$3))-1)&amp;")",IF(ISNA(MATCH(1,INDEX(EXACT('Casillas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10-4"&amp;CHAR(31)&amp;$A8&amp;CHAR(31)&amp;B$3))&gt;1,IF(ISNA(MATCH(1,INDEX(EXACT('Casillas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10-4"&amp;CHAR(31)&amp;$A8&amp;CHAR(31)&amp;B$3)*1,0),0))))&amp;" (+"&amp;(SUMPRODUCT(1*EXACT('Casillas del horario'!$S$4:$S$73,"Profesor de F en 10-4"&amp;CHAR(31)&amp;$A8&amp;CHAR(31)&amp;B$3))-1)&amp;")",IF(ISNA(MATCH(1,INDEX(EXACT('Casillas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10-4"&amp;CHAR(31)&amp;$A8&amp;CHAR(31)&amp;B$3)*1,0),0)))))</f>
        <v/>
      </c>
      <c r="C8" s="3">
        <f>IF(SUMPRODUCT(1*EXACT('Casillas del horario'!$S$4:$S$73,"Profesor de F en 10-4"&amp;CHAR(31)&amp;$A8&amp;CHAR(31)&amp;C$3))&gt;1,IF(ISNA(MATCH(1,INDEX(EXACT('Casillas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10-4"&amp;CHAR(31)&amp;$A8&amp;CHAR(31)&amp;C$3)*1,0),0))))&amp;" (+"&amp;(SUMPRODUCT(1*EXACT('Casillas del horario'!$S$4:$S$73,"Profesor de F en 10-4"&amp;CHAR(31)&amp;$A8&amp;CHAR(31)&amp;C$3))-1)&amp;")",IF(ISNA(MATCH(1,INDEX(EXACT('Casillas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10-4"&amp;CHAR(31)&amp;$A8&amp;CHAR(31)&amp;C$3)*1,0),0)))))</f>
        <v/>
      </c>
      <c r="D8" s="3">
        <f>IF(SUMPRODUCT(1*EXACT('Casillas del horario'!$S$4:$S$73,"Profesor de F en 10-4"&amp;CHAR(31)&amp;$A8&amp;CHAR(31)&amp;D$3))&gt;1,IF(ISNA(MATCH(1,INDEX(EXACT('Casillas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10-4"&amp;CHAR(31)&amp;$A8&amp;CHAR(31)&amp;D$3)*1,0),0))))&amp;" (+"&amp;(SUMPRODUCT(1*EXACT('Casillas del horario'!$S$4:$S$73,"Profesor de F en 10-4"&amp;CHAR(31)&amp;$A8&amp;CHAR(31)&amp;D$3))-1)&amp;")",IF(ISNA(MATCH(1,INDEX(EXACT('Casillas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10-4"&amp;CHAR(31)&amp;$A8&amp;CHAR(31)&amp;D$3)*1,0),0)))))</f>
        <v/>
      </c>
      <c r="E8" s="3">
        <f>IF(SUMPRODUCT(1*EXACT('Casillas del horario'!$S$4:$S$73,"Profesor de F en 10-4"&amp;CHAR(31)&amp;$A8&amp;CHAR(31)&amp;E$3))&gt;1,IF(ISNA(MATCH(1,INDEX(EXACT('Casillas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10-4"&amp;CHAR(31)&amp;$A8&amp;CHAR(31)&amp;E$3)*1,0),0))))&amp;" (+"&amp;(SUMPRODUCT(1*EXACT('Casillas del horario'!$S$4:$S$73,"Profesor de F en 10-4"&amp;CHAR(31)&amp;$A8&amp;CHAR(31)&amp;E$3))-1)&amp;")",IF(ISNA(MATCH(1,INDEX(EXACT('Casillas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10-4"&amp;CHAR(31)&amp;$A8&amp;CHAR(31)&amp;E$3)*1,0),0)))))</f>
        <v/>
      </c>
      <c r="F8" s="3">
        <f>IF(SUMPRODUCT(1*EXACT('Casillas del horario'!$S$4:$S$73,"Profesor de F en 10-4"&amp;CHAR(31)&amp;$A8&amp;CHAR(31)&amp;F$3))&gt;1,IF(ISNA(MATCH(1,INDEX(EXACT('Casillas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10-4"&amp;CHAR(31)&amp;$A8&amp;CHAR(31)&amp;F$3)*1,0),0))))&amp;" (+"&amp;(SUMPRODUCT(1*EXACT('Casillas del horario'!$S$4:$S$73,"Profesor de F en 10-4"&amp;CHAR(31)&amp;$A8&amp;CHAR(31)&amp;F$3))-1)&amp;")",IF(ISNA(MATCH(1,INDEX(EXACT('Casillas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10-4"&amp;CHAR(31)&amp;$A9&amp;CHAR(31)&amp;B$3))&gt;1,IF(ISNA(MATCH(1,INDEX(EXACT('Casillas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10-4"&amp;CHAR(31)&amp;$A9&amp;CHAR(31)&amp;B$3)*1,0),0))))&amp;" (+"&amp;(SUMPRODUCT(1*EXACT('Casillas del horario'!$S$4:$S$73,"Profesor de F en 10-4"&amp;CHAR(31)&amp;$A9&amp;CHAR(31)&amp;B$3))-1)&amp;")",IF(ISNA(MATCH(1,INDEX(EXACT('Casillas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10-4"&amp;CHAR(31)&amp;$A9&amp;CHAR(31)&amp;B$3)*1,0),0)))))</f>
        <v/>
      </c>
      <c r="C9" s="3">
        <f>IF(SUMPRODUCT(1*EXACT('Casillas del horario'!$S$4:$S$73,"Profesor de F en 10-4"&amp;CHAR(31)&amp;$A9&amp;CHAR(31)&amp;C$3))&gt;1,IF(ISNA(MATCH(1,INDEX(EXACT('Casillas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10-4"&amp;CHAR(31)&amp;$A9&amp;CHAR(31)&amp;C$3)*1,0),0))))&amp;" (+"&amp;(SUMPRODUCT(1*EXACT('Casillas del horario'!$S$4:$S$73,"Profesor de F en 10-4"&amp;CHAR(31)&amp;$A9&amp;CHAR(31)&amp;C$3))-1)&amp;")",IF(ISNA(MATCH(1,INDEX(EXACT('Casillas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10-4"&amp;CHAR(31)&amp;$A9&amp;CHAR(31)&amp;C$3)*1,0),0)))))</f>
        <v/>
      </c>
      <c r="D9" s="3">
        <f>IF(SUMPRODUCT(1*EXACT('Casillas del horario'!$S$4:$S$73,"Profesor de F en 10-4"&amp;CHAR(31)&amp;$A9&amp;CHAR(31)&amp;D$3))&gt;1,IF(ISNA(MATCH(1,INDEX(EXACT('Casillas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10-4"&amp;CHAR(31)&amp;$A9&amp;CHAR(31)&amp;D$3)*1,0),0))))&amp;" (+"&amp;(SUMPRODUCT(1*EXACT('Casillas del horario'!$S$4:$S$73,"Profesor de F en 10-4"&amp;CHAR(31)&amp;$A9&amp;CHAR(31)&amp;D$3))-1)&amp;")",IF(ISNA(MATCH(1,INDEX(EXACT('Casillas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10-4"&amp;CHAR(31)&amp;$A9&amp;CHAR(31)&amp;D$3)*1,0),0)))))</f>
        <v/>
      </c>
      <c r="E9" s="3">
        <f>IF(SUMPRODUCT(1*EXACT('Casillas del horario'!$S$4:$S$73,"Profesor de F en 10-4"&amp;CHAR(31)&amp;$A9&amp;CHAR(31)&amp;E$3))&gt;1,IF(ISNA(MATCH(1,INDEX(EXACT('Casillas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10-4"&amp;CHAR(31)&amp;$A9&amp;CHAR(31)&amp;E$3)*1,0),0))))&amp;" (+"&amp;(SUMPRODUCT(1*EXACT('Casillas del horario'!$S$4:$S$73,"Profesor de F en 10-4"&amp;CHAR(31)&amp;$A9&amp;CHAR(31)&amp;E$3))-1)&amp;")",IF(ISNA(MATCH(1,INDEX(EXACT('Casillas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10-4"&amp;CHAR(31)&amp;$A9&amp;CHAR(31)&amp;E$3)*1,0),0)))))</f>
        <v/>
      </c>
      <c r="F9" s="3">
        <f>IF(SUMPRODUCT(1*EXACT('Casillas del horario'!$S$4:$S$73,"Profesor de F en 10-4"&amp;CHAR(31)&amp;$A9&amp;CHAR(31)&amp;F$3))&gt;1,IF(ISNA(MATCH(1,INDEX(EXACT('Casillas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10-4"&amp;CHAR(31)&amp;$A9&amp;CHAR(31)&amp;F$3)*1,0),0))))&amp;" (+"&amp;(SUMPRODUCT(1*EXACT('Casillas del horario'!$S$4:$S$73,"Profesor de F en 10-4"&amp;CHAR(31)&amp;$A9&amp;CHAR(31)&amp;F$3))-1)&amp;")",IF(ISNA(MATCH(1,INDEX(EXACT('Casillas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10-4"&amp;CHAR(31)&amp;$A10&amp;CHAR(31)&amp;B$3))&gt;1,IF(ISNA(MATCH(1,INDEX(EXACT('Casillas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10-4"&amp;CHAR(31)&amp;$A10&amp;CHAR(31)&amp;B$3)*1,0),0))))&amp;" (+"&amp;(SUMPRODUCT(1*EXACT('Casillas del horario'!$S$4:$S$73,"Profesor de F en 10-4"&amp;CHAR(31)&amp;$A10&amp;CHAR(31)&amp;B$3))-1)&amp;")",IF(ISNA(MATCH(1,INDEX(EXACT('Casillas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10-4"&amp;CHAR(31)&amp;$A10&amp;CHAR(31)&amp;B$3)*1,0),0)))))</f>
        <v/>
      </c>
      <c r="C10" s="3">
        <f>IF(SUMPRODUCT(1*EXACT('Casillas del horario'!$S$4:$S$73,"Profesor de F en 10-4"&amp;CHAR(31)&amp;$A10&amp;CHAR(31)&amp;C$3))&gt;1,IF(ISNA(MATCH(1,INDEX(EXACT('Casillas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10-4"&amp;CHAR(31)&amp;$A10&amp;CHAR(31)&amp;C$3)*1,0),0))))&amp;" (+"&amp;(SUMPRODUCT(1*EXACT('Casillas del horario'!$S$4:$S$73,"Profesor de F en 10-4"&amp;CHAR(31)&amp;$A10&amp;CHAR(31)&amp;C$3))-1)&amp;")",IF(ISNA(MATCH(1,INDEX(EXACT('Casillas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10-4"&amp;CHAR(31)&amp;$A10&amp;CHAR(31)&amp;C$3)*1,0),0)))))</f>
        <v/>
      </c>
      <c r="D10" s="3">
        <f>IF(SUMPRODUCT(1*EXACT('Casillas del horario'!$S$4:$S$73,"Profesor de F en 10-4"&amp;CHAR(31)&amp;$A10&amp;CHAR(31)&amp;D$3))&gt;1,IF(ISNA(MATCH(1,INDEX(EXACT('Casillas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10-4"&amp;CHAR(31)&amp;$A10&amp;CHAR(31)&amp;D$3)*1,0),0))))&amp;" (+"&amp;(SUMPRODUCT(1*EXACT('Casillas del horario'!$S$4:$S$73,"Profesor de F en 10-4"&amp;CHAR(31)&amp;$A10&amp;CHAR(31)&amp;D$3))-1)&amp;")",IF(ISNA(MATCH(1,INDEX(EXACT('Casillas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10-4"&amp;CHAR(31)&amp;$A10&amp;CHAR(31)&amp;D$3)*1,0),0)))))</f>
        <v/>
      </c>
      <c r="E10" s="3">
        <f>IF(SUMPRODUCT(1*EXACT('Casillas del horario'!$S$4:$S$73,"Profesor de F en 10-4"&amp;CHAR(31)&amp;$A10&amp;CHAR(31)&amp;E$3))&gt;1,IF(ISNA(MATCH(1,INDEX(EXACT('Casillas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10-4"&amp;CHAR(31)&amp;$A10&amp;CHAR(31)&amp;E$3)*1,0),0))))&amp;" (+"&amp;(SUMPRODUCT(1*EXACT('Casillas del horario'!$S$4:$S$73,"Profesor de F en 10-4"&amp;CHAR(31)&amp;$A10&amp;CHAR(31)&amp;E$3))-1)&amp;")",IF(ISNA(MATCH(1,INDEX(EXACT('Casillas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10-4"&amp;CHAR(31)&amp;$A10&amp;CHAR(31)&amp;E$3)*1,0),0)))))</f>
        <v/>
      </c>
      <c r="F10" s="3">
        <f>IF(SUMPRODUCT(1*EXACT('Casillas del horario'!$S$4:$S$73,"Profesor de F en 10-4"&amp;CHAR(31)&amp;$A10&amp;CHAR(31)&amp;F$3))&gt;1,IF(ISNA(MATCH(1,INDEX(EXACT('Casillas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10-4"&amp;CHAR(31)&amp;$A10&amp;CHAR(31)&amp;F$3)*1,0),0))))&amp;" (+"&amp;(SUMPRODUCT(1*EXACT('Casillas del horario'!$S$4:$S$73,"Profesor de F en 10-4"&amp;CHAR(31)&amp;$A10&amp;CHAR(31)&amp;F$3))-1)&amp;")",IF(ISNA(MATCH(1,INDEX(EXACT('Casillas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10-4"&amp;CHAR(31)&amp;$A4&amp;CHAR(31)&amp;B$3))&gt;1,IF(ISNA(MATCH(1,INDEX(EXACT('Casillas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10-4"&amp;CHAR(31)&amp;$A4&amp;CHAR(31)&amp;B$3)*1,0),0))))&amp;" (+"&amp;(SUMPRODUCT(1*EXACT('Casillas del horario'!$S$4:$S$73,"Profesor de I en 10-4"&amp;CHAR(31)&amp;$A4&amp;CHAR(31)&amp;B$3))-1)&amp;")",IF(ISNA(MATCH(1,INDEX(EXACT('Casillas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10-4"&amp;CHAR(31)&amp;$A4&amp;CHAR(31)&amp;B$3)*1,0),0)))))</f>
        <v/>
      </c>
      <c r="C4" s="3">
        <f>IF(SUMPRODUCT(1*EXACT('Casillas del horario'!$S$4:$S$73,"Profesor de I en 10-4"&amp;CHAR(31)&amp;$A4&amp;CHAR(31)&amp;C$3))&gt;1,IF(ISNA(MATCH(1,INDEX(EXACT('Casillas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10-4"&amp;CHAR(31)&amp;$A4&amp;CHAR(31)&amp;C$3)*1,0),0))))&amp;" (+"&amp;(SUMPRODUCT(1*EXACT('Casillas del horario'!$S$4:$S$73,"Profesor de I en 10-4"&amp;CHAR(31)&amp;$A4&amp;CHAR(31)&amp;C$3))-1)&amp;")",IF(ISNA(MATCH(1,INDEX(EXACT('Casillas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10-4"&amp;CHAR(31)&amp;$A4&amp;CHAR(31)&amp;C$3)*1,0),0)))))</f>
        <v/>
      </c>
      <c r="D4" s="3">
        <f>IF(SUMPRODUCT(1*EXACT('Casillas del horario'!$S$4:$S$73,"Profesor de I en 10-4"&amp;CHAR(31)&amp;$A4&amp;CHAR(31)&amp;D$3))&gt;1,IF(ISNA(MATCH(1,INDEX(EXACT('Casillas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10-4"&amp;CHAR(31)&amp;$A4&amp;CHAR(31)&amp;D$3)*1,0),0))))&amp;" (+"&amp;(SUMPRODUCT(1*EXACT('Casillas del horario'!$S$4:$S$73,"Profesor de I en 10-4"&amp;CHAR(31)&amp;$A4&amp;CHAR(31)&amp;D$3))-1)&amp;")",IF(ISNA(MATCH(1,INDEX(EXACT('Casillas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10-4"&amp;CHAR(31)&amp;$A4&amp;CHAR(31)&amp;D$3)*1,0),0)))))</f>
        <v/>
      </c>
      <c r="E4" s="3">
        <f>IF(SUMPRODUCT(1*EXACT('Casillas del horario'!$S$4:$S$73,"Profesor de I en 10-4"&amp;CHAR(31)&amp;$A4&amp;CHAR(31)&amp;E$3))&gt;1,IF(ISNA(MATCH(1,INDEX(EXACT('Casillas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10-4"&amp;CHAR(31)&amp;$A4&amp;CHAR(31)&amp;E$3)*1,0),0))))&amp;" (+"&amp;(SUMPRODUCT(1*EXACT('Casillas del horario'!$S$4:$S$73,"Profesor de I en 10-4"&amp;CHAR(31)&amp;$A4&amp;CHAR(31)&amp;E$3))-1)&amp;")",IF(ISNA(MATCH(1,INDEX(EXACT('Casillas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10-4"&amp;CHAR(31)&amp;$A4&amp;CHAR(31)&amp;E$3)*1,0),0)))))</f>
        <v/>
      </c>
      <c r="F4" s="3">
        <f>IF(SUMPRODUCT(1*EXACT('Casillas del horario'!$S$4:$S$73,"Profesor de I en 10-4"&amp;CHAR(31)&amp;$A4&amp;CHAR(31)&amp;F$3))&gt;1,IF(ISNA(MATCH(1,INDEX(EXACT('Casillas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10-4"&amp;CHAR(31)&amp;$A4&amp;CHAR(31)&amp;F$3)*1,0),0))))&amp;" (+"&amp;(SUMPRODUCT(1*EXACT('Casillas del horario'!$S$4:$S$73,"Profesor de I en 10-4"&amp;CHAR(31)&amp;$A4&amp;CHAR(31)&amp;F$3))-1)&amp;")",IF(ISNA(MATCH(1,INDEX(EXACT('Casillas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10-4"&amp;CHAR(31)&amp;$A5&amp;CHAR(31)&amp;B$3))&gt;1,IF(ISNA(MATCH(1,INDEX(EXACT('Casillas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10-4"&amp;CHAR(31)&amp;$A5&amp;CHAR(31)&amp;B$3)*1,0),0))))&amp;" (+"&amp;(SUMPRODUCT(1*EXACT('Casillas del horario'!$S$4:$S$73,"Profesor de I en 10-4"&amp;CHAR(31)&amp;$A5&amp;CHAR(31)&amp;B$3))-1)&amp;")",IF(ISNA(MATCH(1,INDEX(EXACT('Casillas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10-4"&amp;CHAR(31)&amp;$A5&amp;CHAR(31)&amp;B$3)*1,0),0)))))</f>
        <v/>
      </c>
      <c r="C5" s="3">
        <f>IF(SUMPRODUCT(1*EXACT('Casillas del horario'!$S$4:$S$73,"Profesor de I en 10-4"&amp;CHAR(31)&amp;$A5&amp;CHAR(31)&amp;C$3))&gt;1,IF(ISNA(MATCH(1,INDEX(EXACT('Casillas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10-4"&amp;CHAR(31)&amp;$A5&amp;CHAR(31)&amp;C$3)*1,0),0))))&amp;" (+"&amp;(SUMPRODUCT(1*EXACT('Casillas del horario'!$S$4:$S$73,"Profesor de I en 10-4"&amp;CHAR(31)&amp;$A5&amp;CHAR(31)&amp;C$3))-1)&amp;")",IF(ISNA(MATCH(1,INDEX(EXACT('Casillas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10-4"&amp;CHAR(31)&amp;$A5&amp;CHAR(31)&amp;C$3)*1,0),0)))))</f>
        <v/>
      </c>
      <c r="D5" s="3">
        <f>IF(SUMPRODUCT(1*EXACT('Casillas del horario'!$S$4:$S$73,"Profesor de I en 10-4"&amp;CHAR(31)&amp;$A5&amp;CHAR(31)&amp;D$3))&gt;1,IF(ISNA(MATCH(1,INDEX(EXACT('Casillas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10-4"&amp;CHAR(31)&amp;$A5&amp;CHAR(31)&amp;D$3)*1,0),0))))&amp;" (+"&amp;(SUMPRODUCT(1*EXACT('Casillas del horario'!$S$4:$S$73,"Profesor de I en 10-4"&amp;CHAR(31)&amp;$A5&amp;CHAR(31)&amp;D$3))-1)&amp;")",IF(ISNA(MATCH(1,INDEX(EXACT('Casillas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10-4"&amp;CHAR(31)&amp;$A5&amp;CHAR(31)&amp;D$3)*1,0),0)))))</f>
        <v/>
      </c>
      <c r="E5" s="3">
        <f>IF(SUMPRODUCT(1*EXACT('Casillas del horario'!$S$4:$S$73,"Profesor de I en 10-4"&amp;CHAR(31)&amp;$A5&amp;CHAR(31)&amp;E$3))&gt;1,IF(ISNA(MATCH(1,INDEX(EXACT('Casillas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10-4"&amp;CHAR(31)&amp;$A5&amp;CHAR(31)&amp;E$3)*1,0),0))))&amp;" (+"&amp;(SUMPRODUCT(1*EXACT('Casillas del horario'!$S$4:$S$73,"Profesor de I en 10-4"&amp;CHAR(31)&amp;$A5&amp;CHAR(31)&amp;E$3))-1)&amp;")",IF(ISNA(MATCH(1,INDEX(EXACT('Casillas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10-4"&amp;CHAR(31)&amp;$A5&amp;CHAR(31)&amp;E$3)*1,0),0)))))</f>
        <v/>
      </c>
      <c r="F5" s="3">
        <f>IF(SUMPRODUCT(1*EXACT('Casillas del horario'!$S$4:$S$73,"Profesor de I en 10-4"&amp;CHAR(31)&amp;$A5&amp;CHAR(31)&amp;F$3))&gt;1,IF(ISNA(MATCH(1,INDEX(EXACT('Casillas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10-4"&amp;CHAR(31)&amp;$A5&amp;CHAR(31)&amp;F$3)*1,0),0))))&amp;" (+"&amp;(SUMPRODUCT(1*EXACT('Casillas del horario'!$S$4:$S$73,"Profesor de I en 10-4"&amp;CHAR(31)&amp;$A5&amp;CHAR(31)&amp;F$3))-1)&amp;")",IF(ISNA(MATCH(1,INDEX(EXACT('Casillas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10-4"&amp;CHAR(31)&amp;$A6&amp;CHAR(31)&amp;B$3))&gt;1,IF(ISNA(MATCH(1,INDEX(EXACT('Casillas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10-4"&amp;CHAR(31)&amp;$A6&amp;CHAR(31)&amp;B$3)*1,0),0))))&amp;" (+"&amp;(SUMPRODUCT(1*EXACT('Casillas del horario'!$S$4:$S$73,"Profesor de I en 10-4"&amp;CHAR(31)&amp;$A6&amp;CHAR(31)&amp;B$3))-1)&amp;")",IF(ISNA(MATCH(1,INDEX(EXACT('Casillas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10-4"&amp;CHAR(31)&amp;$A6&amp;CHAR(31)&amp;B$3)*1,0),0)))))</f>
        <v/>
      </c>
      <c r="C6" s="3">
        <f>IF(SUMPRODUCT(1*EXACT('Casillas del horario'!$S$4:$S$73,"Profesor de I en 10-4"&amp;CHAR(31)&amp;$A6&amp;CHAR(31)&amp;C$3))&gt;1,IF(ISNA(MATCH(1,INDEX(EXACT('Casillas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10-4"&amp;CHAR(31)&amp;$A6&amp;CHAR(31)&amp;C$3)*1,0),0))))&amp;" (+"&amp;(SUMPRODUCT(1*EXACT('Casillas del horario'!$S$4:$S$73,"Profesor de I en 10-4"&amp;CHAR(31)&amp;$A6&amp;CHAR(31)&amp;C$3))-1)&amp;")",IF(ISNA(MATCH(1,INDEX(EXACT('Casillas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10-4"&amp;CHAR(31)&amp;$A6&amp;CHAR(31)&amp;C$3)*1,0),0)))))</f>
        <v/>
      </c>
      <c r="D6" s="3">
        <f>IF(SUMPRODUCT(1*EXACT('Casillas del horario'!$S$4:$S$73,"Profesor de I en 10-4"&amp;CHAR(31)&amp;$A6&amp;CHAR(31)&amp;D$3))&gt;1,IF(ISNA(MATCH(1,INDEX(EXACT('Casillas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10-4"&amp;CHAR(31)&amp;$A6&amp;CHAR(31)&amp;D$3)*1,0),0))))&amp;" (+"&amp;(SUMPRODUCT(1*EXACT('Casillas del horario'!$S$4:$S$73,"Profesor de I en 10-4"&amp;CHAR(31)&amp;$A6&amp;CHAR(31)&amp;D$3))-1)&amp;")",IF(ISNA(MATCH(1,INDEX(EXACT('Casillas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10-4"&amp;CHAR(31)&amp;$A6&amp;CHAR(31)&amp;D$3)*1,0),0)))))</f>
        <v/>
      </c>
      <c r="E6" s="3">
        <f>IF(SUMPRODUCT(1*EXACT('Casillas del horario'!$S$4:$S$73,"Profesor de I en 10-4"&amp;CHAR(31)&amp;$A6&amp;CHAR(31)&amp;E$3))&gt;1,IF(ISNA(MATCH(1,INDEX(EXACT('Casillas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10-4"&amp;CHAR(31)&amp;$A6&amp;CHAR(31)&amp;E$3)*1,0),0))))&amp;" (+"&amp;(SUMPRODUCT(1*EXACT('Casillas del horario'!$S$4:$S$73,"Profesor de I en 10-4"&amp;CHAR(31)&amp;$A6&amp;CHAR(31)&amp;E$3))-1)&amp;")",IF(ISNA(MATCH(1,INDEX(EXACT('Casillas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10-4"&amp;CHAR(31)&amp;$A6&amp;CHAR(31)&amp;E$3)*1,0),0)))))</f>
        <v/>
      </c>
      <c r="F6" s="3">
        <f>IF(SUMPRODUCT(1*EXACT('Casillas del horario'!$S$4:$S$73,"Profesor de I en 10-4"&amp;CHAR(31)&amp;$A6&amp;CHAR(31)&amp;F$3))&gt;1,IF(ISNA(MATCH(1,INDEX(EXACT('Casillas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10-4"&amp;CHAR(31)&amp;$A6&amp;CHAR(31)&amp;F$3)*1,0),0))))&amp;" (+"&amp;(SUMPRODUCT(1*EXACT('Casillas del horario'!$S$4:$S$73,"Profesor de I en 10-4"&amp;CHAR(31)&amp;$A6&amp;CHAR(31)&amp;F$3))-1)&amp;")",IF(ISNA(MATCH(1,INDEX(EXACT('Casillas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10-4"&amp;CHAR(31)&amp;$A7&amp;CHAR(31)&amp;B$3))&gt;1,IF(ISNA(MATCH(1,INDEX(EXACT('Casillas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10-4"&amp;CHAR(31)&amp;$A7&amp;CHAR(31)&amp;B$3)*1,0),0))))&amp;" (+"&amp;(SUMPRODUCT(1*EXACT('Casillas del horario'!$S$4:$S$73,"Profesor de I en 10-4"&amp;CHAR(31)&amp;$A7&amp;CHAR(31)&amp;B$3))-1)&amp;")",IF(ISNA(MATCH(1,INDEX(EXACT('Casillas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10-4"&amp;CHAR(31)&amp;$A7&amp;CHAR(31)&amp;B$3)*1,0),0)))))</f>
        <v/>
      </c>
      <c r="C7" s="3">
        <f>IF(SUMPRODUCT(1*EXACT('Casillas del horario'!$S$4:$S$73,"Profesor de I en 10-4"&amp;CHAR(31)&amp;$A7&amp;CHAR(31)&amp;C$3))&gt;1,IF(ISNA(MATCH(1,INDEX(EXACT('Casillas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10-4"&amp;CHAR(31)&amp;$A7&amp;CHAR(31)&amp;C$3)*1,0),0))))&amp;" (+"&amp;(SUMPRODUCT(1*EXACT('Casillas del horario'!$S$4:$S$73,"Profesor de I en 10-4"&amp;CHAR(31)&amp;$A7&amp;CHAR(31)&amp;C$3))-1)&amp;")",IF(ISNA(MATCH(1,INDEX(EXACT('Casillas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10-4"&amp;CHAR(31)&amp;$A7&amp;CHAR(31)&amp;C$3)*1,0),0)))))</f>
        <v/>
      </c>
      <c r="D7" s="3">
        <f>IF(SUMPRODUCT(1*EXACT('Casillas del horario'!$S$4:$S$73,"Profesor de I en 10-4"&amp;CHAR(31)&amp;$A7&amp;CHAR(31)&amp;D$3))&gt;1,IF(ISNA(MATCH(1,INDEX(EXACT('Casillas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10-4"&amp;CHAR(31)&amp;$A7&amp;CHAR(31)&amp;D$3)*1,0),0))))&amp;" (+"&amp;(SUMPRODUCT(1*EXACT('Casillas del horario'!$S$4:$S$73,"Profesor de I en 10-4"&amp;CHAR(31)&amp;$A7&amp;CHAR(31)&amp;D$3))-1)&amp;")",IF(ISNA(MATCH(1,INDEX(EXACT('Casillas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10-4"&amp;CHAR(31)&amp;$A7&amp;CHAR(31)&amp;D$3)*1,0),0)))))</f>
        <v/>
      </c>
      <c r="E7" s="3">
        <f>IF(SUMPRODUCT(1*EXACT('Casillas del horario'!$S$4:$S$73,"Profesor de I en 10-4"&amp;CHAR(31)&amp;$A7&amp;CHAR(31)&amp;E$3))&gt;1,IF(ISNA(MATCH(1,INDEX(EXACT('Casillas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10-4"&amp;CHAR(31)&amp;$A7&amp;CHAR(31)&amp;E$3)*1,0),0))))&amp;" (+"&amp;(SUMPRODUCT(1*EXACT('Casillas del horario'!$S$4:$S$73,"Profesor de I en 10-4"&amp;CHAR(31)&amp;$A7&amp;CHAR(31)&amp;E$3))-1)&amp;")",IF(ISNA(MATCH(1,INDEX(EXACT('Casillas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10-4"&amp;CHAR(31)&amp;$A7&amp;CHAR(31)&amp;E$3)*1,0),0)))))</f>
        <v/>
      </c>
      <c r="F7" s="3">
        <f>IF(SUMPRODUCT(1*EXACT('Casillas del horario'!$S$4:$S$73,"Profesor de I en 10-4"&amp;CHAR(31)&amp;$A7&amp;CHAR(31)&amp;F$3))&gt;1,IF(ISNA(MATCH(1,INDEX(EXACT('Casillas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10-4"&amp;CHAR(31)&amp;$A7&amp;CHAR(31)&amp;F$3)*1,0),0))))&amp;" (+"&amp;(SUMPRODUCT(1*EXACT('Casillas del horario'!$S$4:$S$73,"Profesor de I en 10-4"&amp;CHAR(31)&amp;$A7&amp;CHAR(31)&amp;F$3))-1)&amp;")",IF(ISNA(MATCH(1,INDEX(EXACT('Casillas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10-4"&amp;CHAR(31)&amp;$A8&amp;CHAR(31)&amp;B$3))&gt;1,IF(ISNA(MATCH(1,INDEX(EXACT('Casillas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10-4"&amp;CHAR(31)&amp;$A8&amp;CHAR(31)&amp;B$3)*1,0),0))))&amp;" (+"&amp;(SUMPRODUCT(1*EXACT('Casillas del horario'!$S$4:$S$73,"Profesor de I en 10-4"&amp;CHAR(31)&amp;$A8&amp;CHAR(31)&amp;B$3))-1)&amp;")",IF(ISNA(MATCH(1,INDEX(EXACT('Casillas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10-4"&amp;CHAR(31)&amp;$A8&amp;CHAR(31)&amp;B$3)*1,0),0)))))</f>
        <v/>
      </c>
      <c r="C8" s="3">
        <f>IF(SUMPRODUCT(1*EXACT('Casillas del horario'!$S$4:$S$73,"Profesor de I en 10-4"&amp;CHAR(31)&amp;$A8&amp;CHAR(31)&amp;C$3))&gt;1,IF(ISNA(MATCH(1,INDEX(EXACT('Casillas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10-4"&amp;CHAR(31)&amp;$A8&amp;CHAR(31)&amp;C$3)*1,0),0))))&amp;" (+"&amp;(SUMPRODUCT(1*EXACT('Casillas del horario'!$S$4:$S$73,"Profesor de I en 10-4"&amp;CHAR(31)&amp;$A8&amp;CHAR(31)&amp;C$3))-1)&amp;")",IF(ISNA(MATCH(1,INDEX(EXACT('Casillas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10-4"&amp;CHAR(31)&amp;$A8&amp;CHAR(31)&amp;C$3)*1,0),0)))))</f>
        <v/>
      </c>
      <c r="D8" s="3">
        <f>IF(SUMPRODUCT(1*EXACT('Casillas del horario'!$S$4:$S$73,"Profesor de I en 10-4"&amp;CHAR(31)&amp;$A8&amp;CHAR(31)&amp;D$3))&gt;1,IF(ISNA(MATCH(1,INDEX(EXACT('Casillas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10-4"&amp;CHAR(31)&amp;$A8&amp;CHAR(31)&amp;D$3)*1,0),0))))&amp;" (+"&amp;(SUMPRODUCT(1*EXACT('Casillas del horario'!$S$4:$S$73,"Profesor de I en 10-4"&amp;CHAR(31)&amp;$A8&amp;CHAR(31)&amp;D$3))-1)&amp;")",IF(ISNA(MATCH(1,INDEX(EXACT('Casillas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10-4"&amp;CHAR(31)&amp;$A8&amp;CHAR(31)&amp;D$3)*1,0),0)))))</f>
        <v/>
      </c>
      <c r="E8" s="3">
        <f>IF(SUMPRODUCT(1*EXACT('Casillas del horario'!$S$4:$S$73,"Profesor de I en 10-4"&amp;CHAR(31)&amp;$A8&amp;CHAR(31)&amp;E$3))&gt;1,IF(ISNA(MATCH(1,INDEX(EXACT('Casillas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10-4"&amp;CHAR(31)&amp;$A8&amp;CHAR(31)&amp;E$3)*1,0),0))))&amp;" (+"&amp;(SUMPRODUCT(1*EXACT('Casillas del horario'!$S$4:$S$73,"Profesor de I en 10-4"&amp;CHAR(31)&amp;$A8&amp;CHAR(31)&amp;E$3))-1)&amp;")",IF(ISNA(MATCH(1,INDEX(EXACT('Casillas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10-4"&amp;CHAR(31)&amp;$A8&amp;CHAR(31)&amp;E$3)*1,0),0)))))</f>
        <v/>
      </c>
      <c r="F8" s="3">
        <f>IF(SUMPRODUCT(1*EXACT('Casillas del horario'!$S$4:$S$73,"Profesor de I en 10-4"&amp;CHAR(31)&amp;$A8&amp;CHAR(31)&amp;F$3))&gt;1,IF(ISNA(MATCH(1,INDEX(EXACT('Casillas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10-4"&amp;CHAR(31)&amp;$A8&amp;CHAR(31)&amp;F$3)*1,0),0))))&amp;" (+"&amp;(SUMPRODUCT(1*EXACT('Casillas del horario'!$S$4:$S$73,"Profesor de I en 10-4"&amp;CHAR(31)&amp;$A8&amp;CHAR(31)&amp;F$3))-1)&amp;")",IF(ISNA(MATCH(1,INDEX(EXACT('Casillas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10-4"&amp;CHAR(31)&amp;$A9&amp;CHAR(31)&amp;B$3))&gt;1,IF(ISNA(MATCH(1,INDEX(EXACT('Casillas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10-4"&amp;CHAR(31)&amp;$A9&amp;CHAR(31)&amp;B$3)*1,0),0))))&amp;" (+"&amp;(SUMPRODUCT(1*EXACT('Casillas del horario'!$S$4:$S$73,"Profesor de I en 10-4"&amp;CHAR(31)&amp;$A9&amp;CHAR(31)&amp;B$3))-1)&amp;")",IF(ISNA(MATCH(1,INDEX(EXACT('Casillas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10-4"&amp;CHAR(31)&amp;$A9&amp;CHAR(31)&amp;B$3)*1,0),0)))))</f>
        <v/>
      </c>
      <c r="C9" s="3">
        <f>IF(SUMPRODUCT(1*EXACT('Casillas del horario'!$S$4:$S$73,"Profesor de I en 10-4"&amp;CHAR(31)&amp;$A9&amp;CHAR(31)&amp;C$3))&gt;1,IF(ISNA(MATCH(1,INDEX(EXACT('Casillas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10-4"&amp;CHAR(31)&amp;$A9&amp;CHAR(31)&amp;C$3)*1,0),0))))&amp;" (+"&amp;(SUMPRODUCT(1*EXACT('Casillas del horario'!$S$4:$S$73,"Profesor de I en 10-4"&amp;CHAR(31)&amp;$A9&amp;CHAR(31)&amp;C$3))-1)&amp;")",IF(ISNA(MATCH(1,INDEX(EXACT('Casillas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10-4"&amp;CHAR(31)&amp;$A9&amp;CHAR(31)&amp;C$3)*1,0),0)))))</f>
        <v/>
      </c>
      <c r="D9" s="3">
        <f>IF(SUMPRODUCT(1*EXACT('Casillas del horario'!$S$4:$S$73,"Profesor de I en 10-4"&amp;CHAR(31)&amp;$A9&amp;CHAR(31)&amp;D$3))&gt;1,IF(ISNA(MATCH(1,INDEX(EXACT('Casillas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10-4"&amp;CHAR(31)&amp;$A9&amp;CHAR(31)&amp;D$3)*1,0),0))))&amp;" (+"&amp;(SUMPRODUCT(1*EXACT('Casillas del horario'!$S$4:$S$73,"Profesor de I en 10-4"&amp;CHAR(31)&amp;$A9&amp;CHAR(31)&amp;D$3))-1)&amp;")",IF(ISNA(MATCH(1,INDEX(EXACT('Casillas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10-4"&amp;CHAR(31)&amp;$A9&amp;CHAR(31)&amp;D$3)*1,0),0)))))</f>
        <v/>
      </c>
      <c r="E9" s="3">
        <f>IF(SUMPRODUCT(1*EXACT('Casillas del horario'!$S$4:$S$73,"Profesor de I en 10-4"&amp;CHAR(31)&amp;$A9&amp;CHAR(31)&amp;E$3))&gt;1,IF(ISNA(MATCH(1,INDEX(EXACT('Casillas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10-4"&amp;CHAR(31)&amp;$A9&amp;CHAR(31)&amp;E$3)*1,0),0))))&amp;" (+"&amp;(SUMPRODUCT(1*EXACT('Casillas del horario'!$S$4:$S$73,"Profesor de I en 10-4"&amp;CHAR(31)&amp;$A9&amp;CHAR(31)&amp;E$3))-1)&amp;")",IF(ISNA(MATCH(1,INDEX(EXACT('Casillas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10-4"&amp;CHAR(31)&amp;$A9&amp;CHAR(31)&amp;E$3)*1,0),0)))))</f>
        <v/>
      </c>
      <c r="F9" s="3">
        <f>IF(SUMPRODUCT(1*EXACT('Casillas del horario'!$S$4:$S$73,"Profesor de I en 10-4"&amp;CHAR(31)&amp;$A9&amp;CHAR(31)&amp;F$3))&gt;1,IF(ISNA(MATCH(1,INDEX(EXACT('Casillas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10-4"&amp;CHAR(31)&amp;$A9&amp;CHAR(31)&amp;F$3)*1,0),0))))&amp;" (+"&amp;(SUMPRODUCT(1*EXACT('Casillas del horario'!$S$4:$S$73,"Profesor de I en 10-4"&amp;CHAR(31)&amp;$A9&amp;CHAR(31)&amp;F$3))-1)&amp;")",IF(ISNA(MATCH(1,INDEX(EXACT('Casillas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10-4"&amp;CHAR(31)&amp;$A10&amp;CHAR(31)&amp;B$3))&gt;1,IF(ISNA(MATCH(1,INDEX(EXACT('Casillas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10-4"&amp;CHAR(31)&amp;$A10&amp;CHAR(31)&amp;B$3)*1,0),0))))&amp;" (+"&amp;(SUMPRODUCT(1*EXACT('Casillas del horario'!$S$4:$S$73,"Profesor de I en 10-4"&amp;CHAR(31)&amp;$A10&amp;CHAR(31)&amp;B$3))-1)&amp;")",IF(ISNA(MATCH(1,INDEX(EXACT('Casillas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10-4"&amp;CHAR(31)&amp;$A10&amp;CHAR(31)&amp;B$3)*1,0),0)))))</f>
        <v/>
      </c>
      <c r="C10" s="3">
        <f>IF(SUMPRODUCT(1*EXACT('Casillas del horario'!$S$4:$S$73,"Profesor de I en 10-4"&amp;CHAR(31)&amp;$A10&amp;CHAR(31)&amp;C$3))&gt;1,IF(ISNA(MATCH(1,INDEX(EXACT('Casillas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10-4"&amp;CHAR(31)&amp;$A10&amp;CHAR(31)&amp;C$3)*1,0),0))))&amp;" (+"&amp;(SUMPRODUCT(1*EXACT('Casillas del horario'!$S$4:$S$73,"Profesor de I en 10-4"&amp;CHAR(31)&amp;$A10&amp;CHAR(31)&amp;C$3))-1)&amp;")",IF(ISNA(MATCH(1,INDEX(EXACT('Casillas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10-4"&amp;CHAR(31)&amp;$A10&amp;CHAR(31)&amp;C$3)*1,0),0)))))</f>
        <v/>
      </c>
      <c r="D10" s="3">
        <f>IF(SUMPRODUCT(1*EXACT('Casillas del horario'!$S$4:$S$73,"Profesor de I en 10-4"&amp;CHAR(31)&amp;$A10&amp;CHAR(31)&amp;D$3))&gt;1,IF(ISNA(MATCH(1,INDEX(EXACT('Casillas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10-4"&amp;CHAR(31)&amp;$A10&amp;CHAR(31)&amp;D$3)*1,0),0))))&amp;" (+"&amp;(SUMPRODUCT(1*EXACT('Casillas del horario'!$S$4:$S$73,"Profesor de I en 10-4"&amp;CHAR(31)&amp;$A10&amp;CHAR(31)&amp;D$3))-1)&amp;")",IF(ISNA(MATCH(1,INDEX(EXACT('Casillas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10-4"&amp;CHAR(31)&amp;$A10&amp;CHAR(31)&amp;D$3)*1,0),0)))))</f>
        <v/>
      </c>
      <c r="E10" s="3">
        <f>IF(SUMPRODUCT(1*EXACT('Casillas del horario'!$S$4:$S$73,"Profesor de I en 10-4"&amp;CHAR(31)&amp;$A10&amp;CHAR(31)&amp;E$3))&gt;1,IF(ISNA(MATCH(1,INDEX(EXACT('Casillas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10-4"&amp;CHAR(31)&amp;$A10&amp;CHAR(31)&amp;E$3)*1,0),0))))&amp;" (+"&amp;(SUMPRODUCT(1*EXACT('Casillas del horario'!$S$4:$S$73,"Profesor de I en 10-4"&amp;CHAR(31)&amp;$A10&amp;CHAR(31)&amp;E$3))-1)&amp;")",IF(ISNA(MATCH(1,INDEX(EXACT('Casillas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10-4"&amp;CHAR(31)&amp;$A10&amp;CHAR(31)&amp;E$3)*1,0),0)))))</f>
        <v/>
      </c>
      <c r="F10" s="3">
        <f>IF(SUMPRODUCT(1*EXACT('Casillas del horario'!$S$4:$S$73,"Profesor de I en 10-4"&amp;CHAR(31)&amp;$A10&amp;CHAR(31)&amp;F$3))&gt;1,IF(ISNA(MATCH(1,INDEX(EXACT('Casillas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10-4"&amp;CHAR(31)&amp;$A10&amp;CHAR(31)&amp;F$3)*1,0),0))))&amp;" (+"&amp;(SUMPRODUCT(1*EXACT('Casillas del horario'!$S$4:$S$73,"Profesor de I en 10-4"&amp;CHAR(31)&amp;$A10&amp;CHAR(31)&amp;F$3))-1)&amp;")",IF(ISNA(MATCH(1,INDEX(EXACT('Casillas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10-4"&amp;CHAR(31)&amp;$A4&amp;CHAR(31)&amp;B$3))&gt;1,IF(ISNA(MATCH(1,INDEX(EXACT('Casillas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10-4"&amp;CHAR(31)&amp;$A4&amp;CHAR(31)&amp;B$3)*1,0),0))))&amp;" (+"&amp;(SUMPRODUCT(1*EXACT('Casillas del horario'!$S$4:$S$73,"Profesor de H en 10-4"&amp;CHAR(31)&amp;$A4&amp;CHAR(31)&amp;B$3))-1)&amp;")",IF(ISNA(MATCH(1,INDEX(EXACT('Casillas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10-4"&amp;CHAR(31)&amp;$A4&amp;CHAR(31)&amp;B$3)*1,0),0)))))</f>
        <v/>
      </c>
      <c r="C4" s="3">
        <f>IF(SUMPRODUCT(1*EXACT('Casillas del horario'!$S$4:$S$73,"Profesor de H en 10-4"&amp;CHAR(31)&amp;$A4&amp;CHAR(31)&amp;C$3))&gt;1,IF(ISNA(MATCH(1,INDEX(EXACT('Casillas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10-4"&amp;CHAR(31)&amp;$A4&amp;CHAR(31)&amp;C$3)*1,0),0))))&amp;" (+"&amp;(SUMPRODUCT(1*EXACT('Casillas del horario'!$S$4:$S$73,"Profesor de H en 10-4"&amp;CHAR(31)&amp;$A4&amp;CHAR(31)&amp;C$3))-1)&amp;")",IF(ISNA(MATCH(1,INDEX(EXACT('Casillas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10-4"&amp;CHAR(31)&amp;$A4&amp;CHAR(31)&amp;C$3)*1,0),0)))))</f>
        <v/>
      </c>
      <c r="D4" s="3">
        <f>IF(SUMPRODUCT(1*EXACT('Casillas del horario'!$S$4:$S$73,"Profesor de H en 10-4"&amp;CHAR(31)&amp;$A4&amp;CHAR(31)&amp;D$3))&gt;1,IF(ISNA(MATCH(1,INDEX(EXACT('Casillas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10-4"&amp;CHAR(31)&amp;$A4&amp;CHAR(31)&amp;D$3)*1,0),0))))&amp;" (+"&amp;(SUMPRODUCT(1*EXACT('Casillas del horario'!$S$4:$S$73,"Profesor de H en 10-4"&amp;CHAR(31)&amp;$A4&amp;CHAR(31)&amp;D$3))-1)&amp;")",IF(ISNA(MATCH(1,INDEX(EXACT('Casillas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10-4"&amp;CHAR(31)&amp;$A4&amp;CHAR(31)&amp;D$3)*1,0),0)))))</f>
        <v/>
      </c>
      <c r="E4" s="3">
        <f>IF(SUMPRODUCT(1*EXACT('Casillas del horario'!$S$4:$S$73,"Profesor de H en 10-4"&amp;CHAR(31)&amp;$A4&amp;CHAR(31)&amp;E$3))&gt;1,IF(ISNA(MATCH(1,INDEX(EXACT('Casillas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10-4"&amp;CHAR(31)&amp;$A4&amp;CHAR(31)&amp;E$3)*1,0),0))))&amp;" (+"&amp;(SUMPRODUCT(1*EXACT('Casillas del horario'!$S$4:$S$73,"Profesor de H en 10-4"&amp;CHAR(31)&amp;$A4&amp;CHAR(31)&amp;E$3))-1)&amp;")",IF(ISNA(MATCH(1,INDEX(EXACT('Casillas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10-4"&amp;CHAR(31)&amp;$A4&amp;CHAR(31)&amp;E$3)*1,0),0)))))</f>
        <v/>
      </c>
      <c r="F4" s="3">
        <f>IF(SUMPRODUCT(1*EXACT('Casillas del horario'!$S$4:$S$73,"Profesor de H en 10-4"&amp;CHAR(31)&amp;$A4&amp;CHAR(31)&amp;F$3))&gt;1,IF(ISNA(MATCH(1,INDEX(EXACT('Casillas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10-4"&amp;CHAR(31)&amp;$A4&amp;CHAR(31)&amp;F$3)*1,0),0))))&amp;" (+"&amp;(SUMPRODUCT(1*EXACT('Casillas del horario'!$S$4:$S$73,"Profesor de H en 10-4"&amp;CHAR(31)&amp;$A4&amp;CHAR(31)&amp;F$3))-1)&amp;")",IF(ISNA(MATCH(1,INDEX(EXACT('Casillas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10-4"&amp;CHAR(31)&amp;$A5&amp;CHAR(31)&amp;B$3))&gt;1,IF(ISNA(MATCH(1,INDEX(EXACT('Casillas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10-4"&amp;CHAR(31)&amp;$A5&amp;CHAR(31)&amp;B$3)*1,0),0))))&amp;" (+"&amp;(SUMPRODUCT(1*EXACT('Casillas del horario'!$S$4:$S$73,"Profesor de H en 10-4"&amp;CHAR(31)&amp;$A5&amp;CHAR(31)&amp;B$3))-1)&amp;")",IF(ISNA(MATCH(1,INDEX(EXACT('Casillas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10-4"&amp;CHAR(31)&amp;$A5&amp;CHAR(31)&amp;B$3)*1,0),0)))))</f>
        <v/>
      </c>
      <c r="C5" s="3">
        <f>IF(SUMPRODUCT(1*EXACT('Casillas del horario'!$S$4:$S$73,"Profesor de H en 10-4"&amp;CHAR(31)&amp;$A5&amp;CHAR(31)&amp;C$3))&gt;1,IF(ISNA(MATCH(1,INDEX(EXACT('Casillas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10-4"&amp;CHAR(31)&amp;$A5&amp;CHAR(31)&amp;C$3)*1,0),0))))&amp;" (+"&amp;(SUMPRODUCT(1*EXACT('Casillas del horario'!$S$4:$S$73,"Profesor de H en 10-4"&amp;CHAR(31)&amp;$A5&amp;CHAR(31)&amp;C$3))-1)&amp;")",IF(ISNA(MATCH(1,INDEX(EXACT('Casillas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10-4"&amp;CHAR(31)&amp;$A5&amp;CHAR(31)&amp;C$3)*1,0),0)))))</f>
        <v/>
      </c>
      <c r="D5" s="3">
        <f>IF(SUMPRODUCT(1*EXACT('Casillas del horario'!$S$4:$S$73,"Profesor de H en 10-4"&amp;CHAR(31)&amp;$A5&amp;CHAR(31)&amp;D$3))&gt;1,IF(ISNA(MATCH(1,INDEX(EXACT('Casillas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10-4"&amp;CHAR(31)&amp;$A5&amp;CHAR(31)&amp;D$3)*1,0),0))))&amp;" (+"&amp;(SUMPRODUCT(1*EXACT('Casillas del horario'!$S$4:$S$73,"Profesor de H en 10-4"&amp;CHAR(31)&amp;$A5&amp;CHAR(31)&amp;D$3))-1)&amp;")",IF(ISNA(MATCH(1,INDEX(EXACT('Casillas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10-4"&amp;CHAR(31)&amp;$A5&amp;CHAR(31)&amp;D$3)*1,0),0)))))</f>
        <v/>
      </c>
      <c r="E5" s="3">
        <f>IF(SUMPRODUCT(1*EXACT('Casillas del horario'!$S$4:$S$73,"Profesor de H en 10-4"&amp;CHAR(31)&amp;$A5&amp;CHAR(31)&amp;E$3))&gt;1,IF(ISNA(MATCH(1,INDEX(EXACT('Casillas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10-4"&amp;CHAR(31)&amp;$A5&amp;CHAR(31)&amp;E$3)*1,0),0))))&amp;" (+"&amp;(SUMPRODUCT(1*EXACT('Casillas del horario'!$S$4:$S$73,"Profesor de H en 10-4"&amp;CHAR(31)&amp;$A5&amp;CHAR(31)&amp;E$3))-1)&amp;")",IF(ISNA(MATCH(1,INDEX(EXACT('Casillas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10-4"&amp;CHAR(31)&amp;$A5&amp;CHAR(31)&amp;E$3)*1,0),0)))))</f>
        <v/>
      </c>
      <c r="F5" s="3">
        <f>IF(SUMPRODUCT(1*EXACT('Casillas del horario'!$S$4:$S$73,"Profesor de H en 10-4"&amp;CHAR(31)&amp;$A5&amp;CHAR(31)&amp;F$3))&gt;1,IF(ISNA(MATCH(1,INDEX(EXACT('Casillas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10-4"&amp;CHAR(31)&amp;$A5&amp;CHAR(31)&amp;F$3)*1,0),0))))&amp;" (+"&amp;(SUMPRODUCT(1*EXACT('Casillas del horario'!$S$4:$S$73,"Profesor de H en 10-4"&amp;CHAR(31)&amp;$A5&amp;CHAR(31)&amp;F$3))-1)&amp;")",IF(ISNA(MATCH(1,INDEX(EXACT('Casillas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10-4"&amp;CHAR(31)&amp;$A6&amp;CHAR(31)&amp;B$3))&gt;1,IF(ISNA(MATCH(1,INDEX(EXACT('Casillas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10-4"&amp;CHAR(31)&amp;$A6&amp;CHAR(31)&amp;B$3)*1,0),0))))&amp;" (+"&amp;(SUMPRODUCT(1*EXACT('Casillas del horario'!$S$4:$S$73,"Profesor de H en 10-4"&amp;CHAR(31)&amp;$A6&amp;CHAR(31)&amp;B$3))-1)&amp;")",IF(ISNA(MATCH(1,INDEX(EXACT('Casillas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10-4"&amp;CHAR(31)&amp;$A6&amp;CHAR(31)&amp;B$3)*1,0),0)))))</f>
        <v/>
      </c>
      <c r="C6" s="3">
        <f>IF(SUMPRODUCT(1*EXACT('Casillas del horario'!$S$4:$S$73,"Profesor de H en 10-4"&amp;CHAR(31)&amp;$A6&amp;CHAR(31)&amp;C$3))&gt;1,IF(ISNA(MATCH(1,INDEX(EXACT('Casillas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10-4"&amp;CHAR(31)&amp;$A6&amp;CHAR(31)&amp;C$3)*1,0),0))))&amp;" (+"&amp;(SUMPRODUCT(1*EXACT('Casillas del horario'!$S$4:$S$73,"Profesor de H en 10-4"&amp;CHAR(31)&amp;$A6&amp;CHAR(31)&amp;C$3))-1)&amp;")",IF(ISNA(MATCH(1,INDEX(EXACT('Casillas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10-4"&amp;CHAR(31)&amp;$A6&amp;CHAR(31)&amp;C$3)*1,0),0)))))</f>
        <v/>
      </c>
      <c r="D6" s="3">
        <f>IF(SUMPRODUCT(1*EXACT('Casillas del horario'!$S$4:$S$73,"Profesor de H en 10-4"&amp;CHAR(31)&amp;$A6&amp;CHAR(31)&amp;D$3))&gt;1,IF(ISNA(MATCH(1,INDEX(EXACT('Casillas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10-4"&amp;CHAR(31)&amp;$A6&amp;CHAR(31)&amp;D$3)*1,0),0))))&amp;" (+"&amp;(SUMPRODUCT(1*EXACT('Casillas del horario'!$S$4:$S$73,"Profesor de H en 10-4"&amp;CHAR(31)&amp;$A6&amp;CHAR(31)&amp;D$3))-1)&amp;")",IF(ISNA(MATCH(1,INDEX(EXACT('Casillas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10-4"&amp;CHAR(31)&amp;$A6&amp;CHAR(31)&amp;D$3)*1,0),0)))))</f>
        <v/>
      </c>
      <c r="E6" s="3">
        <f>IF(SUMPRODUCT(1*EXACT('Casillas del horario'!$S$4:$S$73,"Profesor de H en 10-4"&amp;CHAR(31)&amp;$A6&amp;CHAR(31)&amp;E$3))&gt;1,IF(ISNA(MATCH(1,INDEX(EXACT('Casillas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10-4"&amp;CHAR(31)&amp;$A6&amp;CHAR(31)&amp;E$3)*1,0),0))))&amp;" (+"&amp;(SUMPRODUCT(1*EXACT('Casillas del horario'!$S$4:$S$73,"Profesor de H en 10-4"&amp;CHAR(31)&amp;$A6&amp;CHAR(31)&amp;E$3))-1)&amp;")",IF(ISNA(MATCH(1,INDEX(EXACT('Casillas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10-4"&amp;CHAR(31)&amp;$A6&amp;CHAR(31)&amp;E$3)*1,0),0)))))</f>
        <v/>
      </c>
      <c r="F6" s="3">
        <f>IF(SUMPRODUCT(1*EXACT('Casillas del horario'!$S$4:$S$73,"Profesor de H en 10-4"&amp;CHAR(31)&amp;$A6&amp;CHAR(31)&amp;F$3))&gt;1,IF(ISNA(MATCH(1,INDEX(EXACT('Casillas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10-4"&amp;CHAR(31)&amp;$A6&amp;CHAR(31)&amp;F$3)*1,0),0))))&amp;" (+"&amp;(SUMPRODUCT(1*EXACT('Casillas del horario'!$S$4:$S$73,"Profesor de H en 10-4"&amp;CHAR(31)&amp;$A6&amp;CHAR(31)&amp;F$3))-1)&amp;")",IF(ISNA(MATCH(1,INDEX(EXACT('Casillas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10-4"&amp;CHAR(31)&amp;$A7&amp;CHAR(31)&amp;B$3))&gt;1,IF(ISNA(MATCH(1,INDEX(EXACT('Casillas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10-4"&amp;CHAR(31)&amp;$A7&amp;CHAR(31)&amp;B$3)*1,0),0))))&amp;" (+"&amp;(SUMPRODUCT(1*EXACT('Casillas del horario'!$S$4:$S$73,"Profesor de H en 10-4"&amp;CHAR(31)&amp;$A7&amp;CHAR(31)&amp;B$3))-1)&amp;")",IF(ISNA(MATCH(1,INDEX(EXACT('Casillas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10-4"&amp;CHAR(31)&amp;$A7&amp;CHAR(31)&amp;B$3)*1,0),0)))))</f>
        <v/>
      </c>
      <c r="C7" s="3">
        <f>IF(SUMPRODUCT(1*EXACT('Casillas del horario'!$S$4:$S$73,"Profesor de H en 10-4"&amp;CHAR(31)&amp;$A7&amp;CHAR(31)&amp;C$3))&gt;1,IF(ISNA(MATCH(1,INDEX(EXACT('Casillas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10-4"&amp;CHAR(31)&amp;$A7&amp;CHAR(31)&amp;C$3)*1,0),0))))&amp;" (+"&amp;(SUMPRODUCT(1*EXACT('Casillas del horario'!$S$4:$S$73,"Profesor de H en 10-4"&amp;CHAR(31)&amp;$A7&amp;CHAR(31)&amp;C$3))-1)&amp;")",IF(ISNA(MATCH(1,INDEX(EXACT('Casillas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10-4"&amp;CHAR(31)&amp;$A7&amp;CHAR(31)&amp;C$3)*1,0),0)))))</f>
        <v/>
      </c>
      <c r="D7" s="3">
        <f>IF(SUMPRODUCT(1*EXACT('Casillas del horario'!$S$4:$S$73,"Profesor de H en 10-4"&amp;CHAR(31)&amp;$A7&amp;CHAR(31)&amp;D$3))&gt;1,IF(ISNA(MATCH(1,INDEX(EXACT('Casillas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10-4"&amp;CHAR(31)&amp;$A7&amp;CHAR(31)&amp;D$3)*1,0),0))))&amp;" (+"&amp;(SUMPRODUCT(1*EXACT('Casillas del horario'!$S$4:$S$73,"Profesor de H en 10-4"&amp;CHAR(31)&amp;$A7&amp;CHAR(31)&amp;D$3))-1)&amp;")",IF(ISNA(MATCH(1,INDEX(EXACT('Casillas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10-4"&amp;CHAR(31)&amp;$A7&amp;CHAR(31)&amp;D$3)*1,0),0)))))</f>
        <v/>
      </c>
      <c r="E7" s="3">
        <f>IF(SUMPRODUCT(1*EXACT('Casillas del horario'!$S$4:$S$73,"Profesor de H en 10-4"&amp;CHAR(31)&amp;$A7&amp;CHAR(31)&amp;E$3))&gt;1,IF(ISNA(MATCH(1,INDEX(EXACT('Casillas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10-4"&amp;CHAR(31)&amp;$A7&amp;CHAR(31)&amp;E$3)*1,0),0))))&amp;" (+"&amp;(SUMPRODUCT(1*EXACT('Casillas del horario'!$S$4:$S$73,"Profesor de H en 10-4"&amp;CHAR(31)&amp;$A7&amp;CHAR(31)&amp;E$3))-1)&amp;")",IF(ISNA(MATCH(1,INDEX(EXACT('Casillas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10-4"&amp;CHAR(31)&amp;$A7&amp;CHAR(31)&amp;E$3)*1,0),0)))))</f>
        <v/>
      </c>
      <c r="F7" s="3">
        <f>IF(SUMPRODUCT(1*EXACT('Casillas del horario'!$S$4:$S$73,"Profesor de H en 10-4"&amp;CHAR(31)&amp;$A7&amp;CHAR(31)&amp;F$3))&gt;1,IF(ISNA(MATCH(1,INDEX(EXACT('Casillas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10-4"&amp;CHAR(31)&amp;$A7&amp;CHAR(31)&amp;F$3)*1,0),0))))&amp;" (+"&amp;(SUMPRODUCT(1*EXACT('Casillas del horario'!$S$4:$S$73,"Profesor de H en 10-4"&amp;CHAR(31)&amp;$A7&amp;CHAR(31)&amp;F$3))-1)&amp;")",IF(ISNA(MATCH(1,INDEX(EXACT('Casillas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10-4"&amp;CHAR(31)&amp;$A8&amp;CHAR(31)&amp;B$3))&gt;1,IF(ISNA(MATCH(1,INDEX(EXACT('Casillas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10-4"&amp;CHAR(31)&amp;$A8&amp;CHAR(31)&amp;B$3)*1,0),0))))&amp;" (+"&amp;(SUMPRODUCT(1*EXACT('Casillas del horario'!$S$4:$S$73,"Profesor de H en 10-4"&amp;CHAR(31)&amp;$A8&amp;CHAR(31)&amp;B$3))-1)&amp;")",IF(ISNA(MATCH(1,INDEX(EXACT('Casillas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10-4"&amp;CHAR(31)&amp;$A8&amp;CHAR(31)&amp;B$3)*1,0),0)))))</f>
        <v/>
      </c>
      <c r="C8" s="3">
        <f>IF(SUMPRODUCT(1*EXACT('Casillas del horario'!$S$4:$S$73,"Profesor de H en 10-4"&amp;CHAR(31)&amp;$A8&amp;CHAR(31)&amp;C$3))&gt;1,IF(ISNA(MATCH(1,INDEX(EXACT('Casillas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10-4"&amp;CHAR(31)&amp;$A8&amp;CHAR(31)&amp;C$3)*1,0),0))))&amp;" (+"&amp;(SUMPRODUCT(1*EXACT('Casillas del horario'!$S$4:$S$73,"Profesor de H en 10-4"&amp;CHAR(31)&amp;$A8&amp;CHAR(31)&amp;C$3))-1)&amp;")",IF(ISNA(MATCH(1,INDEX(EXACT('Casillas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10-4"&amp;CHAR(31)&amp;$A8&amp;CHAR(31)&amp;C$3)*1,0),0)))))</f>
        <v/>
      </c>
      <c r="D8" s="3">
        <f>IF(SUMPRODUCT(1*EXACT('Casillas del horario'!$S$4:$S$73,"Profesor de H en 10-4"&amp;CHAR(31)&amp;$A8&amp;CHAR(31)&amp;D$3))&gt;1,IF(ISNA(MATCH(1,INDEX(EXACT('Casillas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10-4"&amp;CHAR(31)&amp;$A8&amp;CHAR(31)&amp;D$3)*1,0),0))))&amp;" (+"&amp;(SUMPRODUCT(1*EXACT('Casillas del horario'!$S$4:$S$73,"Profesor de H en 10-4"&amp;CHAR(31)&amp;$A8&amp;CHAR(31)&amp;D$3))-1)&amp;")",IF(ISNA(MATCH(1,INDEX(EXACT('Casillas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10-4"&amp;CHAR(31)&amp;$A8&amp;CHAR(31)&amp;D$3)*1,0),0)))))</f>
        <v/>
      </c>
      <c r="E8" s="3">
        <f>IF(SUMPRODUCT(1*EXACT('Casillas del horario'!$S$4:$S$73,"Profesor de H en 10-4"&amp;CHAR(31)&amp;$A8&amp;CHAR(31)&amp;E$3))&gt;1,IF(ISNA(MATCH(1,INDEX(EXACT('Casillas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10-4"&amp;CHAR(31)&amp;$A8&amp;CHAR(31)&amp;E$3)*1,0),0))))&amp;" (+"&amp;(SUMPRODUCT(1*EXACT('Casillas del horario'!$S$4:$S$73,"Profesor de H en 10-4"&amp;CHAR(31)&amp;$A8&amp;CHAR(31)&amp;E$3))-1)&amp;")",IF(ISNA(MATCH(1,INDEX(EXACT('Casillas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10-4"&amp;CHAR(31)&amp;$A8&amp;CHAR(31)&amp;E$3)*1,0),0)))))</f>
        <v/>
      </c>
      <c r="F8" s="3">
        <f>IF(SUMPRODUCT(1*EXACT('Casillas del horario'!$S$4:$S$73,"Profesor de H en 10-4"&amp;CHAR(31)&amp;$A8&amp;CHAR(31)&amp;F$3))&gt;1,IF(ISNA(MATCH(1,INDEX(EXACT('Casillas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10-4"&amp;CHAR(31)&amp;$A8&amp;CHAR(31)&amp;F$3)*1,0),0))))&amp;" (+"&amp;(SUMPRODUCT(1*EXACT('Casillas del horario'!$S$4:$S$73,"Profesor de H en 10-4"&amp;CHAR(31)&amp;$A8&amp;CHAR(31)&amp;F$3))-1)&amp;")",IF(ISNA(MATCH(1,INDEX(EXACT('Casillas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10-4"&amp;CHAR(31)&amp;$A9&amp;CHAR(31)&amp;B$3))&gt;1,IF(ISNA(MATCH(1,INDEX(EXACT('Casillas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10-4"&amp;CHAR(31)&amp;$A9&amp;CHAR(31)&amp;B$3)*1,0),0))))&amp;" (+"&amp;(SUMPRODUCT(1*EXACT('Casillas del horario'!$S$4:$S$73,"Profesor de H en 10-4"&amp;CHAR(31)&amp;$A9&amp;CHAR(31)&amp;B$3))-1)&amp;")",IF(ISNA(MATCH(1,INDEX(EXACT('Casillas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10-4"&amp;CHAR(31)&amp;$A9&amp;CHAR(31)&amp;B$3)*1,0),0)))))</f>
        <v/>
      </c>
      <c r="C9" s="3">
        <f>IF(SUMPRODUCT(1*EXACT('Casillas del horario'!$S$4:$S$73,"Profesor de H en 10-4"&amp;CHAR(31)&amp;$A9&amp;CHAR(31)&amp;C$3))&gt;1,IF(ISNA(MATCH(1,INDEX(EXACT('Casillas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10-4"&amp;CHAR(31)&amp;$A9&amp;CHAR(31)&amp;C$3)*1,0),0))))&amp;" (+"&amp;(SUMPRODUCT(1*EXACT('Casillas del horario'!$S$4:$S$73,"Profesor de H en 10-4"&amp;CHAR(31)&amp;$A9&amp;CHAR(31)&amp;C$3))-1)&amp;")",IF(ISNA(MATCH(1,INDEX(EXACT('Casillas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10-4"&amp;CHAR(31)&amp;$A9&amp;CHAR(31)&amp;C$3)*1,0),0)))))</f>
        <v/>
      </c>
      <c r="D9" s="3">
        <f>IF(SUMPRODUCT(1*EXACT('Casillas del horario'!$S$4:$S$73,"Profesor de H en 10-4"&amp;CHAR(31)&amp;$A9&amp;CHAR(31)&amp;D$3))&gt;1,IF(ISNA(MATCH(1,INDEX(EXACT('Casillas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10-4"&amp;CHAR(31)&amp;$A9&amp;CHAR(31)&amp;D$3)*1,0),0))))&amp;" (+"&amp;(SUMPRODUCT(1*EXACT('Casillas del horario'!$S$4:$S$73,"Profesor de H en 10-4"&amp;CHAR(31)&amp;$A9&amp;CHAR(31)&amp;D$3))-1)&amp;")",IF(ISNA(MATCH(1,INDEX(EXACT('Casillas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10-4"&amp;CHAR(31)&amp;$A9&amp;CHAR(31)&amp;D$3)*1,0),0)))))</f>
        <v/>
      </c>
      <c r="E9" s="3">
        <f>IF(SUMPRODUCT(1*EXACT('Casillas del horario'!$S$4:$S$73,"Profesor de H en 10-4"&amp;CHAR(31)&amp;$A9&amp;CHAR(31)&amp;E$3))&gt;1,IF(ISNA(MATCH(1,INDEX(EXACT('Casillas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10-4"&amp;CHAR(31)&amp;$A9&amp;CHAR(31)&amp;E$3)*1,0),0))))&amp;" (+"&amp;(SUMPRODUCT(1*EXACT('Casillas del horario'!$S$4:$S$73,"Profesor de H en 10-4"&amp;CHAR(31)&amp;$A9&amp;CHAR(31)&amp;E$3))-1)&amp;")",IF(ISNA(MATCH(1,INDEX(EXACT('Casillas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10-4"&amp;CHAR(31)&amp;$A9&amp;CHAR(31)&amp;E$3)*1,0),0)))))</f>
        <v/>
      </c>
      <c r="F9" s="3">
        <f>IF(SUMPRODUCT(1*EXACT('Casillas del horario'!$S$4:$S$73,"Profesor de H en 10-4"&amp;CHAR(31)&amp;$A9&amp;CHAR(31)&amp;F$3))&gt;1,IF(ISNA(MATCH(1,INDEX(EXACT('Casillas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10-4"&amp;CHAR(31)&amp;$A9&amp;CHAR(31)&amp;F$3)*1,0),0))))&amp;" (+"&amp;(SUMPRODUCT(1*EXACT('Casillas del horario'!$S$4:$S$73,"Profesor de H en 10-4"&amp;CHAR(31)&amp;$A9&amp;CHAR(31)&amp;F$3))-1)&amp;")",IF(ISNA(MATCH(1,INDEX(EXACT('Casillas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10-4"&amp;CHAR(31)&amp;$A10&amp;CHAR(31)&amp;B$3))&gt;1,IF(ISNA(MATCH(1,INDEX(EXACT('Casillas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10-4"&amp;CHAR(31)&amp;$A10&amp;CHAR(31)&amp;B$3)*1,0),0))))&amp;" (+"&amp;(SUMPRODUCT(1*EXACT('Casillas del horario'!$S$4:$S$73,"Profesor de H en 10-4"&amp;CHAR(31)&amp;$A10&amp;CHAR(31)&amp;B$3))-1)&amp;")",IF(ISNA(MATCH(1,INDEX(EXACT('Casillas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10-4"&amp;CHAR(31)&amp;$A10&amp;CHAR(31)&amp;B$3)*1,0),0)))))</f>
        <v/>
      </c>
      <c r="C10" s="3">
        <f>IF(SUMPRODUCT(1*EXACT('Casillas del horario'!$S$4:$S$73,"Profesor de H en 10-4"&amp;CHAR(31)&amp;$A10&amp;CHAR(31)&amp;C$3))&gt;1,IF(ISNA(MATCH(1,INDEX(EXACT('Casillas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10-4"&amp;CHAR(31)&amp;$A10&amp;CHAR(31)&amp;C$3)*1,0),0))))&amp;" (+"&amp;(SUMPRODUCT(1*EXACT('Casillas del horario'!$S$4:$S$73,"Profesor de H en 10-4"&amp;CHAR(31)&amp;$A10&amp;CHAR(31)&amp;C$3))-1)&amp;")",IF(ISNA(MATCH(1,INDEX(EXACT('Casillas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10-4"&amp;CHAR(31)&amp;$A10&amp;CHAR(31)&amp;C$3)*1,0),0)))))</f>
        <v/>
      </c>
      <c r="D10" s="3">
        <f>IF(SUMPRODUCT(1*EXACT('Casillas del horario'!$S$4:$S$73,"Profesor de H en 10-4"&amp;CHAR(31)&amp;$A10&amp;CHAR(31)&amp;D$3))&gt;1,IF(ISNA(MATCH(1,INDEX(EXACT('Casillas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10-4"&amp;CHAR(31)&amp;$A10&amp;CHAR(31)&amp;D$3)*1,0),0))))&amp;" (+"&amp;(SUMPRODUCT(1*EXACT('Casillas del horario'!$S$4:$S$73,"Profesor de H en 10-4"&amp;CHAR(31)&amp;$A10&amp;CHAR(31)&amp;D$3))-1)&amp;")",IF(ISNA(MATCH(1,INDEX(EXACT('Casillas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10-4"&amp;CHAR(31)&amp;$A10&amp;CHAR(31)&amp;D$3)*1,0),0)))))</f>
        <v/>
      </c>
      <c r="E10" s="3">
        <f>IF(SUMPRODUCT(1*EXACT('Casillas del horario'!$S$4:$S$73,"Profesor de H en 10-4"&amp;CHAR(31)&amp;$A10&amp;CHAR(31)&amp;E$3))&gt;1,IF(ISNA(MATCH(1,INDEX(EXACT('Casillas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10-4"&amp;CHAR(31)&amp;$A10&amp;CHAR(31)&amp;E$3)*1,0),0))))&amp;" (+"&amp;(SUMPRODUCT(1*EXACT('Casillas del horario'!$S$4:$S$73,"Profesor de H en 10-4"&amp;CHAR(31)&amp;$A10&amp;CHAR(31)&amp;E$3))-1)&amp;")",IF(ISNA(MATCH(1,INDEX(EXACT('Casillas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10-4"&amp;CHAR(31)&amp;$A10&amp;CHAR(31)&amp;E$3)*1,0),0)))))</f>
        <v/>
      </c>
      <c r="F10" s="3">
        <f>IF(SUMPRODUCT(1*EXACT('Casillas del horario'!$S$4:$S$73,"Profesor de H en 10-4"&amp;CHAR(31)&amp;$A10&amp;CHAR(31)&amp;F$3))&gt;1,IF(ISNA(MATCH(1,INDEX(EXACT('Casillas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10-4"&amp;CHAR(31)&amp;$A10&amp;CHAR(31)&amp;F$3)*1,0),0))))&amp;" (+"&amp;(SUMPRODUCT(1*EXACT('Casillas del horario'!$S$4:$S$73,"Profesor de H en 10-4"&amp;CHAR(31)&amp;$A10&amp;CHAR(31)&amp;F$3))-1)&amp;")",IF(ISNA(MATCH(1,INDEX(EXACT('Casillas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10-4"&amp;CHAR(31)&amp;$A4&amp;CHAR(31)&amp;B$3))&gt;1,IF(ISNA(MATCH(1,INDEX(EXACT('Casillas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10-4"&amp;CHAR(31)&amp;$A4&amp;CHAR(31)&amp;B$3)*1,0),0))))&amp;" (+"&amp;(SUMPRODUCT(1*EXACT('Casillas del horario'!$S$4:$S$73,"Profesor de EF en 10-4"&amp;CHAR(31)&amp;$A4&amp;CHAR(31)&amp;B$3))-1)&amp;")",IF(ISNA(MATCH(1,INDEX(EXACT('Casillas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10-4"&amp;CHAR(31)&amp;$A4&amp;CHAR(31)&amp;B$3)*1,0),0)))))</f>
        <v/>
      </c>
      <c r="C4" s="3">
        <f>IF(SUMPRODUCT(1*EXACT('Casillas del horario'!$S$4:$S$73,"Profesor de EF en 10-4"&amp;CHAR(31)&amp;$A4&amp;CHAR(31)&amp;C$3))&gt;1,IF(ISNA(MATCH(1,INDEX(EXACT('Casillas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10-4"&amp;CHAR(31)&amp;$A4&amp;CHAR(31)&amp;C$3)*1,0),0))))&amp;" (+"&amp;(SUMPRODUCT(1*EXACT('Casillas del horario'!$S$4:$S$73,"Profesor de EF en 10-4"&amp;CHAR(31)&amp;$A4&amp;CHAR(31)&amp;C$3))-1)&amp;")",IF(ISNA(MATCH(1,INDEX(EXACT('Casillas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10-4"&amp;CHAR(31)&amp;$A4&amp;CHAR(31)&amp;C$3)*1,0),0)))))</f>
        <v/>
      </c>
      <c r="D4" s="3">
        <f>IF(SUMPRODUCT(1*EXACT('Casillas del horario'!$S$4:$S$73,"Profesor de EF en 10-4"&amp;CHAR(31)&amp;$A4&amp;CHAR(31)&amp;D$3))&gt;1,IF(ISNA(MATCH(1,INDEX(EXACT('Casillas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10-4"&amp;CHAR(31)&amp;$A4&amp;CHAR(31)&amp;D$3)*1,0),0))))&amp;" (+"&amp;(SUMPRODUCT(1*EXACT('Casillas del horario'!$S$4:$S$73,"Profesor de EF en 10-4"&amp;CHAR(31)&amp;$A4&amp;CHAR(31)&amp;D$3))-1)&amp;")",IF(ISNA(MATCH(1,INDEX(EXACT('Casillas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10-4"&amp;CHAR(31)&amp;$A4&amp;CHAR(31)&amp;D$3)*1,0),0)))))</f>
        <v/>
      </c>
      <c r="E4" s="3">
        <f>IF(SUMPRODUCT(1*EXACT('Casillas del horario'!$S$4:$S$73,"Profesor de EF en 10-4"&amp;CHAR(31)&amp;$A4&amp;CHAR(31)&amp;E$3))&gt;1,IF(ISNA(MATCH(1,INDEX(EXACT('Casillas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10-4"&amp;CHAR(31)&amp;$A4&amp;CHAR(31)&amp;E$3)*1,0),0))))&amp;" (+"&amp;(SUMPRODUCT(1*EXACT('Casillas del horario'!$S$4:$S$73,"Profesor de EF en 10-4"&amp;CHAR(31)&amp;$A4&amp;CHAR(31)&amp;E$3))-1)&amp;")",IF(ISNA(MATCH(1,INDEX(EXACT('Casillas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10-4"&amp;CHAR(31)&amp;$A4&amp;CHAR(31)&amp;E$3)*1,0),0)))))</f>
        <v/>
      </c>
      <c r="F4" s="3">
        <f>IF(SUMPRODUCT(1*EXACT('Casillas del horario'!$S$4:$S$73,"Profesor de EF en 10-4"&amp;CHAR(31)&amp;$A4&amp;CHAR(31)&amp;F$3))&gt;1,IF(ISNA(MATCH(1,INDEX(EXACT('Casillas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10-4"&amp;CHAR(31)&amp;$A4&amp;CHAR(31)&amp;F$3)*1,0),0))))&amp;" (+"&amp;(SUMPRODUCT(1*EXACT('Casillas del horario'!$S$4:$S$73,"Profesor de EF en 10-4"&amp;CHAR(31)&amp;$A4&amp;CHAR(31)&amp;F$3))-1)&amp;")",IF(ISNA(MATCH(1,INDEX(EXACT('Casillas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10-4"&amp;CHAR(31)&amp;$A5&amp;CHAR(31)&amp;B$3))&gt;1,IF(ISNA(MATCH(1,INDEX(EXACT('Casillas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10-4"&amp;CHAR(31)&amp;$A5&amp;CHAR(31)&amp;B$3)*1,0),0))))&amp;" (+"&amp;(SUMPRODUCT(1*EXACT('Casillas del horario'!$S$4:$S$73,"Profesor de EF en 10-4"&amp;CHAR(31)&amp;$A5&amp;CHAR(31)&amp;B$3))-1)&amp;")",IF(ISNA(MATCH(1,INDEX(EXACT('Casillas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10-4"&amp;CHAR(31)&amp;$A5&amp;CHAR(31)&amp;B$3)*1,0),0)))))</f>
        <v/>
      </c>
      <c r="C5" s="3">
        <f>IF(SUMPRODUCT(1*EXACT('Casillas del horario'!$S$4:$S$73,"Profesor de EF en 10-4"&amp;CHAR(31)&amp;$A5&amp;CHAR(31)&amp;C$3))&gt;1,IF(ISNA(MATCH(1,INDEX(EXACT('Casillas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10-4"&amp;CHAR(31)&amp;$A5&amp;CHAR(31)&amp;C$3)*1,0),0))))&amp;" (+"&amp;(SUMPRODUCT(1*EXACT('Casillas del horario'!$S$4:$S$73,"Profesor de EF en 10-4"&amp;CHAR(31)&amp;$A5&amp;CHAR(31)&amp;C$3))-1)&amp;")",IF(ISNA(MATCH(1,INDEX(EXACT('Casillas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10-4"&amp;CHAR(31)&amp;$A5&amp;CHAR(31)&amp;C$3)*1,0),0)))))</f>
        <v/>
      </c>
      <c r="D5" s="3">
        <f>IF(SUMPRODUCT(1*EXACT('Casillas del horario'!$S$4:$S$73,"Profesor de EF en 10-4"&amp;CHAR(31)&amp;$A5&amp;CHAR(31)&amp;D$3))&gt;1,IF(ISNA(MATCH(1,INDEX(EXACT('Casillas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10-4"&amp;CHAR(31)&amp;$A5&amp;CHAR(31)&amp;D$3)*1,0),0))))&amp;" (+"&amp;(SUMPRODUCT(1*EXACT('Casillas del horario'!$S$4:$S$73,"Profesor de EF en 10-4"&amp;CHAR(31)&amp;$A5&amp;CHAR(31)&amp;D$3))-1)&amp;")",IF(ISNA(MATCH(1,INDEX(EXACT('Casillas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10-4"&amp;CHAR(31)&amp;$A5&amp;CHAR(31)&amp;D$3)*1,0),0)))))</f>
        <v/>
      </c>
      <c r="E5" s="3">
        <f>IF(SUMPRODUCT(1*EXACT('Casillas del horario'!$S$4:$S$73,"Profesor de EF en 10-4"&amp;CHAR(31)&amp;$A5&amp;CHAR(31)&amp;E$3))&gt;1,IF(ISNA(MATCH(1,INDEX(EXACT('Casillas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10-4"&amp;CHAR(31)&amp;$A5&amp;CHAR(31)&amp;E$3)*1,0),0))))&amp;" (+"&amp;(SUMPRODUCT(1*EXACT('Casillas del horario'!$S$4:$S$73,"Profesor de EF en 10-4"&amp;CHAR(31)&amp;$A5&amp;CHAR(31)&amp;E$3))-1)&amp;")",IF(ISNA(MATCH(1,INDEX(EXACT('Casillas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10-4"&amp;CHAR(31)&amp;$A5&amp;CHAR(31)&amp;E$3)*1,0),0)))))</f>
        <v/>
      </c>
      <c r="F5" s="3">
        <f>IF(SUMPRODUCT(1*EXACT('Casillas del horario'!$S$4:$S$73,"Profesor de EF en 10-4"&amp;CHAR(31)&amp;$A5&amp;CHAR(31)&amp;F$3))&gt;1,IF(ISNA(MATCH(1,INDEX(EXACT('Casillas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10-4"&amp;CHAR(31)&amp;$A5&amp;CHAR(31)&amp;F$3)*1,0),0))))&amp;" (+"&amp;(SUMPRODUCT(1*EXACT('Casillas del horario'!$S$4:$S$73,"Profesor de EF en 10-4"&amp;CHAR(31)&amp;$A5&amp;CHAR(31)&amp;F$3))-1)&amp;")",IF(ISNA(MATCH(1,INDEX(EXACT('Casillas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10-4"&amp;CHAR(31)&amp;$A6&amp;CHAR(31)&amp;B$3))&gt;1,IF(ISNA(MATCH(1,INDEX(EXACT('Casillas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10-4"&amp;CHAR(31)&amp;$A6&amp;CHAR(31)&amp;B$3)*1,0),0))))&amp;" (+"&amp;(SUMPRODUCT(1*EXACT('Casillas del horario'!$S$4:$S$73,"Profesor de EF en 10-4"&amp;CHAR(31)&amp;$A6&amp;CHAR(31)&amp;B$3))-1)&amp;")",IF(ISNA(MATCH(1,INDEX(EXACT('Casillas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10-4"&amp;CHAR(31)&amp;$A6&amp;CHAR(31)&amp;B$3)*1,0),0)))))</f>
        <v/>
      </c>
      <c r="C6" s="3">
        <f>IF(SUMPRODUCT(1*EXACT('Casillas del horario'!$S$4:$S$73,"Profesor de EF en 10-4"&amp;CHAR(31)&amp;$A6&amp;CHAR(31)&amp;C$3))&gt;1,IF(ISNA(MATCH(1,INDEX(EXACT('Casillas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10-4"&amp;CHAR(31)&amp;$A6&amp;CHAR(31)&amp;C$3)*1,0),0))))&amp;" (+"&amp;(SUMPRODUCT(1*EXACT('Casillas del horario'!$S$4:$S$73,"Profesor de EF en 10-4"&amp;CHAR(31)&amp;$A6&amp;CHAR(31)&amp;C$3))-1)&amp;")",IF(ISNA(MATCH(1,INDEX(EXACT('Casillas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10-4"&amp;CHAR(31)&amp;$A6&amp;CHAR(31)&amp;C$3)*1,0),0)))))</f>
        <v/>
      </c>
      <c r="D6" s="3">
        <f>IF(SUMPRODUCT(1*EXACT('Casillas del horario'!$S$4:$S$73,"Profesor de EF en 10-4"&amp;CHAR(31)&amp;$A6&amp;CHAR(31)&amp;D$3))&gt;1,IF(ISNA(MATCH(1,INDEX(EXACT('Casillas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10-4"&amp;CHAR(31)&amp;$A6&amp;CHAR(31)&amp;D$3)*1,0),0))))&amp;" (+"&amp;(SUMPRODUCT(1*EXACT('Casillas del horario'!$S$4:$S$73,"Profesor de EF en 10-4"&amp;CHAR(31)&amp;$A6&amp;CHAR(31)&amp;D$3))-1)&amp;")",IF(ISNA(MATCH(1,INDEX(EXACT('Casillas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10-4"&amp;CHAR(31)&amp;$A6&amp;CHAR(31)&amp;D$3)*1,0),0)))))</f>
        <v/>
      </c>
      <c r="E6" s="3">
        <f>IF(SUMPRODUCT(1*EXACT('Casillas del horario'!$S$4:$S$73,"Profesor de EF en 10-4"&amp;CHAR(31)&amp;$A6&amp;CHAR(31)&amp;E$3))&gt;1,IF(ISNA(MATCH(1,INDEX(EXACT('Casillas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10-4"&amp;CHAR(31)&amp;$A6&amp;CHAR(31)&amp;E$3)*1,0),0))))&amp;" (+"&amp;(SUMPRODUCT(1*EXACT('Casillas del horario'!$S$4:$S$73,"Profesor de EF en 10-4"&amp;CHAR(31)&amp;$A6&amp;CHAR(31)&amp;E$3))-1)&amp;")",IF(ISNA(MATCH(1,INDEX(EXACT('Casillas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10-4"&amp;CHAR(31)&amp;$A6&amp;CHAR(31)&amp;E$3)*1,0),0)))))</f>
        <v/>
      </c>
      <c r="F6" s="3">
        <f>IF(SUMPRODUCT(1*EXACT('Casillas del horario'!$S$4:$S$73,"Profesor de EF en 10-4"&amp;CHAR(31)&amp;$A6&amp;CHAR(31)&amp;F$3))&gt;1,IF(ISNA(MATCH(1,INDEX(EXACT('Casillas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10-4"&amp;CHAR(31)&amp;$A6&amp;CHAR(31)&amp;F$3)*1,0),0))))&amp;" (+"&amp;(SUMPRODUCT(1*EXACT('Casillas del horario'!$S$4:$S$73,"Profesor de EF en 10-4"&amp;CHAR(31)&amp;$A6&amp;CHAR(31)&amp;F$3))-1)&amp;")",IF(ISNA(MATCH(1,INDEX(EXACT('Casillas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10-4"&amp;CHAR(31)&amp;$A7&amp;CHAR(31)&amp;B$3))&gt;1,IF(ISNA(MATCH(1,INDEX(EXACT('Casillas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10-4"&amp;CHAR(31)&amp;$A7&amp;CHAR(31)&amp;B$3)*1,0),0))))&amp;" (+"&amp;(SUMPRODUCT(1*EXACT('Casillas del horario'!$S$4:$S$73,"Profesor de EF en 10-4"&amp;CHAR(31)&amp;$A7&amp;CHAR(31)&amp;B$3))-1)&amp;")",IF(ISNA(MATCH(1,INDEX(EXACT('Casillas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10-4"&amp;CHAR(31)&amp;$A7&amp;CHAR(31)&amp;B$3)*1,0),0)))))</f>
        <v/>
      </c>
      <c r="C7" s="3">
        <f>IF(SUMPRODUCT(1*EXACT('Casillas del horario'!$S$4:$S$73,"Profesor de EF en 10-4"&amp;CHAR(31)&amp;$A7&amp;CHAR(31)&amp;C$3))&gt;1,IF(ISNA(MATCH(1,INDEX(EXACT('Casillas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10-4"&amp;CHAR(31)&amp;$A7&amp;CHAR(31)&amp;C$3)*1,0),0))))&amp;" (+"&amp;(SUMPRODUCT(1*EXACT('Casillas del horario'!$S$4:$S$73,"Profesor de EF en 10-4"&amp;CHAR(31)&amp;$A7&amp;CHAR(31)&amp;C$3))-1)&amp;")",IF(ISNA(MATCH(1,INDEX(EXACT('Casillas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10-4"&amp;CHAR(31)&amp;$A7&amp;CHAR(31)&amp;C$3)*1,0),0)))))</f>
        <v/>
      </c>
      <c r="D7" s="3">
        <f>IF(SUMPRODUCT(1*EXACT('Casillas del horario'!$S$4:$S$73,"Profesor de EF en 10-4"&amp;CHAR(31)&amp;$A7&amp;CHAR(31)&amp;D$3))&gt;1,IF(ISNA(MATCH(1,INDEX(EXACT('Casillas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10-4"&amp;CHAR(31)&amp;$A7&amp;CHAR(31)&amp;D$3)*1,0),0))))&amp;" (+"&amp;(SUMPRODUCT(1*EXACT('Casillas del horario'!$S$4:$S$73,"Profesor de EF en 10-4"&amp;CHAR(31)&amp;$A7&amp;CHAR(31)&amp;D$3))-1)&amp;")",IF(ISNA(MATCH(1,INDEX(EXACT('Casillas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10-4"&amp;CHAR(31)&amp;$A7&amp;CHAR(31)&amp;D$3)*1,0),0)))))</f>
        <v/>
      </c>
      <c r="E7" s="3">
        <f>IF(SUMPRODUCT(1*EXACT('Casillas del horario'!$S$4:$S$73,"Profesor de EF en 10-4"&amp;CHAR(31)&amp;$A7&amp;CHAR(31)&amp;E$3))&gt;1,IF(ISNA(MATCH(1,INDEX(EXACT('Casillas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10-4"&amp;CHAR(31)&amp;$A7&amp;CHAR(31)&amp;E$3)*1,0),0))))&amp;" (+"&amp;(SUMPRODUCT(1*EXACT('Casillas del horario'!$S$4:$S$73,"Profesor de EF en 10-4"&amp;CHAR(31)&amp;$A7&amp;CHAR(31)&amp;E$3))-1)&amp;")",IF(ISNA(MATCH(1,INDEX(EXACT('Casillas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10-4"&amp;CHAR(31)&amp;$A7&amp;CHAR(31)&amp;E$3)*1,0),0)))))</f>
        <v/>
      </c>
      <c r="F7" s="3">
        <f>IF(SUMPRODUCT(1*EXACT('Casillas del horario'!$S$4:$S$73,"Profesor de EF en 10-4"&amp;CHAR(31)&amp;$A7&amp;CHAR(31)&amp;F$3))&gt;1,IF(ISNA(MATCH(1,INDEX(EXACT('Casillas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10-4"&amp;CHAR(31)&amp;$A7&amp;CHAR(31)&amp;F$3)*1,0),0))))&amp;" (+"&amp;(SUMPRODUCT(1*EXACT('Casillas del horario'!$S$4:$S$73,"Profesor de EF en 10-4"&amp;CHAR(31)&amp;$A7&amp;CHAR(31)&amp;F$3))-1)&amp;")",IF(ISNA(MATCH(1,INDEX(EXACT('Casillas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10-4"&amp;CHAR(31)&amp;$A8&amp;CHAR(31)&amp;B$3))&gt;1,IF(ISNA(MATCH(1,INDEX(EXACT('Casillas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10-4"&amp;CHAR(31)&amp;$A8&amp;CHAR(31)&amp;B$3)*1,0),0))))&amp;" (+"&amp;(SUMPRODUCT(1*EXACT('Casillas del horario'!$S$4:$S$73,"Profesor de EF en 10-4"&amp;CHAR(31)&amp;$A8&amp;CHAR(31)&amp;B$3))-1)&amp;")",IF(ISNA(MATCH(1,INDEX(EXACT('Casillas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10-4"&amp;CHAR(31)&amp;$A8&amp;CHAR(31)&amp;B$3)*1,0),0)))))</f>
        <v/>
      </c>
      <c r="C8" s="3">
        <f>IF(SUMPRODUCT(1*EXACT('Casillas del horario'!$S$4:$S$73,"Profesor de EF en 10-4"&amp;CHAR(31)&amp;$A8&amp;CHAR(31)&amp;C$3))&gt;1,IF(ISNA(MATCH(1,INDEX(EXACT('Casillas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10-4"&amp;CHAR(31)&amp;$A8&amp;CHAR(31)&amp;C$3)*1,0),0))))&amp;" (+"&amp;(SUMPRODUCT(1*EXACT('Casillas del horario'!$S$4:$S$73,"Profesor de EF en 10-4"&amp;CHAR(31)&amp;$A8&amp;CHAR(31)&amp;C$3))-1)&amp;")",IF(ISNA(MATCH(1,INDEX(EXACT('Casillas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10-4"&amp;CHAR(31)&amp;$A8&amp;CHAR(31)&amp;C$3)*1,0),0)))))</f>
        <v/>
      </c>
      <c r="D8" s="3">
        <f>IF(SUMPRODUCT(1*EXACT('Casillas del horario'!$S$4:$S$73,"Profesor de EF en 10-4"&amp;CHAR(31)&amp;$A8&amp;CHAR(31)&amp;D$3))&gt;1,IF(ISNA(MATCH(1,INDEX(EXACT('Casillas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10-4"&amp;CHAR(31)&amp;$A8&amp;CHAR(31)&amp;D$3)*1,0),0))))&amp;" (+"&amp;(SUMPRODUCT(1*EXACT('Casillas del horario'!$S$4:$S$73,"Profesor de EF en 10-4"&amp;CHAR(31)&amp;$A8&amp;CHAR(31)&amp;D$3))-1)&amp;")",IF(ISNA(MATCH(1,INDEX(EXACT('Casillas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10-4"&amp;CHAR(31)&amp;$A8&amp;CHAR(31)&amp;D$3)*1,0),0)))))</f>
        <v/>
      </c>
      <c r="E8" s="3">
        <f>IF(SUMPRODUCT(1*EXACT('Casillas del horario'!$S$4:$S$73,"Profesor de EF en 10-4"&amp;CHAR(31)&amp;$A8&amp;CHAR(31)&amp;E$3))&gt;1,IF(ISNA(MATCH(1,INDEX(EXACT('Casillas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10-4"&amp;CHAR(31)&amp;$A8&amp;CHAR(31)&amp;E$3)*1,0),0))))&amp;" (+"&amp;(SUMPRODUCT(1*EXACT('Casillas del horario'!$S$4:$S$73,"Profesor de EF en 10-4"&amp;CHAR(31)&amp;$A8&amp;CHAR(31)&amp;E$3))-1)&amp;")",IF(ISNA(MATCH(1,INDEX(EXACT('Casillas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10-4"&amp;CHAR(31)&amp;$A8&amp;CHAR(31)&amp;E$3)*1,0),0)))))</f>
        <v/>
      </c>
      <c r="F8" s="3">
        <f>IF(SUMPRODUCT(1*EXACT('Casillas del horario'!$S$4:$S$73,"Profesor de EF en 10-4"&amp;CHAR(31)&amp;$A8&amp;CHAR(31)&amp;F$3))&gt;1,IF(ISNA(MATCH(1,INDEX(EXACT('Casillas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10-4"&amp;CHAR(31)&amp;$A8&amp;CHAR(31)&amp;F$3)*1,0),0))))&amp;" (+"&amp;(SUMPRODUCT(1*EXACT('Casillas del horario'!$S$4:$S$73,"Profesor de EF en 10-4"&amp;CHAR(31)&amp;$A8&amp;CHAR(31)&amp;F$3))-1)&amp;")",IF(ISNA(MATCH(1,INDEX(EXACT('Casillas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10-4"&amp;CHAR(31)&amp;$A9&amp;CHAR(31)&amp;B$3))&gt;1,IF(ISNA(MATCH(1,INDEX(EXACT('Casillas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10-4"&amp;CHAR(31)&amp;$A9&amp;CHAR(31)&amp;B$3)*1,0),0))))&amp;" (+"&amp;(SUMPRODUCT(1*EXACT('Casillas del horario'!$S$4:$S$73,"Profesor de EF en 10-4"&amp;CHAR(31)&amp;$A9&amp;CHAR(31)&amp;B$3))-1)&amp;")",IF(ISNA(MATCH(1,INDEX(EXACT('Casillas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10-4"&amp;CHAR(31)&amp;$A9&amp;CHAR(31)&amp;B$3)*1,0),0)))))</f>
        <v/>
      </c>
      <c r="C9" s="3">
        <f>IF(SUMPRODUCT(1*EXACT('Casillas del horario'!$S$4:$S$73,"Profesor de EF en 10-4"&amp;CHAR(31)&amp;$A9&amp;CHAR(31)&amp;C$3))&gt;1,IF(ISNA(MATCH(1,INDEX(EXACT('Casillas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10-4"&amp;CHAR(31)&amp;$A9&amp;CHAR(31)&amp;C$3)*1,0),0))))&amp;" (+"&amp;(SUMPRODUCT(1*EXACT('Casillas del horario'!$S$4:$S$73,"Profesor de EF en 10-4"&amp;CHAR(31)&amp;$A9&amp;CHAR(31)&amp;C$3))-1)&amp;")",IF(ISNA(MATCH(1,INDEX(EXACT('Casillas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10-4"&amp;CHAR(31)&amp;$A9&amp;CHAR(31)&amp;C$3)*1,0),0)))))</f>
        <v/>
      </c>
      <c r="D9" s="3">
        <f>IF(SUMPRODUCT(1*EXACT('Casillas del horario'!$S$4:$S$73,"Profesor de EF en 10-4"&amp;CHAR(31)&amp;$A9&amp;CHAR(31)&amp;D$3))&gt;1,IF(ISNA(MATCH(1,INDEX(EXACT('Casillas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10-4"&amp;CHAR(31)&amp;$A9&amp;CHAR(31)&amp;D$3)*1,0),0))))&amp;" (+"&amp;(SUMPRODUCT(1*EXACT('Casillas del horario'!$S$4:$S$73,"Profesor de EF en 10-4"&amp;CHAR(31)&amp;$A9&amp;CHAR(31)&amp;D$3))-1)&amp;")",IF(ISNA(MATCH(1,INDEX(EXACT('Casillas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10-4"&amp;CHAR(31)&amp;$A9&amp;CHAR(31)&amp;D$3)*1,0),0)))))</f>
        <v/>
      </c>
      <c r="E9" s="3">
        <f>IF(SUMPRODUCT(1*EXACT('Casillas del horario'!$S$4:$S$73,"Profesor de EF en 10-4"&amp;CHAR(31)&amp;$A9&amp;CHAR(31)&amp;E$3))&gt;1,IF(ISNA(MATCH(1,INDEX(EXACT('Casillas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10-4"&amp;CHAR(31)&amp;$A9&amp;CHAR(31)&amp;E$3)*1,0),0))))&amp;" (+"&amp;(SUMPRODUCT(1*EXACT('Casillas del horario'!$S$4:$S$73,"Profesor de EF en 10-4"&amp;CHAR(31)&amp;$A9&amp;CHAR(31)&amp;E$3))-1)&amp;")",IF(ISNA(MATCH(1,INDEX(EXACT('Casillas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10-4"&amp;CHAR(31)&amp;$A9&amp;CHAR(31)&amp;E$3)*1,0),0)))))</f>
        <v/>
      </c>
      <c r="F9" s="3">
        <f>IF(SUMPRODUCT(1*EXACT('Casillas del horario'!$S$4:$S$73,"Profesor de EF en 10-4"&amp;CHAR(31)&amp;$A9&amp;CHAR(31)&amp;F$3))&gt;1,IF(ISNA(MATCH(1,INDEX(EXACT('Casillas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10-4"&amp;CHAR(31)&amp;$A9&amp;CHAR(31)&amp;F$3)*1,0),0))))&amp;" (+"&amp;(SUMPRODUCT(1*EXACT('Casillas del horario'!$S$4:$S$73,"Profesor de EF en 10-4"&amp;CHAR(31)&amp;$A9&amp;CHAR(31)&amp;F$3))-1)&amp;")",IF(ISNA(MATCH(1,INDEX(EXACT('Casillas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10-4"&amp;CHAR(31)&amp;$A10&amp;CHAR(31)&amp;B$3))&gt;1,IF(ISNA(MATCH(1,INDEX(EXACT('Casillas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10-4"&amp;CHAR(31)&amp;$A10&amp;CHAR(31)&amp;B$3)*1,0),0))))&amp;" (+"&amp;(SUMPRODUCT(1*EXACT('Casillas del horario'!$S$4:$S$73,"Profesor de EF en 10-4"&amp;CHAR(31)&amp;$A10&amp;CHAR(31)&amp;B$3))-1)&amp;")",IF(ISNA(MATCH(1,INDEX(EXACT('Casillas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10-4"&amp;CHAR(31)&amp;$A10&amp;CHAR(31)&amp;B$3)*1,0),0)))))</f>
        <v/>
      </c>
      <c r="C10" s="3">
        <f>IF(SUMPRODUCT(1*EXACT('Casillas del horario'!$S$4:$S$73,"Profesor de EF en 10-4"&amp;CHAR(31)&amp;$A10&amp;CHAR(31)&amp;C$3))&gt;1,IF(ISNA(MATCH(1,INDEX(EXACT('Casillas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10-4"&amp;CHAR(31)&amp;$A10&amp;CHAR(31)&amp;C$3)*1,0),0))))&amp;" (+"&amp;(SUMPRODUCT(1*EXACT('Casillas del horario'!$S$4:$S$73,"Profesor de EF en 10-4"&amp;CHAR(31)&amp;$A10&amp;CHAR(31)&amp;C$3))-1)&amp;")",IF(ISNA(MATCH(1,INDEX(EXACT('Casillas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10-4"&amp;CHAR(31)&amp;$A10&amp;CHAR(31)&amp;C$3)*1,0),0)))))</f>
        <v/>
      </c>
      <c r="D10" s="3">
        <f>IF(SUMPRODUCT(1*EXACT('Casillas del horario'!$S$4:$S$73,"Profesor de EF en 10-4"&amp;CHAR(31)&amp;$A10&amp;CHAR(31)&amp;D$3))&gt;1,IF(ISNA(MATCH(1,INDEX(EXACT('Casillas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10-4"&amp;CHAR(31)&amp;$A10&amp;CHAR(31)&amp;D$3)*1,0),0))))&amp;" (+"&amp;(SUMPRODUCT(1*EXACT('Casillas del horario'!$S$4:$S$73,"Profesor de EF en 10-4"&amp;CHAR(31)&amp;$A10&amp;CHAR(31)&amp;D$3))-1)&amp;")",IF(ISNA(MATCH(1,INDEX(EXACT('Casillas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10-4"&amp;CHAR(31)&amp;$A10&amp;CHAR(31)&amp;D$3)*1,0),0)))))</f>
        <v/>
      </c>
      <c r="E10" s="3">
        <f>IF(SUMPRODUCT(1*EXACT('Casillas del horario'!$S$4:$S$73,"Profesor de EF en 10-4"&amp;CHAR(31)&amp;$A10&amp;CHAR(31)&amp;E$3))&gt;1,IF(ISNA(MATCH(1,INDEX(EXACT('Casillas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10-4"&amp;CHAR(31)&amp;$A10&amp;CHAR(31)&amp;E$3)*1,0),0))))&amp;" (+"&amp;(SUMPRODUCT(1*EXACT('Casillas del horario'!$S$4:$S$73,"Profesor de EF en 10-4"&amp;CHAR(31)&amp;$A10&amp;CHAR(31)&amp;E$3))-1)&amp;")",IF(ISNA(MATCH(1,INDEX(EXACT('Casillas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10-4"&amp;CHAR(31)&amp;$A10&amp;CHAR(31)&amp;E$3)*1,0),0)))))</f>
        <v/>
      </c>
      <c r="F10" s="3">
        <f>IF(SUMPRODUCT(1*EXACT('Casillas del horario'!$S$4:$S$73,"Profesor de EF en 10-4"&amp;CHAR(31)&amp;$A10&amp;CHAR(31)&amp;F$3))&gt;1,IF(ISNA(MATCH(1,INDEX(EXACT('Casillas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10-4"&amp;CHAR(31)&amp;$A10&amp;CHAR(31)&amp;F$3)*1,0),0))))&amp;" (+"&amp;(SUMPRODUCT(1*EXACT('Casillas del horario'!$S$4:$S$73,"Profesor de EF en 10-4"&amp;CHAR(31)&amp;$A10&amp;CHAR(31)&amp;F$3))-1)&amp;")",IF(ISNA(MATCH(1,INDEX(EXACT('Casillas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10-4"&amp;CHAR(31)&amp;$A4&amp;CHAR(31)&amp;B$3))&gt;1,IF(ISNA(MATCH(1,INDEX(EXACT('Casillas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10-4"&amp;CHAR(31)&amp;$A4&amp;CHAR(31)&amp;B$3)*1,0),0))))&amp;" (+"&amp;(SUMPRODUCT(1*EXACT('Casillas del horario'!$S$4:$S$73,"Profesor de B en 10-4"&amp;CHAR(31)&amp;$A4&amp;CHAR(31)&amp;B$3))-1)&amp;")",IF(ISNA(MATCH(1,INDEX(EXACT('Casillas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10-4"&amp;CHAR(31)&amp;$A4&amp;CHAR(31)&amp;B$3)*1,0),0)))))</f>
        <v/>
      </c>
      <c r="C4" s="3">
        <f>IF(SUMPRODUCT(1*EXACT('Casillas del horario'!$S$4:$S$73,"Profesor de B en 10-4"&amp;CHAR(31)&amp;$A4&amp;CHAR(31)&amp;C$3))&gt;1,IF(ISNA(MATCH(1,INDEX(EXACT('Casillas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10-4"&amp;CHAR(31)&amp;$A4&amp;CHAR(31)&amp;C$3)*1,0),0))))&amp;" (+"&amp;(SUMPRODUCT(1*EXACT('Casillas del horario'!$S$4:$S$73,"Profesor de B en 10-4"&amp;CHAR(31)&amp;$A4&amp;CHAR(31)&amp;C$3))-1)&amp;")",IF(ISNA(MATCH(1,INDEX(EXACT('Casillas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10-4"&amp;CHAR(31)&amp;$A4&amp;CHAR(31)&amp;C$3)*1,0),0)))))</f>
        <v/>
      </c>
      <c r="D4" s="3">
        <f>IF(SUMPRODUCT(1*EXACT('Casillas del horario'!$S$4:$S$73,"Profesor de B en 10-4"&amp;CHAR(31)&amp;$A4&amp;CHAR(31)&amp;D$3))&gt;1,IF(ISNA(MATCH(1,INDEX(EXACT('Casillas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10-4"&amp;CHAR(31)&amp;$A4&amp;CHAR(31)&amp;D$3)*1,0),0))))&amp;" (+"&amp;(SUMPRODUCT(1*EXACT('Casillas del horario'!$S$4:$S$73,"Profesor de B en 10-4"&amp;CHAR(31)&amp;$A4&amp;CHAR(31)&amp;D$3))-1)&amp;")",IF(ISNA(MATCH(1,INDEX(EXACT('Casillas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10-4"&amp;CHAR(31)&amp;$A4&amp;CHAR(31)&amp;D$3)*1,0),0)))))</f>
        <v/>
      </c>
      <c r="E4" s="3">
        <f>IF(SUMPRODUCT(1*EXACT('Casillas del horario'!$S$4:$S$73,"Profesor de B en 10-4"&amp;CHAR(31)&amp;$A4&amp;CHAR(31)&amp;E$3))&gt;1,IF(ISNA(MATCH(1,INDEX(EXACT('Casillas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10-4"&amp;CHAR(31)&amp;$A4&amp;CHAR(31)&amp;E$3)*1,0),0))))&amp;" (+"&amp;(SUMPRODUCT(1*EXACT('Casillas del horario'!$S$4:$S$73,"Profesor de B en 10-4"&amp;CHAR(31)&amp;$A4&amp;CHAR(31)&amp;E$3))-1)&amp;")",IF(ISNA(MATCH(1,INDEX(EXACT('Casillas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10-4"&amp;CHAR(31)&amp;$A4&amp;CHAR(31)&amp;E$3)*1,0),0)))))</f>
        <v/>
      </c>
      <c r="F4" s="3">
        <f>IF(SUMPRODUCT(1*EXACT('Casillas del horario'!$S$4:$S$73,"Profesor de B en 10-4"&amp;CHAR(31)&amp;$A4&amp;CHAR(31)&amp;F$3))&gt;1,IF(ISNA(MATCH(1,INDEX(EXACT('Casillas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10-4"&amp;CHAR(31)&amp;$A4&amp;CHAR(31)&amp;F$3)*1,0),0))))&amp;" (+"&amp;(SUMPRODUCT(1*EXACT('Casillas del horario'!$S$4:$S$73,"Profesor de B en 10-4"&amp;CHAR(31)&amp;$A4&amp;CHAR(31)&amp;F$3))-1)&amp;")",IF(ISNA(MATCH(1,INDEX(EXACT('Casillas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10-4"&amp;CHAR(31)&amp;$A5&amp;CHAR(31)&amp;B$3))&gt;1,IF(ISNA(MATCH(1,INDEX(EXACT('Casillas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10-4"&amp;CHAR(31)&amp;$A5&amp;CHAR(31)&amp;B$3)*1,0),0))))&amp;" (+"&amp;(SUMPRODUCT(1*EXACT('Casillas del horario'!$S$4:$S$73,"Profesor de B en 10-4"&amp;CHAR(31)&amp;$A5&amp;CHAR(31)&amp;B$3))-1)&amp;")",IF(ISNA(MATCH(1,INDEX(EXACT('Casillas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10-4"&amp;CHAR(31)&amp;$A5&amp;CHAR(31)&amp;B$3)*1,0),0)))))</f>
        <v/>
      </c>
      <c r="C5" s="3">
        <f>IF(SUMPRODUCT(1*EXACT('Casillas del horario'!$S$4:$S$73,"Profesor de B en 10-4"&amp;CHAR(31)&amp;$A5&amp;CHAR(31)&amp;C$3))&gt;1,IF(ISNA(MATCH(1,INDEX(EXACT('Casillas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10-4"&amp;CHAR(31)&amp;$A5&amp;CHAR(31)&amp;C$3)*1,0),0))))&amp;" (+"&amp;(SUMPRODUCT(1*EXACT('Casillas del horario'!$S$4:$S$73,"Profesor de B en 10-4"&amp;CHAR(31)&amp;$A5&amp;CHAR(31)&amp;C$3))-1)&amp;")",IF(ISNA(MATCH(1,INDEX(EXACT('Casillas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10-4"&amp;CHAR(31)&amp;$A5&amp;CHAR(31)&amp;C$3)*1,0),0)))))</f>
        <v/>
      </c>
      <c r="D5" s="3">
        <f>IF(SUMPRODUCT(1*EXACT('Casillas del horario'!$S$4:$S$73,"Profesor de B en 10-4"&amp;CHAR(31)&amp;$A5&amp;CHAR(31)&amp;D$3))&gt;1,IF(ISNA(MATCH(1,INDEX(EXACT('Casillas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10-4"&amp;CHAR(31)&amp;$A5&amp;CHAR(31)&amp;D$3)*1,0),0))))&amp;" (+"&amp;(SUMPRODUCT(1*EXACT('Casillas del horario'!$S$4:$S$73,"Profesor de B en 10-4"&amp;CHAR(31)&amp;$A5&amp;CHAR(31)&amp;D$3))-1)&amp;")",IF(ISNA(MATCH(1,INDEX(EXACT('Casillas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10-4"&amp;CHAR(31)&amp;$A5&amp;CHAR(31)&amp;D$3)*1,0),0)))))</f>
        <v/>
      </c>
      <c r="E5" s="3">
        <f>IF(SUMPRODUCT(1*EXACT('Casillas del horario'!$S$4:$S$73,"Profesor de B en 10-4"&amp;CHAR(31)&amp;$A5&amp;CHAR(31)&amp;E$3))&gt;1,IF(ISNA(MATCH(1,INDEX(EXACT('Casillas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10-4"&amp;CHAR(31)&amp;$A5&amp;CHAR(31)&amp;E$3)*1,0),0))))&amp;" (+"&amp;(SUMPRODUCT(1*EXACT('Casillas del horario'!$S$4:$S$73,"Profesor de B en 10-4"&amp;CHAR(31)&amp;$A5&amp;CHAR(31)&amp;E$3))-1)&amp;")",IF(ISNA(MATCH(1,INDEX(EXACT('Casillas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10-4"&amp;CHAR(31)&amp;$A5&amp;CHAR(31)&amp;E$3)*1,0),0)))))</f>
        <v/>
      </c>
      <c r="F5" s="3">
        <f>IF(SUMPRODUCT(1*EXACT('Casillas del horario'!$S$4:$S$73,"Profesor de B en 10-4"&amp;CHAR(31)&amp;$A5&amp;CHAR(31)&amp;F$3))&gt;1,IF(ISNA(MATCH(1,INDEX(EXACT('Casillas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10-4"&amp;CHAR(31)&amp;$A5&amp;CHAR(31)&amp;F$3)*1,0),0))))&amp;" (+"&amp;(SUMPRODUCT(1*EXACT('Casillas del horario'!$S$4:$S$73,"Profesor de B en 10-4"&amp;CHAR(31)&amp;$A5&amp;CHAR(31)&amp;F$3))-1)&amp;")",IF(ISNA(MATCH(1,INDEX(EXACT('Casillas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10-4"&amp;CHAR(31)&amp;$A6&amp;CHAR(31)&amp;B$3))&gt;1,IF(ISNA(MATCH(1,INDEX(EXACT('Casillas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10-4"&amp;CHAR(31)&amp;$A6&amp;CHAR(31)&amp;B$3)*1,0),0))))&amp;" (+"&amp;(SUMPRODUCT(1*EXACT('Casillas del horario'!$S$4:$S$73,"Profesor de B en 10-4"&amp;CHAR(31)&amp;$A6&amp;CHAR(31)&amp;B$3))-1)&amp;")",IF(ISNA(MATCH(1,INDEX(EXACT('Casillas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10-4"&amp;CHAR(31)&amp;$A6&amp;CHAR(31)&amp;B$3)*1,0),0)))))</f>
        <v/>
      </c>
      <c r="C6" s="3">
        <f>IF(SUMPRODUCT(1*EXACT('Casillas del horario'!$S$4:$S$73,"Profesor de B en 10-4"&amp;CHAR(31)&amp;$A6&amp;CHAR(31)&amp;C$3))&gt;1,IF(ISNA(MATCH(1,INDEX(EXACT('Casillas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10-4"&amp;CHAR(31)&amp;$A6&amp;CHAR(31)&amp;C$3)*1,0),0))))&amp;" (+"&amp;(SUMPRODUCT(1*EXACT('Casillas del horario'!$S$4:$S$73,"Profesor de B en 10-4"&amp;CHAR(31)&amp;$A6&amp;CHAR(31)&amp;C$3))-1)&amp;")",IF(ISNA(MATCH(1,INDEX(EXACT('Casillas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10-4"&amp;CHAR(31)&amp;$A6&amp;CHAR(31)&amp;C$3)*1,0),0)))))</f>
        <v/>
      </c>
      <c r="D6" s="3">
        <f>IF(SUMPRODUCT(1*EXACT('Casillas del horario'!$S$4:$S$73,"Profesor de B en 10-4"&amp;CHAR(31)&amp;$A6&amp;CHAR(31)&amp;D$3))&gt;1,IF(ISNA(MATCH(1,INDEX(EXACT('Casillas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10-4"&amp;CHAR(31)&amp;$A6&amp;CHAR(31)&amp;D$3)*1,0),0))))&amp;" (+"&amp;(SUMPRODUCT(1*EXACT('Casillas del horario'!$S$4:$S$73,"Profesor de B en 10-4"&amp;CHAR(31)&amp;$A6&amp;CHAR(31)&amp;D$3))-1)&amp;")",IF(ISNA(MATCH(1,INDEX(EXACT('Casillas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10-4"&amp;CHAR(31)&amp;$A6&amp;CHAR(31)&amp;D$3)*1,0),0)))))</f>
        <v/>
      </c>
      <c r="E6" s="3">
        <f>IF(SUMPRODUCT(1*EXACT('Casillas del horario'!$S$4:$S$73,"Profesor de B en 10-4"&amp;CHAR(31)&amp;$A6&amp;CHAR(31)&amp;E$3))&gt;1,IF(ISNA(MATCH(1,INDEX(EXACT('Casillas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10-4"&amp;CHAR(31)&amp;$A6&amp;CHAR(31)&amp;E$3)*1,0),0))))&amp;" (+"&amp;(SUMPRODUCT(1*EXACT('Casillas del horario'!$S$4:$S$73,"Profesor de B en 10-4"&amp;CHAR(31)&amp;$A6&amp;CHAR(31)&amp;E$3))-1)&amp;")",IF(ISNA(MATCH(1,INDEX(EXACT('Casillas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10-4"&amp;CHAR(31)&amp;$A6&amp;CHAR(31)&amp;E$3)*1,0),0)))))</f>
        <v/>
      </c>
      <c r="F6" s="3">
        <f>IF(SUMPRODUCT(1*EXACT('Casillas del horario'!$S$4:$S$73,"Profesor de B en 10-4"&amp;CHAR(31)&amp;$A6&amp;CHAR(31)&amp;F$3))&gt;1,IF(ISNA(MATCH(1,INDEX(EXACT('Casillas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10-4"&amp;CHAR(31)&amp;$A6&amp;CHAR(31)&amp;F$3)*1,0),0))))&amp;" (+"&amp;(SUMPRODUCT(1*EXACT('Casillas del horario'!$S$4:$S$73,"Profesor de B en 10-4"&amp;CHAR(31)&amp;$A6&amp;CHAR(31)&amp;F$3))-1)&amp;")",IF(ISNA(MATCH(1,INDEX(EXACT('Casillas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10-4"&amp;CHAR(31)&amp;$A7&amp;CHAR(31)&amp;B$3))&gt;1,IF(ISNA(MATCH(1,INDEX(EXACT('Casillas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10-4"&amp;CHAR(31)&amp;$A7&amp;CHAR(31)&amp;B$3)*1,0),0))))&amp;" (+"&amp;(SUMPRODUCT(1*EXACT('Casillas del horario'!$S$4:$S$73,"Profesor de B en 10-4"&amp;CHAR(31)&amp;$A7&amp;CHAR(31)&amp;B$3))-1)&amp;")",IF(ISNA(MATCH(1,INDEX(EXACT('Casillas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10-4"&amp;CHAR(31)&amp;$A7&amp;CHAR(31)&amp;B$3)*1,0),0)))))</f>
        <v/>
      </c>
      <c r="C7" s="3">
        <f>IF(SUMPRODUCT(1*EXACT('Casillas del horario'!$S$4:$S$73,"Profesor de B en 10-4"&amp;CHAR(31)&amp;$A7&amp;CHAR(31)&amp;C$3))&gt;1,IF(ISNA(MATCH(1,INDEX(EXACT('Casillas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10-4"&amp;CHAR(31)&amp;$A7&amp;CHAR(31)&amp;C$3)*1,0),0))))&amp;" (+"&amp;(SUMPRODUCT(1*EXACT('Casillas del horario'!$S$4:$S$73,"Profesor de B en 10-4"&amp;CHAR(31)&amp;$A7&amp;CHAR(31)&amp;C$3))-1)&amp;")",IF(ISNA(MATCH(1,INDEX(EXACT('Casillas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10-4"&amp;CHAR(31)&amp;$A7&amp;CHAR(31)&amp;C$3)*1,0),0)))))</f>
        <v/>
      </c>
      <c r="D7" s="3">
        <f>IF(SUMPRODUCT(1*EXACT('Casillas del horario'!$S$4:$S$73,"Profesor de B en 10-4"&amp;CHAR(31)&amp;$A7&amp;CHAR(31)&amp;D$3))&gt;1,IF(ISNA(MATCH(1,INDEX(EXACT('Casillas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10-4"&amp;CHAR(31)&amp;$A7&amp;CHAR(31)&amp;D$3)*1,0),0))))&amp;" (+"&amp;(SUMPRODUCT(1*EXACT('Casillas del horario'!$S$4:$S$73,"Profesor de B en 10-4"&amp;CHAR(31)&amp;$A7&amp;CHAR(31)&amp;D$3))-1)&amp;")",IF(ISNA(MATCH(1,INDEX(EXACT('Casillas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10-4"&amp;CHAR(31)&amp;$A7&amp;CHAR(31)&amp;D$3)*1,0),0)))))</f>
        <v/>
      </c>
      <c r="E7" s="3">
        <f>IF(SUMPRODUCT(1*EXACT('Casillas del horario'!$S$4:$S$73,"Profesor de B en 10-4"&amp;CHAR(31)&amp;$A7&amp;CHAR(31)&amp;E$3))&gt;1,IF(ISNA(MATCH(1,INDEX(EXACT('Casillas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10-4"&amp;CHAR(31)&amp;$A7&amp;CHAR(31)&amp;E$3)*1,0),0))))&amp;" (+"&amp;(SUMPRODUCT(1*EXACT('Casillas del horario'!$S$4:$S$73,"Profesor de B en 10-4"&amp;CHAR(31)&amp;$A7&amp;CHAR(31)&amp;E$3))-1)&amp;")",IF(ISNA(MATCH(1,INDEX(EXACT('Casillas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10-4"&amp;CHAR(31)&amp;$A7&amp;CHAR(31)&amp;E$3)*1,0),0)))))</f>
        <v/>
      </c>
      <c r="F7" s="3">
        <f>IF(SUMPRODUCT(1*EXACT('Casillas del horario'!$S$4:$S$73,"Profesor de B en 10-4"&amp;CHAR(31)&amp;$A7&amp;CHAR(31)&amp;F$3))&gt;1,IF(ISNA(MATCH(1,INDEX(EXACT('Casillas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10-4"&amp;CHAR(31)&amp;$A7&amp;CHAR(31)&amp;F$3)*1,0),0))))&amp;" (+"&amp;(SUMPRODUCT(1*EXACT('Casillas del horario'!$S$4:$S$73,"Profesor de B en 10-4"&amp;CHAR(31)&amp;$A7&amp;CHAR(31)&amp;F$3))-1)&amp;")",IF(ISNA(MATCH(1,INDEX(EXACT('Casillas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10-4"&amp;CHAR(31)&amp;$A8&amp;CHAR(31)&amp;B$3))&gt;1,IF(ISNA(MATCH(1,INDEX(EXACT('Casillas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10-4"&amp;CHAR(31)&amp;$A8&amp;CHAR(31)&amp;B$3)*1,0),0))))&amp;" (+"&amp;(SUMPRODUCT(1*EXACT('Casillas del horario'!$S$4:$S$73,"Profesor de B en 10-4"&amp;CHAR(31)&amp;$A8&amp;CHAR(31)&amp;B$3))-1)&amp;")",IF(ISNA(MATCH(1,INDEX(EXACT('Casillas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10-4"&amp;CHAR(31)&amp;$A8&amp;CHAR(31)&amp;B$3)*1,0),0)))))</f>
        <v/>
      </c>
      <c r="C8" s="3">
        <f>IF(SUMPRODUCT(1*EXACT('Casillas del horario'!$S$4:$S$73,"Profesor de B en 10-4"&amp;CHAR(31)&amp;$A8&amp;CHAR(31)&amp;C$3))&gt;1,IF(ISNA(MATCH(1,INDEX(EXACT('Casillas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10-4"&amp;CHAR(31)&amp;$A8&amp;CHAR(31)&amp;C$3)*1,0),0))))&amp;" (+"&amp;(SUMPRODUCT(1*EXACT('Casillas del horario'!$S$4:$S$73,"Profesor de B en 10-4"&amp;CHAR(31)&amp;$A8&amp;CHAR(31)&amp;C$3))-1)&amp;")",IF(ISNA(MATCH(1,INDEX(EXACT('Casillas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10-4"&amp;CHAR(31)&amp;$A8&amp;CHAR(31)&amp;C$3)*1,0),0)))))</f>
        <v/>
      </c>
      <c r="D8" s="3">
        <f>IF(SUMPRODUCT(1*EXACT('Casillas del horario'!$S$4:$S$73,"Profesor de B en 10-4"&amp;CHAR(31)&amp;$A8&amp;CHAR(31)&amp;D$3))&gt;1,IF(ISNA(MATCH(1,INDEX(EXACT('Casillas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10-4"&amp;CHAR(31)&amp;$A8&amp;CHAR(31)&amp;D$3)*1,0),0))))&amp;" (+"&amp;(SUMPRODUCT(1*EXACT('Casillas del horario'!$S$4:$S$73,"Profesor de B en 10-4"&amp;CHAR(31)&amp;$A8&amp;CHAR(31)&amp;D$3))-1)&amp;")",IF(ISNA(MATCH(1,INDEX(EXACT('Casillas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10-4"&amp;CHAR(31)&amp;$A8&amp;CHAR(31)&amp;D$3)*1,0),0)))))</f>
        <v/>
      </c>
      <c r="E8" s="3">
        <f>IF(SUMPRODUCT(1*EXACT('Casillas del horario'!$S$4:$S$73,"Profesor de B en 10-4"&amp;CHAR(31)&amp;$A8&amp;CHAR(31)&amp;E$3))&gt;1,IF(ISNA(MATCH(1,INDEX(EXACT('Casillas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10-4"&amp;CHAR(31)&amp;$A8&amp;CHAR(31)&amp;E$3)*1,0),0))))&amp;" (+"&amp;(SUMPRODUCT(1*EXACT('Casillas del horario'!$S$4:$S$73,"Profesor de B en 10-4"&amp;CHAR(31)&amp;$A8&amp;CHAR(31)&amp;E$3))-1)&amp;")",IF(ISNA(MATCH(1,INDEX(EXACT('Casillas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10-4"&amp;CHAR(31)&amp;$A8&amp;CHAR(31)&amp;E$3)*1,0),0)))))</f>
        <v/>
      </c>
      <c r="F8" s="3">
        <f>IF(SUMPRODUCT(1*EXACT('Casillas del horario'!$S$4:$S$73,"Profesor de B en 10-4"&amp;CHAR(31)&amp;$A8&amp;CHAR(31)&amp;F$3))&gt;1,IF(ISNA(MATCH(1,INDEX(EXACT('Casillas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10-4"&amp;CHAR(31)&amp;$A8&amp;CHAR(31)&amp;F$3)*1,0),0))))&amp;" (+"&amp;(SUMPRODUCT(1*EXACT('Casillas del horario'!$S$4:$S$73,"Profesor de B en 10-4"&amp;CHAR(31)&amp;$A8&amp;CHAR(31)&amp;F$3))-1)&amp;")",IF(ISNA(MATCH(1,INDEX(EXACT('Casillas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10-4"&amp;CHAR(31)&amp;$A9&amp;CHAR(31)&amp;B$3))&gt;1,IF(ISNA(MATCH(1,INDEX(EXACT('Casillas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10-4"&amp;CHAR(31)&amp;$A9&amp;CHAR(31)&amp;B$3)*1,0),0))))&amp;" (+"&amp;(SUMPRODUCT(1*EXACT('Casillas del horario'!$S$4:$S$73,"Profesor de B en 10-4"&amp;CHAR(31)&amp;$A9&amp;CHAR(31)&amp;B$3))-1)&amp;")",IF(ISNA(MATCH(1,INDEX(EXACT('Casillas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10-4"&amp;CHAR(31)&amp;$A9&amp;CHAR(31)&amp;B$3)*1,0),0)))))</f>
        <v/>
      </c>
      <c r="C9" s="3">
        <f>IF(SUMPRODUCT(1*EXACT('Casillas del horario'!$S$4:$S$73,"Profesor de B en 10-4"&amp;CHAR(31)&amp;$A9&amp;CHAR(31)&amp;C$3))&gt;1,IF(ISNA(MATCH(1,INDEX(EXACT('Casillas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10-4"&amp;CHAR(31)&amp;$A9&amp;CHAR(31)&amp;C$3)*1,0),0))))&amp;" (+"&amp;(SUMPRODUCT(1*EXACT('Casillas del horario'!$S$4:$S$73,"Profesor de B en 10-4"&amp;CHAR(31)&amp;$A9&amp;CHAR(31)&amp;C$3))-1)&amp;")",IF(ISNA(MATCH(1,INDEX(EXACT('Casillas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10-4"&amp;CHAR(31)&amp;$A9&amp;CHAR(31)&amp;C$3)*1,0),0)))))</f>
        <v/>
      </c>
      <c r="D9" s="3">
        <f>IF(SUMPRODUCT(1*EXACT('Casillas del horario'!$S$4:$S$73,"Profesor de B en 10-4"&amp;CHAR(31)&amp;$A9&amp;CHAR(31)&amp;D$3))&gt;1,IF(ISNA(MATCH(1,INDEX(EXACT('Casillas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10-4"&amp;CHAR(31)&amp;$A9&amp;CHAR(31)&amp;D$3)*1,0),0))))&amp;" (+"&amp;(SUMPRODUCT(1*EXACT('Casillas del horario'!$S$4:$S$73,"Profesor de B en 10-4"&amp;CHAR(31)&amp;$A9&amp;CHAR(31)&amp;D$3))-1)&amp;")",IF(ISNA(MATCH(1,INDEX(EXACT('Casillas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10-4"&amp;CHAR(31)&amp;$A9&amp;CHAR(31)&amp;D$3)*1,0),0)))))</f>
        <v/>
      </c>
      <c r="E9" s="3">
        <f>IF(SUMPRODUCT(1*EXACT('Casillas del horario'!$S$4:$S$73,"Profesor de B en 10-4"&amp;CHAR(31)&amp;$A9&amp;CHAR(31)&amp;E$3))&gt;1,IF(ISNA(MATCH(1,INDEX(EXACT('Casillas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10-4"&amp;CHAR(31)&amp;$A9&amp;CHAR(31)&amp;E$3)*1,0),0))))&amp;" (+"&amp;(SUMPRODUCT(1*EXACT('Casillas del horario'!$S$4:$S$73,"Profesor de B en 10-4"&amp;CHAR(31)&amp;$A9&amp;CHAR(31)&amp;E$3))-1)&amp;")",IF(ISNA(MATCH(1,INDEX(EXACT('Casillas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10-4"&amp;CHAR(31)&amp;$A9&amp;CHAR(31)&amp;E$3)*1,0),0)))))</f>
        <v/>
      </c>
      <c r="F9" s="3">
        <f>IF(SUMPRODUCT(1*EXACT('Casillas del horario'!$S$4:$S$73,"Profesor de B en 10-4"&amp;CHAR(31)&amp;$A9&amp;CHAR(31)&amp;F$3))&gt;1,IF(ISNA(MATCH(1,INDEX(EXACT('Casillas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10-4"&amp;CHAR(31)&amp;$A9&amp;CHAR(31)&amp;F$3)*1,0),0))))&amp;" (+"&amp;(SUMPRODUCT(1*EXACT('Casillas del horario'!$S$4:$S$73,"Profesor de B en 10-4"&amp;CHAR(31)&amp;$A9&amp;CHAR(31)&amp;F$3))-1)&amp;")",IF(ISNA(MATCH(1,INDEX(EXACT('Casillas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10-4"&amp;CHAR(31)&amp;$A10&amp;CHAR(31)&amp;B$3))&gt;1,IF(ISNA(MATCH(1,INDEX(EXACT('Casillas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10-4"&amp;CHAR(31)&amp;$A10&amp;CHAR(31)&amp;B$3)*1,0),0))))&amp;" (+"&amp;(SUMPRODUCT(1*EXACT('Casillas del horario'!$S$4:$S$73,"Profesor de B en 10-4"&amp;CHAR(31)&amp;$A10&amp;CHAR(31)&amp;B$3))-1)&amp;")",IF(ISNA(MATCH(1,INDEX(EXACT('Casillas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10-4"&amp;CHAR(31)&amp;$A10&amp;CHAR(31)&amp;B$3)*1,0),0)))))</f>
        <v/>
      </c>
      <c r="C10" s="3">
        <f>IF(SUMPRODUCT(1*EXACT('Casillas del horario'!$S$4:$S$73,"Profesor de B en 10-4"&amp;CHAR(31)&amp;$A10&amp;CHAR(31)&amp;C$3))&gt;1,IF(ISNA(MATCH(1,INDEX(EXACT('Casillas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10-4"&amp;CHAR(31)&amp;$A10&amp;CHAR(31)&amp;C$3)*1,0),0))))&amp;" (+"&amp;(SUMPRODUCT(1*EXACT('Casillas del horario'!$S$4:$S$73,"Profesor de B en 10-4"&amp;CHAR(31)&amp;$A10&amp;CHAR(31)&amp;C$3))-1)&amp;")",IF(ISNA(MATCH(1,INDEX(EXACT('Casillas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10-4"&amp;CHAR(31)&amp;$A10&amp;CHAR(31)&amp;C$3)*1,0),0)))))</f>
        <v/>
      </c>
      <c r="D10" s="3">
        <f>IF(SUMPRODUCT(1*EXACT('Casillas del horario'!$S$4:$S$73,"Profesor de B en 10-4"&amp;CHAR(31)&amp;$A10&amp;CHAR(31)&amp;D$3))&gt;1,IF(ISNA(MATCH(1,INDEX(EXACT('Casillas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10-4"&amp;CHAR(31)&amp;$A10&amp;CHAR(31)&amp;D$3)*1,0),0))))&amp;" (+"&amp;(SUMPRODUCT(1*EXACT('Casillas del horario'!$S$4:$S$73,"Profesor de B en 10-4"&amp;CHAR(31)&amp;$A10&amp;CHAR(31)&amp;D$3))-1)&amp;")",IF(ISNA(MATCH(1,INDEX(EXACT('Casillas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10-4"&amp;CHAR(31)&amp;$A10&amp;CHAR(31)&amp;D$3)*1,0),0)))))</f>
        <v/>
      </c>
      <c r="E10" s="3">
        <f>IF(SUMPRODUCT(1*EXACT('Casillas del horario'!$S$4:$S$73,"Profesor de B en 10-4"&amp;CHAR(31)&amp;$A10&amp;CHAR(31)&amp;E$3))&gt;1,IF(ISNA(MATCH(1,INDEX(EXACT('Casillas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10-4"&amp;CHAR(31)&amp;$A10&amp;CHAR(31)&amp;E$3)*1,0),0))))&amp;" (+"&amp;(SUMPRODUCT(1*EXACT('Casillas del horario'!$S$4:$S$73,"Profesor de B en 10-4"&amp;CHAR(31)&amp;$A10&amp;CHAR(31)&amp;E$3))-1)&amp;")",IF(ISNA(MATCH(1,INDEX(EXACT('Casillas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10-4"&amp;CHAR(31)&amp;$A10&amp;CHAR(31)&amp;E$3)*1,0),0)))))</f>
        <v/>
      </c>
      <c r="F10" s="3">
        <f>IF(SUMPRODUCT(1*EXACT('Casillas del horario'!$S$4:$S$73,"Profesor de B en 10-4"&amp;CHAR(31)&amp;$A10&amp;CHAR(31)&amp;F$3))&gt;1,IF(ISNA(MATCH(1,INDEX(EXACT('Casillas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10-4"&amp;CHAR(31)&amp;$A10&amp;CHAR(31)&amp;F$3)*1,0),0))))&amp;" (+"&amp;(SUMPRODUCT(1*EXACT('Casillas del horario'!$S$4:$S$73,"Profesor de B en 10-4"&amp;CHAR(31)&amp;$A10&amp;CHAR(31)&amp;F$3))-1)&amp;")",IF(ISNA(MATCH(1,INDEX(EXACT('Casillas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10-4"&amp;CHAR(31)&amp;$A4&amp;CHAR(31)&amp;B$3))&gt;1,IF(ISNA(MATCH(1,INDEX(EXACT('Casillas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10-4"&amp;CHAR(31)&amp;$A4&amp;CHAR(31)&amp;B$3)*1,0),0))))&amp;" (+"&amp;(SUMPRODUCT(1*EXACT('Casillas del horario'!$S$4:$S$73,"Profesor de G en 10-4"&amp;CHAR(31)&amp;$A4&amp;CHAR(31)&amp;B$3))-1)&amp;")",IF(ISNA(MATCH(1,INDEX(EXACT('Casillas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10-4"&amp;CHAR(31)&amp;$A4&amp;CHAR(31)&amp;B$3)*1,0),0)))))</f>
        <v/>
      </c>
      <c r="C4" s="3">
        <f>IF(SUMPRODUCT(1*EXACT('Casillas del horario'!$S$4:$S$73,"Profesor de G en 10-4"&amp;CHAR(31)&amp;$A4&amp;CHAR(31)&amp;C$3))&gt;1,IF(ISNA(MATCH(1,INDEX(EXACT('Casillas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10-4"&amp;CHAR(31)&amp;$A4&amp;CHAR(31)&amp;C$3)*1,0),0))))&amp;" (+"&amp;(SUMPRODUCT(1*EXACT('Casillas del horario'!$S$4:$S$73,"Profesor de G en 10-4"&amp;CHAR(31)&amp;$A4&amp;CHAR(31)&amp;C$3))-1)&amp;")",IF(ISNA(MATCH(1,INDEX(EXACT('Casillas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10-4"&amp;CHAR(31)&amp;$A4&amp;CHAR(31)&amp;C$3)*1,0),0)))))</f>
        <v/>
      </c>
      <c r="D4" s="3">
        <f>IF(SUMPRODUCT(1*EXACT('Casillas del horario'!$S$4:$S$73,"Profesor de G en 10-4"&amp;CHAR(31)&amp;$A4&amp;CHAR(31)&amp;D$3))&gt;1,IF(ISNA(MATCH(1,INDEX(EXACT('Casillas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10-4"&amp;CHAR(31)&amp;$A4&amp;CHAR(31)&amp;D$3)*1,0),0))))&amp;" (+"&amp;(SUMPRODUCT(1*EXACT('Casillas del horario'!$S$4:$S$73,"Profesor de G en 10-4"&amp;CHAR(31)&amp;$A4&amp;CHAR(31)&amp;D$3))-1)&amp;")",IF(ISNA(MATCH(1,INDEX(EXACT('Casillas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10-4"&amp;CHAR(31)&amp;$A4&amp;CHAR(31)&amp;D$3)*1,0),0)))))</f>
        <v/>
      </c>
      <c r="E4" s="3">
        <f>IF(SUMPRODUCT(1*EXACT('Casillas del horario'!$S$4:$S$73,"Profesor de G en 10-4"&amp;CHAR(31)&amp;$A4&amp;CHAR(31)&amp;E$3))&gt;1,IF(ISNA(MATCH(1,INDEX(EXACT('Casillas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10-4"&amp;CHAR(31)&amp;$A4&amp;CHAR(31)&amp;E$3)*1,0),0))))&amp;" (+"&amp;(SUMPRODUCT(1*EXACT('Casillas del horario'!$S$4:$S$73,"Profesor de G en 10-4"&amp;CHAR(31)&amp;$A4&amp;CHAR(31)&amp;E$3))-1)&amp;")",IF(ISNA(MATCH(1,INDEX(EXACT('Casillas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10-4"&amp;CHAR(31)&amp;$A4&amp;CHAR(31)&amp;E$3)*1,0),0)))))</f>
        <v/>
      </c>
      <c r="F4" s="3">
        <f>IF(SUMPRODUCT(1*EXACT('Casillas del horario'!$S$4:$S$73,"Profesor de G en 10-4"&amp;CHAR(31)&amp;$A4&amp;CHAR(31)&amp;F$3))&gt;1,IF(ISNA(MATCH(1,INDEX(EXACT('Casillas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10-4"&amp;CHAR(31)&amp;$A4&amp;CHAR(31)&amp;F$3)*1,0),0))))&amp;" (+"&amp;(SUMPRODUCT(1*EXACT('Casillas del horario'!$S$4:$S$73,"Profesor de G en 10-4"&amp;CHAR(31)&amp;$A4&amp;CHAR(31)&amp;F$3))-1)&amp;")",IF(ISNA(MATCH(1,INDEX(EXACT('Casillas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10-4"&amp;CHAR(31)&amp;$A5&amp;CHAR(31)&amp;B$3))&gt;1,IF(ISNA(MATCH(1,INDEX(EXACT('Casillas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10-4"&amp;CHAR(31)&amp;$A5&amp;CHAR(31)&amp;B$3)*1,0),0))))&amp;" (+"&amp;(SUMPRODUCT(1*EXACT('Casillas del horario'!$S$4:$S$73,"Profesor de G en 10-4"&amp;CHAR(31)&amp;$A5&amp;CHAR(31)&amp;B$3))-1)&amp;")",IF(ISNA(MATCH(1,INDEX(EXACT('Casillas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10-4"&amp;CHAR(31)&amp;$A5&amp;CHAR(31)&amp;B$3)*1,0),0)))))</f>
        <v/>
      </c>
      <c r="C5" s="3">
        <f>IF(SUMPRODUCT(1*EXACT('Casillas del horario'!$S$4:$S$73,"Profesor de G en 10-4"&amp;CHAR(31)&amp;$A5&amp;CHAR(31)&amp;C$3))&gt;1,IF(ISNA(MATCH(1,INDEX(EXACT('Casillas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10-4"&amp;CHAR(31)&amp;$A5&amp;CHAR(31)&amp;C$3)*1,0),0))))&amp;" (+"&amp;(SUMPRODUCT(1*EXACT('Casillas del horario'!$S$4:$S$73,"Profesor de G en 10-4"&amp;CHAR(31)&amp;$A5&amp;CHAR(31)&amp;C$3))-1)&amp;")",IF(ISNA(MATCH(1,INDEX(EXACT('Casillas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10-4"&amp;CHAR(31)&amp;$A5&amp;CHAR(31)&amp;C$3)*1,0),0)))))</f>
        <v/>
      </c>
      <c r="D5" s="3">
        <f>IF(SUMPRODUCT(1*EXACT('Casillas del horario'!$S$4:$S$73,"Profesor de G en 10-4"&amp;CHAR(31)&amp;$A5&amp;CHAR(31)&amp;D$3))&gt;1,IF(ISNA(MATCH(1,INDEX(EXACT('Casillas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10-4"&amp;CHAR(31)&amp;$A5&amp;CHAR(31)&amp;D$3)*1,0),0))))&amp;" (+"&amp;(SUMPRODUCT(1*EXACT('Casillas del horario'!$S$4:$S$73,"Profesor de G en 10-4"&amp;CHAR(31)&amp;$A5&amp;CHAR(31)&amp;D$3))-1)&amp;")",IF(ISNA(MATCH(1,INDEX(EXACT('Casillas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10-4"&amp;CHAR(31)&amp;$A5&amp;CHAR(31)&amp;D$3)*1,0),0)))))</f>
        <v/>
      </c>
      <c r="E5" s="3">
        <f>IF(SUMPRODUCT(1*EXACT('Casillas del horario'!$S$4:$S$73,"Profesor de G en 10-4"&amp;CHAR(31)&amp;$A5&amp;CHAR(31)&amp;E$3))&gt;1,IF(ISNA(MATCH(1,INDEX(EXACT('Casillas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10-4"&amp;CHAR(31)&amp;$A5&amp;CHAR(31)&amp;E$3)*1,0),0))))&amp;" (+"&amp;(SUMPRODUCT(1*EXACT('Casillas del horario'!$S$4:$S$73,"Profesor de G en 10-4"&amp;CHAR(31)&amp;$A5&amp;CHAR(31)&amp;E$3))-1)&amp;")",IF(ISNA(MATCH(1,INDEX(EXACT('Casillas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10-4"&amp;CHAR(31)&amp;$A5&amp;CHAR(31)&amp;E$3)*1,0),0)))))</f>
        <v/>
      </c>
      <c r="F5" s="3">
        <f>IF(SUMPRODUCT(1*EXACT('Casillas del horario'!$S$4:$S$73,"Profesor de G en 10-4"&amp;CHAR(31)&amp;$A5&amp;CHAR(31)&amp;F$3))&gt;1,IF(ISNA(MATCH(1,INDEX(EXACT('Casillas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10-4"&amp;CHAR(31)&amp;$A5&amp;CHAR(31)&amp;F$3)*1,0),0))))&amp;" (+"&amp;(SUMPRODUCT(1*EXACT('Casillas del horario'!$S$4:$S$73,"Profesor de G en 10-4"&amp;CHAR(31)&amp;$A5&amp;CHAR(31)&amp;F$3))-1)&amp;")",IF(ISNA(MATCH(1,INDEX(EXACT('Casillas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10-4"&amp;CHAR(31)&amp;$A6&amp;CHAR(31)&amp;B$3))&gt;1,IF(ISNA(MATCH(1,INDEX(EXACT('Casillas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10-4"&amp;CHAR(31)&amp;$A6&amp;CHAR(31)&amp;B$3)*1,0),0))))&amp;" (+"&amp;(SUMPRODUCT(1*EXACT('Casillas del horario'!$S$4:$S$73,"Profesor de G en 10-4"&amp;CHAR(31)&amp;$A6&amp;CHAR(31)&amp;B$3))-1)&amp;")",IF(ISNA(MATCH(1,INDEX(EXACT('Casillas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10-4"&amp;CHAR(31)&amp;$A6&amp;CHAR(31)&amp;B$3)*1,0),0)))))</f>
        <v/>
      </c>
      <c r="C6" s="3">
        <f>IF(SUMPRODUCT(1*EXACT('Casillas del horario'!$S$4:$S$73,"Profesor de G en 10-4"&amp;CHAR(31)&amp;$A6&amp;CHAR(31)&amp;C$3))&gt;1,IF(ISNA(MATCH(1,INDEX(EXACT('Casillas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10-4"&amp;CHAR(31)&amp;$A6&amp;CHAR(31)&amp;C$3)*1,0),0))))&amp;" (+"&amp;(SUMPRODUCT(1*EXACT('Casillas del horario'!$S$4:$S$73,"Profesor de G en 10-4"&amp;CHAR(31)&amp;$A6&amp;CHAR(31)&amp;C$3))-1)&amp;")",IF(ISNA(MATCH(1,INDEX(EXACT('Casillas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10-4"&amp;CHAR(31)&amp;$A6&amp;CHAR(31)&amp;C$3)*1,0),0)))))</f>
        <v/>
      </c>
      <c r="D6" s="3">
        <f>IF(SUMPRODUCT(1*EXACT('Casillas del horario'!$S$4:$S$73,"Profesor de G en 10-4"&amp;CHAR(31)&amp;$A6&amp;CHAR(31)&amp;D$3))&gt;1,IF(ISNA(MATCH(1,INDEX(EXACT('Casillas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10-4"&amp;CHAR(31)&amp;$A6&amp;CHAR(31)&amp;D$3)*1,0),0))))&amp;" (+"&amp;(SUMPRODUCT(1*EXACT('Casillas del horario'!$S$4:$S$73,"Profesor de G en 10-4"&amp;CHAR(31)&amp;$A6&amp;CHAR(31)&amp;D$3))-1)&amp;")",IF(ISNA(MATCH(1,INDEX(EXACT('Casillas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10-4"&amp;CHAR(31)&amp;$A6&amp;CHAR(31)&amp;D$3)*1,0),0)))))</f>
        <v/>
      </c>
      <c r="E6" s="3">
        <f>IF(SUMPRODUCT(1*EXACT('Casillas del horario'!$S$4:$S$73,"Profesor de G en 10-4"&amp;CHAR(31)&amp;$A6&amp;CHAR(31)&amp;E$3))&gt;1,IF(ISNA(MATCH(1,INDEX(EXACT('Casillas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10-4"&amp;CHAR(31)&amp;$A6&amp;CHAR(31)&amp;E$3)*1,0),0))))&amp;" (+"&amp;(SUMPRODUCT(1*EXACT('Casillas del horario'!$S$4:$S$73,"Profesor de G en 10-4"&amp;CHAR(31)&amp;$A6&amp;CHAR(31)&amp;E$3))-1)&amp;")",IF(ISNA(MATCH(1,INDEX(EXACT('Casillas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10-4"&amp;CHAR(31)&amp;$A6&amp;CHAR(31)&amp;E$3)*1,0),0)))))</f>
        <v/>
      </c>
      <c r="F6" s="3">
        <f>IF(SUMPRODUCT(1*EXACT('Casillas del horario'!$S$4:$S$73,"Profesor de G en 10-4"&amp;CHAR(31)&amp;$A6&amp;CHAR(31)&amp;F$3))&gt;1,IF(ISNA(MATCH(1,INDEX(EXACT('Casillas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10-4"&amp;CHAR(31)&amp;$A6&amp;CHAR(31)&amp;F$3)*1,0),0))))&amp;" (+"&amp;(SUMPRODUCT(1*EXACT('Casillas del horario'!$S$4:$S$73,"Profesor de G en 10-4"&amp;CHAR(31)&amp;$A6&amp;CHAR(31)&amp;F$3))-1)&amp;")",IF(ISNA(MATCH(1,INDEX(EXACT('Casillas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10-4"&amp;CHAR(31)&amp;$A7&amp;CHAR(31)&amp;B$3))&gt;1,IF(ISNA(MATCH(1,INDEX(EXACT('Casillas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10-4"&amp;CHAR(31)&amp;$A7&amp;CHAR(31)&amp;B$3)*1,0),0))))&amp;" (+"&amp;(SUMPRODUCT(1*EXACT('Casillas del horario'!$S$4:$S$73,"Profesor de G en 10-4"&amp;CHAR(31)&amp;$A7&amp;CHAR(31)&amp;B$3))-1)&amp;")",IF(ISNA(MATCH(1,INDEX(EXACT('Casillas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10-4"&amp;CHAR(31)&amp;$A7&amp;CHAR(31)&amp;B$3)*1,0),0)))))</f>
        <v/>
      </c>
      <c r="C7" s="3">
        <f>IF(SUMPRODUCT(1*EXACT('Casillas del horario'!$S$4:$S$73,"Profesor de G en 10-4"&amp;CHAR(31)&amp;$A7&amp;CHAR(31)&amp;C$3))&gt;1,IF(ISNA(MATCH(1,INDEX(EXACT('Casillas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10-4"&amp;CHAR(31)&amp;$A7&amp;CHAR(31)&amp;C$3)*1,0),0))))&amp;" (+"&amp;(SUMPRODUCT(1*EXACT('Casillas del horario'!$S$4:$S$73,"Profesor de G en 10-4"&amp;CHAR(31)&amp;$A7&amp;CHAR(31)&amp;C$3))-1)&amp;")",IF(ISNA(MATCH(1,INDEX(EXACT('Casillas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10-4"&amp;CHAR(31)&amp;$A7&amp;CHAR(31)&amp;C$3)*1,0),0)))))</f>
        <v/>
      </c>
      <c r="D7" s="3">
        <f>IF(SUMPRODUCT(1*EXACT('Casillas del horario'!$S$4:$S$73,"Profesor de G en 10-4"&amp;CHAR(31)&amp;$A7&amp;CHAR(31)&amp;D$3))&gt;1,IF(ISNA(MATCH(1,INDEX(EXACT('Casillas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10-4"&amp;CHAR(31)&amp;$A7&amp;CHAR(31)&amp;D$3)*1,0),0))))&amp;" (+"&amp;(SUMPRODUCT(1*EXACT('Casillas del horario'!$S$4:$S$73,"Profesor de G en 10-4"&amp;CHAR(31)&amp;$A7&amp;CHAR(31)&amp;D$3))-1)&amp;")",IF(ISNA(MATCH(1,INDEX(EXACT('Casillas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10-4"&amp;CHAR(31)&amp;$A7&amp;CHAR(31)&amp;D$3)*1,0),0)))))</f>
        <v/>
      </c>
      <c r="E7" s="3">
        <f>IF(SUMPRODUCT(1*EXACT('Casillas del horario'!$S$4:$S$73,"Profesor de G en 10-4"&amp;CHAR(31)&amp;$A7&amp;CHAR(31)&amp;E$3))&gt;1,IF(ISNA(MATCH(1,INDEX(EXACT('Casillas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10-4"&amp;CHAR(31)&amp;$A7&amp;CHAR(31)&amp;E$3)*1,0),0))))&amp;" (+"&amp;(SUMPRODUCT(1*EXACT('Casillas del horario'!$S$4:$S$73,"Profesor de G en 10-4"&amp;CHAR(31)&amp;$A7&amp;CHAR(31)&amp;E$3))-1)&amp;")",IF(ISNA(MATCH(1,INDEX(EXACT('Casillas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10-4"&amp;CHAR(31)&amp;$A7&amp;CHAR(31)&amp;E$3)*1,0),0)))))</f>
        <v/>
      </c>
      <c r="F7" s="3">
        <f>IF(SUMPRODUCT(1*EXACT('Casillas del horario'!$S$4:$S$73,"Profesor de G en 10-4"&amp;CHAR(31)&amp;$A7&amp;CHAR(31)&amp;F$3))&gt;1,IF(ISNA(MATCH(1,INDEX(EXACT('Casillas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10-4"&amp;CHAR(31)&amp;$A7&amp;CHAR(31)&amp;F$3)*1,0),0))))&amp;" (+"&amp;(SUMPRODUCT(1*EXACT('Casillas del horario'!$S$4:$S$73,"Profesor de G en 10-4"&amp;CHAR(31)&amp;$A7&amp;CHAR(31)&amp;F$3))-1)&amp;")",IF(ISNA(MATCH(1,INDEX(EXACT('Casillas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10-4"&amp;CHAR(31)&amp;$A8&amp;CHAR(31)&amp;B$3))&gt;1,IF(ISNA(MATCH(1,INDEX(EXACT('Casillas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10-4"&amp;CHAR(31)&amp;$A8&amp;CHAR(31)&amp;B$3)*1,0),0))))&amp;" (+"&amp;(SUMPRODUCT(1*EXACT('Casillas del horario'!$S$4:$S$73,"Profesor de G en 10-4"&amp;CHAR(31)&amp;$A8&amp;CHAR(31)&amp;B$3))-1)&amp;")",IF(ISNA(MATCH(1,INDEX(EXACT('Casillas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10-4"&amp;CHAR(31)&amp;$A8&amp;CHAR(31)&amp;B$3)*1,0),0)))))</f>
        <v/>
      </c>
      <c r="C8" s="3">
        <f>IF(SUMPRODUCT(1*EXACT('Casillas del horario'!$S$4:$S$73,"Profesor de G en 10-4"&amp;CHAR(31)&amp;$A8&amp;CHAR(31)&amp;C$3))&gt;1,IF(ISNA(MATCH(1,INDEX(EXACT('Casillas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10-4"&amp;CHAR(31)&amp;$A8&amp;CHAR(31)&amp;C$3)*1,0),0))))&amp;" (+"&amp;(SUMPRODUCT(1*EXACT('Casillas del horario'!$S$4:$S$73,"Profesor de G en 10-4"&amp;CHAR(31)&amp;$A8&amp;CHAR(31)&amp;C$3))-1)&amp;")",IF(ISNA(MATCH(1,INDEX(EXACT('Casillas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10-4"&amp;CHAR(31)&amp;$A8&amp;CHAR(31)&amp;C$3)*1,0),0)))))</f>
        <v/>
      </c>
      <c r="D8" s="3">
        <f>IF(SUMPRODUCT(1*EXACT('Casillas del horario'!$S$4:$S$73,"Profesor de G en 10-4"&amp;CHAR(31)&amp;$A8&amp;CHAR(31)&amp;D$3))&gt;1,IF(ISNA(MATCH(1,INDEX(EXACT('Casillas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10-4"&amp;CHAR(31)&amp;$A8&amp;CHAR(31)&amp;D$3)*1,0),0))))&amp;" (+"&amp;(SUMPRODUCT(1*EXACT('Casillas del horario'!$S$4:$S$73,"Profesor de G en 10-4"&amp;CHAR(31)&amp;$A8&amp;CHAR(31)&amp;D$3))-1)&amp;")",IF(ISNA(MATCH(1,INDEX(EXACT('Casillas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10-4"&amp;CHAR(31)&amp;$A8&amp;CHAR(31)&amp;D$3)*1,0),0)))))</f>
        <v/>
      </c>
      <c r="E8" s="3">
        <f>IF(SUMPRODUCT(1*EXACT('Casillas del horario'!$S$4:$S$73,"Profesor de G en 10-4"&amp;CHAR(31)&amp;$A8&amp;CHAR(31)&amp;E$3))&gt;1,IF(ISNA(MATCH(1,INDEX(EXACT('Casillas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10-4"&amp;CHAR(31)&amp;$A8&amp;CHAR(31)&amp;E$3)*1,0),0))))&amp;" (+"&amp;(SUMPRODUCT(1*EXACT('Casillas del horario'!$S$4:$S$73,"Profesor de G en 10-4"&amp;CHAR(31)&amp;$A8&amp;CHAR(31)&amp;E$3))-1)&amp;")",IF(ISNA(MATCH(1,INDEX(EXACT('Casillas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10-4"&amp;CHAR(31)&amp;$A8&amp;CHAR(31)&amp;E$3)*1,0),0)))))</f>
        <v/>
      </c>
      <c r="F8" s="3">
        <f>IF(SUMPRODUCT(1*EXACT('Casillas del horario'!$S$4:$S$73,"Profesor de G en 10-4"&amp;CHAR(31)&amp;$A8&amp;CHAR(31)&amp;F$3))&gt;1,IF(ISNA(MATCH(1,INDEX(EXACT('Casillas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10-4"&amp;CHAR(31)&amp;$A8&amp;CHAR(31)&amp;F$3)*1,0),0))))&amp;" (+"&amp;(SUMPRODUCT(1*EXACT('Casillas del horario'!$S$4:$S$73,"Profesor de G en 10-4"&amp;CHAR(31)&amp;$A8&amp;CHAR(31)&amp;F$3))-1)&amp;")",IF(ISNA(MATCH(1,INDEX(EXACT('Casillas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10-4"&amp;CHAR(31)&amp;$A9&amp;CHAR(31)&amp;B$3))&gt;1,IF(ISNA(MATCH(1,INDEX(EXACT('Casillas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10-4"&amp;CHAR(31)&amp;$A9&amp;CHAR(31)&amp;B$3)*1,0),0))))&amp;" (+"&amp;(SUMPRODUCT(1*EXACT('Casillas del horario'!$S$4:$S$73,"Profesor de G en 10-4"&amp;CHAR(31)&amp;$A9&amp;CHAR(31)&amp;B$3))-1)&amp;")",IF(ISNA(MATCH(1,INDEX(EXACT('Casillas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10-4"&amp;CHAR(31)&amp;$A9&amp;CHAR(31)&amp;B$3)*1,0),0)))))</f>
        <v/>
      </c>
      <c r="C9" s="3">
        <f>IF(SUMPRODUCT(1*EXACT('Casillas del horario'!$S$4:$S$73,"Profesor de G en 10-4"&amp;CHAR(31)&amp;$A9&amp;CHAR(31)&amp;C$3))&gt;1,IF(ISNA(MATCH(1,INDEX(EXACT('Casillas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10-4"&amp;CHAR(31)&amp;$A9&amp;CHAR(31)&amp;C$3)*1,0),0))))&amp;" (+"&amp;(SUMPRODUCT(1*EXACT('Casillas del horario'!$S$4:$S$73,"Profesor de G en 10-4"&amp;CHAR(31)&amp;$A9&amp;CHAR(31)&amp;C$3))-1)&amp;")",IF(ISNA(MATCH(1,INDEX(EXACT('Casillas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10-4"&amp;CHAR(31)&amp;$A9&amp;CHAR(31)&amp;C$3)*1,0),0)))))</f>
        <v/>
      </c>
      <c r="D9" s="3">
        <f>IF(SUMPRODUCT(1*EXACT('Casillas del horario'!$S$4:$S$73,"Profesor de G en 10-4"&amp;CHAR(31)&amp;$A9&amp;CHAR(31)&amp;D$3))&gt;1,IF(ISNA(MATCH(1,INDEX(EXACT('Casillas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10-4"&amp;CHAR(31)&amp;$A9&amp;CHAR(31)&amp;D$3)*1,0),0))))&amp;" (+"&amp;(SUMPRODUCT(1*EXACT('Casillas del horario'!$S$4:$S$73,"Profesor de G en 10-4"&amp;CHAR(31)&amp;$A9&amp;CHAR(31)&amp;D$3))-1)&amp;")",IF(ISNA(MATCH(1,INDEX(EXACT('Casillas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10-4"&amp;CHAR(31)&amp;$A9&amp;CHAR(31)&amp;D$3)*1,0),0)))))</f>
        <v/>
      </c>
      <c r="E9" s="3">
        <f>IF(SUMPRODUCT(1*EXACT('Casillas del horario'!$S$4:$S$73,"Profesor de G en 10-4"&amp;CHAR(31)&amp;$A9&amp;CHAR(31)&amp;E$3))&gt;1,IF(ISNA(MATCH(1,INDEX(EXACT('Casillas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10-4"&amp;CHAR(31)&amp;$A9&amp;CHAR(31)&amp;E$3)*1,0),0))))&amp;" (+"&amp;(SUMPRODUCT(1*EXACT('Casillas del horario'!$S$4:$S$73,"Profesor de G en 10-4"&amp;CHAR(31)&amp;$A9&amp;CHAR(31)&amp;E$3))-1)&amp;")",IF(ISNA(MATCH(1,INDEX(EXACT('Casillas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10-4"&amp;CHAR(31)&amp;$A9&amp;CHAR(31)&amp;E$3)*1,0),0)))))</f>
        <v/>
      </c>
      <c r="F9" s="3">
        <f>IF(SUMPRODUCT(1*EXACT('Casillas del horario'!$S$4:$S$73,"Profesor de G en 10-4"&amp;CHAR(31)&amp;$A9&amp;CHAR(31)&amp;F$3))&gt;1,IF(ISNA(MATCH(1,INDEX(EXACT('Casillas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10-4"&amp;CHAR(31)&amp;$A9&amp;CHAR(31)&amp;F$3)*1,0),0))))&amp;" (+"&amp;(SUMPRODUCT(1*EXACT('Casillas del horario'!$S$4:$S$73,"Profesor de G en 10-4"&amp;CHAR(31)&amp;$A9&amp;CHAR(31)&amp;F$3))-1)&amp;")",IF(ISNA(MATCH(1,INDEX(EXACT('Casillas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10-4"&amp;CHAR(31)&amp;$A10&amp;CHAR(31)&amp;B$3))&gt;1,IF(ISNA(MATCH(1,INDEX(EXACT('Casillas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10-4"&amp;CHAR(31)&amp;$A10&amp;CHAR(31)&amp;B$3)*1,0),0))))&amp;" (+"&amp;(SUMPRODUCT(1*EXACT('Casillas del horario'!$S$4:$S$73,"Profesor de G en 10-4"&amp;CHAR(31)&amp;$A10&amp;CHAR(31)&amp;B$3))-1)&amp;")",IF(ISNA(MATCH(1,INDEX(EXACT('Casillas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10-4"&amp;CHAR(31)&amp;$A10&amp;CHAR(31)&amp;B$3)*1,0),0)))))</f>
        <v/>
      </c>
      <c r="C10" s="3">
        <f>IF(SUMPRODUCT(1*EXACT('Casillas del horario'!$S$4:$S$73,"Profesor de G en 10-4"&amp;CHAR(31)&amp;$A10&amp;CHAR(31)&amp;C$3))&gt;1,IF(ISNA(MATCH(1,INDEX(EXACT('Casillas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10-4"&amp;CHAR(31)&amp;$A10&amp;CHAR(31)&amp;C$3)*1,0),0))))&amp;" (+"&amp;(SUMPRODUCT(1*EXACT('Casillas del horario'!$S$4:$S$73,"Profesor de G en 10-4"&amp;CHAR(31)&amp;$A10&amp;CHAR(31)&amp;C$3))-1)&amp;")",IF(ISNA(MATCH(1,INDEX(EXACT('Casillas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10-4"&amp;CHAR(31)&amp;$A10&amp;CHAR(31)&amp;C$3)*1,0),0)))))</f>
        <v/>
      </c>
      <c r="D10" s="3">
        <f>IF(SUMPRODUCT(1*EXACT('Casillas del horario'!$S$4:$S$73,"Profesor de G en 10-4"&amp;CHAR(31)&amp;$A10&amp;CHAR(31)&amp;D$3))&gt;1,IF(ISNA(MATCH(1,INDEX(EXACT('Casillas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10-4"&amp;CHAR(31)&amp;$A10&amp;CHAR(31)&amp;D$3)*1,0),0))))&amp;" (+"&amp;(SUMPRODUCT(1*EXACT('Casillas del horario'!$S$4:$S$73,"Profesor de G en 10-4"&amp;CHAR(31)&amp;$A10&amp;CHAR(31)&amp;D$3))-1)&amp;")",IF(ISNA(MATCH(1,INDEX(EXACT('Casillas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10-4"&amp;CHAR(31)&amp;$A10&amp;CHAR(31)&amp;D$3)*1,0),0)))))</f>
        <v/>
      </c>
      <c r="E10" s="3">
        <f>IF(SUMPRODUCT(1*EXACT('Casillas del horario'!$S$4:$S$73,"Profesor de G en 10-4"&amp;CHAR(31)&amp;$A10&amp;CHAR(31)&amp;E$3))&gt;1,IF(ISNA(MATCH(1,INDEX(EXACT('Casillas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10-4"&amp;CHAR(31)&amp;$A10&amp;CHAR(31)&amp;E$3)*1,0),0))))&amp;" (+"&amp;(SUMPRODUCT(1*EXACT('Casillas del horario'!$S$4:$S$73,"Profesor de G en 10-4"&amp;CHAR(31)&amp;$A10&amp;CHAR(31)&amp;E$3))-1)&amp;")",IF(ISNA(MATCH(1,INDEX(EXACT('Casillas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10-4"&amp;CHAR(31)&amp;$A10&amp;CHAR(31)&amp;E$3)*1,0),0)))))</f>
        <v/>
      </c>
      <c r="F10" s="3">
        <f>IF(SUMPRODUCT(1*EXACT('Casillas del horario'!$S$4:$S$73,"Profesor de G en 10-4"&amp;CHAR(31)&amp;$A10&amp;CHAR(31)&amp;F$3))&gt;1,IF(ISNA(MATCH(1,INDEX(EXACT('Casillas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10-4"&amp;CHAR(31)&amp;$A10&amp;CHAR(31)&amp;F$3)*1,0),0))))&amp;" (+"&amp;(SUMPRODUCT(1*EXACT('Casillas del horario'!$S$4:$S$73,"Profesor de G en 10-4"&amp;CHAR(31)&amp;$A10&amp;CHAR(31)&amp;F$3))-1)&amp;")",IF(ISNA(MATCH(1,INDEX(EXACT('Casillas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10-4"&amp;CHAR(31)&amp;$A4&amp;CHAR(31)&amp;B$3))&gt;1,IF(ISNA(MATCH(1,INDEX(EXACT('Casillas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10-4"&amp;CHAR(31)&amp;$A4&amp;CHAR(31)&amp;B$3)*1,0),0))))&amp;" (+"&amp;(SUMPRODUCT(1*EXACT('Casillas del horario'!$S$4:$S$73,"Profesor de INF en 10-4"&amp;CHAR(31)&amp;$A4&amp;CHAR(31)&amp;B$3))-1)&amp;")",IF(ISNA(MATCH(1,INDEX(EXACT('Casillas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10-4"&amp;CHAR(31)&amp;$A4&amp;CHAR(31)&amp;B$3)*1,0),0)))))</f>
        <v/>
      </c>
      <c r="C4" s="3">
        <f>IF(SUMPRODUCT(1*EXACT('Casillas del horario'!$S$4:$S$73,"Profesor de INF en 10-4"&amp;CHAR(31)&amp;$A4&amp;CHAR(31)&amp;C$3))&gt;1,IF(ISNA(MATCH(1,INDEX(EXACT('Casillas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10-4"&amp;CHAR(31)&amp;$A4&amp;CHAR(31)&amp;C$3)*1,0),0))))&amp;" (+"&amp;(SUMPRODUCT(1*EXACT('Casillas del horario'!$S$4:$S$73,"Profesor de INF en 10-4"&amp;CHAR(31)&amp;$A4&amp;CHAR(31)&amp;C$3))-1)&amp;")",IF(ISNA(MATCH(1,INDEX(EXACT('Casillas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10-4"&amp;CHAR(31)&amp;$A4&amp;CHAR(31)&amp;C$3)*1,0),0)))))</f>
        <v/>
      </c>
      <c r="D4" s="3">
        <f>IF(SUMPRODUCT(1*EXACT('Casillas del horario'!$S$4:$S$73,"Profesor de INF en 10-4"&amp;CHAR(31)&amp;$A4&amp;CHAR(31)&amp;D$3))&gt;1,IF(ISNA(MATCH(1,INDEX(EXACT('Casillas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10-4"&amp;CHAR(31)&amp;$A4&amp;CHAR(31)&amp;D$3)*1,0),0))))&amp;" (+"&amp;(SUMPRODUCT(1*EXACT('Casillas del horario'!$S$4:$S$73,"Profesor de INF en 10-4"&amp;CHAR(31)&amp;$A4&amp;CHAR(31)&amp;D$3))-1)&amp;")",IF(ISNA(MATCH(1,INDEX(EXACT('Casillas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10-4"&amp;CHAR(31)&amp;$A4&amp;CHAR(31)&amp;D$3)*1,0),0)))))</f>
        <v/>
      </c>
      <c r="E4" s="3">
        <f>IF(SUMPRODUCT(1*EXACT('Casillas del horario'!$S$4:$S$73,"Profesor de INF en 10-4"&amp;CHAR(31)&amp;$A4&amp;CHAR(31)&amp;E$3))&gt;1,IF(ISNA(MATCH(1,INDEX(EXACT('Casillas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10-4"&amp;CHAR(31)&amp;$A4&amp;CHAR(31)&amp;E$3)*1,0),0))))&amp;" (+"&amp;(SUMPRODUCT(1*EXACT('Casillas del horario'!$S$4:$S$73,"Profesor de INF en 10-4"&amp;CHAR(31)&amp;$A4&amp;CHAR(31)&amp;E$3))-1)&amp;")",IF(ISNA(MATCH(1,INDEX(EXACT('Casillas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10-4"&amp;CHAR(31)&amp;$A4&amp;CHAR(31)&amp;E$3)*1,0),0)))))</f>
        <v/>
      </c>
      <c r="F4" s="3">
        <f>IF(SUMPRODUCT(1*EXACT('Casillas del horario'!$S$4:$S$73,"Profesor de INF en 10-4"&amp;CHAR(31)&amp;$A4&amp;CHAR(31)&amp;F$3))&gt;1,IF(ISNA(MATCH(1,INDEX(EXACT('Casillas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10-4"&amp;CHAR(31)&amp;$A4&amp;CHAR(31)&amp;F$3)*1,0),0))))&amp;" (+"&amp;(SUMPRODUCT(1*EXACT('Casillas del horario'!$S$4:$S$73,"Profesor de INF en 10-4"&amp;CHAR(31)&amp;$A4&amp;CHAR(31)&amp;F$3))-1)&amp;")",IF(ISNA(MATCH(1,INDEX(EXACT('Casillas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10-4"&amp;CHAR(31)&amp;$A5&amp;CHAR(31)&amp;B$3))&gt;1,IF(ISNA(MATCH(1,INDEX(EXACT('Casillas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10-4"&amp;CHAR(31)&amp;$A5&amp;CHAR(31)&amp;B$3)*1,0),0))))&amp;" (+"&amp;(SUMPRODUCT(1*EXACT('Casillas del horario'!$S$4:$S$73,"Profesor de INF en 10-4"&amp;CHAR(31)&amp;$A5&amp;CHAR(31)&amp;B$3))-1)&amp;")",IF(ISNA(MATCH(1,INDEX(EXACT('Casillas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10-4"&amp;CHAR(31)&amp;$A5&amp;CHAR(31)&amp;B$3)*1,0),0)))))</f>
        <v/>
      </c>
      <c r="C5" s="3">
        <f>IF(SUMPRODUCT(1*EXACT('Casillas del horario'!$S$4:$S$73,"Profesor de INF en 10-4"&amp;CHAR(31)&amp;$A5&amp;CHAR(31)&amp;C$3))&gt;1,IF(ISNA(MATCH(1,INDEX(EXACT('Casillas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10-4"&amp;CHAR(31)&amp;$A5&amp;CHAR(31)&amp;C$3)*1,0),0))))&amp;" (+"&amp;(SUMPRODUCT(1*EXACT('Casillas del horario'!$S$4:$S$73,"Profesor de INF en 10-4"&amp;CHAR(31)&amp;$A5&amp;CHAR(31)&amp;C$3))-1)&amp;")",IF(ISNA(MATCH(1,INDEX(EXACT('Casillas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10-4"&amp;CHAR(31)&amp;$A5&amp;CHAR(31)&amp;C$3)*1,0),0)))))</f>
        <v/>
      </c>
      <c r="D5" s="3">
        <f>IF(SUMPRODUCT(1*EXACT('Casillas del horario'!$S$4:$S$73,"Profesor de INF en 10-4"&amp;CHAR(31)&amp;$A5&amp;CHAR(31)&amp;D$3))&gt;1,IF(ISNA(MATCH(1,INDEX(EXACT('Casillas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10-4"&amp;CHAR(31)&amp;$A5&amp;CHAR(31)&amp;D$3)*1,0),0))))&amp;" (+"&amp;(SUMPRODUCT(1*EXACT('Casillas del horario'!$S$4:$S$73,"Profesor de INF en 10-4"&amp;CHAR(31)&amp;$A5&amp;CHAR(31)&amp;D$3))-1)&amp;")",IF(ISNA(MATCH(1,INDEX(EXACT('Casillas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10-4"&amp;CHAR(31)&amp;$A5&amp;CHAR(31)&amp;D$3)*1,0),0)))))</f>
        <v/>
      </c>
      <c r="E5" s="3">
        <f>IF(SUMPRODUCT(1*EXACT('Casillas del horario'!$S$4:$S$73,"Profesor de INF en 10-4"&amp;CHAR(31)&amp;$A5&amp;CHAR(31)&amp;E$3))&gt;1,IF(ISNA(MATCH(1,INDEX(EXACT('Casillas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10-4"&amp;CHAR(31)&amp;$A5&amp;CHAR(31)&amp;E$3)*1,0),0))))&amp;" (+"&amp;(SUMPRODUCT(1*EXACT('Casillas del horario'!$S$4:$S$73,"Profesor de INF en 10-4"&amp;CHAR(31)&amp;$A5&amp;CHAR(31)&amp;E$3))-1)&amp;")",IF(ISNA(MATCH(1,INDEX(EXACT('Casillas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10-4"&amp;CHAR(31)&amp;$A5&amp;CHAR(31)&amp;E$3)*1,0),0)))))</f>
        <v/>
      </c>
      <c r="F5" s="3">
        <f>IF(SUMPRODUCT(1*EXACT('Casillas del horario'!$S$4:$S$73,"Profesor de INF en 10-4"&amp;CHAR(31)&amp;$A5&amp;CHAR(31)&amp;F$3))&gt;1,IF(ISNA(MATCH(1,INDEX(EXACT('Casillas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10-4"&amp;CHAR(31)&amp;$A5&amp;CHAR(31)&amp;F$3)*1,0),0))))&amp;" (+"&amp;(SUMPRODUCT(1*EXACT('Casillas del horario'!$S$4:$S$73,"Profesor de INF en 10-4"&amp;CHAR(31)&amp;$A5&amp;CHAR(31)&amp;F$3))-1)&amp;")",IF(ISNA(MATCH(1,INDEX(EXACT('Casillas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10-4"&amp;CHAR(31)&amp;$A6&amp;CHAR(31)&amp;B$3))&gt;1,IF(ISNA(MATCH(1,INDEX(EXACT('Casillas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10-4"&amp;CHAR(31)&amp;$A6&amp;CHAR(31)&amp;B$3)*1,0),0))))&amp;" (+"&amp;(SUMPRODUCT(1*EXACT('Casillas del horario'!$S$4:$S$73,"Profesor de INF en 10-4"&amp;CHAR(31)&amp;$A6&amp;CHAR(31)&amp;B$3))-1)&amp;")",IF(ISNA(MATCH(1,INDEX(EXACT('Casillas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10-4"&amp;CHAR(31)&amp;$A6&amp;CHAR(31)&amp;B$3)*1,0),0)))))</f>
        <v/>
      </c>
      <c r="C6" s="3">
        <f>IF(SUMPRODUCT(1*EXACT('Casillas del horario'!$S$4:$S$73,"Profesor de INF en 10-4"&amp;CHAR(31)&amp;$A6&amp;CHAR(31)&amp;C$3))&gt;1,IF(ISNA(MATCH(1,INDEX(EXACT('Casillas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10-4"&amp;CHAR(31)&amp;$A6&amp;CHAR(31)&amp;C$3)*1,0),0))))&amp;" (+"&amp;(SUMPRODUCT(1*EXACT('Casillas del horario'!$S$4:$S$73,"Profesor de INF en 10-4"&amp;CHAR(31)&amp;$A6&amp;CHAR(31)&amp;C$3))-1)&amp;")",IF(ISNA(MATCH(1,INDEX(EXACT('Casillas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10-4"&amp;CHAR(31)&amp;$A6&amp;CHAR(31)&amp;C$3)*1,0),0)))))</f>
        <v/>
      </c>
      <c r="D6" s="3">
        <f>IF(SUMPRODUCT(1*EXACT('Casillas del horario'!$S$4:$S$73,"Profesor de INF en 10-4"&amp;CHAR(31)&amp;$A6&amp;CHAR(31)&amp;D$3))&gt;1,IF(ISNA(MATCH(1,INDEX(EXACT('Casillas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10-4"&amp;CHAR(31)&amp;$A6&amp;CHAR(31)&amp;D$3)*1,0),0))))&amp;" (+"&amp;(SUMPRODUCT(1*EXACT('Casillas del horario'!$S$4:$S$73,"Profesor de INF en 10-4"&amp;CHAR(31)&amp;$A6&amp;CHAR(31)&amp;D$3))-1)&amp;")",IF(ISNA(MATCH(1,INDEX(EXACT('Casillas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10-4"&amp;CHAR(31)&amp;$A6&amp;CHAR(31)&amp;D$3)*1,0),0)))))</f>
        <v/>
      </c>
      <c r="E6" s="3">
        <f>IF(SUMPRODUCT(1*EXACT('Casillas del horario'!$S$4:$S$73,"Profesor de INF en 10-4"&amp;CHAR(31)&amp;$A6&amp;CHAR(31)&amp;E$3))&gt;1,IF(ISNA(MATCH(1,INDEX(EXACT('Casillas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10-4"&amp;CHAR(31)&amp;$A6&amp;CHAR(31)&amp;E$3)*1,0),0))))&amp;" (+"&amp;(SUMPRODUCT(1*EXACT('Casillas del horario'!$S$4:$S$73,"Profesor de INF en 10-4"&amp;CHAR(31)&amp;$A6&amp;CHAR(31)&amp;E$3))-1)&amp;")",IF(ISNA(MATCH(1,INDEX(EXACT('Casillas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10-4"&amp;CHAR(31)&amp;$A6&amp;CHAR(31)&amp;E$3)*1,0),0)))))</f>
        <v/>
      </c>
      <c r="F6" s="3">
        <f>IF(SUMPRODUCT(1*EXACT('Casillas del horario'!$S$4:$S$73,"Profesor de INF en 10-4"&amp;CHAR(31)&amp;$A6&amp;CHAR(31)&amp;F$3))&gt;1,IF(ISNA(MATCH(1,INDEX(EXACT('Casillas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10-4"&amp;CHAR(31)&amp;$A6&amp;CHAR(31)&amp;F$3)*1,0),0))))&amp;" (+"&amp;(SUMPRODUCT(1*EXACT('Casillas del horario'!$S$4:$S$73,"Profesor de INF en 10-4"&amp;CHAR(31)&amp;$A6&amp;CHAR(31)&amp;F$3))-1)&amp;")",IF(ISNA(MATCH(1,INDEX(EXACT('Casillas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10-4"&amp;CHAR(31)&amp;$A7&amp;CHAR(31)&amp;B$3))&gt;1,IF(ISNA(MATCH(1,INDEX(EXACT('Casillas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10-4"&amp;CHAR(31)&amp;$A7&amp;CHAR(31)&amp;B$3)*1,0),0))))&amp;" (+"&amp;(SUMPRODUCT(1*EXACT('Casillas del horario'!$S$4:$S$73,"Profesor de INF en 10-4"&amp;CHAR(31)&amp;$A7&amp;CHAR(31)&amp;B$3))-1)&amp;")",IF(ISNA(MATCH(1,INDEX(EXACT('Casillas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10-4"&amp;CHAR(31)&amp;$A7&amp;CHAR(31)&amp;B$3)*1,0),0)))))</f>
        <v/>
      </c>
      <c r="C7" s="3">
        <f>IF(SUMPRODUCT(1*EXACT('Casillas del horario'!$S$4:$S$73,"Profesor de INF en 10-4"&amp;CHAR(31)&amp;$A7&amp;CHAR(31)&amp;C$3))&gt;1,IF(ISNA(MATCH(1,INDEX(EXACT('Casillas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10-4"&amp;CHAR(31)&amp;$A7&amp;CHAR(31)&amp;C$3)*1,0),0))))&amp;" (+"&amp;(SUMPRODUCT(1*EXACT('Casillas del horario'!$S$4:$S$73,"Profesor de INF en 10-4"&amp;CHAR(31)&amp;$A7&amp;CHAR(31)&amp;C$3))-1)&amp;")",IF(ISNA(MATCH(1,INDEX(EXACT('Casillas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10-4"&amp;CHAR(31)&amp;$A7&amp;CHAR(31)&amp;C$3)*1,0),0)))))</f>
        <v/>
      </c>
      <c r="D7" s="3">
        <f>IF(SUMPRODUCT(1*EXACT('Casillas del horario'!$S$4:$S$73,"Profesor de INF en 10-4"&amp;CHAR(31)&amp;$A7&amp;CHAR(31)&amp;D$3))&gt;1,IF(ISNA(MATCH(1,INDEX(EXACT('Casillas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10-4"&amp;CHAR(31)&amp;$A7&amp;CHAR(31)&amp;D$3)*1,0),0))))&amp;" (+"&amp;(SUMPRODUCT(1*EXACT('Casillas del horario'!$S$4:$S$73,"Profesor de INF en 10-4"&amp;CHAR(31)&amp;$A7&amp;CHAR(31)&amp;D$3))-1)&amp;")",IF(ISNA(MATCH(1,INDEX(EXACT('Casillas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10-4"&amp;CHAR(31)&amp;$A7&amp;CHAR(31)&amp;D$3)*1,0),0)))))</f>
        <v/>
      </c>
      <c r="E7" s="3">
        <f>IF(SUMPRODUCT(1*EXACT('Casillas del horario'!$S$4:$S$73,"Profesor de INF en 10-4"&amp;CHAR(31)&amp;$A7&amp;CHAR(31)&amp;E$3))&gt;1,IF(ISNA(MATCH(1,INDEX(EXACT('Casillas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10-4"&amp;CHAR(31)&amp;$A7&amp;CHAR(31)&amp;E$3)*1,0),0))))&amp;" (+"&amp;(SUMPRODUCT(1*EXACT('Casillas del horario'!$S$4:$S$73,"Profesor de INF en 10-4"&amp;CHAR(31)&amp;$A7&amp;CHAR(31)&amp;E$3))-1)&amp;")",IF(ISNA(MATCH(1,INDEX(EXACT('Casillas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10-4"&amp;CHAR(31)&amp;$A7&amp;CHAR(31)&amp;E$3)*1,0),0)))))</f>
        <v/>
      </c>
      <c r="F7" s="3">
        <f>IF(SUMPRODUCT(1*EXACT('Casillas del horario'!$S$4:$S$73,"Profesor de INF en 10-4"&amp;CHAR(31)&amp;$A7&amp;CHAR(31)&amp;F$3))&gt;1,IF(ISNA(MATCH(1,INDEX(EXACT('Casillas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10-4"&amp;CHAR(31)&amp;$A7&amp;CHAR(31)&amp;F$3)*1,0),0))))&amp;" (+"&amp;(SUMPRODUCT(1*EXACT('Casillas del horario'!$S$4:$S$73,"Profesor de INF en 10-4"&amp;CHAR(31)&amp;$A7&amp;CHAR(31)&amp;F$3))-1)&amp;")",IF(ISNA(MATCH(1,INDEX(EXACT('Casillas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10-4"&amp;CHAR(31)&amp;$A8&amp;CHAR(31)&amp;B$3))&gt;1,IF(ISNA(MATCH(1,INDEX(EXACT('Casillas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10-4"&amp;CHAR(31)&amp;$A8&amp;CHAR(31)&amp;B$3)*1,0),0))))&amp;" (+"&amp;(SUMPRODUCT(1*EXACT('Casillas del horario'!$S$4:$S$73,"Profesor de INF en 10-4"&amp;CHAR(31)&amp;$A8&amp;CHAR(31)&amp;B$3))-1)&amp;")",IF(ISNA(MATCH(1,INDEX(EXACT('Casillas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10-4"&amp;CHAR(31)&amp;$A8&amp;CHAR(31)&amp;B$3)*1,0),0)))))</f>
        <v/>
      </c>
      <c r="C8" s="3">
        <f>IF(SUMPRODUCT(1*EXACT('Casillas del horario'!$S$4:$S$73,"Profesor de INF en 10-4"&amp;CHAR(31)&amp;$A8&amp;CHAR(31)&amp;C$3))&gt;1,IF(ISNA(MATCH(1,INDEX(EXACT('Casillas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10-4"&amp;CHAR(31)&amp;$A8&amp;CHAR(31)&amp;C$3)*1,0),0))))&amp;" (+"&amp;(SUMPRODUCT(1*EXACT('Casillas del horario'!$S$4:$S$73,"Profesor de INF en 10-4"&amp;CHAR(31)&amp;$A8&amp;CHAR(31)&amp;C$3))-1)&amp;")",IF(ISNA(MATCH(1,INDEX(EXACT('Casillas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10-4"&amp;CHAR(31)&amp;$A8&amp;CHAR(31)&amp;C$3)*1,0),0)))))</f>
        <v/>
      </c>
      <c r="D8" s="3">
        <f>IF(SUMPRODUCT(1*EXACT('Casillas del horario'!$S$4:$S$73,"Profesor de INF en 10-4"&amp;CHAR(31)&amp;$A8&amp;CHAR(31)&amp;D$3))&gt;1,IF(ISNA(MATCH(1,INDEX(EXACT('Casillas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10-4"&amp;CHAR(31)&amp;$A8&amp;CHAR(31)&amp;D$3)*1,0),0))))&amp;" (+"&amp;(SUMPRODUCT(1*EXACT('Casillas del horario'!$S$4:$S$73,"Profesor de INF en 10-4"&amp;CHAR(31)&amp;$A8&amp;CHAR(31)&amp;D$3))-1)&amp;")",IF(ISNA(MATCH(1,INDEX(EXACT('Casillas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10-4"&amp;CHAR(31)&amp;$A8&amp;CHAR(31)&amp;D$3)*1,0),0)))))</f>
        <v/>
      </c>
      <c r="E8" s="3">
        <f>IF(SUMPRODUCT(1*EXACT('Casillas del horario'!$S$4:$S$73,"Profesor de INF en 10-4"&amp;CHAR(31)&amp;$A8&amp;CHAR(31)&amp;E$3))&gt;1,IF(ISNA(MATCH(1,INDEX(EXACT('Casillas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10-4"&amp;CHAR(31)&amp;$A8&amp;CHAR(31)&amp;E$3)*1,0),0))))&amp;" (+"&amp;(SUMPRODUCT(1*EXACT('Casillas del horario'!$S$4:$S$73,"Profesor de INF en 10-4"&amp;CHAR(31)&amp;$A8&amp;CHAR(31)&amp;E$3))-1)&amp;")",IF(ISNA(MATCH(1,INDEX(EXACT('Casillas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10-4"&amp;CHAR(31)&amp;$A8&amp;CHAR(31)&amp;E$3)*1,0),0)))))</f>
        <v/>
      </c>
      <c r="F8" s="3">
        <f>IF(SUMPRODUCT(1*EXACT('Casillas del horario'!$S$4:$S$73,"Profesor de INF en 10-4"&amp;CHAR(31)&amp;$A8&amp;CHAR(31)&amp;F$3))&gt;1,IF(ISNA(MATCH(1,INDEX(EXACT('Casillas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10-4"&amp;CHAR(31)&amp;$A8&amp;CHAR(31)&amp;F$3)*1,0),0))))&amp;" (+"&amp;(SUMPRODUCT(1*EXACT('Casillas del horario'!$S$4:$S$73,"Profesor de INF en 10-4"&amp;CHAR(31)&amp;$A8&amp;CHAR(31)&amp;F$3))-1)&amp;")",IF(ISNA(MATCH(1,INDEX(EXACT('Casillas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10-4"&amp;CHAR(31)&amp;$A9&amp;CHAR(31)&amp;B$3))&gt;1,IF(ISNA(MATCH(1,INDEX(EXACT('Casillas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10-4"&amp;CHAR(31)&amp;$A9&amp;CHAR(31)&amp;B$3)*1,0),0))))&amp;" (+"&amp;(SUMPRODUCT(1*EXACT('Casillas del horario'!$S$4:$S$73,"Profesor de INF en 10-4"&amp;CHAR(31)&amp;$A9&amp;CHAR(31)&amp;B$3))-1)&amp;")",IF(ISNA(MATCH(1,INDEX(EXACT('Casillas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10-4"&amp;CHAR(31)&amp;$A9&amp;CHAR(31)&amp;B$3)*1,0),0)))))</f>
        <v/>
      </c>
      <c r="C9" s="3">
        <f>IF(SUMPRODUCT(1*EXACT('Casillas del horario'!$S$4:$S$73,"Profesor de INF en 10-4"&amp;CHAR(31)&amp;$A9&amp;CHAR(31)&amp;C$3))&gt;1,IF(ISNA(MATCH(1,INDEX(EXACT('Casillas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10-4"&amp;CHAR(31)&amp;$A9&amp;CHAR(31)&amp;C$3)*1,0),0))))&amp;" (+"&amp;(SUMPRODUCT(1*EXACT('Casillas del horario'!$S$4:$S$73,"Profesor de INF en 10-4"&amp;CHAR(31)&amp;$A9&amp;CHAR(31)&amp;C$3))-1)&amp;")",IF(ISNA(MATCH(1,INDEX(EXACT('Casillas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10-4"&amp;CHAR(31)&amp;$A9&amp;CHAR(31)&amp;C$3)*1,0),0)))))</f>
        <v/>
      </c>
      <c r="D9" s="3">
        <f>IF(SUMPRODUCT(1*EXACT('Casillas del horario'!$S$4:$S$73,"Profesor de INF en 10-4"&amp;CHAR(31)&amp;$A9&amp;CHAR(31)&amp;D$3))&gt;1,IF(ISNA(MATCH(1,INDEX(EXACT('Casillas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10-4"&amp;CHAR(31)&amp;$A9&amp;CHAR(31)&amp;D$3)*1,0),0))))&amp;" (+"&amp;(SUMPRODUCT(1*EXACT('Casillas del horario'!$S$4:$S$73,"Profesor de INF en 10-4"&amp;CHAR(31)&amp;$A9&amp;CHAR(31)&amp;D$3))-1)&amp;")",IF(ISNA(MATCH(1,INDEX(EXACT('Casillas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10-4"&amp;CHAR(31)&amp;$A9&amp;CHAR(31)&amp;D$3)*1,0),0)))))</f>
        <v/>
      </c>
      <c r="E9" s="3">
        <f>IF(SUMPRODUCT(1*EXACT('Casillas del horario'!$S$4:$S$73,"Profesor de INF en 10-4"&amp;CHAR(31)&amp;$A9&amp;CHAR(31)&amp;E$3))&gt;1,IF(ISNA(MATCH(1,INDEX(EXACT('Casillas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10-4"&amp;CHAR(31)&amp;$A9&amp;CHAR(31)&amp;E$3)*1,0),0))))&amp;" (+"&amp;(SUMPRODUCT(1*EXACT('Casillas del horario'!$S$4:$S$73,"Profesor de INF en 10-4"&amp;CHAR(31)&amp;$A9&amp;CHAR(31)&amp;E$3))-1)&amp;")",IF(ISNA(MATCH(1,INDEX(EXACT('Casillas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10-4"&amp;CHAR(31)&amp;$A9&amp;CHAR(31)&amp;E$3)*1,0),0)))))</f>
        <v/>
      </c>
      <c r="F9" s="3">
        <f>IF(SUMPRODUCT(1*EXACT('Casillas del horario'!$S$4:$S$73,"Profesor de INF en 10-4"&amp;CHAR(31)&amp;$A9&amp;CHAR(31)&amp;F$3))&gt;1,IF(ISNA(MATCH(1,INDEX(EXACT('Casillas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10-4"&amp;CHAR(31)&amp;$A9&amp;CHAR(31)&amp;F$3)*1,0),0))))&amp;" (+"&amp;(SUMPRODUCT(1*EXACT('Casillas del horario'!$S$4:$S$73,"Profesor de INF en 10-4"&amp;CHAR(31)&amp;$A9&amp;CHAR(31)&amp;F$3))-1)&amp;")",IF(ISNA(MATCH(1,INDEX(EXACT('Casillas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10-4"&amp;CHAR(31)&amp;$A10&amp;CHAR(31)&amp;B$3))&gt;1,IF(ISNA(MATCH(1,INDEX(EXACT('Casillas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10-4"&amp;CHAR(31)&amp;$A10&amp;CHAR(31)&amp;B$3)*1,0),0))))&amp;" (+"&amp;(SUMPRODUCT(1*EXACT('Casillas del horario'!$S$4:$S$73,"Profesor de INF en 10-4"&amp;CHAR(31)&amp;$A10&amp;CHAR(31)&amp;B$3))-1)&amp;")",IF(ISNA(MATCH(1,INDEX(EXACT('Casillas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10-4"&amp;CHAR(31)&amp;$A10&amp;CHAR(31)&amp;B$3)*1,0),0)))))</f>
        <v/>
      </c>
      <c r="C10" s="3">
        <f>IF(SUMPRODUCT(1*EXACT('Casillas del horario'!$S$4:$S$73,"Profesor de INF en 10-4"&amp;CHAR(31)&amp;$A10&amp;CHAR(31)&amp;C$3))&gt;1,IF(ISNA(MATCH(1,INDEX(EXACT('Casillas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10-4"&amp;CHAR(31)&amp;$A10&amp;CHAR(31)&amp;C$3)*1,0),0))))&amp;" (+"&amp;(SUMPRODUCT(1*EXACT('Casillas del horario'!$S$4:$S$73,"Profesor de INF en 10-4"&amp;CHAR(31)&amp;$A10&amp;CHAR(31)&amp;C$3))-1)&amp;")",IF(ISNA(MATCH(1,INDEX(EXACT('Casillas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10-4"&amp;CHAR(31)&amp;$A10&amp;CHAR(31)&amp;C$3)*1,0),0)))))</f>
        <v/>
      </c>
      <c r="D10" s="3">
        <f>IF(SUMPRODUCT(1*EXACT('Casillas del horario'!$S$4:$S$73,"Profesor de INF en 10-4"&amp;CHAR(31)&amp;$A10&amp;CHAR(31)&amp;D$3))&gt;1,IF(ISNA(MATCH(1,INDEX(EXACT('Casillas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10-4"&amp;CHAR(31)&amp;$A10&amp;CHAR(31)&amp;D$3)*1,0),0))))&amp;" (+"&amp;(SUMPRODUCT(1*EXACT('Casillas del horario'!$S$4:$S$73,"Profesor de INF en 10-4"&amp;CHAR(31)&amp;$A10&amp;CHAR(31)&amp;D$3))-1)&amp;")",IF(ISNA(MATCH(1,INDEX(EXACT('Casillas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10-4"&amp;CHAR(31)&amp;$A10&amp;CHAR(31)&amp;D$3)*1,0),0)))))</f>
        <v/>
      </c>
      <c r="E10" s="3">
        <f>IF(SUMPRODUCT(1*EXACT('Casillas del horario'!$S$4:$S$73,"Profesor de INF en 10-4"&amp;CHAR(31)&amp;$A10&amp;CHAR(31)&amp;E$3))&gt;1,IF(ISNA(MATCH(1,INDEX(EXACT('Casillas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10-4"&amp;CHAR(31)&amp;$A10&amp;CHAR(31)&amp;E$3)*1,0),0))))&amp;" (+"&amp;(SUMPRODUCT(1*EXACT('Casillas del horario'!$S$4:$S$73,"Profesor de INF en 10-4"&amp;CHAR(31)&amp;$A10&amp;CHAR(31)&amp;E$3))-1)&amp;")",IF(ISNA(MATCH(1,INDEX(EXACT('Casillas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10-4"&amp;CHAR(31)&amp;$A10&amp;CHAR(31)&amp;E$3)*1,0),0)))))</f>
        <v/>
      </c>
      <c r="F10" s="3">
        <f>IF(SUMPRODUCT(1*EXACT('Casillas del horario'!$S$4:$S$73,"Profesor de INF en 10-4"&amp;CHAR(31)&amp;$A10&amp;CHAR(31)&amp;F$3))&gt;1,IF(ISNA(MATCH(1,INDEX(EXACT('Casillas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10-4"&amp;CHAR(31)&amp;$A10&amp;CHAR(31)&amp;F$3)*1,0),0))))&amp;" (+"&amp;(SUMPRODUCT(1*EXACT('Casillas del horario'!$S$4:$S$73,"Profesor de INF en 10-4"&amp;CHAR(31)&amp;$A10&amp;CHAR(31)&amp;F$3))-1)&amp;")",IF(ISNA(MATCH(1,INDEX(EXACT('Casillas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10-4"&amp;CHAR(31)&amp;$A4&amp;CHAR(31)&amp;B$3))&gt;1,IF(ISNA(MATCH(1,INDEX(EXACT('Casillas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10-4"&amp;CHAR(31)&amp;$A4&amp;CHAR(31)&amp;B$3)*1,0),0))))&amp;" (+"&amp;(SUMPRODUCT(1*EXACT('Casillas del horario'!$S$4:$S$73,"Profesor de Q en 10-4"&amp;CHAR(31)&amp;$A4&amp;CHAR(31)&amp;B$3))-1)&amp;")",IF(ISNA(MATCH(1,INDEX(EXACT('Casillas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10-4"&amp;CHAR(31)&amp;$A4&amp;CHAR(31)&amp;B$3)*1,0),0)))))</f>
        <v/>
      </c>
      <c r="C4" s="3">
        <f>IF(SUMPRODUCT(1*EXACT('Casillas del horario'!$S$4:$S$73,"Profesor de Q en 10-4"&amp;CHAR(31)&amp;$A4&amp;CHAR(31)&amp;C$3))&gt;1,IF(ISNA(MATCH(1,INDEX(EXACT('Casillas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10-4"&amp;CHAR(31)&amp;$A4&amp;CHAR(31)&amp;C$3)*1,0),0))))&amp;" (+"&amp;(SUMPRODUCT(1*EXACT('Casillas del horario'!$S$4:$S$73,"Profesor de Q en 10-4"&amp;CHAR(31)&amp;$A4&amp;CHAR(31)&amp;C$3))-1)&amp;")",IF(ISNA(MATCH(1,INDEX(EXACT('Casillas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10-4"&amp;CHAR(31)&amp;$A4&amp;CHAR(31)&amp;C$3)*1,0),0)))))</f>
        <v/>
      </c>
      <c r="D4" s="3">
        <f>IF(SUMPRODUCT(1*EXACT('Casillas del horario'!$S$4:$S$73,"Profesor de Q en 10-4"&amp;CHAR(31)&amp;$A4&amp;CHAR(31)&amp;D$3))&gt;1,IF(ISNA(MATCH(1,INDEX(EXACT('Casillas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10-4"&amp;CHAR(31)&amp;$A4&amp;CHAR(31)&amp;D$3)*1,0),0))))&amp;" (+"&amp;(SUMPRODUCT(1*EXACT('Casillas del horario'!$S$4:$S$73,"Profesor de Q en 10-4"&amp;CHAR(31)&amp;$A4&amp;CHAR(31)&amp;D$3))-1)&amp;")",IF(ISNA(MATCH(1,INDEX(EXACT('Casillas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10-4"&amp;CHAR(31)&amp;$A4&amp;CHAR(31)&amp;D$3)*1,0),0)))))</f>
        <v/>
      </c>
      <c r="E4" s="3">
        <f>IF(SUMPRODUCT(1*EXACT('Casillas del horario'!$S$4:$S$73,"Profesor de Q en 10-4"&amp;CHAR(31)&amp;$A4&amp;CHAR(31)&amp;E$3))&gt;1,IF(ISNA(MATCH(1,INDEX(EXACT('Casillas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10-4"&amp;CHAR(31)&amp;$A4&amp;CHAR(31)&amp;E$3)*1,0),0))))&amp;" (+"&amp;(SUMPRODUCT(1*EXACT('Casillas del horario'!$S$4:$S$73,"Profesor de Q en 10-4"&amp;CHAR(31)&amp;$A4&amp;CHAR(31)&amp;E$3))-1)&amp;")",IF(ISNA(MATCH(1,INDEX(EXACT('Casillas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10-4"&amp;CHAR(31)&amp;$A4&amp;CHAR(31)&amp;E$3)*1,0),0)))))</f>
        <v/>
      </c>
      <c r="F4" s="3">
        <f>IF(SUMPRODUCT(1*EXACT('Casillas del horario'!$S$4:$S$73,"Profesor de Q en 10-4"&amp;CHAR(31)&amp;$A4&amp;CHAR(31)&amp;F$3))&gt;1,IF(ISNA(MATCH(1,INDEX(EXACT('Casillas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10-4"&amp;CHAR(31)&amp;$A4&amp;CHAR(31)&amp;F$3)*1,0),0))))&amp;" (+"&amp;(SUMPRODUCT(1*EXACT('Casillas del horario'!$S$4:$S$73,"Profesor de Q en 10-4"&amp;CHAR(31)&amp;$A4&amp;CHAR(31)&amp;F$3))-1)&amp;")",IF(ISNA(MATCH(1,INDEX(EXACT('Casillas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10-4"&amp;CHAR(31)&amp;$A5&amp;CHAR(31)&amp;B$3))&gt;1,IF(ISNA(MATCH(1,INDEX(EXACT('Casillas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10-4"&amp;CHAR(31)&amp;$A5&amp;CHAR(31)&amp;B$3)*1,0),0))))&amp;" (+"&amp;(SUMPRODUCT(1*EXACT('Casillas del horario'!$S$4:$S$73,"Profesor de Q en 10-4"&amp;CHAR(31)&amp;$A5&amp;CHAR(31)&amp;B$3))-1)&amp;")",IF(ISNA(MATCH(1,INDEX(EXACT('Casillas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10-4"&amp;CHAR(31)&amp;$A5&amp;CHAR(31)&amp;B$3)*1,0),0)))))</f>
        <v/>
      </c>
      <c r="C5" s="3">
        <f>IF(SUMPRODUCT(1*EXACT('Casillas del horario'!$S$4:$S$73,"Profesor de Q en 10-4"&amp;CHAR(31)&amp;$A5&amp;CHAR(31)&amp;C$3))&gt;1,IF(ISNA(MATCH(1,INDEX(EXACT('Casillas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10-4"&amp;CHAR(31)&amp;$A5&amp;CHAR(31)&amp;C$3)*1,0),0))))&amp;" (+"&amp;(SUMPRODUCT(1*EXACT('Casillas del horario'!$S$4:$S$73,"Profesor de Q en 10-4"&amp;CHAR(31)&amp;$A5&amp;CHAR(31)&amp;C$3))-1)&amp;")",IF(ISNA(MATCH(1,INDEX(EXACT('Casillas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10-4"&amp;CHAR(31)&amp;$A5&amp;CHAR(31)&amp;C$3)*1,0),0)))))</f>
        <v/>
      </c>
      <c r="D5" s="3">
        <f>IF(SUMPRODUCT(1*EXACT('Casillas del horario'!$S$4:$S$73,"Profesor de Q en 10-4"&amp;CHAR(31)&amp;$A5&amp;CHAR(31)&amp;D$3))&gt;1,IF(ISNA(MATCH(1,INDEX(EXACT('Casillas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10-4"&amp;CHAR(31)&amp;$A5&amp;CHAR(31)&amp;D$3)*1,0),0))))&amp;" (+"&amp;(SUMPRODUCT(1*EXACT('Casillas del horario'!$S$4:$S$73,"Profesor de Q en 10-4"&amp;CHAR(31)&amp;$A5&amp;CHAR(31)&amp;D$3))-1)&amp;")",IF(ISNA(MATCH(1,INDEX(EXACT('Casillas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10-4"&amp;CHAR(31)&amp;$A5&amp;CHAR(31)&amp;D$3)*1,0),0)))))</f>
        <v/>
      </c>
      <c r="E5" s="3">
        <f>IF(SUMPRODUCT(1*EXACT('Casillas del horario'!$S$4:$S$73,"Profesor de Q en 10-4"&amp;CHAR(31)&amp;$A5&amp;CHAR(31)&amp;E$3))&gt;1,IF(ISNA(MATCH(1,INDEX(EXACT('Casillas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10-4"&amp;CHAR(31)&amp;$A5&amp;CHAR(31)&amp;E$3)*1,0),0))))&amp;" (+"&amp;(SUMPRODUCT(1*EXACT('Casillas del horario'!$S$4:$S$73,"Profesor de Q en 10-4"&amp;CHAR(31)&amp;$A5&amp;CHAR(31)&amp;E$3))-1)&amp;")",IF(ISNA(MATCH(1,INDEX(EXACT('Casillas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10-4"&amp;CHAR(31)&amp;$A5&amp;CHAR(31)&amp;E$3)*1,0),0)))))</f>
        <v/>
      </c>
      <c r="F5" s="3">
        <f>IF(SUMPRODUCT(1*EXACT('Casillas del horario'!$S$4:$S$73,"Profesor de Q en 10-4"&amp;CHAR(31)&amp;$A5&amp;CHAR(31)&amp;F$3))&gt;1,IF(ISNA(MATCH(1,INDEX(EXACT('Casillas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10-4"&amp;CHAR(31)&amp;$A5&amp;CHAR(31)&amp;F$3)*1,0),0))))&amp;" (+"&amp;(SUMPRODUCT(1*EXACT('Casillas del horario'!$S$4:$S$73,"Profesor de Q en 10-4"&amp;CHAR(31)&amp;$A5&amp;CHAR(31)&amp;F$3))-1)&amp;")",IF(ISNA(MATCH(1,INDEX(EXACT('Casillas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10-4"&amp;CHAR(31)&amp;$A6&amp;CHAR(31)&amp;B$3))&gt;1,IF(ISNA(MATCH(1,INDEX(EXACT('Casillas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10-4"&amp;CHAR(31)&amp;$A6&amp;CHAR(31)&amp;B$3)*1,0),0))))&amp;" (+"&amp;(SUMPRODUCT(1*EXACT('Casillas del horario'!$S$4:$S$73,"Profesor de Q en 10-4"&amp;CHAR(31)&amp;$A6&amp;CHAR(31)&amp;B$3))-1)&amp;")",IF(ISNA(MATCH(1,INDEX(EXACT('Casillas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10-4"&amp;CHAR(31)&amp;$A6&amp;CHAR(31)&amp;B$3)*1,0),0)))))</f>
        <v/>
      </c>
      <c r="C6" s="3">
        <f>IF(SUMPRODUCT(1*EXACT('Casillas del horario'!$S$4:$S$73,"Profesor de Q en 10-4"&amp;CHAR(31)&amp;$A6&amp;CHAR(31)&amp;C$3))&gt;1,IF(ISNA(MATCH(1,INDEX(EXACT('Casillas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10-4"&amp;CHAR(31)&amp;$A6&amp;CHAR(31)&amp;C$3)*1,0),0))))&amp;" (+"&amp;(SUMPRODUCT(1*EXACT('Casillas del horario'!$S$4:$S$73,"Profesor de Q en 10-4"&amp;CHAR(31)&amp;$A6&amp;CHAR(31)&amp;C$3))-1)&amp;")",IF(ISNA(MATCH(1,INDEX(EXACT('Casillas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10-4"&amp;CHAR(31)&amp;$A6&amp;CHAR(31)&amp;C$3)*1,0),0)))))</f>
        <v/>
      </c>
      <c r="D6" s="3">
        <f>IF(SUMPRODUCT(1*EXACT('Casillas del horario'!$S$4:$S$73,"Profesor de Q en 10-4"&amp;CHAR(31)&amp;$A6&amp;CHAR(31)&amp;D$3))&gt;1,IF(ISNA(MATCH(1,INDEX(EXACT('Casillas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10-4"&amp;CHAR(31)&amp;$A6&amp;CHAR(31)&amp;D$3)*1,0),0))))&amp;" (+"&amp;(SUMPRODUCT(1*EXACT('Casillas del horario'!$S$4:$S$73,"Profesor de Q en 10-4"&amp;CHAR(31)&amp;$A6&amp;CHAR(31)&amp;D$3))-1)&amp;")",IF(ISNA(MATCH(1,INDEX(EXACT('Casillas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10-4"&amp;CHAR(31)&amp;$A6&amp;CHAR(31)&amp;D$3)*1,0),0)))))</f>
        <v/>
      </c>
      <c r="E6" s="3">
        <f>IF(SUMPRODUCT(1*EXACT('Casillas del horario'!$S$4:$S$73,"Profesor de Q en 10-4"&amp;CHAR(31)&amp;$A6&amp;CHAR(31)&amp;E$3))&gt;1,IF(ISNA(MATCH(1,INDEX(EXACT('Casillas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10-4"&amp;CHAR(31)&amp;$A6&amp;CHAR(31)&amp;E$3)*1,0),0))))&amp;" (+"&amp;(SUMPRODUCT(1*EXACT('Casillas del horario'!$S$4:$S$73,"Profesor de Q en 10-4"&amp;CHAR(31)&amp;$A6&amp;CHAR(31)&amp;E$3))-1)&amp;")",IF(ISNA(MATCH(1,INDEX(EXACT('Casillas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10-4"&amp;CHAR(31)&amp;$A6&amp;CHAR(31)&amp;E$3)*1,0),0)))))</f>
        <v/>
      </c>
      <c r="F6" s="3">
        <f>IF(SUMPRODUCT(1*EXACT('Casillas del horario'!$S$4:$S$73,"Profesor de Q en 10-4"&amp;CHAR(31)&amp;$A6&amp;CHAR(31)&amp;F$3))&gt;1,IF(ISNA(MATCH(1,INDEX(EXACT('Casillas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10-4"&amp;CHAR(31)&amp;$A6&amp;CHAR(31)&amp;F$3)*1,0),0))))&amp;" (+"&amp;(SUMPRODUCT(1*EXACT('Casillas del horario'!$S$4:$S$73,"Profesor de Q en 10-4"&amp;CHAR(31)&amp;$A6&amp;CHAR(31)&amp;F$3))-1)&amp;")",IF(ISNA(MATCH(1,INDEX(EXACT('Casillas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10-4"&amp;CHAR(31)&amp;$A7&amp;CHAR(31)&amp;B$3))&gt;1,IF(ISNA(MATCH(1,INDEX(EXACT('Casillas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10-4"&amp;CHAR(31)&amp;$A7&amp;CHAR(31)&amp;B$3)*1,0),0))))&amp;" (+"&amp;(SUMPRODUCT(1*EXACT('Casillas del horario'!$S$4:$S$73,"Profesor de Q en 10-4"&amp;CHAR(31)&amp;$A7&amp;CHAR(31)&amp;B$3))-1)&amp;")",IF(ISNA(MATCH(1,INDEX(EXACT('Casillas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10-4"&amp;CHAR(31)&amp;$A7&amp;CHAR(31)&amp;B$3)*1,0),0)))))</f>
        <v/>
      </c>
      <c r="C7" s="3">
        <f>IF(SUMPRODUCT(1*EXACT('Casillas del horario'!$S$4:$S$73,"Profesor de Q en 10-4"&amp;CHAR(31)&amp;$A7&amp;CHAR(31)&amp;C$3))&gt;1,IF(ISNA(MATCH(1,INDEX(EXACT('Casillas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10-4"&amp;CHAR(31)&amp;$A7&amp;CHAR(31)&amp;C$3)*1,0),0))))&amp;" (+"&amp;(SUMPRODUCT(1*EXACT('Casillas del horario'!$S$4:$S$73,"Profesor de Q en 10-4"&amp;CHAR(31)&amp;$A7&amp;CHAR(31)&amp;C$3))-1)&amp;")",IF(ISNA(MATCH(1,INDEX(EXACT('Casillas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10-4"&amp;CHAR(31)&amp;$A7&amp;CHAR(31)&amp;C$3)*1,0),0)))))</f>
        <v/>
      </c>
      <c r="D7" s="3">
        <f>IF(SUMPRODUCT(1*EXACT('Casillas del horario'!$S$4:$S$73,"Profesor de Q en 10-4"&amp;CHAR(31)&amp;$A7&amp;CHAR(31)&amp;D$3))&gt;1,IF(ISNA(MATCH(1,INDEX(EXACT('Casillas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10-4"&amp;CHAR(31)&amp;$A7&amp;CHAR(31)&amp;D$3)*1,0),0))))&amp;" (+"&amp;(SUMPRODUCT(1*EXACT('Casillas del horario'!$S$4:$S$73,"Profesor de Q en 10-4"&amp;CHAR(31)&amp;$A7&amp;CHAR(31)&amp;D$3))-1)&amp;")",IF(ISNA(MATCH(1,INDEX(EXACT('Casillas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10-4"&amp;CHAR(31)&amp;$A7&amp;CHAR(31)&amp;D$3)*1,0),0)))))</f>
        <v/>
      </c>
      <c r="E7" s="3">
        <f>IF(SUMPRODUCT(1*EXACT('Casillas del horario'!$S$4:$S$73,"Profesor de Q en 10-4"&amp;CHAR(31)&amp;$A7&amp;CHAR(31)&amp;E$3))&gt;1,IF(ISNA(MATCH(1,INDEX(EXACT('Casillas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10-4"&amp;CHAR(31)&amp;$A7&amp;CHAR(31)&amp;E$3)*1,0),0))))&amp;" (+"&amp;(SUMPRODUCT(1*EXACT('Casillas del horario'!$S$4:$S$73,"Profesor de Q en 10-4"&amp;CHAR(31)&amp;$A7&amp;CHAR(31)&amp;E$3))-1)&amp;")",IF(ISNA(MATCH(1,INDEX(EXACT('Casillas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10-4"&amp;CHAR(31)&amp;$A7&amp;CHAR(31)&amp;E$3)*1,0),0)))))</f>
        <v/>
      </c>
      <c r="F7" s="3">
        <f>IF(SUMPRODUCT(1*EXACT('Casillas del horario'!$S$4:$S$73,"Profesor de Q en 10-4"&amp;CHAR(31)&amp;$A7&amp;CHAR(31)&amp;F$3))&gt;1,IF(ISNA(MATCH(1,INDEX(EXACT('Casillas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10-4"&amp;CHAR(31)&amp;$A7&amp;CHAR(31)&amp;F$3)*1,0),0))))&amp;" (+"&amp;(SUMPRODUCT(1*EXACT('Casillas del horario'!$S$4:$S$73,"Profesor de Q en 10-4"&amp;CHAR(31)&amp;$A7&amp;CHAR(31)&amp;F$3))-1)&amp;")",IF(ISNA(MATCH(1,INDEX(EXACT('Casillas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10-4"&amp;CHAR(31)&amp;$A8&amp;CHAR(31)&amp;B$3))&gt;1,IF(ISNA(MATCH(1,INDEX(EXACT('Casillas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10-4"&amp;CHAR(31)&amp;$A8&amp;CHAR(31)&amp;B$3)*1,0),0))))&amp;" (+"&amp;(SUMPRODUCT(1*EXACT('Casillas del horario'!$S$4:$S$73,"Profesor de Q en 10-4"&amp;CHAR(31)&amp;$A8&amp;CHAR(31)&amp;B$3))-1)&amp;")",IF(ISNA(MATCH(1,INDEX(EXACT('Casillas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10-4"&amp;CHAR(31)&amp;$A8&amp;CHAR(31)&amp;B$3)*1,0),0)))))</f>
        <v/>
      </c>
      <c r="C8" s="3">
        <f>IF(SUMPRODUCT(1*EXACT('Casillas del horario'!$S$4:$S$73,"Profesor de Q en 10-4"&amp;CHAR(31)&amp;$A8&amp;CHAR(31)&amp;C$3))&gt;1,IF(ISNA(MATCH(1,INDEX(EXACT('Casillas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10-4"&amp;CHAR(31)&amp;$A8&amp;CHAR(31)&amp;C$3)*1,0),0))))&amp;" (+"&amp;(SUMPRODUCT(1*EXACT('Casillas del horario'!$S$4:$S$73,"Profesor de Q en 10-4"&amp;CHAR(31)&amp;$A8&amp;CHAR(31)&amp;C$3))-1)&amp;")",IF(ISNA(MATCH(1,INDEX(EXACT('Casillas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10-4"&amp;CHAR(31)&amp;$A8&amp;CHAR(31)&amp;C$3)*1,0),0)))))</f>
        <v/>
      </c>
      <c r="D8" s="3">
        <f>IF(SUMPRODUCT(1*EXACT('Casillas del horario'!$S$4:$S$73,"Profesor de Q en 10-4"&amp;CHAR(31)&amp;$A8&amp;CHAR(31)&amp;D$3))&gt;1,IF(ISNA(MATCH(1,INDEX(EXACT('Casillas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10-4"&amp;CHAR(31)&amp;$A8&amp;CHAR(31)&amp;D$3)*1,0),0))))&amp;" (+"&amp;(SUMPRODUCT(1*EXACT('Casillas del horario'!$S$4:$S$73,"Profesor de Q en 10-4"&amp;CHAR(31)&amp;$A8&amp;CHAR(31)&amp;D$3))-1)&amp;")",IF(ISNA(MATCH(1,INDEX(EXACT('Casillas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10-4"&amp;CHAR(31)&amp;$A8&amp;CHAR(31)&amp;D$3)*1,0),0)))))</f>
        <v/>
      </c>
      <c r="E8" s="3">
        <f>IF(SUMPRODUCT(1*EXACT('Casillas del horario'!$S$4:$S$73,"Profesor de Q en 10-4"&amp;CHAR(31)&amp;$A8&amp;CHAR(31)&amp;E$3))&gt;1,IF(ISNA(MATCH(1,INDEX(EXACT('Casillas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10-4"&amp;CHAR(31)&amp;$A8&amp;CHAR(31)&amp;E$3)*1,0),0))))&amp;" (+"&amp;(SUMPRODUCT(1*EXACT('Casillas del horario'!$S$4:$S$73,"Profesor de Q en 10-4"&amp;CHAR(31)&amp;$A8&amp;CHAR(31)&amp;E$3))-1)&amp;")",IF(ISNA(MATCH(1,INDEX(EXACT('Casillas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10-4"&amp;CHAR(31)&amp;$A8&amp;CHAR(31)&amp;E$3)*1,0),0)))))</f>
        <v/>
      </c>
      <c r="F8" s="3">
        <f>IF(SUMPRODUCT(1*EXACT('Casillas del horario'!$S$4:$S$73,"Profesor de Q en 10-4"&amp;CHAR(31)&amp;$A8&amp;CHAR(31)&amp;F$3))&gt;1,IF(ISNA(MATCH(1,INDEX(EXACT('Casillas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10-4"&amp;CHAR(31)&amp;$A8&amp;CHAR(31)&amp;F$3)*1,0),0))))&amp;" (+"&amp;(SUMPRODUCT(1*EXACT('Casillas del horario'!$S$4:$S$73,"Profesor de Q en 10-4"&amp;CHAR(31)&amp;$A8&amp;CHAR(31)&amp;F$3))-1)&amp;")",IF(ISNA(MATCH(1,INDEX(EXACT('Casillas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10-4"&amp;CHAR(31)&amp;$A9&amp;CHAR(31)&amp;B$3))&gt;1,IF(ISNA(MATCH(1,INDEX(EXACT('Casillas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10-4"&amp;CHAR(31)&amp;$A9&amp;CHAR(31)&amp;B$3)*1,0),0))))&amp;" (+"&amp;(SUMPRODUCT(1*EXACT('Casillas del horario'!$S$4:$S$73,"Profesor de Q en 10-4"&amp;CHAR(31)&amp;$A9&amp;CHAR(31)&amp;B$3))-1)&amp;")",IF(ISNA(MATCH(1,INDEX(EXACT('Casillas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10-4"&amp;CHAR(31)&amp;$A9&amp;CHAR(31)&amp;B$3)*1,0),0)))))</f>
        <v/>
      </c>
      <c r="C9" s="3">
        <f>IF(SUMPRODUCT(1*EXACT('Casillas del horario'!$S$4:$S$73,"Profesor de Q en 10-4"&amp;CHAR(31)&amp;$A9&amp;CHAR(31)&amp;C$3))&gt;1,IF(ISNA(MATCH(1,INDEX(EXACT('Casillas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10-4"&amp;CHAR(31)&amp;$A9&amp;CHAR(31)&amp;C$3)*1,0),0))))&amp;" (+"&amp;(SUMPRODUCT(1*EXACT('Casillas del horario'!$S$4:$S$73,"Profesor de Q en 10-4"&amp;CHAR(31)&amp;$A9&amp;CHAR(31)&amp;C$3))-1)&amp;")",IF(ISNA(MATCH(1,INDEX(EXACT('Casillas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10-4"&amp;CHAR(31)&amp;$A9&amp;CHAR(31)&amp;C$3)*1,0),0)))))</f>
        <v/>
      </c>
      <c r="D9" s="3">
        <f>IF(SUMPRODUCT(1*EXACT('Casillas del horario'!$S$4:$S$73,"Profesor de Q en 10-4"&amp;CHAR(31)&amp;$A9&amp;CHAR(31)&amp;D$3))&gt;1,IF(ISNA(MATCH(1,INDEX(EXACT('Casillas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10-4"&amp;CHAR(31)&amp;$A9&amp;CHAR(31)&amp;D$3)*1,0),0))))&amp;" (+"&amp;(SUMPRODUCT(1*EXACT('Casillas del horario'!$S$4:$S$73,"Profesor de Q en 10-4"&amp;CHAR(31)&amp;$A9&amp;CHAR(31)&amp;D$3))-1)&amp;")",IF(ISNA(MATCH(1,INDEX(EXACT('Casillas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10-4"&amp;CHAR(31)&amp;$A9&amp;CHAR(31)&amp;D$3)*1,0),0)))))</f>
        <v/>
      </c>
      <c r="E9" s="3">
        <f>IF(SUMPRODUCT(1*EXACT('Casillas del horario'!$S$4:$S$73,"Profesor de Q en 10-4"&amp;CHAR(31)&amp;$A9&amp;CHAR(31)&amp;E$3))&gt;1,IF(ISNA(MATCH(1,INDEX(EXACT('Casillas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10-4"&amp;CHAR(31)&amp;$A9&amp;CHAR(31)&amp;E$3)*1,0),0))))&amp;" (+"&amp;(SUMPRODUCT(1*EXACT('Casillas del horario'!$S$4:$S$73,"Profesor de Q en 10-4"&amp;CHAR(31)&amp;$A9&amp;CHAR(31)&amp;E$3))-1)&amp;")",IF(ISNA(MATCH(1,INDEX(EXACT('Casillas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10-4"&amp;CHAR(31)&amp;$A9&amp;CHAR(31)&amp;E$3)*1,0),0)))))</f>
        <v/>
      </c>
      <c r="F9" s="3">
        <f>IF(SUMPRODUCT(1*EXACT('Casillas del horario'!$S$4:$S$73,"Profesor de Q en 10-4"&amp;CHAR(31)&amp;$A9&amp;CHAR(31)&amp;F$3))&gt;1,IF(ISNA(MATCH(1,INDEX(EXACT('Casillas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10-4"&amp;CHAR(31)&amp;$A9&amp;CHAR(31)&amp;F$3)*1,0),0))))&amp;" (+"&amp;(SUMPRODUCT(1*EXACT('Casillas del horario'!$S$4:$S$73,"Profesor de Q en 10-4"&amp;CHAR(31)&amp;$A9&amp;CHAR(31)&amp;F$3))-1)&amp;")",IF(ISNA(MATCH(1,INDEX(EXACT('Casillas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10-4"&amp;CHAR(31)&amp;$A10&amp;CHAR(31)&amp;B$3))&gt;1,IF(ISNA(MATCH(1,INDEX(EXACT('Casillas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10-4"&amp;CHAR(31)&amp;$A10&amp;CHAR(31)&amp;B$3)*1,0),0))))&amp;" (+"&amp;(SUMPRODUCT(1*EXACT('Casillas del horario'!$S$4:$S$73,"Profesor de Q en 10-4"&amp;CHAR(31)&amp;$A10&amp;CHAR(31)&amp;B$3))-1)&amp;")",IF(ISNA(MATCH(1,INDEX(EXACT('Casillas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10-4"&amp;CHAR(31)&amp;$A10&amp;CHAR(31)&amp;B$3)*1,0),0)))))</f>
        <v/>
      </c>
      <c r="C10" s="3">
        <f>IF(SUMPRODUCT(1*EXACT('Casillas del horario'!$S$4:$S$73,"Profesor de Q en 10-4"&amp;CHAR(31)&amp;$A10&amp;CHAR(31)&amp;C$3))&gt;1,IF(ISNA(MATCH(1,INDEX(EXACT('Casillas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10-4"&amp;CHAR(31)&amp;$A10&amp;CHAR(31)&amp;C$3)*1,0),0))))&amp;" (+"&amp;(SUMPRODUCT(1*EXACT('Casillas del horario'!$S$4:$S$73,"Profesor de Q en 10-4"&amp;CHAR(31)&amp;$A10&amp;CHAR(31)&amp;C$3))-1)&amp;")",IF(ISNA(MATCH(1,INDEX(EXACT('Casillas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10-4"&amp;CHAR(31)&amp;$A10&amp;CHAR(31)&amp;C$3)*1,0),0)))))</f>
        <v/>
      </c>
      <c r="D10" s="3">
        <f>IF(SUMPRODUCT(1*EXACT('Casillas del horario'!$S$4:$S$73,"Profesor de Q en 10-4"&amp;CHAR(31)&amp;$A10&amp;CHAR(31)&amp;D$3))&gt;1,IF(ISNA(MATCH(1,INDEX(EXACT('Casillas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10-4"&amp;CHAR(31)&amp;$A10&amp;CHAR(31)&amp;D$3)*1,0),0))))&amp;" (+"&amp;(SUMPRODUCT(1*EXACT('Casillas del horario'!$S$4:$S$73,"Profesor de Q en 10-4"&amp;CHAR(31)&amp;$A10&amp;CHAR(31)&amp;D$3))-1)&amp;")",IF(ISNA(MATCH(1,INDEX(EXACT('Casillas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10-4"&amp;CHAR(31)&amp;$A10&amp;CHAR(31)&amp;D$3)*1,0),0)))))</f>
        <v/>
      </c>
      <c r="E10" s="3">
        <f>IF(SUMPRODUCT(1*EXACT('Casillas del horario'!$S$4:$S$73,"Profesor de Q en 10-4"&amp;CHAR(31)&amp;$A10&amp;CHAR(31)&amp;E$3))&gt;1,IF(ISNA(MATCH(1,INDEX(EXACT('Casillas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10-4"&amp;CHAR(31)&amp;$A10&amp;CHAR(31)&amp;E$3)*1,0),0))))&amp;" (+"&amp;(SUMPRODUCT(1*EXACT('Casillas del horario'!$S$4:$S$73,"Profesor de Q en 10-4"&amp;CHAR(31)&amp;$A10&amp;CHAR(31)&amp;E$3))-1)&amp;")",IF(ISNA(MATCH(1,INDEX(EXACT('Casillas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10-4"&amp;CHAR(31)&amp;$A10&amp;CHAR(31)&amp;E$3)*1,0),0)))))</f>
        <v/>
      </c>
      <c r="F10" s="3">
        <f>IF(SUMPRODUCT(1*EXACT('Casillas del horario'!$S$4:$S$73,"Profesor de Q en 10-4"&amp;CHAR(31)&amp;$A10&amp;CHAR(31)&amp;F$3))&gt;1,IF(ISNA(MATCH(1,INDEX(EXACT('Casillas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10-4"&amp;CHAR(31)&amp;$A10&amp;CHAR(31)&amp;F$3)*1,0),0))))&amp;" (+"&amp;(SUMPRODUCT(1*EXACT('Casillas del horario'!$S$4:$S$73,"Profesor de Q en 10-4"&amp;CHAR(31)&amp;$A10&amp;CHAR(31)&amp;F$3))-1)&amp;")",IF(ISNA(MATCH(1,INDEX(EXACT('Casillas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10-4"&amp;CHAR(31)&amp;$A4&amp;CHAR(31)&amp;B$3))&gt;1,IF(ISNA(MATCH(1,INDEX(EXACT('Casillas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10-4"&amp;CHAR(31)&amp;$A4&amp;CHAR(31)&amp;B$3)*1,0),0))))&amp;" (+"&amp;(SUMPRODUCT(1*EXACT('Casillas del horario'!$S$4:$S$73,"Profesor de CP en 10-4"&amp;CHAR(31)&amp;$A4&amp;CHAR(31)&amp;B$3))-1)&amp;")",IF(ISNA(MATCH(1,INDEX(EXACT('Casillas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10-4"&amp;CHAR(31)&amp;$A4&amp;CHAR(31)&amp;B$3)*1,0),0)))))</f>
        <v/>
      </c>
      <c r="C4" s="3">
        <f>IF(SUMPRODUCT(1*EXACT('Casillas del horario'!$S$4:$S$73,"Profesor de CP en 10-4"&amp;CHAR(31)&amp;$A4&amp;CHAR(31)&amp;C$3))&gt;1,IF(ISNA(MATCH(1,INDEX(EXACT('Casillas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10-4"&amp;CHAR(31)&amp;$A4&amp;CHAR(31)&amp;C$3)*1,0),0))))&amp;" (+"&amp;(SUMPRODUCT(1*EXACT('Casillas del horario'!$S$4:$S$73,"Profesor de CP en 10-4"&amp;CHAR(31)&amp;$A4&amp;CHAR(31)&amp;C$3))-1)&amp;")",IF(ISNA(MATCH(1,INDEX(EXACT('Casillas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10-4"&amp;CHAR(31)&amp;$A4&amp;CHAR(31)&amp;C$3)*1,0),0)))))</f>
        <v/>
      </c>
      <c r="D4" s="3">
        <f>IF(SUMPRODUCT(1*EXACT('Casillas del horario'!$S$4:$S$73,"Profesor de CP en 10-4"&amp;CHAR(31)&amp;$A4&amp;CHAR(31)&amp;D$3))&gt;1,IF(ISNA(MATCH(1,INDEX(EXACT('Casillas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10-4"&amp;CHAR(31)&amp;$A4&amp;CHAR(31)&amp;D$3)*1,0),0))))&amp;" (+"&amp;(SUMPRODUCT(1*EXACT('Casillas del horario'!$S$4:$S$73,"Profesor de CP en 10-4"&amp;CHAR(31)&amp;$A4&amp;CHAR(31)&amp;D$3))-1)&amp;")",IF(ISNA(MATCH(1,INDEX(EXACT('Casillas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10-4"&amp;CHAR(31)&amp;$A4&amp;CHAR(31)&amp;D$3)*1,0),0)))))</f>
        <v/>
      </c>
      <c r="E4" s="3">
        <f>IF(SUMPRODUCT(1*EXACT('Casillas del horario'!$S$4:$S$73,"Profesor de CP en 10-4"&amp;CHAR(31)&amp;$A4&amp;CHAR(31)&amp;E$3))&gt;1,IF(ISNA(MATCH(1,INDEX(EXACT('Casillas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10-4"&amp;CHAR(31)&amp;$A4&amp;CHAR(31)&amp;E$3)*1,0),0))))&amp;" (+"&amp;(SUMPRODUCT(1*EXACT('Casillas del horario'!$S$4:$S$73,"Profesor de CP en 10-4"&amp;CHAR(31)&amp;$A4&amp;CHAR(31)&amp;E$3))-1)&amp;")",IF(ISNA(MATCH(1,INDEX(EXACT('Casillas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10-4"&amp;CHAR(31)&amp;$A4&amp;CHAR(31)&amp;E$3)*1,0),0)))))</f>
        <v/>
      </c>
      <c r="F4" s="3">
        <f>IF(SUMPRODUCT(1*EXACT('Casillas del horario'!$S$4:$S$73,"Profesor de CP en 10-4"&amp;CHAR(31)&amp;$A4&amp;CHAR(31)&amp;F$3))&gt;1,IF(ISNA(MATCH(1,INDEX(EXACT('Casillas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10-4"&amp;CHAR(31)&amp;$A4&amp;CHAR(31)&amp;F$3)*1,0),0))))&amp;" (+"&amp;(SUMPRODUCT(1*EXACT('Casillas del horario'!$S$4:$S$73,"Profesor de CP en 10-4"&amp;CHAR(31)&amp;$A4&amp;CHAR(31)&amp;F$3))-1)&amp;")",IF(ISNA(MATCH(1,INDEX(EXACT('Casillas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10-4"&amp;CHAR(31)&amp;$A5&amp;CHAR(31)&amp;B$3))&gt;1,IF(ISNA(MATCH(1,INDEX(EXACT('Casillas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10-4"&amp;CHAR(31)&amp;$A5&amp;CHAR(31)&amp;B$3)*1,0),0))))&amp;" (+"&amp;(SUMPRODUCT(1*EXACT('Casillas del horario'!$S$4:$S$73,"Profesor de CP en 10-4"&amp;CHAR(31)&amp;$A5&amp;CHAR(31)&amp;B$3))-1)&amp;")",IF(ISNA(MATCH(1,INDEX(EXACT('Casillas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10-4"&amp;CHAR(31)&amp;$A5&amp;CHAR(31)&amp;B$3)*1,0),0)))))</f>
        <v/>
      </c>
      <c r="C5" s="3">
        <f>IF(SUMPRODUCT(1*EXACT('Casillas del horario'!$S$4:$S$73,"Profesor de CP en 10-4"&amp;CHAR(31)&amp;$A5&amp;CHAR(31)&amp;C$3))&gt;1,IF(ISNA(MATCH(1,INDEX(EXACT('Casillas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10-4"&amp;CHAR(31)&amp;$A5&amp;CHAR(31)&amp;C$3)*1,0),0))))&amp;" (+"&amp;(SUMPRODUCT(1*EXACT('Casillas del horario'!$S$4:$S$73,"Profesor de CP en 10-4"&amp;CHAR(31)&amp;$A5&amp;CHAR(31)&amp;C$3))-1)&amp;")",IF(ISNA(MATCH(1,INDEX(EXACT('Casillas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10-4"&amp;CHAR(31)&amp;$A5&amp;CHAR(31)&amp;C$3)*1,0),0)))))</f>
        <v/>
      </c>
      <c r="D5" s="3">
        <f>IF(SUMPRODUCT(1*EXACT('Casillas del horario'!$S$4:$S$73,"Profesor de CP en 10-4"&amp;CHAR(31)&amp;$A5&amp;CHAR(31)&amp;D$3))&gt;1,IF(ISNA(MATCH(1,INDEX(EXACT('Casillas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10-4"&amp;CHAR(31)&amp;$A5&amp;CHAR(31)&amp;D$3)*1,0),0))))&amp;" (+"&amp;(SUMPRODUCT(1*EXACT('Casillas del horario'!$S$4:$S$73,"Profesor de CP en 10-4"&amp;CHAR(31)&amp;$A5&amp;CHAR(31)&amp;D$3))-1)&amp;")",IF(ISNA(MATCH(1,INDEX(EXACT('Casillas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10-4"&amp;CHAR(31)&amp;$A5&amp;CHAR(31)&amp;D$3)*1,0),0)))))</f>
        <v/>
      </c>
      <c r="E5" s="3">
        <f>IF(SUMPRODUCT(1*EXACT('Casillas del horario'!$S$4:$S$73,"Profesor de CP en 10-4"&amp;CHAR(31)&amp;$A5&amp;CHAR(31)&amp;E$3))&gt;1,IF(ISNA(MATCH(1,INDEX(EXACT('Casillas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10-4"&amp;CHAR(31)&amp;$A5&amp;CHAR(31)&amp;E$3)*1,0),0))))&amp;" (+"&amp;(SUMPRODUCT(1*EXACT('Casillas del horario'!$S$4:$S$73,"Profesor de CP en 10-4"&amp;CHAR(31)&amp;$A5&amp;CHAR(31)&amp;E$3))-1)&amp;")",IF(ISNA(MATCH(1,INDEX(EXACT('Casillas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10-4"&amp;CHAR(31)&amp;$A5&amp;CHAR(31)&amp;E$3)*1,0),0)))))</f>
        <v/>
      </c>
      <c r="F5" s="3">
        <f>IF(SUMPRODUCT(1*EXACT('Casillas del horario'!$S$4:$S$73,"Profesor de CP en 10-4"&amp;CHAR(31)&amp;$A5&amp;CHAR(31)&amp;F$3))&gt;1,IF(ISNA(MATCH(1,INDEX(EXACT('Casillas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10-4"&amp;CHAR(31)&amp;$A5&amp;CHAR(31)&amp;F$3)*1,0),0))))&amp;" (+"&amp;(SUMPRODUCT(1*EXACT('Casillas del horario'!$S$4:$S$73,"Profesor de CP en 10-4"&amp;CHAR(31)&amp;$A5&amp;CHAR(31)&amp;F$3))-1)&amp;")",IF(ISNA(MATCH(1,INDEX(EXACT('Casillas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10-4"&amp;CHAR(31)&amp;$A6&amp;CHAR(31)&amp;B$3))&gt;1,IF(ISNA(MATCH(1,INDEX(EXACT('Casillas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10-4"&amp;CHAR(31)&amp;$A6&amp;CHAR(31)&amp;B$3)*1,0),0))))&amp;" (+"&amp;(SUMPRODUCT(1*EXACT('Casillas del horario'!$S$4:$S$73,"Profesor de CP en 10-4"&amp;CHAR(31)&amp;$A6&amp;CHAR(31)&amp;B$3))-1)&amp;")",IF(ISNA(MATCH(1,INDEX(EXACT('Casillas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10-4"&amp;CHAR(31)&amp;$A6&amp;CHAR(31)&amp;B$3)*1,0),0)))))</f>
        <v/>
      </c>
      <c r="C6" s="3">
        <f>IF(SUMPRODUCT(1*EXACT('Casillas del horario'!$S$4:$S$73,"Profesor de CP en 10-4"&amp;CHAR(31)&amp;$A6&amp;CHAR(31)&amp;C$3))&gt;1,IF(ISNA(MATCH(1,INDEX(EXACT('Casillas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10-4"&amp;CHAR(31)&amp;$A6&amp;CHAR(31)&amp;C$3)*1,0),0))))&amp;" (+"&amp;(SUMPRODUCT(1*EXACT('Casillas del horario'!$S$4:$S$73,"Profesor de CP en 10-4"&amp;CHAR(31)&amp;$A6&amp;CHAR(31)&amp;C$3))-1)&amp;")",IF(ISNA(MATCH(1,INDEX(EXACT('Casillas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10-4"&amp;CHAR(31)&amp;$A6&amp;CHAR(31)&amp;C$3)*1,0),0)))))</f>
        <v/>
      </c>
      <c r="D6" s="3">
        <f>IF(SUMPRODUCT(1*EXACT('Casillas del horario'!$S$4:$S$73,"Profesor de CP en 10-4"&amp;CHAR(31)&amp;$A6&amp;CHAR(31)&amp;D$3))&gt;1,IF(ISNA(MATCH(1,INDEX(EXACT('Casillas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10-4"&amp;CHAR(31)&amp;$A6&amp;CHAR(31)&amp;D$3)*1,0),0))))&amp;" (+"&amp;(SUMPRODUCT(1*EXACT('Casillas del horario'!$S$4:$S$73,"Profesor de CP en 10-4"&amp;CHAR(31)&amp;$A6&amp;CHAR(31)&amp;D$3))-1)&amp;")",IF(ISNA(MATCH(1,INDEX(EXACT('Casillas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10-4"&amp;CHAR(31)&amp;$A6&amp;CHAR(31)&amp;D$3)*1,0),0)))))</f>
        <v/>
      </c>
      <c r="E6" s="3">
        <f>IF(SUMPRODUCT(1*EXACT('Casillas del horario'!$S$4:$S$73,"Profesor de CP en 10-4"&amp;CHAR(31)&amp;$A6&amp;CHAR(31)&amp;E$3))&gt;1,IF(ISNA(MATCH(1,INDEX(EXACT('Casillas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10-4"&amp;CHAR(31)&amp;$A6&amp;CHAR(31)&amp;E$3)*1,0),0))))&amp;" (+"&amp;(SUMPRODUCT(1*EXACT('Casillas del horario'!$S$4:$S$73,"Profesor de CP en 10-4"&amp;CHAR(31)&amp;$A6&amp;CHAR(31)&amp;E$3))-1)&amp;")",IF(ISNA(MATCH(1,INDEX(EXACT('Casillas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10-4"&amp;CHAR(31)&amp;$A6&amp;CHAR(31)&amp;E$3)*1,0),0)))))</f>
        <v/>
      </c>
      <c r="F6" s="3">
        <f>IF(SUMPRODUCT(1*EXACT('Casillas del horario'!$S$4:$S$73,"Profesor de CP en 10-4"&amp;CHAR(31)&amp;$A6&amp;CHAR(31)&amp;F$3))&gt;1,IF(ISNA(MATCH(1,INDEX(EXACT('Casillas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10-4"&amp;CHAR(31)&amp;$A6&amp;CHAR(31)&amp;F$3)*1,0),0))))&amp;" (+"&amp;(SUMPRODUCT(1*EXACT('Casillas del horario'!$S$4:$S$73,"Profesor de CP en 10-4"&amp;CHAR(31)&amp;$A6&amp;CHAR(31)&amp;F$3))-1)&amp;")",IF(ISNA(MATCH(1,INDEX(EXACT('Casillas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10-4"&amp;CHAR(31)&amp;$A7&amp;CHAR(31)&amp;B$3))&gt;1,IF(ISNA(MATCH(1,INDEX(EXACT('Casillas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10-4"&amp;CHAR(31)&amp;$A7&amp;CHAR(31)&amp;B$3)*1,0),0))))&amp;" (+"&amp;(SUMPRODUCT(1*EXACT('Casillas del horario'!$S$4:$S$73,"Profesor de CP en 10-4"&amp;CHAR(31)&amp;$A7&amp;CHAR(31)&amp;B$3))-1)&amp;")",IF(ISNA(MATCH(1,INDEX(EXACT('Casillas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10-4"&amp;CHAR(31)&amp;$A7&amp;CHAR(31)&amp;B$3)*1,0),0)))))</f>
        <v/>
      </c>
      <c r="C7" s="3">
        <f>IF(SUMPRODUCT(1*EXACT('Casillas del horario'!$S$4:$S$73,"Profesor de CP en 10-4"&amp;CHAR(31)&amp;$A7&amp;CHAR(31)&amp;C$3))&gt;1,IF(ISNA(MATCH(1,INDEX(EXACT('Casillas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10-4"&amp;CHAR(31)&amp;$A7&amp;CHAR(31)&amp;C$3)*1,0),0))))&amp;" (+"&amp;(SUMPRODUCT(1*EXACT('Casillas del horario'!$S$4:$S$73,"Profesor de CP en 10-4"&amp;CHAR(31)&amp;$A7&amp;CHAR(31)&amp;C$3))-1)&amp;")",IF(ISNA(MATCH(1,INDEX(EXACT('Casillas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10-4"&amp;CHAR(31)&amp;$A7&amp;CHAR(31)&amp;C$3)*1,0),0)))))</f>
        <v/>
      </c>
      <c r="D7" s="3">
        <f>IF(SUMPRODUCT(1*EXACT('Casillas del horario'!$S$4:$S$73,"Profesor de CP en 10-4"&amp;CHAR(31)&amp;$A7&amp;CHAR(31)&amp;D$3))&gt;1,IF(ISNA(MATCH(1,INDEX(EXACT('Casillas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10-4"&amp;CHAR(31)&amp;$A7&amp;CHAR(31)&amp;D$3)*1,0),0))))&amp;" (+"&amp;(SUMPRODUCT(1*EXACT('Casillas del horario'!$S$4:$S$73,"Profesor de CP en 10-4"&amp;CHAR(31)&amp;$A7&amp;CHAR(31)&amp;D$3))-1)&amp;")",IF(ISNA(MATCH(1,INDEX(EXACT('Casillas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10-4"&amp;CHAR(31)&amp;$A7&amp;CHAR(31)&amp;D$3)*1,0),0)))))</f>
        <v/>
      </c>
      <c r="E7" s="3">
        <f>IF(SUMPRODUCT(1*EXACT('Casillas del horario'!$S$4:$S$73,"Profesor de CP en 10-4"&amp;CHAR(31)&amp;$A7&amp;CHAR(31)&amp;E$3))&gt;1,IF(ISNA(MATCH(1,INDEX(EXACT('Casillas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10-4"&amp;CHAR(31)&amp;$A7&amp;CHAR(31)&amp;E$3)*1,0),0))))&amp;" (+"&amp;(SUMPRODUCT(1*EXACT('Casillas del horario'!$S$4:$S$73,"Profesor de CP en 10-4"&amp;CHAR(31)&amp;$A7&amp;CHAR(31)&amp;E$3))-1)&amp;")",IF(ISNA(MATCH(1,INDEX(EXACT('Casillas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10-4"&amp;CHAR(31)&amp;$A7&amp;CHAR(31)&amp;E$3)*1,0),0)))))</f>
        <v/>
      </c>
      <c r="F7" s="3">
        <f>IF(SUMPRODUCT(1*EXACT('Casillas del horario'!$S$4:$S$73,"Profesor de CP en 10-4"&amp;CHAR(31)&amp;$A7&amp;CHAR(31)&amp;F$3))&gt;1,IF(ISNA(MATCH(1,INDEX(EXACT('Casillas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10-4"&amp;CHAR(31)&amp;$A7&amp;CHAR(31)&amp;F$3)*1,0),0))))&amp;" (+"&amp;(SUMPRODUCT(1*EXACT('Casillas del horario'!$S$4:$S$73,"Profesor de CP en 10-4"&amp;CHAR(31)&amp;$A7&amp;CHAR(31)&amp;F$3))-1)&amp;")",IF(ISNA(MATCH(1,INDEX(EXACT('Casillas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10-4"&amp;CHAR(31)&amp;$A8&amp;CHAR(31)&amp;B$3))&gt;1,IF(ISNA(MATCH(1,INDEX(EXACT('Casillas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10-4"&amp;CHAR(31)&amp;$A8&amp;CHAR(31)&amp;B$3)*1,0),0))))&amp;" (+"&amp;(SUMPRODUCT(1*EXACT('Casillas del horario'!$S$4:$S$73,"Profesor de CP en 10-4"&amp;CHAR(31)&amp;$A8&amp;CHAR(31)&amp;B$3))-1)&amp;")",IF(ISNA(MATCH(1,INDEX(EXACT('Casillas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10-4"&amp;CHAR(31)&amp;$A8&amp;CHAR(31)&amp;B$3)*1,0),0)))))</f>
        <v/>
      </c>
      <c r="C8" s="3">
        <f>IF(SUMPRODUCT(1*EXACT('Casillas del horario'!$S$4:$S$73,"Profesor de CP en 10-4"&amp;CHAR(31)&amp;$A8&amp;CHAR(31)&amp;C$3))&gt;1,IF(ISNA(MATCH(1,INDEX(EXACT('Casillas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10-4"&amp;CHAR(31)&amp;$A8&amp;CHAR(31)&amp;C$3)*1,0),0))))&amp;" (+"&amp;(SUMPRODUCT(1*EXACT('Casillas del horario'!$S$4:$S$73,"Profesor de CP en 10-4"&amp;CHAR(31)&amp;$A8&amp;CHAR(31)&amp;C$3))-1)&amp;")",IF(ISNA(MATCH(1,INDEX(EXACT('Casillas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10-4"&amp;CHAR(31)&amp;$A8&amp;CHAR(31)&amp;C$3)*1,0),0)))))</f>
        <v/>
      </c>
      <c r="D8" s="3">
        <f>IF(SUMPRODUCT(1*EXACT('Casillas del horario'!$S$4:$S$73,"Profesor de CP en 10-4"&amp;CHAR(31)&amp;$A8&amp;CHAR(31)&amp;D$3))&gt;1,IF(ISNA(MATCH(1,INDEX(EXACT('Casillas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10-4"&amp;CHAR(31)&amp;$A8&amp;CHAR(31)&amp;D$3)*1,0),0))))&amp;" (+"&amp;(SUMPRODUCT(1*EXACT('Casillas del horario'!$S$4:$S$73,"Profesor de CP en 10-4"&amp;CHAR(31)&amp;$A8&amp;CHAR(31)&amp;D$3))-1)&amp;")",IF(ISNA(MATCH(1,INDEX(EXACT('Casillas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10-4"&amp;CHAR(31)&amp;$A8&amp;CHAR(31)&amp;D$3)*1,0),0)))))</f>
        <v/>
      </c>
      <c r="E8" s="3">
        <f>IF(SUMPRODUCT(1*EXACT('Casillas del horario'!$S$4:$S$73,"Profesor de CP en 10-4"&amp;CHAR(31)&amp;$A8&amp;CHAR(31)&amp;E$3))&gt;1,IF(ISNA(MATCH(1,INDEX(EXACT('Casillas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10-4"&amp;CHAR(31)&amp;$A8&amp;CHAR(31)&amp;E$3)*1,0),0))))&amp;" (+"&amp;(SUMPRODUCT(1*EXACT('Casillas del horario'!$S$4:$S$73,"Profesor de CP en 10-4"&amp;CHAR(31)&amp;$A8&amp;CHAR(31)&amp;E$3))-1)&amp;")",IF(ISNA(MATCH(1,INDEX(EXACT('Casillas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10-4"&amp;CHAR(31)&amp;$A8&amp;CHAR(31)&amp;E$3)*1,0),0)))))</f>
        <v/>
      </c>
      <c r="F8" s="3">
        <f>IF(SUMPRODUCT(1*EXACT('Casillas del horario'!$S$4:$S$73,"Profesor de CP en 10-4"&amp;CHAR(31)&amp;$A8&amp;CHAR(31)&amp;F$3))&gt;1,IF(ISNA(MATCH(1,INDEX(EXACT('Casillas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10-4"&amp;CHAR(31)&amp;$A8&amp;CHAR(31)&amp;F$3)*1,0),0))))&amp;" (+"&amp;(SUMPRODUCT(1*EXACT('Casillas del horario'!$S$4:$S$73,"Profesor de CP en 10-4"&amp;CHAR(31)&amp;$A8&amp;CHAR(31)&amp;F$3))-1)&amp;")",IF(ISNA(MATCH(1,INDEX(EXACT('Casillas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10-4"&amp;CHAR(31)&amp;$A9&amp;CHAR(31)&amp;B$3))&gt;1,IF(ISNA(MATCH(1,INDEX(EXACT('Casillas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10-4"&amp;CHAR(31)&amp;$A9&amp;CHAR(31)&amp;B$3)*1,0),0))))&amp;" (+"&amp;(SUMPRODUCT(1*EXACT('Casillas del horario'!$S$4:$S$73,"Profesor de CP en 10-4"&amp;CHAR(31)&amp;$A9&amp;CHAR(31)&amp;B$3))-1)&amp;")",IF(ISNA(MATCH(1,INDEX(EXACT('Casillas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10-4"&amp;CHAR(31)&amp;$A9&amp;CHAR(31)&amp;B$3)*1,0),0)))))</f>
        <v/>
      </c>
      <c r="C9" s="3">
        <f>IF(SUMPRODUCT(1*EXACT('Casillas del horario'!$S$4:$S$73,"Profesor de CP en 10-4"&amp;CHAR(31)&amp;$A9&amp;CHAR(31)&amp;C$3))&gt;1,IF(ISNA(MATCH(1,INDEX(EXACT('Casillas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10-4"&amp;CHAR(31)&amp;$A9&amp;CHAR(31)&amp;C$3)*1,0),0))))&amp;" (+"&amp;(SUMPRODUCT(1*EXACT('Casillas del horario'!$S$4:$S$73,"Profesor de CP en 10-4"&amp;CHAR(31)&amp;$A9&amp;CHAR(31)&amp;C$3))-1)&amp;")",IF(ISNA(MATCH(1,INDEX(EXACT('Casillas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10-4"&amp;CHAR(31)&amp;$A9&amp;CHAR(31)&amp;C$3)*1,0),0)))))</f>
        <v/>
      </c>
      <c r="D9" s="3">
        <f>IF(SUMPRODUCT(1*EXACT('Casillas del horario'!$S$4:$S$73,"Profesor de CP en 10-4"&amp;CHAR(31)&amp;$A9&amp;CHAR(31)&amp;D$3))&gt;1,IF(ISNA(MATCH(1,INDEX(EXACT('Casillas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10-4"&amp;CHAR(31)&amp;$A9&amp;CHAR(31)&amp;D$3)*1,0),0))))&amp;" (+"&amp;(SUMPRODUCT(1*EXACT('Casillas del horario'!$S$4:$S$73,"Profesor de CP en 10-4"&amp;CHAR(31)&amp;$A9&amp;CHAR(31)&amp;D$3))-1)&amp;")",IF(ISNA(MATCH(1,INDEX(EXACT('Casillas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10-4"&amp;CHAR(31)&amp;$A9&amp;CHAR(31)&amp;D$3)*1,0),0)))))</f>
        <v/>
      </c>
      <c r="E9" s="3">
        <f>IF(SUMPRODUCT(1*EXACT('Casillas del horario'!$S$4:$S$73,"Profesor de CP en 10-4"&amp;CHAR(31)&amp;$A9&amp;CHAR(31)&amp;E$3))&gt;1,IF(ISNA(MATCH(1,INDEX(EXACT('Casillas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10-4"&amp;CHAR(31)&amp;$A9&amp;CHAR(31)&amp;E$3)*1,0),0))))&amp;" (+"&amp;(SUMPRODUCT(1*EXACT('Casillas del horario'!$S$4:$S$73,"Profesor de CP en 10-4"&amp;CHAR(31)&amp;$A9&amp;CHAR(31)&amp;E$3))-1)&amp;")",IF(ISNA(MATCH(1,INDEX(EXACT('Casillas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10-4"&amp;CHAR(31)&amp;$A9&amp;CHAR(31)&amp;E$3)*1,0),0)))))</f>
        <v/>
      </c>
      <c r="F9" s="3">
        <f>IF(SUMPRODUCT(1*EXACT('Casillas del horario'!$S$4:$S$73,"Profesor de CP en 10-4"&amp;CHAR(31)&amp;$A9&amp;CHAR(31)&amp;F$3))&gt;1,IF(ISNA(MATCH(1,INDEX(EXACT('Casillas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10-4"&amp;CHAR(31)&amp;$A9&amp;CHAR(31)&amp;F$3)*1,0),0))))&amp;" (+"&amp;(SUMPRODUCT(1*EXACT('Casillas del horario'!$S$4:$S$73,"Profesor de CP en 10-4"&amp;CHAR(31)&amp;$A9&amp;CHAR(31)&amp;F$3))-1)&amp;")",IF(ISNA(MATCH(1,INDEX(EXACT('Casillas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10-4"&amp;CHAR(31)&amp;$A10&amp;CHAR(31)&amp;B$3))&gt;1,IF(ISNA(MATCH(1,INDEX(EXACT('Casillas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10-4"&amp;CHAR(31)&amp;$A10&amp;CHAR(31)&amp;B$3)*1,0),0))))&amp;" (+"&amp;(SUMPRODUCT(1*EXACT('Casillas del horario'!$S$4:$S$73,"Profesor de CP en 10-4"&amp;CHAR(31)&amp;$A10&amp;CHAR(31)&amp;B$3))-1)&amp;")",IF(ISNA(MATCH(1,INDEX(EXACT('Casillas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10-4"&amp;CHAR(31)&amp;$A10&amp;CHAR(31)&amp;B$3)*1,0),0)))))</f>
        <v/>
      </c>
      <c r="C10" s="3">
        <f>IF(SUMPRODUCT(1*EXACT('Casillas del horario'!$S$4:$S$73,"Profesor de CP en 10-4"&amp;CHAR(31)&amp;$A10&amp;CHAR(31)&amp;C$3))&gt;1,IF(ISNA(MATCH(1,INDEX(EXACT('Casillas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10-4"&amp;CHAR(31)&amp;$A10&amp;CHAR(31)&amp;C$3)*1,0),0))))&amp;" (+"&amp;(SUMPRODUCT(1*EXACT('Casillas del horario'!$S$4:$S$73,"Profesor de CP en 10-4"&amp;CHAR(31)&amp;$A10&amp;CHAR(31)&amp;C$3))-1)&amp;")",IF(ISNA(MATCH(1,INDEX(EXACT('Casillas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10-4"&amp;CHAR(31)&amp;$A10&amp;CHAR(31)&amp;C$3)*1,0),0)))))</f>
        <v/>
      </c>
      <c r="D10" s="3">
        <f>IF(SUMPRODUCT(1*EXACT('Casillas del horario'!$S$4:$S$73,"Profesor de CP en 10-4"&amp;CHAR(31)&amp;$A10&amp;CHAR(31)&amp;D$3))&gt;1,IF(ISNA(MATCH(1,INDEX(EXACT('Casillas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10-4"&amp;CHAR(31)&amp;$A10&amp;CHAR(31)&amp;D$3)*1,0),0))))&amp;" (+"&amp;(SUMPRODUCT(1*EXACT('Casillas del horario'!$S$4:$S$73,"Profesor de CP en 10-4"&amp;CHAR(31)&amp;$A10&amp;CHAR(31)&amp;D$3))-1)&amp;")",IF(ISNA(MATCH(1,INDEX(EXACT('Casillas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10-4"&amp;CHAR(31)&amp;$A10&amp;CHAR(31)&amp;D$3)*1,0),0)))))</f>
        <v/>
      </c>
      <c r="E10" s="3">
        <f>IF(SUMPRODUCT(1*EXACT('Casillas del horario'!$S$4:$S$73,"Profesor de CP en 10-4"&amp;CHAR(31)&amp;$A10&amp;CHAR(31)&amp;E$3))&gt;1,IF(ISNA(MATCH(1,INDEX(EXACT('Casillas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10-4"&amp;CHAR(31)&amp;$A10&amp;CHAR(31)&amp;E$3)*1,0),0))))&amp;" (+"&amp;(SUMPRODUCT(1*EXACT('Casillas del horario'!$S$4:$S$73,"Profesor de CP en 10-4"&amp;CHAR(31)&amp;$A10&amp;CHAR(31)&amp;E$3))-1)&amp;")",IF(ISNA(MATCH(1,INDEX(EXACT('Casillas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10-4"&amp;CHAR(31)&amp;$A10&amp;CHAR(31)&amp;E$3)*1,0),0)))))</f>
        <v/>
      </c>
      <c r="F10" s="3">
        <f>IF(SUMPRODUCT(1*EXACT('Casillas del horario'!$S$4:$S$73,"Profesor de CP en 10-4"&amp;CHAR(31)&amp;$A10&amp;CHAR(31)&amp;F$3))&gt;1,IF(ISNA(MATCH(1,INDEX(EXACT('Casillas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10-4"&amp;CHAR(31)&amp;$A10&amp;CHAR(31)&amp;F$3)*1,0),0))))&amp;" (+"&amp;(SUMPRODUCT(1*EXACT('Casillas del horario'!$S$4:$S$73,"Profesor de CP en 10-4"&amp;CHAR(31)&amp;$A10&amp;CHAR(31)&amp;F$3))-1)&amp;")",IF(ISNA(MATCH(1,INDEX(EXACT('Casillas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DC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10-4"&amp;CHAR(31)&amp;$A4&amp;CHAR(31)&amp;B$3))&gt;1,IF(ISNA(MATCH(1,INDEX(EXACT('Casillas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10-4"&amp;CHAR(31)&amp;$A4&amp;CHAR(31)&amp;B$3)*1,0),0))))&amp;" (+"&amp;(SUMPRODUCT(1*EXACT('Casillas del horario'!$S$4:$S$73,"Profesor de DC en 10-4"&amp;CHAR(31)&amp;$A4&amp;CHAR(31)&amp;B$3))-1)&amp;")",IF(ISNA(MATCH(1,INDEX(EXACT('Casillas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10-4"&amp;CHAR(31)&amp;$A4&amp;CHAR(31)&amp;B$3)*1,0),0)))))</f>
        <v/>
      </c>
      <c r="C4" s="3">
        <f>IF(SUMPRODUCT(1*EXACT('Casillas del horario'!$S$4:$S$73,"Profesor de DC en 10-4"&amp;CHAR(31)&amp;$A4&amp;CHAR(31)&amp;C$3))&gt;1,IF(ISNA(MATCH(1,INDEX(EXACT('Casillas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10-4"&amp;CHAR(31)&amp;$A4&amp;CHAR(31)&amp;C$3)*1,0),0))))&amp;" (+"&amp;(SUMPRODUCT(1*EXACT('Casillas del horario'!$S$4:$S$73,"Profesor de DC en 10-4"&amp;CHAR(31)&amp;$A4&amp;CHAR(31)&amp;C$3))-1)&amp;")",IF(ISNA(MATCH(1,INDEX(EXACT('Casillas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10-4"&amp;CHAR(31)&amp;$A4&amp;CHAR(31)&amp;C$3)*1,0),0)))))</f>
        <v/>
      </c>
      <c r="D4" s="3">
        <f>IF(SUMPRODUCT(1*EXACT('Casillas del horario'!$S$4:$S$73,"Profesor de DC en 10-4"&amp;CHAR(31)&amp;$A4&amp;CHAR(31)&amp;D$3))&gt;1,IF(ISNA(MATCH(1,INDEX(EXACT('Casillas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10-4"&amp;CHAR(31)&amp;$A4&amp;CHAR(31)&amp;D$3)*1,0),0))))&amp;" (+"&amp;(SUMPRODUCT(1*EXACT('Casillas del horario'!$S$4:$S$73,"Profesor de DC en 10-4"&amp;CHAR(31)&amp;$A4&amp;CHAR(31)&amp;D$3))-1)&amp;")",IF(ISNA(MATCH(1,INDEX(EXACT('Casillas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10-4"&amp;CHAR(31)&amp;$A4&amp;CHAR(31)&amp;D$3)*1,0),0)))))</f>
        <v/>
      </c>
      <c r="E4" s="3">
        <f>IF(SUMPRODUCT(1*EXACT('Casillas del horario'!$S$4:$S$73,"Profesor de DC en 10-4"&amp;CHAR(31)&amp;$A4&amp;CHAR(31)&amp;E$3))&gt;1,IF(ISNA(MATCH(1,INDEX(EXACT('Casillas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10-4"&amp;CHAR(31)&amp;$A4&amp;CHAR(31)&amp;E$3)*1,0),0))))&amp;" (+"&amp;(SUMPRODUCT(1*EXACT('Casillas del horario'!$S$4:$S$73,"Profesor de DC en 10-4"&amp;CHAR(31)&amp;$A4&amp;CHAR(31)&amp;E$3))-1)&amp;")",IF(ISNA(MATCH(1,INDEX(EXACT('Casillas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10-4"&amp;CHAR(31)&amp;$A4&amp;CHAR(31)&amp;E$3)*1,0),0)))))</f>
        <v/>
      </c>
      <c r="F4" s="3">
        <f>IF(SUMPRODUCT(1*EXACT('Casillas del horario'!$S$4:$S$73,"Profesor de DC en 10-4"&amp;CHAR(31)&amp;$A4&amp;CHAR(31)&amp;F$3))&gt;1,IF(ISNA(MATCH(1,INDEX(EXACT('Casillas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10-4"&amp;CHAR(31)&amp;$A4&amp;CHAR(31)&amp;F$3)*1,0),0))))&amp;" (+"&amp;(SUMPRODUCT(1*EXACT('Casillas del horario'!$S$4:$S$73,"Profesor de DC en 10-4"&amp;CHAR(31)&amp;$A4&amp;CHAR(31)&amp;F$3))-1)&amp;")",IF(ISNA(MATCH(1,INDEX(EXACT('Casillas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10-4"&amp;CHAR(31)&amp;$A5&amp;CHAR(31)&amp;B$3))&gt;1,IF(ISNA(MATCH(1,INDEX(EXACT('Casillas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10-4"&amp;CHAR(31)&amp;$A5&amp;CHAR(31)&amp;B$3)*1,0),0))))&amp;" (+"&amp;(SUMPRODUCT(1*EXACT('Casillas del horario'!$S$4:$S$73,"Profesor de DC en 10-4"&amp;CHAR(31)&amp;$A5&amp;CHAR(31)&amp;B$3))-1)&amp;")",IF(ISNA(MATCH(1,INDEX(EXACT('Casillas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10-4"&amp;CHAR(31)&amp;$A5&amp;CHAR(31)&amp;B$3)*1,0),0)))))</f>
        <v/>
      </c>
      <c r="C5" s="3">
        <f>IF(SUMPRODUCT(1*EXACT('Casillas del horario'!$S$4:$S$73,"Profesor de DC en 10-4"&amp;CHAR(31)&amp;$A5&amp;CHAR(31)&amp;C$3))&gt;1,IF(ISNA(MATCH(1,INDEX(EXACT('Casillas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10-4"&amp;CHAR(31)&amp;$A5&amp;CHAR(31)&amp;C$3)*1,0),0))))&amp;" (+"&amp;(SUMPRODUCT(1*EXACT('Casillas del horario'!$S$4:$S$73,"Profesor de DC en 10-4"&amp;CHAR(31)&amp;$A5&amp;CHAR(31)&amp;C$3))-1)&amp;")",IF(ISNA(MATCH(1,INDEX(EXACT('Casillas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10-4"&amp;CHAR(31)&amp;$A5&amp;CHAR(31)&amp;C$3)*1,0),0)))))</f>
        <v/>
      </c>
      <c r="D5" s="3">
        <f>IF(SUMPRODUCT(1*EXACT('Casillas del horario'!$S$4:$S$73,"Profesor de DC en 10-4"&amp;CHAR(31)&amp;$A5&amp;CHAR(31)&amp;D$3))&gt;1,IF(ISNA(MATCH(1,INDEX(EXACT('Casillas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10-4"&amp;CHAR(31)&amp;$A5&amp;CHAR(31)&amp;D$3)*1,0),0))))&amp;" (+"&amp;(SUMPRODUCT(1*EXACT('Casillas del horario'!$S$4:$S$73,"Profesor de DC en 10-4"&amp;CHAR(31)&amp;$A5&amp;CHAR(31)&amp;D$3))-1)&amp;")",IF(ISNA(MATCH(1,INDEX(EXACT('Casillas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10-4"&amp;CHAR(31)&amp;$A5&amp;CHAR(31)&amp;D$3)*1,0),0)))))</f>
        <v/>
      </c>
      <c r="E5" s="3">
        <f>IF(SUMPRODUCT(1*EXACT('Casillas del horario'!$S$4:$S$73,"Profesor de DC en 10-4"&amp;CHAR(31)&amp;$A5&amp;CHAR(31)&amp;E$3))&gt;1,IF(ISNA(MATCH(1,INDEX(EXACT('Casillas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10-4"&amp;CHAR(31)&amp;$A5&amp;CHAR(31)&amp;E$3)*1,0),0))))&amp;" (+"&amp;(SUMPRODUCT(1*EXACT('Casillas del horario'!$S$4:$S$73,"Profesor de DC en 10-4"&amp;CHAR(31)&amp;$A5&amp;CHAR(31)&amp;E$3))-1)&amp;")",IF(ISNA(MATCH(1,INDEX(EXACT('Casillas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10-4"&amp;CHAR(31)&amp;$A5&amp;CHAR(31)&amp;E$3)*1,0),0)))))</f>
        <v/>
      </c>
      <c r="F5" s="3">
        <f>IF(SUMPRODUCT(1*EXACT('Casillas del horario'!$S$4:$S$73,"Profesor de DC en 10-4"&amp;CHAR(31)&amp;$A5&amp;CHAR(31)&amp;F$3))&gt;1,IF(ISNA(MATCH(1,INDEX(EXACT('Casillas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10-4"&amp;CHAR(31)&amp;$A5&amp;CHAR(31)&amp;F$3)*1,0),0))))&amp;" (+"&amp;(SUMPRODUCT(1*EXACT('Casillas del horario'!$S$4:$S$73,"Profesor de DC en 10-4"&amp;CHAR(31)&amp;$A5&amp;CHAR(31)&amp;F$3))-1)&amp;")",IF(ISNA(MATCH(1,INDEX(EXACT('Casillas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10-4"&amp;CHAR(31)&amp;$A6&amp;CHAR(31)&amp;B$3))&gt;1,IF(ISNA(MATCH(1,INDEX(EXACT('Casillas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10-4"&amp;CHAR(31)&amp;$A6&amp;CHAR(31)&amp;B$3)*1,0),0))))&amp;" (+"&amp;(SUMPRODUCT(1*EXACT('Casillas del horario'!$S$4:$S$73,"Profesor de DC en 10-4"&amp;CHAR(31)&amp;$A6&amp;CHAR(31)&amp;B$3))-1)&amp;")",IF(ISNA(MATCH(1,INDEX(EXACT('Casillas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10-4"&amp;CHAR(31)&amp;$A6&amp;CHAR(31)&amp;B$3)*1,0),0)))))</f>
        <v/>
      </c>
      <c r="C6" s="3">
        <f>IF(SUMPRODUCT(1*EXACT('Casillas del horario'!$S$4:$S$73,"Profesor de DC en 10-4"&amp;CHAR(31)&amp;$A6&amp;CHAR(31)&amp;C$3))&gt;1,IF(ISNA(MATCH(1,INDEX(EXACT('Casillas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10-4"&amp;CHAR(31)&amp;$A6&amp;CHAR(31)&amp;C$3)*1,0),0))))&amp;" (+"&amp;(SUMPRODUCT(1*EXACT('Casillas del horario'!$S$4:$S$73,"Profesor de DC en 10-4"&amp;CHAR(31)&amp;$A6&amp;CHAR(31)&amp;C$3))-1)&amp;")",IF(ISNA(MATCH(1,INDEX(EXACT('Casillas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10-4"&amp;CHAR(31)&amp;$A6&amp;CHAR(31)&amp;C$3)*1,0),0)))))</f>
        <v/>
      </c>
      <c r="D6" s="3">
        <f>IF(SUMPRODUCT(1*EXACT('Casillas del horario'!$S$4:$S$73,"Profesor de DC en 10-4"&amp;CHAR(31)&amp;$A6&amp;CHAR(31)&amp;D$3))&gt;1,IF(ISNA(MATCH(1,INDEX(EXACT('Casillas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10-4"&amp;CHAR(31)&amp;$A6&amp;CHAR(31)&amp;D$3)*1,0),0))))&amp;" (+"&amp;(SUMPRODUCT(1*EXACT('Casillas del horario'!$S$4:$S$73,"Profesor de DC en 10-4"&amp;CHAR(31)&amp;$A6&amp;CHAR(31)&amp;D$3))-1)&amp;")",IF(ISNA(MATCH(1,INDEX(EXACT('Casillas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10-4"&amp;CHAR(31)&amp;$A6&amp;CHAR(31)&amp;D$3)*1,0),0)))))</f>
        <v/>
      </c>
      <c r="E6" s="3">
        <f>IF(SUMPRODUCT(1*EXACT('Casillas del horario'!$S$4:$S$73,"Profesor de DC en 10-4"&amp;CHAR(31)&amp;$A6&amp;CHAR(31)&amp;E$3))&gt;1,IF(ISNA(MATCH(1,INDEX(EXACT('Casillas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10-4"&amp;CHAR(31)&amp;$A6&amp;CHAR(31)&amp;E$3)*1,0),0))))&amp;" (+"&amp;(SUMPRODUCT(1*EXACT('Casillas del horario'!$S$4:$S$73,"Profesor de DC en 10-4"&amp;CHAR(31)&amp;$A6&amp;CHAR(31)&amp;E$3))-1)&amp;")",IF(ISNA(MATCH(1,INDEX(EXACT('Casillas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10-4"&amp;CHAR(31)&amp;$A6&amp;CHAR(31)&amp;E$3)*1,0),0)))))</f>
        <v/>
      </c>
      <c r="F6" s="3">
        <f>IF(SUMPRODUCT(1*EXACT('Casillas del horario'!$S$4:$S$73,"Profesor de DC en 10-4"&amp;CHAR(31)&amp;$A6&amp;CHAR(31)&amp;F$3))&gt;1,IF(ISNA(MATCH(1,INDEX(EXACT('Casillas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10-4"&amp;CHAR(31)&amp;$A6&amp;CHAR(31)&amp;F$3)*1,0),0))))&amp;" (+"&amp;(SUMPRODUCT(1*EXACT('Casillas del horario'!$S$4:$S$73,"Profesor de DC en 10-4"&amp;CHAR(31)&amp;$A6&amp;CHAR(31)&amp;F$3))-1)&amp;")",IF(ISNA(MATCH(1,INDEX(EXACT('Casillas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10-4"&amp;CHAR(31)&amp;$A7&amp;CHAR(31)&amp;B$3))&gt;1,IF(ISNA(MATCH(1,INDEX(EXACT('Casillas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10-4"&amp;CHAR(31)&amp;$A7&amp;CHAR(31)&amp;B$3)*1,0),0))))&amp;" (+"&amp;(SUMPRODUCT(1*EXACT('Casillas del horario'!$S$4:$S$73,"Profesor de DC en 10-4"&amp;CHAR(31)&amp;$A7&amp;CHAR(31)&amp;B$3))-1)&amp;")",IF(ISNA(MATCH(1,INDEX(EXACT('Casillas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10-4"&amp;CHAR(31)&amp;$A7&amp;CHAR(31)&amp;B$3)*1,0),0)))))</f>
        <v/>
      </c>
      <c r="C7" s="3">
        <f>IF(SUMPRODUCT(1*EXACT('Casillas del horario'!$S$4:$S$73,"Profesor de DC en 10-4"&amp;CHAR(31)&amp;$A7&amp;CHAR(31)&amp;C$3))&gt;1,IF(ISNA(MATCH(1,INDEX(EXACT('Casillas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10-4"&amp;CHAR(31)&amp;$A7&amp;CHAR(31)&amp;C$3)*1,0),0))))&amp;" (+"&amp;(SUMPRODUCT(1*EXACT('Casillas del horario'!$S$4:$S$73,"Profesor de DC en 10-4"&amp;CHAR(31)&amp;$A7&amp;CHAR(31)&amp;C$3))-1)&amp;")",IF(ISNA(MATCH(1,INDEX(EXACT('Casillas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10-4"&amp;CHAR(31)&amp;$A7&amp;CHAR(31)&amp;C$3)*1,0),0)))))</f>
        <v/>
      </c>
      <c r="D7" s="3">
        <f>IF(SUMPRODUCT(1*EXACT('Casillas del horario'!$S$4:$S$73,"Profesor de DC en 10-4"&amp;CHAR(31)&amp;$A7&amp;CHAR(31)&amp;D$3))&gt;1,IF(ISNA(MATCH(1,INDEX(EXACT('Casillas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10-4"&amp;CHAR(31)&amp;$A7&amp;CHAR(31)&amp;D$3)*1,0),0))))&amp;" (+"&amp;(SUMPRODUCT(1*EXACT('Casillas del horario'!$S$4:$S$73,"Profesor de DC en 10-4"&amp;CHAR(31)&amp;$A7&amp;CHAR(31)&amp;D$3))-1)&amp;")",IF(ISNA(MATCH(1,INDEX(EXACT('Casillas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10-4"&amp;CHAR(31)&amp;$A7&amp;CHAR(31)&amp;D$3)*1,0),0)))))</f>
        <v/>
      </c>
      <c r="E7" s="3">
        <f>IF(SUMPRODUCT(1*EXACT('Casillas del horario'!$S$4:$S$73,"Profesor de DC en 10-4"&amp;CHAR(31)&amp;$A7&amp;CHAR(31)&amp;E$3))&gt;1,IF(ISNA(MATCH(1,INDEX(EXACT('Casillas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10-4"&amp;CHAR(31)&amp;$A7&amp;CHAR(31)&amp;E$3)*1,0),0))))&amp;" (+"&amp;(SUMPRODUCT(1*EXACT('Casillas del horario'!$S$4:$S$73,"Profesor de DC en 10-4"&amp;CHAR(31)&amp;$A7&amp;CHAR(31)&amp;E$3))-1)&amp;")",IF(ISNA(MATCH(1,INDEX(EXACT('Casillas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10-4"&amp;CHAR(31)&amp;$A7&amp;CHAR(31)&amp;E$3)*1,0),0)))))</f>
        <v/>
      </c>
      <c r="F7" s="3">
        <f>IF(SUMPRODUCT(1*EXACT('Casillas del horario'!$S$4:$S$73,"Profesor de DC en 10-4"&amp;CHAR(31)&amp;$A7&amp;CHAR(31)&amp;F$3))&gt;1,IF(ISNA(MATCH(1,INDEX(EXACT('Casillas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10-4"&amp;CHAR(31)&amp;$A7&amp;CHAR(31)&amp;F$3)*1,0),0))))&amp;" (+"&amp;(SUMPRODUCT(1*EXACT('Casillas del horario'!$S$4:$S$73,"Profesor de DC en 10-4"&amp;CHAR(31)&amp;$A7&amp;CHAR(31)&amp;F$3))-1)&amp;")",IF(ISNA(MATCH(1,INDEX(EXACT('Casillas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10-4"&amp;CHAR(31)&amp;$A8&amp;CHAR(31)&amp;B$3))&gt;1,IF(ISNA(MATCH(1,INDEX(EXACT('Casillas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10-4"&amp;CHAR(31)&amp;$A8&amp;CHAR(31)&amp;B$3)*1,0),0))))&amp;" (+"&amp;(SUMPRODUCT(1*EXACT('Casillas del horario'!$S$4:$S$73,"Profesor de DC en 10-4"&amp;CHAR(31)&amp;$A8&amp;CHAR(31)&amp;B$3))-1)&amp;")",IF(ISNA(MATCH(1,INDEX(EXACT('Casillas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10-4"&amp;CHAR(31)&amp;$A8&amp;CHAR(31)&amp;B$3)*1,0),0)))))</f>
        <v/>
      </c>
      <c r="C8" s="3">
        <f>IF(SUMPRODUCT(1*EXACT('Casillas del horario'!$S$4:$S$73,"Profesor de DC en 10-4"&amp;CHAR(31)&amp;$A8&amp;CHAR(31)&amp;C$3))&gt;1,IF(ISNA(MATCH(1,INDEX(EXACT('Casillas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10-4"&amp;CHAR(31)&amp;$A8&amp;CHAR(31)&amp;C$3)*1,0),0))))&amp;" (+"&amp;(SUMPRODUCT(1*EXACT('Casillas del horario'!$S$4:$S$73,"Profesor de DC en 10-4"&amp;CHAR(31)&amp;$A8&amp;CHAR(31)&amp;C$3))-1)&amp;")",IF(ISNA(MATCH(1,INDEX(EXACT('Casillas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10-4"&amp;CHAR(31)&amp;$A8&amp;CHAR(31)&amp;C$3)*1,0),0)))))</f>
        <v/>
      </c>
      <c r="D8" s="3">
        <f>IF(SUMPRODUCT(1*EXACT('Casillas del horario'!$S$4:$S$73,"Profesor de DC en 10-4"&amp;CHAR(31)&amp;$A8&amp;CHAR(31)&amp;D$3))&gt;1,IF(ISNA(MATCH(1,INDEX(EXACT('Casillas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10-4"&amp;CHAR(31)&amp;$A8&amp;CHAR(31)&amp;D$3)*1,0),0))))&amp;" (+"&amp;(SUMPRODUCT(1*EXACT('Casillas del horario'!$S$4:$S$73,"Profesor de DC en 10-4"&amp;CHAR(31)&amp;$A8&amp;CHAR(31)&amp;D$3))-1)&amp;")",IF(ISNA(MATCH(1,INDEX(EXACT('Casillas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10-4"&amp;CHAR(31)&amp;$A8&amp;CHAR(31)&amp;D$3)*1,0),0)))))</f>
        <v/>
      </c>
      <c r="E8" s="3">
        <f>IF(SUMPRODUCT(1*EXACT('Casillas del horario'!$S$4:$S$73,"Profesor de DC en 10-4"&amp;CHAR(31)&amp;$A8&amp;CHAR(31)&amp;E$3))&gt;1,IF(ISNA(MATCH(1,INDEX(EXACT('Casillas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10-4"&amp;CHAR(31)&amp;$A8&amp;CHAR(31)&amp;E$3)*1,0),0))))&amp;" (+"&amp;(SUMPRODUCT(1*EXACT('Casillas del horario'!$S$4:$S$73,"Profesor de DC en 10-4"&amp;CHAR(31)&amp;$A8&amp;CHAR(31)&amp;E$3))-1)&amp;")",IF(ISNA(MATCH(1,INDEX(EXACT('Casillas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10-4"&amp;CHAR(31)&amp;$A8&amp;CHAR(31)&amp;E$3)*1,0),0)))))</f>
        <v/>
      </c>
      <c r="F8" s="3">
        <f>IF(SUMPRODUCT(1*EXACT('Casillas del horario'!$S$4:$S$73,"Profesor de DC en 10-4"&amp;CHAR(31)&amp;$A8&amp;CHAR(31)&amp;F$3))&gt;1,IF(ISNA(MATCH(1,INDEX(EXACT('Casillas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10-4"&amp;CHAR(31)&amp;$A8&amp;CHAR(31)&amp;F$3)*1,0),0))))&amp;" (+"&amp;(SUMPRODUCT(1*EXACT('Casillas del horario'!$S$4:$S$73,"Profesor de DC en 10-4"&amp;CHAR(31)&amp;$A8&amp;CHAR(31)&amp;F$3))-1)&amp;")",IF(ISNA(MATCH(1,INDEX(EXACT('Casillas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10-4"&amp;CHAR(31)&amp;$A9&amp;CHAR(31)&amp;B$3))&gt;1,IF(ISNA(MATCH(1,INDEX(EXACT('Casillas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10-4"&amp;CHAR(31)&amp;$A9&amp;CHAR(31)&amp;B$3)*1,0),0))))&amp;" (+"&amp;(SUMPRODUCT(1*EXACT('Casillas del horario'!$S$4:$S$73,"Profesor de DC en 10-4"&amp;CHAR(31)&amp;$A9&amp;CHAR(31)&amp;B$3))-1)&amp;")",IF(ISNA(MATCH(1,INDEX(EXACT('Casillas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10-4"&amp;CHAR(31)&amp;$A9&amp;CHAR(31)&amp;B$3)*1,0),0)))))</f>
        <v/>
      </c>
      <c r="C9" s="3">
        <f>IF(SUMPRODUCT(1*EXACT('Casillas del horario'!$S$4:$S$73,"Profesor de DC en 10-4"&amp;CHAR(31)&amp;$A9&amp;CHAR(31)&amp;C$3))&gt;1,IF(ISNA(MATCH(1,INDEX(EXACT('Casillas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10-4"&amp;CHAR(31)&amp;$A9&amp;CHAR(31)&amp;C$3)*1,0),0))))&amp;" (+"&amp;(SUMPRODUCT(1*EXACT('Casillas del horario'!$S$4:$S$73,"Profesor de DC en 10-4"&amp;CHAR(31)&amp;$A9&amp;CHAR(31)&amp;C$3))-1)&amp;")",IF(ISNA(MATCH(1,INDEX(EXACT('Casillas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10-4"&amp;CHAR(31)&amp;$A9&amp;CHAR(31)&amp;C$3)*1,0),0)))))</f>
        <v/>
      </c>
      <c r="D9" s="3">
        <f>IF(SUMPRODUCT(1*EXACT('Casillas del horario'!$S$4:$S$73,"Profesor de DC en 10-4"&amp;CHAR(31)&amp;$A9&amp;CHAR(31)&amp;D$3))&gt;1,IF(ISNA(MATCH(1,INDEX(EXACT('Casillas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10-4"&amp;CHAR(31)&amp;$A9&amp;CHAR(31)&amp;D$3)*1,0),0))))&amp;" (+"&amp;(SUMPRODUCT(1*EXACT('Casillas del horario'!$S$4:$S$73,"Profesor de DC en 10-4"&amp;CHAR(31)&amp;$A9&amp;CHAR(31)&amp;D$3))-1)&amp;")",IF(ISNA(MATCH(1,INDEX(EXACT('Casillas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10-4"&amp;CHAR(31)&amp;$A9&amp;CHAR(31)&amp;D$3)*1,0),0)))))</f>
        <v/>
      </c>
      <c r="E9" s="3">
        <f>IF(SUMPRODUCT(1*EXACT('Casillas del horario'!$S$4:$S$73,"Profesor de DC en 10-4"&amp;CHAR(31)&amp;$A9&amp;CHAR(31)&amp;E$3))&gt;1,IF(ISNA(MATCH(1,INDEX(EXACT('Casillas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10-4"&amp;CHAR(31)&amp;$A9&amp;CHAR(31)&amp;E$3)*1,0),0))))&amp;" (+"&amp;(SUMPRODUCT(1*EXACT('Casillas del horario'!$S$4:$S$73,"Profesor de DC en 10-4"&amp;CHAR(31)&amp;$A9&amp;CHAR(31)&amp;E$3))-1)&amp;")",IF(ISNA(MATCH(1,INDEX(EXACT('Casillas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10-4"&amp;CHAR(31)&amp;$A9&amp;CHAR(31)&amp;E$3)*1,0),0)))))</f>
        <v/>
      </c>
      <c r="F9" s="3">
        <f>IF(SUMPRODUCT(1*EXACT('Casillas del horario'!$S$4:$S$73,"Profesor de DC en 10-4"&amp;CHAR(31)&amp;$A9&amp;CHAR(31)&amp;F$3))&gt;1,IF(ISNA(MATCH(1,INDEX(EXACT('Casillas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10-4"&amp;CHAR(31)&amp;$A9&amp;CHAR(31)&amp;F$3)*1,0),0))))&amp;" (+"&amp;(SUMPRODUCT(1*EXACT('Casillas del horario'!$S$4:$S$73,"Profesor de DC en 10-4"&amp;CHAR(31)&amp;$A9&amp;CHAR(31)&amp;F$3))-1)&amp;")",IF(ISNA(MATCH(1,INDEX(EXACT('Casillas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10-4"&amp;CHAR(31)&amp;$A10&amp;CHAR(31)&amp;B$3))&gt;1,IF(ISNA(MATCH(1,INDEX(EXACT('Casillas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10-4"&amp;CHAR(31)&amp;$A10&amp;CHAR(31)&amp;B$3)*1,0),0))))&amp;" (+"&amp;(SUMPRODUCT(1*EXACT('Casillas del horario'!$S$4:$S$73,"Profesor de DC en 10-4"&amp;CHAR(31)&amp;$A10&amp;CHAR(31)&amp;B$3))-1)&amp;")",IF(ISNA(MATCH(1,INDEX(EXACT('Casillas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10-4"&amp;CHAR(31)&amp;$A10&amp;CHAR(31)&amp;B$3)*1,0),0)))))</f>
        <v/>
      </c>
      <c r="C10" s="3">
        <f>IF(SUMPRODUCT(1*EXACT('Casillas del horario'!$S$4:$S$73,"Profesor de DC en 10-4"&amp;CHAR(31)&amp;$A10&amp;CHAR(31)&amp;C$3))&gt;1,IF(ISNA(MATCH(1,INDEX(EXACT('Casillas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10-4"&amp;CHAR(31)&amp;$A10&amp;CHAR(31)&amp;C$3)*1,0),0))))&amp;" (+"&amp;(SUMPRODUCT(1*EXACT('Casillas del horario'!$S$4:$S$73,"Profesor de DC en 10-4"&amp;CHAR(31)&amp;$A10&amp;CHAR(31)&amp;C$3))-1)&amp;")",IF(ISNA(MATCH(1,INDEX(EXACT('Casillas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10-4"&amp;CHAR(31)&amp;$A10&amp;CHAR(31)&amp;C$3)*1,0),0)))))</f>
        <v/>
      </c>
      <c r="D10" s="3">
        <f>IF(SUMPRODUCT(1*EXACT('Casillas del horario'!$S$4:$S$73,"Profesor de DC en 10-4"&amp;CHAR(31)&amp;$A10&amp;CHAR(31)&amp;D$3))&gt;1,IF(ISNA(MATCH(1,INDEX(EXACT('Casillas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10-4"&amp;CHAR(31)&amp;$A10&amp;CHAR(31)&amp;D$3)*1,0),0))))&amp;" (+"&amp;(SUMPRODUCT(1*EXACT('Casillas del horario'!$S$4:$S$73,"Profesor de DC en 10-4"&amp;CHAR(31)&amp;$A10&amp;CHAR(31)&amp;D$3))-1)&amp;")",IF(ISNA(MATCH(1,INDEX(EXACT('Casillas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10-4"&amp;CHAR(31)&amp;$A10&amp;CHAR(31)&amp;D$3)*1,0),0)))))</f>
        <v/>
      </c>
      <c r="E10" s="3">
        <f>IF(SUMPRODUCT(1*EXACT('Casillas del horario'!$S$4:$S$73,"Profesor de DC en 10-4"&amp;CHAR(31)&amp;$A10&amp;CHAR(31)&amp;E$3))&gt;1,IF(ISNA(MATCH(1,INDEX(EXACT('Casillas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10-4"&amp;CHAR(31)&amp;$A10&amp;CHAR(31)&amp;E$3)*1,0),0))))&amp;" (+"&amp;(SUMPRODUCT(1*EXACT('Casillas del horario'!$S$4:$S$73,"Profesor de DC en 10-4"&amp;CHAR(31)&amp;$A10&amp;CHAR(31)&amp;E$3))-1)&amp;")",IF(ISNA(MATCH(1,INDEX(EXACT('Casillas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10-4"&amp;CHAR(31)&amp;$A10&amp;CHAR(31)&amp;E$3)*1,0),0)))))</f>
        <v/>
      </c>
      <c r="F10" s="3">
        <f>IF(SUMPRODUCT(1*EXACT('Casillas del horario'!$S$4:$S$73,"Profesor de DC en 10-4"&amp;CHAR(31)&amp;$A10&amp;CHAR(31)&amp;F$3))&gt;1,IF(ISNA(MATCH(1,INDEX(EXACT('Casillas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10-4"&amp;CHAR(31)&amp;$A10&amp;CHAR(31)&amp;F$3)*1,0),0))))&amp;" (+"&amp;(SUMPRODUCT(1*EXACT('Casillas del horario'!$S$4:$S$73,"Profesor de DC en 10-4"&amp;CHAR(31)&amp;$A10&amp;CHAR(31)&amp;F$3))-1)&amp;")",IF(ISNA(MATCH(1,INDEX(EXACT('Casillas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10-4"&amp;CHAR(31)&amp;$A4&amp;CHAR(31)&amp;B$3))&gt;1,IF(ISNA(MATCH(1,INDEX(EXACT('Casillas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10-4"&amp;CHAR(31)&amp;$A4&amp;CHAR(31)&amp;B$3)*1,0),0))))&amp;" (+"&amp;(SUMPRODUCT(1*EXACT('Casillas del horario'!$S$4:$S$73,"Profesor de CA en 10-4"&amp;CHAR(31)&amp;$A4&amp;CHAR(31)&amp;B$3))-1)&amp;")",IF(ISNA(MATCH(1,INDEX(EXACT('Casillas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10-4"&amp;CHAR(31)&amp;$A4&amp;CHAR(31)&amp;B$3)*1,0),0)))))</f>
        <v/>
      </c>
      <c r="C4" s="3">
        <f>IF(SUMPRODUCT(1*EXACT('Casillas del horario'!$S$4:$S$73,"Profesor de CA en 10-4"&amp;CHAR(31)&amp;$A4&amp;CHAR(31)&amp;C$3))&gt;1,IF(ISNA(MATCH(1,INDEX(EXACT('Casillas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10-4"&amp;CHAR(31)&amp;$A4&amp;CHAR(31)&amp;C$3)*1,0),0))))&amp;" (+"&amp;(SUMPRODUCT(1*EXACT('Casillas del horario'!$S$4:$S$73,"Profesor de CA en 10-4"&amp;CHAR(31)&amp;$A4&amp;CHAR(31)&amp;C$3))-1)&amp;")",IF(ISNA(MATCH(1,INDEX(EXACT('Casillas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10-4"&amp;CHAR(31)&amp;$A4&amp;CHAR(31)&amp;C$3)*1,0),0)))))</f>
        <v/>
      </c>
      <c r="D4" s="3">
        <f>IF(SUMPRODUCT(1*EXACT('Casillas del horario'!$S$4:$S$73,"Profesor de CA en 10-4"&amp;CHAR(31)&amp;$A4&amp;CHAR(31)&amp;D$3))&gt;1,IF(ISNA(MATCH(1,INDEX(EXACT('Casillas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10-4"&amp;CHAR(31)&amp;$A4&amp;CHAR(31)&amp;D$3)*1,0),0))))&amp;" (+"&amp;(SUMPRODUCT(1*EXACT('Casillas del horario'!$S$4:$S$73,"Profesor de CA en 10-4"&amp;CHAR(31)&amp;$A4&amp;CHAR(31)&amp;D$3))-1)&amp;")",IF(ISNA(MATCH(1,INDEX(EXACT('Casillas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10-4"&amp;CHAR(31)&amp;$A4&amp;CHAR(31)&amp;D$3)*1,0),0)))))</f>
        <v/>
      </c>
      <c r="E4" s="3">
        <f>IF(SUMPRODUCT(1*EXACT('Casillas del horario'!$S$4:$S$73,"Profesor de CA en 10-4"&amp;CHAR(31)&amp;$A4&amp;CHAR(31)&amp;E$3))&gt;1,IF(ISNA(MATCH(1,INDEX(EXACT('Casillas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10-4"&amp;CHAR(31)&amp;$A4&amp;CHAR(31)&amp;E$3)*1,0),0))))&amp;" (+"&amp;(SUMPRODUCT(1*EXACT('Casillas del horario'!$S$4:$S$73,"Profesor de CA en 10-4"&amp;CHAR(31)&amp;$A4&amp;CHAR(31)&amp;E$3))-1)&amp;")",IF(ISNA(MATCH(1,INDEX(EXACT('Casillas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10-4"&amp;CHAR(31)&amp;$A4&amp;CHAR(31)&amp;E$3)*1,0),0)))))</f>
        <v/>
      </c>
      <c r="F4" s="3">
        <f>IF(SUMPRODUCT(1*EXACT('Casillas del horario'!$S$4:$S$73,"Profesor de CA en 10-4"&amp;CHAR(31)&amp;$A4&amp;CHAR(31)&amp;F$3))&gt;1,IF(ISNA(MATCH(1,INDEX(EXACT('Casillas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10-4"&amp;CHAR(31)&amp;$A4&amp;CHAR(31)&amp;F$3)*1,0),0))))&amp;" (+"&amp;(SUMPRODUCT(1*EXACT('Casillas del horario'!$S$4:$S$73,"Profesor de CA en 10-4"&amp;CHAR(31)&amp;$A4&amp;CHAR(31)&amp;F$3))-1)&amp;")",IF(ISNA(MATCH(1,INDEX(EXACT('Casillas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10-4"&amp;CHAR(31)&amp;$A5&amp;CHAR(31)&amp;B$3))&gt;1,IF(ISNA(MATCH(1,INDEX(EXACT('Casillas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10-4"&amp;CHAR(31)&amp;$A5&amp;CHAR(31)&amp;B$3)*1,0),0))))&amp;" (+"&amp;(SUMPRODUCT(1*EXACT('Casillas del horario'!$S$4:$S$73,"Profesor de CA en 10-4"&amp;CHAR(31)&amp;$A5&amp;CHAR(31)&amp;B$3))-1)&amp;")",IF(ISNA(MATCH(1,INDEX(EXACT('Casillas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10-4"&amp;CHAR(31)&amp;$A5&amp;CHAR(31)&amp;B$3)*1,0),0)))))</f>
        <v/>
      </c>
      <c r="C5" s="3">
        <f>IF(SUMPRODUCT(1*EXACT('Casillas del horario'!$S$4:$S$73,"Profesor de CA en 10-4"&amp;CHAR(31)&amp;$A5&amp;CHAR(31)&amp;C$3))&gt;1,IF(ISNA(MATCH(1,INDEX(EXACT('Casillas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10-4"&amp;CHAR(31)&amp;$A5&amp;CHAR(31)&amp;C$3)*1,0),0))))&amp;" (+"&amp;(SUMPRODUCT(1*EXACT('Casillas del horario'!$S$4:$S$73,"Profesor de CA en 10-4"&amp;CHAR(31)&amp;$A5&amp;CHAR(31)&amp;C$3))-1)&amp;")",IF(ISNA(MATCH(1,INDEX(EXACT('Casillas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10-4"&amp;CHAR(31)&amp;$A5&amp;CHAR(31)&amp;C$3)*1,0),0)))))</f>
        <v/>
      </c>
      <c r="D5" s="3">
        <f>IF(SUMPRODUCT(1*EXACT('Casillas del horario'!$S$4:$S$73,"Profesor de CA en 10-4"&amp;CHAR(31)&amp;$A5&amp;CHAR(31)&amp;D$3))&gt;1,IF(ISNA(MATCH(1,INDEX(EXACT('Casillas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10-4"&amp;CHAR(31)&amp;$A5&amp;CHAR(31)&amp;D$3)*1,0),0))))&amp;" (+"&amp;(SUMPRODUCT(1*EXACT('Casillas del horario'!$S$4:$S$73,"Profesor de CA en 10-4"&amp;CHAR(31)&amp;$A5&amp;CHAR(31)&amp;D$3))-1)&amp;")",IF(ISNA(MATCH(1,INDEX(EXACT('Casillas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10-4"&amp;CHAR(31)&amp;$A5&amp;CHAR(31)&amp;D$3)*1,0),0)))))</f>
        <v/>
      </c>
      <c r="E5" s="3">
        <f>IF(SUMPRODUCT(1*EXACT('Casillas del horario'!$S$4:$S$73,"Profesor de CA en 10-4"&amp;CHAR(31)&amp;$A5&amp;CHAR(31)&amp;E$3))&gt;1,IF(ISNA(MATCH(1,INDEX(EXACT('Casillas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10-4"&amp;CHAR(31)&amp;$A5&amp;CHAR(31)&amp;E$3)*1,0),0))))&amp;" (+"&amp;(SUMPRODUCT(1*EXACT('Casillas del horario'!$S$4:$S$73,"Profesor de CA en 10-4"&amp;CHAR(31)&amp;$A5&amp;CHAR(31)&amp;E$3))-1)&amp;")",IF(ISNA(MATCH(1,INDEX(EXACT('Casillas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10-4"&amp;CHAR(31)&amp;$A5&amp;CHAR(31)&amp;E$3)*1,0),0)))))</f>
        <v/>
      </c>
      <c r="F5" s="3">
        <f>IF(SUMPRODUCT(1*EXACT('Casillas del horario'!$S$4:$S$73,"Profesor de CA en 10-4"&amp;CHAR(31)&amp;$A5&amp;CHAR(31)&amp;F$3))&gt;1,IF(ISNA(MATCH(1,INDEX(EXACT('Casillas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10-4"&amp;CHAR(31)&amp;$A5&amp;CHAR(31)&amp;F$3)*1,0),0))))&amp;" (+"&amp;(SUMPRODUCT(1*EXACT('Casillas del horario'!$S$4:$S$73,"Profesor de CA en 10-4"&amp;CHAR(31)&amp;$A5&amp;CHAR(31)&amp;F$3))-1)&amp;")",IF(ISNA(MATCH(1,INDEX(EXACT('Casillas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10-4"&amp;CHAR(31)&amp;$A6&amp;CHAR(31)&amp;B$3))&gt;1,IF(ISNA(MATCH(1,INDEX(EXACT('Casillas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10-4"&amp;CHAR(31)&amp;$A6&amp;CHAR(31)&amp;B$3)*1,0),0))))&amp;" (+"&amp;(SUMPRODUCT(1*EXACT('Casillas del horario'!$S$4:$S$73,"Profesor de CA en 10-4"&amp;CHAR(31)&amp;$A6&amp;CHAR(31)&amp;B$3))-1)&amp;")",IF(ISNA(MATCH(1,INDEX(EXACT('Casillas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10-4"&amp;CHAR(31)&amp;$A6&amp;CHAR(31)&amp;B$3)*1,0),0)))))</f>
        <v/>
      </c>
      <c r="C6" s="3">
        <f>IF(SUMPRODUCT(1*EXACT('Casillas del horario'!$S$4:$S$73,"Profesor de CA en 10-4"&amp;CHAR(31)&amp;$A6&amp;CHAR(31)&amp;C$3))&gt;1,IF(ISNA(MATCH(1,INDEX(EXACT('Casillas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10-4"&amp;CHAR(31)&amp;$A6&amp;CHAR(31)&amp;C$3)*1,0),0))))&amp;" (+"&amp;(SUMPRODUCT(1*EXACT('Casillas del horario'!$S$4:$S$73,"Profesor de CA en 10-4"&amp;CHAR(31)&amp;$A6&amp;CHAR(31)&amp;C$3))-1)&amp;")",IF(ISNA(MATCH(1,INDEX(EXACT('Casillas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10-4"&amp;CHAR(31)&amp;$A6&amp;CHAR(31)&amp;C$3)*1,0),0)))))</f>
        <v/>
      </c>
      <c r="D6" s="3">
        <f>IF(SUMPRODUCT(1*EXACT('Casillas del horario'!$S$4:$S$73,"Profesor de CA en 10-4"&amp;CHAR(31)&amp;$A6&amp;CHAR(31)&amp;D$3))&gt;1,IF(ISNA(MATCH(1,INDEX(EXACT('Casillas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10-4"&amp;CHAR(31)&amp;$A6&amp;CHAR(31)&amp;D$3)*1,0),0))))&amp;" (+"&amp;(SUMPRODUCT(1*EXACT('Casillas del horario'!$S$4:$S$73,"Profesor de CA en 10-4"&amp;CHAR(31)&amp;$A6&amp;CHAR(31)&amp;D$3))-1)&amp;")",IF(ISNA(MATCH(1,INDEX(EXACT('Casillas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10-4"&amp;CHAR(31)&amp;$A6&amp;CHAR(31)&amp;D$3)*1,0),0)))))</f>
        <v/>
      </c>
      <c r="E6" s="3">
        <f>IF(SUMPRODUCT(1*EXACT('Casillas del horario'!$S$4:$S$73,"Profesor de CA en 10-4"&amp;CHAR(31)&amp;$A6&amp;CHAR(31)&amp;E$3))&gt;1,IF(ISNA(MATCH(1,INDEX(EXACT('Casillas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10-4"&amp;CHAR(31)&amp;$A6&amp;CHAR(31)&amp;E$3)*1,0),0))))&amp;" (+"&amp;(SUMPRODUCT(1*EXACT('Casillas del horario'!$S$4:$S$73,"Profesor de CA en 10-4"&amp;CHAR(31)&amp;$A6&amp;CHAR(31)&amp;E$3))-1)&amp;")",IF(ISNA(MATCH(1,INDEX(EXACT('Casillas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10-4"&amp;CHAR(31)&amp;$A6&amp;CHAR(31)&amp;E$3)*1,0),0)))))</f>
        <v/>
      </c>
      <c r="F6" s="3">
        <f>IF(SUMPRODUCT(1*EXACT('Casillas del horario'!$S$4:$S$73,"Profesor de CA en 10-4"&amp;CHAR(31)&amp;$A6&amp;CHAR(31)&amp;F$3))&gt;1,IF(ISNA(MATCH(1,INDEX(EXACT('Casillas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10-4"&amp;CHAR(31)&amp;$A6&amp;CHAR(31)&amp;F$3)*1,0),0))))&amp;" (+"&amp;(SUMPRODUCT(1*EXACT('Casillas del horario'!$S$4:$S$73,"Profesor de CA en 10-4"&amp;CHAR(31)&amp;$A6&amp;CHAR(31)&amp;F$3))-1)&amp;")",IF(ISNA(MATCH(1,INDEX(EXACT('Casillas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10-4"&amp;CHAR(31)&amp;$A7&amp;CHAR(31)&amp;B$3))&gt;1,IF(ISNA(MATCH(1,INDEX(EXACT('Casillas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10-4"&amp;CHAR(31)&amp;$A7&amp;CHAR(31)&amp;B$3)*1,0),0))))&amp;" (+"&amp;(SUMPRODUCT(1*EXACT('Casillas del horario'!$S$4:$S$73,"Profesor de CA en 10-4"&amp;CHAR(31)&amp;$A7&amp;CHAR(31)&amp;B$3))-1)&amp;")",IF(ISNA(MATCH(1,INDEX(EXACT('Casillas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10-4"&amp;CHAR(31)&amp;$A7&amp;CHAR(31)&amp;B$3)*1,0),0)))))</f>
        <v/>
      </c>
      <c r="C7" s="3">
        <f>IF(SUMPRODUCT(1*EXACT('Casillas del horario'!$S$4:$S$73,"Profesor de CA en 10-4"&amp;CHAR(31)&amp;$A7&amp;CHAR(31)&amp;C$3))&gt;1,IF(ISNA(MATCH(1,INDEX(EXACT('Casillas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10-4"&amp;CHAR(31)&amp;$A7&amp;CHAR(31)&amp;C$3)*1,0),0))))&amp;" (+"&amp;(SUMPRODUCT(1*EXACT('Casillas del horario'!$S$4:$S$73,"Profesor de CA en 10-4"&amp;CHAR(31)&amp;$A7&amp;CHAR(31)&amp;C$3))-1)&amp;")",IF(ISNA(MATCH(1,INDEX(EXACT('Casillas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10-4"&amp;CHAR(31)&amp;$A7&amp;CHAR(31)&amp;C$3)*1,0),0)))))</f>
        <v/>
      </c>
      <c r="D7" s="3">
        <f>IF(SUMPRODUCT(1*EXACT('Casillas del horario'!$S$4:$S$73,"Profesor de CA en 10-4"&amp;CHAR(31)&amp;$A7&amp;CHAR(31)&amp;D$3))&gt;1,IF(ISNA(MATCH(1,INDEX(EXACT('Casillas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10-4"&amp;CHAR(31)&amp;$A7&amp;CHAR(31)&amp;D$3)*1,0),0))))&amp;" (+"&amp;(SUMPRODUCT(1*EXACT('Casillas del horario'!$S$4:$S$73,"Profesor de CA en 10-4"&amp;CHAR(31)&amp;$A7&amp;CHAR(31)&amp;D$3))-1)&amp;")",IF(ISNA(MATCH(1,INDEX(EXACT('Casillas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10-4"&amp;CHAR(31)&amp;$A7&amp;CHAR(31)&amp;D$3)*1,0),0)))))</f>
        <v/>
      </c>
      <c r="E7" s="3">
        <f>IF(SUMPRODUCT(1*EXACT('Casillas del horario'!$S$4:$S$73,"Profesor de CA en 10-4"&amp;CHAR(31)&amp;$A7&amp;CHAR(31)&amp;E$3))&gt;1,IF(ISNA(MATCH(1,INDEX(EXACT('Casillas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10-4"&amp;CHAR(31)&amp;$A7&amp;CHAR(31)&amp;E$3)*1,0),0))))&amp;" (+"&amp;(SUMPRODUCT(1*EXACT('Casillas del horario'!$S$4:$S$73,"Profesor de CA en 10-4"&amp;CHAR(31)&amp;$A7&amp;CHAR(31)&amp;E$3))-1)&amp;")",IF(ISNA(MATCH(1,INDEX(EXACT('Casillas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10-4"&amp;CHAR(31)&amp;$A7&amp;CHAR(31)&amp;E$3)*1,0),0)))))</f>
        <v/>
      </c>
      <c r="F7" s="3">
        <f>IF(SUMPRODUCT(1*EXACT('Casillas del horario'!$S$4:$S$73,"Profesor de CA en 10-4"&amp;CHAR(31)&amp;$A7&amp;CHAR(31)&amp;F$3))&gt;1,IF(ISNA(MATCH(1,INDEX(EXACT('Casillas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10-4"&amp;CHAR(31)&amp;$A7&amp;CHAR(31)&amp;F$3)*1,0),0))))&amp;" (+"&amp;(SUMPRODUCT(1*EXACT('Casillas del horario'!$S$4:$S$73,"Profesor de CA en 10-4"&amp;CHAR(31)&amp;$A7&amp;CHAR(31)&amp;F$3))-1)&amp;")",IF(ISNA(MATCH(1,INDEX(EXACT('Casillas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10-4"&amp;CHAR(31)&amp;$A8&amp;CHAR(31)&amp;B$3))&gt;1,IF(ISNA(MATCH(1,INDEX(EXACT('Casillas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10-4"&amp;CHAR(31)&amp;$A8&amp;CHAR(31)&amp;B$3)*1,0),0))))&amp;" (+"&amp;(SUMPRODUCT(1*EXACT('Casillas del horario'!$S$4:$S$73,"Profesor de CA en 10-4"&amp;CHAR(31)&amp;$A8&amp;CHAR(31)&amp;B$3))-1)&amp;")",IF(ISNA(MATCH(1,INDEX(EXACT('Casillas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10-4"&amp;CHAR(31)&amp;$A8&amp;CHAR(31)&amp;B$3)*1,0),0)))))</f>
        <v/>
      </c>
      <c r="C8" s="3">
        <f>IF(SUMPRODUCT(1*EXACT('Casillas del horario'!$S$4:$S$73,"Profesor de CA en 10-4"&amp;CHAR(31)&amp;$A8&amp;CHAR(31)&amp;C$3))&gt;1,IF(ISNA(MATCH(1,INDEX(EXACT('Casillas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10-4"&amp;CHAR(31)&amp;$A8&amp;CHAR(31)&amp;C$3)*1,0),0))))&amp;" (+"&amp;(SUMPRODUCT(1*EXACT('Casillas del horario'!$S$4:$S$73,"Profesor de CA en 10-4"&amp;CHAR(31)&amp;$A8&amp;CHAR(31)&amp;C$3))-1)&amp;")",IF(ISNA(MATCH(1,INDEX(EXACT('Casillas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10-4"&amp;CHAR(31)&amp;$A8&amp;CHAR(31)&amp;C$3)*1,0),0)))))</f>
        <v/>
      </c>
      <c r="D8" s="3">
        <f>IF(SUMPRODUCT(1*EXACT('Casillas del horario'!$S$4:$S$73,"Profesor de CA en 10-4"&amp;CHAR(31)&amp;$A8&amp;CHAR(31)&amp;D$3))&gt;1,IF(ISNA(MATCH(1,INDEX(EXACT('Casillas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10-4"&amp;CHAR(31)&amp;$A8&amp;CHAR(31)&amp;D$3)*1,0),0))))&amp;" (+"&amp;(SUMPRODUCT(1*EXACT('Casillas del horario'!$S$4:$S$73,"Profesor de CA en 10-4"&amp;CHAR(31)&amp;$A8&amp;CHAR(31)&amp;D$3))-1)&amp;")",IF(ISNA(MATCH(1,INDEX(EXACT('Casillas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10-4"&amp;CHAR(31)&amp;$A8&amp;CHAR(31)&amp;D$3)*1,0),0)))))</f>
        <v/>
      </c>
      <c r="E8" s="3">
        <f>IF(SUMPRODUCT(1*EXACT('Casillas del horario'!$S$4:$S$73,"Profesor de CA en 10-4"&amp;CHAR(31)&amp;$A8&amp;CHAR(31)&amp;E$3))&gt;1,IF(ISNA(MATCH(1,INDEX(EXACT('Casillas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10-4"&amp;CHAR(31)&amp;$A8&amp;CHAR(31)&amp;E$3)*1,0),0))))&amp;" (+"&amp;(SUMPRODUCT(1*EXACT('Casillas del horario'!$S$4:$S$73,"Profesor de CA en 10-4"&amp;CHAR(31)&amp;$A8&amp;CHAR(31)&amp;E$3))-1)&amp;")",IF(ISNA(MATCH(1,INDEX(EXACT('Casillas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10-4"&amp;CHAR(31)&amp;$A8&amp;CHAR(31)&amp;E$3)*1,0),0)))))</f>
        <v/>
      </c>
      <c r="F8" s="3">
        <f>IF(SUMPRODUCT(1*EXACT('Casillas del horario'!$S$4:$S$73,"Profesor de CA en 10-4"&amp;CHAR(31)&amp;$A8&amp;CHAR(31)&amp;F$3))&gt;1,IF(ISNA(MATCH(1,INDEX(EXACT('Casillas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10-4"&amp;CHAR(31)&amp;$A8&amp;CHAR(31)&amp;F$3)*1,0),0))))&amp;" (+"&amp;(SUMPRODUCT(1*EXACT('Casillas del horario'!$S$4:$S$73,"Profesor de CA en 10-4"&amp;CHAR(31)&amp;$A8&amp;CHAR(31)&amp;F$3))-1)&amp;")",IF(ISNA(MATCH(1,INDEX(EXACT('Casillas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10-4"&amp;CHAR(31)&amp;$A9&amp;CHAR(31)&amp;B$3))&gt;1,IF(ISNA(MATCH(1,INDEX(EXACT('Casillas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10-4"&amp;CHAR(31)&amp;$A9&amp;CHAR(31)&amp;B$3)*1,0),0))))&amp;" (+"&amp;(SUMPRODUCT(1*EXACT('Casillas del horario'!$S$4:$S$73,"Profesor de CA en 10-4"&amp;CHAR(31)&amp;$A9&amp;CHAR(31)&amp;B$3))-1)&amp;")",IF(ISNA(MATCH(1,INDEX(EXACT('Casillas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10-4"&amp;CHAR(31)&amp;$A9&amp;CHAR(31)&amp;B$3)*1,0),0)))))</f>
        <v/>
      </c>
      <c r="C9" s="3">
        <f>IF(SUMPRODUCT(1*EXACT('Casillas del horario'!$S$4:$S$73,"Profesor de CA en 10-4"&amp;CHAR(31)&amp;$A9&amp;CHAR(31)&amp;C$3))&gt;1,IF(ISNA(MATCH(1,INDEX(EXACT('Casillas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10-4"&amp;CHAR(31)&amp;$A9&amp;CHAR(31)&amp;C$3)*1,0),0))))&amp;" (+"&amp;(SUMPRODUCT(1*EXACT('Casillas del horario'!$S$4:$S$73,"Profesor de CA en 10-4"&amp;CHAR(31)&amp;$A9&amp;CHAR(31)&amp;C$3))-1)&amp;")",IF(ISNA(MATCH(1,INDEX(EXACT('Casillas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10-4"&amp;CHAR(31)&amp;$A9&amp;CHAR(31)&amp;C$3)*1,0),0)))))</f>
        <v/>
      </c>
      <c r="D9" s="3">
        <f>IF(SUMPRODUCT(1*EXACT('Casillas del horario'!$S$4:$S$73,"Profesor de CA en 10-4"&amp;CHAR(31)&amp;$A9&amp;CHAR(31)&amp;D$3))&gt;1,IF(ISNA(MATCH(1,INDEX(EXACT('Casillas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10-4"&amp;CHAR(31)&amp;$A9&amp;CHAR(31)&amp;D$3)*1,0),0))))&amp;" (+"&amp;(SUMPRODUCT(1*EXACT('Casillas del horario'!$S$4:$S$73,"Profesor de CA en 10-4"&amp;CHAR(31)&amp;$A9&amp;CHAR(31)&amp;D$3))-1)&amp;")",IF(ISNA(MATCH(1,INDEX(EXACT('Casillas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10-4"&amp;CHAR(31)&amp;$A9&amp;CHAR(31)&amp;D$3)*1,0),0)))))</f>
        <v/>
      </c>
      <c r="E9" s="3">
        <f>IF(SUMPRODUCT(1*EXACT('Casillas del horario'!$S$4:$S$73,"Profesor de CA en 10-4"&amp;CHAR(31)&amp;$A9&amp;CHAR(31)&amp;E$3))&gt;1,IF(ISNA(MATCH(1,INDEX(EXACT('Casillas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10-4"&amp;CHAR(31)&amp;$A9&amp;CHAR(31)&amp;E$3)*1,0),0))))&amp;" (+"&amp;(SUMPRODUCT(1*EXACT('Casillas del horario'!$S$4:$S$73,"Profesor de CA en 10-4"&amp;CHAR(31)&amp;$A9&amp;CHAR(31)&amp;E$3))-1)&amp;")",IF(ISNA(MATCH(1,INDEX(EXACT('Casillas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10-4"&amp;CHAR(31)&amp;$A9&amp;CHAR(31)&amp;E$3)*1,0),0)))))</f>
        <v/>
      </c>
      <c r="F9" s="3">
        <f>IF(SUMPRODUCT(1*EXACT('Casillas del horario'!$S$4:$S$73,"Profesor de CA en 10-4"&amp;CHAR(31)&amp;$A9&amp;CHAR(31)&amp;F$3))&gt;1,IF(ISNA(MATCH(1,INDEX(EXACT('Casillas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10-4"&amp;CHAR(31)&amp;$A9&amp;CHAR(31)&amp;F$3)*1,0),0))))&amp;" (+"&amp;(SUMPRODUCT(1*EXACT('Casillas del horario'!$S$4:$S$73,"Profesor de CA en 10-4"&amp;CHAR(31)&amp;$A9&amp;CHAR(31)&amp;F$3))-1)&amp;")",IF(ISNA(MATCH(1,INDEX(EXACT('Casillas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10-4"&amp;CHAR(31)&amp;$A10&amp;CHAR(31)&amp;B$3))&gt;1,IF(ISNA(MATCH(1,INDEX(EXACT('Casillas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10-4"&amp;CHAR(31)&amp;$A10&amp;CHAR(31)&amp;B$3)*1,0),0))))&amp;" (+"&amp;(SUMPRODUCT(1*EXACT('Casillas del horario'!$S$4:$S$73,"Profesor de CA en 10-4"&amp;CHAR(31)&amp;$A10&amp;CHAR(31)&amp;B$3))-1)&amp;")",IF(ISNA(MATCH(1,INDEX(EXACT('Casillas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10-4"&amp;CHAR(31)&amp;$A10&amp;CHAR(31)&amp;B$3)*1,0),0)))))</f>
        <v/>
      </c>
      <c r="C10" s="3">
        <f>IF(SUMPRODUCT(1*EXACT('Casillas del horario'!$S$4:$S$73,"Profesor de CA en 10-4"&amp;CHAR(31)&amp;$A10&amp;CHAR(31)&amp;C$3))&gt;1,IF(ISNA(MATCH(1,INDEX(EXACT('Casillas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10-4"&amp;CHAR(31)&amp;$A10&amp;CHAR(31)&amp;C$3)*1,0),0))))&amp;" (+"&amp;(SUMPRODUCT(1*EXACT('Casillas del horario'!$S$4:$S$73,"Profesor de CA en 10-4"&amp;CHAR(31)&amp;$A10&amp;CHAR(31)&amp;C$3))-1)&amp;")",IF(ISNA(MATCH(1,INDEX(EXACT('Casillas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10-4"&amp;CHAR(31)&amp;$A10&amp;CHAR(31)&amp;C$3)*1,0),0)))))</f>
        <v/>
      </c>
      <c r="D10" s="3">
        <f>IF(SUMPRODUCT(1*EXACT('Casillas del horario'!$S$4:$S$73,"Profesor de CA en 10-4"&amp;CHAR(31)&amp;$A10&amp;CHAR(31)&amp;D$3))&gt;1,IF(ISNA(MATCH(1,INDEX(EXACT('Casillas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10-4"&amp;CHAR(31)&amp;$A10&amp;CHAR(31)&amp;D$3)*1,0),0))))&amp;" (+"&amp;(SUMPRODUCT(1*EXACT('Casillas del horario'!$S$4:$S$73,"Profesor de CA en 10-4"&amp;CHAR(31)&amp;$A10&amp;CHAR(31)&amp;D$3))-1)&amp;")",IF(ISNA(MATCH(1,INDEX(EXACT('Casillas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10-4"&amp;CHAR(31)&amp;$A10&amp;CHAR(31)&amp;D$3)*1,0),0)))))</f>
        <v/>
      </c>
      <c r="E10" s="3">
        <f>IF(SUMPRODUCT(1*EXACT('Casillas del horario'!$S$4:$S$73,"Profesor de CA en 10-4"&amp;CHAR(31)&amp;$A10&amp;CHAR(31)&amp;E$3))&gt;1,IF(ISNA(MATCH(1,INDEX(EXACT('Casillas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10-4"&amp;CHAR(31)&amp;$A10&amp;CHAR(31)&amp;E$3)*1,0),0))))&amp;" (+"&amp;(SUMPRODUCT(1*EXACT('Casillas del horario'!$S$4:$S$73,"Profesor de CA en 10-4"&amp;CHAR(31)&amp;$A10&amp;CHAR(31)&amp;E$3))-1)&amp;")",IF(ISNA(MATCH(1,INDEX(EXACT('Casillas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10-4"&amp;CHAR(31)&amp;$A10&amp;CHAR(31)&amp;E$3)*1,0),0)))))</f>
        <v/>
      </c>
      <c r="F10" s="3">
        <f>IF(SUMPRODUCT(1*EXACT('Casillas del horario'!$S$4:$S$73,"Profesor de CA en 10-4"&amp;CHAR(31)&amp;$A10&amp;CHAR(31)&amp;F$3))&gt;1,IF(ISNA(MATCH(1,INDEX(EXACT('Casillas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10-4"&amp;CHAR(31)&amp;$A10&amp;CHAR(31)&amp;F$3)*1,0),0))))&amp;" (+"&amp;(SUMPRODUCT(1*EXACT('Casillas del horario'!$S$4:$S$73,"Profesor de CA en 10-4"&amp;CHAR(31)&amp;$A10&amp;CHAR(31)&amp;F$3))-1)&amp;")",IF(ISNA(MATCH(1,INDEX(EXACT('Casillas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10-4"&amp;CHAR(31)&amp;$A4&amp;CHAR(31)&amp;B$3))&gt;1,IF(ISNA(MATCH(1,INDEX(EXACT('Casillas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10-4"&amp;CHAR(31)&amp;$A4&amp;CHAR(31)&amp;B$3)*1,0),0))))&amp;" (+"&amp;(SUMPRODUCT(1*EXACT('Casillas del horario'!$S$4:$S$73,"Profesor de RD en 10-4"&amp;CHAR(31)&amp;$A4&amp;CHAR(31)&amp;B$3))-1)&amp;")",IF(ISNA(MATCH(1,INDEX(EXACT('Casillas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10-4"&amp;CHAR(31)&amp;$A4&amp;CHAR(31)&amp;B$3)*1,0),0)))))</f>
        <v/>
      </c>
      <c r="C4" s="3">
        <f>IF(SUMPRODUCT(1*EXACT('Casillas del horario'!$S$4:$S$73,"Profesor de RD en 10-4"&amp;CHAR(31)&amp;$A4&amp;CHAR(31)&amp;C$3))&gt;1,IF(ISNA(MATCH(1,INDEX(EXACT('Casillas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10-4"&amp;CHAR(31)&amp;$A4&amp;CHAR(31)&amp;C$3)*1,0),0))))&amp;" (+"&amp;(SUMPRODUCT(1*EXACT('Casillas del horario'!$S$4:$S$73,"Profesor de RD en 10-4"&amp;CHAR(31)&amp;$A4&amp;CHAR(31)&amp;C$3))-1)&amp;")",IF(ISNA(MATCH(1,INDEX(EXACT('Casillas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10-4"&amp;CHAR(31)&amp;$A4&amp;CHAR(31)&amp;C$3)*1,0),0)))))</f>
        <v/>
      </c>
      <c r="D4" s="3">
        <f>IF(SUMPRODUCT(1*EXACT('Casillas del horario'!$S$4:$S$73,"Profesor de RD en 10-4"&amp;CHAR(31)&amp;$A4&amp;CHAR(31)&amp;D$3))&gt;1,IF(ISNA(MATCH(1,INDEX(EXACT('Casillas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10-4"&amp;CHAR(31)&amp;$A4&amp;CHAR(31)&amp;D$3)*1,0),0))))&amp;" (+"&amp;(SUMPRODUCT(1*EXACT('Casillas del horario'!$S$4:$S$73,"Profesor de RD en 10-4"&amp;CHAR(31)&amp;$A4&amp;CHAR(31)&amp;D$3))-1)&amp;")",IF(ISNA(MATCH(1,INDEX(EXACT('Casillas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10-4"&amp;CHAR(31)&amp;$A4&amp;CHAR(31)&amp;D$3)*1,0),0)))))</f>
        <v/>
      </c>
      <c r="E4" s="3">
        <f>IF(SUMPRODUCT(1*EXACT('Casillas del horario'!$S$4:$S$73,"Profesor de RD en 10-4"&amp;CHAR(31)&amp;$A4&amp;CHAR(31)&amp;E$3))&gt;1,IF(ISNA(MATCH(1,INDEX(EXACT('Casillas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10-4"&amp;CHAR(31)&amp;$A4&amp;CHAR(31)&amp;E$3)*1,0),0))))&amp;" (+"&amp;(SUMPRODUCT(1*EXACT('Casillas del horario'!$S$4:$S$73,"Profesor de RD en 10-4"&amp;CHAR(31)&amp;$A4&amp;CHAR(31)&amp;E$3))-1)&amp;")",IF(ISNA(MATCH(1,INDEX(EXACT('Casillas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10-4"&amp;CHAR(31)&amp;$A4&amp;CHAR(31)&amp;E$3)*1,0),0)))))</f>
        <v/>
      </c>
      <c r="F4" s="3">
        <f>IF(SUMPRODUCT(1*EXACT('Casillas del horario'!$S$4:$S$73,"Profesor de RD en 10-4"&amp;CHAR(31)&amp;$A4&amp;CHAR(31)&amp;F$3))&gt;1,IF(ISNA(MATCH(1,INDEX(EXACT('Casillas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10-4"&amp;CHAR(31)&amp;$A4&amp;CHAR(31)&amp;F$3)*1,0),0))))&amp;" (+"&amp;(SUMPRODUCT(1*EXACT('Casillas del horario'!$S$4:$S$73,"Profesor de RD en 10-4"&amp;CHAR(31)&amp;$A4&amp;CHAR(31)&amp;F$3))-1)&amp;")",IF(ISNA(MATCH(1,INDEX(EXACT('Casillas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10-4"&amp;CHAR(31)&amp;$A5&amp;CHAR(31)&amp;B$3))&gt;1,IF(ISNA(MATCH(1,INDEX(EXACT('Casillas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10-4"&amp;CHAR(31)&amp;$A5&amp;CHAR(31)&amp;B$3)*1,0),0))))&amp;" (+"&amp;(SUMPRODUCT(1*EXACT('Casillas del horario'!$S$4:$S$73,"Profesor de RD en 10-4"&amp;CHAR(31)&amp;$A5&amp;CHAR(31)&amp;B$3))-1)&amp;")",IF(ISNA(MATCH(1,INDEX(EXACT('Casillas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10-4"&amp;CHAR(31)&amp;$A5&amp;CHAR(31)&amp;B$3)*1,0),0)))))</f>
        <v/>
      </c>
      <c r="C5" s="3">
        <f>IF(SUMPRODUCT(1*EXACT('Casillas del horario'!$S$4:$S$73,"Profesor de RD en 10-4"&amp;CHAR(31)&amp;$A5&amp;CHAR(31)&amp;C$3))&gt;1,IF(ISNA(MATCH(1,INDEX(EXACT('Casillas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10-4"&amp;CHAR(31)&amp;$A5&amp;CHAR(31)&amp;C$3)*1,0),0))))&amp;" (+"&amp;(SUMPRODUCT(1*EXACT('Casillas del horario'!$S$4:$S$73,"Profesor de RD en 10-4"&amp;CHAR(31)&amp;$A5&amp;CHAR(31)&amp;C$3))-1)&amp;")",IF(ISNA(MATCH(1,INDEX(EXACT('Casillas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10-4"&amp;CHAR(31)&amp;$A5&amp;CHAR(31)&amp;C$3)*1,0),0)))))</f>
        <v/>
      </c>
      <c r="D5" s="3">
        <f>IF(SUMPRODUCT(1*EXACT('Casillas del horario'!$S$4:$S$73,"Profesor de RD en 10-4"&amp;CHAR(31)&amp;$A5&amp;CHAR(31)&amp;D$3))&gt;1,IF(ISNA(MATCH(1,INDEX(EXACT('Casillas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10-4"&amp;CHAR(31)&amp;$A5&amp;CHAR(31)&amp;D$3)*1,0),0))))&amp;" (+"&amp;(SUMPRODUCT(1*EXACT('Casillas del horario'!$S$4:$S$73,"Profesor de RD en 10-4"&amp;CHAR(31)&amp;$A5&amp;CHAR(31)&amp;D$3))-1)&amp;")",IF(ISNA(MATCH(1,INDEX(EXACT('Casillas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10-4"&amp;CHAR(31)&amp;$A5&amp;CHAR(31)&amp;D$3)*1,0),0)))))</f>
        <v/>
      </c>
      <c r="E5" s="3">
        <f>IF(SUMPRODUCT(1*EXACT('Casillas del horario'!$S$4:$S$73,"Profesor de RD en 10-4"&amp;CHAR(31)&amp;$A5&amp;CHAR(31)&amp;E$3))&gt;1,IF(ISNA(MATCH(1,INDEX(EXACT('Casillas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10-4"&amp;CHAR(31)&amp;$A5&amp;CHAR(31)&amp;E$3)*1,0),0))))&amp;" (+"&amp;(SUMPRODUCT(1*EXACT('Casillas del horario'!$S$4:$S$73,"Profesor de RD en 10-4"&amp;CHAR(31)&amp;$A5&amp;CHAR(31)&amp;E$3))-1)&amp;")",IF(ISNA(MATCH(1,INDEX(EXACT('Casillas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10-4"&amp;CHAR(31)&amp;$A5&amp;CHAR(31)&amp;E$3)*1,0),0)))))</f>
        <v/>
      </c>
      <c r="F5" s="3">
        <f>IF(SUMPRODUCT(1*EXACT('Casillas del horario'!$S$4:$S$73,"Profesor de RD en 10-4"&amp;CHAR(31)&amp;$A5&amp;CHAR(31)&amp;F$3))&gt;1,IF(ISNA(MATCH(1,INDEX(EXACT('Casillas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10-4"&amp;CHAR(31)&amp;$A5&amp;CHAR(31)&amp;F$3)*1,0),0))))&amp;" (+"&amp;(SUMPRODUCT(1*EXACT('Casillas del horario'!$S$4:$S$73,"Profesor de RD en 10-4"&amp;CHAR(31)&amp;$A5&amp;CHAR(31)&amp;F$3))-1)&amp;")",IF(ISNA(MATCH(1,INDEX(EXACT('Casillas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10-4"&amp;CHAR(31)&amp;$A6&amp;CHAR(31)&amp;B$3))&gt;1,IF(ISNA(MATCH(1,INDEX(EXACT('Casillas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10-4"&amp;CHAR(31)&amp;$A6&amp;CHAR(31)&amp;B$3)*1,0),0))))&amp;" (+"&amp;(SUMPRODUCT(1*EXACT('Casillas del horario'!$S$4:$S$73,"Profesor de RD en 10-4"&amp;CHAR(31)&amp;$A6&amp;CHAR(31)&amp;B$3))-1)&amp;")",IF(ISNA(MATCH(1,INDEX(EXACT('Casillas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10-4"&amp;CHAR(31)&amp;$A6&amp;CHAR(31)&amp;B$3)*1,0),0)))))</f>
        <v/>
      </c>
      <c r="C6" s="3">
        <f>IF(SUMPRODUCT(1*EXACT('Casillas del horario'!$S$4:$S$73,"Profesor de RD en 10-4"&amp;CHAR(31)&amp;$A6&amp;CHAR(31)&amp;C$3))&gt;1,IF(ISNA(MATCH(1,INDEX(EXACT('Casillas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10-4"&amp;CHAR(31)&amp;$A6&amp;CHAR(31)&amp;C$3)*1,0),0))))&amp;" (+"&amp;(SUMPRODUCT(1*EXACT('Casillas del horario'!$S$4:$S$73,"Profesor de RD en 10-4"&amp;CHAR(31)&amp;$A6&amp;CHAR(31)&amp;C$3))-1)&amp;")",IF(ISNA(MATCH(1,INDEX(EXACT('Casillas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10-4"&amp;CHAR(31)&amp;$A6&amp;CHAR(31)&amp;C$3)*1,0),0)))))</f>
        <v/>
      </c>
      <c r="D6" s="3">
        <f>IF(SUMPRODUCT(1*EXACT('Casillas del horario'!$S$4:$S$73,"Profesor de RD en 10-4"&amp;CHAR(31)&amp;$A6&amp;CHAR(31)&amp;D$3))&gt;1,IF(ISNA(MATCH(1,INDEX(EXACT('Casillas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10-4"&amp;CHAR(31)&amp;$A6&amp;CHAR(31)&amp;D$3)*1,0),0))))&amp;" (+"&amp;(SUMPRODUCT(1*EXACT('Casillas del horario'!$S$4:$S$73,"Profesor de RD en 10-4"&amp;CHAR(31)&amp;$A6&amp;CHAR(31)&amp;D$3))-1)&amp;")",IF(ISNA(MATCH(1,INDEX(EXACT('Casillas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10-4"&amp;CHAR(31)&amp;$A6&amp;CHAR(31)&amp;D$3)*1,0),0)))))</f>
        <v/>
      </c>
      <c r="E6" s="3">
        <f>IF(SUMPRODUCT(1*EXACT('Casillas del horario'!$S$4:$S$73,"Profesor de RD en 10-4"&amp;CHAR(31)&amp;$A6&amp;CHAR(31)&amp;E$3))&gt;1,IF(ISNA(MATCH(1,INDEX(EXACT('Casillas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10-4"&amp;CHAR(31)&amp;$A6&amp;CHAR(31)&amp;E$3)*1,0),0))))&amp;" (+"&amp;(SUMPRODUCT(1*EXACT('Casillas del horario'!$S$4:$S$73,"Profesor de RD en 10-4"&amp;CHAR(31)&amp;$A6&amp;CHAR(31)&amp;E$3))-1)&amp;")",IF(ISNA(MATCH(1,INDEX(EXACT('Casillas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10-4"&amp;CHAR(31)&amp;$A6&amp;CHAR(31)&amp;E$3)*1,0),0)))))</f>
        <v/>
      </c>
      <c r="F6" s="3">
        <f>IF(SUMPRODUCT(1*EXACT('Casillas del horario'!$S$4:$S$73,"Profesor de RD en 10-4"&amp;CHAR(31)&amp;$A6&amp;CHAR(31)&amp;F$3))&gt;1,IF(ISNA(MATCH(1,INDEX(EXACT('Casillas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10-4"&amp;CHAR(31)&amp;$A6&amp;CHAR(31)&amp;F$3)*1,0),0))))&amp;" (+"&amp;(SUMPRODUCT(1*EXACT('Casillas del horario'!$S$4:$S$73,"Profesor de RD en 10-4"&amp;CHAR(31)&amp;$A6&amp;CHAR(31)&amp;F$3))-1)&amp;")",IF(ISNA(MATCH(1,INDEX(EXACT('Casillas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10-4"&amp;CHAR(31)&amp;$A7&amp;CHAR(31)&amp;B$3))&gt;1,IF(ISNA(MATCH(1,INDEX(EXACT('Casillas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10-4"&amp;CHAR(31)&amp;$A7&amp;CHAR(31)&amp;B$3)*1,0),0))))&amp;" (+"&amp;(SUMPRODUCT(1*EXACT('Casillas del horario'!$S$4:$S$73,"Profesor de RD en 10-4"&amp;CHAR(31)&amp;$A7&amp;CHAR(31)&amp;B$3))-1)&amp;")",IF(ISNA(MATCH(1,INDEX(EXACT('Casillas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10-4"&amp;CHAR(31)&amp;$A7&amp;CHAR(31)&amp;B$3)*1,0),0)))))</f>
        <v/>
      </c>
      <c r="C7" s="3">
        <f>IF(SUMPRODUCT(1*EXACT('Casillas del horario'!$S$4:$S$73,"Profesor de RD en 10-4"&amp;CHAR(31)&amp;$A7&amp;CHAR(31)&amp;C$3))&gt;1,IF(ISNA(MATCH(1,INDEX(EXACT('Casillas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10-4"&amp;CHAR(31)&amp;$A7&amp;CHAR(31)&amp;C$3)*1,0),0))))&amp;" (+"&amp;(SUMPRODUCT(1*EXACT('Casillas del horario'!$S$4:$S$73,"Profesor de RD en 10-4"&amp;CHAR(31)&amp;$A7&amp;CHAR(31)&amp;C$3))-1)&amp;")",IF(ISNA(MATCH(1,INDEX(EXACT('Casillas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10-4"&amp;CHAR(31)&amp;$A7&amp;CHAR(31)&amp;C$3)*1,0),0)))))</f>
        <v/>
      </c>
      <c r="D7" s="3">
        <f>IF(SUMPRODUCT(1*EXACT('Casillas del horario'!$S$4:$S$73,"Profesor de RD en 10-4"&amp;CHAR(31)&amp;$A7&amp;CHAR(31)&amp;D$3))&gt;1,IF(ISNA(MATCH(1,INDEX(EXACT('Casillas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10-4"&amp;CHAR(31)&amp;$A7&amp;CHAR(31)&amp;D$3)*1,0),0))))&amp;" (+"&amp;(SUMPRODUCT(1*EXACT('Casillas del horario'!$S$4:$S$73,"Profesor de RD en 10-4"&amp;CHAR(31)&amp;$A7&amp;CHAR(31)&amp;D$3))-1)&amp;")",IF(ISNA(MATCH(1,INDEX(EXACT('Casillas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10-4"&amp;CHAR(31)&amp;$A7&amp;CHAR(31)&amp;D$3)*1,0),0)))))</f>
        <v/>
      </c>
      <c r="E7" s="3">
        <f>IF(SUMPRODUCT(1*EXACT('Casillas del horario'!$S$4:$S$73,"Profesor de RD en 10-4"&amp;CHAR(31)&amp;$A7&amp;CHAR(31)&amp;E$3))&gt;1,IF(ISNA(MATCH(1,INDEX(EXACT('Casillas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10-4"&amp;CHAR(31)&amp;$A7&amp;CHAR(31)&amp;E$3)*1,0),0))))&amp;" (+"&amp;(SUMPRODUCT(1*EXACT('Casillas del horario'!$S$4:$S$73,"Profesor de RD en 10-4"&amp;CHAR(31)&amp;$A7&amp;CHAR(31)&amp;E$3))-1)&amp;")",IF(ISNA(MATCH(1,INDEX(EXACT('Casillas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10-4"&amp;CHAR(31)&amp;$A7&amp;CHAR(31)&amp;E$3)*1,0),0)))))</f>
        <v/>
      </c>
      <c r="F7" s="3">
        <f>IF(SUMPRODUCT(1*EXACT('Casillas del horario'!$S$4:$S$73,"Profesor de RD en 10-4"&amp;CHAR(31)&amp;$A7&amp;CHAR(31)&amp;F$3))&gt;1,IF(ISNA(MATCH(1,INDEX(EXACT('Casillas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10-4"&amp;CHAR(31)&amp;$A7&amp;CHAR(31)&amp;F$3)*1,0),0))))&amp;" (+"&amp;(SUMPRODUCT(1*EXACT('Casillas del horario'!$S$4:$S$73,"Profesor de RD en 10-4"&amp;CHAR(31)&amp;$A7&amp;CHAR(31)&amp;F$3))-1)&amp;")",IF(ISNA(MATCH(1,INDEX(EXACT('Casillas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10-4"&amp;CHAR(31)&amp;$A8&amp;CHAR(31)&amp;B$3))&gt;1,IF(ISNA(MATCH(1,INDEX(EXACT('Casillas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10-4"&amp;CHAR(31)&amp;$A8&amp;CHAR(31)&amp;B$3)*1,0),0))))&amp;" (+"&amp;(SUMPRODUCT(1*EXACT('Casillas del horario'!$S$4:$S$73,"Profesor de RD en 10-4"&amp;CHAR(31)&amp;$A8&amp;CHAR(31)&amp;B$3))-1)&amp;")",IF(ISNA(MATCH(1,INDEX(EXACT('Casillas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10-4"&amp;CHAR(31)&amp;$A8&amp;CHAR(31)&amp;B$3)*1,0),0)))))</f>
        <v/>
      </c>
      <c r="C8" s="3">
        <f>IF(SUMPRODUCT(1*EXACT('Casillas del horario'!$S$4:$S$73,"Profesor de RD en 10-4"&amp;CHAR(31)&amp;$A8&amp;CHAR(31)&amp;C$3))&gt;1,IF(ISNA(MATCH(1,INDEX(EXACT('Casillas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10-4"&amp;CHAR(31)&amp;$A8&amp;CHAR(31)&amp;C$3)*1,0),0))))&amp;" (+"&amp;(SUMPRODUCT(1*EXACT('Casillas del horario'!$S$4:$S$73,"Profesor de RD en 10-4"&amp;CHAR(31)&amp;$A8&amp;CHAR(31)&amp;C$3))-1)&amp;")",IF(ISNA(MATCH(1,INDEX(EXACT('Casillas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10-4"&amp;CHAR(31)&amp;$A8&amp;CHAR(31)&amp;C$3)*1,0),0)))))</f>
        <v/>
      </c>
      <c r="D8" s="3">
        <f>IF(SUMPRODUCT(1*EXACT('Casillas del horario'!$S$4:$S$73,"Profesor de RD en 10-4"&amp;CHAR(31)&amp;$A8&amp;CHAR(31)&amp;D$3))&gt;1,IF(ISNA(MATCH(1,INDEX(EXACT('Casillas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10-4"&amp;CHAR(31)&amp;$A8&amp;CHAR(31)&amp;D$3)*1,0),0))))&amp;" (+"&amp;(SUMPRODUCT(1*EXACT('Casillas del horario'!$S$4:$S$73,"Profesor de RD en 10-4"&amp;CHAR(31)&amp;$A8&amp;CHAR(31)&amp;D$3))-1)&amp;")",IF(ISNA(MATCH(1,INDEX(EXACT('Casillas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10-4"&amp;CHAR(31)&amp;$A8&amp;CHAR(31)&amp;D$3)*1,0),0)))))</f>
        <v/>
      </c>
      <c r="E8" s="3">
        <f>IF(SUMPRODUCT(1*EXACT('Casillas del horario'!$S$4:$S$73,"Profesor de RD en 10-4"&amp;CHAR(31)&amp;$A8&amp;CHAR(31)&amp;E$3))&gt;1,IF(ISNA(MATCH(1,INDEX(EXACT('Casillas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10-4"&amp;CHAR(31)&amp;$A8&amp;CHAR(31)&amp;E$3)*1,0),0))))&amp;" (+"&amp;(SUMPRODUCT(1*EXACT('Casillas del horario'!$S$4:$S$73,"Profesor de RD en 10-4"&amp;CHAR(31)&amp;$A8&amp;CHAR(31)&amp;E$3))-1)&amp;")",IF(ISNA(MATCH(1,INDEX(EXACT('Casillas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10-4"&amp;CHAR(31)&amp;$A8&amp;CHAR(31)&amp;E$3)*1,0),0)))))</f>
        <v/>
      </c>
      <c r="F8" s="3">
        <f>IF(SUMPRODUCT(1*EXACT('Casillas del horario'!$S$4:$S$73,"Profesor de RD en 10-4"&amp;CHAR(31)&amp;$A8&amp;CHAR(31)&amp;F$3))&gt;1,IF(ISNA(MATCH(1,INDEX(EXACT('Casillas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10-4"&amp;CHAR(31)&amp;$A8&amp;CHAR(31)&amp;F$3)*1,0),0))))&amp;" (+"&amp;(SUMPRODUCT(1*EXACT('Casillas del horario'!$S$4:$S$73,"Profesor de RD en 10-4"&amp;CHAR(31)&amp;$A8&amp;CHAR(31)&amp;F$3))-1)&amp;")",IF(ISNA(MATCH(1,INDEX(EXACT('Casillas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10-4"&amp;CHAR(31)&amp;$A9&amp;CHAR(31)&amp;B$3))&gt;1,IF(ISNA(MATCH(1,INDEX(EXACT('Casillas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10-4"&amp;CHAR(31)&amp;$A9&amp;CHAR(31)&amp;B$3)*1,0),0))))&amp;" (+"&amp;(SUMPRODUCT(1*EXACT('Casillas del horario'!$S$4:$S$73,"Profesor de RD en 10-4"&amp;CHAR(31)&amp;$A9&amp;CHAR(31)&amp;B$3))-1)&amp;")",IF(ISNA(MATCH(1,INDEX(EXACT('Casillas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10-4"&amp;CHAR(31)&amp;$A9&amp;CHAR(31)&amp;B$3)*1,0),0)))))</f>
        <v/>
      </c>
      <c r="C9" s="3">
        <f>IF(SUMPRODUCT(1*EXACT('Casillas del horario'!$S$4:$S$73,"Profesor de RD en 10-4"&amp;CHAR(31)&amp;$A9&amp;CHAR(31)&amp;C$3))&gt;1,IF(ISNA(MATCH(1,INDEX(EXACT('Casillas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10-4"&amp;CHAR(31)&amp;$A9&amp;CHAR(31)&amp;C$3)*1,0),0))))&amp;" (+"&amp;(SUMPRODUCT(1*EXACT('Casillas del horario'!$S$4:$S$73,"Profesor de RD en 10-4"&amp;CHAR(31)&amp;$A9&amp;CHAR(31)&amp;C$3))-1)&amp;")",IF(ISNA(MATCH(1,INDEX(EXACT('Casillas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10-4"&amp;CHAR(31)&amp;$A9&amp;CHAR(31)&amp;C$3)*1,0),0)))))</f>
        <v/>
      </c>
      <c r="D9" s="3">
        <f>IF(SUMPRODUCT(1*EXACT('Casillas del horario'!$S$4:$S$73,"Profesor de RD en 10-4"&amp;CHAR(31)&amp;$A9&amp;CHAR(31)&amp;D$3))&gt;1,IF(ISNA(MATCH(1,INDEX(EXACT('Casillas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10-4"&amp;CHAR(31)&amp;$A9&amp;CHAR(31)&amp;D$3)*1,0),0))))&amp;" (+"&amp;(SUMPRODUCT(1*EXACT('Casillas del horario'!$S$4:$S$73,"Profesor de RD en 10-4"&amp;CHAR(31)&amp;$A9&amp;CHAR(31)&amp;D$3))-1)&amp;")",IF(ISNA(MATCH(1,INDEX(EXACT('Casillas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10-4"&amp;CHAR(31)&amp;$A9&amp;CHAR(31)&amp;D$3)*1,0),0)))))</f>
        <v/>
      </c>
      <c r="E9" s="3">
        <f>IF(SUMPRODUCT(1*EXACT('Casillas del horario'!$S$4:$S$73,"Profesor de RD en 10-4"&amp;CHAR(31)&amp;$A9&amp;CHAR(31)&amp;E$3))&gt;1,IF(ISNA(MATCH(1,INDEX(EXACT('Casillas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10-4"&amp;CHAR(31)&amp;$A9&amp;CHAR(31)&amp;E$3)*1,0),0))))&amp;" (+"&amp;(SUMPRODUCT(1*EXACT('Casillas del horario'!$S$4:$S$73,"Profesor de RD en 10-4"&amp;CHAR(31)&amp;$A9&amp;CHAR(31)&amp;E$3))-1)&amp;")",IF(ISNA(MATCH(1,INDEX(EXACT('Casillas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10-4"&amp;CHAR(31)&amp;$A9&amp;CHAR(31)&amp;E$3)*1,0),0)))))</f>
        <v/>
      </c>
      <c r="F9" s="3">
        <f>IF(SUMPRODUCT(1*EXACT('Casillas del horario'!$S$4:$S$73,"Profesor de RD en 10-4"&amp;CHAR(31)&amp;$A9&amp;CHAR(31)&amp;F$3))&gt;1,IF(ISNA(MATCH(1,INDEX(EXACT('Casillas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10-4"&amp;CHAR(31)&amp;$A9&amp;CHAR(31)&amp;F$3)*1,0),0))))&amp;" (+"&amp;(SUMPRODUCT(1*EXACT('Casillas del horario'!$S$4:$S$73,"Profesor de RD en 10-4"&amp;CHAR(31)&amp;$A9&amp;CHAR(31)&amp;F$3))-1)&amp;")",IF(ISNA(MATCH(1,INDEX(EXACT('Casillas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10-4"&amp;CHAR(31)&amp;$A10&amp;CHAR(31)&amp;B$3))&gt;1,IF(ISNA(MATCH(1,INDEX(EXACT('Casillas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10-4"&amp;CHAR(31)&amp;$A10&amp;CHAR(31)&amp;B$3)*1,0),0))))&amp;" (+"&amp;(SUMPRODUCT(1*EXACT('Casillas del horario'!$S$4:$S$73,"Profesor de RD en 10-4"&amp;CHAR(31)&amp;$A10&amp;CHAR(31)&amp;B$3))-1)&amp;")",IF(ISNA(MATCH(1,INDEX(EXACT('Casillas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10-4"&amp;CHAR(31)&amp;$A10&amp;CHAR(31)&amp;B$3)*1,0),0)))))</f>
        <v/>
      </c>
      <c r="C10" s="3">
        <f>IF(SUMPRODUCT(1*EXACT('Casillas del horario'!$S$4:$S$73,"Profesor de RD en 10-4"&amp;CHAR(31)&amp;$A10&amp;CHAR(31)&amp;C$3))&gt;1,IF(ISNA(MATCH(1,INDEX(EXACT('Casillas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10-4"&amp;CHAR(31)&amp;$A10&amp;CHAR(31)&amp;C$3)*1,0),0))))&amp;" (+"&amp;(SUMPRODUCT(1*EXACT('Casillas del horario'!$S$4:$S$73,"Profesor de RD en 10-4"&amp;CHAR(31)&amp;$A10&amp;CHAR(31)&amp;C$3))-1)&amp;")",IF(ISNA(MATCH(1,INDEX(EXACT('Casillas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10-4"&amp;CHAR(31)&amp;$A10&amp;CHAR(31)&amp;C$3)*1,0),0)))))</f>
        <v/>
      </c>
      <c r="D10" s="3">
        <f>IF(SUMPRODUCT(1*EXACT('Casillas del horario'!$S$4:$S$73,"Profesor de RD en 10-4"&amp;CHAR(31)&amp;$A10&amp;CHAR(31)&amp;D$3))&gt;1,IF(ISNA(MATCH(1,INDEX(EXACT('Casillas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10-4"&amp;CHAR(31)&amp;$A10&amp;CHAR(31)&amp;D$3)*1,0),0))))&amp;" (+"&amp;(SUMPRODUCT(1*EXACT('Casillas del horario'!$S$4:$S$73,"Profesor de RD en 10-4"&amp;CHAR(31)&amp;$A10&amp;CHAR(31)&amp;D$3))-1)&amp;")",IF(ISNA(MATCH(1,INDEX(EXACT('Casillas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10-4"&amp;CHAR(31)&amp;$A10&amp;CHAR(31)&amp;D$3)*1,0),0)))))</f>
        <v/>
      </c>
      <c r="E10" s="3">
        <f>IF(SUMPRODUCT(1*EXACT('Casillas del horario'!$S$4:$S$73,"Profesor de RD en 10-4"&amp;CHAR(31)&amp;$A10&amp;CHAR(31)&amp;E$3))&gt;1,IF(ISNA(MATCH(1,INDEX(EXACT('Casillas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10-4"&amp;CHAR(31)&amp;$A10&amp;CHAR(31)&amp;E$3)*1,0),0))))&amp;" (+"&amp;(SUMPRODUCT(1*EXACT('Casillas del horario'!$S$4:$S$73,"Profesor de RD en 10-4"&amp;CHAR(31)&amp;$A10&amp;CHAR(31)&amp;E$3))-1)&amp;")",IF(ISNA(MATCH(1,INDEX(EXACT('Casillas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10-4"&amp;CHAR(31)&amp;$A10&amp;CHAR(31)&amp;E$3)*1,0),0)))))</f>
        <v/>
      </c>
      <c r="F10" s="3">
        <f>IF(SUMPRODUCT(1*EXACT('Casillas del horario'!$S$4:$S$73,"Profesor de RD en 10-4"&amp;CHAR(31)&amp;$A10&amp;CHAR(31)&amp;F$3))&gt;1,IF(ISNA(MATCH(1,INDEX(EXACT('Casillas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10-4"&amp;CHAR(31)&amp;$A10&amp;CHAR(31)&amp;F$3)*1,0),0))))&amp;" (+"&amp;(SUMPRODUCT(1*EXACT('Casillas del horario'!$S$4:$S$73,"Profesor de RD en 10-4"&amp;CHAR(31)&amp;$A10&amp;CHAR(31)&amp;F$3))-1)&amp;")",IF(ISNA(MATCH(1,INDEX(EXACT('Casillas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10-4"&amp;CHAR(31)&amp;$A4&amp;CHAR(31)&amp;B$3))&gt;1,IF(ISNA(MATCH(1,INDEX(EXACT('Casillas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10-4"&amp;CHAR(31)&amp;$A4&amp;CHAR(31)&amp;B$3)*1,0),0))))&amp;" (+"&amp;(SUMPRODUCT(1*EXACT('Casillas del horario'!$S$4:$S$73,"Profesor de AL/AC en 10-4"&amp;CHAR(31)&amp;$A4&amp;CHAR(31)&amp;B$3))-1)&amp;")",IF(ISNA(MATCH(1,INDEX(EXACT('Casillas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10-4"&amp;CHAR(31)&amp;$A4&amp;CHAR(31)&amp;B$3)*1,0),0)))))</f>
        <v/>
      </c>
      <c r="C4" s="3">
        <f>IF(SUMPRODUCT(1*EXACT('Casillas del horario'!$S$4:$S$73,"Profesor de AL/AC en 10-4"&amp;CHAR(31)&amp;$A4&amp;CHAR(31)&amp;C$3))&gt;1,IF(ISNA(MATCH(1,INDEX(EXACT('Casillas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10-4"&amp;CHAR(31)&amp;$A4&amp;CHAR(31)&amp;C$3)*1,0),0))))&amp;" (+"&amp;(SUMPRODUCT(1*EXACT('Casillas del horario'!$S$4:$S$73,"Profesor de AL/AC en 10-4"&amp;CHAR(31)&amp;$A4&amp;CHAR(31)&amp;C$3))-1)&amp;")",IF(ISNA(MATCH(1,INDEX(EXACT('Casillas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10-4"&amp;CHAR(31)&amp;$A4&amp;CHAR(31)&amp;C$3)*1,0),0)))))</f>
        <v/>
      </c>
      <c r="D4" s="3">
        <f>IF(SUMPRODUCT(1*EXACT('Casillas del horario'!$S$4:$S$73,"Profesor de AL/AC en 10-4"&amp;CHAR(31)&amp;$A4&amp;CHAR(31)&amp;D$3))&gt;1,IF(ISNA(MATCH(1,INDEX(EXACT('Casillas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10-4"&amp;CHAR(31)&amp;$A4&amp;CHAR(31)&amp;D$3)*1,0),0))))&amp;" (+"&amp;(SUMPRODUCT(1*EXACT('Casillas del horario'!$S$4:$S$73,"Profesor de AL/AC en 10-4"&amp;CHAR(31)&amp;$A4&amp;CHAR(31)&amp;D$3))-1)&amp;")",IF(ISNA(MATCH(1,INDEX(EXACT('Casillas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10-4"&amp;CHAR(31)&amp;$A4&amp;CHAR(31)&amp;D$3)*1,0),0)))))</f>
        <v/>
      </c>
      <c r="E4" s="3">
        <f>IF(SUMPRODUCT(1*EXACT('Casillas del horario'!$S$4:$S$73,"Profesor de AL/AC en 10-4"&amp;CHAR(31)&amp;$A4&amp;CHAR(31)&amp;E$3))&gt;1,IF(ISNA(MATCH(1,INDEX(EXACT('Casillas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10-4"&amp;CHAR(31)&amp;$A4&amp;CHAR(31)&amp;E$3)*1,0),0))))&amp;" (+"&amp;(SUMPRODUCT(1*EXACT('Casillas del horario'!$S$4:$S$73,"Profesor de AL/AC en 10-4"&amp;CHAR(31)&amp;$A4&amp;CHAR(31)&amp;E$3))-1)&amp;")",IF(ISNA(MATCH(1,INDEX(EXACT('Casillas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10-4"&amp;CHAR(31)&amp;$A4&amp;CHAR(31)&amp;E$3)*1,0),0)))))</f>
        <v/>
      </c>
      <c r="F4" s="3">
        <f>IF(SUMPRODUCT(1*EXACT('Casillas del horario'!$S$4:$S$73,"Profesor de AL/AC en 10-4"&amp;CHAR(31)&amp;$A4&amp;CHAR(31)&amp;F$3))&gt;1,IF(ISNA(MATCH(1,INDEX(EXACT('Casillas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10-4"&amp;CHAR(31)&amp;$A4&amp;CHAR(31)&amp;F$3)*1,0),0))))&amp;" (+"&amp;(SUMPRODUCT(1*EXACT('Casillas del horario'!$S$4:$S$73,"Profesor de AL/AC en 10-4"&amp;CHAR(31)&amp;$A4&amp;CHAR(31)&amp;F$3))-1)&amp;")",IF(ISNA(MATCH(1,INDEX(EXACT('Casillas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10-4"&amp;CHAR(31)&amp;$A5&amp;CHAR(31)&amp;B$3))&gt;1,IF(ISNA(MATCH(1,INDEX(EXACT('Casillas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10-4"&amp;CHAR(31)&amp;$A5&amp;CHAR(31)&amp;B$3)*1,0),0))))&amp;" (+"&amp;(SUMPRODUCT(1*EXACT('Casillas del horario'!$S$4:$S$73,"Profesor de AL/AC en 10-4"&amp;CHAR(31)&amp;$A5&amp;CHAR(31)&amp;B$3))-1)&amp;")",IF(ISNA(MATCH(1,INDEX(EXACT('Casillas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10-4"&amp;CHAR(31)&amp;$A5&amp;CHAR(31)&amp;B$3)*1,0),0)))))</f>
        <v/>
      </c>
      <c r="C5" s="3">
        <f>IF(SUMPRODUCT(1*EXACT('Casillas del horario'!$S$4:$S$73,"Profesor de AL/AC en 10-4"&amp;CHAR(31)&amp;$A5&amp;CHAR(31)&amp;C$3))&gt;1,IF(ISNA(MATCH(1,INDEX(EXACT('Casillas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10-4"&amp;CHAR(31)&amp;$A5&amp;CHAR(31)&amp;C$3)*1,0),0))))&amp;" (+"&amp;(SUMPRODUCT(1*EXACT('Casillas del horario'!$S$4:$S$73,"Profesor de AL/AC en 10-4"&amp;CHAR(31)&amp;$A5&amp;CHAR(31)&amp;C$3))-1)&amp;")",IF(ISNA(MATCH(1,INDEX(EXACT('Casillas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10-4"&amp;CHAR(31)&amp;$A5&amp;CHAR(31)&amp;C$3)*1,0),0)))))</f>
        <v/>
      </c>
      <c r="D5" s="3">
        <f>IF(SUMPRODUCT(1*EXACT('Casillas del horario'!$S$4:$S$73,"Profesor de AL/AC en 10-4"&amp;CHAR(31)&amp;$A5&amp;CHAR(31)&amp;D$3))&gt;1,IF(ISNA(MATCH(1,INDEX(EXACT('Casillas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10-4"&amp;CHAR(31)&amp;$A5&amp;CHAR(31)&amp;D$3)*1,0),0))))&amp;" (+"&amp;(SUMPRODUCT(1*EXACT('Casillas del horario'!$S$4:$S$73,"Profesor de AL/AC en 10-4"&amp;CHAR(31)&amp;$A5&amp;CHAR(31)&amp;D$3))-1)&amp;")",IF(ISNA(MATCH(1,INDEX(EXACT('Casillas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10-4"&amp;CHAR(31)&amp;$A5&amp;CHAR(31)&amp;D$3)*1,0),0)))))</f>
        <v/>
      </c>
      <c r="E5" s="3">
        <f>IF(SUMPRODUCT(1*EXACT('Casillas del horario'!$S$4:$S$73,"Profesor de AL/AC en 10-4"&amp;CHAR(31)&amp;$A5&amp;CHAR(31)&amp;E$3))&gt;1,IF(ISNA(MATCH(1,INDEX(EXACT('Casillas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10-4"&amp;CHAR(31)&amp;$A5&amp;CHAR(31)&amp;E$3)*1,0),0))))&amp;" (+"&amp;(SUMPRODUCT(1*EXACT('Casillas del horario'!$S$4:$S$73,"Profesor de AL/AC en 10-4"&amp;CHAR(31)&amp;$A5&amp;CHAR(31)&amp;E$3))-1)&amp;")",IF(ISNA(MATCH(1,INDEX(EXACT('Casillas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10-4"&amp;CHAR(31)&amp;$A5&amp;CHAR(31)&amp;E$3)*1,0),0)))))</f>
        <v/>
      </c>
      <c r="F5" s="3">
        <f>IF(SUMPRODUCT(1*EXACT('Casillas del horario'!$S$4:$S$73,"Profesor de AL/AC en 10-4"&amp;CHAR(31)&amp;$A5&amp;CHAR(31)&amp;F$3))&gt;1,IF(ISNA(MATCH(1,INDEX(EXACT('Casillas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10-4"&amp;CHAR(31)&amp;$A5&amp;CHAR(31)&amp;F$3)*1,0),0))))&amp;" (+"&amp;(SUMPRODUCT(1*EXACT('Casillas del horario'!$S$4:$S$73,"Profesor de AL/AC en 10-4"&amp;CHAR(31)&amp;$A5&amp;CHAR(31)&amp;F$3))-1)&amp;")",IF(ISNA(MATCH(1,INDEX(EXACT('Casillas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10-4"&amp;CHAR(31)&amp;$A6&amp;CHAR(31)&amp;B$3))&gt;1,IF(ISNA(MATCH(1,INDEX(EXACT('Casillas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10-4"&amp;CHAR(31)&amp;$A6&amp;CHAR(31)&amp;B$3)*1,0),0))))&amp;" (+"&amp;(SUMPRODUCT(1*EXACT('Casillas del horario'!$S$4:$S$73,"Profesor de AL/AC en 10-4"&amp;CHAR(31)&amp;$A6&amp;CHAR(31)&amp;B$3))-1)&amp;")",IF(ISNA(MATCH(1,INDEX(EXACT('Casillas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10-4"&amp;CHAR(31)&amp;$A6&amp;CHAR(31)&amp;B$3)*1,0),0)))))</f>
        <v/>
      </c>
      <c r="C6" s="3">
        <f>IF(SUMPRODUCT(1*EXACT('Casillas del horario'!$S$4:$S$73,"Profesor de AL/AC en 10-4"&amp;CHAR(31)&amp;$A6&amp;CHAR(31)&amp;C$3))&gt;1,IF(ISNA(MATCH(1,INDEX(EXACT('Casillas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10-4"&amp;CHAR(31)&amp;$A6&amp;CHAR(31)&amp;C$3)*1,0),0))))&amp;" (+"&amp;(SUMPRODUCT(1*EXACT('Casillas del horario'!$S$4:$S$73,"Profesor de AL/AC en 10-4"&amp;CHAR(31)&amp;$A6&amp;CHAR(31)&amp;C$3))-1)&amp;")",IF(ISNA(MATCH(1,INDEX(EXACT('Casillas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10-4"&amp;CHAR(31)&amp;$A6&amp;CHAR(31)&amp;C$3)*1,0),0)))))</f>
        <v/>
      </c>
      <c r="D6" s="3">
        <f>IF(SUMPRODUCT(1*EXACT('Casillas del horario'!$S$4:$S$73,"Profesor de AL/AC en 10-4"&amp;CHAR(31)&amp;$A6&amp;CHAR(31)&amp;D$3))&gt;1,IF(ISNA(MATCH(1,INDEX(EXACT('Casillas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10-4"&amp;CHAR(31)&amp;$A6&amp;CHAR(31)&amp;D$3)*1,0),0))))&amp;" (+"&amp;(SUMPRODUCT(1*EXACT('Casillas del horario'!$S$4:$S$73,"Profesor de AL/AC en 10-4"&amp;CHAR(31)&amp;$A6&amp;CHAR(31)&amp;D$3))-1)&amp;")",IF(ISNA(MATCH(1,INDEX(EXACT('Casillas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10-4"&amp;CHAR(31)&amp;$A6&amp;CHAR(31)&amp;D$3)*1,0),0)))))</f>
        <v/>
      </c>
      <c r="E6" s="3">
        <f>IF(SUMPRODUCT(1*EXACT('Casillas del horario'!$S$4:$S$73,"Profesor de AL/AC en 10-4"&amp;CHAR(31)&amp;$A6&amp;CHAR(31)&amp;E$3))&gt;1,IF(ISNA(MATCH(1,INDEX(EXACT('Casillas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10-4"&amp;CHAR(31)&amp;$A6&amp;CHAR(31)&amp;E$3)*1,0),0))))&amp;" (+"&amp;(SUMPRODUCT(1*EXACT('Casillas del horario'!$S$4:$S$73,"Profesor de AL/AC en 10-4"&amp;CHAR(31)&amp;$A6&amp;CHAR(31)&amp;E$3))-1)&amp;")",IF(ISNA(MATCH(1,INDEX(EXACT('Casillas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10-4"&amp;CHAR(31)&amp;$A6&amp;CHAR(31)&amp;E$3)*1,0),0)))))</f>
        <v/>
      </c>
      <c r="F6" s="3">
        <f>IF(SUMPRODUCT(1*EXACT('Casillas del horario'!$S$4:$S$73,"Profesor de AL/AC en 10-4"&amp;CHAR(31)&amp;$A6&amp;CHAR(31)&amp;F$3))&gt;1,IF(ISNA(MATCH(1,INDEX(EXACT('Casillas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10-4"&amp;CHAR(31)&amp;$A6&amp;CHAR(31)&amp;F$3)*1,0),0))))&amp;" (+"&amp;(SUMPRODUCT(1*EXACT('Casillas del horario'!$S$4:$S$73,"Profesor de AL/AC en 10-4"&amp;CHAR(31)&amp;$A6&amp;CHAR(31)&amp;F$3))-1)&amp;")",IF(ISNA(MATCH(1,INDEX(EXACT('Casillas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10-4"&amp;CHAR(31)&amp;$A7&amp;CHAR(31)&amp;B$3))&gt;1,IF(ISNA(MATCH(1,INDEX(EXACT('Casillas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10-4"&amp;CHAR(31)&amp;$A7&amp;CHAR(31)&amp;B$3)*1,0),0))))&amp;" (+"&amp;(SUMPRODUCT(1*EXACT('Casillas del horario'!$S$4:$S$73,"Profesor de AL/AC en 10-4"&amp;CHAR(31)&amp;$A7&amp;CHAR(31)&amp;B$3))-1)&amp;")",IF(ISNA(MATCH(1,INDEX(EXACT('Casillas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10-4"&amp;CHAR(31)&amp;$A7&amp;CHAR(31)&amp;B$3)*1,0),0)))))</f>
        <v/>
      </c>
      <c r="C7" s="3">
        <f>IF(SUMPRODUCT(1*EXACT('Casillas del horario'!$S$4:$S$73,"Profesor de AL/AC en 10-4"&amp;CHAR(31)&amp;$A7&amp;CHAR(31)&amp;C$3))&gt;1,IF(ISNA(MATCH(1,INDEX(EXACT('Casillas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10-4"&amp;CHAR(31)&amp;$A7&amp;CHAR(31)&amp;C$3)*1,0),0))))&amp;" (+"&amp;(SUMPRODUCT(1*EXACT('Casillas del horario'!$S$4:$S$73,"Profesor de AL/AC en 10-4"&amp;CHAR(31)&amp;$A7&amp;CHAR(31)&amp;C$3))-1)&amp;")",IF(ISNA(MATCH(1,INDEX(EXACT('Casillas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10-4"&amp;CHAR(31)&amp;$A7&amp;CHAR(31)&amp;C$3)*1,0),0)))))</f>
        <v/>
      </c>
      <c r="D7" s="3">
        <f>IF(SUMPRODUCT(1*EXACT('Casillas del horario'!$S$4:$S$73,"Profesor de AL/AC en 10-4"&amp;CHAR(31)&amp;$A7&amp;CHAR(31)&amp;D$3))&gt;1,IF(ISNA(MATCH(1,INDEX(EXACT('Casillas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10-4"&amp;CHAR(31)&amp;$A7&amp;CHAR(31)&amp;D$3)*1,0),0))))&amp;" (+"&amp;(SUMPRODUCT(1*EXACT('Casillas del horario'!$S$4:$S$73,"Profesor de AL/AC en 10-4"&amp;CHAR(31)&amp;$A7&amp;CHAR(31)&amp;D$3))-1)&amp;")",IF(ISNA(MATCH(1,INDEX(EXACT('Casillas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10-4"&amp;CHAR(31)&amp;$A7&amp;CHAR(31)&amp;D$3)*1,0),0)))))</f>
        <v/>
      </c>
      <c r="E7" s="3">
        <f>IF(SUMPRODUCT(1*EXACT('Casillas del horario'!$S$4:$S$73,"Profesor de AL/AC en 10-4"&amp;CHAR(31)&amp;$A7&amp;CHAR(31)&amp;E$3))&gt;1,IF(ISNA(MATCH(1,INDEX(EXACT('Casillas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10-4"&amp;CHAR(31)&amp;$A7&amp;CHAR(31)&amp;E$3)*1,0),0))))&amp;" (+"&amp;(SUMPRODUCT(1*EXACT('Casillas del horario'!$S$4:$S$73,"Profesor de AL/AC en 10-4"&amp;CHAR(31)&amp;$A7&amp;CHAR(31)&amp;E$3))-1)&amp;")",IF(ISNA(MATCH(1,INDEX(EXACT('Casillas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10-4"&amp;CHAR(31)&amp;$A7&amp;CHAR(31)&amp;E$3)*1,0),0)))))</f>
        <v/>
      </c>
      <c r="F7" s="3">
        <f>IF(SUMPRODUCT(1*EXACT('Casillas del horario'!$S$4:$S$73,"Profesor de AL/AC en 10-4"&amp;CHAR(31)&amp;$A7&amp;CHAR(31)&amp;F$3))&gt;1,IF(ISNA(MATCH(1,INDEX(EXACT('Casillas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10-4"&amp;CHAR(31)&amp;$A7&amp;CHAR(31)&amp;F$3)*1,0),0))))&amp;" (+"&amp;(SUMPRODUCT(1*EXACT('Casillas del horario'!$S$4:$S$73,"Profesor de AL/AC en 10-4"&amp;CHAR(31)&amp;$A7&amp;CHAR(31)&amp;F$3))-1)&amp;")",IF(ISNA(MATCH(1,INDEX(EXACT('Casillas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10-4"&amp;CHAR(31)&amp;$A8&amp;CHAR(31)&amp;B$3))&gt;1,IF(ISNA(MATCH(1,INDEX(EXACT('Casillas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10-4"&amp;CHAR(31)&amp;$A8&amp;CHAR(31)&amp;B$3)*1,0),0))))&amp;" (+"&amp;(SUMPRODUCT(1*EXACT('Casillas del horario'!$S$4:$S$73,"Profesor de AL/AC en 10-4"&amp;CHAR(31)&amp;$A8&amp;CHAR(31)&amp;B$3))-1)&amp;")",IF(ISNA(MATCH(1,INDEX(EXACT('Casillas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10-4"&amp;CHAR(31)&amp;$A8&amp;CHAR(31)&amp;B$3)*1,0),0)))))</f>
        <v/>
      </c>
      <c r="C8" s="3">
        <f>IF(SUMPRODUCT(1*EXACT('Casillas del horario'!$S$4:$S$73,"Profesor de AL/AC en 10-4"&amp;CHAR(31)&amp;$A8&amp;CHAR(31)&amp;C$3))&gt;1,IF(ISNA(MATCH(1,INDEX(EXACT('Casillas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10-4"&amp;CHAR(31)&amp;$A8&amp;CHAR(31)&amp;C$3)*1,0),0))))&amp;" (+"&amp;(SUMPRODUCT(1*EXACT('Casillas del horario'!$S$4:$S$73,"Profesor de AL/AC en 10-4"&amp;CHAR(31)&amp;$A8&amp;CHAR(31)&amp;C$3))-1)&amp;")",IF(ISNA(MATCH(1,INDEX(EXACT('Casillas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10-4"&amp;CHAR(31)&amp;$A8&amp;CHAR(31)&amp;C$3)*1,0),0)))))</f>
        <v/>
      </c>
      <c r="D8" s="3">
        <f>IF(SUMPRODUCT(1*EXACT('Casillas del horario'!$S$4:$S$73,"Profesor de AL/AC en 10-4"&amp;CHAR(31)&amp;$A8&amp;CHAR(31)&amp;D$3))&gt;1,IF(ISNA(MATCH(1,INDEX(EXACT('Casillas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10-4"&amp;CHAR(31)&amp;$A8&amp;CHAR(31)&amp;D$3)*1,0),0))))&amp;" (+"&amp;(SUMPRODUCT(1*EXACT('Casillas del horario'!$S$4:$S$73,"Profesor de AL/AC en 10-4"&amp;CHAR(31)&amp;$A8&amp;CHAR(31)&amp;D$3))-1)&amp;")",IF(ISNA(MATCH(1,INDEX(EXACT('Casillas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10-4"&amp;CHAR(31)&amp;$A8&amp;CHAR(31)&amp;D$3)*1,0),0)))))</f>
        <v/>
      </c>
      <c r="E8" s="3">
        <f>IF(SUMPRODUCT(1*EXACT('Casillas del horario'!$S$4:$S$73,"Profesor de AL/AC en 10-4"&amp;CHAR(31)&amp;$A8&amp;CHAR(31)&amp;E$3))&gt;1,IF(ISNA(MATCH(1,INDEX(EXACT('Casillas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10-4"&amp;CHAR(31)&amp;$A8&amp;CHAR(31)&amp;E$3)*1,0),0))))&amp;" (+"&amp;(SUMPRODUCT(1*EXACT('Casillas del horario'!$S$4:$S$73,"Profesor de AL/AC en 10-4"&amp;CHAR(31)&amp;$A8&amp;CHAR(31)&amp;E$3))-1)&amp;")",IF(ISNA(MATCH(1,INDEX(EXACT('Casillas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10-4"&amp;CHAR(31)&amp;$A8&amp;CHAR(31)&amp;E$3)*1,0),0)))))</f>
        <v/>
      </c>
      <c r="F8" s="3">
        <f>IF(SUMPRODUCT(1*EXACT('Casillas del horario'!$S$4:$S$73,"Profesor de AL/AC en 10-4"&amp;CHAR(31)&amp;$A8&amp;CHAR(31)&amp;F$3))&gt;1,IF(ISNA(MATCH(1,INDEX(EXACT('Casillas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10-4"&amp;CHAR(31)&amp;$A8&amp;CHAR(31)&amp;F$3)*1,0),0))))&amp;" (+"&amp;(SUMPRODUCT(1*EXACT('Casillas del horario'!$S$4:$S$73,"Profesor de AL/AC en 10-4"&amp;CHAR(31)&amp;$A8&amp;CHAR(31)&amp;F$3))-1)&amp;")",IF(ISNA(MATCH(1,INDEX(EXACT('Casillas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10-4"&amp;CHAR(31)&amp;$A9&amp;CHAR(31)&amp;B$3))&gt;1,IF(ISNA(MATCH(1,INDEX(EXACT('Casillas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10-4"&amp;CHAR(31)&amp;$A9&amp;CHAR(31)&amp;B$3)*1,0),0))))&amp;" (+"&amp;(SUMPRODUCT(1*EXACT('Casillas del horario'!$S$4:$S$73,"Profesor de AL/AC en 10-4"&amp;CHAR(31)&amp;$A9&amp;CHAR(31)&amp;B$3))-1)&amp;")",IF(ISNA(MATCH(1,INDEX(EXACT('Casillas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10-4"&amp;CHAR(31)&amp;$A9&amp;CHAR(31)&amp;B$3)*1,0),0)))))</f>
        <v/>
      </c>
      <c r="C9" s="3">
        <f>IF(SUMPRODUCT(1*EXACT('Casillas del horario'!$S$4:$S$73,"Profesor de AL/AC en 10-4"&amp;CHAR(31)&amp;$A9&amp;CHAR(31)&amp;C$3))&gt;1,IF(ISNA(MATCH(1,INDEX(EXACT('Casillas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10-4"&amp;CHAR(31)&amp;$A9&amp;CHAR(31)&amp;C$3)*1,0),0))))&amp;" (+"&amp;(SUMPRODUCT(1*EXACT('Casillas del horario'!$S$4:$S$73,"Profesor de AL/AC en 10-4"&amp;CHAR(31)&amp;$A9&amp;CHAR(31)&amp;C$3))-1)&amp;")",IF(ISNA(MATCH(1,INDEX(EXACT('Casillas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10-4"&amp;CHAR(31)&amp;$A9&amp;CHAR(31)&amp;C$3)*1,0),0)))))</f>
        <v/>
      </c>
      <c r="D9" s="3">
        <f>IF(SUMPRODUCT(1*EXACT('Casillas del horario'!$S$4:$S$73,"Profesor de AL/AC en 10-4"&amp;CHAR(31)&amp;$A9&amp;CHAR(31)&amp;D$3))&gt;1,IF(ISNA(MATCH(1,INDEX(EXACT('Casillas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10-4"&amp;CHAR(31)&amp;$A9&amp;CHAR(31)&amp;D$3)*1,0),0))))&amp;" (+"&amp;(SUMPRODUCT(1*EXACT('Casillas del horario'!$S$4:$S$73,"Profesor de AL/AC en 10-4"&amp;CHAR(31)&amp;$A9&amp;CHAR(31)&amp;D$3))-1)&amp;")",IF(ISNA(MATCH(1,INDEX(EXACT('Casillas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10-4"&amp;CHAR(31)&amp;$A9&amp;CHAR(31)&amp;D$3)*1,0),0)))))</f>
        <v/>
      </c>
      <c r="E9" s="3">
        <f>IF(SUMPRODUCT(1*EXACT('Casillas del horario'!$S$4:$S$73,"Profesor de AL/AC en 10-4"&amp;CHAR(31)&amp;$A9&amp;CHAR(31)&amp;E$3))&gt;1,IF(ISNA(MATCH(1,INDEX(EXACT('Casillas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10-4"&amp;CHAR(31)&amp;$A9&amp;CHAR(31)&amp;E$3)*1,0),0))))&amp;" (+"&amp;(SUMPRODUCT(1*EXACT('Casillas del horario'!$S$4:$S$73,"Profesor de AL/AC en 10-4"&amp;CHAR(31)&amp;$A9&amp;CHAR(31)&amp;E$3))-1)&amp;")",IF(ISNA(MATCH(1,INDEX(EXACT('Casillas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10-4"&amp;CHAR(31)&amp;$A9&amp;CHAR(31)&amp;E$3)*1,0),0)))))</f>
        <v/>
      </c>
      <c r="F9" s="3">
        <f>IF(SUMPRODUCT(1*EXACT('Casillas del horario'!$S$4:$S$73,"Profesor de AL/AC en 10-4"&amp;CHAR(31)&amp;$A9&amp;CHAR(31)&amp;F$3))&gt;1,IF(ISNA(MATCH(1,INDEX(EXACT('Casillas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10-4"&amp;CHAR(31)&amp;$A9&amp;CHAR(31)&amp;F$3)*1,0),0))))&amp;" (+"&amp;(SUMPRODUCT(1*EXACT('Casillas del horario'!$S$4:$S$73,"Profesor de AL/AC en 10-4"&amp;CHAR(31)&amp;$A9&amp;CHAR(31)&amp;F$3))-1)&amp;")",IF(ISNA(MATCH(1,INDEX(EXACT('Casillas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10-4"&amp;CHAR(31)&amp;$A10&amp;CHAR(31)&amp;B$3))&gt;1,IF(ISNA(MATCH(1,INDEX(EXACT('Casillas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10-4"&amp;CHAR(31)&amp;$A10&amp;CHAR(31)&amp;B$3)*1,0),0))))&amp;" (+"&amp;(SUMPRODUCT(1*EXACT('Casillas del horario'!$S$4:$S$73,"Profesor de AL/AC en 10-4"&amp;CHAR(31)&amp;$A10&amp;CHAR(31)&amp;B$3))-1)&amp;")",IF(ISNA(MATCH(1,INDEX(EXACT('Casillas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10-4"&amp;CHAR(31)&amp;$A10&amp;CHAR(31)&amp;B$3)*1,0),0)))))</f>
        <v/>
      </c>
      <c r="C10" s="3">
        <f>IF(SUMPRODUCT(1*EXACT('Casillas del horario'!$S$4:$S$73,"Profesor de AL/AC en 10-4"&amp;CHAR(31)&amp;$A10&amp;CHAR(31)&amp;C$3))&gt;1,IF(ISNA(MATCH(1,INDEX(EXACT('Casillas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10-4"&amp;CHAR(31)&amp;$A10&amp;CHAR(31)&amp;C$3)*1,0),0))))&amp;" (+"&amp;(SUMPRODUCT(1*EXACT('Casillas del horario'!$S$4:$S$73,"Profesor de AL/AC en 10-4"&amp;CHAR(31)&amp;$A10&amp;CHAR(31)&amp;C$3))-1)&amp;")",IF(ISNA(MATCH(1,INDEX(EXACT('Casillas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10-4"&amp;CHAR(31)&amp;$A10&amp;CHAR(31)&amp;C$3)*1,0),0)))))</f>
        <v/>
      </c>
      <c r="D10" s="3">
        <f>IF(SUMPRODUCT(1*EXACT('Casillas del horario'!$S$4:$S$73,"Profesor de AL/AC en 10-4"&amp;CHAR(31)&amp;$A10&amp;CHAR(31)&amp;D$3))&gt;1,IF(ISNA(MATCH(1,INDEX(EXACT('Casillas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10-4"&amp;CHAR(31)&amp;$A10&amp;CHAR(31)&amp;D$3)*1,0),0))))&amp;" (+"&amp;(SUMPRODUCT(1*EXACT('Casillas del horario'!$S$4:$S$73,"Profesor de AL/AC en 10-4"&amp;CHAR(31)&amp;$A10&amp;CHAR(31)&amp;D$3))-1)&amp;")",IF(ISNA(MATCH(1,INDEX(EXACT('Casillas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10-4"&amp;CHAR(31)&amp;$A10&amp;CHAR(31)&amp;D$3)*1,0),0)))))</f>
        <v/>
      </c>
      <c r="E10" s="3">
        <f>IF(SUMPRODUCT(1*EXACT('Casillas del horario'!$S$4:$S$73,"Profesor de AL/AC en 10-4"&amp;CHAR(31)&amp;$A10&amp;CHAR(31)&amp;E$3))&gt;1,IF(ISNA(MATCH(1,INDEX(EXACT('Casillas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10-4"&amp;CHAR(31)&amp;$A10&amp;CHAR(31)&amp;E$3)*1,0),0))))&amp;" (+"&amp;(SUMPRODUCT(1*EXACT('Casillas del horario'!$S$4:$S$73,"Profesor de AL/AC en 10-4"&amp;CHAR(31)&amp;$A10&amp;CHAR(31)&amp;E$3))-1)&amp;")",IF(ISNA(MATCH(1,INDEX(EXACT('Casillas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10-4"&amp;CHAR(31)&amp;$A10&amp;CHAR(31)&amp;E$3)*1,0),0)))))</f>
        <v/>
      </c>
      <c r="F10" s="3">
        <f>IF(SUMPRODUCT(1*EXACT('Casillas del horario'!$S$4:$S$73,"Profesor de AL/AC en 10-4"&amp;CHAR(31)&amp;$A10&amp;CHAR(31)&amp;F$3))&gt;1,IF(ISNA(MATCH(1,INDEX(EXACT('Casillas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10-4"&amp;CHAR(31)&amp;$A10&amp;CHAR(31)&amp;F$3)*1,0),0))))&amp;" (+"&amp;(SUMPRODUCT(1*EXACT('Casillas del horario'!$S$4:$S$73,"Profesor de AL/AC en 10-4"&amp;CHAR(31)&amp;$A10&amp;CHAR(31)&amp;F$3))-1)&amp;")",IF(ISNA(MATCH(1,INDEX(EXACT('Casillas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10-3"&amp;CHAR(31)&amp;$A4&amp;CHAR(31)&amp;B$3))&gt;1,IF(ISNA(MATCH(1,INDEX(EXACT('Casillas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10-3"&amp;CHAR(31)&amp;$A4&amp;CHAR(31)&amp;B$3)*1,0),0))))&amp;" (+"&amp;(SUMPRODUCT(1*EXACT('Casillas del horario'!$T$4:$T$73,"Aula 10-3"&amp;CHAR(31)&amp;$A4&amp;CHAR(31)&amp;B$3))-1)&amp;")",IF(ISNA(MATCH(1,INDEX(EXACT('Casillas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10-3"&amp;CHAR(31)&amp;$A4&amp;CHAR(31)&amp;B$3)*1,0),0)))))</f>
        <v/>
      </c>
      <c r="C4" s="3">
        <f>IF(SUMPRODUCT(1*EXACT('Casillas del horario'!$T$4:$T$73,"Aula 10-3"&amp;CHAR(31)&amp;$A4&amp;CHAR(31)&amp;C$3))&gt;1,IF(ISNA(MATCH(1,INDEX(EXACT('Casillas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10-3"&amp;CHAR(31)&amp;$A4&amp;CHAR(31)&amp;C$3)*1,0),0))))&amp;" (+"&amp;(SUMPRODUCT(1*EXACT('Casillas del horario'!$T$4:$T$73,"Aula 10-3"&amp;CHAR(31)&amp;$A4&amp;CHAR(31)&amp;C$3))-1)&amp;")",IF(ISNA(MATCH(1,INDEX(EXACT('Casillas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10-3"&amp;CHAR(31)&amp;$A4&amp;CHAR(31)&amp;C$3)*1,0),0)))))</f>
        <v/>
      </c>
      <c r="D4" s="3">
        <f>IF(SUMPRODUCT(1*EXACT('Casillas del horario'!$T$4:$T$73,"Aula 10-3"&amp;CHAR(31)&amp;$A4&amp;CHAR(31)&amp;D$3))&gt;1,IF(ISNA(MATCH(1,INDEX(EXACT('Casillas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10-3"&amp;CHAR(31)&amp;$A4&amp;CHAR(31)&amp;D$3)*1,0),0))))&amp;" (+"&amp;(SUMPRODUCT(1*EXACT('Casillas del horario'!$T$4:$T$73,"Aula 10-3"&amp;CHAR(31)&amp;$A4&amp;CHAR(31)&amp;D$3))-1)&amp;")",IF(ISNA(MATCH(1,INDEX(EXACT('Casillas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10-3"&amp;CHAR(31)&amp;$A4&amp;CHAR(31)&amp;D$3)*1,0),0)))))</f>
        <v/>
      </c>
      <c r="E4" s="3">
        <f>IF(SUMPRODUCT(1*EXACT('Casillas del horario'!$T$4:$T$73,"Aula 10-3"&amp;CHAR(31)&amp;$A4&amp;CHAR(31)&amp;E$3))&gt;1,IF(ISNA(MATCH(1,INDEX(EXACT('Casillas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10-3"&amp;CHAR(31)&amp;$A4&amp;CHAR(31)&amp;E$3)*1,0),0))))&amp;" (+"&amp;(SUMPRODUCT(1*EXACT('Casillas del horario'!$T$4:$T$73,"Aula 10-3"&amp;CHAR(31)&amp;$A4&amp;CHAR(31)&amp;E$3))-1)&amp;")",IF(ISNA(MATCH(1,INDEX(EXACT('Casillas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10-3"&amp;CHAR(31)&amp;$A4&amp;CHAR(31)&amp;E$3)*1,0),0)))))</f>
        <v/>
      </c>
      <c r="F4" s="3">
        <f>IF(SUMPRODUCT(1*EXACT('Casillas del horario'!$T$4:$T$73,"Aula 10-3"&amp;CHAR(31)&amp;$A4&amp;CHAR(31)&amp;F$3))&gt;1,IF(ISNA(MATCH(1,INDEX(EXACT('Casillas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10-3"&amp;CHAR(31)&amp;$A4&amp;CHAR(31)&amp;F$3)*1,0),0))))&amp;" (+"&amp;(SUMPRODUCT(1*EXACT('Casillas del horario'!$T$4:$T$73,"Aula 10-3"&amp;CHAR(31)&amp;$A4&amp;CHAR(31)&amp;F$3))-1)&amp;")",IF(ISNA(MATCH(1,INDEX(EXACT('Casillas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10-3"&amp;CHAR(31)&amp;$A4&amp;CHAR(31)&amp;F$3)*1,0),0)))))</f>
        <v/>
      </c>
    </row>
    <row r="5">
      <c r="A5" s="3" t="n">
        <v>2</v>
      </c>
      <c r="B5" s="3">
        <f>IF(SUMPRODUCT(1*EXACT('Casillas del horario'!$T$4:$T$73,"Aula 10-3"&amp;CHAR(31)&amp;$A5&amp;CHAR(31)&amp;B$3))&gt;1,IF(ISNA(MATCH(1,INDEX(EXACT('Casillas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10-3"&amp;CHAR(31)&amp;$A5&amp;CHAR(31)&amp;B$3)*1,0),0))))&amp;" (+"&amp;(SUMPRODUCT(1*EXACT('Casillas del horario'!$T$4:$T$73,"Aula 10-3"&amp;CHAR(31)&amp;$A5&amp;CHAR(31)&amp;B$3))-1)&amp;")",IF(ISNA(MATCH(1,INDEX(EXACT('Casillas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10-3"&amp;CHAR(31)&amp;$A5&amp;CHAR(31)&amp;B$3)*1,0),0)))))</f>
        <v/>
      </c>
      <c r="C5" s="3">
        <f>IF(SUMPRODUCT(1*EXACT('Casillas del horario'!$T$4:$T$73,"Aula 10-3"&amp;CHAR(31)&amp;$A5&amp;CHAR(31)&amp;C$3))&gt;1,IF(ISNA(MATCH(1,INDEX(EXACT('Casillas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10-3"&amp;CHAR(31)&amp;$A5&amp;CHAR(31)&amp;C$3)*1,0),0))))&amp;" (+"&amp;(SUMPRODUCT(1*EXACT('Casillas del horario'!$T$4:$T$73,"Aula 10-3"&amp;CHAR(31)&amp;$A5&amp;CHAR(31)&amp;C$3))-1)&amp;")",IF(ISNA(MATCH(1,INDEX(EXACT('Casillas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10-3"&amp;CHAR(31)&amp;$A5&amp;CHAR(31)&amp;C$3)*1,0),0)))))</f>
        <v/>
      </c>
      <c r="D5" s="3">
        <f>IF(SUMPRODUCT(1*EXACT('Casillas del horario'!$T$4:$T$73,"Aula 10-3"&amp;CHAR(31)&amp;$A5&amp;CHAR(31)&amp;D$3))&gt;1,IF(ISNA(MATCH(1,INDEX(EXACT('Casillas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10-3"&amp;CHAR(31)&amp;$A5&amp;CHAR(31)&amp;D$3)*1,0),0))))&amp;" (+"&amp;(SUMPRODUCT(1*EXACT('Casillas del horario'!$T$4:$T$73,"Aula 10-3"&amp;CHAR(31)&amp;$A5&amp;CHAR(31)&amp;D$3))-1)&amp;")",IF(ISNA(MATCH(1,INDEX(EXACT('Casillas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10-3"&amp;CHAR(31)&amp;$A5&amp;CHAR(31)&amp;D$3)*1,0),0)))))</f>
        <v/>
      </c>
      <c r="E5" s="3">
        <f>IF(SUMPRODUCT(1*EXACT('Casillas del horario'!$T$4:$T$73,"Aula 10-3"&amp;CHAR(31)&amp;$A5&amp;CHAR(31)&amp;E$3))&gt;1,IF(ISNA(MATCH(1,INDEX(EXACT('Casillas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10-3"&amp;CHAR(31)&amp;$A5&amp;CHAR(31)&amp;E$3)*1,0),0))))&amp;" (+"&amp;(SUMPRODUCT(1*EXACT('Casillas del horario'!$T$4:$T$73,"Aula 10-3"&amp;CHAR(31)&amp;$A5&amp;CHAR(31)&amp;E$3))-1)&amp;")",IF(ISNA(MATCH(1,INDEX(EXACT('Casillas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10-3"&amp;CHAR(31)&amp;$A5&amp;CHAR(31)&amp;E$3)*1,0),0)))))</f>
        <v/>
      </c>
      <c r="F5" s="3">
        <f>IF(SUMPRODUCT(1*EXACT('Casillas del horario'!$T$4:$T$73,"Aula 10-3"&amp;CHAR(31)&amp;$A5&amp;CHAR(31)&amp;F$3))&gt;1,IF(ISNA(MATCH(1,INDEX(EXACT('Casillas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10-3"&amp;CHAR(31)&amp;$A5&amp;CHAR(31)&amp;F$3)*1,0),0))))&amp;" (+"&amp;(SUMPRODUCT(1*EXACT('Casillas del horario'!$T$4:$T$73,"Aula 10-3"&amp;CHAR(31)&amp;$A5&amp;CHAR(31)&amp;F$3))-1)&amp;")",IF(ISNA(MATCH(1,INDEX(EXACT('Casillas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10-3"&amp;CHAR(31)&amp;$A5&amp;CHAR(31)&amp;F$3)*1,0),0)))))</f>
        <v/>
      </c>
    </row>
    <row r="6">
      <c r="A6" s="3" t="n">
        <v>3</v>
      </c>
      <c r="B6" s="3">
        <f>IF(SUMPRODUCT(1*EXACT('Casillas del horario'!$T$4:$T$73,"Aula 10-3"&amp;CHAR(31)&amp;$A6&amp;CHAR(31)&amp;B$3))&gt;1,IF(ISNA(MATCH(1,INDEX(EXACT('Casillas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10-3"&amp;CHAR(31)&amp;$A6&amp;CHAR(31)&amp;B$3)*1,0),0))))&amp;" (+"&amp;(SUMPRODUCT(1*EXACT('Casillas del horario'!$T$4:$T$73,"Aula 10-3"&amp;CHAR(31)&amp;$A6&amp;CHAR(31)&amp;B$3))-1)&amp;")",IF(ISNA(MATCH(1,INDEX(EXACT('Casillas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10-3"&amp;CHAR(31)&amp;$A6&amp;CHAR(31)&amp;B$3)*1,0),0)))))</f>
        <v/>
      </c>
      <c r="C6" s="3">
        <f>IF(SUMPRODUCT(1*EXACT('Casillas del horario'!$T$4:$T$73,"Aula 10-3"&amp;CHAR(31)&amp;$A6&amp;CHAR(31)&amp;C$3))&gt;1,IF(ISNA(MATCH(1,INDEX(EXACT('Casillas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10-3"&amp;CHAR(31)&amp;$A6&amp;CHAR(31)&amp;C$3)*1,0),0))))&amp;" (+"&amp;(SUMPRODUCT(1*EXACT('Casillas del horario'!$T$4:$T$73,"Aula 10-3"&amp;CHAR(31)&amp;$A6&amp;CHAR(31)&amp;C$3))-1)&amp;")",IF(ISNA(MATCH(1,INDEX(EXACT('Casillas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10-3"&amp;CHAR(31)&amp;$A6&amp;CHAR(31)&amp;C$3)*1,0),0)))))</f>
        <v/>
      </c>
      <c r="D6" s="3">
        <f>IF(SUMPRODUCT(1*EXACT('Casillas del horario'!$T$4:$T$73,"Aula 10-3"&amp;CHAR(31)&amp;$A6&amp;CHAR(31)&amp;D$3))&gt;1,IF(ISNA(MATCH(1,INDEX(EXACT('Casillas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10-3"&amp;CHAR(31)&amp;$A6&amp;CHAR(31)&amp;D$3)*1,0),0))))&amp;" (+"&amp;(SUMPRODUCT(1*EXACT('Casillas del horario'!$T$4:$T$73,"Aula 10-3"&amp;CHAR(31)&amp;$A6&amp;CHAR(31)&amp;D$3))-1)&amp;")",IF(ISNA(MATCH(1,INDEX(EXACT('Casillas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10-3"&amp;CHAR(31)&amp;$A6&amp;CHAR(31)&amp;D$3)*1,0),0)))))</f>
        <v/>
      </c>
      <c r="E6" s="3">
        <f>IF(SUMPRODUCT(1*EXACT('Casillas del horario'!$T$4:$T$73,"Aula 10-3"&amp;CHAR(31)&amp;$A6&amp;CHAR(31)&amp;E$3))&gt;1,IF(ISNA(MATCH(1,INDEX(EXACT('Casillas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10-3"&amp;CHAR(31)&amp;$A6&amp;CHAR(31)&amp;E$3)*1,0),0))))&amp;" (+"&amp;(SUMPRODUCT(1*EXACT('Casillas del horario'!$T$4:$T$73,"Aula 10-3"&amp;CHAR(31)&amp;$A6&amp;CHAR(31)&amp;E$3))-1)&amp;")",IF(ISNA(MATCH(1,INDEX(EXACT('Casillas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10-3"&amp;CHAR(31)&amp;$A6&amp;CHAR(31)&amp;E$3)*1,0),0)))))</f>
        <v/>
      </c>
      <c r="F6" s="3">
        <f>IF(SUMPRODUCT(1*EXACT('Casillas del horario'!$T$4:$T$73,"Aula 10-3"&amp;CHAR(31)&amp;$A6&amp;CHAR(31)&amp;F$3))&gt;1,IF(ISNA(MATCH(1,INDEX(EXACT('Casillas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10-3"&amp;CHAR(31)&amp;$A6&amp;CHAR(31)&amp;F$3)*1,0),0))))&amp;" (+"&amp;(SUMPRODUCT(1*EXACT('Casillas del horario'!$T$4:$T$73,"Aula 10-3"&amp;CHAR(31)&amp;$A6&amp;CHAR(31)&amp;F$3))-1)&amp;")",IF(ISNA(MATCH(1,INDEX(EXACT('Casillas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10-3"&amp;CHAR(31)&amp;$A6&amp;CHAR(31)&amp;F$3)*1,0),0)))))</f>
        <v/>
      </c>
    </row>
    <row r="7">
      <c r="A7" s="3" t="n">
        <v>4</v>
      </c>
      <c r="B7" s="3">
        <f>IF(SUMPRODUCT(1*EXACT('Casillas del horario'!$T$4:$T$73,"Aula 10-3"&amp;CHAR(31)&amp;$A7&amp;CHAR(31)&amp;B$3))&gt;1,IF(ISNA(MATCH(1,INDEX(EXACT('Casillas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10-3"&amp;CHAR(31)&amp;$A7&amp;CHAR(31)&amp;B$3)*1,0),0))))&amp;" (+"&amp;(SUMPRODUCT(1*EXACT('Casillas del horario'!$T$4:$T$73,"Aula 10-3"&amp;CHAR(31)&amp;$A7&amp;CHAR(31)&amp;B$3))-1)&amp;")",IF(ISNA(MATCH(1,INDEX(EXACT('Casillas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10-3"&amp;CHAR(31)&amp;$A7&amp;CHAR(31)&amp;B$3)*1,0),0)))))</f>
        <v/>
      </c>
      <c r="C7" s="3">
        <f>IF(SUMPRODUCT(1*EXACT('Casillas del horario'!$T$4:$T$73,"Aula 10-3"&amp;CHAR(31)&amp;$A7&amp;CHAR(31)&amp;C$3))&gt;1,IF(ISNA(MATCH(1,INDEX(EXACT('Casillas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10-3"&amp;CHAR(31)&amp;$A7&amp;CHAR(31)&amp;C$3)*1,0),0))))&amp;" (+"&amp;(SUMPRODUCT(1*EXACT('Casillas del horario'!$T$4:$T$73,"Aula 10-3"&amp;CHAR(31)&amp;$A7&amp;CHAR(31)&amp;C$3))-1)&amp;")",IF(ISNA(MATCH(1,INDEX(EXACT('Casillas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10-3"&amp;CHAR(31)&amp;$A7&amp;CHAR(31)&amp;C$3)*1,0),0)))))</f>
        <v/>
      </c>
      <c r="D7" s="3">
        <f>IF(SUMPRODUCT(1*EXACT('Casillas del horario'!$T$4:$T$73,"Aula 10-3"&amp;CHAR(31)&amp;$A7&amp;CHAR(31)&amp;D$3))&gt;1,IF(ISNA(MATCH(1,INDEX(EXACT('Casillas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10-3"&amp;CHAR(31)&amp;$A7&amp;CHAR(31)&amp;D$3)*1,0),0))))&amp;" (+"&amp;(SUMPRODUCT(1*EXACT('Casillas del horario'!$T$4:$T$73,"Aula 10-3"&amp;CHAR(31)&amp;$A7&amp;CHAR(31)&amp;D$3))-1)&amp;")",IF(ISNA(MATCH(1,INDEX(EXACT('Casillas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10-3"&amp;CHAR(31)&amp;$A7&amp;CHAR(31)&amp;D$3)*1,0),0)))))</f>
        <v/>
      </c>
      <c r="E7" s="3">
        <f>IF(SUMPRODUCT(1*EXACT('Casillas del horario'!$T$4:$T$73,"Aula 10-3"&amp;CHAR(31)&amp;$A7&amp;CHAR(31)&amp;E$3))&gt;1,IF(ISNA(MATCH(1,INDEX(EXACT('Casillas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10-3"&amp;CHAR(31)&amp;$A7&amp;CHAR(31)&amp;E$3)*1,0),0))))&amp;" (+"&amp;(SUMPRODUCT(1*EXACT('Casillas del horario'!$T$4:$T$73,"Aula 10-3"&amp;CHAR(31)&amp;$A7&amp;CHAR(31)&amp;E$3))-1)&amp;")",IF(ISNA(MATCH(1,INDEX(EXACT('Casillas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10-3"&amp;CHAR(31)&amp;$A7&amp;CHAR(31)&amp;E$3)*1,0),0)))))</f>
        <v/>
      </c>
      <c r="F7" s="3">
        <f>IF(SUMPRODUCT(1*EXACT('Casillas del horario'!$T$4:$T$73,"Aula 10-3"&amp;CHAR(31)&amp;$A7&amp;CHAR(31)&amp;F$3))&gt;1,IF(ISNA(MATCH(1,INDEX(EXACT('Casillas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10-3"&amp;CHAR(31)&amp;$A7&amp;CHAR(31)&amp;F$3)*1,0),0))))&amp;" (+"&amp;(SUMPRODUCT(1*EXACT('Casillas del horario'!$T$4:$T$73,"Aula 10-3"&amp;CHAR(31)&amp;$A7&amp;CHAR(31)&amp;F$3))-1)&amp;")",IF(ISNA(MATCH(1,INDEX(EXACT('Casillas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10-3"&amp;CHAR(31)&amp;$A7&amp;CHAR(31)&amp;F$3)*1,0),0)))))</f>
        <v/>
      </c>
    </row>
    <row r="8">
      <c r="A8" s="3" t="n">
        <v>5</v>
      </c>
      <c r="B8" s="3">
        <f>IF(SUMPRODUCT(1*EXACT('Casillas del horario'!$T$4:$T$73,"Aula 10-3"&amp;CHAR(31)&amp;$A8&amp;CHAR(31)&amp;B$3))&gt;1,IF(ISNA(MATCH(1,INDEX(EXACT('Casillas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10-3"&amp;CHAR(31)&amp;$A8&amp;CHAR(31)&amp;B$3)*1,0),0))))&amp;" (+"&amp;(SUMPRODUCT(1*EXACT('Casillas del horario'!$T$4:$T$73,"Aula 10-3"&amp;CHAR(31)&amp;$A8&amp;CHAR(31)&amp;B$3))-1)&amp;")",IF(ISNA(MATCH(1,INDEX(EXACT('Casillas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10-3"&amp;CHAR(31)&amp;$A8&amp;CHAR(31)&amp;B$3)*1,0),0)))))</f>
        <v/>
      </c>
      <c r="C8" s="3">
        <f>IF(SUMPRODUCT(1*EXACT('Casillas del horario'!$T$4:$T$73,"Aula 10-3"&amp;CHAR(31)&amp;$A8&amp;CHAR(31)&amp;C$3))&gt;1,IF(ISNA(MATCH(1,INDEX(EXACT('Casillas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10-3"&amp;CHAR(31)&amp;$A8&amp;CHAR(31)&amp;C$3)*1,0),0))))&amp;" (+"&amp;(SUMPRODUCT(1*EXACT('Casillas del horario'!$T$4:$T$73,"Aula 10-3"&amp;CHAR(31)&amp;$A8&amp;CHAR(31)&amp;C$3))-1)&amp;")",IF(ISNA(MATCH(1,INDEX(EXACT('Casillas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10-3"&amp;CHAR(31)&amp;$A8&amp;CHAR(31)&amp;C$3)*1,0),0)))))</f>
        <v/>
      </c>
      <c r="D8" s="3">
        <f>IF(SUMPRODUCT(1*EXACT('Casillas del horario'!$T$4:$T$73,"Aula 10-3"&amp;CHAR(31)&amp;$A8&amp;CHAR(31)&amp;D$3))&gt;1,IF(ISNA(MATCH(1,INDEX(EXACT('Casillas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10-3"&amp;CHAR(31)&amp;$A8&amp;CHAR(31)&amp;D$3)*1,0),0))))&amp;" (+"&amp;(SUMPRODUCT(1*EXACT('Casillas del horario'!$T$4:$T$73,"Aula 10-3"&amp;CHAR(31)&amp;$A8&amp;CHAR(31)&amp;D$3))-1)&amp;")",IF(ISNA(MATCH(1,INDEX(EXACT('Casillas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10-3"&amp;CHAR(31)&amp;$A8&amp;CHAR(31)&amp;D$3)*1,0),0)))))</f>
        <v/>
      </c>
      <c r="E8" s="3">
        <f>IF(SUMPRODUCT(1*EXACT('Casillas del horario'!$T$4:$T$73,"Aula 10-3"&amp;CHAR(31)&amp;$A8&amp;CHAR(31)&amp;E$3))&gt;1,IF(ISNA(MATCH(1,INDEX(EXACT('Casillas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10-3"&amp;CHAR(31)&amp;$A8&amp;CHAR(31)&amp;E$3)*1,0),0))))&amp;" (+"&amp;(SUMPRODUCT(1*EXACT('Casillas del horario'!$T$4:$T$73,"Aula 10-3"&amp;CHAR(31)&amp;$A8&amp;CHAR(31)&amp;E$3))-1)&amp;")",IF(ISNA(MATCH(1,INDEX(EXACT('Casillas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10-3"&amp;CHAR(31)&amp;$A8&amp;CHAR(31)&amp;E$3)*1,0),0)))))</f>
        <v/>
      </c>
      <c r="F8" s="3">
        <f>IF(SUMPRODUCT(1*EXACT('Casillas del horario'!$T$4:$T$73,"Aula 10-3"&amp;CHAR(31)&amp;$A8&amp;CHAR(31)&amp;F$3))&gt;1,IF(ISNA(MATCH(1,INDEX(EXACT('Casillas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10-3"&amp;CHAR(31)&amp;$A8&amp;CHAR(31)&amp;F$3)*1,0),0))))&amp;" (+"&amp;(SUMPRODUCT(1*EXACT('Casillas del horario'!$T$4:$T$73,"Aula 10-3"&amp;CHAR(31)&amp;$A8&amp;CHAR(31)&amp;F$3))-1)&amp;")",IF(ISNA(MATCH(1,INDEX(EXACT('Casillas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10-3"&amp;CHAR(31)&amp;$A8&amp;CHAR(31)&amp;F$3)*1,0),0)))))</f>
        <v/>
      </c>
    </row>
    <row r="9">
      <c r="A9" s="3" t="n">
        <v>6</v>
      </c>
      <c r="B9" s="3">
        <f>IF(SUMPRODUCT(1*EXACT('Casillas del horario'!$T$4:$T$73,"Aula 10-3"&amp;CHAR(31)&amp;$A9&amp;CHAR(31)&amp;B$3))&gt;1,IF(ISNA(MATCH(1,INDEX(EXACT('Casillas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10-3"&amp;CHAR(31)&amp;$A9&amp;CHAR(31)&amp;B$3)*1,0),0))))&amp;" (+"&amp;(SUMPRODUCT(1*EXACT('Casillas del horario'!$T$4:$T$73,"Aula 10-3"&amp;CHAR(31)&amp;$A9&amp;CHAR(31)&amp;B$3))-1)&amp;")",IF(ISNA(MATCH(1,INDEX(EXACT('Casillas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10-3"&amp;CHAR(31)&amp;$A9&amp;CHAR(31)&amp;B$3)*1,0),0)))))</f>
        <v/>
      </c>
      <c r="C9" s="3">
        <f>IF(SUMPRODUCT(1*EXACT('Casillas del horario'!$T$4:$T$73,"Aula 10-3"&amp;CHAR(31)&amp;$A9&amp;CHAR(31)&amp;C$3))&gt;1,IF(ISNA(MATCH(1,INDEX(EXACT('Casillas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10-3"&amp;CHAR(31)&amp;$A9&amp;CHAR(31)&amp;C$3)*1,0),0))))&amp;" (+"&amp;(SUMPRODUCT(1*EXACT('Casillas del horario'!$T$4:$T$73,"Aula 10-3"&amp;CHAR(31)&amp;$A9&amp;CHAR(31)&amp;C$3))-1)&amp;")",IF(ISNA(MATCH(1,INDEX(EXACT('Casillas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10-3"&amp;CHAR(31)&amp;$A9&amp;CHAR(31)&amp;C$3)*1,0),0)))))</f>
        <v/>
      </c>
      <c r="D9" s="3">
        <f>IF(SUMPRODUCT(1*EXACT('Casillas del horario'!$T$4:$T$73,"Aula 10-3"&amp;CHAR(31)&amp;$A9&amp;CHAR(31)&amp;D$3))&gt;1,IF(ISNA(MATCH(1,INDEX(EXACT('Casillas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10-3"&amp;CHAR(31)&amp;$A9&amp;CHAR(31)&amp;D$3)*1,0),0))))&amp;" (+"&amp;(SUMPRODUCT(1*EXACT('Casillas del horario'!$T$4:$T$73,"Aula 10-3"&amp;CHAR(31)&amp;$A9&amp;CHAR(31)&amp;D$3))-1)&amp;")",IF(ISNA(MATCH(1,INDEX(EXACT('Casillas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10-3"&amp;CHAR(31)&amp;$A9&amp;CHAR(31)&amp;D$3)*1,0),0)))))</f>
        <v/>
      </c>
      <c r="E9" s="3">
        <f>IF(SUMPRODUCT(1*EXACT('Casillas del horario'!$T$4:$T$73,"Aula 10-3"&amp;CHAR(31)&amp;$A9&amp;CHAR(31)&amp;E$3))&gt;1,IF(ISNA(MATCH(1,INDEX(EXACT('Casillas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10-3"&amp;CHAR(31)&amp;$A9&amp;CHAR(31)&amp;E$3)*1,0),0))))&amp;" (+"&amp;(SUMPRODUCT(1*EXACT('Casillas del horario'!$T$4:$T$73,"Aula 10-3"&amp;CHAR(31)&amp;$A9&amp;CHAR(31)&amp;E$3))-1)&amp;")",IF(ISNA(MATCH(1,INDEX(EXACT('Casillas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10-3"&amp;CHAR(31)&amp;$A9&amp;CHAR(31)&amp;E$3)*1,0),0)))))</f>
        <v/>
      </c>
      <c r="F9" s="3">
        <f>IF(SUMPRODUCT(1*EXACT('Casillas del horario'!$T$4:$T$73,"Aula 10-3"&amp;CHAR(31)&amp;$A9&amp;CHAR(31)&amp;F$3))&gt;1,IF(ISNA(MATCH(1,INDEX(EXACT('Casillas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10-3"&amp;CHAR(31)&amp;$A9&amp;CHAR(31)&amp;F$3)*1,0),0))))&amp;" (+"&amp;(SUMPRODUCT(1*EXACT('Casillas del horario'!$T$4:$T$73,"Aula 10-3"&amp;CHAR(31)&amp;$A9&amp;CHAR(31)&amp;F$3))-1)&amp;")",IF(ISNA(MATCH(1,INDEX(EXACT('Casillas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10-3"&amp;CHAR(31)&amp;$A9&amp;CHAR(31)&amp;F$3)*1,0),0)))))</f>
        <v/>
      </c>
    </row>
    <row r="10">
      <c r="A10" s="3" t="n">
        <v>7</v>
      </c>
      <c r="B10" s="3">
        <f>IF(SUMPRODUCT(1*EXACT('Casillas del horario'!$T$4:$T$73,"Aula 10-3"&amp;CHAR(31)&amp;$A10&amp;CHAR(31)&amp;B$3))&gt;1,IF(ISNA(MATCH(1,INDEX(EXACT('Casillas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10-3"&amp;CHAR(31)&amp;$A10&amp;CHAR(31)&amp;B$3)*1,0),0))))&amp;" (+"&amp;(SUMPRODUCT(1*EXACT('Casillas del horario'!$T$4:$T$73,"Aula 10-3"&amp;CHAR(31)&amp;$A10&amp;CHAR(31)&amp;B$3))-1)&amp;")",IF(ISNA(MATCH(1,INDEX(EXACT('Casillas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10-3"&amp;CHAR(31)&amp;$A10&amp;CHAR(31)&amp;B$3)*1,0),0)))))</f>
        <v/>
      </c>
      <c r="C10" s="3">
        <f>IF(SUMPRODUCT(1*EXACT('Casillas del horario'!$T$4:$T$73,"Aula 10-3"&amp;CHAR(31)&amp;$A10&amp;CHAR(31)&amp;C$3))&gt;1,IF(ISNA(MATCH(1,INDEX(EXACT('Casillas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10-3"&amp;CHAR(31)&amp;$A10&amp;CHAR(31)&amp;C$3)*1,0),0))))&amp;" (+"&amp;(SUMPRODUCT(1*EXACT('Casillas del horario'!$T$4:$T$73,"Aula 10-3"&amp;CHAR(31)&amp;$A10&amp;CHAR(31)&amp;C$3))-1)&amp;")",IF(ISNA(MATCH(1,INDEX(EXACT('Casillas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10-3"&amp;CHAR(31)&amp;$A10&amp;CHAR(31)&amp;C$3)*1,0),0)))))</f>
        <v/>
      </c>
      <c r="D10" s="3">
        <f>IF(SUMPRODUCT(1*EXACT('Casillas del horario'!$T$4:$T$73,"Aula 10-3"&amp;CHAR(31)&amp;$A10&amp;CHAR(31)&amp;D$3))&gt;1,IF(ISNA(MATCH(1,INDEX(EXACT('Casillas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10-3"&amp;CHAR(31)&amp;$A10&amp;CHAR(31)&amp;D$3)*1,0),0))))&amp;" (+"&amp;(SUMPRODUCT(1*EXACT('Casillas del horario'!$T$4:$T$73,"Aula 10-3"&amp;CHAR(31)&amp;$A10&amp;CHAR(31)&amp;D$3))-1)&amp;")",IF(ISNA(MATCH(1,INDEX(EXACT('Casillas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10-3"&amp;CHAR(31)&amp;$A10&amp;CHAR(31)&amp;D$3)*1,0),0)))))</f>
        <v/>
      </c>
      <c r="E10" s="3">
        <f>IF(SUMPRODUCT(1*EXACT('Casillas del horario'!$T$4:$T$73,"Aula 10-3"&amp;CHAR(31)&amp;$A10&amp;CHAR(31)&amp;E$3))&gt;1,IF(ISNA(MATCH(1,INDEX(EXACT('Casillas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10-3"&amp;CHAR(31)&amp;$A10&amp;CHAR(31)&amp;E$3)*1,0),0))))&amp;" (+"&amp;(SUMPRODUCT(1*EXACT('Casillas del horario'!$T$4:$T$73,"Aula 10-3"&amp;CHAR(31)&amp;$A10&amp;CHAR(31)&amp;E$3))-1)&amp;")",IF(ISNA(MATCH(1,INDEX(EXACT('Casillas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10-3"&amp;CHAR(31)&amp;$A10&amp;CHAR(31)&amp;E$3)*1,0),0)))))</f>
        <v/>
      </c>
      <c r="F10" s="3">
        <f>IF(SUMPRODUCT(1*EXACT('Casillas del horario'!$T$4:$T$73,"Aula 10-3"&amp;CHAR(31)&amp;$A10&amp;CHAR(31)&amp;F$3))&gt;1,IF(ISNA(MATCH(1,INDEX(EXACT('Casillas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10-3"&amp;CHAR(31)&amp;$A10&amp;CHAR(31)&amp;F$3)*1,0),0))))&amp;" (+"&amp;(SUMPRODUCT(1*EXACT('Casillas del horario'!$T$4:$T$73,"Aula 10-3"&amp;CHAR(31)&amp;$A10&amp;CHAR(31)&amp;F$3))-1)&amp;")",IF(ISNA(MATCH(1,INDEX(EXACT('Casillas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10-3"&amp;CHAR(31)&amp;$A4&amp;CHAR(31)&amp;B$3)*1,0),0)),0)=3</formula>
    </cfRule>
    <cfRule type="expression" priority="2" dxfId="1" stopIfTrue="0">
      <formula>IFERROR(INDEX('Casillas del horario'!$Q$4:$Q$73,MATCH(1,INDEX(EXACT('Casillas del horario'!$T$4:$T$73,"Aula 10-3"&amp;CHAR(31)&amp;$A4&amp;CHAR(31)&amp;B$3)*1,0),0)),0)=2</formula>
    </cfRule>
    <cfRule type="expression" priority="3" dxfId="2" stopIfTrue="0">
      <formula>IFERROR(INDEX('Casillas del horario'!$Q$4:$Q$73,MATCH(1,INDEX(EXACT('Casillas del horario'!$T$4:$T$73,"Aula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10-4"&amp;CHAR(31)&amp;$A4&amp;CHAR(31)&amp;B$3))&gt;1,IF(ISNA(MATCH(1,INDEX(EXACT('Casillas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10-4"&amp;CHAR(31)&amp;$A4&amp;CHAR(31)&amp;B$3)*1,0),0))))&amp;" (+"&amp;(SUMPRODUCT(1*EXACT('Casillas del horario'!$T$4:$T$73,"Aula 10-4"&amp;CHAR(31)&amp;$A4&amp;CHAR(31)&amp;B$3))-1)&amp;")",IF(ISNA(MATCH(1,INDEX(EXACT('Casillas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10-4"&amp;CHAR(31)&amp;$A4&amp;CHAR(31)&amp;B$3)*1,0),0)))))</f>
        <v/>
      </c>
      <c r="C4" s="3">
        <f>IF(SUMPRODUCT(1*EXACT('Casillas del horario'!$T$4:$T$73,"Aula 10-4"&amp;CHAR(31)&amp;$A4&amp;CHAR(31)&amp;C$3))&gt;1,IF(ISNA(MATCH(1,INDEX(EXACT('Casillas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10-4"&amp;CHAR(31)&amp;$A4&amp;CHAR(31)&amp;C$3)*1,0),0))))&amp;" (+"&amp;(SUMPRODUCT(1*EXACT('Casillas del horario'!$T$4:$T$73,"Aula 10-4"&amp;CHAR(31)&amp;$A4&amp;CHAR(31)&amp;C$3))-1)&amp;")",IF(ISNA(MATCH(1,INDEX(EXACT('Casillas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10-4"&amp;CHAR(31)&amp;$A4&amp;CHAR(31)&amp;C$3)*1,0),0)))))</f>
        <v/>
      </c>
      <c r="D4" s="3">
        <f>IF(SUMPRODUCT(1*EXACT('Casillas del horario'!$T$4:$T$73,"Aula 10-4"&amp;CHAR(31)&amp;$A4&amp;CHAR(31)&amp;D$3))&gt;1,IF(ISNA(MATCH(1,INDEX(EXACT('Casillas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10-4"&amp;CHAR(31)&amp;$A4&amp;CHAR(31)&amp;D$3)*1,0),0))))&amp;" (+"&amp;(SUMPRODUCT(1*EXACT('Casillas del horario'!$T$4:$T$73,"Aula 10-4"&amp;CHAR(31)&amp;$A4&amp;CHAR(31)&amp;D$3))-1)&amp;")",IF(ISNA(MATCH(1,INDEX(EXACT('Casillas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10-4"&amp;CHAR(31)&amp;$A4&amp;CHAR(31)&amp;D$3)*1,0),0)))))</f>
        <v/>
      </c>
      <c r="E4" s="3">
        <f>IF(SUMPRODUCT(1*EXACT('Casillas del horario'!$T$4:$T$73,"Aula 10-4"&amp;CHAR(31)&amp;$A4&amp;CHAR(31)&amp;E$3))&gt;1,IF(ISNA(MATCH(1,INDEX(EXACT('Casillas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10-4"&amp;CHAR(31)&amp;$A4&amp;CHAR(31)&amp;E$3)*1,0),0))))&amp;" (+"&amp;(SUMPRODUCT(1*EXACT('Casillas del horario'!$T$4:$T$73,"Aula 10-4"&amp;CHAR(31)&amp;$A4&amp;CHAR(31)&amp;E$3))-1)&amp;")",IF(ISNA(MATCH(1,INDEX(EXACT('Casillas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10-4"&amp;CHAR(31)&amp;$A4&amp;CHAR(31)&amp;E$3)*1,0),0)))))</f>
        <v/>
      </c>
      <c r="F4" s="3">
        <f>IF(SUMPRODUCT(1*EXACT('Casillas del horario'!$T$4:$T$73,"Aula 10-4"&amp;CHAR(31)&amp;$A4&amp;CHAR(31)&amp;F$3))&gt;1,IF(ISNA(MATCH(1,INDEX(EXACT('Casillas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10-4"&amp;CHAR(31)&amp;$A4&amp;CHAR(31)&amp;F$3)*1,0),0))))&amp;" (+"&amp;(SUMPRODUCT(1*EXACT('Casillas del horario'!$T$4:$T$73,"Aula 10-4"&amp;CHAR(31)&amp;$A4&amp;CHAR(31)&amp;F$3))-1)&amp;")",IF(ISNA(MATCH(1,INDEX(EXACT('Casillas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10-4"&amp;CHAR(31)&amp;$A4&amp;CHAR(31)&amp;F$3)*1,0),0)))))</f>
        <v/>
      </c>
    </row>
    <row r="5">
      <c r="A5" s="3" t="n">
        <v>2</v>
      </c>
      <c r="B5" s="3">
        <f>IF(SUMPRODUCT(1*EXACT('Casillas del horario'!$T$4:$T$73,"Aula 10-4"&amp;CHAR(31)&amp;$A5&amp;CHAR(31)&amp;B$3))&gt;1,IF(ISNA(MATCH(1,INDEX(EXACT('Casillas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10-4"&amp;CHAR(31)&amp;$A5&amp;CHAR(31)&amp;B$3)*1,0),0))))&amp;" (+"&amp;(SUMPRODUCT(1*EXACT('Casillas del horario'!$T$4:$T$73,"Aula 10-4"&amp;CHAR(31)&amp;$A5&amp;CHAR(31)&amp;B$3))-1)&amp;")",IF(ISNA(MATCH(1,INDEX(EXACT('Casillas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10-4"&amp;CHAR(31)&amp;$A5&amp;CHAR(31)&amp;B$3)*1,0),0)))))</f>
        <v/>
      </c>
      <c r="C5" s="3">
        <f>IF(SUMPRODUCT(1*EXACT('Casillas del horario'!$T$4:$T$73,"Aula 10-4"&amp;CHAR(31)&amp;$A5&amp;CHAR(31)&amp;C$3))&gt;1,IF(ISNA(MATCH(1,INDEX(EXACT('Casillas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10-4"&amp;CHAR(31)&amp;$A5&amp;CHAR(31)&amp;C$3)*1,0),0))))&amp;" (+"&amp;(SUMPRODUCT(1*EXACT('Casillas del horario'!$T$4:$T$73,"Aula 10-4"&amp;CHAR(31)&amp;$A5&amp;CHAR(31)&amp;C$3))-1)&amp;")",IF(ISNA(MATCH(1,INDEX(EXACT('Casillas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10-4"&amp;CHAR(31)&amp;$A5&amp;CHAR(31)&amp;C$3)*1,0),0)))))</f>
        <v/>
      </c>
      <c r="D5" s="3">
        <f>IF(SUMPRODUCT(1*EXACT('Casillas del horario'!$T$4:$T$73,"Aula 10-4"&amp;CHAR(31)&amp;$A5&amp;CHAR(31)&amp;D$3))&gt;1,IF(ISNA(MATCH(1,INDEX(EXACT('Casillas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10-4"&amp;CHAR(31)&amp;$A5&amp;CHAR(31)&amp;D$3)*1,0),0))))&amp;" (+"&amp;(SUMPRODUCT(1*EXACT('Casillas del horario'!$T$4:$T$73,"Aula 10-4"&amp;CHAR(31)&amp;$A5&amp;CHAR(31)&amp;D$3))-1)&amp;")",IF(ISNA(MATCH(1,INDEX(EXACT('Casillas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10-4"&amp;CHAR(31)&amp;$A5&amp;CHAR(31)&amp;D$3)*1,0),0)))))</f>
        <v/>
      </c>
      <c r="E5" s="3">
        <f>IF(SUMPRODUCT(1*EXACT('Casillas del horario'!$T$4:$T$73,"Aula 10-4"&amp;CHAR(31)&amp;$A5&amp;CHAR(31)&amp;E$3))&gt;1,IF(ISNA(MATCH(1,INDEX(EXACT('Casillas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10-4"&amp;CHAR(31)&amp;$A5&amp;CHAR(31)&amp;E$3)*1,0),0))))&amp;" (+"&amp;(SUMPRODUCT(1*EXACT('Casillas del horario'!$T$4:$T$73,"Aula 10-4"&amp;CHAR(31)&amp;$A5&amp;CHAR(31)&amp;E$3))-1)&amp;")",IF(ISNA(MATCH(1,INDEX(EXACT('Casillas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10-4"&amp;CHAR(31)&amp;$A5&amp;CHAR(31)&amp;E$3)*1,0),0)))))</f>
        <v/>
      </c>
      <c r="F5" s="3">
        <f>IF(SUMPRODUCT(1*EXACT('Casillas del horario'!$T$4:$T$73,"Aula 10-4"&amp;CHAR(31)&amp;$A5&amp;CHAR(31)&amp;F$3))&gt;1,IF(ISNA(MATCH(1,INDEX(EXACT('Casillas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10-4"&amp;CHAR(31)&amp;$A5&amp;CHAR(31)&amp;F$3)*1,0),0))))&amp;" (+"&amp;(SUMPRODUCT(1*EXACT('Casillas del horario'!$T$4:$T$73,"Aula 10-4"&amp;CHAR(31)&amp;$A5&amp;CHAR(31)&amp;F$3))-1)&amp;")",IF(ISNA(MATCH(1,INDEX(EXACT('Casillas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10-4"&amp;CHAR(31)&amp;$A5&amp;CHAR(31)&amp;F$3)*1,0),0)))))</f>
        <v/>
      </c>
    </row>
    <row r="6">
      <c r="A6" s="3" t="n">
        <v>3</v>
      </c>
      <c r="B6" s="3">
        <f>IF(SUMPRODUCT(1*EXACT('Casillas del horario'!$T$4:$T$73,"Aula 10-4"&amp;CHAR(31)&amp;$A6&amp;CHAR(31)&amp;B$3))&gt;1,IF(ISNA(MATCH(1,INDEX(EXACT('Casillas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10-4"&amp;CHAR(31)&amp;$A6&amp;CHAR(31)&amp;B$3)*1,0),0))))&amp;" (+"&amp;(SUMPRODUCT(1*EXACT('Casillas del horario'!$T$4:$T$73,"Aula 10-4"&amp;CHAR(31)&amp;$A6&amp;CHAR(31)&amp;B$3))-1)&amp;")",IF(ISNA(MATCH(1,INDEX(EXACT('Casillas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10-4"&amp;CHAR(31)&amp;$A6&amp;CHAR(31)&amp;B$3)*1,0),0)))))</f>
        <v/>
      </c>
      <c r="C6" s="3">
        <f>IF(SUMPRODUCT(1*EXACT('Casillas del horario'!$T$4:$T$73,"Aula 10-4"&amp;CHAR(31)&amp;$A6&amp;CHAR(31)&amp;C$3))&gt;1,IF(ISNA(MATCH(1,INDEX(EXACT('Casillas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10-4"&amp;CHAR(31)&amp;$A6&amp;CHAR(31)&amp;C$3)*1,0),0))))&amp;" (+"&amp;(SUMPRODUCT(1*EXACT('Casillas del horario'!$T$4:$T$73,"Aula 10-4"&amp;CHAR(31)&amp;$A6&amp;CHAR(31)&amp;C$3))-1)&amp;")",IF(ISNA(MATCH(1,INDEX(EXACT('Casillas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10-4"&amp;CHAR(31)&amp;$A6&amp;CHAR(31)&amp;C$3)*1,0),0)))))</f>
        <v/>
      </c>
      <c r="D6" s="3">
        <f>IF(SUMPRODUCT(1*EXACT('Casillas del horario'!$T$4:$T$73,"Aula 10-4"&amp;CHAR(31)&amp;$A6&amp;CHAR(31)&amp;D$3))&gt;1,IF(ISNA(MATCH(1,INDEX(EXACT('Casillas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10-4"&amp;CHAR(31)&amp;$A6&amp;CHAR(31)&amp;D$3)*1,0),0))))&amp;" (+"&amp;(SUMPRODUCT(1*EXACT('Casillas del horario'!$T$4:$T$73,"Aula 10-4"&amp;CHAR(31)&amp;$A6&amp;CHAR(31)&amp;D$3))-1)&amp;")",IF(ISNA(MATCH(1,INDEX(EXACT('Casillas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10-4"&amp;CHAR(31)&amp;$A6&amp;CHAR(31)&amp;D$3)*1,0),0)))))</f>
        <v/>
      </c>
      <c r="E6" s="3">
        <f>IF(SUMPRODUCT(1*EXACT('Casillas del horario'!$T$4:$T$73,"Aula 10-4"&amp;CHAR(31)&amp;$A6&amp;CHAR(31)&amp;E$3))&gt;1,IF(ISNA(MATCH(1,INDEX(EXACT('Casillas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10-4"&amp;CHAR(31)&amp;$A6&amp;CHAR(31)&amp;E$3)*1,0),0))))&amp;" (+"&amp;(SUMPRODUCT(1*EXACT('Casillas del horario'!$T$4:$T$73,"Aula 10-4"&amp;CHAR(31)&amp;$A6&amp;CHAR(31)&amp;E$3))-1)&amp;")",IF(ISNA(MATCH(1,INDEX(EXACT('Casillas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10-4"&amp;CHAR(31)&amp;$A6&amp;CHAR(31)&amp;E$3)*1,0),0)))))</f>
        <v/>
      </c>
      <c r="F6" s="3">
        <f>IF(SUMPRODUCT(1*EXACT('Casillas del horario'!$T$4:$T$73,"Aula 10-4"&amp;CHAR(31)&amp;$A6&amp;CHAR(31)&amp;F$3))&gt;1,IF(ISNA(MATCH(1,INDEX(EXACT('Casillas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10-4"&amp;CHAR(31)&amp;$A6&amp;CHAR(31)&amp;F$3)*1,0),0))))&amp;" (+"&amp;(SUMPRODUCT(1*EXACT('Casillas del horario'!$T$4:$T$73,"Aula 10-4"&amp;CHAR(31)&amp;$A6&amp;CHAR(31)&amp;F$3))-1)&amp;")",IF(ISNA(MATCH(1,INDEX(EXACT('Casillas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10-4"&amp;CHAR(31)&amp;$A6&amp;CHAR(31)&amp;F$3)*1,0),0)))))</f>
        <v/>
      </c>
    </row>
    <row r="7">
      <c r="A7" s="3" t="n">
        <v>4</v>
      </c>
      <c r="B7" s="3">
        <f>IF(SUMPRODUCT(1*EXACT('Casillas del horario'!$T$4:$T$73,"Aula 10-4"&amp;CHAR(31)&amp;$A7&amp;CHAR(31)&amp;B$3))&gt;1,IF(ISNA(MATCH(1,INDEX(EXACT('Casillas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10-4"&amp;CHAR(31)&amp;$A7&amp;CHAR(31)&amp;B$3)*1,0),0))))&amp;" (+"&amp;(SUMPRODUCT(1*EXACT('Casillas del horario'!$T$4:$T$73,"Aula 10-4"&amp;CHAR(31)&amp;$A7&amp;CHAR(31)&amp;B$3))-1)&amp;")",IF(ISNA(MATCH(1,INDEX(EXACT('Casillas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10-4"&amp;CHAR(31)&amp;$A7&amp;CHAR(31)&amp;B$3)*1,0),0)))))</f>
        <v/>
      </c>
      <c r="C7" s="3">
        <f>IF(SUMPRODUCT(1*EXACT('Casillas del horario'!$T$4:$T$73,"Aula 10-4"&amp;CHAR(31)&amp;$A7&amp;CHAR(31)&amp;C$3))&gt;1,IF(ISNA(MATCH(1,INDEX(EXACT('Casillas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10-4"&amp;CHAR(31)&amp;$A7&amp;CHAR(31)&amp;C$3)*1,0),0))))&amp;" (+"&amp;(SUMPRODUCT(1*EXACT('Casillas del horario'!$T$4:$T$73,"Aula 10-4"&amp;CHAR(31)&amp;$A7&amp;CHAR(31)&amp;C$3))-1)&amp;")",IF(ISNA(MATCH(1,INDEX(EXACT('Casillas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10-4"&amp;CHAR(31)&amp;$A7&amp;CHAR(31)&amp;C$3)*1,0),0)))))</f>
        <v/>
      </c>
      <c r="D7" s="3">
        <f>IF(SUMPRODUCT(1*EXACT('Casillas del horario'!$T$4:$T$73,"Aula 10-4"&amp;CHAR(31)&amp;$A7&amp;CHAR(31)&amp;D$3))&gt;1,IF(ISNA(MATCH(1,INDEX(EXACT('Casillas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10-4"&amp;CHAR(31)&amp;$A7&amp;CHAR(31)&amp;D$3)*1,0),0))))&amp;" (+"&amp;(SUMPRODUCT(1*EXACT('Casillas del horario'!$T$4:$T$73,"Aula 10-4"&amp;CHAR(31)&amp;$A7&amp;CHAR(31)&amp;D$3))-1)&amp;")",IF(ISNA(MATCH(1,INDEX(EXACT('Casillas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10-4"&amp;CHAR(31)&amp;$A7&amp;CHAR(31)&amp;D$3)*1,0),0)))))</f>
        <v/>
      </c>
      <c r="E7" s="3">
        <f>IF(SUMPRODUCT(1*EXACT('Casillas del horario'!$T$4:$T$73,"Aula 10-4"&amp;CHAR(31)&amp;$A7&amp;CHAR(31)&amp;E$3))&gt;1,IF(ISNA(MATCH(1,INDEX(EXACT('Casillas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10-4"&amp;CHAR(31)&amp;$A7&amp;CHAR(31)&amp;E$3)*1,0),0))))&amp;" (+"&amp;(SUMPRODUCT(1*EXACT('Casillas del horario'!$T$4:$T$73,"Aula 10-4"&amp;CHAR(31)&amp;$A7&amp;CHAR(31)&amp;E$3))-1)&amp;")",IF(ISNA(MATCH(1,INDEX(EXACT('Casillas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10-4"&amp;CHAR(31)&amp;$A7&amp;CHAR(31)&amp;E$3)*1,0),0)))))</f>
        <v/>
      </c>
      <c r="F7" s="3">
        <f>IF(SUMPRODUCT(1*EXACT('Casillas del horario'!$T$4:$T$73,"Aula 10-4"&amp;CHAR(31)&amp;$A7&amp;CHAR(31)&amp;F$3))&gt;1,IF(ISNA(MATCH(1,INDEX(EXACT('Casillas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10-4"&amp;CHAR(31)&amp;$A7&amp;CHAR(31)&amp;F$3)*1,0),0))))&amp;" (+"&amp;(SUMPRODUCT(1*EXACT('Casillas del horario'!$T$4:$T$73,"Aula 10-4"&amp;CHAR(31)&amp;$A7&amp;CHAR(31)&amp;F$3))-1)&amp;")",IF(ISNA(MATCH(1,INDEX(EXACT('Casillas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10-4"&amp;CHAR(31)&amp;$A7&amp;CHAR(31)&amp;F$3)*1,0),0)))))</f>
        <v/>
      </c>
    </row>
    <row r="8">
      <c r="A8" s="3" t="n">
        <v>5</v>
      </c>
      <c r="B8" s="3">
        <f>IF(SUMPRODUCT(1*EXACT('Casillas del horario'!$T$4:$T$73,"Aula 10-4"&amp;CHAR(31)&amp;$A8&amp;CHAR(31)&amp;B$3))&gt;1,IF(ISNA(MATCH(1,INDEX(EXACT('Casillas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10-4"&amp;CHAR(31)&amp;$A8&amp;CHAR(31)&amp;B$3)*1,0),0))))&amp;" (+"&amp;(SUMPRODUCT(1*EXACT('Casillas del horario'!$T$4:$T$73,"Aula 10-4"&amp;CHAR(31)&amp;$A8&amp;CHAR(31)&amp;B$3))-1)&amp;")",IF(ISNA(MATCH(1,INDEX(EXACT('Casillas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10-4"&amp;CHAR(31)&amp;$A8&amp;CHAR(31)&amp;B$3)*1,0),0)))))</f>
        <v/>
      </c>
      <c r="C8" s="3">
        <f>IF(SUMPRODUCT(1*EXACT('Casillas del horario'!$T$4:$T$73,"Aula 10-4"&amp;CHAR(31)&amp;$A8&amp;CHAR(31)&amp;C$3))&gt;1,IF(ISNA(MATCH(1,INDEX(EXACT('Casillas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10-4"&amp;CHAR(31)&amp;$A8&amp;CHAR(31)&amp;C$3)*1,0),0))))&amp;" (+"&amp;(SUMPRODUCT(1*EXACT('Casillas del horario'!$T$4:$T$73,"Aula 10-4"&amp;CHAR(31)&amp;$A8&amp;CHAR(31)&amp;C$3))-1)&amp;")",IF(ISNA(MATCH(1,INDEX(EXACT('Casillas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10-4"&amp;CHAR(31)&amp;$A8&amp;CHAR(31)&amp;C$3)*1,0),0)))))</f>
        <v/>
      </c>
      <c r="D8" s="3">
        <f>IF(SUMPRODUCT(1*EXACT('Casillas del horario'!$T$4:$T$73,"Aula 10-4"&amp;CHAR(31)&amp;$A8&amp;CHAR(31)&amp;D$3))&gt;1,IF(ISNA(MATCH(1,INDEX(EXACT('Casillas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10-4"&amp;CHAR(31)&amp;$A8&amp;CHAR(31)&amp;D$3)*1,0),0))))&amp;" (+"&amp;(SUMPRODUCT(1*EXACT('Casillas del horario'!$T$4:$T$73,"Aula 10-4"&amp;CHAR(31)&amp;$A8&amp;CHAR(31)&amp;D$3))-1)&amp;")",IF(ISNA(MATCH(1,INDEX(EXACT('Casillas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10-4"&amp;CHAR(31)&amp;$A8&amp;CHAR(31)&amp;D$3)*1,0),0)))))</f>
        <v/>
      </c>
      <c r="E8" s="3">
        <f>IF(SUMPRODUCT(1*EXACT('Casillas del horario'!$T$4:$T$73,"Aula 10-4"&amp;CHAR(31)&amp;$A8&amp;CHAR(31)&amp;E$3))&gt;1,IF(ISNA(MATCH(1,INDEX(EXACT('Casillas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10-4"&amp;CHAR(31)&amp;$A8&amp;CHAR(31)&amp;E$3)*1,0),0))))&amp;" (+"&amp;(SUMPRODUCT(1*EXACT('Casillas del horario'!$T$4:$T$73,"Aula 10-4"&amp;CHAR(31)&amp;$A8&amp;CHAR(31)&amp;E$3))-1)&amp;")",IF(ISNA(MATCH(1,INDEX(EXACT('Casillas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10-4"&amp;CHAR(31)&amp;$A8&amp;CHAR(31)&amp;E$3)*1,0),0)))))</f>
        <v/>
      </c>
      <c r="F8" s="3">
        <f>IF(SUMPRODUCT(1*EXACT('Casillas del horario'!$T$4:$T$73,"Aula 10-4"&amp;CHAR(31)&amp;$A8&amp;CHAR(31)&amp;F$3))&gt;1,IF(ISNA(MATCH(1,INDEX(EXACT('Casillas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10-4"&amp;CHAR(31)&amp;$A8&amp;CHAR(31)&amp;F$3)*1,0),0))))&amp;" (+"&amp;(SUMPRODUCT(1*EXACT('Casillas del horario'!$T$4:$T$73,"Aula 10-4"&amp;CHAR(31)&amp;$A8&amp;CHAR(31)&amp;F$3))-1)&amp;")",IF(ISNA(MATCH(1,INDEX(EXACT('Casillas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10-4"&amp;CHAR(31)&amp;$A8&amp;CHAR(31)&amp;F$3)*1,0),0)))))</f>
        <v/>
      </c>
    </row>
    <row r="9">
      <c r="A9" s="3" t="n">
        <v>6</v>
      </c>
      <c r="B9" s="3">
        <f>IF(SUMPRODUCT(1*EXACT('Casillas del horario'!$T$4:$T$73,"Aula 10-4"&amp;CHAR(31)&amp;$A9&amp;CHAR(31)&amp;B$3))&gt;1,IF(ISNA(MATCH(1,INDEX(EXACT('Casillas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10-4"&amp;CHAR(31)&amp;$A9&amp;CHAR(31)&amp;B$3)*1,0),0))))&amp;" (+"&amp;(SUMPRODUCT(1*EXACT('Casillas del horario'!$T$4:$T$73,"Aula 10-4"&amp;CHAR(31)&amp;$A9&amp;CHAR(31)&amp;B$3))-1)&amp;")",IF(ISNA(MATCH(1,INDEX(EXACT('Casillas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10-4"&amp;CHAR(31)&amp;$A9&amp;CHAR(31)&amp;B$3)*1,0),0)))))</f>
        <v/>
      </c>
      <c r="C9" s="3">
        <f>IF(SUMPRODUCT(1*EXACT('Casillas del horario'!$T$4:$T$73,"Aula 10-4"&amp;CHAR(31)&amp;$A9&amp;CHAR(31)&amp;C$3))&gt;1,IF(ISNA(MATCH(1,INDEX(EXACT('Casillas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10-4"&amp;CHAR(31)&amp;$A9&amp;CHAR(31)&amp;C$3)*1,0),0))))&amp;" (+"&amp;(SUMPRODUCT(1*EXACT('Casillas del horario'!$T$4:$T$73,"Aula 10-4"&amp;CHAR(31)&amp;$A9&amp;CHAR(31)&amp;C$3))-1)&amp;")",IF(ISNA(MATCH(1,INDEX(EXACT('Casillas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10-4"&amp;CHAR(31)&amp;$A9&amp;CHAR(31)&amp;C$3)*1,0),0)))))</f>
        <v/>
      </c>
      <c r="D9" s="3">
        <f>IF(SUMPRODUCT(1*EXACT('Casillas del horario'!$T$4:$T$73,"Aula 10-4"&amp;CHAR(31)&amp;$A9&amp;CHAR(31)&amp;D$3))&gt;1,IF(ISNA(MATCH(1,INDEX(EXACT('Casillas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10-4"&amp;CHAR(31)&amp;$A9&amp;CHAR(31)&amp;D$3)*1,0),0))))&amp;" (+"&amp;(SUMPRODUCT(1*EXACT('Casillas del horario'!$T$4:$T$73,"Aula 10-4"&amp;CHAR(31)&amp;$A9&amp;CHAR(31)&amp;D$3))-1)&amp;")",IF(ISNA(MATCH(1,INDEX(EXACT('Casillas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10-4"&amp;CHAR(31)&amp;$A9&amp;CHAR(31)&amp;D$3)*1,0),0)))))</f>
        <v/>
      </c>
      <c r="E9" s="3">
        <f>IF(SUMPRODUCT(1*EXACT('Casillas del horario'!$T$4:$T$73,"Aula 10-4"&amp;CHAR(31)&amp;$A9&amp;CHAR(31)&amp;E$3))&gt;1,IF(ISNA(MATCH(1,INDEX(EXACT('Casillas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10-4"&amp;CHAR(31)&amp;$A9&amp;CHAR(31)&amp;E$3)*1,0),0))))&amp;" (+"&amp;(SUMPRODUCT(1*EXACT('Casillas del horario'!$T$4:$T$73,"Aula 10-4"&amp;CHAR(31)&amp;$A9&amp;CHAR(31)&amp;E$3))-1)&amp;")",IF(ISNA(MATCH(1,INDEX(EXACT('Casillas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10-4"&amp;CHAR(31)&amp;$A9&amp;CHAR(31)&amp;E$3)*1,0),0)))))</f>
        <v/>
      </c>
      <c r="F9" s="3">
        <f>IF(SUMPRODUCT(1*EXACT('Casillas del horario'!$T$4:$T$73,"Aula 10-4"&amp;CHAR(31)&amp;$A9&amp;CHAR(31)&amp;F$3))&gt;1,IF(ISNA(MATCH(1,INDEX(EXACT('Casillas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10-4"&amp;CHAR(31)&amp;$A9&amp;CHAR(31)&amp;F$3)*1,0),0))))&amp;" (+"&amp;(SUMPRODUCT(1*EXACT('Casillas del horario'!$T$4:$T$73,"Aula 10-4"&amp;CHAR(31)&amp;$A9&amp;CHAR(31)&amp;F$3))-1)&amp;")",IF(ISNA(MATCH(1,INDEX(EXACT('Casillas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10-4"&amp;CHAR(31)&amp;$A9&amp;CHAR(31)&amp;F$3)*1,0),0)))))</f>
        <v/>
      </c>
    </row>
    <row r="10">
      <c r="A10" s="3" t="n">
        <v>7</v>
      </c>
      <c r="B10" s="3">
        <f>IF(SUMPRODUCT(1*EXACT('Casillas del horario'!$T$4:$T$73,"Aula 10-4"&amp;CHAR(31)&amp;$A10&amp;CHAR(31)&amp;B$3))&gt;1,IF(ISNA(MATCH(1,INDEX(EXACT('Casillas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10-4"&amp;CHAR(31)&amp;$A10&amp;CHAR(31)&amp;B$3)*1,0),0))))&amp;" (+"&amp;(SUMPRODUCT(1*EXACT('Casillas del horario'!$T$4:$T$73,"Aula 10-4"&amp;CHAR(31)&amp;$A10&amp;CHAR(31)&amp;B$3))-1)&amp;")",IF(ISNA(MATCH(1,INDEX(EXACT('Casillas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10-4"&amp;CHAR(31)&amp;$A10&amp;CHAR(31)&amp;B$3)*1,0),0)))))</f>
        <v/>
      </c>
      <c r="C10" s="3">
        <f>IF(SUMPRODUCT(1*EXACT('Casillas del horario'!$T$4:$T$73,"Aula 10-4"&amp;CHAR(31)&amp;$A10&amp;CHAR(31)&amp;C$3))&gt;1,IF(ISNA(MATCH(1,INDEX(EXACT('Casillas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10-4"&amp;CHAR(31)&amp;$A10&amp;CHAR(31)&amp;C$3)*1,0),0))))&amp;" (+"&amp;(SUMPRODUCT(1*EXACT('Casillas del horario'!$T$4:$T$73,"Aula 10-4"&amp;CHAR(31)&amp;$A10&amp;CHAR(31)&amp;C$3))-1)&amp;")",IF(ISNA(MATCH(1,INDEX(EXACT('Casillas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10-4"&amp;CHAR(31)&amp;$A10&amp;CHAR(31)&amp;C$3)*1,0),0)))))</f>
        <v/>
      </c>
      <c r="D10" s="3">
        <f>IF(SUMPRODUCT(1*EXACT('Casillas del horario'!$T$4:$T$73,"Aula 10-4"&amp;CHAR(31)&amp;$A10&amp;CHAR(31)&amp;D$3))&gt;1,IF(ISNA(MATCH(1,INDEX(EXACT('Casillas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10-4"&amp;CHAR(31)&amp;$A10&amp;CHAR(31)&amp;D$3)*1,0),0))))&amp;" (+"&amp;(SUMPRODUCT(1*EXACT('Casillas del horario'!$T$4:$T$73,"Aula 10-4"&amp;CHAR(31)&amp;$A10&amp;CHAR(31)&amp;D$3))-1)&amp;")",IF(ISNA(MATCH(1,INDEX(EXACT('Casillas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10-4"&amp;CHAR(31)&amp;$A10&amp;CHAR(31)&amp;D$3)*1,0),0)))))</f>
        <v/>
      </c>
      <c r="E10" s="3">
        <f>IF(SUMPRODUCT(1*EXACT('Casillas del horario'!$T$4:$T$73,"Aula 10-4"&amp;CHAR(31)&amp;$A10&amp;CHAR(31)&amp;E$3))&gt;1,IF(ISNA(MATCH(1,INDEX(EXACT('Casillas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10-4"&amp;CHAR(31)&amp;$A10&amp;CHAR(31)&amp;E$3)*1,0),0))))&amp;" (+"&amp;(SUMPRODUCT(1*EXACT('Casillas del horario'!$T$4:$T$73,"Aula 10-4"&amp;CHAR(31)&amp;$A10&amp;CHAR(31)&amp;E$3))-1)&amp;")",IF(ISNA(MATCH(1,INDEX(EXACT('Casillas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10-4"&amp;CHAR(31)&amp;$A10&amp;CHAR(31)&amp;E$3)*1,0),0)))))</f>
        <v/>
      </c>
      <c r="F10" s="3">
        <f>IF(SUMPRODUCT(1*EXACT('Casillas del horario'!$T$4:$T$73,"Aula 10-4"&amp;CHAR(31)&amp;$A10&amp;CHAR(31)&amp;F$3))&gt;1,IF(ISNA(MATCH(1,INDEX(EXACT('Casillas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10-4"&amp;CHAR(31)&amp;$A10&amp;CHAR(31)&amp;F$3)*1,0),0))))&amp;" (+"&amp;(SUMPRODUCT(1*EXACT('Casillas del horario'!$T$4:$T$73,"Aula 10-4"&amp;CHAR(31)&amp;$A10&amp;CHAR(31)&amp;F$3))-1)&amp;")",IF(ISNA(MATCH(1,INDEX(EXACT('Casillas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10-4"&amp;CHAR(31)&amp;$A4&amp;CHAR(31)&amp;B$3)*1,0),0)),0)=3</formula>
    </cfRule>
    <cfRule type="expression" priority="2" dxfId="1" stopIfTrue="0">
      <formula>IFERROR(INDEX('Casillas del horario'!$Q$4:$Q$73,MATCH(1,INDEX(EXACT('Casillas del horario'!$T$4:$T$73,"Aula 10-4"&amp;CHAR(31)&amp;$A4&amp;CHAR(31)&amp;B$3)*1,0),0)),0)=2</formula>
    </cfRule>
    <cfRule type="expression" priority="3" dxfId="2" stopIfTrue="0">
      <formula>IFERROR(INDEX('Casillas del horario'!$Q$4:$Q$73,MATCH(1,INDEX(EXACT('Casillas del horario'!$T$4:$T$73,"Aula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aula - Laboratorio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horario'!$T$4:$T$73,"Laboratorio"&amp;CHAR(31)&amp;$A4&amp;CHAR(31)&amp;B$3))&gt;1,IF(ISNA(MATCH(1,INDEX(EXACT('Casillas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horario'!$T$4:$T$73,"Laboratorio"&amp;CHAR(31)&amp;$A4&amp;CHAR(31)&amp;B$3)*1,0),0))))&amp;" (+"&amp;(SUMPRODUCT(1*EXACT('Casillas del horario'!$T$4:$T$73,"Laboratorio"&amp;CHAR(31)&amp;$A4&amp;CHAR(31)&amp;B$3))-1)&amp;")",IF(ISNA(MATCH(1,INDEX(EXACT('Casillas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horario'!$T$4:$T$73,"Laboratorio"&amp;CHAR(31)&amp;$A4&amp;CHAR(31)&amp;B$3)*1,0),0)))))</f>
        <v/>
      </c>
      <c r="C4" s="3">
        <f>IF(SUMPRODUCT(1*EXACT('Casillas del horario'!$T$4:$T$73,"Laboratorio"&amp;CHAR(31)&amp;$A4&amp;CHAR(31)&amp;C$3))&gt;1,IF(ISNA(MATCH(1,INDEX(EXACT('Casillas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horario'!$T$4:$T$73,"Laboratorio"&amp;CHAR(31)&amp;$A4&amp;CHAR(31)&amp;C$3)*1,0),0))))&amp;" (+"&amp;(SUMPRODUCT(1*EXACT('Casillas del horario'!$T$4:$T$73,"Laboratorio"&amp;CHAR(31)&amp;$A4&amp;CHAR(31)&amp;C$3))-1)&amp;")",IF(ISNA(MATCH(1,INDEX(EXACT('Casillas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horario'!$T$4:$T$73,"Laboratorio"&amp;CHAR(31)&amp;$A4&amp;CHAR(31)&amp;C$3)*1,0),0)))))</f>
        <v/>
      </c>
      <c r="D4" s="3">
        <f>IF(SUMPRODUCT(1*EXACT('Casillas del horario'!$T$4:$T$73,"Laboratorio"&amp;CHAR(31)&amp;$A4&amp;CHAR(31)&amp;D$3))&gt;1,IF(ISNA(MATCH(1,INDEX(EXACT('Casillas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horario'!$T$4:$T$73,"Laboratorio"&amp;CHAR(31)&amp;$A4&amp;CHAR(31)&amp;D$3)*1,0),0))))&amp;" (+"&amp;(SUMPRODUCT(1*EXACT('Casillas del horario'!$T$4:$T$73,"Laboratorio"&amp;CHAR(31)&amp;$A4&amp;CHAR(31)&amp;D$3))-1)&amp;")",IF(ISNA(MATCH(1,INDEX(EXACT('Casillas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horario'!$T$4:$T$73,"Laboratorio"&amp;CHAR(31)&amp;$A4&amp;CHAR(31)&amp;D$3)*1,0),0)))))</f>
        <v/>
      </c>
      <c r="E4" s="3">
        <f>IF(SUMPRODUCT(1*EXACT('Casillas del horario'!$T$4:$T$73,"Laboratorio"&amp;CHAR(31)&amp;$A4&amp;CHAR(31)&amp;E$3))&gt;1,IF(ISNA(MATCH(1,INDEX(EXACT('Casillas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horario'!$T$4:$T$73,"Laboratorio"&amp;CHAR(31)&amp;$A4&amp;CHAR(31)&amp;E$3)*1,0),0))))&amp;" (+"&amp;(SUMPRODUCT(1*EXACT('Casillas del horario'!$T$4:$T$73,"Laboratorio"&amp;CHAR(31)&amp;$A4&amp;CHAR(31)&amp;E$3))-1)&amp;")",IF(ISNA(MATCH(1,INDEX(EXACT('Casillas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horario'!$T$4:$T$73,"Laboratorio"&amp;CHAR(31)&amp;$A4&amp;CHAR(31)&amp;E$3)*1,0),0)))))</f>
        <v/>
      </c>
      <c r="F4" s="3">
        <f>IF(SUMPRODUCT(1*EXACT('Casillas del horario'!$T$4:$T$73,"Laboratorio"&amp;CHAR(31)&amp;$A4&amp;CHAR(31)&amp;F$3))&gt;1,IF(ISNA(MATCH(1,INDEX(EXACT('Casillas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horario'!$T$4:$T$73,"Laboratorio"&amp;CHAR(31)&amp;$A4&amp;CHAR(31)&amp;F$3)*1,0),0))))&amp;" (+"&amp;(SUMPRODUCT(1*EXACT('Casillas del horario'!$T$4:$T$73,"Laboratorio"&amp;CHAR(31)&amp;$A4&amp;CHAR(31)&amp;F$3))-1)&amp;")",IF(ISNA(MATCH(1,INDEX(EXACT('Casillas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horario'!$T$4:$T$73,"Laboratorio"&amp;CHAR(31)&amp;$A4&amp;CHAR(31)&amp;F$3)*1,0),0)))))</f>
        <v/>
      </c>
    </row>
    <row r="5">
      <c r="A5" s="3" t="n">
        <v>2</v>
      </c>
      <c r="B5" s="3">
        <f>IF(SUMPRODUCT(1*EXACT('Casillas del horario'!$T$4:$T$73,"Laboratorio"&amp;CHAR(31)&amp;$A5&amp;CHAR(31)&amp;B$3))&gt;1,IF(ISNA(MATCH(1,INDEX(EXACT('Casillas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horario'!$T$4:$T$73,"Laboratorio"&amp;CHAR(31)&amp;$A5&amp;CHAR(31)&amp;B$3)*1,0),0))))&amp;" (+"&amp;(SUMPRODUCT(1*EXACT('Casillas del horario'!$T$4:$T$73,"Laboratorio"&amp;CHAR(31)&amp;$A5&amp;CHAR(31)&amp;B$3))-1)&amp;")",IF(ISNA(MATCH(1,INDEX(EXACT('Casillas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horario'!$T$4:$T$73,"Laboratorio"&amp;CHAR(31)&amp;$A5&amp;CHAR(31)&amp;B$3)*1,0),0)))))</f>
        <v/>
      </c>
      <c r="C5" s="3">
        <f>IF(SUMPRODUCT(1*EXACT('Casillas del horario'!$T$4:$T$73,"Laboratorio"&amp;CHAR(31)&amp;$A5&amp;CHAR(31)&amp;C$3))&gt;1,IF(ISNA(MATCH(1,INDEX(EXACT('Casillas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horario'!$T$4:$T$73,"Laboratorio"&amp;CHAR(31)&amp;$A5&amp;CHAR(31)&amp;C$3)*1,0),0))))&amp;" (+"&amp;(SUMPRODUCT(1*EXACT('Casillas del horario'!$T$4:$T$73,"Laboratorio"&amp;CHAR(31)&amp;$A5&amp;CHAR(31)&amp;C$3))-1)&amp;")",IF(ISNA(MATCH(1,INDEX(EXACT('Casillas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horario'!$T$4:$T$73,"Laboratorio"&amp;CHAR(31)&amp;$A5&amp;CHAR(31)&amp;C$3)*1,0),0)))))</f>
        <v/>
      </c>
      <c r="D5" s="3">
        <f>IF(SUMPRODUCT(1*EXACT('Casillas del horario'!$T$4:$T$73,"Laboratorio"&amp;CHAR(31)&amp;$A5&amp;CHAR(31)&amp;D$3))&gt;1,IF(ISNA(MATCH(1,INDEX(EXACT('Casillas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horario'!$T$4:$T$73,"Laboratorio"&amp;CHAR(31)&amp;$A5&amp;CHAR(31)&amp;D$3)*1,0),0))))&amp;" (+"&amp;(SUMPRODUCT(1*EXACT('Casillas del horario'!$T$4:$T$73,"Laboratorio"&amp;CHAR(31)&amp;$A5&amp;CHAR(31)&amp;D$3))-1)&amp;")",IF(ISNA(MATCH(1,INDEX(EXACT('Casillas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horario'!$T$4:$T$73,"Laboratorio"&amp;CHAR(31)&amp;$A5&amp;CHAR(31)&amp;D$3)*1,0),0)))))</f>
        <v/>
      </c>
      <c r="E5" s="3">
        <f>IF(SUMPRODUCT(1*EXACT('Casillas del horario'!$T$4:$T$73,"Laboratorio"&amp;CHAR(31)&amp;$A5&amp;CHAR(31)&amp;E$3))&gt;1,IF(ISNA(MATCH(1,INDEX(EXACT('Casillas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horario'!$T$4:$T$73,"Laboratorio"&amp;CHAR(31)&amp;$A5&amp;CHAR(31)&amp;E$3)*1,0),0))))&amp;" (+"&amp;(SUMPRODUCT(1*EXACT('Casillas del horario'!$T$4:$T$73,"Laboratorio"&amp;CHAR(31)&amp;$A5&amp;CHAR(31)&amp;E$3))-1)&amp;")",IF(ISNA(MATCH(1,INDEX(EXACT('Casillas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horario'!$T$4:$T$73,"Laboratorio"&amp;CHAR(31)&amp;$A5&amp;CHAR(31)&amp;E$3)*1,0),0)))))</f>
        <v/>
      </c>
      <c r="F5" s="3">
        <f>IF(SUMPRODUCT(1*EXACT('Casillas del horario'!$T$4:$T$73,"Laboratorio"&amp;CHAR(31)&amp;$A5&amp;CHAR(31)&amp;F$3))&gt;1,IF(ISNA(MATCH(1,INDEX(EXACT('Casillas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horario'!$T$4:$T$73,"Laboratorio"&amp;CHAR(31)&amp;$A5&amp;CHAR(31)&amp;F$3)*1,0),0))))&amp;" (+"&amp;(SUMPRODUCT(1*EXACT('Casillas del horario'!$T$4:$T$73,"Laboratorio"&amp;CHAR(31)&amp;$A5&amp;CHAR(31)&amp;F$3))-1)&amp;")",IF(ISNA(MATCH(1,INDEX(EXACT('Casillas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horario'!$T$4:$T$73,"Laboratorio"&amp;CHAR(31)&amp;$A5&amp;CHAR(31)&amp;F$3)*1,0),0)))))</f>
        <v/>
      </c>
    </row>
    <row r="6">
      <c r="A6" s="3" t="n">
        <v>3</v>
      </c>
      <c r="B6" s="3">
        <f>IF(SUMPRODUCT(1*EXACT('Casillas del horario'!$T$4:$T$73,"Laboratorio"&amp;CHAR(31)&amp;$A6&amp;CHAR(31)&amp;B$3))&gt;1,IF(ISNA(MATCH(1,INDEX(EXACT('Casillas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horario'!$T$4:$T$73,"Laboratorio"&amp;CHAR(31)&amp;$A6&amp;CHAR(31)&amp;B$3)*1,0),0))))&amp;" (+"&amp;(SUMPRODUCT(1*EXACT('Casillas del horario'!$T$4:$T$73,"Laboratorio"&amp;CHAR(31)&amp;$A6&amp;CHAR(31)&amp;B$3))-1)&amp;")",IF(ISNA(MATCH(1,INDEX(EXACT('Casillas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horario'!$T$4:$T$73,"Laboratorio"&amp;CHAR(31)&amp;$A6&amp;CHAR(31)&amp;B$3)*1,0),0)))))</f>
        <v/>
      </c>
      <c r="C6" s="3">
        <f>IF(SUMPRODUCT(1*EXACT('Casillas del horario'!$T$4:$T$73,"Laboratorio"&amp;CHAR(31)&amp;$A6&amp;CHAR(31)&amp;C$3))&gt;1,IF(ISNA(MATCH(1,INDEX(EXACT('Casillas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horario'!$T$4:$T$73,"Laboratorio"&amp;CHAR(31)&amp;$A6&amp;CHAR(31)&amp;C$3)*1,0),0))))&amp;" (+"&amp;(SUMPRODUCT(1*EXACT('Casillas del horario'!$T$4:$T$73,"Laboratorio"&amp;CHAR(31)&amp;$A6&amp;CHAR(31)&amp;C$3))-1)&amp;")",IF(ISNA(MATCH(1,INDEX(EXACT('Casillas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horario'!$T$4:$T$73,"Laboratorio"&amp;CHAR(31)&amp;$A6&amp;CHAR(31)&amp;C$3)*1,0),0)))))</f>
        <v/>
      </c>
      <c r="D6" s="3">
        <f>IF(SUMPRODUCT(1*EXACT('Casillas del horario'!$T$4:$T$73,"Laboratorio"&amp;CHAR(31)&amp;$A6&amp;CHAR(31)&amp;D$3))&gt;1,IF(ISNA(MATCH(1,INDEX(EXACT('Casillas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horario'!$T$4:$T$73,"Laboratorio"&amp;CHAR(31)&amp;$A6&amp;CHAR(31)&amp;D$3)*1,0),0))))&amp;" (+"&amp;(SUMPRODUCT(1*EXACT('Casillas del horario'!$T$4:$T$73,"Laboratorio"&amp;CHAR(31)&amp;$A6&amp;CHAR(31)&amp;D$3))-1)&amp;")",IF(ISNA(MATCH(1,INDEX(EXACT('Casillas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horario'!$T$4:$T$73,"Laboratorio"&amp;CHAR(31)&amp;$A6&amp;CHAR(31)&amp;D$3)*1,0),0)))))</f>
        <v/>
      </c>
      <c r="E6" s="3">
        <f>IF(SUMPRODUCT(1*EXACT('Casillas del horario'!$T$4:$T$73,"Laboratorio"&amp;CHAR(31)&amp;$A6&amp;CHAR(31)&amp;E$3))&gt;1,IF(ISNA(MATCH(1,INDEX(EXACT('Casillas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horario'!$T$4:$T$73,"Laboratorio"&amp;CHAR(31)&amp;$A6&amp;CHAR(31)&amp;E$3)*1,0),0))))&amp;" (+"&amp;(SUMPRODUCT(1*EXACT('Casillas del horario'!$T$4:$T$73,"Laboratorio"&amp;CHAR(31)&amp;$A6&amp;CHAR(31)&amp;E$3))-1)&amp;")",IF(ISNA(MATCH(1,INDEX(EXACT('Casillas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horario'!$T$4:$T$73,"Laboratorio"&amp;CHAR(31)&amp;$A6&amp;CHAR(31)&amp;E$3)*1,0),0)))))</f>
        <v/>
      </c>
      <c r="F6" s="3">
        <f>IF(SUMPRODUCT(1*EXACT('Casillas del horario'!$T$4:$T$73,"Laboratorio"&amp;CHAR(31)&amp;$A6&amp;CHAR(31)&amp;F$3))&gt;1,IF(ISNA(MATCH(1,INDEX(EXACT('Casillas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horario'!$T$4:$T$73,"Laboratorio"&amp;CHAR(31)&amp;$A6&amp;CHAR(31)&amp;F$3)*1,0),0))))&amp;" (+"&amp;(SUMPRODUCT(1*EXACT('Casillas del horario'!$T$4:$T$73,"Laboratorio"&amp;CHAR(31)&amp;$A6&amp;CHAR(31)&amp;F$3))-1)&amp;")",IF(ISNA(MATCH(1,INDEX(EXACT('Casillas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horario'!$T$4:$T$73,"Laboratorio"&amp;CHAR(31)&amp;$A6&amp;CHAR(31)&amp;F$3)*1,0),0)))))</f>
        <v/>
      </c>
    </row>
    <row r="7">
      <c r="A7" s="3" t="n">
        <v>4</v>
      </c>
      <c r="B7" s="3">
        <f>IF(SUMPRODUCT(1*EXACT('Casillas del horario'!$T$4:$T$73,"Laboratorio"&amp;CHAR(31)&amp;$A7&amp;CHAR(31)&amp;B$3))&gt;1,IF(ISNA(MATCH(1,INDEX(EXACT('Casillas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horario'!$T$4:$T$73,"Laboratorio"&amp;CHAR(31)&amp;$A7&amp;CHAR(31)&amp;B$3)*1,0),0))))&amp;" (+"&amp;(SUMPRODUCT(1*EXACT('Casillas del horario'!$T$4:$T$73,"Laboratorio"&amp;CHAR(31)&amp;$A7&amp;CHAR(31)&amp;B$3))-1)&amp;")",IF(ISNA(MATCH(1,INDEX(EXACT('Casillas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horario'!$T$4:$T$73,"Laboratorio"&amp;CHAR(31)&amp;$A7&amp;CHAR(31)&amp;B$3)*1,0),0)))))</f>
        <v/>
      </c>
      <c r="C7" s="3">
        <f>IF(SUMPRODUCT(1*EXACT('Casillas del horario'!$T$4:$T$73,"Laboratorio"&amp;CHAR(31)&amp;$A7&amp;CHAR(31)&amp;C$3))&gt;1,IF(ISNA(MATCH(1,INDEX(EXACT('Casillas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horario'!$T$4:$T$73,"Laboratorio"&amp;CHAR(31)&amp;$A7&amp;CHAR(31)&amp;C$3)*1,0),0))))&amp;" (+"&amp;(SUMPRODUCT(1*EXACT('Casillas del horario'!$T$4:$T$73,"Laboratorio"&amp;CHAR(31)&amp;$A7&amp;CHAR(31)&amp;C$3))-1)&amp;")",IF(ISNA(MATCH(1,INDEX(EXACT('Casillas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horario'!$T$4:$T$73,"Laboratorio"&amp;CHAR(31)&amp;$A7&amp;CHAR(31)&amp;C$3)*1,0),0)))))</f>
        <v/>
      </c>
      <c r="D7" s="3">
        <f>IF(SUMPRODUCT(1*EXACT('Casillas del horario'!$T$4:$T$73,"Laboratorio"&amp;CHAR(31)&amp;$A7&amp;CHAR(31)&amp;D$3))&gt;1,IF(ISNA(MATCH(1,INDEX(EXACT('Casillas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horario'!$T$4:$T$73,"Laboratorio"&amp;CHAR(31)&amp;$A7&amp;CHAR(31)&amp;D$3)*1,0),0))))&amp;" (+"&amp;(SUMPRODUCT(1*EXACT('Casillas del horario'!$T$4:$T$73,"Laboratorio"&amp;CHAR(31)&amp;$A7&amp;CHAR(31)&amp;D$3))-1)&amp;")",IF(ISNA(MATCH(1,INDEX(EXACT('Casillas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horario'!$T$4:$T$73,"Laboratorio"&amp;CHAR(31)&amp;$A7&amp;CHAR(31)&amp;D$3)*1,0),0)))))</f>
        <v/>
      </c>
      <c r="E7" s="3">
        <f>IF(SUMPRODUCT(1*EXACT('Casillas del horario'!$T$4:$T$73,"Laboratorio"&amp;CHAR(31)&amp;$A7&amp;CHAR(31)&amp;E$3))&gt;1,IF(ISNA(MATCH(1,INDEX(EXACT('Casillas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horario'!$T$4:$T$73,"Laboratorio"&amp;CHAR(31)&amp;$A7&amp;CHAR(31)&amp;E$3)*1,0),0))))&amp;" (+"&amp;(SUMPRODUCT(1*EXACT('Casillas del horario'!$T$4:$T$73,"Laboratorio"&amp;CHAR(31)&amp;$A7&amp;CHAR(31)&amp;E$3))-1)&amp;")",IF(ISNA(MATCH(1,INDEX(EXACT('Casillas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horario'!$T$4:$T$73,"Laboratorio"&amp;CHAR(31)&amp;$A7&amp;CHAR(31)&amp;E$3)*1,0),0)))))</f>
        <v/>
      </c>
      <c r="F7" s="3">
        <f>IF(SUMPRODUCT(1*EXACT('Casillas del horario'!$T$4:$T$73,"Laboratorio"&amp;CHAR(31)&amp;$A7&amp;CHAR(31)&amp;F$3))&gt;1,IF(ISNA(MATCH(1,INDEX(EXACT('Casillas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horario'!$T$4:$T$73,"Laboratorio"&amp;CHAR(31)&amp;$A7&amp;CHAR(31)&amp;F$3)*1,0),0))))&amp;" (+"&amp;(SUMPRODUCT(1*EXACT('Casillas del horario'!$T$4:$T$73,"Laboratorio"&amp;CHAR(31)&amp;$A7&amp;CHAR(31)&amp;F$3))-1)&amp;")",IF(ISNA(MATCH(1,INDEX(EXACT('Casillas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horario'!$T$4:$T$73,"Laboratorio"&amp;CHAR(31)&amp;$A7&amp;CHAR(31)&amp;F$3)*1,0),0)))))</f>
        <v/>
      </c>
    </row>
    <row r="8">
      <c r="A8" s="3" t="n">
        <v>5</v>
      </c>
      <c r="B8" s="3">
        <f>IF(SUMPRODUCT(1*EXACT('Casillas del horario'!$T$4:$T$73,"Laboratorio"&amp;CHAR(31)&amp;$A8&amp;CHAR(31)&amp;B$3))&gt;1,IF(ISNA(MATCH(1,INDEX(EXACT('Casillas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horario'!$T$4:$T$73,"Laboratorio"&amp;CHAR(31)&amp;$A8&amp;CHAR(31)&amp;B$3)*1,0),0))))&amp;" (+"&amp;(SUMPRODUCT(1*EXACT('Casillas del horario'!$T$4:$T$73,"Laboratorio"&amp;CHAR(31)&amp;$A8&amp;CHAR(31)&amp;B$3))-1)&amp;")",IF(ISNA(MATCH(1,INDEX(EXACT('Casillas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horario'!$T$4:$T$73,"Laboratorio"&amp;CHAR(31)&amp;$A8&amp;CHAR(31)&amp;B$3)*1,0),0)))))</f>
        <v/>
      </c>
      <c r="C8" s="3">
        <f>IF(SUMPRODUCT(1*EXACT('Casillas del horario'!$T$4:$T$73,"Laboratorio"&amp;CHAR(31)&amp;$A8&amp;CHAR(31)&amp;C$3))&gt;1,IF(ISNA(MATCH(1,INDEX(EXACT('Casillas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horario'!$T$4:$T$73,"Laboratorio"&amp;CHAR(31)&amp;$A8&amp;CHAR(31)&amp;C$3)*1,0),0))))&amp;" (+"&amp;(SUMPRODUCT(1*EXACT('Casillas del horario'!$T$4:$T$73,"Laboratorio"&amp;CHAR(31)&amp;$A8&amp;CHAR(31)&amp;C$3))-1)&amp;")",IF(ISNA(MATCH(1,INDEX(EXACT('Casillas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horario'!$T$4:$T$73,"Laboratorio"&amp;CHAR(31)&amp;$A8&amp;CHAR(31)&amp;C$3)*1,0),0)))))</f>
        <v/>
      </c>
      <c r="D8" s="3">
        <f>IF(SUMPRODUCT(1*EXACT('Casillas del horario'!$T$4:$T$73,"Laboratorio"&amp;CHAR(31)&amp;$A8&amp;CHAR(31)&amp;D$3))&gt;1,IF(ISNA(MATCH(1,INDEX(EXACT('Casillas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horario'!$T$4:$T$73,"Laboratorio"&amp;CHAR(31)&amp;$A8&amp;CHAR(31)&amp;D$3)*1,0),0))))&amp;" (+"&amp;(SUMPRODUCT(1*EXACT('Casillas del horario'!$T$4:$T$73,"Laboratorio"&amp;CHAR(31)&amp;$A8&amp;CHAR(31)&amp;D$3))-1)&amp;")",IF(ISNA(MATCH(1,INDEX(EXACT('Casillas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horario'!$T$4:$T$73,"Laboratorio"&amp;CHAR(31)&amp;$A8&amp;CHAR(31)&amp;D$3)*1,0),0)))))</f>
        <v/>
      </c>
      <c r="E8" s="3">
        <f>IF(SUMPRODUCT(1*EXACT('Casillas del horario'!$T$4:$T$73,"Laboratorio"&amp;CHAR(31)&amp;$A8&amp;CHAR(31)&amp;E$3))&gt;1,IF(ISNA(MATCH(1,INDEX(EXACT('Casillas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horario'!$T$4:$T$73,"Laboratorio"&amp;CHAR(31)&amp;$A8&amp;CHAR(31)&amp;E$3)*1,0),0))))&amp;" (+"&amp;(SUMPRODUCT(1*EXACT('Casillas del horario'!$T$4:$T$73,"Laboratorio"&amp;CHAR(31)&amp;$A8&amp;CHAR(31)&amp;E$3))-1)&amp;")",IF(ISNA(MATCH(1,INDEX(EXACT('Casillas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horario'!$T$4:$T$73,"Laboratorio"&amp;CHAR(31)&amp;$A8&amp;CHAR(31)&amp;E$3)*1,0),0)))))</f>
        <v/>
      </c>
      <c r="F8" s="3">
        <f>IF(SUMPRODUCT(1*EXACT('Casillas del horario'!$T$4:$T$73,"Laboratorio"&amp;CHAR(31)&amp;$A8&amp;CHAR(31)&amp;F$3))&gt;1,IF(ISNA(MATCH(1,INDEX(EXACT('Casillas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horario'!$T$4:$T$73,"Laboratorio"&amp;CHAR(31)&amp;$A8&amp;CHAR(31)&amp;F$3)*1,0),0))))&amp;" (+"&amp;(SUMPRODUCT(1*EXACT('Casillas del horario'!$T$4:$T$73,"Laboratorio"&amp;CHAR(31)&amp;$A8&amp;CHAR(31)&amp;F$3))-1)&amp;")",IF(ISNA(MATCH(1,INDEX(EXACT('Casillas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horario'!$T$4:$T$73,"Laboratorio"&amp;CHAR(31)&amp;$A8&amp;CHAR(31)&amp;F$3)*1,0),0)))))</f>
        <v/>
      </c>
    </row>
    <row r="9">
      <c r="A9" s="3" t="n">
        <v>6</v>
      </c>
      <c r="B9" s="3">
        <f>IF(SUMPRODUCT(1*EXACT('Casillas del horario'!$T$4:$T$73,"Laboratorio"&amp;CHAR(31)&amp;$A9&amp;CHAR(31)&amp;B$3))&gt;1,IF(ISNA(MATCH(1,INDEX(EXACT('Casillas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horario'!$T$4:$T$73,"Laboratorio"&amp;CHAR(31)&amp;$A9&amp;CHAR(31)&amp;B$3)*1,0),0))))&amp;" (+"&amp;(SUMPRODUCT(1*EXACT('Casillas del horario'!$T$4:$T$73,"Laboratorio"&amp;CHAR(31)&amp;$A9&amp;CHAR(31)&amp;B$3))-1)&amp;")",IF(ISNA(MATCH(1,INDEX(EXACT('Casillas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horario'!$T$4:$T$73,"Laboratorio"&amp;CHAR(31)&amp;$A9&amp;CHAR(31)&amp;B$3)*1,0),0)))))</f>
        <v/>
      </c>
      <c r="C9" s="3">
        <f>IF(SUMPRODUCT(1*EXACT('Casillas del horario'!$T$4:$T$73,"Laboratorio"&amp;CHAR(31)&amp;$A9&amp;CHAR(31)&amp;C$3))&gt;1,IF(ISNA(MATCH(1,INDEX(EXACT('Casillas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horario'!$T$4:$T$73,"Laboratorio"&amp;CHAR(31)&amp;$A9&amp;CHAR(31)&amp;C$3)*1,0),0))))&amp;" (+"&amp;(SUMPRODUCT(1*EXACT('Casillas del horario'!$T$4:$T$73,"Laboratorio"&amp;CHAR(31)&amp;$A9&amp;CHAR(31)&amp;C$3))-1)&amp;")",IF(ISNA(MATCH(1,INDEX(EXACT('Casillas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horario'!$T$4:$T$73,"Laboratorio"&amp;CHAR(31)&amp;$A9&amp;CHAR(31)&amp;C$3)*1,0),0)))))</f>
        <v/>
      </c>
      <c r="D9" s="3">
        <f>IF(SUMPRODUCT(1*EXACT('Casillas del horario'!$T$4:$T$73,"Laboratorio"&amp;CHAR(31)&amp;$A9&amp;CHAR(31)&amp;D$3))&gt;1,IF(ISNA(MATCH(1,INDEX(EXACT('Casillas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horario'!$T$4:$T$73,"Laboratorio"&amp;CHAR(31)&amp;$A9&amp;CHAR(31)&amp;D$3)*1,0),0))))&amp;" (+"&amp;(SUMPRODUCT(1*EXACT('Casillas del horario'!$T$4:$T$73,"Laboratorio"&amp;CHAR(31)&amp;$A9&amp;CHAR(31)&amp;D$3))-1)&amp;")",IF(ISNA(MATCH(1,INDEX(EXACT('Casillas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horario'!$T$4:$T$73,"Laboratorio"&amp;CHAR(31)&amp;$A9&amp;CHAR(31)&amp;D$3)*1,0),0)))))</f>
        <v/>
      </c>
      <c r="E9" s="3">
        <f>IF(SUMPRODUCT(1*EXACT('Casillas del horario'!$T$4:$T$73,"Laboratorio"&amp;CHAR(31)&amp;$A9&amp;CHAR(31)&amp;E$3))&gt;1,IF(ISNA(MATCH(1,INDEX(EXACT('Casillas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horario'!$T$4:$T$73,"Laboratorio"&amp;CHAR(31)&amp;$A9&amp;CHAR(31)&amp;E$3)*1,0),0))))&amp;" (+"&amp;(SUMPRODUCT(1*EXACT('Casillas del horario'!$T$4:$T$73,"Laboratorio"&amp;CHAR(31)&amp;$A9&amp;CHAR(31)&amp;E$3))-1)&amp;")",IF(ISNA(MATCH(1,INDEX(EXACT('Casillas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horario'!$T$4:$T$73,"Laboratorio"&amp;CHAR(31)&amp;$A9&amp;CHAR(31)&amp;E$3)*1,0),0)))))</f>
        <v/>
      </c>
      <c r="F9" s="3">
        <f>IF(SUMPRODUCT(1*EXACT('Casillas del horario'!$T$4:$T$73,"Laboratorio"&amp;CHAR(31)&amp;$A9&amp;CHAR(31)&amp;F$3))&gt;1,IF(ISNA(MATCH(1,INDEX(EXACT('Casillas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horario'!$T$4:$T$73,"Laboratorio"&amp;CHAR(31)&amp;$A9&amp;CHAR(31)&amp;F$3)*1,0),0))))&amp;" (+"&amp;(SUMPRODUCT(1*EXACT('Casillas del horario'!$T$4:$T$73,"Laboratorio"&amp;CHAR(31)&amp;$A9&amp;CHAR(31)&amp;F$3))-1)&amp;")",IF(ISNA(MATCH(1,INDEX(EXACT('Casillas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horario'!$T$4:$T$73,"Laboratorio"&amp;CHAR(31)&amp;$A9&amp;CHAR(31)&amp;F$3)*1,0),0)))))</f>
        <v/>
      </c>
    </row>
    <row r="10">
      <c r="A10" s="3" t="n">
        <v>7</v>
      </c>
      <c r="B10" s="3">
        <f>IF(SUMPRODUCT(1*EXACT('Casillas del horario'!$T$4:$T$73,"Laboratorio"&amp;CHAR(31)&amp;$A10&amp;CHAR(31)&amp;B$3))&gt;1,IF(ISNA(MATCH(1,INDEX(EXACT('Casillas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horario'!$T$4:$T$73,"Laboratorio"&amp;CHAR(31)&amp;$A10&amp;CHAR(31)&amp;B$3)*1,0),0))))&amp;" (+"&amp;(SUMPRODUCT(1*EXACT('Casillas del horario'!$T$4:$T$73,"Laboratorio"&amp;CHAR(31)&amp;$A10&amp;CHAR(31)&amp;B$3))-1)&amp;")",IF(ISNA(MATCH(1,INDEX(EXACT('Casillas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horario'!$T$4:$T$73,"Laboratorio"&amp;CHAR(31)&amp;$A10&amp;CHAR(31)&amp;B$3)*1,0),0)))))</f>
        <v/>
      </c>
      <c r="C10" s="3">
        <f>IF(SUMPRODUCT(1*EXACT('Casillas del horario'!$T$4:$T$73,"Laboratorio"&amp;CHAR(31)&amp;$A10&amp;CHAR(31)&amp;C$3))&gt;1,IF(ISNA(MATCH(1,INDEX(EXACT('Casillas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horario'!$T$4:$T$73,"Laboratorio"&amp;CHAR(31)&amp;$A10&amp;CHAR(31)&amp;C$3)*1,0),0))))&amp;" (+"&amp;(SUMPRODUCT(1*EXACT('Casillas del horario'!$T$4:$T$73,"Laboratorio"&amp;CHAR(31)&amp;$A10&amp;CHAR(31)&amp;C$3))-1)&amp;")",IF(ISNA(MATCH(1,INDEX(EXACT('Casillas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horario'!$T$4:$T$73,"Laboratorio"&amp;CHAR(31)&amp;$A10&amp;CHAR(31)&amp;C$3)*1,0),0)))))</f>
        <v/>
      </c>
      <c r="D10" s="3">
        <f>IF(SUMPRODUCT(1*EXACT('Casillas del horario'!$T$4:$T$73,"Laboratorio"&amp;CHAR(31)&amp;$A10&amp;CHAR(31)&amp;D$3))&gt;1,IF(ISNA(MATCH(1,INDEX(EXACT('Casillas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horario'!$T$4:$T$73,"Laboratorio"&amp;CHAR(31)&amp;$A10&amp;CHAR(31)&amp;D$3)*1,0),0))))&amp;" (+"&amp;(SUMPRODUCT(1*EXACT('Casillas del horario'!$T$4:$T$73,"Laboratorio"&amp;CHAR(31)&amp;$A10&amp;CHAR(31)&amp;D$3))-1)&amp;")",IF(ISNA(MATCH(1,INDEX(EXACT('Casillas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horario'!$T$4:$T$73,"Laboratorio"&amp;CHAR(31)&amp;$A10&amp;CHAR(31)&amp;D$3)*1,0),0)))))</f>
        <v/>
      </c>
      <c r="E10" s="3">
        <f>IF(SUMPRODUCT(1*EXACT('Casillas del horario'!$T$4:$T$73,"Laboratorio"&amp;CHAR(31)&amp;$A10&amp;CHAR(31)&amp;E$3))&gt;1,IF(ISNA(MATCH(1,INDEX(EXACT('Casillas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horario'!$T$4:$T$73,"Laboratorio"&amp;CHAR(31)&amp;$A10&amp;CHAR(31)&amp;E$3)*1,0),0))))&amp;" (+"&amp;(SUMPRODUCT(1*EXACT('Casillas del horario'!$T$4:$T$73,"Laboratorio"&amp;CHAR(31)&amp;$A10&amp;CHAR(31)&amp;E$3))-1)&amp;")",IF(ISNA(MATCH(1,INDEX(EXACT('Casillas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horario'!$T$4:$T$73,"Laboratorio"&amp;CHAR(31)&amp;$A10&amp;CHAR(31)&amp;E$3)*1,0),0)))))</f>
        <v/>
      </c>
      <c r="F10" s="3">
        <f>IF(SUMPRODUCT(1*EXACT('Casillas del horario'!$T$4:$T$73,"Laboratorio"&amp;CHAR(31)&amp;$A10&amp;CHAR(31)&amp;F$3))&gt;1,IF(ISNA(MATCH(1,INDEX(EXACT('Casillas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horario'!$T$4:$T$73,"Laboratorio"&amp;CHAR(31)&amp;$A10&amp;CHAR(31)&amp;F$3)*1,0),0))))&amp;" (+"&amp;(SUMPRODUCT(1*EXACT('Casillas del horario'!$T$4:$T$73,"Laboratorio"&amp;CHAR(31)&amp;$A10&amp;CHAR(31)&amp;F$3))-1)&amp;")",IF(ISNA(MATCH(1,INDEX(EXACT('Casillas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horario'!$T$4:$T$73,"Laboratorio"&amp;CHAR(31)&amp;$A4&amp;CHAR(31)&amp;B$3)*1,0),0)),0)=3</formula>
    </cfRule>
    <cfRule type="expression" priority="2" dxfId="1" stopIfTrue="0">
      <formula>IFERROR(INDEX('Casillas del horario'!$Q$4:$Q$73,MATCH(1,INDEX(EXACT('Casillas del horario'!$T$4:$T$73,"Laboratorio"&amp;CHAR(31)&amp;$A4&amp;CHAR(31)&amp;B$3)*1,0),0)),0)=2</formula>
    </cfRule>
    <cfRule type="expression" priority="3" dxfId="2" stopIfTrue="0">
      <formula>IFERROR(INDEX('Casillas del horario'!$Q$4:$Q$73,MATCH(1,INDEX(EXACT('Casillas del horario'!$T$4:$T$73,"Laboratorio"&amp;CHAR(31)&amp;$A4&amp;CHAR(31)&amp;B$3)*1,0),0)),0)=1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aula - Terreno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horario'!$T$4:$T$73,"Terreno"&amp;CHAR(31)&amp;$A4&amp;CHAR(31)&amp;B$3))&gt;1,IF(ISNA(MATCH(1,INDEX(EXACT('Casillas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horario'!$T$4:$T$73,"Terreno"&amp;CHAR(31)&amp;$A4&amp;CHAR(31)&amp;B$3)*1,0),0))))&amp;" (+"&amp;(SUMPRODUCT(1*EXACT('Casillas del horario'!$T$4:$T$73,"Terreno"&amp;CHAR(31)&amp;$A4&amp;CHAR(31)&amp;B$3))-1)&amp;")",IF(ISNA(MATCH(1,INDEX(EXACT('Casillas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horario'!$T$4:$T$73,"Terreno"&amp;CHAR(31)&amp;$A4&amp;CHAR(31)&amp;B$3)*1,0),0)))))</f>
        <v/>
      </c>
      <c r="C4" s="3">
        <f>IF(SUMPRODUCT(1*EXACT('Casillas del horario'!$T$4:$T$73,"Terreno"&amp;CHAR(31)&amp;$A4&amp;CHAR(31)&amp;C$3))&gt;1,IF(ISNA(MATCH(1,INDEX(EXACT('Casillas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horario'!$T$4:$T$73,"Terreno"&amp;CHAR(31)&amp;$A4&amp;CHAR(31)&amp;C$3)*1,0),0))))&amp;" (+"&amp;(SUMPRODUCT(1*EXACT('Casillas del horario'!$T$4:$T$73,"Terreno"&amp;CHAR(31)&amp;$A4&amp;CHAR(31)&amp;C$3))-1)&amp;")",IF(ISNA(MATCH(1,INDEX(EXACT('Casillas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horario'!$T$4:$T$73,"Terreno"&amp;CHAR(31)&amp;$A4&amp;CHAR(31)&amp;C$3)*1,0),0)))))</f>
        <v/>
      </c>
      <c r="D4" s="3">
        <f>IF(SUMPRODUCT(1*EXACT('Casillas del horario'!$T$4:$T$73,"Terreno"&amp;CHAR(31)&amp;$A4&amp;CHAR(31)&amp;D$3))&gt;1,IF(ISNA(MATCH(1,INDEX(EXACT('Casillas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horario'!$T$4:$T$73,"Terreno"&amp;CHAR(31)&amp;$A4&amp;CHAR(31)&amp;D$3)*1,0),0))))&amp;" (+"&amp;(SUMPRODUCT(1*EXACT('Casillas del horario'!$T$4:$T$73,"Terreno"&amp;CHAR(31)&amp;$A4&amp;CHAR(31)&amp;D$3))-1)&amp;")",IF(ISNA(MATCH(1,INDEX(EXACT('Casillas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horario'!$T$4:$T$73,"Terreno"&amp;CHAR(31)&amp;$A4&amp;CHAR(31)&amp;D$3)*1,0),0)))))</f>
        <v/>
      </c>
      <c r="E4" s="3">
        <f>IF(SUMPRODUCT(1*EXACT('Casillas del horario'!$T$4:$T$73,"Terreno"&amp;CHAR(31)&amp;$A4&amp;CHAR(31)&amp;E$3))&gt;1,IF(ISNA(MATCH(1,INDEX(EXACT('Casillas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horario'!$T$4:$T$73,"Terreno"&amp;CHAR(31)&amp;$A4&amp;CHAR(31)&amp;E$3)*1,0),0))))&amp;" (+"&amp;(SUMPRODUCT(1*EXACT('Casillas del horario'!$T$4:$T$73,"Terreno"&amp;CHAR(31)&amp;$A4&amp;CHAR(31)&amp;E$3))-1)&amp;")",IF(ISNA(MATCH(1,INDEX(EXACT('Casillas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horario'!$T$4:$T$73,"Terreno"&amp;CHAR(31)&amp;$A4&amp;CHAR(31)&amp;E$3)*1,0),0)))))</f>
        <v/>
      </c>
      <c r="F4" s="3">
        <f>IF(SUMPRODUCT(1*EXACT('Casillas del horario'!$T$4:$T$73,"Terreno"&amp;CHAR(31)&amp;$A4&amp;CHAR(31)&amp;F$3))&gt;1,IF(ISNA(MATCH(1,INDEX(EXACT('Casillas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horario'!$T$4:$T$73,"Terreno"&amp;CHAR(31)&amp;$A4&amp;CHAR(31)&amp;F$3)*1,0),0))))&amp;" (+"&amp;(SUMPRODUCT(1*EXACT('Casillas del horario'!$T$4:$T$73,"Terreno"&amp;CHAR(31)&amp;$A4&amp;CHAR(31)&amp;F$3))-1)&amp;")",IF(ISNA(MATCH(1,INDEX(EXACT('Casillas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horario'!$T$4:$T$73,"Terreno"&amp;CHAR(31)&amp;$A4&amp;CHAR(31)&amp;F$3)*1,0),0)))))</f>
        <v/>
      </c>
    </row>
    <row r="5">
      <c r="A5" s="3" t="n">
        <v>2</v>
      </c>
      <c r="B5" s="3">
        <f>IF(SUMPRODUCT(1*EXACT('Casillas del horario'!$T$4:$T$73,"Terreno"&amp;CHAR(31)&amp;$A5&amp;CHAR(31)&amp;B$3))&gt;1,IF(ISNA(MATCH(1,INDEX(EXACT('Casillas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horario'!$T$4:$T$73,"Terreno"&amp;CHAR(31)&amp;$A5&amp;CHAR(31)&amp;B$3)*1,0),0))))&amp;" (+"&amp;(SUMPRODUCT(1*EXACT('Casillas del horario'!$T$4:$T$73,"Terreno"&amp;CHAR(31)&amp;$A5&amp;CHAR(31)&amp;B$3))-1)&amp;")",IF(ISNA(MATCH(1,INDEX(EXACT('Casillas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horario'!$T$4:$T$73,"Terreno"&amp;CHAR(31)&amp;$A5&amp;CHAR(31)&amp;B$3)*1,0),0)))))</f>
        <v/>
      </c>
      <c r="C5" s="3">
        <f>IF(SUMPRODUCT(1*EXACT('Casillas del horario'!$T$4:$T$73,"Terreno"&amp;CHAR(31)&amp;$A5&amp;CHAR(31)&amp;C$3))&gt;1,IF(ISNA(MATCH(1,INDEX(EXACT('Casillas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horario'!$T$4:$T$73,"Terreno"&amp;CHAR(31)&amp;$A5&amp;CHAR(31)&amp;C$3)*1,0),0))))&amp;" (+"&amp;(SUMPRODUCT(1*EXACT('Casillas del horario'!$T$4:$T$73,"Terreno"&amp;CHAR(31)&amp;$A5&amp;CHAR(31)&amp;C$3))-1)&amp;")",IF(ISNA(MATCH(1,INDEX(EXACT('Casillas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horario'!$T$4:$T$73,"Terreno"&amp;CHAR(31)&amp;$A5&amp;CHAR(31)&amp;C$3)*1,0),0)))))</f>
        <v/>
      </c>
      <c r="D5" s="3">
        <f>IF(SUMPRODUCT(1*EXACT('Casillas del horario'!$T$4:$T$73,"Terreno"&amp;CHAR(31)&amp;$A5&amp;CHAR(31)&amp;D$3))&gt;1,IF(ISNA(MATCH(1,INDEX(EXACT('Casillas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horario'!$T$4:$T$73,"Terreno"&amp;CHAR(31)&amp;$A5&amp;CHAR(31)&amp;D$3)*1,0),0))))&amp;" (+"&amp;(SUMPRODUCT(1*EXACT('Casillas del horario'!$T$4:$T$73,"Terreno"&amp;CHAR(31)&amp;$A5&amp;CHAR(31)&amp;D$3))-1)&amp;")",IF(ISNA(MATCH(1,INDEX(EXACT('Casillas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horario'!$T$4:$T$73,"Terreno"&amp;CHAR(31)&amp;$A5&amp;CHAR(31)&amp;D$3)*1,0),0)))))</f>
        <v/>
      </c>
      <c r="E5" s="3">
        <f>IF(SUMPRODUCT(1*EXACT('Casillas del horario'!$T$4:$T$73,"Terreno"&amp;CHAR(31)&amp;$A5&amp;CHAR(31)&amp;E$3))&gt;1,IF(ISNA(MATCH(1,INDEX(EXACT('Casillas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horario'!$T$4:$T$73,"Terreno"&amp;CHAR(31)&amp;$A5&amp;CHAR(31)&amp;E$3)*1,0),0))))&amp;" (+"&amp;(SUMPRODUCT(1*EXACT('Casillas del horario'!$T$4:$T$73,"Terreno"&amp;CHAR(31)&amp;$A5&amp;CHAR(31)&amp;E$3))-1)&amp;")",IF(ISNA(MATCH(1,INDEX(EXACT('Casillas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horario'!$T$4:$T$73,"Terreno"&amp;CHAR(31)&amp;$A5&amp;CHAR(31)&amp;E$3)*1,0),0)))))</f>
        <v/>
      </c>
      <c r="F5" s="3">
        <f>IF(SUMPRODUCT(1*EXACT('Casillas del horario'!$T$4:$T$73,"Terreno"&amp;CHAR(31)&amp;$A5&amp;CHAR(31)&amp;F$3))&gt;1,IF(ISNA(MATCH(1,INDEX(EXACT('Casillas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horario'!$T$4:$T$73,"Terreno"&amp;CHAR(31)&amp;$A5&amp;CHAR(31)&amp;F$3)*1,0),0))))&amp;" (+"&amp;(SUMPRODUCT(1*EXACT('Casillas del horario'!$T$4:$T$73,"Terreno"&amp;CHAR(31)&amp;$A5&amp;CHAR(31)&amp;F$3))-1)&amp;")",IF(ISNA(MATCH(1,INDEX(EXACT('Casillas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horario'!$T$4:$T$73,"Terreno"&amp;CHAR(31)&amp;$A5&amp;CHAR(31)&amp;F$3)*1,0),0)))))</f>
        <v/>
      </c>
    </row>
    <row r="6">
      <c r="A6" s="3" t="n">
        <v>3</v>
      </c>
      <c r="B6" s="3">
        <f>IF(SUMPRODUCT(1*EXACT('Casillas del horario'!$T$4:$T$73,"Terreno"&amp;CHAR(31)&amp;$A6&amp;CHAR(31)&amp;B$3))&gt;1,IF(ISNA(MATCH(1,INDEX(EXACT('Casillas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horario'!$T$4:$T$73,"Terreno"&amp;CHAR(31)&amp;$A6&amp;CHAR(31)&amp;B$3)*1,0),0))))&amp;" (+"&amp;(SUMPRODUCT(1*EXACT('Casillas del horario'!$T$4:$T$73,"Terreno"&amp;CHAR(31)&amp;$A6&amp;CHAR(31)&amp;B$3))-1)&amp;")",IF(ISNA(MATCH(1,INDEX(EXACT('Casillas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horario'!$T$4:$T$73,"Terreno"&amp;CHAR(31)&amp;$A6&amp;CHAR(31)&amp;B$3)*1,0),0)))))</f>
        <v/>
      </c>
      <c r="C6" s="3">
        <f>IF(SUMPRODUCT(1*EXACT('Casillas del horario'!$T$4:$T$73,"Terreno"&amp;CHAR(31)&amp;$A6&amp;CHAR(31)&amp;C$3))&gt;1,IF(ISNA(MATCH(1,INDEX(EXACT('Casillas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horario'!$T$4:$T$73,"Terreno"&amp;CHAR(31)&amp;$A6&amp;CHAR(31)&amp;C$3)*1,0),0))))&amp;" (+"&amp;(SUMPRODUCT(1*EXACT('Casillas del horario'!$T$4:$T$73,"Terreno"&amp;CHAR(31)&amp;$A6&amp;CHAR(31)&amp;C$3))-1)&amp;")",IF(ISNA(MATCH(1,INDEX(EXACT('Casillas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horario'!$T$4:$T$73,"Terreno"&amp;CHAR(31)&amp;$A6&amp;CHAR(31)&amp;C$3)*1,0),0)))))</f>
        <v/>
      </c>
      <c r="D6" s="3">
        <f>IF(SUMPRODUCT(1*EXACT('Casillas del horario'!$T$4:$T$73,"Terreno"&amp;CHAR(31)&amp;$A6&amp;CHAR(31)&amp;D$3))&gt;1,IF(ISNA(MATCH(1,INDEX(EXACT('Casillas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horario'!$T$4:$T$73,"Terreno"&amp;CHAR(31)&amp;$A6&amp;CHAR(31)&amp;D$3)*1,0),0))))&amp;" (+"&amp;(SUMPRODUCT(1*EXACT('Casillas del horario'!$T$4:$T$73,"Terreno"&amp;CHAR(31)&amp;$A6&amp;CHAR(31)&amp;D$3))-1)&amp;")",IF(ISNA(MATCH(1,INDEX(EXACT('Casillas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horario'!$T$4:$T$73,"Terreno"&amp;CHAR(31)&amp;$A6&amp;CHAR(31)&amp;D$3)*1,0),0)))))</f>
        <v/>
      </c>
      <c r="E6" s="3">
        <f>IF(SUMPRODUCT(1*EXACT('Casillas del horario'!$T$4:$T$73,"Terreno"&amp;CHAR(31)&amp;$A6&amp;CHAR(31)&amp;E$3))&gt;1,IF(ISNA(MATCH(1,INDEX(EXACT('Casillas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horario'!$T$4:$T$73,"Terreno"&amp;CHAR(31)&amp;$A6&amp;CHAR(31)&amp;E$3)*1,0),0))))&amp;" (+"&amp;(SUMPRODUCT(1*EXACT('Casillas del horario'!$T$4:$T$73,"Terreno"&amp;CHAR(31)&amp;$A6&amp;CHAR(31)&amp;E$3))-1)&amp;")",IF(ISNA(MATCH(1,INDEX(EXACT('Casillas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horario'!$T$4:$T$73,"Terreno"&amp;CHAR(31)&amp;$A6&amp;CHAR(31)&amp;E$3)*1,0),0)))))</f>
        <v/>
      </c>
      <c r="F6" s="3">
        <f>IF(SUMPRODUCT(1*EXACT('Casillas del horario'!$T$4:$T$73,"Terreno"&amp;CHAR(31)&amp;$A6&amp;CHAR(31)&amp;F$3))&gt;1,IF(ISNA(MATCH(1,INDEX(EXACT('Casillas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horario'!$T$4:$T$73,"Terreno"&amp;CHAR(31)&amp;$A6&amp;CHAR(31)&amp;F$3)*1,0),0))))&amp;" (+"&amp;(SUMPRODUCT(1*EXACT('Casillas del horario'!$T$4:$T$73,"Terreno"&amp;CHAR(31)&amp;$A6&amp;CHAR(31)&amp;F$3))-1)&amp;")",IF(ISNA(MATCH(1,INDEX(EXACT('Casillas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horario'!$T$4:$T$73,"Terreno"&amp;CHAR(31)&amp;$A6&amp;CHAR(31)&amp;F$3)*1,0),0)))))</f>
        <v/>
      </c>
    </row>
    <row r="7">
      <c r="A7" s="3" t="n">
        <v>4</v>
      </c>
      <c r="B7" s="3">
        <f>IF(SUMPRODUCT(1*EXACT('Casillas del horario'!$T$4:$T$73,"Terreno"&amp;CHAR(31)&amp;$A7&amp;CHAR(31)&amp;B$3))&gt;1,IF(ISNA(MATCH(1,INDEX(EXACT('Casillas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horario'!$T$4:$T$73,"Terreno"&amp;CHAR(31)&amp;$A7&amp;CHAR(31)&amp;B$3)*1,0),0))))&amp;" (+"&amp;(SUMPRODUCT(1*EXACT('Casillas del horario'!$T$4:$T$73,"Terreno"&amp;CHAR(31)&amp;$A7&amp;CHAR(31)&amp;B$3))-1)&amp;")",IF(ISNA(MATCH(1,INDEX(EXACT('Casillas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horario'!$T$4:$T$73,"Terreno"&amp;CHAR(31)&amp;$A7&amp;CHAR(31)&amp;B$3)*1,0),0)))))</f>
        <v/>
      </c>
      <c r="C7" s="3">
        <f>IF(SUMPRODUCT(1*EXACT('Casillas del horario'!$T$4:$T$73,"Terreno"&amp;CHAR(31)&amp;$A7&amp;CHAR(31)&amp;C$3))&gt;1,IF(ISNA(MATCH(1,INDEX(EXACT('Casillas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horario'!$T$4:$T$73,"Terreno"&amp;CHAR(31)&amp;$A7&amp;CHAR(31)&amp;C$3)*1,0),0))))&amp;" (+"&amp;(SUMPRODUCT(1*EXACT('Casillas del horario'!$T$4:$T$73,"Terreno"&amp;CHAR(31)&amp;$A7&amp;CHAR(31)&amp;C$3))-1)&amp;")",IF(ISNA(MATCH(1,INDEX(EXACT('Casillas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horario'!$T$4:$T$73,"Terreno"&amp;CHAR(31)&amp;$A7&amp;CHAR(31)&amp;C$3)*1,0),0)))))</f>
        <v/>
      </c>
      <c r="D7" s="3">
        <f>IF(SUMPRODUCT(1*EXACT('Casillas del horario'!$T$4:$T$73,"Terreno"&amp;CHAR(31)&amp;$A7&amp;CHAR(31)&amp;D$3))&gt;1,IF(ISNA(MATCH(1,INDEX(EXACT('Casillas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horario'!$T$4:$T$73,"Terreno"&amp;CHAR(31)&amp;$A7&amp;CHAR(31)&amp;D$3)*1,0),0))))&amp;" (+"&amp;(SUMPRODUCT(1*EXACT('Casillas del horario'!$T$4:$T$73,"Terreno"&amp;CHAR(31)&amp;$A7&amp;CHAR(31)&amp;D$3))-1)&amp;")",IF(ISNA(MATCH(1,INDEX(EXACT('Casillas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horario'!$T$4:$T$73,"Terreno"&amp;CHAR(31)&amp;$A7&amp;CHAR(31)&amp;D$3)*1,0),0)))))</f>
        <v/>
      </c>
      <c r="E7" s="3">
        <f>IF(SUMPRODUCT(1*EXACT('Casillas del horario'!$T$4:$T$73,"Terreno"&amp;CHAR(31)&amp;$A7&amp;CHAR(31)&amp;E$3))&gt;1,IF(ISNA(MATCH(1,INDEX(EXACT('Casillas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horario'!$T$4:$T$73,"Terreno"&amp;CHAR(31)&amp;$A7&amp;CHAR(31)&amp;E$3)*1,0),0))))&amp;" (+"&amp;(SUMPRODUCT(1*EXACT('Casillas del horario'!$T$4:$T$73,"Terreno"&amp;CHAR(31)&amp;$A7&amp;CHAR(31)&amp;E$3))-1)&amp;")",IF(ISNA(MATCH(1,INDEX(EXACT('Casillas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horario'!$T$4:$T$73,"Terreno"&amp;CHAR(31)&amp;$A7&amp;CHAR(31)&amp;E$3)*1,0),0)))))</f>
        <v/>
      </c>
      <c r="F7" s="3">
        <f>IF(SUMPRODUCT(1*EXACT('Casillas del horario'!$T$4:$T$73,"Terreno"&amp;CHAR(31)&amp;$A7&amp;CHAR(31)&amp;F$3))&gt;1,IF(ISNA(MATCH(1,INDEX(EXACT('Casillas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horario'!$T$4:$T$73,"Terreno"&amp;CHAR(31)&amp;$A7&amp;CHAR(31)&amp;F$3)*1,0),0))))&amp;" (+"&amp;(SUMPRODUCT(1*EXACT('Casillas del horario'!$T$4:$T$73,"Terreno"&amp;CHAR(31)&amp;$A7&amp;CHAR(31)&amp;F$3))-1)&amp;")",IF(ISNA(MATCH(1,INDEX(EXACT('Casillas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horario'!$T$4:$T$73,"Terreno"&amp;CHAR(31)&amp;$A7&amp;CHAR(31)&amp;F$3)*1,0),0)))))</f>
        <v/>
      </c>
    </row>
    <row r="8">
      <c r="A8" s="3" t="n">
        <v>5</v>
      </c>
      <c r="B8" s="3">
        <f>IF(SUMPRODUCT(1*EXACT('Casillas del horario'!$T$4:$T$73,"Terreno"&amp;CHAR(31)&amp;$A8&amp;CHAR(31)&amp;B$3))&gt;1,IF(ISNA(MATCH(1,INDEX(EXACT('Casillas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horario'!$T$4:$T$73,"Terreno"&amp;CHAR(31)&amp;$A8&amp;CHAR(31)&amp;B$3)*1,0),0))))&amp;" (+"&amp;(SUMPRODUCT(1*EXACT('Casillas del horario'!$T$4:$T$73,"Terreno"&amp;CHAR(31)&amp;$A8&amp;CHAR(31)&amp;B$3))-1)&amp;")",IF(ISNA(MATCH(1,INDEX(EXACT('Casillas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horario'!$T$4:$T$73,"Terreno"&amp;CHAR(31)&amp;$A8&amp;CHAR(31)&amp;B$3)*1,0),0)))))</f>
        <v/>
      </c>
      <c r="C8" s="3">
        <f>IF(SUMPRODUCT(1*EXACT('Casillas del horario'!$T$4:$T$73,"Terreno"&amp;CHAR(31)&amp;$A8&amp;CHAR(31)&amp;C$3))&gt;1,IF(ISNA(MATCH(1,INDEX(EXACT('Casillas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horario'!$T$4:$T$73,"Terreno"&amp;CHAR(31)&amp;$A8&amp;CHAR(31)&amp;C$3)*1,0),0))))&amp;" (+"&amp;(SUMPRODUCT(1*EXACT('Casillas del horario'!$T$4:$T$73,"Terreno"&amp;CHAR(31)&amp;$A8&amp;CHAR(31)&amp;C$3))-1)&amp;")",IF(ISNA(MATCH(1,INDEX(EXACT('Casillas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horario'!$T$4:$T$73,"Terreno"&amp;CHAR(31)&amp;$A8&amp;CHAR(31)&amp;C$3)*1,0),0)))))</f>
        <v/>
      </c>
      <c r="D8" s="3">
        <f>IF(SUMPRODUCT(1*EXACT('Casillas del horario'!$T$4:$T$73,"Terreno"&amp;CHAR(31)&amp;$A8&amp;CHAR(31)&amp;D$3))&gt;1,IF(ISNA(MATCH(1,INDEX(EXACT('Casillas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horario'!$T$4:$T$73,"Terreno"&amp;CHAR(31)&amp;$A8&amp;CHAR(31)&amp;D$3)*1,0),0))))&amp;" (+"&amp;(SUMPRODUCT(1*EXACT('Casillas del horario'!$T$4:$T$73,"Terreno"&amp;CHAR(31)&amp;$A8&amp;CHAR(31)&amp;D$3))-1)&amp;")",IF(ISNA(MATCH(1,INDEX(EXACT('Casillas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horario'!$T$4:$T$73,"Terreno"&amp;CHAR(31)&amp;$A8&amp;CHAR(31)&amp;D$3)*1,0),0)))))</f>
        <v/>
      </c>
      <c r="E8" s="3">
        <f>IF(SUMPRODUCT(1*EXACT('Casillas del horario'!$T$4:$T$73,"Terreno"&amp;CHAR(31)&amp;$A8&amp;CHAR(31)&amp;E$3))&gt;1,IF(ISNA(MATCH(1,INDEX(EXACT('Casillas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horario'!$T$4:$T$73,"Terreno"&amp;CHAR(31)&amp;$A8&amp;CHAR(31)&amp;E$3)*1,0),0))))&amp;" (+"&amp;(SUMPRODUCT(1*EXACT('Casillas del horario'!$T$4:$T$73,"Terreno"&amp;CHAR(31)&amp;$A8&amp;CHAR(31)&amp;E$3))-1)&amp;")",IF(ISNA(MATCH(1,INDEX(EXACT('Casillas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horario'!$T$4:$T$73,"Terreno"&amp;CHAR(31)&amp;$A8&amp;CHAR(31)&amp;E$3)*1,0),0)))))</f>
        <v/>
      </c>
      <c r="F8" s="3">
        <f>IF(SUMPRODUCT(1*EXACT('Casillas del horario'!$T$4:$T$73,"Terreno"&amp;CHAR(31)&amp;$A8&amp;CHAR(31)&amp;F$3))&gt;1,IF(ISNA(MATCH(1,INDEX(EXACT('Casillas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horario'!$T$4:$T$73,"Terreno"&amp;CHAR(31)&amp;$A8&amp;CHAR(31)&amp;F$3)*1,0),0))))&amp;" (+"&amp;(SUMPRODUCT(1*EXACT('Casillas del horario'!$T$4:$T$73,"Terreno"&amp;CHAR(31)&amp;$A8&amp;CHAR(31)&amp;F$3))-1)&amp;")",IF(ISNA(MATCH(1,INDEX(EXACT('Casillas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horario'!$T$4:$T$73,"Terreno"&amp;CHAR(31)&amp;$A8&amp;CHAR(31)&amp;F$3)*1,0),0)))))</f>
        <v/>
      </c>
    </row>
    <row r="9">
      <c r="A9" s="3" t="n">
        <v>6</v>
      </c>
      <c r="B9" s="3">
        <f>IF(SUMPRODUCT(1*EXACT('Casillas del horario'!$T$4:$T$73,"Terreno"&amp;CHAR(31)&amp;$A9&amp;CHAR(31)&amp;B$3))&gt;1,IF(ISNA(MATCH(1,INDEX(EXACT('Casillas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horario'!$T$4:$T$73,"Terreno"&amp;CHAR(31)&amp;$A9&amp;CHAR(31)&amp;B$3)*1,0),0))))&amp;" (+"&amp;(SUMPRODUCT(1*EXACT('Casillas del horario'!$T$4:$T$73,"Terreno"&amp;CHAR(31)&amp;$A9&amp;CHAR(31)&amp;B$3))-1)&amp;")",IF(ISNA(MATCH(1,INDEX(EXACT('Casillas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horario'!$T$4:$T$73,"Terreno"&amp;CHAR(31)&amp;$A9&amp;CHAR(31)&amp;B$3)*1,0),0)))))</f>
        <v/>
      </c>
      <c r="C9" s="3">
        <f>IF(SUMPRODUCT(1*EXACT('Casillas del horario'!$T$4:$T$73,"Terreno"&amp;CHAR(31)&amp;$A9&amp;CHAR(31)&amp;C$3))&gt;1,IF(ISNA(MATCH(1,INDEX(EXACT('Casillas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horario'!$T$4:$T$73,"Terreno"&amp;CHAR(31)&amp;$A9&amp;CHAR(31)&amp;C$3)*1,0),0))))&amp;" (+"&amp;(SUMPRODUCT(1*EXACT('Casillas del horario'!$T$4:$T$73,"Terreno"&amp;CHAR(31)&amp;$A9&amp;CHAR(31)&amp;C$3))-1)&amp;")",IF(ISNA(MATCH(1,INDEX(EXACT('Casillas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horario'!$T$4:$T$73,"Terreno"&amp;CHAR(31)&amp;$A9&amp;CHAR(31)&amp;C$3)*1,0),0)))))</f>
        <v/>
      </c>
      <c r="D9" s="3">
        <f>IF(SUMPRODUCT(1*EXACT('Casillas del horario'!$T$4:$T$73,"Terreno"&amp;CHAR(31)&amp;$A9&amp;CHAR(31)&amp;D$3))&gt;1,IF(ISNA(MATCH(1,INDEX(EXACT('Casillas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horario'!$T$4:$T$73,"Terreno"&amp;CHAR(31)&amp;$A9&amp;CHAR(31)&amp;D$3)*1,0),0))))&amp;" (+"&amp;(SUMPRODUCT(1*EXACT('Casillas del horario'!$T$4:$T$73,"Terreno"&amp;CHAR(31)&amp;$A9&amp;CHAR(31)&amp;D$3))-1)&amp;")",IF(ISNA(MATCH(1,INDEX(EXACT('Casillas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horario'!$T$4:$T$73,"Terreno"&amp;CHAR(31)&amp;$A9&amp;CHAR(31)&amp;D$3)*1,0),0)))))</f>
        <v/>
      </c>
      <c r="E9" s="3">
        <f>IF(SUMPRODUCT(1*EXACT('Casillas del horario'!$T$4:$T$73,"Terreno"&amp;CHAR(31)&amp;$A9&amp;CHAR(31)&amp;E$3))&gt;1,IF(ISNA(MATCH(1,INDEX(EXACT('Casillas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horario'!$T$4:$T$73,"Terreno"&amp;CHAR(31)&amp;$A9&amp;CHAR(31)&amp;E$3)*1,0),0))))&amp;" (+"&amp;(SUMPRODUCT(1*EXACT('Casillas del horario'!$T$4:$T$73,"Terreno"&amp;CHAR(31)&amp;$A9&amp;CHAR(31)&amp;E$3))-1)&amp;")",IF(ISNA(MATCH(1,INDEX(EXACT('Casillas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horario'!$T$4:$T$73,"Terreno"&amp;CHAR(31)&amp;$A9&amp;CHAR(31)&amp;E$3)*1,0),0)))))</f>
        <v/>
      </c>
      <c r="F9" s="3">
        <f>IF(SUMPRODUCT(1*EXACT('Casillas del horario'!$T$4:$T$73,"Terreno"&amp;CHAR(31)&amp;$A9&amp;CHAR(31)&amp;F$3))&gt;1,IF(ISNA(MATCH(1,INDEX(EXACT('Casillas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horario'!$T$4:$T$73,"Terreno"&amp;CHAR(31)&amp;$A9&amp;CHAR(31)&amp;F$3)*1,0),0))))&amp;" (+"&amp;(SUMPRODUCT(1*EXACT('Casillas del horario'!$T$4:$T$73,"Terreno"&amp;CHAR(31)&amp;$A9&amp;CHAR(31)&amp;F$3))-1)&amp;")",IF(ISNA(MATCH(1,INDEX(EXACT('Casillas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horario'!$T$4:$T$73,"Terreno"&amp;CHAR(31)&amp;$A9&amp;CHAR(31)&amp;F$3)*1,0),0)))))</f>
        <v/>
      </c>
    </row>
    <row r="10">
      <c r="A10" s="3" t="n">
        <v>7</v>
      </c>
      <c r="B10" s="3">
        <f>IF(SUMPRODUCT(1*EXACT('Casillas del horario'!$T$4:$T$73,"Terreno"&amp;CHAR(31)&amp;$A10&amp;CHAR(31)&amp;B$3))&gt;1,IF(ISNA(MATCH(1,INDEX(EXACT('Casillas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horario'!$T$4:$T$73,"Terreno"&amp;CHAR(31)&amp;$A10&amp;CHAR(31)&amp;B$3)*1,0),0))))&amp;" (+"&amp;(SUMPRODUCT(1*EXACT('Casillas del horario'!$T$4:$T$73,"Terreno"&amp;CHAR(31)&amp;$A10&amp;CHAR(31)&amp;B$3))-1)&amp;")",IF(ISNA(MATCH(1,INDEX(EXACT('Casillas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horario'!$T$4:$T$73,"Terreno"&amp;CHAR(31)&amp;$A10&amp;CHAR(31)&amp;B$3)*1,0),0)))))</f>
        <v/>
      </c>
      <c r="C10" s="3">
        <f>IF(SUMPRODUCT(1*EXACT('Casillas del horario'!$T$4:$T$73,"Terreno"&amp;CHAR(31)&amp;$A10&amp;CHAR(31)&amp;C$3))&gt;1,IF(ISNA(MATCH(1,INDEX(EXACT('Casillas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horario'!$T$4:$T$73,"Terreno"&amp;CHAR(31)&amp;$A10&amp;CHAR(31)&amp;C$3)*1,0),0))))&amp;" (+"&amp;(SUMPRODUCT(1*EXACT('Casillas del horario'!$T$4:$T$73,"Terreno"&amp;CHAR(31)&amp;$A10&amp;CHAR(31)&amp;C$3))-1)&amp;")",IF(ISNA(MATCH(1,INDEX(EXACT('Casillas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horario'!$T$4:$T$73,"Terreno"&amp;CHAR(31)&amp;$A10&amp;CHAR(31)&amp;C$3)*1,0),0)))))</f>
        <v/>
      </c>
      <c r="D10" s="3">
        <f>IF(SUMPRODUCT(1*EXACT('Casillas del horario'!$T$4:$T$73,"Terreno"&amp;CHAR(31)&amp;$A10&amp;CHAR(31)&amp;D$3))&gt;1,IF(ISNA(MATCH(1,INDEX(EXACT('Casillas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horario'!$T$4:$T$73,"Terreno"&amp;CHAR(31)&amp;$A10&amp;CHAR(31)&amp;D$3)*1,0),0))))&amp;" (+"&amp;(SUMPRODUCT(1*EXACT('Casillas del horario'!$T$4:$T$73,"Terreno"&amp;CHAR(31)&amp;$A10&amp;CHAR(31)&amp;D$3))-1)&amp;")",IF(ISNA(MATCH(1,INDEX(EXACT('Casillas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horario'!$T$4:$T$73,"Terreno"&amp;CHAR(31)&amp;$A10&amp;CHAR(31)&amp;D$3)*1,0),0)))))</f>
        <v/>
      </c>
      <c r="E10" s="3">
        <f>IF(SUMPRODUCT(1*EXACT('Casillas del horario'!$T$4:$T$73,"Terreno"&amp;CHAR(31)&amp;$A10&amp;CHAR(31)&amp;E$3))&gt;1,IF(ISNA(MATCH(1,INDEX(EXACT('Casillas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horario'!$T$4:$T$73,"Terreno"&amp;CHAR(31)&amp;$A10&amp;CHAR(31)&amp;E$3)*1,0),0))))&amp;" (+"&amp;(SUMPRODUCT(1*EXACT('Casillas del horario'!$T$4:$T$73,"Terreno"&amp;CHAR(31)&amp;$A10&amp;CHAR(31)&amp;E$3))-1)&amp;")",IF(ISNA(MATCH(1,INDEX(EXACT('Casillas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horario'!$T$4:$T$73,"Terreno"&amp;CHAR(31)&amp;$A10&amp;CHAR(31)&amp;E$3)*1,0),0)))))</f>
        <v/>
      </c>
      <c r="F10" s="3">
        <f>IF(SUMPRODUCT(1*EXACT('Casillas del horario'!$T$4:$T$73,"Terreno"&amp;CHAR(31)&amp;$A10&amp;CHAR(31)&amp;F$3))&gt;1,IF(ISNA(MATCH(1,INDEX(EXACT('Casillas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horario'!$T$4:$T$73,"Terreno"&amp;CHAR(31)&amp;$A10&amp;CHAR(31)&amp;F$3)*1,0),0))))&amp;" (+"&amp;(SUMPRODUCT(1*EXACT('Casillas del horario'!$T$4:$T$73,"Terreno"&amp;CHAR(31)&amp;$A10&amp;CHAR(31)&amp;F$3))-1)&amp;")",IF(ISNA(MATCH(1,INDEX(EXACT('Casillas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horario'!$T$4:$T$73,"Terreno"&amp;CHAR(31)&amp;$A4&amp;CHAR(31)&amp;B$3)*1,0),0)),0)=3</formula>
    </cfRule>
    <cfRule type="expression" priority="2" dxfId="1" stopIfTrue="0">
      <formula>IFERROR(INDEX('Casillas del horario'!$Q$4:$Q$73,MATCH(1,INDEX(EXACT('Casillas del horario'!$T$4:$T$73,"Terreno"&amp;CHAR(31)&amp;$A4&amp;CHAR(31)&amp;B$3)*1,0),0)),0)=2</formula>
    </cfRule>
    <cfRule type="expression" priority="3" dxfId="2" stopIfTrue="0">
      <formula>IFERROR(INDEX('Casillas del horario'!$Q$4:$Q$73,MATCH(1,INDEX(EXACT('Casillas del horario'!$T$4:$T$73,"Terreno"&amp;CHAR(31)&amp;$A4&amp;CHAR(31)&amp;B$3)*1,0),0)),0)=1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T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12" customWidth="1" min="4" max="4"/>
    <col width="24" customWidth="1" min="5" max="5"/>
    <col width="27" customWidth="1" min="6" max="6"/>
    <col width="24" customWidth="1" min="7" max="7"/>
    <col width="13" customWidth="1" min="8" max="8"/>
    <col width="13" customWidth="1" min="9" max="9"/>
    <col width="14" customWidth="1" min="10" max="10"/>
    <col width="20" customWidth="1" min="11" max="11"/>
    <col width="12" customWidth="1" min="12" max="12"/>
    <col width="12" customWidth="1" min="13" max="13"/>
    <col width="12" customWidth="1" min="14" max="14"/>
    <col width="19" customWidth="1" min="15" max="15"/>
    <col width="40" customWidth="1" min="16" max="16"/>
    <col hidden="1" width="24" customWidth="1" min="17" max="17"/>
    <col hidden="1" width="26" customWidth="1" min="18" max="18"/>
    <col hidden="1" width="29" customWidth="1" min="19" max="19"/>
    <col hidden="1" width="25" customWidth="1" min="20" max="20"/>
  </cols>
  <sheetData>
    <row r="1">
      <c r="A1" s="1" t="inlineStr">
        <is>
          <t>Casillas del horario</t>
        </is>
      </c>
    </row>
    <row r="3">
      <c r="A3" s="2" t="inlineStr">
        <is>
          <t>Grupo</t>
        </is>
      </c>
      <c r="B3" s="2" t="inlineStr">
        <is>
          <t>Dia</t>
        </is>
      </c>
      <c r="C3" s="2" t="inlineStr">
        <is>
          <t>Turno</t>
        </is>
      </c>
      <c r="D3" s="2" t="inlineStr">
        <is>
          <t>Asignatura</t>
        </is>
      </c>
      <c r="E3" s="2" t="inlineStr">
        <is>
          <t>Nombre</t>
        </is>
      </c>
      <c r="F3" s="2" t="inlineStr">
        <is>
          <t>Profesor</t>
        </is>
      </c>
      <c r="G3" s="2" t="inlineStr">
        <is>
          <t>Local de la asignatura</t>
        </is>
      </c>
      <c r="H3" s="2" t="inlineStr">
        <is>
          <t>Aula</t>
        </is>
      </c>
      <c r="I3" s="2" t="inlineStr">
        <is>
          <t>Turno doble</t>
        </is>
      </c>
      <c r="J3" s="2" t="inlineStr">
        <is>
          <t>Admite tarde</t>
        </is>
      </c>
      <c r="K3" s="2" t="inlineStr">
        <is>
          <t>Dia de preparacion</t>
        </is>
      </c>
      <c r="L3" s="2" t="inlineStr">
        <is>
          <t>Contratado</t>
        </is>
      </c>
      <c r="M3" s="2" t="inlineStr">
        <is>
          <t>Vive lejos</t>
        </is>
      </c>
      <c r="N3" s="2" t="inlineStr">
        <is>
          <t>Asiste hoy</t>
        </is>
      </c>
      <c r="O3" s="2" t="inlineStr">
        <is>
          <t>Repite mal el dia</t>
        </is>
      </c>
      <c r="P3" s="2" t="inlineStr">
        <is>
          <t>Estado</t>
        </is>
      </c>
      <c r="Q3" s="2" t="inlineStr">
        <is>
          <t>(nivel de las marcas)</t>
        </is>
      </c>
      <c r="R3" s="2" t="inlineStr">
        <is>
          <t>(clave grupo|turno|dia)</t>
        </is>
      </c>
      <c r="S3" s="2" t="inlineStr">
        <is>
          <t>(clave profesor|turno|dia)</t>
        </is>
      </c>
      <c r="T3" s="2" t="inlineStr">
        <is>
          <t>(clave aula|turno|dia)</t>
        </is>
      </c>
    </row>
    <row r="4">
      <c r="A4" s="3" t="inlineStr">
        <is>
          <t>10-3</t>
        </is>
      </c>
      <c r="B4" s="3" t="inlineStr">
        <is>
          <t>L</t>
        </is>
      </c>
      <c r="C4" s="3" t="n">
        <v>1</v>
      </c>
      <c r="D4" s="4" t="inlineStr">
        <is>
          <t>EF</t>
        </is>
      </c>
      <c r="E4" s="3">
        <f>IF(ISNA(MATCH(1,INDEX(EXACT('Asignaturas'!$A$4:$A$18,$D4)*1,0),0)),"",IF(ISBLANK(INDEX('Asignaturas'!$B$4:$B$18,MATCH(1,INDEX(EXACT('Asignaturas'!$A$4:$A$18,$D4)*1,0),0))),"",INDEX('Asignaturas'!$B$4:$B$18,MATCH(1,INDEX(EXACT('Asignaturas'!$A$4:$A$18,$D4)*1,0),0))))</f>
        <v/>
      </c>
      <c r="F4" s="3">
        <f>IF(ISNA(MATCH(1,INDEX(1*(EXACT('Frecuencias por grupo'!$A$4:$A$33,$A4))*(EXACT('Frecuencias por grupo'!$B$4:$B$33,$D4)),0),0)),"",IF(ISBLANK(INDEX('Frecuencias por grupo'!$C$4:$C$33,MATCH(1,INDEX(1*(EXACT('Frecuencias por grupo'!$A$4:$A$33,$A4))*(EXACT('Frecuencias por grupo'!$B$4:$B$33,$D4)),0),0))),"",INDEX('Frecuencias por grupo'!$C$4:$C$33,MATCH(1,INDEX(1*(EXACT('Frecuencias por grupo'!$A$4:$A$33,$A4))*(EXACT('Frecuencias por grupo'!$B$4:$B$33,$D4)),0),0))))</f>
        <v/>
      </c>
      <c r="G4" s="3">
        <f>IF(ISNA(MATCH(1,INDEX(EXACT('Asignaturas'!$A$4:$A$18,$D4)*1,0),0)),"",IF(ISBLANK(INDEX('Asignaturas'!$G$4:$G$18,MATCH(1,INDEX(EXACT('Asignaturas'!$A$4:$A$18,$D4)*1,0),0))),"",INDEX('Asignaturas'!$G$4:$G$18,MATCH(1,INDEX(EXACT('Asignaturas'!$A$4:$A$18,$D4)*1,0),0))))</f>
        <v/>
      </c>
      <c r="H4" s="3">
        <f>IF(($D4=""),"",IF(($G4=""),("Aula "&amp;IF(ISNUMBER($A4),IF($A4=0,"0",ROUND($A4,9-INT(LOG10(ABS($A4))))&amp;""),$A4&amp;"")),$G4))</f>
        <v/>
      </c>
      <c r="I4" s="3">
        <f>IF(ISNA(MATCH(1,INDEX(EXACT('Asignaturas'!$A$4:$A$18,$D4)*1,0),0)),"no",IF(ISBLANK(INDEX('Asignaturas'!$D$4:$D$18,MATCH(1,INDEX(EXACT('Asignaturas'!$A$4:$A$18,$D4)*1,0),0))),"",INDEX('Asignaturas'!$D$4:$D$18,MATCH(1,INDEX(EXACT('Asignaturas'!$A$4:$A$18,$D4)*1,0),0))))</f>
        <v/>
      </c>
      <c r="J4" s="3">
        <f>IF(ISNA(MATCH(1,INDEX(EXACT('Asignaturas'!$A$4:$A$18,$D4)*1,0),0)),"no",IF(ISBLANK(INDEX('Asignaturas'!$E$4:$E$18,MATCH(1,INDEX(EXACT('Asignaturas'!$A$4:$A$18,$D4)*1,0),0))),"",INDEX('Asignaturas'!$E$4:$E$18,MATCH(1,INDEX(EXACT('Asignaturas'!$A$4:$A$18,$D4)*1,0),0))))</f>
        <v/>
      </c>
      <c r="K4" s="3">
        <f>IF(ISNA(MATCH(1,INDEX(EXACT('Asignaturas'!$A$4:$A$18,$D4)*1,0),0)),"",IF(ISBLANK(INDEX('Asignaturas'!$F$4:$F$18,MATCH(1,INDEX(EXACT('Asignaturas'!$A$4:$A$18,$D4)*1,0),0))),"",INDEX('Asignaturas'!$F$4:$F$18,MATCH(1,INDEX(EXACT('Asignaturas'!$A$4:$A$18,$D4)*1,0),0))))</f>
        <v/>
      </c>
      <c r="L4" s="3">
        <f>IF(ISNA(MATCH(1,INDEX(EXACT('Profesores'!$A$4:$A$33,$F4)*1,0),0)),"no",IF(ISBLANK(INDEX('Profesores'!$B$4:$B$33,MATCH(1,INDEX(EXACT('Profesores'!$A$4:$A$33,$F4)*1,0),0))),"",INDEX('Profesores'!$B$4:$B$33,MATCH(1,INDEX(EXACT('Profesores'!$A$4:$A$33,$F4)*1,0),0))))</f>
        <v/>
      </c>
      <c r="M4" s="3">
        <f>IF(ISNA(MATCH(1,INDEX(EXACT('Profesores'!$A$4:$A$33,$F4)*1,0),0)),"no",IF(ISBLANK(INDEX('Profesores'!$C$4:$C$33,MATCH(1,INDEX(EXACT('Profesores'!$A$4:$A$33,$F4)*1,0),0))),"",INDEX('Profesores'!$C$4:$C$33,MATCH(1,INDEX(EXACT('Profesores'!$A$4:$A$33,$F4)*1,0),0))))</f>
        <v/>
      </c>
      <c r="N4" s="3">
        <f>IF(ISNA(MATCH(1,INDEX(1*((('Dias que asisten los contratado'!$A$4:$A$4&lt;&gt;"")+('Dias que asisten los contratado'!$B$4:$B$4&lt;&gt;""))&gt;0)*(EXACT('Dias que asisten los contratado'!$A$4:$A$4,$F4))*(EXACT('Dias que asisten los contratado'!$B$4:$B$4,$B4)),0),0)),"no",IF(ISBLANK(INDEX('Dias que asisten los contratado'!$C$4:$C$4,MATCH(1,INDEX(1*((('Dias que asisten los contratado'!$A$4:$A$4&lt;&gt;"")+('Dias que asisten los contratado'!$B$4:$B$4&lt;&gt;""))&gt;0)*(EXACT('Dias que asisten los contratado'!$A$4:$A$4,$F4))*(EXACT('Dias que asisten los contratado'!$B$4:$B$4,$B4)),0),0))),"",INDEX('Dias que asisten los contratado'!$C$4:$C$4,MATCH(1,INDEX(1*((('Dias que asisten los contratado'!$A$4:$A$4&lt;&gt;"")+('Dias que asisten los contratado'!$B$4:$B$4&lt;&gt;""))&gt;0)*(EXACT('Dias que asisten los contratado'!$A$4:$A$4,$F4))*(EXACT('Dias que asisten los contratado'!$B$4:$B$4,$B4)),0),0))))</f>
        <v/>
      </c>
      <c r="O4" s="3">
        <f>IF(AND(NOT(($D4="")),(SUMPRODUCT(1*((EXACT('Casillas del horario'!$A$4:$A$73,$A4)))*((EXACT('Casillas del horario'!$B$4:$B$73,$B4)))*((EXACT('Casillas del horario'!$D$4:$D$73,$D4)))*(((((EXACT($I4,"no")))+((NOT(EXACT('Casillas del horario'!$C$4:$C$73,(IFERROR(VALUE($C4&amp;""),0)+1))))*(NOT(EXACT('Casillas del horario'!$C$4:$C$73,(IFERROR(VALUE($C4&amp;""),0)-1))))))&gt;0))*((ROW('Casillas del horario'!$A$4:$A$73)&lt;&gt;ROW($A4))))&gt;0)),"si","no")</f>
        <v/>
      </c>
      <c r="P4" s="3">
        <f>MID(IF(AND(NOT(($D4="")),(SUMPRODUCT(1*((EXACT('Casillas del horario'!$B$4:$B$73,$B4)))*((EXACT('Casillas del horario'!$C$4:$C$73,$C4)))*((EXACT('Casillas del horario'!$F$4:$F$73,$F4)))*((ROW('Casillas del horario'!$A$4:$A$73)&lt;&gt;ROW($A4))))&gt;0)),"; "&amp;"Este profesor ya da clase a otro grupo en este mismo turno","")&amp;IF(AND(NOT(($D4="")),(SUMPRODUCT(1*((EXACT('Casillas del horario'!$B$4:$B$73,$B4)))*((EXACT('Casillas del horario'!$C$4:$C$73,$C4)))*((EXACT('Casillas del horario'!$H$4:$H$73,$H4)))*((ROW('Casillas del horario'!$A$4:$A$73)&lt;&gt;ROW($A4))))&gt;0)),"; "&amp;"Ese local esta ocupado por otro grupo a esa hora","")&amp;IF(EXACT($O4,"si"),"; "&amp;IF(ISNUMBER(IF(EXACT($I4,"no"),"Esta asignatura no admite turno doble y repite el dia en este grupo","Esta asignatura repite el dia en este grupo sin ser en turnos seguidos")),IF(IF(EXACT($I4,"no"),"Esta asignatura no admite turno doble y repite el dia en este grupo","Esta asignatura repite el dia en este grupo sin ser en turnos seguidos")=0,"0",ROUND(IF(EXACT($I4,"no"),"Esta asignatura no admite turno doble y repite el dia en este grupo","Esta asignatura repite el dia en este grupo sin ser en turnos seguidos"),9-INT(LOG10(ABS(IF(EXACT($I4,"no"),"Esta asignatura no admite turno doble y repite el dia en este grupo","Esta asignatura repite el dia en este grupo sin ser en turnos seguidos")))))&amp;""),IF(EXACT($I4,"no"),"Esta asignatura no admite turno doble y repite el dia en este grupo","Esta asignatura repite el dia en este grupo sin ser en turnos seguidos")&amp;""),"")&amp;IF(AND(NOT(($D4="")),EXACT($B4,$K4)),"; "&amp;"Es el dia de preparacion de la asignatura","")&amp;IF(AND(EXACT($D4,"EF"),(IFERROR(VALUE($C4&amp;""),0)&gt;3)),"; "&amp;"Educacion Fisica no puede caer despues del tercer turno","")&amp;IF(AND(NOT(($D4="")),EXACT($J4,"no"),(IFERROR(VALUE($C4&amp;""),0)&gt;6)),"; "&amp;"Esta asignatura no admite turnos de tarde","")&amp;IF(AND(NOT(($D4="")),EXACT($L4,"si"),EXACT($N4,"no")),"; "&amp;"Este profesor esta contratado y no asiste al centro este dia","")&amp;IF(AND(NOT(($D4="")),EXACT($M4,"si"),EXACT($C4,1)),"; "&amp;"Se preferiria no darle el primer turno a un profesor que vive lejos","")&amp;IF(($D4=""),"; "&amp;"Turno sin asignar",""),3,32767)</f>
        <v/>
      </c>
      <c r="Q4" s="3">
        <f>IF(OR(AND(NOT(($D4="")),(SUMPRODUCT(1*((EXACT('Casillas del horario'!$B$4:$B$73,$B4)))*((EXACT('Casillas del horario'!$C$4:$C$73,$C4)))*((EXACT('Casillas del horario'!$F$4:$F$73,$F4)))*((ROW('Casillas del horario'!$A$4:$A$73)&lt;&gt;ROW($A4))))&gt;0)),AND(NOT(($D4="")),(SUMPRODUCT(1*((EXACT('Casillas del horario'!$B$4:$B$73,$B4)))*((EXACT('Casillas del horario'!$C$4:$C$73,$C4)))*((EXACT('Casillas del horario'!$H$4:$H$73,$H4)))*((ROW('Casillas del horario'!$A$4:$A$73)&lt;&gt;ROW($A4))))&gt;0)),EXACT($O4,"si"),AND(NOT(($D4="")),EXACT($B4,$K4)),AND(EXACT($D4,"EF"),(IFERROR(VALUE($C4&amp;""),0)&gt;3)),AND(NOT(($D4="")),EXACT($J4,"no"),(IFERROR(VALUE($C4&amp;""),0)&gt;6)),AND(NOT(($D4="")),EXACT($L4,"si"),EXACT($N4,"no"))),3,IF(OR(AND(NOT(($D4="")),EXACT($M4,"si"),EXACT($C4,1))),2,IF(OR(($D4="")),1,0)))</f>
        <v/>
      </c>
      <c r="R4" s="3">
        <f>$A4&amp;CHAR(31)&amp;$C4&amp;CHAR(31)&amp;$B4</f>
        <v/>
      </c>
      <c r="S4" s="3">
        <f>$F4&amp;CHAR(31)&amp;$C4&amp;CHAR(31)&amp;$B4</f>
        <v/>
      </c>
      <c r="T4" s="3">
        <f>$H4&amp;CHAR(31)&amp;$C4&amp;CHAR(31)&amp;$B4</f>
        <v/>
      </c>
    </row>
    <row r="5">
      <c r="A5" s="3" t="inlineStr">
        <is>
          <t>10-3</t>
        </is>
      </c>
      <c r="B5" s="3" t="inlineStr">
        <is>
          <t>M</t>
        </is>
      </c>
      <c r="C5" s="3" t="n">
        <v>1</v>
      </c>
      <c r="D5" s="4" t="inlineStr">
        <is>
          <t>H</t>
        </is>
      </c>
      <c r="E5" s="3">
        <f>IF(ISNA(MATCH(1,INDEX(EXACT('Asignaturas'!$A$4:$A$18,$D5)*1,0),0)),"",IF(ISBLANK(INDEX('Asignaturas'!$B$4:$B$18,MATCH(1,INDEX(EXACT('Asignaturas'!$A$4:$A$18,$D5)*1,0),0))),"",INDEX('Asignaturas'!$B$4:$B$18,MATCH(1,INDEX(EXACT('Asignaturas'!$A$4:$A$18,$D5)*1,0),0))))</f>
        <v/>
      </c>
      <c r="F5" s="3">
        <f>IF(ISNA(MATCH(1,INDEX(1*(EXACT('Frecuencias por grupo'!$A$4:$A$33,$A5))*(EXACT('Frecuencias por grupo'!$B$4:$B$33,$D5)),0),0)),"",IF(ISBLANK(INDEX('Frecuencias por grupo'!$C$4:$C$33,MATCH(1,INDEX(1*(EXACT('Frecuencias por grupo'!$A$4:$A$33,$A5))*(EXACT('Frecuencias por grupo'!$B$4:$B$33,$D5)),0),0))),"",INDEX('Frecuencias por grupo'!$C$4:$C$33,MATCH(1,INDEX(1*(EXACT('Frecuencias por grupo'!$A$4:$A$33,$A5))*(EXACT('Frecuencias por grupo'!$B$4:$B$33,$D5)),0),0))))</f>
        <v/>
      </c>
      <c r="G5" s="3">
        <f>IF(ISNA(MATCH(1,INDEX(EXACT('Asignaturas'!$A$4:$A$18,$D5)*1,0),0)),"",IF(ISBLANK(INDEX('Asignaturas'!$G$4:$G$18,MATCH(1,INDEX(EXACT('Asignaturas'!$A$4:$A$18,$D5)*1,0),0))),"",INDEX('Asignaturas'!$G$4:$G$18,MATCH(1,INDEX(EXACT('Asignaturas'!$A$4:$A$18,$D5)*1,0),0))))</f>
        <v/>
      </c>
      <c r="H5" s="3">
        <f>IF(($D5=""),"",IF(($G5=""),("Aula "&amp;IF(ISNUMBER($A5),IF($A5=0,"0",ROUND($A5,9-INT(LOG10(ABS($A5))))&amp;""),$A5&amp;"")),$G5))</f>
        <v/>
      </c>
      <c r="I5" s="3">
        <f>IF(ISNA(MATCH(1,INDEX(EXACT('Asignaturas'!$A$4:$A$18,$D5)*1,0),0)),"no",IF(ISBLANK(INDEX('Asignaturas'!$D$4:$D$18,MATCH(1,INDEX(EXACT('Asignaturas'!$A$4:$A$18,$D5)*1,0),0))),"",INDEX('Asignaturas'!$D$4:$D$18,MATCH(1,INDEX(EXACT('Asignaturas'!$A$4:$A$18,$D5)*1,0),0))))</f>
        <v/>
      </c>
      <c r="J5" s="3">
        <f>IF(ISNA(MATCH(1,INDEX(EXACT('Asignaturas'!$A$4:$A$18,$D5)*1,0),0)),"no",IF(ISBLANK(INDEX('Asignaturas'!$E$4:$E$18,MATCH(1,INDEX(EXACT('Asignaturas'!$A$4:$A$18,$D5)*1,0),0))),"",INDEX('Asignaturas'!$E$4:$E$18,MATCH(1,INDEX(EXACT('Asignaturas'!$A$4:$A$18,$D5)*1,0),0))))</f>
        <v/>
      </c>
      <c r="K5" s="3">
        <f>IF(ISNA(MATCH(1,INDEX(EXACT('Asignaturas'!$A$4:$A$18,$D5)*1,0),0)),"",IF(ISBLANK(INDEX('Asignaturas'!$F$4:$F$18,MATCH(1,INDEX(EXACT('Asignaturas'!$A$4:$A$18,$D5)*1,0),0))),"",INDEX('Asignaturas'!$F$4:$F$18,MATCH(1,INDEX(EXACT('Asignaturas'!$A$4:$A$18,$D5)*1,0),0))))</f>
        <v/>
      </c>
      <c r="L5" s="3">
        <f>IF(ISNA(MATCH(1,INDEX(EXACT('Profesores'!$A$4:$A$33,$F5)*1,0),0)),"no",IF(ISBLANK(INDEX('Profesores'!$B$4:$B$33,MATCH(1,INDEX(EXACT('Profesores'!$A$4:$A$33,$F5)*1,0),0))),"",INDEX('Profesores'!$B$4:$B$33,MATCH(1,INDEX(EXACT('Profesores'!$A$4:$A$33,$F5)*1,0),0))))</f>
        <v/>
      </c>
      <c r="M5" s="3">
        <f>IF(ISNA(MATCH(1,INDEX(EXACT('Profesores'!$A$4:$A$33,$F5)*1,0),0)),"no",IF(ISBLANK(INDEX('Profesores'!$C$4:$C$33,MATCH(1,INDEX(EXACT('Profesores'!$A$4:$A$33,$F5)*1,0),0))),"",INDEX('Profesores'!$C$4:$C$33,MATCH(1,INDEX(EXACT('Profesores'!$A$4:$A$33,$F5)*1,0),0))))</f>
        <v/>
      </c>
      <c r="N5" s="3">
        <f>IF(ISNA(MATCH(1,INDEX(1*((('Dias que asisten los contratado'!$A$4:$A$4&lt;&gt;"")+('Dias que asisten los contratado'!$B$4:$B$4&lt;&gt;""))&gt;0)*(EXACT('Dias que asisten los contratado'!$A$4:$A$4,$F5))*(EXACT('Dias que asisten los contratado'!$B$4:$B$4,$B5)),0),0)),"no",IF(ISBLANK(INDEX('Dias que asisten los contratado'!$C$4:$C$4,MATCH(1,INDEX(1*((('Dias que asisten los contratado'!$A$4:$A$4&lt;&gt;"")+('Dias que asisten los contratado'!$B$4:$B$4&lt;&gt;""))&gt;0)*(EXACT('Dias que asisten los contratado'!$A$4:$A$4,$F5))*(EXACT('Dias que asisten los contratado'!$B$4:$B$4,$B5)),0),0))),"",INDEX('Dias que asisten los contratado'!$C$4:$C$4,MATCH(1,INDEX(1*((('Dias que asisten los contratado'!$A$4:$A$4&lt;&gt;"")+('Dias que asisten los contratado'!$B$4:$B$4&lt;&gt;""))&gt;0)*(EXACT('Dias que asisten los contratado'!$A$4:$A$4,$F5))*(EXACT('Dias que asisten los contratado'!$B$4:$B$4,$B5)),0),0))))</f>
        <v/>
      </c>
      <c r="O5" s="3">
        <f>IF(AND(NOT(($D5="")),(SUMPRODUCT(1*((EXACT('Casillas del horario'!$A$4:$A$73,$A5)))*((EXACT('Casillas del horario'!$B$4:$B$73,$B5)))*((EXACT('Casillas del horario'!$D$4:$D$73,$D5)))*(((((EXACT($I5,"no")))+((NOT(EXACT('Casillas del horario'!$C$4:$C$73,(IFERROR(VALUE($C5&amp;""),0)+1))))*(NOT(EXACT('Casillas del horario'!$C$4:$C$73,(IFERROR(VALUE($C5&amp;""),0)-1))))))&gt;0))*((ROW('Casillas del horario'!$A$4:$A$73)&lt;&gt;ROW($A5))))&gt;0)),"si","no")</f>
        <v/>
      </c>
      <c r="P5" s="3">
        <f>MID(IF(AND(NOT(($D5="")),(SUMPRODUCT(1*((EXACT('Casillas del horario'!$B$4:$B$73,$B5)))*((EXACT('Casillas del horario'!$C$4:$C$73,$C5)))*((EXACT('Casillas del horario'!$F$4:$F$73,$F5)))*((ROW('Casillas del horario'!$A$4:$A$73)&lt;&gt;ROW($A5))))&gt;0)),"; "&amp;"Este profesor ya da clase a otro grupo en este mismo turno","")&amp;IF(AND(NOT(($D5="")),(SUMPRODUCT(1*((EXACT('Casillas del horario'!$B$4:$B$73,$B5)))*((EXACT('Casillas del horario'!$C$4:$C$73,$C5)))*((EXACT('Casillas del horario'!$H$4:$H$73,$H5)))*((ROW('Casillas del horario'!$A$4:$A$73)&lt;&gt;ROW($A5))))&gt;0)),"; "&amp;"Ese local esta ocupado por otro grupo a esa hora","")&amp;IF(EXACT($O5,"si"),"; "&amp;IF(ISNUMBER(IF(EXACT($I5,"no"),"Esta asignatura no admite turno doble y repite el dia en este grupo","Esta asignatura repite el dia en este grupo sin ser en turnos seguidos")),IF(IF(EXACT($I5,"no"),"Esta asignatura no admite turno doble y repite el dia en este grupo","Esta asignatura repite el dia en este grupo sin ser en turnos seguidos")=0,"0",ROUND(IF(EXACT($I5,"no"),"Esta asignatura no admite turno doble y repite el dia en este grupo","Esta asignatura repite el dia en este grupo sin ser en turnos seguidos"),9-INT(LOG10(ABS(IF(EXACT($I5,"no"),"Esta asignatura no admite turno doble y repite el dia en este grupo","Esta asignatura repite el dia en este grupo sin ser en turnos seguidos")))))&amp;""),IF(EXACT($I5,"no"),"Esta asignatura no admite turno doble y repite el dia en este grupo","Esta asignatura repite el dia en este grupo sin ser en turnos seguidos")&amp;""),"")&amp;IF(AND(NOT(($D5="")),EXACT($B5,$K5)),"; "&amp;"Es el dia de preparacion de la asignatura","")&amp;IF(AND(EXACT($D5,"EF"),(IFERROR(VALUE($C5&amp;""),0)&gt;3)),"; "&amp;"Educacion Fisica no puede caer despues del tercer turno","")&amp;IF(AND(NOT(($D5="")),EXACT($J5,"no"),(IFERROR(VALUE($C5&amp;""),0)&gt;6)),"; "&amp;"Esta asignatura no admite turnos de tarde","")&amp;IF(AND(NOT(($D5="")),EXACT($L5,"si"),EXACT($N5,"no")),"; "&amp;"Este profesor esta contratado y no asiste al centro este dia","")&amp;IF(AND(NOT(($D5="")),EXACT($M5,"si"),EXACT($C5,1)),"; "&amp;"Se preferiria no darle el primer turno a un profesor que vive lejos","")&amp;IF(($D5=""),"; "&amp;"Turno sin asignar",""),3,32767)</f>
        <v/>
      </c>
      <c r="Q5" s="3">
        <f>IF(OR(AND(NOT(($D5="")),(SUMPRODUCT(1*((EXACT('Casillas del horario'!$B$4:$B$73,$B5)))*((EXACT('Casillas del horario'!$C$4:$C$73,$C5)))*((EXACT('Casillas del horario'!$F$4:$F$73,$F5)))*((ROW('Casillas del horario'!$A$4:$A$73)&lt;&gt;ROW($A5))))&gt;0)),AND(NOT(($D5="")),(SUMPRODUCT(1*((EXACT('Casillas del horario'!$B$4:$B$73,$B5)))*((EXACT('Casillas del horario'!$C$4:$C$73,$C5)))*((EXACT('Casillas del horario'!$H$4:$H$73,$H5)))*((ROW('Casillas del horario'!$A$4:$A$73)&lt;&gt;ROW($A5))))&gt;0)),EXACT($O5,"si"),AND(NOT(($D5="")),EXACT($B5,$K5)),AND(EXACT($D5,"EF"),(IFERROR(VALUE($C5&amp;""),0)&gt;3)),AND(NOT(($D5="")),EXACT($J5,"no"),(IFERROR(VALUE($C5&amp;""),0)&gt;6)),AND(NOT(($D5="")),EXACT($L5,"si"),EXACT($N5,"no"))),3,IF(OR(AND(NOT(($D5="")),EXACT($M5,"si"),EXACT($C5,1))),2,IF(OR(($D5="")),1,0)))</f>
        <v/>
      </c>
      <c r="R5" s="3">
        <f>$A5&amp;CHAR(31)&amp;$C5&amp;CHAR(31)&amp;$B5</f>
        <v/>
      </c>
      <c r="S5" s="3">
        <f>$F5&amp;CHAR(31)&amp;$C5&amp;CHAR(31)&amp;$B5</f>
        <v/>
      </c>
      <c r="T5" s="3">
        <f>$H5&amp;CHAR(31)&amp;$C5&amp;CHAR(31)&amp;$B5</f>
        <v/>
      </c>
    </row>
    <row r="6">
      <c r="A6" s="3" t="inlineStr">
        <is>
          <t>10-3</t>
        </is>
      </c>
      <c r="B6" s="3" t="inlineStr">
        <is>
          <t>MI</t>
        </is>
      </c>
      <c r="C6" s="3" t="n">
        <v>1</v>
      </c>
      <c r="D6" s="4" t="inlineStr">
        <is>
          <t>EF</t>
        </is>
      </c>
      <c r="E6" s="3">
        <f>IF(ISNA(MATCH(1,INDEX(EXACT('Asignaturas'!$A$4:$A$18,$D6)*1,0),0)),"",IF(ISBLANK(INDEX('Asignaturas'!$B$4:$B$18,MATCH(1,INDEX(EXACT('Asignaturas'!$A$4:$A$18,$D6)*1,0),0))),"",INDEX('Asignaturas'!$B$4:$B$18,MATCH(1,INDEX(EXACT('Asignaturas'!$A$4:$A$18,$D6)*1,0),0))))</f>
        <v/>
      </c>
      <c r="F6" s="3">
        <f>IF(ISNA(MATCH(1,INDEX(1*(EXACT('Frecuencias por grupo'!$A$4:$A$33,$A6))*(EXACT('Frecuencias por grupo'!$B$4:$B$33,$D6)),0),0)),"",IF(ISBLANK(INDEX('Frecuencias por grupo'!$C$4:$C$33,MATCH(1,INDEX(1*(EXACT('Frecuencias por grupo'!$A$4:$A$33,$A6))*(EXACT('Frecuencias por grupo'!$B$4:$B$33,$D6)),0),0))),"",INDEX('Frecuencias por grupo'!$C$4:$C$33,MATCH(1,INDEX(1*(EXACT('Frecuencias por grupo'!$A$4:$A$33,$A6))*(EXACT('Frecuencias por grupo'!$B$4:$B$33,$D6)),0),0))))</f>
        <v/>
      </c>
      <c r="G6" s="3">
        <f>IF(ISNA(MATCH(1,INDEX(EXACT('Asignaturas'!$A$4:$A$18,$D6)*1,0),0)),"",IF(ISBLANK(INDEX('Asignaturas'!$G$4:$G$18,MATCH(1,INDEX(EXACT('Asignaturas'!$A$4:$A$18,$D6)*1,0),0))),"",INDEX('Asignaturas'!$G$4:$G$18,MATCH(1,INDEX(EXACT('Asignaturas'!$A$4:$A$18,$D6)*1,0),0))))</f>
        <v/>
      </c>
      <c r="H6" s="3">
        <f>IF(($D6=""),"",IF(($G6=""),("Aula "&amp;IF(ISNUMBER($A6),IF($A6=0,"0",ROUND($A6,9-INT(LOG10(ABS($A6))))&amp;""),$A6&amp;"")),$G6))</f>
        <v/>
      </c>
      <c r="I6" s="3">
        <f>IF(ISNA(MATCH(1,INDEX(EXACT('Asignaturas'!$A$4:$A$18,$D6)*1,0),0)),"no",IF(ISBLANK(INDEX('Asignaturas'!$D$4:$D$18,MATCH(1,INDEX(EXACT('Asignaturas'!$A$4:$A$18,$D6)*1,0),0))),"",INDEX('Asignaturas'!$D$4:$D$18,MATCH(1,INDEX(EXACT('Asignaturas'!$A$4:$A$18,$D6)*1,0),0))))</f>
        <v/>
      </c>
      <c r="J6" s="3">
        <f>IF(ISNA(MATCH(1,INDEX(EXACT('Asignaturas'!$A$4:$A$18,$D6)*1,0),0)),"no",IF(ISBLANK(INDEX('Asignaturas'!$E$4:$E$18,MATCH(1,INDEX(EXACT('Asignaturas'!$A$4:$A$18,$D6)*1,0),0))),"",INDEX('Asignaturas'!$E$4:$E$18,MATCH(1,INDEX(EXACT('Asignaturas'!$A$4:$A$18,$D6)*1,0),0))))</f>
        <v/>
      </c>
      <c r="K6" s="3">
        <f>IF(ISNA(MATCH(1,INDEX(EXACT('Asignaturas'!$A$4:$A$18,$D6)*1,0),0)),"",IF(ISBLANK(INDEX('Asignaturas'!$F$4:$F$18,MATCH(1,INDEX(EXACT('Asignaturas'!$A$4:$A$18,$D6)*1,0),0))),"",INDEX('Asignaturas'!$F$4:$F$18,MATCH(1,INDEX(EXACT('Asignaturas'!$A$4:$A$18,$D6)*1,0),0))))</f>
        <v/>
      </c>
      <c r="L6" s="3">
        <f>IF(ISNA(MATCH(1,INDEX(EXACT('Profesores'!$A$4:$A$33,$F6)*1,0),0)),"no",IF(ISBLANK(INDEX('Profesores'!$B$4:$B$33,MATCH(1,INDEX(EXACT('Profesores'!$A$4:$A$33,$F6)*1,0),0))),"",INDEX('Profesores'!$B$4:$B$33,MATCH(1,INDEX(EXACT('Profesores'!$A$4:$A$33,$F6)*1,0),0))))</f>
        <v/>
      </c>
      <c r="M6" s="3">
        <f>IF(ISNA(MATCH(1,INDEX(EXACT('Profesores'!$A$4:$A$33,$F6)*1,0),0)),"no",IF(ISBLANK(INDEX('Profesores'!$C$4:$C$33,MATCH(1,INDEX(EXACT('Profesores'!$A$4:$A$33,$F6)*1,0),0))),"",INDEX('Profesores'!$C$4:$C$33,MATCH(1,INDEX(EXACT('Profesores'!$A$4:$A$33,$F6)*1,0),0))))</f>
        <v/>
      </c>
      <c r="N6" s="3">
        <f>IF(ISNA(MATCH(1,INDEX(1*((('Dias que asisten los contratado'!$A$4:$A$4&lt;&gt;"")+('Dias que asisten los contratado'!$B$4:$B$4&lt;&gt;""))&gt;0)*(EXACT('Dias que asisten los contratado'!$A$4:$A$4,$F6))*(EXACT('Dias que asisten los contratado'!$B$4:$B$4,$B6)),0),0)),"no",IF(ISBLANK(INDEX('Dias que asisten los contratado'!$C$4:$C$4,MATCH(1,INDEX(1*((('Dias que asisten los contratado'!$A$4:$A$4&lt;&gt;"")+('Dias que asisten los contratado'!$B$4:$B$4&lt;&gt;""))&gt;0)*(EXACT('Dias que asisten los contratado'!$A$4:$A$4,$F6))*(EXACT('Dias que asisten los contratado'!$B$4:$B$4,$B6)),0),0))),"",INDEX('Dias que asisten los contratado'!$C$4:$C$4,MATCH(1,INDEX(1*((('Dias que asisten los contratado'!$A$4:$A$4&lt;&gt;"")+('Dias que asisten los contratado'!$B$4:$B$4&lt;&gt;""))&gt;0)*(EXACT('Dias que asisten los contratado'!$A$4:$A$4,$F6))*(EXACT('Dias que asisten los contratado'!$B$4:$B$4,$B6)),0),0))))</f>
        <v/>
      </c>
      <c r="O6" s="3">
        <f>IF(AND(NOT(($D6="")),(SUMPRODUCT(1*((EXACT('Casillas del horario'!$A$4:$A$73,$A6)))*((EXACT('Casillas del horario'!$B$4:$B$73,$B6)))*((EXACT('Casillas del horario'!$D$4:$D$73,$D6)))*(((((EXACT($I6,"no")))+((NOT(EXACT('Casillas del horario'!$C$4:$C$73,(IFERROR(VALUE($C6&amp;""),0)+1))))*(NOT(EXACT('Casillas del horario'!$C$4:$C$73,(IFERROR(VALUE($C6&amp;""),0)-1))))))&gt;0))*((ROW('Casillas del horario'!$A$4:$A$73)&lt;&gt;ROW($A6))))&gt;0)),"si","no")</f>
        <v/>
      </c>
      <c r="P6" s="3">
        <f>MID(IF(AND(NOT(($D6="")),(SUMPRODUCT(1*((EXACT('Casillas del horario'!$B$4:$B$73,$B6)))*((EXACT('Casillas del horario'!$C$4:$C$73,$C6)))*((EXACT('Casillas del horario'!$F$4:$F$73,$F6)))*((ROW('Casillas del horario'!$A$4:$A$73)&lt;&gt;ROW($A6))))&gt;0)),"; "&amp;"Este profesor ya da clase a otro grupo en este mismo turno","")&amp;IF(AND(NOT(($D6="")),(SUMPRODUCT(1*((EXACT('Casillas del horario'!$B$4:$B$73,$B6)))*((EXACT('Casillas del horario'!$C$4:$C$73,$C6)))*((EXACT('Casillas del horario'!$H$4:$H$73,$H6)))*((ROW('Casillas del horario'!$A$4:$A$73)&lt;&gt;ROW($A6))))&gt;0)),"; "&amp;"Ese local esta ocupado por otro grupo a esa hora","")&amp;IF(EXACT($O6,"si"),"; "&amp;IF(ISNUMBER(IF(EXACT($I6,"no"),"Esta asignatura no admite turno doble y repite el dia en este grupo","Esta asignatura repite el dia en este grupo sin ser en turnos seguidos")),IF(IF(EXACT($I6,"no"),"Esta asignatura no admite turno doble y repite el dia en este grupo","Esta asignatura repite el dia en este grupo sin ser en turnos seguidos")=0,"0",ROUND(IF(EXACT($I6,"no"),"Esta asignatura no admite turno doble y repite el dia en este grupo","Esta asignatura repite el dia en este grupo sin ser en turnos seguidos"),9-INT(LOG10(ABS(IF(EXACT($I6,"no"),"Esta asignatura no admite turno doble y repite el dia en este grupo","Esta asignatura repite el dia en este grupo sin ser en turnos seguidos")))))&amp;""),IF(EXACT($I6,"no"),"Esta asignatura no admite turno doble y repite el dia en este grupo","Esta asignatura repite el dia en este grupo sin ser en turnos seguidos")&amp;""),"")&amp;IF(AND(NOT(($D6="")),EXACT($B6,$K6)),"; "&amp;"Es el dia de preparacion de la asignatura","")&amp;IF(AND(EXACT($D6,"EF"),(IFERROR(VALUE($C6&amp;""),0)&gt;3)),"; "&amp;"Educacion Fisica no puede caer despues del tercer turno","")&amp;IF(AND(NOT(($D6="")),EXACT($J6,"no"),(IFERROR(VALUE($C6&amp;""),0)&gt;6)),"; "&amp;"Esta asignatura no admite turnos de tarde","")&amp;IF(AND(NOT(($D6="")),EXACT($L6,"si"),EXACT($N6,"no")),"; "&amp;"Este profesor esta contratado y no asiste al centro este dia","")&amp;IF(AND(NOT(($D6="")),EXACT($M6,"si"),EXACT($C6,1)),"; "&amp;"Se preferiria no darle el primer turno a un profesor que vive lejos","")&amp;IF(($D6=""),"; "&amp;"Turno sin asignar",""),3,32767)</f>
        <v/>
      </c>
      <c r="Q6" s="3">
        <f>IF(OR(AND(NOT(($D6="")),(SUMPRODUCT(1*((EXACT('Casillas del horario'!$B$4:$B$73,$B6)))*((EXACT('Casillas del horario'!$C$4:$C$73,$C6)))*((EXACT('Casillas del horario'!$F$4:$F$73,$F6)))*((ROW('Casillas del horario'!$A$4:$A$73)&lt;&gt;ROW($A6))))&gt;0)),AND(NOT(($D6="")),(SUMPRODUCT(1*((EXACT('Casillas del horario'!$B$4:$B$73,$B6)))*((EXACT('Casillas del horario'!$C$4:$C$73,$C6)))*((EXACT('Casillas del horario'!$H$4:$H$73,$H6)))*((ROW('Casillas del horario'!$A$4:$A$73)&lt;&gt;ROW($A6))))&gt;0)),EXACT($O6,"si"),AND(NOT(($D6="")),EXACT($B6,$K6)),AND(EXACT($D6,"EF"),(IFERROR(VALUE($C6&amp;""),0)&gt;3)),AND(NOT(($D6="")),EXACT($J6,"no"),(IFERROR(VALUE($C6&amp;""),0)&gt;6)),AND(NOT(($D6="")),EXACT($L6,"si"),EXACT($N6,"no"))),3,IF(OR(AND(NOT(($D6="")),EXACT($M6,"si"),EXACT($C6,1))),2,IF(OR(($D6="")),1,0)))</f>
        <v/>
      </c>
      <c r="R6" s="3">
        <f>$A6&amp;CHAR(31)&amp;$C6&amp;CHAR(31)&amp;$B6</f>
        <v/>
      </c>
      <c r="S6" s="3">
        <f>$F6&amp;CHAR(31)&amp;$C6&amp;CHAR(31)&amp;$B6</f>
        <v/>
      </c>
      <c r="T6" s="3">
        <f>$H6&amp;CHAR(31)&amp;$C6&amp;CHAR(31)&amp;$B6</f>
        <v/>
      </c>
    </row>
    <row r="7">
      <c r="A7" s="3" t="inlineStr">
        <is>
          <t>10-3</t>
        </is>
      </c>
      <c r="B7" s="3" t="inlineStr">
        <is>
          <t>J</t>
        </is>
      </c>
      <c r="C7" s="3" t="n">
        <v>1</v>
      </c>
      <c r="D7" s="4" t="inlineStr">
        <is>
          <t>INF</t>
        </is>
      </c>
      <c r="E7" s="3">
        <f>IF(ISNA(MATCH(1,INDEX(EXACT('Asignaturas'!$A$4:$A$18,$D7)*1,0),0)),"",IF(ISBLANK(INDEX('Asignaturas'!$B$4:$B$18,MATCH(1,INDEX(EXACT('Asignaturas'!$A$4:$A$18,$D7)*1,0),0))),"",INDEX('Asignaturas'!$B$4:$B$18,MATCH(1,INDEX(EXACT('Asignaturas'!$A$4:$A$18,$D7)*1,0),0))))</f>
        <v/>
      </c>
      <c r="F7" s="3">
        <f>IF(ISNA(MATCH(1,INDEX(1*(EXACT('Frecuencias por grupo'!$A$4:$A$33,$A7))*(EXACT('Frecuencias por grupo'!$B$4:$B$33,$D7)),0),0)),"",IF(ISBLANK(INDEX('Frecuencias por grupo'!$C$4:$C$33,MATCH(1,INDEX(1*(EXACT('Frecuencias por grupo'!$A$4:$A$33,$A7))*(EXACT('Frecuencias por grupo'!$B$4:$B$33,$D7)),0),0))),"",INDEX('Frecuencias por grupo'!$C$4:$C$33,MATCH(1,INDEX(1*(EXACT('Frecuencias por grupo'!$A$4:$A$33,$A7))*(EXACT('Frecuencias por grupo'!$B$4:$B$33,$D7)),0),0))))</f>
        <v/>
      </c>
      <c r="G7" s="3">
        <f>IF(ISNA(MATCH(1,INDEX(EXACT('Asignaturas'!$A$4:$A$18,$D7)*1,0),0)),"",IF(ISBLANK(INDEX('Asignaturas'!$G$4:$G$18,MATCH(1,INDEX(EXACT('Asignaturas'!$A$4:$A$18,$D7)*1,0),0))),"",INDEX('Asignaturas'!$G$4:$G$18,MATCH(1,INDEX(EXACT('Asignaturas'!$A$4:$A$18,$D7)*1,0),0))))</f>
        <v/>
      </c>
      <c r="H7" s="3">
        <f>IF(($D7=""),"",IF(($G7=""),("Aula "&amp;IF(ISNUMBER($A7),IF($A7=0,"0",ROUND($A7,9-INT(LOG10(ABS($A7))))&amp;""),$A7&amp;"")),$G7))</f>
        <v/>
      </c>
      <c r="I7" s="3">
        <f>IF(ISNA(MATCH(1,INDEX(EXACT('Asignaturas'!$A$4:$A$18,$D7)*1,0),0)),"no",IF(ISBLANK(INDEX('Asignaturas'!$D$4:$D$18,MATCH(1,INDEX(EXACT('Asignaturas'!$A$4:$A$18,$D7)*1,0),0))),"",INDEX('Asignaturas'!$D$4:$D$18,MATCH(1,INDEX(EXACT('Asignaturas'!$A$4:$A$18,$D7)*1,0),0))))</f>
        <v/>
      </c>
      <c r="J7" s="3">
        <f>IF(ISNA(MATCH(1,INDEX(EXACT('Asignaturas'!$A$4:$A$18,$D7)*1,0),0)),"no",IF(ISBLANK(INDEX('Asignaturas'!$E$4:$E$18,MATCH(1,INDEX(EXACT('Asignaturas'!$A$4:$A$18,$D7)*1,0),0))),"",INDEX('Asignaturas'!$E$4:$E$18,MATCH(1,INDEX(EXACT('Asignaturas'!$A$4:$A$18,$D7)*1,0),0))))</f>
        <v/>
      </c>
      <c r="K7" s="3">
        <f>IF(ISNA(MATCH(1,INDEX(EXACT('Asignaturas'!$A$4:$A$18,$D7)*1,0),0)),"",IF(ISBLANK(INDEX('Asignaturas'!$F$4:$F$18,MATCH(1,INDEX(EXACT('Asignaturas'!$A$4:$A$18,$D7)*1,0),0))),"",INDEX('Asignaturas'!$F$4:$F$18,MATCH(1,INDEX(EXACT('Asignaturas'!$A$4:$A$18,$D7)*1,0),0))))</f>
        <v/>
      </c>
      <c r="L7" s="3">
        <f>IF(ISNA(MATCH(1,INDEX(EXACT('Profesores'!$A$4:$A$33,$F7)*1,0),0)),"no",IF(ISBLANK(INDEX('Profesores'!$B$4:$B$33,MATCH(1,INDEX(EXACT('Profesores'!$A$4:$A$33,$F7)*1,0),0))),"",INDEX('Profesores'!$B$4:$B$33,MATCH(1,INDEX(EXACT('Profesores'!$A$4:$A$33,$F7)*1,0),0))))</f>
        <v/>
      </c>
      <c r="M7" s="3">
        <f>IF(ISNA(MATCH(1,INDEX(EXACT('Profesores'!$A$4:$A$33,$F7)*1,0),0)),"no",IF(ISBLANK(INDEX('Profesores'!$C$4:$C$33,MATCH(1,INDEX(EXACT('Profesores'!$A$4:$A$33,$F7)*1,0),0))),"",INDEX('Profesores'!$C$4:$C$33,MATCH(1,INDEX(EXACT('Profesores'!$A$4:$A$33,$F7)*1,0),0))))</f>
        <v/>
      </c>
      <c r="N7" s="3">
        <f>IF(ISNA(MATCH(1,INDEX(1*((('Dias que asisten los contratado'!$A$4:$A$4&lt;&gt;"")+('Dias que asisten los contratado'!$B$4:$B$4&lt;&gt;""))&gt;0)*(EXACT('Dias que asisten los contratado'!$A$4:$A$4,$F7))*(EXACT('Dias que asisten los contratado'!$B$4:$B$4,$B7)),0),0)),"no",IF(ISBLANK(INDEX('Dias que asisten los contratado'!$C$4:$C$4,MATCH(1,INDEX(1*((('Dias que asisten los contratado'!$A$4:$A$4&lt;&gt;"")+('Dias que asisten los contratado'!$B$4:$B$4&lt;&gt;""))&gt;0)*(EXACT('Dias que asisten los contratado'!$A$4:$A$4,$F7))*(EXACT('Dias que asisten los contratado'!$B$4:$B$4,$B7)),0),0))),"",INDEX('Dias que asisten los contratado'!$C$4:$C$4,MATCH(1,INDEX(1*((('Dias que asisten los contratado'!$A$4:$A$4&lt;&gt;"")+('Dias que asisten los contratado'!$B$4:$B$4&lt;&gt;""))&gt;0)*(EXACT('Dias que asisten los contratado'!$A$4:$A$4,$F7))*(EXACT('Dias que asisten los contratado'!$B$4:$B$4,$B7)),0),0))))</f>
        <v/>
      </c>
      <c r="O7" s="3">
        <f>IF(AND(NOT(($D7="")),(SUMPRODUCT(1*((EXACT('Casillas del horario'!$A$4:$A$73,$A7)))*((EXACT('Casillas del horario'!$B$4:$B$73,$B7)))*((EXACT('Casillas del horario'!$D$4:$D$73,$D7)))*(((((EXACT($I7,"no")))+((NOT(EXACT('Casillas del horario'!$C$4:$C$73,(IFERROR(VALUE($C7&amp;""),0)+1))))*(NOT(EXACT('Casillas del horario'!$C$4:$C$73,(IFERROR(VALUE($C7&amp;""),0)-1))))))&gt;0))*((ROW('Casillas del horario'!$A$4:$A$73)&lt;&gt;ROW($A7))))&gt;0)),"si","no")</f>
        <v/>
      </c>
      <c r="P7" s="3">
        <f>MID(IF(AND(NOT(($D7="")),(SUMPRODUCT(1*((EXACT('Casillas del horario'!$B$4:$B$73,$B7)))*((EXACT('Casillas del horario'!$C$4:$C$73,$C7)))*((EXACT('Casillas del horario'!$F$4:$F$73,$F7)))*((ROW('Casillas del horario'!$A$4:$A$73)&lt;&gt;ROW($A7))))&gt;0)),"; "&amp;"Este profesor ya da clase a otro grupo en este mismo turno","")&amp;IF(AND(NOT(($D7="")),(SUMPRODUCT(1*((EXACT('Casillas del horario'!$B$4:$B$73,$B7)))*((EXACT('Casillas del horario'!$C$4:$C$73,$C7)))*((EXACT('Casillas del horario'!$H$4:$H$73,$H7)))*((ROW('Casillas del horario'!$A$4:$A$73)&lt;&gt;ROW($A7))))&gt;0)),"; "&amp;"Ese local esta ocupado por otro grupo a esa hora","")&amp;IF(EXACT($O7,"si"),"; "&amp;IF(ISNUMBER(IF(EXACT($I7,"no"),"Esta asignatura no admite turno doble y repite el dia en este grupo","Esta asignatura repite el dia en este grupo sin ser en turnos seguidos")),IF(IF(EXACT($I7,"no"),"Esta asignatura no admite turno doble y repite el dia en este grupo","Esta asignatura repite el dia en este grupo sin ser en turnos seguidos")=0,"0",ROUND(IF(EXACT($I7,"no"),"Esta asignatura no admite turno doble y repite el dia en este grupo","Esta asignatura repite el dia en este grupo sin ser en turnos seguidos"),9-INT(LOG10(ABS(IF(EXACT($I7,"no"),"Esta asignatura no admite turno doble y repite el dia en este grupo","Esta asignatura repite el dia en este grupo sin ser en turnos seguidos")))))&amp;""),IF(EXACT($I7,"no"),"Esta asignatura no admite turno doble y repite el dia en este grupo","Esta asignatura repite el dia en este grupo sin ser en turnos seguidos")&amp;""),"")&amp;IF(AND(NOT(($D7="")),EXACT($B7,$K7)),"; "&amp;"Es el dia de preparacion de la asignatura","")&amp;IF(AND(EXACT($D7,"EF"),(IFERROR(VALUE($C7&amp;""),0)&gt;3)),"; "&amp;"Educacion Fisica no puede caer despues del tercer turno","")&amp;IF(AND(NOT(($D7="")),EXACT($J7,"no"),(IFERROR(VALUE($C7&amp;""),0)&gt;6)),"; "&amp;"Esta asignatura no admite turnos de tarde","")&amp;IF(AND(NOT(($D7="")),EXACT($L7,"si"),EXACT($N7,"no")),"; "&amp;"Este profesor esta contratado y no asiste al centro este dia","")&amp;IF(AND(NOT(($D7="")),EXACT($M7,"si"),EXACT($C7,1)),"; "&amp;"Se preferiria no darle el primer turno a un profesor que vive lejos","")&amp;IF(($D7=""),"; "&amp;"Turno sin asignar",""),3,32767)</f>
        <v/>
      </c>
      <c r="Q7" s="3">
        <f>IF(OR(AND(NOT(($D7="")),(SUMPRODUCT(1*((EXACT('Casillas del horario'!$B$4:$B$73,$B7)))*((EXACT('Casillas del horario'!$C$4:$C$73,$C7)))*((EXACT('Casillas del horario'!$F$4:$F$73,$F7)))*((ROW('Casillas del horario'!$A$4:$A$73)&lt;&gt;ROW($A7))))&gt;0)),AND(NOT(($D7="")),(SUMPRODUCT(1*((EXACT('Casillas del horario'!$B$4:$B$73,$B7)))*((EXACT('Casillas del horario'!$C$4:$C$73,$C7)))*((EXACT('Casillas del horario'!$H$4:$H$73,$H7)))*((ROW('Casillas del horario'!$A$4:$A$73)&lt;&gt;ROW($A7))))&gt;0)),EXACT($O7,"si"),AND(NOT(($D7="")),EXACT($B7,$K7)),AND(EXACT($D7,"EF"),(IFERROR(VALUE($C7&amp;""),0)&gt;3)),AND(NOT(($D7="")),EXACT($J7,"no"),(IFERROR(VALUE($C7&amp;""),0)&gt;6)),AND(NOT(($D7="")),EXACT($L7,"si"),EXACT($N7,"no"))),3,IF(OR(AND(NOT(($D7="")),EXACT($M7,"si"),EXACT($C7,1))),2,IF(OR(($D7="")),1,0)))</f>
        <v/>
      </c>
      <c r="R7" s="3">
        <f>$A7&amp;CHAR(31)&amp;$C7&amp;CHAR(31)&amp;$B7</f>
        <v/>
      </c>
      <c r="S7" s="3">
        <f>$F7&amp;CHAR(31)&amp;$C7&amp;CHAR(31)&amp;$B7</f>
        <v/>
      </c>
      <c r="T7" s="3">
        <f>$H7&amp;CHAR(31)&amp;$C7&amp;CHAR(31)&amp;$B7</f>
        <v/>
      </c>
    </row>
    <row r="8">
      <c r="A8" s="3" t="inlineStr">
        <is>
          <t>10-3</t>
        </is>
      </c>
      <c r="B8" s="3" t="inlineStr">
        <is>
          <t>V</t>
        </is>
      </c>
      <c r="C8" s="3" t="n">
        <v>1</v>
      </c>
      <c r="D8" s="4" t="inlineStr">
        <is>
          <t>F</t>
        </is>
      </c>
      <c r="E8" s="3">
        <f>IF(ISNA(MATCH(1,INDEX(EXACT('Asignaturas'!$A$4:$A$18,$D8)*1,0),0)),"",IF(ISBLANK(INDEX('Asignaturas'!$B$4:$B$18,MATCH(1,INDEX(EXACT('Asignaturas'!$A$4:$A$18,$D8)*1,0),0))),"",INDEX('Asignaturas'!$B$4:$B$18,MATCH(1,INDEX(EXACT('Asignaturas'!$A$4:$A$18,$D8)*1,0),0))))</f>
        <v/>
      </c>
      <c r="F8" s="3">
        <f>IF(ISNA(MATCH(1,INDEX(1*(EXACT('Frecuencias por grupo'!$A$4:$A$33,$A8))*(EXACT('Frecuencias por grupo'!$B$4:$B$33,$D8)),0),0)),"",IF(ISBLANK(INDEX('Frecuencias por grupo'!$C$4:$C$33,MATCH(1,INDEX(1*(EXACT('Frecuencias por grupo'!$A$4:$A$33,$A8))*(EXACT('Frecuencias por grupo'!$B$4:$B$33,$D8)),0),0))),"",INDEX('Frecuencias por grupo'!$C$4:$C$33,MATCH(1,INDEX(1*(EXACT('Frecuencias por grupo'!$A$4:$A$33,$A8))*(EXACT('Frecuencias por grupo'!$B$4:$B$33,$D8)),0),0))))</f>
        <v/>
      </c>
      <c r="G8" s="3">
        <f>IF(ISNA(MATCH(1,INDEX(EXACT('Asignaturas'!$A$4:$A$18,$D8)*1,0),0)),"",IF(ISBLANK(INDEX('Asignaturas'!$G$4:$G$18,MATCH(1,INDEX(EXACT('Asignaturas'!$A$4:$A$18,$D8)*1,0),0))),"",INDEX('Asignaturas'!$G$4:$G$18,MATCH(1,INDEX(EXACT('Asignaturas'!$A$4:$A$18,$D8)*1,0),0))))</f>
        <v/>
      </c>
      <c r="H8" s="3">
        <f>IF(($D8=""),"",IF(($G8=""),("Aula "&amp;IF(ISNUMBER($A8),IF($A8=0,"0",ROUND($A8,9-INT(LOG10(ABS($A8))))&amp;""),$A8&amp;"")),$G8))</f>
        <v/>
      </c>
      <c r="I8" s="3">
        <f>IF(ISNA(MATCH(1,INDEX(EXACT('Asignaturas'!$A$4:$A$18,$D8)*1,0),0)),"no",IF(ISBLANK(INDEX('Asignaturas'!$D$4:$D$18,MATCH(1,INDEX(EXACT('Asignaturas'!$A$4:$A$18,$D8)*1,0),0))),"",INDEX('Asignaturas'!$D$4:$D$18,MATCH(1,INDEX(EXACT('Asignaturas'!$A$4:$A$18,$D8)*1,0),0))))</f>
        <v/>
      </c>
      <c r="J8" s="3">
        <f>IF(ISNA(MATCH(1,INDEX(EXACT('Asignaturas'!$A$4:$A$18,$D8)*1,0),0)),"no",IF(ISBLANK(INDEX('Asignaturas'!$E$4:$E$18,MATCH(1,INDEX(EXACT('Asignaturas'!$A$4:$A$18,$D8)*1,0),0))),"",INDEX('Asignaturas'!$E$4:$E$18,MATCH(1,INDEX(EXACT('Asignaturas'!$A$4:$A$18,$D8)*1,0),0))))</f>
        <v/>
      </c>
      <c r="K8" s="3">
        <f>IF(ISNA(MATCH(1,INDEX(EXACT('Asignaturas'!$A$4:$A$18,$D8)*1,0),0)),"",IF(ISBLANK(INDEX('Asignaturas'!$F$4:$F$18,MATCH(1,INDEX(EXACT('Asignaturas'!$A$4:$A$18,$D8)*1,0),0))),"",INDEX('Asignaturas'!$F$4:$F$18,MATCH(1,INDEX(EXACT('Asignaturas'!$A$4:$A$18,$D8)*1,0),0))))</f>
        <v/>
      </c>
      <c r="L8" s="3">
        <f>IF(ISNA(MATCH(1,INDEX(EXACT('Profesores'!$A$4:$A$33,$F8)*1,0),0)),"no",IF(ISBLANK(INDEX('Profesores'!$B$4:$B$33,MATCH(1,INDEX(EXACT('Profesores'!$A$4:$A$33,$F8)*1,0),0))),"",INDEX('Profesores'!$B$4:$B$33,MATCH(1,INDEX(EXACT('Profesores'!$A$4:$A$33,$F8)*1,0),0))))</f>
        <v/>
      </c>
      <c r="M8" s="3">
        <f>IF(ISNA(MATCH(1,INDEX(EXACT('Profesores'!$A$4:$A$33,$F8)*1,0),0)),"no",IF(ISBLANK(INDEX('Profesores'!$C$4:$C$33,MATCH(1,INDEX(EXACT('Profesores'!$A$4:$A$33,$F8)*1,0),0))),"",INDEX('Profesores'!$C$4:$C$33,MATCH(1,INDEX(EXACT('Profesores'!$A$4:$A$33,$F8)*1,0),0))))</f>
        <v/>
      </c>
      <c r="N8" s="3">
        <f>IF(ISNA(MATCH(1,INDEX(1*((('Dias que asisten los contratado'!$A$4:$A$4&lt;&gt;"")+('Dias que asisten los contratado'!$B$4:$B$4&lt;&gt;""))&gt;0)*(EXACT('Dias que asisten los contratado'!$A$4:$A$4,$F8))*(EXACT('Dias que asisten los contratado'!$B$4:$B$4,$B8)),0),0)),"no",IF(ISBLANK(INDEX('Dias que asisten los contratado'!$C$4:$C$4,MATCH(1,INDEX(1*((('Dias que asisten los contratado'!$A$4:$A$4&lt;&gt;"")+('Dias que asisten los contratado'!$B$4:$B$4&lt;&gt;""))&gt;0)*(EXACT('Dias que asisten los contratado'!$A$4:$A$4,$F8))*(EXACT('Dias que asisten los contratado'!$B$4:$B$4,$B8)),0),0))),"",INDEX('Dias que asisten los contratado'!$C$4:$C$4,MATCH(1,INDEX(1*((('Dias que asisten los contratado'!$A$4:$A$4&lt;&gt;"")+('Dias que asisten los contratado'!$B$4:$B$4&lt;&gt;""))&gt;0)*(EXACT('Dias que asisten los contratado'!$A$4:$A$4,$F8))*(EXACT('Dias que asisten los contratado'!$B$4:$B$4,$B8)),0),0))))</f>
        <v/>
      </c>
      <c r="O8" s="3">
        <f>IF(AND(NOT(($D8="")),(SUMPRODUCT(1*((EXACT('Casillas del horario'!$A$4:$A$73,$A8)))*((EXACT('Casillas del horario'!$B$4:$B$73,$B8)))*((EXACT('Casillas del horario'!$D$4:$D$73,$D8)))*(((((EXACT($I8,"no")))+((NOT(EXACT('Casillas del horario'!$C$4:$C$73,(IFERROR(VALUE($C8&amp;""),0)+1))))*(NOT(EXACT('Casillas del horario'!$C$4:$C$73,(IFERROR(VALUE($C8&amp;""),0)-1))))))&gt;0))*((ROW('Casillas del horario'!$A$4:$A$73)&lt;&gt;ROW($A8))))&gt;0)),"si","no")</f>
        <v/>
      </c>
      <c r="P8" s="3">
        <f>MID(IF(AND(NOT(($D8="")),(SUMPRODUCT(1*((EXACT('Casillas del horario'!$B$4:$B$73,$B8)))*((EXACT('Casillas del horario'!$C$4:$C$73,$C8)))*((EXACT('Casillas del horario'!$F$4:$F$73,$F8)))*((ROW('Casillas del horario'!$A$4:$A$73)&lt;&gt;ROW($A8))))&gt;0)),"; "&amp;"Este profesor ya da clase a otro grupo en este mismo turno","")&amp;IF(AND(NOT(($D8="")),(SUMPRODUCT(1*((EXACT('Casillas del horario'!$B$4:$B$73,$B8)))*((EXACT('Casillas del horario'!$C$4:$C$73,$C8)))*((EXACT('Casillas del horario'!$H$4:$H$73,$H8)))*((ROW('Casillas del horario'!$A$4:$A$73)&lt;&gt;ROW($A8))))&gt;0)),"; "&amp;"Ese local esta ocupado por otro grupo a esa hora","")&amp;IF(EXACT($O8,"si"),"; "&amp;IF(ISNUMBER(IF(EXACT($I8,"no"),"Esta asignatura no admite turno doble y repite el dia en este grupo","Esta asignatura repite el dia en este grupo sin ser en turnos seguidos")),IF(IF(EXACT($I8,"no"),"Esta asignatura no admite turno doble y repite el dia en este grupo","Esta asignatura repite el dia en este grupo sin ser en turnos seguidos")=0,"0",ROUND(IF(EXACT($I8,"no"),"Esta asignatura no admite turno doble y repite el dia en este grupo","Esta asignatura repite el dia en este grupo sin ser en turnos seguidos"),9-INT(LOG10(ABS(IF(EXACT($I8,"no"),"Esta asignatura no admite turno doble y repite el dia en este grupo","Esta asignatura repite el dia en este grupo sin ser en turnos seguidos")))))&amp;""),IF(EXACT($I8,"no"),"Esta asignatura no admite turno doble y repite el dia en este grupo","Esta asignatura repite el dia en este grupo sin ser en turnos seguidos")&amp;""),"")&amp;IF(AND(NOT(($D8="")),EXACT($B8,$K8)),"; "&amp;"Es el dia de preparacion de la asignatura","")&amp;IF(AND(EXACT($D8,"EF"),(IFERROR(VALUE($C8&amp;""),0)&gt;3)),"; "&amp;"Educacion Fisica no puede caer despues del tercer turno","")&amp;IF(AND(NOT(($D8="")),EXACT($J8,"no"),(IFERROR(VALUE($C8&amp;""),0)&gt;6)),"; "&amp;"Esta asignatura no admite turnos de tarde","")&amp;IF(AND(NOT(($D8="")),EXACT($L8,"si"),EXACT($N8,"no")),"; "&amp;"Este profesor esta contratado y no asiste al centro este dia","")&amp;IF(AND(NOT(($D8="")),EXACT($M8,"si"),EXACT($C8,1)),"; "&amp;"Se preferiria no darle el primer turno a un profesor que vive lejos","")&amp;IF(($D8=""),"; "&amp;"Turno sin asignar",""),3,32767)</f>
        <v/>
      </c>
      <c r="Q8" s="3">
        <f>IF(OR(AND(NOT(($D8="")),(SUMPRODUCT(1*((EXACT('Casillas del horario'!$B$4:$B$73,$B8)))*((EXACT('Casillas del horario'!$C$4:$C$73,$C8)))*((EXACT('Casillas del horario'!$F$4:$F$73,$F8)))*((ROW('Casillas del horario'!$A$4:$A$73)&lt;&gt;ROW($A8))))&gt;0)),AND(NOT(($D8="")),(SUMPRODUCT(1*((EXACT('Casillas del horario'!$B$4:$B$73,$B8)))*((EXACT('Casillas del horario'!$C$4:$C$73,$C8)))*((EXACT('Casillas del horario'!$H$4:$H$73,$H8)))*((ROW('Casillas del horario'!$A$4:$A$73)&lt;&gt;ROW($A8))))&gt;0)),EXACT($O8,"si"),AND(NOT(($D8="")),EXACT($B8,$K8)),AND(EXACT($D8,"EF"),(IFERROR(VALUE($C8&amp;""),0)&gt;3)),AND(NOT(($D8="")),EXACT($J8,"no"),(IFERROR(VALUE($C8&amp;""),0)&gt;6)),AND(NOT(($D8="")),EXACT($L8,"si"),EXACT($N8,"no"))),3,IF(OR(AND(NOT(($D8="")),EXACT($M8,"si"),EXACT($C8,1))),2,IF(OR(($D8="")),1,0)))</f>
        <v/>
      </c>
      <c r="R8" s="3">
        <f>$A8&amp;CHAR(31)&amp;$C8&amp;CHAR(31)&amp;$B8</f>
        <v/>
      </c>
      <c r="S8" s="3">
        <f>$F8&amp;CHAR(31)&amp;$C8&amp;CHAR(31)&amp;$B8</f>
        <v/>
      </c>
      <c r="T8" s="3">
        <f>$H8&amp;CHAR(31)&amp;$C8&amp;CHAR(31)&amp;$B8</f>
        <v/>
      </c>
    </row>
    <row r="9">
      <c r="A9" s="3" t="inlineStr">
        <is>
          <t>10-4</t>
        </is>
      </c>
      <c r="B9" s="3" t="inlineStr">
        <is>
          <t>L</t>
        </is>
      </c>
      <c r="C9" s="3" t="n">
        <v>1</v>
      </c>
      <c r="D9" s="4" t="inlineStr">
        <is>
          <t>M</t>
        </is>
      </c>
      <c r="E9" s="3">
        <f>IF(ISNA(MATCH(1,INDEX(EXACT('Asignaturas'!$A$4:$A$18,$D9)*1,0),0)),"",IF(ISBLANK(INDEX('Asignaturas'!$B$4:$B$18,MATCH(1,INDEX(EXACT('Asignaturas'!$A$4:$A$18,$D9)*1,0),0))),"",INDEX('Asignaturas'!$B$4:$B$18,MATCH(1,INDEX(EXACT('Asignaturas'!$A$4:$A$18,$D9)*1,0),0))))</f>
        <v/>
      </c>
      <c r="F9" s="3">
        <f>IF(ISNA(MATCH(1,INDEX(1*(EXACT('Frecuencias por grupo'!$A$4:$A$33,$A9))*(EXACT('Frecuencias por grupo'!$B$4:$B$33,$D9)),0),0)),"",IF(ISBLANK(INDEX('Frecuencias por grupo'!$C$4:$C$33,MATCH(1,INDEX(1*(EXACT('Frecuencias por grupo'!$A$4:$A$33,$A9))*(EXACT('Frecuencias por grupo'!$B$4:$B$33,$D9)),0),0))),"",INDEX('Frecuencias por grupo'!$C$4:$C$33,MATCH(1,INDEX(1*(EXACT('Frecuencias por grupo'!$A$4:$A$33,$A9))*(EXACT('Frecuencias por grupo'!$B$4:$B$33,$D9)),0),0))))</f>
        <v/>
      </c>
      <c r="G9" s="3">
        <f>IF(ISNA(MATCH(1,INDEX(EXACT('Asignaturas'!$A$4:$A$18,$D9)*1,0),0)),"",IF(ISBLANK(INDEX('Asignaturas'!$G$4:$G$18,MATCH(1,INDEX(EXACT('Asignaturas'!$A$4:$A$18,$D9)*1,0),0))),"",INDEX('Asignaturas'!$G$4:$G$18,MATCH(1,INDEX(EXACT('Asignaturas'!$A$4:$A$18,$D9)*1,0),0))))</f>
        <v/>
      </c>
      <c r="H9" s="3">
        <f>IF(($D9=""),"",IF(($G9=""),("Aula "&amp;IF(ISNUMBER($A9),IF($A9=0,"0",ROUND($A9,9-INT(LOG10(ABS($A9))))&amp;""),$A9&amp;"")),$G9))</f>
        <v/>
      </c>
      <c r="I9" s="3">
        <f>IF(ISNA(MATCH(1,INDEX(EXACT('Asignaturas'!$A$4:$A$18,$D9)*1,0),0)),"no",IF(ISBLANK(INDEX('Asignaturas'!$D$4:$D$18,MATCH(1,INDEX(EXACT('Asignaturas'!$A$4:$A$18,$D9)*1,0),0))),"",INDEX('Asignaturas'!$D$4:$D$18,MATCH(1,INDEX(EXACT('Asignaturas'!$A$4:$A$18,$D9)*1,0),0))))</f>
        <v/>
      </c>
      <c r="J9" s="3">
        <f>IF(ISNA(MATCH(1,INDEX(EXACT('Asignaturas'!$A$4:$A$18,$D9)*1,0),0)),"no",IF(ISBLANK(INDEX('Asignaturas'!$E$4:$E$18,MATCH(1,INDEX(EXACT('Asignaturas'!$A$4:$A$18,$D9)*1,0),0))),"",INDEX('Asignaturas'!$E$4:$E$18,MATCH(1,INDEX(EXACT('Asignaturas'!$A$4:$A$18,$D9)*1,0),0))))</f>
        <v/>
      </c>
      <c r="K9" s="3">
        <f>IF(ISNA(MATCH(1,INDEX(EXACT('Asignaturas'!$A$4:$A$18,$D9)*1,0),0)),"",IF(ISBLANK(INDEX('Asignaturas'!$F$4:$F$18,MATCH(1,INDEX(EXACT('Asignaturas'!$A$4:$A$18,$D9)*1,0),0))),"",INDEX('Asignaturas'!$F$4:$F$18,MATCH(1,INDEX(EXACT('Asignaturas'!$A$4:$A$18,$D9)*1,0),0))))</f>
        <v/>
      </c>
      <c r="L9" s="3">
        <f>IF(ISNA(MATCH(1,INDEX(EXACT('Profesores'!$A$4:$A$33,$F9)*1,0),0)),"no",IF(ISBLANK(INDEX('Profesores'!$B$4:$B$33,MATCH(1,INDEX(EXACT('Profesores'!$A$4:$A$33,$F9)*1,0),0))),"",INDEX('Profesores'!$B$4:$B$33,MATCH(1,INDEX(EXACT('Profesores'!$A$4:$A$33,$F9)*1,0),0))))</f>
        <v/>
      </c>
      <c r="M9" s="3">
        <f>IF(ISNA(MATCH(1,INDEX(EXACT('Profesores'!$A$4:$A$33,$F9)*1,0),0)),"no",IF(ISBLANK(INDEX('Profesores'!$C$4:$C$33,MATCH(1,INDEX(EXACT('Profesores'!$A$4:$A$33,$F9)*1,0),0))),"",INDEX('Profesores'!$C$4:$C$33,MATCH(1,INDEX(EXACT('Profesores'!$A$4:$A$33,$F9)*1,0),0))))</f>
        <v/>
      </c>
      <c r="N9" s="3">
        <f>IF(ISNA(MATCH(1,INDEX(1*((('Dias que asisten los contratado'!$A$4:$A$4&lt;&gt;"")+('Dias que asisten los contratado'!$B$4:$B$4&lt;&gt;""))&gt;0)*(EXACT('Dias que asisten los contratado'!$A$4:$A$4,$F9))*(EXACT('Dias que asisten los contratado'!$B$4:$B$4,$B9)),0),0)),"no",IF(ISBLANK(INDEX('Dias que asisten los contratado'!$C$4:$C$4,MATCH(1,INDEX(1*((('Dias que asisten los contratado'!$A$4:$A$4&lt;&gt;"")+('Dias que asisten los contratado'!$B$4:$B$4&lt;&gt;""))&gt;0)*(EXACT('Dias que asisten los contratado'!$A$4:$A$4,$F9))*(EXACT('Dias que asisten los contratado'!$B$4:$B$4,$B9)),0),0))),"",INDEX('Dias que asisten los contratado'!$C$4:$C$4,MATCH(1,INDEX(1*((('Dias que asisten los contratado'!$A$4:$A$4&lt;&gt;"")+('Dias que asisten los contratado'!$B$4:$B$4&lt;&gt;""))&gt;0)*(EXACT('Dias que asisten los contratado'!$A$4:$A$4,$F9))*(EXACT('Dias que asisten los contratado'!$B$4:$B$4,$B9)),0),0))))</f>
        <v/>
      </c>
      <c r="O9" s="3">
        <f>IF(AND(NOT(($D9="")),(SUMPRODUCT(1*((EXACT('Casillas del horario'!$A$4:$A$73,$A9)))*((EXACT('Casillas del horario'!$B$4:$B$73,$B9)))*((EXACT('Casillas del horario'!$D$4:$D$73,$D9)))*(((((EXACT($I9,"no")))+((NOT(EXACT('Casillas del horario'!$C$4:$C$73,(IFERROR(VALUE($C9&amp;""),0)+1))))*(NOT(EXACT('Casillas del horario'!$C$4:$C$73,(IFERROR(VALUE($C9&amp;""),0)-1))))))&gt;0))*((ROW('Casillas del horario'!$A$4:$A$73)&lt;&gt;ROW($A9))))&gt;0)),"si","no")</f>
        <v/>
      </c>
      <c r="P9" s="3">
        <f>MID(IF(AND(NOT(($D9="")),(SUMPRODUCT(1*((EXACT('Casillas del horario'!$B$4:$B$73,$B9)))*((EXACT('Casillas del horario'!$C$4:$C$73,$C9)))*((EXACT('Casillas del horario'!$F$4:$F$73,$F9)))*((ROW('Casillas del horario'!$A$4:$A$73)&lt;&gt;ROW($A9))))&gt;0)),"; "&amp;"Este profesor ya da clase a otro grupo en este mismo turno","")&amp;IF(AND(NOT(($D9="")),(SUMPRODUCT(1*((EXACT('Casillas del horario'!$B$4:$B$73,$B9)))*((EXACT('Casillas del horario'!$C$4:$C$73,$C9)))*((EXACT('Casillas del horario'!$H$4:$H$73,$H9)))*((ROW('Casillas del horario'!$A$4:$A$73)&lt;&gt;ROW($A9))))&gt;0)),"; "&amp;"Ese local esta ocupado por otro grupo a esa hora","")&amp;IF(EXACT($O9,"si"),"; "&amp;IF(ISNUMBER(IF(EXACT($I9,"no"),"Esta asignatura no admite turno doble y repite el dia en este grupo","Esta asignatura repite el dia en este grupo sin ser en turnos seguidos")),IF(IF(EXACT($I9,"no"),"Esta asignatura no admite turno doble y repite el dia en este grupo","Esta asignatura repite el dia en este grupo sin ser en turnos seguidos")=0,"0",ROUND(IF(EXACT($I9,"no"),"Esta asignatura no admite turno doble y repite el dia en este grupo","Esta asignatura repite el dia en este grupo sin ser en turnos seguidos"),9-INT(LOG10(ABS(IF(EXACT($I9,"no"),"Esta asignatura no admite turno doble y repite el dia en este grupo","Esta asignatura repite el dia en este grupo sin ser en turnos seguidos")))))&amp;""),IF(EXACT($I9,"no"),"Esta asignatura no admite turno doble y repite el dia en este grupo","Esta asignatura repite el dia en este grupo sin ser en turnos seguidos")&amp;""),"")&amp;IF(AND(NOT(($D9="")),EXACT($B9,$K9)),"; "&amp;"Es el dia de preparacion de la asignatura","")&amp;IF(AND(EXACT($D9,"EF"),(IFERROR(VALUE($C9&amp;""),0)&gt;3)),"; "&amp;"Educacion Fisica no puede caer despues del tercer turno","")&amp;IF(AND(NOT(($D9="")),EXACT($J9,"no"),(IFERROR(VALUE($C9&amp;""),0)&gt;6)),"; "&amp;"Esta asignatura no admite turnos de tarde","")&amp;IF(AND(NOT(($D9="")),EXACT($L9,"si"),EXACT($N9,"no")),"; "&amp;"Este profesor esta contratado y no asiste al centro este dia","")&amp;IF(AND(NOT(($D9="")),EXACT($M9,"si"),EXACT($C9,1)),"; "&amp;"Se preferiria no darle el primer turno a un profesor que vive lejos","")&amp;IF(($D9=""),"; "&amp;"Turno sin asignar",""),3,32767)</f>
        <v/>
      </c>
      <c r="Q9" s="3">
        <f>IF(OR(AND(NOT(($D9="")),(SUMPRODUCT(1*((EXACT('Casillas del horario'!$B$4:$B$73,$B9)))*((EXACT('Casillas del horario'!$C$4:$C$73,$C9)))*((EXACT('Casillas del horario'!$F$4:$F$73,$F9)))*((ROW('Casillas del horario'!$A$4:$A$73)&lt;&gt;ROW($A9))))&gt;0)),AND(NOT(($D9="")),(SUMPRODUCT(1*((EXACT('Casillas del horario'!$B$4:$B$73,$B9)))*((EXACT('Casillas del horario'!$C$4:$C$73,$C9)))*((EXACT('Casillas del horario'!$H$4:$H$73,$H9)))*((ROW('Casillas del horario'!$A$4:$A$73)&lt;&gt;ROW($A9))))&gt;0)),EXACT($O9,"si"),AND(NOT(($D9="")),EXACT($B9,$K9)),AND(EXACT($D9,"EF"),(IFERROR(VALUE($C9&amp;""),0)&gt;3)),AND(NOT(($D9="")),EXACT($J9,"no"),(IFERROR(VALUE($C9&amp;""),0)&gt;6)),AND(NOT(($D9="")),EXACT($L9,"si"),EXACT($N9,"no"))),3,IF(OR(AND(NOT(($D9="")),EXACT($M9,"si"),EXACT($C9,1))),2,IF(OR(($D9="")),1,0)))</f>
        <v/>
      </c>
      <c r="R9" s="3">
        <f>$A9&amp;CHAR(31)&amp;$C9&amp;CHAR(31)&amp;$B9</f>
        <v/>
      </c>
      <c r="S9" s="3">
        <f>$F9&amp;CHAR(31)&amp;$C9&amp;CHAR(31)&amp;$B9</f>
        <v/>
      </c>
      <c r="T9" s="3">
        <f>$H9&amp;CHAR(31)&amp;$C9&amp;CHAR(31)&amp;$B9</f>
        <v/>
      </c>
    </row>
    <row r="10">
      <c r="A10" s="3" t="inlineStr">
        <is>
          <t>10-4</t>
        </is>
      </c>
      <c r="B10" s="3" t="inlineStr">
        <is>
          <t>M</t>
        </is>
      </c>
      <c r="C10" s="3" t="n">
        <v>1</v>
      </c>
      <c r="D10" s="4" t="inlineStr">
        <is>
          <t>Lit-L</t>
        </is>
      </c>
      <c r="E10" s="3">
        <f>IF(ISNA(MATCH(1,INDEX(EXACT('Asignaturas'!$A$4:$A$18,$D10)*1,0),0)),"",IF(ISBLANK(INDEX('Asignaturas'!$B$4:$B$18,MATCH(1,INDEX(EXACT('Asignaturas'!$A$4:$A$18,$D10)*1,0),0))),"",INDEX('Asignaturas'!$B$4:$B$18,MATCH(1,INDEX(EXACT('Asignaturas'!$A$4:$A$18,$D10)*1,0),0))))</f>
        <v/>
      </c>
      <c r="F10" s="3">
        <f>IF(ISNA(MATCH(1,INDEX(1*(EXACT('Frecuencias por grupo'!$A$4:$A$33,$A10))*(EXACT('Frecuencias por grupo'!$B$4:$B$33,$D10)),0),0)),"",IF(ISBLANK(INDEX('Frecuencias por grupo'!$C$4:$C$33,MATCH(1,INDEX(1*(EXACT('Frecuencias por grupo'!$A$4:$A$33,$A10))*(EXACT('Frecuencias por grupo'!$B$4:$B$33,$D10)),0),0))),"",INDEX('Frecuencias por grupo'!$C$4:$C$33,MATCH(1,INDEX(1*(EXACT('Frecuencias por grupo'!$A$4:$A$33,$A10))*(EXACT('Frecuencias por grupo'!$B$4:$B$33,$D10)),0),0))))</f>
        <v/>
      </c>
      <c r="G10" s="3">
        <f>IF(ISNA(MATCH(1,INDEX(EXACT('Asignaturas'!$A$4:$A$18,$D10)*1,0),0)),"",IF(ISBLANK(INDEX('Asignaturas'!$G$4:$G$18,MATCH(1,INDEX(EXACT('Asignaturas'!$A$4:$A$18,$D10)*1,0),0))),"",INDEX('Asignaturas'!$G$4:$G$18,MATCH(1,INDEX(EXACT('Asignaturas'!$A$4:$A$18,$D10)*1,0),0))))</f>
        <v/>
      </c>
      <c r="H10" s="3">
        <f>IF(($D10=""),"",IF(($G10=""),("Aula "&amp;IF(ISNUMBER($A10),IF($A10=0,"0",ROUND($A10,9-INT(LOG10(ABS($A10))))&amp;""),$A10&amp;"")),$G10))</f>
        <v/>
      </c>
      <c r="I10" s="3">
        <f>IF(ISNA(MATCH(1,INDEX(EXACT('Asignaturas'!$A$4:$A$18,$D10)*1,0),0)),"no",IF(ISBLANK(INDEX('Asignaturas'!$D$4:$D$18,MATCH(1,INDEX(EXACT('Asignaturas'!$A$4:$A$18,$D10)*1,0),0))),"",INDEX('Asignaturas'!$D$4:$D$18,MATCH(1,INDEX(EXACT('Asignaturas'!$A$4:$A$18,$D10)*1,0),0))))</f>
        <v/>
      </c>
      <c r="J10" s="3">
        <f>IF(ISNA(MATCH(1,INDEX(EXACT('Asignaturas'!$A$4:$A$18,$D10)*1,0),0)),"no",IF(ISBLANK(INDEX('Asignaturas'!$E$4:$E$18,MATCH(1,INDEX(EXACT('Asignaturas'!$A$4:$A$18,$D10)*1,0),0))),"",INDEX('Asignaturas'!$E$4:$E$18,MATCH(1,INDEX(EXACT('Asignaturas'!$A$4:$A$18,$D10)*1,0),0))))</f>
        <v/>
      </c>
      <c r="K10" s="3">
        <f>IF(ISNA(MATCH(1,INDEX(EXACT('Asignaturas'!$A$4:$A$18,$D10)*1,0),0)),"",IF(ISBLANK(INDEX('Asignaturas'!$F$4:$F$18,MATCH(1,INDEX(EXACT('Asignaturas'!$A$4:$A$18,$D10)*1,0),0))),"",INDEX('Asignaturas'!$F$4:$F$18,MATCH(1,INDEX(EXACT('Asignaturas'!$A$4:$A$18,$D10)*1,0),0))))</f>
        <v/>
      </c>
      <c r="L10" s="3">
        <f>IF(ISNA(MATCH(1,INDEX(EXACT('Profesores'!$A$4:$A$33,$F10)*1,0),0)),"no",IF(ISBLANK(INDEX('Profesores'!$B$4:$B$33,MATCH(1,INDEX(EXACT('Profesores'!$A$4:$A$33,$F10)*1,0),0))),"",INDEX('Profesores'!$B$4:$B$33,MATCH(1,INDEX(EXACT('Profesores'!$A$4:$A$33,$F10)*1,0),0))))</f>
        <v/>
      </c>
      <c r="M10" s="3">
        <f>IF(ISNA(MATCH(1,INDEX(EXACT('Profesores'!$A$4:$A$33,$F10)*1,0),0)),"no",IF(ISBLANK(INDEX('Profesores'!$C$4:$C$33,MATCH(1,INDEX(EXACT('Profesores'!$A$4:$A$33,$F10)*1,0),0))),"",INDEX('Profesores'!$C$4:$C$33,MATCH(1,INDEX(EXACT('Profesores'!$A$4:$A$33,$F10)*1,0),0))))</f>
        <v/>
      </c>
      <c r="N10" s="3">
        <f>IF(ISNA(MATCH(1,INDEX(1*((('Dias que asisten los contratado'!$A$4:$A$4&lt;&gt;"")+('Dias que asisten los contratado'!$B$4:$B$4&lt;&gt;""))&gt;0)*(EXACT('Dias que asisten los contratado'!$A$4:$A$4,$F10))*(EXACT('Dias que asisten los contratado'!$B$4:$B$4,$B10)),0),0)),"no",IF(ISBLANK(INDEX('Dias que asisten los contratado'!$C$4:$C$4,MATCH(1,INDEX(1*((('Dias que asisten los contratado'!$A$4:$A$4&lt;&gt;"")+('Dias que asisten los contratado'!$B$4:$B$4&lt;&gt;""))&gt;0)*(EXACT('Dias que asisten los contratado'!$A$4:$A$4,$F10))*(EXACT('Dias que asisten los contratado'!$B$4:$B$4,$B10)),0),0))),"",INDEX('Dias que asisten los contratado'!$C$4:$C$4,MATCH(1,INDEX(1*((('Dias que asisten los contratado'!$A$4:$A$4&lt;&gt;"")+('Dias que asisten los contratado'!$B$4:$B$4&lt;&gt;""))&gt;0)*(EXACT('Dias que asisten los contratado'!$A$4:$A$4,$F10))*(EXACT('Dias que asisten los contratado'!$B$4:$B$4,$B10)),0),0))))</f>
        <v/>
      </c>
      <c r="O10" s="3">
        <f>IF(AND(NOT(($D10="")),(SUMPRODUCT(1*((EXACT('Casillas del horario'!$A$4:$A$73,$A10)))*((EXACT('Casillas del horario'!$B$4:$B$73,$B10)))*((EXACT('Casillas del horario'!$D$4:$D$73,$D10)))*(((((EXACT($I10,"no")))+((NOT(EXACT('Casillas del horario'!$C$4:$C$73,(IFERROR(VALUE($C10&amp;""),0)+1))))*(NOT(EXACT('Casillas del horario'!$C$4:$C$73,(IFERROR(VALUE($C10&amp;""),0)-1))))))&gt;0))*((ROW('Casillas del horario'!$A$4:$A$73)&lt;&gt;ROW($A10))))&gt;0)),"si","no")</f>
        <v/>
      </c>
      <c r="P10" s="3">
        <f>MID(IF(AND(NOT(($D10="")),(SUMPRODUCT(1*((EXACT('Casillas del horario'!$B$4:$B$73,$B10)))*((EXACT('Casillas del horario'!$C$4:$C$73,$C10)))*((EXACT('Casillas del horario'!$F$4:$F$73,$F10)))*((ROW('Casillas del horario'!$A$4:$A$73)&lt;&gt;ROW($A10))))&gt;0)),"; "&amp;"Este profesor ya da clase a otro grupo en este mismo turno","")&amp;IF(AND(NOT(($D10="")),(SUMPRODUCT(1*((EXACT('Casillas del horario'!$B$4:$B$73,$B10)))*((EXACT('Casillas del horario'!$C$4:$C$73,$C10)))*((EXACT('Casillas del horario'!$H$4:$H$73,$H10)))*((ROW('Casillas del horario'!$A$4:$A$73)&lt;&gt;ROW($A10))))&gt;0)),"; "&amp;"Ese local esta ocupado por otro grupo a esa hora","")&amp;IF(EXACT($O10,"si"),"; "&amp;IF(ISNUMBER(IF(EXACT($I10,"no"),"Esta asignatura no admite turno doble y repite el dia en este grupo","Esta asignatura repite el dia en este grupo sin ser en turnos seguidos")),IF(IF(EXACT($I10,"no"),"Esta asignatura no admite turno doble y repite el dia en este grupo","Esta asignatura repite el dia en este grupo sin ser en turnos seguidos")=0,"0",ROUND(IF(EXACT($I10,"no"),"Esta asignatura no admite turno doble y repite el dia en este grupo","Esta asignatura repite el dia en este grupo sin ser en turnos seguidos"),9-INT(LOG10(ABS(IF(EXACT($I10,"no"),"Esta asignatura no admite turno doble y repite el dia en este grupo","Esta asignatura repite el dia en este grupo sin ser en turnos seguidos")))))&amp;""),IF(EXACT($I10,"no"),"Esta asignatura no admite turno doble y repite el dia en este grupo","Esta asignatura repite el dia en este grupo sin ser en turnos seguidos")&amp;""),"")&amp;IF(AND(NOT(($D10="")),EXACT($B10,$K10)),"; "&amp;"Es el dia de preparacion de la asignatura","")&amp;IF(AND(EXACT($D10,"EF"),(IFERROR(VALUE($C10&amp;""),0)&gt;3)),"; "&amp;"Educacion Fisica no puede caer despues del tercer turno","")&amp;IF(AND(NOT(($D10="")),EXACT($J10,"no"),(IFERROR(VALUE($C10&amp;""),0)&gt;6)),"; "&amp;"Esta asignatura no admite turnos de tarde","")&amp;IF(AND(NOT(($D10="")),EXACT($L10,"si"),EXACT($N10,"no")),"; "&amp;"Este profesor esta contratado y no asiste al centro este dia","")&amp;IF(AND(NOT(($D10="")),EXACT($M10,"si"),EXACT($C10,1)),"; "&amp;"Se preferiria no darle el primer turno a un profesor que vive lejos","")&amp;IF(($D10=""),"; "&amp;"Turno sin asignar",""),3,32767)</f>
        <v/>
      </c>
      <c r="Q10" s="3">
        <f>IF(OR(AND(NOT(($D10="")),(SUMPRODUCT(1*((EXACT('Casillas del horario'!$B$4:$B$73,$B10)))*((EXACT('Casillas del horario'!$C$4:$C$73,$C10)))*((EXACT('Casillas del horario'!$F$4:$F$73,$F10)))*((ROW('Casillas del horario'!$A$4:$A$73)&lt;&gt;ROW($A10))))&gt;0)),AND(NOT(($D10="")),(SUMPRODUCT(1*((EXACT('Casillas del horario'!$B$4:$B$73,$B10)))*((EXACT('Casillas del horario'!$C$4:$C$73,$C10)))*((EXACT('Casillas del horario'!$H$4:$H$73,$H10)))*((ROW('Casillas del horario'!$A$4:$A$73)&lt;&gt;ROW($A10))))&gt;0)),EXACT($O10,"si"),AND(NOT(($D10="")),EXACT($B10,$K10)),AND(EXACT($D10,"EF"),(IFERROR(VALUE($C10&amp;""),0)&gt;3)),AND(NOT(($D10="")),EXACT($J10,"no"),(IFERROR(VALUE($C10&amp;""),0)&gt;6)),AND(NOT(($D10="")),EXACT($L10,"si"),EXACT($N10,"no"))),3,IF(OR(AND(NOT(($D10="")),EXACT($M10,"si"),EXACT($C10,1))),2,IF(OR(($D10="")),1,0)))</f>
        <v/>
      </c>
      <c r="R10" s="3">
        <f>$A10&amp;CHAR(31)&amp;$C10&amp;CHAR(31)&amp;$B10</f>
        <v/>
      </c>
      <c r="S10" s="3">
        <f>$F10&amp;CHAR(31)&amp;$C10&amp;CHAR(31)&amp;$B10</f>
        <v/>
      </c>
      <c r="T10" s="3">
        <f>$H10&amp;CHAR(31)&amp;$C10&amp;CHAR(31)&amp;$B10</f>
        <v/>
      </c>
    </row>
    <row r="11">
      <c r="A11" s="3" t="inlineStr">
        <is>
          <t>10-4</t>
        </is>
      </c>
      <c r="B11" s="3" t="inlineStr">
        <is>
          <t>MI</t>
        </is>
      </c>
      <c r="C11" s="3" t="n">
        <v>1</v>
      </c>
      <c r="D11" s="4" t="inlineStr">
        <is>
          <t>CP</t>
        </is>
      </c>
      <c r="E11" s="3">
        <f>IF(ISNA(MATCH(1,INDEX(EXACT('Asignaturas'!$A$4:$A$18,$D11)*1,0),0)),"",IF(ISBLANK(INDEX('Asignaturas'!$B$4:$B$18,MATCH(1,INDEX(EXACT('Asignaturas'!$A$4:$A$18,$D11)*1,0),0))),"",INDEX('Asignaturas'!$B$4:$B$18,MATCH(1,INDEX(EXACT('Asignaturas'!$A$4:$A$18,$D11)*1,0),0))))</f>
        <v/>
      </c>
      <c r="F11" s="3">
        <f>IF(ISNA(MATCH(1,INDEX(1*(EXACT('Frecuencias por grupo'!$A$4:$A$33,$A11))*(EXACT('Frecuencias por grupo'!$B$4:$B$33,$D11)),0),0)),"",IF(ISBLANK(INDEX('Frecuencias por grupo'!$C$4:$C$33,MATCH(1,INDEX(1*(EXACT('Frecuencias por grupo'!$A$4:$A$33,$A11))*(EXACT('Frecuencias por grupo'!$B$4:$B$33,$D11)),0),0))),"",INDEX('Frecuencias por grupo'!$C$4:$C$33,MATCH(1,INDEX(1*(EXACT('Frecuencias por grupo'!$A$4:$A$33,$A11))*(EXACT('Frecuencias por grupo'!$B$4:$B$33,$D11)),0),0))))</f>
        <v/>
      </c>
      <c r="G11" s="3">
        <f>IF(ISNA(MATCH(1,INDEX(EXACT('Asignaturas'!$A$4:$A$18,$D11)*1,0),0)),"",IF(ISBLANK(INDEX('Asignaturas'!$G$4:$G$18,MATCH(1,INDEX(EXACT('Asignaturas'!$A$4:$A$18,$D11)*1,0),0))),"",INDEX('Asignaturas'!$G$4:$G$18,MATCH(1,INDEX(EXACT('Asignaturas'!$A$4:$A$18,$D11)*1,0),0))))</f>
        <v/>
      </c>
      <c r="H11" s="3">
        <f>IF(($D11=""),"",IF(($G11=""),("Aula "&amp;IF(ISNUMBER($A11),IF($A11=0,"0",ROUND($A11,9-INT(LOG10(ABS($A11))))&amp;""),$A11&amp;"")),$G11))</f>
        <v/>
      </c>
      <c r="I11" s="3">
        <f>IF(ISNA(MATCH(1,INDEX(EXACT('Asignaturas'!$A$4:$A$18,$D11)*1,0),0)),"no",IF(ISBLANK(INDEX('Asignaturas'!$D$4:$D$18,MATCH(1,INDEX(EXACT('Asignaturas'!$A$4:$A$18,$D11)*1,0),0))),"",INDEX('Asignaturas'!$D$4:$D$18,MATCH(1,INDEX(EXACT('Asignaturas'!$A$4:$A$18,$D11)*1,0),0))))</f>
        <v/>
      </c>
      <c r="J11" s="3">
        <f>IF(ISNA(MATCH(1,INDEX(EXACT('Asignaturas'!$A$4:$A$18,$D11)*1,0),0)),"no",IF(ISBLANK(INDEX('Asignaturas'!$E$4:$E$18,MATCH(1,INDEX(EXACT('Asignaturas'!$A$4:$A$18,$D11)*1,0),0))),"",INDEX('Asignaturas'!$E$4:$E$18,MATCH(1,INDEX(EXACT('Asignaturas'!$A$4:$A$18,$D11)*1,0),0))))</f>
        <v/>
      </c>
      <c r="K11" s="3">
        <f>IF(ISNA(MATCH(1,INDEX(EXACT('Asignaturas'!$A$4:$A$18,$D11)*1,0),0)),"",IF(ISBLANK(INDEX('Asignaturas'!$F$4:$F$18,MATCH(1,INDEX(EXACT('Asignaturas'!$A$4:$A$18,$D11)*1,0),0))),"",INDEX('Asignaturas'!$F$4:$F$18,MATCH(1,INDEX(EXACT('Asignaturas'!$A$4:$A$18,$D11)*1,0),0))))</f>
        <v/>
      </c>
      <c r="L11" s="3">
        <f>IF(ISNA(MATCH(1,INDEX(EXACT('Profesores'!$A$4:$A$33,$F11)*1,0),0)),"no",IF(ISBLANK(INDEX('Profesores'!$B$4:$B$33,MATCH(1,INDEX(EXACT('Profesores'!$A$4:$A$33,$F11)*1,0),0))),"",INDEX('Profesores'!$B$4:$B$33,MATCH(1,INDEX(EXACT('Profesores'!$A$4:$A$33,$F11)*1,0),0))))</f>
        <v/>
      </c>
      <c r="M11" s="3">
        <f>IF(ISNA(MATCH(1,INDEX(EXACT('Profesores'!$A$4:$A$33,$F11)*1,0),0)),"no",IF(ISBLANK(INDEX('Profesores'!$C$4:$C$33,MATCH(1,INDEX(EXACT('Profesores'!$A$4:$A$33,$F11)*1,0),0))),"",INDEX('Profesores'!$C$4:$C$33,MATCH(1,INDEX(EXACT('Profesores'!$A$4:$A$33,$F11)*1,0),0))))</f>
        <v/>
      </c>
      <c r="N11" s="3">
        <f>IF(ISNA(MATCH(1,INDEX(1*((('Dias que asisten los contratado'!$A$4:$A$4&lt;&gt;"")+('Dias que asisten los contratado'!$B$4:$B$4&lt;&gt;""))&gt;0)*(EXACT('Dias que asisten los contratado'!$A$4:$A$4,$F11))*(EXACT('Dias que asisten los contratado'!$B$4:$B$4,$B11)),0),0)),"no",IF(ISBLANK(INDEX('Dias que asisten los contratado'!$C$4:$C$4,MATCH(1,INDEX(1*((('Dias que asisten los contratado'!$A$4:$A$4&lt;&gt;"")+('Dias que asisten los contratado'!$B$4:$B$4&lt;&gt;""))&gt;0)*(EXACT('Dias que asisten los contratado'!$A$4:$A$4,$F11))*(EXACT('Dias que asisten los contratado'!$B$4:$B$4,$B11)),0),0))),"",INDEX('Dias que asisten los contratado'!$C$4:$C$4,MATCH(1,INDEX(1*((('Dias que asisten los contratado'!$A$4:$A$4&lt;&gt;"")+('Dias que asisten los contratado'!$B$4:$B$4&lt;&gt;""))&gt;0)*(EXACT('Dias que asisten los contratado'!$A$4:$A$4,$F11))*(EXACT('Dias que asisten los contratado'!$B$4:$B$4,$B11)),0),0))))</f>
        <v/>
      </c>
      <c r="O11" s="3">
        <f>IF(AND(NOT(($D11="")),(SUMPRODUCT(1*((EXACT('Casillas del horario'!$A$4:$A$73,$A11)))*((EXACT('Casillas del horario'!$B$4:$B$73,$B11)))*((EXACT('Casillas del horario'!$D$4:$D$73,$D11)))*(((((EXACT($I11,"no")))+((NOT(EXACT('Casillas del horario'!$C$4:$C$73,(IFERROR(VALUE($C11&amp;""),0)+1))))*(NOT(EXACT('Casillas del horario'!$C$4:$C$73,(IFERROR(VALUE($C11&amp;""),0)-1))))))&gt;0))*((ROW('Casillas del horario'!$A$4:$A$73)&lt;&gt;ROW($A11))))&gt;0)),"si","no")</f>
        <v/>
      </c>
      <c r="P11" s="3">
        <f>MID(IF(AND(NOT(($D11="")),(SUMPRODUCT(1*((EXACT('Casillas del horario'!$B$4:$B$73,$B11)))*((EXACT('Casillas del horario'!$C$4:$C$73,$C11)))*((EXACT('Casillas del horario'!$F$4:$F$73,$F11)))*((ROW('Casillas del horario'!$A$4:$A$73)&lt;&gt;ROW($A11))))&gt;0)),"; "&amp;"Este profesor ya da clase a otro grupo en este mismo turno","")&amp;IF(AND(NOT(($D11="")),(SUMPRODUCT(1*((EXACT('Casillas del horario'!$B$4:$B$73,$B11)))*((EXACT('Casillas del horario'!$C$4:$C$73,$C11)))*((EXACT('Casillas del horario'!$H$4:$H$73,$H11)))*((ROW('Casillas del horario'!$A$4:$A$73)&lt;&gt;ROW($A11))))&gt;0)),"; "&amp;"Ese local esta ocupado por otro grupo a esa hora","")&amp;IF(EXACT($O11,"si"),"; "&amp;IF(ISNUMBER(IF(EXACT($I11,"no"),"Esta asignatura no admite turno doble y repite el dia en este grupo","Esta asignatura repite el dia en este grupo sin ser en turnos seguidos")),IF(IF(EXACT($I11,"no"),"Esta asignatura no admite turno doble y repite el dia en este grupo","Esta asignatura repite el dia en este grupo sin ser en turnos seguidos")=0,"0",ROUND(IF(EXACT($I11,"no"),"Esta asignatura no admite turno doble y repite el dia en este grupo","Esta asignatura repite el dia en este grupo sin ser en turnos seguidos"),9-INT(LOG10(ABS(IF(EXACT($I11,"no"),"Esta asignatura no admite turno doble y repite el dia en este grupo","Esta asignatura repite el dia en este grupo sin ser en turnos seguidos")))))&amp;""),IF(EXACT($I11,"no"),"Esta asignatura no admite turno doble y repite el dia en este grupo","Esta asignatura repite el dia en este grupo sin ser en turnos seguidos")&amp;""),"")&amp;IF(AND(NOT(($D11="")),EXACT($B11,$K11)),"; "&amp;"Es el dia de preparacion de la asignatura","")&amp;IF(AND(EXACT($D11,"EF"),(IFERROR(VALUE($C11&amp;""),0)&gt;3)),"; "&amp;"Educacion Fisica no puede caer despues del tercer turno","")&amp;IF(AND(NOT(($D11="")),EXACT($J11,"no"),(IFERROR(VALUE($C11&amp;""),0)&gt;6)),"; "&amp;"Esta asignatura no admite turnos de tarde","")&amp;IF(AND(NOT(($D11="")),EXACT($L11,"si"),EXACT($N11,"no")),"; "&amp;"Este profesor esta contratado y no asiste al centro este dia","")&amp;IF(AND(NOT(($D11="")),EXACT($M11,"si"),EXACT($C11,1)),"; "&amp;"Se preferiria no darle el primer turno a un profesor que vive lejos","")&amp;IF(($D11=""),"; "&amp;"Turno sin asignar",""),3,32767)</f>
        <v/>
      </c>
      <c r="Q11" s="3">
        <f>IF(OR(AND(NOT(($D11="")),(SUMPRODUCT(1*((EXACT('Casillas del horario'!$B$4:$B$73,$B11)))*((EXACT('Casillas del horario'!$C$4:$C$73,$C11)))*((EXACT('Casillas del horario'!$F$4:$F$73,$F11)))*((ROW('Casillas del horario'!$A$4:$A$73)&lt;&gt;ROW($A11))))&gt;0)),AND(NOT(($D11="")),(SUMPRODUCT(1*((EXACT('Casillas del horario'!$B$4:$B$73,$B11)))*((EXACT('Casillas del horario'!$C$4:$C$73,$C11)))*((EXACT('Casillas del horario'!$H$4:$H$73,$H11)))*((ROW('Casillas del horario'!$A$4:$A$73)&lt;&gt;ROW($A11))))&gt;0)),EXACT($O11,"si"),AND(NOT(($D11="")),EXACT($B11,$K11)),AND(EXACT($D11,"EF"),(IFERROR(VALUE($C11&amp;""),0)&gt;3)),AND(NOT(($D11="")),EXACT($J11,"no"),(IFERROR(VALUE($C11&amp;""),0)&gt;6)),AND(NOT(($D11="")),EXACT($L11,"si"),EXACT($N11,"no"))),3,IF(OR(AND(NOT(($D11="")),EXACT($M11,"si"),EXACT($C11,1))),2,IF(OR(($D11="")),1,0)))</f>
        <v/>
      </c>
      <c r="R11" s="3">
        <f>$A11&amp;CHAR(31)&amp;$C11&amp;CHAR(31)&amp;$B11</f>
        <v/>
      </c>
      <c r="S11" s="3">
        <f>$F11&amp;CHAR(31)&amp;$C11&amp;CHAR(31)&amp;$B11</f>
        <v/>
      </c>
      <c r="T11" s="3">
        <f>$H11&amp;CHAR(31)&amp;$C11&amp;CHAR(31)&amp;$B11</f>
        <v/>
      </c>
    </row>
    <row r="12">
      <c r="A12" s="3" t="inlineStr">
        <is>
          <t>10-4</t>
        </is>
      </c>
      <c r="B12" s="3" t="inlineStr">
        <is>
          <t>J</t>
        </is>
      </c>
      <c r="C12" s="3" t="n">
        <v>1</v>
      </c>
      <c r="D12" s="4" t="inlineStr">
        <is>
          <t>F</t>
        </is>
      </c>
      <c r="E12" s="3">
        <f>IF(ISNA(MATCH(1,INDEX(EXACT('Asignaturas'!$A$4:$A$18,$D12)*1,0),0)),"",IF(ISBLANK(INDEX('Asignaturas'!$B$4:$B$18,MATCH(1,INDEX(EXACT('Asignaturas'!$A$4:$A$18,$D12)*1,0),0))),"",INDEX('Asignaturas'!$B$4:$B$18,MATCH(1,INDEX(EXACT('Asignaturas'!$A$4:$A$18,$D12)*1,0),0))))</f>
        <v/>
      </c>
      <c r="F12" s="3">
        <f>IF(ISNA(MATCH(1,INDEX(1*(EXACT('Frecuencias por grupo'!$A$4:$A$33,$A12))*(EXACT('Frecuencias por grupo'!$B$4:$B$33,$D12)),0),0)),"",IF(ISBLANK(INDEX('Frecuencias por grupo'!$C$4:$C$33,MATCH(1,INDEX(1*(EXACT('Frecuencias por grupo'!$A$4:$A$33,$A12))*(EXACT('Frecuencias por grupo'!$B$4:$B$33,$D12)),0),0))),"",INDEX('Frecuencias por grupo'!$C$4:$C$33,MATCH(1,INDEX(1*(EXACT('Frecuencias por grupo'!$A$4:$A$33,$A12))*(EXACT('Frecuencias por grupo'!$B$4:$B$33,$D12)),0),0))))</f>
        <v/>
      </c>
      <c r="G12" s="3">
        <f>IF(ISNA(MATCH(1,INDEX(EXACT('Asignaturas'!$A$4:$A$18,$D12)*1,0),0)),"",IF(ISBLANK(INDEX('Asignaturas'!$G$4:$G$18,MATCH(1,INDEX(EXACT('Asignaturas'!$A$4:$A$18,$D12)*1,0),0))),"",INDEX('Asignaturas'!$G$4:$G$18,MATCH(1,INDEX(EXACT('Asignaturas'!$A$4:$A$18,$D12)*1,0),0))))</f>
        <v/>
      </c>
      <c r="H12" s="3">
        <f>IF(($D12=""),"",IF(($G12=""),("Aula "&amp;IF(ISNUMBER($A12),IF($A12=0,"0",ROUND($A12,9-INT(LOG10(ABS($A12))))&amp;""),$A12&amp;"")),$G12))</f>
        <v/>
      </c>
      <c r="I12" s="3">
        <f>IF(ISNA(MATCH(1,INDEX(EXACT('Asignaturas'!$A$4:$A$18,$D12)*1,0),0)),"no",IF(ISBLANK(INDEX('Asignaturas'!$D$4:$D$18,MATCH(1,INDEX(EXACT('Asignaturas'!$A$4:$A$18,$D12)*1,0),0))),"",INDEX('Asignaturas'!$D$4:$D$18,MATCH(1,INDEX(EXACT('Asignaturas'!$A$4:$A$18,$D12)*1,0),0))))</f>
        <v/>
      </c>
      <c r="J12" s="3">
        <f>IF(ISNA(MATCH(1,INDEX(EXACT('Asignaturas'!$A$4:$A$18,$D12)*1,0),0)),"no",IF(ISBLANK(INDEX('Asignaturas'!$E$4:$E$18,MATCH(1,INDEX(EXACT('Asignaturas'!$A$4:$A$18,$D12)*1,0),0))),"",INDEX('Asignaturas'!$E$4:$E$18,MATCH(1,INDEX(EXACT('Asignaturas'!$A$4:$A$18,$D12)*1,0),0))))</f>
        <v/>
      </c>
      <c r="K12" s="3">
        <f>IF(ISNA(MATCH(1,INDEX(EXACT('Asignaturas'!$A$4:$A$18,$D12)*1,0),0)),"",IF(ISBLANK(INDEX('Asignaturas'!$F$4:$F$18,MATCH(1,INDEX(EXACT('Asignaturas'!$A$4:$A$18,$D12)*1,0),0))),"",INDEX('Asignaturas'!$F$4:$F$18,MATCH(1,INDEX(EXACT('Asignaturas'!$A$4:$A$18,$D12)*1,0),0))))</f>
        <v/>
      </c>
      <c r="L12" s="3">
        <f>IF(ISNA(MATCH(1,INDEX(EXACT('Profesores'!$A$4:$A$33,$F12)*1,0),0)),"no",IF(ISBLANK(INDEX('Profesores'!$B$4:$B$33,MATCH(1,INDEX(EXACT('Profesores'!$A$4:$A$33,$F12)*1,0),0))),"",INDEX('Profesores'!$B$4:$B$33,MATCH(1,INDEX(EXACT('Profesores'!$A$4:$A$33,$F12)*1,0),0))))</f>
        <v/>
      </c>
      <c r="M12" s="3">
        <f>IF(ISNA(MATCH(1,INDEX(EXACT('Profesores'!$A$4:$A$33,$F12)*1,0),0)),"no",IF(ISBLANK(INDEX('Profesores'!$C$4:$C$33,MATCH(1,INDEX(EXACT('Profesores'!$A$4:$A$33,$F12)*1,0),0))),"",INDEX('Profesores'!$C$4:$C$33,MATCH(1,INDEX(EXACT('Profesores'!$A$4:$A$33,$F12)*1,0),0))))</f>
        <v/>
      </c>
      <c r="N12" s="3">
        <f>IF(ISNA(MATCH(1,INDEX(1*((('Dias que asisten los contratado'!$A$4:$A$4&lt;&gt;"")+('Dias que asisten los contratado'!$B$4:$B$4&lt;&gt;""))&gt;0)*(EXACT('Dias que asisten los contratado'!$A$4:$A$4,$F12))*(EXACT('Dias que asisten los contratado'!$B$4:$B$4,$B12)),0),0)),"no",IF(ISBLANK(INDEX('Dias que asisten los contratado'!$C$4:$C$4,MATCH(1,INDEX(1*((('Dias que asisten los contratado'!$A$4:$A$4&lt;&gt;"")+('Dias que asisten los contratado'!$B$4:$B$4&lt;&gt;""))&gt;0)*(EXACT('Dias que asisten los contratado'!$A$4:$A$4,$F12))*(EXACT('Dias que asisten los contratado'!$B$4:$B$4,$B12)),0),0))),"",INDEX('Dias que asisten los contratado'!$C$4:$C$4,MATCH(1,INDEX(1*((('Dias que asisten los contratado'!$A$4:$A$4&lt;&gt;"")+('Dias que asisten los contratado'!$B$4:$B$4&lt;&gt;""))&gt;0)*(EXACT('Dias que asisten los contratado'!$A$4:$A$4,$F12))*(EXACT('Dias que asisten los contratado'!$B$4:$B$4,$B12)),0),0))))</f>
        <v/>
      </c>
      <c r="O12" s="3">
        <f>IF(AND(NOT(($D12="")),(SUMPRODUCT(1*((EXACT('Casillas del horario'!$A$4:$A$73,$A12)))*((EXACT('Casillas del horario'!$B$4:$B$73,$B12)))*((EXACT('Casillas del horario'!$D$4:$D$73,$D12)))*(((((EXACT($I12,"no")))+((NOT(EXACT('Casillas del horario'!$C$4:$C$73,(IFERROR(VALUE($C12&amp;""),0)+1))))*(NOT(EXACT('Casillas del horario'!$C$4:$C$73,(IFERROR(VALUE($C12&amp;""),0)-1))))))&gt;0))*((ROW('Casillas del horario'!$A$4:$A$73)&lt;&gt;ROW($A12))))&gt;0)),"si","no")</f>
        <v/>
      </c>
      <c r="P12" s="3">
        <f>MID(IF(AND(NOT(($D12="")),(SUMPRODUCT(1*((EXACT('Casillas del horario'!$B$4:$B$73,$B12)))*((EXACT('Casillas del horario'!$C$4:$C$73,$C12)))*((EXACT('Casillas del horario'!$F$4:$F$73,$F12)))*((ROW('Casillas del horario'!$A$4:$A$73)&lt;&gt;ROW($A12))))&gt;0)),"; "&amp;"Este profesor ya da clase a otro grupo en este mismo turno","")&amp;IF(AND(NOT(($D12="")),(SUMPRODUCT(1*((EXACT('Casillas del horario'!$B$4:$B$73,$B12)))*((EXACT('Casillas del horario'!$C$4:$C$73,$C12)))*((EXACT('Casillas del horario'!$H$4:$H$73,$H12)))*((ROW('Casillas del horario'!$A$4:$A$73)&lt;&gt;ROW($A12))))&gt;0)),"; "&amp;"Ese local esta ocupado por otro grupo a esa hora","")&amp;IF(EXACT($O12,"si"),"; "&amp;IF(ISNUMBER(IF(EXACT($I12,"no"),"Esta asignatura no admite turno doble y repite el dia en este grupo","Esta asignatura repite el dia en este grupo sin ser en turnos seguidos")),IF(IF(EXACT($I12,"no"),"Esta asignatura no admite turno doble y repite el dia en este grupo","Esta asignatura repite el dia en este grupo sin ser en turnos seguidos")=0,"0",ROUND(IF(EXACT($I12,"no"),"Esta asignatura no admite turno doble y repite el dia en este grupo","Esta asignatura repite el dia en este grupo sin ser en turnos seguidos"),9-INT(LOG10(ABS(IF(EXACT($I12,"no"),"Esta asignatura no admite turno doble y repite el dia en este grupo","Esta asignatura repite el dia en este grupo sin ser en turnos seguidos")))))&amp;""),IF(EXACT($I12,"no"),"Esta asignatura no admite turno doble y repite el dia en este grupo","Esta asignatura repite el dia en este grupo sin ser en turnos seguidos")&amp;""),"")&amp;IF(AND(NOT(($D12="")),EXACT($B12,$K12)),"; "&amp;"Es el dia de preparacion de la asignatura","")&amp;IF(AND(EXACT($D12,"EF"),(IFERROR(VALUE($C12&amp;""),0)&gt;3)),"; "&amp;"Educacion Fisica no puede caer despues del tercer turno","")&amp;IF(AND(NOT(($D12="")),EXACT($J12,"no"),(IFERROR(VALUE($C12&amp;""),0)&gt;6)),"; "&amp;"Esta asignatura no admite turnos de tarde","")&amp;IF(AND(NOT(($D12="")),EXACT($L12,"si"),EXACT($N12,"no")),"; "&amp;"Este profesor esta contratado y no asiste al centro este dia","")&amp;IF(AND(NOT(($D12="")),EXACT($M12,"si"),EXACT($C12,1)),"; "&amp;"Se preferiria no darle el primer turno a un profesor que vive lejos","")&amp;IF(($D12=""),"; "&amp;"Turno sin asignar",""),3,32767)</f>
        <v/>
      </c>
      <c r="Q12" s="3">
        <f>IF(OR(AND(NOT(($D12="")),(SUMPRODUCT(1*((EXACT('Casillas del horario'!$B$4:$B$73,$B12)))*((EXACT('Casillas del horario'!$C$4:$C$73,$C12)))*((EXACT('Casillas del horario'!$F$4:$F$73,$F12)))*((ROW('Casillas del horario'!$A$4:$A$73)&lt;&gt;ROW($A12))))&gt;0)),AND(NOT(($D12="")),(SUMPRODUCT(1*((EXACT('Casillas del horario'!$B$4:$B$73,$B12)))*((EXACT('Casillas del horario'!$C$4:$C$73,$C12)))*((EXACT('Casillas del horario'!$H$4:$H$73,$H12)))*((ROW('Casillas del horario'!$A$4:$A$73)&lt;&gt;ROW($A12))))&gt;0)),EXACT($O12,"si"),AND(NOT(($D12="")),EXACT($B12,$K12)),AND(EXACT($D12,"EF"),(IFERROR(VALUE($C12&amp;""),0)&gt;3)),AND(NOT(($D12="")),EXACT($J12,"no"),(IFERROR(VALUE($C12&amp;""),0)&gt;6)),AND(NOT(($D12="")),EXACT($L12,"si"),EXACT($N12,"no"))),3,IF(OR(AND(NOT(($D12="")),EXACT($M12,"si"),EXACT($C12,1))),2,IF(OR(($D12="")),1,0)))</f>
        <v/>
      </c>
      <c r="R12" s="3">
        <f>$A12&amp;CHAR(31)&amp;$C12&amp;CHAR(31)&amp;$B12</f>
        <v/>
      </c>
      <c r="S12" s="3">
        <f>$F12&amp;CHAR(31)&amp;$C12&amp;CHAR(31)&amp;$B12</f>
        <v/>
      </c>
      <c r="T12" s="3">
        <f>$H12&amp;CHAR(31)&amp;$C12&amp;CHAR(31)&amp;$B12</f>
        <v/>
      </c>
    </row>
    <row r="13">
      <c r="A13" s="3" t="inlineStr">
        <is>
          <t>10-4</t>
        </is>
      </c>
      <c r="B13" s="3" t="inlineStr">
        <is>
          <t>V</t>
        </is>
      </c>
      <c r="C13" s="3" t="n">
        <v>1</v>
      </c>
      <c r="D13" s="4" t="inlineStr">
        <is>
          <t>Lit-L</t>
        </is>
      </c>
      <c r="E13" s="3">
        <f>IF(ISNA(MATCH(1,INDEX(EXACT('Asignaturas'!$A$4:$A$18,$D13)*1,0),0)),"",IF(ISBLANK(INDEX('Asignaturas'!$B$4:$B$18,MATCH(1,INDEX(EXACT('Asignaturas'!$A$4:$A$18,$D13)*1,0),0))),"",INDEX('Asignaturas'!$B$4:$B$18,MATCH(1,INDEX(EXACT('Asignaturas'!$A$4:$A$18,$D13)*1,0),0))))</f>
        <v/>
      </c>
      <c r="F13" s="3">
        <f>IF(ISNA(MATCH(1,INDEX(1*(EXACT('Frecuencias por grupo'!$A$4:$A$33,$A13))*(EXACT('Frecuencias por grupo'!$B$4:$B$33,$D13)),0),0)),"",IF(ISBLANK(INDEX('Frecuencias por grupo'!$C$4:$C$33,MATCH(1,INDEX(1*(EXACT('Frecuencias por grupo'!$A$4:$A$33,$A13))*(EXACT('Frecuencias por grupo'!$B$4:$B$33,$D13)),0),0))),"",INDEX('Frecuencias por grupo'!$C$4:$C$33,MATCH(1,INDEX(1*(EXACT('Frecuencias por grupo'!$A$4:$A$33,$A13))*(EXACT('Frecuencias por grupo'!$B$4:$B$33,$D13)),0),0))))</f>
        <v/>
      </c>
      <c r="G13" s="3">
        <f>IF(ISNA(MATCH(1,INDEX(EXACT('Asignaturas'!$A$4:$A$18,$D13)*1,0),0)),"",IF(ISBLANK(INDEX('Asignaturas'!$G$4:$G$18,MATCH(1,INDEX(EXACT('Asignaturas'!$A$4:$A$18,$D13)*1,0),0))),"",INDEX('Asignaturas'!$G$4:$G$18,MATCH(1,INDEX(EXACT('Asignaturas'!$A$4:$A$18,$D13)*1,0),0))))</f>
        <v/>
      </c>
      <c r="H13" s="3">
        <f>IF(($D13=""),"",IF(($G13=""),("Aula "&amp;IF(ISNUMBER($A13),IF($A13=0,"0",ROUND($A13,9-INT(LOG10(ABS($A13))))&amp;""),$A13&amp;"")),$G13))</f>
        <v/>
      </c>
      <c r="I13" s="3">
        <f>IF(ISNA(MATCH(1,INDEX(EXACT('Asignaturas'!$A$4:$A$18,$D13)*1,0),0)),"no",IF(ISBLANK(INDEX('Asignaturas'!$D$4:$D$18,MATCH(1,INDEX(EXACT('Asignaturas'!$A$4:$A$18,$D13)*1,0),0))),"",INDEX('Asignaturas'!$D$4:$D$18,MATCH(1,INDEX(EXACT('Asignaturas'!$A$4:$A$18,$D13)*1,0),0))))</f>
        <v/>
      </c>
      <c r="J13" s="3">
        <f>IF(ISNA(MATCH(1,INDEX(EXACT('Asignaturas'!$A$4:$A$18,$D13)*1,0),0)),"no",IF(ISBLANK(INDEX('Asignaturas'!$E$4:$E$18,MATCH(1,INDEX(EXACT('Asignaturas'!$A$4:$A$18,$D13)*1,0),0))),"",INDEX('Asignaturas'!$E$4:$E$18,MATCH(1,INDEX(EXACT('Asignaturas'!$A$4:$A$18,$D13)*1,0),0))))</f>
        <v/>
      </c>
      <c r="K13" s="3">
        <f>IF(ISNA(MATCH(1,INDEX(EXACT('Asignaturas'!$A$4:$A$18,$D13)*1,0),0)),"",IF(ISBLANK(INDEX('Asignaturas'!$F$4:$F$18,MATCH(1,INDEX(EXACT('Asignaturas'!$A$4:$A$18,$D13)*1,0),0))),"",INDEX('Asignaturas'!$F$4:$F$18,MATCH(1,INDEX(EXACT('Asignaturas'!$A$4:$A$18,$D13)*1,0),0))))</f>
        <v/>
      </c>
      <c r="L13" s="3">
        <f>IF(ISNA(MATCH(1,INDEX(EXACT('Profesores'!$A$4:$A$33,$F13)*1,0),0)),"no",IF(ISBLANK(INDEX('Profesores'!$B$4:$B$33,MATCH(1,INDEX(EXACT('Profesores'!$A$4:$A$33,$F13)*1,0),0))),"",INDEX('Profesores'!$B$4:$B$33,MATCH(1,INDEX(EXACT('Profesores'!$A$4:$A$33,$F13)*1,0),0))))</f>
        <v/>
      </c>
      <c r="M13" s="3">
        <f>IF(ISNA(MATCH(1,INDEX(EXACT('Profesores'!$A$4:$A$33,$F13)*1,0),0)),"no",IF(ISBLANK(INDEX('Profesores'!$C$4:$C$33,MATCH(1,INDEX(EXACT('Profesores'!$A$4:$A$33,$F13)*1,0),0))),"",INDEX('Profesores'!$C$4:$C$33,MATCH(1,INDEX(EXACT('Profesores'!$A$4:$A$33,$F13)*1,0),0))))</f>
        <v/>
      </c>
      <c r="N13" s="3">
        <f>IF(ISNA(MATCH(1,INDEX(1*((('Dias que asisten los contratado'!$A$4:$A$4&lt;&gt;"")+('Dias que asisten los contratado'!$B$4:$B$4&lt;&gt;""))&gt;0)*(EXACT('Dias que asisten los contratado'!$A$4:$A$4,$F13))*(EXACT('Dias que asisten los contratado'!$B$4:$B$4,$B13)),0),0)),"no",IF(ISBLANK(INDEX('Dias que asisten los contratado'!$C$4:$C$4,MATCH(1,INDEX(1*((('Dias que asisten los contratado'!$A$4:$A$4&lt;&gt;"")+('Dias que asisten los contratado'!$B$4:$B$4&lt;&gt;""))&gt;0)*(EXACT('Dias que asisten los contratado'!$A$4:$A$4,$F13))*(EXACT('Dias que asisten los contratado'!$B$4:$B$4,$B13)),0),0))),"",INDEX('Dias que asisten los contratado'!$C$4:$C$4,MATCH(1,INDEX(1*((('Dias que asisten los contratado'!$A$4:$A$4&lt;&gt;"")+('Dias que asisten los contratado'!$B$4:$B$4&lt;&gt;""))&gt;0)*(EXACT('Dias que asisten los contratado'!$A$4:$A$4,$F13))*(EXACT('Dias que asisten los contratado'!$B$4:$B$4,$B13)),0),0))))</f>
        <v/>
      </c>
      <c r="O13" s="3">
        <f>IF(AND(NOT(($D13="")),(SUMPRODUCT(1*((EXACT('Casillas del horario'!$A$4:$A$73,$A13)))*((EXACT('Casillas del horario'!$B$4:$B$73,$B13)))*((EXACT('Casillas del horario'!$D$4:$D$73,$D13)))*(((((EXACT($I13,"no")))+((NOT(EXACT('Casillas del horario'!$C$4:$C$73,(IFERROR(VALUE($C13&amp;""),0)+1))))*(NOT(EXACT('Casillas del horario'!$C$4:$C$73,(IFERROR(VALUE($C13&amp;""),0)-1))))))&gt;0))*((ROW('Casillas del horario'!$A$4:$A$73)&lt;&gt;ROW($A13))))&gt;0)),"si","no")</f>
        <v/>
      </c>
      <c r="P13" s="3">
        <f>MID(IF(AND(NOT(($D13="")),(SUMPRODUCT(1*((EXACT('Casillas del horario'!$B$4:$B$73,$B13)))*((EXACT('Casillas del horario'!$C$4:$C$73,$C13)))*((EXACT('Casillas del horario'!$F$4:$F$73,$F13)))*((ROW('Casillas del horario'!$A$4:$A$73)&lt;&gt;ROW($A13))))&gt;0)),"; "&amp;"Este profesor ya da clase a otro grupo en este mismo turno","")&amp;IF(AND(NOT(($D13="")),(SUMPRODUCT(1*((EXACT('Casillas del horario'!$B$4:$B$73,$B13)))*((EXACT('Casillas del horario'!$C$4:$C$73,$C13)))*((EXACT('Casillas del horario'!$H$4:$H$73,$H13)))*((ROW('Casillas del horario'!$A$4:$A$73)&lt;&gt;ROW($A13))))&gt;0)),"; "&amp;"Ese local esta ocupado por otro grupo a esa hora","")&amp;IF(EXACT($O13,"si"),"; "&amp;IF(ISNUMBER(IF(EXACT($I13,"no"),"Esta asignatura no admite turno doble y repite el dia en este grupo","Esta asignatura repite el dia en este grupo sin ser en turnos seguidos")),IF(IF(EXACT($I13,"no"),"Esta asignatura no admite turno doble y repite el dia en este grupo","Esta asignatura repite el dia en este grupo sin ser en turnos seguidos")=0,"0",ROUND(IF(EXACT($I13,"no"),"Esta asignatura no admite turno doble y repite el dia en este grupo","Esta asignatura repite el dia en este grupo sin ser en turnos seguidos"),9-INT(LOG10(ABS(IF(EXACT($I13,"no"),"Esta asignatura no admite turno doble y repite el dia en este grupo","Esta asignatura repite el dia en este grupo sin ser en turnos seguidos")))))&amp;""),IF(EXACT($I13,"no"),"Esta asignatura no admite turno doble y repite el dia en este grupo","Esta asignatura repite el dia en este grupo sin ser en turnos seguidos")&amp;""),"")&amp;IF(AND(NOT(($D13="")),EXACT($B13,$K13)),"; "&amp;"Es el dia de preparacion de la asignatura","")&amp;IF(AND(EXACT($D13,"EF"),(IFERROR(VALUE($C13&amp;""),0)&gt;3)),"; "&amp;"Educacion Fisica no puede caer despues del tercer turno","")&amp;IF(AND(NOT(($D13="")),EXACT($J13,"no"),(IFERROR(VALUE($C13&amp;""),0)&gt;6)),"; "&amp;"Esta asignatura no admite turnos de tarde","")&amp;IF(AND(NOT(($D13="")),EXACT($L13,"si"),EXACT($N13,"no")),"; "&amp;"Este profesor esta contratado y no asiste al centro este dia","")&amp;IF(AND(NOT(($D13="")),EXACT($M13,"si"),EXACT($C13,1)),"; "&amp;"Se preferiria no darle el primer turno a un profesor que vive lejos","")&amp;IF(($D13=""),"; "&amp;"Turno sin asignar",""),3,32767)</f>
        <v/>
      </c>
      <c r="Q13" s="3">
        <f>IF(OR(AND(NOT(($D13="")),(SUMPRODUCT(1*((EXACT('Casillas del horario'!$B$4:$B$73,$B13)))*((EXACT('Casillas del horario'!$C$4:$C$73,$C13)))*((EXACT('Casillas del horario'!$F$4:$F$73,$F13)))*((ROW('Casillas del horario'!$A$4:$A$73)&lt;&gt;ROW($A13))))&gt;0)),AND(NOT(($D13="")),(SUMPRODUCT(1*((EXACT('Casillas del horario'!$B$4:$B$73,$B13)))*((EXACT('Casillas del horario'!$C$4:$C$73,$C13)))*((EXACT('Casillas del horario'!$H$4:$H$73,$H13)))*((ROW('Casillas del horario'!$A$4:$A$73)&lt;&gt;ROW($A13))))&gt;0)),EXACT($O13,"si"),AND(NOT(($D13="")),EXACT($B13,$K13)),AND(EXACT($D13,"EF"),(IFERROR(VALUE($C13&amp;""),0)&gt;3)),AND(NOT(($D13="")),EXACT($J13,"no"),(IFERROR(VALUE($C13&amp;""),0)&gt;6)),AND(NOT(($D13="")),EXACT($L13,"si"),EXACT($N13,"no"))),3,IF(OR(AND(NOT(($D13="")),EXACT($M13,"si"),EXACT($C13,1))),2,IF(OR(($D13="")),1,0)))</f>
        <v/>
      </c>
      <c r="R13" s="3">
        <f>$A13&amp;CHAR(31)&amp;$C13&amp;CHAR(31)&amp;$B13</f>
        <v/>
      </c>
      <c r="S13" s="3">
        <f>$F13&amp;CHAR(31)&amp;$C13&amp;CHAR(31)&amp;$B13</f>
        <v/>
      </c>
      <c r="T13" s="3">
        <f>$H13&amp;CHAR(31)&amp;$C13&amp;CHAR(31)&amp;$B13</f>
        <v/>
      </c>
    </row>
    <row r="14">
      <c r="A14" s="3" t="inlineStr">
        <is>
          <t>10-3</t>
        </is>
      </c>
      <c r="B14" s="3" t="inlineStr">
        <is>
          <t>L</t>
        </is>
      </c>
      <c r="C14" s="3" t="n">
        <v>2</v>
      </c>
      <c r="D14" s="4" t="inlineStr">
        <is>
          <t>I</t>
        </is>
      </c>
      <c r="E14" s="3">
        <f>IF(ISNA(MATCH(1,INDEX(EXACT('Asignaturas'!$A$4:$A$18,$D14)*1,0),0)),"",IF(ISBLANK(INDEX('Asignaturas'!$B$4:$B$18,MATCH(1,INDEX(EXACT('Asignaturas'!$A$4:$A$18,$D14)*1,0),0))),"",INDEX('Asignaturas'!$B$4:$B$18,MATCH(1,INDEX(EXACT('Asignaturas'!$A$4:$A$18,$D14)*1,0),0))))</f>
        <v/>
      </c>
      <c r="F14" s="3">
        <f>IF(ISNA(MATCH(1,INDEX(1*(EXACT('Frecuencias por grupo'!$A$4:$A$33,$A14))*(EXACT('Frecuencias por grupo'!$B$4:$B$33,$D14)),0),0)),"",IF(ISBLANK(INDEX('Frecuencias por grupo'!$C$4:$C$33,MATCH(1,INDEX(1*(EXACT('Frecuencias por grupo'!$A$4:$A$33,$A14))*(EXACT('Frecuencias por grupo'!$B$4:$B$33,$D14)),0),0))),"",INDEX('Frecuencias por grupo'!$C$4:$C$33,MATCH(1,INDEX(1*(EXACT('Frecuencias por grupo'!$A$4:$A$33,$A14))*(EXACT('Frecuencias por grupo'!$B$4:$B$33,$D14)),0),0))))</f>
        <v/>
      </c>
      <c r="G14" s="3">
        <f>IF(ISNA(MATCH(1,INDEX(EXACT('Asignaturas'!$A$4:$A$18,$D14)*1,0),0)),"",IF(ISBLANK(INDEX('Asignaturas'!$G$4:$G$18,MATCH(1,INDEX(EXACT('Asignaturas'!$A$4:$A$18,$D14)*1,0),0))),"",INDEX('Asignaturas'!$G$4:$G$18,MATCH(1,INDEX(EXACT('Asignaturas'!$A$4:$A$18,$D14)*1,0),0))))</f>
        <v/>
      </c>
      <c r="H14" s="3">
        <f>IF(($D14=""),"",IF(($G14=""),("Aula "&amp;IF(ISNUMBER($A14),IF($A14=0,"0",ROUND($A14,9-INT(LOG10(ABS($A14))))&amp;""),$A14&amp;"")),$G14))</f>
        <v/>
      </c>
      <c r="I14" s="3">
        <f>IF(ISNA(MATCH(1,INDEX(EXACT('Asignaturas'!$A$4:$A$18,$D14)*1,0),0)),"no",IF(ISBLANK(INDEX('Asignaturas'!$D$4:$D$18,MATCH(1,INDEX(EXACT('Asignaturas'!$A$4:$A$18,$D14)*1,0),0))),"",INDEX('Asignaturas'!$D$4:$D$18,MATCH(1,INDEX(EXACT('Asignaturas'!$A$4:$A$18,$D14)*1,0),0))))</f>
        <v/>
      </c>
      <c r="J14" s="3">
        <f>IF(ISNA(MATCH(1,INDEX(EXACT('Asignaturas'!$A$4:$A$18,$D14)*1,0),0)),"no",IF(ISBLANK(INDEX('Asignaturas'!$E$4:$E$18,MATCH(1,INDEX(EXACT('Asignaturas'!$A$4:$A$18,$D14)*1,0),0))),"",INDEX('Asignaturas'!$E$4:$E$18,MATCH(1,INDEX(EXACT('Asignaturas'!$A$4:$A$18,$D14)*1,0),0))))</f>
        <v/>
      </c>
      <c r="K14" s="3">
        <f>IF(ISNA(MATCH(1,INDEX(EXACT('Asignaturas'!$A$4:$A$18,$D14)*1,0),0)),"",IF(ISBLANK(INDEX('Asignaturas'!$F$4:$F$18,MATCH(1,INDEX(EXACT('Asignaturas'!$A$4:$A$18,$D14)*1,0),0))),"",INDEX('Asignaturas'!$F$4:$F$18,MATCH(1,INDEX(EXACT('Asignaturas'!$A$4:$A$18,$D14)*1,0),0))))</f>
        <v/>
      </c>
      <c r="L14" s="3">
        <f>IF(ISNA(MATCH(1,INDEX(EXACT('Profesores'!$A$4:$A$33,$F14)*1,0),0)),"no",IF(ISBLANK(INDEX('Profesores'!$B$4:$B$33,MATCH(1,INDEX(EXACT('Profesores'!$A$4:$A$33,$F14)*1,0),0))),"",INDEX('Profesores'!$B$4:$B$33,MATCH(1,INDEX(EXACT('Profesores'!$A$4:$A$33,$F14)*1,0),0))))</f>
        <v/>
      </c>
      <c r="M14" s="3">
        <f>IF(ISNA(MATCH(1,INDEX(EXACT('Profesores'!$A$4:$A$33,$F14)*1,0),0)),"no",IF(ISBLANK(INDEX('Profesores'!$C$4:$C$33,MATCH(1,INDEX(EXACT('Profesores'!$A$4:$A$33,$F14)*1,0),0))),"",INDEX('Profesores'!$C$4:$C$33,MATCH(1,INDEX(EXACT('Profesores'!$A$4:$A$33,$F14)*1,0),0))))</f>
        <v/>
      </c>
      <c r="N14" s="3">
        <f>IF(ISNA(MATCH(1,INDEX(1*((('Dias que asisten los contratado'!$A$4:$A$4&lt;&gt;"")+('Dias que asisten los contratado'!$B$4:$B$4&lt;&gt;""))&gt;0)*(EXACT('Dias que asisten los contratado'!$A$4:$A$4,$F14))*(EXACT('Dias que asisten los contratado'!$B$4:$B$4,$B14)),0),0)),"no",IF(ISBLANK(INDEX('Dias que asisten los contratado'!$C$4:$C$4,MATCH(1,INDEX(1*((('Dias que asisten los contratado'!$A$4:$A$4&lt;&gt;"")+('Dias que asisten los contratado'!$B$4:$B$4&lt;&gt;""))&gt;0)*(EXACT('Dias que asisten los contratado'!$A$4:$A$4,$F14))*(EXACT('Dias que asisten los contratado'!$B$4:$B$4,$B14)),0),0))),"",INDEX('Dias que asisten los contratado'!$C$4:$C$4,MATCH(1,INDEX(1*((('Dias que asisten los contratado'!$A$4:$A$4&lt;&gt;"")+('Dias que asisten los contratado'!$B$4:$B$4&lt;&gt;""))&gt;0)*(EXACT('Dias que asisten los contratado'!$A$4:$A$4,$F14))*(EXACT('Dias que asisten los contratado'!$B$4:$B$4,$B14)),0),0))))</f>
        <v/>
      </c>
      <c r="O14" s="3">
        <f>IF(AND(NOT(($D14="")),(SUMPRODUCT(1*((EXACT('Casillas del horario'!$A$4:$A$73,$A14)))*((EXACT('Casillas del horario'!$B$4:$B$73,$B14)))*((EXACT('Casillas del horario'!$D$4:$D$73,$D14)))*(((((EXACT($I14,"no")))+((NOT(EXACT('Casillas del horario'!$C$4:$C$73,(IFERROR(VALUE($C14&amp;""),0)+1))))*(NOT(EXACT('Casillas del horario'!$C$4:$C$73,(IFERROR(VALUE($C14&amp;""),0)-1))))))&gt;0))*((ROW('Casillas del horario'!$A$4:$A$73)&lt;&gt;ROW($A14))))&gt;0)),"si","no")</f>
        <v/>
      </c>
      <c r="P14" s="3">
        <f>MID(IF(AND(NOT(($D14="")),(SUMPRODUCT(1*((EXACT('Casillas del horario'!$B$4:$B$73,$B14)))*((EXACT('Casillas del horario'!$C$4:$C$73,$C14)))*((EXACT('Casillas del horario'!$F$4:$F$73,$F14)))*((ROW('Casillas del horario'!$A$4:$A$73)&lt;&gt;ROW($A14))))&gt;0)),"; "&amp;"Este profesor ya da clase a otro grupo en este mismo turno","")&amp;IF(AND(NOT(($D14="")),(SUMPRODUCT(1*((EXACT('Casillas del horario'!$B$4:$B$73,$B14)))*((EXACT('Casillas del horario'!$C$4:$C$73,$C14)))*((EXACT('Casillas del horario'!$H$4:$H$73,$H14)))*((ROW('Casillas del horario'!$A$4:$A$73)&lt;&gt;ROW($A14))))&gt;0)),"; "&amp;"Ese local esta ocupado por otro grupo a esa hora","")&amp;IF(EXACT($O14,"si"),"; "&amp;IF(ISNUMBER(IF(EXACT($I14,"no"),"Esta asignatura no admite turno doble y repite el dia en este grupo","Esta asignatura repite el dia en este grupo sin ser en turnos seguidos")),IF(IF(EXACT($I14,"no"),"Esta asignatura no admite turno doble y repite el dia en este grupo","Esta asignatura repite el dia en este grupo sin ser en turnos seguidos")=0,"0",ROUND(IF(EXACT($I14,"no"),"Esta asignatura no admite turno doble y repite el dia en este grupo","Esta asignatura repite el dia en este grupo sin ser en turnos seguidos"),9-INT(LOG10(ABS(IF(EXACT($I14,"no"),"Esta asignatura no admite turno doble y repite el dia en este grupo","Esta asignatura repite el dia en este grupo sin ser en turnos seguidos")))))&amp;""),IF(EXACT($I14,"no"),"Esta asignatura no admite turno doble y repite el dia en este grupo","Esta asignatura repite el dia en este grupo sin ser en turnos seguidos")&amp;""),"")&amp;IF(AND(NOT(($D14="")),EXACT($B14,$K14)),"; "&amp;"Es el dia de preparacion de la asignatura","")&amp;IF(AND(EXACT($D14,"EF"),(IFERROR(VALUE($C14&amp;""),0)&gt;3)),"; "&amp;"Educacion Fisica no puede caer despues del tercer turno","")&amp;IF(AND(NOT(($D14="")),EXACT($J14,"no"),(IFERROR(VALUE($C14&amp;""),0)&gt;6)),"; "&amp;"Esta asignatura no admite turnos de tarde","")&amp;IF(AND(NOT(($D14="")),EXACT($L14,"si"),EXACT($N14,"no")),"; "&amp;"Este profesor esta contratado y no asiste al centro este dia","")&amp;IF(AND(NOT(($D14="")),EXACT($M14,"si"),EXACT($C14,1)),"; "&amp;"Se preferiria no darle el primer turno a un profesor que vive lejos","")&amp;IF(($D14=""),"; "&amp;"Turno sin asignar",""),3,32767)</f>
        <v/>
      </c>
      <c r="Q14" s="3">
        <f>IF(OR(AND(NOT(($D14="")),(SUMPRODUCT(1*((EXACT('Casillas del horario'!$B$4:$B$73,$B14)))*((EXACT('Casillas del horario'!$C$4:$C$73,$C14)))*((EXACT('Casillas del horario'!$F$4:$F$73,$F14)))*((ROW('Casillas del horario'!$A$4:$A$73)&lt;&gt;ROW($A14))))&gt;0)),AND(NOT(($D14="")),(SUMPRODUCT(1*((EXACT('Casillas del horario'!$B$4:$B$73,$B14)))*((EXACT('Casillas del horario'!$C$4:$C$73,$C14)))*((EXACT('Casillas del horario'!$H$4:$H$73,$H14)))*((ROW('Casillas del horario'!$A$4:$A$73)&lt;&gt;ROW($A14))))&gt;0)),EXACT($O14,"si"),AND(NOT(($D14="")),EXACT($B14,$K14)),AND(EXACT($D14,"EF"),(IFERROR(VALUE($C14&amp;""),0)&gt;3)),AND(NOT(($D14="")),EXACT($J14,"no"),(IFERROR(VALUE($C14&amp;""),0)&gt;6)),AND(NOT(($D14="")),EXACT($L14,"si"),EXACT($N14,"no"))),3,IF(OR(AND(NOT(($D14="")),EXACT($M14,"si"),EXACT($C14,1))),2,IF(OR(($D14="")),1,0)))</f>
        <v/>
      </c>
      <c r="R14" s="3">
        <f>$A14&amp;CHAR(31)&amp;$C14&amp;CHAR(31)&amp;$B14</f>
        <v/>
      </c>
      <c r="S14" s="3">
        <f>$F14&amp;CHAR(31)&amp;$C14&amp;CHAR(31)&amp;$B14</f>
        <v/>
      </c>
      <c r="T14" s="3">
        <f>$H14&amp;CHAR(31)&amp;$C14&amp;CHAR(31)&amp;$B14</f>
        <v/>
      </c>
    </row>
    <row r="15">
      <c r="A15" s="3" t="inlineStr">
        <is>
          <t>10-3</t>
        </is>
      </c>
      <c r="B15" s="3" t="inlineStr">
        <is>
          <t>M</t>
        </is>
      </c>
      <c r="C15" s="3" t="n">
        <v>2</v>
      </c>
      <c r="D15" s="4" t="inlineStr">
        <is>
          <t>B</t>
        </is>
      </c>
      <c r="E15" s="3">
        <f>IF(ISNA(MATCH(1,INDEX(EXACT('Asignaturas'!$A$4:$A$18,$D15)*1,0),0)),"",IF(ISBLANK(INDEX('Asignaturas'!$B$4:$B$18,MATCH(1,INDEX(EXACT('Asignaturas'!$A$4:$A$18,$D15)*1,0),0))),"",INDEX('Asignaturas'!$B$4:$B$18,MATCH(1,INDEX(EXACT('Asignaturas'!$A$4:$A$18,$D15)*1,0),0))))</f>
        <v/>
      </c>
      <c r="F15" s="3">
        <f>IF(ISNA(MATCH(1,INDEX(1*(EXACT('Frecuencias por grupo'!$A$4:$A$33,$A15))*(EXACT('Frecuencias por grupo'!$B$4:$B$33,$D15)),0),0)),"",IF(ISBLANK(INDEX('Frecuencias por grupo'!$C$4:$C$33,MATCH(1,INDEX(1*(EXACT('Frecuencias por grupo'!$A$4:$A$33,$A15))*(EXACT('Frecuencias por grupo'!$B$4:$B$33,$D15)),0),0))),"",INDEX('Frecuencias por grupo'!$C$4:$C$33,MATCH(1,INDEX(1*(EXACT('Frecuencias por grupo'!$A$4:$A$33,$A15))*(EXACT('Frecuencias por grupo'!$B$4:$B$33,$D15)),0),0))))</f>
        <v/>
      </c>
      <c r="G15" s="3">
        <f>IF(ISNA(MATCH(1,INDEX(EXACT('Asignaturas'!$A$4:$A$18,$D15)*1,0),0)),"",IF(ISBLANK(INDEX('Asignaturas'!$G$4:$G$18,MATCH(1,INDEX(EXACT('Asignaturas'!$A$4:$A$18,$D15)*1,0),0))),"",INDEX('Asignaturas'!$G$4:$G$18,MATCH(1,INDEX(EXACT('Asignaturas'!$A$4:$A$18,$D15)*1,0),0))))</f>
        <v/>
      </c>
      <c r="H15" s="3">
        <f>IF(($D15=""),"",IF(($G15=""),("Aula "&amp;IF(ISNUMBER($A15),IF($A15=0,"0",ROUND($A15,9-INT(LOG10(ABS($A15))))&amp;""),$A15&amp;"")),$G15))</f>
        <v/>
      </c>
      <c r="I15" s="3">
        <f>IF(ISNA(MATCH(1,INDEX(EXACT('Asignaturas'!$A$4:$A$18,$D15)*1,0),0)),"no",IF(ISBLANK(INDEX('Asignaturas'!$D$4:$D$18,MATCH(1,INDEX(EXACT('Asignaturas'!$A$4:$A$18,$D15)*1,0),0))),"",INDEX('Asignaturas'!$D$4:$D$18,MATCH(1,INDEX(EXACT('Asignaturas'!$A$4:$A$18,$D15)*1,0),0))))</f>
        <v/>
      </c>
      <c r="J15" s="3">
        <f>IF(ISNA(MATCH(1,INDEX(EXACT('Asignaturas'!$A$4:$A$18,$D15)*1,0),0)),"no",IF(ISBLANK(INDEX('Asignaturas'!$E$4:$E$18,MATCH(1,INDEX(EXACT('Asignaturas'!$A$4:$A$18,$D15)*1,0),0))),"",INDEX('Asignaturas'!$E$4:$E$18,MATCH(1,INDEX(EXACT('Asignaturas'!$A$4:$A$18,$D15)*1,0),0))))</f>
        <v/>
      </c>
      <c r="K15" s="3">
        <f>IF(ISNA(MATCH(1,INDEX(EXACT('Asignaturas'!$A$4:$A$18,$D15)*1,0),0)),"",IF(ISBLANK(INDEX('Asignaturas'!$F$4:$F$18,MATCH(1,INDEX(EXACT('Asignaturas'!$A$4:$A$18,$D15)*1,0),0))),"",INDEX('Asignaturas'!$F$4:$F$18,MATCH(1,INDEX(EXACT('Asignaturas'!$A$4:$A$18,$D15)*1,0),0))))</f>
        <v/>
      </c>
      <c r="L15" s="3">
        <f>IF(ISNA(MATCH(1,INDEX(EXACT('Profesores'!$A$4:$A$33,$F15)*1,0),0)),"no",IF(ISBLANK(INDEX('Profesores'!$B$4:$B$33,MATCH(1,INDEX(EXACT('Profesores'!$A$4:$A$33,$F15)*1,0),0))),"",INDEX('Profesores'!$B$4:$B$33,MATCH(1,INDEX(EXACT('Profesores'!$A$4:$A$33,$F15)*1,0),0))))</f>
        <v/>
      </c>
      <c r="M15" s="3">
        <f>IF(ISNA(MATCH(1,INDEX(EXACT('Profesores'!$A$4:$A$33,$F15)*1,0),0)),"no",IF(ISBLANK(INDEX('Profesores'!$C$4:$C$33,MATCH(1,INDEX(EXACT('Profesores'!$A$4:$A$33,$F15)*1,0),0))),"",INDEX('Profesores'!$C$4:$C$33,MATCH(1,INDEX(EXACT('Profesores'!$A$4:$A$33,$F15)*1,0),0))))</f>
        <v/>
      </c>
      <c r="N15" s="3">
        <f>IF(ISNA(MATCH(1,INDEX(1*((('Dias que asisten los contratado'!$A$4:$A$4&lt;&gt;"")+('Dias que asisten los contratado'!$B$4:$B$4&lt;&gt;""))&gt;0)*(EXACT('Dias que asisten los contratado'!$A$4:$A$4,$F15))*(EXACT('Dias que asisten los contratado'!$B$4:$B$4,$B15)),0),0)),"no",IF(ISBLANK(INDEX('Dias que asisten los contratado'!$C$4:$C$4,MATCH(1,INDEX(1*((('Dias que asisten los contratado'!$A$4:$A$4&lt;&gt;"")+('Dias que asisten los contratado'!$B$4:$B$4&lt;&gt;""))&gt;0)*(EXACT('Dias que asisten los contratado'!$A$4:$A$4,$F15))*(EXACT('Dias que asisten los contratado'!$B$4:$B$4,$B15)),0),0))),"",INDEX('Dias que asisten los contratado'!$C$4:$C$4,MATCH(1,INDEX(1*((('Dias que asisten los contratado'!$A$4:$A$4&lt;&gt;"")+('Dias que asisten los contratado'!$B$4:$B$4&lt;&gt;""))&gt;0)*(EXACT('Dias que asisten los contratado'!$A$4:$A$4,$F15))*(EXACT('Dias que asisten los contratado'!$B$4:$B$4,$B15)),0),0))))</f>
        <v/>
      </c>
      <c r="O15" s="3">
        <f>IF(AND(NOT(($D15="")),(SUMPRODUCT(1*((EXACT('Casillas del horario'!$A$4:$A$73,$A15)))*((EXACT('Casillas del horario'!$B$4:$B$73,$B15)))*((EXACT('Casillas del horario'!$D$4:$D$73,$D15)))*(((((EXACT($I15,"no")))+((NOT(EXACT('Casillas del horario'!$C$4:$C$73,(IFERROR(VALUE($C15&amp;""),0)+1))))*(NOT(EXACT('Casillas del horario'!$C$4:$C$73,(IFERROR(VALUE($C15&amp;""),0)-1))))))&gt;0))*((ROW('Casillas del horario'!$A$4:$A$73)&lt;&gt;ROW($A15))))&gt;0)),"si","no")</f>
        <v/>
      </c>
      <c r="P15" s="3">
        <f>MID(IF(AND(NOT(($D15="")),(SUMPRODUCT(1*((EXACT('Casillas del horario'!$B$4:$B$73,$B15)))*((EXACT('Casillas del horario'!$C$4:$C$73,$C15)))*((EXACT('Casillas del horario'!$F$4:$F$73,$F15)))*((ROW('Casillas del horario'!$A$4:$A$73)&lt;&gt;ROW($A15))))&gt;0)),"; "&amp;"Este profesor ya da clase a otro grupo en este mismo turno","")&amp;IF(AND(NOT(($D15="")),(SUMPRODUCT(1*((EXACT('Casillas del horario'!$B$4:$B$73,$B15)))*((EXACT('Casillas del horario'!$C$4:$C$73,$C15)))*((EXACT('Casillas del horario'!$H$4:$H$73,$H15)))*((ROW('Casillas del horario'!$A$4:$A$73)&lt;&gt;ROW($A15))))&gt;0)),"; "&amp;"Ese local esta ocupado por otro grupo a esa hora","")&amp;IF(EXACT($O15,"si"),"; "&amp;IF(ISNUMBER(IF(EXACT($I15,"no"),"Esta asignatura no admite turno doble y repite el dia en este grupo","Esta asignatura repite el dia en este grupo sin ser en turnos seguidos")),IF(IF(EXACT($I15,"no"),"Esta asignatura no admite turno doble y repite el dia en este grupo","Esta asignatura repite el dia en este grupo sin ser en turnos seguidos")=0,"0",ROUND(IF(EXACT($I15,"no"),"Esta asignatura no admite turno doble y repite el dia en este grupo","Esta asignatura repite el dia en este grupo sin ser en turnos seguidos"),9-INT(LOG10(ABS(IF(EXACT($I15,"no"),"Esta asignatura no admite turno doble y repite el dia en este grupo","Esta asignatura repite el dia en este grupo sin ser en turnos seguidos")))))&amp;""),IF(EXACT($I15,"no"),"Esta asignatura no admite turno doble y repite el dia en este grupo","Esta asignatura repite el dia en este grupo sin ser en turnos seguidos")&amp;""),"")&amp;IF(AND(NOT(($D15="")),EXACT($B15,$K15)),"; "&amp;"Es el dia de preparacion de la asignatura","")&amp;IF(AND(EXACT($D15,"EF"),(IFERROR(VALUE($C15&amp;""),0)&gt;3)),"; "&amp;"Educacion Fisica no puede caer despues del tercer turno","")&amp;IF(AND(NOT(($D15="")),EXACT($J15,"no"),(IFERROR(VALUE($C15&amp;""),0)&gt;6)),"; "&amp;"Esta asignatura no admite turnos de tarde","")&amp;IF(AND(NOT(($D15="")),EXACT($L15,"si"),EXACT($N15,"no")),"; "&amp;"Este profesor esta contratado y no asiste al centro este dia","")&amp;IF(AND(NOT(($D15="")),EXACT($M15,"si"),EXACT($C15,1)),"; "&amp;"Se preferiria no darle el primer turno a un profesor que vive lejos","")&amp;IF(($D15=""),"; "&amp;"Turno sin asignar",""),3,32767)</f>
        <v/>
      </c>
      <c r="Q15" s="3">
        <f>IF(OR(AND(NOT(($D15="")),(SUMPRODUCT(1*((EXACT('Casillas del horario'!$B$4:$B$73,$B15)))*((EXACT('Casillas del horario'!$C$4:$C$73,$C15)))*((EXACT('Casillas del horario'!$F$4:$F$73,$F15)))*((ROW('Casillas del horario'!$A$4:$A$73)&lt;&gt;ROW($A15))))&gt;0)),AND(NOT(($D15="")),(SUMPRODUCT(1*((EXACT('Casillas del horario'!$B$4:$B$73,$B15)))*((EXACT('Casillas del horario'!$C$4:$C$73,$C15)))*((EXACT('Casillas del horario'!$H$4:$H$73,$H15)))*((ROW('Casillas del horario'!$A$4:$A$73)&lt;&gt;ROW($A15))))&gt;0)),EXACT($O15,"si"),AND(NOT(($D15="")),EXACT($B15,$K15)),AND(EXACT($D15,"EF"),(IFERROR(VALUE($C15&amp;""),0)&gt;3)),AND(NOT(($D15="")),EXACT($J15,"no"),(IFERROR(VALUE($C15&amp;""),0)&gt;6)),AND(NOT(($D15="")),EXACT($L15,"si"),EXACT($N15,"no"))),3,IF(OR(AND(NOT(($D15="")),EXACT($M15,"si"),EXACT($C15,1))),2,IF(OR(($D15="")),1,0)))</f>
        <v/>
      </c>
      <c r="R15" s="3">
        <f>$A15&amp;CHAR(31)&amp;$C15&amp;CHAR(31)&amp;$B15</f>
        <v/>
      </c>
      <c r="S15" s="3">
        <f>$F15&amp;CHAR(31)&amp;$C15&amp;CHAR(31)&amp;$B15</f>
        <v/>
      </c>
      <c r="T15" s="3">
        <f>$H15&amp;CHAR(31)&amp;$C15&amp;CHAR(31)&amp;$B15</f>
        <v/>
      </c>
    </row>
    <row r="16">
      <c r="A16" s="3" t="inlineStr">
        <is>
          <t>10-3</t>
        </is>
      </c>
      <c r="B16" s="3" t="inlineStr">
        <is>
          <t>MI</t>
        </is>
      </c>
      <c r="C16" s="3" t="n">
        <v>2</v>
      </c>
      <c r="D16" s="4" t="inlineStr">
        <is>
          <t>M</t>
        </is>
      </c>
      <c r="E16" s="3">
        <f>IF(ISNA(MATCH(1,INDEX(EXACT('Asignaturas'!$A$4:$A$18,$D16)*1,0),0)),"",IF(ISBLANK(INDEX('Asignaturas'!$B$4:$B$18,MATCH(1,INDEX(EXACT('Asignaturas'!$A$4:$A$18,$D16)*1,0),0))),"",INDEX('Asignaturas'!$B$4:$B$18,MATCH(1,INDEX(EXACT('Asignaturas'!$A$4:$A$18,$D16)*1,0),0))))</f>
        <v/>
      </c>
      <c r="F16" s="3">
        <f>IF(ISNA(MATCH(1,INDEX(1*(EXACT('Frecuencias por grupo'!$A$4:$A$33,$A16))*(EXACT('Frecuencias por grupo'!$B$4:$B$33,$D16)),0),0)),"",IF(ISBLANK(INDEX('Frecuencias por grupo'!$C$4:$C$33,MATCH(1,INDEX(1*(EXACT('Frecuencias por grupo'!$A$4:$A$33,$A16))*(EXACT('Frecuencias por grupo'!$B$4:$B$33,$D16)),0),0))),"",INDEX('Frecuencias por grupo'!$C$4:$C$33,MATCH(1,INDEX(1*(EXACT('Frecuencias por grupo'!$A$4:$A$33,$A16))*(EXACT('Frecuencias por grupo'!$B$4:$B$33,$D16)),0),0))))</f>
        <v/>
      </c>
      <c r="G16" s="3">
        <f>IF(ISNA(MATCH(1,INDEX(EXACT('Asignaturas'!$A$4:$A$18,$D16)*1,0),0)),"",IF(ISBLANK(INDEX('Asignaturas'!$G$4:$G$18,MATCH(1,INDEX(EXACT('Asignaturas'!$A$4:$A$18,$D16)*1,0),0))),"",INDEX('Asignaturas'!$G$4:$G$18,MATCH(1,INDEX(EXACT('Asignaturas'!$A$4:$A$18,$D16)*1,0),0))))</f>
        <v/>
      </c>
      <c r="H16" s="3">
        <f>IF(($D16=""),"",IF(($G16=""),("Aula "&amp;IF(ISNUMBER($A16),IF($A16=0,"0",ROUND($A16,9-INT(LOG10(ABS($A16))))&amp;""),$A16&amp;"")),$G16))</f>
        <v/>
      </c>
      <c r="I16" s="3">
        <f>IF(ISNA(MATCH(1,INDEX(EXACT('Asignaturas'!$A$4:$A$18,$D16)*1,0),0)),"no",IF(ISBLANK(INDEX('Asignaturas'!$D$4:$D$18,MATCH(1,INDEX(EXACT('Asignaturas'!$A$4:$A$18,$D16)*1,0),0))),"",INDEX('Asignaturas'!$D$4:$D$18,MATCH(1,INDEX(EXACT('Asignaturas'!$A$4:$A$18,$D16)*1,0),0))))</f>
        <v/>
      </c>
      <c r="J16" s="3">
        <f>IF(ISNA(MATCH(1,INDEX(EXACT('Asignaturas'!$A$4:$A$18,$D16)*1,0),0)),"no",IF(ISBLANK(INDEX('Asignaturas'!$E$4:$E$18,MATCH(1,INDEX(EXACT('Asignaturas'!$A$4:$A$18,$D16)*1,0),0))),"",INDEX('Asignaturas'!$E$4:$E$18,MATCH(1,INDEX(EXACT('Asignaturas'!$A$4:$A$18,$D16)*1,0),0))))</f>
        <v/>
      </c>
      <c r="K16" s="3">
        <f>IF(ISNA(MATCH(1,INDEX(EXACT('Asignaturas'!$A$4:$A$18,$D16)*1,0),0)),"",IF(ISBLANK(INDEX('Asignaturas'!$F$4:$F$18,MATCH(1,INDEX(EXACT('Asignaturas'!$A$4:$A$18,$D16)*1,0),0))),"",INDEX('Asignaturas'!$F$4:$F$18,MATCH(1,INDEX(EXACT('Asignaturas'!$A$4:$A$18,$D16)*1,0),0))))</f>
        <v/>
      </c>
      <c r="L16" s="3">
        <f>IF(ISNA(MATCH(1,INDEX(EXACT('Profesores'!$A$4:$A$33,$F16)*1,0),0)),"no",IF(ISBLANK(INDEX('Profesores'!$B$4:$B$33,MATCH(1,INDEX(EXACT('Profesores'!$A$4:$A$33,$F16)*1,0),0))),"",INDEX('Profesores'!$B$4:$B$33,MATCH(1,INDEX(EXACT('Profesores'!$A$4:$A$33,$F16)*1,0),0))))</f>
        <v/>
      </c>
      <c r="M16" s="3">
        <f>IF(ISNA(MATCH(1,INDEX(EXACT('Profesores'!$A$4:$A$33,$F16)*1,0),0)),"no",IF(ISBLANK(INDEX('Profesores'!$C$4:$C$33,MATCH(1,INDEX(EXACT('Profesores'!$A$4:$A$33,$F16)*1,0),0))),"",INDEX('Profesores'!$C$4:$C$33,MATCH(1,INDEX(EXACT('Profesores'!$A$4:$A$33,$F16)*1,0),0))))</f>
        <v/>
      </c>
      <c r="N16" s="3">
        <f>IF(ISNA(MATCH(1,INDEX(1*((('Dias que asisten los contratado'!$A$4:$A$4&lt;&gt;"")+('Dias que asisten los contratado'!$B$4:$B$4&lt;&gt;""))&gt;0)*(EXACT('Dias que asisten los contratado'!$A$4:$A$4,$F16))*(EXACT('Dias que asisten los contratado'!$B$4:$B$4,$B16)),0),0)),"no",IF(ISBLANK(INDEX('Dias que asisten los contratado'!$C$4:$C$4,MATCH(1,INDEX(1*((('Dias que asisten los contratado'!$A$4:$A$4&lt;&gt;"")+('Dias que asisten los contratado'!$B$4:$B$4&lt;&gt;""))&gt;0)*(EXACT('Dias que asisten los contratado'!$A$4:$A$4,$F16))*(EXACT('Dias que asisten los contratado'!$B$4:$B$4,$B16)),0),0))),"",INDEX('Dias que asisten los contratado'!$C$4:$C$4,MATCH(1,INDEX(1*((('Dias que asisten los contratado'!$A$4:$A$4&lt;&gt;"")+('Dias que asisten los contratado'!$B$4:$B$4&lt;&gt;""))&gt;0)*(EXACT('Dias que asisten los contratado'!$A$4:$A$4,$F16))*(EXACT('Dias que asisten los contratado'!$B$4:$B$4,$B16)),0),0))))</f>
        <v/>
      </c>
      <c r="O16" s="3">
        <f>IF(AND(NOT(($D16="")),(SUMPRODUCT(1*((EXACT('Casillas del horario'!$A$4:$A$73,$A16)))*((EXACT('Casillas del horario'!$B$4:$B$73,$B16)))*((EXACT('Casillas del horario'!$D$4:$D$73,$D16)))*(((((EXACT($I16,"no")))+((NOT(EXACT('Casillas del horario'!$C$4:$C$73,(IFERROR(VALUE($C16&amp;""),0)+1))))*(NOT(EXACT('Casillas del horario'!$C$4:$C$73,(IFERROR(VALUE($C16&amp;""),0)-1))))))&gt;0))*((ROW('Casillas del horario'!$A$4:$A$73)&lt;&gt;ROW($A16))))&gt;0)),"si","no")</f>
        <v/>
      </c>
      <c r="P16" s="3">
        <f>MID(IF(AND(NOT(($D16="")),(SUMPRODUCT(1*((EXACT('Casillas del horario'!$B$4:$B$73,$B16)))*((EXACT('Casillas del horario'!$C$4:$C$73,$C16)))*((EXACT('Casillas del horario'!$F$4:$F$73,$F16)))*((ROW('Casillas del horario'!$A$4:$A$73)&lt;&gt;ROW($A16))))&gt;0)),"; "&amp;"Este profesor ya da clase a otro grupo en este mismo turno","")&amp;IF(AND(NOT(($D16="")),(SUMPRODUCT(1*((EXACT('Casillas del horario'!$B$4:$B$73,$B16)))*((EXACT('Casillas del horario'!$C$4:$C$73,$C16)))*((EXACT('Casillas del horario'!$H$4:$H$73,$H16)))*((ROW('Casillas del horario'!$A$4:$A$73)&lt;&gt;ROW($A16))))&gt;0)),"; "&amp;"Ese local esta ocupado por otro grupo a esa hora","")&amp;IF(EXACT($O16,"si"),"; "&amp;IF(ISNUMBER(IF(EXACT($I16,"no"),"Esta asignatura no admite turno doble y repite el dia en este grupo","Esta asignatura repite el dia en este grupo sin ser en turnos seguidos")),IF(IF(EXACT($I16,"no"),"Esta asignatura no admite turno doble y repite el dia en este grupo","Esta asignatura repite el dia en este grupo sin ser en turnos seguidos")=0,"0",ROUND(IF(EXACT($I16,"no"),"Esta asignatura no admite turno doble y repite el dia en este grupo","Esta asignatura repite el dia en este grupo sin ser en turnos seguidos"),9-INT(LOG10(ABS(IF(EXACT($I16,"no"),"Esta asignatura no admite turno doble y repite el dia en este grupo","Esta asignatura repite el dia en este grupo sin ser en turnos seguidos")))))&amp;""),IF(EXACT($I16,"no"),"Esta asignatura no admite turno doble y repite el dia en este grupo","Esta asignatura repite el dia en este grupo sin ser en turnos seguidos")&amp;""),"")&amp;IF(AND(NOT(($D16="")),EXACT($B16,$K16)),"; "&amp;"Es el dia de preparacion de la asignatura","")&amp;IF(AND(EXACT($D16,"EF"),(IFERROR(VALUE($C16&amp;""),0)&gt;3)),"; "&amp;"Educacion Fisica no puede caer despues del tercer turno","")&amp;IF(AND(NOT(($D16="")),EXACT($J16,"no"),(IFERROR(VALUE($C16&amp;""),0)&gt;6)),"; "&amp;"Esta asignatura no admite turnos de tarde","")&amp;IF(AND(NOT(($D16="")),EXACT($L16,"si"),EXACT($N16,"no")),"; "&amp;"Este profesor esta contratado y no asiste al centro este dia","")&amp;IF(AND(NOT(($D16="")),EXACT($M16,"si"),EXACT($C16,1)),"; "&amp;"Se preferiria no darle el primer turno a un profesor que vive lejos","")&amp;IF(($D16=""),"; "&amp;"Turno sin asignar",""),3,32767)</f>
        <v/>
      </c>
      <c r="Q16" s="3">
        <f>IF(OR(AND(NOT(($D16="")),(SUMPRODUCT(1*((EXACT('Casillas del horario'!$B$4:$B$73,$B16)))*((EXACT('Casillas del horario'!$C$4:$C$73,$C16)))*((EXACT('Casillas del horario'!$F$4:$F$73,$F16)))*((ROW('Casillas del horario'!$A$4:$A$73)&lt;&gt;ROW($A16))))&gt;0)),AND(NOT(($D16="")),(SUMPRODUCT(1*((EXACT('Casillas del horario'!$B$4:$B$73,$B16)))*((EXACT('Casillas del horario'!$C$4:$C$73,$C16)))*((EXACT('Casillas del horario'!$H$4:$H$73,$H16)))*((ROW('Casillas del horario'!$A$4:$A$73)&lt;&gt;ROW($A16))))&gt;0)),EXACT($O16,"si"),AND(NOT(($D16="")),EXACT($B16,$K16)),AND(EXACT($D16,"EF"),(IFERROR(VALUE($C16&amp;""),0)&gt;3)),AND(NOT(($D16="")),EXACT($J16,"no"),(IFERROR(VALUE($C16&amp;""),0)&gt;6)),AND(NOT(($D16="")),EXACT($L16,"si"),EXACT($N16,"no"))),3,IF(OR(AND(NOT(($D16="")),EXACT($M16,"si"),EXACT($C16,1))),2,IF(OR(($D16="")),1,0)))</f>
        <v/>
      </c>
      <c r="R16" s="3">
        <f>$A16&amp;CHAR(31)&amp;$C16&amp;CHAR(31)&amp;$B16</f>
        <v/>
      </c>
      <c r="S16" s="3">
        <f>$F16&amp;CHAR(31)&amp;$C16&amp;CHAR(31)&amp;$B16</f>
        <v/>
      </c>
      <c r="T16" s="3">
        <f>$H16&amp;CHAR(31)&amp;$C16&amp;CHAR(31)&amp;$B16</f>
        <v/>
      </c>
    </row>
    <row r="17">
      <c r="A17" s="3" t="inlineStr">
        <is>
          <t>10-3</t>
        </is>
      </c>
      <c r="B17" s="3" t="inlineStr">
        <is>
          <t>J</t>
        </is>
      </c>
      <c r="C17" s="3" t="n">
        <v>2</v>
      </c>
      <c r="D17" s="4" t="inlineStr">
        <is>
          <t>F</t>
        </is>
      </c>
      <c r="E17" s="3">
        <f>IF(ISNA(MATCH(1,INDEX(EXACT('Asignaturas'!$A$4:$A$18,$D17)*1,0),0)),"",IF(ISBLANK(INDEX('Asignaturas'!$B$4:$B$18,MATCH(1,INDEX(EXACT('Asignaturas'!$A$4:$A$18,$D17)*1,0),0))),"",INDEX('Asignaturas'!$B$4:$B$18,MATCH(1,INDEX(EXACT('Asignaturas'!$A$4:$A$18,$D17)*1,0),0))))</f>
        <v/>
      </c>
      <c r="F17" s="3">
        <f>IF(ISNA(MATCH(1,INDEX(1*(EXACT('Frecuencias por grupo'!$A$4:$A$33,$A17))*(EXACT('Frecuencias por grupo'!$B$4:$B$33,$D17)),0),0)),"",IF(ISBLANK(INDEX('Frecuencias por grupo'!$C$4:$C$33,MATCH(1,INDEX(1*(EXACT('Frecuencias por grupo'!$A$4:$A$33,$A17))*(EXACT('Frecuencias por grupo'!$B$4:$B$33,$D17)),0),0))),"",INDEX('Frecuencias por grupo'!$C$4:$C$33,MATCH(1,INDEX(1*(EXACT('Frecuencias por grupo'!$A$4:$A$33,$A17))*(EXACT('Frecuencias por grupo'!$B$4:$B$33,$D17)),0),0))))</f>
        <v/>
      </c>
      <c r="G17" s="3">
        <f>IF(ISNA(MATCH(1,INDEX(EXACT('Asignaturas'!$A$4:$A$18,$D17)*1,0),0)),"",IF(ISBLANK(INDEX('Asignaturas'!$G$4:$G$18,MATCH(1,INDEX(EXACT('Asignaturas'!$A$4:$A$18,$D17)*1,0),0))),"",INDEX('Asignaturas'!$G$4:$G$18,MATCH(1,INDEX(EXACT('Asignaturas'!$A$4:$A$18,$D17)*1,0),0))))</f>
        <v/>
      </c>
      <c r="H17" s="3">
        <f>IF(($D17=""),"",IF(($G17=""),("Aula "&amp;IF(ISNUMBER($A17),IF($A17=0,"0",ROUND($A17,9-INT(LOG10(ABS($A17))))&amp;""),$A17&amp;"")),$G17))</f>
        <v/>
      </c>
      <c r="I17" s="3">
        <f>IF(ISNA(MATCH(1,INDEX(EXACT('Asignaturas'!$A$4:$A$18,$D17)*1,0),0)),"no",IF(ISBLANK(INDEX('Asignaturas'!$D$4:$D$18,MATCH(1,INDEX(EXACT('Asignaturas'!$A$4:$A$18,$D17)*1,0),0))),"",INDEX('Asignaturas'!$D$4:$D$18,MATCH(1,INDEX(EXACT('Asignaturas'!$A$4:$A$18,$D17)*1,0),0))))</f>
        <v/>
      </c>
      <c r="J17" s="3">
        <f>IF(ISNA(MATCH(1,INDEX(EXACT('Asignaturas'!$A$4:$A$18,$D17)*1,0),0)),"no",IF(ISBLANK(INDEX('Asignaturas'!$E$4:$E$18,MATCH(1,INDEX(EXACT('Asignaturas'!$A$4:$A$18,$D17)*1,0),0))),"",INDEX('Asignaturas'!$E$4:$E$18,MATCH(1,INDEX(EXACT('Asignaturas'!$A$4:$A$18,$D17)*1,0),0))))</f>
        <v/>
      </c>
      <c r="K17" s="3">
        <f>IF(ISNA(MATCH(1,INDEX(EXACT('Asignaturas'!$A$4:$A$18,$D17)*1,0),0)),"",IF(ISBLANK(INDEX('Asignaturas'!$F$4:$F$18,MATCH(1,INDEX(EXACT('Asignaturas'!$A$4:$A$18,$D17)*1,0),0))),"",INDEX('Asignaturas'!$F$4:$F$18,MATCH(1,INDEX(EXACT('Asignaturas'!$A$4:$A$18,$D17)*1,0),0))))</f>
        <v/>
      </c>
      <c r="L17" s="3">
        <f>IF(ISNA(MATCH(1,INDEX(EXACT('Profesores'!$A$4:$A$33,$F17)*1,0),0)),"no",IF(ISBLANK(INDEX('Profesores'!$B$4:$B$33,MATCH(1,INDEX(EXACT('Profesores'!$A$4:$A$33,$F17)*1,0),0))),"",INDEX('Profesores'!$B$4:$B$33,MATCH(1,INDEX(EXACT('Profesores'!$A$4:$A$33,$F17)*1,0),0))))</f>
        <v/>
      </c>
      <c r="M17" s="3">
        <f>IF(ISNA(MATCH(1,INDEX(EXACT('Profesores'!$A$4:$A$33,$F17)*1,0),0)),"no",IF(ISBLANK(INDEX('Profesores'!$C$4:$C$33,MATCH(1,INDEX(EXACT('Profesores'!$A$4:$A$33,$F17)*1,0),0))),"",INDEX('Profesores'!$C$4:$C$33,MATCH(1,INDEX(EXACT('Profesores'!$A$4:$A$33,$F17)*1,0),0))))</f>
        <v/>
      </c>
      <c r="N17" s="3">
        <f>IF(ISNA(MATCH(1,INDEX(1*((('Dias que asisten los contratado'!$A$4:$A$4&lt;&gt;"")+('Dias que asisten los contratado'!$B$4:$B$4&lt;&gt;""))&gt;0)*(EXACT('Dias que asisten los contratado'!$A$4:$A$4,$F17))*(EXACT('Dias que asisten los contratado'!$B$4:$B$4,$B17)),0),0)),"no",IF(ISBLANK(INDEX('Dias que asisten los contratado'!$C$4:$C$4,MATCH(1,INDEX(1*((('Dias que asisten los contratado'!$A$4:$A$4&lt;&gt;"")+('Dias que asisten los contratado'!$B$4:$B$4&lt;&gt;""))&gt;0)*(EXACT('Dias que asisten los contratado'!$A$4:$A$4,$F17))*(EXACT('Dias que asisten los contratado'!$B$4:$B$4,$B17)),0),0))),"",INDEX('Dias que asisten los contratado'!$C$4:$C$4,MATCH(1,INDEX(1*((('Dias que asisten los contratado'!$A$4:$A$4&lt;&gt;"")+('Dias que asisten los contratado'!$B$4:$B$4&lt;&gt;""))&gt;0)*(EXACT('Dias que asisten los contratado'!$A$4:$A$4,$F17))*(EXACT('Dias que asisten los contratado'!$B$4:$B$4,$B17)),0),0))))</f>
        <v/>
      </c>
      <c r="O17" s="3">
        <f>IF(AND(NOT(($D17="")),(SUMPRODUCT(1*((EXACT('Casillas del horario'!$A$4:$A$73,$A17)))*((EXACT('Casillas del horario'!$B$4:$B$73,$B17)))*((EXACT('Casillas del horario'!$D$4:$D$73,$D17)))*(((((EXACT($I17,"no")))+((NOT(EXACT('Casillas del horario'!$C$4:$C$73,(IFERROR(VALUE($C17&amp;""),0)+1))))*(NOT(EXACT('Casillas del horario'!$C$4:$C$73,(IFERROR(VALUE($C17&amp;""),0)-1))))))&gt;0))*((ROW('Casillas del horario'!$A$4:$A$73)&lt;&gt;ROW($A17))))&gt;0)),"si","no")</f>
        <v/>
      </c>
      <c r="P17" s="3">
        <f>MID(IF(AND(NOT(($D17="")),(SUMPRODUCT(1*((EXACT('Casillas del horario'!$B$4:$B$73,$B17)))*((EXACT('Casillas del horario'!$C$4:$C$73,$C17)))*((EXACT('Casillas del horario'!$F$4:$F$73,$F17)))*((ROW('Casillas del horario'!$A$4:$A$73)&lt;&gt;ROW($A17))))&gt;0)),"; "&amp;"Este profesor ya da clase a otro grupo en este mismo turno","")&amp;IF(AND(NOT(($D17="")),(SUMPRODUCT(1*((EXACT('Casillas del horario'!$B$4:$B$73,$B17)))*((EXACT('Casillas del horario'!$C$4:$C$73,$C17)))*((EXACT('Casillas del horario'!$H$4:$H$73,$H17)))*((ROW('Casillas del horario'!$A$4:$A$73)&lt;&gt;ROW($A17))))&gt;0)),"; "&amp;"Ese local esta ocupado por otro grupo a esa hora","")&amp;IF(EXACT($O17,"si"),"; "&amp;IF(ISNUMBER(IF(EXACT($I17,"no"),"Esta asignatura no admite turno doble y repite el dia en este grupo","Esta asignatura repite el dia en este grupo sin ser en turnos seguidos")),IF(IF(EXACT($I17,"no"),"Esta asignatura no admite turno doble y repite el dia en este grupo","Esta asignatura repite el dia en este grupo sin ser en turnos seguidos")=0,"0",ROUND(IF(EXACT($I17,"no"),"Esta asignatura no admite turno doble y repite el dia en este grupo","Esta asignatura repite el dia en este grupo sin ser en turnos seguidos"),9-INT(LOG10(ABS(IF(EXACT($I17,"no"),"Esta asignatura no admite turno doble y repite el dia en este grupo","Esta asignatura repite el dia en este grupo sin ser en turnos seguidos")))))&amp;""),IF(EXACT($I17,"no"),"Esta asignatura no admite turno doble y repite el dia en este grupo","Esta asignatura repite el dia en este grupo sin ser en turnos seguidos")&amp;""),"")&amp;IF(AND(NOT(($D17="")),EXACT($B17,$K17)),"; "&amp;"Es el dia de preparacion de la asignatura","")&amp;IF(AND(EXACT($D17,"EF"),(IFERROR(VALUE($C17&amp;""),0)&gt;3)),"; "&amp;"Educacion Fisica no puede caer despues del tercer turno","")&amp;IF(AND(NOT(($D17="")),EXACT($J17,"no"),(IFERROR(VALUE($C17&amp;""),0)&gt;6)),"; "&amp;"Esta asignatura no admite turnos de tarde","")&amp;IF(AND(NOT(($D17="")),EXACT($L17,"si"),EXACT($N17,"no")),"; "&amp;"Este profesor esta contratado y no asiste al centro este dia","")&amp;IF(AND(NOT(($D17="")),EXACT($M17,"si"),EXACT($C17,1)),"; "&amp;"Se preferiria no darle el primer turno a un profesor que vive lejos","")&amp;IF(($D17=""),"; "&amp;"Turno sin asignar",""),3,32767)</f>
        <v/>
      </c>
      <c r="Q17" s="3">
        <f>IF(OR(AND(NOT(($D17="")),(SUMPRODUCT(1*((EXACT('Casillas del horario'!$B$4:$B$73,$B17)))*((EXACT('Casillas del horario'!$C$4:$C$73,$C17)))*((EXACT('Casillas del horario'!$F$4:$F$73,$F17)))*((ROW('Casillas del horario'!$A$4:$A$73)&lt;&gt;ROW($A17))))&gt;0)),AND(NOT(($D17="")),(SUMPRODUCT(1*((EXACT('Casillas del horario'!$B$4:$B$73,$B17)))*((EXACT('Casillas del horario'!$C$4:$C$73,$C17)))*((EXACT('Casillas del horario'!$H$4:$H$73,$H17)))*((ROW('Casillas del horario'!$A$4:$A$73)&lt;&gt;ROW($A17))))&gt;0)),EXACT($O17,"si"),AND(NOT(($D17="")),EXACT($B17,$K17)),AND(EXACT($D17,"EF"),(IFERROR(VALUE($C17&amp;""),0)&gt;3)),AND(NOT(($D17="")),EXACT($J17,"no"),(IFERROR(VALUE($C17&amp;""),0)&gt;6)),AND(NOT(($D17="")),EXACT($L17,"si"),EXACT($N17,"no"))),3,IF(OR(AND(NOT(($D17="")),EXACT($M17,"si"),EXACT($C17,1))),2,IF(OR(($D17="")),1,0)))</f>
        <v/>
      </c>
      <c r="R17" s="3">
        <f>$A17&amp;CHAR(31)&amp;$C17&amp;CHAR(31)&amp;$B17</f>
        <v/>
      </c>
      <c r="S17" s="3">
        <f>$F17&amp;CHAR(31)&amp;$C17&amp;CHAR(31)&amp;$B17</f>
        <v/>
      </c>
      <c r="T17" s="3">
        <f>$H17&amp;CHAR(31)&amp;$C17&amp;CHAR(31)&amp;$B17</f>
        <v/>
      </c>
    </row>
    <row r="18">
      <c r="A18" s="3" t="inlineStr">
        <is>
          <t>10-3</t>
        </is>
      </c>
      <c r="B18" s="3" t="inlineStr">
        <is>
          <t>V</t>
        </is>
      </c>
      <c r="C18" s="3" t="n">
        <v>2</v>
      </c>
      <c r="D18" s="4" t="inlineStr">
        <is>
          <t>DC</t>
        </is>
      </c>
      <c r="E18" s="3">
        <f>IF(ISNA(MATCH(1,INDEX(EXACT('Asignaturas'!$A$4:$A$18,$D18)*1,0),0)),"",IF(ISBLANK(INDEX('Asignaturas'!$B$4:$B$18,MATCH(1,INDEX(EXACT('Asignaturas'!$A$4:$A$18,$D18)*1,0),0))),"",INDEX('Asignaturas'!$B$4:$B$18,MATCH(1,INDEX(EXACT('Asignaturas'!$A$4:$A$18,$D18)*1,0),0))))</f>
        <v/>
      </c>
      <c r="F18" s="3">
        <f>IF(ISNA(MATCH(1,INDEX(1*(EXACT('Frecuencias por grupo'!$A$4:$A$33,$A18))*(EXACT('Frecuencias por grupo'!$B$4:$B$33,$D18)),0),0)),"",IF(ISBLANK(INDEX('Frecuencias por grupo'!$C$4:$C$33,MATCH(1,INDEX(1*(EXACT('Frecuencias por grupo'!$A$4:$A$33,$A18))*(EXACT('Frecuencias por grupo'!$B$4:$B$33,$D18)),0),0))),"",INDEX('Frecuencias por grupo'!$C$4:$C$33,MATCH(1,INDEX(1*(EXACT('Frecuencias por grupo'!$A$4:$A$33,$A18))*(EXACT('Frecuencias por grupo'!$B$4:$B$33,$D18)),0),0))))</f>
        <v/>
      </c>
      <c r="G18" s="3">
        <f>IF(ISNA(MATCH(1,INDEX(EXACT('Asignaturas'!$A$4:$A$18,$D18)*1,0),0)),"",IF(ISBLANK(INDEX('Asignaturas'!$G$4:$G$18,MATCH(1,INDEX(EXACT('Asignaturas'!$A$4:$A$18,$D18)*1,0),0))),"",INDEX('Asignaturas'!$G$4:$G$18,MATCH(1,INDEX(EXACT('Asignaturas'!$A$4:$A$18,$D18)*1,0),0))))</f>
        <v/>
      </c>
      <c r="H18" s="3">
        <f>IF(($D18=""),"",IF(($G18=""),("Aula "&amp;IF(ISNUMBER($A18),IF($A18=0,"0",ROUND($A18,9-INT(LOG10(ABS($A18))))&amp;""),$A18&amp;"")),$G18))</f>
        <v/>
      </c>
      <c r="I18" s="3">
        <f>IF(ISNA(MATCH(1,INDEX(EXACT('Asignaturas'!$A$4:$A$18,$D18)*1,0),0)),"no",IF(ISBLANK(INDEX('Asignaturas'!$D$4:$D$18,MATCH(1,INDEX(EXACT('Asignaturas'!$A$4:$A$18,$D18)*1,0),0))),"",INDEX('Asignaturas'!$D$4:$D$18,MATCH(1,INDEX(EXACT('Asignaturas'!$A$4:$A$18,$D18)*1,0),0))))</f>
        <v/>
      </c>
      <c r="J18" s="3">
        <f>IF(ISNA(MATCH(1,INDEX(EXACT('Asignaturas'!$A$4:$A$18,$D18)*1,0),0)),"no",IF(ISBLANK(INDEX('Asignaturas'!$E$4:$E$18,MATCH(1,INDEX(EXACT('Asignaturas'!$A$4:$A$18,$D18)*1,0),0))),"",INDEX('Asignaturas'!$E$4:$E$18,MATCH(1,INDEX(EXACT('Asignaturas'!$A$4:$A$18,$D18)*1,0),0))))</f>
        <v/>
      </c>
      <c r="K18" s="3">
        <f>IF(ISNA(MATCH(1,INDEX(EXACT('Asignaturas'!$A$4:$A$18,$D18)*1,0),0)),"",IF(ISBLANK(INDEX('Asignaturas'!$F$4:$F$18,MATCH(1,INDEX(EXACT('Asignaturas'!$A$4:$A$18,$D18)*1,0),0))),"",INDEX('Asignaturas'!$F$4:$F$18,MATCH(1,INDEX(EXACT('Asignaturas'!$A$4:$A$18,$D18)*1,0),0))))</f>
        <v/>
      </c>
      <c r="L18" s="3">
        <f>IF(ISNA(MATCH(1,INDEX(EXACT('Profesores'!$A$4:$A$33,$F18)*1,0),0)),"no",IF(ISBLANK(INDEX('Profesores'!$B$4:$B$33,MATCH(1,INDEX(EXACT('Profesores'!$A$4:$A$33,$F18)*1,0),0))),"",INDEX('Profesores'!$B$4:$B$33,MATCH(1,INDEX(EXACT('Profesores'!$A$4:$A$33,$F18)*1,0),0))))</f>
        <v/>
      </c>
      <c r="M18" s="3">
        <f>IF(ISNA(MATCH(1,INDEX(EXACT('Profesores'!$A$4:$A$33,$F18)*1,0),0)),"no",IF(ISBLANK(INDEX('Profesores'!$C$4:$C$33,MATCH(1,INDEX(EXACT('Profesores'!$A$4:$A$33,$F18)*1,0),0))),"",INDEX('Profesores'!$C$4:$C$33,MATCH(1,INDEX(EXACT('Profesores'!$A$4:$A$33,$F18)*1,0),0))))</f>
        <v/>
      </c>
      <c r="N18" s="3">
        <f>IF(ISNA(MATCH(1,INDEX(1*((('Dias que asisten los contratado'!$A$4:$A$4&lt;&gt;"")+('Dias que asisten los contratado'!$B$4:$B$4&lt;&gt;""))&gt;0)*(EXACT('Dias que asisten los contratado'!$A$4:$A$4,$F18))*(EXACT('Dias que asisten los contratado'!$B$4:$B$4,$B18)),0),0)),"no",IF(ISBLANK(INDEX('Dias que asisten los contratado'!$C$4:$C$4,MATCH(1,INDEX(1*((('Dias que asisten los contratado'!$A$4:$A$4&lt;&gt;"")+('Dias que asisten los contratado'!$B$4:$B$4&lt;&gt;""))&gt;0)*(EXACT('Dias que asisten los contratado'!$A$4:$A$4,$F18))*(EXACT('Dias que asisten los contratado'!$B$4:$B$4,$B18)),0),0))),"",INDEX('Dias que asisten los contratado'!$C$4:$C$4,MATCH(1,INDEX(1*((('Dias que asisten los contratado'!$A$4:$A$4&lt;&gt;"")+('Dias que asisten los contratado'!$B$4:$B$4&lt;&gt;""))&gt;0)*(EXACT('Dias que asisten los contratado'!$A$4:$A$4,$F18))*(EXACT('Dias que asisten los contratado'!$B$4:$B$4,$B18)),0),0))))</f>
        <v/>
      </c>
      <c r="O18" s="3">
        <f>IF(AND(NOT(($D18="")),(SUMPRODUCT(1*((EXACT('Casillas del horario'!$A$4:$A$73,$A18)))*((EXACT('Casillas del horario'!$B$4:$B$73,$B18)))*((EXACT('Casillas del horario'!$D$4:$D$73,$D18)))*(((((EXACT($I18,"no")))+((NOT(EXACT('Casillas del horario'!$C$4:$C$73,(IFERROR(VALUE($C18&amp;""),0)+1))))*(NOT(EXACT('Casillas del horario'!$C$4:$C$73,(IFERROR(VALUE($C18&amp;""),0)-1))))))&gt;0))*((ROW('Casillas del horario'!$A$4:$A$73)&lt;&gt;ROW($A18))))&gt;0)),"si","no")</f>
        <v/>
      </c>
      <c r="P18" s="3">
        <f>MID(IF(AND(NOT(($D18="")),(SUMPRODUCT(1*((EXACT('Casillas del horario'!$B$4:$B$73,$B18)))*((EXACT('Casillas del horario'!$C$4:$C$73,$C18)))*((EXACT('Casillas del horario'!$F$4:$F$73,$F18)))*((ROW('Casillas del horario'!$A$4:$A$73)&lt;&gt;ROW($A18))))&gt;0)),"; "&amp;"Este profesor ya da clase a otro grupo en este mismo turno","")&amp;IF(AND(NOT(($D18="")),(SUMPRODUCT(1*((EXACT('Casillas del horario'!$B$4:$B$73,$B18)))*((EXACT('Casillas del horario'!$C$4:$C$73,$C18)))*((EXACT('Casillas del horario'!$H$4:$H$73,$H18)))*((ROW('Casillas del horario'!$A$4:$A$73)&lt;&gt;ROW($A18))))&gt;0)),"; "&amp;"Ese local esta ocupado por otro grupo a esa hora","")&amp;IF(EXACT($O18,"si"),"; "&amp;IF(ISNUMBER(IF(EXACT($I18,"no"),"Esta asignatura no admite turno doble y repite el dia en este grupo","Esta asignatura repite el dia en este grupo sin ser en turnos seguidos")),IF(IF(EXACT($I18,"no"),"Esta asignatura no admite turno doble y repite el dia en este grupo","Esta asignatura repite el dia en este grupo sin ser en turnos seguidos")=0,"0",ROUND(IF(EXACT($I18,"no"),"Esta asignatura no admite turno doble y repite el dia en este grupo","Esta asignatura repite el dia en este grupo sin ser en turnos seguidos"),9-INT(LOG10(ABS(IF(EXACT($I18,"no"),"Esta asignatura no admite turno doble y repite el dia en este grupo","Esta asignatura repite el dia en este grupo sin ser en turnos seguidos")))))&amp;""),IF(EXACT($I18,"no"),"Esta asignatura no admite turno doble y repite el dia en este grupo","Esta asignatura repite el dia en este grupo sin ser en turnos seguidos")&amp;""),"")&amp;IF(AND(NOT(($D18="")),EXACT($B18,$K18)),"; "&amp;"Es el dia de preparacion de la asignatura","")&amp;IF(AND(EXACT($D18,"EF"),(IFERROR(VALUE($C18&amp;""),0)&gt;3)),"; "&amp;"Educacion Fisica no puede caer despues del tercer turno","")&amp;IF(AND(NOT(($D18="")),EXACT($J18,"no"),(IFERROR(VALUE($C18&amp;""),0)&gt;6)),"; "&amp;"Esta asignatura no admite turnos de tarde","")&amp;IF(AND(NOT(($D18="")),EXACT($L18,"si"),EXACT($N18,"no")),"; "&amp;"Este profesor esta contratado y no asiste al centro este dia","")&amp;IF(AND(NOT(($D18="")),EXACT($M18,"si"),EXACT($C18,1)),"; "&amp;"Se preferiria no darle el primer turno a un profesor que vive lejos","")&amp;IF(($D18=""),"; "&amp;"Turno sin asignar",""),3,32767)</f>
        <v/>
      </c>
      <c r="Q18" s="3">
        <f>IF(OR(AND(NOT(($D18="")),(SUMPRODUCT(1*((EXACT('Casillas del horario'!$B$4:$B$73,$B18)))*((EXACT('Casillas del horario'!$C$4:$C$73,$C18)))*((EXACT('Casillas del horario'!$F$4:$F$73,$F18)))*((ROW('Casillas del horario'!$A$4:$A$73)&lt;&gt;ROW($A18))))&gt;0)),AND(NOT(($D18="")),(SUMPRODUCT(1*((EXACT('Casillas del horario'!$B$4:$B$73,$B18)))*((EXACT('Casillas del horario'!$C$4:$C$73,$C18)))*((EXACT('Casillas del horario'!$H$4:$H$73,$H18)))*((ROW('Casillas del horario'!$A$4:$A$73)&lt;&gt;ROW($A18))))&gt;0)),EXACT($O18,"si"),AND(NOT(($D18="")),EXACT($B18,$K18)),AND(EXACT($D18,"EF"),(IFERROR(VALUE($C18&amp;""),0)&gt;3)),AND(NOT(($D18="")),EXACT($J18,"no"),(IFERROR(VALUE($C18&amp;""),0)&gt;6)),AND(NOT(($D18="")),EXACT($L18,"si"),EXACT($N18,"no"))),3,IF(OR(AND(NOT(($D18="")),EXACT($M18,"si"),EXACT($C18,1))),2,IF(OR(($D18="")),1,0)))</f>
        <v/>
      </c>
      <c r="R18" s="3">
        <f>$A18&amp;CHAR(31)&amp;$C18&amp;CHAR(31)&amp;$B18</f>
        <v/>
      </c>
      <c r="S18" s="3">
        <f>$F18&amp;CHAR(31)&amp;$C18&amp;CHAR(31)&amp;$B18</f>
        <v/>
      </c>
      <c r="T18" s="3">
        <f>$H18&amp;CHAR(31)&amp;$C18&amp;CHAR(31)&amp;$B18</f>
        <v/>
      </c>
    </row>
    <row r="19">
      <c r="A19" s="3" t="inlineStr">
        <is>
          <t>10-4</t>
        </is>
      </c>
      <c r="B19" s="3" t="inlineStr">
        <is>
          <t>L</t>
        </is>
      </c>
      <c r="C19" s="3" t="n">
        <v>2</v>
      </c>
      <c r="D19" s="4" t="inlineStr">
        <is>
          <t>M</t>
        </is>
      </c>
      <c r="E19" s="3">
        <f>IF(ISNA(MATCH(1,INDEX(EXACT('Asignaturas'!$A$4:$A$18,$D19)*1,0),0)),"",IF(ISBLANK(INDEX('Asignaturas'!$B$4:$B$18,MATCH(1,INDEX(EXACT('Asignaturas'!$A$4:$A$18,$D19)*1,0),0))),"",INDEX('Asignaturas'!$B$4:$B$18,MATCH(1,INDEX(EXACT('Asignaturas'!$A$4:$A$18,$D19)*1,0),0))))</f>
        <v/>
      </c>
      <c r="F19" s="3">
        <f>IF(ISNA(MATCH(1,INDEX(1*(EXACT('Frecuencias por grupo'!$A$4:$A$33,$A19))*(EXACT('Frecuencias por grupo'!$B$4:$B$33,$D19)),0),0)),"",IF(ISBLANK(INDEX('Frecuencias por grupo'!$C$4:$C$33,MATCH(1,INDEX(1*(EXACT('Frecuencias por grupo'!$A$4:$A$33,$A19))*(EXACT('Frecuencias por grupo'!$B$4:$B$33,$D19)),0),0))),"",INDEX('Frecuencias por grupo'!$C$4:$C$33,MATCH(1,INDEX(1*(EXACT('Frecuencias por grupo'!$A$4:$A$33,$A19))*(EXACT('Frecuencias por grupo'!$B$4:$B$33,$D19)),0),0))))</f>
        <v/>
      </c>
      <c r="G19" s="3">
        <f>IF(ISNA(MATCH(1,INDEX(EXACT('Asignaturas'!$A$4:$A$18,$D19)*1,0),0)),"",IF(ISBLANK(INDEX('Asignaturas'!$G$4:$G$18,MATCH(1,INDEX(EXACT('Asignaturas'!$A$4:$A$18,$D19)*1,0),0))),"",INDEX('Asignaturas'!$G$4:$G$18,MATCH(1,INDEX(EXACT('Asignaturas'!$A$4:$A$18,$D19)*1,0),0))))</f>
        <v/>
      </c>
      <c r="H19" s="3">
        <f>IF(($D19=""),"",IF(($G19=""),("Aula "&amp;IF(ISNUMBER($A19),IF($A19=0,"0",ROUND($A19,9-INT(LOG10(ABS($A19))))&amp;""),$A19&amp;"")),$G19))</f>
        <v/>
      </c>
      <c r="I19" s="3">
        <f>IF(ISNA(MATCH(1,INDEX(EXACT('Asignaturas'!$A$4:$A$18,$D19)*1,0),0)),"no",IF(ISBLANK(INDEX('Asignaturas'!$D$4:$D$18,MATCH(1,INDEX(EXACT('Asignaturas'!$A$4:$A$18,$D19)*1,0),0))),"",INDEX('Asignaturas'!$D$4:$D$18,MATCH(1,INDEX(EXACT('Asignaturas'!$A$4:$A$18,$D19)*1,0),0))))</f>
        <v/>
      </c>
      <c r="J19" s="3">
        <f>IF(ISNA(MATCH(1,INDEX(EXACT('Asignaturas'!$A$4:$A$18,$D19)*1,0),0)),"no",IF(ISBLANK(INDEX('Asignaturas'!$E$4:$E$18,MATCH(1,INDEX(EXACT('Asignaturas'!$A$4:$A$18,$D19)*1,0),0))),"",INDEX('Asignaturas'!$E$4:$E$18,MATCH(1,INDEX(EXACT('Asignaturas'!$A$4:$A$18,$D19)*1,0),0))))</f>
        <v/>
      </c>
      <c r="K19" s="3">
        <f>IF(ISNA(MATCH(1,INDEX(EXACT('Asignaturas'!$A$4:$A$18,$D19)*1,0),0)),"",IF(ISBLANK(INDEX('Asignaturas'!$F$4:$F$18,MATCH(1,INDEX(EXACT('Asignaturas'!$A$4:$A$18,$D19)*1,0),0))),"",INDEX('Asignaturas'!$F$4:$F$18,MATCH(1,INDEX(EXACT('Asignaturas'!$A$4:$A$18,$D19)*1,0),0))))</f>
        <v/>
      </c>
      <c r="L19" s="3">
        <f>IF(ISNA(MATCH(1,INDEX(EXACT('Profesores'!$A$4:$A$33,$F19)*1,0),0)),"no",IF(ISBLANK(INDEX('Profesores'!$B$4:$B$33,MATCH(1,INDEX(EXACT('Profesores'!$A$4:$A$33,$F19)*1,0),0))),"",INDEX('Profesores'!$B$4:$B$33,MATCH(1,INDEX(EXACT('Profesores'!$A$4:$A$33,$F19)*1,0),0))))</f>
        <v/>
      </c>
      <c r="M19" s="3">
        <f>IF(ISNA(MATCH(1,INDEX(EXACT('Profesores'!$A$4:$A$33,$F19)*1,0),0)),"no",IF(ISBLANK(INDEX('Profesores'!$C$4:$C$33,MATCH(1,INDEX(EXACT('Profesores'!$A$4:$A$33,$F19)*1,0),0))),"",INDEX('Profesores'!$C$4:$C$33,MATCH(1,INDEX(EXACT('Profesores'!$A$4:$A$33,$F19)*1,0),0))))</f>
        <v/>
      </c>
      <c r="N19" s="3">
        <f>IF(ISNA(MATCH(1,INDEX(1*((('Dias que asisten los contratado'!$A$4:$A$4&lt;&gt;"")+('Dias que asisten los contratado'!$B$4:$B$4&lt;&gt;""))&gt;0)*(EXACT('Dias que asisten los contratado'!$A$4:$A$4,$F19))*(EXACT('Dias que asisten los contratado'!$B$4:$B$4,$B19)),0),0)),"no",IF(ISBLANK(INDEX('Dias que asisten los contratado'!$C$4:$C$4,MATCH(1,INDEX(1*((('Dias que asisten los contratado'!$A$4:$A$4&lt;&gt;"")+('Dias que asisten los contratado'!$B$4:$B$4&lt;&gt;""))&gt;0)*(EXACT('Dias que asisten los contratado'!$A$4:$A$4,$F19))*(EXACT('Dias que asisten los contratado'!$B$4:$B$4,$B19)),0),0))),"",INDEX('Dias que asisten los contratado'!$C$4:$C$4,MATCH(1,INDEX(1*((('Dias que asisten los contratado'!$A$4:$A$4&lt;&gt;"")+('Dias que asisten los contratado'!$B$4:$B$4&lt;&gt;""))&gt;0)*(EXACT('Dias que asisten los contratado'!$A$4:$A$4,$F19))*(EXACT('Dias que asisten los contratado'!$B$4:$B$4,$B19)),0),0))))</f>
        <v/>
      </c>
      <c r="O19" s="3">
        <f>IF(AND(NOT(($D19="")),(SUMPRODUCT(1*((EXACT('Casillas del horario'!$A$4:$A$73,$A19)))*((EXACT('Casillas del horario'!$B$4:$B$73,$B19)))*((EXACT('Casillas del horario'!$D$4:$D$73,$D19)))*(((((EXACT($I19,"no")))+((NOT(EXACT('Casillas del horario'!$C$4:$C$73,(IFERROR(VALUE($C19&amp;""),0)+1))))*(NOT(EXACT('Casillas del horario'!$C$4:$C$73,(IFERROR(VALUE($C19&amp;""),0)-1))))))&gt;0))*((ROW('Casillas del horario'!$A$4:$A$73)&lt;&gt;ROW($A19))))&gt;0)),"si","no")</f>
        <v/>
      </c>
      <c r="P19" s="3">
        <f>MID(IF(AND(NOT(($D19="")),(SUMPRODUCT(1*((EXACT('Casillas del horario'!$B$4:$B$73,$B19)))*((EXACT('Casillas del horario'!$C$4:$C$73,$C19)))*((EXACT('Casillas del horario'!$F$4:$F$73,$F19)))*((ROW('Casillas del horario'!$A$4:$A$73)&lt;&gt;ROW($A19))))&gt;0)),"; "&amp;"Este profesor ya da clase a otro grupo en este mismo turno","")&amp;IF(AND(NOT(($D19="")),(SUMPRODUCT(1*((EXACT('Casillas del horario'!$B$4:$B$73,$B19)))*((EXACT('Casillas del horario'!$C$4:$C$73,$C19)))*((EXACT('Casillas del horario'!$H$4:$H$73,$H19)))*((ROW('Casillas del horario'!$A$4:$A$73)&lt;&gt;ROW($A19))))&gt;0)),"; "&amp;"Ese local esta ocupado por otro grupo a esa hora","")&amp;IF(EXACT($O19,"si"),"; "&amp;IF(ISNUMBER(IF(EXACT($I19,"no"),"Esta asignatura no admite turno doble y repite el dia en este grupo","Esta asignatura repite el dia en este grupo sin ser en turnos seguidos")),IF(IF(EXACT($I19,"no"),"Esta asignatura no admite turno doble y repite el dia en este grupo","Esta asignatura repite el dia en este grupo sin ser en turnos seguidos")=0,"0",ROUND(IF(EXACT($I19,"no"),"Esta asignatura no admite turno doble y repite el dia en este grupo","Esta asignatura repite el dia en este grupo sin ser en turnos seguidos"),9-INT(LOG10(ABS(IF(EXACT($I19,"no"),"Esta asignatura no admite turno doble y repite el dia en este grupo","Esta asignatura repite el dia en este grupo sin ser en turnos seguidos")))))&amp;""),IF(EXACT($I19,"no"),"Esta asignatura no admite turno doble y repite el dia en este grupo","Esta asignatura repite el dia en este grupo sin ser en turnos seguidos")&amp;""),"")&amp;IF(AND(NOT(($D19="")),EXACT($B19,$K19)),"; "&amp;"Es el dia de preparacion de la asignatura","")&amp;IF(AND(EXACT($D19,"EF"),(IFERROR(VALUE($C19&amp;""),0)&gt;3)),"; "&amp;"Educacion Fisica no puede caer despues del tercer turno","")&amp;IF(AND(NOT(($D19="")),EXACT($J19,"no"),(IFERROR(VALUE($C19&amp;""),0)&gt;6)),"; "&amp;"Esta asignatura no admite turnos de tarde","")&amp;IF(AND(NOT(($D19="")),EXACT($L19,"si"),EXACT($N19,"no")),"; "&amp;"Este profesor esta contratado y no asiste al centro este dia","")&amp;IF(AND(NOT(($D19="")),EXACT($M19,"si"),EXACT($C19,1)),"; "&amp;"Se preferiria no darle el primer turno a un profesor que vive lejos","")&amp;IF(($D19=""),"; "&amp;"Turno sin asignar",""),3,32767)</f>
        <v/>
      </c>
      <c r="Q19" s="3">
        <f>IF(OR(AND(NOT(($D19="")),(SUMPRODUCT(1*((EXACT('Casillas del horario'!$B$4:$B$73,$B19)))*((EXACT('Casillas del horario'!$C$4:$C$73,$C19)))*((EXACT('Casillas del horario'!$F$4:$F$73,$F19)))*((ROW('Casillas del horario'!$A$4:$A$73)&lt;&gt;ROW($A19))))&gt;0)),AND(NOT(($D19="")),(SUMPRODUCT(1*((EXACT('Casillas del horario'!$B$4:$B$73,$B19)))*((EXACT('Casillas del horario'!$C$4:$C$73,$C19)))*((EXACT('Casillas del horario'!$H$4:$H$73,$H19)))*((ROW('Casillas del horario'!$A$4:$A$73)&lt;&gt;ROW($A19))))&gt;0)),EXACT($O19,"si"),AND(NOT(($D19="")),EXACT($B19,$K19)),AND(EXACT($D19,"EF"),(IFERROR(VALUE($C19&amp;""),0)&gt;3)),AND(NOT(($D19="")),EXACT($J19,"no"),(IFERROR(VALUE($C19&amp;""),0)&gt;6)),AND(NOT(($D19="")),EXACT($L19,"si"),EXACT($N19,"no"))),3,IF(OR(AND(NOT(($D19="")),EXACT($M19,"si"),EXACT($C19,1))),2,IF(OR(($D19="")),1,0)))</f>
        <v/>
      </c>
      <c r="R19" s="3">
        <f>$A19&amp;CHAR(31)&amp;$C19&amp;CHAR(31)&amp;$B19</f>
        <v/>
      </c>
      <c r="S19" s="3">
        <f>$F19&amp;CHAR(31)&amp;$C19&amp;CHAR(31)&amp;$B19</f>
        <v/>
      </c>
      <c r="T19" s="3">
        <f>$H19&amp;CHAR(31)&amp;$C19&amp;CHAR(31)&amp;$B19</f>
        <v/>
      </c>
    </row>
    <row r="20">
      <c r="A20" s="3" t="inlineStr">
        <is>
          <t>10-4</t>
        </is>
      </c>
      <c r="B20" s="3" t="inlineStr">
        <is>
          <t>M</t>
        </is>
      </c>
      <c r="C20" s="3" t="n">
        <v>2</v>
      </c>
      <c r="D20" s="4" t="inlineStr">
        <is>
          <t>I</t>
        </is>
      </c>
      <c r="E20" s="3">
        <f>IF(ISNA(MATCH(1,INDEX(EXACT('Asignaturas'!$A$4:$A$18,$D20)*1,0),0)),"",IF(ISBLANK(INDEX('Asignaturas'!$B$4:$B$18,MATCH(1,INDEX(EXACT('Asignaturas'!$A$4:$A$18,$D20)*1,0),0))),"",INDEX('Asignaturas'!$B$4:$B$18,MATCH(1,INDEX(EXACT('Asignaturas'!$A$4:$A$18,$D20)*1,0),0))))</f>
        <v/>
      </c>
      <c r="F20" s="3">
        <f>IF(ISNA(MATCH(1,INDEX(1*(EXACT('Frecuencias por grupo'!$A$4:$A$33,$A20))*(EXACT('Frecuencias por grupo'!$B$4:$B$33,$D20)),0),0)),"",IF(ISBLANK(INDEX('Frecuencias por grupo'!$C$4:$C$33,MATCH(1,INDEX(1*(EXACT('Frecuencias por grupo'!$A$4:$A$33,$A20))*(EXACT('Frecuencias por grupo'!$B$4:$B$33,$D20)),0),0))),"",INDEX('Frecuencias por grupo'!$C$4:$C$33,MATCH(1,INDEX(1*(EXACT('Frecuencias por grupo'!$A$4:$A$33,$A20))*(EXACT('Frecuencias por grupo'!$B$4:$B$33,$D20)),0),0))))</f>
        <v/>
      </c>
      <c r="G20" s="3">
        <f>IF(ISNA(MATCH(1,INDEX(EXACT('Asignaturas'!$A$4:$A$18,$D20)*1,0),0)),"",IF(ISBLANK(INDEX('Asignaturas'!$G$4:$G$18,MATCH(1,INDEX(EXACT('Asignaturas'!$A$4:$A$18,$D20)*1,0),0))),"",INDEX('Asignaturas'!$G$4:$G$18,MATCH(1,INDEX(EXACT('Asignaturas'!$A$4:$A$18,$D20)*1,0),0))))</f>
        <v/>
      </c>
      <c r="H20" s="3">
        <f>IF(($D20=""),"",IF(($G20=""),("Aula "&amp;IF(ISNUMBER($A20),IF($A20=0,"0",ROUND($A20,9-INT(LOG10(ABS($A20))))&amp;""),$A20&amp;"")),$G20))</f>
        <v/>
      </c>
      <c r="I20" s="3">
        <f>IF(ISNA(MATCH(1,INDEX(EXACT('Asignaturas'!$A$4:$A$18,$D20)*1,0),0)),"no",IF(ISBLANK(INDEX('Asignaturas'!$D$4:$D$18,MATCH(1,INDEX(EXACT('Asignaturas'!$A$4:$A$18,$D20)*1,0),0))),"",INDEX('Asignaturas'!$D$4:$D$18,MATCH(1,INDEX(EXACT('Asignaturas'!$A$4:$A$18,$D20)*1,0),0))))</f>
        <v/>
      </c>
      <c r="J20" s="3">
        <f>IF(ISNA(MATCH(1,INDEX(EXACT('Asignaturas'!$A$4:$A$18,$D20)*1,0),0)),"no",IF(ISBLANK(INDEX('Asignaturas'!$E$4:$E$18,MATCH(1,INDEX(EXACT('Asignaturas'!$A$4:$A$18,$D20)*1,0),0))),"",INDEX('Asignaturas'!$E$4:$E$18,MATCH(1,INDEX(EXACT('Asignaturas'!$A$4:$A$18,$D20)*1,0),0))))</f>
        <v/>
      </c>
      <c r="K20" s="3">
        <f>IF(ISNA(MATCH(1,INDEX(EXACT('Asignaturas'!$A$4:$A$18,$D20)*1,0),0)),"",IF(ISBLANK(INDEX('Asignaturas'!$F$4:$F$18,MATCH(1,INDEX(EXACT('Asignaturas'!$A$4:$A$18,$D20)*1,0),0))),"",INDEX('Asignaturas'!$F$4:$F$18,MATCH(1,INDEX(EXACT('Asignaturas'!$A$4:$A$18,$D20)*1,0),0))))</f>
        <v/>
      </c>
      <c r="L20" s="3">
        <f>IF(ISNA(MATCH(1,INDEX(EXACT('Profesores'!$A$4:$A$33,$F20)*1,0),0)),"no",IF(ISBLANK(INDEX('Profesores'!$B$4:$B$33,MATCH(1,INDEX(EXACT('Profesores'!$A$4:$A$33,$F20)*1,0),0))),"",INDEX('Profesores'!$B$4:$B$33,MATCH(1,INDEX(EXACT('Profesores'!$A$4:$A$33,$F20)*1,0),0))))</f>
        <v/>
      </c>
      <c r="M20" s="3">
        <f>IF(ISNA(MATCH(1,INDEX(EXACT('Profesores'!$A$4:$A$33,$F20)*1,0),0)),"no",IF(ISBLANK(INDEX('Profesores'!$C$4:$C$33,MATCH(1,INDEX(EXACT('Profesores'!$A$4:$A$33,$F20)*1,0),0))),"",INDEX('Profesores'!$C$4:$C$33,MATCH(1,INDEX(EXACT('Profesores'!$A$4:$A$33,$F20)*1,0),0))))</f>
        <v/>
      </c>
      <c r="N20" s="3">
        <f>IF(ISNA(MATCH(1,INDEX(1*((('Dias que asisten los contratado'!$A$4:$A$4&lt;&gt;"")+('Dias que asisten los contratado'!$B$4:$B$4&lt;&gt;""))&gt;0)*(EXACT('Dias que asisten los contratado'!$A$4:$A$4,$F20))*(EXACT('Dias que asisten los contratado'!$B$4:$B$4,$B20)),0),0)),"no",IF(ISBLANK(INDEX('Dias que asisten los contratado'!$C$4:$C$4,MATCH(1,INDEX(1*((('Dias que asisten los contratado'!$A$4:$A$4&lt;&gt;"")+('Dias que asisten los contratado'!$B$4:$B$4&lt;&gt;""))&gt;0)*(EXACT('Dias que asisten los contratado'!$A$4:$A$4,$F20))*(EXACT('Dias que asisten los contratado'!$B$4:$B$4,$B20)),0),0))),"",INDEX('Dias que asisten los contratado'!$C$4:$C$4,MATCH(1,INDEX(1*((('Dias que asisten los contratado'!$A$4:$A$4&lt;&gt;"")+('Dias que asisten los contratado'!$B$4:$B$4&lt;&gt;""))&gt;0)*(EXACT('Dias que asisten los contratado'!$A$4:$A$4,$F20))*(EXACT('Dias que asisten los contratado'!$B$4:$B$4,$B20)),0),0))))</f>
        <v/>
      </c>
      <c r="O20" s="3">
        <f>IF(AND(NOT(($D20="")),(SUMPRODUCT(1*((EXACT('Casillas del horario'!$A$4:$A$73,$A20)))*((EXACT('Casillas del horario'!$B$4:$B$73,$B20)))*((EXACT('Casillas del horario'!$D$4:$D$73,$D20)))*(((((EXACT($I20,"no")))+((NOT(EXACT('Casillas del horario'!$C$4:$C$73,(IFERROR(VALUE($C20&amp;""),0)+1))))*(NOT(EXACT('Casillas del horario'!$C$4:$C$73,(IFERROR(VALUE($C20&amp;""),0)-1))))))&gt;0))*((ROW('Casillas del horario'!$A$4:$A$73)&lt;&gt;ROW($A20))))&gt;0)),"si","no")</f>
        <v/>
      </c>
      <c r="P20" s="3">
        <f>MID(IF(AND(NOT(($D20="")),(SUMPRODUCT(1*((EXACT('Casillas del horario'!$B$4:$B$73,$B20)))*((EXACT('Casillas del horario'!$C$4:$C$73,$C20)))*((EXACT('Casillas del horario'!$F$4:$F$73,$F20)))*((ROW('Casillas del horario'!$A$4:$A$73)&lt;&gt;ROW($A20))))&gt;0)),"; "&amp;"Este profesor ya da clase a otro grupo en este mismo turno","")&amp;IF(AND(NOT(($D20="")),(SUMPRODUCT(1*((EXACT('Casillas del horario'!$B$4:$B$73,$B20)))*((EXACT('Casillas del horario'!$C$4:$C$73,$C20)))*((EXACT('Casillas del horario'!$H$4:$H$73,$H20)))*((ROW('Casillas del horario'!$A$4:$A$73)&lt;&gt;ROW($A20))))&gt;0)),"; "&amp;"Ese local esta ocupado por otro grupo a esa hora","")&amp;IF(EXACT($O20,"si"),"; "&amp;IF(ISNUMBER(IF(EXACT($I20,"no"),"Esta asignatura no admite turno doble y repite el dia en este grupo","Esta asignatura repite el dia en este grupo sin ser en turnos seguidos")),IF(IF(EXACT($I20,"no"),"Esta asignatura no admite turno doble y repite el dia en este grupo","Esta asignatura repite el dia en este grupo sin ser en turnos seguidos")=0,"0",ROUND(IF(EXACT($I20,"no"),"Esta asignatura no admite turno doble y repite el dia en este grupo","Esta asignatura repite el dia en este grupo sin ser en turnos seguidos"),9-INT(LOG10(ABS(IF(EXACT($I20,"no"),"Esta asignatura no admite turno doble y repite el dia en este grupo","Esta asignatura repite el dia en este grupo sin ser en turnos seguidos")))))&amp;""),IF(EXACT($I20,"no"),"Esta asignatura no admite turno doble y repite el dia en este grupo","Esta asignatura repite el dia en este grupo sin ser en turnos seguidos")&amp;""),"")&amp;IF(AND(NOT(($D20="")),EXACT($B20,$K20)),"; "&amp;"Es el dia de preparacion de la asignatura","")&amp;IF(AND(EXACT($D20,"EF"),(IFERROR(VALUE($C20&amp;""),0)&gt;3)),"; "&amp;"Educacion Fisica no puede caer despues del tercer turno","")&amp;IF(AND(NOT(($D20="")),EXACT($J20,"no"),(IFERROR(VALUE($C20&amp;""),0)&gt;6)),"; "&amp;"Esta asignatura no admite turnos de tarde","")&amp;IF(AND(NOT(($D20="")),EXACT($L20,"si"),EXACT($N20,"no")),"; "&amp;"Este profesor esta contratado y no asiste al centro este dia","")&amp;IF(AND(NOT(($D20="")),EXACT($M20,"si"),EXACT($C20,1)),"; "&amp;"Se preferiria no darle el primer turno a un profesor que vive lejos","")&amp;IF(($D20=""),"; "&amp;"Turno sin asignar",""),3,32767)</f>
        <v/>
      </c>
      <c r="Q20" s="3">
        <f>IF(OR(AND(NOT(($D20="")),(SUMPRODUCT(1*((EXACT('Casillas del horario'!$B$4:$B$73,$B20)))*((EXACT('Casillas del horario'!$C$4:$C$73,$C20)))*((EXACT('Casillas del horario'!$F$4:$F$73,$F20)))*((ROW('Casillas del horario'!$A$4:$A$73)&lt;&gt;ROW($A20))))&gt;0)),AND(NOT(($D20="")),(SUMPRODUCT(1*((EXACT('Casillas del horario'!$B$4:$B$73,$B20)))*((EXACT('Casillas del horario'!$C$4:$C$73,$C20)))*((EXACT('Casillas del horario'!$H$4:$H$73,$H20)))*((ROW('Casillas del horario'!$A$4:$A$73)&lt;&gt;ROW($A20))))&gt;0)),EXACT($O20,"si"),AND(NOT(($D20="")),EXACT($B20,$K20)),AND(EXACT($D20,"EF"),(IFERROR(VALUE($C20&amp;""),0)&gt;3)),AND(NOT(($D20="")),EXACT($J20,"no"),(IFERROR(VALUE($C20&amp;""),0)&gt;6)),AND(NOT(($D20="")),EXACT($L20,"si"),EXACT($N20,"no"))),3,IF(OR(AND(NOT(($D20="")),EXACT($M20,"si"),EXACT($C20,1))),2,IF(OR(($D20="")),1,0)))</f>
        <v/>
      </c>
      <c r="R20" s="3">
        <f>$A20&amp;CHAR(31)&amp;$C20&amp;CHAR(31)&amp;$B20</f>
        <v/>
      </c>
      <c r="S20" s="3">
        <f>$F20&amp;CHAR(31)&amp;$C20&amp;CHAR(31)&amp;$B20</f>
        <v/>
      </c>
      <c r="T20" s="3">
        <f>$H20&amp;CHAR(31)&amp;$C20&amp;CHAR(31)&amp;$B20</f>
        <v/>
      </c>
    </row>
    <row r="21">
      <c r="A21" s="3" t="inlineStr">
        <is>
          <t>10-4</t>
        </is>
      </c>
      <c r="B21" s="3" t="inlineStr">
        <is>
          <t>MI</t>
        </is>
      </c>
      <c r="C21" s="3" t="n">
        <v>2</v>
      </c>
      <c r="D21" s="4" t="inlineStr">
        <is>
          <t>EF</t>
        </is>
      </c>
      <c r="E21" s="3">
        <f>IF(ISNA(MATCH(1,INDEX(EXACT('Asignaturas'!$A$4:$A$18,$D21)*1,0),0)),"",IF(ISBLANK(INDEX('Asignaturas'!$B$4:$B$18,MATCH(1,INDEX(EXACT('Asignaturas'!$A$4:$A$18,$D21)*1,0),0))),"",INDEX('Asignaturas'!$B$4:$B$18,MATCH(1,INDEX(EXACT('Asignaturas'!$A$4:$A$18,$D21)*1,0),0))))</f>
        <v/>
      </c>
      <c r="F21" s="3">
        <f>IF(ISNA(MATCH(1,INDEX(1*(EXACT('Frecuencias por grupo'!$A$4:$A$33,$A21))*(EXACT('Frecuencias por grupo'!$B$4:$B$33,$D21)),0),0)),"",IF(ISBLANK(INDEX('Frecuencias por grupo'!$C$4:$C$33,MATCH(1,INDEX(1*(EXACT('Frecuencias por grupo'!$A$4:$A$33,$A21))*(EXACT('Frecuencias por grupo'!$B$4:$B$33,$D21)),0),0))),"",INDEX('Frecuencias por grupo'!$C$4:$C$33,MATCH(1,INDEX(1*(EXACT('Frecuencias por grupo'!$A$4:$A$33,$A21))*(EXACT('Frecuencias por grupo'!$B$4:$B$33,$D21)),0),0))))</f>
        <v/>
      </c>
      <c r="G21" s="3">
        <f>IF(ISNA(MATCH(1,INDEX(EXACT('Asignaturas'!$A$4:$A$18,$D21)*1,0),0)),"",IF(ISBLANK(INDEX('Asignaturas'!$G$4:$G$18,MATCH(1,INDEX(EXACT('Asignaturas'!$A$4:$A$18,$D21)*1,0),0))),"",INDEX('Asignaturas'!$G$4:$G$18,MATCH(1,INDEX(EXACT('Asignaturas'!$A$4:$A$18,$D21)*1,0),0))))</f>
        <v/>
      </c>
      <c r="H21" s="3">
        <f>IF(($D21=""),"",IF(($G21=""),("Aula "&amp;IF(ISNUMBER($A21),IF($A21=0,"0",ROUND($A21,9-INT(LOG10(ABS($A21))))&amp;""),$A21&amp;"")),$G21))</f>
        <v/>
      </c>
      <c r="I21" s="3">
        <f>IF(ISNA(MATCH(1,INDEX(EXACT('Asignaturas'!$A$4:$A$18,$D21)*1,0),0)),"no",IF(ISBLANK(INDEX('Asignaturas'!$D$4:$D$18,MATCH(1,INDEX(EXACT('Asignaturas'!$A$4:$A$18,$D21)*1,0),0))),"",INDEX('Asignaturas'!$D$4:$D$18,MATCH(1,INDEX(EXACT('Asignaturas'!$A$4:$A$18,$D21)*1,0),0))))</f>
        <v/>
      </c>
      <c r="J21" s="3">
        <f>IF(ISNA(MATCH(1,INDEX(EXACT('Asignaturas'!$A$4:$A$18,$D21)*1,0),0)),"no",IF(ISBLANK(INDEX('Asignaturas'!$E$4:$E$18,MATCH(1,INDEX(EXACT('Asignaturas'!$A$4:$A$18,$D21)*1,0),0))),"",INDEX('Asignaturas'!$E$4:$E$18,MATCH(1,INDEX(EXACT('Asignaturas'!$A$4:$A$18,$D21)*1,0),0))))</f>
        <v/>
      </c>
      <c r="K21" s="3">
        <f>IF(ISNA(MATCH(1,INDEX(EXACT('Asignaturas'!$A$4:$A$18,$D21)*1,0),0)),"",IF(ISBLANK(INDEX('Asignaturas'!$F$4:$F$18,MATCH(1,INDEX(EXACT('Asignaturas'!$A$4:$A$18,$D21)*1,0),0))),"",INDEX('Asignaturas'!$F$4:$F$18,MATCH(1,INDEX(EXACT('Asignaturas'!$A$4:$A$18,$D21)*1,0),0))))</f>
        <v/>
      </c>
      <c r="L21" s="3">
        <f>IF(ISNA(MATCH(1,INDEX(EXACT('Profesores'!$A$4:$A$33,$F21)*1,0),0)),"no",IF(ISBLANK(INDEX('Profesores'!$B$4:$B$33,MATCH(1,INDEX(EXACT('Profesores'!$A$4:$A$33,$F21)*1,0),0))),"",INDEX('Profesores'!$B$4:$B$33,MATCH(1,INDEX(EXACT('Profesores'!$A$4:$A$33,$F21)*1,0),0))))</f>
        <v/>
      </c>
      <c r="M21" s="3">
        <f>IF(ISNA(MATCH(1,INDEX(EXACT('Profesores'!$A$4:$A$33,$F21)*1,0),0)),"no",IF(ISBLANK(INDEX('Profesores'!$C$4:$C$33,MATCH(1,INDEX(EXACT('Profesores'!$A$4:$A$33,$F21)*1,0),0))),"",INDEX('Profesores'!$C$4:$C$33,MATCH(1,INDEX(EXACT('Profesores'!$A$4:$A$33,$F21)*1,0),0))))</f>
        <v/>
      </c>
      <c r="N21" s="3">
        <f>IF(ISNA(MATCH(1,INDEX(1*((('Dias que asisten los contratado'!$A$4:$A$4&lt;&gt;"")+('Dias que asisten los contratado'!$B$4:$B$4&lt;&gt;""))&gt;0)*(EXACT('Dias que asisten los contratado'!$A$4:$A$4,$F21))*(EXACT('Dias que asisten los contratado'!$B$4:$B$4,$B21)),0),0)),"no",IF(ISBLANK(INDEX('Dias que asisten los contratado'!$C$4:$C$4,MATCH(1,INDEX(1*((('Dias que asisten los contratado'!$A$4:$A$4&lt;&gt;"")+('Dias que asisten los contratado'!$B$4:$B$4&lt;&gt;""))&gt;0)*(EXACT('Dias que asisten los contratado'!$A$4:$A$4,$F21))*(EXACT('Dias que asisten los contratado'!$B$4:$B$4,$B21)),0),0))),"",INDEX('Dias que asisten los contratado'!$C$4:$C$4,MATCH(1,INDEX(1*((('Dias que asisten los contratado'!$A$4:$A$4&lt;&gt;"")+('Dias que asisten los contratado'!$B$4:$B$4&lt;&gt;""))&gt;0)*(EXACT('Dias que asisten los contratado'!$A$4:$A$4,$F21))*(EXACT('Dias que asisten los contratado'!$B$4:$B$4,$B21)),0),0))))</f>
        <v/>
      </c>
      <c r="O21" s="3">
        <f>IF(AND(NOT(($D21="")),(SUMPRODUCT(1*((EXACT('Casillas del horario'!$A$4:$A$73,$A21)))*((EXACT('Casillas del horario'!$B$4:$B$73,$B21)))*((EXACT('Casillas del horario'!$D$4:$D$73,$D21)))*(((((EXACT($I21,"no")))+((NOT(EXACT('Casillas del horario'!$C$4:$C$73,(IFERROR(VALUE($C21&amp;""),0)+1))))*(NOT(EXACT('Casillas del horario'!$C$4:$C$73,(IFERROR(VALUE($C21&amp;""),0)-1))))))&gt;0))*((ROW('Casillas del horario'!$A$4:$A$73)&lt;&gt;ROW($A21))))&gt;0)),"si","no")</f>
        <v/>
      </c>
      <c r="P21" s="3">
        <f>MID(IF(AND(NOT(($D21="")),(SUMPRODUCT(1*((EXACT('Casillas del horario'!$B$4:$B$73,$B21)))*((EXACT('Casillas del horario'!$C$4:$C$73,$C21)))*((EXACT('Casillas del horario'!$F$4:$F$73,$F21)))*((ROW('Casillas del horario'!$A$4:$A$73)&lt;&gt;ROW($A21))))&gt;0)),"; "&amp;"Este profesor ya da clase a otro grupo en este mismo turno","")&amp;IF(AND(NOT(($D21="")),(SUMPRODUCT(1*((EXACT('Casillas del horario'!$B$4:$B$73,$B21)))*((EXACT('Casillas del horario'!$C$4:$C$73,$C21)))*((EXACT('Casillas del horario'!$H$4:$H$73,$H21)))*((ROW('Casillas del horario'!$A$4:$A$73)&lt;&gt;ROW($A21))))&gt;0)),"; "&amp;"Ese local esta ocupado por otro grupo a esa hora","")&amp;IF(EXACT($O21,"si"),"; "&amp;IF(ISNUMBER(IF(EXACT($I21,"no"),"Esta asignatura no admite turno doble y repite el dia en este grupo","Esta asignatura repite el dia en este grupo sin ser en turnos seguidos")),IF(IF(EXACT($I21,"no"),"Esta asignatura no admite turno doble y repite el dia en este grupo","Esta asignatura repite el dia en este grupo sin ser en turnos seguidos")=0,"0",ROUND(IF(EXACT($I21,"no"),"Esta asignatura no admite turno doble y repite el dia en este grupo","Esta asignatura repite el dia en este grupo sin ser en turnos seguidos"),9-INT(LOG10(ABS(IF(EXACT($I21,"no"),"Esta asignatura no admite turno doble y repite el dia en este grupo","Esta asignatura repite el dia en este grupo sin ser en turnos seguidos")))))&amp;""),IF(EXACT($I21,"no"),"Esta asignatura no admite turno doble y repite el dia en este grupo","Esta asignatura repite el dia en este grupo sin ser en turnos seguidos")&amp;""),"")&amp;IF(AND(NOT(($D21="")),EXACT($B21,$K21)),"; "&amp;"Es el dia de preparacion de la asignatura","")&amp;IF(AND(EXACT($D21,"EF"),(IFERROR(VALUE($C21&amp;""),0)&gt;3)),"; "&amp;"Educacion Fisica no puede caer despues del tercer turno","")&amp;IF(AND(NOT(($D21="")),EXACT($J21,"no"),(IFERROR(VALUE($C21&amp;""),0)&gt;6)),"; "&amp;"Esta asignatura no admite turnos de tarde","")&amp;IF(AND(NOT(($D21="")),EXACT($L21,"si"),EXACT($N21,"no")),"; "&amp;"Este profesor esta contratado y no asiste al centro este dia","")&amp;IF(AND(NOT(($D21="")),EXACT($M21,"si"),EXACT($C21,1)),"; "&amp;"Se preferiria no darle el primer turno a un profesor que vive lejos","")&amp;IF(($D21=""),"; "&amp;"Turno sin asignar",""),3,32767)</f>
        <v/>
      </c>
      <c r="Q21" s="3">
        <f>IF(OR(AND(NOT(($D21="")),(SUMPRODUCT(1*((EXACT('Casillas del horario'!$B$4:$B$73,$B21)))*((EXACT('Casillas del horario'!$C$4:$C$73,$C21)))*((EXACT('Casillas del horario'!$F$4:$F$73,$F21)))*((ROW('Casillas del horario'!$A$4:$A$73)&lt;&gt;ROW($A21))))&gt;0)),AND(NOT(($D21="")),(SUMPRODUCT(1*((EXACT('Casillas del horario'!$B$4:$B$73,$B21)))*((EXACT('Casillas del horario'!$C$4:$C$73,$C21)))*((EXACT('Casillas del horario'!$H$4:$H$73,$H21)))*((ROW('Casillas del horario'!$A$4:$A$73)&lt;&gt;ROW($A21))))&gt;0)),EXACT($O21,"si"),AND(NOT(($D21="")),EXACT($B21,$K21)),AND(EXACT($D21,"EF"),(IFERROR(VALUE($C21&amp;""),0)&gt;3)),AND(NOT(($D21="")),EXACT($J21,"no"),(IFERROR(VALUE($C21&amp;""),0)&gt;6)),AND(NOT(($D21="")),EXACT($L21,"si"),EXACT($N21,"no"))),3,IF(OR(AND(NOT(($D21="")),EXACT($M21,"si"),EXACT($C21,1))),2,IF(OR(($D21="")),1,0)))</f>
        <v/>
      </c>
      <c r="R21" s="3">
        <f>$A21&amp;CHAR(31)&amp;$C21&amp;CHAR(31)&amp;$B21</f>
        <v/>
      </c>
      <c r="S21" s="3">
        <f>$F21&amp;CHAR(31)&amp;$C21&amp;CHAR(31)&amp;$B21</f>
        <v/>
      </c>
      <c r="T21" s="3">
        <f>$H21&amp;CHAR(31)&amp;$C21&amp;CHAR(31)&amp;$B21</f>
        <v/>
      </c>
    </row>
    <row r="22">
      <c r="A22" s="3" t="inlineStr">
        <is>
          <t>10-4</t>
        </is>
      </c>
      <c r="B22" s="3" t="inlineStr">
        <is>
          <t>J</t>
        </is>
      </c>
      <c r="C22" s="3" t="n">
        <v>2</v>
      </c>
      <c r="D22" s="4" t="inlineStr">
        <is>
          <t>I</t>
        </is>
      </c>
      <c r="E22" s="3">
        <f>IF(ISNA(MATCH(1,INDEX(EXACT('Asignaturas'!$A$4:$A$18,$D22)*1,0),0)),"",IF(ISBLANK(INDEX('Asignaturas'!$B$4:$B$18,MATCH(1,INDEX(EXACT('Asignaturas'!$A$4:$A$18,$D22)*1,0),0))),"",INDEX('Asignaturas'!$B$4:$B$18,MATCH(1,INDEX(EXACT('Asignaturas'!$A$4:$A$18,$D22)*1,0),0))))</f>
        <v/>
      </c>
      <c r="F22" s="3">
        <f>IF(ISNA(MATCH(1,INDEX(1*(EXACT('Frecuencias por grupo'!$A$4:$A$33,$A22))*(EXACT('Frecuencias por grupo'!$B$4:$B$33,$D22)),0),0)),"",IF(ISBLANK(INDEX('Frecuencias por grupo'!$C$4:$C$33,MATCH(1,INDEX(1*(EXACT('Frecuencias por grupo'!$A$4:$A$33,$A22))*(EXACT('Frecuencias por grupo'!$B$4:$B$33,$D22)),0),0))),"",INDEX('Frecuencias por grupo'!$C$4:$C$33,MATCH(1,INDEX(1*(EXACT('Frecuencias por grupo'!$A$4:$A$33,$A22))*(EXACT('Frecuencias por grupo'!$B$4:$B$33,$D22)),0),0))))</f>
        <v/>
      </c>
      <c r="G22" s="3">
        <f>IF(ISNA(MATCH(1,INDEX(EXACT('Asignaturas'!$A$4:$A$18,$D22)*1,0),0)),"",IF(ISBLANK(INDEX('Asignaturas'!$G$4:$G$18,MATCH(1,INDEX(EXACT('Asignaturas'!$A$4:$A$18,$D22)*1,0),0))),"",INDEX('Asignaturas'!$G$4:$G$18,MATCH(1,INDEX(EXACT('Asignaturas'!$A$4:$A$18,$D22)*1,0),0))))</f>
        <v/>
      </c>
      <c r="H22" s="3">
        <f>IF(($D22=""),"",IF(($G22=""),("Aula "&amp;IF(ISNUMBER($A22),IF($A22=0,"0",ROUND($A22,9-INT(LOG10(ABS($A22))))&amp;""),$A22&amp;"")),$G22))</f>
        <v/>
      </c>
      <c r="I22" s="3">
        <f>IF(ISNA(MATCH(1,INDEX(EXACT('Asignaturas'!$A$4:$A$18,$D22)*1,0),0)),"no",IF(ISBLANK(INDEX('Asignaturas'!$D$4:$D$18,MATCH(1,INDEX(EXACT('Asignaturas'!$A$4:$A$18,$D22)*1,0),0))),"",INDEX('Asignaturas'!$D$4:$D$18,MATCH(1,INDEX(EXACT('Asignaturas'!$A$4:$A$18,$D22)*1,0),0))))</f>
        <v/>
      </c>
      <c r="J22" s="3">
        <f>IF(ISNA(MATCH(1,INDEX(EXACT('Asignaturas'!$A$4:$A$18,$D22)*1,0),0)),"no",IF(ISBLANK(INDEX('Asignaturas'!$E$4:$E$18,MATCH(1,INDEX(EXACT('Asignaturas'!$A$4:$A$18,$D22)*1,0),0))),"",INDEX('Asignaturas'!$E$4:$E$18,MATCH(1,INDEX(EXACT('Asignaturas'!$A$4:$A$18,$D22)*1,0),0))))</f>
        <v/>
      </c>
      <c r="K22" s="3">
        <f>IF(ISNA(MATCH(1,INDEX(EXACT('Asignaturas'!$A$4:$A$18,$D22)*1,0),0)),"",IF(ISBLANK(INDEX('Asignaturas'!$F$4:$F$18,MATCH(1,INDEX(EXACT('Asignaturas'!$A$4:$A$18,$D22)*1,0),0))),"",INDEX('Asignaturas'!$F$4:$F$18,MATCH(1,INDEX(EXACT('Asignaturas'!$A$4:$A$18,$D22)*1,0),0))))</f>
        <v/>
      </c>
      <c r="L22" s="3">
        <f>IF(ISNA(MATCH(1,INDEX(EXACT('Profesores'!$A$4:$A$33,$F22)*1,0),0)),"no",IF(ISBLANK(INDEX('Profesores'!$B$4:$B$33,MATCH(1,INDEX(EXACT('Profesores'!$A$4:$A$33,$F22)*1,0),0))),"",INDEX('Profesores'!$B$4:$B$33,MATCH(1,INDEX(EXACT('Profesores'!$A$4:$A$33,$F22)*1,0),0))))</f>
        <v/>
      </c>
      <c r="M22" s="3">
        <f>IF(ISNA(MATCH(1,INDEX(EXACT('Profesores'!$A$4:$A$33,$F22)*1,0),0)),"no",IF(ISBLANK(INDEX('Profesores'!$C$4:$C$33,MATCH(1,INDEX(EXACT('Profesores'!$A$4:$A$33,$F22)*1,0),0))),"",INDEX('Profesores'!$C$4:$C$33,MATCH(1,INDEX(EXACT('Profesores'!$A$4:$A$33,$F22)*1,0),0))))</f>
        <v/>
      </c>
      <c r="N22" s="3">
        <f>IF(ISNA(MATCH(1,INDEX(1*((('Dias que asisten los contratado'!$A$4:$A$4&lt;&gt;"")+('Dias que asisten los contratado'!$B$4:$B$4&lt;&gt;""))&gt;0)*(EXACT('Dias que asisten los contratado'!$A$4:$A$4,$F22))*(EXACT('Dias que asisten los contratado'!$B$4:$B$4,$B22)),0),0)),"no",IF(ISBLANK(INDEX('Dias que asisten los contratado'!$C$4:$C$4,MATCH(1,INDEX(1*((('Dias que asisten los contratado'!$A$4:$A$4&lt;&gt;"")+('Dias que asisten los contratado'!$B$4:$B$4&lt;&gt;""))&gt;0)*(EXACT('Dias que asisten los contratado'!$A$4:$A$4,$F22))*(EXACT('Dias que asisten los contratado'!$B$4:$B$4,$B22)),0),0))),"",INDEX('Dias que asisten los contratado'!$C$4:$C$4,MATCH(1,INDEX(1*((('Dias que asisten los contratado'!$A$4:$A$4&lt;&gt;"")+('Dias que asisten los contratado'!$B$4:$B$4&lt;&gt;""))&gt;0)*(EXACT('Dias que asisten los contratado'!$A$4:$A$4,$F22))*(EXACT('Dias que asisten los contratado'!$B$4:$B$4,$B22)),0),0))))</f>
        <v/>
      </c>
      <c r="O22" s="3">
        <f>IF(AND(NOT(($D22="")),(SUMPRODUCT(1*((EXACT('Casillas del horario'!$A$4:$A$73,$A22)))*((EXACT('Casillas del horario'!$B$4:$B$73,$B22)))*((EXACT('Casillas del horario'!$D$4:$D$73,$D22)))*(((((EXACT($I22,"no")))+((NOT(EXACT('Casillas del horario'!$C$4:$C$73,(IFERROR(VALUE($C22&amp;""),0)+1))))*(NOT(EXACT('Casillas del horario'!$C$4:$C$73,(IFERROR(VALUE($C22&amp;""),0)-1))))))&gt;0))*((ROW('Casillas del horario'!$A$4:$A$73)&lt;&gt;ROW($A22))))&gt;0)),"si","no")</f>
        <v/>
      </c>
      <c r="P22" s="3">
        <f>MID(IF(AND(NOT(($D22="")),(SUMPRODUCT(1*((EXACT('Casillas del horario'!$B$4:$B$73,$B22)))*((EXACT('Casillas del horario'!$C$4:$C$73,$C22)))*((EXACT('Casillas del horario'!$F$4:$F$73,$F22)))*((ROW('Casillas del horario'!$A$4:$A$73)&lt;&gt;ROW($A22))))&gt;0)),"; "&amp;"Este profesor ya da clase a otro grupo en este mismo turno","")&amp;IF(AND(NOT(($D22="")),(SUMPRODUCT(1*((EXACT('Casillas del horario'!$B$4:$B$73,$B22)))*((EXACT('Casillas del horario'!$C$4:$C$73,$C22)))*((EXACT('Casillas del horario'!$H$4:$H$73,$H22)))*((ROW('Casillas del horario'!$A$4:$A$73)&lt;&gt;ROW($A22))))&gt;0)),"; "&amp;"Ese local esta ocupado por otro grupo a esa hora","")&amp;IF(EXACT($O22,"si"),"; "&amp;IF(ISNUMBER(IF(EXACT($I22,"no"),"Esta asignatura no admite turno doble y repite el dia en este grupo","Esta asignatura repite el dia en este grupo sin ser en turnos seguidos")),IF(IF(EXACT($I22,"no"),"Esta asignatura no admite turno doble y repite el dia en este grupo","Esta asignatura repite el dia en este grupo sin ser en turnos seguidos")=0,"0",ROUND(IF(EXACT($I22,"no"),"Esta asignatura no admite turno doble y repite el dia en este grupo","Esta asignatura repite el dia en este grupo sin ser en turnos seguidos"),9-INT(LOG10(ABS(IF(EXACT($I22,"no"),"Esta asignatura no admite turno doble y repite el dia en este grupo","Esta asignatura repite el dia en este grupo sin ser en turnos seguidos")))))&amp;""),IF(EXACT($I22,"no"),"Esta asignatura no admite turno doble y repite el dia en este grupo","Esta asignatura repite el dia en este grupo sin ser en turnos seguidos")&amp;""),"")&amp;IF(AND(NOT(($D22="")),EXACT($B22,$K22)),"; "&amp;"Es el dia de preparacion de la asignatura","")&amp;IF(AND(EXACT($D22,"EF"),(IFERROR(VALUE($C22&amp;""),0)&gt;3)),"; "&amp;"Educacion Fisica no puede caer despues del tercer turno","")&amp;IF(AND(NOT(($D22="")),EXACT($J22,"no"),(IFERROR(VALUE($C22&amp;""),0)&gt;6)),"; "&amp;"Esta asignatura no admite turnos de tarde","")&amp;IF(AND(NOT(($D22="")),EXACT($L22,"si"),EXACT($N22,"no")),"; "&amp;"Este profesor esta contratado y no asiste al centro este dia","")&amp;IF(AND(NOT(($D22="")),EXACT($M22,"si"),EXACT($C22,1)),"; "&amp;"Se preferiria no darle el primer turno a un profesor que vive lejos","")&amp;IF(($D22=""),"; "&amp;"Turno sin asignar",""),3,32767)</f>
        <v/>
      </c>
      <c r="Q22" s="3">
        <f>IF(OR(AND(NOT(($D22="")),(SUMPRODUCT(1*((EXACT('Casillas del horario'!$B$4:$B$73,$B22)))*((EXACT('Casillas del horario'!$C$4:$C$73,$C22)))*((EXACT('Casillas del horario'!$F$4:$F$73,$F22)))*((ROW('Casillas del horario'!$A$4:$A$73)&lt;&gt;ROW($A22))))&gt;0)),AND(NOT(($D22="")),(SUMPRODUCT(1*((EXACT('Casillas del horario'!$B$4:$B$73,$B22)))*((EXACT('Casillas del horario'!$C$4:$C$73,$C22)))*((EXACT('Casillas del horario'!$H$4:$H$73,$H22)))*((ROW('Casillas del horario'!$A$4:$A$73)&lt;&gt;ROW($A22))))&gt;0)),EXACT($O22,"si"),AND(NOT(($D22="")),EXACT($B22,$K22)),AND(EXACT($D22,"EF"),(IFERROR(VALUE($C22&amp;""),0)&gt;3)),AND(NOT(($D22="")),EXACT($J22,"no"),(IFERROR(VALUE($C22&amp;""),0)&gt;6)),AND(NOT(($D22="")),EXACT($L22,"si"),EXACT($N22,"no"))),3,IF(OR(AND(NOT(($D22="")),EXACT($M22,"si"),EXACT($C22,1))),2,IF(OR(($D22="")),1,0)))</f>
        <v/>
      </c>
      <c r="R22" s="3">
        <f>$A22&amp;CHAR(31)&amp;$C22&amp;CHAR(31)&amp;$B22</f>
        <v/>
      </c>
      <c r="S22" s="3">
        <f>$F22&amp;CHAR(31)&amp;$C22&amp;CHAR(31)&amp;$B22</f>
        <v/>
      </c>
      <c r="T22" s="3">
        <f>$H22&amp;CHAR(31)&amp;$C22&amp;CHAR(31)&amp;$B22</f>
        <v/>
      </c>
    </row>
    <row r="23">
      <c r="A23" s="3" t="inlineStr">
        <is>
          <t>10-4</t>
        </is>
      </c>
      <c r="B23" s="3" t="inlineStr">
        <is>
          <t>V</t>
        </is>
      </c>
      <c r="C23" s="3" t="n">
        <v>2</v>
      </c>
      <c r="D23" s="4" t="inlineStr">
        <is>
          <t>Lit-L</t>
        </is>
      </c>
      <c r="E23" s="3">
        <f>IF(ISNA(MATCH(1,INDEX(EXACT('Asignaturas'!$A$4:$A$18,$D23)*1,0),0)),"",IF(ISBLANK(INDEX('Asignaturas'!$B$4:$B$18,MATCH(1,INDEX(EXACT('Asignaturas'!$A$4:$A$18,$D23)*1,0),0))),"",INDEX('Asignaturas'!$B$4:$B$18,MATCH(1,INDEX(EXACT('Asignaturas'!$A$4:$A$18,$D23)*1,0),0))))</f>
        <v/>
      </c>
      <c r="F23" s="3">
        <f>IF(ISNA(MATCH(1,INDEX(1*(EXACT('Frecuencias por grupo'!$A$4:$A$33,$A23))*(EXACT('Frecuencias por grupo'!$B$4:$B$33,$D23)),0),0)),"",IF(ISBLANK(INDEX('Frecuencias por grupo'!$C$4:$C$33,MATCH(1,INDEX(1*(EXACT('Frecuencias por grupo'!$A$4:$A$33,$A23))*(EXACT('Frecuencias por grupo'!$B$4:$B$33,$D23)),0),0))),"",INDEX('Frecuencias por grupo'!$C$4:$C$33,MATCH(1,INDEX(1*(EXACT('Frecuencias por grupo'!$A$4:$A$33,$A23))*(EXACT('Frecuencias por grupo'!$B$4:$B$33,$D23)),0),0))))</f>
        <v/>
      </c>
      <c r="G23" s="3">
        <f>IF(ISNA(MATCH(1,INDEX(EXACT('Asignaturas'!$A$4:$A$18,$D23)*1,0),0)),"",IF(ISBLANK(INDEX('Asignaturas'!$G$4:$G$18,MATCH(1,INDEX(EXACT('Asignaturas'!$A$4:$A$18,$D23)*1,0),0))),"",INDEX('Asignaturas'!$G$4:$G$18,MATCH(1,INDEX(EXACT('Asignaturas'!$A$4:$A$18,$D23)*1,0),0))))</f>
        <v/>
      </c>
      <c r="H23" s="3">
        <f>IF(($D23=""),"",IF(($G23=""),("Aula "&amp;IF(ISNUMBER($A23),IF($A23=0,"0",ROUND($A23,9-INT(LOG10(ABS($A23))))&amp;""),$A23&amp;"")),$G23))</f>
        <v/>
      </c>
      <c r="I23" s="3">
        <f>IF(ISNA(MATCH(1,INDEX(EXACT('Asignaturas'!$A$4:$A$18,$D23)*1,0),0)),"no",IF(ISBLANK(INDEX('Asignaturas'!$D$4:$D$18,MATCH(1,INDEX(EXACT('Asignaturas'!$A$4:$A$18,$D23)*1,0),0))),"",INDEX('Asignaturas'!$D$4:$D$18,MATCH(1,INDEX(EXACT('Asignaturas'!$A$4:$A$18,$D23)*1,0),0))))</f>
        <v/>
      </c>
      <c r="J23" s="3">
        <f>IF(ISNA(MATCH(1,INDEX(EXACT('Asignaturas'!$A$4:$A$18,$D23)*1,0),0)),"no",IF(ISBLANK(INDEX('Asignaturas'!$E$4:$E$18,MATCH(1,INDEX(EXACT('Asignaturas'!$A$4:$A$18,$D23)*1,0),0))),"",INDEX('Asignaturas'!$E$4:$E$18,MATCH(1,INDEX(EXACT('Asignaturas'!$A$4:$A$18,$D23)*1,0),0))))</f>
        <v/>
      </c>
      <c r="K23" s="3">
        <f>IF(ISNA(MATCH(1,INDEX(EXACT('Asignaturas'!$A$4:$A$18,$D23)*1,0),0)),"",IF(ISBLANK(INDEX('Asignaturas'!$F$4:$F$18,MATCH(1,INDEX(EXACT('Asignaturas'!$A$4:$A$18,$D23)*1,0),0))),"",INDEX('Asignaturas'!$F$4:$F$18,MATCH(1,INDEX(EXACT('Asignaturas'!$A$4:$A$18,$D23)*1,0),0))))</f>
        <v/>
      </c>
      <c r="L23" s="3">
        <f>IF(ISNA(MATCH(1,INDEX(EXACT('Profesores'!$A$4:$A$33,$F23)*1,0),0)),"no",IF(ISBLANK(INDEX('Profesores'!$B$4:$B$33,MATCH(1,INDEX(EXACT('Profesores'!$A$4:$A$33,$F23)*1,0),0))),"",INDEX('Profesores'!$B$4:$B$33,MATCH(1,INDEX(EXACT('Profesores'!$A$4:$A$33,$F23)*1,0),0))))</f>
        <v/>
      </c>
      <c r="M23" s="3">
        <f>IF(ISNA(MATCH(1,INDEX(EXACT('Profesores'!$A$4:$A$33,$F23)*1,0),0)),"no",IF(ISBLANK(INDEX('Profesores'!$C$4:$C$33,MATCH(1,INDEX(EXACT('Profesores'!$A$4:$A$33,$F23)*1,0),0))),"",INDEX('Profesores'!$C$4:$C$33,MATCH(1,INDEX(EXACT('Profesores'!$A$4:$A$33,$F23)*1,0),0))))</f>
        <v/>
      </c>
      <c r="N23" s="3">
        <f>IF(ISNA(MATCH(1,INDEX(1*((('Dias que asisten los contratado'!$A$4:$A$4&lt;&gt;"")+('Dias que asisten los contratado'!$B$4:$B$4&lt;&gt;""))&gt;0)*(EXACT('Dias que asisten los contratado'!$A$4:$A$4,$F23))*(EXACT('Dias que asisten los contratado'!$B$4:$B$4,$B23)),0),0)),"no",IF(ISBLANK(INDEX('Dias que asisten los contratado'!$C$4:$C$4,MATCH(1,INDEX(1*((('Dias que asisten los contratado'!$A$4:$A$4&lt;&gt;"")+('Dias que asisten los contratado'!$B$4:$B$4&lt;&gt;""))&gt;0)*(EXACT('Dias que asisten los contratado'!$A$4:$A$4,$F23))*(EXACT('Dias que asisten los contratado'!$B$4:$B$4,$B23)),0),0))),"",INDEX('Dias que asisten los contratado'!$C$4:$C$4,MATCH(1,INDEX(1*((('Dias que asisten los contratado'!$A$4:$A$4&lt;&gt;"")+('Dias que asisten los contratado'!$B$4:$B$4&lt;&gt;""))&gt;0)*(EXACT('Dias que asisten los contratado'!$A$4:$A$4,$F23))*(EXACT('Dias que asisten los contratado'!$B$4:$B$4,$B23)),0),0))))</f>
        <v/>
      </c>
      <c r="O23" s="3">
        <f>IF(AND(NOT(($D23="")),(SUMPRODUCT(1*((EXACT('Casillas del horario'!$A$4:$A$73,$A23)))*((EXACT('Casillas del horario'!$B$4:$B$73,$B23)))*((EXACT('Casillas del horario'!$D$4:$D$73,$D23)))*(((((EXACT($I23,"no")))+((NOT(EXACT('Casillas del horario'!$C$4:$C$73,(IFERROR(VALUE($C23&amp;""),0)+1))))*(NOT(EXACT('Casillas del horario'!$C$4:$C$73,(IFERROR(VALUE($C23&amp;""),0)-1))))))&gt;0))*((ROW('Casillas del horario'!$A$4:$A$73)&lt;&gt;ROW($A23))))&gt;0)),"si","no")</f>
        <v/>
      </c>
      <c r="P23" s="3">
        <f>MID(IF(AND(NOT(($D23="")),(SUMPRODUCT(1*((EXACT('Casillas del horario'!$B$4:$B$73,$B23)))*((EXACT('Casillas del horario'!$C$4:$C$73,$C23)))*((EXACT('Casillas del horario'!$F$4:$F$73,$F23)))*((ROW('Casillas del horario'!$A$4:$A$73)&lt;&gt;ROW($A23))))&gt;0)),"; "&amp;"Este profesor ya da clase a otro grupo en este mismo turno","")&amp;IF(AND(NOT(($D23="")),(SUMPRODUCT(1*((EXACT('Casillas del horario'!$B$4:$B$73,$B23)))*((EXACT('Casillas del horario'!$C$4:$C$73,$C23)))*((EXACT('Casillas del horario'!$H$4:$H$73,$H23)))*((ROW('Casillas del horario'!$A$4:$A$73)&lt;&gt;ROW($A23))))&gt;0)),"; "&amp;"Ese local esta ocupado por otro grupo a esa hora","")&amp;IF(EXACT($O23,"si"),"; "&amp;IF(ISNUMBER(IF(EXACT($I23,"no"),"Esta asignatura no admite turno doble y repite el dia en este grupo","Esta asignatura repite el dia en este grupo sin ser en turnos seguidos")),IF(IF(EXACT($I23,"no"),"Esta asignatura no admite turno doble y repite el dia en este grupo","Esta asignatura repite el dia en este grupo sin ser en turnos seguidos")=0,"0",ROUND(IF(EXACT($I23,"no"),"Esta asignatura no admite turno doble y repite el dia en este grupo","Esta asignatura repite el dia en este grupo sin ser en turnos seguidos"),9-INT(LOG10(ABS(IF(EXACT($I23,"no"),"Esta asignatura no admite turno doble y repite el dia en este grupo","Esta asignatura repite el dia en este grupo sin ser en turnos seguidos")))))&amp;""),IF(EXACT($I23,"no"),"Esta asignatura no admite turno doble y repite el dia en este grupo","Esta asignatura repite el dia en este grupo sin ser en turnos seguidos")&amp;""),"")&amp;IF(AND(NOT(($D23="")),EXACT($B23,$K23)),"; "&amp;"Es el dia de preparacion de la asignatura","")&amp;IF(AND(EXACT($D23,"EF"),(IFERROR(VALUE($C23&amp;""),0)&gt;3)),"; "&amp;"Educacion Fisica no puede caer despues del tercer turno","")&amp;IF(AND(NOT(($D23="")),EXACT($J23,"no"),(IFERROR(VALUE($C23&amp;""),0)&gt;6)),"; "&amp;"Esta asignatura no admite turnos de tarde","")&amp;IF(AND(NOT(($D23="")),EXACT($L23,"si"),EXACT($N23,"no")),"; "&amp;"Este profesor esta contratado y no asiste al centro este dia","")&amp;IF(AND(NOT(($D23="")),EXACT($M23,"si"),EXACT($C23,1)),"; "&amp;"Se preferiria no darle el primer turno a un profesor que vive lejos","")&amp;IF(($D23=""),"; "&amp;"Turno sin asignar",""),3,32767)</f>
        <v/>
      </c>
      <c r="Q23" s="3">
        <f>IF(OR(AND(NOT(($D23="")),(SUMPRODUCT(1*((EXACT('Casillas del horario'!$B$4:$B$73,$B23)))*((EXACT('Casillas del horario'!$C$4:$C$73,$C23)))*((EXACT('Casillas del horario'!$F$4:$F$73,$F23)))*((ROW('Casillas del horario'!$A$4:$A$73)&lt;&gt;ROW($A23))))&gt;0)),AND(NOT(($D23="")),(SUMPRODUCT(1*((EXACT('Casillas del horario'!$B$4:$B$73,$B23)))*((EXACT('Casillas del horario'!$C$4:$C$73,$C23)))*((EXACT('Casillas del horario'!$H$4:$H$73,$H23)))*((ROW('Casillas del horario'!$A$4:$A$73)&lt;&gt;ROW($A23))))&gt;0)),EXACT($O23,"si"),AND(NOT(($D23="")),EXACT($B23,$K23)),AND(EXACT($D23,"EF"),(IFERROR(VALUE($C23&amp;""),0)&gt;3)),AND(NOT(($D23="")),EXACT($J23,"no"),(IFERROR(VALUE($C23&amp;""),0)&gt;6)),AND(NOT(($D23="")),EXACT($L23,"si"),EXACT($N23,"no"))),3,IF(OR(AND(NOT(($D23="")),EXACT($M23,"si"),EXACT($C23,1))),2,IF(OR(($D23="")),1,0)))</f>
        <v/>
      </c>
      <c r="R23" s="3">
        <f>$A23&amp;CHAR(31)&amp;$C23&amp;CHAR(31)&amp;$B23</f>
        <v/>
      </c>
      <c r="S23" s="3">
        <f>$F23&amp;CHAR(31)&amp;$C23&amp;CHAR(31)&amp;$B23</f>
        <v/>
      </c>
      <c r="T23" s="3">
        <f>$H23&amp;CHAR(31)&amp;$C23&amp;CHAR(31)&amp;$B23</f>
        <v/>
      </c>
    </row>
    <row r="24">
      <c r="A24" s="3" t="inlineStr">
        <is>
          <t>10-3</t>
        </is>
      </c>
      <c r="B24" s="3" t="inlineStr">
        <is>
          <t>L</t>
        </is>
      </c>
      <c r="C24" s="3" t="n">
        <v>3</v>
      </c>
      <c r="D24" s="4" t="inlineStr">
        <is>
          <t>B</t>
        </is>
      </c>
      <c r="E24" s="3">
        <f>IF(ISNA(MATCH(1,INDEX(EXACT('Asignaturas'!$A$4:$A$18,$D24)*1,0),0)),"",IF(ISBLANK(INDEX('Asignaturas'!$B$4:$B$18,MATCH(1,INDEX(EXACT('Asignaturas'!$A$4:$A$18,$D24)*1,0),0))),"",INDEX('Asignaturas'!$B$4:$B$18,MATCH(1,INDEX(EXACT('Asignaturas'!$A$4:$A$18,$D24)*1,0),0))))</f>
        <v/>
      </c>
      <c r="F24" s="3">
        <f>IF(ISNA(MATCH(1,INDEX(1*(EXACT('Frecuencias por grupo'!$A$4:$A$33,$A24))*(EXACT('Frecuencias por grupo'!$B$4:$B$33,$D24)),0),0)),"",IF(ISBLANK(INDEX('Frecuencias por grupo'!$C$4:$C$33,MATCH(1,INDEX(1*(EXACT('Frecuencias por grupo'!$A$4:$A$33,$A24))*(EXACT('Frecuencias por grupo'!$B$4:$B$33,$D24)),0),0))),"",INDEX('Frecuencias por grupo'!$C$4:$C$33,MATCH(1,INDEX(1*(EXACT('Frecuencias por grupo'!$A$4:$A$33,$A24))*(EXACT('Frecuencias por grupo'!$B$4:$B$33,$D24)),0),0))))</f>
        <v/>
      </c>
      <c r="G24" s="3">
        <f>IF(ISNA(MATCH(1,INDEX(EXACT('Asignaturas'!$A$4:$A$18,$D24)*1,0),0)),"",IF(ISBLANK(INDEX('Asignaturas'!$G$4:$G$18,MATCH(1,INDEX(EXACT('Asignaturas'!$A$4:$A$18,$D24)*1,0),0))),"",INDEX('Asignaturas'!$G$4:$G$18,MATCH(1,INDEX(EXACT('Asignaturas'!$A$4:$A$18,$D24)*1,0),0))))</f>
        <v/>
      </c>
      <c r="H24" s="3">
        <f>IF(($D24=""),"",IF(($G24=""),("Aula "&amp;IF(ISNUMBER($A24),IF($A24=0,"0",ROUND($A24,9-INT(LOG10(ABS($A24))))&amp;""),$A24&amp;"")),$G24))</f>
        <v/>
      </c>
      <c r="I24" s="3">
        <f>IF(ISNA(MATCH(1,INDEX(EXACT('Asignaturas'!$A$4:$A$18,$D24)*1,0),0)),"no",IF(ISBLANK(INDEX('Asignaturas'!$D$4:$D$18,MATCH(1,INDEX(EXACT('Asignaturas'!$A$4:$A$18,$D24)*1,0),0))),"",INDEX('Asignaturas'!$D$4:$D$18,MATCH(1,INDEX(EXACT('Asignaturas'!$A$4:$A$18,$D24)*1,0),0))))</f>
        <v/>
      </c>
      <c r="J24" s="3">
        <f>IF(ISNA(MATCH(1,INDEX(EXACT('Asignaturas'!$A$4:$A$18,$D24)*1,0),0)),"no",IF(ISBLANK(INDEX('Asignaturas'!$E$4:$E$18,MATCH(1,INDEX(EXACT('Asignaturas'!$A$4:$A$18,$D24)*1,0),0))),"",INDEX('Asignaturas'!$E$4:$E$18,MATCH(1,INDEX(EXACT('Asignaturas'!$A$4:$A$18,$D24)*1,0),0))))</f>
        <v/>
      </c>
      <c r="K24" s="3">
        <f>IF(ISNA(MATCH(1,INDEX(EXACT('Asignaturas'!$A$4:$A$18,$D24)*1,0),0)),"",IF(ISBLANK(INDEX('Asignaturas'!$F$4:$F$18,MATCH(1,INDEX(EXACT('Asignaturas'!$A$4:$A$18,$D24)*1,0),0))),"",INDEX('Asignaturas'!$F$4:$F$18,MATCH(1,INDEX(EXACT('Asignaturas'!$A$4:$A$18,$D24)*1,0),0))))</f>
        <v/>
      </c>
      <c r="L24" s="3">
        <f>IF(ISNA(MATCH(1,INDEX(EXACT('Profesores'!$A$4:$A$33,$F24)*1,0),0)),"no",IF(ISBLANK(INDEX('Profesores'!$B$4:$B$33,MATCH(1,INDEX(EXACT('Profesores'!$A$4:$A$33,$F24)*1,0),0))),"",INDEX('Profesores'!$B$4:$B$33,MATCH(1,INDEX(EXACT('Profesores'!$A$4:$A$33,$F24)*1,0),0))))</f>
        <v/>
      </c>
      <c r="M24" s="3">
        <f>IF(ISNA(MATCH(1,INDEX(EXACT('Profesores'!$A$4:$A$33,$F24)*1,0),0)),"no",IF(ISBLANK(INDEX('Profesores'!$C$4:$C$33,MATCH(1,INDEX(EXACT('Profesores'!$A$4:$A$33,$F24)*1,0),0))),"",INDEX('Profesores'!$C$4:$C$33,MATCH(1,INDEX(EXACT('Profesores'!$A$4:$A$33,$F24)*1,0),0))))</f>
        <v/>
      </c>
      <c r="N24" s="3">
        <f>IF(ISNA(MATCH(1,INDEX(1*((('Dias que asisten los contratado'!$A$4:$A$4&lt;&gt;"")+('Dias que asisten los contratado'!$B$4:$B$4&lt;&gt;""))&gt;0)*(EXACT('Dias que asisten los contratado'!$A$4:$A$4,$F24))*(EXACT('Dias que asisten los contratado'!$B$4:$B$4,$B24)),0),0)),"no",IF(ISBLANK(INDEX('Dias que asisten los contratado'!$C$4:$C$4,MATCH(1,INDEX(1*((('Dias que asisten los contratado'!$A$4:$A$4&lt;&gt;"")+('Dias que asisten los contratado'!$B$4:$B$4&lt;&gt;""))&gt;0)*(EXACT('Dias que asisten los contratado'!$A$4:$A$4,$F24))*(EXACT('Dias que asisten los contratado'!$B$4:$B$4,$B24)),0),0))),"",INDEX('Dias que asisten los contratado'!$C$4:$C$4,MATCH(1,INDEX(1*((('Dias que asisten los contratado'!$A$4:$A$4&lt;&gt;"")+('Dias que asisten los contratado'!$B$4:$B$4&lt;&gt;""))&gt;0)*(EXACT('Dias que asisten los contratado'!$A$4:$A$4,$F24))*(EXACT('Dias que asisten los contratado'!$B$4:$B$4,$B24)),0),0))))</f>
        <v/>
      </c>
      <c r="O24" s="3">
        <f>IF(AND(NOT(($D24="")),(SUMPRODUCT(1*((EXACT('Casillas del horario'!$A$4:$A$73,$A24)))*((EXACT('Casillas del horario'!$B$4:$B$73,$B24)))*((EXACT('Casillas del horario'!$D$4:$D$73,$D24)))*(((((EXACT($I24,"no")))+((NOT(EXACT('Casillas del horario'!$C$4:$C$73,(IFERROR(VALUE($C24&amp;""),0)+1))))*(NOT(EXACT('Casillas del horario'!$C$4:$C$73,(IFERROR(VALUE($C24&amp;""),0)-1))))))&gt;0))*((ROW('Casillas del horario'!$A$4:$A$73)&lt;&gt;ROW($A24))))&gt;0)),"si","no")</f>
        <v/>
      </c>
      <c r="P24" s="3">
        <f>MID(IF(AND(NOT(($D24="")),(SUMPRODUCT(1*((EXACT('Casillas del horario'!$B$4:$B$73,$B24)))*((EXACT('Casillas del horario'!$C$4:$C$73,$C24)))*((EXACT('Casillas del horario'!$F$4:$F$73,$F24)))*((ROW('Casillas del horario'!$A$4:$A$73)&lt;&gt;ROW($A24))))&gt;0)),"; "&amp;"Este profesor ya da clase a otro grupo en este mismo turno","")&amp;IF(AND(NOT(($D24="")),(SUMPRODUCT(1*((EXACT('Casillas del horario'!$B$4:$B$73,$B24)))*((EXACT('Casillas del horario'!$C$4:$C$73,$C24)))*((EXACT('Casillas del horario'!$H$4:$H$73,$H24)))*((ROW('Casillas del horario'!$A$4:$A$73)&lt;&gt;ROW($A24))))&gt;0)),"; "&amp;"Ese local esta ocupado por otro grupo a esa hora","")&amp;IF(EXACT($O24,"si"),"; "&amp;IF(ISNUMBER(IF(EXACT($I24,"no"),"Esta asignatura no admite turno doble y repite el dia en este grupo","Esta asignatura repite el dia en este grupo sin ser en turnos seguidos")),IF(IF(EXACT($I24,"no"),"Esta asignatura no admite turno doble y repite el dia en este grupo","Esta asignatura repite el dia en este grupo sin ser en turnos seguidos")=0,"0",ROUND(IF(EXACT($I24,"no"),"Esta asignatura no admite turno doble y repite el dia en este grupo","Esta asignatura repite el dia en este grupo sin ser en turnos seguidos"),9-INT(LOG10(ABS(IF(EXACT($I24,"no"),"Esta asignatura no admite turno doble y repite el dia en este grupo","Esta asignatura repite el dia en este grupo sin ser en turnos seguidos")))))&amp;""),IF(EXACT($I24,"no"),"Esta asignatura no admite turno doble y repite el dia en este grupo","Esta asignatura repite el dia en este grupo sin ser en turnos seguidos")&amp;""),"")&amp;IF(AND(NOT(($D24="")),EXACT($B24,$K24)),"; "&amp;"Es el dia de preparacion de la asignatura","")&amp;IF(AND(EXACT($D24,"EF"),(IFERROR(VALUE($C24&amp;""),0)&gt;3)),"; "&amp;"Educacion Fisica no puede caer despues del tercer turno","")&amp;IF(AND(NOT(($D24="")),EXACT($J24,"no"),(IFERROR(VALUE($C24&amp;""),0)&gt;6)),"; "&amp;"Esta asignatura no admite turnos de tarde","")&amp;IF(AND(NOT(($D24="")),EXACT($L24,"si"),EXACT($N24,"no")),"; "&amp;"Este profesor esta contratado y no asiste al centro este dia","")&amp;IF(AND(NOT(($D24="")),EXACT($M24,"si"),EXACT($C24,1)),"; "&amp;"Se preferiria no darle el primer turno a un profesor que vive lejos","")&amp;IF(($D24=""),"; "&amp;"Turno sin asignar",""),3,32767)</f>
        <v/>
      </c>
      <c r="Q24" s="3">
        <f>IF(OR(AND(NOT(($D24="")),(SUMPRODUCT(1*((EXACT('Casillas del horario'!$B$4:$B$73,$B24)))*((EXACT('Casillas del horario'!$C$4:$C$73,$C24)))*((EXACT('Casillas del horario'!$F$4:$F$73,$F24)))*((ROW('Casillas del horario'!$A$4:$A$73)&lt;&gt;ROW($A24))))&gt;0)),AND(NOT(($D24="")),(SUMPRODUCT(1*((EXACT('Casillas del horario'!$B$4:$B$73,$B24)))*((EXACT('Casillas del horario'!$C$4:$C$73,$C24)))*((EXACT('Casillas del horario'!$H$4:$H$73,$H24)))*((ROW('Casillas del horario'!$A$4:$A$73)&lt;&gt;ROW($A24))))&gt;0)),EXACT($O24,"si"),AND(NOT(($D24="")),EXACT($B24,$K24)),AND(EXACT($D24,"EF"),(IFERROR(VALUE($C24&amp;""),0)&gt;3)),AND(NOT(($D24="")),EXACT($J24,"no"),(IFERROR(VALUE($C24&amp;""),0)&gt;6)),AND(NOT(($D24="")),EXACT($L24,"si"),EXACT($N24,"no"))),3,IF(OR(AND(NOT(($D24="")),EXACT($M24,"si"),EXACT($C24,1))),2,IF(OR(($D24="")),1,0)))</f>
        <v/>
      </c>
      <c r="R24" s="3">
        <f>$A24&amp;CHAR(31)&amp;$C24&amp;CHAR(31)&amp;$B24</f>
        <v/>
      </c>
      <c r="S24" s="3">
        <f>$F24&amp;CHAR(31)&amp;$C24&amp;CHAR(31)&amp;$B24</f>
        <v/>
      </c>
      <c r="T24" s="3">
        <f>$H24&amp;CHAR(31)&amp;$C24&amp;CHAR(31)&amp;$B24</f>
        <v/>
      </c>
    </row>
    <row r="25">
      <c r="A25" s="3" t="inlineStr">
        <is>
          <t>10-3</t>
        </is>
      </c>
      <c r="B25" s="3" t="inlineStr">
        <is>
          <t>M</t>
        </is>
      </c>
      <c r="C25" s="3" t="n">
        <v>3</v>
      </c>
      <c r="D25" s="4" t="inlineStr">
        <is>
          <t>CP</t>
        </is>
      </c>
      <c r="E25" s="3">
        <f>IF(ISNA(MATCH(1,INDEX(EXACT('Asignaturas'!$A$4:$A$18,$D25)*1,0),0)),"",IF(ISBLANK(INDEX('Asignaturas'!$B$4:$B$18,MATCH(1,INDEX(EXACT('Asignaturas'!$A$4:$A$18,$D25)*1,0),0))),"",INDEX('Asignaturas'!$B$4:$B$18,MATCH(1,INDEX(EXACT('Asignaturas'!$A$4:$A$18,$D25)*1,0),0))))</f>
        <v/>
      </c>
      <c r="F25" s="3">
        <f>IF(ISNA(MATCH(1,INDEX(1*(EXACT('Frecuencias por grupo'!$A$4:$A$33,$A25))*(EXACT('Frecuencias por grupo'!$B$4:$B$33,$D25)),0),0)),"",IF(ISBLANK(INDEX('Frecuencias por grupo'!$C$4:$C$33,MATCH(1,INDEX(1*(EXACT('Frecuencias por grupo'!$A$4:$A$33,$A25))*(EXACT('Frecuencias por grupo'!$B$4:$B$33,$D25)),0),0))),"",INDEX('Frecuencias por grupo'!$C$4:$C$33,MATCH(1,INDEX(1*(EXACT('Frecuencias por grupo'!$A$4:$A$33,$A25))*(EXACT('Frecuencias por grupo'!$B$4:$B$33,$D25)),0),0))))</f>
        <v/>
      </c>
      <c r="G25" s="3">
        <f>IF(ISNA(MATCH(1,INDEX(EXACT('Asignaturas'!$A$4:$A$18,$D25)*1,0),0)),"",IF(ISBLANK(INDEX('Asignaturas'!$G$4:$G$18,MATCH(1,INDEX(EXACT('Asignaturas'!$A$4:$A$18,$D25)*1,0),0))),"",INDEX('Asignaturas'!$G$4:$G$18,MATCH(1,INDEX(EXACT('Asignaturas'!$A$4:$A$18,$D25)*1,0),0))))</f>
        <v/>
      </c>
      <c r="H25" s="3">
        <f>IF(($D25=""),"",IF(($G25=""),("Aula "&amp;IF(ISNUMBER($A25),IF($A25=0,"0",ROUND($A25,9-INT(LOG10(ABS($A25))))&amp;""),$A25&amp;"")),$G25))</f>
        <v/>
      </c>
      <c r="I25" s="3">
        <f>IF(ISNA(MATCH(1,INDEX(EXACT('Asignaturas'!$A$4:$A$18,$D25)*1,0),0)),"no",IF(ISBLANK(INDEX('Asignaturas'!$D$4:$D$18,MATCH(1,INDEX(EXACT('Asignaturas'!$A$4:$A$18,$D25)*1,0),0))),"",INDEX('Asignaturas'!$D$4:$D$18,MATCH(1,INDEX(EXACT('Asignaturas'!$A$4:$A$18,$D25)*1,0),0))))</f>
        <v/>
      </c>
      <c r="J25" s="3">
        <f>IF(ISNA(MATCH(1,INDEX(EXACT('Asignaturas'!$A$4:$A$18,$D25)*1,0),0)),"no",IF(ISBLANK(INDEX('Asignaturas'!$E$4:$E$18,MATCH(1,INDEX(EXACT('Asignaturas'!$A$4:$A$18,$D25)*1,0),0))),"",INDEX('Asignaturas'!$E$4:$E$18,MATCH(1,INDEX(EXACT('Asignaturas'!$A$4:$A$18,$D25)*1,0),0))))</f>
        <v/>
      </c>
      <c r="K25" s="3">
        <f>IF(ISNA(MATCH(1,INDEX(EXACT('Asignaturas'!$A$4:$A$18,$D25)*1,0),0)),"",IF(ISBLANK(INDEX('Asignaturas'!$F$4:$F$18,MATCH(1,INDEX(EXACT('Asignaturas'!$A$4:$A$18,$D25)*1,0),0))),"",INDEX('Asignaturas'!$F$4:$F$18,MATCH(1,INDEX(EXACT('Asignaturas'!$A$4:$A$18,$D25)*1,0),0))))</f>
        <v/>
      </c>
      <c r="L25" s="3">
        <f>IF(ISNA(MATCH(1,INDEX(EXACT('Profesores'!$A$4:$A$33,$F25)*1,0),0)),"no",IF(ISBLANK(INDEX('Profesores'!$B$4:$B$33,MATCH(1,INDEX(EXACT('Profesores'!$A$4:$A$33,$F25)*1,0),0))),"",INDEX('Profesores'!$B$4:$B$33,MATCH(1,INDEX(EXACT('Profesores'!$A$4:$A$33,$F25)*1,0),0))))</f>
        <v/>
      </c>
      <c r="M25" s="3">
        <f>IF(ISNA(MATCH(1,INDEX(EXACT('Profesores'!$A$4:$A$33,$F25)*1,0),0)),"no",IF(ISBLANK(INDEX('Profesores'!$C$4:$C$33,MATCH(1,INDEX(EXACT('Profesores'!$A$4:$A$33,$F25)*1,0),0))),"",INDEX('Profesores'!$C$4:$C$33,MATCH(1,INDEX(EXACT('Profesores'!$A$4:$A$33,$F25)*1,0),0))))</f>
        <v/>
      </c>
      <c r="N25" s="3">
        <f>IF(ISNA(MATCH(1,INDEX(1*((('Dias que asisten los contratado'!$A$4:$A$4&lt;&gt;"")+('Dias que asisten los contratado'!$B$4:$B$4&lt;&gt;""))&gt;0)*(EXACT('Dias que asisten los contratado'!$A$4:$A$4,$F25))*(EXACT('Dias que asisten los contratado'!$B$4:$B$4,$B25)),0),0)),"no",IF(ISBLANK(INDEX('Dias que asisten los contratado'!$C$4:$C$4,MATCH(1,INDEX(1*((('Dias que asisten los contratado'!$A$4:$A$4&lt;&gt;"")+('Dias que asisten los contratado'!$B$4:$B$4&lt;&gt;""))&gt;0)*(EXACT('Dias que asisten los contratado'!$A$4:$A$4,$F25))*(EXACT('Dias que asisten los contratado'!$B$4:$B$4,$B25)),0),0))),"",INDEX('Dias que asisten los contratado'!$C$4:$C$4,MATCH(1,INDEX(1*((('Dias que asisten los contratado'!$A$4:$A$4&lt;&gt;"")+('Dias que asisten los contratado'!$B$4:$B$4&lt;&gt;""))&gt;0)*(EXACT('Dias que asisten los contratado'!$A$4:$A$4,$F25))*(EXACT('Dias que asisten los contratado'!$B$4:$B$4,$B25)),0),0))))</f>
        <v/>
      </c>
      <c r="O25" s="3">
        <f>IF(AND(NOT(($D25="")),(SUMPRODUCT(1*((EXACT('Casillas del horario'!$A$4:$A$73,$A25)))*((EXACT('Casillas del horario'!$B$4:$B$73,$B25)))*((EXACT('Casillas del horario'!$D$4:$D$73,$D25)))*(((((EXACT($I25,"no")))+((NOT(EXACT('Casillas del horario'!$C$4:$C$73,(IFERROR(VALUE($C25&amp;""),0)+1))))*(NOT(EXACT('Casillas del horario'!$C$4:$C$73,(IFERROR(VALUE($C25&amp;""),0)-1))))))&gt;0))*((ROW('Casillas del horario'!$A$4:$A$73)&lt;&gt;ROW($A25))))&gt;0)),"si","no")</f>
        <v/>
      </c>
      <c r="P25" s="3">
        <f>MID(IF(AND(NOT(($D25="")),(SUMPRODUCT(1*((EXACT('Casillas del horario'!$B$4:$B$73,$B25)))*((EXACT('Casillas del horario'!$C$4:$C$73,$C25)))*((EXACT('Casillas del horario'!$F$4:$F$73,$F25)))*((ROW('Casillas del horario'!$A$4:$A$73)&lt;&gt;ROW($A25))))&gt;0)),"; "&amp;"Este profesor ya da clase a otro grupo en este mismo turno","")&amp;IF(AND(NOT(($D25="")),(SUMPRODUCT(1*((EXACT('Casillas del horario'!$B$4:$B$73,$B25)))*((EXACT('Casillas del horario'!$C$4:$C$73,$C25)))*((EXACT('Casillas del horario'!$H$4:$H$73,$H25)))*((ROW('Casillas del horario'!$A$4:$A$73)&lt;&gt;ROW($A25))))&gt;0)),"; "&amp;"Ese local esta ocupado por otro grupo a esa hora","")&amp;IF(EXACT($O25,"si"),"; "&amp;IF(ISNUMBER(IF(EXACT($I25,"no"),"Esta asignatura no admite turno doble y repite el dia en este grupo","Esta asignatura repite el dia en este grupo sin ser en turnos seguidos")),IF(IF(EXACT($I25,"no"),"Esta asignatura no admite turno doble y repite el dia en este grupo","Esta asignatura repite el dia en este grupo sin ser en turnos seguidos")=0,"0",ROUND(IF(EXACT($I25,"no"),"Esta asignatura no admite turno doble y repite el dia en este grupo","Esta asignatura repite el dia en este grupo sin ser en turnos seguidos"),9-INT(LOG10(ABS(IF(EXACT($I25,"no"),"Esta asignatura no admite turno doble y repite el dia en este grupo","Esta asignatura repite el dia en este grupo sin ser en turnos seguidos")))))&amp;""),IF(EXACT($I25,"no"),"Esta asignatura no admite turno doble y repite el dia en este grupo","Esta asignatura repite el dia en este grupo sin ser en turnos seguidos")&amp;""),"")&amp;IF(AND(NOT(($D25="")),EXACT($B25,$K25)),"; "&amp;"Es el dia de preparacion de la asignatura","")&amp;IF(AND(EXACT($D25,"EF"),(IFERROR(VALUE($C25&amp;""),0)&gt;3)),"; "&amp;"Educacion Fisica no puede caer despues del tercer turno","")&amp;IF(AND(NOT(($D25="")),EXACT($J25,"no"),(IFERROR(VALUE($C25&amp;""),0)&gt;6)),"; "&amp;"Esta asignatura no admite turnos de tarde","")&amp;IF(AND(NOT(($D25="")),EXACT($L25,"si"),EXACT($N25,"no")),"; "&amp;"Este profesor esta contratado y no asiste al centro este dia","")&amp;IF(AND(NOT(($D25="")),EXACT($M25,"si"),EXACT($C25,1)),"; "&amp;"Se preferiria no darle el primer turno a un profesor que vive lejos","")&amp;IF(($D25=""),"; "&amp;"Turno sin asignar",""),3,32767)</f>
        <v/>
      </c>
      <c r="Q25" s="3">
        <f>IF(OR(AND(NOT(($D25="")),(SUMPRODUCT(1*((EXACT('Casillas del horario'!$B$4:$B$73,$B25)))*((EXACT('Casillas del horario'!$C$4:$C$73,$C25)))*((EXACT('Casillas del horario'!$F$4:$F$73,$F25)))*((ROW('Casillas del horario'!$A$4:$A$73)&lt;&gt;ROW($A25))))&gt;0)),AND(NOT(($D25="")),(SUMPRODUCT(1*((EXACT('Casillas del horario'!$B$4:$B$73,$B25)))*((EXACT('Casillas del horario'!$C$4:$C$73,$C25)))*((EXACT('Casillas del horario'!$H$4:$H$73,$H25)))*((ROW('Casillas del horario'!$A$4:$A$73)&lt;&gt;ROW($A25))))&gt;0)),EXACT($O25,"si"),AND(NOT(($D25="")),EXACT($B25,$K25)),AND(EXACT($D25,"EF"),(IFERROR(VALUE($C25&amp;""),0)&gt;3)),AND(NOT(($D25="")),EXACT($J25,"no"),(IFERROR(VALUE($C25&amp;""),0)&gt;6)),AND(NOT(($D25="")),EXACT($L25,"si"),EXACT($N25,"no"))),3,IF(OR(AND(NOT(($D25="")),EXACT($M25,"si"),EXACT($C25,1))),2,IF(OR(($D25="")),1,0)))</f>
        <v/>
      </c>
      <c r="R25" s="3">
        <f>$A25&amp;CHAR(31)&amp;$C25&amp;CHAR(31)&amp;$B25</f>
        <v/>
      </c>
      <c r="S25" s="3">
        <f>$F25&amp;CHAR(31)&amp;$C25&amp;CHAR(31)&amp;$B25</f>
        <v/>
      </c>
      <c r="T25" s="3">
        <f>$H25&amp;CHAR(31)&amp;$C25&amp;CHAR(31)&amp;$B25</f>
        <v/>
      </c>
    </row>
    <row r="26">
      <c r="A26" s="3" t="inlineStr">
        <is>
          <t>10-3</t>
        </is>
      </c>
      <c r="B26" s="3" t="inlineStr">
        <is>
          <t>MI</t>
        </is>
      </c>
      <c r="C26" s="3" t="n">
        <v>3</v>
      </c>
      <c r="D26" s="4" t="inlineStr">
        <is>
          <t>M</t>
        </is>
      </c>
      <c r="E26" s="3">
        <f>IF(ISNA(MATCH(1,INDEX(EXACT('Asignaturas'!$A$4:$A$18,$D26)*1,0),0)),"",IF(ISBLANK(INDEX('Asignaturas'!$B$4:$B$18,MATCH(1,INDEX(EXACT('Asignaturas'!$A$4:$A$18,$D26)*1,0),0))),"",INDEX('Asignaturas'!$B$4:$B$18,MATCH(1,INDEX(EXACT('Asignaturas'!$A$4:$A$18,$D26)*1,0),0))))</f>
        <v/>
      </c>
      <c r="F26" s="3">
        <f>IF(ISNA(MATCH(1,INDEX(1*(EXACT('Frecuencias por grupo'!$A$4:$A$33,$A26))*(EXACT('Frecuencias por grupo'!$B$4:$B$33,$D26)),0),0)),"",IF(ISBLANK(INDEX('Frecuencias por grupo'!$C$4:$C$33,MATCH(1,INDEX(1*(EXACT('Frecuencias por grupo'!$A$4:$A$33,$A26))*(EXACT('Frecuencias por grupo'!$B$4:$B$33,$D26)),0),0))),"",INDEX('Frecuencias por grupo'!$C$4:$C$33,MATCH(1,INDEX(1*(EXACT('Frecuencias por grupo'!$A$4:$A$33,$A26))*(EXACT('Frecuencias por grupo'!$B$4:$B$33,$D26)),0),0))))</f>
        <v/>
      </c>
      <c r="G26" s="3">
        <f>IF(ISNA(MATCH(1,INDEX(EXACT('Asignaturas'!$A$4:$A$18,$D26)*1,0),0)),"",IF(ISBLANK(INDEX('Asignaturas'!$G$4:$G$18,MATCH(1,INDEX(EXACT('Asignaturas'!$A$4:$A$18,$D26)*1,0),0))),"",INDEX('Asignaturas'!$G$4:$G$18,MATCH(1,INDEX(EXACT('Asignaturas'!$A$4:$A$18,$D26)*1,0),0))))</f>
        <v/>
      </c>
      <c r="H26" s="3">
        <f>IF(($D26=""),"",IF(($G26=""),("Aula "&amp;IF(ISNUMBER($A26),IF($A26=0,"0",ROUND($A26,9-INT(LOG10(ABS($A26))))&amp;""),$A26&amp;"")),$G26))</f>
        <v/>
      </c>
      <c r="I26" s="3">
        <f>IF(ISNA(MATCH(1,INDEX(EXACT('Asignaturas'!$A$4:$A$18,$D26)*1,0),0)),"no",IF(ISBLANK(INDEX('Asignaturas'!$D$4:$D$18,MATCH(1,INDEX(EXACT('Asignaturas'!$A$4:$A$18,$D26)*1,0),0))),"",INDEX('Asignaturas'!$D$4:$D$18,MATCH(1,INDEX(EXACT('Asignaturas'!$A$4:$A$18,$D26)*1,0),0))))</f>
        <v/>
      </c>
      <c r="J26" s="3">
        <f>IF(ISNA(MATCH(1,INDEX(EXACT('Asignaturas'!$A$4:$A$18,$D26)*1,0),0)),"no",IF(ISBLANK(INDEX('Asignaturas'!$E$4:$E$18,MATCH(1,INDEX(EXACT('Asignaturas'!$A$4:$A$18,$D26)*1,0),0))),"",INDEX('Asignaturas'!$E$4:$E$18,MATCH(1,INDEX(EXACT('Asignaturas'!$A$4:$A$18,$D26)*1,0),0))))</f>
        <v/>
      </c>
      <c r="K26" s="3">
        <f>IF(ISNA(MATCH(1,INDEX(EXACT('Asignaturas'!$A$4:$A$18,$D26)*1,0),0)),"",IF(ISBLANK(INDEX('Asignaturas'!$F$4:$F$18,MATCH(1,INDEX(EXACT('Asignaturas'!$A$4:$A$18,$D26)*1,0),0))),"",INDEX('Asignaturas'!$F$4:$F$18,MATCH(1,INDEX(EXACT('Asignaturas'!$A$4:$A$18,$D26)*1,0),0))))</f>
        <v/>
      </c>
      <c r="L26" s="3">
        <f>IF(ISNA(MATCH(1,INDEX(EXACT('Profesores'!$A$4:$A$33,$F26)*1,0),0)),"no",IF(ISBLANK(INDEX('Profesores'!$B$4:$B$33,MATCH(1,INDEX(EXACT('Profesores'!$A$4:$A$33,$F26)*1,0),0))),"",INDEX('Profesores'!$B$4:$B$33,MATCH(1,INDEX(EXACT('Profesores'!$A$4:$A$33,$F26)*1,0),0))))</f>
        <v/>
      </c>
      <c r="M26" s="3">
        <f>IF(ISNA(MATCH(1,INDEX(EXACT('Profesores'!$A$4:$A$33,$F26)*1,0),0)),"no",IF(ISBLANK(INDEX('Profesores'!$C$4:$C$33,MATCH(1,INDEX(EXACT('Profesores'!$A$4:$A$33,$F26)*1,0),0))),"",INDEX('Profesores'!$C$4:$C$33,MATCH(1,INDEX(EXACT('Profesores'!$A$4:$A$33,$F26)*1,0),0))))</f>
        <v/>
      </c>
      <c r="N26" s="3">
        <f>IF(ISNA(MATCH(1,INDEX(1*((('Dias que asisten los contratado'!$A$4:$A$4&lt;&gt;"")+('Dias que asisten los contratado'!$B$4:$B$4&lt;&gt;""))&gt;0)*(EXACT('Dias que asisten los contratado'!$A$4:$A$4,$F26))*(EXACT('Dias que asisten los contratado'!$B$4:$B$4,$B26)),0),0)),"no",IF(ISBLANK(INDEX('Dias que asisten los contratado'!$C$4:$C$4,MATCH(1,INDEX(1*((('Dias que asisten los contratado'!$A$4:$A$4&lt;&gt;"")+('Dias que asisten los contratado'!$B$4:$B$4&lt;&gt;""))&gt;0)*(EXACT('Dias que asisten los contratado'!$A$4:$A$4,$F26))*(EXACT('Dias que asisten los contratado'!$B$4:$B$4,$B26)),0),0))),"",INDEX('Dias que asisten los contratado'!$C$4:$C$4,MATCH(1,INDEX(1*((('Dias que asisten los contratado'!$A$4:$A$4&lt;&gt;"")+('Dias que asisten los contratado'!$B$4:$B$4&lt;&gt;""))&gt;0)*(EXACT('Dias que asisten los contratado'!$A$4:$A$4,$F26))*(EXACT('Dias que asisten los contratado'!$B$4:$B$4,$B26)),0),0))))</f>
        <v/>
      </c>
      <c r="O26" s="3">
        <f>IF(AND(NOT(($D26="")),(SUMPRODUCT(1*((EXACT('Casillas del horario'!$A$4:$A$73,$A26)))*((EXACT('Casillas del horario'!$B$4:$B$73,$B26)))*((EXACT('Casillas del horario'!$D$4:$D$73,$D26)))*(((((EXACT($I26,"no")))+((NOT(EXACT('Casillas del horario'!$C$4:$C$73,(IFERROR(VALUE($C26&amp;""),0)+1))))*(NOT(EXACT('Casillas del horario'!$C$4:$C$73,(IFERROR(VALUE($C26&amp;""),0)-1))))))&gt;0))*((ROW('Casillas del horario'!$A$4:$A$73)&lt;&gt;ROW($A26))))&gt;0)),"si","no")</f>
        <v/>
      </c>
      <c r="P26" s="3">
        <f>MID(IF(AND(NOT(($D26="")),(SUMPRODUCT(1*((EXACT('Casillas del horario'!$B$4:$B$73,$B26)))*((EXACT('Casillas del horario'!$C$4:$C$73,$C26)))*((EXACT('Casillas del horario'!$F$4:$F$73,$F26)))*((ROW('Casillas del horario'!$A$4:$A$73)&lt;&gt;ROW($A26))))&gt;0)),"; "&amp;"Este profesor ya da clase a otro grupo en este mismo turno","")&amp;IF(AND(NOT(($D26="")),(SUMPRODUCT(1*((EXACT('Casillas del horario'!$B$4:$B$73,$B26)))*((EXACT('Casillas del horario'!$C$4:$C$73,$C26)))*((EXACT('Casillas del horario'!$H$4:$H$73,$H26)))*((ROW('Casillas del horario'!$A$4:$A$73)&lt;&gt;ROW($A26))))&gt;0)),"; "&amp;"Ese local esta ocupado por otro grupo a esa hora","")&amp;IF(EXACT($O26,"si"),"; "&amp;IF(ISNUMBER(IF(EXACT($I26,"no"),"Esta asignatura no admite turno doble y repite el dia en este grupo","Esta asignatura repite el dia en este grupo sin ser en turnos seguidos")),IF(IF(EXACT($I26,"no"),"Esta asignatura no admite turno doble y repite el dia en este grupo","Esta asignatura repite el dia en este grupo sin ser en turnos seguidos")=0,"0",ROUND(IF(EXACT($I26,"no"),"Esta asignatura no admite turno doble y repite el dia en este grupo","Esta asignatura repite el dia en este grupo sin ser en turnos seguidos"),9-INT(LOG10(ABS(IF(EXACT($I26,"no"),"Esta asignatura no admite turno doble y repite el dia en este grupo","Esta asignatura repite el dia en este grupo sin ser en turnos seguidos")))))&amp;""),IF(EXACT($I26,"no"),"Esta asignatura no admite turno doble y repite el dia en este grupo","Esta asignatura repite el dia en este grupo sin ser en turnos seguidos")&amp;""),"")&amp;IF(AND(NOT(($D26="")),EXACT($B26,$K26)),"; "&amp;"Es el dia de preparacion de la asignatura","")&amp;IF(AND(EXACT($D26,"EF"),(IFERROR(VALUE($C26&amp;""),0)&gt;3)),"; "&amp;"Educacion Fisica no puede caer despues del tercer turno","")&amp;IF(AND(NOT(($D26="")),EXACT($J26,"no"),(IFERROR(VALUE($C26&amp;""),0)&gt;6)),"; "&amp;"Esta asignatura no admite turnos de tarde","")&amp;IF(AND(NOT(($D26="")),EXACT($L26,"si"),EXACT($N26,"no")),"; "&amp;"Este profesor esta contratado y no asiste al centro este dia","")&amp;IF(AND(NOT(($D26="")),EXACT($M26,"si"),EXACT($C26,1)),"; "&amp;"Se preferiria no darle el primer turno a un profesor que vive lejos","")&amp;IF(($D26=""),"; "&amp;"Turno sin asignar",""),3,32767)</f>
        <v/>
      </c>
      <c r="Q26" s="3">
        <f>IF(OR(AND(NOT(($D26="")),(SUMPRODUCT(1*((EXACT('Casillas del horario'!$B$4:$B$73,$B26)))*((EXACT('Casillas del horario'!$C$4:$C$73,$C26)))*((EXACT('Casillas del horario'!$F$4:$F$73,$F26)))*((ROW('Casillas del horario'!$A$4:$A$73)&lt;&gt;ROW($A26))))&gt;0)),AND(NOT(($D26="")),(SUMPRODUCT(1*((EXACT('Casillas del horario'!$B$4:$B$73,$B26)))*((EXACT('Casillas del horario'!$C$4:$C$73,$C26)))*((EXACT('Casillas del horario'!$H$4:$H$73,$H26)))*((ROW('Casillas del horario'!$A$4:$A$73)&lt;&gt;ROW($A26))))&gt;0)),EXACT($O26,"si"),AND(NOT(($D26="")),EXACT($B26,$K26)),AND(EXACT($D26,"EF"),(IFERROR(VALUE($C26&amp;""),0)&gt;3)),AND(NOT(($D26="")),EXACT($J26,"no"),(IFERROR(VALUE($C26&amp;""),0)&gt;6)),AND(NOT(($D26="")),EXACT($L26,"si"),EXACT($N26,"no"))),3,IF(OR(AND(NOT(($D26="")),EXACT($M26,"si"),EXACT($C26,1))),2,IF(OR(($D26="")),1,0)))</f>
        <v/>
      </c>
      <c r="R26" s="3">
        <f>$A26&amp;CHAR(31)&amp;$C26&amp;CHAR(31)&amp;$B26</f>
        <v/>
      </c>
      <c r="S26" s="3">
        <f>$F26&amp;CHAR(31)&amp;$C26&amp;CHAR(31)&amp;$B26</f>
        <v/>
      </c>
      <c r="T26" s="3">
        <f>$H26&amp;CHAR(31)&amp;$C26&amp;CHAR(31)&amp;$B26</f>
        <v/>
      </c>
    </row>
    <row r="27">
      <c r="A27" s="3" t="inlineStr">
        <is>
          <t>10-3</t>
        </is>
      </c>
      <c r="B27" s="3" t="inlineStr">
        <is>
          <t>J</t>
        </is>
      </c>
      <c r="C27" s="3" t="n">
        <v>3</v>
      </c>
      <c r="D27" s="4" t="inlineStr">
        <is>
          <t>Lit-L</t>
        </is>
      </c>
      <c r="E27" s="3">
        <f>IF(ISNA(MATCH(1,INDEX(EXACT('Asignaturas'!$A$4:$A$18,$D27)*1,0),0)),"",IF(ISBLANK(INDEX('Asignaturas'!$B$4:$B$18,MATCH(1,INDEX(EXACT('Asignaturas'!$A$4:$A$18,$D27)*1,0),0))),"",INDEX('Asignaturas'!$B$4:$B$18,MATCH(1,INDEX(EXACT('Asignaturas'!$A$4:$A$18,$D27)*1,0),0))))</f>
        <v/>
      </c>
      <c r="F27" s="3">
        <f>IF(ISNA(MATCH(1,INDEX(1*(EXACT('Frecuencias por grupo'!$A$4:$A$33,$A27))*(EXACT('Frecuencias por grupo'!$B$4:$B$33,$D27)),0),0)),"",IF(ISBLANK(INDEX('Frecuencias por grupo'!$C$4:$C$33,MATCH(1,INDEX(1*(EXACT('Frecuencias por grupo'!$A$4:$A$33,$A27))*(EXACT('Frecuencias por grupo'!$B$4:$B$33,$D27)),0),0))),"",INDEX('Frecuencias por grupo'!$C$4:$C$33,MATCH(1,INDEX(1*(EXACT('Frecuencias por grupo'!$A$4:$A$33,$A27))*(EXACT('Frecuencias por grupo'!$B$4:$B$33,$D27)),0),0))))</f>
        <v/>
      </c>
      <c r="G27" s="3">
        <f>IF(ISNA(MATCH(1,INDEX(EXACT('Asignaturas'!$A$4:$A$18,$D27)*1,0),0)),"",IF(ISBLANK(INDEX('Asignaturas'!$G$4:$G$18,MATCH(1,INDEX(EXACT('Asignaturas'!$A$4:$A$18,$D27)*1,0),0))),"",INDEX('Asignaturas'!$G$4:$G$18,MATCH(1,INDEX(EXACT('Asignaturas'!$A$4:$A$18,$D27)*1,0),0))))</f>
        <v/>
      </c>
      <c r="H27" s="3">
        <f>IF(($D27=""),"",IF(($G27=""),("Aula "&amp;IF(ISNUMBER($A27),IF($A27=0,"0",ROUND($A27,9-INT(LOG10(ABS($A27))))&amp;""),$A27&amp;"")),$G27))</f>
        <v/>
      </c>
      <c r="I27" s="3">
        <f>IF(ISNA(MATCH(1,INDEX(EXACT('Asignaturas'!$A$4:$A$18,$D27)*1,0),0)),"no",IF(ISBLANK(INDEX('Asignaturas'!$D$4:$D$18,MATCH(1,INDEX(EXACT('Asignaturas'!$A$4:$A$18,$D27)*1,0),0))),"",INDEX('Asignaturas'!$D$4:$D$18,MATCH(1,INDEX(EXACT('Asignaturas'!$A$4:$A$18,$D27)*1,0),0))))</f>
        <v/>
      </c>
      <c r="J27" s="3">
        <f>IF(ISNA(MATCH(1,INDEX(EXACT('Asignaturas'!$A$4:$A$18,$D27)*1,0),0)),"no",IF(ISBLANK(INDEX('Asignaturas'!$E$4:$E$18,MATCH(1,INDEX(EXACT('Asignaturas'!$A$4:$A$18,$D27)*1,0),0))),"",INDEX('Asignaturas'!$E$4:$E$18,MATCH(1,INDEX(EXACT('Asignaturas'!$A$4:$A$18,$D27)*1,0),0))))</f>
        <v/>
      </c>
      <c r="K27" s="3">
        <f>IF(ISNA(MATCH(1,INDEX(EXACT('Asignaturas'!$A$4:$A$18,$D27)*1,0),0)),"",IF(ISBLANK(INDEX('Asignaturas'!$F$4:$F$18,MATCH(1,INDEX(EXACT('Asignaturas'!$A$4:$A$18,$D27)*1,0),0))),"",INDEX('Asignaturas'!$F$4:$F$18,MATCH(1,INDEX(EXACT('Asignaturas'!$A$4:$A$18,$D27)*1,0),0))))</f>
        <v/>
      </c>
      <c r="L27" s="3">
        <f>IF(ISNA(MATCH(1,INDEX(EXACT('Profesores'!$A$4:$A$33,$F27)*1,0),0)),"no",IF(ISBLANK(INDEX('Profesores'!$B$4:$B$33,MATCH(1,INDEX(EXACT('Profesores'!$A$4:$A$33,$F27)*1,0),0))),"",INDEX('Profesores'!$B$4:$B$33,MATCH(1,INDEX(EXACT('Profesores'!$A$4:$A$33,$F27)*1,0),0))))</f>
        <v/>
      </c>
      <c r="M27" s="3">
        <f>IF(ISNA(MATCH(1,INDEX(EXACT('Profesores'!$A$4:$A$33,$F27)*1,0),0)),"no",IF(ISBLANK(INDEX('Profesores'!$C$4:$C$33,MATCH(1,INDEX(EXACT('Profesores'!$A$4:$A$33,$F27)*1,0),0))),"",INDEX('Profesores'!$C$4:$C$33,MATCH(1,INDEX(EXACT('Profesores'!$A$4:$A$33,$F27)*1,0),0))))</f>
        <v/>
      </c>
      <c r="N27" s="3">
        <f>IF(ISNA(MATCH(1,INDEX(1*((('Dias que asisten los contratado'!$A$4:$A$4&lt;&gt;"")+('Dias que asisten los contratado'!$B$4:$B$4&lt;&gt;""))&gt;0)*(EXACT('Dias que asisten los contratado'!$A$4:$A$4,$F27))*(EXACT('Dias que asisten los contratado'!$B$4:$B$4,$B27)),0),0)),"no",IF(ISBLANK(INDEX('Dias que asisten los contratado'!$C$4:$C$4,MATCH(1,INDEX(1*((('Dias que asisten los contratado'!$A$4:$A$4&lt;&gt;"")+('Dias que asisten los contratado'!$B$4:$B$4&lt;&gt;""))&gt;0)*(EXACT('Dias que asisten los contratado'!$A$4:$A$4,$F27))*(EXACT('Dias que asisten los contratado'!$B$4:$B$4,$B27)),0),0))),"",INDEX('Dias que asisten los contratado'!$C$4:$C$4,MATCH(1,INDEX(1*((('Dias que asisten los contratado'!$A$4:$A$4&lt;&gt;"")+('Dias que asisten los contratado'!$B$4:$B$4&lt;&gt;""))&gt;0)*(EXACT('Dias que asisten los contratado'!$A$4:$A$4,$F27))*(EXACT('Dias que asisten los contratado'!$B$4:$B$4,$B27)),0),0))))</f>
        <v/>
      </c>
      <c r="O27" s="3">
        <f>IF(AND(NOT(($D27="")),(SUMPRODUCT(1*((EXACT('Casillas del horario'!$A$4:$A$73,$A27)))*((EXACT('Casillas del horario'!$B$4:$B$73,$B27)))*((EXACT('Casillas del horario'!$D$4:$D$73,$D27)))*(((((EXACT($I27,"no")))+((NOT(EXACT('Casillas del horario'!$C$4:$C$73,(IFERROR(VALUE($C27&amp;""),0)+1))))*(NOT(EXACT('Casillas del horario'!$C$4:$C$73,(IFERROR(VALUE($C27&amp;""),0)-1))))))&gt;0))*((ROW('Casillas del horario'!$A$4:$A$73)&lt;&gt;ROW($A27))))&gt;0)),"si","no")</f>
        <v/>
      </c>
      <c r="P27" s="3">
        <f>MID(IF(AND(NOT(($D27="")),(SUMPRODUCT(1*((EXACT('Casillas del horario'!$B$4:$B$73,$B27)))*((EXACT('Casillas del horario'!$C$4:$C$73,$C27)))*((EXACT('Casillas del horario'!$F$4:$F$73,$F27)))*((ROW('Casillas del horario'!$A$4:$A$73)&lt;&gt;ROW($A27))))&gt;0)),"; "&amp;"Este profesor ya da clase a otro grupo en este mismo turno","")&amp;IF(AND(NOT(($D27="")),(SUMPRODUCT(1*((EXACT('Casillas del horario'!$B$4:$B$73,$B27)))*((EXACT('Casillas del horario'!$C$4:$C$73,$C27)))*((EXACT('Casillas del horario'!$H$4:$H$73,$H27)))*((ROW('Casillas del horario'!$A$4:$A$73)&lt;&gt;ROW($A27))))&gt;0)),"; "&amp;"Ese local esta ocupado por otro grupo a esa hora","")&amp;IF(EXACT($O27,"si"),"; "&amp;IF(ISNUMBER(IF(EXACT($I27,"no"),"Esta asignatura no admite turno doble y repite el dia en este grupo","Esta asignatura repite el dia en este grupo sin ser en turnos seguidos")),IF(IF(EXACT($I27,"no"),"Esta asignatura no admite turno doble y repite el dia en este grupo","Esta asignatura repite el dia en este grupo sin ser en turnos seguidos")=0,"0",ROUND(IF(EXACT($I27,"no"),"Esta asignatura no admite turno doble y repite el dia en este grupo","Esta asignatura repite el dia en este grupo sin ser en turnos seguidos"),9-INT(LOG10(ABS(IF(EXACT($I27,"no"),"Esta asignatura no admite turno doble y repite el dia en este grupo","Esta asignatura repite el dia en este grupo sin ser en turnos seguidos")))))&amp;""),IF(EXACT($I27,"no"),"Esta asignatura no admite turno doble y repite el dia en este grupo","Esta asignatura repite el dia en este grupo sin ser en turnos seguidos")&amp;""),"")&amp;IF(AND(NOT(($D27="")),EXACT($B27,$K27)),"; "&amp;"Es el dia de preparacion de la asignatura","")&amp;IF(AND(EXACT($D27,"EF"),(IFERROR(VALUE($C27&amp;""),0)&gt;3)),"; "&amp;"Educacion Fisica no puede caer despues del tercer turno","")&amp;IF(AND(NOT(($D27="")),EXACT($J27,"no"),(IFERROR(VALUE($C27&amp;""),0)&gt;6)),"; "&amp;"Esta asignatura no admite turnos de tarde","")&amp;IF(AND(NOT(($D27="")),EXACT($L27,"si"),EXACT($N27,"no")),"; "&amp;"Este profesor esta contratado y no asiste al centro este dia","")&amp;IF(AND(NOT(($D27="")),EXACT($M27,"si"),EXACT($C27,1)),"; "&amp;"Se preferiria no darle el primer turno a un profesor que vive lejos","")&amp;IF(($D27=""),"; "&amp;"Turno sin asignar",""),3,32767)</f>
        <v/>
      </c>
      <c r="Q27" s="3">
        <f>IF(OR(AND(NOT(($D27="")),(SUMPRODUCT(1*((EXACT('Casillas del horario'!$B$4:$B$73,$B27)))*((EXACT('Casillas del horario'!$C$4:$C$73,$C27)))*((EXACT('Casillas del horario'!$F$4:$F$73,$F27)))*((ROW('Casillas del horario'!$A$4:$A$73)&lt;&gt;ROW($A27))))&gt;0)),AND(NOT(($D27="")),(SUMPRODUCT(1*((EXACT('Casillas del horario'!$B$4:$B$73,$B27)))*((EXACT('Casillas del horario'!$C$4:$C$73,$C27)))*((EXACT('Casillas del horario'!$H$4:$H$73,$H27)))*((ROW('Casillas del horario'!$A$4:$A$73)&lt;&gt;ROW($A27))))&gt;0)),EXACT($O27,"si"),AND(NOT(($D27="")),EXACT($B27,$K27)),AND(EXACT($D27,"EF"),(IFERROR(VALUE($C27&amp;""),0)&gt;3)),AND(NOT(($D27="")),EXACT($J27,"no"),(IFERROR(VALUE($C27&amp;""),0)&gt;6)),AND(NOT(($D27="")),EXACT($L27,"si"),EXACT($N27,"no"))),3,IF(OR(AND(NOT(($D27="")),EXACT($M27,"si"),EXACT($C27,1))),2,IF(OR(($D27="")),1,0)))</f>
        <v/>
      </c>
      <c r="R27" s="3">
        <f>$A27&amp;CHAR(31)&amp;$C27&amp;CHAR(31)&amp;$B27</f>
        <v/>
      </c>
      <c r="S27" s="3">
        <f>$F27&amp;CHAR(31)&amp;$C27&amp;CHAR(31)&amp;$B27</f>
        <v/>
      </c>
      <c r="T27" s="3">
        <f>$H27&amp;CHAR(31)&amp;$C27&amp;CHAR(31)&amp;$B27</f>
        <v/>
      </c>
    </row>
    <row r="28">
      <c r="A28" s="3" t="inlineStr">
        <is>
          <t>10-3</t>
        </is>
      </c>
      <c r="B28" s="3" t="inlineStr">
        <is>
          <t>V</t>
        </is>
      </c>
      <c r="C28" s="3" t="n">
        <v>3</v>
      </c>
      <c r="D28" s="4" t="inlineStr">
        <is>
          <t>Q</t>
        </is>
      </c>
      <c r="E28" s="3">
        <f>IF(ISNA(MATCH(1,INDEX(EXACT('Asignaturas'!$A$4:$A$18,$D28)*1,0),0)),"",IF(ISBLANK(INDEX('Asignaturas'!$B$4:$B$18,MATCH(1,INDEX(EXACT('Asignaturas'!$A$4:$A$18,$D28)*1,0),0))),"",INDEX('Asignaturas'!$B$4:$B$18,MATCH(1,INDEX(EXACT('Asignaturas'!$A$4:$A$18,$D28)*1,0),0))))</f>
        <v/>
      </c>
      <c r="F28" s="3">
        <f>IF(ISNA(MATCH(1,INDEX(1*(EXACT('Frecuencias por grupo'!$A$4:$A$33,$A28))*(EXACT('Frecuencias por grupo'!$B$4:$B$33,$D28)),0),0)),"",IF(ISBLANK(INDEX('Frecuencias por grupo'!$C$4:$C$33,MATCH(1,INDEX(1*(EXACT('Frecuencias por grupo'!$A$4:$A$33,$A28))*(EXACT('Frecuencias por grupo'!$B$4:$B$33,$D28)),0),0))),"",INDEX('Frecuencias por grupo'!$C$4:$C$33,MATCH(1,INDEX(1*(EXACT('Frecuencias por grupo'!$A$4:$A$33,$A28))*(EXACT('Frecuencias por grupo'!$B$4:$B$33,$D28)),0),0))))</f>
        <v/>
      </c>
      <c r="G28" s="3">
        <f>IF(ISNA(MATCH(1,INDEX(EXACT('Asignaturas'!$A$4:$A$18,$D28)*1,0),0)),"",IF(ISBLANK(INDEX('Asignaturas'!$G$4:$G$18,MATCH(1,INDEX(EXACT('Asignaturas'!$A$4:$A$18,$D28)*1,0),0))),"",INDEX('Asignaturas'!$G$4:$G$18,MATCH(1,INDEX(EXACT('Asignaturas'!$A$4:$A$18,$D28)*1,0),0))))</f>
        <v/>
      </c>
      <c r="H28" s="3">
        <f>IF(($D28=""),"",IF(($G28=""),("Aula "&amp;IF(ISNUMBER($A28),IF($A28=0,"0",ROUND($A28,9-INT(LOG10(ABS($A28))))&amp;""),$A28&amp;"")),$G28))</f>
        <v/>
      </c>
      <c r="I28" s="3">
        <f>IF(ISNA(MATCH(1,INDEX(EXACT('Asignaturas'!$A$4:$A$18,$D28)*1,0),0)),"no",IF(ISBLANK(INDEX('Asignaturas'!$D$4:$D$18,MATCH(1,INDEX(EXACT('Asignaturas'!$A$4:$A$18,$D28)*1,0),0))),"",INDEX('Asignaturas'!$D$4:$D$18,MATCH(1,INDEX(EXACT('Asignaturas'!$A$4:$A$18,$D28)*1,0),0))))</f>
        <v/>
      </c>
      <c r="J28" s="3">
        <f>IF(ISNA(MATCH(1,INDEX(EXACT('Asignaturas'!$A$4:$A$18,$D28)*1,0),0)),"no",IF(ISBLANK(INDEX('Asignaturas'!$E$4:$E$18,MATCH(1,INDEX(EXACT('Asignaturas'!$A$4:$A$18,$D28)*1,0),0))),"",INDEX('Asignaturas'!$E$4:$E$18,MATCH(1,INDEX(EXACT('Asignaturas'!$A$4:$A$18,$D28)*1,0),0))))</f>
        <v/>
      </c>
      <c r="K28" s="3">
        <f>IF(ISNA(MATCH(1,INDEX(EXACT('Asignaturas'!$A$4:$A$18,$D28)*1,0),0)),"",IF(ISBLANK(INDEX('Asignaturas'!$F$4:$F$18,MATCH(1,INDEX(EXACT('Asignaturas'!$A$4:$A$18,$D28)*1,0),0))),"",INDEX('Asignaturas'!$F$4:$F$18,MATCH(1,INDEX(EXACT('Asignaturas'!$A$4:$A$18,$D28)*1,0),0))))</f>
        <v/>
      </c>
      <c r="L28" s="3">
        <f>IF(ISNA(MATCH(1,INDEX(EXACT('Profesores'!$A$4:$A$33,$F28)*1,0),0)),"no",IF(ISBLANK(INDEX('Profesores'!$B$4:$B$33,MATCH(1,INDEX(EXACT('Profesores'!$A$4:$A$33,$F28)*1,0),0))),"",INDEX('Profesores'!$B$4:$B$33,MATCH(1,INDEX(EXACT('Profesores'!$A$4:$A$33,$F28)*1,0),0))))</f>
        <v/>
      </c>
      <c r="M28" s="3">
        <f>IF(ISNA(MATCH(1,INDEX(EXACT('Profesores'!$A$4:$A$33,$F28)*1,0),0)),"no",IF(ISBLANK(INDEX('Profesores'!$C$4:$C$33,MATCH(1,INDEX(EXACT('Profesores'!$A$4:$A$33,$F28)*1,0),0))),"",INDEX('Profesores'!$C$4:$C$33,MATCH(1,INDEX(EXACT('Profesores'!$A$4:$A$33,$F28)*1,0),0))))</f>
        <v/>
      </c>
      <c r="N28" s="3">
        <f>IF(ISNA(MATCH(1,INDEX(1*((('Dias que asisten los contratado'!$A$4:$A$4&lt;&gt;"")+('Dias que asisten los contratado'!$B$4:$B$4&lt;&gt;""))&gt;0)*(EXACT('Dias que asisten los contratado'!$A$4:$A$4,$F28))*(EXACT('Dias que asisten los contratado'!$B$4:$B$4,$B28)),0),0)),"no",IF(ISBLANK(INDEX('Dias que asisten los contratado'!$C$4:$C$4,MATCH(1,INDEX(1*((('Dias que asisten los contratado'!$A$4:$A$4&lt;&gt;"")+('Dias que asisten los contratado'!$B$4:$B$4&lt;&gt;""))&gt;0)*(EXACT('Dias que asisten los contratado'!$A$4:$A$4,$F28))*(EXACT('Dias que asisten los contratado'!$B$4:$B$4,$B28)),0),0))),"",INDEX('Dias que asisten los contratado'!$C$4:$C$4,MATCH(1,INDEX(1*((('Dias que asisten los contratado'!$A$4:$A$4&lt;&gt;"")+('Dias que asisten los contratado'!$B$4:$B$4&lt;&gt;""))&gt;0)*(EXACT('Dias que asisten los contratado'!$A$4:$A$4,$F28))*(EXACT('Dias que asisten los contratado'!$B$4:$B$4,$B28)),0),0))))</f>
        <v/>
      </c>
      <c r="O28" s="3">
        <f>IF(AND(NOT(($D28="")),(SUMPRODUCT(1*((EXACT('Casillas del horario'!$A$4:$A$73,$A28)))*((EXACT('Casillas del horario'!$B$4:$B$73,$B28)))*((EXACT('Casillas del horario'!$D$4:$D$73,$D28)))*(((((EXACT($I28,"no")))+((NOT(EXACT('Casillas del horario'!$C$4:$C$73,(IFERROR(VALUE($C28&amp;""),0)+1))))*(NOT(EXACT('Casillas del horario'!$C$4:$C$73,(IFERROR(VALUE($C28&amp;""),0)-1))))))&gt;0))*((ROW('Casillas del horario'!$A$4:$A$73)&lt;&gt;ROW($A28))))&gt;0)),"si","no")</f>
        <v/>
      </c>
      <c r="P28" s="3">
        <f>MID(IF(AND(NOT(($D28="")),(SUMPRODUCT(1*((EXACT('Casillas del horario'!$B$4:$B$73,$B28)))*((EXACT('Casillas del horario'!$C$4:$C$73,$C28)))*((EXACT('Casillas del horario'!$F$4:$F$73,$F28)))*((ROW('Casillas del horario'!$A$4:$A$73)&lt;&gt;ROW($A28))))&gt;0)),"; "&amp;"Este profesor ya da clase a otro grupo en este mismo turno","")&amp;IF(AND(NOT(($D28="")),(SUMPRODUCT(1*((EXACT('Casillas del horario'!$B$4:$B$73,$B28)))*((EXACT('Casillas del horario'!$C$4:$C$73,$C28)))*((EXACT('Casillas del horario'!$H$4:$H$73,$H28)))*((ROW('Casillas del horario'!$A$4:$A$73)&lt;&gt;ROW($A28))))&gt;0)),"; "&amp;"Ese local esta ocupado por otro grupo a esa hora","")&amp;IF(EXACT($O28,"si"),"; "&amp;IF(ISNUMBER(IF(EXACT($I28,"no"),"Esta asignatura no admite turno doble y repite el dia en este grupo","Esta asignatura repite el dia en este grupo sin ser en turnos seguidos")),IF(IF(EXACT($I28,"no"),"Esta asignatura no admite turno doble y repite el dia en este grupo","Esta asignatura repite el dia en este grupo sin ser en turnos seguidos")=0,"0",ROUND(IF(EXACT($I28,"no"),"Esta asignatura no admite turno doble y repite el dia en este grupo","Esta asignatura repite el dia en este grupo sin ser en turnos seguidos"),9-INT(LOG10(ABS(IF(EXACT($I28,"no"),"Esta asignatura no admite turno doble y repite el dia en este grupo","Esta asignatura repite el dia en este grupo sin ser en turnos seguidos")))))&amp;""),IF(EXACT($I28,"no"),"Esta asignatura no admite turno doble y repite el dia en este grupo","Esta asignatura repite el dia en este grupo sin ser en turnos seguidos")&amp;""),"")&amp;IF(AND(NOT(($D28="")),EXACT($B28,$K28)),"; "&amp;"Es el dia de preparacion de la asignatura","")&amp;IF(AND(EXACT($D28,"EF"),(IFERROR(VALUE($C28&amp;""),0)&gt;3)),"; "&amp;"Educacion Fisica no puede caer despues del tercer turno","")&amp;IF(AND(NOT(($D28="")),EXACT($J28,"no"),(IFERROR(VALUE($C28&amp;""),0)&gt;6)),"; "&amp;"Esta asignatura no admite turnos de tarde","")&amp;IF(AND(NOT(($D28="")),EXACT($L28,"si"),EXACT($N28,"no")),"; "&amp;"Este profesor esta contratado y no asiste al centro este dia","")&amp;IF(AND(NOT(($D28="")),EXACT($M28,"si"),EXACT($C28,1)),"; "&amp;"Se preferiria no darle el primer turno a un profesor que vive lejos","")&amp;IF(($D28=""),"; "&amp;"Turno sin asignar",""),3,32767)</f>
        <v/>
      </c>
      <c r="Q28" s="3">
        <f>IF(OR(AND(NOT(($D28="")),(SUMPRODUCT(1*((EXACT('Casillas del horario'!$B$4:$B$73,$B28)))*((EXACT('Casillas del horario'!$C$4:$C$73,$C28)))*((EXACT('Casillas del horario'!$F$4:$F$73,$F28)))*((ROW('Casillas del horario'!$A$4:$A$73)&lt;&gt;ROW($A28))))&gt;0)),AND(NOT(($D28="")),(SUMPRODUCT(1*((EXACT('Casillas del horario'!$B$4:$B$73,$B28)))*((EXACT('Casillas del horario'!$C$4:$C$73,$C28)))*((EXACT('Casillas del horario'!$H$4:$H$73,$H28)))*((ROW('Casillas del horario'!$A$4:$A$73)&lt;&gt;ROW($A28))))&gt;0)),EXACT($O28,"si"),AND(NOT(($D28="")),EXACT($B28,$K28)),AND(EXACT($D28,"EF"),(IFERROR(VALUE($C28&amp;""),0)&gt;3)),AND(NOT(($D28="")),EXACT($J28,"no"),(IFERROR(VALUE($C28&amp;""),0)&gt;6)),AND(NOT(($D28="")),EXACT($L28,"si"),EXACT($N28,"no"))),3,IF(OR(AND(NOT(($D28="")),EXACT($M28,"si"),EXACT($C28,1))),2,IF(OR(($D28="")),1,0)))</f>
        <v/>
      </c>
      <c r="R28" s="3">
        <f>$A28&amp;CHAR(31)&amp;$C28&amp;CHAR(31)&amp;$B28</f>
        <v/>
      </c>
      <c r="S28" s="3">
        <f>$F28&amp;CHAR(31)&amp;$C28&amp;CHAR(31)&amp;$B28</f>
        <v/>
      </c>
      <c r="T28" s="3">
        <f>$H28&amp;CHAR(31)&amp;$C28&amp;CHAR(31)&amp;$B28</f>
        <v/>
      </c>
    </row>
    <row r="29">
      <c r="A29" s="3" t="inlineStr">
        <is>
          <t>10-4</t>
        </is>
      </c>
      <c r="B29" s="3" t="inlineStr">
        <is>
          <t>L</t>
        </is>
      </c>
      <c r="C29" s="3" t="n">
        <v>3</v>
      </c>
      <c r="D29" s="4" t="inlineStr">
        <is>
          <t>EF</t>
        </is>
      </c>
      <c r="E29" s="3">
        <f>IF(ISNA(MATCH(1,INDEX(EXACT('Asignaturas'!$A$4:$A$18,$D29)*1,0),0)),"",IF(ISBLANK(INDEX('Asignaturas'!$B$4:$B$18,MATCH(1,INDEX(EXACT('Asignaturas'!$A$4:$A$18,$D29)*1,0),0))),"",INDEX('Asignaturas'!$B$4:$B$18,MATCH(1,INDEX(EXACT('Asignaturas'!$A$4:$A$18,$D29)*1,0),0))))</f>
        <v/>
      </c>
      <c r="F29" s="3">
        <f>IF(ISNA(MATCH(1,INDEX(1*(EXACT('Frecuencias por grupo'!$A$4:$A$33,$A29))*(EXACT('Frecuencias por grupo'!$B$4:$B$33,$D29)),0),0)),"",IF(ISBLANK(INDEX('Frecuencias por grupo'!$C$4:$C$33,MATCH(1,INDEX(1*(EXACT('Frecuencias por grupo'!$A$4:$A$33,$A29))*(EXACT('Frecuencias por grupo'!$B$4:$B$33,$D29)),0),0))),"",INDEX('Frecuencias por grupo'!$C$4:$C$33,MATCH(1,INDEX(1*(EXACT('Frecuencias por grupo'!$A$4:$A$33,$A29))*(EXACT('Frecuencias por grupo'!$B$4:$B$33,$D29)),0),0))))</f>
        <v/>
      </c>
      <c r="G29" s="3">
        <f>IF(ISNA(MATCH(1,INDEX(EXACT('Asignaturas'!$A$4:$A$18,$D29)*1,0),0)),"",IF(ISBLANK(INDEX('Asignaturas'!$G$4:$G$18,MATCH(1,INDEX(EXACT('Asignaturas'!$A$4:$A$18,$D29)*1,0),0))),"",INDEX('Asignaturas'!$G$4:$G$18,MATCH(1,INDEX(EXACT('Asignaturas'!$A$4:$A$18,$D29)*1,0),0))))</f>
        <v/>
      </c>
      <c r="H29" s="3">
        <f>IF(($D29=""),"",IF(($G29=""),("Aula "&amp;IF(ISNUMBER($A29),IF($A29=0,"0",ROUND($A29,9-INT(LOG10(ABS($A29))))&amp;""),$A29&amp;"")),$G29))</f>
        <v/>
      </c>
      <c r="I29" s="3">
        <f>IF(ISNA(MATCH(1,INDEX(EXACT('Asignaturas'!$A$4:$A$18,$D29)*1,0),0)),"no",IF(ISBLANK(INDEX('Asignaturas'!$D$4:$D$18,MATCH(1,INDEX(EXACT('Asignaturas'!$A$4:$A$18,$D29)*1,0),0))),"",INDEX('Asignaturas'!$D$4:$D$18,MATCH(1,INDEX(EXACT('Asignaturas'!$A$4:$A$18,$D29)*1,0),0))))</f>
        <v/>
      </c>
      <c r="J29" s="3">
        <f>IF(ISNA(MATCH(1,INDEX(EXACT('Asignaturas'!$A$4:$A$18,$D29)*1,0),0)),"no",IF(ISBLANK(INDEX('Asignaturas'!$E$4:$E$18,MATCH(1,INDEX(EXACT('Asignaturas'!$A$4:$A$18,$D29)*1,0),0))),"",INDEX('Asignaturas'!$E$4:$E$18,MATCH(1,INDEX(EXACT('Asignaturas'!$A$4:$A$18,$D29)*1,0),0))))</f>
        <v/>
      </c>
      <c r="K29" s="3">
        <f>IF(ISNA(MATCH(1,INDEX(EXACT('Asignaturas'!$A$4:$A$18,$D29)*1,0),0)),"",IF(ISBLANK(INDEX('Asignaturas'!$F$4:$F$18,MATCH(1,INDEX(EXACT('Asignaturas'!$A$4:$A$18,$D29)*1,0),0))),"",INDEX('Asignaturas'!$F$4:$F$18,MATCH(1,INDEX(EXACT('Asignaturas'!$A$4:$A$18,$D29)*1,0),0))))</f>
        <v/>
      </c>
      <c r="L29" s="3">
        <f>IF(ISNA(MATCH(1,INDEX(EXACT('Profesores'!$A$4:$A$33,$F29)*1,0),0)),"no",IF(ISBLANK(INDEX('Profesores'!$B$4:$B$33,MATCH(1,INDEX(EXACT('Profesores'!$A$4:$A$33,$F29)*1,0),0))),"",INDEX('Profesores'!$B$4:$B$33,MATCH(1,INDEX(EXACT('Profesores'!$A$4:$A$33,$F29)*1,0),0))))</f>
        <v/>
      </c>
      <c r="M29" s="3">
        <f>IF(ISNA(MATCH(1,INDEX(EXACT('Profesores'!$A$4:$A$33,$F29)*1,0),0)),"no",IF(ISBLANK(INDEX('Profesores'!$C$4:$C$33,MATCH(1,INDEX(EXACT('Profesores'!$A$4:$A$33,$F29)*1,0),0))),"",INDEX('Profesores'!$C$4:$C$33,MATCH(1,INDEX(EXACT('Profesores'!$A$4:$A$33,$F29)*1,0),0))))</f>
        <v/>
      </c>
      <c r="N29" s="3">
        <f>IF(ISNA(MATCH(1,INDEX(1*((('Dias que asisten los contratado'!$A$4:$A$4&lt;&gt;"")+('Dias que asisten los contratado'!$B$4:$B$4&lt;&gt;""))&gt;0)*(EXACT('Dias que asisten los contratado'!$A$4:$A$4,$F29))*(EXACT('Dias que asisten los contratado'!$B$4:$B$4,$B29)),0),0)),"no",IF(ISBLANK(INDEX('Dias que asisten los contratado'!$C$4:$C$4,MATCH(1,INDEX(1*((('Dias que asisten los contratado'!$A$4:$A$4&lt;&gt;"")+('Dias que asisten los contratado'!$B$4:$B$4&lt;&gt;""))&gt;0)*(EXACT('Dias que asisten los contratado'!$A$4:$A$4,$F29))*(EXACT('Dias que asisten los contratado'!$B$4:$B$4,$B29)),0),0))),"",INDEX('Dias que asisten los contratado'!$C$4:$C$4,MATCH(1,INDEX(1*((('Dias que asisten los contratado'!$A$4:$A$4&lt;&gt;"")+('Dias que asisten los contratado'!$B$4:$B$4&lt;&gt;""))&gt;0)*(EXACT('Dias que asisten los contratado'!$A$4:$A$4,$F29))*(EXACT('Dias que asisten los contratado'!$B$4:$B$4,$B29)),0),0))))</f>
        <v/>
      </c>
      <c r="O29" s="3">
        <f>IF(AND(NOT(($D29="")),(SUMPRODUCT(1*((EXACT('Casillas del horario'!$A$4:$A$73,$A29)))*((EXACT('Casillas del horario'!$B$4:$B$73,$B29)))*((EXACT('Casillas del horario'!$D$4:$D$73,$D29)))*(((((EXACT($I29,"no")))+((NOT(EXACT('Casillas del horario'!$C$4:$C$73,(IFERROR(VALUE($C29&amp;""),0)+1))))*(NOT(EXACT('Casillas del horario'!$C$4:$C$73,(IFERROR(VALUE($C29&amp;""),0)-1))))))&gt;0))*((ROW('Casillas del horario'!$A$4:$A$73)&lt;&gt;ROW($A29))))&gt;0)),"si","no")</f>
        <v/>
      </c>
      <c r="P29" s="3">
        <f>MID(IF(AND(NOT(($D29="")),(SUMPRODUCT(1*((EXACT('Casillas del horario'!$B$4:$B$73,$B29)))*((EXACT('Casillas del horario'!$C$4:$C$73,$C29)))*((EXACT('Casillas del horario'!$F$4:$F$73,$F29)))*((ROW('Casillas del horario'!$A$4:$A$73)&lt;&gt;ROW($A29))))&gt;0)),"; "&amp;"Este profesor ya da clase a otro grupo en este mismo turno","")&amp;IF(AND(NOT(($D29="")),(SUMPRODUCT(1*((EXACT('Casillas del horario'!$B$4:$B$73,$B29)))*((EXACT('Casillas del horario'!$C$4:$C$73,$C29)))*((EXACT('Casillas del horario'!$H$4:$H$73,$H29)))*((ROW('Casillas del horario'!$A$4:$A$73)&lt;&gt;ROW($A29))))&gt;0)),"; "&amp;"Ese local esta ocupado por otro grupo a esa hora","")&amp;IF(EXACT($O29,"si"),"; "&amp;IF(ISNUMBER(IF(EXACT($I29,"no"),"Esta asignatura no admite turno doble y repite el dia en este grupo","Esta asignatura repite el dia en este grupo sin ser en turnos seguidos")),IF(IF(EXACT($I29,"no"),"Esta asignatura no admite turno doble y repite el dia en este grupo","Esta asignatura repite el dia en este grupo sin ser en turnos seguidos")=0,"0",ROUND(IF(EXACT($I29,"no"),"Esta asignatura no admite turno doble y repite el dia en este grupo","Esta asignatura repite el dia en este grupo sin ser en turnos seguidos"),9-INT(LOG10(ABS(IF(EXACT($I29,"no"),"Esta asignatura no admite turno doble y repite el dia en este grupo","Esta asignatura repite el dia en este grupo sin ser en turnos seguidos")))))&amp;""),IF(EXACT($I29,"no"),"Esta asignatura no admite turno doble y repite el dia en este grupo","Esta asignatura repite el dia en este grupo sin ser en turnos seguidos")&amp;""),"")&amp;IF(AND(NOT(($D29="")),EXACT($B29,$K29)),"; "&amp;"Es el dia de preparacion de la asignatura","")&amp;IF(AND(EXACT($D29,"EF"),(IFERROR(VALUE($C29&amp;""),0)&gt;3)),"; "&amp;"Educacion Fisica no puede caer despues del tercer turno","")&amp;IF(AND(NOT(($D29="")),EXACT($J29,"no"),(IFERROR(VALUE($C29&amp;""),0)&gt;6)),"; "&amp;"Esta asignatura no admite turnos de tarde","")&amp;IF(AND(NOT(($D29="")),EXACT($L29,"si"),EXACT($N29,"no")),"; "&amp;"Este profesor esta contratado y no asiste al centro este dia","")&amp;IF(AND(NOT(($D29="")),EXACT($M29,"si"),EXACT($C29,1)),"; "&amp;"Se preferiria no darle el primer turno a un profesor que vive lejos","")&amp;IF(($D29=""),"; "&amp;"Turno sin asignar",""),3,32767)</f>
        <v/>
      </c>
      <c r="Q29" s="3">
        <f>IF(OR(AND(NOT(($D29="")),(SUMPRODUCT(1*((EXACT('Casillas del horario'!$B$4:$B$73,$B29)))*((EXACT('Casillas del horario'!$C$4:$C$73,$C29)))*((EXACT('Casillas del horario'!$F$4:$F$73,$F29)))*((ROW('Casillas del horario'!$A$4:$A$73)&lt;&gt;ROW($A29))))&gt;0)),AND(NOT(($D29="")),(SUMPRODUCT(1*((EXACT('Casillas del horario'!$B$4:$B$73,$B29)))*((EXACT('Casillas del horario'!$C$4:$C$73,$C29)))*((EXACT('Casillas del horario'!$H$4:$H$73,$H29)))*((ROW('Casillas del horario'!$A$4:$A$73)&lt;&gt;ROW($A29))))&gt;0)),EXACT($O29,"si"),AND(NOT(($D29="")),EXACT($B29,$K29)),AND(EXACT($D29,"EF"),(IFERROR(VALUE($C29&amp;""),0)&gt;3)),AND(NOT(($D29="")),EXACT($J29,"no"),(IFERROR(VALUE($C29&amp;""),0)&gt;6)),AND(NOT(($D29="")),EXACT($L29,"si"),EXACT($N29,"no"))),3,IF(OR(AND(NOT(($D29="")),EXACT($M29,"si"),EXACT($C29,1))),2,IF(OR(($D29="")),1,0)))</f>
        <v/>
      </c>
      <c r="R29" s="3">
        <f>$A29&amp;CHAR(31)&amp;$C29&amp;CHAR(31)&amp;$B29</f>
        <v/>
      </c>
      <c r="S29" s="3">
        <f>$F29&amp;CHAR(31)&amp;$C29&amp;CHAR(31)&amp;$B29</f>
        <v/>
      </c>
      <c r="T29" s="3">
        <f>$H29&amp;CHAR(31)&amp;$C29&amp;CHAR(31)&amp;$B29</f>
        <v/>
      </c>
    </row>
    <row r="30">
      <c r="A30" s="3" t="inlineStr">
        <is>
          <t>10-4</t>
        </is>
      </c>
      <c r="B30" s="3" t="inlineStr">
        <is>
          <t>M</t>
        </is>
      </c>
      <c r="C30" s="3" t="n">
        <v>3</v>
      </c>
      <c r="D30" s="4" t="inlineStr">
        <is>
          <t>B</t>
        </is>
      </c>
      <c r="E30" s="3">
        <f>IF(ISNA(MATCH(1,INDEX(EXACT('Asignaturas'!$A$4:$A$18,$D30)*1,0),0)),"",IF(ISBLANK(INDEX('Asignaturas'!$B$4:$B$18,MATCH(1,INDEX(EXACT('Asignaturas'!$A$4:$A$18,$D30)*1,0),0))),"",INDEX('Asignaturas'!$B$4:$B$18,MATCH(1,INDEX(EXACT('Asignaturas'!$A$4:$A$18,$D30)*1,0),0))))</f>
        <v/>
      </c>
      <c r="F30" s="3">
        <f>IF(ISNA(MATCH(1,INDEX(1*(EXACT('Frecuencias por grupo'!$A$4:$A$33,$A30))*(EXACT('Frecuencias por grupo'!$B$4:$B$33,$D30)),0),0)),"",IF(ISBLANK(INDEX('Frecuencias por grupo'!$C$4:$C$33,MATCH(1,INDEX(1*(EXACT('Frecuencias por grupo'!$A$4:$A$33,$A30))*(EXACT('Frecuencias por grupo'!$B$4:$B$33,$D30)),0),0))),"",INDEX('Frecuencias por grupo'!$C$4:$C$33,MATCH(1,INDEX(1*(EXACT('Frecuencias por grupo'!$A$4:$A$33,$A30))*(EXACT('Frecuencias por grupo'!$B$4:$B$33,$D30)),0),0))))</f>
        <v/>
      </c>
      <c r="G30" s="3">
        <f>IF(ISNA(MATCH(1,INDEX(EXACT('Asignaturas'!$A$4:$A$18,$D30)*1,0),0)),"",IF(ISBLANK(INDEX('Asignaturas'!$G$4:$G$18,MATCH(1,INDEX(EXACT('Asignaturas'!$A$4:$A$18,$D30)*1,0),0))),"",INDEX('Asignaturas'!$G$4:$G$18,MATCH(1,INDEX(EXACT('Asignaturas'!$A$4:$A$18,$D30)*1,0),0))))</f>
        <v/>
      </c>
      <c r="H30" s="3">
        <f>IF(($D30=""),"",IF(($G30=""),("Aula "&amp;IF(ISNUMBER($A30),IF($A30=0,"0",ROUND($A30,9-INT(LOG10(ABS($A30))))&amp;""),$A30&amp;"")),$G30))</f>
        <v/>
      </c>
      <c r="I30" s="3">
        <f>IF(ISNA(MATCH(1,INDEX(EXACT('Asignaturas'!$A$4:$A$18,$D30)*1,0),0)),"no",IF(ISBLANK(INDEX('Asignaturas'!$D$4:$D$18,MATCH(1,INDEX(EXACT('Asignaturas'!$A$4:$A$18,$D30)*1,0),0))),"",INDEX('Asignaturas'!$D$4:$D$18,MATCH(1,INDEX(EXACT('Asignaturas'!$A$4:$A$18,$D30)*1,0),0))))</f>
        <v/>
      </c>
      <c r="J30" s="3">
        <f>IF(ISNA(MATCH(1,INDEX(EXACT('Asignaturas'!$A$4:$A$18,$D30)*1,0),0)),"no",IF(ISBLANK(INDEX('Asignaturas'!$E$4:$E$18,MATCH(1,INDEX(EXACT('Asignaturas'!$A$4:$A$18,$D30)*1,0),0))),"",INDEX('Asignaturas'!$E$4:$E$18,MATCH(1,INDEX(EXACT('Asignaturas'!$A$4:$A$18,$D30)*1,0),0))))</f>
        <v/>
      </c>
      <c r="K30" s="3">
        <f>IF(ISNA(MATCH(1,INDEX(EXACT('Asignaturas'!$A$4:$A$18,$D30)*1,0),0)),"",IF(ISBLANK(INDEX('Asignaturas'!$F$4:$F$18,MATCH(1,INDEX(EXACT('Asignaturas'!$A$4:$A$18,$D30)*1,0),0))),"",INDEX('Asignaturas'!$F$4:$F$18,MATCH(1,INDEX(EXACT('Asignaturas'!$A$4:$A$18,$D30)*1,0),0))))</f>
        <v/>
      </c>
      <c r="L30" s="3">
        <f>IF(ISNA(MATCH(1,INDEX(EXACT('Profesores'!$A$4:$A$33,$F30)*1,0),0)),"no",IF(ISBLANK(INDEX('Profesores'!$B$4:$B$33,MATCH(1,INDEX(EXACT('Profesores'!$A$4:$A$33,$F30)*1,0),0))),"",INDEX('Profesores'!$B$4:$B$33,MATCH(1,INDEX(EXACT('Profesores'!$A$4:$A$33,$F30)*1,0),0))))</f>
        <v/>
      </c>
      <c r="M30" s="3">
        <f>IF(ISNA(MATCH(1,INDEX(EXACT('Profesores'!$A$4:$A$33,$F30)*1,0),0)),"no",IF(ISBLANK(INDEX('Profesores'!$C$4:$C$33,MATCH(1,INDEX(EXACT('Profesores'!$A$4:$A$33,$F30)*1,0),0))),"",INDEX('Profesores'!$C$4:$C$33,MATCH(1,INDEX(EXACT('Profesores'!$A$4:$A$33,$F30)*1,0),0))))</f>
        <v/>
      </c>
      <c r="N30" s="3">
        <f>IF(ISNA(MATCH(1,INDEX(1*((('Dias que asisten los contratado'!$A$4:$A$4&lt;&gt;"")+('Dias que asisten los contratado'!$B$4:$B$4&lt;&gt;""))&gt;0)*(EXACT('Dias que asisten los contratado'!$A$4:$A$4,$F30))*(EXACT('Dias que asisten los contratado'!$B$4:$B$4,$B30)),0),0)),"no",IF(ISBLANK(INDEX('Dias que asisten los contratado'!$C$4:$C$4,MATCH(1,INDEX(1*((('Dias que asisten los contratado'!$A$4:$A$4&lt;&gt;"")+('Dias que asisten los contratado'!$B$4:$B$4&lt;&gt;""))&gt;0)*(EXACT('Dias que asisten los contratado'!$A$4:$A$4,$F30))*(EXACT('Dias que asisten los contratado'!$B$4:$B$4,$B30)),0),0))),"",INDEX('Dias que asisten los contratado'!$C$4:$C$4,MATCH(1,INDEX(1*((('Dias que asisten los contratado'!$A$4:$A$4&lt;&gt;"")+('Dias que asisten los contratado'!$B$4:$B$4&lt;&gt;""))&gt;0)*(EXACT('Dias que asisten los contratado'!$A$4:$A$4,$F30))*(EXACT('Dias que asisten los contratado'!$B$4:$B$4,$B30)),0),0))))</f>
        <v/>
      </c>
      <c r="O30" s="3">
        <f>IF(AND(NOT(($D30="")),(SUMPRODUCT(1*((EXACT('Casillas del horario'!$A$4:$A$73,$A30)))*((EXACT('Casillas del horario'!$B$4:$B$73,$B30)))*((EXACT('Casillas del horario'!$D$4:$D$73,$D30)))*(((((EXACT($I30,"no")))+((NOT(EXACT('Casillas del horario'!$C$4:$C$73,(IFERROR(VALUE($C30&amp;""),0)+1))))*(NOT(EXACT('Casillas del horario'!$C$4:$C$73,(IFERROR(VALUE($C30&amp;""),0)-1))))))&gt;0))*((ROW('Casillas del horario'!$A$4:$A$73)&lt;&gt;ROW($A30))))&gt;0)),"si","no")</f>
        <v/>
      </c>
      <c r="P30" s="3">
        <f>MID(IF(AND(NOT(($D30="")),(SUMPRODUCT(1*((EXACT('Casillas del horario'!$B$4:$B$73,$B30)))*((EXACT('Casillas del horario'!$C$4:$C$73,$C30)))*((EXACT('Casillas del horario'!$F$4:$F$73,$F30)))*((ROW('Casillas del horario'!$A$4:$A$73)&lt;&gt;ROW($A30))))&gt;0)),"; "&amp;"Este profesor ya da clase a otro grupo en este mismo turno","")&amp;IF(AND(NOT(($D30="")),(SUMPRODUCT(1*((EXACT('Casillas del horario'!$B$4:$B$73,$B30)))*((EXACT('Casillas del horario'!$C$4:$C$73,$C30)))*((EXACT('Casillas del horario'!$H$4:$H$73,$H30)))*((ROW('Casillas del horario'!$A$4:$A$73)&lt;&gt;ROW($A30))))&gt;0)),"; "&amp;"Ese local esta ocupado por otro grupo a esa hora","")&amp;IF(EXACT($O30,"si"),"; "&amp;IF(ISNUMBER(IF(EXACT($I30,"no"),"Esta asignatura no admite turno doble y repite el dia en este grupo","Esta asignatura repite el dia en este grupo sin ser en turnos seguidos")),IF(IF(EXACT($I30,"no"),"Esta asignatura no admite turno doble y repite el dia en este grupo","Esta asignatura repite el dia en este grupo sin ser en turnos seguidos")=0,"0",ROUND(IF(EXACT($I30,"no"),"Esta asignatura no admite turno doble y repite el dia en este grupo","Esta asignatura repite el dia en este grupo sin ser en turnos seguidos"),9-INT(LOG10(ABS(IF(EXACT($I30,"no"),"Esta asignatura no admite turno doble y repite el dia en este grupo","Esta asignatura repite el dia en este grupo sin ser en turnos seguidos")))))&amp;""),IF(EXACT($I30,"no"),"Esta asignatura no admite turno doble y repite el dia en este grupo","Esta asignatura repite el dia en este grupo sin ser en turnos seguidos")&amp;""),"")&amp;IF(AND(NOT(($D30="")),EXACT($B30,$K30)),"; "&amp;"Es el dia de preparacion de la asignatura","")&amp;IF(AND(EXACT($D30,"EF"),(IFERROR(VALUE($C30&amp;""),0)&gt;3)),"; "&amp;"Educacion Fisica no puede caer despues del tercer turno","")&amp;IF(AND(NOT(($D30="")),EXACT($J30,"no"),(IFERROR(VALUE($C30&amp;""),0)&gt;6)),"; "&amp;"Esta asignatura no admite turnos de tarde","")&amp;IF(AND(NOT(($D30="")),EXACT($L30,"si"),EXACT($N30,"no")),"; "&amp;"Este profesor esta contratado y no asiste al centro este dia","")&amp;IF(AND(NOT(($D30="")),EXACT($M30,"si"),EXACT($C30,1)),"; "&amp;"Se preferiria no darle el primer turno a un profesor que vive lejos","")&amp;IF(($D30=""),"; "&amp;"Turno sin asignar",""),3,32767)</f>
        <v/>
      </c>
      <c r="Q30" s="3">
        <f>IF(OR(AND(NOT(($D30="")),(SUMPRODUCT(1*((EXACT('Casillas del horario'!$B$4:$B$73,$B30)))*((EXACT('Casillas del horario'!$C$4:$C$73,$C30)))*((EXACT('Casillas del horario'!$F$4:$F$73,$F30)))*((ROW('Casillas del horario'!$A$4:$A$73)&lt;&gt;ROW($A30))))&gt;0)),AND(NOT(($D30="")),(SUMPRODUCT(1*((EXACT('Casillas del horario'!$B$4:$B$73,$B30)))*((EXACT('Casillas del horario'!$C$4:$C$73,$C30)))*((EXACT('Casillas del horario'!$H$4:$H$73,$H30)))*((ROW('Casillas del horario'!$A$4:$A$73)&lt;&gt;ROW($A30))))&gt;0)),EXACT($O30,"si"),AND(NOT(($D30="")),EXACT($B30,$K30)),AND(EXACT($D30,"EF"),(IFERROR(VALUE($C30&amp;""),0)&gt;3)),AND(NOT(($D30="")),EXACT($J30,"no"),(IFERROR(VALUE($C30&amp;""),0)&gt;6)),AND(NOT(($D30="")),EXACT($L30,"si"),EXACT($N30,"no"))),3,IF(OR(AND(NOT(($D30="")),EXACT($M30,"si"),EXACT($C30,1))),2,IF(OR(($D30="")),1,0)))</f>
        <v/>
      </c>
      <c r="R30" s="3">
        <f>$A30&amp;CHAR(31)&amp;$C30&amp;CHAR(31)&amp;$B30</f>
        <v/>
      </c>
      <c r="S30" s="3">
        <f>$F30&amp;CHAR(31)&amp;$C30&amp;CHAR(31)&amp;$B30</f>
        <v/>
      </c>
      <c r="T30" s="3">
        <f>$H30&amp;CHAR(31)&amp;$C30&amp;CHAR(31)&amp;$B30</f>
        <v/>
      </c>
    </row>
    <row r="31">
      <c r="A31" s="3" t="inlineStr">
        <is>
          <t>10-4</t>
        </is>
      </c>
      <c r="B31" s="3" t="inlineStr">
        <is>
          <t>MI</t>
        </is>
      </c>
      <c r="C31" s="3" t="n">
        <v>3</v>
      </c>
      <c r="D31" s="4" t="inlineStr">
        <is>
          <t>M</t>
        </is>
      </c>
      <c r="E31" s="3">
        <f>IF(ISNA(MATCH(1,INDEX(EXACT('Asignaturas'!$A$4:$A$18,$D31)*1,0),0)),"",IF(ISBLANK(INDEX('Asignaturas'!$B$4:$B$18,MATCH(1,INDEX(EXACT('Asignaturas'!$A$4:$A$18,$D31)*1,0),0))),"",INDEX('Asignaturas'!$B$4:$B$18,MATCH(1,INDEX(EXACT('Asignaturas'!$A$4:$A$18,$D31)*1,0),0))))</f>
        <v/>
      </c>
      <c r="F31" s="3">
        <f>IF(ISNA(MATCH(1,INDEX(1*(EXACT('Frecuencias por grupo'!$A$4:$A$33,$A31))*(EXACT('Frecuencias por grupo'!$B$4:$B$33,$D31)),0),0)),"",IF(ISBLANK(INDEX('Frecuencias por grupo'!$C$4:$C$33,MATCH(1,INDEX(1*(EXACT('Frecuencias por grupo'!$A$4:$A$33,$A31))*(EXACT('Frecuencias por grupo'!$B$4:$B$33,$D31)),0),0))),"",INDEX('Frecuencias por grupo'!$C$4:$C$33,MATCH(1,INDEX(1*(EXACT('Frecuencias por grupo'!$A$4:$A$33,$A31))*(EXACT('Frecuencias por grupo'!$B$4:$B$33,$D31)),0),0))))</f>
        <v/>
      </c>
      <c r="G31" s="3">
        <f>IF(ISNA(MATCH(1,INDEX(EXACT('Asignaturas'!$A$4:$A$18,$D31)*1,0),0)),"",IF(ISBLANK(INDEX('Asignaturas'!$G$4:$G$18,MATCH(1,INDEX(EXACT('Asignaturas'!$A$4:$A$18,$D31)*1,0),0))),"",INDEX('Asignaturas'!$G$4:$G$18,MATCH(1,INDEX(EXACT('Asignaturas'!$A$4:$A$18,$D31)*1,0),0))))</f>
        <v/>
      </c>
      <c r="H31" s="3">
        <f>IF(($D31=""),"",IF(($G31=""),("Aula "&amp;IF(ISNUMBER($A31),IF($A31=0,"0",ROUND($A31,9-INT(LOG10(ABS($A31))))&amp;""),$A31&amp;"")),$G31))</f>
        <v/>
      </c>
      <c r="I31" s="3">
        <f>IF(ISNA(MATCH(1,INDEX(EXACT('Asignaturas'!$A$4:$A$18,$D31)*1,0),0)),"no",IF(ISBLANK(INDEX('Asignaturas'!$D$4:$D$18,MATCH(1,INDEX(EXACT('Asignaturas'!$A$4:$A$18,$D31)*1,0),0))),"",INDEX('Asignaturas'!$D$4:$D$18,MATCH(1,INDEX(EXACT('Asignaturas'!$A$4:$A$18,$D31)*1,0),0))))</f>
        <v/>
      </c>
      <c r="J31" s="3">
        <f>IF(ISNA(MATCH(1,INDEX(EXACT('Asignaturas'!$A$4:$A$18,$D31)*1,0),0)),"no",IF(ISBLANK(INDEX('Asignaturas'!$E$4:$E$18,MATCH(1,INDEX(EXACT('Asignaturas'!$A$4:$A$18,$D31)*1,0),0))),"",INDEX('Asignaturas'!$E$4:$E$18,MATCH(1,INDEX(EXACT('Asignaturas'!$A$4:$A$18,$D31)*1,0),0))))</f>
        <v/>
      </c>
      <c r="K31" s="3">
        <f>IF(ISNA(MATCH(1,INDEX(EXACT('Asignaturas'!$A$4:$A$18,$D31)*1,0),0)),"",IF(ISBLANK(INDEX('Asignaturas'!$F$4:$F$18,MATCH(1,INDEX(EXACT('Asignaturas'!$A$4:$A$18,$D31)*1,0),0))),"",INDEX('Asignaturas'!$F$4:$F$18,MATCH(1,INDEX(EXACT('Asignaturas'!$A$4:$A$18,$D31)*1,0),0))))</f>
        <v/>
      </c>
      <c r="L31" s="3">
        <f>IF(ISNA(MATCH(1,INDEX(EXACT('Profesores'!$A$4:$A$33,$F31)*1,0),0)),"no",IF(ISBLANK(INDEX('Profesores'!$B$4:$B$33,MATCH(1,INDEX(EXACT('Profesores'!$A$4:$A$33,$F31)*1,0),0))),"",INDEX('Profesores'!$B$4:$B$33,MATCH(1,INDEX(EXACT('Profesores'!$A$4:$A$33,$F31)*1,0),0))))</f>
        <v/>
      </c>
      <c r="M31" s="3">
        <f>IF(ISNA(MATCH(1,INDEX(EXACT('Profesores'!$A$4:$A$33,$F31)*1,0),0)),"no",IF(ISBLANK(INDEX('Profesores'!$C$4:$C$33,MATCH(1,INDEX(EXACT('Profesores'!$A$4:$A$33,$F31)*1,0),0))),"",INDEX('Profesores'!$C$4:$C$33,MATCH(1,INDEX(EXACT('Profesores'!$A$4:$A$33,$F31)*1,0),0))))</f>
        <v/>
      </c>
      <c r="N31" s="3">
        <f>IF(ISNA(MATCH(1,INDEX(1*((('Dias que asisten los contratado'!$A$4:$A$4&lt;&gt;"")+('Dias que asisten los contratado'!$B$4:$B$4&lt;&gt;""))&gt;0)*(EXACT('Dias que asisten los contratado'!$A$4:$A$4,$F31))*(EXACT('Dias que asisten los contratado'!$B$4:$B$4,$B31)),0),0)),"no",IF(ISBLANK(INDEX('Dias que asisten los contratado'!$C$4:$C$4,MATCH(1,INDEX(1*((('Dias que asisten los contratado'!$A$4:$A$4&lt;&gt;"")+('Dias que asisten los contratado'!$B$4:$B$4&lt;&gt;""))&gt;0)*(EXACT('Dias que asisten los contratado'!$A$4:$A$4,$F31))*(EXACT('Dias que asisten los contratado'!$B$4:$B$4,$B31)),0),0))),"",INDEX('Dias que asisten los contratado'!$C$4:$C$4,MATCH(1,INDEX(1*((('Dias que asisten los contratado'!$A$4:$A$4&lt;&gt;"")+('Dias que asisten los contratado'!$B$4:$B$4&lt;&gt;""))&gt;0)*(EXACT('Dias que asisten los contratado'!$A$4:$A$4,$F31))*(EXACT('Dias que asisten los contratado'!$B$4:$B$4,$B31)),0),0))))</f>
        <v/>
      </c>
      <c r="O31" s="3">
        <f>IF(AND(NOT(($D31="")),(SUMPRODUCT(1*((EXACT('Casillas del horario'!$A$4:$A$73,$A31)))*((EXACT('Casillas del horario'!$B$4:$B$73,$B31)))*((EXACT('Casillas del horario'!$D$4:$D$73,$D31)))*(((((EXACT($I31,"no")))+((NOT(EXACT('Casillas del horario'!$C$4:$C$73,(IFERROR(VALUE($C31&amp;""),0)+1))))*(NOT(EXACT('Casillas del horario'!$C$4:$C$73,(IFERROR(VALUE($C31&amp;""),0)-1))))))&gt;0))*((ROW('Casillas del horario'!$A$4:$A$73)&lt;&gt;ROW($A31))))&gt;0)),"si","no")</f>
        <v/>
      </c>
      <c r="P31" s="3">
        <f>MID(IF(AND(NOT(($D31="")),(SUMPRODUCT(1*((EXACT('Casillas del horario'!$B$4:$B$73,$B31)))*((EXACT('Casillas del horario'!$C$4:$C$73,$C31)))*((EXACT('Casillas del horario'!$F$4:$F$73,$F31)))*((ROW('Casillas del horario'!$A$4:$A$73)&lt;&gt;ROW($A31))))&gt;0)),"; "&amp;"Este profesor ya da clase a otro grupo en este mismo turno","")&amp;IF(AND(NOT(($D31="")),(SUMPRODUCT(1*((EXACT('Casillas del horario'!$B$4:$B$73,$B31)))*((EXACT('Casillas del horario'!$C$4:$C$73,$C31)))*((EXACT('Casillas del horario'!$H$4:$H$73,$H31)))*((ROW('Casillas del horario'!$A$4:$A$73)&lt;&gt;ROW($A31))))&gt;0)),"; "&amp;"Ese local esta ocupado por otro grupo a esa hora","")&amp;IF(EXACT($O31,"si"),"; "&amp;IF(ISNUMBER(IF(EXACT($I31,"no"),"Esta asignatura no admite turno doble y repite el dia en este grupo","Esta asignatura repite el dia en este grupo sin ser en turnos seguidos")),IF(IF(EXACT($I31,"no"),"Esta asignatura no admite turno doble y repite el dia en este grupo","Esta asignatura repite el dia en este grupo sin ser en turnos seguidos")=0,"0",ROUND(IF(EXACT($I31,"no"),"Esta asignatura no admite turno doble y repite el dia en este grupo","Esta asignatura repite el dia en este grupo sin ser en turnos seguidos"),9-INT(LOG10(ABS(IF(EXACT($I31,"no"),"Esta asignatura no admite turno doble y repite el dia en este grupo","Esta asignatura repite el dia en este grupo sin ser en turnos seguidos")))))&amp;""),IF(EXACT($I31,"no"),"Esta asignatura no admite turno doble y repite el dia en este grupo","Esta asignatura repite el dia en este grupo sin ser en turnos seguidos")&amp;""),"")&amp;IF(AND(NOT(($D31="")),EXACT($B31,$K31)),"; "&amp;"Es el dia de preparacion de la asignatura","")&amp;IF(AND(EXACT($D31,"EF"),(IFERROR(VALUE($C31&amp;""),0)&gt;3)),"; "&amp;"Educacion Fisica no puede caer despues del tercer turno","")&amp;IF(AND(NOT(($D31="")),EXACT($J31,"no"),(IFERROR(VALUE($C31&amp;""),0)&gt;6)),"; "&amp;"Esta asignatura no admite turnos de tarde","")&amp;IF(AND(NOT(($D31="")),EXACT($L31,"si"),EXACT($N31,"no")),"; "&amp;"Este profesor esta contratado y no asiste al centro este dia","")&amp;IF(AND(NOT(($D31="")),EXACT($M31,"si"),EXACT($C31,1)),"; "&amp;"Se preferiria no darle el primer turno a un profesor que vive lejos","")&amp;IF(($D31=""),"; "&amp;"Turno sin asignar",""),3,32767)</f>
        <v/>
      </c>
      <c r="Q31" s="3">
        <f>IF(OR(AND(NOT(($D31="")),(SUMPRODUCT(1*((EXACT('Casillas del horario'!$B$4:$B$73,$B31)))*((EXACT('Casillas del horario'!$C$4:$C$73,$C31)))*((EXACT('Casillas del horario'!$F$4:$F$73,$F31)))*((ROW('Casillas del horario'!$A$4:$A$73)&lt;&gt;ROW($A31))))&gt;0)),AND(NOT(($D31="")),(SUMPRODUCT(1*((EXACT('Casillas del horario'!$B$4:$B$73,$B31)))*((EXACT('Casillas del horario'!$C$4:$C$73,$C31)))*((EXACT('Casillas del horario'!$H$4:$H$73,$H31)))*((ROW('Casillas del horario'!$A$4:$A$73)&lt;&gt;ROW($A31))))&gt;0)),EXACT($O31,"si"),AND(NOT(($D31="")),EXACT($B31,$K31)),AND(EXACT($D31,"EF"),(IFERROR(VALUE($C31&amp;""),0)&gt;3)),AND(NOT(($D31="")),EXACT($J31,"no"),(IFERROR(VALUE($C31&amp;""),0)&gt;6)),AND(NOT(($D31="")),EXACT($L31,"si"),EXACT($N31,"no"))),3,IF(OR(AND(NOT(($D31="")),EXACT($M31,"si"),EXACT($C31,1))),2,IF(OR(($D31="")),1,0)))</f>
        <v/>
      </c>
      <c r="R31" s="3">
        <f>$A31&amp;CHAR(31)&amp;$C31&amp;CHAR(31)&amp;$B31</f>
        <v/>
      </c>
      <c r="S31" s="3">
        <f>$F31&amp;CHAR(31)&amp;$C31&amp;CHAR(31)&amp;$B31</f>
        <v/>
      </c>
      <c r="T31" s="3">
        <f>$H31&amp;CHAR(31)&amp;$C31&amp;CHAR(31)&amp;$B31</f>
        <v/>
      </c>
    </row>
    <row r="32">
      <c r="A32" s="3" t="inlineStr">
        <is>
          <t>10-4</t>
        </is>
      </c>
      <c r="B32" s="3" t="inlineStr">
        <is>
          <t>J</t>
        </is>
      </c>
      <c r="C32" s="3" t="n">
        <v>3</v>
      </c>
      <c r="D32" s="4" t="inlineStr">
        <is>
          <t>M</t>
        </is>
      </c>
      <c r="E32" s="3">
        <f>IF(ISNA(MATCH(1,INDEX(EXACT('Asignaturas'!$A$4:$A$18,$D32)*1,0),0)),"",IF(ISBLANK(INDEX('Asignaturas'!$B$4:$B$18,MATCH(1,INDEX(EXACT('Asignaturas'!$A$4:$A$18,$D32)*1,0),0))),"",INDEX('Asignaturas'!$B$4:$B$18,MATCH(1,INDEX(EXACT('Asignaturas'!$A$4:$A$18,$D32)*1,0),0))))</f>
        <v/>
      </c>
      <c r="F32" s="3">
        <f>IF(ISNA(MATCH(1,INDEX(1*(EXACT('Frecuencias por grupo'!$A$4:$A$33,$A32))*(EXACT('Frecuencias por grupo'!$B$4:$B$33,$D32)),0),0)),"",IF(ISBLANK(INDEX('Frecuencias por grupo'!$C$4:$C$33,MATCH(1,INDEX(1*(EXACT('Frecuencias por grupo'!$A$4:$A$33,$A32))*(EXACT('Frecuencias por grupo'!$B$4:$B$33,$D32)),0),0))),"",INDEX('Frecuencias por grupo'!$C$4:$C$33,MATCH(1,INDEX(1*(EXACT('Frecuencias por grupo'!$A$4:$A$33,$A32))*(EXACT('Frecuencias por grupo'!$B$4:$B$33,$D32)),0),0))))</f>
        <v/>
      </c>
      <c r="G32" s="3">
        <f>IF(ISNA(MATCH(1,INDEX(EXACT('Asignaturas'!$A$4:$A$18,$D32)*1,0),0)),"",IF(ISBLANK(INDEX('Asignaturas'!$G$4:$G$18,MATCH(1,INDEX(EXACT('Asignaturas'!$A$4:$A$18,$D32)*1,0),0))),"",INDEX('Asignaturas'!$G$4:$G$18,MATCH(1,INDEX(EXACT('Asignaturas'!$A$4:$A$18,$D32)*1,0),0))))</f>
        <v/>
      </c>
      <c r="H32" s="3">
        <f>IF(($D32=""),"",IF(($G32=""),("Aula "&amp;IF(ISNUMBER($A32),IF($A32=0,"0",ROUND($A32,9-INT(LOG10(ABS($A32))))&amp;""),$A32&amp;"")),$G32))</f>
        <v/>
      </c>
      <c r="I32" s="3">
        <f>IF(ISNA(MATCH(1,INDEX(EXACT('Asignaturas'!$A$4:$A$18,$D32)*1,0),0)),"no",IF(ISBLANK(INDEX('Asignaturas'!$D$4:$D$18,MATCH(1,INDEX(EXACT('Asignaturas'!$A$4:$A$18,$D32)*1,0),0))),"",INDEX('Asignaturas'!$D$4:$D$18,MATCH(1,INDEX(EXACT('Asignaturas'!$A$4:$A$18,$D32)*1,0),0))))</f>
        <v/>
      </c>
      <c r="J32" s="3">
        <f>IF(ISNA(MATCH(1,INDEX(EXACT('Asignaturas'!$A$4:$A$18,$D32)*1,0),0)),"no",IF(ISBLANK(INDEX('Asignaturas'!$E$4:$E$18,MATCH(1,INDEX(EXACT('Asignaturas'!$A$4:$A$18,$D32)*1,0),0))),"",INDEX('Asignaturas'!$E$4:$E$18,MATCH(1,INDEX(EXACT('Asignaturas'!$A$4:$A$18,$D32)*1,0),0))))</f>
        <v/>
      </c>
      <c r="K32" s="3">
        <f>IF(ISNA(MATCH(1,INDEX(EXACT('Asignaturas'!$A$4:$A$18,$D32)*1,0),0)),"",IF(ISBLANK(INDEX('Asignaturas'!$F$4:$F$18,MATCH(1,INDEX(EXACT('Asignaturas'!$A$4:$A$18,$D32)*1,0),0))),"",INDEX('Asignaturas'!$F$4:$F$18,MATCH(1,INDEX(EXACT('Asignaturas'!$A$4:$A$18,$D32)*1,0),0))))</f>
        <v/>
      </c>
      <c r="L32" s="3">
        <f>IF(ISNA(MATCH(1,INDEX(EXACT('Profesores'!$A$4:$A$33,$F32)*1,0),0)),"no",IF(ISBLANK(INDEX('Profesores'!$B$4:$B$33,MATCH(1,INDEX(EXACT('Profesores'!$A$4:$A$33,$F32)*1,0),0))),"",INDEX('Profesores'!$B$4:$B$33,MATCH(1,INDEX(EXACT('Profesores'!$A$4:$A$33,$F32)*1,0),0))))</f>
        <v/>
      </c>
      <c r="M32" s="3">
        <f>IF(ISNA(MATCH(1,INDEX(EXACT('Profesores'!$A$4:$A$33,$F32)*1,0),0)),"no",IF(ISBLANK(INDEX('Profesores'!$C$4:$C$33,MATCH(1,INDEX(EXACT('Profesores'!$A$4:$A$33,$F32)*1,0),0))),"",INDEX('Profesores'!$C$4:$C$33,MATCH(1,INDEX(EXACT('Profesores'!$A$4:$A$33,$F32)*1,0),0))))</f>
        <v/>
      </c>
      <c r="N32" s="3">
        <f>IF(ISNA(MATCH(1,INDEX(1*((('Dias que asisten los contratado'!$A$4:$A$4&lt;&gt;"")+('Dias que asisten los contratado'!$B$4:$B$4&lt;&gt;""))&gt;0)*(EXACT('Dias que asisten los contratado'!$A$4:$A$4,$F32))*(EXACT('Dias que asisten los contratado'!$B$4:$B$4,$B32)),0),0)),"no",IF(ISBLANK(INDEX('Dias que asisten los contratado'!$C$4:$C$4,MATCH(1,INDEX(1*((('Dias que asisten los contratado'!$A$4:$A$4&lt;&gt;"")+('Dias que asisten los contratado'!$B$4:$B$4&lt;&gt;""))&gt;0)*(EXACT('Dias que asisten los contratado'!$A$4:$A$4,$F32))*(EXACT('Dias que asisten los contratado'!$B$4:$B$4,$B32)),0),0))),"",INDEX('Dias que asisten los contratado'!$C$4:$C$4,MATCH(1,INDEX(1*((('Dias que asisten los contratado'!$A$4:$A$4&lt;&gt;"")+('Dias que asisten los contratado'!$B$4:$B$4&lt;&gt;""))&gt;0)*(EXACT('Dias que asisten los contratado'!$A$4:$A$4,$F32))*(EXACT('Dias que asisten los contratado'!$B$4:$B$4,$B32)),0),0))))</f>
        <v/>
      </c>
      <c r="O32" s="3">
        <f>IF(AND(NOT(($D32="")),(SUMPRODUCT(1*((EXACT('Casillas del horario'!$A$4:$A$73,$A32)))*((EXACT('Casillas del horario'!$B$4:$B$73,$B32)))*((EXACT('Casillas del horario'!$D$4:$D$73,$D32)))*(((((EXACT($I32,"no")))+((NOT(EXACT('Casillas del horario'!$C$4:$C$73,(IFERROR(VALUE($C32&amp;""),0)+1))))*(NOT(EXACT('Casillas del horario'!$C$4:$C$73,(IFERROR(VALUE($C32&amp;""),0)-1))))))&gt;0))*((ROW('Casillas del horario'!$A$4:$A$73)&lt;&gt;ROW($A32))))&gt;0)),"si","no")</f>
        <v/>
      </c>
      <c r="P32" s="3">
        <f>MID(IF(AND(NOT(($D32="")),(SUMPRODUCT(1*((EXACT('Casillas del horario'!$B$4:$B$73,$B32)))*((EXACT('Casillas del horario'!$C$4:$C$73,$C32)))*((EXACT('Casillas del horario'!$F$4:$F$73,$F32)))*((ROW('Casillas del horario'!$A$4:$A$73)&lt;&gt;ROW($A32))))&gt;0)),"; "&amp;"Este profesor ya da clase a otro grupo en este mismo turno","")&amp;IF(AND(NOT(($D32="")),(SUMPRODUCT(1*((EXACT('Casillas del horario'!$B$4:$B$73,$B32)))*((EXACT('Casillas del horario'!$C$4:$C$73,$C32)))*((EXACT('Casillas del horario'!$H$4:$H$73,$H32)))*((ROW('Casillas del horario'!$A$4:$A$73)&lt;&gt;ROW($A32))))&gt;0)),"; "&amp;"Ese local esta ocupado por otro grupo a esa hora","")&amp;IF(EXACT($O32,"si"),"; "&amp;IF(ISNUMBER(IF(EXACT($I32,"no"),"Esta asignatura no admite turno doble y repite el dia en este grupo","Esta asignatura repite el dia en este grupo sin ser en turnos seguidos")),IF(IF(EXACT($I32,"no"),"Esta asignatura no admite turno doble y repite el dia en este grupo","Esta asignatura repite el dia en este grupo sin ser en turnos seguidos")=0,"0",ROUND(IF(EXACT($I32,"no"),"Esta asignatura no admite turno doble y repite el dia en este grupo","Esta asignatura repite el dia en este grupo sin ser en turnos seguidos"),9-INT(LOG10(ABS(IF(EXACT($I32,"no"),"Esta asignatura no admite turno doble y repite el dia en este grupo","Esta asignatura repite el dia en este grupo sin ser en turnos seguidos")))))&amp;""),IF(EXACT($I32,"no"),"Esta asignatura no admite turno doble y repite el dia en este grupo","Esta asignatura repite el dia en este grupo sin ser en turnos seguidos")&amp;""),"")&amp;IF(AND(NOT(($D32="")),EXACT($B32,$K32)),"; "&amp;"Es el dia de preparacion de la asignatura","")&amp;IF(AND(EXACT($D32,"EF"),(IFERROR(VALUE($C32&amp;""),0)&gt;3)),"; "&amp;"Educacion Fisica no puede caer despues del tercer turno","")&amp;IF(AND(NOT(($D32="")),EXACT($J32,"no"),(IFERROR(VALUE($C32&amp;""),0)&gt;6)),"; "&amp;"Esta asignatura no admite turnos de tarde","")&amp;IF(AND(NOT(($D32="")),EXACT($L32,"si"),EXACT($N32,"no")),"; "&amp;"Este profesor esta contratado y no asiste al centro este dia","")&amp;IF(AND(NOT(($D32="")),EXACT($M32,"si"),EXACT($C32,1)),"; "&amp;"Se preferiria no darle el primer turno a un profesor que vive lejos","")&amp;IF(($D32=""),"; "&amp;"Turno sin asignar",""),3,32767)</f>
        <v/>
      </c>
      <c r="Q32" s="3">
        <f>IF(OR(AND(NOT(($D32="")),(SUMPRODUCT(1*((EXACT('Casillas del horario'!$B$4:$B$73,$B32)))*((EXACT('Casillas del horario'!$C$4:$C$73,$C32)))*((EXACT('Casillas del horario'!$F$4:$F$73,$F32)))*((ROW('Casillas del horario'!$A$4:$A$73)&lt;&gt;ROW($A32))))&gt;0)),AND(NOT(($D32="")),(SUMPRODUCT(1*((EXACT('Casillas del horario'!$B$4:$B$73,$B32)))*((EXACT('Casillas del horario'!$C$4:$C$73,$C32)))*((EXACT('Casillas del horario'!$H$4:$H$73,$H32)))*((ROW('Casillas del horario'!$A$4:$A$73)&lt;&gt;ROW($A32))))&gt;0)),EXACT($O32,"si"),AND(NOT(($D32="")),EXACT($B32,$K32)),AND(EXACT($D32,"EF"),(IFERROR(VALUE($C32&amp;""),0)&gt;3)),AND(NOT(($D32="")),EXACT($J32,"no"),(IFERROR(VALUE($C32&amp;""),0)&gt;6)),AND(NOT(($D32="")),EXACT($L32,"si"),EXACT($N32,"no"))),3,IF(OR(AND(NOT(($D32="")),EXACT($M32,"si"),EXACT($C32,1))),2,IF(OR(($D32="")),1,0)))</f>
        <v/>
      </c>
      <c r="R32" s="3">
        <f>$A32&amp;CHAR(31)&amp;$C32&amp;CHAR(31)&amp;$B32</f>
        <v/>
      </c>
      <c r="S32" s="3">
        <f>$F32&amp;CHAR(31)&amp;$C32&amp;CHAR(31)&amp;$B32</f>
        <v/>
      </c>
      <c r="T32" s="3">
        <f>$H32&amp;CHAR(31)&amp;$C32&amp;CHAR(31)&amp;$B32</f>
        <v/>
      </c>
    </row>
    <row r="33">
      <c r="A33" s="3" t="inlineStr">
        <is>
          <t>10-4</t>
        </is>
      </c>
      <c r="B33" s="3" t="inlineStr">
        <is>
          <t>V</t>
        </is>
      </c>
      <c r="C33" s="3" t="n">
        <v>3</v>
      </c>
      <c r="D33" s="4" t="inlineStr">
        <is>
          <t>F</t>
        </is>
      </c>
      <c r="E33" s="3">
        <f>IF(ISNA(MATCH(1,INDEX(EXACT('Asignaturas'!$A$4:$A$18,$D33)*1,0),0)),"",IF(ISBLANK(INDEX('Asignaturas'!$B$4:$B$18,MATCH(1,INDEX(EXACT('Asignaturas'!$A$4:$A$18,$D33)*1,0),0))),"",INDEX('Asignaturas'!$B$4:$B$18,MATCH(1,INDEX(EXACT('Asignaturas'!$A$4:$A$18,$D33)*1,0),0))))</f>
        <v/>
      </c>
      <c r="F33" s="3">
        <f>IF(ISNA(MATCH(1,INDEX(1*(EXACT('Frecuencias por grupo'!$A$4:$A$33,$A33))*(EXACT('Frecuencias por grupo'!$B$4:$B$33,$D33)),0),0)),"",IF(ISBLANK(INDEX('Frecuencias por grupo'!$C$4:$C$33,MATCH(1,INDEX(1*(EXACT('Frecuencias por grupo'!$A$4:$A$33,$A33))*(EXACT('Frecuencias por grupo'!$B$4:$B$33,$D33)),0),0))),"",INDEX('Frecuencias por grupo'!$C$4:$C$33,MATCH(1,INDEX(1*(EXACT('Frecuencias por grupo'!$A$4:$A$33,$A33))*(EXACT('Frecuencias por grupo'!$B$4:$B$33,$D33)),0),0))))</f>
        <v/>
      </c>
      <c r="G33" s="3">
        <f>IF(ISNA(MATCH(1,INDEX(EXACT('Asignaturas'!$A$4:$A$18,$D33)*1,0),0)),"",IF(ISBLANK(INDEX('Asignaturas'!$G$4:$G$18,MATCH(1,INDEX(EXACT('Asignaturas'!$A$4:$A$18,$D33)*1,0),0))),"",INDEX('Asignaturas'!$G$4:$G$18,MATCH(1,INDEX(EXACT('Asignaturas'!$A$4:$A$18,$D33)*1,0),0))))</f>
        <v/>
      </c>
      <c r="H33" s="3">
        <f>IF(($D33=""),"",IF(($G33=""),("Aula "&amp;IF(ISNUMBER($A33),IF($A33=0,"0",ROUND($A33,9-INT(LOG10(ABS($A33))))&amp;""),$A33&amp;"")),$G33))</f>
        <v/>
      </c>
      <c r="I33" s="3">
        <f>IF(ISNA(MATCH(1,INDEX(EXACT('Asignaturas'!$A$4:$A$18,$D33)*1,0),0)),"no",IF(ISBLANK(INDEX('Asignaturas'!$D$4:$D$18,MATCH(1,INDEX(EXACT('Asignaturas'!$A$4:$A$18,$D33)*1,0),0))),"",INDEX('Asignaturas'!$D$4:$D$18,MATCH(1,INDEX(EXACT('Asignaturas'!$A$4:$A$18,$D33)*1,0),0))))</f>
        <v/>
      </c>
      <c r="J33" s="3">
        <f>IF(ISNA(MATCH(1,INDEX(EXACT('Asignaturas'!$A$4:$A$18,$D33)*1,0),0)),"no",IF(ISBLANK(INDEX('Asignaturas'!$E$4:$E$18,MATCH(1,INDEX(EXACT('Asignaturas'!$A$4:$A$18,$D33)*1,0),0))),"",INDEX('Asignaturas'!$E$4:$E$18,MATCH(1,INDEX(EXACT('Asignaturas'!$A$4:$A$18,$D33)*1,0),0))))</f>
        <v/>
      </c>
      <c r="K33" s="3">
        <f>IF(ISNA(MATCH(1,INDEX(EXACT('Asignaturas'!$A$4:$A$18,$D33)*1,0),0)),"",IF(ISBLANK(INDEX('Asignaturas'!$F$4:$F$18,MATCH(1,INDEX(EXACT('Asignaturas'!$A$4:$A$18,$D33)*1,0),0))),"",INDEX('Asignaturas'!$F$4:$F$18,MATCH(1,INDEX(EXACT('Asignaturas'!$A$4:$A$18,$D33)*1,0),0))))</f>
        <v/>
      </c>
      <c r="L33" s="3">
        <f>IF(ISNA(MATCH(1,INDEX(EXACT('Profesores'!$A$4:$A$33,$F33)*1,0),0)),"no",IF(ISBLANK(INDEX('Profesores'!$B$4:$B$33,MATCH(1,INDEX(EXACT('Profesores'!$A$4:$A$33,$F33)*1,0),0))),"",INDEX('Profesores'!$B$4:$B$33,MATCH(1,INDEX(EXACT('Profesores'!$A$4:$A$33,$F33)*1,0),0))))</f>
        <v/>
      </c>
      <c r="M33" s="3">
        <f>IF(ISNA(MATCH(1,INDEX(EXACT('Profesores'!$A$4:$A$33,$F33)*1,0),0)),"no",IF(ISBLANK(INDEX('Profesores'!$C$4:$C$33,MATCH(1,INDEX(EXACT('Profesores'!$A$4:$A$33,$F33)*1,0),0))),"",INDEX('Profesores'!$C$4:$C$33,MATCH(1,INDEX(EXACT('Profesores'!$A$4:$A$33,$F33)*1,0),0))))</f>
        <v/>
      </c>
      <c r="N33" s="3">
        <f>IF(ISNA(MATCH(1,INDEX(1*((('Dias que asisten los contratado'!$A$4:$A$4&lt;&gt;"")+('Dias que asisten los contratado'!$B$4:$B$4&lt;&gt;""))&gt;0)*(EXACT('Dias que asisten los contratado'!$A$4:$A$4,$F33))*(EXACT('Dias que asisten los contratado'!$B$4:$B$4,$B33)),0),0)),"no",IF(ISBLANK(INDEX('Dias que asisten los contratado'!$C$4:$C$4,MATCH(1,INDEX(1*((('Dias que asisten los contratado'!$A$4:$A$4&lt;&gt;"")+('Dias que asisten los contratado'!$B$4:$B$4&lt;&gt;""))&gt;0)*(EXACT('Dias que asisten los contratado'!$A$4:$A$4,$F33))*(EXACT('Dias que asisten los contratado'!$B$4:$B$4,$B33)),0),0))),"",INDEX('Dias que asisten los contratado'!$C$4:$C$4,MATCH(1,INDEX(1*((('Dias que asisten los contratado'!$A$4:$A$4&lt;&gt;"")+('Dias que asisten los contratado'!$B$4:$B$4&lt;&gt;""))&gt;0)*(EXACT('Dias que asisten los contratado'!$A$4:$A$4,$F33))*(EXACT('Dias que asisten los contratado'!$B$4:$B$4,$B33)),0),0))))</f>
        <v/>
      </c>
      <c r="O33" s="3">
        <f>IF(AND(NOT(($D33="")),(SUMPRODUCT(1*((EXACT('Casillas del horario'!$A$4:$A$73,$A33)))*((EXACT('Casillas del horario'!$B$4:$B$73,$B33)))*((EXACT('Casillas del horario'!$D$4:$D$73,$D33)))*(((((EXACT($I33,"no")))+((NOT(EXACT('Casillas del horario'!$C$4:$C$73,(IFERROR(VALUE($C33&amp;""),0)+1))))*(NOT(EXACT('Casillas del horario'!$C$4:$C$73,(IFERROR(VALUE($C33&amp;""),0)-1))))))&gt;0))*((ROW('Casillas del horario'!$A$4:$A$73)&lt;&gt;ROW($A33))))&gt;0)),"si","no")</f>
        <v/>
      </c>
      <c r="P33" s="3">
        <f>MID(IF(AND(NOT(($D33="")),(SUMPRODUCT(1*((EXACT('Casillas del horario'!$B$4:$B$73,$B33)))*((EXACT('Casillas del horario'!$C$4:$C$73,$C33)))*((EXACT('Casillas del horario'!$F$4:$F$73,$F33)))*((ROW('Casillas del horario'!$A$4:$A$73)&lt;&gt;ROW($A33))))&gt;0)),"; "&amp;"Este profesor ya da clase a otro grupo en este mismo turno","")&amp;IF(AND(NOT(($D33="")),(SUMPRODUCT(1*((EXACT('Casillas del horario'!$B$4:$B$73,$B33)))*((EXACT('Casillas del horario'!$C$4:$C$73,$C33)))*((EXACT('Casillas del horario'!$H$4:$H$73,$H33)))*((ROW('Casillas del horario'!$A$4:$A$73)&lt;&gt;ROW($A33))))&gt;0)),"; "&amp;"Ese local esta ocupado por otro grupo a esa hora","")&amp;IF(EXACT($O33,"si"),"; "&amp;IF(ISNUMBER(IF(EXACT($I33,"no"),"Esta asignatura no admite turno doble y repite el dia en este grupo","Esta asignatura repite el dia en este grupo sin ser en turnos seguidos")),IF(IF(EXACT($I33,"no"),"Esta asignatura no admite turno doble y repite el dia en este grupo","Esta asignatura repite el dia en este grupo sin ser en turnos seguidos")=0,"0",ROUND(IF(EXACT($I33,"no"),"Esta asignatura no admite turno doble y repite el dia en este grupo","Esta asignatura repite el dia en este grupo sin ser en turnos seguidos"),9-INT(LOG10(ABS(IF(EXACT($I33,"no"),"Esta asignatura no admite turno doble y repite el dia en este grupo","Esta asignatura repite el dia en este grupo sin ser en turnos seguidos")))))&amp;""),IF(EXACT($I33,"no"),"Esta asignatura no admite turno doble y repite el dia en este grupo","Esta asignatura repite el dia en este grupo sin ser en turnos seguidos")&amp;""),"")&amp;IF(AND(NOT(($D33="")),EXACT($B33,$K33)),"; "&amp;"Es el dia de preparacion de la asignatura","")&amp;IF(AND(EXACT($D33,"EF"),(IFERROR(VALUE($C33&amp;""),0)&gt;3)),"; "&amp;"Educacion Fisica no puede caer despues del tercer turno","")&amp;IF(AND(NOT(($D33="")),EXACT($J33,"no"),(IFERROR(VALUE($C33&amp;""),0)&gt;6)),"; "&amp;"Esta asignatura no admite turnos de tarde","")&amp;IF(AND(NOT(($D33="")),EXACT($L33,"si"),EXACT($N33,"no")),"; "&amp;"Este profesor esta contratado y no asiste al centro este dia","")&amp;IF(AND(NOT(($D33="")),EXACT($M33,"si"),EXACT($C33,1)),"; "&amp;"Se preferiria no darle el primer turno a un profesor que vive lejos","")&amp;IF(($D33=""),"; "&amp;"Turno sin asignar",""),3,32767)</f>
        <v/>
      </c>
      <c r="Q33" s="3">
        <f>IF(OR(AND(NOT(($D33="")),(SUMPRODUCT(1*((EXACT('Casillas del horario'!$B$4:$B$73,$B33)))*((EXACT('Casillas del horario'!$C$4:$C$73,$C33)))*((EXACT('Casillas del horario'!$F$4:$F$73,$F33)))*((ROW('Casillas del horario'!$A$4:$A$73)&lt;&gt;ROW($A33))))&gt;0)),AND(NOT(($D33="")),(SUMPRODUCT(1*((EXACT('Casillas del horario'!$B$4:$B$73,$B33)))*((EXACT('Casillas del horario'!$C$4:$C$73,$C33)))*((EXACT('Casillas del horario'!$H$4:$H$73,$H33)))*((ROW('Casillas del horario'!$A$4:$A$73)&lt;&gt;ROW($A33))))&gt;0)),EXACT($O33,"si"),AND(NOT(($D33="")),EXACT($B33,$K33)),AND(EXACT($D33,"EF"),(IFERROR(VALUE($C33&amp;""),0)&gt;3)),AND(NOT(($D33="")),EXACT($J33,"no"),(IFERROR(VALUE($C33&amp;""),0)&gt;6)),AND(NOT(($D33="")),EXACT($L33,"si"),EXACT($N33,"no"))),3,IF(OR(AND(NOT(($D33="")),EXACT($M33,"si"),EXACT($C33,1))),2,IF(OR(($D33="")),1,0)))</f>
        <v/>
      </c>
      <c r="R33" s="3">
        <f>$A33&amp;CHAR(31)&amp;$C33&amp;CHAR(31)&amp;$B33</f>
        <v/>
      </c>
      <c r="S33" s="3">
        <f>$F33&amp;CHAR(31)&amp;$C33&amp;CHAR(31)&amp;$B33</f>
        <v/>
      </c>
      <c r="T33" s="3">
        <f>$H33&amp;CHAR(31)&amp;$C33&amp;CHAR(31)&amp;$B33</f>
        <v/>
      </c>
    </row>
    <row r="34">
      <c r="A34" s="3" t="inlineStr">
        <is>
          <t>10-3</t>
        </is>
      </c>
      <c r="B34" s="3" t="inlineStr">
        <is>
          <t>L</t>
        </is>
      </c>
      <c r="C34" s="3" t="n">
        <v>4</v>
      </c>
      <c r="D34" s="4" t="inlineStr">
        <is>
          <t>Lit-L</t>
        </is>
      </c>
      <c r="E34" s="3">
        <f>IF(ISNA(MATCH(1,INDEX(EXACT('Asignaturas'!$A$4:$A$18,$D34)*1,0),0)),"",IF(ISBLANK(INDEX('Asignaturas'!$B$4:$B$18,MATCH(1,INDEX(EXACT('Asignaturas'!$A$4:$A$18,$D34)*1,0),0))),"",INDEX('Asignaturas'!$B$4:$B$18,MATCH(1,INDEX(EXACT('Asignaturas'!$A$4:$A$18,$D34)*1,0),0))))</f>
        <v/>
      </c>
      <c r="F34" s="3">
        <f>IF(ISNA(MATCH(1,INDEX(1*(EXACT('Frecuencias por grupo'!$A$4:$A$33,$A34))*(EXACT('Frecuencias por grupo'!$B$4:$B$33,$D34)),0),0)),"",IF(ISBLANK(INDEX('Frecuencias por grupo'!$C$4:$C$33,MATCH(1,INDEX(1*(EXACT('Frecuencias por grupo'!$A$4:$A$33,$A34))*(EXACT('Frecuencias por grupo'!$B$4:$B$33,$D34)),0),0))),"",INDEX('Frecuencias por grupo'!$C$4:$C$33,MATCH(1,INDEX(1*(EXACT('Frecuencias por grupo'!$A$4:$A$33,$A34))*(EXACT('Frecuencias por grupo'!$B$4:$B$33,$D34)),0),0))))</f>
        <v/>
      </c>
      <c r="G34" s="3">
        <f>IF(ISNA(MATCH(1,INDEX(EXACT('Asignaturas'!$A$4:$A$18,$D34)*1,0),0)),"",IF(ISBLANK(INDEX('Asignaturas'!$G$4:$G$18,MATCH(1,INDEX(EXACT('Asignaturas'!$A$4:$A$18,$D34)*1,0),0))),"",INDEX('Asignaturas'!$G$4:$G$18,MATCH(1,INDEX(EXACT('Asignaturas'!$A$4:$A$18,$D34)*1,0),0))))</f>
        <v/>
      </c>
      <c r="H34" s="3">
        <f>IF(($D34=""),"",IF(($G34=""),("Aula "&amp;IF(ISNUMBER($A34),IF($A34=0,"0",ROUND($A34,9-INT(LOG10(ABS($A34))))&amp;""),$A34&amp;"")),$G34))</f>
        <v/>
      </c>
      <c r="I34" s="3">
        <f>IF(ISNA(MATCH(1,INDEX(EXACT('Asignaturas'!$A$4:$A$18,$D34)*1,0),0)),"no",IF(ISBLANK(INDEX('Asignaturas'!$D$4:$D$18,MATCH(1,INDEX(EXACT('Asignaturas'!$A$4:$A$18,$D34)*1,0),0))),"",INDEX('Asignaturas'!$D$4:$D$18,MATCH(1,INDEX(EXACT('Asignaturas'!$A$4:$A$18,$D34)*1,0),0))))</f>
        <v/>
      </c>
      <c r="J34" s="3">
        <f>IF(ISNA(MATCH(1,INDEX(EXACT('Asignaturas'!$A$4:$A$18,$D34)*1,0),0)),"no",IF(ISBLANK(INDEX('Asignaturas'!$E$4:$E$18,MATCH(1,INDEX(EXACT('Asignaturas'!$A$4:$A$18,$D34)*1,0),0))),"",INDEX('Asignaturas'!$E$4:$E$18,MATCH(1,INDEX(EXACT('Asignaturas'!$A$4:$A$18,$D34)*1,0),0))))</f>
        <v/>
      </c>
      <c r="K34" s="3">
        <f>IF(ISNA(MATCH(1,INDEX(EXACT('Asignaturas'!$A$4:$A$18,$D34)*1,0),0)),"",IF(ISBLANK(INDEX('Asignaturas'!$F$4:$F$18,MATCH(1,INDEX(EXACT('Asignaturas'!$A$4:$A$18,$D34)*1,0),0))),"",INDEX('Asignaturas'!$F$4:$F$18,MATCH(1,INDEX(EXACT('Asignaturas'!$A$4:$A$18,$D34)*1,0),0))))</f>
        <v/>
      </c>
      <c r="L34" s="3">
        <f>IF(ISNA(MATCH(1,INDEX(EXACT('Profesores'!$A$4:$A$33,$F34)*1,0),0)),"no",IF(ISBLANK(INDEX('Profesores'!$B$4:$B$33,MATCH(1,INDEX(EXACT('Profesores'!$A$4:$A$33,$F34)*1,0),0))),"",INDEX('Profesores'!$B$4:$B$33,MATCH(1,INDEX(EXACT('Profesores'!$A$4:$A$33,$F34)*1,0),0))))</f>
        <v/>
      </c>
      <c r="M34" s="3">
        <f>IF(ISNA(MATCH(1,INDEX(EXACT('Profesores'!$A$4:$A$33,$F34)*1,0),0)),"no",IF(ISBLANK(INDEX('Profesores'!$C$4:$C$33,MATCH(1,INDEX(EXACT('Profesores'!$A$4:$A$33,$F34)*1,0),0))),"",INDEX('Profesores'!$C$4:$C$33,MATCH(1,INDEX(EXACT('Profesores'!$A$4:$A$33,$F34)*1,0),0))))</f>
        <v/>
      </c>
      <c r="N34" s="3">
        <f>IF(ISNA(MATCH(1,INDEX(1*((('Dias que asisten los contratado'!$A$4:$A$4&lt;&gt;"")+('Dias que asisten los contratado'!$B$4:$B$4&lt;&gt;""))&gt;0)*(EXACT('Dias que asisten los contratado'!$A$4:$A$4,$F34))*(EXACT('Dias que asisten los contratado'!$B$4:$B$4,$B34)),0),0)),"no",IF(ISBLANK(INDEX('Dias que asisten los contratado'!$C$4:$C$4,MATCH(1,INDEX(1*((('Dias que asisten los contratado'!$A$4:$A$4&lt;&gt;"")+('Dias que asisten los contratado'!$B$4:$B$4&lt;&gt;""))&gt;0)*(EXACT('Dias que asisten los contratado'!$A$4:$A$4,$F34))*(EXACT('Dias que asisten los contratado'!$B$4:$B$4,$B34)),0),0))),"",INDEX('Dias que asisten los contratado'!$C$4:$C$4,MATCH(1,INDEX(1*((('Dias que asisten los contratado'!$A$4:$A$4&lt;&gt;"")+('Dias que asisten los contratado'!$B$4:$B$4&lt;&gt;""))&gt;0)*(EXACT('Dias que asisten los contratado'!$A$4:$A$4,$F34))*(EXACT('Dias que asisten los contratado'!$B$4:$B$4,$B34)),0),0))))</f>
        <v/>
      </c>
      <c r="O34" s="3">
        <f>IF(AND(NOT(($D34="")),(SUMPRODUCT(1*((EXACT('Casillas del horario'!$A$4:$A$73,$A34)))*((EXACT('Casillas del horario'!$B$4:$B$73,$B34)))*((EXACT('Casillas del horario'!$D$4:$D$73,$D34)))*(((((EXACT($I34,"no")))+((NOT(EXACT('Casillas del horario'!$C$4:$C$73,(IFERROR(VALUE($C34&amp;""),0)+1))))*(NOT(EXACT('Casillas del horario'!$C$4:$C$73,(IFERROR(VALUE($C34&amp;""),0)-1))))))&gt;0))*((ROW('Casillas del horario'!$A$4:$A$73)&lt;&gt;ROW($A34))))&gt;0)),"si","no")</f>
        <v/>
      </c>
      <c r="P34" s="3">
        <f>MID(IF(AND(NOT(($D34="")),(SUMPRODUCT(1*((EXACT('Casillas del horario'!$B$4:$B$73,$B34)))*((EXACT('Casillas del horario'!$C$4:$C$73,$C34)))*((EXACT('Casillas del horario'!$F$4:$F$73,$F34)))*((ROW('Casillas del horario'!$A$4:$A$73)&lt;&gt;ROW($A34))))&gt;0)),"; "&amp;"Este profesor ya da clase a otro grupo en este mismo turno","")&amp;IF(AND(NOT(($D34="")),(SUMPRODUCT(1*((EXACT('Casillas del horario'!$B$4:$B$73,$B34)))*((EXACT('Casillas del horario'!$C$4:$C$73,$C34)))*((EXACT('Casillas del horario'!$H$4:$H$73,$H34)))*((ROW('Casillas del horario'!$A$4:$A$73)&lt;&gt;ROW($A34))))&gt;0)),"; "&amp;"Ese local esta ocupado por otro grupo a esa hora","")&amp;IF(EXACT($O34,"si"),"; "&amp;IF(ISNUMBER(IF(EXACT($I34,"no"),"Esta asignatura no admite turno doble y repite el dia en este grupo","Esta asignatura repite el dia en este grupo sin ser en turnos seguidos")),IF(IF(EXACT($I34,"no"),"Esta asignatura no admite turno doble y repite el dia en este grupo","Esta asignatura repite el dia en este grupo sin ser en turnos seguidos")=0,"0",ROUND(IF(EXACT($I34,"no"),"Esta asignatura no admite turno doble y repite el dia en este grupo","Esta asignatura repite el dia en este grupo sin ser en turnos seguidos"),9-INT(LOG10(ABS(IF(EXACT($I34,"no"),"Esta asignatura no admite turno doble y repite el dia en este grupo","Esta asignatura repite el dia en este grupo sin ser en turnos seguidos")))))&amp;""),IF(EXACT($I34,"no"),"Esta asignatura no admite turno doble y repite el dia en este grupo","Esta asignatura repite el dia en este grupo sin ser en turnos seguidos")&amp;""),"")&amp;IF(AND(NOT(($D34="")),EXACT($B34,$K34)),"; "&amp;"Es el dia de preparacion de la asignatura","")&amp;IF(AND(EXACT($D34,"EF"),(IFERROR(VALUE($C34&amp;""),0)&gt;3)),"; "&amp;"Educacion Fisica no puede caer despues del tercer turno","")&amp;IF(AND(NOT(($D34="")),EXACT($J34,"no"),(IFERROR(VALUE($C34&amp;""),0)&gt;6)),"; "&amp;"Esta asignatura no admite turnos de tarde","")&amp;IF(AND(NOT(($D34="")),EXACT($L34,"si"),EXACT($N34,"no")),"; "&amp;"Este profesor esta contratado y no asiste al centro este dia","")&amp;IF(AND(NOT(($D34="")),EXACT($M34,"si"),EXACT($C34,1)),"; "&amp;"Se preferiria no darle el primer turno a un profesor que vive lejos","")&amp;IF(($D34=""),"; "&amp;"Turno sin asignar",""),3,32767)</f>
        <v/>
      </c>
      <c r="Q34" s="3">
        <f>IF(OR(AND(NOT(($D34="")),(SUMPRODUCT(1*((EXACT('Casillas del horario'!$B$4:$B$73,$B34)))*((EXACT('Casillas del horario'!$C$4:$C$73,$C34)))*((EXACT('Casillas del horario'!$F$4:$F$73,$F34)))*((ROW('Casillas del horario'!$A$4:$A$73)&lt;&gt;ROW($A34))))&gt;0)),AND(NOT(($D34="")),(SUMPRODUCT(1*((EXACT('Casillas del horario'!$B$4:$B$73,$B34)))*((EXACT('Casillas del horario'!$C$4:$C$73,$C34)))*((EXACT('Casillas del horario'!$H$4:$H$73,$H34)))*((ROW('Casillas del horario'!$A$4:$A$73)&lt;&gt;ROW($A34))))&gt;0)),EXACT($O34,"si"),AND(NOT(($D34="")),EXACT($B34,$K34)),AND(EXACT($D34,"EF"),(IFERROR(VALUE($C34&amp;""),0)&gt;3)),AND(NOT(($D34="")),EXACT($J34,"no"),(IFERROR(VALUE($C34&amp;""),0)&gt;6)),AND(NOT(($D34="")),EXACT($L34,"si"),EXACT($N34,"no"))),3,IF(OR(AND(NOT(($D34="")),EXACT($M34,"si"),EXACT($C34,1))),2,IF(OR(($D34="")),1,0)))</f>
        <v/>
      </c>
      <c r="R34" s="3">
        <f>$A34&amp;CHAR(31)&amp;$C34&amp;CHAR(31)&amp;$B34</f>
        <v/>
      </c>
      <c r="S34" s="3">
        <f>$F34&amp;CHAR(31)&amp;$C34&amp;CHAR(31)&amp;$B34</f>
        <v/>
      </c>
      <c r="T34" s="3">
        <f>$H34&amp;CHAR(31)&amp;$C34&amp;CHAR(31)&amp;$B34</f>
        <v/>
      </c>
    </row>
    <row r="35">
      <c r="A35" s="3" t="inlineStr">
        <is>
          <t>10-3</t>
        </is>
      </c>
      <c r="B35" s="3" t="inlineStr">
        <is>
          <t>M</t>
        </is>
      </c>
      <c r="C35" s="3" t="n">
        <v>4</v>
      </c>
      <c r="D35" s="4" t="inlineStr">
        <is>
          <t>Lit-L</t>
        </is>
      </c>
      <c r="E35" s="3">
        <f>IF(ISNA(MATCH(1,INDEX(EXACT('Asignaturas'!$A$4:$A$18,$D35)*1,0),0)),"",IF(ISBLANK(INDEX('Asignaturas'!$B$4:$B$18,MATCH(1,INDEX(EXACT('Asignaturas'!$A$4:$A$18,$D35)*1,0),0))),"",INDEX('Asignaturas'!$B$4:$B$18,MATCH(1,INDEX(EXACT('Asignaturas'!$A$4:$A$18,$D35)*1,0),0))))</f>
        <v/>
      </c>
      <c r="F35" s="3">
        <f>IF(ISNA(MATCH(1,INDEX(1*(EXACT('Frecuencias por grupo'!$A$4:$A$33,$A35))*(EXACT('Frecuencias por grupo'!$B$4:$B$33,$D35)),0),0)),"",IF(ISBLANK(INDEX('Frecuencias por grupo'!$C$4:$C$33,MATCH(1,INDEX(1*(EXACT('Frecuencias por grupo'!$A$4:$A$33,$A35))*(EXACT('Frecuencias por grupo'!$B$4:$B$33,$D35)),0),0))),"",INDEX('Frecuencias por grupo'!$C$4:$C$33,MATCH(1,INDEX(1*(EXACT('Frecuencias por grupo'!$A$4:$A$33,$A35))*(EXACT('Frecuencias por grupo'!$B$4:$B$33,$D35)),0),0))))</f>
        <v/>
      </c>
      <c r="G35" s="3">
        <f>IF(ISNA(MATCH(1,INDEX(EXACT('Asignaturas'!$A$4:$A$18,$D35)*1,0),0)),"",IF(ISBLANK(INDEX('Asignaturas'!$G$4:$G$18,MATCH(1,INDEX(EXACT('Asignaturas'!$A$4:$A$18,$D35)*1,0),0))),"",INDEX('Asignaturas'!$G$4:$G$18,MATCH(1,INDEX(EXACT('Asignaturas'!$A$4:$A$18,$D35)*1,0),0))))</f>
        <v/>
      </c>
      <c r="H35" s="3">
        <f>IF(($D35=""),"",IF(($G35=""),("Aula "&amp;IF(ISNUMBER($A35),IF($A35=0,"0",ROUND($A35,9-INT(LOG10(ABS($A35))))&amp;""),$A35&amp;"")),$G35))</f>
        <v/>
      </c>
      <c r="I35" s="3">
        <f>IF(ISNA(MATCH(1,INDEX(EXACT('Asignaturas'!$A$4:$A$18,$D35)*1,0),0)),"no",IF(ISBLANK(INDEX('Asignaturas'!$D$4:$D$18,MATCH(1,INDEX(EXACT('Asignaturas'!$A$4:$A$18,$D35)*1,0),0))),"",INDEX('Asignaturas'!$D$4:$D$18,MATCH(1,INDEX(EXACT('Asignaturas'!$A$4:$A$18,$D35)*1,0),0))))</f>
        <v/>
      </c>
      <c r="J35" s="3">
        <f>IF(ISNA(MATCH(1,INDEX(EXACT('Asignaturas'!$A$4:$A$18,$D35)*1,0),0)),"no",IF(ISBLANK(INDEX('Asignaturas'!$E$4:$E$18,MATCH(1,INDEX(EXACT('Asignaturas'!$A$4:$A$18,$D35)*1,0),0))),"",INDEX('Asignaturas'!$E$4:$E$18,MATCH(1,INDEX(EXACT('Asignaturas'!$A$4:$A$18,$D35)*1,0),0))))</f>
        <v/>
      </c>
      <c r="K35" s="3">
        <f>IF(ISNA(MATCH(1,INDEX(EXACT('Asignaturas'!$A$4:$A$18,$D35)*1,0),0)),"",IF(ISBLANK(INDEX('Asignaturas'!$F$4:$F$18,MATCH(1,INDEX(EXACT('Asignaturas'!$A$4:$A$18,$D35)*1,0),0))),"",INDEX('Asignaturas'!$F$4:$F$18,MATCH(1,INDEX(EXACT('Asignaturas'!$A$4:$A$18,$D35)*1,0),0))))</f>
        <v/>
      </c>
      <c r="L35" s="3">
        <f>IF(ISNA(MATCH(1,INDEX(EXACT('Profesores'!$A$4:$A$33,$F35)*1,0),0)),"no",IF(ISBLANK(INDEX('Profesores'!$B$4:$B$33,MATCH(1,INDEX(EXACT('Profesores'!$A$4:$A$33,$F35)*1,0),0))),"",INDEX('Profesores'!$B$4:$B$33,MATCH(1,INDEX(EXACT('Profesores'!$A$4:$A$33,$F35)*1,0),0))))</f>
        <v/>
      </c>
      <c r="M35" s="3">
        <f>IF(ISNA(MATCH(1,INDEX(EXACT('Profesores'!$A$4:$A$33,$F35)*1,0),0)),"no",IF(ISBLANK(INDEX('Profesores'!$C$4:$C$33,MATCH(1,INDEX(EXACT('Profesores'!$A$4:$A$33,$F35)*1,0),0))),"",INDEX('Profesores'!$C$4:$C$33,MATCH(1,INDEX(EXACT('Profesores'!$A$4:$A$33,$F35)*1,0),0))))</f>
        <v/>
      </c>
      <c r="N35" s="3">
        <f>IF(ISNA(MATCH(1,INDEX(1*((('Dias que asisten los contratado'!$A$4:$A$4&lt;&gt;"")+('Dias que asisten los contratado'!$B$4:$B$4&lt;&gt;""))&gt;0)*(EXACT('Dias que asisten los contratado'!$A$4:$A$4,$F35))*(EXACT('Dias que asisten los contratado'!$B$4:$B$4,$B35)),0),0)),"no",IF(ISBLANK(INDEX('Dias que asisten los contratado'!$C$4:$C$4,MATCH(1,INDEX(1*((('Dias que asisten los contratado'!$A$4:$A$4&lt;&gt;"")+('Dias que asisten los contratado'!$B$4:$B$4&lt;&gt;""))&gt;0)*(EXACT('Dias que asisten los contratado'!$A$4:$A$4,$F35))*(EXACT('Dias que asisten los contratado'!$B$4:$B$4,$B35)),0),0))),"",INDEX('Dias que asisten los contratado'!$C$4:$C$4,MATCH(1,INDEX(1*((('Dias que asisten los contratado'!$A$4:$A$4&lt;&gt;"")+('Dias que asisten los contratado'!$B$4:$B$4&lt;&gt;""))&gt;0)*(EXACT('Dias que asisten los contratado'!$A$4:$A$4,$F35))*(EXACT('Dias que asisten los contratado'!$B$4:$B$4,$B35)),0),0))))</f>
        <v/>
      </c>
      <c r="O35" s="3">
        <f>IF(AND(NOT(($D35="")),(SUMPRODUCT(1*((EXACT('Casillas del horario'!$A$4:$A$73,$A35)))*((EXACT('Casillas del horario'!$B$4:$B$73,$B35)))*((EXACT('Casillas del horario'!$D$4:$D$73,$D35)))*(((((EXACT($I35,"no")))+((NOT(EXACT('Casillas del horario'!$C$4:$C$73,(IFERROR(VALUE($C35&amp;""),0)+1))))*(NOT(EXACT('Casillas del horario'!$C$4:$C$73,(IFERROR(VALUE($C35&amp;""),0)-1))))))&gt;0))*((ROW('Casillas del horario'!$A$4:$A$73)&lt;&gt;ROW($A35))))&gt;0)),"si","no")</f>
        <v/>
      </c>
      <c r="P35" s="3">
        <f>MID(IF(AND(NOT(($D35="")),(SUMPRODUCT(1*((EXACT('Casillas del horario'!$B$4:$B$73,$B35)))*((EXACT('Casillas del horario'!$C$4:$C$73,$C35)))*((EXACT('Casillas del horario'!$F$4:$F$73,$F35)))*((ROW('Casillas del horario'!$A$4:$A$73)&lt;&gt;ROW($A35))))&gt;0)),"; "&amp;"Este profesor ya da clase a otro grupo en este mismo turno","")&amp;IF(AND(NOT(($D35="")),(SUMPRODUCT(1*((EXACT('Casillas del horario'!$B$4:$B$73,$B35)))*((EXACT('Casillas del horario'!$C$4:$C$73,$C35)))*((EXACT('Casillas del horario'!$H$4:$H$73,$H35)))*((ROW('Casillas del horario'!$A$4:$A$73)&lt;&gt;ROW($A35))))&gt;0)),"; "&amp;"Ese local esta ocupado por otro grupo a esa hora","")&amp;IF(EXACT($O35,"si"),"; "&amp;IF(ISNUMBER(IF(EXACT($I35,"no"),"Esta asignatura no admite turno doble y repite el dia en este grupo","Esta asignatura repite el dia en este grupo sin ser en turnos seguidos")),IF(IF(EXACT($I35,"no"),"Esta asignatura no admite turno doble y repite el dia en este grupo","Esta asignatura repite el dia en este grupo sin ser en turnos seguidos")=0,"0",ROUND(IF(EXACT($I35,"no"),"Esta asignatura no admite turno doble y repite el dia en este grupo","Esta asignatura repite el dia en este grupo sin ser en turnos seguidos"),9-INT(LOG10(ABS(IF(EXACT($I35,"no"),"Esta asignatura no admite turno doble y repite el dia en este grupo","Esta asignatura repite el dia en este grupo sin ser en turnos seguidos")))))&amp;""),IF(EXACT($I35,"no"),"Esta asignatura no admite turno doble y repite el dia en este grupo","Esta asignatura repite el dia en este grupo sin ser en turnos seguidos")&amp;""),"")&amp;IF(AND(NOT(($D35="")),EXACT($B35,$K35)),"; "&amp;"Es el dia de preparacion de la asignatura","")&amp;IF(AND(EXACT($D35,"EF"),(IFERROR(VALUE($C35&amp;""),0)&gt;3)),"; "&amp;"Educacion Fisica no puede caer despues del tercer turno","")&amp;IF(AND(NOT(($D35="")),EXACT($J35,"no"),(IFERROR(VALUE($C35&amp;""),0)&gt;6)),"; "&amp;"Esta asignatura no admite turnos de tarde","")&amp;IF(AND(NOT(($D35="")),EXACT($L35,"si"),EXACT($N35,"no")),"; "&amp;"Este profesor esta contratado y no asiste al centro este dia","")&amp;IF(AND(NOT(($D35="")),EXACT($M35,"si"),EXACT($C35,1)),"; "&amp;"Se preferiria no darle el primer turno a un profesor que vive lejos","")&amp;IF(($D35=""),"; "&amp;"Turno sin asignar",""),3,32767)</f>
        <v/>
      </c>
      <c r="Q35" s="3">
        <f>IF(OR(AND(NOT(($D35="")),(SUMPRODUCT(1*((EXACT('Casillas del horario'!$B$4:$B$73,$B35)))*((EXACT('Casillas del horario'!$C$4:$C$73,$C35)))*((EXACT('Casillas del horario'!$F$4:$F$73,$F35)))*((ROW('Casillas del horario'!$A$4:$A$73)&lt;&gt;ROW($A35))))&gt;0)),AND(NOT(($D35="")),(SUMPRODUCT(1*((EXACT('Casillas del horario'!$B$4:$B$73,$B35)))*((EXACT('Casillas del horario'!$C$4:$C$73,$C35)))*((EXACT('Casillas del horario'!$H$4:$H$73,$H35)))*((ROW('Casillas del horario'!$A$4:$A$73)&lt;&gt;ROW($A35))))&gt;0)),EXACT($O35,"si"),AND(NOT(($D35="")),EXACT($B35,$K35)),AND(EXACT($D35,"EF"),(IFERROR(VALUE($C35&amp;""),0)&gt;3)),AND(NOT(($D35="")),EXACT($J35,"no"),(IFERROR(VALUE($C35&amp;""),0)&gt;6)),AND(NOT(($D35="")),EXACT($L35,"si"),EXACT($N35,"no"))),3,IF(OR(AND(NOT(($D35="")),EXACT($M35,"si"),EXACT($C35,1))),2,IF(OR(($D35="")),1,0)))</f>
        <v/>
      </c>
      <c r="R35" s="3">
        <f>$A35&amp;CHAR(31)&amp;$C35&amp;CHAR(31)&amp;$B35</f>
        <v/>
      </c>
      <c r="S35" s="3">
        <f>$F35&amp;CHAR(31)&amp;$C35&amp;CHAR(31)&amp;$B35</f>
        <v/>
      </c>
      <c r="T35" s="3">
        <f>$H35&amp;CHAR(31)&amp;$C35&amp;CHAR(31)&amp;$B35</f>
        <v/>
      </c>
    </row>
    <row r="36">
      <c r="A36" s="3" t="inlineStr">
        <is>
          <t>10-3</t>
        </is>
      </c>
      <c r="B36" s="3" t="inlineStr">
        <is>
          <t>MI</t>
        </is>
      </c>
      <c r="C36" s="3" t="n">
        <v>4</v>
      </c>
      <c r="D36" s="4" t="inlineStr">
        <is>
          <t>H</t>
        </is>
      </c>
      <c r="E36" s="3">
        <f>IF(ISNA(MATCH(1,INDEX(EXACT('Asignaturas'!$A$4:$A$18,$D36)*1,0),0)),"",IF(ISBLANK(INDEX('Asignaturas'!$B$4:$B$18,MATCH(1,INDEX(EXACT('Asignaturas'!$A$4:$A$18,$D36)*1,0),0))),"",INDEX('Asignaturas'!$B$4:$B$18,MATCH(1,INDEX(EXACT('Asignaturas'!$A$4:$A$18,$D36)*1,0),0))))</f>
        <v/>
      </c>
      <c r="F36" s="3">
        <f>IF(ISNA(MATCH(1,INDEX(1*(EXACT('Frecuencias por grupo'!$A$4:$A$33,$A36))*(EXACT('Frecuencias por grupo'!$B$4:$B$33,$D36)),0),0)),"",IF(ISBLANK(INDEX('Frecuencias por grupo'!$C$4:$C$33,MATCH(1,INDEX(1*(EXACT('Frecuencias por grupo'!$A$4:$A$33,$A36))*(EXACT('Frecuencias por grupo'!$B$4:$B$33,$D36)),0),0))),"",INDEX('Frecuencias por grupo'!$C$4:$C$33,MATCH(1,INDEX(1*(EXACT('Frecuencias por grupo'!$A$4:$A$33,$A36))*(EXACT('Frecuencias por grupo'!$B$4:$B$33,$D36)),0),0))))</f>
        <v/>
      </c>
      <c r="G36" s="3">
        <f>IF(ISNA(MATCH(1,INDEX(EXACT('Asignaturas'!$A$4:$A$18,$D36)*1,0),0)),"",IF(ISBLANK(INDEX('Asignaturas'!$G$4:$G$18,MATCH(1,INDEX(EXACT('Asignaturas'!$A$4:$A$18,$D36)*1,0),0))),"",INDEX('Asignaturas'!$G$4:$G$18,MATCH(1,INDEX(EXACT('Asignaturas'!$A$4:$A$18,$D36)*1,0),0))))</f>
        <v/>
      </c>
      <c r="H36" s="3">
        <f>IF(($D36=""),"",IF(($G36=""),("Aula "&amp;IF(ISNUMBER($A36),IF($A36=0,"0",ROUND($A36,9-INT(LOG10(ABS($A36))))&amp;""),$A36&amp;"")),$G36))</f>
        <v/>
      </c>
      <c r="I36" s="3">
        <f>IF(ISNA(MATCH(1,INDEX(EXACT('Asignaturas'!$A$4:$A$18,$D36)*1,0),0)),"no",IF(ISBLANK(INDEX('Asignaturas'!$D$4:$D$18,MATCH(1,INDEX(EXACT('Asignaturas'!$A$4:$A$18,$D36)*1,0),0))),"",INDEX('Asignaturas'!$D$4:$D$18,MATCH(1,INDEX(EXACT('Asignaturas'!$A$4:$A$18,$D36)*1,0),0))))</f>
        <v/>
      </c>
      <c r="J36" s="3">
        <f>IF(ISNA(MATCH(1,INDEX(EXACT('Asignaturas'!$A$4:$A$18,$D36)*1,0),0)),"no",IF(ISBLANK(INDEX('Asignaturas'!$E$4:$E$18,MATCH(1,INDEX(EXACT('Asignaturas'!$A$4:$A$18,$D36)*1,0),0))),"",INDEX('Asignaturas'!$E$4:$E$18,MATCH(1,INDEX(EXACT('Asignaturas'!$A$4:$A$18,$D36)*1,0),0))))</f>
        <v/>
      </c>
      <c r="K36" s="3">
        <f>IF(ISNA(MATCH(1,INDEX(EXACT('Asignaturas'!$A$4:$A$18,$D36)*1,0),0)),"",IF(ISBLANK(INDEX('Asignaturas'!$F$4:$F$18,MATCH(1,INDEX(EXACT('Asignaturas'!$A$4:$A$18,$D36)*1,0),0))),"",INDEX('Asignaturas'!$F$4:$F$18,MATCH(1,INDEX(EXACT('Asignaturas'!$A$4:$A$18,$D36)*1,0),0))))</f>
        <v/>
      </c>
      <c r="L36" s="3">
        <f>IF(ISNA(MATCH(1,INDEX(EXACT('Profesores'!$A$4:$A$33,$F36)*1,0),0)),"no",IF(ISBLANK(INDEX('Profesores'!$B$4:$B$33,MATCH(1,INDEX(EXACT('Profesores'!$A$4:$A$33,$F36)*1,0),0))),"",INDEX('Profesores'!$B$4:$B$33,MATCH(1,INDEX(EXACT('Profesores'!$A$4:$A$33,$F36)*1,0),0))))</f>
        <v/>
      </c>
      <c r="M36" s="3">
        <f>IF(ISNA(MATCH(1,INDEX(EXACT('Profesores'!$A$4:$A$33,$F36)*1,0),0)),"no",IF(ISBLANK(INDEX('Profesores'!$C$4:$C$33,MATCH(1,INDEX(EXACT('Profesores'!$A$4:$A$33,$F36)*1,0),0))),"",INDEX('Profesores'!$C$4:$C$33,MATCH(1,INDEX(EXACT('Profesores'!$A$4:$A$33,$F36)*1,0),0))))</f>
        <v/>
      </c>
      <c r="N36" s="3">
        <f>IF(ISNA(MATCH(1,INDEX(1*((('Dias que asisten los contratado'!$A$4:$A$4&lt;&gt;"")+('Dias que asisten los contratado'!$B$4:$B$4&lt;&gt;""))&gt;0)*(EXACT('Dias que asisten los contratado'!$A$4:$A$4,$F36))*(EXACT('Dias que asisten los contratado'!$B$4:$B$4,$B36)),0),0)),"no",IF(ISBLANK(INDEX('Dias que asisten los contratado'!$C$4:$C$4,MATCH(1,INDEX(1*((('Dias que asisten los contratado'!$A$4:$A$4&lt;&gt;"")+('Dias que asisten los contratado'!$B$4:$B$4&lt;&gt;""))&gt;0)*(EXACT('Dias que asisten los contratado'!$A$4:$A$4,$F36))*(EXACT('Dias que asisten los contratado'!$B$4:$B$4,$B36)),0),0))),"",INDEX('Dias que asisten los contratado'!$C$4:$C$4,MATCH(1,INDEX(1*((('Dias que asisten los contratado'!$A$4:$A$4&lt;&gt;"")+('Dias que asisten los contratado'!$B$4:$B$4&lt;&gt;""))&gt;0)*(EXACT('Dias que asisten los contratado'!$A$4:$A$4,$F36))*(EXACT('Dias que asisten los contratado'!$B$4:$B$4,$B36)),0),0))))</f>
        <v/>
      </c>
      <c r="O36" s="3">
        <f>IF(AND(NOT(($D36="")),(SUMPRODUCT(1*((EXACT('Casillas del horario'!$A$4:$A$73,$A36)))*((EXACT('Casillas del horario'!$B$4:$B$73,$B36)))*((EXACT('Casillas del horario'!$D$4:$D$73,$D36)))*(((((EXACT($I36,"no")))+((NOT(EXACT('Casillas del horario'!$C$4:$C$73,(IFERROR(VALUE($C36&amp;""),0)+1))))*(NOT(EXACT('Casillas del horario'!$C$4:$C$73,(IFERROR(VALUE($C36&amp;""),0)-1))))))&gt;0))*((ROW('Casillas del horario'!$A$4:$A$73)&lt;&gt;ROW($A36))))&gt;0)),"si","no")</f>
        <v/>
      </c>
      <c r="P36" s="3">
        <f>MID(IF(AND(NOT(($D36="")),(SUMPRODUCT(1*((EXACT('Casillas del horario'!$B$4:$B$73,$B36)))*((EXACT('Casillas del horario'!$C$4:$C$73,$C36)))*((EXACT('Casillas del horario'!$F$4:$F$73,$F36)))*((ROW('Casillas del horario'!$A$4:$A$73)&lt;&gt;ROW($A36))))&gt;0)),"; "&amp;"Este profesor ya da clase a otro grupo en este mismo turno","")&amp;IF(AND(NOT(($D36="")),(SUMPRODUCT(1*((EXACT('Casillas del horario'!$B$4:$B$73,$B36)))*((EXACT('Casillas del horario'!$C$4:$C$73,$C36)))*((EXACT('Casillas del horario'!$H$4:$H$73,$H36)))*((ROW('Casillas del horario'!$A$4:$A$73)&lt;&gt;ROW($A36))))&gt;0)),"; "&amp;"Ese local esta ocupado por otro grupo a esa hora","")&amp;IF(EXACT($O36,"si"),"; "&amp;IF(ISNUMBER(IF(EXACT($I36,"no"),"Esta asignatura no admite turno doble y repite el dia en este grupo","Esta asignatura repite el dia en este grupo sin ser en turnos seguidos")),IF(IF(EXACT($I36,"no"),"Esta asignatura no admite turno doble y repite el dia en este grupo","Esta asignatura repite el dia en este grupo sin ser en turnos seguidos")=0,"0",ROUND(IF(EXACT($I36,"no"),"Esta asignatura no admite turno doble y repite el dia en este grupo","Esta asignatura repite el dia en este grupo sin ser en turnos seguidos"),9-INT(LOG10(ABS(IF(EXACT($I36,"no"),"Esta asignatura no admite turno doble y repite el dia en este grupo","Esta asignatura repite el dia en este grupo sin ser en turnos seguidos")))))&amp;""),IF(EXACT($I36,"no"),"Esta asignatura no admite turno doble y repite el dia en este grupo","Esta asignatura repite el dia en este grupo sin ser en turnos seguidos")&amp;""),"")&amp;IF(AND(NOT(($D36="")),EXACT($B36,$K36)),"; "&amp;"Es el dia de preparacion de la asignatura","")&amp;IF(AND(EXACT($D36,"EF"),(IFERROR(VALUE($C36&amp;""),0)&gt;3)),"; "&amp;"Educacion Fisica no puede caer despues del tercer turno","")&amp;IF(AND(NOT(($D36="")),EXACT($J36,"no"),(IFERROR(VALUE($C36&amp;""),0)&gt;6)),"; "&amp;"Esta asignatura no admite turnos de tarde","")&amp;IF(AND(NOT(($D36="")),EXACT($L36,"si"),EXACT($N36,"no")),"; "&amp;"Este profesor esta contratado y no asiste al centro este dia","")&amp;IF(AND(NOT(($D36="")),EXACT($M36,"si"),EXACT($C36,1)),"; "&amp;"Se preferiria no darle el primer turno a un profesor que vive lejos","")&amp;IF(($D36=""),"; "&amp;"Turno sin asignar",""),3,32767)</f>
        <v/>
      </c>
      <c r="Q36" s="3">
        <f>IF(OR(AND(NOT(($D36="")),(SUMPRODUCT(1*((EXACT('Casillas del horario'!$B$4:$B$73,$B36)))*((EXACT('Casillas del horario'!$C$4:$C$73,$C36)))*((EXACT('Casillas del horario'!$F$4:$F$73,$F36)))*((ROW('Casillas del horario'!$A$4:$A$73)&lt;&gt;ROW($A36))))&gt;0)),AND(NOT(($D36="")),(SUMPRODUCT(1*((EXACT('Casillas del horario'!$B$4:$B$73,$B36)))*((EXACT('Casillas del horario'!$C$4:$C$73,$C36)))*((EXACT('Casillas del horario'!$H$4:$H$73,$H36)))*((ROW('Casillas del horario'!$A$4:$A$73)&lt;&gt;ROW($A36))))&gt;0)),EXACT($O36,"si"),AND(NOT(($D36="")),EXACT($B36,$K36)),AND(EXACT($D36,"EF"),(IFERROR(VALUE($C36&amp;""),0)&gt;3)),AND(NOT(($D36="")),EXACT($J36,"no"),(IFERROR(VALUE($C36&amp;""),0)&gt;6)),AND(NOT(($D36="")),EXACT($L36,"si"),EXACT($N36,"no"))),3,IF(OR(AND(NOT(($D36="")),EXACT($M36,"si"),EXACT($C36,1))),2,IF(OR(($D36="")),1,0)))</f>
        <v/>
      </c>
      <c r="R36" s="3">
        <f>$A36&amp;CHAR(31)&amp;$C36&amp;CHAR(31)&amp;$B36</f>
        <v/>
      </c>
      <c r="S36" s="3">
        <f>$F36&amp;CHAR(31)&amp;$C36&amp;CHAR(31)&amp;$B36</f>
        <v/>
      </c>
      <c r="T36" s="3">
        <f>$H36&amp;CHAR(31)&amp;$C36&amp;CHAR(31)&amp;$B36</f>
        <v/>
      </c>
    </row>
    <row r="37">
      <c r="A37" s="3" t="inlineStr">
        <is>
          <t>10-3</t>
        </is>
      </c>
      <c r="B37" s="3" t="inlineStr">
        <is>
          <t>J</t>
        </is>
      </c>
      <c r="C37" s="3" t="n">
        <v>4</v>
      </c>
      <c r="D37" s="4" t="inlineStr">
        <is>
          <t>Lit-L</t>
        </is>
      </c>
      <c r="E37" s="3">
        <f>IF(ISNA(MATCH(1,INDEX(EXACT('Asignaturas'!$A$4:$A$18,$D37)*1,0),0)),"",IF(ISBLANK(INDEX('Asignaturas'!$B$4:$B$18,MATCH(1,INDEX(EXACT('Asignaturas'!$A$4:$A$18,$D37)*1,0),0))),"",INDEX('Asignaturas'!$B$4:$B$18,MATCH(1,INDEX(EXACT('Asignaturas'!$A$4:$A$18,$D37)*1,0),0))))</f>
        <v/>
      </c>
      <c r="F37" s="3">
        <f>IF(ISNA(MATCH(1,INDEX(1*(EXACT('Frecuencias por grupo'!$A$4:$A$33,$A37))*(EXACT('Frecuencias por grupo'!$B$4:$B$33,$D37)),0),0)),"",IF(ISBLANK(INDEX('Frecuencias por grupo'!$C$4:$C$33,MATCH(1,INDEX(1*(EXACT('Frecuencias por grupo'!$A$4:$A$33,$A37))*(EXACT('Frecuencias por grupo'!$B$4:$B$33,$D37)),0),0))),"",INDEX('Frecuencias por grupo'!$C$4:$C$33,MATCH(1,INDEX(1*(EXACT('Frecuencias por grupo'!$A$4:$A$33,$A37))*(EXACT('Frecuencias por grupo'!$B$4:$B$33,$D37)),0),0))))</f>
        <v/>
      </c>
      <c r="G37" s="3">
        <f>IF(ISNA(MATCH(1,INDEX(EXACT('Asignaturas'!$A$4:$A$18,$D37)*1,0),0)),"",IF(ISBLANK(INDEX('Asignaturas'!$G$4:$G$18,MATCH(1,INDEX(EXACT('Asignaturas'!$A$4:$A$18,$D37)*1,0),0))),"",INDEX('Asignaturas'!$G$4:$G$18,MATCH(1,INDEX(EXACT('Asignaturas'!$A$4:$A$18,$D37)*1,0),0))))</f>
        <v/>
      </c>
      <c r="H37" s="3">
        <f>IF(($D37=""),"",IF(($G37=""),("Aula "&amp;IF(ISNUMBER($A37),IF($A37=0,"0",ROUND($A37,9-INT(LOG10(ABS($A37))))&amp;""),$A37&amp;"")),$G37))</f>
        <v/>
      </c>
      <c r="I37" s="3">
        <f>IF(ISNA(MATCH(1,INDEX(EXACT('Asignaturas'!$A$4:$A$18,$D37)*1,0),0)),"no",IF(ISBLANK(INDEX('Asignaturas'!$D$4:$D$18,MATCH(1,INDEX(EXACT('Asignaturas'!$A$4:$A$18,$D37)*1,0),0))),"",INDEX('Asignaturas'!$D$4:$D$18,MATCH(1,INDEX(EXACT('Asignaturas'!$A$4:$A$18,$D37)*1,0),0))))</f>
        <v/>
      </c>
      <c r="J37" s="3">
        <f>IF(ISNA(MATCH(1,INDEX(EXACT('Asignaturas'!$A$4:$A$18,$D37)*1,0),0)),"no",IF(ISBLANK(INDEX('Asignaturas'!$E$4:$E$18,MATCH(1,INDEX(EXACT('Asignaturas'!$A$4:$A$18,$D37)*1,0),0))),"",INDEX('Asignaturas'!$E$4:$E$18,MATCH(1,INDEX(EXACT('Asignaturas'!$A$4:$A$18,$D37)*1,0),0))))</f>
        <v/>
      </c>
      <c r="K37" s="3">
        <f>IF(ISNA(MATCH(1,INDEX(EXACT('Asignaturas'!$A$4:$A$18,$D37)*1,0),0)),"",IF(ISBLANK(INDEX('Asignaturas'!$F$4:$F$18,MATCH(1,INDEX(EXACT('Asignaturas'!$A$4:$A$18,$D37)*1,0),0))),"",INDEX('Asignaturas'!$F$4:$F$18,MATCH(1,INDEX(EXACT('Asignaturas'!$A$4:$A$18,$D37)*1,0),0))))</f>
        <v/>
      </c>
      <c r="L37" s="3">
        <f>IF(ISNA(MATCH(1,INDEX(EXACT('Profesores'!$A$4:$A$33,$F37)*1,0),0)),"no",IF(ISBLANK(INDEX('Profesores'!$B$4:$B$33,MATCH(1,INDEX(EXACT('Profesores'!$A$4:$A$33,$F37)*1,0),0))),"",INDEX('Profesores'!$B$4:$B$33,MATCH(1,INDEX(EXACT('Profesores'!$A$4:$A$33,$F37)*1,0),0))))</f>
        <v/>
      </c>
      <c r="M37" s="3">
        <f>IF(ISNA(MATCH(1,INDEX(EXACT('Profesores'!$A$4:$A$33,$F37)*1,0),0)),"no",IF(ISBLANK(INDEX('Profesores'!$C$4:$C$33,MATCH(1,INDEX(EXACT('Profesores'!$A$4:$A$33,$F37)*1,0),0))),"",INDEX('Profesores'!$C$4:$C$33,MATCH(1,INDEX(EXACT('Profesores'!$A$4:$A$33,$F37)*1,0),0))))</f>
        <v/>
      </c>
      <c r="N37" s="3">
        <f>IF(ISNA(MATCH(1,INDEX(1*((('Dias que asisten los contratado'!$A$4:$A$4&lt;&gt;"")+('Dias que asisten los contratado'!$B$4:$B$4&lt;&gt;""))&gt;0)*(EXACT('Dias que asisten los contratado'!$A$4:$A$4,$F37))*(EXACT('Dias que asisten los contratado'!$B$4:$B$4,$B37)),0),0)),"no",IF(ISBLANK(INDEX('Dias que asisten los contratado'!$C$4:$C$4,MATCH(1,INDEX(1*((('Dias que asisten los contratado'!$A$4:$A$4&lt;&gt;"")+('Dias que asisten los contratado'!$B$4:$B$4&lt;&gt;""))&gt;0)*(EXACT('Dias que asisten los contratado'!$A$4:$A$4,$F37))*(EXACT('Dias que asisten los contratado'!$B$4:$B$4,$B37)),0),0))),"",INDEX('Dias que asisten los contratado'!$C$4:$C$4,MATCH(1,INDEX(1*((('Dias que asisten los contratado'!$A$4:$A$4&lt;&gt;"")+('Dias que asisten los contratado'!$B$4:$B$4&lt;&gt;""))&gt;0)*(EXACT('Dias que asisten los contratado'!$A$4:$A$4,$F37))*(EXACT('Dias que asisten los contratado'!$B$4:$B$4,$B37)),0),0))))</f>
        <v/>
      </c>
      <c r="O37" s="3">
        <f>IF(AND(NOT(($D37="")),(SUMPRODUCT(1*((EXACT('Casillas del horario'!$A$4:$A$73,$A37)))*((EXACT('Casillas del horario'!$B$4:$B$73,$B37)))*((EXACT('Casillas del horario'!$D$4:$D$73,$D37)))*(((((EXACT($I37,"no")))+((NOT(EXACT('Casillas del horario'!$C$4:$C$73,(IFERROR(VALUE($C37&amp;""),0)+1))))*(NOT(EXACT('Casillas del horario'!$C$4:$C$73,(IFERROR(VALUE($C37&amp;""),0)-1))))))&gt;0))*((ROW('Casillas del horario'!$A$4:$A$73)&lt;&gt;ROW($A37))))&gt;0)),"si","no")</f>
        <v/>
      </c>
      <c r="P37" s="3">
        <f>MID(IF(AND(NOT(($D37="")),(SUMPRODUCT(1*((EXACT('Casillas del horario'!$B$4:$B$73,$B37)))*((EXACT('Casillas del horario'!$C$4:$C$73,$C37)))*((EXACT('Casillas del horario'!$F$4:$F$73,$F37)))*((ROW('Casillas del horario'!$A$4:$A$73)&lt;&gt;ROW($A37))))&gt;0)),"; "&amp;"Este profesor ya da clase a otro grupo en este mismo turno","")&amp;IF(AND(NOT(($D37="")),(SUMPRODUCT(1*((EXACT('Casillas del horario'!$B$4:$B$73,$B37)))*((EXACT('Casillas del horario'!$C$4:$C$73,$C37)))*((EXACT('Casillas del horario'!$H$4:$H$73,$H37)))*((ROW('Casillas del horario'!$A$4:$A$73)&lt;&gt;ROW($A37))))&gt;0)),"; "&amp;"Ese local esta ocupado por otro grupo a esa hora","")&amp;IF(EXACT($O37,"si"),"; "&amp;IF(ISNUMBER(IF(EXACT($I37,"no"),"Esta asignatura no admite turno doble y repite el dia en este grupo","Esta asignatura repite el dia en este grupo sin ser en turnos seguidos")),IF(IF(EXACT($I37,"no"),"Esta asignatura no admite turno doble y repite el dia en este grupo","Esta asignatura repite el dia en este grupo sin ser en turnos seguidos")=0,"0",ROUND(IF(EXACT($I37,"no"),"Esta asignatura no admite turno doble y repite el dia en este grupo","Esta asignatura repite el dia en este grupo sin ser en turnos seguidos"),9-INT(LOG10(ABS(IF(EXACT($I37,"no"),"Esta asignatura no admite turno doble y repite el dia en este grupo","Esta asignatura repite el dia en este grupo sin ser en turnos seguidos")))))&amp;""),IF(EXACT($I37,"no"),"Esta asignatura no admite turno doble y repite el dia en este grupo","Esta asignatura repite el dia en este grupo sin ser en turnos seguidos")&amp;""),"")&amp;IF(AND(NOT(($D37="")),EXACT($B37,$K37)),"; "&amp;"Es el dia de preparacion de la asignatura","")&amp;IF(AND(EXACT($D37,"EF"),(IFERROR(VALUE($C37&amp;""),0)&gt;3)),"; "&amp;"Educacion Fisica no puede caer despues del tercer turno","")&amp;IF(AND(NOT(($D37="")),EXACT($J37,"no"),(IFERROR(VALUE($C37&amp;""),0)&gt;6)),"; "&amp;"Esta asignatura no admite turnos de tarde","")&amp;IF(AND(NOT(($D37="")),EXACT($L37,"si"),EXACT($N37,"no")),"; "&amp;"Este profesor esta contratado y no asiste al centro este dia","")&amp;IF(AND(NOT(($D37="")),EXACT($M37,"si"),EXACT($C37,1)),"; "&amp;"Se preferiria no darle el primer turno a un profesor que vive lejos","")&amp;IF(($D37=""),"; "&amp;"Turno sin asignar",""),3,32767)</f>
        <v/>
      </c>
      <c r="Q37" s="3">
        <f>IF(OR(AND(NOT(($D37="")),(SUMPRODUCT(1*((EXACT('Casillas del horario'!$B$4:$B$73,$B37)))*((EXACT('Casillas del horario'!$C$4:$C$73,$C37)))*((EXACT('Casillas del horario'!$F$4:$F$73,$F37)))*((ROW('Casillas del horario'!$A$4:$A$73)&lt;&gt;ROW($A37))))&gt;0)),AND(NOT(($D37="")),(SUMPRODUCT(1*((EXACT('Casillas del horario'!$B$4:$B$73,$B37)))*((EXACT('Casillas del horario'!$C$4:$C$73,$C37)))*((EXACT('Casillas del horario'!$H$4:$H$73,$H37)))*((ROW('Casillas del horario'!$A$4:$A$73)&lt;&gt;ROW($A37))))&gt;0)),EXACT($O37,"si"),AND(NOT(($D37="")),EXACT($B37,$K37)),AND(EXACT($D37,"EF"),(IFERROR(VALUE($C37&amp;""),0)&gt;3)),AND(NOT(($D37="")),EXACT($J37,"no"),(IFERROR(VALUE($C37&amp;""),0)&gt;6)),AND(NOT(($D37="")),EXACT($L37,"si"),EXACT($N37,"no"))),3,IF(OR(AND(NOT(($D37="")),EXACT($M37,"si"),EXACT($C37,1))),2,IF(OR(($D37="")),1,0)))</f>
        <v/>
      </c>
      <c r="R37" s="3">
        <f>$A37&amp;CHAR(31)&amp;$C37&amp;CHAR(31)&amp;$B37</f>
        <v/>
      </c>
      <c r="S37" s="3">
        <f>$F37&amp;CHAR(31)&amp;$C37&amp;CHAR(31)&amp;$B37</f>
        <v/>
      </c>
      <c r="T37" s="3">
        <f>$H37&amp;CHAR(31)&amp;$C37&amp;CHAR(31)&amp;$B37</f>
        <v/>
      </c>
    </row>
    <row r="38">
      <c r="A38" s="3" t="inlineStr">
        <is>
          <t>10-3</t>
        </is>
      </c>
      <c r="B38" s="3" t="inlineStr">
        <is>
          <t>V</t>
        </is>
      </c>
      <c r="C38" s="3" t="n">
        <v>4</v>
      </c>
      <c r="D38" s="4" t="inlineStr">
        <is>
          <t>I</t>
        </is>
      </c>
      <c r="E38" s="3">
        <f>IF(ISNA(MATCH(1,INDEX(EXACT('Asignaturas'!$A$4:$A$18,$D38)*1,0),0)),"",IF(ISBLANK(INDEX('Asignaturas'!$B$4:$B$18,MATCH(1,INDEX(EXACT('Asignaturas'!$A$4:$A$18,$D38)*1,0),0))),"",INDEX('Asignaturas'!$B$4:$B$18,MATCH(1,INDEX(EXACT('Asignaturas'!$A$4:$A$18,$D38)*1,0),0))))</f>
        <v/>
      </c>
      <c r="F38" s="3">
        <f>IF(ISNA(MATCH(1,INDEX(1*(EXACT('Frecuencias por grupo'!$A$4:$A$33,$A38))*(EXACT('Frecuencias por grupo'!$B$4:$B$33,$D38)),0),0)),"",IF(ISBLANK(INDEX('Frecuencias por grupo'!$C$4:$C$33,MATCH(1,INDEX(1*(EXACT('Frecuencias por grupo'!$A$4:$A$33,$A38))*(EXACT('Frecuencias por grupo'!$B$4:$B$33,$D38)),0),0))),"",INDEX('Frecuencias por grupo'!$C$4:$C$33,MATCH(1,INDEX(1*(EXACT('Frecuencias por grupo'!$A$4:$A$33,$A38))*(EXACT('Frecuencias por grupo'!$B$4:$B$33,$D38)),0),0))))</f>
        <v/>
      </c>
      <c r="G38" s="3">
        <f>IF(ISNA(MATCH(1,INDEX(EXACT('Asignaturas'!$A$4:$A$18,$D38)*1,0),0)),"",IF(ISBLANK(INDEX('Asignaturas'!$G$4:$G$18,MATCH(1,INDEX(EXACT('Asignaturas'!$A$4:$A$18,$D38)*1,0),0))),"",INDEX('Asignaturas'!$G$4:$G$18,MATCH(1,INDEX(EXACT('Asignaturas'!$A$4:$A$18,$D38)*1,0),0))))</f>
        <v/>
      </c>
      <c r="H38" s="3">
        <f>IF(($D38=""),"",IF(($G38=""),("Aula "&amp;IF(ISNUMBER($A38),IF($A38=0,"0",ROUND($A38,9-INT(LOG10(ABS($A38))))&amp;""),$A38&amp;"")),$G38))</f>
        <v/>
      </c>
      <c r="I38" s="3">
        <f>IF(ISNA(MATCH(1,INDEX(EXACT('Asignaturas'!$A$4:$A$18,$D38)*1,0),0)),"no",IF(ISBLANK(INDEX('Asignaturas'!$D$4:$D$18,MATCH(1,INDEX(EXACT('Asignaturas'!$A$4:$A$18,$D38)*1,0),0))),"",INDEX('Asignaturas'!$D$4:$D$18,MATCH(1,INDEX(EXACT('Asignaturas'!$A$4:$A$18,$D38)*1,0),0))))</f>
        <v/>
      </c>
      <c r="J38" s="3">
        <f>IF(ISNA(MATCH(1,INDEX(EXACT('Asignaturas'!$A$4:$A$18,$D38)*1,0),0)),"no",IF(ISBLANK(INDEX('Asignaturas'!$E$4:$E$18,MATCH(1,INDEX(EXACT('Asignaturas'!$A$4:$A$18,$D38)*1,0),0))),"",INDEX('Asignaturas'!$E$4:$E$18,MATCH(1,INDEX(EXACT('Asignaturas'!$A$4:$A$18,$D38)*1,0),0))))</f>
        <v/>
      </c>
      <c r="K38" s="3">
        <f>IF(ISNA(MATCH(1,INDEX(EXACT('Asignaturas'!$A$4:$A$18,$D38)*1,0),0)),"",IF(ISBLANK(INDEX('Asignaturas'!$F$4:$F$18,MATCH(1,INDEX(EXACT('Asignaturas'!$A$4:$A$18,$D38)*1,0),0))),"",INDEX('Asignaturas'!$F$4:$F$18,MATCH(1,INDEX(EXACT('Asignaturas'!$A$4:$A$18,$D38)*1,0),0))))</f>
        <v/>
      </c>
      <c r="L38" s="3">
        <f>IF(ISNA(MATCH(1,INDEX(EXACT('Profesores'!$A$4:$A$33,$F38)*1,0),0)),"no",IF(ISBLANK(INDEX('Profesores'!$B$4:$B$33,MATCH(1,INDEX(EXACT('Profesores'!$A$4:$A$33,$F38)*1,0),0))),"",INDEX('Profesores'!$B$4:$B$33,MATCH(1,INDEX(EXACT('Profesores'!$A$4:$A$33,$F38)*1,0),0))))</f>
        <v/>
      </c>
      <c r="M38" s="3">
        <f>IF(ISNA(MATCH(1,INDEX(EXACT('Profesores'!$A$4:$A$33,$F38)*1,0),0)),"no",IF(ISBLANK(INDEX('Profesores'!$C$4:$C$33,MATCH(1,INDEX(EXACT('Profesores'!$A$4:$A$33,$F38)*1,0),0))),"",INDEX('Profesores'!$C$4:$C$33,MATCH(1,INDEX(EXACT('Profesores'!$A$4:$A$33,$F38)*1,0),0))))</f>
        <v/>
      </c>
      <c r="N38" s="3">
        <f>IF(ISNA(MATCH(1,INDEX(1*((('Dias que asisten los contratado'!$A$4:$A$4&lt;&gt;"")+('Dias que asisten los contratado'!$B$4:$B$4&lt;&gt;""))&gt;0)*(EXACT('Dias que asisten los contratado'!$A$4:$A$4,$F38))*(EXACT('Dias que asisten los contratado'!$B$4:$B$4,$B38)),0),0)),"no",IF(ISBLANK(INDEX('Dias que asisten los contratado'!$C$4:$C$4,MATCH(1,INDEX(1*((('Dias que asisten los contratado'!$A$4:$A$4&lt;&gt;"")+('Dias que asisten los contratado'!$B$4:$B$4&lt;&gt;""))&gt;0)*(EXACT('Dias que asisten los contratado'!$A$4:$A$4,$F38))*(EXACT('Dias que asisten los contratado'!$B$4:$B$4,$B38)),0),0))),"",INDEX('Dias que asisten los contratado'!$C$4:$C$4,MATCH(1,INDEX(1*((('Dias que asisten los contratado'!$A$4:$A$4&lt;&gt;"")+('Dias que asisten los contratado'!$B$4:$B$4&lt;&gt;""))&gt;0)*(EXACT('Dias que asisten los contratado'!$A$4:$A$4,$F38))*(EXACT('Dias que asisten los contratado'!$B$4:$B$4,$B38)),0),0))))</f>
        <v/>
      </c>
      <c r="O38" s="3">
        <f>IF(AND(NOT(($D38="")),(SUMPRODUCT(1*((EXACT('Casillas del horario'!$A$4:$A$73,$A38)))*((EXACT('Casillas del horario'!$B$4:$B$73,$B38)))*((EXACT('Casillas del horario'!$D$4:$D$73,$D38)))*(((((EXACT($I38,"no")))+((NOT(EXACT('Casillas del horario'!$C$4:$C$73,(IFERROR(VALUE($C38&amp;""),0)+1))))*(NOT(EXACT('Casillas del horario'!$C$4:$C$73,(IFERROR(VALUE($C38&amp;""),0)-1))))))&gt;0))*((ROW('Casillas del horario'!$A$4:$A$73)&lt;&gt;ROW($A38))))&gt;0)),"si","no")</f>
        <v/>
      </c>
      <c r="P38" s="3">
        <f>MID(IF(AND(NOT(($D38="")),(SUMPRODUCT(1*((EXACT('Casillas del horario'!$B$4:$B$73,$B38)))*((EXACT('Casillas del horario'!$C$4:$C$73,$C38)))*((EXACT('Casillas del horario'!$F$4:$F$73,$F38)))*((ROW('Casillas del horario'!$A$4:$A$73)&lt;&gt;ROW($A38))))&gt;0)),"; "&amp;"Este profesor ya da clase a otro grupo en este mismo turno","")&amp;IF(AND(NOT(($D38="")),(SUMPRODUCT(1*((EXACT('Casillas del horario'!$B$4:$B$73,$B38)))*((EXACT('Casillas del horario'!$C$4:$C$73,$C38)))*((EXACT('Casillas del horario'!$H$4:$H$73,$H38)))*((ROW('Casillas del horario'!$A$4:$A$73)&lt;&gt;ROW($A38))))&gt;0)),"; "&amp;"Ese local esta ocupado por otro grupo a esa hora","")&amp;IF(EXACT($O38,"si"),"; "&amp;IF(ISNUMBER(IF(EXACT($I38,"no"),"Esta asignatura no admite turno doble y repite el dia en este grupo","Esta asignatura repite el dia en este grupo sin ser en turnos seguidos")),IF(IF(EXACT($I38,"no"),"Esta asignatura no admite turno doble y repite el dia en este grupo","Esta asignatura repite el dia en este grupo sin ser en turnos seguidos")=0,"0",ROUND(IF(EXACT($I38,"no"),"Esta asignatura no admite turno doble y repite el dia en este grupo","Esta asignatura repite el dia en este grupo sin ser en turnos seguidos"),9-INT(LOG10(ABS(IF(EXACT($I38,"no"),"Esta asignatura no admite turno doble y repite el dia en este grupo","Esta asignatura repite el dia en este grupo sin ser en turnos seguidos")))))&amp;""),IF(EXACT($I38,"no"),"Esta asignatura no admite turno doble y repite el dia en este grupo","Esta asignatura repite el dia en este grupo sin ser en turnos seguidos")&amp;""),"")&amp;IF(AND(NOT(($D38="")),EXACT($B38,$K38)),"; "&amp;"Es el dia de preparacion de la asignatura","")&amp;IF(AND(EXACT($D38,"EF"),(IFERROR(VALUE($C38&amp;""),0)&gt;3)),"; "&amp;"Educacion Fisica no puede caer despues del tercer turno","")&amp;IF(AND(NOT(($D38="")),EXACT($J38,"no"),(IFERROR(VALUE($C38&amp;""),0)&gt;6)),"; "&amp;"Esta asignatura no admite turnos de tarde","")&amp;IF(AND(NOT(($D38="")),EXACT($L38,"si"),EXACT($N38,"no")),"; "&amp;"Este profesor esta contratado y no asiste al centro este dia","")&amp;IF(AND(NOT(($D38="")),EXACT($M38,"si"),EXACT($C38,1)),"; "&amp;"Se preferiria no darle el primer turno a un profesor que vive lejos","")&amp;IF(($D38=""),"; "&amp;"Turno sin asignar",""),3,32767)</f>
        <v/>
      </c>
      <c r="Q38" s="3">
        <f>IF(OR(AND(NOT(($D38="")),(SUMPRODUCT(1*((EXACT('Casillas del horario'!$B$4:$B$73,$B38)))*((EXACT('Casillas del horario'!$C$4:$C$73,$C38)))*((EXACT('Casillas del horario'!$F$4:$F$73,$F38)))*((ROW('Casillas del horario'!$A$4:$A$73)&lt;&gt;ROW($A38))))&gt;0)),AND(NOT(($D38="")),(SUMPRODUCT(1*((EXACT('Casillas del horario'!$B$4:$B$73,$B38)))*((EXACT('Casillas del horario'!$C$4:$C$73,$C38)))*((EXACT('Casillas del horario'!$H$4:$H$73,$H38)))*((ROW('Casillas del horario'!$A$4:$A$73)&lt;&gt;ROW($A38))))&gt;0)),EXACT($O38,"si"),AND(NOT(($D38="")),EXACT($B38,$K38)),AND(EXACT($D38,"EF"),(IFERROR(VALUE($C38&amp;""),0)&gt;3)),AND(NOT(($D38="")),EXACT($J38,"no"),(IFERROR(VALUE($C38&amp;""),0)&gt;6)),AND(NOT(($D38="")),EXACT($L38,"si"),EXACT($N38,"no"))),3,IF(OR(AND(NOT(($D38="")),EXACT($M38,"si"),EXACT($C38,1))),2,IF(OR(($D38="")),1,0)))</f>
        <v/>
      </c>
      <c r="R38" s="3">
        <f>$A38&amp;CHAR(31)&amp;$C38&amp;CHAR(31)&amp;$B38</f>
        <v/>
      </c>
      <c r="S38" s="3">
        <f>$F38&amp;CHAR(31)&amp;$C38&amp;CHAR(31)&amp;$B38</f>
        <v/>
      </c>
      <c r="T38" s="3">
        <f>$H38&amp;CHAR(31)&amp;$C38&amp;CHAR(31)&amp;$B38</f>
        <v/>
      </c>
    </row>
    <row r="39">
      <c r="A39" s="3" t="inlineStr">
        <is>
          <t>10-4</t>
        </is>
      </c>
      <c r="B39" s="3" t="inlineStr">
        <is>
          <t>L</t>
        </is>
      </c>
      <c r="C39" s="3" t="n">
        <v>4</v>
      </c>
      <c r="D39" s="4" t="inlineStr">
        <is>
          <t>CA</t>
        </is>
      </c>
      <c r="E39" s="3">
        <f>IF(ISNA(MATCH(1,INDEX(EXACT('Asignaturas'!$A$4:$A$18,$D39)*1,0),0)),"",IF(ISBLANK(INDEX('Asignaturas'!$B$4:$B$18,MATCH(1,INDEX(EXACT('Asignaturas'!$A$4:$A$18,$D39)*1,0),0))),"",INDEX('Asignaturas'!$B$4:$B$18,MATCH(1,INDEX(EXACT('Asignaturas'!$A$4:$A$18,$D39)*1,0),0))))</f>
        <v/>
      </c>
      <c r="F39" s="3">
        <f>IF(ISNA(MATCH(1,INDEX(1*(EXACT('Frecuencias por grupo'!$A$4:$A$33,$A39))*(EXACT('Frecuencias por grupo'!$B$4:$B$33,$D39)),0),0)),"",IF(ISBLANK(INDEX('Frecuencias por grupo'!$C$4:$C$33,MATCH(1,INDEX(1*(EXACT('Frecuencias por grupo'!$A$4:$A$33,$A39))*(EXACT('Frecuencias por grupo'!$B$4:$B$33,$D39)),0),0))),"",INDEX('Frecuencias por grupo'!$C$4:$C$33,MATCH(1,INDEX(1*(EXACT('Frecuencias por grupo'!$A$4:$A$33,$A39))*(EXACT('Frecuencias por grupo'!$B$4:$B$33,$D39)),0),0))))</f>
        <v/>
      </c>
      <c r="G39" s="3">
        <f>IF(ISNA(MATCH(1,INDEX(EXACT('Asignaturas'!$A$4:$A$18,$D39)*1,0),0)),"",IF(ISBLANK(INDEX('Asignaturas'!$G$4:$G$18,MATCH(1,INDEX(EXACT('Asignaturas'!$A$4:$A$18,$D39)*1,0),0))),"",INDEX('Asignaturas'!$G$4:$G$18,MATCH(1,INDEX(EXACT('Asignaturas'!$A$4:$A$18,$D39)*1,0),0))))</f>
        <v/>
      </c>
      <c r="H39" s="3">
        <f>IF(($D39=""),"",IF(($G39=""),("Aula "&amp;IF(ISNUMBER($A39),IF($A39=0,"0",ROUND($A39,9-INT(LOG10(ABS($A39))))&amp;""),$A39&amp;"")),$G39))</f>
        <v/>
      </c>
      <c r="I39" s="3">
        <f>IF(ISNA(MATCH(1,INDEX(EXACT('Asignaturas'!$A$4:$A$18,$D39)*1,0),0)),"no",IF(ISBLANK(INDEX('Asignaturas'!$D$4:$D$18,MATCH(1,INDEX(EXACT('Asignaturas'!$A$4:$A$18,$D39)*1,0),0))),"",INDEX('Asignaturas'!$D$4:$D$18,MATCH(1,INDEX(EXACT('Asignaturas'!$A$4:$A$18,$D39)*1,0),0))))</f>
        <v/>
      </c>
      <c r="J39" s="3">
        <f>IF(ISNA(MATCH(1,INDEX(EXACT('Asignaturas'!$A$4:$A$18,$D39)*1,0),0)),"no",IF(ISBLANK(INDEX('Asignaturas'!$E$4:$E$18,MATCH(1,INDEX(EXACT('Asignaturas'!$A$4:$A$18,$D39)*1,0),0))),"",INDEX('Asignaturas'!$E$4:$E$18,MATCH(1,INDEX(EXACT('Asignaturas'!$A$4:$A$18,$D39)*1,0),0))))</f>
        <v/>
      </c>
      <c r="K39" s="3">
        <f>IF(ISNA(MATCH(1,INDEX(EXACT('Asignaturas'!$A$4:$A$18,$D39)*1,0),0)),"",IF(ISBLANK(INDEX('Asignaturas'!$F$4:$F$18,MATCH(1,INDEX(EXACT('Asignaturas'!$A$4:$A$18,$D39)*1,0),0))),"",INDEX('Asignaturas'!$F$4:$F$18,MATCH(1,INDEX(EXACT('Asignaturas'!$A$4:$A$18,$D39)*1,0),0))))</f>
        <v/>
      </c>
      <c r="L39" s="3">
        <f>IF(ISNA(MATCH(1,INDEX(EXACT('Profesores'!$A$4:$A$33,$F39)*1,0),0)),"no",IF(ISBLANK(INDEX('Profesores'!$B$4:$B$33,MATCH(1,INDEX(EXACT('Profesores'!$A$4:$A$33,$F39)*1,0),0))),"",INDEX('Profesores'!$B$4:$B$33,MATCH(1,INDEX(EXACT('Profesores'!$A$4:$A$33,$F39)*1,0),0))))</f>
        <v/>
      </c>
      <c r="M39" s="3">
        <f>IF(ISNA(MATCH(1,INDEX(EXACT('Profesores'!$A$4:$A$33,$F39)*1,0),0)),"no",IF(ISBLANK(INDEX('Profesores'!$C$4:$C$33,MATCH(1,INDEX(EXACT('Profesores'!$A$4:$A$33,$F39)*1,0),0))),"",INDEX('Profesores'!$C$4:$C$33,MATCH(1,INDEX(EXACT('Profesores'!$A$4:$A$33,$F39)*1,0),0))))</f>
        <v/>
      </c>
      <c r="N39" s="3">
        <f>IF(ISNA(MATCH(1,INDEX(1*((('Dias que asisten los contratado'!$A$4:$A$4&lt;&gt;"")+('Dias que asisten los contratado'!$B$4:$B$4&lt;&gt;""))&gt;0)*(EXACT('Dias que asisten los contratado'!$A$4:$A$4,$F39))*(EXACT('Dias que asisten los contratado'!$B$4:$B$4,$B39)),0),0)),"no",IF(ISBLANK(INDEX('Dias que asisten los contratado'!$C$4:$C$4,MATCH(1,INDEX(1*((('Dias que asisten los contratado'!$A$4:$A$4&lt;&gt;"")+('Dias que asisten los contratado'!$B$4:$B$4&lt;&gt;""))&gt;0)*(EXACT('Dias que asisten los contratado'!$A$4:$A$4,$F39))*(EXACT('Dias que asisten los contratado'!$B$4:$B$4,$B39)),0),0))),"",INDEX('Dias que asisten los contratado'!$C$4:$C$4,MATCH(1,INDEX(1*((('Dias que asisten los contratado'!$A$4:$A$4&lt;&gt;"")+('Dias que asisten los contratado'!$B$4:$B$4&lt;&gt;""))&gt;0)*(EXACT('Dias que asisten los contratado'!$A$4:$A$4,$F39))*(EXACT('Dias que asisten los contratado'!$B$4:$B$4,$B39)),0),0))))</f>
        <v/>
      </c>
      <c r="O39" s="3">
        <f>IF(AND(NOT(($D39="")),(SUMPRODUCT(1*((EXACT('Casillas del horario'!$A$4:$A$73,$A39)))*((EXACT('Casillas del horario'!$B$4:$B$73,$B39)))*((EXACT('Casillas del horario'!$D$4:$D$73,$D39)))*(((((EXACT($I39,"no")))+((NOT(EXACT('Casillas del horario'!$C$4:$C$73,(IFERROR(VALUE($C39&amp;""),0)+1))))*(NOT(EXACT('Casillas del horario'!$C$4:$C$73,(IFERROR(VALUE($C39&amp;""),0)-1))))))&gt;0))*((ROW('Casillas del horario'!$A$4:$A$73)&lt;&gt;ROW($A39))))&gt;0)),"si","no")</f>
        <v/>
      </c>
      <c r="P39" s="3">
        <f>MID(IF(AND(NOT(($D39="")),(SUMPRODUCT(1*((EXACT('Casillas del horario'!$B$4:$B$73,$B39)))*((EXACT('Casillas del horario'!$C$4:$C$73,$C39)))*((EXACT('Casillas del horario'!$F$4:$F$73,$F39)))*((ROW('Casillas del horario'!$A$4:$A$73)&lt;&gt;ROW($A39))))&gt;0)),"; "&amp;"Este profesor ya da clase a otro grupo en este mismo turno","")&amp;IF(AND(NOT(($D39="")),(SUMPRODUCT(1*((EXACT('Casillas del horario'!$B$4:$B$73,$B39)))*((EXACT('Casillas del horario'!$C$4:$C$73,$C39)))*((EXACT('Casillas del horario'!$H$4:$H$73,$H39)))*((ROW('Casillas del horario'!$A$4:$A$73)&lt;&gt;ROW($A39))))&gt;0)),"; "&amp;"Ese local esta ocupado por otro grupo a esa hora","")&amp;IF(EXACT($O39,"si"),"; "&amp;IF(ISNUMBER(IF(EXACT($I39,"no"),"Esta asignatura no admite turno doble y repite el dia en este grupo","Esta asignatura repite el dia en este grupo sin ser en turnos seguidos")),IF(IF(EXACT($I39,"no"),"Esta asignatura no admite turno doble y repite el dia en este grupo","Esta asignatura repite el dia en este grupo sin ser en turnos seguidos")=0,"0",ROUND(IF(EXACT($I39,"no"),"Esta asignatura no admite turno doble y repite el dia en este grupo","Esta asignatura repite el dia en este grupo sin ser en turnos seguidos"),9-INT(LOG10(ABS(IF(EXACT($I39,"no"),"Esta asignatura no admite turno doble y repite el dia en este grupo","Esta asignatura repite el dia en este grupo sin ser en turnos seguidos")))))&amp;""),IF(EXACT($I39,"no"),"Esta asignatura no admite turno doble y repite el dia en este grupo","Esta asignatura repite el dia en este grupo sin ser en turnos seguidos")&amp;""),"")&amp;IF(AND(NOT(($D39="")),EXACT($B39,$K39)),"; "&amp;"Es el dia de preparacion de la asignatura","")&amp;IF(AND(EXACT($D39,"EF"),(IFERROR(VALUE($C39&amp;""),0)&gt;3)),"; "&amp;"Educacion Fisica no puede caer despues del tercer turno","")&amp;IF(AND(NOT(($D39="")),EXACT($J39,"no"),(IFERROR(VALUE($C39&amp;""),0)&gt;6)),"; "&amp;"Esta asignatura no admite turnos de tarde","")&amp;IF(AND(NOT(($D39="")),EXACT($L39,"si"),EXACT($N39,"no")),"; "&amp;"Este profesor esta contratado y no asiste al centro este dia","")&amp;IF(AND(NOT(($D39="")),EXACT($M39,"si"),EXACT($C39,1)),"; "&amp;"Se preferiria no darle el primer turno a un profesor que vive lejos","")&amp;IF(($D39=""),"; "&amp;"Turno sin asignar",""),3,32767)</f>
        <v/>
      </c>
      <c r="Q39" s="3">
        <f>IF(OR(AND(NOT(($D39="")),(SUMPRODUCT(1*((EXACT('Casillas del horario'!$B$4:$B$73,$B39)))*((EXACT('Casillas del horario'!$C$4:$C$73,$C39)))*((EXACT('Casillas del horario'!$F$4:$F$73,$F39)))*((ROW('Casillas del horario'!$A$4:$A$73)&lt;&gt;ROW($A39))))&gt;0)),AND(NOT(($D39="")),(SUMPRODUCT(1*((EXACT('Casillas del horario'!$B$4:$B$73,$B39)))*((EXACT('Casillas del horario'!$C$4:$C$73,$C39)))*((EXACT('Casillas del horario'!$H$4:$H$73,$H39)))*((ROW('Casillas del horario'!$A$4:$A$73)&lt;&gt;ROW($A39))))&gt;0)),EXACT($O39,"si"),AND(NOT(($D39="")),EXACT($B39,$K39)),AND(EXACT($D39,"EF"),(IFERROR(VALUE($C39&amp;""),0)&gt;3)),AND(NOT(($D39="")),EXACT($J39,"no"),(IFERROR(VALUE($C39&amp;""),0)&gt;6)),AND(NOT(($D39="")),EXACT($L39,"si"),EXACT($N39,"no"))),3,IF(OR(AND(NOT(($D39="")),EXACT($M39,"si"),EXACT($C39,1))),2,IF(OR(($D39="")),1,0)))</f>
        <v/>
      </c>
      <c r="R39" s="3">
        <f>$A39&amp;CHAR(31)&amp;$C39&amp;CHAR(31)&amp;$B39</f>
        <v/>
      </c>
      <c r="S39" s="3">
        <f>$F39&amp;CHAR(31)&amp;$C39&amp;CHAR(31)&amp;$B39</f>
        <v/>
      </c>
      <c r="T39" s="3">
        <f>$H39&amp;CHAR(31)&amp;$C39&amp;CHAR(31)&amp;$B39</f>
        <v/>
      </c>
    </row>
    <row r="40">
      <c r="A40" s="3" t="inlineStr">
        <is>
          <t>10-4</t>
        </is>
      </c>
      <c r="B40" s="3" t="inlineStr">
        <is>
          <t>M</t>
        </is>
      </c>
      <c r="C40" s="3" t="n">
        <v>4</v>
      </c>
      <c r="D40" s="4" t="inlineStr">
        <is>
          <t>H</t>
        </is>
      </c>
      <c r="E40" s="3">
        <f>IF(ISNA(MATCH(1,INDEX(EXACT('Asignaturas'!$A$4:$A$18,$D40)*1,0),0)),"",IF(ISBLANK(INDEX('Asignaturas'!$B$4:$B$18,MATCH(1,INDEX(EXACT('Asignaturas'!$A$4:$A$18,$D40)*1,0),0))),"",INDEX('Asignaturas'!$B$4:$B$18,MATCH(1,INDEX(EXACT('Asignaturas'!$A$4:$A$18,$D40)*1,0),0))))</f>
        <v/>
      </c>
      <c r="F40" s="3">
        <f>IF(ISNA(MATCH(1,INDEX(1*(EXACT('Frecuencias por grupo'!$A$4:$A$33,$A40))*(EXACT('Frecuencias por grupo'!$B$4:$B$33,$D40)),0),0)),"",IF(ISBLANK(INDEX('Frecuencias por grupo'!$C$4:$C$33,MATCH(1,INDEX(1*(EXACT('Frecuencias por grupo'!$A$4:$A$33,$A40))*(EXACT('Frecuencias por grupo'!$B$4:$B$33,$D40)),0),0))),"",INDEX('Frecuencias por grupo'!$C$4:$C$33,MATCH(1,INDEX(1*(EXACT('Frecuencias por grupo'!$A$4:$A$33,$A40))*(EXACT('Frecuencias por grupo'!$B$4:$B$33,$D40)),0),0))))</f>
        <v/>
      </c>
      <c r="G40" s="3">
        <f>IF(ISNA(MATCH(1,INDEX(EXACT('Asignaturas'!$A$4:$A$18,$D40)*1,0),0)),"",IF(ISBLANK(INDEX('Asignaturas'!$G$4:$G$18,MATCH(1,INDEX(EXACT('Asignaturas'!$A$4:$A$18,$D40)*1,0),0))),"",INDEX('Asignaturas'!$G$4:$G$18,MATCH(1,INDEX(EXACT('Asignaturas'!$A$4:$A$18,$D40)*1,0),0))))</f>
        <v/>
      </c>
      <c r="H40" s="3">
        <f>IF(($D40=""),"",IF(($G40=""),("Aula "&amp;IF(ISNUMBER($A40),IF($A40=0,"0",ROUND($A40,9-INT(LOG10(ABS($A40))))&amp;""),$A40&amp;"")),$G40))</f>
        <v/>
      </c>
      <c r="I40" s="3">
        <f>IF(ISNA(MATCH(1,INDEX(EXACT('Asignaturas'!$A$4:$A$18,$D40)*1,0),0)),"no",IF(ISBLANK(INDEX('Asignaturas'!$D$4:$D$18,MATCH(1,INDEX(EXACT('Asignaturas'!$A$4:$A$18,$D40)*1,0),0))),"",INDEX('Asignaturas'!$D$4:$D$18,MATCH(1,INDEX(EXACT('Asignaturas'!$A$4:$A$18,$D40)*1,0),0))))</f>
        <v/>
      </c>
      <c r="J40" s="3">
        <f>IF(ISNA(MATCH(1,INDEX(EXACT('Asignaturas'!$A$4:$A$18,$D40)*1,0),0)),"no",IF(ISBLANK(INDEX('Asignaturas'!$E$4:$E$18,MATCH(1,INDEX(EXACT('Asignaturas'!$A$4:$A$18,$D40)*1,0),0))),"",INDEX('Asignaturas'!$E$4:$E$18,MATCH(1,INDEX(EXACT('Asignaturas'!$A$4:$A$18,$D40)*1,0),0))))</f>
        <v/>
      </c>
      <c r="K40" s="3">
        <f>IF(ISNA(MATCH(1,INDEX(EXACT('Asignaturas'!$A$4:$A$18,$D40)*1,0),0)),"",IF(ISBLANK(INDEX('Asignaturas'!$F$4:$F$18,MATCH(1,INDEX(EXACT('Asignaturas'!$A$4:$A$18,$D40)*1,0),0))),"",INDEX('Asignaturas'!$F$4:$F$18,MATCH(1,INDEX(EXACT('Asignaturas'!$A$4:$A$18,$D40)*1,0),0))))</f>
        <v/>
      </c>
      <c r="L40" s="3">
        <f>IF(ISNA(MATCH(1,INDEX(EXACT('Profesores'!$A$4:$A$33,$F40)*1,0),0)),"no",IF(ISBLANK(INDEX('Profesores'!$B$4:$B$33,MATCH(1,INDEX(EXACT('Profesores'!$A$4:$A$33,$F40)*1,0),0))),"",INDEX('Profesores'!$B$4:$B$33,MATCH(1,INDEX(EXACT('Profesores'!$A$4:$A$33,$F40)*1,0),0))))</f>
        <v/>
      </c>
      <c r="M40" s="3">
        <f>IF(ISNA(MATCH(1,INDEX(EXACT('Profesores'!$A$4:$A$33,$F40)*1,0),0)),"no",IF(ISBLANK(INDEX('Profesores'!$C$4:$C$33,MATCH(1,INDEX(EXACT('Profesores'!$A$4:$A$33,$F40)*1,0),0))),"",INDEX('Profesores'!$C$4:$C$33,MATCH(1,INDEX(EXACT('Profesores'!$A$4:$A$33,$F40)*1,0),0))))</f>
        <v/>
      </c>
      <c r="N40" s="3">
        <f>IF(ISNA(MATCH(1,INDEX(1*((('Dias que asisten los contratado'!$A$4:$A$4&lt;&gt;"")+('Dias que asisten los contratado'!$B$4:$B$4&lt;&gt;""))&gt;0)*(EXACT('Dias que asisten los contratado'!$A$4:$A$4,$F40))*(EXACT('Dias que asisten los contratado'!$B$4:$B$4,$B40)),0),0)),"no",IF(ISBLANK(INDEX('Dias que asisten los contratado'!$C$4:$C$4,MATCH(1,INDEX(1*((('Dias que asisten los contratado'!$A$4:$A$4&lt;&gt;"")+('Dias que asisten los contratado'!$B$4:$B$4&lt;&gt;""))&gt;0)*(EXACT('Dias que asisten los contratado'!$A$4:$A$4,$F40))*(EXACT('Dias que asisten los contratado'!$B$4:$B$4,$B40)),0),0))),"",INDEX('Dias que asisten los contratado'!$C$4:$C$4,MATCH(1,INDEX(1*((('Dias que asisten los contratado'!$A$4:$A$4&lt;&gt;"")+('Dias que asisten los contratado'!$B$4:$B$4&lt;&gt;""))&gt;0)*(EXACT('Dias que asisten los contratado'!$A$4:$A$4,$F40))*(EXACT('Dias que asisten los contratado'!$B$4:$B$4,$B40)),0),0))))</f>
        <v/>
      </c>
      <c r="O40" s="3">
        <f>IF(AND(NOT(($D40="")),(SUMPRODUCT(1*((EXACT('Casillas del horario'!$A$4:$A$73,$A40)))*((EXACT('Casillas del horario'!$B$4:$B$73,$B40)))*((EXACT('Casillas del horario'!$D$4:$D$73,$D40)))*(((((EXACT($I40,"no")))+((NOT(EXACT('Casillas del horario'!$C$4:$C$73,(IFERROR(VALUE($C40&amp;""),0)+1))))*(NOT(EXACT('Casillas del horario'!$C$4:$C$73,(IFERROR(VALUE($C40&amp;""),0)-1))))))&gt;0))*((ROW('Casillas del horario'!$A$4:$A$73)&lt;&gt;ROW($A40))))&gt;0)),"si","no")</f>
        <v/>
      </c>
      <c r="P40" s="3">
        <f>MID(IF(AND(NOT(($D40="")),(SUMPRODUCT(1*((EXACT('Casillas del horario'!$B$4:$B$73,$B40)))*((EXACT('Casillas del horario'!$C$4:$C$73,$C40)))*((EXACT('Casillas del horario'!$F$4:$F$73,$F40)))*((ROW('Casillas del horario'!$A$4:$A$73)&lt;&gt;ROW($A40))))&gt;0)),"; "&amp;"Este profesor ya da clase a otro grupo en este mismo turno","")&amp;IF(AND(NOT(($D40="")),(SUMPRODUCT(1*((EXACT('Casillas del horario'!$B$4:$B$73,$B40)))*((EXACT('Casillas del horario'!$C$4:$C$73,$C40)))*((EXACT('Casillas del horario'!$H$4:$H$73,$H40)))*((ROW('Casillas del horario'!$A$4:$A$73)&lt;&gt;ROW($A40))))&gt;0)),"; "&amp;"Ese local esta ocupado por otro grupo a esa hora","")&amp;IF(EXACT($O40,"si"),"; "&amp;IF(ISNUMBER(IF(EXACT($I40,"no"),"Esta asignatura no admite turno doble y repite el dia en este grupo","Esta asignatura repite el dia en este grupo sin ser en turnos seguidos")),IF(IF(EXACT($I40,"no"),"Esta asignatura no admite turno doble y repite el dia en este grupo","Esta asignatura repite el dia en este grupo sin ser en turnos seguidos")=0,"0",ROUND(IF(EXACT($I40,"no"),"Esta asignatura no admite turno doble y repite el dia en este grupo","Esta asignatura repite el dia en este grupo sin ser en turnos seguidos"),9-INT(LOG10(ABS(IF(EXACT($I40,"no"),"Esta asignatura no admite turno doble y repite el dia en este grupo","Esta asignatura repite el dia en este grupo sin ser en turnos seguidos")))))&amp;""),IF(EXACT($I40,"no"),"Esta asignatura no admite turno doble y repite el dia en este grupo","Esta asignatura repite el dia en este grupo sin ser en turnos seguidos")&amp;""),"")&amp;IF(AND(NOT(($D40="")),EXACT($B40,$K40)),"; "&amp;"Es el dia de preparacion de la asignatura","")&amp;IF(AND(EXACT($D40,"EF"),(IFERROR(VALUE($C40&amp;""),0)&gt;3)),"; "&amp;"Educacion Fisica no puede caer despues del tercer turno","")&amp;IF(AND(NOT(($D40="")),EXACT($J40,"no"),(IFERROR(VALUE($C40&amp;""),0)&gt;6)),"; "&amp;"Esta asignatura no admite turnos de tarde","")&amp;IF(AND(NOT(($D40="")),EXACT($L40,"si"),EXACT($N40,"no")),"; "&amp;"Este profesor esta contratado y no asiste al centro este dia","")&amp;IF(AND(NOT(($D40="")),EXACT($M40,"si"),EXACT($C40,1)),"; "&amp;"Se preferiria no darle el primer turno a un profesor que vive lejos","")&amp;IF(($D40=""),"; "&amp;"Turno sin asignar",""),3,32767)</f>
        <v/>
      </c>
      <c r="Q40" s="3">
        <f>IF(OR(AND(NOT(($D40="")),(SUMPRODUCT(1*((EXACT('Casillas del horario'!$B$4:$B$73,$B40)))*((EXACT('Casillas del horario'!$C$4:$C$73,$C40)))*((EXACT('Casillas del horario'!$F$4:$F$73,$F40)))*((ROW('Casillas del horario'!$A$4:$A$73)&lt;&gt;ROW($A40))))&gt;0)),AND(NOT(($D40="")),(SUMPRODUCT(1*((EXACT('Casillas del horario'!$B$4:$B$73,$B40)))*((EXACT('Casillas del horario'!$C$4:$C$73,$C40)))*((EXACT('Casillas del horario'!$H$4:$H$73,$H40)))*((ROW('Casillas del horario'!$A$4:$A$73)&lt;&gt;ROW($A40))))&gt;0)),EXACT($O40,"si"),AND(NOT(($D40="")),EXACT($B40,$K40)),AND(EXACT($D40,"EF"),(IFERROR(VALUE($C40&amp;""),0)&gt;3)),AND(NOT(($D40="")),EXACT($J40,"no"),(IFERROR(VALUE($C40&amp;""),0)&gt;6)),AND(NOT(($D40="")),EXACT($L40,"si"),EXACT($N40,"no"))),3,IF(OR(AND(NOT(($D40="")),EXACT($M40,"si"),EXACT($C40,1))),2,IF(OR(($D40="")),1,0)))</f>
        <v/>
      </c>
      <c r="R40" s="3">
        <f>$A40&amp;CHAR(31)&amp;$C40&amp;CHAR(31)&amp;$B40</f>
        <v/>
      </c>
      <c r="S40" s="3">
        <f>$F40&amp;CHAR(31)&amp;$C40&amp;CHAR(31)&amp;$B40</f>
        <v/>
      </c>
      <c r="T40" s="3">
        <f>$H40&amp;CHAR(31)&amp;$C40&amp;CHAR(31)&amp;$B40</f>
        <v/>
      </c>
    </row>
    <row r="41">
      <c r="A41" s="3" t="inlineStr">
        <is>
          <t>10-4</t>
        </is>
      </c>
      <c r="B41" s="3" t="inlineStr">
        <is>
          <t>MI</t>
        </is>
      </c>
      <c r="C41" s="3" t="n">
        <v>4</v>
      </c>
      <c r="D41" s="4" t="inlineStr">
        <is>
          <t>G</t>
        </is>
      </c>
      <c r="E41" s="3">
        <f>IF(ISNA(MATCH(1,INDEX(EXACT('Asignaturas'!$A$4:$A$18,$D41)*1,0),0)),"",IF(ISBLANK(INDEX('Asignaturas'!$B$4:$B$18,MATCH(1,INDEX(EXACT('Asignaturas'!$A$4:$A$18,$D41)*1,0),0))),"",INDEX('Asignaturas'!$B$4:$B$18,MATCH(1,INDEX(EXACT('Asignaturas'!$A$4:$A$18,$D41)*1,0),0))))</f>
        <v/>
      </c>
      <c r="F41" s="3">
        <f>IF(ISNA(MATCH(1,INDEX(1*(EXACT('Frecuencias por grupo'!$A$4:$A$33,$A41))*(EXACT('Frecuencias por grupo'!$B$4:$B$33,$D41)),0),0)),"",IF(ISBLANK(INDEX('Frecuencias por grupo'!$C$4:$C$33,MATCH(1,INDEX(1*(EXACT('Frecuencias por grupo'!$A$4:$A$33,$A41))*(EXACT('Frecuencias por grupo'!$B$4:$B$33,$D41)),0),0))),"",INDEX('Frecuencias por grupo'!$C$4:$C$33,MATCH(1,INDEX(1*(EXACT('Frecuencias por grupo'!$A$4:$A$33,$A41))*(EXACT('Frecuencias por grupo'!$B$4:$B$33,$D41)),0),0))))</f>
        <v/>
      </c>
      <c r="G41" s="3">
        <f>IF(ISNA(MATCH(1,INDEX(EXACT('Asignaturas'!$A$4:$A$18,$D41)*1,0),0)),"",IF(ISBLANK(INDEX('Asignaturas'!$G$4:$G$18,MATCH(1,INDEX(EXACT('Asignaturas'!$A$4:$A$18,$D41)*1,0),0))),"",INDEX('Asignaturas'!$G$4:$G$18,MATCH(1,INDEX(EXACT('Asignaturas'!$A$4:$A$18,$D41)*1,0),0))))</f>
        <v/>
      </c>
      <c r="H41" s="3">
        <f>IF(($D41=""),"",IF(($G41=""),("Aula "&amp;IF(ISNUMBER($A41),IF($A41=0,"0",ROUND($A41,9-INT(LOG10(ABS($A41))))&amp;""),$A41&amp;"")),$G41))</f>
        <v/>
      </c>
      <c r="I41" s="3">
        <f>IF(ISNA(MATCH(1,INDEX(EXACT('Asignaturas'!$A$4:$A$18,$D41)*1,0),0)),"no",IF(ISBLANK(INDEX('Asignaturas'!$D$4:$D$18,MATCH(1,INDEX(EXACT('Asignaturas'!$A$4:$A$18,$D41)*1,0),0))),"",INDEX('Asignaturas'!$D$4:$D$18,MATCH(1,INDEX(EXACT('Asignaturas'!$A$4:$A$18,$D41)*1,0),0))))</f>
        <v/>
      </c>
      <c r="J41" s="3">
        <f>IF(ISNA(MATCH(1,INDEX(EXACT('Asignaturas'!$A$4:$A$18,$D41)*1,0),0)),"no",IF(ISBLANK(INDEX('Asignaturas'!$E$4:$E$18,MATCH(1,INDEX(EXACT('Asignaturas'!$A$4:$A$18,$D41)*1,0),0))),"",INDEX('Asignaturas'!$E$4:$E$18,MATCH(1,INDEX(EXACT('Asignaturas'!$A$4:$A$18,$D41)*1,0),0))))</f>
        <v/>
      </c>
      <c r="K41" s="3">
        <f>IF(ISNA(MATCH(1,INDEX(EXACT('Asignaturas'!$A$4:$A$18,$D41)*1,0),0)),"",IF(ISBLANK(INDEX('Asignaturas'!$F$4:$F$18,MATCH(1,INDEX(EXACT('Asignaturas'!$A$4:$A$18,$D41)*1,0),0))),"",INDEX('Asignaturas'!$F$4:$F$18,MATCH(1,INDEX(EXACT('Asignaturas'!$A$4:$A$18,$D41)*1,0),0))))</f>
        <v/>
      </c>
      <c r="L41" s="3">
        <f>IF(ISNA(MATCH(1,INDEX(EXACT('Profesores'!$A$4:$A$33,$F41)*1,0),0)),"no",IF(ISBLANK(INDEX('Profesores'!$B$4:$B$33,MATCH(1,INDEX(EXACT('Profesores'!$A$4:$A$33,$F41)*1,0),0))),"",INDEX('Profesores'!$B$4:$B$33,MATCH(1,INDEX(EXACT('Profesores'!$A$4:$A$33,$F41)*1,0),0))))</f>
        <v/>
      </c>
      <c r="M41" s="3">
        <f>IF(ISNA(MATCH(1,INDEX(EXACT('Profesores'!$A$4:$A$33,$F41)*1,0),0)),"no",IF(ISBLANK(INDEX('Profesores'!$C$4:$C$33,MATCH(1,INDEX(EXACT('Profesores'!$A$4:$A$33,$F41)*1,0),0))),"",INDEX('Profesores'!$C$4:$C$33,MATCH(1,INDEX(EXACT('Profesores'!$A$4:$A$33,$F41)*1,0),0))))</f>
        <v/>
      </c>
      <c r="N41" s="3">
        <f>IF(ISNA(MATCH(1,INDEX(1*((('Dias que asisten los contratado'!$A$4:$A$4&lt;&gt;"")+('Dias que asisten los contratado'!$B$4:$B$4&lt;&gt;""))&gt;0)*(EXACT('Dias que asisten los contratado'!$A$4:$A$4,$F41))*(EXACT('Dias que asisten los contratado'!$B$4:$B$4,$B41)),0),0)),"no",IF(ISBLANK(INDEX('Dias que asisten los contratado'!$C$4:$C$4,MATCH(1,INDEX(1*((('Dias que asisten los contratado'!$A$4:$A$4&lt;&gt;"")+('Dias que asisten los contratado'!$B$4:$B$4&lt;&gt;""))&gt;0)*(EXACT('Dias que asisten los contratado'!$A$4:$A$4,$F41))*(EXACT('Dias que asisten los contratado'!$B$4:$B$4,$B41)),0),0))),"",INDEX('Dias que asisten los contratado'!$C$4:$C$4,MATCH(1,INDEX(1*((('Dias que asisten los contratado'!$A$4:$A$4&lt;&gt;"")+('Dias que asisten los contratado'!$B$4:$B$4&lt;&gt;""))&gt;0)*(EXACT('Dias que asisten los contratado'!$A$4:$A$4,$F41))*(EXACT('Dias que asisten los contratado'!$B$4:$B$4,$B41)),0),0))))</f>
        <v/>
      </c>
      <c r="O41" s="3">
        <f>IF(AND(NOT(($D41="")),(SUMPRODUCT(1*((EXACT('Casillas del horario'!$A$4:$A$73,$A41)))*((EXACT('Casillas del horario'!$B$4:$B$73,$B41)))*((EXACT('Casillas del horario'!$D$4:$D$73,$D41)))*(((((EXACT($I41,"no")))+((NOT(EXACT('Casillas del horario'!$C$4:$C$73,(IFERROR(VALUE($C41&amp;""),0)+1))))*(NOT(EXACT('Casillas del horario'!$C$4:$C$73,(IFERROR(VALUE($C41&amp;""),0)-1))))))&gt;0))*((ROW('Casillas del horario'!$A$4:$A$73)&lt;&gt;ROW($A41))))&gt;0)),"si","no")</f>
        <v/>
      </c>
      <c r="P41" s="3">
        <f>MID(IF(AND(NOT(($D41="")),(SUMPRODUCT(1*((EXACT('Casillas del horario'!$B$4:$B$73,$B41)))*((EXACT('Casillas del horario'!$C$4:$C$73,$C41)))*((EXACT('Casillas del horario'!$F$4:$F$73,$F41)))*((ROW('Casillas del horario'!$A$4:$A$73)&lt;&gt;ROW($A41))))&gt;0)),"; "&amp;"Este profesor ya da clase a otro grupo en este mismo turno","")&amp;IF(AND(NOT(($D41="")),(SUMPRODUCT(1*((EXACT('Casillas del horario'!$B$4:$B$73,$B41)))*((EXACT('Casillas del horario'!$C$4:$C$73,$C41)))*((EXACT('Casillas del horario'!$H$4:$H$73,$H41)))*((ROW('Casillas del horario'!$A$4:$A$73)&lt;&gt;ROW($A41))))&gt;0)),"; "&amp;"Ese local esta ocupado por otro grupo a esa hora","")&amp;IF(EXACT($O41,"si"),"; "&amp;IF(ISNUMBER(IF(EXACT($I41,"no"),"Esta asignatura no admite turno doble y repite el dia en este grupo","Esta asignatura repite el dia en este grupo sin ser en turnos seguidos")),IF(IF(EXACT($I41,"no"),"Esta asignatura no admite turno doble y repite el dia en este grupo","Esta asignatura repite el dia en este grupo sin ser en turnos seguidos")=0,"0",ROUND(IF(EXACT($I41,"no"),"Esta asignatura no admite turno doble y repite el dia en este grupo","Esta asignatura repite el dia en este grupo sin ser en turnos seguidos"),9-INT(LOG10(ABS(IF(EXACT($I41,"no"),"Esta asignatura no admite turno doble y repite el dia en este grupo","Esta asignatura repite el dia en este grupo sin ser en turnos seguidos")))))&amp;""),IF(EXACT($I41,"no"),"Esta asignatura no admite turno doble y repite el dia en este grupo","Esta asignatura repite el dia en este grupo sin ser en turnos seguidos")&amp;""),"")&amp;IF(AND(NOT(($D41="")),EXACT($B41,$K41)),"; "&amp;"Es el dia de preparacion de la asignatura","")&amp;IF(AND(EXACT($D41,"EF"),(IFERROR(VALUE($C41&amp;""),0)&gt;3)),"; "&amp;"Educacion Fisica no puede caer despues del tercer turno","")&amp;IF(AND(NOT(($D41="")),EXACT($J41,"no"),(IFERROR(VALUE($C41&amp;""),0)&gt;6)),"; "&amp;"Esta asignatura no admite turnos de tarde","")&amp;IF(AND(NOT(($D41="")),EXACT($L41,"si"),EXACT($N41,"no")),"; "&amp;"Este profesor esta contratado y no asiste al centro este dia","")&amp;IF(AND(NOT(($D41="")),EXACT($M41,"si"),EXACT($C41,1)),"; "&amp;"Se preferiria no darle el primer turno a un profesor que vive lejos","")&amp;IF(($D41=""),"; "&amp;"Turno sin asignar",""),3,32767)</f>
        <v/>
      </c>
      <c r="Q41" s="3">
        <f>IF(OR(AND(NOT(($D41="")),(SUMPRODUCT(1*((EXACT('Casillas del horario'!$B$4:$B$73,$B41)))*((EXACT('Casillas del horario'!$C$4:$C$73,$C41)))*((EXACT('Casillas del horario'!$F$4:$F$73,$F41)))*((ROW('Casillas del horario'!$A$4:$A$73)&lt;&gt;ROW($A41))))&gt;0)),AND(NOT(($D41="")),(SUMPRODUCT(1*((EXACT('Casillas del horario'!$B$4:$B$73,$B41)))*((EXACT('Casillas del horario'!$C$4:$C$73,$C41)))*((EXACT('Casillas del horario'!$H$4:$H$73,$H41)))*((ROW('Casillas del horario'!$A$4:$A$73)&lt;&gt;ROW($A41))))&gt;0)),EXACT($O41,"si"),AND(NOT(($D41="")),EXACT($B41,$K41)),AND(EXACT($D41,"EF"),(IFERROR(VALUE($C41&amp;""),0)&gt;3)),AND(NOT(($D41="")),EXACT($J41,"no"),(IFERROR(VALUE($C41&amp;""),0)&gt;6)),AND(NOT(($D41="")),EXACT($L41,"si"),EXACT($N41,"no"))),3,IF(OR(AND(NOT(($D41="")),EXACT($M41,"si"),EXACT($C41,1))),2,IF(OR(($D41="")),1,0)))</f>
        <v/>
      </c>
      <c r="R41" s="3">
        <f>$A41&amp;CHAR(31)&amp;$C41&amp;CHAR(31)&amp;$B41</f>
        <v/>
      </c>
      <c r="S41" s="3">
        <f>$F41&amp;CHAR(31)&amp;$C41&amp;CHAR(31)&amp;$B41</f>
        <v/>
      </c>
      <c r="T41" s="3">
        <f>$H41&amp;CHAR(31)&amp;$C41&amp;CHAR(31)&amp;$B41</f>
        <v/>
      </c>
    </row>
    <row r="42">
      <c r="A42" s="3" t="inlineStr">
        <is>
          <t>10-4</t>
        </is>
      </c>
      <c r="B42" s="3" t="inlineStr">
        <is>
          <t>J</t>
        </is>
      </c>
      <c r="C42" s="3" t="n">
        <v>4</v>
      </c>
      <c r="D42" s="4" t="inlineStr">
        <is>
          <t>INF</t>
        </is>
      </c>
      <c r="E42" s="3">
        <f>IF(ISNA(MATCH(1,INDEX(EXACT('Asignaturas'!$A$4:$A$18,$D42)*1,0),0)),"",IF(ISBLANK(INDEX('Asignaturas'!$B$4:$B$18,MATCH(1,INDEX(EXACT('Asignaturas'!$A$4:$A$18,$D42)*1,0),0))),"",INDEX('Asignaturas'!$B$4:$B$18,MATCH(1,INDEX(EXACT('Asignaturas'!$A$4:$A$18,$D42)*1,0),0))))</f>
        <v/>
      </c>
      <c r="F42" s="3">
        <f>IF(ISNA(MATCH(1,INDEX(1*(EXACT('Frecuencias por grupo'!$A$4:$A$33,$A42))*(EXACT('Frecuencias por grupo'!$B$4:$B$33,$D42)),0),0)),"",IF(ISBLANK(INDEX('Frecuencias por grupo'!$C$4:$C$33,MATCH(1,INDEX(1*(EXACT('Frecuencias por grupo'!$A$4:$A$33,$A42))*(EXACT('Frecuencias por grupo'!$B$4:$B$33,$D42)),0),0))),"",INDEX('Frecuencias por grupo'!$C$4:$C$33,MATCH(1,INDEX(1*(EXACT('Frecuencias por grupo'!$A$4:$A$33,$A42))*(EXACT('Frecuencias por grupo'!$B$4:$B$33,$D42)),0),0))))</f>
        <v/>
      </c>
      <c r="G42" s="3">
        <f>IF(ISNA(MATCH(1,INDEX(EXACT('Asignaturas'!$A$4:$A$18,$D42)*1,0),0)),"",IF(ISBLANK(INDEX('Asignaturas'!$G$4:$G$18,MATCH(1,INDEX(EXACT('Asignaturas'!$A$4:$A$18,$D42)*1,0),0))),"",INDEX('Asignaturas'!$G$4:$G$18,MATCH(1,INDEX(EXACT('Asignaturas'!$A$4:$A$18,$D42)*1,0),0))))</f>
        <v/>
      </c>
      <c r="H42" s="3">
        <f>IF(($D42=""),"",IF(($G42=""),("Aula "&amp;IF(ISNUMBER($A42),IF($A42=0,"0",ROUND($A42,9-INT(LOG10(ABS($A42))))&amp;""),$A42&amp;"")),$G42))</f>
        <v/>
      </c>
      <c r="I42" s="3">
        <f>IF(ISNA(MATCH(1,INDEX(EXACT('Asignaturas'!$A$4:$A$18,$D42)*1,0),0)),"no",IF(ISBLANK(INDEX('Asignaturas'!$D$4:$D$18,MATCH(1,INDEX(EXACT('Asignaturas'!$A$4:$A$18,$D42)*1,0),0))),"",INDEX('Asignaturas'!$D$4:$D$18,MATCH(1,INDEX(EXACT('Asignaturas'!$A$4:$A$18,$D42)*1,0),0))))</f>
        <v/>
      </c>
      <c r="J42" s="3">
        <f>IF(ISNA(MATCH(1,INDEX(EXACT('Asignaturas'!$A$4:$A$18,$D42)*1,0),0)),"no",IF(ISBLANK(INDEX('Asignaturas'!$E$4:$E$18,MATCH(1,INDEX(EXACT('Asignaturas'!$A$4:$A$18,$D42)*1,0),0))),"",INDEX('Asignaturas'!$E$4:$E$18,MATCH(1,INDEX(EXACT('Asignaturas'!$A$4:$A$18,$D42)*1,0),0))))</f>
        <v/>
      </c>
      <c r="K42" s="3">
        <f>IF(ISNA(MATCH(1,INDEX(EXACT('Asignaturas'!$A$4:$A$18,$D42)*1,0),0)),"",IF(ISBLANK(INDEX('Asignaturas'!$F$4:$F$18,MATCH(1,INDEX(EXACT('Asignaturas'!$A$4:$A$18,$D42)*1,0),0))),"",INDEX('Asignaturas'!$F$4:$F$18,MATCH(1,INDEX(EXACT('Asignaturas'!$A$4:$A$18,$D42)*1,0),0))))</f>
        <v/>
      </c>
      <c r="L42" s="3">
        <f>IF(ISNA(MATCH(1,INDEX(EXACT('Profesores'!$A$4:$A$33,$F42)*1,0),0)),"no",IF(ISBLANK(INDEX('Profesores'!$B$4:$B$33,MATCH(1,INDEX(EXACT('Profesores'!$A$4:$A$33,$F42)*1,0),0))),"",INDEX('Profesores'!$B$4:$B$33,MATCH(1,INDEX(EXACT('Profesores'!$A$4:$A$33,$F42)*1,0),0))))</f>
        <v/>
      </c>
      <c r="M42" s="3">
        <f>IF(ISNA(MATCH(1,INDEX(EXACT('Profesores'!$A$4:$A$33,$F42)*1,0),0)),"no",IF(ISBLANK(INDEX('Profesores'!$C$4:$C$33,MATCH(1,INDEX(EXACT('Profesores'!$A$4:$A$33,$F42)*1,0),0))),"",INDEX('Profesores'!$C$4:$C$33,MATCH(1,INDEX(EXACT('Profesores'!$A$4:$A$33,$F42)*1,0),0))))</f>
        <v/>
      </c>
      <c r="N42" s="3">
        <f>IF(ISNA(MATCH(1,INDEX(1*((('Dias que asisten los contratado'!$A$4:$A$4&lt;&gt;"")+('Dias que asisten los contratado'!$B$4:$B$4&lt;&gt;""))&gt;0)*(EXACT('Dias que asisten los contratado'!$A$4:$A$4,$F42))*(EXACT('Dias que asisten los contratado'!$B$4:$B$4,$B42)),0),0)),"no",IF(ISBLANK(INDEX('Dias que asisten los contratado'!$C$4:$C$4,MATCH(1,INDEX(1*((('Dias que asisten los contratado'!$A$4:$A$4&lt;&gt;"")+('Dias que asisten los contratado'!$B$4:$B$4&lt;&gt;""))&gt;0)*(EXACT('Dias que asisten los contratado'!$A$4:$A$4,$F42))*(EXACT('Dias que asisten los contratado'!$B$4:$B$4,$B42)),0),0))),"",INDEX('Dias que asisten los contratado'!$C$4:$C$4,MATCH(1,INDEX(1*((('Dias que asisten los contratado'!$A$4:$A$4&lt;&gt;"")+('Dias que asisten los contratado'!$B$4:$B$4&lt;&gt;""))&gt;0)*(EXACT('Dias que asisten los contratado'!$A$4:$A$4,$F42))*(EXACT('Dias que asisten los contratado'!$B$4:$B$4,$B42)),0),0))))</f>
        <v/>
      </c>
      <c r="O42" s="3">
        <f>IF(AND(NOT(($D42="")),(SUMPRODUCT(1*((EXACT('Casillas del horario'!$A$4:$A$73,$A42)))*((EXACT('Casillas del horario'!$B$4:$B$73,$B42)))*((EXACT('Casillas del horario'!$D$4:$D$73,$D42)))*(((((EXACT($I42,"no")))+((NOT(EXACT('Casillas del horario'!$C$4:$C$73,(IFERROR(VALUE($C42&amp;""),0)+1))))*(NOT(EXACT('Casillas del horario'!$C$4:$C$73,(IFERROR(VALUE($C42&amp;""),0)-1))))))&gt;0))*((ROW('Casillas del horario'!$A$4:$A$73)&lt;&gt;ROW($A42))))&gt;0)),"si","no")</f>
        <v/>
      </c>
      <c r="P42" s="3">
        <f>MID(IF(AND(NOT(($D42="")),(SUMPRODUCT(1*((EXACT('Casillas del horario'!$B$4:$B$73,$B42)))*((EXACT('Casillas del horario'!$C$4:$C$73,$C42)))*((EXACT('Casillas del horario'!$F$4:$F$73,$F42)))*((ROW('Casillas del horario'!$A$4:$A$73)&lt;&gt;ROW($A42))))&gt;0)),"; "&amp;"Este profesor ya da clase a otro grupo en este mismo turno","")&amp;IF(AND(NOT(($D42="")),(SUMPRODUCT(1*((EXACT('Casillas del horario'!$B$4:$B$73,$B42)))*((EXACT('Casillas del horario'!$C$4:$C$73,$C42)))*((EXACT('Casillas del horario'!$H$4:$H$73,$H42)))*((ROW('Casillas del horario'!$A$4:$A$73)&lt;&gt;ROW($A42))))&gt;0)),"; "&amp;"Ese local esta ocupado por otro grupo a esa hora","")&amp;IF(EXACT($O42,"si"),"; "&amp;IF(ISNUMBER(IF(EXACT($I42,"no"),"Esta asignatura no admite turno doble y repite el dia en este grupo","Esta asignatura repite el dia en este grupo sin ser en turnos seguidos")),IF(IF(EXACT($I42,"no"),"Esta asignatura no admite turno doble y repite el dia en este grupo","Esta asignatura repite el dia en este grupo sin ser en turnos seguidos")=0,"0",ROUND(IF(EXACT($I42,"no"),"Esta asignatura no admite turno doble y repite el dia en este grupo","Esta asignatura repite el dia en este grupo sin ser en turnos seguidos"),9-INT(LOG10(ABS(IF(EXACT($I42,"no"),"Esta asignatura no admite turno doble y repite el dia en este grupo","Esta asignatura repite el dia en este grupo sin ser en turnos seguidos")))))&amp;""),IF(EXACT($I42,"no"),"Esta asignatura no admite turno doble y repite el dia en este grupo","Esta asignatura repite el dia en este grupo sin ser en turnos seguidos")&amp;""),"")&amp;IF(AND(NOT(($D42="")),EXACT($B42,$K42)),"; "&amp;"Es el dia de preparacion de la asignatura","")&amp;IF(AND(EXACT($D42,"EF"),(IFERROR(VALUE($C42&amp;""),0)&gt;3)),"; "&amp;"Educacion Fisica no puede caer despues del tercer turno","")&amp;IF(AND(NOT(($D42="")),EXACT($J42,"no"),(IFERROR(VALUE($C42&amp;""),0)&gt;6)),"; "&amp;"Esta asignatura no admite turnos de tarde","")&amp;IF(AND(NOT(($D42="")),EXACT($L42,"si"),EXACT($N42,"no")),"; "&amp;"Este profesor esta contratado y no asiste al centro este dia","")&amp;IF(AND(NOT(($D42="")),EXACT($M42,"si"),EXACT($C42,1)),"; "&amp;"Se preferiria no darle el primer turno a un profesor que vive lejos","")&amp;IF(($D42=""),"; "&amp;"Turno sin asignar",""),3,32767)</f>
        <v/>
      </c>
      <c r="Q42" s="3">
        <f>IF(OR(AND(NOT(($D42="")),(SUMPRODUCT(1*((EXACT('Casillas del horario'!$B$4:$B$73,$B42)))*((EXACT('Casillas del horario'!$C$4:$C$73,$C42)))*((EXACT('Casillas del horario'!$F$4:$F$73,$F42)))*((ROW('Casillas del horario'!$A$4:$A$73)&lt;&gt;ROW($A42))))&gt;0)),AND(NOT(($D42="")),(SUMPRODUCT(1*((EXACT('Casillas del horario'!$B$4:$B$73,$B42)))*((EXACT('Casillas del horario'!$C$4:$C$73,$C42)))*((EXACT('Casillas del horario'!$H$4:$H$73,$H42)))*((ROW('Casillas del horario'!$A$4:$A$73)&lt;&gt;ROW($A42))))&gt;0)),EXACT($O42,"si"),AND(NOT(($D42="")),EXACT($B42,$K42)),AND(EXACT($D42,"EF"),(IFERROR(VALUE($C42&amp;""),0)&gt;3)),AND(NOT(($D42="")),EXACT($J42,"no"),(IFERROR(VALUE($C42&amp;""),0)&gt;6)),AND(NOT(($D42="")),EXACT($L42,"si"),EXACT($N42,"no"))),3,IF(OR(AND(NOT(($D42="")),EXACT($M42,"si"),EXACT($C42,1))),2,IF(OR(($D42="")),1,0)))</f>
        <v/>
      </c>
      <c r="R42" s="3">
        <f>$A42&amp;CHAR(31)&amp;$C42&amp;CHAR(31)&amp;$B42</f>
        <v/>
      </c>
      <c r="S42" s="3">
        <f>$F42&amp;CHAR(31)&amp;$C42&amp;CHAR(31)&amp;$B42</f>
        <v/>
      </c>
      <c r="T42" s="3">
        <f>$H42&amp;CHAR(31)&amp;$C42&amp;CHAR(31)&amp;$B42</f>
        <v/>
      </c>
    </row>
    <row r="43">
      <c r="A43" s="3" t="inlineStr">
        <is>
          <t>10-4</t>
        </is>
      </c>
      <c r="B43" s="3" t="inlineStr">
        <is>
          <t>V</t>
        </is>
      </c>
      <c r="C43" s="3" t="n">
        <v>4</v>
      </c>
      <c r="D43" s="4" t="inlineStr">
        <is>
          <t>I</t>
        </is>
      </c>
      <c r="E43" s="3">
        <f>IF(ISNA(MATCH(1,INDEX(EXACT('Asignaturas'!$A$4:$A$18,$D43)*1,0),0)),"",IF(ISBLANK(INDEX('Asignaturas'!$B$4:$B$18,MATCH(1,INDEX(EXACT('Asignaturas'!$A$4:$A$18,$D43)*1,0),0))),"",INDEX('Asignaturas'!$B$4:$B$18,MATCH(1,INDEX(EXACT('Asignaturas'!$A$4:$A$18,$D43)*1,0),0))))</f>
        <v/>
      </c>
      <c r="F43" s="3">
        <f>IF(ISNA(MATCH(1,INDEX(1*(EXACT('Frecuencias por grupo'!$A$4:$A$33,$A43))*(EXACT('Frecuencias por grupo'!$B$4:$B$33,$D43)),0),0)),"",IF(ISBLANK(INDEX('Frecuencias por grupo'!$C$4:$C$33,MATCH(1,INDEX(1*(EXACT('Frecuencias por grupo'!$A$4:$A$33,$A43))*(EXACT('Frecuencias por grupo'!$B$4:$B$33,$D43)),0),0))),"",INDEX('Frecuencias por grupo'!$C$4:$C$33,MATCH(1,INDEX(1*(EXACT('Frecuencias por grupo'!$A$4:$A$33,$A43))*(EXACT('Frecuencias por grupo'!$B$4:$B$33,$D43)),0),0))))</f>
        <v/>
      </c>
      <c r="G43" s="3">
        <f>IF(ISNA(MATCH(1,INDEX(EXACT('Asignaturas'!$A$4:$A$18,$D43)*1,0),0)),"",IF(ISBLANK(INDEX('Asignaturas'!$G$4:$G$18,MATCH(1,INDEX(EXACT('Asignaturas'!$A$4:$A$18,$D43)*1,0),0))),"",INDEX('Asignaturas'!$G$4:$G$18,MATCH(1,INDEX(EXACT('Asignaturas'!$A$4:$A$18,$D43)*1,0),0))))</f>
        <v/>
      </c>
      <c r="H43" s="3">
        <f>IF(($D43=""),"",IF(($G43=""),("Aula "&amp;IF(ISNUMBER($A43),IF($A43=0,"0",ROUND($A43,9-INT(LOG10(ABS($A43))))&amp;""),$A43&amp;"")),$G43))</f>
        <v/>
      </c>
      <c r="I43" s="3">
        <f>IF(ISNA(MATCH(1,INDEX(EXACT('Asignaturas'!$A$4:$A$18,$D43)*1,0),0)),"no",IF(ISBLANK(INDEX('Asignaturas'!$D$4:$D$18,MATCH(1,INDEX(EXACT('Asignaturas'!$A$4:$A$18,$D43)*1,0),0))),"",INDEX('Asignaturas'!$D$4:$D$18,MATCH(1,INDEX(EXACT('Asignaturas'!$A$4:$A$18,$D43)*1,0),0))))</f>
        <v/>
      </c>
      <c r="J43" s="3">
        <f>IF(ISNA(MATCH(1,INDEX(EXACT('Asignaturas'!$A$4:$A$18,$D43)*1,0),0)),"no",IF(ISBLANK(INDEX('Asignaturas'!$E$4:$E$18,MATCH(1,INDEX(EXACT('Asignaturas'!$A$4:$A$18,$D43)*1,0),0))),"",INDEX('Asignaturas'!$E$4:$E$18,MATCH(1,INDEX(EXACT('Asignaturas'!$A$4:$A$18,$D43)*1,0),0))))</f>
        <v/>
      </c>
      <c r="K43" s="3">
        <f>IF(ISNA(MATCH(1,INDEX(EXACT('Asignaturas'!$A$4:$A$18,$D43)*1,0),0)),"",IF(ISBLANK(INDEX('Asignaturas'!$F$4:$F$18,MATCH(1,INDEX(EXACT('Asignaturas'!$A$4:$A$18,$D43)*1,0),0))),"",INDEX('Asignaturas'!$F$4:$F$18,MATCH(1,INDEX(EXACT('Asignaturas'!$A$4:$A$18,$D43)*1,0),0))))</f>
        <v/>
      </c>
      <c r="L43" s="3">
        <f>IF(ISNA(MATCH(1,INDEX(EXACT('Profesores'!$A$4:$A$33,$F43)*1,0),0)),"no",IF(ISBLANK(INDEX('Profesores'!$B$4:$B$33,MATCH(1,INDEX(EXACT('Profesores'!$A$4:$A$33,$F43)*1,0),0))),"",INDEX('Profesores'!$B$4:$B$33,MATCH(1,INDEX(EXACT('Profesores'!$A$4:$A$33,$F43)*1,0),0))))</f>
        <v/>
      </c>
      <c r="M43" s="3">
        <f>IF(ISNA(MATCH(1,INDEX(EXACT('Profesores'!$A$4:$A$33,$F43)*1,0),0)),"no",IF(ISBLANK(INDEX('Profesores'!$C$4:$C$33,MATCH(1,INDEX(EXACT('Profesores'!$A$4:$A$33,$F43)*1,0),0))),"",INDEX('Profesores'!$C$4:$C$33,MATCH(1,INDEX(EXACT('Profesores'!$A$4:$A$33,$F43)*1,0),0))))</f>
        <v/>
      </c>
      <c r="N43" s="3">
        <f>IF(ISNA(MATCH(1,INDEX(1*((('Dias que asisten los contratado'!$A$4:$A$4&lt;&gt;"")+('Dias que asisten los contratado'!$B$4:$B$4&lt;&gt;""))&gt;0)*(EXACT('Dias que asisten los contratado'!$A$4:$A$4,$F43))*(EXACT('Dias que asisten los contratado'!$B$4:$B$4,$B43)),0),0)),"no",IF(ISBLANK(INDEX('Dias que asisten los contratado'!$C$4:$C$4,MATCH(1,INDEX(1*((('Dias que asisten los contratado'!$A$4:$A$4&lt;&gt;"")+('Dias que asisten los contratado'!$B$4:$B$4&lt;&gt;""))&gt;0)*(EXACT('Dias que asisten los contratado'!$A$4:$A$4,$F43))*(EXACT('Dias que asisten los contratado'!$B$4:$B$4,$B43)),0),0))),"",INDEX('Dias que asisten los contratado'!$C$4:$C$4,MATCH(1,INDEX(1*((('Dias que asisten los contratado'!$A$4:$A$4&lt;&gt;"")+('Dias que asisten los contratado'!$B$4:$B$4&lt;&gt;""))&gt;0)*(EXACT('Dias que asisten los contratado'!$A$4:$A$4,$F43))*(EXACT('Dias que asisten los contratado'!$B$4:$B$4,$B43)),0),0))))</f>
        <v/>
      </c>
      <c r="O43" s="3">
        <f>IF(AND(NOT(($D43="")),(SUMPRODUCT(1*((EXACT('Casillas del horario'!$A$4:$A$73,$A43)))*((EXACT('Casillas del horario'!$B$4:$B$73,$B43)))*((EXACT('Casillas del horario'!$D$4:$D$73,$D43)))*(((((EXACT($I43,"no")))+((NOT(EXACT('Casillas del horario'!$C$4:$C$73,(IFERROR(VALUE($C43&amp;""),0)+1))))*(NOT(EXACT('Casillas del horario'!$C$4:$C$73,(IFERROR(VALUE($C43&amp;""),0)-1))))))&gt;0))*((ROW('Casillas del horario'!$A$4:$A$73)&lt;&gt;ROW($A43))))&gt;0)),"si","no")</f>
        <v/>
      </c>
      <c r="P43" s="3">
        <f>MID(IF(AND(NOT(($D43="")),(SUMPRODUCT(1*((EXACT('Casillas del horario'!$B$4:$B$73,$B43)))*((EXACT('Casillas del horario'!$C$4:$C$73,$C43)))*((EXACT('Casillas del horario'!$F$4:$F$73,$F43)))*((ROW('Casillas del horario'!$A$4:$A$73)&lt;&gt;ROW($A43))))&gt;0)),"; "&amp;"Este profesor ya da clase a otro grupo en este mismo turno","")&amp;IF(AND(NOT(($D43="")),(SUMPRODUCT(1*((EXACT('Casillas del horario'!$B$4:$B$73,$B43)))*((EXACT('Casillas del horario'!$C$4:$C$73,$C43)))*((EXACT('Casillas del horario'!$H$4:$H$73,$H43)))*((ROW('Casillas del horario'!$A$4:$A$73)&lt;&gt;ROW($A43))))&gt;0)),"; "&amp;"Ese local esta ocupado por otro grupo a esa hora","")&amp;IF(EXACT($O43,"si"),"; "&amp;IF(ISNUMBER(IF(EXACT($I43,"no"),"Esta asignatura no admite turno doble y repite el dia en este grupo","Esta asignatura repite el dia en este grupo sin ser en turnos seguidos")),IF(IF(EXACT($I43,"no"),"Esta asignatura no admite turno doble y repite el dia en este grupo","Esta asignatura repite el dia en este grupo sin ser en turnos seguidos")=0,"0",ROUND(IF(EXACT($I43,"no"),"Esta asignatura no admite turno doble y repite el dia en este grupo","Esta asignatura repite el dia en este grupo sin ser en turnos seguidos"),9-INT(LOG10(ABS(IF(EXACT($I43,"no"),"Esta asignatura no admite turno doble y repite el dia en este grupo","Esta asignatura repite el dia en este grupo sin ser en turnos seguidos")))))&amp;""),IF(EXACT($I43,"no"),"Esta asignatura no admite turno doble y repite el dia en este grupo","Esta asignatura repite el dia en este grupo sin ser en turnos seguidos")&amp;""),"")&amp;IF(AND(NOT(($D43="")),EXACT($B43,$K43)),"; "&amp;"Es el dia de preparacion de la asignatura","")&amp;IF(AND(EXACT($D43,"EF"),(IFERROR(VALUE($C43&amp;""),0)&gt;3)),"; "&amp;"Educacion Fisica no puede caer despues del tercer turno","")&amp;IF(AND(NOT(($D43="")),EXACT($J43,"no"),(IFERROR(VALUE($C43&amp;""),0)&gt;6)),"; "&amp;"Esta asignatura no admite turnos de tarde","")&amp;IF(AND(NOT(($D43="")),EXACT($L43,"si"),EXACT($N43,"no")),"; "&amp;"Este profesor esta contratado y no asiste al centro este dia","")&amp;IF(AND(NOT(($D43="")),EXACT($M43,"si"),EXACT($C43,1)),"; "&amp;"Se preferiria no darle el primer turno a un profesor que vive lejos","")&amp;IF(($D43=""),"; "&amp;"Turno sin asignar",""),3,32767)</f>
        <v/>
      </c>
      <c r="Q43" s="3">
        <f>IF(OR(AND(NOT(($D43="")),(SUMPRODUCT(1*((EXACT('Casillas del horario'!$B$4:$B$73,$B43)))*((EXACT('Casillas del horario'!$C$4:$C$73,$C43)))*((EXACT('Casillas del horario'!$F$4:$F$73,$F43)))*((ROW('Casillas del horario'!$A$4:$A$73)&lt;&gt;ROW($A43))))&gt;0)),AND(NOT(($D43="")),(SUMPRODUCT(1*((EXACT('Casillas del horario'!$B$4:$B$73,$B43)))*((EXACT('Casillas del horario'!$C$4:$C$73,$C43)))*((EXACT('Casillas del horario'!$H$4:$H$73,$H43)))*((ROW('Casillas del horario'!$A$4:$A$73)&lt;&gt;ROW($A43))))&gt;0)),EXACT($O43,"si"),AND(NOT(($D43="")),EXACT($B43,$K43)),AND(EXACT($D43,"EF"),(IFERROR(VALUE($C43&amp;""),0)&gt;3)),AND(NOT(($D43="")),EXACT($J43,"no"),(IFERROR(VALUE($C43&amp;""),0)&gt;6)),AND(NOT(($D43="")),EXACT($L43,"si"),EXACT($N43,"no"))),3,IF(OR(AND(NOT(($D43="")),EXACT($M43,"si"),EXACT($C43,1))),2,IF(OR(($D43="")),1,0)))</f>
        <v/>
      </c>
      <c r="R43" s="3">
        <f>$A43&amp;CHAR(31)&amp;$C43&amp;CHAR(31)&amp;$B43</f>
        <v/>
      </c>
      <c r="S43" s="3">
        <f>$F43&amp;CHAR(31)&amp;$C43&amp;CHAR(31)&amp;$B43</f>
        <v/>
      </c>
      <c r="T43" s="3">
        <f>$H43&amp;CHAR(31)&amp;$C43&amp;CHAR(31)&amp;$B43</f>
        <v/>
      </c>
    </row>
    <row r="44">
      <c r="A44" s="3" t="inlineStr">
        <is>
          <t>10-3</t>
        </is>
      </c>
      <c r="B44" s="3" t="inlineStr">
        <is>
          <t>L</t>
        </is>
      </c>
      <c r="C44" s="3" t="n">
        <v>5</v>
      </c>
      <c r="D44" s="4" t="inlineStr">
        <is>
          <t>CA</t>
        </is>
      </c>
      <c r="E44" s="3">
        <f>IF(ISNA(MATCH(1,INDEX(EXACT('Asignaturas'!$A$4:$A$18,$D44)*1,0),0)),"",IF(ISBLANK(INDEX('Asignaturas'!$B$4:$B$18,MATCH(1,INDEX(EXACT('Asignaturas'!$A$4:$A$18,$D44)*1,0),0))),"",INDEX('Asignaturas'!$B$4:$B$18,MATCH(1,INDEX(EXACT('Asignaturas'!$A$4:$A$18,$D44)*1,0),0))))</f>
        <v/>
      </c>
      <c r="F44" s="3">
        <f>IF(ISNA(MATCH(1,INDEX(1*(EXACT('Frecuencias por grupo'!$A$4:$A$33,$A44))*(EXACT('Frecuencias por grupo'!$B$4:$B$33,$D44)),0),0)),"",IF(ISBLANK(INDEX('Frecuencias por grupo'!$C$4:$C$33,MATCH(1,INDEX(1*(EXACT('Frecuencias por grupo'!$A$4:$A$33,$A44))*(EXACT('Frecuencias por grupo'!$B$4:$B$33,$D44)),0),0))),"",INDEX('Frecuencias por grupo'!$C$4:$C$33,MATCH(1,INDEX(1*(EXACT('Frecuencias por grupo'!$A$4:$A$33,$A44))*(EXACT('Frecuencias por grupo'!$B$4:$B$33,$D44)),0),0))))</f>
        <v/>
      </c>
      <c r="G44" s="3">
        <f>IF(ISNA(MATCH(1,INDEX(EXACT('Asignaturas'!$A$4:$A$18,$D44)*1,0),0)),"",IF(ISBLANK(INDEX('Asignaturas'!$G$4:$G$18,MATCH(1,INDEX(EXACT('Asignaturas'!$A$4:$A$18,$D44)*1,0),0))),"",INDEX('Asignaturas'!$G$4:$G$18,MATCH(1,INDEX(EXACT('Asignaturas'!$A$4:$A$18,$D44)*1,0),0))))</f>
        <v/>
      </c>
      <c r="H44" s="3">
        <f>IF(($D44=""),"",IF(($G44=""),("Aula "&amp;IF(ISNUMBER($A44),IF($A44=0,"0",ROUND($A44,9-INT(LOG10(ABS($A44))))&amp;""),$A44&amp;"")),$G44))</f>
        <v/>
      </c>
      <c r="I44" s="3">
        <f>IF(ISNA(MATCH(1,INDEX(EXACT('Asignaturas'!$A$4:$A$18,$D44)*1,0),0)),"no",IF(ISBLANK(INDEX('Asignaturas'!$D$4:$D$18,MATCH(1,INDEX(EXACT('Asignaturas'!$A$4:$A$18,$D44)*1,0),0))),"",INDEX('Asignaturas'!$D$4:$D$18,MATCH(1,INDEX(EXACT('Asignaturas'!$A$4:$A$18,$D44)*1,0),0))))</f>
        <v/>
      </c>
      <c r="J44" s="3">
        <f>IF(ISNA(MATCH(1,INDEX(EXACT('Asignaturas'!$A$4:$A$18,$D44)*1,0),0)),"no",IF(ISBLANK(INDEX('Asignaturas'!$E$4:$E$18,MATCH(1,INDEX(EXACT('Asignaturas'!$A$4:$A$18,$D44)*1,0),0))),"",INDEX('Asignaturas'!$E$4:$E$18,MATCH(1,INDEX(EXACT('Asignaturas'!$A$4:$A$18,$D44)*1,0),0))))</f>
        <v/>
      </c>
      <c r="K44" s="3">
        <f>IF(ISNA(MATCH(1,INDEX(EXACT('Asignaturas'!$A$4:$A$18,$D44)*1,0),0)),"",IF(ISBLANK(INDEX('Asignaturas'!$F$4:$F$18,MATCH(1,INDEX(EXACT('Asignaturas'!$A$4:$A$18,$D44)*1,0),0))),"",INDEX('Asignaturas'!$F$4:$F$18,MATCH(1,INDEX(EXACT('Asignaturas'!$A$4:$A$18,$D44)*1,0),0))))</f>
        <v/>
      </c>
      <c r="L44" s="3">
        <f>IF(ISNA(MATCH(1,INDEX(EXACT('Profesores'!$A$4:$A$33,$F44)*1,0),0)),"no",IF(ISBLANK(INDEX('Profesores'!$B$4:$B$33,MATCH(1,INDEX(EXACT('Profesores'!$A$4:$A$33,$F44)*1,0),0))),"",INDEX('Profesores'!$B$4:$B$33,MATCH(1,INDEX(EXACT('Profesores'!$A$4:$A$33,$F44)*1,0),0))))</f>
        <v/>
      </c>
      <c r="M44" s="3">
        <f>IF(ISNA(MATCH(1,INDEX(EXACT('Profesores'!$A$4:$A$33,$F44)*1,0),0)),"no",IF(ISBLANK(INDEX('Profesores'!$C$4:$C$33,MATCH(1,INDEX(EXACT('Profesores'!$A$4:$A$33,$F44)*1,0),0))),"",INDEX('Profesores'!$C$4:$C$33,MATCH(1,INDEX(EXACT('Profesores'!$A$4:$A$33,$F44)*1,0),0))))</f>
        <v/>
      </c>
      <c r="N44" s="3">
        <f>IF(ISNA(MATCH(1,INDEX(1*((('Dias que asisten los contratado'!$A$4:$A$4&lt;&gt;"")+('Dias que asisten los contratado'!$B$4:$B$4&lt;&gt;""))&gt;0)*(EXACT('Dias que asisten los contratado'!$A$4:$A$4,$F44))*(EXACT('Dias que asisten los contratado'!$B$4:$B$4,$B44)),0),0)),"no",IF(ISBLANK(INDEX('Dias que asisten los contratado'!$C$4:$C$4,MATCH(1,INDEX(1*((('Dias que asisten los contratado'!$A$4:$A$4&lt;&gt;"")+('Dias que asisten los contratado'!$B$4:$B$4&lt;&gt;""))&gt;0)*(EXACT('Dias que asisten los contratado'!$A$4:$A$4,$F44))*(EXACT('Dias que asisten los contratado'!$B$4:$B$4,$B44)),0),0))),"",INDEX('Dias que asisten los contratado'!$C$4:$C$4,MATCH(1,INDEX(1*((('Dias que asisten los contratado'!$A$4:$A$4&lt;&gt;"")+('Dias que asisten los contratado'!$B$4:$B$4&lt;&gt;""))&gt;0)*(EXACT('Dias que asisten los contratado'!$A$4:$A$4,$F44))*(EXACT('Dias que asisten los contratado'!$B$4:$B$4,$B44)),0),0))))</f>
        <v/>
      </c>
      <c r="O44" s="3">
        <f>IF(AND(NOT(($D44="")),(SUMPRODUCT(1*((EXACT('Casillas del horario'!$A$4:$A$73,$A44)))*((EXACT('Casillas del horario'!$B$4:$B$73,$B44)))*((EXACT('Casillas del horario'!$D$4:$D$73,$D44)))*(((((EXACT($I44,"no")))+((NOT(EXACT('Casillas del horario'!$C$4:$C$73,(IFERROR(VALUE($C44&amp;""),0)+1))))*(NOT(EXACT('Casillas del horario'!$C$4:$C$73,(IFERROR(VALUE($C44&amp;""),0)-1))))))&gt;0))*((ROW('Casillas del horario'!$A$4:$A$73)&lt;&gt;ROW($A44))))&gt;0)),"si","no")</f>
        <v/>
      </c>
      <c r="P44" s="3">
        <f>MID(IF(AND(NOT(($D44="")),(SUMPRODUCT(1*((EXACT('Casillas del horario'!$B$4:$B$73,$B44)))*((EXACT('Casillas del horario'!$C$4:$C$73,$C44)))*((EXACT('Casillas del horario'!$F$4:$F$73,$F44)))*((ROW('Casillas del horario'!$A$4:$A$73)&lt;&gt;ROW($A44))))&gt;0)),"; "&amp;"Este profesor ya da clase a otro grupo en este mismo turno","")&amp;IF(AND(NOT(($D44="")),(SUMPRODUCT(1*((EXACT('Casillas del horario'!$B$4:$B$73,$B44)))*((EXACT('Casillas del horario'!$C$4:$C$73,$C44)))*((EXACT('Casillas del horario'!$H$4:$H$73,$H44)))*((ROW('Casillas del horario'!$A$4:$A$73)&lt;&gt;ROW($A44))))&gt;0)),"; "&amp;"Ese local esta ocupado por otro grupo a esa hora","")&amp;IF(EXACT($O44,"si"),"; "&amp;IF(ISNUMBER(IF(EXACT($I44,"no"),"Esta asignatura no admite turno doble y repite el dia en este grupo","Esta asignatura repite el dia en este grupo sin ser en turnos seguidos")),IF(IF(EXACT($I44,"no"),"Esta asignatura no admite turno doble y repite el dia en este grupo","Esta asignatura repite el dia en este grupo sin ser en turnos seguidos")=0,"0",ROUND(IF(EXACT($I44,"no"),"Esta asignatura no admite turno doble y repite el dia en este grupo","Esta asignatura repite el dia en este grupo sin ser en turnos seguidos"),9-INT(LOG10(ABS(IF(EXACT($I44,"no"),"Esta asignatura no admite turno doble y repite el dia en este grupo","Esta asignatura repite el dia en este grupo sin ser en turnos seguidos")))))&amp;""),IF(EXACT($I44,"no"),"Esta asignatura no admite turno doble y repite el dia en este grupo","Esta asignatura repite el dia en este grupo sin ser en turnos seguidos")&amp;""),"")&amp;IF(AND(NOT(($D44="")),EXACT($B44,$K44)),"; "&amp;"Es el dia de preparacion de la asignatura","")&amp;IF(AND(EXACT($D44,"EF"),(IFERROR(VALUE($C44&amp;""),0)&gt;3)),"; "&amp;"Educacion Fisica no puede caer despues del tercer turno","")&amp;IF(AND(NOT(($D44="")),EXACT($J44,"no"),(IFERROR(VALUE($C44&amp;""),0)&gt;6)),"; "&amp;"Esta asignatura no admite turnos de tarde","")&amp;IF(AND(NOT(($D44="")),EXACT($L44,"si"),EXACT($N44,"no")),"; "&amp;"Este profesor esta contratado y no asiste al centro este dia","")&amp;IF(AND(NOT(($D44="")),EXACT($M44,"si"),EXACT($C44,1)),"; "&amp;"Se preferiria no darle el primer turno a un profesor que vive lejos","")&amp;IF(($D44=""),"; "&amp;"Turno sin asignar",""),3,32767)</f>
        <v/>
      </c>
      <c r="Q44" s="3">
        <f>IF(OR(AND(NOT(($D44="")),(SUMPRODUCT(1*((EXACT('Casillas del horario'!$B$4:$B$73,$B44)))*((EXACT('Casillas del horario'!$C$4:$C$73,$C44)))*((EXACT('Casillas del horario'!$F$4:$F$73,$F44)))*((ROW('Casillas del horario'!$A$4:$A$73)&lt;&gt;ROW($A44))))&gt;0)),AND(NOT(($D44="")),(SUMPRODUCT(1*((EXACT('Casillas del horario'!$B$4:$B$73,$B44)))*((EXACT('Casillas del horario'!$C$4:$C$73,$C44)))*((EXACT('Casillas del horario'!$H$4:$H$73,$H44)))*((ROW('Casillas del horario'!$A$4:$A$73)&lt;&gt;ROW($A44))))&gt;0)),EXACT($O44,"si"),AND(NOT(($D44="")),EXACT($B44,$K44)),AND(EXACT($D44,"EF"),(IFERROR(VALUE($C44&amp;""),0)&gt;3)),AND(NOT(($D44="")),EXACT($J44,"no"),(IFERROR(VALUE($C44&amp;""),0)&gt;6)),AND(NOT(($D44="")),EXACT($L44,"si"),EXACT($N44,"no"))),3,IF(OR(AND(NOT(($D44="")),EXACT($M44,"si"),EXACT($C44,1))),2,IF(OR(($D44="")),1,0)))</f>
        <v/>
      </c>
      <c r="R44" s="3">
        <f>$A44&amp;CHAR(31)&amp;$C44&amp;CHAR(31)&amp;$B44</f>
        <v/>
      </c>
      <c r="S44" s="3">
        <f>$F44&amp;CHAR(31)&amp;$C44&amp;CHAR(31)&amp;$B44</f>
        <v/>
      </c>
      <c r="T44" s="3">
        <f>$H44&amp;CHAR(31)&amp;$C44&amp;CHAR(31)&amp;$B44</f>
        <v/>
      </c>
    </row>
    <row r="45">
      <c r="A45" s="3" t="inlineStr">
        <is>
          <t>10-3</t>
        </is>
      </c>
      <c r="B45" s="3" t="inlineStr">
        <is>
          <t>M</t>
        </is>
      </c>
      <c r="C45" s="3" t="n">
        <v>5</v>
      </c>
      <c r="D45" s="4" t="inlineStr">
        <is>
          <t>G</t>
        </is>
      </c>
      <c r="E45" s="3">
        <f>IF(ISNA(MATCH(1,INDEX(EXACT('Asignaturas'!$A$4:$A$18,$D45)*1,0),0)),"",IF(ISBLANK(INDEX('Asignaturas'!$B$4:$B$18,MATCH(1,INDEX(EXACT('Asignaturas'!$A$4:$A$18,$D45)*1,0),0))),"",INDEX('Asignaturas'!$B$4:$B$18,MATCH(1,INDEX(EXACT('Asignaturas'!$A$4:$A$18,$D45)*1,0),0))))</f>
        <v/>
      </c>
      <c r="F45" s="3">
        <f>IF(ISNA(MATCH(1,INDEX(1*(EXACT('Frecuencias por grupo'!$A$4:$A$33,$A45))*(EXACT('Frecuencias por grupo'!$B$4:$B$33,$D45)),0),0)),"",IF(ISBLANK(INDEX('Frecuencias por grupo'!$C$4:$C$33,MATCH(1,INDEX(1*(EXACT('Frecuencias por grupo'!$A$4:$A$33,$A45))*(EXACT('Frecuencias por grupo'!$B$4:$B$33,$D45)),0),0))),"",INDEX('Frecuencias por grupo'!$C$4:$C$33,MATCH(1,INDEX(1*(EXACT('Frecuencias por grupo'!$A$4:$A$33,$A45))*(EXACT('Frecuencias por grupo'!$B$4:$B$33,$D45)),0),0))))</f>
        <v/>
      </c>
      <c r="G45" s="3">
        <f>IF(ISNA(MATCH(1,INDEX(EXACT('Asignaturas'!$A$4:$A$18,$D45)*1,0),0)),"",IF(ISBLANK(INDEX('Asignaturas'!$G$4:$G$18,MATCH(1,INDEX(EXACT('Asignaturas'!$A$4:$A$18,$D45)*1,0),0))),"",INDEX('Asignaturas'!$G$4:$G$18,MATCH(1,INDEX(EXACT('Asignaturas'!$A$4:$A$18,$D45)*1,0),0))))</f>
        <v/>
      </c>
      <c r="H45" s="3">
        <f>IF(($D45=""),"",IF(($G45=""),("Aula "&amp;IF(ISNUMBER($A45),IF($A45=0,"0",ROUND($A45,9-INT(LOG10(ABS($A45))))&amp;""),$A45&amp;"")),$G45))</f>
        <v/>
      </c>
      <c r="I45" s="3">
        <f>IF(ISNA(MATCH(1,INDEX(EXACT('Asignaturas'!$A$4:$A$18,$D45)*1,0),0)),"no",IF(ISBLANK(INDEX('Asignaturas'!$D$4:$D$18,MATCH(1,INDEX(EXACT('Asignaturas'!$A$4:$A$18,$D45)*1,0),0))),"",INDEX('Asignaturas'!$D$4:$D$18,MATCH(1,INDEX(EXACT('Asignaturas'!$A$4:$A$18,$D45)*1,0),0))))</f>
        <v/>
      </c>
      <c r="J45" s="3">
        <f>IF(ISNA(MATCH(1,INDEX(EXACT('Asignaturas'!$A$4:$A$18,$D45)*1,0),0)),"no",IF(ISBLANK(INDEX('Asignaturas'!$E$4:$E$18,MATCH(1,INDEX(EXACT('Asignaturas'!$A$4:$A$18,$D45)*1,0),0))),"",INDEX('Asignaturas'!$E$4:$E$18,MATCH(1,INDEX(EXACT('Asignaturas'!$A$4:$A$18,$D45)*1,0),0))))</f>
        <v/>
      </c>
      <c r="K45" s="3">
        <f>IF(ISNA(MATCH(1,INDEX(EXACT('Asignaturas'!$A$4:$A$18,$D45)*1,0),0)),"",IF(ISBLANK(INDEX('Asignaturas'!$F$4:$F$18,MATCH(1,INDEX(EXACT('Asignaturas'!$A$4:$A$18,$D45)*1,0),0))),"",INDEX('Asignaturas'!$F$4:$F$18,MATCH(1,INDEX(EXACT('Asignaturas'!$A$4:$A$18,$D45)*1,0),0))))</f>
        <v/>
      </c>
      <c r="L45" s="3">
        <f>IF(ISNA(MATCH(1,INDEX(EXACT('Profesores'!$A$4:$A$33,$F45)*1,0),0)),"no",IF(ISBLANK(INDEX('Profesores'!$B$4:$B$33,MATCH(1,INDEX(EXACT('Profesores'!$A$4:$A$33,$F45)*1,0),0))),"",INDEX('Profesores'!$B$4:$B$33,MATCH(1,INDEX(EXACT('Profesores'!$A$4:$A$33,$F45)*1,0),0))))</f>
        <v/>
      </c>
      <c r="M45" s="3">
        <f>IF(ISNA(MATCH(1,INDEX(EXACT('Profesores'!$A$4:$A$33,$F45)*1,0),0)),"no",IF(ISBLANK(INDEX('Profesores'!$C$4:$C$33,MATCH(1,INDEX(EXACT('Profesores'!$A$4:$A$33,$F45)*1,0),0))),"",INDEX('Profesores'!$C$4:$C$33,MATCH(1,INDEX(EXACT('Profesores'!$A$4:$A$33,$F45)*1,0),0))))</f>
        <v/>
      </c>
      <c r="N45" s="3">
        <f>IF(ISNA(MATCH(1,INDEX(1*((('Dias que asisten los contratado'!$A$4:$A$4&lt;&gt;"")+('Dias que asisten los contratado'!$B$4:$B$4&lt;&gt;""))&gt;0)*(EXACT('Dias que asisten los contratado'!$A$4:$A$4,$F45))*(EXACT('Dias que asisten los contratado'!$B$4:$B$4,$B45)),0),0)),"no",IF(ISBLANK(INDEX('Dias que asisten los contratado'!$C$4:$C$4,MATCH(1,INDEX(1*((('Dias que asisten los contratado'!$A$4:$A$4&lt;&gt;"")+('Dias que asisten los contratado'!$B$4:$B$4&lt;&gt;""))&gt;0)*(EXACT('Dias que asisten los contratado'!$A$4:$A$4,$F45))*(EXACT('Dias que asisten los contratado'!$B$4:$B$4,$B45)),0),0))),"",INDEX('Dias que asisten los contratado'!$C$4:$C$4,MATCH(1,INDEX(1*((('Dias que asisten los contratado'!$A$4:$A$4&lt;&gt;"")+('Dias que asisten los contratado'!$B$4:$B$4&lt;&gt;""))&gt;0)*(EXACT('Dias que asisten los contratado'!$A$4:$A$4,$F45))*(EXACT('Dias que asisten los contratado'!$B$4:$B$4,$B45)),0),0))))</f>
        <v/>
      </c>
      <c r="O45" s="3">
        <f>IF(AND(NOT(($D45="")),(SUMPRODUCT(1*((EXACT('Casillas del horario'!$A$4:$A$73,$A45)))*((EXACT('Casillas del horario'!$B$4:$B$73,$B45)))*((EXACT('Casillas del horario'!$D$4:$D$73,$D45)))*(((((EXACT($I45,"no")))+((NOT(EXACT('Casillas del horario'!$C$4:$C$73,(IFERROR(VALUE($C45&amp;""),0)+1))))*(NOT(EXACT('Casillas del horario'!$C$4:$C$73,(IFERROR(VALUE($C45&amp;""),0)-1))))))&gt;0))*((ROW('Casillas del horario'!$A$4:$A$73)&lt;&gt;ROW($A45))))&gt;0)),"si","no")</f>
        <v/>
      </c>
      <c r="P45" s="3">
        <f>MID(IF(AND(NOT(($D45="")),(SUMPRODUCT(1*((EXACT('Casillas del horario'!$B$4:$B$73,$B45)))*((EXACT('Casillas del horario'!$C$4:$C$73,$C45)))*((EXACT('Casillas del horario'!$F$4:$F$73,$F45)))*((ROW('Casillas del horario'!$A$4:$A$73)&lt;&gt;ROW($A45))))&gt;0)),"; "&amp;"Este profesor ya da clase a otro grupo en este mismo turno","")&amp;IF(AND(NOT(($D45="")),(SUMPRODUCT(1*((EXACT('Casillas del horario'!$B$4:$B$73,$B45)))*((EXACT('Casillas del horario'!$C$4:$C$73,$C45)))*((EXACT('Casillas del horario'!$H$4:$H$73,$H45)))*((ROW('Casillas del horario'!$A$4:$A$73)&lt;&gt;ROW($A45))))&gt;0)),"; "&amp;"Ese local esta ocupado por otro grupo a esa hora","")&amp;IF(EXACT($O45,"si"),"; "&amp;IF(ISNUMBER(IF(EXACT($I45,"no"),"Esta asignatura no admite turno doble y repite el dia en este grupo","Esta asignatura repite el dia en este grupo sin ser en turnos seguidos")),IF(IF(EXACT($I45,"no"),"Esta asignatura no admite turno doble y repite el dia en este grupo","Esta asignatura repite el dia en este grupo sin ser en turnos seguidos")=0,"0",ROUND(IF(EXACT($I45,"no"),"Esta asignatura no admite turno doble y repite el dia en este grupo","Esta asignatura repite el dia en este grupo sin ser en turnos seguidos"),9-INT(LOG10(ABS(IF(EXACT($I45,"no"),"Esta asignatura no admite turno doble y repite el dia en este grupo","Esta asignatura repite el dia en este grupo sin ser en turnos seguidos")))))&amp;""),IF(EXACT($I45,"no"),"Esta asignatura no admite turno doble y repite el dia en este grupo","Esta asignatura repite el dia en este grupo sin ser en turnos seguidos")&amp;""),"")&amp;IF(AND(NOT(($D45="")),EXACT($B45,$K45)),"; "&amp;"Es el dia de preparacion de la asignatura","")&amp;IF(AND(EXACT($D45,"EF"),(IFERROR(VALUE($C45&amp;""),0)&gt;3)),"; "&amp;"Educacion Fisica no puede caer despues del tercer turno","")&amp;IF(AND(NOT(($D45="")),EXACT($J45,"no"),(IFERROR(VALUE($C45&amp;""),0)&gt;6)),"; "&amp;"Esta asignatura no admite turnos de tarde","")&amp;IF(AND(NOT(($D45="")),EXACT($L45,"si"),EXACT($N45,"no")),"; "&amp;"Este profesor esta contratado y no asiste al centro este dia","")&amp;IF(AND(NOT(($D45="")),EXACT($M45,"si"),EXACT($C45,1)),"; "&amp;"Se preferiria no darle el primer turno a un profesor que vive lejos","")&amp;IF(($D45=""),"; "&amp;"Turno sin asignar",""),3,32767)</f>
        <v/>
      </c>
      <c r="Q45" s="3">
        <f>IF(OR(AND(NOT(($D45="")),(SUMPRODUCT(1*((EXACT('Casillas del horario'!$B$4:$B$73,$B45)))*((EXACT('Casillas del horario'!$C$4:$C$73,$C45)))*((EXACT('Casillas del horario'!$F$4:$F$73,$F45)))*((ROW('Casillas del horario'!$A$4:$A$73)&lt;&gt;ROW($A45))))&gt;0)),AND(NOT(($D45="")),(SUMPRODUCT(1*((EXACT('Casillas del horario'!$B$4:$B$73,$B45)))*((EXACT('Casillas del horario'!$C$4:$C$73,$C45)))*((EXACT('Casillas del horario'!$H$4:$H$73,$H45)))*((ROW('Casillas del horario'!$A$4:$A$73)&lt;&gt;ROW($A45))))&gt;0)),EXACT($O45,"si"),AND(NOT(($D45="")),EXACT($B45,$K45)),AND(EXACT($D45,"EF"),(IFERROR(VALUE($C45&amp;""),0)&gt;3)),AND(NOT(($D45="")),EXACT($J45,"no"),(IFERROR(VALUE($C45&amp;""),0)&gt;6)),AND(NOT(($D45="")),EXACT($L45,"si"),EXACT($N45,"no"))),3,IF(OR(AND(NOT(($D45="")),EXACT($M45,"si"),EXACT($C45,1))),2,IF(OR(($D45="")),1,0)))</f>
        <v/>
      </c>
      <c r="R45" s="3">
        <f>$A45&amp;CHAR(31)&amp;$C45&amp;CHAR(31)&amp;$B45</f>
        <v/>
      </c>
      <c r="S45" s="3">
        <f>$F45&amp;CHAR(31)&amp;$C45&amp;CHAR(31)&amp;$B45</f>
        <v/>
      </c>
      <c r="T45" s="3">
        <f>$H45&amp;CHAR(31)&amp;$C45&amp;CHAR(31)&amp;$B45</f>
        <v/>
      </c>
    </row>
    <row r="46">
      <c r="A46" s="3" t="inlineStr">
        <is>
          <t>10-3</t>
        </is>
      </c>
      <c r="B46" s="3" t="inlineStr">
        <is>
          <t>MI</t>
        </is>
      </c>
      <c r="C46" s="3" t="n">
        <v>5</v>
      </c>
      <c r="D46" s="4" t="inlineStr">
        <is>
          <t>G</t>
        </is>
      </c>
      <c r="E46" s="3">
        <f>IF(ISNA(MATCH(1,INDEX(EXACT('Asignaturas'!$A$4:$A$18,$D46)*1,0),0)),"",IF(ISBLANK(INDEX('Asignaturas'!$B$4:$B$18,MATCH(1,INDEX(EXACT('Asignaturas'!$A$4:$A$18,$D46)*1,0),0))),"",INDEX('Asignaturas'!$B$4:$B$18,MATCH(1,INDEX(EXACT('Asignaturas'!$A$4:$A$18,$D46)*1,0),0))))</f>
        <v/>
      </c>
      <c r="F46" s="3">
        <f>IF(ISNA(MATCH(1,INDEX(1*(EXACT('Frecuencias por grupo'!$A$4:$A$33,$A46))*(EXACT('Frecuencias por grupo'!$B$4:$B$33,$D46)),0),0)),"",IF(ISBLANK(INDEX('Frecuencias por grupo'!$C$4:$C$33,MATCH(1,INDEX(1*(EXACT('Frecuencias por grupo'!$A$4:$A$33,$A46))*(EXACT('Frecuencias por grupo'!$B$4:$B$33,$D46)),0),0))),"",INDEX('Frecuencias por grupo'!$C$4:$C$33,MATCH(1,INDEX(1*(EXACT('Frecuencias por grupo'!$A$4:$A$33,$A46))*(EXACT('Frecuencias por grupo'!$B$4:$B$33,$D46)),0),0))))</f>
        <v/>
      </c>
      <c r="G46" s="3">
        <f>IF(ISNA(MATCH(1,INDEX(EXACT('Asignaturas'!$A$4:$A$18,$D46)*1,0),0)),"",IF(ISBLANK(INDEX('Asignaturas'!$G$4:$G$18,MATCH(1,INDEX(EXACT('Asignaturas'!$A$4:$A$18,$D46)*1,0),0))),"",INDEX('Asignaturas'!$G$4:$G$18,MATCH(1,INDEX(EXACT('Asignaturas'!$A$4:$A$18,$D46)*1,0),0))))</f>
        <v/>
      </c>
      <c r="H46" s="3">
        <f>IF(($D46=""),"",IF(($G46=""),("Aula "&amp;IF(ISNUMBER($A46),IF($A46=0,"0",ROUND($A46,9-INT(LOG10(ABS($A46))))&amp;""),$A46&amp;"")),$G46))</f>
        <v/>
      </c>
      <c r="I46" s="3">
        <f>IF(ISNA(MATCH(1,INDEX(EXACT('Asignaturas'!$A$4:$A$18,$D46)*1,0),0)),"no",IF(ISBLANK(INDEX('Asignaturas'!$D$4:$D$18,MATCH(1,INDEX(EXACT('Asignaturas'!$A$4:$A$18,$D46)*1,0),0))),"",INDEX('Asignaturas'!$D$4:$D$18,MATCH(1,INDEX(EXACT('Asignaturas'!$A$4:$A$18,$D46)*1,0),0))))</f>
        <v/>
      </c>
      <c r="J46" s="3">
        <f>IF(ISNA(MATCH(1,INDEX(EXACT('Asignaturas'!$A$4:$A$18,$D46)*1,0),0)),"no",IF(ISBLANK(INDEX('Asignaturas'!$E$4:$E$18,MATCH(1,INDEX(EXACT('Asignaturas'!$A$4:$A$18,$D46)*1,0),0))),"",INDEX('Asignaturas'!$E$4:$E$18,MATCH(1,INDEX(EXACT('Asignaturas'!$A$4:$A$18,$D46)*1,0),0))))</f>
        <v/>
      </c>
      <c r="K46" s="3">
        <f>IF(ISNA(MATCH(1,INDEX(EXACT('Asignaturas'!$A$4:$A$18,$D46)*1,0),0)),"",IF(ISBLANK(INDEX('Asignaturas'!$F$4:$F$18,MATCH(1,INDEX(EXACT('Asignaturas'!$A$4:$A$18,$D46)*1,0),0))),"",INDEX('Asignaturas'!$F$4:$F$18,MATCH(1,INDEX(EXACT('Asignaturas'!$A$4:$A$18,$D46)*1,0),0))))</f>
        <v/>
      </c>
      <c r="L46" s="3">
        <f>IF(ISNA(MATCH(1,INDEX(EXACT('Profesores'!$A$4:$A$33,$F46)*1,0),0)),"no",IF(ISBLANK(INDEX('Profesores'!$B$4:$B$33,MATCH(1,INDEX(EXACT('Profesores'!$A$4:$A$33,$F46)*1,0),0))),"",INDEX('Profesores'!$B$4:$B$33,MATCH(1,INDEX(EXACT('Profesores'!$A$4:$A$33,$F46)*1,0),0))))</f>
        <v/>
      </c>
      <c r="M46" s="3">
        <f>IF(ISNA(MATCH(1,INDEX(EXACT('Profesores'!$A$4:$A$33,$F46)*1,0),0)),"no",IF(ISBLANK(INDEX('Profesores'!$C$4:$C$33,MATCH(1,INDEX(EXACT('Profesores'!$A$4:$A$33,$F46)*1,0),0))),"",INDEX('Profesores'!$C$4:$C$33,MATCH(1,INDEX(EXACT('Profesores'!$A$4:$A$33,$F46)*1,0),0))))</f>
        <v/>
      </c>
      <c r="N46" s="3">
        <f>IF(ISNA(MATCH(1,INDEX(1*((('Dias que asisten los contratado'!$A$4:$A$4&lt;&gt;"")+('Dias que asisten los contratado'!$B$4:$B$4&lt;&gt;""))&gt;0)*(EXACT('Dias que asisten los contratado'!$A$4:$A$4,$F46))*(EXACT('Dias que asisten los contratado'!$B$4:$B$4,$B46)),0),0)),"no",IF(ISBLANK(INDEX('Dias que asisten los contratado'!$C$4:$C$4,MATCH(1,INDEX(1*((('Dias que asisten los contratado'!$A$4:$A$4&lt;&gt;"")+('Dias que asisten los contratado'!$B$4:$B$4&lt;&gt;""))&gt;0)*(EXACT('Dias que asisten los contratado'!$A$4:$A$4,$F46))*(EXACT('Dias que asisten los contratado'!$B$4:$B$4,$B46)),0),0))),"",INDEX('Dias que asisten los contratado'!$C$4:$C$4,MATCH(1,INDEX(1*((('Dias que asisten los contratado'!$A$4:$A$4&lt;&gt;"")+('Dias que asisten los contratado'!$B$4:$B$4&lt;&gt;""))&gt;0)*(EXACT('Dias que asisten los contratado'!$A$4:$A$4,$F46))*(EXACT('Dias que asisten los contratado'!$B$4:$B$4,$B46)),0),0))))</f>
        <v/>
      </c>
      <c r="O46" s="3">
        <f>IF(AND(NOT(($D46="")),(SUMPRODUCT(1*((EXACT('Casillas del horario'!$A$4:$A$73,$A46)))*((EXACT('Casillas del horario'!$B$4:$B$73,$B46)))*((EXACT('Casillas del horario'!$D$4:$D$73,$D46)))*(((((EXACT($I46,"no")))+((NOT(EXACT('Casillas del horario'!$C$4:$C$73,(IFERROR(VALUE($C46&amp;""),0)+1))))*(NOT(EXACT('Casillas del horario'!$C$4:$C$73,(IFERROR(VALUE($C46&amp;""),0)-1))))))&gt;0))*((ROW('Casillas del horario'!$A$4:$A$73)&lt;&gt;ROW($A46))))&gt;0)),"si","no")</f>
        <v/>
      </c>
      <c r="P46" s="3">
        <f>MID(IF(AND(NOT(($D46="")),(SUMPRODUCT(1*((EXACT('Casillas del horario'!$B$4:$B$73,$B46)))*((EXACT('Casillas del horario'!$C$4:$C$73,$C46)))*((EXACT('Casillas del horario'!$F$4:$F$73,$F46)))*((ROW('Casillas del horario'!$A$4:$A$73)&lt;&gt;ROW($A46))))&gt;0)),"; "&amp;"Este profesor ya da clase a otro grupo en este mismo turno","")&amp;IF(AND(NOT(($D46="")),(SUMPRODUCT(1*((EXACT('Casillas del horario'!$B$4:$B$73,$B46)))*((EXACT('Casillas del horario'!$C$4:$C$73,$C46)))*((EXACT('Casillas del horario'!$H$4:$H$73,$H46)))*((ROW('Casillas del horario'!$A$4:$A$73)&lt;&gt;ROW($A46))))&gt;0)),"; "&amp;"Ese local esta ocupado por otro grupo a esa hora","")&amp;IF(EXACT($O46,"si"),"; "&amp;IF(ISNUMBER(IF(EXACT($I46,"no"),"Esta asignatura no admite turno doble y repite el dia en este grupo","Esta asignatura repite el dia en este grupo sin ser en turnos seguidos")),IF(IF(EXACT($I46,"no"),"Esta asignatura no admite turno doble y repite el dia en este grupo","Esta asignatura repite el dia en este grupo sin ser en turnos seguidos")=0,"0",ROUND(IF(EXACT($I46,"no"),"Esta asignatura no admite turno doble y repite el dia en este grupo","Esta asignatura repite el dia en este grupo sin ser en turnos seguidos"),9-INT(LOG10(ABS(IF(EXACT($I46,"no"),"Esta asignatura no admite turno doble y repite el dia en este grupo","Esta asignatura repite el dia en este grupo sin ser en turnos seguidos")))))&amp;""),IF(EXACT($I46,"no"),"Esta asignatura no admite turno doble y repite el dia en este grupo","Esta asignatura repite el dia en este grupo sin ser en turnos seguidos")&amp;""),"")&amp;IF(AND(NOT(($D46="")),EXACT($B46,$K46)),"; "&amp;"Es el dia de preparacion de la asignatura","")&amp;IF(AND(EXACT($D46,"EF"),(IFERROR(VALUE($C46&amp;""),0)&gt;3)),"; "&amp;"Educacion Fisica no puede caer despues del tercer turno","")&amp;IF(AND(NOT(($D46="")),EXACT($J46,"no"),(IFERROR(VALUE($C46&amp;""),0)&gt;6)),"; "&amp;"Esta asignatura no admite turnos de tarde","")&amp;IF(AND(NOT(($D46="")),EXACT($L46,"si"),EXACT($N46,"no")),"; "&amp;"Este profesor esta contratado y no asiste al centro este dia","")&amp;IF(AND(NOT(($D46="")),EXACT($M46,"si"),EXACT($C46,1)),"; "&amp;"Se preferiria no darle el primer turno a un profesor que vive lejos","")&amp;IF(($D46=""),"; "&amp;"Turno sin asignar",""),3,32767)</f>
        <v/>
      </c>
      <c r="Q46" s="3">
        <f>IF(OR(AND(NOT(($D46="")),(SUMPRODUCT(1*((EXACT('Casillas del horario'!$B$4:$B$73,$B46)))*((EXACT('Casillas del horario'!$C$4:$C$73,$C46)))*((EXACT('Casillas del horario'!$F$4:$F$73,$F46)))*((ROW('Casillas del horario'!$A$4:$A$73)&lt;&gt;ROW($A46))))&gt;0)),AND(NOT(($D46="")),(SUMPRODUCT(1*((EXACT('Casillas del horario'!$B$4:$B$73,$B46)))*((EXACT('Casillas del horario'!$C$4:$C$73,$C46)))*((EXACT('Casillas del horario'!$H$4:$H$73,$H46)))*((ROW('Casillas del horario'!$A$4:$A$73)&lt;&gt;ROW($A46))))&gt;0)),EXACT($O46,"si"),AND(NOT(($D46="")),EXACT($B46,$K46)),AND(EXACT($D46,"EF"),(IFERROR(VALUE($C46&amp;""),0)&gt;3)),AND(NOT(($D46="")),EXACT($J46,"no"),(IFERROR(VALUE($C46&amp;""),0)&gt;6)),AND(NOT(($D46="")),EXACT($L46,"si"),EXACT($N46,"no"))),3,IF(OR(AND(NOT(($D46="")),EXACT($M46,"si"),EXACT($C46,1))),2,IF(OR(($D46="")),1,0)))</f>
        <v/>
      </c>
      <c r="R46" s="3">
        <f>$A46&amp;CHAR(31)&amp;$C46&amp;CHAR(31)&amp;$B46</f>
        <v/>
      </c>
      <c r="S46" s="3">
        <f>$F46&amp;CHAR(31)&amp;$C46&amp;CHAR(31)&amp;$B46</f>
        <v/>
      </c>
      <c r="T46" s="3">
        <f>$H46&amp;CHAR(31)&amp;$C46&amp;CHAR(31)&amp;$B46</f>
        <v/>
      </c>
    </row>
    <row r="47">
      <c r="A47" s="3" t="inlineStr">
        <is>
          <t>10-3</t>
        </is>
      </c>
      <c r="B47" s="3" t="inlineStr">
        <is>
          <t>J</t>
        </is>
      </c>
      <c r="C47" s="3" t="n">
        <v>5</v>
      </c>
      <c r="D47" s="4" t="inlineStr">
        <is>
          <t>I</t>
        </is>
      </c>
      <c r="E47" s="3">
        <f>IF(ISNA(MATCH(1,INDEX(EXACT('Asignaturas'!$A$4:$A$18,$D47)*1,0),0)),"",IF(ISBLANK(INDEX('Asignaturas'!$B$4:$B$18,MATCH(1,INDEX(EXACT('Asignaturas'!$A$4:$A$18,$D47)*1,0),0))),"",INDEX('Asignaturas'!$B$4:$B$18,MATCH(1,INDEX(EXACT('Asignaturas'!$A$4:$A$18,$D47)*1,0),0))))</f>
        <v/>
      </c>
      <c r="F47" s="3">
        <f>IF(ISNA(MATCH(1,INDEX(1*(EXACT('Frecuencias por grupo'!$A$4:$A$33,$A47))*(EXACT('Frecuencias por grupo'!$B$4:$B$33,$D47)),0),0)),"",IF(ISBLANK(INDEX('Frecuencias por grupo'!$C$4:$C$33,MATCH(1,INDEX(1*(EXACT('Frecuencias por grupo'!$A$4:$A$33,$A47))*(EXACT('Frecuencias por grupo'!$B$4:$B$33,$D47)),0),0))),"",INDEX('Frecuencias por grupo'!$C$4:$C$33,MATCH(1,INDEX(1*(EXACT('Frecuencias por grupo'!$A$4:$A$33,$A47))*(EXACT('Frecuencias por grupo'!$B$4:$B$33,$D47)),0),0))))</f>
        <v/>
      </c>
      <c r="G47" s="3">
        <f>IF(ISNA(MATCH(1,INDEX(EXACT('Asignaturas'!$A$4:$A$18,$D47)*1,0),0)),"",IF(ISBLANK(INDEX('Asignaturas'!$G$4:$G$18,MATCH(1,INDEX(EXACT('Asignaturas'!$A$4:$A$18,$D47)*1,0),0))),"",INDEX('Asignaturas'!$G$4:$G$18,MATCH(1,INDEX(EXACT('Asignaturas'!$A$4:$A$18,$D47)*1,0),0))))</f>
        <v/>
      </c>
      <c r="H47" s="3">
        <f>IF(($D47=""),"",IF(($G47=""),("Aula "&amp;IF(ISNUMBER($A47),IF($A47=0,"0",ROUND($A47,9-INT(LOG10(ABS($A47))))&amp;""),$A47&amp;"")),$G47))</f>
        <v/>
      </c>
      <c r="I47" s="3">
        <f>IF(ISNA(MATCH(1,INDEX(EXACT('Asignaturas'!$A$4:$A$18,$D47)*1,0),0)),"no",IF(ISBLANK(INDEX('Asignaturas'!$D$4:$D$18,MATCH(1,INDEX(EXACT('Asignaturas'!$A$4:$A$18,$D47)*1,0),0))),"",INDEX('Asignaturas'!$D$4:$D$18,MATCH(1,INDEX(EXACT('Asignaturas'!$A$4:$A$18,$D47)*1,0),0))))</f>
        <v/>
      </c>
      <c r="J47" s="3">
        <f>IF(ISNA(MATCH(1,INDEX(EXACT('Asignaturas'!$A$4:$A$18,$D47)*1,0),0)),"no",IF(ISBLANK(INDEX('Asignaturas'!$E$4:$E$18,MATCH(1,INDEX(EXACT('Asignaturas'!$A$4:$A$18,$D47)*1,0),0))),"",INDEX('Asignaturas'!$E$4:$E$18,MATCH(1,INDEX(EXACT('Asignaturas'!$A$4:$A$18,$D47)*1,0),0))))</f>
        <v/>
      </c>
      <c r="K47" s="3">
        <f>IF(ISNA(MATCH(1,INDEX(EXACT('Asignaturas'!$A$4:$A$18,$D47)*1,0),0)),"",IF(ISBLANK(INDEX('Asignaturas'!$F$4:$F$18,MATCH(1,INDEX(EXACT('Asignaturas'!$A$4:$A$18,$D47)*1,0),0))),"",INDEX('Asignaturas'!$F$4:$F$18,MATCH(1,INDEX(EXACT('Asignaturas'!$A$4:$A$18,$D47)*1,0),0))))</f>
        <v/>
      </c>
      <c r="L47" s="3">
        <f>IF(ISNA(MATCH(1,INDEX(EXACT('Profesores'!$A$4:$A$33,$F47)*1,0),0)),"no",IF(ISBLANK(INDEX('Profesores'!$B$4:$B$33,MATCH(1,INDEX(EXACT('Profesores'!$A$4:$A$33,$F47)*1,0),0))),"",INDEX('Profesores'!$B$4:$B$33,MATCH(1,INDEX(EXACT('Profesores'!$A$4:$A$33,$F47)*1,0),0))))</f>
        <v/>
      </c>
      <c r="M47" s="3">
        <f>IF(ISNA(MATCH(1,INDEX(EXACT('Profesores'!$A$4:$A$33,$F47)*1,0),0)),"no",IF(ISBLANK(INDEX('Profesores'!$C$4:$C$33,MATCH(1,INDEX(EXACT('Profesores'!$A$4:$A$33,$F47)*1,0),0))),"",INDEX('Profesores'!$C$4:$C$33,MATCH(1,INDEX(EXACT('Profesores'!$A$4:$A$33,$F47)*1,0),0))))</f>
        <v/>
      </c>
      <c r="N47" s="3">
        <f>IF(ISNA(MATCH(1,INDEX(1*((('Dias que asisten los contratado'!$A$4:$A$4&lt;&gt;"")+('Dias que asisten los contratado'!$B$4:$B$4&lt;&gt;""))&gt;0)*(EXACT('Dias que asisten los contratado'!$A$4:$A$4,$F47))*(EXACT('Dias que asisten los contratado'!$B$4:$B$4,$B47)),0),0)),"no",IF(ISBLANK(INDEX('Dias que asisten los contratado'!$C$4:$C$4,MATCH(1,INDEX(1*((('Dias que asisten los contratado'!$A$4:$A$4&lt;&gt;"")+('Dias que asisten los contratado'!$B$4:$B$4&lt;&gt;""))&gt;0)*(EXACT('Dias que asisten los contratado'!$A$4:$A$4,$F47))*(EXACT('Dias que asisten los contratado'!$B$4:$B$4,$B47)),0),0))),"",INDEX('Dias que asisten los contratado'!$C$4:$C$4,MATCH(1,INDEX(1*((('Dias que asisten los contratado'!$A$4:$A$4&lt;&gt;"")+('Dias que asisten los contratado'!$B$4:$B$4&lt;&gt;""))&gt;0)*(EXACT('Dias que asisten los contratado'!$A$4:$A$4,$F47))*(EXACT('Dias que asisten los contratado'!$B$4:$B$4,$B47)),0),0))))</f>
        <v/>
      </c>
      <c r="O47" s="3">
        <f>IF(AND(NOT(($D47="")),(SUMPRODUCT(1*((EXACT('Casillas del horario'!$A$4:$A$73,$A47)))*((EXACT('Casillas del horario'!$B$4:$B$73,$B47)))*((EXACT('Casillas del horario'!$D$4:$D$73,$D47)))*(((((EXACT($I47,"no")))+((NOT(EXACT('Casillas del horario'!$C$4:$C$73,(IFERROR(VALUE($C47&amp;""),0)+1))))*(NOT(EXACT('Casillas del horario'!$C$4:$C$73,(IFERROR(VALUE($C47&amp;""),0)-1))))))&gt;0))*((ROW('Casillas del horario'!$A$4:$A$73)&lt;&gt;ROW($A47))))&gt;0)),"si","no")</f>
        <v/>
      </c>
      <c r="P47" s="3">
        <f>MID(IF(AND(NOT(($D47="")),(SUMPRODUCT(1*((EXACT('Casillas del horario'!$B$4:$B$73,$B47)))*((EXACT('Casillas del horario'!$C$4:$C$73,$C47)))*((EXACT('Casillas del horario'!$F$4:$F$73,$F47)))*((ROW('Casillas del horario'!$A$4:$A$73)&lt;&gt;ROW($A47))))&gt;0)),"; "&amp;"Este profesor ya da clase a otro grupo en este mismo turno","")&amp;IF(AND(NOT(($D47="")),(SUMPRODUCT(1*((EXACT('Casillas del horario'!$B$4:$B$73,$B47)))*((EXACT('Casillas del horario'!$C$4:$C$73,$C47)))*((EXACT('Casillas del horario'!$H$4:$H$73,$H47)))*((ROW('Casillas del horario'!$A$4:$A$73)&lt;&gt;ROW($A47))))&gt;0)),"; "&amp;"Ese local esta ocupado por otro grupo a esa hora","")&amp;IF(EXACT($O47,"si"),"; "&amp;IF(ISNUMBER(IF(EXACT($I47,"no"),"Esta asignatura no admite turno doble y repite el dia en este grupo","Esta asignatura repite el dia en este grupo sin ser en turnos seguidos")),IF(IF(EXACT($I47,"no"),"Esta asignatura no admite turno doble y repite el dia en este grupo","Esta asignatura repite el dia en este grupo sin ser en turnos seguidos")=0,"0",ROUND(IF(EXACT($I47,"no"),"Esta asignatura no admite turno doble y repite el dia en este grupo","Esta asignatura repite el dia en este grupo sin ser en turnos seguidos"),9-INT(LOG10(ABS(IF(EXACT($I47,"no"),"Esta asignatura no admite turno doble y repite el dia en este grupo","Esta asignatura repite el dia en este grupo sin ser en turnos seguidos")))))&amp;""),IF(EXACT($I47,"no"),"Esta asignatura no admite turno doble y repite el dia en este grupo","Esta asignatura repite el dia en este grupo sin ser en turnos seguidos")&amp;""),"")&amp;IF(AND(NOT(($D47="")),EXACT($B47,$K47)),"; "&amp;"Es el dia de preparacion de la asignatura","")&amp;IF(AND(EXACT($D47,"EF"),(IFERROR(VALUE($C47&amp;""),0)&gt;3)),"; "&amp;"Educacion Fisica no puede caer despues del tercer turno","")&amp;IF(AND(NOT(($D47="")),EXACT($J47,"no"),(IFERROR(VALUE($C47&amp;""),0)&gt;6)),"; "&amp;"Esta asignatura no admite turnos de tarde","")&amp;IF(AND(NOT(($D47="")),EXACT($L47,"si"),EXACT($N47,"no")),"; "&amp;"Este profesor esta contratado y no asiste al centro este dia","")&amp;IF(AND(NOT(($D47="")),EXACT($M47,"si"),EXACT($C47,1)),"; "&amp;"Se preferiria no darle el primer turno a un profesor que vive lejos","")&amp;IF(($D47=""),"; "&amp;"Turno sin asignar",""),3,32767)</f>
        <v/>
      </c>
      <c r="Q47" s="3">
        <f>IF(OR(AND(NOT(($D47="")),(SUMPRODUCT(1*((EXACT('Casillas del horario'!$B$4:$B$73,$B47)))*((EXACT('Casillas del horario'!$C$4:$C$73,$C47)))*((EXACT('Casillas del horario'!$F$4:$F$73,$F47)))*((ROW('Casillas del horario'!$A$4:$A$73)&lt;&gt;ROW($A47))))&gt;0)),AND(NOT(($D47="")),(SUMPRODUCT(1*((EXACT('Casillas del horario'!$B$4:$B$73,$B47)))*((EXACT('Casillas del horario'!$C$4:$C$73,$C47)))*((EXACT('Casillas del horario'!$H$4:$H$73,$H47)))*((ROW('Casillas del horario'!$A$4:$A$73)&lt;&gt;ROW($A47))))&gt;0)),EXACT($O47,"si"),AND(NOT(($D47="")),EXACT($B47,$K47)),AND(EXACT($D47,"EF"),(IFERROR(VALUE($C47&amp;""),0)&gt;3)),AND(NOT(($D47="")),EXACT($J47,"no"),(IFERROR(VALUE($C47&amp;""),0)&gt;6)),AND(NOT(($D47="")),EXACT($L47,"si"),EXACT($N47,"no"))),3,IF(OR(AND(NOT(($D47="")),EXACT($M47,"si"),EXACT($C47,1))),2,IF(OR(($D47="")),1,0)))</f>
        <v/>
      </c>
      <c r="R47" s="3">
        <f>$A47&amp;CHAR(31)&amp;$C47&amp;CHAR(31)&amp;$B47</f>
        <v/>
      </c>
      <c r="S47" s="3">
        <f>$F47&amp;CHAR(31)&amp;$C47&amp;CHAR(31)&amp;$B47</f>
        <v/>
      </c>
      <c r="T47" s="3">
        <f>$H47&amp;CHAR(31)&amp;$C47&amp;CHAR(31)&amp;$B47</f>
        <v/>
      </c>
    </row>
    <row r="48">
      <c r="A48" s="3" t="inlineStr">
        <is>
          <t>10-3</t>
        </is>
      </c>
      <c r="B48" s="3" t="inlineStr">
        <is>
          <t>V</t>
        </is>
      </c>
      <c r="C48" s="3" t="n">
        <v>5</v>
      </c>
      <c r="D48" s="4" t="inlineStr">
        <is>
          <t>M</t>
        </is>
      </c>
      <c r="E48" s="3">
        <f>IF(ISNA(MATCH(1,INDEX(EXACT('Asignaturas'!$A$4:$A$18,$D48)*1,0),0)),"",IF(ISBLANK(INDEX('Asignaturas'!$B$4:$B$18,MATCH(1,INDEX(EXACT('Asignaturas'!$A$4:$A$18,$D48)*1,0),0))),"",INDEX('Asignaturas'!$B$4:$B$18,MATCH(1,INDEX(EXACT('Asignaturas'!$A$4:$A$18,$D48)*1,0),0))))</f>
        <v/>
      </c>
      <c r="F48" s="3">
        <f>IF(ISNA(MATCH(1,INDEX(1*(EXACT('Frecuencias por grupo'!$A$4:$A$33,$A48))*(EXACT('Frecuencias por grupo'!$B$4:$B$33,$D48)),0),0)),"",IF(ISBLANK(INDEX('Frecuencias por grupo'!$C$4:$C$33,MATCH(1,INDEX(1*(EXACT('Frecuencias por grupo'!$A$4:$A$33,$A48))*(EXACT('Frecuencias por grupo'!$B$4:$B$33,$D48)),0),0))),"",INDEX('Frecuencias por grupo'!$C$4:$C$33,MATCH(1,INDEX(1*(EXACT('Frecuencias por grupo'!$A$4:$A$33,$A48))*(EXACT('Frecuencias por grupo'!$B$4:$B$33,$D48)),0),0))))</f>
        <v/>
      </c>
      <c r="G48" s="3">
        <f>IF(ISNA(MATCH(1,INDEX(EXACT('Asignaturas'!$A$4:$A$18,$D48)*1,0),0)),"",IF(ISBLANK(INDEX('Asignaturas'!$G$4:$G$18,MATCH(1,INDEX(EXACT('Asignaturas'!$A$4:$A$18,$D48)*1,0),0))),"",INDEX('Asignaturas'!$G$4:$G$18,MATCH(1,INDEX(EXACT('Asignaturas'!$A$4:$A$18,$D48)*1,0),0))))</f>
        <v/>
      </c>
      <c r="H48" s="3">
        <f>IF(($D48=""),"",IF(($G48=""),("Aula "&amp;IF(ISNUMBER($A48),IF($A48=0,"0",ROUND($A48,9-INT(LOG10(ABS($A48))))&amp;""),$A48&amp;"")),$G48))</f>
        <v/>
      </c>
      <c r="I48" s="3">
        <f>IF(ISNA(MATCH(1,INDEX(EXACT('Asignaturas'!$A$4:$A$18,$D48)*1,0),0)),"no",IF(ISBLANK(INDEX('Asignaturas'!$D$4:$D$18,MATCH(1,INDEX(EXACT('Asignaturas'!$A$4:$A$18,$D48)*1,0),0))),"",INDEX('Asignaturas'!$D$4:$D$18,MATCH(1,INDEX(EXACT('Asignaturas'!$A$4:$A$18,$D48)*1,0),0))))</f>
        <v/>
      </c>
      <c r="J48" s="3">
        <f>IF(ISNA(MATCH(1,INDEX(EXACT('Asignaturas'!$A$4:$A$18,$D48)*1,0),0)),"no",IF(ISBLANK(INDEX('Asignaturas'!$E$4:$E$18,MATCH(1,INDEX(EXACT('Asignaturas'!$A$4:$A$18,$D48)*1,0),0))),"",INDEX('Asignaturas'!$E$4:$E$18,MATCH(1,INDEX(EXACT('Asignaturas'!$A$4:$A$18,$D48)*1,0),0))))</f>
        <v/>
      </c>
      <c r="K48" s="3">
        <f>IF(ISNA(MATCH(1,INDEX(EXACT('Asignaturas'!$A$4:$A$18,$D48)*1,0),0)),"",IF(ISBLANK(INDEX('Asignaturas'!$F$4:$F$18,MATCH(1,INDEX(EXACT('Asignaturas'!$A$4:$A$18,$D48)*1,0),0))),"",INDEX('Asignaturas'!$F$4:$F$18,MATCH(1,INDEX(EXACT('Asignaturas'!$A$4:$A$18,$D48)*1,0),0))))</f>
        <v/>
      </c>
      <c r="L48" s="3">
        <f>IF(ISNA(MATCH(1,INDEX(EXACT('Profesores'!$A$4:$A$33,$F48)*1,0),0)),"no",IF(ISBLANK(INDEX('Profesores'!$B$4:$B$33,MATCH(1,INDEX(EXACT('Profesores'!$A$4:$A$33,$F48)*1,0),0))),"",INDEX('Profesores'!$B$4:$B$33,MATCH(1,INDEX(EXACT('Profesores'!$A$4:$A$33,$F48)*1,0),0))))</f>
        <v/>
      </c>
      <c r="M48" s="3">
        <f>IF(ISNA(MATCH(1,INDEX(EXACT('Profesores'!$A$4:$A$33,$F48)*1,0),0)),"no",IF(ISBLANK(INDEX('Profesores'!$C$4:$C$33,MATCH(1,INDEX(EXACT('Profesores'!$A$4:$A$33,$F48)*1,0),0))),"",INDEX('Profesores'!$C$4:$C$33,MATCH(1,INDEX(EXACT('Profesores'!$A$4:$A$33,$F48)*1,0),0))))</f>
        <v/>
      </c>
      <c r="N48" s="3">
        <f>IF(ISNA(MATCH(1,INDEX(1*((('Dias que asisten los contratado'!$A$4:$A$4&lt;&gt;"")+('Dias que asisten los contratado'!$B$4:$B$4&lt;&gt;""))&gt;0)*(EXACT('Dias que asisten los contratado'!$A$4:$A$4,$F48))*(EXACT('Dias que asisten los contratado'!$B$4:$B$4,$B48)),0),0)),"no",IF(ISBLANK(INDEX('Dias que asisten los contratado'!$C$4:$C$4,MATCH(1,INDEX(1*((('Dias que asisten los contratado'!$A$4:$A$4&lt;&gt;"")+('Dias que asisten los contratado'!$B$4:$B$4&lt;&gt;""))&gt;0)*(EXACT('Dias que asisten los contratado'!$A$4:$A$4,$F48))*(EXACT('Dias que asisten los contratado'!$B$4:$B$4,$B48)),0),0))),"",INDEX('Dias que asisten los contratado'!$C$4:$C$4,MATCH(1,INDEX(1*((('Dias que asisten los contratado'!$A$4:$A$4&lt;&gt;"")+('Dias que asisten los contratado'!$B$4:$B$4&lt;&gt;""))&gt;0)*(EXACT('Dias que asisten los contratado'!$A$4:$A$4,$F48))*(EXACT('Dias que asisten los contratado'!$B$4:$B$4,$B48)),0),0))))</f>
        <v/>
      </c>
      <c r="O48" s="3">
        <f>IF(AND(NOT(($D48="")),(SUMPRODUCT(1*((EXACT('Casillas del horario'!$A$4:$A$73,$A48)))*((EXACT('Casillas del horario'!$B$4:$B$73,$B48)))*((EXACT('Casillas del horario'!$D$4:$D$73,$D48)))*(((((EXACT($I48,"no")))+((NOT(EXACT('Casillas del horario'!$C$4:$C$73,(IFERROR(VALUE($C48&amp;""),0)+1))))*(NOT(EXACT('Casillas del horario'!$C$4:$C$73,(IFERROR(VALUE($C48&amp;""),0)-1))))))&gt;0))*((ROW('Casillas del horario'!$A$4:$A$73)&lt;&gt;ROW($A48))))&gt;0)),"si","no")</f>
        <v/>
      </c>
      <c r="P48" s="3">
        <f>MID(IF(AND(NOT(($D48="")),(SUMPRODUCT(1*((EXACT('Casillas del horario'!$B$4:$B$73,$B48)))*((EXACT('Casillas del horario'!$C$4:$C$73,$C48)))*((EXACT('Casillas del horario'!$F$4:$F$73,$F48)))*((ROW('Casillas del horario'!$A$4:$A$73)&lt;&gt;ROW($A48))))&gt;0)),"; "&amp;"Este profesor ya da clase a otro grupo en este mismo turno","")&amp;IF(AND(NOT(($D48="")),(SUMPRODUCT(1*((EXACT('Casillas del horario'!$B$4:$B$73,$B48)))*((EXACT('Casillas del horario'!$C$4:$C$73,$C48)))*((EXACT('Casillas del horario'!$H$4:$H$73,$H48)))*((ROW('Casillas del horario'!$A$4:$A$73)&lt;&gt;ROW($A48))))&gt;0)),"; "&amp;"Ese local esta ocupado por otro grupo a esa hora","")&amp;IF(EXACT($O48,"si"),"; "&amp;IF(ISNUMBER(IF(EXACT($I48,"no"),"Esta asignatura no admite turno doble y repite el dia en este grupo","Esta asignatura repite el dia en este grupo sin ser en turnos seguidos")),IF(IF(EXACT($I48,"no"),"Esta asignatura no admite turno doble y repite el dia en este grupo","Esta asignatura repite el dia en este grupo sin ser en turnos seguidos")=0,"0",ROUND(IF(EXACT($I48,"no"),"Esta asignatura no admite turno doble y repite el dia en este grupo","Esta asignatura repite el dia en este grupo sin ser en turnos seguidos"),9-INT(LOG10(ABS(IF(EXACT($I48,"no"),"Esta asignatura no admite turno doble y repite el dia en este grupo","Esta asignatura repite el dia en este grupo sin ser en turnos seguidos")))))&amp;""),IF(EXACT($I48,"no"),"Esta asignatura no admite turno doble y repite el dia en este grupo","Esta asignatura repite el dia en este grupo sin ser en turnos seguidos")&amp;""),"")&amp;IF(AND(NOT(($D48="")),EXACT($B48,$K48)),"; "&amp;"Es el dia de preparacion de la asignatura","")&amp;IF(AND(EXACT($D48,"EF"),(IFERROR(VALUE($C48&amp;""),0)&gt;3)),"; "&amp;"Educacion Fisica no puede caer despues del tercer turno","")&amp;IF(AND(NOT(($D48="")),EXACT($J48,"no"),(IFERROR(VALUE($C48&amp;""),0)&gt;6)),"; "&amp;"Esta asignatura no admite turnos de tarde","")&amp;IF(AND(NOT(($D48="")),EXACT($L48,"si"),EXACT($N48,"no")),"; "&amp;"Este profesor esta contratado y no asiste al centro este dia","")&amp;IF(AND(NOT(($D48="")),EXACT($M48,"si"),EXACT($C48,1)),"; "&amp;"Se preferiria no darle el primer turno a un profesor que vive lejos","")&amp;IF(($D48=""),"; "&amp;"Turno sin asignar",""),3,32767)</f>
        <v/>
      </c>
      <c r="Q48" s="3">
        <f>IF(OR(AND(NOT(($D48="")),(SUMPRODUCT(1*((EXACT('Casillas del horario'!$B$4:$B$73,$B48)))*((EXACT('Casillas del horario'!$C$4:$C$73,$C48)))*((EXACT('Casillas del horario'!$F$4:$F$73,$F48)))*((ROW('Casillas del horario'!$A$4:$A$73)&lt;&gt;ROW($A48))))&gt;0)),AND(NOT(($D48="")),(SUMPRODUCT(1*((EXACT('Casillas del horario'!$B$4:$B$73,$B48)))*((EXACT('Casillas del horario'!$C$4:$C$73,$C48)))*((EXACT('Casillas del horario'!$H$4:$H$73,$H48)))*((ROW('Casillas del horario'!$A$4:$A$73)&lt;&gt;ROW($A48))))&gt;0)),EXACT($O48,"si"),AND(NOT(($D48="")),EXACT($B48,$K48)),AND(EXACT($D48,"EF"),(IFERROR(VALUE($C48&amp;""),0)&gt;3)),AND(NOT(($D48="")),EXACT($J48,"no"),(IFERROR(VALUE($C48&amp;""),0)&gt;6)),AND(NOT(($D48="")),EXACT($L48,"si"),EXACT($N48,"no"))),3,IF(OR(AND(NOT(($D48="")),EXACT($M48,"si"),EXACT($C48,1))),2,IF(OR(($D48="")),1,0)))</f>
        <v/>
      </c>
      <c r="R48" s="3">
        <f>$A48&amp;CHAR(31)&amp;$C48&amp;CHAR(31)&amp;$B48</f>
        <v/>
      </c>
      <c r="S48" s="3">
        <f>$F48&amp;CHAR(31)&amp;$C48&amp;CHAR(31)&amp;$B48</f>
        <v/>
      </c>
      <c r="T48" s="3">
        <f>$H48&amp;CHAR(31)&amp;$C48&amp;CHAR(31)&amp;$B48</f>
        <v/>
      </c>
    </row>
    <row r="49">
      <c r="A49" s="3" t="inlineStr">
        <is>
          <t>10-4</t>
        </is>
      </c>
      <c r="B49" s="3" t="inlineStr">
        <is>
          <t>L</t>
        </is>
      </c>
      <c r="C49" s="3" t="n">
        <v>5</v>
      </c>
      <c r="D49" s="4" t="inlineStr">
        <is>
          <t>RD</t>
        </is>
      </c>
      <c r="E49" s="3">
        <f>IF(ISNA(MATCH(1,INDEX(EXACT('Asignaturas'!$A$4:$A$18,$D49)*1,0),0)),"",IF(ISBLANK(INDEX('Asignaturas'!$B$4:$B$18,MATCH(1,INDEX(EXACT('Asignaturas'!$A$4:$A$18,$D49)*1,0),0))),"",INDEX('Asignaturas'!$B$4:$B$18,MATCH(1,INDEX(EXACT('Asignaturas'!$A$4:$A$18,$D49)*1,0),0))))</f>
        <v/>
      </c>
      <c r="F49" s="3">
        <f>IF(ISNA(MATCH(1,INDEX(1*(EXACT('Frecuencias por grupo'!$A$4:$A$33,$A49))*(EXACT('Frecuencias por grupo'!$B$4:$B$33,$D49)),0),0)),"",IF(ISBLANK(INDEX('Frecuencias por grupo'!$C$4:$C$33,MATCH(1,INDEX(1*(EXACT('Frecuencias por grupo'!$A$4:$A$33,$A49))*(EXACT('Frecuencias por grupo'!$B$4:$B$33,$D49)),0),0))),"",INDEX('Frecuencias por grupo'!$C$4:$C$33,MATCH(1,INDEX(1*(EXACT('Frecuencias por grupo'!$A$4:$A$33,$A49))*(EXACT('Frecuencias por grupo'!$B$4:$B$33,$D49)),0),0))))</f>
        <v/>
      </c>
      <c r="G49" s="3">
        <f>IF(ISNA(MATCH(1,INDEX(EXACT('Asignaturas'!$A$4:$A$18,$D49)*1,0),0)),"",IF(ISBLANK(INDEX('Asignaturas'!$G$4:$G$18,MATCH(1,INDEX(EXACT('Asignaturas'!$A$4:$A$18,$D49)*1,0),0))),"",INDEX('Asignaturas'!$G$4:$G$18,MATCH(1,INDEX(EXACT('Asignaturas'!$A$4:$A$18,$D49)*1,0),0))))</f>
        <v/>
      </c>
      <c r="H49" s="3">
        <f>IF(($D49=""),"",IF(($G49=""),("Aula "&amp;IF(ISNUMBER($A49),IF($A49=0,"0",ROUND($A49,9-INT(LOG10(ABS($A49))))&amp;""),$A49&amp;"")),$G49))</f>
        <v/>
      </c>
      <c r="I49" s="3">
        <f>IF(ISNA(MATCH(1,INDEX(EXACT('Asignaturas'!$A$4:$A$18,$D49)*1,0),0)),"no",IF(ISBLANK(INDEX('Asignaturas'!$D$4:$D$18,MATCH(1,INDEX(EXACT('Asignaturas'!$A$4:$A$18,$D49)*1,0),0))),"",INDEX('Asignaturas'!$D$4:$D$18,MATCH(1,INDEX(EXACT('Asignaturas'!$A$4:$A$18,$D49)*1,0),0))))</f>
        <v/>
      </c>
      <c r="J49" s="3">
        <f>IF(ISNA(MATCH(1,INDEX(EXACT('Asignaturas'!$A$4:$A$18,$D49)*1,0),0)),"no",IF(ISBLANK(INDEX('Asignaturas'!$E$4:$E$18,MATCH(1,INDEX(EXACT('Asignaturas'!$A$4:$A$18,$D49)*1,0),0))),"",INDEX('Asignaturas'!$E$4:$E$18,MATCH(1,INDEX(EXACT('Asignaturas'!$A$4:$A$18,$D49)*1,0),0))))</f>
        <v/>
      </c>
      <c r="K49" s="3">
        <f>IF(ISNA(MATCH(1,INDEX(EXACT('Asignaturas'!$A$4:$A$18,$D49)*1,0),0)),"",IF(ISBLANK(INDEX('Asignaturas'!$F$4:$F$18,MATCH(1,INDEX(EXACT('Asignaturas'!$A$4:$A$18,$D49)*1,0),0))),"",INDEX('Asignaturas'!$F$4:$F$18,MATCH(1,INDEX(EXACT('Asignaturas'!$A$4:$A$18,$D49)*1,0),0))))</f>
        <v/>
      </c>
      <c r="L49" s="3">
        <f>IF(ISNA(MATCH(1,INDEX(EXACT('Profesores'!$A$4:$A$33,$F49)*1,0),0)),"no",IF(ISBLANK(INDEX('Profesores'!$B$4:$B$33,MATCH(1,INDEX(EXACT('Profesores'!$A$4:$A$33,$F49)*1,0),0))),"",INDEX('Profesores'!$B$4:$B$33,MATCH(1,INDEX(EXACT('Profesores'!$A$4:$A$33,$F49)*1,0),0))))</f>
        <v/>
      </c>
      <c r="M49" s="3">
        <f>IF(ISNA(MATCH(1,INDEX(EXACT('Profesores'!$A$4:$A$33,$F49)*1,0),0)),"no",IF(ISBLANK(INDEX('Profesores'!$C$4:$C$33,MATCH(1,INDEX(EXACT('Profesores'!$A$4:$A$33,$F49)*1,0),0))),"",INDEX('Profesores'!$C$4:$C$33,MATCH(1,INDEX(EXACT('Profesores'!$A$4:$A$33,$F49)*1,0),0))))</f>
        <v/>
      </c>
      <c r="N49" s="3">
        <f>IF(ISNA(MATCH(1,INDEX(1*((('Dias que asisten los contratado'!$A$4:$A$4&lt;&gt;"")+('Dias que asisten los contratado'!$B$4:$B$4&lt;&gt;""))&gt;0)*(EXACT('Dias que asisten los contratado'!$A$4:$A$4,$F49))*(EXACT('Dias que asisten los contratado'!$B$4:$B$4,$B49)),0),0)),"no",IF(ISBLANK(INDEX('Dias que asisten los contratado'!$C$4:$C$4,MATCH(1,INDEX(1*((('Dias que asisten los contratado'!$A$4:$A$4&lt;&gt;"")+('Dias que asisten los contratado'!$B$4:$B$4&lt;&gt;""))&gt;0)*(EXACT('Dias que asisten los contratado'!$A$4:$A$4,$F49))*(EXACT('Dias que asisten los contratado'!$B$4:$B$4,$B49)),0),0))),"",INDEX('Dias que asisten los contratado'!$C$4:$C$4,MATCH(1,INDEX(1*((('Dias que asisten los contratado'!$A$4:$A$4&lt;&gt;"")+('Dias que asisten los contratado'!$B$4:$B$4&lt;&gt;""))&gt;0)*(EXACT('Dias que asisten los contratado'!$A$4:$A$4,$F49))*(EXACT('Dias que asisten los contratado'!$B$4:$B$4,$B49)),0),0))))</f>
        <v/>
      </c>
      <c r="O49" s="3">
        <f>IF(AND(NOT(($D49="")),(SUMPRODUCT(1*((EXACT('Casillas del horario'!$A$4:$A$73,$A49)))*((EXACT('Casillas del horario'!$B$4:$B$73,$B49)))*((EXACT('Casillas del horario'!$D$4:$D$73,$D49)))*(((((EXACT($I49,"no")))+((NOT(EXACT('Casillas del horario'!$C$4:$C$73,(IFERROR(VALUE($C49&amp;""),0)+1))))*(NOT(EXACT('Casillas del horario'!$C$4:$C$73,(IFERROR(VALUE($C49&amp;""),0)-1))))))&gt;0))*((ROW('Casillas del horario'!$A$4:$A$73)&lt;&gt;ROW($A49))))&gt;0)),"si","no")</f>
        <v/>
      </c>
      <c r="P49" s="3">
        <f>MID(IF(AND(NOT(($D49="")),(SUMPRODUCT(1*((EXACT('Casillas del horario'!$B$4:$B$73,$B49)))*((EXACT('Casillas del horario'!$C$4:$C$73,$C49)))*((EXACT('Casillas del horario'!$F$4:$F$73,$F49)))*((ROW('Casillas del horario'!$A$4:$A$73)&lt;&gt;ROW($A49))))&gt;0)),"; "&amp;"Este profesor ya da clase a otro grupo en este mismo turno","")&amp;IF(AND(NOT(($D49="")),(SUMPRODUCT(1*((EXACT('Casillas del horario'!$B$4:$B$73,$B49)))*((EXACT('Casillas del horario'!$C$4:$C$73,$C49)))*((EXACT('Casillas del horario'!$H$4:$H$73,$H49)))*((ROW('Casillas del horario'!$A$4:$A$73)&lt;&gt;ROW($A49))))&gt;0)),"; "&amp;"Ese local esta ocupado por otro grupo a esa hora","")&amp;IF(EXACT($O49,"si"),"; "&amp;IF(ISNUMBER(IF(EXACT($I49,"no"),"Esta asignatura no admite turno doble y repite el dia en este grupo","Esta asignatura repite el dia en este grupo sin ser en turnos seguidos")),IF(IF(EXACT($I49,"no"),"Esta asignatura no admite turno doble y repite el dia en este grupo","Esta asignatura repite el dia en este grupo sin ser en turnos seguidos")=0,"0",ROUND(IF(EXACT($I49,"no"),"Esta asignatura no admite turno doble y repite el dia en este grupo","Esta asignatura repite el dia en este grupo sin ser en turnos seguidos"),9-INT(LOG10(ABS(IF(EXACT($I49,"no"),"Esta asignatura no admite turno doble y repite el dia en este grupo","Esta asignatura repite el dia en este grupo sin ser en turnos seguidos")))))&amp;""),IF(EXACT($I49,"no"),"Esta asignatura no admite turno doble y repite el dia en este grupo","Esta asignatura repite el dia en este grupo sin ser en turnos seguidos")&amp;""),"")&amp;IF(AND(NOT(($D49="")),EXACT($B49,$K49)),"; "&amp;"Es el dia de preparacion de la asignatura","")&amp;IF(AND(EXACT($D49,"EF"),(IFERROR(VALUE($C49&amp;""),0)&gt;3)),"; "&amp;"Educacion Fisica no puede caer despues del tercer turno","")&amp;IF(AND(NOT(($D49="")),EXACT($J49,"no"),(IFERROR(VALUE($C49&amp;""),0)&gt;6)),"; "&amp;"Esta asignatura no admite turnos de tarde","")&amp;IF(AND(NOT(($D49="")),EXACT($L49,"si"),EXACT($N49,"no")),"; "&amp;"Este profesor esta contratado y no asiste al centro este dia","")&amp;IF(AND(NOT(($D49="")),EXACT($M49,"si"),EXACT($C49,1)),"; "&amp;"Se preferiria no darle el primer turno a un profesor que vive lejos","")&amp;IF(($D49=""),"; "&amp;"Turno sin asignar",""),3,32767)</f>
        <v/>
      </c>
      <c r="Q49" s="3">
        <f>IF(OR(AND(NOT(($D49="")),(SUMPRODUCT(1*((EXACT('Casillas del horario'!$B$4:$B$73,$B49)))*((EXACT('Casillas del horario'!$C$4:$C$73,$C49)))*((EXACT('Casillas del horario'!$F$4:$F$73,$F49)))*((ROW('Casillas del horario'!$A$4:$A$73)&lt;&gt;ROW($A49))))&gt;0)),AND(NOT(($D49="")),(SUMPRODUCT(1*((EXACT('Casillas del horario'!$B$4:$B$73,$B49)))*((EXACT('Casillas del horario'!$C$4:$C$73,$C49)))*((EXACT('Casillas del horario'!$H$4:$H$73,$H49)))*((ROW('Casillas del horario'!$A$4:$A$73)&lt;&gt;ROW($A49))))&gt;0)),EXACT($O49,"si"),AND(NOT(($D49="")),EXACT($B49,$K49)),AND(EXACT($D49,"EF"),(IFERROR(VALUE($C49&amp;""),0)&gt;3)),AND(NOT(($D49="")),EXACT($J49,"no"),(IFERROR(VALUE($C49&amp;""),0)&gt;6)),AND(NOT(($D49="")),EXACT($L49,"si"),EXACT($N49,"no"))),3,IF(OR(AND(NOT(($D49="")),EXACT($M49,"si"),EXACT($C49,1))),2,IF(OR(($D49="")),1,0)))</f>
        <v/>
      </c>
      <c r="R49" s="3">
        <f>$A49&amp;CHAR(31)&amp;$C49&amp;CHAR(31)&amp;$B49</f>
        <v/>
      </c>
      <c r="S49" s="3">
        <f>$F49&amp;CHAR(31)&amp;$C49&amp;CHAR(31)&amp;$B49</f>
        <v/>
      </c>
      <c r="T49" s="3">
        <f>$H49&amp;CHAR(31)&amp;$C49&amp;CHAR(31)&amp;$B49</f>
        <v/>
      </c>
    </row>
    <row r="50">
      <c r="A50" s="3" t="inlineStr">
        <is>
          <t>10-4</t>
        </is>
      </c>
      <c r="B50" s="3" t="inlineStr">
        <is>
          <t>M</t>
        </is>
      </c>
      <c r="C50" s="3" t="n">
        <v>5</v>
      </c>
      <c r="D50" s="4" t="inlineStr">
        <is>
          <t>DC</t>
        </is>
      </c>
      <c r="E50" s="3">
        <f>IF(ISNA(MATCH(1,INDEX(EXACT('Asignaturas'!$A$4:$A$18,$D50)*1,0),0)),"",IF(ISBLANK(INDEX('Asignaturas'!$B$4:$B$18,MATCH(1,INDEX(EXACT('Asignaturas'!$A$4:$A$18,$D50)*1,0),0))),"",INDEX('Asignaturas'!$B$4:$B$18,MATCH(1,INDEX(EXACT('Asignaturas'!$A$4:$A$18,$D50)*1,0),0))))</f>
        <v/>
      </c>
      <c r="F50" s="3">
        <f>IF(ISNA(MATCH(1,INDEX(1*(EXACT('Frecuencias por grupo'!$A$4:$A$33,$A50))*(EXACT('Frecuencias por grupo'!$B$4:$B$33,$D50)),0),0)),"",IF(ISBLANK(INDEX('Frecuencias por grupo'!$C$4:$C$33,MATCH(1,INDEX(1*(EXACT('Frecuencias por grupo'!$A$4:$A$33,$A50))*(EXACT('Frecuencias por grupo'!$B$4:$B$33,$D50)),0),0))),"",INDEX('Frecuencias por grupo'!$C$4:$C$33,MATCH(1,INDEX(1*(EXACT('Frecuencias por grupo'!$A$4:$A$33,$A50))*(EXACT('Frecuencias por grupo'!$B$4:$B$33,$D50)),0),0))))</f>
        <v/>
      </c>
      <c r="G50" s="3">
        <f>IF(ISNA(MATCH(1,INDEX(EXACT('Asignaturas'!$A$4:$A$18,$D50)*1,0),0)),"",IF(ISBLANK(INDEX('Asignaturas'!$G$4:$G$18,MATCH(1,INDEX(EXACT('Asignaturas'!$A$4:$A$18,$D50)*1,0),0))),"",INDEX('Asignaturas'!$G$4:$G$18,MATCH(1,INDEX(EXACT('Asignaturas'!$A$4:$A$18,$D50)*1,0),0))))</f>
        <v/>
      </c>
      <c r="H50" s="3">
        <f>IF(($D50=""),"",IF(($G50=""),("Aula "&amp;IF(ISNUMBER($A50),IF($A50=0,"0",ROUND($A50,9-INT(LOG10(ABS($A50))))&amp;""),$A50&amp;"")),$G50))</f>
        <v/>
      </c>
      <c r="I50" s="3">
        <f>IF(ISNA(MATCH(1,INDEX(EXACT('Asignaturas'!$A$4:$A$18,$D50)*1,0),0)),"no",IF(ISBLANK(INDEX('Asignaturas'!$D$4:$D$18,MATCH(1,INDEX(EXACT('Asignaturas'!$A$4:$A$18,$D50)*1,0),0))),"",INDEX('Asignaturas'!$D$4:$D$18,MATCH(1,INDEX(EXACT('Asignaturas'!$A$4:$A$18,$D50)*1,0),0))))</f>
        <v/>
      </c>
      <c r="J50" s="3">
        <f>IF(ISNA(MATCH(1,INDEX(EXACT('Asignaturas'!$A$4:$A$18,$D50)*1,0),0)),"no",IF(ISBLANK(INDEX('Asignaturas'!$E$4:$E$18,MATCH(1,INDEX(EXACT('Asignaturas'!$A$4:$A$18,$D50)*1,0),0))),"",INDEX('Asignaturas'!$E$4:$E$18,MATCH(1,INDEX(EXACT('Asignaturas'!$A$4:$A$18,$D50)*1,0),0))))</f>
        <v/>
      </c>
      <c r="K50" s="3">
        <f>IF(ISNA(MATCH(1,INDEX(EXACT('Asignaturas'!$A$4:$A$18,$D50)*1,0),0)),"",IF(ISBLANK(INDEX('Asignaturas'!$F$4:$F$18,MATCH(1,INDEX(EXACT('Asignaturas'!$A$4:$A$18,$D50)*1,0),0))),"",INDEX('Asignaturas'!$F$4:$F$18,MATCH(1,INDEX(EXACT('Asignaturas'!$A$4:$A$18,$D50)*1,0),0))))</f>
        <v/>
      </c>
      <c r="L50" s="3">
        <f>IF(ISNA(MATCH(1,INDEX(EXACT('Profesores'!$A$4:$A$33,$F50)*1,0),0)),"no",IF(ISBLANK(INDEX('Profesores'!$B$4:$B$33,MATCH(1,INDEX(EXACT('Profesores'!$A$4:$A$33,$F50)*1,0),0))),"",INDEX('Profesores'!$B$4:$B$33,MATCH(1,INDEX(EXACT('Profesores'!$A$4:$A$33,$F50)*1,0),0))))</f>
        <v/>
      </c>
      <c r="M50" s="3">
        <f>IF(ISNA(MATCH(1,INDEX(EXACT('Profesores'!$A$4:$A$33,$F50)*1,0),0)),"no",IF(ISBLANK(INDEX('Profesores'!$C$4:$C$33,MATCH(1,INDEX(EXACT('Profesores'!$A$4:$A$33,$F50)*1,0),0))),"",INDEX('Profesores'!$C$4:$C$33,MATCH(1,INDEX(EXACT('Profesores'!$A$4:$A$33,$F50)*1,0),0))))</f>
        <v/>
      </c>
      <c r="N50" s="3">
        <f>IF(ISNA(MATCH(1,INDEX(1*((('Dias que asisten los contratado'!$A$4:$A$4&lt;&gt;"")+('Dias que asisten los contratado'!$B$4:$B$4&lt;&gt;""))&gt;0)*(EXACT('Dias que asisten los contratado'!$A$4:$A$4,$F50))*(EXACT('Dias que asisten los contratado'!$B$4:$B$4,$B50)),0),0)),"no",IF(ISBLANK(INDEX('Dias que asisten los contratado'!$C$4:$C$4,MATCH(1,INDEX(1*((('Dias que asisten los contratado'!$A$4:$A$4&lt;&gt;"")+('Dias que asisten los contratado'!$B$4:$B$4&lt;&gt;""))&gt;0)*(EXACT('Dias que asisten los contratado'!$A$4:$A$4,$F50))*(EXACT('Dias que asisten los contratado'!$B$4:$B$4,$B50)),0),0))),"",INDEX('Dias que asisten los contratado'!$C$4:$C$4,MATCH(1,INDEX(1*((('Dias que asisten los contratado'!$A$4:$A$4&lt;&gt;"")+('Dias que asisten los contratado'!$B$4:$B$4&lt;&gt;""))&gt;0)*(EXACT('Dias que asisten los contratado'!$A$4:$A$4,$F50))*(EXACT('Dias que asisten los contratado'!$B$4:$B$4,$B50)),0),0))))</f>
        <v/>
      </c>
      <c r="O50" s="3">
        <f>IF(AND(NOT(($D50="")),(SUMPRODUCT(1*((EXACT('Casillas del horario'!$A$4:$A$73,$A50)))*((EXACT('Casillas del horario'!$B$4:$B$73,$B50)))*((EXACT('Casillas del horario'!$D$4:$D$73,$D50)))*(((((EXACT($I50,"no")))+((NOT(EXACT('Casillas del horario'!$C$4:$C$73,(IFERROR(VALUE($C50&amp;""),0)+1))))*(NOT(EXACT('Casillas del horario'!$C$4:$C$73,(IFERROR(VALUE($C50&amp;""),0)-1))))))&gt;0))*((ROW('Casillas del horario'!$A$4:$A$73)&lt;&gt;ROW($A50))))&gt;0)),"si","no")</f>
        <v/>
      </c>
      <c r="P50" s="3">
        <f>MID(IF(AND(NOT(($D50="")),(SUMPRODUCT(1*((EXACT('Casillas del horario'!$B$4:$B$73,$B50)))*((EXACT('Casillas del horario'!$C$4:$C$73,$C50)))*((EXACT('Casillas del horario'!$F$4:$F$73,$F50)))*((ROW('Casillas del horario'!$A$4:$A$73)&lt;&gt;ROW($A50))))&gt;0)),"; "&amp;"Este profesor ya da clase a otro grupo en este mismo turno","")&amp;IF(AND(NOT(($D50="")),(SUMPRODUCT(1*((EXACT('Casillas del horario'!$B$4:$B$73,$B50)))*((EXACT('Casillas del horario'!$C$4:$C$73,$C50)))*((EXACT('Casillas del horario'!$H$4:$H$73,$H50)))*((ROW('Casillas del horario'!$A$4:$A$73)&lt;&gt;ROW($A50))))&gt;0)),"; "&amp;"Ese local esta ocupado por otro grupo a esa hora","")&amp;IF(EXACT($O50,"si"),"; "&amp;IF(ISNUMBER(IF(EXACT($I50,"no"),"Esta asignatura no admite turno doble y repite el dia en este grupo","Esta asignatura repite el dia en este grupo sin ser en turnos seguidos")),IF(IF(EXACT($I50,"no"),"Esta asignatura no admite turno doble y repite el dia en este grupo","Esta asignatura repite el dia en este grupo sin ser en turnos seguidos")=0,"0",ROUND(IF(EXACT($I50,"no"),"Esta asignatura no admite turno doble y repite el dia en este grupo","Esta asignatura repite el dia en este grupo sin ser en turnos seguidos"),9-INT(LOG10(ABS(IF(EXACT($I50,"no"),"Esta asignatura no admite turno doble y repite el dia en este grupo","Esta asignatura repite el dia en este grupo sin ser en turnos seguidos")))))&amp;""),IF(EXACT($I50,"no"),"Esta asignatura no admite turno doble y repite el dia en este grupo","Esta asignatura repite el dia en este grupo sin ser en turnos seguidos")&amp;""),"")&amp;IF(AND(NOT(($D50="")),EXACT($B50,$K50)),"; "&amp;"Es el dia de preparacion de la asignatura","")&amp;IF(AND(EXACT($D50,"EF"),(IFERROR(VALUE($C50&amp;""),0)&gt;3)),"; "&amp;"Educacion Fisica no puede caer despues del tercer turno","")&amp;IF(AND(NOT(($D50="")),EXACT($J50,"no"),(IFERROR(VALUE($C50&amp;""),0)&gt;6)),"; "&amp;"Esta asignatura no admite turnos de tarde","")&amp;IF(AND(NOT(($D50="")),EXACT($L50,"si"),EXACT($N50,"no")),"; "&amp;"Este profesor esta contratado y no asiste al centro este dia","")&amp;IF(AND(NOT(($D50="")),EXACT($M50,"si"),EXACT($C50,1)),"; "&amp;"Se preferiria no darle el primer turno a un profesor que vive lejos","")&amp;IF(($D50=""),"; "&amp;"Turno sin asignar",""),3,32767)</f>
        <v/>
      </c>
      <c r="Q50" s="3">
        <f>IF(OR(AND(NOT(($D50="")),(SUMPRODUCT(1*((EXACT('Casillas del horario'!$B$4:$B$73,$B50)))*((EXACT('Casillas del horario'!$C$4:$C$73,$C50)))*((EXACT('Casillas del horario'!$F$4:$F$73,$F50)))*((ROW('Casillas del horario'!$A$4:$A$73)&lt;&gt;ROW($A50))))&gt;0)),AND(NOT(($D50="")),(SUMPRODUCT(1*((EXACT('Casillas del horario'!$B$4:$B$73,$B50)))*((EXACT('Casillas del horario'!$C$4:$C$73,$C50)))*((EXACT('Casillas del horario'!$H$4:$H$73,$H50)))*((ROW('Casillas del horario'!$A$4:$A$73)&lt;&gt;ROW($A50))))&gt;0)),EXACT($O50,"si"),AND(NOT(($D50="")),EXACT($B50,$K50)),AND(EXACT($D50,"EF"),(IFERROR(VALUE($C50&amp;""),0)&gt;3)),AND(NOT(($D50="")),EXACT($J50,"no"),(IFERROR(VALUE($C50&amp;""),0)&gt;6)),AND(NOT(($D50="")),EXACT($L50,"si"),EXACT($N50,"no"))),3,IF(OR(AND(NOT(($D50="")),EXACT($M50,"si"),EXACT($C50,1))),2,IF(OR(($D50="")),1,0)))</f>
        <v/>
      </c>
      <c r="R50" s="3">
        <f>$A50&amp;CHAR(31)&amp;$C50&amp;CHAR(31)&amp;$B50</f>
        <v/>
      </c>
      <c r="S50" s="3">
        <f>$F50&amp;CHAR(31)&amp;$C50&amp;CHAR(31)&amp;$B50</f>
        <v/>
      </c>
      <c r="T50" s="3">
        <f>$H50&amp;CHAR(31)&amp;$C50&amp;CHAR(31)&amp;$B50</f>
        <v/>
      </c>
    </row>
    <row r="51">
      <c r="A51" s="3" t="inlineStr">
        <is>
          <t>10-4</t>
        </is>
      </c>
      <c r="B51" s="3" t="inlineStr">
        <is>
          <t>MI</t>
        </is>
      </c>
      <c r="C51" s="3" t="n">
        <v>5</v>
      </c>
      <c r="D51" s="4" t="inlineStr">
        <is>
          <t>F</t>
        </is>
      </c>
      <c r="E51" s="3">
        <f>IF(ISNA(MATCH(1,INDEX(EXACT('Asignaturas'!$A$4:$A$18,$D51)*1,0),0)),"",IF(ISBLANK(INDEX('Asignaturas'!$B$4:$B$18,MATCH(1,INDEX(EXACT('Asignaturas'!$A$4:$A$18,$D51)*1,0),0))),"",INDEX('Asignaturas'!$B$4:$B$18,MATCH(1,INDEX(EXACT('Asignaturas'!$A$4:$A$18,$D51)*1,0),0))))</f>
        <v/>
      </c>
      <c r="F51" s="3">
        <f>IF(ISNA(MATCH(1,INDEX(1*(EXACT('Frecuencias por grupo'!$A$4:$A$33,$A51))*(EXACT('Frecuencias por grupo'!$B$4:$B$33,$D51)),0),0)),"",IF(ISBLANK(INDEX('Frecuencias por grupo'!$C$4:$C$33,MATCH(1,INDEX(1*(EXACT('Frecuencias por grupo'!$A$4:$A$33,$A51))*(EXACT('Frecuencias por grupo'!$B$4:$B$33,$D51)),0),0))),"",INDEX('Frecuencias por grupo'!$C$4:$C$33,MATCH(1,INDEX(1*(EXACT('Frecuencias por grupo'!$A$4:$A$33,$A51))*(EXACT('Frecuencias por grupo'!$B$4:$B$33,$D51)),0),0))))</f>
        <v/>
      </c>
      <c r="G51" s="3">
        <f>IF(ISNA(MATCH(1,INDEX(EXACT('Asignaturas'!$A$4:$A$18,$D51)*1,0),0)),"",IF(ISBLANK(INDEX('Asignaturas'!$G$4:$G$18,MATCH(1,INDEX(EXACT('Asignaturas'!$A$4:$A$18,$D51)*1,0),0))),"",INDEX('Asignaturas'!$G$4:$G$18,MATCH(1,INDEX(EXACT('Asignaturas'!$A$4:$A$18,$D51)*1,0),0))))</f>
        <v/>
      </c>
      <c r="H51" s="3">
        <f>IF(($D51=""),"",IF(($G51=""),("Aula "&amp;IF(ISNUMBER($A51),IF($A51=0,"0",ROUND($A51,9-INT(LOG10(ABS($A51))))&amp;""),$A51&amp;"")),$G51))</f>
        <v/>
      </c>
      <c r="I51" s="3">
        <f>IF(ISNA(MATCH(1,INDEX(EXACT('Asignaturas'!$A$4:$A$18,$D51)*1,0),0)),"no",IF(ISBLANK(INDEX('Asignaturas'!$D$4:$D$18,MATCH(1,INDEX(EXACT('Asignaturas'!$A$4:$A$18,$D51)*1,0),0))),"",INDEX('Asignaturas'!$D$4:$D$18,MATCH(1,INDEX(EXACT('Asignaturas'!$A$4:$A$18,$D51)*1,0),0))))</f>
        <v/>
      </c>
      <c r="J51" s="3">
        <f>IF(ISNA(MATCH(1,INDEX(EXACT('Asignaturas'!$A$4:$A$18,$D51)*1,0),0)),"no",IF(ISBLANK(INDEX('Asignaturas'!$E$4:$E$18,MATCH(1,INDEX(EXACT('Asignaturas'!$A$4:$A$18,$D51)*1,0),0))),"",INDEX('Asignaturas'!$E$4:$E$18,MATCH(1,INDEX(EXACT('Asignaturas'!$A$4:$A$18,$D51)*1,0),0))))</f>
        <v/>
      </c>
      <c r="K51" s="3">
        <f>IF(ISNA(MATCH(1,INDEX(EXACT('Asignaturas'!$A$4:$A$18,$D51)*1,0),0)),"",IF(ISBLANK(INDEX('Asignaturas'!$F$4:$F$18,MATCH(1,INDEX(EXACT('Asignaturas'!$A$4:$A$18,$D51)*1,0),0))),"",INDEX('Asignaturas'!$F$4:$F$18,MATCH(1,INDEX(EXACT('Asignaturas'!$A$4:$A$18,$D51)*1,0),0))))</f>
        <v/>
      </c>
      <c r="L51" s="3">
        <f>IF(ISNA(MATCH(1,INDEX(EXACT('Profesores'!$A$4:$A$33,$F51)*1,0),0)),"no",IF(ISBLANK(INDEX('Profesores'!$B$4:$B$33,MATCH(1,INDEX(EXACT('Profesores'!$A$4:$A$33,$F51)*1,0),0))),"",INDEX('Profesores'!$B$4:$B$33,MATCH(1,INDEX(EXACT('Profesores'!$A$4:$A$33,$F51)*1,0),0))))</f>
        <v/>
      </c>
      <c r="M51" s="3">
        <f>IF(ISNA(MATCH(1,INDEX(EXACT('Profesores'!$A$4:$A$33,$F51)*1,0),0)),"no",IF(ISBLANK(INDEX('Profesores'!$C$4:$C$33,MATCH(1,INDEX(EXACT('Profesores'!$A$4:$A$33,$F51)*1,0),0))),"",INDEX('Profesores'!$C$4:$C$33,MATCH(1,INDEX(EXACT('Profesores'!$A$4:$A$33,$F51)*1,0),0))))</f>
        <v/>
      </c>
      <c r="N51" s="3">
        <f>IF(ISNA(MATCH(1,INDEX(1*((('Dias que asisten los contratado'!$A$4:$A$4&lt;&gt;"")+('Dias que asisten los contratado'!$B$4:$B$4&lt;&gt;""))&gt;0)*(EXACT('Dias que asisten los contratado'!$A$4:$A$4,$F51))*(EXACT('Dias que asisten los contratado'!$B$4:$B$4,$B51)),0),0)),"no",IF(ISBLANK(INDEX('Dias que asisten los contratado'!$C$4:$C$4,MATCH(1,INDEX(1*((('Dias que asisten los contratado'!$A$4:$A$4&lt;&gt;"")+('Dias que asisten los contratado'!$B$4:$B$4&lt;&gt;""))&gt;0)*(EXACT('Dias que asisten los contratado'!$A$4:$A$4,$F51))*(EXACT('Dias que asisten los contratado'!$B$4:$B$4,$B51)),0),0))),"",INDEX('Dias que asisten los contratado'!$C$4:$C$4,MATCH(1,INDEX(1*((('Dias que asisten los contratado'!$A$4:$A$4&lt;&gt;"")+('Dias que asisten los contratado'!$B$4:$B$4&lt;&gt;""))&gt;0)*(EXACT('Dias que asisten los contratado'!$A$4:$A$4,$F51))*(EXACT('Dias que asisten los contratado'!$B$4:$B$4,$B51)),0),0))))</f>
        <v/>
      </c>
      <c r="O51" s="3">
        <f>IF(AND(NOT(($D51="")),(SUMPRODUCT(1*((EXACT('Casillas del horario'!$A$4:$A$73,$A51)))*((EXACT('Casillas del horario'!$B$4:$B$73,$B51)))*((EXACT('Casillas del horario'!$D$4:$D$73,$D51)))*(((((EXACT($I51,"no")))+((NOT(EXACT('Casillas del horario'!$C$4:$C$73,(IFERROR(VALUE($C51&amp;""),0)+1))))*(NOT(EXACT('Casillas del horario'!$C$4:$C$73,(IFERROR(VALUE($C51&amp;""),0)-1))))))&gt;0))*((ROW('Casillas del horario'!$A$4:$A$73)&lt;&gt;ROW($A51))))&gt;0)),"si","no")</f>
        <v/>
      </c>
      <c r="P51" s="3">
        <f>MID(IF(AND(NOT(($D51="")),(SUMPRODUCT(1*((EXACT('Casillas del horario'!$B$4:$B$73,$B51)))*((EXACT('Casillas del horario'!$C$4:$C$73,$C51)))*((EXACT('Casillas del horario'!$F$4:$F$73,$F51)))*((ROW('Casillas del horario'!$A$4:$A$73)&lt;&gt;ROW($A51))))&gt;0)),"; "&amp;"Este profesor ya da clase a otro grupo en este mismo turno","")&amp;IF(AND(NOT(($D51="")),(SUMPRODUCT(1*((EXACT('Casillas del horario'!$B$4:$B$73,$B51)))*((EXACT('Casillas del horario'!$C$4:$C$73,$C51)))*((EXACT('Casillas del horario'!$H$4:$H$73,$H51)))*((ROW('Casillas del horario'!$A$4:$A$73)&lt;&gt;ROW($A51))))&gt;0)),"; "&amp;"Ese local esta ocupado por otro grupo a esa hora","")&amp;IF(EXACT($O51,"si"),"; "&amp;IF(ISNUMBER(IF(EXACT($I51,"no"),"Esta asignatura no admite turno doble y repite el dia en este grupo","Esta asignatura repite el dia en este grupo sin ser en turnos seguidos")),IF(IF(EXACT($I51,"no"),"Esta asignatura no admite turno doble y repite el dia en este grupo","Esta asignatura repite el dia en este grupo sin ser en turnos seguidos")=0,"0",ROUND(IF(EXACT($I51,"no"),"Esta asignatura no admite turno doble y repite el dia en este grupo","Esta asignatura repite el dia en este grupo sin ser en turnos seguidos"),9-INT(LOG10(ABS(IF(EXACT($I51,"no"),"Esta asignatura no admite turno doble y repite el dia en este grupo","Esta asignatura repite el dia en este grupo sin ser en turnos seguidos")))))&amp;""),IF(EXACT($I51,"no"),"Esta asignatura no admite turno doble y repite el dia en este grupo","Esta asignatura repite el dia en este grupo sin ser en turnos seguidos")&amp;""),"")&amp;IF(AND(NOT(($D51="")),EXACT($B51,$K51)),"; "&amp;"Es el dia de preparacion de la asignatura","")&amp;IF(AND(EXACT($D51,"EF"),(IFERROR(VALUE($C51&amp;""),0)&gt;3)),"; "&amp;"Educacion Fisica no puede caer despues del tercer turno","")&amp;IF(AND(NOT(($D51="")),EXACT($J51,"no"),(IFERROR(VALUE($C51&amp;""),0)&gt;6)),"; "&amp;"Esta asignatura no admite turnos de tarde","")&amp;IF(AND(NOT(($D51="")),EXACT($L51,"si"),EXACT($N51,"no")),"; "&amp;"Este profesor esta contratado y no asiste al centro este dia","")&amp;IF(AND(NOT(($D51="")),EXACT($M51,"si"),EXACT($C51,1)),"; "&amp;"Se preferiria no darle el primer turno a un profesor que vive lejos","")&amp;IF(($D51=""),"; "&amp;"Turno sin asignar",""),3,32767)</f>
        <v/>
      </c>
      <c r="Q51" s="3">
        <f>IF(OR(AND(NOT(($D51="")),(SUMPRODUCT(1*((EXACT('Casillas del horario'!$B$4:$B$73,$B51)))*((EXACT('Casillas del horario'!$C$4:$C$73,$C51)))*((EXACT('Casillas del horario'!$F$4:$F$73,$F51)))*((ROW('Casillas del horario'!$A$4:$A$73)&lt;&gt;ROW($A51))))&gt;0)),AND(NOT(($D51="")),(SUMPRODUCT(1*((EXACT('Casillas del horario'!$B$4:$B$73,$B51)))*((EXACT('Casillas del horario'!$C$4:$C$73,$C51)))*((EXACT('Casillas del horario'!$H$4:$H$73,$H51)))*((ROW('Casillas del horario'!$A$4:$A$73)&lt;&gt;ROW($A51))))&gt;0)),EXACT($O51,"si"),AND(NOT(($D51="")),EXACT($B51,$K51)),AND(EXACT($D51,"EF"),(IFERROR(VALUE($C51&amp;""),0)&gt;3)),AND(NOT(($D51="")),EXACT($J51,"no"),(IFERROR(VALUE($C51&amp;""),0)&gt;6)),AND(NOT(($D51="")),EXACT($L51,"si"),EXACT($N51,"no"))),3,IF(OR(AND(NOT(($D51="")),EXACT($M51,"si"),EXACT($C51,1))),2,IF(OR(($D51="")),1,0)))</f>
        <v/>
      </c>
      <c r="R51" s="3">
        <f>$A51&amp;CHAR(31)&amp;$C51&amp;CHAR(31)&amp;$B51</f>
        <v/>
      </c>
      <c r="S51" s="3">
        <f>$F51&amp;CHAR(31)&amp;$C51&amp;CHAR(31)&amp;$B51</f>
        <v/>
      </c>
      <c r="T51" s="3">
        <f>$H51&amp;CHAR(31)&amp;$C51&amp;CHAR(31)&amp;$B51</f>
        <v/>
      </c>
    </row>
    <row r="52">
      <c r="A52" s="3" t="inlineStr">
        <is>
          <t>10-4</t>
        </is>
      </c>
      <c r="B52" s="3" t="inlineStr">
        <is>
          <t>J</t>
        </is>
      </c>
      <c r="C52" s="3" t="n">
        <v>5</v>
      </c>
      <c r="D52" s="4" t="inlineStr">
        <is>
          <t>H</t>
        </is>
      </c>
      <c r="E52" s="3">
        <f>IF(ISNA(MATCH(1,INDEX(EXACT('Asignaturas'!$A$4:$A$18,$D52)*1,0),0)),"",IF(ISBLANK(INDEX('Asignaturas'!$B$4:$B$18,MATCH(1,INDEX(EXACT('Asignaturas'!$A$4:$A$18,$D52)*1,0),0))),"",INDEX('Asignaturas'!$B$4:$B$18,MATCH(1,INDEX(EXACT('Asignaturas'!$A$4:$A$18,$D52)*1,0),0))))</f>
        <v/>
      </c>
      <c r="F52" s="3">
        <f>IF(ISNA(MATCH(1,INDEX(1*(EXACT('Frecuencias por grupo'!$A$4:$A$33,$A52))*(EXACT('Frecuencias por grupo'!$B$4:$B$33,$D52)),0),0)),"",IF(ISBLANK(INDEX('Frecuencias por grupo'!$C$4:$C$33,MATCH(1,INDEX(1*(EXACT('Frecuencias por grupo'!$A$4:$A$33,$A52))*(EXACT('Frecuencias por grupo'!$B$4:$B$33,$D52)),0),0))),"",INDEX('Frecuencias por grupo'!$C$4:$C$33,MATCH(1,INDEX(1*(EXACT('Frecuencias por grupo'!$A$4:$A$33,$A52))*(EXACT('Frecuencias por grupo'!$B$4:$B$33,$D52)),0),0))))</f>
        <v/>
      </c>
      <c r="G52" s="3">
        <f>IF(ISNA(MATCH(1,INDEX(EXACT('Asignaturas'!$A$4:$A$18,$D52)*1,0),0)),"",IF(ISBLANK(INDEX('Asignaturas'!$G$4:$G$18,MATCH(1,INDEX(EXACT('Asignaturas'!$A$4:$A$18,$D52)*1,0),0))),"",INDEX('Asignaturas'!$G$4:$G$18,MATCH(1,INDEX(EXACT('Asignaturas'!$A$4:$A$18,$D52)*1,0),0))))</f>
        <v/>
      </c>
      <c r="H52" s="3">
        <f>IF(($D52=""),"",IF(($G52=""),("Aula "&amp;IF(ISNUMBER($A52),IF($A52=0,"0",ROUND($A52,9-INT(LOG10(ABS($A52))))&amp;""),$A52&amp;"")),$G52))</f>
        <v/>
      </c>
      <c r="I52" s="3">
        <f>IF(ISNA(MATCH(1,INDEX(EXACT('Asignaturas'!$A$4:$A$18,$D52)*1,0),0)),"no",IF(ISBLANK(INDEX('Asignaturas'!$D$4:$D$18,MATCH(1,INDEX(EXACT('Asignaturas'!$A$4:$A$18,$D52)*1,0),0))),"",INDEX('Asignaturas'!$D$4:$D$18,MATCH(1,INDEX(EXACT('Asignaturas'!$A$4:$A$18,$D52)*1,0),0))))</f>
        <v/>
      </c>
      <c r="J52" s="3">
        <f>IF(ISNA(MATCH(1,INDEX(EXACT('Asignaturas'!$A$4:$A$18,$D52)*1,0),0)),"no",IF(ISBLANK(INDEX('Asignaturas'!$E$4:$E$18,MATCH(1,INDEX(EXACT('Asignaturas'!$A$4:$A$18,$D52)*1,0),0))),"",INDEX('Asignaturas'!$E$4:$E$18,MATCH(1,INDEX(EXACT('Asignaturas'!$A$4:$A$18,$D52)*1,0),0))))</f>
        <v/>
      </c>
      <c r="K52" s="3">
        <f>IF(ISNA(MATCH(1,INDEX(EXACT('Asignaturas'!$A$4:$A$18,$D52)*1,0),0)),"",IF(ISBLANK(INDEX('Asignaturas'!$F$4:$F$18,MATCH(1,INDEX(EXACT('Asignaturas'!$A$4:$A$18,$D52)*1,0),0))),"",INDEX('Asignaturas'!$F$4:$F$18,MATCH(1,INDEX(EXACT('Asignaturas'!$A$4:$A$18,$D52)*1,0),0))))</f>
        <v/>
      </c>
      <c r="L52" s="3">
        <f>IF(ISNA(MATCH(1,INDEX(EXACT('Profesores'!$A$4:$A$33,$F52)*1,0),0)),"no",IF(ISBLANK(INDEX('Profesores'!$B$4:$B$33,MATCH(1,INDEX(EXACT('Profesores'!$A$4:$A$33,$F52)*1,0),0))),"",INDEX('Profesores'!$B$4:$B$33,MATCH(1,INDEX(EXACT('Profesores'!$A$4:$A$33,$F52)*1,0),0))))</f>
        <v/>
      </c>
      <c r="M52" s="3">
        <f>IF(ISNA(MATCH(1,INDEX(EXACT('Profesores'!$A$4:$A$33,$F52)*1,0),0)),"no",IF(ISBLANK(INDEX('Profesores'!$C$4:$C$33,MATCH(1,INDEX(EXACT('Profesores'!$A$4:$A$33,$F52)*1,0),0))),"",INDEX('Profesores'!$C$4:$C$33,MATCH(1,INDEX(EXACT('Profesores'!$A$4:$A$33,$F52)*1,0),0))))</f>
        <v/>
      </c>
      <c r="N52" s="3">
        <f>IF(ISNA(MATCH(1,INDEX(1*((('Dias que asisten los contratado'!$A$4:$A$4&lt;&gt;"")+('Dias que asisten los contratado'!$B$4:$B$4&lt;&gt;""))&gt;0)*(EXACT('Dias que asisten los contratado'!$A$4:$A$4,$F52))*(EXACT('Dias que asisten los contratado'!$B$4:$B$4,$B52)),0),0)),"no",IF(ISBLANK(INDEX('Dias que asisten los contratado'!$C$4:$C$4,MATCH(1,INDEX(1*((('Dias que asisten los contratado'!$A$4:$A$4&lt;&gt;"")+('Dias que asisten los contratado'!$B$4:$B$4&lt;&gt;""))&gt;0)*(EXACT('Dias que asisten los contratado'!$A$4:$A$4,$F52))*(EXACT('Dias que asisten los contratado'!$B$4:$B$4,$B52)),0),0))),"",INDEX('Dias que asisten los contratado'!$C$4:$C$4,MATCH(1,INDEX(1*((('Dias que asisten los contratado'!$A$4:$A$4&lt;&gt;"")+('Dias que asisten los contratado'!$B$4:$B$4&lt;&gt;""))&gt;0)*(EXACT('Dias que asisten los contratado'!$A$4:$A$4,$F52))*(EXACT('Dias que asisten los contratado'!$B$4:$B$4,$B52)),0),0))))</f>
        <v/>
      </c>
      <c r="O52" s="3">
        <f>IF(AND(NOT(($D52="")),(SUMPRODUCT(1*((EXACT('Casillas del horario'!$A$4:$A$73,$A52)))*((EXACT('Casillas del horario'!$B$4:$B$73,$B52)))*((EXACT('Casillas del horario'!$D$4:$D$73,$D52)))*(((((EXACT($I52,"no")))+((NOT(EXACT('Casillas del horario'!$C$4:$C$73,(IFERROR(VALUE($C52&amp;""),0)+1))))*(NOT(EXACT('Casillas del horario'!$C$4:$C$73,(IFERROR(VALUE($C52&amp;""),0)-1))))))&gt;0))*((ROW('Casillas del horario'!$A$4:$A$73)&lt;&gt;ROW($A52))))&gt;0)),"si","no")</f>
        <v/>
      </c>
      <c r="P52" s="3">
        <f>MID(IF(AND(NOT(($D52="")),(SUMPRODUCT(1*((EXACT('Casillas del horario'!$B$4:$B$73,$B52)))*((EXACT('Casillas del horario'!$C$4:$C$73,$C52)))*((EXACT('Casillas del horario'!$F$4:$F$73,$F52)))*((ROW('Casillas del horario'!$A$4:$A$73)&lt;&gt;ROW($A52))))&gt;0)),"; "&amp;"Este profesor ya da clase a otro grupo en este mismo turno","")&amp;IF(AND(NOT(($D52="")),(SUMPRODUCT(1*((EXACT('Casillas del horario'!$B$4:$B$73,$B52)))*((EXACT('Casillas del horario'!$C$4:$C$73,$C52)))*((EXACT('Casillas del horario'!$H$4:$H$73,$H52)))*((ROW('Casillas del horario'!$A$4:$A$73)&lt;&gt;ROW($A52))))&gt;0)),"; "&amp;"Ese local esta ocupado por otro grupo a esa hora","")&amp;IF(EXACT($O52,"si"),"; "&amp;IF(ISNUMBER(IF(EXACT($I52,"no"),"Esta asignatura no admite turno doble y repite el dia en este grupo","Esta asignatura repite el dia en este grupo sin ser en turnos seguidos")),IF(IF(EXACT($I52,"no"),"Esta asignatura no admite turno doble y repite el dia en este grupo","Esta asignatura repite el dia en este grupo sin ser en turnos seguidos")=0,"0",ROUND(IF(EXACT($I52,"no"),"Esta asignatura no admite turno doble y repite el dia en este grupo","Esta asignatura repite el dia en este grupo sin ser en turnos seguidos"),9-INT(LOG10(ABS(IF(EXACT($I52,"no"),"Esta asignatura no admite turno doble y repite el dia en este grupo","Esta asignatura repite el dia en este grupo sin ser en turnos seguidos")))))&amp;""),IF(EXACT($I52,"no"),"Esta asignatura no admite turno doble y repite el dia en este grupo","Esta asignatura repite el dia en este grupo sin ser en turnos seguidos")&amp;""),"")&amp;IF(AND(NOT(($D52="")),EXACT($B52,$K52)),"; "&amp;"Es el dia de preparacion de la asignatura","")&amp;IF(AND(EXACT($D52,"EF"),(IFERROR(VALUE($C52&amp;""),0)&gt;3)),"; "&amp;"Educacion Fisica no puede caer despues del tercer turno","")&amp;IF(AND(NOT(($D52="")),EXACT($J52,"no"),(IFERROR(VALUE($C52&amp;""),0)&gt;6)),"; "&amp;"Esta asignatura no admite turnos de tarde","")&amp;IF(AND(NOT(($D52="")),EXACT($L52,"si"),EXACT($N52,"no")),"; "&amp;"Este profesor esta contratado y no asiste al centro este dia","")&amp;IF(AND(NOT(($D52="")),EXACT($M52,"si"),EXACT($C52,1)),"; "&amp;"Se preferiria no darle el primer turno a un profesor que vive lejos","")&amp;IF(($D52=""),"; "&amp;"Turno sin asignar",""),3,32767)</f>
        <v/>
      </c>
      <c r="Q52" s="3">
        <f>IF(OR(AND(NOT(($D52="")),(SUMPRODUCT(1*((EXACT('Casillas del horario'!$B$4:$B$73,$B52)))*((EXACT('Casillas del horario'!$C$4:$C$73,$C52)))*((EXACT('Casillas del horario'!$F$4:$F$73,$F52)))*((ROW('Casillas del horario'!$A$4:$A$73)&lt;&gt;ROW($A52))))&gt;0)),AND(NOT(($D52="")),(SUMPRODUCT(1*((EXACT('Casillas del horario'!$B$4:$B$73,$B52)))*((EXACT('Casillas del horario'!$C$4:$C$73,$C52)))*((EXACT('Casillas del horario'!$H$4:$H$73,$H52)))*((ROW('Casillas del horario'!$A$4:$A$73)&lt;&gt;ROW($A52))))&gt;0)),EXACT($O52,"si"),AND(NOT(($D52="")),EXACT($B52,$K52)),AND(EXACT($D52,"EF"),(IFERROR(VALUE($C52&amp;""),0)&gt;3)),AND(NOT(($D52="")),EXACT($J52,"no"),(IFERROR(VALUE($C52&amp;""),0)&gt;6)),AND(NOT(($D52="")),EXACT($L52,"si"),EXACT($N52,"no"))),3,IF(OR(AND(NOT(($D52="")),EXACT($M52,"si"),EXACT($C52,1))),2,IF(OR(($D52="")),1,0)))</f>
        <v/>
      </c>
      <c r="R52" s="3">
        <f>$A52&amp;CHAR(31)&amp;$C52&amp;CHAR(31)&amp;$B52</f>
        <v/>
      </c>
      <c r="S52" s="3">
        <f>$F52&amp;CHAR(31)&amp;$C52&amp;CHAR(31)&amp;$B52</f>
        <v/>
      </c>
      <c r="T52" s="3">
        <f>$H52&amp;CHAR(31)&amp;$C52&amp;CHAR(31)&amp;$B52</f>
        <v/>
      </c>
    </row>
    <row r="53">
      <c r="A53" s="3" t="inlineStr">
        <is>
          <t>10-4</t>
        </is>
      </c>
      <c r="B53" s="3" t="inlineStr">
        <is>
          <t>V</t>
        </is>
      </c>
      <c r="C53" s="3" t="n">
        <v>5</v>
      </c>
      <c r="D53" s="4" t="inlineStr">
        <is>
          <t>Q</t>
        </is>
      </c>
      <c r="E53" s="3">
        <f>IF(ISNA(MATCH(1,INDEX(EXACT('Asignaturas'!$A$4:$A$18,$D53)*1,0),0)),"",IF(ISBLANK(INDEX('Asignaturas'!$B$4:$B$18,MATCH(1,INDEX(EXACT('Asignaturas'!$A$4:$A$18,$D53)*1,0),0))),"",INDEX('Asignaturas'!$B$4:$B$18,MATCH(1,INDEX(EXACT('Asignaturas'!$A$4:$A$18,$D53)*1,0),0))))</f>
        <v/>
      </c>
      <c r="F53" s="3">
        <f>IF(ISNA(MATCH(1,INDEX(1*(EXACT('Frecuencias por grupo'!$A$4:$A$33,$A53))*(EXACT('Frecuencias por grupo'!$B$4:$B$33,$D53)),0),0)),"",IF(ISBLANK(INDEX('Frecuencias por grupo'!$C$4:$C$33,MATCH(1,INDEX(1*(EXACT('Frecuencias por grupo'!$A$4:$A$33,$A53))*(EXACT('Frecuencias por grupo'!$B$4:$B$33,$D53)),0),0))),"",INDEX('Frecuencias por grupo'!$C$4:$C$33,MATCH(1,INDEX(1*(EXACT('Frecuencias por grupo'!$A$4:$A$33,$A53))*(EXACT('Frecuencias por grupo'!$B$4:$B$33,$D53)),0),0))))</f>
        <v/>
      </c>
      <c r="G53" s="3">
        <f>IF(ISNA(MATCH(1,INDEX(EXACT('Asignaturas'!$A$4:$A$18,$D53)*1,0),0)),"",IF(ISBLANK(INDEX('Asignaturas'!$G$4:$G$18,MATCH(1,INDEX(EXACT('Asignaturas'!$A$4:$A$18,$D53)*1,0),0))),"",INDEX('Asignaturas'!$G$4:$G$18,MATCH(1,INDEX(EXACT('Asignaturas'!$A$4:$A$18,$D53)*1,0),0))))</f>
        <v/>
      </c>
      <c r="H53" s="3">
        <f>IF(($D53=""),"",IF(($G53=""),("Aula "&amp;IF(ISNUMBER($A53),IF($A53=0,"0",ROUND($A53,9-INT(LOG10(ABS($A53))))&amp;""),$A53&amp;"")),$G53))</f>
        <v/>
      </c>
      <c r="I53" s="3">
        <f>IF(ISNA(MATCH(1,INDEX(EXACT('Asignaturas'!$A$4:$A$18,$D53)*1,0),0)),"no",IF(ISBLANK(INDEX('Asignaturas'!$D$4:$D$18,MATCH(1,INDEX(EXACT('Asignaturas'!$A$4:$A$18,$D53)*1,0),0))),"",INDEX('Asignaturas'!$D$4:$D$18,MATCH(1,INDEX(EXACT('Asignaturas'!$A$4:$A$18,$D53)*1,0),0))))</f>
        <v/>
      </c>
      <c r="J53" s="3">
        <f>IF(ISNA(MATCH(1,INDEX(EXACT('Asignaturas'!$A$4:$A$18,$D53)*1,0),0)),"no",IF(ISBLANK(INDEX('Asignaturas'!$E$4:$E$18,MATCH(1,INDEX(EXACT('Asignaturas'!$A$4:$A$18,$D53)*1,0),0))),"",INDEX('Asignaturas'!$E$4:$E$18,MATCH(1,INDEX(EXACT('Asignaturas'!$A$4:$A$18,$D53)*1,0),0))))</f>
        <v/>
      </c>
      <c r="K53" s="3">
        <f>IF(ISNA(MATCH(1,INDEX(EXACT('Asignaturas'!$A$4:$A$18,$D53)*1,0),0)),"",IF(ISBLANK(INDEX('Asignaturas'!$F$4:$F$18,MATCH(1,INDEX(EXACT('Asignaturas'!$A$4:$A$18,$D53)*1,0),0))),"",INDEX('Asignaturas'!$F$4:$F$18,MATCH(1,INDEX(EXACT('Asignaturas'!$A$4:$A$18,$D53)*1,0),0))))</f>
        <v/>
      </c>
      <c r="L53" s="3">
        <f>IF(ISNA(MATCH(1,INDEX(EXACT('Profesores'!$A$4:$A$33,$F53)*1,0),0)),"no",IF(ISBLANK(INDEX('Profesores'!$B$4:$B$33,MATCH(1,INDEX(EXACT('Profesores'!$A$4:$A$33,$F53)*1,0),0))),"",INDEX('Profesores'!$B$4:$B$33,MATCH(1,INDEX(EXACT('Profesores'!$A$4:$A$33,$F53)*1,0),0))))</f>
        <v/>
      </c>
      <c r="M53" s="3">
        <f>IF(ISNA(MATCH(1,INDEX(EXACT('Profesores'!$A$4:$A$33,$F53)*1,0),0)),"no",IF(ISBLANK(INDEX('Profesores'!$C$4:$C$33,MATCH(1,INDEX(EXACT('Profesores'!$A$4:$A$33,$F53)*1,0),0))),"",INDEX('Profesores'!$C$4:$C$33,MATCH(1,INDEX(EXACT('Profesores'!$A$4:$A$33,$F53)*1,0),0))))</f>
        <v/>
      </c>
      <c r="N53" s="3">
        <f>IF(ISNA(MATCH(1,INDEX(1*((('Dias que asisten los contratado'!$A$4:$A$4&lt;&gt;"")+('Dias que asisten los contratado'!$B$4:$B$4&lt;&gt;""))&gt;0)*(EXACT('Dias que asisten los contratado'!$A$4:$A$4,$F53))*(EXACT('Dias que asisten los contratado'!$B$4:$B$4,$B53)),0),0)),"no",IF(ISBLANK(INDEX('Dias que asisten los contratado'!$C$4:$C$4,MATCH(1,INDEX(1*((('Dias que asisten los contratado'!$A$4:$A$4&lt;&gt;"")+('Dias que asisten los contratado'!$B$4:$B$4&lt;&gt;""))&gt;0)*(EXACT('Dias que asisten los contratado'!$A$4:$A$4,$F53))*(EXACT('Dias que asisten los contratado'!$B$4:$B$4,$B53)),0),0))),"",INDEX('Dias que asisten los contratado'!$C$4:$C$4,MATCH(1,INDEX(1*((('Dias que asisten los contratado'!$A$4:$A$4&lt;&gt;"")+('Dias que asisten los contratado'!$B$4:$B$4&lt;&gt;""))&gt;0)*(EXACT('Dias que asisten los contratado'!$A$4:$A$4,$F53))*(EXACT('Dias que asisten los contratado'!$B$4:$B$4,$B53)),0),0))))</f>
        <v/>
      </c>
      <c r="O53" s="3">
        <f>IF(AND(NOT(($D53="")),(SUMPRODUCT(1*((EXACT('Casillas del horario'!$A$4:$A$73,$A53)))*((EXACT('Casillas del horario'!$B$4:$B$73,$B53)))*((EXACT('Casillas del horario'!$D$4:$D$73,$D53)))*(((((EXACT($I53,"no")))+((NOT(EXACT('Casillas del horario'!$C$4:$C$73,(IFERROR(VALUE($C53&amp;""),0)+1))))*(NOT(EXACT('Casillas del horario'!$C$4:$C$73,(IFERROR(VALUE($C53&amp;""),0)-1))))))&gt;0))*((ROW('Casillas del horario'!$A$4:$A$73)&lt;&gt;ROW($A53))))&gt;0)),"si","no")</f>
        <v/>
      </c>
      <c r="P53" s="3">
        <f>MID(IF(AND(NOT(($D53="")),(SUMPRODUCT(1*((EXACT('Casillas del horario'!$B$4:$B$73,$B53)))*((EXACT('Casillas del horario'!$C$4:$C$73,$C53)))*((EXACT('Casillas del horario'!$F$4:$F$73,$F53)))*((ROW('Casillas del horario'!$A$4:$A$73)&lt;&gt;ROW($A53))))&gt;0)),"; "&amp;"Este profesor ya da clase a otro grupo en este mismo turno","")&amp;IF(AND(NOT(($D53="")),(SUMPRODUCT(1*((EXACT('Casillas del horario'!$B$4:$B$73,$B53)))*((EXACT('Casillas del horario'!$C$4:$C$73,$C53)))*((EXACT('Casillas del horario'!$H$4:$H$73,$H53)))*((ROW('Casillas del horario'!$A$4:$A$73)&lt;&gt;ROW($A53))))&gt;0)),"; "&amp;"Ese local esta ocupado por otro grupo a esa hora","")&amp;IF(EXACT($O53,"si"),"; "&amp;IF(ISNUMBER(IF(EXACT($I53,"no"),"Esta asignatura no admite turno doble y repite el dia en este grupo","Esta asignatura repite el dia en este grupo sin ser en turnos seguidos")),IF(IF(EXACT($I53,"no"),"Esta asignatura no admite turno doble y repite el dia en este grupo","Esta asignatura repite el dia en este grupo sin ser en turnos seguidos")=0,"0",ROUND(IF(EXACT($I53,"no"),"Esta asignatura no admite turno doble y repite el dia en este grupo","Esta asignatura repite el dia en este grupo sin ser en turnos seguidos"),9-INT(LOG10(ABS(IF(EXACT($I53,"no"),"Esta asignatura no admite turno doble y repite el dia en este grupo","Esta asignatura repite el dia en este grupo sin ser en turnos seguidos")))))&amp;""),IF(EXACT($I53,"no"),"Esta asignatura no admite turno doble y repite el dia en este grupo","Esta asignatura repite el dia en este grupo sin ser en turnos seguidos")&amp;""),"")&amp;IF(AND(NOT(($D53="")),EXACT($B53,$K53)),"; "&amp;"Es el dia de preparacion de la asignatura","")&amp;IF(AND(EXACT($D53,"EF"),(IFERROR(VALUE($C53&amp;""),0)&gt;3)),"; "&amp;"Educacion Fisica no puede caer despues del tercer turno","")&amp;IF(AND(NOT(($D53="")),EXACT($J53,"no"),(IFERROR(VALUE($C53&amp;""),0)&gt;6)),"; "&amp;"Esta asignatura no admite turnos de tarde","")&amp;IF(AND(NOT(($D53="")),EXACT($L53,"si"),EXACT($N53,"no")),"; "&amp;"Este profesor esta contratado y no asiste al centro este dia","")&amp;IF(AND(NOT(($D53="")),EXACT($M53,"si"),EXACT($C53,1)),"; "&amp;"Se preferiria no darle el primer turno a un profesor que vive lejos","")&amp;IF(($D53=""),"; "&amp;"Turno sin asignar",""),3,32767)</f>
        <v/>
      </c>
      <c r="Q53" s="3">
        <f>IF(OR(AND(NOT(($D53="")),(SUMPRODUCT(1*((EXACT('Casillas del horario'!$B$4:$B$73,$B53)))*((EXACT('Casillas del horario'!$C$4:$C$73,$C53)))*((EXACT('Casillas del horario'!$F$4:$F$73,$F53)))*((ROW('Casillas del horario'!$A$4:$A$73)&lt;&gt;ROW($A53))))&gt;0)),AND(NOT(($D53="")),(SUMPRODUCT(1*((EXACT('Casillas del horario'!$B$4:$B$73,$B53)))*((EXACT('Casillas del horario'!$C$4:$C$73,$C53)))*((EXACT('Casillas del horario'!$H$4:$H$73,$H53)))*((ROW('Casillas del horario'!$A$4:$A$73)&lt;&gt;ROW($A53))))&gt;0)),EXACT($O53,"si"),AND(NOT(($D53="")),EXACT($B53,$K53)),AND(EXACT($D53,"EF"),(IFERROR(VALUE($C53&amp;""),0)&gt;3)),AND(NOT(($D53="")),EXACT($J53,"no"),(IFERROR(VALUE($C53&amp;""),0)&gt;6)),AND(NOT(($D53="")),EXACT($L53,"si"),EXACT($N53,"no"))),3,IF(OR(AND(NOT(($D53="")),EXACT($M53,"si"),EXACT($C53,1))),2,IF(OR(($D53="")),1,0)))</f>
        <v/>
      </c>
      <c r="R53" s="3">
        <f>$A53&amp;CHAR(31)&amp;$C53&amp;CHAR(31)&amp;$B53</f>
        <v/>
      </c>
      <c r="S53" s="3">
        <f>$F53&amp;CHAR(31)&amp;$C53&amp;CHAR(31)&amp;$B53</f>
        <v/>
      </c>
      <c r="T53" s="3">
        <f>$H53&amp;CHAR(31)&amp;$C53&amp;CHAR(31)&amp;$B53</f>
        <v/>
      </c>
    </row>
    <row r="54">
      <c r="A54" s="3" t="inlineStr">
        <is>
          <t>10-3</t>
        </is>
      </c>
      <c r="B54" s="3" t="inlineStr">
        <is>
          <t>L</t>
        </is>
      </c>
      <c r="C54" s="3" t="n">
        <v>6</v>
      </c>
      <c r="D54" s="4" t="inlineStr">
        <is>
          <t>M</t>
        </is>
      </c>
      <c r="E54" s="3">
        <f>IF(ISNA(MATCH(1,INDEX(EXACT('Asignaturas'!$A$4:$A$18,$D54)*1,0),0)),"",IF(ISBLANK(INDEX('Asignaturas'!$B$4:$B$18,MATCH(1,INDEX(EXACT('Asignaturas'!$A$4:$A$18,$D54)*1,0),0))),"",INDEX('Asignaturas'!$B$4:$B$18,MATCH(1,INDEX(EXACT('Asignaturas'!$A$4:$A$18,$D54)*1,0),0))))</f>
        <v/>
      </c>
      <c r="F54" s="3">
        <f>IF(ISNA(MATCH(1,INDEX(1*(EXACT('Frecuencias por grupo'!$A$4:$A$33,$A54))*(EXACT('Frecuencias por grupo'!$B$4:$B$33,$D54)),0),0)),"",IF(ISBLANK(INDEX('Frecuencias por grupo'!$C$4:$C$33,MATCH(1,INDEX(1*(EXACT('Frecuencias por grupo'!$A$4:$A$33,$A54))*(EXACT('Frecuencias por grupo'!$B$4:$B$33,$D54)),0),0))),"",INDEX('Frecuencias por grupo'!$C$4:$C$33,MATCH(1,INDEX(1*(EXACT('Frecuencias por grupo'!$A$4:$A$33,$A54))*(EXACT('Frecuencias por grupo'!$B$4:$B$33,$D54)),0),0))))</f>
        <v/>
      </c>
      <c r="G54" s="3">
        <f>IF(ISNA(MATCH(1,INDEX(EXACT('Asignaturas'!$A$4:$A$18,$D54)*1,0),0)),"",IF(ISBLANK(INDEX('Asignaturas'!$G$4:$G$18,MATCH(1,INDEX(EXACT('Asignaturas'!$A$4:$A$18,$D54)*1,0),0))),"",INDEX('Asignaturas'!$G$4:$G$18,MATCH(1,INDEX(EXACT('Asignaturas'!$A$4:$A$18,$D54)*1,0),0))))</f>
        <v/>
      </c>
      <c r="H54" s="3">
        <f>IF(($D54=""),"",IF(($G54=""),("Aula "&amp;IF(ISNUMBER($A54),IF($A54=0,"0",ROUND($A54,9-INT(LOG10(ABS($A54))))&amp;""),$A54&amp;"")),$G54))</f>
        <v/>
      </c>
      <c r="I54" s="3">
        <f>IF(ISNA(MATCH(1,INDEX(EXACT('Asignaturas'!$A$4:$A$18,$D54)*1,0),0)),"no",IF(ISBLANK(INDEX('Asignaturas'!$D$4:$D$18,MATCH(1,INDEX(EXACT('Asignaturas'!$A$4:$A$18,$D54)*1,0),0))),"",INDEX('Asignaturas'!$D$4:$D$18,MATCH(1,INDEX(EXACT('Asignaturas'!$A$4:$A$18,$D54)*1,0),0))))</f>
        <v/>
      </c>
      <c r="J54" s="3">
        <f>IF(ISNA(MATCH(1,INDEX(EXACT('Asignaturas'!$A$4:$A$18,$D54)*1,0),0)),"no",IF(ISBLANK(INDEX('Asignaturas'!$E$4:$E$18,MATCH(1,INDEX(EXACT('Asignaturas'!$A$4:$A$18,$D54)*1,0),0))),"",INDEX('Asignaturas'!$E$4:$E$18,MATCH(1,INDEX(EXACT('Asignaturas'!$A$4:$A$18,$D54)*1,0),0))))</f>
        <v/>
      </c>
      <c r="K54" s="3">
        <f>IF(ISNA(MATCH(1,INDEX(EXACT('Asignaturas'!$A$4:$A$18,$D54)*1,0),0)),"",IF(ISBLANK(INDEX('Asignaturas'!$F$4:$F$18,MATCH(1,INDEX(EXACT('Asignaturas'!$A$4:$A$18,$D54)*1,0),0))),"",INDEX('Asignaturas'!$F$4:$F$18,MATCH(1,INDEX(EXACT('Asignaturas'!$A$4:$A$18,$D54)*1,0),0))))</f>
        <v/>
      </c>
      <c r="L54" s="3">
        <f>IF(ISNA(MATCH(1,INDEX(EXACT('Profesores'!$A$4:$A$33,$F54)*1,0),0)),"no",IF(ISBLANK(INDEX('Profesores'!$B$4:$B$33,MATCH(1,INDEX(EXACT('Profesores'!$A$4:$A$33,$F54)*1,0),0))),"",INDEX('Profesores'!$B$4:$B$33,MATCH(1,INDEX(EXACT('Profesores'!$A$4:$A$33,$F54)*1,0),0))))</f>
        <v/>
      </c>
      <c r="M54" s="3">
        <f>IF(ISNA(MATCH(1,INDEX(EXACT('Profesores'!$A$4:$A$33,$F54)*1,0),0)),"no",IF(ISBLANK(INDEX('Profesores'!$C$4:$C$33,MATCH(1,INDEX(EXACT('Profesores'!$A$4:$A$33,$F54)*1,0),0))),"",INDEX('Profesores'!$C$4:$C$33,MATCH(1,INDEX(EXACT('Profesores'!$A$4:$A$33,$F54)*1,0),0))))</f>
        <v/>
      </c>
      <c r="N54" s="3">
        <f>IF(ISNA(MATCH(1,INDEX(1*((('Dias que asisten los contratado'!$A$4:$A$4&lt;&gt;"")+('Dias que asisten los contratado'!$B$4:$B$4&lt;&gt;""))&gt;0)*(EXACT('Dias que asisten los contratado'!$A$4:$A$4,$F54))*(EXACT('Dias que asisten los contratado'!$B$4:$B$4,$B54)),0),0)),"no",IF(ISBLANK(INDEX('Dias que asisten los contratado'!$C$4:$C$4,MATCH(1,INDEX(1*((('Dias que asisten los contratado'!$A$4:$A$4&lt;&gt;"")+('Dias que asisten los contratado'!$B$4:$B$4&lt;&gt;""))&gt;0)*(EXACT('Dias que asisten los contratado'!$A$4:$A$4,$F54))*(EXACT('Dias que asisten los contratado'!$B$4:$B$4,$B54)),0),0))),"",INDEX('Dias que asisten los contratado'!$C$4:$C$4,MATCH(1,INDEX(1*((('Dias que asisten los contratado'!$A$4:$A$4&lt;&gt;"")+('Dias que asisten los contratado'!$B$4:$B$4&lt;&gt;""))&gt;0)*(EXACT('Dias que asisten los contratado'!$A$4:$A$4,$F54))*(EXACT('Dias que asisten los contratado'!$B$4:$B$4,$B54)),0),0))))</f>
        <v/>
      </c>
      <c r="O54" s="3">
        <f>IF(AND(NOT(($D54="")),(SUMPRODUCT(1*((EXACT('Casillas del horario'!$A$4:$A$73,$A54)))*((EXACT('Casillas del horario'!$B$4:$B$73,$B54)))*((EXACT('Casillas del horario'!$D$4:$D$73,$D54)))*(((((EXACT($I54,"no")))+((NOT(EXACT('Casillas del horario'!$C$4:$C$73,(IFERROR(VALUE($C54&amp;""),0)+1))))*(NOT(EXACT('Casillas del horario'!$C$4:$C$73,(IFERROR(VALUE($C54&amp;""),0)-1))))))&gt;0))*((ROW('Casillas del horario'!$A$4:$A$73)&lt;&gt;ROW($A54))))&gt;0)),"si","no")</f>
        <v/>
      </c>
      <c r="P54" s="3">
        <f>MID(IF(AND(NOT(($D54="")),(SUMPRODUCT(1*((EXACT('Casillas del horario'!$B$4:$B$73,$B54)))*((EXACT('Casillas del horario'!$C$4:$C$73,$C54)))*((EXACT('Casillas del horario'!$F$4:$F$73,$F54)))*((ROW('Casillas del horario'!$A$4:$A$73)&lt;&gt;ROW($A54))))&gt;0)),"; "&amp;"Este profesor ya da clase a otro grupo en este mismo turno","")&amp;IF(AND(NOT(($D54="")),(SUMPRODUCT(1*((EXACT('Casillas del horario'!$B$4:$B$73,$B54)))*((EXACT('Casillas del horario'!$C$4:$C$73,$C54)))*((EXACT('Casillas del horario'!$H$4:$H$73,$H54)))*((ROW('Casillas del horario'!$A$4:$A$73)&lt;&gt;ROW($A54))))&gt;0)),"; "&amp;"Ese local esta ocupado por otro grupo a esa hora","")&amp;IF(EXACT($O54,"si"),"; "&amp;IF(ISNUMBER(IF(EXACT($I54,"no"),"Esta asignatura no admite turno doble y repite el dia en este grupo","Esta asignatura repite el dia en este grupo sin ser en turnos seguidos")),IF(IF(EXACT($I54,"no"),"Esta asignatura no admite turno doble y repite el dia en este grupo","Esta asignatura repite el dia en este grupo sin ser en turnos seguidos")=0,"0",ROUND(IF(EXACT($I54,"no"),"Esta asignatura no admite turno doble y repite el dia en este grupo","Esta asignatura repite el dia en este grupo sin ser en turnos seguidos"),9-INT(LOG10(ABS(IF(EXACT($I54,"no"),"Esta asignatura no admite turno doble y repite el dia en este grupo","Esta asignatura repite el dia en este grupo sin ser en turnos seguidos")))))&amp;""),IF(EXACT($I54,"no"),"Esta asignatura no admite turno doble y repite el dia en este grupo","Esta asignatura repite el dia en este grupo sin ser en turnos seguidos")&amp;""),"")&amp;IF(AND(NOT(($D54="")),EXACT($B54,$K54)),"; "&amp;"Es el dia de preparacion de la asignatura","")&amp;IF(AND(EXACT($D54,"EF"),(IFERROR(VALUE($C54&amp;""),0)&gt;3)),"; "&amp;"Educacion Fisica no puede caer despues del tercer turno","")&amp;IF(AND(NOT(($D54="")),EXACT($J54,"no"),(IFERROR(VALUE($C54&amp;""),0)&gt;6)),"; "&amp;"Esta asignatura no admite turnos de tarde","")&amp;IF(AND(NOT(($D54="")),EXACT($L54,"si"),EXACT($N54,"no")),"; "&amp;"Este profesor esta contratado y no asiste al centro este dia","")&amp;IF(AND(NOT(($D54="")),EXACT($M54,"si"),EXACT($C54,1)),"; "&amp;"Se preferiria no darle el primer turno a un profesor que vive lejos","")&amp;IF(($D54=""),"; "&amp;"Turno sin asignar",""),3,32767)</f>
        <v/>
      </c>
      <c r="Q54" s="3">
        <f>IF(OR(AND(NOT(($D54="")),(SUMPRODUCT(1*((EXACT('Casillas del horario'!$B$4:$B$73,$B54)))*((EXACT('Casillas del horario'!$C$4:$C$73,$C54)))*((EXACT('Casillas del horario'!$F$4:$F$73,$F54)))*((ROW('Casillas del horario'!$A$4:$A$73)&lt;&gt;ROW($A54))))&gt;0)),AND(NOT(($D54="")),(SUMPRODUCT(1*((EXACT('Casillas del horario'!$B$4:$B$73,$B54)))*((EXACT('Casillas del horario'!$C$4:$C$73,$C54)))*((EXACT('Casillas del horario'!$H$4:$H$73,$H54)))*((ROW('Casillas del horario'!$A$4:$A$73)&lt;&gt;ROW($A54))))&gt;0)),EXACT($O54,"si"),AND(NOT(($D54="")),EXACT($B54,$K54)),AND(EXACT($D54,"EF"),(IFERROR(VALUE($C54&amp;""),0)&gt;3)),AND(NOT(($D54="")),EXACT($J54,"no"),(IFERROR(VALUE($C54&amp;""),0)&gt;6)),AND(NOT(($D54="")),EXACT($L54,"si"),EXACT($N54,"no"))),3,IF(OR(AND(NOT(($D54="")),EXACT($M54,"si"),EXACT($C54,1))),2,IF(OR(($D54="")),1,0)))</f>
        <v/>
      </c>
      <c r="R54" s="3">
        <f>$A54&amp;CHAR(31)&amp;$C54&amp;CHAR(31)&amp;$B54</f>
        <v/>
      </c>
      <c r="S54" s="3">
        <f>$F54&amp;CHAR(31)&amp;$C54&amp;CHAR(31)&amp;$B54</f>
        <v/>
      </c>
      <c r="T54" s="3">
        <f>$H54&amp;CHAR(31)&amp;$C54&amp;CHAR(31)&amp;$B54</f>
        <v/>
      </c>
    </row>
    <row r="55">
      <c r="A55" s="3" t="inlineStr">
        <is>
          <t>10-3</t>
        </is>
      </c>
      <c r="B55" s="3" t="inlineStr">
        <is>
          <t>M</t>
        </is>
      </c>
      <c r="C55" s="3" t="n">
        <v>6</v>
      </c>
      <c r="D55" s="4" t="inlineStr">
        <is>
          <t>RD</t>
        </is>
      </c>
      <c r="E55" s="3">
        <f>IF(ISNA(MATCH(1,INDEX(EXACT('Asignaturas'!$A$4:$A$18,$D55)*1,0),0)),"",IF(ISBLANK(INDEX('Asignaturas'!$B$4:$B$18,MATCH(1,INDEX(EXACT('Asignaturas'!$A$4:$A$18,$D55)*1,0),0))),"",INDEX('Asignaturas'!$B$4:$B$18,MATCH(1,INDEX(EXACT('Asignaturas'!$A$4:$A$18,$D55)*1,0),0))))</f>
        <v/>
      </c>
      <c r="F55" s="3">
        <f>IF(ISNA(MATCH(1,INDEX(1*(EXACT('Frecuencias por grupo'!$A$4:$A$33,$A55))*(EXACT('Frecuencias por grupo'!$B$4:$B$33,$D55)),0),0)),"",IF(ISBLANK(INDEX('Frecuencias por grupo'!$C$4:$C$33,MATCH(1,INDEX(1*(EXACT('Frecuencias por grupo'!$A$4:$A$33,$A55))*(EXACT('Frecuencias por grupo'!$B$4:$B$33,$D55)),0),0))),"",INDEX('Frecuencias por grupo'!$C$4:$C$33,MATCH(1,INDEX(1*(EXACT('Frecuencias por grupo'!$A$4:$A$33,$A55))*(EXACT('Frecuencias por grupo'!$B$4:$B$33,$D55)),0),0))))</f>
        <v/>
      </c>
      <c r="G55" s="3">
        <f>IF(ISNA(MATCH(1,INDEX(EXACT('Asignaturas'!$A$4:$A$18,$D55)*1,0),0)),"",IF(ISBLANK(INDEX('Asignaturas'!$G$4:$G$18,MATCH(1,INDEX(EXACT('Asignaturas'!$A$4:$A$18,$D55)*1,0),0))),"",INDEX('Asignaturas'!$G$4:$G$18,MATCH(1,INDEX(EXACT('Asignaturas'!$A$4:$A$18,$D55)*1,0),0))))</f>
        <v/>
      </c>
      <c r="H55" s="3">
        <f>IF(($D55=""),"",IF(($G55=""),("Aula "&amp;IF(ISNUMBER($A55),IF($A55=0,"0",ROUND($A55,9-INT(LOG10(ABS($A55))))&amp;""),$A55&amp;"")),$G55))</f>
        <v/>
      </c>
      <c r="I55" s="3">
        <f>IF(ISNA(MATCH(1,INDEX(EXACT('Asignaturas'!$A$4:$A$18,$D55)*1,0),0)),"no",IF(ISBLANK(INDEX('Asignaturas'!$D$4:$D$18,MATCH(1,INDEX(EXACT('Asignaturas'!$A$4:$A$18,$D55)*1,0),0))),"",INDEX('Asignaturas'!$D$4:$D$18,MATCH(1,INDEX(EXACT('Asignaturas'!$A$4:$A$18,$D55)*1,0),0))))</f>
        <v/>
      </c>
      <c r="J55" s="3">
        <f>IF(ISNA(MATCH(1,INDEX(EXACT('Asignaturas'!$A$4:$A$18,$D55)*1,0),0)),"no",IF(ISBLANK(INDEX('Asignaturas'!$E$4:$E$18,MATCH(1,INDEX(EXACT('Asignaturas'!$A$4:$A$18,$D55)*1,0),0))),"",INDEX('Asignaturas'!$E$4:$E$18,MATCH(1,INDEX(EXACT('Asignaturas'!$A$4:$A$18,$D55)*1,0),0))))</f>
        <v/>
      </c>
      <c r="K55" s="3">
        <f>IF(ISNA(MATCH(1,INDEX(EXACT('Asignaturas'!$A$4:$A$18,$D55)*1,0),0)),"",IF(ISBLANK(INDEX('Asignaturas'!$F$4:$F$18,MATCH(1,INDEX(EXACT('Asignaturas'!$A$4:$A$18,$D55)*1,0),0))),"",INDEX('Asignaturas'!$F$4:$F$18,MATCH(1,INDEX(EXACT('Asignaturas'!$A$4:$A$18,$D55)*1,0),0))))</f>
        <v/>
      </c>
      <c r="L55" s="3">
        <f>IF(ISNA(MATCH(1,INDEX(EXACT('Profesores'!$A$4:$A$33,$F55)*1,0),0)),"no",IF(ISBLANK(INDEX('Profesores'!$B$4:$B$33,MATCH(1,INDEX(EXACT('Profesores'!$A$4:$A$33,$F55)*1,0),0))),"",INDEX('Profesores'!$B$4:$B$33,MATCH(1,INDEX(EXACT('Profesores'!$A$4:$A$33,$F55)*1,0),0))))</f>
        <v/>
      </c>
      <c r="M55" s="3">
        <f>IF(ISNA(MATCH(1,INDEX(EXACT('Profesores'!$A$4:$A$33,$F55)*1,0),0)),"no",IF(ISBLANK(INDEX('Profesores'!$C$4:$C$33,MATCH(1,INDEX(EXACT('Profesores'!$A$4:$A$33,$F55)*1,0),0))),"",INDEX('Profesores'!$C$4:$C$33,MATCH(1,INDEX(EXACT('Profesores'!$A$4:$A$33,$F55)*1,0),0))))</f>
        <v/>
      </c>
      <c r="N55" s="3">
        <f>IF(ISNA(MATCH(1,INDEX(1*((('Dias que asisten los contratado'!$A$4:$A$4&lt;&gt;"")+('Dias que asisten los contratado'!$B$4:$B$4&lt;&gt;""))&gt;0)*(EXACT('Dias que asisten los contratado'!$A$4:$A$4,$F55))*(EXACT('Dias que asisten los contratado'!$B$4:$B$4,$B55)),0),0)),"no",IF(ISBLANK(INDEX('Dias que asisten los contratado'!$C$4:$C$4,MATCH(1,INDEX(1*((('Dias que asisten los contratado'!$A$4:$A$4&lt;&gt;"")+('Dias que asisten los contratado'!$B$4:$B$4&lt;&gt;""))&gt;0)*(EXACT('Dias que asisten los contratado'!$A$4:$A$4,$F55))*(EXACT('Dias que asisten los contratado'!$B$4:$B$4,$B55)),0),0))),"",INDEX('Dias que asisten los contratado'!$C$4:$C$4,MATCH(1,INDEX(1*((('Dias que asisten los contratado'!$A$4:$A$4&lt;&gt;"")+('Dias que asisten los contratado'!$B$4:$B$4&lt;&gt;""))&gt;0)*(EXACT('Dias que asisten los contratado'!$A$4:$A$4,$F55))*(EXACT('Dias que asisten los contratado'!$B$4:$B$4,$B55)),0),0))))</f>
        <v/>
      </c>
      <c r="O55" s="3">
        <f>IF(AND(NOT(($D55="")),(SUMPRODUCT(1*((EXACT('Casillas del horario'!$A$4:$A$73,$A55)))*((EXACT('Casillas del horario'!$B$4:$B$73,$B55)))*((EXACT('Casillas del horario'!$D$4:$D$73,$D55)))*(((((EXACT($I55,"no")))+((NOT(EXACT('Casillas del horario'!$C$4:$C$73,(IFERROR(VALUE($C55&amp;""),0)+1))))*(NOT(EXACT('Casillas del horario'!$C$4:$C$73,(IFERROR(VALUE($C55&amp;""),0)-1))))))&gt;0))*((ROW('Casillas del horario'!$A$4:$A$73)&lt;&gt;ROW($A55))))&gt;0)),"si","no")</f>
        <v/>
      </c>
      <c r="P55" s="3">
        <f>MID(IF(AND(NOT(($D55="")),(SUMPRODUCT(1*((EXACT('Casillas del horario'!$B$4:$B$73,$B55)))*((EXACT('Casillas del horario'!$C$4:$C$73,$C55)))*((EXACT('Casillas del horario'!$F$4:$F$73,$F55)))*((ROW('Casillas del horario'!$A$4:$A$73)&lt;&gt;ROW($A55))))&gt;0)),"; "&amp;"Este profesor ya da clase a otro grupo en este mismo turno","")&amp;IF(AND(NOT(($D55="")),(SUMPRODUCT(1*((EXACT('Casillas del horario'!$B$4:$B$73,$B55)))*((EXACT('Casillas del horario'!$C$4:$C$73,$C55)))*((EXACT('Casillas del horario'!$H$4:$H$73,$H55)))*((ROW('Casillas del horario'!$A$4:$A$73)&lt;&gt;ROW($A55))))&gt;0)),"; "&amp;"Ese local esta ocupado por otro grupo a esa hora","")&amp;IF(EXACT($O55,"si"),"; "&amp;IF(ISNUMBER(IF(EXACT($I55,"no"),"Esta asignatura no admite turno doble y repite el dia en este grupo","Esta asignatura repite el dia en este grupo sin ser en turnos seguidos")),IF(IF(EXACT($I55,"no"),"Esta asignatura no admite turno doble y repite el dia en este grupo","Esta asignatura repite el dia en este grupo sin ser en turnos seguidos")=0,"0",ROUND(IF(EXACT($I55,"no"),"Esta asignatura no admite turno doble y repite el dia en este grupo","Esta asignatura repite el dia en este grupo sin ser en turnos seguidos"),9-INT(LOG10(ABS(IF(EXACT($I55,"no"),"Esta asignatura no admite turno doble y repite el dia en este grupo","Esta asignatura repite el dia en este grupo sin ser en turnos seguidos")))))&amp;""),IF(EXACT($I55,"no"),"Esta asignatura no admite turno doble y repite el dia en este grupo","Esta asignatura repite el dia en este grupo sin ser en turnos seguidos")&amp;""),"")&amp;IF(AND(NOT(($D55="")),EXACT($B55,$K55)),"; "&amp;"Es el dia de preparacion de la asignatura","")&amp;IF(AND(EXACT($D55,"EF"),(IFERROR(VALUE($C55&amp;""),0)&gt;3)),"; "&amp;"Educacion Fisica no puede caer despues del tercer turno","")&amp;IF(AND(NOT(($D55="")),EXACT($J55,"no"),(IFERROR(VALUE($C55&amp;""),0)&gt;6)),"; "&amp;"Esta asignatura no admite turnos de tarde","")&amp;IF(AND(NOT(($D55="")),EXACT($L55,"si"),EXACT($N55,"no")),"; "&amp;"Este profesor esta contratado y no asiste al centro este dia","")&amp;IF(AND(NOT(($D55="")),EXACT($M55,"si"),EXACT($C55,1)),"; "&amp;"Se preferiria no darle el primer turno a un profesor que vive lejos","")&amp;IF(($D55=""),"; "&amp;"Turno sin asignar",""),3,32767)</f>
        <v/>
      </c>
      <c r="Q55" s="3">
        <f>IF(OR(AND(NOT(($D55="")),(SUMPRODUCT(1*((EXACT('Casillas del horario'!$B$4:$B$73,$B55)))*((EXACT('Casillas del horario'!$C$4:$C$73,$C55)))*((EXACT('Casillas del horario'!$F$4:$F$73,$F55)))*((ROW('Casillas del horario'!$A$4:$A$73)&lt;&gt;ROW($A55))))&gt;0)),AND(NOT(($D55="")),(SUMPRODUCT(1*((EXACT('Casillas del horario'!$B$4:$B$73,$B55)))*((EXACT('Casillas del horario'!$C$4:$C$73,$C55)))*((EXACT('Casillas del horario'!$H$4:$H$73,$H55)))*((ROW('Casillas del horario'!$A$4:$A$73)&lt;&gt;ROW($A55))))&gt;0)),EXACT($O55,"si"),AND(NOT(($D55="")),EXACT($B55,$K55)),AND(EXACT($D55,"EF"),(IFERROR(VALUE($C55&amp;""),0)&gt;3)),AND(NOT(($D55="")),EXACT($J55,"no"),(IFERROR(VALUE($C55&amp;""),0)&gt;6)),AND(NOT(($D55="")),EXACT($L55,"si"),EXACT($N55,"no"))),3,IF(OR(AND(NOT(($D55="")),EXACT($M55,"si"),EXACT($C55,1))),2,IF(OR(($D55="")),1,0)))</f>
        <v/>
      </c>
      <c r="R55" s="3">
        <f>$A55&amp;CHAR(31)&amp;$C55&amp;CHAR(31)&amp;$B55</f>
        <v/>
      </c>
      <c r="S55" s="3">
        <f>$F55&amp;CHAR(31)&amp;$C55&amp;CHAR(31)&amp;$B55</f>
        <v/>
      </c>
      <c r="T55" s="3">
        <f>$H55&amp;CHAR(31)&amp;$C55&amp;CHAR(31)&amp;$B55</f>
        <v/>
      </c>
    </row>
    <row r="56">
      <c r="A56" s="3" t="inlineStr">
        <is>
          <t>10-3</t>
        </is>
      </c>
      <c r="B56" s="3" t="inlineStr">
        <is>
          <t>MI</t>
        </is>
      </c>
      <c r="C56" s="3" t="n">
        <v>6</v>
      </c>
      <c r="D56" s="4" t="inlineStr">
        <is>
          <t>F</t>
        </is>
      </c>
      <c r="E56" s="3">
        <f>IF(ISNA(MATCH(1,INDEX(EXACT('Asignaturas'!$A$4:$A$18,$D56)*1,0),0)),"",IF(ISBLANK(INDEX('Asignaturas'!$B$4:$B$18,MATCH(1,INDEX(EXACT('Asignaturas'!$A$4:$A$18,$D56)*1,0),0))),"",INDEX('Asignaturas'!$B$4:$B$18,MATCH(1,INDEX(EXACT('Asignaturas'!$A$4:$A$18,$D56)*1,0),0))))</f>
        <v/>
      </c>
      <c r="F56" s="3">
        <f>IF(ISNA(MATCH(1,INDEX(1*(EXACT('Frecuencias por grupo'!$A$4:$A$33,$A56))*(EXACT('Frecuencias por grupo'!$B$4:$B$33,$D56)),0),0)),"",IF(ISBLANK(INDEX('Frecuencias por grupo'!$C$4:$C$33,MATCH(1,INDEX(1*(EXACT('Frecuencias por grupo'!$A$4:$A$33,$A56))*(EXACT('Frecuencias por grupo'!$B$4:$B$33,$D56)),0),0))),"",INDEX('Frecuencias por grupo'!$C$4:$C$33,MATCH(1,INDEX(1*(EXACT('Frecuencias por grupo'!$A$4:$A$33,$A56))*(EXACT('Frecuencias por grupo'!$B$4:$B$33,$D56)),0),0))))</f>
        <v/>
      </c>
      <c r="G56" s="3">
        <f>IF(ISNA(MATCH(1,INDEX(EXACT('Asignaturas'!$A$4:$A$18,$D56)*1,0),0)),"",IF(ISBLANK(INDEX('Asignaturas'!$G$4:$G$18,MATCH(1,INDEX(EXACT('Asignaturas'!$A$4:$A$18,$D56)*1,0),0))),"",INDEX('Asignaturas'!$G$4:$G$18,MATCH(1,INDEX(EXACT('Asignaturas'!$A$4:$A$18,$D56)*1,0),0))))</f>
        <v/>
      </c>
      <c r="H56" s="3">
        <f>IF(($D56=""),"",IF(($G56=""),("Aula "&amp;IF(ISNUMBER($A56),IF($A56=0,"0",ROUND($A56,9-INT(LOG10(ABS($A56))))&amp;""),$A56&amp;"")),$G56))</f>
        <v/>
      </c>
      <c r="I56" s="3">
        <f>IF(ISNA(MATCH(1,INDEX(EXACT('Asignaturas'!$A$4:$A$18,$D56)*1,0),0)),"no",IF(ISBLANK(INDEX('Asignaturas'!$D$4:$D$18,MATCH(1,INDEX(EXACT('Asignaturas'!$A$4:$A$18,$D56)*1,0),0))),"",INDEX('Asignaturas'!$D$4:$D$18,MATCH(1,INDEX(EXACT('Asignaturas'!$A$4:$A$18,$D56)*1,0),0))))</f>
        <v/>
      </c>
      <c r="J56" s="3">
        <f>IF(ISNA(MATCH(1,INDEX(EXACT('Asignaturas'!$A$4:$A$18,$D56)*1,0),0)),"no",IF(ISBLANK(INDEX('Asignaturas'!$E$4:$E$18,MATCH(1,INDEX(EXACT('Asignaturas'!$A$4:$A$18,$D56)*1,0),0))),"",INDEX('Asignaturas'!$E$4:$E$18,MATCH(1,INDEX(EXACT('Asignaturas'!$A$4:$A$18,$D56)*1,0),0))))</f>
        <v/>
      </c>
      <c r="K56" s="3">
        <f>IF(ISNA(MATCH(1,INDEX(EXACT('Asignaturas'!$A$4:$A$18,$D56)*1,0),0)),"",IF(ISBLANK(INDEX('Asignaturas'!$F$4:$F$18,MATCH(1,INDEX(EXACT('Asignaturas'!$A$4:$A$18,$D56)*1,0),0))),"",INDEX('Asignaturas'!$F$4:$F$18,MATCH(1,INDEX(EXACT('Asignaturas'!$A$4:$A$18,$D56)*1,0),0))))</f>
        <v/>
      </c>
      <c r="L56" s="3">
        <f>IF(ISNA(MATCH(1,INDEX(EXACT('Profesores'!$A$4:$A$33,$F56)*1,0),0)),"no",IF(ISBLANK(INDEX('Profesores'!$B$4:$B$33,MATCH(1,INDEX(EXACT('Profesores'!$A$4:$A$33,$F56)*1,0),0))),"",INDEX('Profesores'!$B$4:$B$33,MATCH(1,INDEX(EXACT('Profesores'!$A$4:$A$33,$F56)*1,0),0))))</f>
        <v/>
      </c>
      <c r="M56" s="3">
        <f>IF(ISNA(MATCH(1,INDEX(EXACT('Profesores'!$A$4:$A$33,$F56)*1,0),0)),"no",IF(ISBLANK(INDEX('Profesores'!$C$4:$C$33,MATCH(1,INDEX(EXACT('Profesores'!$A$4:$A$33,$F56)*1,0),0))),"",INDEX('Profesores'!$C$4:$C$33,MATCH(1,INDEX(EXACT('Profesores'!$A$4:$A$33,$F56)*1,0),0))))</f>
        <v/>
      </c>
      <c r="N56" s="3">
        <f>IF(ISNA(MATCH(1,INDEX(1*((('Dias que asisten los contratado'!$A$4:$A$4&lt;&gt;"")+('Dias que asisten los contratado'!$B$4:$B$4&lt;&gt;""))&gt;0)*(EXACT('Dias que asisten los contratado'!$A$4:$A$4,$F56))*(EXACT('Dias que asisten los contratado'!$B$4:$B$4,$B56)),0),0)),"no",IF(ISBLANK(INDEX('Dias que asisten los contratado'!$C$4:$C$4,MATCH(1,INDEX(1*((('Dias que asisten los contratado'!$A$4:$A$4&lt;&gt;"")+('Dias que asisten los contratado'!$B$4:$B$4&lt;&gt;""))&gt;0)*(EXACT('Dias que asisten los contratado'!$A$4:$A$4,$F56))*(EXACT('Dias que asisten los contratado'!$B$4:$B$4,$B56)),0),0))),"",INDEX('Dias que asisten los contratado'!$C$4:$C$4,MATCH(1,INDEX(1*((('Dias que asisten los contratado'!$A$4:$A$4&lt;&gt;"")+('Dias que asisten los contratado'!$B$4:$B$4&lt;&gt;""))&gt;0)*(EXACT('Dias que asisten los contratado'!$A$4:$A$4,$F56))*(EXACT('Dias que asisten los contratado'!$B$4:$B$4,$B56)),0),0))))</f>
        <v/>
      </c>
      <c r="O56" s="3">
        <f>IF(AND(NOT(($D56="")),(SUMPRODUCT(1*((EXACT('Casillas del horario'!$A$4:$A$73,$A56)))*((EXACT('Casillas del horario'!$B$4:$B$73,$B56)))*((EXACT('Casillas del horario'!$D$4:$D$73,$D56)))*(((((EXACT($I56,"no")))+((NOT(EXACT('Casillas del horario'!$C$4:$C$73,(IFERROR(VALUE($C56&amp;""),0)+1))))*(NOT(EXACT('Casillas del horario'!$C$4:$C$73,(IFERROR(VALUE($C56&amp;""),0)-1))))))&gt;0))*((ROW('Casillas del horario'!$A$4:$A$73)&lt;&gt;ROW($A56))))&gt;0)),"si","no")</f>
        <v/>
      </c>
      <c r="P56" s="3">
        <f>MID(IF(AND(NOT(($D56="")),(SUMPRODUCT(1*((EXACT('Casillas del horario'!$B$4:$B$73,$B56)))*((EXACT('Casillas del horario'!$C$4:$C$73,$C56)))*((EXACT('Casillas del horario'!$F$4:$F$73,$F56)))*((ROW('Casillas del horario'!$A$4:$A$73)&lt;&gt;ROW($A56))))&gt;0)),"; "&amp;"Este profesor ya da clase a otro grupo en este mismo turno","")&amp;IF(AND(NOT(($D56="")),(SUMPRODUCT(1*((EXACT('Casillas del horario'!$B$4:$B$73,$B56)))*((EXACT('Casillas del horario'!$C$4:$C$73,$C56)))*((EXACT('Casillas del horario'!$H$4:$H$73,$H56)))*((ROW('Casillas del horario'!$A$4:$A$73)&lt;&gt;ROW($A56))))&gt;0)),"; "&amp;"Ese local esta ocupado por otro grupo a esa hora","")&amp;IF(EXACT($O56,"si"),"; "&amp;IF(ISNUMBER(IF(EXACT($I56,"no"),"Esta asignatura no admite turno doble y repite el dia en este grupo","Esta asignatura repite el dia en este grupo sin ser en turnos seguidos")),IF(IF(EXACT($I56,"no"),"Esta asignatura no admite turno doble y repite el dia en este grupo","Esta asignatura repite el dia en este grupo sin ser en turnos seguidos")=0,"0",ROUND(IF(EXACT($I56,"no"),"Esta asignatura no admite turno doble y repite el dia en este grupo","Esta asignatura repite el dia en este grupo sin ser en turnos seguidos"),9-INT(LOG10(ABS(IF(EXACT($I56,"no"),"Esta asignatura no admite turno doble y repite el dia en este grupo","Esta asignatura repite el dia en este grupo sin ser en turnos seguidos")))))&amp;""),IF(EXACT($I56,"no"),"Esta asignatura no admite turno doble y repite el dia en este grupo","Esta asignatura repite el dia en este grupo sin ser en turnos seguidos")&amp;""),"")&amp;IF(AND(NOT(($D56="")),EXACT($B56,$K56)),"; "&amp;"Es el dia de preparacion de la asignatura","")&amp;IF(AND(EXACT($D56,"EF"),(IFERROR(VALUE($C56&amp;""),0)&gt;3)),"; "&amp;"Educacion Fisica no puede caer despues del tercer turno","")&amp;IF(AND(NOT(($D56="")),EXACT($J56,"no"),(IFERROR(VALUE($C56&amp;""),0)&gt;6)),"; "&amp;"Esta asignatura no admite turnos de tarde","")&amp;IF(AND(NOT(($D56="")),EXACT($L56,"si"),EXACT($N56,"no")),"; "&amp;"Este profesor esta contratado y no asiste al centro este dia","")&amp;IF(AND(NOT(($D56="")),EXACT($M56,"si"),EXACT($C56,1)),"; "&amp;"Se preferiria no darle el primer turno a un profesor que vive lejos","")&amp;IF(($D56=""),"; "&amp;"Turno sin asignar",""),3,32767)</f>
        <v/>
      </c>
      <c r="Q56" s="3">
        <f>IF(OR(AND(NOT(($D56="")),(SUMPRODUCT(1*((EXACT('Casillas del horario'!$B$4:$B$73,$B56)))*((EXACT('Casillas del horario'!$C$4:$C$73,$C56)))*((EXACT('Casillas del horario'!$F$4:$F$73,$F56)))*((ROW('Casillas del horario'!$A$4:$A$73)&lt;&gt;ROW($A56))))&gt;0)),AND(NOT(($D56="")),(SUMPRODUCT(1*((EXACT('Casillas del horario'!$B$4:$B$73,$B56)))*((EXACT('Casillas del horario'!$C$4:$C$73,$C56)))*((EXACT('Casillas del horario'!$H$4:$H$73,$H56)))*((ROW('Casillas del horario'!$A$4:$A$73)&lt;&gt;ROW($A56))))&gt;0)),EXACT($O56,"si"),AND(NOT(($D56="")),EXACT($B56,$K56)),AND(EXACT($D56,"EF"),(IFERROR(VALUE($C56&amp;""),0)&gt;3)),AND(NOT(($D56="")),EXACT($J56,"no"),(IFERROR(VALUE($C56&amp;""),0)&gt;6)),AND(NOT(($D56="")),EXACT($L56,"si"),EXACT($N56,"no"))),3,IF(OR(AND(NOT(($D56="")),EXACT($M56,"si"),EXACT($C56,1))),2,IF(OR(($D56="")),1,0)))</f>
        <v/>
      </c>
      <c r="R56" s="3">
        <f>$A56&amp;CHAR(31)&amp;$C56&amp;CHAR(31)&amp;$B56</f>
        <v/>
      </c>
      <c r="S56" s="3">
        <f>$F56&amp;CHAR(31)&amp;$C56&amp;CHAR(31)&amp;$B56</f>
        <v/>
      </c>
      <c r="T56" s="3">
        <f>$H56&amp;CHAR(31)&amp;$C56&amp;CHAR(31)&amp;$B56</f>
        <v/>
      </c>
    </row>
    <row r="57">
      <c r="A57" s="3" t="inlineStr">
        <is>
          <t>10-3</t>
        </is>
      </c>
      <c r="B57" s="3" t="inlineStr">
        <is>
          <t>J</t>
        </is>
      </c>
      <c r="C57" s="3" t="n">
        <v>6</v>
      </c>
      <c r="D57" s="4" t="inlineStr">
        <is>
          <t>H</t>
        </is>
      </c>
      <c r="E57" s="3">
        <f>IF(ISNA(MATCH(1,INDEX(EXACT('Asignaturas'!$A$4:$A$18,$D57)*1,0),0)),"",IF(ISBLANK(INDEX('Asignaturas'!$B$4:$B$18,MATCH(1,INDEX(EXACT('Asignaturas'!$A$4:$A$18,$D57)*1,0),0))),"",INDEX('Asignaturas'!$B$4:$B$18,MATCH(1,INDEX(EXACT('Asignaturas'!$A$4:$A$18,$D57)*1,0),0))))</f>
        <v/>
      </c>
      <c r="F57" s="3">
        <f>IF(ISNA(MATCH(1,INDEX(1*(EXACT('Frecuencias por grupo'!$A$4:$A$33,$A57))*(EXACT('Frecuencias por grupo'!$B$4:$B$33,$D57)),0),0)),"",IF(ISBLANK(INDEX('Frecuencias por grupo'!$C$4:$C$33,MATCH(1,INDEX(1*(EXACT('Frecuencias por grupo'!$A$4:$A$33,$A57))*(EXACT('Frecuencias por grupo'!$B$4:$B$33,$D57)),0),0))),"",INDEX('Frecuencias por grupo'!$C$4:$C$33,MATCH(1,INDEX(1*(EXACT('Frecuencias por grupo'!$A$4:$A$33,$A57))*(EXACT('Frecuencias por grupo'!$B$4:$B$33,$D57)),0),0))))</f>
        <v/>
      </c>
      <c r="G57" s="3">
        <f>IF(ISNA(MATCH(1,INDEX(EXACT('Asignaturas'!$A$4:$A$18,$D57)*1,0),0)),"",IF(ISBLANK(INDEX('Asignaturas'!$G$4:$G$18,MATCH(1,INDEX(EXACT('Asignaturas'!$A$4:$A$18,$D57)*1,0),0))),"",INDEX('Asignaturas'!$G$4:$G$18,MATCH(1,INDEX(EXACT('Asignaturas'!$A$4:$A$18,$D57)*1,0),0))))</f>
        <v/>
      </c>
      <c r="H57" s="3">
        <f>IF(($D57=""),"",IF(($G57=""),("Aula "&amp;IF(ISNUMBER($A57),IF($A57=0,"0",ROUND($A57,9-INT(LOG10(ABS($A57))))&amp;""),$A57&amp;"")),$G57))</f>
        <v/>
      </c>
      <c r="I57" s="3">
        <f>IF(ISNA(MATCH(1,INDEX(EXACT('Asignaturas'!$A$4:$A$18,$D57)*1,0),0)),"no",IF(ISBLANK(INDEX('Asignaturas'!$D$4:$D$18,MATCH(1,INDEX(EXACT('Asignaturas'!$A$4:$A$18,$D57)*1,0),0))),"",INDEX('Asignaturas'!$D$4:$D$18,MATCH(1,INDEX(EXACT('Asignaturas'!$A$4:$A$18,$D57)*1,0),0))))</f>
        <v/>
      </c>
      <c r="J57" s="3">
        <f>IF(ISNA(MATCH(1,INDEX(EXACT('Asignaturas'!$A$4:$A$18,$D57)*1,0),0)),"no",IF(ISBLANK(INDEX('Asignaturas'!$E$4:$E$18,MATCH(1,INDEX(EXACT('Asignaturas'!$A$4:$A$18,$D57)*1,0),0))),"",INDEX('Asignaturas'!$E$4:$E$18,MATCH(1,INDEX(EXACT('Asignaturas'!$A$4:$A$18,$D57)*1,0),0))))</f>
        <v/>
      </c>
      <c r="K57" s="3">
        <f>IF(ISNA(MATCH(1,INDEX(EXACT('Asignaturas'!$A$4:$A$18,$D57)*1,0),0)),"",IF(ISBLANK(INDEX('Asignaturas'!$F$4:$F$18,MATCH(1,INDEX(EXACT('Asignaturas'!$A$4:$A$18,$D57)*1,0),0))),"",INDEX('Asignaturas'!$F$4:$F$18,MATCH(1,INDEX(EXACT('Asignaturas'!$A$4:$A$18,$D57)*1,0),0))))</f>
        <v/>
      </c>
      <c r="L57" s="3">
        <f>IF(ISNA(MATCH(1,INDEX(EXACT('Profesores'!$A$4:$A$33,$F57)*1,0),0)),"no",IF(ISBLANK(INDEX('Profesores'!$B$4:$B$33,MATCH(1,INDEX(EXACT('Profesores'!$A$4:$A$33,$F57)*1,0),0))),"",INDEX('Profesores'!$B$4:$B$33,MATCH(1,INDEX(EXACT('Profesores'!$A$4:$A$33,$F57)*1,0),0))))</f>
        <v/>
      </c>
      <c r="M57" s="3">
        <f>IF(ISNA(MATCH(1,INDEX(EXACT('Profesores'!$A$4:$A$33,$F57)*1,0),0)),"no",IF(ISBLANK(INDEX('Profesores'!$C$4:$C$33,MATCH(1,INDEX(EXACT('Profesores'!$A$4:$A$33,$F57)*1,0),0))),"",INDEX('Profesores'!$C$4:$C$33,MATCH(1,INDEX(EXACT('Profesores'!$A$4:$A$33,$F57)*1,0),0))))</f>
        <v/>
      </c>
      <c r="N57" s="3">
        <f>IF(ISNA(MATCH(1,INDEX(1*((('Dias que asisten los contratado'!$A$4:$A$4&lt;&gt;"")+('Dias que asisten los contratado'!$B$4:$B$4&lt;&gt;""))&gt;0)*(EXACT('Dias que asisten los contratado'!$A$4:$A$4,$F57))*(EXACT('Dias que asisten los contratado'!$B$4:$B$4,$B57)),0),0)),"no",IF(ISBLANK(INDEX('Dias que asisten los contratado'!$C$4:$C$4,MATCH(1,INDEX(1*((('Dias que asisten los contratado'!$A$4:$A$4&lt;&gt;"")+('Dias que asisten los contratado'!$B$4:$B$4&lt;&gt;""))&gt;0)*(EXACT('Dias que asisten los contratado'!$A$4:$A$4,$F57))*(EXACT('Dias que asisten los contratado'!$B$4:$B$4,$B57)),0),0))),"",INDEX('Dias que asisten los contratado'!$C$4:$C$4,MATCH(1,INDEX(1*((('Dias que asisten los contratado'!$A$4:$A$4&lt;&gt;"")+('Dias que asisten los contratado'!$B$4:$B$4&lt;&gt;""))&gt;0)*(EXACT('Dias que asisten los contratado'!$A$4:$A$4,$F57))*(EXACT('Dias que asisten los contratado'!$B$4:$B$4,$B57)),0),0))))</f>
        <v/>
      </c>
      <c r="O57" s="3">
        <f>IF(AND(NOT(($D57="")),(SUMPRODUCT(1*((EXACT('Casillas del horario'!$A$4:$A$73,$A57)))*((EXACT('Casillas del horario'!$B$4:$B$73,$B57)))*((EXACT('Casillas del horario'!$D$4:$D$73,$D57)))*(((((EXACT($I57,"no")))+((NOT(EXACT('Casillas del horario'!$C$4:$C$73,(IFERROR(VALUE($C57&amp;""),0)+1))))*(NOT(EXACT('Casillas del horario'!$C$4:$C$73,(IFERROR(VALUE($C57&amp;""),0)-1))))))&gt;0))*((ROW('Casillas del horario'!$A$4:$A$73)&lt;&gt;ROW($A57))))&gt;0)),"si","no")</f>
        <v/>
      </c>
      <c r="P57" s="3">
        <f>MID(IF(AND(NOT(($D57="")),(SUMPRODUCT(1*((EXACT('Casillas del horario'!$B$4:$B$73,$B57)))*((EXACT('Casillas del horario'!$C$4:$C$73,$C57)))*((EXACT('Casillas del horario'!$F$4:$F$73,$F57)))*((ROW('Casillas del horario'!$A$4:$A$73)&lt;&gt;ROW($A57))))&gt;0)),"; "&amp;"Este profesor ya da clase a otro grupo en este mismo turno","")&amp;IF(AND(NOT(($D57="")),(SUMPRODUCT(1*((EXACT('Casillas del horario'!$B$4:$B$73,$B57)))*((EXACT('Casillas del horario'!$C$4:$C$73,$C57)))*((EXACT('Casillas del horario'!$H$4:$H$73,$H57)))*((ROW('Casillas del horario'!$A$4:$A$73)&lt;&gt;ROW($A57))))&gt;0)),"; "&amp;"Ese local esta ocupado por otro grupo a esa hora","")&amp;IF(EXACT($O57,"si"),"; "&amp;IF(ISNUMBER(IF(EXACT($I57,"no"),"Esta asignatura no admite turno doble y repite el dia en este grupo","Esta asignatura repite el dia en este grupo sin ser en turnos seguidos")),IF(IF(EXACT($I57,"no"),"Esta asignatura no admite turno doble y repite el dia en este grupo","Esta asignatura repite el dia en este grupo sin ser en turnos seguidos")=0,"0",ROUND(IF(EXACT($I57,"no"),"Esta asignatura no admite turno doble y repite el dia en este grupo","Esta asignatura repite el dia en este grupo sin ser en turnos seguidos"),9-INT(LOG10(ABS(IF(EXACT($I57,"no"),"Esta asignatura no admite turno doble y repite el dia en este grupo","Esta asignatura repite el dia en este grupo sin ser en turnos seguidos")))))&amp;""),IF(EXACT($I57,"no"),"Esta asignatura no admite turno doble y repite el dia en este grupo","Esta asignatura repite el dia en este grupo sin ser en turnos seguidos")&amp;""),"")&amp;IF(AND(NOT(($D57="")),EXACT($B57,$K57)),"; "&amp;"Es el dia de preparacion de la asignatura","")&amp;IF(AND(EXACT($D57,"EF"),(IFERROR(VALUE($C57&amp;""),0)&gt;3)),"; "&amp;"Educacion Fisica no puede caer despues del tercer turno","")&amp;IF(AND(NOT(($D57="")),EXACT($J57,"no"),(IFERROR(VALUE($C57&amp;""),0)&gt;6)),"; "&amp;"Esta asignatura no admite turnos de tarde","")&amp;IF(AND(NOT(($D57="")),EXACT($L57,"si"),EXACT($N57,"no")),"; "&amp;"Este profesor esta contratado y no asiste al centro este dia","")&amp;IF(AND(NOT(($D57="")),EXACT($M57,"si"),EXACT($C57,1)),"; "&amp;"Se preferiria no darle el primer turno a un profesor que vive lejos","")&amp;IF(($D57=""),"; "&amp;"Turno sin asignar",""),3,32767)</f>
        <v/>
      </c>
      <c r="Q57" s="3">
        <f>IF(OR(AND(NOT(($D57="")),(SUMPRODUCT(1*((EXACT('Casillas del horario'!$B$4:$B$73,$B57)))*((EXACT('Casillas del horario'!$C$4:$C$73,$C57)))*((EXACT('Casillas del horario'!$F$4:$F$73,$F57)))*((ROW('Casillas del horario'!$A$4:$A$73)&lt;&gt;ROW($A57))))&gt;0)),AND(NOT(($D57="")),(SUMPRODUCT(1*((EXACT('Casillas del horario'!$B$4:$B$73,$B57)))*((EXACT('Casillas del horario'!$C$4:$C$73,$C57)))*((EXACT('Casillas del horario'!$H$4:$H$73,$H57)))*((ROW('Casillas del horario'!$A$4:$A$73)&lt;&gt;ROW($A57))))&gt;0)),EXACT($O57,"si"),AND(NOT(($D57="")),EXACT($B57,$K57)),AND(EXACT($D57,"EF"),(IFERROR(VALUE($C57&amp;""),0)&gt;3)),AND(NOT(($D57="")),EXACT($J57,"no"),(IFERROR(VALUE($C57&amp;""),0)&gt;6)),AND(NOT(($D57="")),EXACT($L57,"si"),EXACT($N57,"no"))),3,IF(OR(AND(NOT(($D57="")),EXACT($M57,"si"),EXACT($C57,1))),2,IF(OR(($D57="")),1,0)))</f>
        <v/>
      </c>
      <c r="R57" s="3">
        <f>$A57&amp;CHAR(31)&amp;$C57&amp;CHAR(31)&amp;$B57</f>
        <v/>
      </c>
      <c r="S57" s="3">
        <f>$F57&amp;CHAR(31)&amp;$C57&amp;CHAR(31)&amp;$B57</f>
        <v/>
      </c>
      <c r="T57" s="3">
        <f>$H57&amp;CHAR(31)&amp;$C57&amp;CHAR(31)&amp;$B57</f>
        <v/>
      </c>
    </row>
    <row r="58">
      <c r="A58" s="3" t="inlineStr">
        <is>
          <t>10-3</t>
        </is>
      </c>
      <c r="B58" s="3" t="inlineStr">
        <is>
          <t>V</t>
        </is>
      </c>
      <c r="C58" s="3" t="n">
        <v>6</v>
      </c>
      <c r="D58" s="4" t="inlineStr">
        <is>
          <t>M</t>
        </is>
      </c>
      <c r="E58" s="3">
        <f>IF(ISNA(MATCH(1,INDEX(EXACT('Asignaturas'!$A$4:$A$18,$D58)*1,0),0)),"",IF(ISBLANK(INDEX('Asignaturas'!$B$4:$B$18,MATCH(1,INDEX(EXACT('Asignaturas'!$A$4:$A$18,$D58)*1,0),0))),"",INDEX('Asignaturas'!$B$4:$B$18,MATCH(1,INDEX(EXACT('Asignaturas'!$A$4:$A$18,$D58)*1,0),0))))</f>
        <v/>
      </c>
      <c r="F58" s="3">
        <f>IF(ISNA(MATCH(1,INDEX(1*(EXACT('Frecuencias por grupo'!$A$4:$A$33,$A58))*(EXACT('Frecuencias por grupo'!$B$4:$B$33,$D58)),0),0)),"",IF(ISBLANK(INDEX('Frecuencias por grupo'!$C$4:$C$33,MATCH(1,INDEX(1*(EXACT('Frecuencias por grupo'!$A$4:$A$33,$A58))*(EXACT('Frecuencias por grupo'!$B$4:$B$33,$D58)),0),0))),"",INDEX('Frecuencias por grupo'!$C$4:$C$33,MATCH(1,INDEX(1*(EXACT('Frecuencias por grupo'!$A$4:$A$33,$A58))*(EXACT('Frecuencias por grupo'!$B$4:$B$33,$D58)),0),0))))</f>
        <v/>
      </c>
      <c r="G58" s="3">
        <f>IF(ISNA(MATCH(1,INDEX(EXACT('Asignaturas'!$A$4:$A$18,$D58)*1,0),0)),"",IF(ISBLANK(INDEX('Asignaturas'!$G$4:$G$18,MATCH(1,INDEX(EXACT('Asignaturas'!$A$4:$A$18,$D58)*1,0),0))),"",INDEX('Asignaturas'!$G$4:$G$18,MATCH(1,INDEX(EXACT('Asignaturas'!$A$4:$A$18,$D58)*1,0),0))))</f>
        <v/>
      </c>
      <c r="H58" s="3">
        <f>IF(($D58=""),"",IF(($G58=""),("Aula "&amp;IF(ISNUMBER($A58),IF($A58=0,"0",ROUND($A58,9-INT(LOG10(ABS($A58))))&amp;""),$A58&amp;"")),$G58))</f>
        <v/>
      </c>
      <c r="I58" s="3">
        <f>IF(ISNA(MATCH(1,INDEX(EXACT('Asignaturas'!$A$4:$A$18,$D58)*1,0),0)),"no",IF(ISBLANK(INDEX('Asignaturas'!$D$4:$D$18,MATCH(1,INDEX(EXACT('Asignaturas'!$A$4:$A$18,$D58)*1,0),0))),"",INDEX('Asignaturas'!$D$4:$D$18,MATCH(1,INDEX(EXACT('Asignaturas'!$A$4:$A$18,$D58)*1,0),0))))</f>
        <v/>
      </c>
      <c r="J58" s="3">
        <f>IF(ISNA(MATCH(1,INDEX(EXACT('Asignaturas'!$A$4:$A$18,$D58)*1,0),0)),"no",IF(ISBLANK(INDEX('Asignaturas'!$E$4:$E$18,MATCH(1,INDEX(EXACT('Asignaturas'!$A$4:$A$18,$D58)*1,0),0))),"",INDEX('Asignaturas'!$E$4:$E$18,MATCH(1,INDEX(EXACT('Asignaturas'!$A$4:$A$18,$D58)*1,0),0))))</f>
        <v/>
      </c>
      <c r="K58" s="3">
        <f>IF(ISNA(MATCH(1,INDEX(EXACT('Asignaturas'!$A$4:$A$18,$D58)*1,0),0)),"",IF(ISBLANK(INDEX('Asignaturas'!$F$4:$F$18,MATCH(1,INDEX(EXACT('Asignaturas'!$A$4:$A$18,$D58)*1,0),0))),"",INDEX('Asignaturas'!$F$4:$F$18,MATCH(1,INDEX(EXACT('Asignaturas'!$A$4:$A$18,$D58)*1,0),0))))</f>
        <v/>
      </c>
      <c r="L58" s="3">
        <f>IF(ISNA(MATCH(1,INDEX(EXACT('Profesores'!$A$4:$A$33,$F58)*1,0),0)),"no",IF(ISBLANK(INDEX('Profesores'!$B$4:$B$33,MATCH(1,INDEX(EXACT('Profesores'!$A$4:$A$33,$F58)*1,0),0))),"",INDEX('Profesores'!$B$4:$B$33,MATCH(1,INDEX(EXACT('Profesores'!$A$4:$A$33,$F58)*1,0),0))))</f>
        <v/>
      </c>
      <c r="M58" s="3">
        <f>IF(ISNA(MATCH(1,INDEX(EXACT('Profesores'!$A$4:$A$33,$F58)*1,0),0)),"no",IF(ISBLANK(INDEX('Profesores'!$C$4:$C$33,MATCH(1,INDEX(EXACT('Profesores'!$A$4:$A$33,$F58)*1,0),0))),"",INDEX('Profesores'!$C$4:$C$33,MATCH(1,INDEX(EXACT('Profesores'!$A$4:$A$33,$F58)*1,0),0))))</f>
        <v/>
      </c>
      <c r="N58" s="3">
        <f>IF(ISNA(MATCH(1,INDEX(1*((('Dias que asisten los contratado'!$A$4:$A$4&lt;&gt;"")+('Dias que asisten los contratado'!$B$4:$B$4&lt;&gt;""))&gt;0)*(EXACT('Dias que asisten los contratado'!$A$4:$A$4,$F58))*(EXACT('Dias que asisten los contratado'!$B$4:$B$4,$B58)),0),0)),"no",IF(ISBLANK(INDEX('Dias que asisten los contratado'!$C$4:$C$4,MATCH(1,INDEX(1*((('Dias que asisten los contratado'!$A$4:$A$4&lt;&gt;"")+('Dias que asisten los contratado'!$B$4:$B$4&lt;&gt;""))&gt;0)*(EXACT('Dias que asisten los contratado'!$A$4:$A$4,$F58))*(EXACT('Dias que asisten los contratado'!$B$4:$B$4,$B58)),0),0))),"",INDEX('Dias que asisten los contratado'!$C$4:$C$4,MATCH(1,INDEX(1*((('Dias que asisten los contratado'!$A$4:$A$4&lt;&gt;"")+('Dias que asisten los contratado'!$B$4:$B$4&lt;&gt;""))&gt;0)*(EXACT('Dias que asisten los contratado'!$A$4:$A$4,$F58))*(EXACT('Dias que asisten los contratado'!$B$4:$B$4,$B58)),0),0))))</f>
        <v/>
      </c>
      <c r="O58" s="3">
        <f>IF(AND(NOT(($D58="")),(SUMPRODUCT(1*((EXACT('Casillas del horario'!$A$4:$A$73,$A58)))*((EXACT('Casillas del horario'!$B$4:$B$73,$B58)))*((EXACT('Casillas del horario'!$D$4:$D$73,$D58)))*(((((EXACT($I58,"no")))+((NOT(EXACT('Casillas del horario'!$C$4:$C$73,(IFERROR(VALUE($C58&amp;""),0)+1))))*(NOT(EXACT('Casillas del horario'!$C$4:$C$73,(IFERROR(VALUE($C58&amp;""),0)-1))))))&gt;0))*((ROW('Casillas del horario'!$A$4:$A$73)&lt;&gt;ROW($A58))))&gt;0)),"si","no")</f>
        <v/>
      </c>
      <c r="P58" s="3">
        <f>MID(IF(AND(NOT(($D58="")),(SUMPRODUCT(1*((EXACT('Casillas del horario'!$B$4:$B$73,$B58)))*((EXACT('Casillas del horario'!$C$4:$C$73,$C58)))*((EXACT('Casillas del horario'!$F$4:$F$73,$F58)))*((ROW('Casillas del horario'!$A$4:$A$73)&lt;&gt;ROW($A58))))&gt;0)),"; "&amp;"Este profesor ya da clase a otro grupo en este mismo turno","")&amp;IF(AND(NOT(($D58="")),(SUMPRODUCT(1*((EXACT('Casillas del horario'!$B$4:$B$73,$B58)))*((EXACT('Casillas del horario'!$C$4:$C$73,$C58)))*((EXACT('Casillas del horario'!$H$4:$H$73,$H58)))*((ROW('Casillas del horario'!$A$4:$A$73)&lt;&gt;ROW($A58))))&gt;0)),"; "&amp;"Ese local esta ocupado por otro grupo a esa hora","")&amp;IF(EXACT($O58,"si"),"; "&amp;IF(ISNUMBER(IF(EXACT($I58,"no"),"Esta asignatura no admite turno doble y repite el dia en este grupo","Esta asignatura repite el dia en este grupo sin ser en turnos seguidos")),IF(IF(EXACT($I58,"no"),"Esta asignatura no admite turno doble y repite el dia en este grupo","Esta asignatura repite el dia en este grupo sin ser en turnos seguidos")=0,"0",ROUND(IF(EXACT($I58,"no"),"Esta asignatura no admite turno doble y repite el dia en este grupo","Esta asignatura repite el dia en este grupo sin ser en turnos seguidos"),9-INT(LOG10(ABS(IF(EXACT($I58,"no"),"Esta asignatura no admite turno doble y repite el dia en este grupo","Esta asignatura repite el dia en este grupo sin ser en turnos seguidos")))))&amp;""),IF(EXACT($I58,"no"),"Esta asignatura no admite turno doble y repite el dia en este grupo","Esta asignatura repite el dia en este grupo sin ser en turnos seguidos")&amp;""),"")&amp;IF(AND(NOT(($D58="")),EXACT($B58,$K58)),"; "&amp;"Es el dia de preparacion de la asignatura","")&amp;IF(AND(EXACT($D58,"EF"),(IFERROR(VALUE($C58&amp;""),0)&gt;3)),"; "&amp;"Educacion Fisica no puede caer despues del tercer turno","")&amp;IF(AND(NOT(($D58="")),EXACT($J58,"no"),(IFERROR(VALUE($C58&amp;""),0)&gt;6)),"; "&amp;"Esta asignatura no admite turnos de tarde","")&amp;IF(AND(NOT(($D58="")),EXACT($L58,"si"),EXACT($N58,"no")),"; "&amp;"Este profesor esta contratado y no asiste al centro este dia","")&amp;IF(AND(NOT(($D58="")),EXACT($M58,"si"),EXACT($C58,1)),"; "&amp;"Se preferiria no darle el primer turno a un profesor que vive lejos","")&amp;IF(($D58=""),"; "&amp;"Turno sin asignar",""),3,32767)</f>
        <v/>
      </c>
      <c r="Q58" s="3">
        <f>IF(OR(AND(NOT(($D58="")),(SUMPRODUCT(1*((EXACT('Casillas del horario'!$B$4:$B$73,$B58)))*((EXACT('Casillas del horario'!$C$4:$C$73,$C58)))*((EXACT('Casillas del horario'!$F$4:$F$73,$F58)))*((ROW('Casillas del horario'!$A$4:$A$73)&lt;&gt;ROW($A58))))&gt;0)),AND(NOT(($D58="")),(SUMPRODUCT(1*((EXACT('Casillas del horario'!$B$4:$B$73,$B58)))*((EXACT('Casillas del horario'!$C$4:$C$73,$C58)))*((EXACT('Casillas del horario'!$H$4:$H$73,$H58)))*((ROW('Casillas del horario'!$A$4:$A$73)&lt;&gt;ROW($A58))))&gt;0)),EXACT($O58,"si"),AND(NOT(($D58="")),EXACT($B58,$K58)),AND(EXACT($D58,"EF"),(IFERROR(VALUE($C58&amp;""),0)&gt;3)),AND(NOT(($D58="")),EXACT($J58,"no"),(IFERROR(VALUE($C58&amp;""),0)&gt;6)),AND(NOT(($D58="")),EXACT($L58,"si"),EXACT($N58,"no"))),3,IF(OR(AND(NOT(($D58="")),EXACT($M58,"si"),EXACT($C58,1))),2,IF(OR(($D58="")),1,0)))</f>
        <v/>
      </c>
      <c r="R58" s="3">
        <f>$A58&amp;CHAR(31)&amp;$C58&amp;CHAR(31)&amp;$B58</f>
        <v/>
      </c>
      <c r="S58" s="3">
        <f>$F58&amp;CHAR(31)&amp;$C58&amp;CHAR(31)&amp;$B58</f>
        <v/>
      </c>
      <c r="T58" s="3">
        <f>$H58&amp;CHAR(31)&amp;$C58&amp;CHAR(31)&amp;$B58</f>
        <v/>
      </c>
    </row>
    <row r="59">
      <c r="A59" s="3" t="inlineStr">
        <is>
          <t>10-4</t>
        </is>
      </c>
      <c r="B59" s="3" t="inlineStr">
        <is>
          <t>L</t>
        </is>
      </c>
      <c r="C59" s="3" t="n">
        <v>6</v>
      </c>
      <c r="D59" s="4" t="inlineStr">
        <is>
          <t>B</t>
        </is>
      </c>
      <c r="E59" s="3">
        <f>IF(ISNA(MATCH(1,INDEX(EXACT('Asignaturas'!$A$4:$A$18,$D59)*1,0),0)),"",IF(ISBLANK(INDEX('Asignaturas'!$B$4:$B$18,MATCH(1,INDEX(EXACT('Asignaturas'!$A$4:$A$18,$D59)*1,0),0))),"",INDEX('Asignaturas'!$B$4:$B$18,MATCH(1,INDEX(EXACT('Asignaturas'!$A$4:$A$18,$D59)*1,0),0))))</f>
        <v/>
      </c>
      <c r="F59" s="3">
        <f>IF(ISNA(MATCH(1,INDEX(1*(EXACT('Frecuencias por grupo'!$A$4:$A$33,$A59))*(EXACT('Frecuencias por grupo'!$B$4:$B$33,$D59)),0),0)),"",IF(ISBLANK(INDEX('Frecuencias por grupo'!$C$4:$C$33,MATCH(1,INDEX(1*(EXACT('Frecuencias por grupo'!$A$4:$A$33,$A59))*(EXACT('Frecuencias por grupo'!$B$4:$B$33,$D59)),0),0))),"",INDEX('Frecuencias por grupo'!$C$4:$C$33,MATCH(1,INDEX(1*(EXACT('Frecuencias por grupo'!$A$4:$A$33,$A59))*(EXACT('Frecuencias por grupo'!$B$4:$B$33,$D59)),0),0))))</f>
        <v/>
      </c>
      <c r="G59" s="3">
        <f>IF(ISNA(MATCH(1,INDEX(EXACT('Asignaturas'!$A$4:$A$18,$D59)*1,0),0)),"",IF(ISBLANK(INDEX('Asignaturas'!$G$4:$G$18,MATCH(1,INDEX(EXACT('Asignaturas'!$A$4:$A$18,$D59)*1,0),0))),"",INDEX('Asignaturas'!$G$4:$G$18,MATCH(1,INDEX(EXACT('Asignaturas'!$A$4:$A$18,$D59)*1,0),0))))</f>
        <v/>
      </c>
      <c r="H59" s="3">
        <f>IF(($D59=""),"",IF(($G59=""),("Aula "&amp;IF(ISNUMBER($A59),IF($A59=0,"0",ROUND($A59,9-INT(LOG10(ABS($A59))))&amp;""),$A59&amp;"")),$G59))</f>
        <v/>
      </c>
      <c r="I59" s="3">
        <f>IF(ISNA(MATCH(1,INDEX(EXACT('Asignaturas'!$A$4:$A$18,$D59)*1,0),0)),"no",IF(ISBLANK(INDEX('Asignaturas'!$D$4:$D$18,MATCH(1,INDEX(EXACT('Asignaturas'!$A$4:$A$18,$D59)*1,0),0))),"",INDEX('Asignaturas'!$D$4:$D$18,MATCH(1,INDEX(EXACT('Asignaturas'!$A$4:$A$18,$D59)*1,0),0))))</f>
        <v/>
      </c>
      <c r="J59" s="3">
        <f>IF(ISNA(MATCH(1,INDEX(EXACT('Asignaturas'!$A$4:$A$18,$D59)*1,0),0)),"no",IF(ISBLANK(INDEX('Asignaturas'!$E$4:$E$18,MATCH(1,INDEX(EXACT('Asignaturas'!$A$4:$A$18,$D59)*1,0),0))),"",INDEX('Asignaturas'!$E$4:$E$18,MATCH(1,INDEX(EXACT('Asignaturas'!$A$4:$A$18,$D59)*1,0),0))))</f>
        <v/>
      </c>
      <c r="K59" s="3">
        <f>IF(ISNA(MATCH(1,INDEX(EXACT('Asignaturas'!$A$4:$A$18,$D59)*1,0),0)),"",IF(ISBLANK(INDEX('Asignaturas'!$F$4:$F$18,MATCH(1,INDEX(EXACT('Asignaturas'!$A$4:$A$18,$D59)*1,0),0))),"",INDEX('Asignaturas'!$F$4:$F$18,MATCH(1,INDEX(EXACT('Asignaturas'!$A$4:$A$18,$D59)*1,0),0))))</f>
        <v/>
      </c>
      <c r="L59" s="3">
        <f>IF(ISNA(MATCH(1,INDEX(EXACT('Profesores'!$A$4:$A$33,$F59)*1,0),0)),"no",IF(ISBLANK(INDEX('Profesores'!$B$4:$B$33,MATCH(1,INDEX(EXACT('Profesores'!$A$4:$A$33,$F59)*1,0),0))),"",INDEX('Profesores'!$B$4:$B$33,MATCH(1,INDEX(EXACT('Profesores'!$A$4:$A$33,$F59)*1,0),0))))</f>
        <v/>
      </c>
      <c r="M59" s="3">
        <f>IF(ISNA(MATCH(1,INDEX(EXACT('Profesores'!$A$4:$A$33,$F59)*1,0),0)),"no",IF(ISBLANK(INDEX('Profesores'!$C$4:$C$33,MATCH(1,INDEX(EXACT('Profesores'!$A$4:$A$33,$F59)*1,0),0))),"",INDEX('Profesores'!$C$4:$C$33,MATCH(1,INDEX(EXACT('Profesores'!$A$4:$A$33,$F59)*1,0),0))))</f>
        <v/>
      </c>
      <c r="N59" s="3">
        <f>IF(ISNA(MATCH(1,INDEX(1*((('Dias que asisten los contratado'!$A$4:$A$4&lt;&gt;"")+('Dias que asisten los contratado'!$B$4:$B$4&lt;&gt;""))&gt;0)*(EXACT('Dias que asisten los contratado'!$A$4:$A$4,$F59))*(EXACT('Dias que asisten los contratado'!$B$4:$B$4,$B59)),0),0)),"no",IF(ISBLANK(INDEX('Dias que asisten los contratado'!$C$4:$C$4,MATCH(1,INDEX(1*((('Dias que asisten los contratado'!$A$4:$A$4&lt;&gt;"")+('Dias que asisten los contratado'!$B$4:$B$4&lt;&gt;""))&gt;0)*(EXACT('Dias que asisten los contratado'!$A$4:$A$4,$F59))*(EXACT('Dias que asisten los contratado'!$B$4:$B$4,$B59)),0),0))),"",INDEX('Dias que asisten los contratado'!$C$4:$C$4,MATCH(1,INDEX(1*((('Dias que asisten los contratado'!$A$4:$A$4&lt;&gt;"")+('Dias que asisten los contratado'!$B$4:$B$4&lt;&gt;""))&gt;0)*(EXACT('Dias que asisten los contratado'!$A$4:$A$4,$F59))*(EXACT('Dias que asisten los contratado'!$B$4:$B$4,$B59)),0),0))))</f>
        <v/>
      </c>
      <c r="O59" s="3">
        <f>IF(AND(NOT(($D59="")),(SUMPRODUCT(1*((EXACT('Casillas del horario'!$A$4:$A$73,$A59)))*((EXACT('Casillas del horario'!$B$4:$B$73,$B59)))*((EXACT('Casillas del horario'!$D$4:$D$73,$D59)))*(((((EXACT($I59,"no")))+((NOT(EXACT('Casillas del horario'!$C$4:$C$73,(IFERROR(VALUE($C59&amp;""),0)+1))))*(NOT(EXACT('Casillas del horario'!$C$4:$C$73,(IFERROR(VALUE($C59&amp;""),0)-1))))))&gt;0))*((ROW('Casillas del horario'!$A$4:$A$73)&lt;&gt;ROW($A59))))&gt;0)),"si","no")</f>
        <v/>
      </c>
      <c r="P59" s="3">
        <f>MID(IF(AND(NOT(($D59="")),(SUMPRODUCT(1*((EXACT('Casillas del horario'!$B$4:$B$73,$B59)))*((EXACT('Casillas del horario'!$C$4:$C$73,$C59)))*((EXACT('Casillas del horario'!$F$4:$F$73,$F59)))*((ROW('Casillas del horario'!$A$4:$A$73)&lt;&gt;ROW($A59))))&gt;0)),"; "&amp;"Este profesor ya da clase a otro grupo en este mismo turno","")&amp;IF(AND(NOT(($D59="")),(SUMPRODUCT(1*((EXACT('Casillas del horario'!$B$4:$B$73,$B59)))*((EXACT('Casillas del horario'!$C$4:$C$73,$C59)))*((EXACT('Casillas del horario'!$H$4:$H$73,$H59)))*((ROW('Casillas del horario'!$A$4:$A$73)&lt;&gt;ROW($A59))))&gt;0)),"; "&amp;"Ese local esta ocupado por otro grupo a esa hora","")&amp;IF(EXACT($O59,"si"),"; "&amp;IF(ISNUMBER(IF(EXACT($I59,"no"),"Esta asignatura no admite turno doble y repite el dia en este grupo","Esta asignatura repite el dia en este grupo sin ser en turnos seguidos")),IF(IF(EXACT($I59,"no"),"Esta asignatura no admite turno doble y repite el dia en este grupo","Esta asignatura repite el dia en este grupo sin ser en turnos seguidos")=0,"0",ROUND(IF(EXACT($I59,"no"),"Esta asignatura no admite turno doble y repite el dia en este grupo","Esta asignatura repite el dia en este grupo sin ser en turnos seguidos"),9-INT(LOG10(ABS(IF(EXACT($I59,"no"),"Esta asignatura no admite turno doble y repite el dia en este grupo","Esta asignatura repite el dia en este grupo sin ser en turnos seguidos")))))&amp;""),IF(EXACT($I59,"no"),"Esta asignatura no admite turno doble y repite el dia en este grupo","Esta asignatura repite el dia en este grupo sin ser en turnos seguidos")&amp;""),"")&amp;IF(AND(NOT(($D59="")),EXACT($B59,$K59)),"; "&amp;"Es el dia de preparacion de la asignatura","")&amp;IF(AND(EXACT($D59,"EF"),(IFERROR(VALUE($C59&amp;""),0)&gt;3)),"; "&amp;"Educacion Fisica no puede caer despues del tercer turno","")&amp;IF(AND(NOT(($D59="")),EXACT($J59,"no"),(IFERROR(VALUE($C59&amp;""),0)&gt;6)),"; "&amp;"Esta asignatura no admite turnos de tarde","")&amp;IF(AND(NOT(($D59="")),EXACT($L59,"si"),EXACT($N59,"no")),"; "&amp;"Este profesor esta contratado y no asiste al centro este dia","")&amp;IF(AND(NOT(($D59="")),EXACT($M59,"si"),EXACT($C59,1)),"; "&amp;"Se preferiria no darle el primer turno a un profesor que vive lejos","")&amp;IF(($D59=""),"; "&amp;"Turno sin asignar",""),3,32767)</f>
        <v/>
      </c>
      <c r="Q59" s="3">
        <f>IF(OR(AND(NOT(($D59="")),(SUMPRODUCT(1*((EXACT('Casillas del horario'!$B$4:$B$73,$B59)))*((EXACT('Casillas del horario'!$C$4:$C$73,$C59)))*((EXACT('Casillas del horario'!$F$4:$F$73,$F59)))*((ROW('Casillas del horario'!$A$4:$A$73)&lt;&gt;ROW($A59))))&gt;0)),AND(NOT(($D59="")),(SUMPRODUCT(1*((EXACT('Casillas del horario'!$B$4:$B$73,$B59)))*((EXACT('Casillas del horario'!$C$4:$C$73,$C59)))*((EXACT('Casillas del horario'!$H$4:$H$73,$H59)))*((ROW('Casillas del horario'!$A$4:$A$73)&lt;&gt;ROW($A59))))&gt;0)),EXACT($O59,"si"),AND(NOT(($D59="")),EXACT($B59,$K59)),AND(EXACT($D59,"EF"),(IFERROR(VALUE($C59&amp;""),0)&gt;3)),AND(NOT(($D59="")),EXACT($J59,"no"),(IFERROR(VALUE($C59&amp;""),0)&gt;6)),AND(NOT(($D59="")),EXACT($L59,"si"),EXACT($N59,"no"))),3,IF(OR(AND(NOT(($D59="")),EXACT($M59,"si"),EXACT($C59,1))),2,IF(OR(($D59="")),1,0)))</f>
        <v/>
      </c>
      <c r="R59" s="3">
        <f>$A59&amp;CHAR(31)&amp;$C59&amp;CHAR(31)&amp;$B59</f>
        <v/>
      </c>
      <c r="S59" s="3">
        <f>$F59&amp;CHAR(31)&amp;$C59&amp;CHAR(31)&amp;$B59</f>
        <v/>
      </c>
      <c r="T59" s="3">
        <f>$H59&amp;CHAR(31)&amp;$C59&amp;CHAR(31)&amp;$B59</f>
        <v/>
      </c>
    </row>
    <row r="60">
      <c r="A60" s="3" t="inlineStr">
        <is>
          <t>10-4</t>
        </is>
      </c>
      <c r="B60" s="3" t="inlineStr">
        <is>
          <t>M</t>
        </is>
      </c>
      <c r="C60" s="3" t="n">
        <v>6</v>
      </c>
      <c r="D60" s="4" t="inlineStr">
        <is>
          <t>G</t>
        </is>
      </c>
      <c r="E60" s="3">
        <f>IF(ISNA(MATCH(1,INDEX(EXACT('Asignaturas'!$A$4:$A$18,$D60)*1,0),0)),"",IF(ISBLANK(INDEX('Asignaturas'!$B$4:$B$18,MATCH(1,INDEX(EXACT('Asignaturas'!$A$4:$A$18,$D60)*1,0),0))),"",INDEX('Asignaturas'!$B$4:$B$18,MATCH(1,INDEX(EXACT('Asignaturas'!$A$4:$A$18,$D60)*1,0),0))))</f>
        <v/>
      </c>
      <c r="F60" s="3">
        <f>IF(ISNA(MATCH(1,INDEX(1*(EXACT('Frecuencias por grupo'!$A$4:$A$33,$A60))*(EXACT('Frecuencias por grupo'!$B$4:$B$33,$D60)),0),0)),"",IF(ISBLANK(INDEX('Frecuencias por grupo'!$C$4:$C$33,MATCH(1,INDEX(1*(EXACT('Frecuencias por grupo'!$A$4:$A$33,$A60))*(EXACT('Frecuencias por grupo'!$B$4:$B$33,$D60)),0),0))),"",INDEX('Frecuencias por grupo'!$C$4:$C$33,MATCH(1,INDEX(1*(EXACT('Frecuencias por grupo'!$A$4:$A$33,$A60))*(EXACT('Frecuencias por grupo'!$B$4:$B$33,$D60)),0),0))))</f>
        <v/>
      </c>
      <c r="G60" s="3">
        <f>IF(ISNA(MATCH(1,INDEX(EXACT('Asignaturas'!$A$4:$A$18,$D60)*1,0),0)),"",IF(ISBLANK(INDEX('Asignaturas'!$G$4:$G$18,MATCH(1,INDEX(EXACT('Asignaturas'!$A$4:$A$18,$D60)*1,0),0))),"",INDEX('Asignaturas'!$G$4:$G$18,MATCH(1,INDEX(EXACT('Asignaturas'!$A$4:$A$18,$D60)*1,0),0))))</f>
        <v/>
      </c>
      <c r="H60" s="3">
        <f>IF(($D60=""),"",IF(($G60=""),("Aula "&amp;IF(ISNUMBER($A60),IF($A60=0,"0",ROUND($A60,9-INT(LOG10(ABS($A60))))&amp;""),$A60&amp;"")),$G60))</f>
        <v/>
      </c>
      <c r="I60" s="3">
        <f>IF(ISNA(MATCH(1,INDEX(EXACT('Asignaturas'!$A$4:$A$18,$D60)*1,0),0)),"no",IF(ISBLANK(INDEX('Asignaturas'!$D$4:$D$18,MATCH(1,INDEX(EXACT('Asignaturas'!$A$4:$A$18,$D60)*1,0),0))),"",INDEX('Asignaturas'!$D$4:$D$18,MATCH(1,INDEX(EXACT('Asignaturas'!$A$4:$A$18,$D60)*1,0),0))))</f>
        <v/>
      </c>
      <c r="J60" s="3">
        <f>IF(ISNA(MATCH(1,INDEX(EXACT('Asignaturas'!$A$4:$A$18,$D60)*1,0),0)),"no",IF(ISBLANK(INDEX('Asignaturas'!$E$4:$E$18,MATCH(1,INDEX(EXACT('Asignaturas'!$A$4:$A$18,$D60)*1,0),0))),"",INDEX('Asignaturas'!$E$4:$E$18,MATCH(1,INDEX(EXACT('Asignaturas'!$A$4:$A$18,$D60)*1,0),0))))</f>
        <v/>
      </c>
      <c r="K60" s="3">
        <f>IF(ISNA(MATCH(1,INDEX(EXACT('Asignaturas'!$A$4:$A$18,$D60)*1,0),0)),"",IF(ISBLANK(INDEX('Asignaturas'!$F$4:$F$18,MATCH(1,INDEX(EXACT('Asignaturas'!$A$4:$A$18,$D60)*1,0),0))),"",INDEX('Asignaturas'!$F$4:$F$18,MATCH(1,INDEX(EXACT('Asignaturas'!$A$4:$A$18,$D60)*1,0),0))))</f>
        <v/>
      </c>
      <c r="L60" s="3">
        <f>IF(ISNA(MATCH(1,INDEX(EXACT('Profesores'!$A$4:$A$33,$F60)*1,0),0)),"no",IF(ISBLANK(INDEX('Profesores'!$B$4:$B$33,MATCH(1,INDEX(EXACT('Profesores'!$A$4:$A$33,$F60)*1,0),0))),"",INDEX('Profesores'!$B$4:$B$33,MATCH(1,INDEX(EXACT('Profesores'!$A$4:$A$33,$F60)*1,0),0))))</f>
        <v/>
      </c>
      <c r="M60" s="3">
        <f>IF(ISNA(MATCH(1,INDEX(EXACT('Profesores'!$A$4:$A$33,$F60)*1,0),0)),"no",IF(ISBLANK(INDEX('Profesores'!$C$4:$C$33,MATCH(1,INDEX(EXACT('Profesores'!$A$4:$A$33,$F60)*1,0),0))),"",INDEX('Profesores'!$C$4:$C$33,MATCH(1,INDEX(EXACT('Profesores'!$A$4:$A$33,$F60)*1,0),0))))</f>
        <v/>
      </c>
      <c r="N60" s="3">
        <f>IF(ISNA(MATCH(1,INDEX(1*((('Dias que asisten los contratado'!$A$4:$A$4&lt;&gt;"")+('Dias que asisten los contratado'!$B$4:$B$4&lt;&gt;""))&gt;0)*(EXACT('Dias que asisten los contratado'!$A$4:$A$4,$F60))*(EXACT('Dias que asisten los contratado'!$B$4:$B$4,$B60)),0),0)),"no",IF(ISBLANK(INDEX('Dias que asisten los contratado'!$C$4:$C$4,MATCH(1,INDEX(1*((('Dias que asisten los contratado'!$A$4:$A$4&lt;&gt;"")+('Dias que asisten los contratado'!$B$4:$B$4&lt;&gt;""))&gt;0)*(EXACT('Dias que asisten los contratado'!$A$4:$A$4,$F60))*(EXACT('Dias que asisten los contratado'!$B$4:$B$4,$B60)),0),0))),"",INDEX('Dias que asisten los contratado'!$C$4:$C$4,MATCH(1,INDEX(1*((('Dias que asisten los contratado'!$A$4:$A$4&lt;&gt;"")+('Dias que asisten los contratado'!$B$4:$B$4&lt;&gt;""))&gt;0)*(EXACT('Dias que asisten los contratado'!$A$4:$A$4,$F60))*(EXACT('Dias que asisten los contratado'!$B$4:$B$4,$B60)),0),0))))</f>
        <v/>
      </c>
      <c r="O60" s="3">
        <f>IF(AND(NOT(($D60="")),(SUMPRODUCT(1*((EXACT('Casillas del horario'!$A$4:$A$73,$A60)))*((EXACT('Casillas del horario'!$B$4:$B$73,$B60)))*((EXACT('Casillas del horario'!$D$4:$D$73,$D60)))*(((((EXACT($I60,"no")))+((NOT(EXACT('Casillas del horario'!$C$4:$C$73,(IFERROR(VALUE($C60&amp;""),0)+1))))*(NOT(EXACT('Casillas del horario'!$C$4:$C$73,(IFERROR(VALUE($C60&amp;""),0)-1))))))&gt;0))*((ROW('Casillas del horario'!$A$4:$A$73)&lt;&gt;ROW($A60))))&gt;0)),"si","no")</f>
        <v/>
      </c>
      <c r="P60" s="3">
        <f>MID(IF(AND(NOT(($D60="")),(SUMPRODUCT(1*((EXACT('Casillas del horario'!$B$4:$B$73,$B60)))*((EXACT('Casillas del horario'!$C$4:$C$73,$C60)))*((EXACT('Casillas del horario'!$F$4:$F$73,$F60)))*((ROW('Casillas del horario'!$A$4:$A$73)&lt;&gt;ROW($A60))))&gt;0)),"; "&amp;"Este profesor ya da clase a otro grupo en este mismo turno","")&amp;IF(AND(NOT(($D60="")),(SUMPRODUCT(1*((EXACT('Casillas del horario'!$B$4:$B$73,$B60)))*((EXACT('Casillas del horario'!$C$4:$C$73,$C60)))*((EXACT('Casillas del horario'!$H$4:$H$73,$H60)))*((ROW('Casillas del horario'!$A$4:$A$73)&lt;&gt;ROW($A60))))&gt;0)),"; "&amp;"Ese local esta ocupado por otro grupo a esa hora","")&amp;IF(EXACT($O60,"si"),"; "&amp;IF(ISNUMBER(IF(EXACT($I60,"no"),"Esta asignatura no admite turno doble y repite el dia en este grupo","Esta asignatura repite el dia en este grupo sin ser en turnos seguidos")),IF(IF(EXACT($I60,"no"),"Esta asignatura no admite turno doble y repite el dia en este grupo","Esta asignatura repite el dia en este grupo sin ser en turnos seguidos")=0,"0",ROUND(IF(EXACT($I60,"no"),"Esta asignatura no admite turno doble y repite el dia en este grupo","Esta asignatura repite el dia en este grupo sin ser en turnos seguidos"),9-INT(LOG10(ABS(IF(EXACT($I60,"no"),"Esta asignatura no admite turno doble y repite el dia en este grupo","Esta asignatura repite el dia en este grupo sin ser en turnos seguidos")))))&amp;""),IF(EXACT($I60,"no"),"Esta asignatura no admite turno doble y repite el dia en este grupo","Esta asignatura repite el dia en este grupo sin ser en turnos seguidos")&amp;""),"")&amp;IF(AND(NOT(($D60="")),EXACT($B60,$K60)),"; "&amp;"Es el dia de preparacion de la asignatura","")&amp;IF(AND(EXACT($D60,"EF"),(IFERROR(VALUE($C60&amp;""),0)&gt;3)),"; "&amp;"Educacion Fisica no puede caer despues del tercer turno","")&amp;IF(AND(NOT(($D60="")),EXACT($J60,"no"),(IFERROR(VALUE($C60&amp;""),0)&gt;6)),"; "&amp;"Esta asignatura no admite turnos de tarde","")&amp;IF(AND(NOT(($D60="")),EXACT($L60,"si"),EXACT($N60,"no")),"; "&amp;"Este profesor esta contratado y no asiste al centro este dia","")&amp;IF(AND(NOT(($D60="")),EXACT($M60,"si"),EXACT($C60,1)),"; "&amp;"Se preferiria no darle el primer turno a un profesor que vive lejos","")&amp;IF(($D60=""),"; "&amp;"Turno sin asignar",""),3,32767)</f>
        <v/>
      </c>
      <c r="Q60" s="3">
        <f>IF(OR(AND(NOT(($D60="")),(SUMPRODUCT(1*((EXACT('Casillas del horario'!$B$4:$B$73,$B60)))*((EXACT('Casillas del horario'!$C$4:$C$73,$C60)))*((EXACT('Casillas del horario'!$F$4:$F$73,$F60)))*((ROW('Casillas del horario'!$A$4:$A$73)&lt;&gt;ROW($A60))))&gt;0)),AND(NOT(($D60="")),(SUMPRODUCT(1*((EXACT('Casillas del horario'!$B$4:$B$73,$B60)))*((EXACT('Casillas del horario'!$C$4:$C$73,$C60)))*((EXACT('Casillas del horario'!$H$4:$H$73,$H60)))*((ROW('Casillas del horario'!$A$4:$A$73)&lt;&gt;ROW($A60))))&gt;0)),EXACT($O60,"si"),AND(NOT(($D60="")),EXACT($B60,$K60)),AND(EXACT($D60,"EF"),(IFERROR(VALUE($C60&amp;""),0)&gt;3)),AND(NOT(($D60="")),EXACT($J60,"no"),(IFERROR(VALUE($C60&amp;""),0)&gt;6)),AND(NOT(($D60="")),EXACT($L60,"si"),EXACT($N60,"no"))),3,IF(OR(AND(NOT(($D60="")),EXACT($M60,"si"),EXACT($C60,1))),2,IF(OR(($D60="")),1,0)))</f>
        <v/>
      </c>
      <c r="R60" s="3">
        <f>$A60&amp;CHAR(31)&amp;$C60&amp;CHAR(31)&amp;$B60</f>
        <v/>
      </c>
      <c r="S60" s="3">
        <f>$F60&amp;CHAR(31)&amp;$C60&amp;CHAR(31)&amp;$B60</f>
        <v/>
      </c>
      <c r="T60" s="3">
        <f>$H60&amp;CHAR(31)&amp;$C60&amp;CHAR(31)&amp;$B60</f>
        <v/>
      </c>
    </row>
    <row r="61">
      <c r="A61" s="3" t="inlineStr">
        <is>
          <t>10-4</t>
        </is>
      </c>
      <c r="B61" s="3" t="inlineStr">
        <is>
          <t>MI</t>
        </is>
      </c>
      <c r="C61" s="3" t="n">
        <v>6</v>
      </c>
      <c r="D61" s="4" t="inlineStr">
        <is>
          <t>H</t>
        </is>
      </c>
      <c r="E61" s="3">
        <f>IF(ISNA(MATCH(1,INDEX(EXACT('Asignaturas'!$A$4:$A$18,$D61)*1,0),0)),"",IF(ISBLANK(INDEX('Asignaturas'!$B$4:$B$18,MATCH(1,INDEX(EXACT('Asignaturas'!$A$4:$A$18,$D61)*1,0),0))),"",INDEX('Asignaturas'!$B$4:$B$18,MATCH(1,INDEX(EXACT('Asignaturas'!$A$4:$A$18,$D61)*1,0),0))))</f>
        <v/>
      </c>
      <c r="F61" s="3">
        <f>IF(ISNA(MATCH(1,INDEX(1*(EXACT('Frecuencias por grupo'!$A$4:$A$33,$A61))*(EXACT('Frecuencias por grupo'!$B$4:$B$33,$D61)),0),0)),"",IF(ISBLANK(INDEX('Frecuencias por grupo'!$C$4:$C$33,MATCH(1,INDEX(1*(EXACT('Frecuencias por grupo'!$A$4:$A$33,$A61))*(EXACT('Frecuencias por grupo'!$B$4:$B$33,$D61)),0),0))),"",INDEX('Frecuencias por grupo'!$C$4:$C$33,MATCH(1,INDEX(1*(EXACT('Frecuencias por grupo'!$A$4:$A$33,$A61))*(EXACT('Frecuencias por grupo'!$B$4:$B$33,$D61)),0),0))))</f>
        <v/>
      </c>
      <c r="G61" s="3">
        <f>IF(ISNA(MATCH(1,INDEX(EXACT('Asignaturas'!$A$4:$A$18,$D61)*1,0),0)),"",IF(ISBLANK(INDEX('Asignaturas'!$G$4:$G$18,MATCH(1,INDEX(EXACT('Asignaturas'!$A$4:$A$18,$D61)*1,0),0))),"",INDEX('Asignaturas'!$G$4:$G$18,MATCH(1,INDEX(EXACT('Asignaturas'!$A$4:$A$18,$D61)*1,0),0))))</f>
        <v/>
      </c>
      <c r="H61" s="3">
        <f>IF(($D61=""),"",IF(($G61=""),("Aula "&amp;IF(ISNUMBER($A61),IF($A61=0,"0",ROUND($A61,9-INT(LOG10(ABS($A61))))&amp;""),$A61&amp;"")),$G61))</f>
        <v/>
      </c>
      <c r="I61" s="3">
        <f>IF(ISNA(MATCH(1,INDEX(EXACT('Asignaturas'!$A$4:$A$18,$D61)*1,0),0)),"no",IF(ISBLANK(INDEX('Asignaturas'!$D$4:$D$18,MATCH(1,INDEX(EXACT('Asignaturas'!$A$4:$A$18,$D61)*1,0),0))),"",INDEX('Asignaturas'!$D$4:$D$18,MATCH(1,INDEX(EXACT('Asignaturas'!$A$4:$A$18,$D61)*1,0),0))))</f>
        <v/>
      </c>
      <c r="J61" s="3">
        <f>IF(ISNA(MATCH(1,INDEX(EXACT('Asignaturas'!$A$4:$A$18,$D61)*1,0),0)),"no",IF(ISBLANK(INDEX('Asignaturas'!$E$4:$E$18,MATCH(1,INDEX(EXACT('Asignaturas'!$A$4:$A$18,$D61)*1,0),0))),"",INDEX('Asignaturas'!$E$4:$E$18,MATCH(1,INDEX(EXACT('Asignaturas'!$A$4:$A$18,$D61)*1,0),0))))</f>
        <v/>
      </c>
      <c r="K61" s="3">
        <f>IF(ISNA(MATCH(1,INDEX(EXACT('Asignaturas'!$A$4:$A$18,$D61)*1,0),0)),"",IF(ISBLANK(INDEX('Asignaturas'!$F$4:$F$18,MATCH(1,INDEX(EXACT('Asignaturas'!$A$4:$A$18,$D61)*1,0),0))),"",INDEX('Asignaturas'!$F$4:$F$18,MATCH(1,INDEX(EXACT('Asignaturas'!$A$4:$A$18,$D61)*1,0),0))))</f>
        <v/>
      </c>
      <c r="L61" s="3">
        <f>IF(ISNA(MATCH(1,INDEX(EXACT('Profesores'!$A$4:$A$33,$F61)*1,0),0)),"no",IF(ISBLANK(INDEX('Profesores'!$B$4:$B$33,MATCH(1,INDEX(EXACT('Profesores'!$A$4:$A$33,$F61)*1,0),0))),"",INDEX('Profesores'!$B$4:$B$33,MATCH(1,INDEX(EXACT('Profesores'!$A$4:$A$33,$F61)*1,0),0))))</f>
        <v/>
      </c>
      <c r="M61" s="3">
        <f>IF(ISNA(MATCH(1,INDEX(EXACT('Profesores'!$A$4:$A$33,$F61)*1,0),0)),"no",IF(ISBLANK(INDEX('Profesores'!$C$4:$C$33,MATCH(1,INDEX(EXACT('Profesores'!$A$4:$A$33,$F61)*1,0),0))),"",INDEX('Profesores'!$C$4:$C$33,MATCH(1,INDEX(EXACT('Profesores'!$A$4:$A$33,$F61)*1,0),0))))</f>
        <v/>
      </c>
      <c r="N61" s="3">
        <f>IF(ISNA(MATCH(1,INDEX(1*((('Dias que asisten los contratado'!$A$4:$A$4&lt;&gt;"")+('Dias que asisten los contratado'!$B$4:$B$4&lt;&gt;""))&gt;0)*(EXACT('Dias que asisten los contratado'!$A$4:$A$4,$F61))*(EXACT('Dias que asisten los contratado'!$B$4:$B$4,$B61)),0),0)),"no",IF(ISBLANK(INDEX('Dias que asisten los contratado'!$C$4:$C$4,MATCH(1,INDEX(1*((('Dias que asisten los contratado'!$A$4:$A$4&lt;&gt;"")+('Dias que asisten los contratado'!$B$4:$B$4&lt;&gt;""))&gt;0)*(EXACT('Dias que asisten los contratado'!$A$4:$A$4,$F61))*(EXACT('Dias que asisten los contratado'!$B$4:$B$4,$B61)),0),0))),"",INDEX('Dias que asisten los contratado'!$C$4:$C$4,MATCH(1,INDEX(1*((('Dias que asisten los contratado'!$A$4:$A$4&lt;&gt;"")+('Dias que asisten los contratado'!$B$4:$B$4&lt;&gt;""))&gt;0)*(EXACT('Dias que asisten los contratado'!$A$4:$A$4,$F61))*(EXACT('Dias que asisten los contratado'!$B$4:$B$4,$B61)),0),0))))</f>
        <v/>
      </c>
      <c r="O61" s="3">
        <f>IF(AND(NOT(($D61="")),(SUMPRODUCT(1*((EXACT('Casillas del horario'!$A$4:$A$73,$A61)))*((EXACT('Casillas del horario'!$B$4:$B$73,$B61)))*((EXACT('Casillas del horario'!$D$4:$D$73,$D61)))*(((((EXACT($I61,"no")))+((NOT(EXACT('Casillas del horario'!$C$4:$C$73,(IFERROR(VALUE($C61&amp;""),0)+1))))*(NOT(EXACT('Casillas del horario'!$C$4:$C$73,(IFERROR(VALUE($C61&amp;""),0)-1))))))&gt;0))*((ROW('Casillas del horario'!$A$4:$A$73)&lt;&gt;ROW($A61))))&gt;0)),"si","no")</f>
        <v/>
      </c>
      <c r="P61" s="3">
        <f>MID(IF(AND(NOT(($D61="")),(SUMPRODUCT(1*((EXACT('Casillas del horario'!$B$4:$B$73,$B61)))*((EXACT('Casillas del horario'!$C$4:$C$73,$C61)))*((EXACT('Casillas del horario'!$F$4:$F$73,$F61)))*((ROW('Casillas del horario'!$A$4:$A$73)&lt;&gt;ROW($A61))))&gt;0)),"; "&amp;"Este profesor ya da clase a otro grupo en este mismo turno","")&amp;IF(AND(NOT(($D61="")),(SUMPRODUCT(1*((EXACT('Casillas del horario'!$B$4:$B$73,$B61)))*((EXACT('Casillas del horario'!$C$4:$C$73,$C61)))*((EXACT('Casillas del horario'!$H$4:$H$73,$H61)))*((ROW('Casillas del horario'!$A$4:$A$73)&lt;&gt;ROW($A61))))&gt;0)),"; "&amp;"Ese local esta ocupado por otro grupo a esa hora","")&amp;IF(EXACT($O61,"si"),"; "&amp;IF(ISNUMBER(IF(EXACT($I61,"no"),"Esta asignatura no admite turno doble y repite el dia en este grupo","Esta asignatura repite el dia en este grupo sin ser en turnos seguidos")),IF(IF(EXACT($I61,"no"),"Esta asignatura no admite turno doble y repite el dia en este grupo","Esta asignatura repite el dia en este grupo sin ser en turnos seguidos")=0,"0",ROUND(IF(EXACT($I61,"no"),"Esta asignatura no admite turno doble y repite el dia en este grupo","Esta asignatura repite el dia en este grupo sin ser en turnos seguidos"),9-INT(LOG10(ABS(IF(EXACT($I61,"no"),"Esta asignatura no admite turno doble y repite el dia en este grupo","Esta asignatura repite el dia en este grupo sin ser en turnos seguidos")))))&amp;""),IF(EXACT($I61,"no"),"Esta asignatura no admite turno doble y repite el dia en este grupo","Esta asignatura repite el dia en este grupo sin ser en turnos seguidos")&amp;""),"")&amp;IF(AND(NOT(($D61="")),EXACT($B61,$K61)),"; "&amp;"Es el dia de preparacion de la asignatura","")&amp;IF(AND(EXACT($D61,"EF"),(IFERROR(VALUE($C61&amp;""),0)&gt;3)),"; "&amp;"Educacion Fisica no puede caer despues del tercer turno","")&amp;IF(AND(NOT(($D61="")),EXACT($J61,"no"),(IFERROR(VALUE($C61&amp;""),0)&gt;6)),"; "&amp;"Esta asignatura no admite turnos de tarde","")&amp;IF(AND(NOT(($D61="")),EXACT($L61,"si"),EXACT($N61,"no")),"; "&amp;"Este profesor esta contratado y no asiste al centro este dia","")&amp;IF(AND(NOT(($D61="")),EXACT($M61,"si"),EXACT($C61,1)),"; "&amp;"Se preferiria no darle el primer turno a un profesor que vive lejos","")&amp;IF(($D61=""),"; "&amp;"Turno sin asignar",""),3,32767)</f>
        <v/>
      </c>
      <c r="Q61" s="3">
        <f>IF(OR(AND(NOT(($D61="")),(SUMPRODUCT(1*((EXACT('Casillas del horario'!$B$4:$B$73,$B61)))*((EXACT('Casillas del horario'!$C$4:$C$73,$C61)))*((EXACT('Casillas del horario'!$F$4:$F$73,$F61)))*((ROW('Casillas del horario'!$A$4:$A$73)&lt;&gt;ROW($A61))))&gt;0)),AND(NOT(($D61="")),(SUMPRODUCT(1*((EXACT('Casillas del horario'!$B$4:$B$73,$B61)))*((EXACT('Casillas del horario'!$C$4:$C$73,$C61)))*((EXACT('Casillas del horario'!$H$4:$H$73,$H61)))*((ROW('Casillas del horario'!$A$4:$A$73)&lt;&gt;ROW($A61))))&gt;0)),EXACT($O61,"si"),AND(NOT(($D61="")),EXACT($B61,$K61)),AND(EXACT($D61,"EF"),(IFERROR(VALUE($C61&amp;""),0)&gt;3)),AND(NOT(($D61="")),EXACT($J61,"no"),(IFERROR(VALUE($C61&amp;""),0)&gt;6)),AND(NOT(($D61="")),EXACT($L61,"si"),EXACT($N61,"no"))),3,IF(OR(AND(NOT(($D61="")),EXACT($M61,"si"),EXACT($C61,1))),2,IF(OR(($D61="")),1,0)))</f>
        <v/>
      </c>
      <c r="R61" s="3">
        <f>$A61&amp;CHAR(31)&amp;$C61&amp;CHAR(31)&amp;$B61</f>
        <v/>
      </c>
      <c r="S61" s="3">
        <f>$F61&amp;CHAR(31)&amp;$C61&amp;CHAR(31)&amp;$B61</f>
        <v/>
      </c>
      <c r="T61" s="3">
        <f>$H61&amp;CHAR(31)&amp;$C61&amp;CHAR(31)&amp;$B61</f>
        <v/>
      </c>
    </row>
    <row r="62">
      <c r="A62" s="3" t="inlineStr">
        <is>
          <t>10-4</t>
        </is>
      </c>
      <c r="B62" s="3" t="inlineStr">
        <is>
          <t>J</t>
        </is>
      </c>
      <c r="C62" s="3" t="n">
        <v>6</v>
      </c>
      <c r="D62" s="4" t="inlineStr">
        <is>
          <t>Lit-L</t>
        </is>
      </c>
      <c r="E62" s="3">
        <f>IF(ISNA(MATCH(1,INDEX(EXACT('Asignaturas'!$A$4:$A$18,$D62)*1,0),0)),"",IF(ISBLANK(INDEX('Asignaturas'!$B$4:$B$18,MATCH(1,INDEX(EXACT('Asignaturas'!$A$4:$A$18,$D62)*1,0),0))),"",INDEX('Asignaturas'!$B$4:$B$18,MATCH(1,INDEX(EXACT('Asignaturas'!$A$4:$A$18,$D62)*1,0),0))))</f>
        <v/>
      </c>
      <c r="F62" s="3">
        <f>IF(ISNA(MATCH(1,INDEX(1*(EXACT('Frecuencias por grupo'!$A$4:$A$33,$A62))*(EXACT('Frecuencias por grupo'!$B$4:$B$33,$D62)),0),0)),"",IF(ISBLANK(INDEX('Frecuencias por grupo'!$C$4:$C$33,MATCH(1,INDEX(1*(EXACT('Frecuencias por grupo'!$A$4:$A$33,$A62))*(EXACT('Frecuencias por grupo'!$B$4:$B$33,$D62)),0),0))),"",INDEX('Frecuencias por grupo'!$C$4:$C$33,MATCH(1,INDEX(1*(EXACT('Frecuencias por grupo'!$A$4:$A$33,$A62))*(EXACT('Frecuencias por grupo'!$B$4:$B$33,$D62)),0),0))))</f>
        <v/>
      </c>
      <c r="G62" s="3">
        <f>IF(ISNA(MATCH(1,INDEX(EXACT('Asignaturas'!$A$4:$A$18,$D62)*1,0),0)),"",IF(ISBLANK(INDEX('Asignaturas'!$G$4:$G$18,MATCH(1,INDEX(EXACT('Asignaturas'!$A$4:$A$18,$D62)*1,0),0))),"",INDEX('Asignaturas'!$G$4:$G$18,MATCH(1,INDEX(EXACT('Asignaturas'!$A$4:$A$18,$D62)*1,0),0))))</f>
        <v/>
      </c>
      <c r="H62" s="3">
        <f>IF(($D62=""),"",IF(($G62=""),("Aula "&amp;IF(ISNUMBER($A62),IF($A62=0,"0",ROUND($A62,9-INT(LOG10(ABS($A62))))&amp;""),$A62&amp;"")),$G62))</f>
        <v/>
      </c>
      <c r="I62" s="3">
        <f>IF(ISNA(MATCH(1,INDEX(EXACT('Asignaturas'!$A$4:$A$18,$D62)*1,0),0)),"no",IF(ISBLANK(INDEX('Asignaturas'!$D$4:$D$18,MATCH(1,INDEX(EXACT('Asignaturas'!$A$4:$A$18,$D62)*1,0),0))),"",INDEX('Asignaturas'!$D$4:$D$18,MATCH(1,INDEX(EXACT('Asignaturas'!$A$4:$A$18,$D62)*1,0),0))))</f>
        <v/>
      </c>
      <c r="J62" s="3">
        <f>IF(ISNA(MATCH(1,INDEX(EXACT('Asignaturas'!$A$4:$A$18,$D62)*1,0),0)),"no",IF(ISBLANK(INDEX('Asignaturas'!$E$4:$E$18,MATCH(1,INDEX(EXACT('Asignaturas'!$A$4:$A$18,$D62)*1,0),0))),"",INDEX('Asignaturas'!$E$4:$E$18,MATCH(1,INDEX(EXACT('Asignaturas'!$A$4:$A$18,$D62)*1,0),0))))</f>
        <v/>
      </c>
      <c r="K62" s="3">
        <f>IF(ISNA(MATCH(1,INDEX(EXACT('Asignaturas'!$A$4:$A$18,$D62)*1,0),0)),"",IF(ISBLANK(INDEX('Asignaturas'!$F$4:$F$18,MATCH(1,INDEX(EXACT('Asignaturas'!$A$4:$A$18,$D62)*1,0),0))),"",INDEX('Asignaturas'!$F$4:$F$18,MATCH(1,INDEX(EXACT('Asignaturas'!$A$4:$A$18,$D62)*1,0),0))))</f>
        <v/>
      </c>
      <c r="L62" s="3">
        <f>IF(ISNA(MATCH(1,INDEX(EXACT('Profesores'!$A$4:$A$33,$F62)*1,0),0)),"no",IF(ISBLANK(INDEX('Profesores'!$B$4:$B$33,MATCH(1,INDEX(EXACT('Profesores'!$A$4:$A$33,$F62)*1,0),0))),"",INDEX('Profesores'!$B$4:$B$33,MATCH(1,INDEX(EXACT('Profesores'!$A$4:$A$33,$F62)*1,0),0))))</f>
        <v/>
      </c>
      <c r="M62" s="3">
        <f>IF(ISNA(MATCH(1,INDEX(EXACT('Profesores'!$A$4:$A$33,$F62)*1,0),0)),"no",IF(ISBLANK(INDEX('Profesores'!$C$4:$C$33,MATCH(1,INDEX(EXACT('Profesores'!$A$4:$A$33,$F62)*1,0),0))),"",INDEX('Profesores'!$C$4:$C$33,MATCH(1,INDEX(EXACT('Profesores'!$A$4:$A$33,$F62)*1,0),0))))</f>
        <v/>
      </c>
      <c r="N62" s="3">
        <f>IF(ISNA(MATCH(1,INDEX(1*((('Dias que asisten los contratado'!$A$4:$A$4&lt;&gt;"")+('Dias que asisten los contratado'!$B$4:$B$4&lt;&gt;""))&gt;0)*(EXACT('Dias que asisten los contratado'!$A$4:$A$4,$F62))*(EXACT('Dias que asisten los contratado'!$B$4:$B$4,$B62)),0),0)),"no",IF(ISBLANK(INDEX('Dias que asisten los contratado'!$C$4:$C$4,MATCH(1,INDEX(1*((('Dias que asisten los contratado'!$A$4:$A$4&lt;&gt;"")+('Dias que asisten los contratado'!$B$4:$B$4&lt;&gt;""))&gt;0)*(EXACT('Dias que asisten los contratado'!$A$4:$A$4,$F62))*(EXACT('Dias que asisten los contratado'!$B$4:$B$4,$B62)),0),0))),"",INDEX('Dias que asisten los contratado'!$C$4:$C$4,MATCH(1,INDEX(1*((('Dias que asisten los contratado'!$A$4:$A$4&lt;&gt;"")+('Dias que asisten los contratado'!$B$4:$B$4&lt;&gt;""))&gt;0)*(EXACT('Dias que asisten los contratado'!$A$4:$A$4,$F62))*(EXACT('Dias que asisten los contratado'!$B$4:$B$4,$B62)),0),0))))</f>
        <v/>
      </c>
      <c r="O62" s="3">
        <f>IF(AND(NOT(($D62="")),(SUMPRODUCT(1*((EXACT('Casillas del horario'!$A$4:$A$73,$A62)))*((EXACT('Casillas del horario'!$B$4:$B$73,$B62)))*((EXACT('Casillas del horario'!$D$4:$D$73,$D62)))*(((((EXACT($I62,"no")))+((NOT(EXACT('Casillas del horario'!$C$4:$C$73,(IFERROR(VALUE($C62&amp;""),0)+1))))*(NOT(EXACT('Casillas del horario'!$C$4:$C$73,(IFERROR(VALUE($C62&amp;""),0)-1))))))&gt;0))*((ROW('Casillas del horario'!$A$4:$A$73)&lt;&gt;ROW($A62))))&gt;0)),"si","no")</f>
        <v/>
      </c>
      <c r="P62" s="3">
        <f>MID(IF(AND(NOT(($D62="")),(SUMPRODUCT(1*((EXACT('Casillas del horario'!$B$4:$B$73,$B62)))*((EXACT('Casillas del horario'!$C$4:$C$73,$C62)))*((EXACT('Casillas del horario'!$F$4:$F$73,$F62)))*((ROW('Casillas del horario'!$A$4:$A$73)&lt;&gt;ROW($A62))))&gt;0)),"; "&amp;"Este profesor ya da clase a otro grupo en este mismo turno","")&amp;IF(AND(NOT(($D62="")),(SUMPRODUCT(1*((EXACT('Casillas del horario'!$B$4:$B$73,$B62)))*((EXACT('Casillas del horario'!$C$4:$C$73,$C62)))*((EXACT('Casillas del horario'!$H$4:$H$73,$H62)))*((ROW('Casillas del horario'!$A$4:$A$73)&lt;&gt;ROW($A62))))&gt;0)),"; "&amp;"Ese local esta ocupado por otro grupo a esa hora","")&amp;IF(EXACT($O62,"si"),"; "&amp;IF(ISNUMBER(IF(EXACT($I62,"no"),"Esta asignatura no admite turno doble y repite el dia en este grupo","Esta asignatura repite el dia en este grupo sin ser en turnos seguidos")),IF(IF(EXACT($I62,"no"),"Esta asignatura no admite turno doble y repite el dia en este grupo","Esta asignatura repite el dia en este grupo sin ser en turnos seguidos")=0,"0",ROUND(IF(EXACT($I62,"no"),"Esta asignatura no admite turno doble y repite el dia en este grupo","Esta asignatura repite el dia en este grupo sin ser en turnos seguidos"),9-INT(LOG10(ABS(IF(EXACT($I62,"no"),"Esta asignatura no admite turno doble y repite el dia en este grupo","Esta asignatura repite el dia en este grupo sin ser en turnos seguidos")))))&amp;""),IF(EXACT($I62,"no"),"Esta asignatura no admite turno doble y repite el dia en este grupo","Esta asignatura repite el dia en este grupo sin ser en turnos seguidos")&amp;""),"")&amp;IF(AND(NOT(($D62="")),EXACT($B62,$K62)),"; "&amp;"Es el dia de preparacion de la asignatura","")&amp;IF(AND(EXACT($D62,"EF"),(IFERROR(VALUE($C62&amp;""),0)&gt;3)),"; "&amp;"Educacion Fisica no puede caer despues del tercer turno","")&amp;IF(AND(NOT(($D62="")),EXACT($J62,"no"),(IFERROR(VALUE($C62&amp;""),0)&gt;6)),"; "&amp;"Esta asignatura no admite turnos de tarde","")&amp;IF(AND(NOT(($D62="")),EXACT($L62,"si"),EXACT($N62,"no")),"; "&amp;"Este profesor esta contratado y no asiste al centro este dia","")&amp;IF(AND(NOT(($D62="")),EXACT($M62,"si"),EXACT($C62,1)),"; "&amp;"Se preferiria no darle el primer turno a un profesor que vive lejos","")&amp;IF(($D62=""),"; "&amp;"Turno sin asignar",""),3,32767)</f>
        <v/>
      </c>
      <c r="Q62" s="3">
        <f>IF(OR(AND(NOT(($D62="")),(SUMPRODUCT(1*((EXACT('Casillas del horario'!$B$4:$B$73,$B62)))*((EXACT('Casillas del horario'!$C$4:$C$73,$C62)))*((EXACT('Casillas del horario'!$F$4:$F$73,$F62)))*((ROW('Casillas del horario'!$A$4:$A$73)&lt;&gt;ROW($A62))))&gt;0)),AND(NOT(($D62="")),(SUMPRODUCT(1*((EXACT('Casillas del horario'!$B$4:$B$73,$B62)))*((EXACT('Casillas del horario'!$C$4:$C$73,$C62)))*((EXACT('Casillas del horario'!$H$4:$H$73,$H62)))*((ROW('Casillas del horario'!$A$4:$A$73)&lt;&gt;ROW($A62))))&gt;0)),EXACT($O62,"si"),AND(NOT(($D62="")),EXACT($B62,$K62)),AND(EXACT($D62,"EF"),(IFERROR(VALUE($C62&amp;""),0)&gt;3)),AND(NOT(($D62="")),EXACT($J62,"no"),(IFERROR(VALUE($C62&amp;""),0)&gt;6)),AND(NOT(($D62="")),EXACT($L62,"si"),EXACT($N62,"no"))),3,IF(OR(AND(NOT(($D62="")),EXACT($M62,"si"),EXACT($C62,1))),2,IF(OR(($D62="")),1,0)))</f>
        <v/>
      </c>
      <c r="R62" s="3">
        <f>$A62&amp;CHAR(31)&amp;$C62&amp;CHAR(31)&amp;$B62</f>
        <v/>
      </c>
      <c r="S62" s="3">
        <f>$F62&amp;CHAR(31)&amp;$C62&amp;CHAR(31)&amp;$B62</f>
        <v/>
      </c>
      <c r="T62" s="3">
        <f>$H62&amp;CHAR(31)&amp;$C62&amp;CHAR(31)&amp;$B62</f>
        <v/>
      </c>
    </row>
    <row r="63">
      <c r="A63" s="3" t="inlineStr">
        <is>
          <t>10-4</t>
        </is>
      </c>
      <c r="B63" s="3" t="inlineStr">
        <is>
          <t>V</t>
        </is>
      </c>
      <c r="C63" s="3" t="n">
        <v>6</v>
      </c>
      <c r="D63" s="4" t="inlineStr">
        <is>
          <t>M</t>
        </is>
      </c>
      <c r="E63" s="3">
        <f>IF(ISNA(MATCH(1,INDEX(EXACT('Asignaturas'!$A$4:$A$18,$D63)*1,0),0)),"",IF(ISBLANK(INDEX('Asignaturas'!$B$4:$B$18,MATCH(1,INDEX(EXACT('Asignaturas'!$A$4:$A$18,$D63)*1,0),0))),"",INDEX('Asignaturas'!$B$4:$B$18,MATCH(1,INDEX(EXACT('Asignaturas'!$A$4:$A$18,$D63)*1,0),0))))</f>
        <v/>
      </c>
      <c r="F63" s="3">
        <f>IF(ISNA(MATCH(1,INDEX(1*(EXACT('Frecuencias por grupo'!$A$4:$A$33,$A63))*(EXACT('Frecuencias por grupo'!$B$4:$B$33,$D63)),0),0)),"",IF(ISBLANK(INDEX('Frecuencias por grupo'!$C$4:$C$33,MATCH(1,INDEX(1*(EXACT('Frecuencias por grupo'!$A$4:$A$33,$A63))*(EXACT('Frecuencias por grupo'!$B$4:$B$33,$D63)),0),0))),"",INDEX('Frecuencias por grupo'!$C$4:$C$33,MATCH(1,INDEX(1*(EXACT('Frecuencias por grupo'!$A$4:$A$33,$A63))*(EXACT('Frecuencias por grupo'!$B$4:$B$33,$D63)),0),0))))</f>
        <v/>
      </c>
      <c r="G63" s="3">
        <f>IF(ISNA(MATCH(1,INDEX(EXACT('Asignaturas'!$A$4:$A$18,$D63)*1,0),0)),"",IF(ISBLANK(INDEX('Asignaturas'!$G$4:$G$18,MATCH(1,INDEX(EXACT('Asignaturas'!$A$4:$A$18,$D63)*1,0),0))),"",INDEX('Asignaturas'!$G$4:$G$18,MATCH(1,INDEX(EXACT('Asignaturas'!$A$4:$A$18,$D63)*1,0),0))))</f>
        <v/>
      </c>
      <c r="H63" s="3">
        <f>IF(($D63=""),"",IF(($G63=""),("Aula "&amp;IF(ISNUMBER($A63),IF($A63=0,"0",ROUND($A63,9-INT(LOG10(ABS($A63))))&amp;""),$A63&amp;"")),$G63))</f>
        <v/>
      </c>
      <c r="I63" s="3">
        <f>IF(ISNA(MATCH(1,INDEX(EXACT('Asignaturas'!$A$4:$A$18,$D63)*1,0),0)),"no",IF(ISBLANK(INDEX('Asignaturas'!$D$4:$D$18,MATCH(1,INDEX(EXACT('Asignaturas'!$A$4:$A$18,$D63)*1,0),0))),"",INDEX('Asignaturas'!$D$4:$D$18,MATCH(1,INDEX(EXACT('Asignaturas'!$A$4:$A$18,$D63)*1,0),0))))</f>
        <v/>
      </c>
      <c r="J63" s="3">
        <f>IF(ISNA(MATCH(1,INDEX(EXACT('Asignaturas'!$A$4:$A$18,$D63)*1,0),0)),"no",IF(ISBLANK(INDEX('Asignaturas'!$E$4:$E$18,MATCH(1,INDEX(EXACT('Asignaturas'!$A$4:$A$18,$D63)*1,0),0))),"",INDEX('Asignaturas'!$E$4:$E$18,MATCH(1,INDEX(EXACT('Asignaturas'!$A$4:$A$18,$D63)*1,0),0))))</f>
        <v/>
      </c>
      <c r="K63" s="3">
        <f>IF(ISNA(MATCH(1,INDEX(EXACT('Asignaturas'!$A$4:$A$18,$D63)*1,0),0)),"",IF(ISBLANK(INDEX('Asignaturas'!$F$4:$F$18,MATCH(1,INDEX(EXACT('Asignaturas'!$A$4:$A$18,$D63)*1,0),0))),"",INDEX('Asignaturas'!$F$4:$F$18,MATCH(1,INDEX(EXACT('Asignaturas'!$A$4:$A$18,$D63)*1,0),0))))</f>
        <v/>
      </c>
      <c r="L63" s="3">
        <f>IF(ISNA(MATCH(1,INDEX(EXACT('Profesores'!$A$4:$A$33,$F63)*1,0),0)),"no",IF(ISBLANK(INDEX('Profesores'!$B$4:$B$33,MATCH(1,INDEX(EXACT('Profesores'!$A$4:$A$33,$F63)*1,0),0))),"",INDEX('Profesores'!$B$4:$B$33,MATCH(1,INDEX(EXACT('Profesores'!$A$4:$A$33,$F63)*1,0),0))))</f>
        <v/>
      </c>
      <c r="M63" s="3">
        <f>IF(ISNA(MATCH(1,INDEX(EXACT('Profesores'!$A$4:$A$33,$F63)*1,0),0)),"no",IF(ISBLANK(INDEX('Profesores'!$C$4:$C$33,MATCH(1,INDEX(EXACT('Profesores'!$A$4:$A$33,$F63)*1,0),0))),"",INDEX('Profesores'!$C$4:$C$33,MATCH(1,INDEX(EXACT('Profesores'!$A$4:$A$33,$F63)*1,0),0))))</f>
        <v/>
      </c>
      <c r="N63" s="3">
        <f>IF(ISNA(MATCH(1,INDEX(1*((('Dias que asisten los contratado'!$A$4:$A$4&lt;&gt;"")+('Dias que asisten los contratado'!$B$4:$B$4&lt;&gt;""))&gt;0)*(EXACT('Dias que asisten los contratado'!$A$4:$A$4,$F63))*(EXACT('Dias que asisten los contratado'!$B$4:$B$4,$B63)),0),0)),"no",IF(ISBLANK(INDEX('Dias que asisten los contratado'!$C$4:$C$4,MATCH(1,INDEX(1*((('Dias que asisten los contratado'!$A$4:$A$4&lt;&gt;"")+('Dias que asisten los contratado'!$B$4:$B$4&lt;&gt;""))&gt;0)*(EXACT('Dias que asisten los contratado'!$A$4:$A$4,$F63))*(EXACT('Dias que asisten los contratado'!$B$4:$B$4,$B63)),0),0))),"",INDEX('Dias que asisten los contratado'!$C$4:$C$4,MATCH(1,INDEX(1*((('Dias que asisten los contratado'!$A$4:$A$4&lt;&gt;"")+('Dias que asisten los contratado'!$B$4:$B$4&lt;&gt;""))&gt;0)*(EXACT('Dias que asisten los contratado'!$A$4:$A$4,$F63))*(EXACT('Dias que asisten los contratado'!$B$4:$B$4,$B63)),0),0))))</f>
        <v/>
      </c>
      <c r="O63" s="3">
        <f>IF(AND(NOT(($D63="")),(SUMPRODUCT(1*((EXACT('Casillas del horario'!$A$4:$A$73,$A63)))*((EXACT('Casillas del horario'!$B$4:$B$73,$B63)))*((EXACT('Casillas del horario'!$D$4:$D$73,$D63)))*(((((EXACT($I63,"no")))+((NOT(EXACT('Casillas del horario'!$C$4:$C$73,(IFERROR(VALUE($C63&amp;""),0)+1))))*(NOT(EXACT('Casillas del horario'!$C$4:$C$73,(IFERROR(VALUE($C63&amp;""),0)-1))))))&gt;0))*((ROW('Casillas del horario'!$A$4:$A$73)&lt;&gt;ROW($A63))))&gt;0)),"si","no")</f>
        <v/>
      </c>
      <c r="P63" s="3">
        <f>MID(IF(AND(NOT(($D63="")),(SUMPRODUCT(1*((EXACT('Casillas del horario'!$B$4:$B$73,$B63)))*((EXACT('Casillas del horario'!$C$4:$C$73,$C63)))*((EXACT('Casillas del horario'!$F$4:$F$73,$F63)))*((ROW('Casillas del horario'!$A$4:$A$73)&lt;&gt;ROW($A63))))&gt;0)),"; "&amp;"Este profesor ya da clase a otro grupo en este mismo turno","")&amp;IF(AND(NOT(($D63="")),(SUMPRODUCT(1*((EXACT('Casillas del horario'!$B$4:$B$73,$B63)))*((EXACT('Casillas del horario'!$C$4:$C$73,$C63)))*((EXACT('Casillas del horario'!$H$4:$H$73,$H63)))*((ROW('Casillas del horario'!$A$4:$A$73)&lt;&gt;ROW($A63))))&gt;0)),"; "&amp;"Ese local esta ocupado por otro grupo a esa hora","")&amp;IF(EXACT($O63,"si"),"; "&amp;IF(ISNUMBER(IF(EXACT($I63,"no"),"Esta asignatura no admite turno doble y repite el dia en este grupo","Esta asignatura repite el dia en este grupo sin ser en turnos seguidos")),IF(IF(EXACT($I63,"no"),"Esta asignatura no admite turno doble y repite el dia en este grupo","Esta asignatura repite el dia en este grupo sin ser en turnos seguidos")=0,"0",ROUND(IF(EXACT($I63,"no"),"Esta asignatura no admite turno doble y repite el dia en este grupo","Esta asignatura repite el dia en este grupo sin ser en turnos seguidos"),9-INT(LOG10(ABS(IF(EXACT($I63,"no"),"Esta asignatura no admite turno doble y repite el dia en este grupo","Esta asignatura repite el dia en este grupo sin ser en turnos seguidos")))))&amp;""),IF(EXACT($I63,"no"),"Esta asignatura no admite turno doble y repite el dia en este grupo","Esta asignatura repite el dia en este grupo sin ser en turnos seguidos")&amp;""),"")&amp;IF(AND(NOT(($D63="")),EXACT($B63,$K63)),"; "&amp;"Es el dia de preparacion de la asignatura","")&amp;IF(AND(EXACT($D63,"EF"),(IFERROR(VALUE($C63&amp;""),0)&gt;3)),"; "&amp;"Educacion Fisica no puede caer despues del tercer turno","")&amp;IF(AND(NOT(($D63="")),EXACT($J63,"no"),(IFERROR(VALUE($C63&amp;""),0)&gt;6)),"; "&amp;"Esta asignatura no admite turnos de tarde","")&amp;IF(AND(NOT(($D63="")),EXACT($L63,"si"),EXACT($N63,"no")),"; "&amp;"Este profesor esta contratado y no asiste al centro este dia","")&amp;IF(AND(NOT(($D63="")),EXACT($M63,"si"),EXACT($C63,1)),"; "&amp;"Se preferiria no darle el primer turno a un profesor que vive lejos","")&amp;IF(($D63=""),"; "&amp;"Turno sin asignar",""),3,32767)</f>
        <v/>
      </c>
      <c r="Q63" s="3">
        <f>IF(OR(AND(NOT(($D63="")),(SUMPRODUCT(1*((EXACT('Casillas del horario'!$B$4:$B$73,$B63)))*((EXACT('Casillas del horario'!$C$4:$C$73,$C63)))*((EXACT('Casillas del horario'!$F$4:$F$73,$F63)))*((ROW('Casillas del horario'!$A$4:$A$73)&lt;&gt;ROW($A63))))&gt;0)),AND(NOT(($D63="")),(SUMPRODUCT(1*((EXACT('Casillas del horario'!$B$4:$B$73,$B63)))*((EXACT('Casillas del horario'!$C$4:$C$73,$C63)))*((EXACT('Casillas del horario'!$H$4:$H$73,$H63)))*((ROW('Casillas del horario'!$A$4:$A$73)&lt;&gt;ROW($A63))))&gt;0)),EXACT($O63,"si"),AND(NOT(($D63="")),EXACT($B63,$K63)),AND(EXACT($D63,"EF"),(IFERROR(VALUE($C63&amp;""),0)&gt;3)),AND(NOT(($D63="")),EXACT($J63,"no"),(IFERROR(VALUE($C63&amp;""),0)&gt;6)),AND(NOT(($D63="")),EXACT($L63,"si"),EXACT($N63,"no"))),3,IF(OR(AND(NOT(($D63="")),EXACT($M63,"si"),EXACT($C63,1))),2,IF(OR(($D63="")),1,0)))</f>
        <v/>
      </c>
      <c r="R63" s="3">
        <f>$A63&amp;CHAR(31)&amp;$C63&amp;CHAR(31)&amp;$B63</f>
        <v/>
      </c>
      <c r="S63" s="3">
        <f>$F63&amp;CHAR(31)&amp;$C63&amp;CHAR(31)&amp;$B63</f>
        <v/>
      </c>
      <c r="T63" s="3">
        <f>$H63&amp;CHAR(31)&amp;$C63&amp;CHAR(31)&amp;$B63</f>
        <v/>
      </c>
    </row>
    <row r="64">
      <c r="A64" s="3" t="inlineStr">
        <is>
          <t>10-3</t>
        </is>
      </c>
      <c r="B64" s="3" t="inlineStr">
        <is>
          <t>L</t>
        </is>
      </c>
      <c r="C64" s="3" t="n">
        <v>7</v>
      </c>
      <c r="D64" s="4" t="n"/>
      <c r="E64" s="3">
        <f>IF(ISNA(MATCH(1,INDEX(EXACT('Asignaturas'!$A$4:$A$18,$D64)*1,0),0)),"",IF(ISBLANK(INDEX('Asignaturas'!$B$4:$B$18,MATCH(1,INDEX(EXACT('Asignaturas'!$A$4:$A$18,$D64)*1,0),0))),"",INDEX('Asignaturas'!$B$4:$B$18,MATCH(1,INDEX(EXACT('Asignaturas'!$A$4:$A$18,$D64)*1,0),0))))</f>
        <v/>
      </c>
      <c r="F64" s="3">
        <f>IF(ISNA(MATCH(1,INDEX(1*(EXACT('Frecuencias por grupo'!$A$4:$A$33,$A64))*(EXACT('Frecuencias por grupo'!$B$4:$B$33,$D64)),0),0)),"",IF(ISBLANK(INDEX('Frecuencias por grupo'!$C$4:$C$33,MATCH(1,INDEX(1*(EXACT('Frecuencias por grupo'!$A$4:$A$33,$A64))*(EXACT('Frecuencias por grupo'!$B$4:$B$33,$D64)),0),0))),"",INDEX('Frecuencias por grupo'!$C$4:$C$33,MATCH(1,INDEX(1*(EXACT('Frecuencias por grupo'!$A$4:$A$33,$A64))*(EXACT('Frecuencias por grupo'!$B$4:$B$33,$D64)),0),0))))</f>
        <v/>
      </c>
      <c r="G64" s="3">
        <f>IF(ISNA(MATCH(1,INDEX(EXACT('Asignaturas'!$A$4:$A$18,$D64)*1,0),0)),"",IF(ISBLANK(INDEX('Asignaturas'!$G$4:$G$18,MATCH(1,INDEX(EXACT('Asignaturas'!$A$4:$A$18,$D64)*1,0),0))),"",INDEX('Asignaturas'!$G$4:$G$18,MATCH(1,INDEX(EXACT('Asignaturas'!$A$4:$A$18,$D64)*1,0),0))))</f>
        <v/>
      </c>
      <c r="H64" s="3">
        <f>IF(($D64=""),"",IF(($G64=""),("Aula "&amp;IF(ISNUMBER($A64),IF($A64=0,"0",ROUND($A64,9-INT(LOG10(ABS($A64))))&amp;""),$A64&amp;"")),$G64))</f>
        <v/>
      </c>
      <c r="I64" s="3">
        <f>IF(ISNA(MATCH(1,INDEX(EXACT('Asignaturas'!$A$4:$A$18,$D64)*1,0),0)),"no",IF(ISBLANK(INDEX('Asignaturas'!$D$4:$D$18,MATCH(1,INDEX(EXACT('Asignaturas'!$A$4:$A$18,$D64)*1,0),0))),"",INDEX('Asignaturas'!$D$4:$D$18,MATCH(1,INDEX(EXACT('Asignaturas'!$A$4:$A$18,$D64)*1,0),0))))</f>
        <v/>
      </c>
      <c r="J64" s="3">
        <f>IF(ISNA(MATCH(1,INDEX(EXACT('Asignaturas'!$A$4:$A$18,$D64)*1,0),0)),"no",IF(ISBLANK(INDEX('Asignaturas'!$E$4:$E$18,MATCH(1,INDEX(EXACT('Asignaturas'!$A$4:$A$18,$D64)*1,0),0))),"",INDEX('Asignaturas'!$E$4:$E$18,MATCH(1,INDEX(EXACT('Asignaturas'!$A$4:$A$18,$D64)*1,0),0))))</f>
        <v/>
      </c>
      <c r="K64" s="3">
        <f>IF(ISNA(MATCH(1,INDEX(EXACT('Asignaturas'!$A$4:$A$18,$D64)*1,0),0)),"",IF(ISBLANK(INDEX('Asignaturas'!$F$4:$F$18,MATCH(1,INDEX(EXACT('Asignaturas'!$A$4:$A$18,$D64)*1,0),0))),"",INDEX('Asignaturas'!$F$4:$F$18,MATCH(1,INDEX(EXACT('Asignaturas'!$A$4:$A$18,$D64)*1,0),0))))</f>
        <v/>
      </c>
      <c r="L64" s="3">
        <f>IF(ISNA(MATCH(1,INDEX(EXACT('Profesores'!$A$4:$A$33,$F64)*1,0),0)),"no",IF(ISBLANK(INDEX('Profesores'!$B$4:$B$33,MATCH(1,INDEX(EXACT('Profesores'!$A$4:$A$33,$F64)*1,0),0))),"",INDEX('Profesores'!$B$4:$B$33,MATCH(1,INDEX(EXACT('Profesores'!$A$4:$A$33,$F64)*1,0),0))))</f>
        <v/>
      </c>
      <c r="M64" s="3">
        <f>IF(ISNA(MATCH(1,INDEX(EXACT('Profesores'!$A$4:$A$33,$F64)*1,0),0)),"no",IF(ISBLANK(INDEX('Profesores'!$C$4:$C$33,MATCH(1,INDEX(EXACT('Profesores'!$A$4:$A$33,$F64)*1,0),0))),"",INDEX('Profesores'!$C$4:$C$33,MATCH(1,INDEX(EXACT('Profesores'!$A$4:$A$33,$F64)*1,0),0))))</f>
        <v/>
      </c>
      <c r="N64" s="3">
        <f>IF(ISNA(MATCH(1,INDEX(1*((('Dias que asisten los contratado'!$A$4:$A$4&lt;&gt;"")+('Dias que asisten los contratado'!$B$4:$B$4&lt;&gt;""))&gt;0)*(EXACT('Dias que asisten los contratado'!$A$4:$A$4,$F64))*(EXACT('Dias que asisten los contratado'!$B$4:$B$4,$B64)),0),0)),"no",IF(ISBLANK(INDEX('Dias que asisten los contratado'!$C$4:$C$4,MATCH(1,INDEX(1*((('Dias que asisten los contratado'!$A$4:$A$4&lt;&gt;"")+('Dias que asisten los contratado'!$B$4:$B$4&lt;&gt;""))&gt;0)*(EXACT('Dias que asisten los contratado'!$A$4:$A$4,$F64))*(EXACT('Dias que asisten los contratado'!$B$4:$B$4,$B64)),0),0))),"",INDEX('Dias que asisten los contratado'!$C$4:$C$4,MATCH(1,INDEX(1*((('Dias que asisten los contratado'!$A$4:$A$4&lt;&gt;"")+('Dias que asisten los contratado'!$B$4:$B$4&lt;&gt;""))&gt;0)*(EXACT('Dias que asisten los contratado'!$A$4:$A$4,$F64))*(EXACT('Dias que asisten los contratado'!$B$4:$B$4,$B64)),0),0))))</f>
        <v/>
      </c>
      <c r="O64" s="3">
        <f>IF(AND(NOT(($D64="")),(SUMPRODUCT(1*((EXACT('Casillas del horario'!$A$4:$A$73,$A64)))*((EXACT('Casillas del horario'!$B$4:$B$73,$B64)))*((EXACT('Casillas del horario'!$D$4:$D$73,$D64)))*(((((EXACT($I64,"no")))+((NOT(EXACT('Casillas del horario'!$C$4:$C$73,(IFERROR(VALUE($C64&amp;""),0)+1))))*(NOT(EXACT('Casillas del horario'!$C$4:$C$73,(IFERROR(VALUE($C64&amp;""),0)-1))))))&gt;0))*((ROW('Casillas del horario'!$A$4:$A$73)&lt;&gt;ROW($A64))))&gt;0)),"si","no")</f>
        <v/>
      </c>
      <c r="P64" s="3">
        <f>MID(IF(AND(NOT(($D64="")),(SUMPRODUCT(1*((EXACT('Casillas del horario'!$B$4:$B$73,$B64)))*((EXACT('Casillas del horario'!$C$4:$C$73,$C64)))*((EXACT('Casillas del horario'!$F$4:$F$73,$F64)))*((ROW('Casillas del horario'!$A$4:$A$73)&lt;&gt;ROW($A64))))&gt;0)),"; "&amp;"Este profesor ya da clase a otro grupo en este mismo turno","")&amp;IF(AND(NOT(($D64="")),(SUMPRODUCT(1*((EXACT('Casillas del horario'!$B$4:$B$73,$B64)))*((EXACT('Casillas del horario'!$C$4:$C$73,$C64)))*((EXACT('Casillas del horario'!$H$4:$H$73,$H64)))*((ROW('Casillas del horario'!$A$4:$A$73)&lt;&gt;ROW($A64))))&gt;0)),"; "&amp;"Ese local esta ocupado por otro grupo a esa hora","")&amp;IF(EXACT($O64,"si"),"; "&amp;IF(ISNUMBER(IF(EXACT($I64,"no"),"Esta asignatura no admite turno doble y repite el dia en este grupo","Esta asignatura repite el dia en este grupo sin ser en turnos seguidos")),IF(IF(EXACT($I64,"no"),"Esta asignatura no admite turno doble y repite el dia en este grupo","Esta asignatura repite el dia en este grupo sin ser en turnos seguidos")=0,"0",ROUND(IF(EXACT($I64,"no"),"Esta asignatura no admite turno doble y repite el dia en este grupo","Esta asignatura repite el dia en este grupo sin ser en turnos seguidos"),9-INT(LOG10(ABS(IF(EXACT($I64,"no"),"Esta asignatura no admite turno doble y repite el dia en este grupo","Esta asignatura repite el dia en este grupo sin ser en turnos seguidos")))))&amp;""),IF(EXACT($I64,"no"),"Esta asignatura no admite turno doble y repite el dia en este grupo","Esta asignatura repite el dia en este grupo sin ser en turnos seguidos")&amp;""),"")&amp;IF(AND(NOT(($D64="")),EXACT($B64,$K64)),"; "&amp;"Es el dia de preparacion de la asignatura","")&amp;IF(AND(EXACT($D64,"EF"),(IFERROR(VALUE($C64&amp;""),0)&gt;3)),"; "&amp;"Educacion Fisica no puede caer despues del tercer turno","")&amp;IF(AND(NOT(($D64="")),EXACT($J64,"no"),(IFERROR(VALUE($C64&amp;""),0)&gt;6)),"; "&amp;"Esta asignatura no admite turnos de tarde","")&amp;IF(AND(NOT(($D64="")),EXACT($L64,"si"),EXACT($N64,"no")),"; "&amp;"Este profesor esta contratado y no asiste al centro este dia","")&amp;IF(AND(NOT(($D64="")),EXACT($M64,"si"),EXACT($C64,1)),"; "&amp;"Se preferiria no darle el primer turno a un profesor que vive lejos","")&amp;IF(($D64=""),"; "&amp;"Turno sin asignar",""),3,32767)</f>
        <v/>
      </c>
      <c r="Q64" s="3">
        <f>IF(OR(AND(NOT(($D64="")),(SUMPRODUCT(1*((EXACT('Casillas del horario'!$B$4:$B$73,$B64)))*((EXACT('Casillas del horario'!$C$4:$C$73,$C64)))*((EXACT('Casillas del horario'!$F$4:$F$73,$F64)))*((ROW('Casillas del horario'!$A$4:$A$73)&lt;&gt;ROW($A64))))&gt;0)),AND(NOT(($D64="")),(SUMPRODUCT(1*((EXACT('Casillas del horario'!$B$4:$B$73,$B64)))*((EXACT('Casillas del horario'!$C$4:$C$73,$C64)))*((EXACT('Casillas del horario'!$H$4:$H$73,$H64)))*((ROW('Casillas del horario'!$A$4:$A$73)&lt;&gt;ROW($A64))))&gt;0)),EXACT($O64,"si"),AND(NOT(($D64="")),EXACT($B64,$K64)),AND(EXACT($D64,"EF"),(IFERROR(VALUE($C64&amp;""),0)&gt;3)),AND(NOT(($D64="")),EXACT($J64,"no"),(IFERROR(VALUE($C64&amp;""),0)&gt;6)),AND(NOT(($D64="")),EXACT($L64,"si"),EXACT($N64,"no"))),3,IF(OR(AND(NOT(($D64="")),EXACT($M64,"si"),EXACT($C64,1))),2,IF(OR(($D64="")),1,0)))</f>
        <v/>
      </c>
      <c r="R64" s="3">
        <f>$A64&amp;CHAR(31)&amp;$C64&amp;CHAR(31)&amp;$B64</f>
        <v/>
      </c>
      <c r="S64" s="3">
        <f>$F64&amp;CHAR(31)&amp;$C64&amp;CHAR(31)&amp;$B64</f>
        <v/>
      </c>
      <c r="T64" s="3">
        <f>$H64&amp;CHAR(31)&amp;$C64&amp;CHAR(31)&amp;$B64</f>
        <v/>
      </c>
    </row>
    <row r="65">
      <c r="A65" s="3" t="inlineStr">
        <is>
          <t>10-3</t>
        </is>
      </c>
      <c r="B65" s="3" t="inlineStr">
        <is>
          <t>M</t>
        </is>
      </c>
      <c r="C65" s="3" t="n">
        <v>7</v>
      </c>
      <c r="D65" s="4" t="n"/>
      <c r="E65" s="3">
        <f>IF(ISNA(MATCH(1,INDEX(EXACT('Asignaturas'!$A$4:$A$18,$D65)*1,0),0)),"",IF(ISBLANK(INDEX('Asignaturas'!$B$4:$B$18,MATCH(1,INDEX(EXACT('Asignaturas'!$A$4:$A$18,$D65)*1,0),0))),"",INDEX('Asignaturas'!$B$4:$B$18,MATCH(1,INDEX(EXACT('Asignaturas'!$A$4:$A$18,$D65)*1,0),0))))</f>
        <v/>
      </c>
      <c r="F65" s="3">
        <f>IF(ISNA(MATCH(1,INDEX(1*(EXACT('Frecuencias por grupo'!$A$4:$A$33,$A65))*(EXACT('Frecuencias por grupo'!$B$4:$B$33,$D65)),0),0)),"",IF(ISBLANK(INDEX('Frecuencias por grupo'!$C$4:$C$33,MATCH(1,INDEX(1*(EXACT('Frecuencias por grupo'!$A$4:$A$33,$A65))*(EXACT('Frecuencias por grupo'!$B$4:$B$33,$D65)),0),0))),"",INDEX('Frecuencias por grupo'!$C$4:$C$33,MATCH(1,INDEX(1*(EXACT('Frecuencias por grupo'!$A$4:$A$33,$A65))*(EXACT('Frecuencias por grupo'!$B$4:$B$33,$D65)),0),0))))</f>
        <v/>
      </c>
      <c r="G65" s="3">
        <f>IF(ISNA(MATCH(1,INDEX(EXACT('Asignaturas'!$A$4:$A$18,$D65)*1,0),0)),"",IF(ISBLANK(INDEX('Asignaturas'!$G$4:$G$18,MATCH(1,INDEX(EXACT('Asignaturas'!$A$4:$A$18,$D65)*1,0),0))),"",INDEX('Asignaturas'!$G$4:$G$18,MATCH(1,INDEX(EXACT('Asignaturas'!$A$4:$A$18,$D65)*1,0),0))))</f>
        <v/>
      </c>
      <c r="H65" s="3">
        <f>IF(($D65=""),"",IF(($G65=""),("Aula "&amp;IF(ISNUMBER($A65),IF($A65=0,"0",ROUND($A65,9-INT(LOG10(ABS($A65))))&amp;""),$A65&amp;"")),$G65))</f>
        <v/>
      </c>
      <c r="I65" s="3">
        <f>IF(ISNA(MATCH(1,INDEX(EXACT('Asignaturas'!$A$4:$A$18,$D65)*1,0),0)),"no",IF(ISBLANK(INDEX('Asignaturas'!$D$4:$D$18,MATCH(1,INDEX(EXACT('Asignaturas'!$A$4:$A$18,$D65)*1,0),0))),"",INDEX('Asignaturas'!$D$4:$D$18,MATCH(1,INDEX(EXACT('Asignaturas'!$A$4:$A$18,$D65)*1,0),0))))</f>
        <v/>
      </c>
      <c r="J65" s="3">
        <f>IF(ISNA(MATCH(1,INDEX(EXACT('Asignaturas'!$A$4:$A$18,$D65)*1,0),0)),"no",IF(ISBLANK(INDEX('Asignaturas'!$E$4:$E$18,MATCH(1,INDEX(EXACT('Asignaturas'!$A$4:$A$18,$D65)*1,0),0))),"",INDEX('Asignaturas'!$E$4:$E$18,MATCH(1,INDEX(EXACT('Asignaturas'!$A$4:$A$18,$D65)*1,0),0))))</f>
        <v/>
      </c>
      <c r="K65" s="3">
        <f>IF(ISNA(MATCH(1,INDEX(EXACT('Asignaturas'!$A$4:$A$18,$D65)*1,0),0)),"",IF(ISBLANK(INDEX('Asignaturas'!$F$4:$F$18,MATCH(1,INDEX(EXACT('Asignaturas'!$A$4:$A$18,$D65)*1,0),0))),"",INDEX('Asignaturas'!$F$4:$F$18,MATCH(1,INDEX(EXACT('Asignaturas'!$A$4:$A$18,$D65)*1,0),0))))</f>
        <v/>
      </c>
      <c r="L65" s="3">
        <f>IF(ISNA(MATCH(1,INDEX(EXACT('Profesores'!$A$4:$A$33,$F65)*1,0),0)),"no",IF(ISBLANK(INDEX('Profesores'!$B$4:$B$33,MATCH(1,INDEX(EXACT('Profesores'!$A$4:$A$33,$F65)*1,0),0))),"",INDEX('Profesores'!$B$4:$B$33,MATCH(1,INDEX(EXACT('Profesores'!$A$4:$A$33,$F65)*1,0),0))))</f>
        <v/>
      </c>
      <c r="M65" s="3">
        <f>IF(ISNA(MATCH(1,INDEX(EXACT('Profesores'!$A$4:$A$33,$F65)*1,0),0)),"no",IF(ISBLANK(INDEX('Profesores'!$C$4:$C$33,MATCH(1,INDEX(EXACT('Profesores'!$A$4:$A$33,$F65)*1,0),0))),"",INDEX('Profesores'!$C$4:$C$33,MATCH(1,INDEX(EXACT('Profesores'!$A$4:$A$33,$F65)*1,0),0))))</f>
        <v/>
      </c>
      <c r="N65" s="3">
        <f>IF(ISNA(MATCH(1,INDEX(1*((('Dias que asisten los contratado'!$A$4:$A$4&lt;&gt;"")+('Dias que asisten los contratado'!$B$4:$B$4&lt;&gt;""))&gt;0)*(EXACT('Dias que asisten los contratado'!$A$4:$A$4,$F65))*(EXACT('Dias que asisten los contratado'!$B$4:$B$4,$B65)),0),0)),"no",IF(ISBLANK(INDEX('Dias que asisten los contratado'!$C$4:$C$4,MATCH(1,INDEX(1*((('Dias que asisten los contratado'!$A$4:$A$4&lt;&gt;"")+('Dias que asisten los contratado'!$B$4:$B$4&lt;&gt;""))&gt;0)*(EXACT('Dias que asisten los contratado'!$A$4:$A$4,$F65))*(EXACT('Dias que asisten los contratado'!$B$4:$B$4,$B65)),0),0))),"",INDEX('Dias que asisten los contratado'!$C$4:$C$4,MATCH(1,INDEX(1*((('Dias que asisten los contratado'!$A$4:$A$4&lt;&gt;"")+('Dias que asisten los contratado'!$B$4:$B$4&lt;&gt;""))&gt;0)*(EXACT('Dias que asisten los contratado'!$A$4:$A$4,$F65))*(EXACT('Dias que asisten los contratado'!$B$4:$B$4,$B65)),0),0))))</f>
        <v/>
      </c>
      <c r="O65" s="3">
        <f>IF(AND(NOT(($D65="")),(SUMPRODUCT(1*((EXACT('Casillas del horario'!$A$4:$A$73,$A65)))*((EXACT('Casillas del horario'!$B$4:$B$73,$B65)))*((EXACT('Casillas del horario'!$D$4:$D$73,$D65)))*(((((EXACT($I65,"no")))+((NOT(EXACT('Casillas del horario'!$C$4:$C$73,(IFERROR(VALUE($C65&amp;""),0)+1))))*(NOT(EXACT('Casillas del horario'!$C$4:$C$73,(IFERROR(VALUE($C65&amp;""),0)-1))))))&gt;0))*((ROW('Casillas del horario'!$A$4:$A$73)&lt;&gt;ROW($A65))))&gt;0)),"si","no")</f>
        <v/>
      </c>
      <c r="P65" s="3">
        <f>MID(IF(AND(NOT(($D65="")),(SUMPRODUCT(1*((EXACT('Casillas del horario'!$B$4:$B$73,$B65)))*((EXACT('Casillas del horario'!$C$4:$C$73,$C65)))*((EXACT('Casillas del horario'!$F$4:$F$73,$F65)))*((ROW('Casillas del horario'!$A$4:$A$73)&lt;&gt;ROW($A65))))&gt;0)),"; "&amp;"Este profesor ya da clase a otro grupo en este mismo turno","")&amp;IF(AND(NOT(($D65="")),(SUMPRODUCT(1*((EXACT('Casillas del horario'!$B$4:$B$73,$B65)))*((EXACT('Casillas del horario'!$C$4:$C$73,$C65)))*((EXACT('Casillas del horario'!$H$4:$H$73,$H65)))*((ROW('Casillas del horario'!$A$4:$A$73)&lt;&gt;ROW($A65))))&gt;0)),"; "&amp;"Ese local esta ocupado por otro grupo a esa hora","")&amp;IF(EXACT($O65,"si"),"; "&amp;IF(ISNUMBER(IF(EXACT($I65,"no"),"Esta asignatura no admite turno doble y repite el dia en este grupo","Esta asignatura repite el dia en este grupo sin ser en turnos seguidos")),IF(IF(EXACT($I65,"no"),"Esta asignatura no admite turno doble y repite el dia en este grupo","Esta asignatura repite el dia en este grupo sin ser en turnos seguidos")=0,"0",ROUND(IF(EXACT($I65,"no"),"Esta asignatura no admite turno doble y repite el dia en este grupo","Esta asignatura repite el dia en este grupo sin ser en turnos seguidos"),9-INT(LOG10(ABS(IF(EXACT($I65,"no"),"Esta asignatura no admite turno doble y repite el dia en este grupo","Esta asignatura repite el dia en este grupo sin ser en turnos seguidos")))))&amp;""),IF(EXACT($I65,"no"),"Esta asignatura no admite turno doble y repite el dia en este grupo","Esta asignatura repite el dia en este grupo sin ser en turnos seguidos")&amp;""),"")&amp;IF(AND(NOT(($D65="")),EXACT($B65,$K65)),"; "&amp;"Es el dia de preparacion de la asignatura","")&amp;IF(AND(EXACT($D65,"EF"),(IFERROR(VALUE($C65&amp;""),0)&gt;3)),"; "&amp;"Educacion Fisica no puede caer despues del tercer turno","")&amp;IF(AND(NOT(($D65="")),EXACT($J65,"no"),(IFERROR(VALUE($C65&amp;""),0)&gt;6)),"; "&amp;"Esta asignatura no admite turnos de tarde","")&amp;IF(AND(NOT(($D65="")),EXACT($L65,"si"),EXACT($N65,"no")),"; "&amp;"Este profesor esta contratado y no asiste al centro este dia","")&amp;IF(AND(NOT(($D65="")),EXACT($M65,"si"),EXACT($C65,1)),"; "&amp;"Se preferiria no darle el primer turno a un profesor que vive lejos","")&amp;IF(($D65=""),"; "&amp;"Turno sin asignar",""),3,32767)</f>
        <v/>
      </c>
      <c r="Q65" s="3">
        <f>IF(OR(AND(NOT(($D65="")),(SUMPRODUCT(1*((EXACT('Casillas del horario'!$B$4:$B$73,$B65)))*((EXACT('Casillas del horario'!$C$4:$C$73,$C65)))*((EXACT('Casillas del horario'!$F$4:$F$73,$F65)))*((ROW('Casillas del horario'!$A$4:$A$73)&lt;&gt;ROW($A65))))&gt;0)),AND(NOT(($D65="")),(SUMPRODUCT(1*((EXACT('Casillas del horario'!$B$4:$B$73,$B65)))*((EXACT('Casillas del horario'!$C$4:$C$73,$C65)))*((EXACT('Casillas del horario'!$H$4:$H$73,$H65)))*((ROW('Casillas del horario'!$A$4:$A$73)&lt;&gt;ROW($A65))))&gt;0)),EXACT($O65,"si"),AND(NOT(($D65="")),EXACT($B65,$K65)),AND(EXACT($D65,"EF"),(IFERROR(VALUE($C65&amp;""),0)&gt;3)),AND(NOT(($D65="")),EXACT($J65,"no"),(IFERROR(VALUE($C65&amp;""),0)&gt;6)),AND(NOT(($D65="")),EXACT($L65,"si"),EXACT($N65,"no"))),3,IF(OR(AND(NOT(($D65="")),EXACT($M65,"si"),EXACT($C65,1))),2,IF(OR(($D65="")),1,0)))</f>
        <v/>
      </c>
      <c r="R65" s="3">
        <f>$A65&amp;CHAR(31)&amp;$C65&amp;CHAR(31)&amp;$B65</f>
        <v/>
      </c>
      <c r="S65" s="3">
        <f>$F65&amp;CHAR(31)&amp;$C65&amp;CHAR(31)&amp;$B65</f>
        <v/>
      </c>
      <c r="T65" s="3">
        <f>$H65&amp;CHAR(31)&amp;$C65&amp;CHAR(31)&amp;$B65</f>
        <v/>
      </c>
    </row>
    <row r="66">
      <c r="A66" s="3" t="inlineStr">
        <is>
          <t>10-3</t>
        </is>
      </c>
      <c r="B66" s="3" t="inlineStr">
        <is>
          <t>MI</t>
        </is>
      </c>
      <c r="C66" s="3" t="n">
        <v>7</v>
      </c>
      <c r="D66" s="4" t="inlineStr">
        <is>
          <t>AL/AC</t>
        </is>
      </c>
      <c r="E66" s="3">
        <f>IF(ISNA(MATCH(1,INDEX(EXACT('Asignaturas'!$A$4:$A$18,$D66)*1,0),0)),"",IF(ISBLANK(INDEX('Asignaturas'!$B$4:$B$18,MATCH(1,INDEX(EXACT('Asignaturas'!$A$4:$A$18,$D66)*1,0),0))),"",INDEX('Asignaturas'!$B$4:$B$18,MATCH(1,INDEX(EXACT('Asignaturas'!$A$4:$A$18,$D66)*1,0),0))))</f>
        <v/>
      </c>
      <c r="F66" s="3">
        <f>IF(ISNA(MATCH(1,INDEX(1*(EXACT('Frecuencias por grupo'!$A$4:$A$33,$A66))*(EXACT('Frecuencias por grupo'!$B$4:$B$33,$D66)),0),0)),"",IF(ISBLANK(INDEX('Frecuencias por grupo'!$C$4:$C$33,MATCH(1,INDEX(1*(EXACT('Frecuencias por grupo'!$A$4:$A$33,$A66))*(EXACT('Frecuencias por grupo'!$B$4:$B$33,$D66)),0),0))),"",INDEX('Frecuencias por grupo'!$C$4:$C$33,MATCH(1,INDEX(1*(EXACT('Frecuencias por grupo'!$A$4:$A$33,$A66))*(EXACT('Frecuencias por grupo'!$B$4:$B$33,$D66)),0),0))))</f>
        <v/>
      </c>
      <c r="G66" s="3">
        <f>IF(ISNA(MATCH(1,INDEX(EXACT('Asignaturas'!$A$4:$A$18,$D66)*1,0),0)),"",IF(ISBLANK(INDEX('Asignaturas'!$G$4:$G$18,MATCH(1,INDEX(EXACT('Asignaturas'!$A$4:$A$18,$D66)*1,0),0))),"",INDEX('Asignaturas'!$G$4:$G$18,MATCH(1,INDEX(EXACT('Asignaturas'!$A$4:$A$18,$D66)*1,0),0))))</f>
        <v/>
      </c>
      <c r="H66" s="3">
        <f>IF(($D66=""),"",IF(($G66=""),("Aula "&amp;IF(ISNUMBER($A66),IF($A66=0,"0",ROUND($A66,9-INT(LOG10(ABS($A66))))&amp;""),$A66&amp;"")),$G66))</f>
        <v/>
      </c>
      <c r="I66" s="3">
        <f>IF(ISNA(MATCH(1,INDEX(EXACT('Asignaturas'!$A$4:$A$18,$D66)*1,0),0)),"no",IF(ISBLANK(INDEX('Asignaturas'!$D$4:$D$18,MATCH(1,INDEX(EXACT('Asignaturas'!$A$4:$A$18,$D66)*1,0),0))),"",INDEX('Asignaturas'!$D$4:$D$18,MATCH(1,INDEX(EXACT('Asignaturas'!$A$4:$A$18,$D66)*1,0),0))))</f>
        <v/>
      </c>
      <c r="J66" s="3">
        <f>IF(ISNA(MATCH(1,INDEX(EXACT('Asignaturas'!$A$4:$A$18,$D66)*1,0),0)),"no",IF(ISBLANK(INDEX('Asignaturas'!$E$4:$E$18,MATCH(1,INDEX(EXACT('Asignaturas'!$A$4:$A$18,$D66)*1,0),0))),"",INDEX('Asignaturas'!$E$4:$E$18,MATCH(1,INDEX(EXACT('Asignaturas'!$A$4:$A$18,$D66)*1,0),0))))</f>
        <v/>
      </c>
      <c r="K66" s="3">
        <f>IF(ISNA(MATCH(1,INDEX(EXACT('Asignaturas'!$A$4:$A$18,$D66)*1,0),0)),"",IF(ISBLANK(INDEX('Asignaturas'!$F$4:$F$18,MATCH(1,INDEX(EXACT('Asignaturas'!$A$4:$A$18,$D66)*1,0),0))),"",INDEX('Asignaturas'!$F$4:$F$18,MATCH(1,INDEX(EXACT('Asignaturas'!$A$4:$A$18,$D66)*1,0),0))))</f>
        <v/>
      </c>
      <c r="L66" s="3">
        <f>IF(ISNA(MATCH(1,INDEX(EXACT('Profesores'!$A$4:$A$33,$F66)*1,0),0)),"no",IF(ISBLANK(INDEX('Profesores'!$B$4:$B$33,MATCH(1,INDEX(EXACT('Profesores'!$A$4:$A$33,$F66)*1,0),0))),"",INDEX('Profesores'!$B$4:$B$33,MATCH(1,INDEX(EXACT('Profesores'!$A$4:$A$33,$F66)*1,0),0))))</f>
        <v/>
      </c>
      <c r="M66" s="3">
        <f>IF(ISNA(MATCH(1,INDEX(EXACT('Profesores'!$A$4:$A$33,$F66)*1,0),0)),"no",IF(ISBLANK(INDEX('Profesores'!$C$4:$C$33,MATCH(1,INDEX(EXACT('Profesores'!$A$4:$A$33,$F66)*1,0),0))),"",INDEX('Profesores'!$C$4:$C$33,MATCH(1,INDEX(EXACT('Profesores'!$A$4:$A$33,$F66)*1,0),0))))</f>
        <v/>
      </c>
      <c r="N66" s="3">
        <f>IF(ISNA(MATCH(1,INDEX(1*((('Dias que asisten los contratado'!$A$4:$A$4&lt;&gt;"")+('Dias que asisten los contratado'!$B$4:$B$4&lt;&gt;""))&gt;0)*(EXACT('Dias que asisten los contratado'!$A$4:$A$4,$F66))*(EXACT('Dias que asisten los contratado'!$B$4:$B$4,$B66)),0),0)),"no",IF(ISBLANK(INDEX('Dias que asisten los contratado'!$C$4:$C$4,MATCH(1,INDEX(1*((('Dias que asisten los contratado'!$A$4:$A$4&lt;&gt;"")+('Dias que asisten los contratado'!$B$4:$B$4&lt;&gt;""))&gt;0)*(EXACT('Dias que asisten los contratado'!$A$4:$A$4,$F66))*(EXACT('Dias que asisten los contratado'!$B$4:$B$4,$B66)),0),0))),"",INDEX('Dias que asisten los contratado'!$C$4:$C$4,MATCH(1,INDEX(1*((('Dias que asisten los contratado'!$A$4:$A$4&lt;&gt;"")+('Dias que asisten los contratado'!$B$4:$B$4&lt;&gt;""))&gt;0)*(EXACT('Dias que asisten los contratado'!$A$4:$A$4,$F66))*(EXACT('Dias que asisten los contratado'!$B$4:$B$4,$B66)),0),0))))</f>
        <v/>
      </c>
      <c r="O66" s="3">
        <f>IF(AND(NOT(($D66="")),(SUMPRODUCT(1*((EXACT('Casillas del horario'!$A$4:$A$73,$A66)))*((EXACT('Casillas del horario'!$B$4:$B$73,$B66)))*((EXACT('Casillas del horario'!$D$4:$D$73,$D66)))*(((((EXACT($I66,"no")))+((NOT(EXACT('Casillas del horario'!$C$4:$C$73,(IFERROR(VALUE($C66&amp;""),0)+1))))*(NOT(EXACT('Casillas del horario'!$C$4:$C$73,(IFERROR(VALUE($C66&amp;""),0)-1))))))&gt;0))*((ROW('Casillas del horario'!$A$4:$A$73)&lt;&gt;ROW($A66))))&gt;0)),"si","no")</f>
        <v/>
      </c>
      <c r="P66" s="3">
        <f>MID(IF(AND(NOT(($D66="")),(SUMPRODUCT(1*((EXACT('Casillas del horario'!$B$4:$B$73,$B66)))*((EXACT('Casillas del horario'!$C$4:$C$73,$C66)))*((EXACT('Casillas del horario'!$F$4:$F$73,$F66)))*((ROW('Casillas del horario'!$A$4:$A$73)&lt;&gt;ROW($A66))))&gt;0)),"; "&amp;"Este profesor ya da clase a otro grupo en este mismo turno","")&amp;IF(AND(NOT(($D66="")),(SUMPRODUCT(1*((EXACT('Casillas del horario'!$B$4:$B$73,$B66)))*((EXACT('Casillas del horario'!$C$4:$C$73,$C66)))*((EXACT('Casillas del horario'!$H$4:$H$73,$H66)))*((ROW('Casillas del horario'!$A$4:$A$73)&lt;&gt;ROW($A66))))&gt;0)),"; "&amp;"Ese local esta ocupado por otro grupo a esa hora","")&amp;IF(EXACT($O66,"si"),"; "&amp;IF(ISNUMBER(IF(EXACT($I66,"no"),"Esta asignatura no admite turno doble y repite el dia en este grupo","Esta asignatura repite el dia en este grupo sin ser en turnos seguidos")),IF(IF(EXACT($I66,"no"),"Esta asignatura no admite turno doble y repite el dia en este grupo","Esta asignatura repite el dia en este grupo sin ser en turnos seguidos")=0,"0",ROUND(IF(EXACT($I66,"no"),"Esta asignatura no admite turno doble y repite el dia en este grupo","Esta asignatura repite el dia en este grupo sin ser en turnos seguidos"),9-INT(LOG10(ABS(IF(EXACT($I66,"no"),"Esta asignatura no admite turno doble y repite el dia en este grupo","Esta asignatura repite el dia en este grupo sin ser en turnos seguidos")))))&amp;""),IF(EXACT($I66,"no"),"Esta asignatura no admite turno doble y repite el dia en este grupo","Esta asignatura repite el dia en este grupo sin ser en turnos seguidos")&amp;""),"")&amp;IF(AND(NOT(($D66="")),EXACT($B66,$K66)),"; "&amp;"Es el dia de preparacion de la asignatura","")&amp;IF(AND(EXACT($D66,"EF"),(IFERROR(VALUE($C66&amp;""),0)&gt;3)),"; "&amp;"Educacion Fisica no puede caer despues del tercer turno","")&amp;IF(AND(NOT(($D66="")),EXACT($J66,"no"),(IFERROR(VALUE($C66&amp;""),0)&gt;6)),"; "&amp;"Esta asignatura no admite turnos de tarde","")&amp;IF(AND(NOT(($D66="")),EXACT($L66,"si"),EXACT($N66,"no")),"; "&amp;"Este profesor esta contratado y no asiste al centro este dia","")&amp;IF(AND(NOT(($D66="")),EXACT($M66,"si"),EXACT($C66,1)),"; "&amp;"Se preferiria no darle el primer turno a un profesor que vive lejos","")&amp;IF(($D66=""),"; "&amp;"Turno sin asignar",""),3,32767)</f>
        <v/>
      </c>
      <c r="Q66" s="3">
        <f>IF(OR(AND(NOT(($D66="")),(SUMPRODUCT(1*((EXACT('Casillas del horario'!$B$4:$B$73,$B66)))*((EXACT('Casillas del horario'!$C$4:$C$73,$C66)))*((EXACT('Casillas del horario'!$F$4:$F$73,$F66)))*((ROW('Casillas del horario'!$A$4:$A$73)&lt;&gt;ROW($A66))))&gt;0)),AND(NOT(($D66="")),(SUMPRODUCT(1*((EXACT('Casillas del horario'!$B$4:$B$73,$B66)))*((EXACT('Casillas del horario'!$C$4:$C$73,$C66)))*((EXACT('Casillas del horario'!$H$4:$H$73,$H66)))*((ROW('Casillas del horario'!$A$4:$A$73)&lt;&gt;ROW($A66))))&gt;0)),EXACT($O66,"si"),AND(NOT(($D66="")),EXACT($B66,$K66)),AND(EXACT($D66,"EF"),(IFERROR(VALUE($C66&amp;""),0)&gt;3)),AND(NOT(($D66="")),EXACT($J66,"no"),(IFERROR(VALUE($C66&amp;""),0)&gt;6)),AND(NOT(($D66="")),EXACT($L66,"si"),EXACT($N66,"no"))),3,IF(OR(AND(NOT(($D66="")),EXACT($M66,"si"),EXACT($C66,1))),2,IF(OR(($D66="")),1,0)))</f>
        <v/>
      </c>
      <c r="R66" s="3">
        <f>$A66&amp;CHAR(31)&amp;$C66&amp;CHAR(31)&amp;$B66</f>
        <v/>
      </c>
      <c r="S66" s="3">
        <f>$F66&amp;CHAR(31)&amp;$C66&amp;CHAR(31)&amp;$B66</f>
        <v/>
      </c>
      <c r="T66" s="3">
        <f>$H66&amp;CHAR(31)&amp;$C66&amp;CHAR(31)&amp;$B66</f>
        <v/>
      </c>
    </row>
    <row r="67">
      <c r="A67" s="3" t="inlineStr">
        <is>
          <t>10-3</t>
        </is>
      </c>
      <c r="B67" s="3" t="inlineStr">
        <is>
          <t>J</t>
        </is>
      </c>
      <c r="C67" s="3" t="n">
        <v>7</v>
      </c>
      <c r="D67" s="4" t="n"/>
      <c r="E67" s="3">
        <f>IF(ISNA(MATCH(1,INDEX(EXACT('Asignaturas'!$A$4:$A$18,$D67)*1,0),0)),"",IF(ISBLANK(INDEX('Asignaturas'!$B$4:$B$18,MATCH(1,INDEX(EXACT('Asignaturas'!$A$4:$A$18,$D67)*1,0),0))),"",INDEX('Asignaturas'!$B$4:$B$18,MATCH(1,INDEX(EXACT('Asignaturas'!$A$4:$A$18,$D67)*1,0),0))))</f>
        <v/>
      </c>
      <c r="F67" s="3">
        <f>IF(ISNA(MATCH(1,INDEX(1*(EXACT('Frecuencias por grupo'!$A$4:$A$33,$A67))*(EXACT('Frecuencias por grupo'!$B$4:$B$33,$D67)),0),0)),"",IF(ISBLANK(INDEX('Frecuencias por grupo'!$C$4:$C$33,MATCH(1,INDEX(1*(EXACT('Frecuencias por grupo'!$A$4:$A$33,$A67))*(EXACT('Frecuencias por grupo'!$B$4:$B$33,$D67)),0),0))),"",INDEX('Frecuencias por grupo'!$C$4:$C$33,MATCH(1,INDEX(1*(EXACT('Frecuencias por grupo'!$A$4:$A$33,$A67))*(EXACT('Frecuencias por grupo'!$B$4:$B$33,$D67)),0),0))))</f>
        <v/>
      </c>
      <c r="G67" s="3">
        <f>IF(ISNA(MATCH(1,INDEX(EXACT('Asignaturas'!$A$4:$A$18,$D67)*1,0),0)),"",IF(ISBLANK(INDEX('Asignaturas'!$G$4:$G$18,MATCH(1,INDEX(EXACT('Asignaturas'!$A$4:$A$18,$D67)*1,0),0))),"",INDEX('Asignaturas'!$G$4:$G$18,MATCH(1,INDEX(EXACT('Asignaturas'!$A$4:$A$18,$D67)*1,0),0))))</f>
        <v/>
      </c>
      <c r="H67" s="3">
        <f>IF(($D67=""),"",IF(($G67=""),("Aula "&amp;IF(ISNUMBER($A67),IF($A67=0,"0",ROUND($A67,9-INT(LOG10(ABS($A67))))&amp;""),$A67&amp;"")),$G67))</f>
        <v/>
      </c>
      <c r="I67" s="3">
        <f>IF(ISNA(MATCH(1,INDEX(EXACT('Asignaturas'!$A$4:$A$18,$D67)*1,0),0)),"no",IF(ISBLANK(INDEX('Asignaturas'!$D$4:$D$18,MATCH(1,INDEX(EXACT('Asignaturas'!$A$4:$A$18,$D67)*1,0),0))),"",INDEX('Asignaturas'!$D$4:$D$18,MATCH(1,INDEX(EXACT('Asignaturas'!$A$4:$A$18,$D67)*1,0),0))))</f>
        <v/>
      </c>
      <c r="J67" s="3">
        <f>IF(ISNA(MATCH(1,INDEX(EXACT('Asignaturas'!$A$4:$A$18,$D67)*1,0),0)),"no",IF(ISBLANK(INDEX('Asignaturas'!$E$4:$E$18,MATCH(1,INDEX(EXACT('Asignaturas'!$A$4:$A$18,$D67)*1,0),0))),"",INDEX('Asignaturas'!$E$4:$E$18,MATCH(1,INDEX(EXACT('Asignaturas'!$A$4:$A$18,$D67)*1,0),0))))</f>
        <v/>
      </c>
      <c r="K67" s="3">
        <f>IF(ISNA(MATCH(1,INDEX(EXACT('Asignaturas'!$A$4:$A$18,$D67)*1,0),0)),"",IF(ISBLANK(INDEX('Asignaturas'!$F$4:$F$18,MATCH(1,INDEX(EXACT('Asignaturas'!$A$4:$A$18,$D67)*1,0),0))),"",INDEX('Asignaturas'!$F$4:$F$18,MATCH(1,INDEX(EXACT('Asignaturas'!$A$4:$A$18,$D67)*1,0),0))))</f>
        <v/>
      </c>
      <c r="L67" s="3">
        <f>IF(ISNA(MATCH(1,INDEX(EXACT('Profesores'!$A$4:$A$33,$F67)*1,0),0)),"no",IF(ISBLANK(INDEX('Profesores'!$B$4:$B$33,MATCH(1,INDEX(EXACT('Profesores'!$A$4:$A$33,$F67)*1,0),0))),"",INDEX('Profesores'!$B$4:$B$33,MATCH(1,INDEX(EXACT('Profesores'!$A$4:$A$33,$F67)*1,0),0))))</f>
        <v/>
      </c>
      <c r="M67" s="3">
        <f>IF(ISNA(MATCH(1,INDEX(EXACT('Profesores'!$A$4:$A$33,$F67)*1,0),0)),"no",IF(ISBLANK(INDEX('Profesores'!$C$4:$C$33,MATCH(1,INDEX(EXACT('Profesores'!$A$4:$A$33,$F67)*1,0),0))),"",INDEX('Profesores'!$C$4:$C$33,MATCH(1,INDEX(EXACT('Profesores'!$A$4:$A$33,$F67)*1,0),0))))</f>
        <v/>
      </c>
      <c r="N67" s="3">
        <f>IF(ISNA(MATCH(1,INDEX(1*((('Dias que asisten los contratado'!$A$4:$A$4&lt;&gt;"")+('Dias que asisten los contratado'!$B$4:$B$4&lt;&gt;""))&gt;0)*(EXACT('Dias que asisten los contratado'!$A$4:$A$4,$F67))*(EXACT('Dias que asisten los contratado'!$B$4:$B$4,$B67)),0),0)),"no",IF(ISBLANK(INDEX('Dias que asisten los contratado'!$C$4:$C$4,MATCH(1,INDEX(1*((('Dias que asisten los contratado'!$A$4:$A$4&lt;&gt;"")+('Dias que asisten los contratado'!$B$4:$B$4&lt;&gt;""))&gt;0)*(EXACT('Dias que asisten los contratado'!$A$4:$A$4,$F67))*(EXACT('Dias que asisten los contratado'!$B$4:$B$4,$B67)),0),0))),"",INDEX('Dias que asisten los contratado'!$C$4:$C$4,MATCH(1,INDEX(1*((('Dias que asisten los contratado'!$A$4:$A$4&lt;&gt;"")+('Dias que asisten los contratado'!$B$4:$B$4&lt;&gt;""))&gt;0)*(EXACT('Dias que asisten los contratado'!$A$4:$A$4,$F67))*(EXACT('Dias que asisten los contratado'!$B$4:$B$4,$B67)),0),0))))</f>
        <v/>
      </c>
      <c r="O67" s="3">
        <f>IF(AND(NOT(($D67="")),(SUMPRODUCT(1*((EXACT('Casillas del horario'!$A$4:$A$73,$A67)))*((EXACT('Casillas del horario'!$B$4:$B$73,$B67)))*((EXACT('Casillas del horario'!$D$4:$D$73,$D67)))*(((((EXACT($I67,"no")))+((NOT(EXACT('Casillas del horario'!$C$4:$C$73,(IFERROR(VALUE($C67&amp;""),0)+1))))*(NOT(EXACT('Casillas del horario'!$C$4:$C$73,(IFERROR(VALUE($C67&amp;""),0)-1))))))&gt;0))*((ROW('Casillas del horario'!$A$4:$A$73)&lt;&gt;ROW($A67))))&gt;0)),"si","no")</f>
        <v/>
      </c>
      <c r="P67" s="3">
        <f>MID(IF(AND(NOT(($D67="")),(SUMPRODUCT(1*((EXACT('Casillas del horario'!$B$4:$B$73,$B67)))*((EXACT('Casillas del horario'!$C$4:$C$73,$C67)))*((EXACT('Casillas del horario'!$F$4:$F$73,$F67)))*((ROW('Casillas del horario'!$A$4:$A$73)&lt;&gt;ROW($A67))))&gt;0)),"; "&amp;"Este profesor ya da clase a otro grupo en este mismo turno","")&amp;IF(AND(NOT(($D67="")),(SUMPRODUCT(1*((EXACT('Casillas del horario'!$B$4:$B$73,$B67)))*((EXACT('Casillas del horario'!$C$4:$C$73,$C67)))*((EXACT('Casillas del horario'!$H$4:$H$73,$H67)))*((ROW('Casillas del horario'!$A$4:$A$73)&lt;&gt;ROW($A67))))&gt;0)),"; "&amp;"Ese local esta ocupado por otro grupo a esa hora","")&amp;IF(EXACT($O67,"si"),"; "&amp;IF(ISNUMBER(IF(EXACT($I67,"no"),"Esta asignatura no admite turno doble y repite el dia en este grupo","Esta asignatura repite el dia en este grupo sin ser en turnos seguidos")),IF(IF(EXACT($I67,"no"),"Esta asignatura no admite turno doble y repite el dia en este grupo","Esta asignatura repite el dia en este grupo sin ser en turnos seguidos")=0,"0",ROUND(IF(EXACT($I67,"no"),"Esta asignatura no admite turno doble y repite el dia en este grupo","Esta asignatura repite el dia en este grupo sin ser en turnos seguidos"),9-INT(LOG10(ABS(IF(EXACT($I67,"no"),"Esta asignatura no admite turno doble y repite el dia en este grupo","Esta asignatura repite el dia en este grupo sin ser en turnos seguidos")))))&amp;""),IF(EXACT($I67,"no"),"Esta asignatura no admite turno doble y repite el dia en este grupo","Esta asignatura repite el dia en este grupo sin ser en turnos seguidos")&amp;""),"")&amp;IF(AND(NOT(($D67="")),EXACT($B67,$K67)),"; "&amp;"Es el dia de preparacion de la asignatura","")&amp;IF(AND(EXACT($D67,"EF"),(IFERROR(VALUE($C67&amp;""),0)&gt;3)),"; "&amp;"Educacion Fisica no puede caer despues del tercer turno","")&amp;IF(AND(NOT(($D67="")),EXACT($J67,"no"),(IFERROR(VALUE($C67&amp;""),0)&gt;6)),"; "&amp;"Esta asignatura no admite turnos de tarde","")&amp;IF(AND(NOT(($D67="")),EXACT($L67,"si"),EXACT($N67,"no")),"; "&amp;"Este profesor esta contratado y no asiste al centro este dia","")&amp;IF(AND(NOT(($D67="")),EXACT($M67,"si"),EXACT($C67,1)),"; "&amp;"Se preferiria no darle el primer turno a un profesor que vive lejos","")&amp;IF(($D67=""),"; "&amp;"Turno sin asignar",""),3,32767)</f>
        <v/>
      </c>
      <c r="Q67" s="3">
        <f>IF(OR(AND(NOT(($D67="")),(SUMPRODUCT(1*((EXACT('Casillas del horario'!$B$4:$B$73,$B67)))*((EXACT('Casillas del horario'!$C$4:$C$73,$C67)))*((EXACT('Casillas del horario'!$F$4:$F$73,$F67)))*((ROW('Casillas del horario'!$A$4:$A$73)&lt;&gt;ROW($A67))))&gt;0)),AND(NOT(($D67="")),(SUMPRODUCT(1*((EXACT('Casillas del horario'!$B$4:$B$73,$B67)))*((EXACT('Casillas del horario'!$C$4:$C$73,$C67)))*((EXACT('Casillas del horario'!$H$4:$H$73,$H67)))*((ROW('Casillas del horario'!$A$4:$A$73)&lt;&gt;ROW($A67))))&gt;0)),EXACT($O67,"si"),AND(NOT(($D67="")),EXACT($B67,$K67)),AND(EXACT($D67,"EF"),(IFERROR(VALUE($C67&amp;""),0)&gt;3)),AND(NOT(($D67="")),EXACT($J67,"no"),(IFERROR(VALUE($C67&amp;""),0)&gt;6)),AND(NOT(($D67="")),EXACT($L67,"si"),EXACT($N67,"no"))),3,IF(OR(AND(NOT(($D67="")),EXACT($M67,"si"),EXACT($C67,1))),2,IF(OR(($D67="")),1,0)))</f>
        <v/>
      </c>
      <c r="R67" s="3">
        <f>$A67&amp;CHAR(31)&amp;$C67&amp;CHAR(31)&amp;$B67</f>
        <v/>
      </c>
      <c r="S67" s="3">
        <f>$F67&amp;CHAR(31)&amp;$C67&amp;CHAR(31)&amp;$B67</f>
        <v/>
      </c>
      <c r="T67" s="3">
        <f>$H67&amp;CHAR(31)&amp;$C67&amp;CHAR(31)&amp;$B67</f>
        <v/>
      </c>
    </row>
    <row r="68">
      <c r="A68" s="3" t="inlineStr">
        <is>
          <t>10-3</t>
        </is>
      </c>
      <c r="B68" s="3" t="inlineStr">
        <is>
          <t>V</t>
        </is>
      </c>
      <c r="C68" s="3" t="n">
        <v>7</v>
      </c>
      <c r="D68" s="4" t="n"/>
      <c r="E68" s="3">
        <f>IF(ISNA(MATCH(1,INDEX(EXACT('Asignaturas'!$A$4:$A$18,$D68)*1,0),0)),"",IF(ISBLANK(INDEX('Asignaturas'!$B$4:$B$18,MATCH(1,INDEX(EXACT('Asignaturas'!$A$4:$A$18,$D68)*1,0),0))),"",INDEX('Asignaturas'!$B$4:$B$18,MATCH(1,INDEX(EXACT('Asignaturas'!$A$4:$A$18,$D68)*1,0),0))))</f>
        <v/>
      </c>
      <c r="F68" s="3">
        <f>IF(ISNA(MATCH(1,INDEX(1*(EXACT('Frecuencias por grupo'!$A$4:$A$33,$A68))*(EXACT('Frecuencias por grupo'!$B$4:$B$33,$D68)),0),0)),"",IF(ISBLANK(INDEX('Frecuencias por grupo'!$C$4:$C$33,MATCH(1,INDEX(1*(EXACT('Frecuencias por grupo'!$A$4:$A$33,$A68))*(EXACT('Frecuencias por grupo'!$B$4:$B$33,$D68)),0),0))),"",INDEX('Frecuencias por grupo'!$C$4:$C$33,MATCH(1,INDEX(1*(EXACT('Frecuencias por grupo'!$A$4:$A$33,$A68))*(EXACT('Frecuencias por grupo'!$B$4:$B$33,$D68)),0),0))))</f>
        <v/>
      </c>
      <c r="G68" s="3">
        <f>IF(ISNA(MATCH(1,INDEX(EXACT('Asignaturas'!$A$4:$A$18,$D68)*1,0),0)),"",IF(ISBLANK(INDEX('Asignaturas'!$G$4:$G$18,MATCH(1,INDEX(EXACT('Asignaturas'!$A$4:$A$18,$D68)*1,0),0))),"",INDEX('Asignaturas'!$G$4:$G$18,MATCH(1,INDEX(EXACT('Asignaturas'!$A$4:$A$18,$D68)*1,0),0))))</f>
        <v/>
      </c>
      <c r="H68" s="3">
        <f>IF(($D68=""),"",IF(($G68=""),("Aula "&amp;IF(ISNUMBER($A68),IF($A68=0,"0",ROUND($A68,9-INT(LOG10(ABS($A68))))&amp;""),$A68&amp;"")),$G68))</f>
        <v/>
      </c>
      <c r="I68" s="3">
        <f>IF(ISNA(MATCH(1,INDEX(EXACT('Asignaturas'!$A$4:$A$18,$D68)*1,0),0)),"no",IF(ISBLANK(INDEX('Asignaturas'!$D$4:$D$18,MATCH(1,INDEX(EXACT('Asignaturas'!$A$4:$A$18,$D68)*1,0),0))),"",INDEX('Asignaturas'!$D$4:$D$18,MATCH(1,INDEX(EXACT('Asignaturas'!$A$4:$A$18,$D68)*1,0),0))))</f>
        <v/>
      </c>
      <c r="J68" s="3">
        <f>IF(ISNA(MATCH(1,INDEX(EXACT('Asignaturas'!$A$4:$A$18,$D68)*1,0),0)),"no",IF(ISBLANK(INDEX('Asignaturas'!$E$4:$E$18,MATCH(1,INDEX(EXACT('Asignaturas'!$A$4:$A$18,$D68)*1,0),0))),"",INDEX('Asignaturas'!$E$4:$E$18,MATCH(1,INDEX(EXACT('Asignaturas'!$A$4:$A$18,$D68)*1,0),0))))</f>
        <v/>
      </c>
      <c r="K68" s="3">
        <f>IF(ISNA(MATCH(1,INDEX(EXACT('Asignaturas'!$A$4:$A$18,$D68)*1,0),0)),"",IF(ISBLANK(INDEX('Asignaturas'!$F$4:$F$18,MATCH(1,INDEX(EXACT('Asignaturas'!$A$4:$A$18,$D68)*1,0),0))),"",INDEX('Asignaturas'!$F$4:$F$18,MATCH(1,INDEX(EXACT('Asignaturas'!$A$4:$A$18,$D68)*1,0),0))))</f>
        <v/>
      </c>
      <c r="L68" s="3">
        <f>IF(ISNA(MATCH(1,INDEX(EXACT('Profesores'!$A$4:$A$33,$F68)*1,0),0)),"no",IF(ISBLANK(INDEX('Profesores'!$B$4:$B$33,MATCH(1,INDEX(EXACT('Profesores'!$A$4:$A$33,$F68)*1,0),0))),"",INDEX('Profesores'!$B$4:$B$33,MATCH(1,INDEX(EXACT('Profesores'!$A$4:$A$33,$F68)*1,0),0))))</f>
        <v/>
      </c>
      <c r="M68" s="3">
        <f>IF(ISNA(MATCH(1,INDEX(EXACT('Profesores'!$A$4:$A$33,$F68)*1,0),0)),"no",IF(ISBLANK(INDEX('Profesores'!$C$4:$C$33,MATCH(1,INDEX(EXACT('Profesores'!$A$4:$A$33,$F68)*1,0),0))),"",INDEX('Profesores'!$C$4:$C$33,MATCH(1,INDEX(EXACT('Profesores'!$A$4:$A$33,$F68)*1,0),0))))</f>
        <v/>
      </c>
      <c r="N68" s="3">
        <f>IF(ISNA(MATCH(1,INDEX(1*((('Dias que asisten los contratado'!$A$4:$A$4&lt;&gt;"")+('Dias que asisten los contratado'!$B$4:$B$4&lt;&gt;""))&gt;0)*(EXACT('Dias que asisten los contratado'!$A$4:$A$4,$F68))*(EXACT('Dias que asisten los contratado'!$B$4:$B$4,$B68)),0),0)),"no",IF(ISBLANK(INDEX('Dias que asisten los contratado'!$C$4:$C$4,MATCH(1,INDEX(1*((('Dias que asisten los contratado'!$A$4:$A$4&lt;&gt;"")+('Dias que asisten los contratado'!$B$4:$B$4&lt;&gt;""))&gt;0)*(EXACT('Dias que asisten los contratado'!$A$4:$A$4,$F68))*(EXACT('Dias que asisten los contratado'!$B$4:$B$4,$B68)),0),0))),"",INDEX('Dias que asisten los contratado'!$C$4:$C$4,MATCH(1,INDEX(1*((('Dias que asisten los contratado'!$A$4:$A$4&lt;&gt;"")+('Dias que asisten los contratado'!$B$4:$B$4&lt;&gt;""))&gt;0)*(EXACT('Dias que asisten los contratado'!$A$4:$A$4,$F68))*(EXACT('Dias que asisten los contratado'!$B$4:$B$4,$B68)),0),0))))</f>
        <v/>
      </c>
      <c r="O68" s="3">
        <f>IF(AND(NOT(($D68="")),(SUMPRODUCT(1*((EXACT('Casillas del horario'!$A$4:$A$73,$A68)))*((EXACT('Casillas del horario'!$B$4:$B$73,$B68)))*((EXACT('Casillas del horario'!$D$4:$D$73,$D68)))*(((((EXACT($I68,"no")))+((NOT(EXACT('Casillas del horario'!$C$4:$C$73,(IFERROR(VALUE($C68&amp;""),0)+1))))*(NOT(EXACT('Casillas del horario'!$C$4:$C$73,(IFERROR(VALUE($C68&amp;""),0)-1))))))&gt;0))*((ROW('Casillas del horario'!$A$4:$A$73)&lt;&gt;ROW($A68))))&gt;0)),"si","no")</f>
        <v/>
      </c>
      <c r="P68" s="3">
        <f>MID(IF(AND(NOT(($D68="")),(SUMPRODUCT(1*((EXACT('Casillas del horario'!$B$4:$B$73,$B68)))*((EXACT('Casillas del horario'!$C$4:$C$73,$C68)))*((EXACT('Casillas del horario'!$F$4:$F$73,$F68)))*((ROW('Casillas del horario'!$A$4:$A$73)&lt;&gt;ROW($A68))))&gt;0)),"; "&amp;"Este profesor ya da clase a otro grupo en este mismo turno","")&amp;IF(AND(NOT(($D68="")),(SUMPRODUCT(1*((EXACT('Casillas del horario'!$B$4:$B$73,$B68)))*((EXACT('Casillas del horario'!$C$4:$C$73,$C68)))*((EXACT('Casillas del horario'!$H$4:$H$73,$H68)))*((ROW('Casillas del horario'!$A$4:$A$73)&lt;&gt;ROW($A68))))&gt;0)),"; "&amp;"Ese local esta ocupado por otro grupo a esa hora","")&amp;IF(EXACT($O68,"si"),"; "&amp;IF(ISNUMBER(IF(EXACT($I68,"no"),"Esta asignatura no admite turno doble y repite el dia en este grupo","Esta asignatura repite el dia en este grupo sin ser en turnos seguidos")),IF(IF(EXACT($I68,"no"),"Esta asignatura no admite turno doble y repite el dia en este grupo","Esta asignatura repite el dia en este grupo sin ser en turnos seguidos")=0,"0",ROUND(IF(EXACT($I68,"no"),"Esta asignatura no admite turno doble y repite el dia en este grupo","Esta asignatura repite el dia en este grupo sin ser en turnos seguidos"),9-INT(LOG10(ABS(IF(EXACT($I68,"no"),"Esta asignatura no admite turno doble y repite el dia en este grupo","Esta asignatura repite el dia en este grupo sin ser en turnos seguidos")))))&amp;""),IF(EXACT($I68,"no"),"Esta asignatura no admite turno doble y repite el dia en este grupo","Esta asignatura repite el dia en este grupo sin ser en turnos seguidos")&amp;""),"")&amp;IF(AND(NOT(($D68="")),EXACT($B68,$K68)),"; "&amp;"Es el dia de preparacion de la asignatura","")&amp;IF(AND(EXACT($D68,"EF"),(IFERROR(VALUE($C68&amp;""),0)&gt;3)),"; "&amp;"Educacion Fisica no puede caer despues del tercer turno","")&amp;IF(AND(NOT(($D68="")),EXACT($J68,"no"),(IFERROR(VALUE($C68&amp;""),0)&gt;6)),"; "&amp;"Esta asignatura no admite turnos de tarde","")&amp;IF(AND(NOT(($D68="")),EXACT($L68,"si"),EXACT($N68,"no")),"; "&amp;"Este profesor esta contratado y no asiste al centro este dia","")&amp;IF(AND(NOT(($D68="")),EXACT($M68,"si"),EXACT($C68,1)),"; "&amp;"Se preferiria no darle el primer turno a un profesor que vive lejos","")&amp;IF(($D68=""),"; "&amp;"Turno sin asignar",""),3,32767)</f>
        <v/>
      </c>
      <c r="Q68" s="3">
        <f>IF(OR(AND(NOT(($D68="")),(SUMPRODUCT(1*((EXACT('Casillas del horario'!$B$4:$B$73,$B68)))*((EXACT('Casillas del horario'!$C$4:$C$73,$C68)))*((EXACT('Casillas del horario'!$F$4:$F$73,$F68)))*((ROW('Casillas del horario'!$A$4:$A$73)&lt;&gt;ROW($A68))))&gt;0)),AND(NOT(($D68="")),(SUMPRODUCT(1*((EXACT('Casillas del horario'!$B$4:$B$73,$B68)))*((EXACT('Casillas del horario'!$C$4:$C$73,$C68)))*((EXACT('Casillas del horario'!$H$4:$H$73,$H68)))*((ROW('Casillas del horario'!$A$4:$A$73)&lt;&gt;ROW($A68))))&gt;0)),EXACT($O68,"si"),AND(NOT(($D68="")),EXACT($B68,$K68)),AND(EXACT($D68,"EF"),(IFERROR(VALUE($C68&amp;""),0)&gt;3)),AND(NOT(($D68="")),EXACT($J68,"no"),(IFERROR(VALUE($C68&amp;""),0)&gt;6)),AND(NOT(($D68="")),EXACT($L68,"si"),EXACT($N68,"no"))),3,IF(OR(AND(NOT(($D68="")),EXACT($M68,"si"),EXACT($C68,1))),2,IF(OR(($D68="")),1,0)))</f>
        <v/>
      </c>
      <c r="R68" s="3">
        <f>$A68&amp;CHAR(31)&amp;$C68&amp;CHAR(31)&amp;$B68</f>
        <v/>
      </c>
      <c r="S68" s="3">
        <f>$F68&amp;CHAR(31)&amp;$C68&amp;CHAR(31)&amp;$B68</f>
        <v/>
      </c>
      <c r="T68" s="3">
        <f>$H68&amp;CHAR(31)&amp;$C68&amp;CHAR(31)&amp;$B68</f>
        <v/>
      </c>
    </row>
    <row r="69">
      <c r="A69" s="3" t="inlineStr">
        <is>
          <t>10-4</t>
        </is>
      </c>
      <c r="B69" s="3" t="inlineStr">
        <is>
          <t>L</t>
        </is>
      </c>
      <c r="C69" s="3" t="n">
        <v>7</v>
      </c>
      <c r="D69" s="4" t="inlineStr">
        <is>
          <t>AL/AC</t>
        </is>
      </c>
      <c r="E69" s="3">
        <f>IF(ISNA(MATCH(1,INDEX(EXACT('Asignaturas'!$A$4:$A$18,$D69)*1,0),0)),"",IF(ISBLANK(INDEX('Asignaturas'!$B$4:$B$18,MATCH(1,INDEX(EXACT('Asignaturas'!$A$4:$A$18,$D69)*1,0),0))),"",INDEX('Asignaturas'!$B$4:$B$18,MATCH(1,INDEX(EXACT('Asignaturas'!$A$4:$A$18,$D69)*1,0),0))))</f>
        <v/>
      </c>
      <c r="F69" s="3">
        <f>IF(ISNA(MATCH(1,INDEX(1*(EXACT('Frecuencias por grupo'!$A$4:$A$33,$A69))*(EXACT('Frecuencias por grupo'!$B$4:$B$33,$D69)),0),0)),"",IF(ISBLANK(INDEX('Frecuencias por grupo'!$C$4:$C$33,MATCH(1,INDEX(1*(EXACT('Frecuencias por grupo'!$A$4:$A$33,$A69))*(EXACT('Frecuencias por grupo'!$B$4:$B$33,$D69)),0),0))),"",INDEX('Frecuencias por grupo'!$C$4:$C$33,MATCH(1,INDEX(1*(EXACT('Frecuencias por grupo'!$A$4:$A$33,$A69))*(EXACT('Frecuencias por grupo'!$B$4:$B$33,$D69)),0),0))))</f>
        <v/>
      </c>
      <c r="G69" s="3">
        <f>IF(ISNA(MATCH(1,INDEX(EXACT('Asignaturas'!$A$4:$A$18,$D69)*1,0),0)),"",IF(ISBLANK(INDEX('Asignaturas'!$G$4:$G$18,MATCH(1,INDEX(EXACT('Asignaturas'!$A$4:$A$18,$D69)*1,0),0))),"",INDEX('Asignaturas'!$G$4:$G$18,MATCH(1,INDEX(EXACT('Asignaturas'!$A$4:$A$18,$D69)*1,0),0))))</f>
        <v/>
      </c>
      <c r="H69" s="3">
        <f>IF(($D69=""),"",IF(($G69=""),("Aula "&amp;IF(ISNUMBER($A69),IF($A69=0,"0",ROUND($A69,9-INT(LOG10(ABS($A69))))&amp;""),$A69&amp;"")),$G69))</f>
        <v/>
      </c>
      <c r="I69" s="3">
        <f>IF(ISNA(MATCH(1,INDEX(EXACT('Asignaturas'!$A$4:$A$18,$D69)*1,0),0)),"no",IF(ISBLANK(INDEX('Asignaturas'!$D$4:$D$18,MATCH(1,INDEX(EXACT('Asignaturas'!$A$4:$A$18,$D69)*1,0),0))),"",INDEX('Asignaturas'!$D$4:$D$18,MATCH(1,INDEX(EXACT('Asignaturas'!$A$4:$A$18,$D69)*1,0),0))))</f>
        <v/>
      </c>
      <c r="J69" s="3">
        <f>IF(ISNA(MATCH(1,INDEX(EXACT('Asignaturas'!$A$4:$A$18,$D69)*1,0),0)),"no",IF(ISBLANK(INDEX('Asignaturas'!$E$4:$E$18,MATCH(1,INDEX(EXACT('Asignaturas'!$A$4:$A$18,$D69)*1,0),0))),"",INDEX('Asignaturas'!$E$4:$E$18,MATCH(1,INDEX(EXACT('Asignaturas'!$A$4:$A$18,$D69)*1,0),0))))</f>
        <v/>
      </c>
      <c r="K69" s="3">
        <f>IF(ISNA(MATCH(1,INDEX(EXACT('Asignaturas'!$A$4:$A$18,$D69)*1,0),0)),"",IF(ISBLANK(INDEX('Asignaturas'!$F$4:$F$18,MATCH(1,INDEX(EXACT('Asignaturas'!$A$4:$A$18,$D69)*1,0),0))),"",INDEX('Asignaturas'!$F$4:$F$18,MATCH(1,INDEX(EXACT('Asignaturas'!$A$4:$A$18,$D69)*1,0),0))))</f>
        <v/>
      </c>
      <c r="L69" s="3">
        <f>IF(ISNA(MATCH(1,INDEX(EXACT('Profesores'!$A$4:$A$33,$F69)*1,0),0)),"no",IF(ISBLANK(INDEX('Profesores'!$B$4:$B$33,MATCH(1,INDEX(EXACT('Profesores'!$A$4:$A$33,$F69)*1,0),0))),"",INDEX('Profesores'!$B$4:$B$33,MATCH(1,INDEX(EXACT('Profesores'!$A$4:$A$33,$F69)*1,0),0))))</f>
        <v/>
      </c>
      <c r="M69" s="3">
        <f>IF(ISNA(MATCH(1,INDEX(EXACT('Profesores'!$A$4:$A$33,$F69)*1,0),0)),"no",IF(ISBLANK(INDEX('Profesores'!$C$4:$C$33,MATCH(1,INDEX(EXACT('Profesores'!$A$4:$A$33,$F69)*1,0),0))),"",INDEX('Profesores'!$C$4:$C$33,MATCH(1,INDEX(EXACT('Profesores'!$A$4:$A$33,$F69)*1,0),0))))</f>
        <v/>
      </c>
      <c r="N69" s="3">
        <f>IF(ISNA(MATCH(1,INDEX(1*((('Dias que asisten los contratado'!$A$4:$A$4&lt;&gt;"")+('Dias que asisten los contratado'!$B$4:$B$4&lt;&gt;""))&gt;0)*(EXACT('Dias que asisten los contratado'!$A$4:$A$4,$F69))*(EXACT('Dias que asisten los contratado'!$B$4:$B$4,$B69)),0),0)),"no",IF(ISBLANK(INDEX('Dias que asisten los contratado'!$C$4:$C$4,MATCH(1,INDEX(1*((('Dias que asisten los contratado'!$A$4:$A$4&lt;&gt;"")+('Dias que asisten los contratado'!$B$4:$B$4&lt;&gt;""))&gt;0)*(EXACT('Dias que asisten los contratado'!$A$4:$A$4,$F69))*(EXACT('Dias que asisten los contratado'!$B$4:$B$4,$B69)),0),0))),"",INDEX('Dias que asisten los contratado'!$C$4:$C$4,MATCH(1,INDEX(1*((('Dias que asisten los contratado'!$A$4:$A$4&lt;&gt;"")+('Dias que asisten los contratado'!$B$4:$B$4&lt;&gt;""))&gt;0)*(EXACT('Dias que asisten los contratado'!$A$4:$A$4,$F69))*(EXACT('Dias que asisten los contratado'!$B$4:$B$4,$B69)),0),0))))</f>
        <v/>
      </c>
      <c r="O69" s="3">
        <f>IF(AND(NOT(($D69="")),(SUMPRODUCT(1*((EXACT('Casillas del horario'!$A$4:$A$73,$A69)))*((EXACT('Casillas del horario'!$B$4:$B$73,$B69)))*((EXACT('Casillas del horario'!$D$4:$D$73,$D69)))*(((((EXACT($I69,"no")))+((NOT(EXACT('Casillas del horario'!$C$4:$C$73,(IFERROR(VALUE($C69&amp;""),0)+1))))*(NOT(EXACT('Casillas del horario'!$C$4:$C$73,(IFERROR(VALUE($C69&amp;""),0)-1))))))&gt;0))*((ROW('Casillas del horario'!$A$4:$A$73)&lt;&gt;ROW($A69))))&gt;0)),"si","no")</f>
        <v/>
      </c>
      <c r="P69" s="3">
        <f>MID(IF(AND(NOT(($D69="")),(SUMPRODUCT(1*((EXACT('Casillas del horario'!$B$4:$B$73,$B69)))*((EXACT('Casillas del horario'!$C$4:$C$73,$C69)))*((EXACT('Casillas del horario'!$F$4:$F$73,$F69)))*((ROW('Casillas del horario'!$A$4:$A$73)&lt;&gt;ROW($A69))))&gt;0)),"; "&amp;"Este profesor ya da clase a otro grupo en este mismo turno","")&amp;IF(AND(NOT(($D69="")),(SUMPRODUCT(1*((EXACT('Casillas del horario'!$B$4:$B$73,$B69)))*((EXACT('Casillas del horario'!$C$4:$C$73,$C69)))*((EXACT('Casillas del horario'!$H$4:$H$73,$H69)))*((ROW('Casillas del horario'!$A$4:$A$73)&lt;&gt;ROW($A69))))&gt;0)),"; "&amp;"Ese local esta ocupado por otro grupo a esa hora","")&amp;IF(EXACT($O69,"si"),"; "&amp;IF(ISNUMBER(IF(EXACT($I69,"no"),"Esta asignatura no admite turno doble y repite el dia en este grupo","Esta asignatura repite el dia en este grupo sin ser en turnos seguidos")),IF(IF(EXACT($I69,"no"),"Esta asignatura no admite turno doble y repite el dia en este grupo","Esta asignatura repite el dia en este grupo sin ser en turnos seguidos")=0,"0",ROUND(IF(EXACT($I69,"no"),"Esta asignatura no admite turno doble y repite el dia en este grupo","Esta asignatura repite el dia en este grupo sin ser en turnos seguidos"),9-INT(LOG10(ABS(IF(EXACT($I69,"no"),"Esta asignatura no admite turno doble y repite el dia en este grupo","Esta asignatura repite el dia en este grupo sin ser en turnos seguidos")))))&amp;""),IF(EXACT($I69,"no"),"Esta asignatura no admite turno doble y repite el dia en este grupo","Esta asignatura repite el dia en este grupo sin ser en turnos seguidos")&amp;""),"")&amp;IF(AND(NOT(($D69="")),EXACT($B69,$K69)),"; "&amp;"Es el dia de preparacion de la asignatura","")&amp;IF(AND(EXACT($D69,"EF"),(IFERROR(VALUE($C69&amp;""),0)&gt;3)),"; "&amp;"Educacion Fisica no puede caer despues del tercer turno","")&amp;IF(AND(NOT(($D69="")),EXACT($J69,"no"),(IFERROR(VALUE($C69&amp;""),0)&gt;6)),"; "&amp;"Esta asignatura no admite turnos de tarde","")&amp;IF(AND(NOT(($D69="")),EXACT($L69,"si"),EXACT($N69,"no")),"; "&amp;"Este profesor esta contratado y no asiste al centro este dia","")&amp;IF(AND(NOT(($D69="")),EXACT($M69,"si"),EXACT($C69,1)),"; "&amp;"Se preferiria no darle el primer turno a un profesor que vive lejos","")&amp;IF(($D69=""),"; "&amp;"Turno sin asignar",""),3,32767)</f>
        <v/>
      </c>
      <c r="Q69" s="3">
        <f>IF(OR(AND(NOT(($D69="")),(SUMPRODUCT(1*((EXACT('Casillas del horario'!$B$4:$B$73,$B69)))*((EXACT('Casillas del horario'!$C$4:$C$73,$C69)))*((EXACT('Casillas del horario'!$F$4:$F$73,$F69)))*((ROW('Casillas del horario'!$A$4:$A$73)&lt;&gt;ROW($A69))))&gt;0)),AND(NOT(($D69="")),(SUMPRODUCT(1*((EXACT('Casillas del horario'!$B$4:$B$73,$B69)))*((EXACT('Casillas del horario'!$C$4:$C$73,$C69)))*((EXACT('Casillas del horario'!$H$4:$H$73,$H69)))*((ROW('Casillas del horario'!$A$4:$A$73)&lt;&gt;ROW($A69))))&gt;0)),EXACT($O69,"si"),AND(NOT(($D69="")),EXACT($B69,$K69)),AND(EXACT($D69,"EF"),(IFERROR(VALUE($C69&amp;""),0)&gt;3)),AND(NOT(($D69="")),EXACT($J69,"no"),(IFERROR(VALUE($C69&amp;""),0)&gt;6)),AND(NOT(($D69="")),EXACT($L69,"si"),EXACT($N69,"no"))),3,IF(OR(AND(NOT(($D69="")),EXACT($M69,"si"),EXACT($C69,1))),2,IF(OR(($D69="")),1,0)))</f>
        <v/>
      </c>
      <c r="R69" s="3">
        <f>$A69&amp;CHAR(31)&amp;$C69&amp;CHAR(31)&amp;$B69</f>
        <v/>
      </c>
      <c r="S69" s="3">
        <f>$F69&amp;CHAR(31)&amp;$C69&amp;CHAR(31)&amp;$B69</f>
        <v/>
      </c>
      <c r="T69" s="3">
        <f>$H69&amp;CHAR(31)&amp;$C69&amp;CHAR(31)&amp;$B69</f>
        <v/>
      </c>
    </row>
    <row r="70">
      <c r="A70" s="3" t="inlineStr">
        <is>
          <t>10-4</t>
        </is>
      </c>
      <c r="B70" s="3" t="inlineStr">
        <is>
          <t>M</t>
        </is>
      </c>
      <c r="C70" s="3" t="n">
        <v>7</v>
      </c>
      <c r="D70" s="4" t="n"/>
      <c r="E70" s="3">
        <f>IF(ISNA(MATCH(1,INDEX(EXACT('Asignaturas'!$A$4:$A$18,$D70)*1,0),0)),"",IF(ISBLANK(INDEX('Asignaturas'!$B$4:$B$18,MATCH(1,INDEX(EXACT('Asignaturas'!$A$4:$A$18,$D70)*1,0),0))),"",INDEX('Asignaturas'!$B$4:$B$18,MATCH(1,INDEX(EXACT('Asignaturas'!$A$4:$A$18,$D70)*1,0),0))))</f>
        <v/>
      </c>
      <c r="F70" s="3">
        <f>IF(ISNA(MATCH(1,INDEX(1*(EXACT('Frecuencias por grupo'!$A$4:$A$33,$A70))*(EXACT('Frecuencias por grupo'!$B$4:$B$33,$D70)),0),0)),"",IF(ISBLANK(INDEX('Frecuencias por grupo'!$C$4:$C$33,MATCH(1,INDEX(1*(EXACT('Frecuencias por grupo'!$A$4:$A$33,$A70))*(EXACT('Frecuencias por grupo'!$B$4:$B$33,$D70)),0),0))),"",INDEX('Frecuencias por grupo'!$C$4:$C$33,MATCH(1,INDEX(1*(EXACT('Frecuencias por grupo'!$A$4:$A$33,$A70))*(EXACT('Frecuencias por grupo'!$B$4:$B$33,$D70)),0),0))))</f>
        <v/>
      </c>
      <c r="G70" s="3">
        <f>IF(ISNA(MATCH(1,INDEX(EXACT('Asignaturas'!$A$4:$A$18,$D70)*1,0),0)),"",IF(ISBLANK(INDEX('Asignaturas'!$G$4:$G$18,MATCH(1,INDEX(EXACT('Asignaturas'!$A$4:$A$18,$D70)*1,0),0))),"",INDEX('Asignaturas'!$G$4:$G$18,MATCH(1,INDEX(EXACT('Asignaturas'!$A$4:$A$18,$D70)*1,0),0))))</f>
        <v/>
      </c>
      <c r="H70" s="3">
        <f>IF(($D70=""),"",IF(($G70=""),("Aula "&amp;IF(ISNUMBER($A70),IF($A70=0,"0",ROUND($A70,9-INT(LOG10(ABS($A70))))&amp;""),$A70&amp;"")),$G70))</f>
        <v/>
      </c>
      <c r="I70" s="3">
        <f>IF(ISNA(MATCH(1,INDEX(EXACT('Asignaturas'!$A$4:$A$18,$D70)*1,0),0)),"no",IF(ISBLANK(INDEX('Asignaturas'!$D$4:$D$18,MATCH(1,INDEX(EXACT('Asignaturas'!$A$4:$A$18,$D70)*1,0),0))),"",INDEX('Asignaturas'!$D$4:$D$18,MATCH(1,INDEX(EXACT('Asignaturas'!$A$4:$A$18,$D70)*1,0),0))))</f>
        <v/>
      </c>
      <c r="J70" s="3">
        <f>IF(ISNA(MATCH(1,INDEX(EXACT('Asignaturas'!$A$4:$A$18,$D70)*1,0),0)),"no",IF(ISBLANK(INDEX('Asignaturas'!$E$4:$E$18,MATCH(1,INDEX(EXACT('Asignaturas'!$A$4:$A$18,$D70)*1,0),0))),"",INDEX('Asignaturas'!$E$4:$E$18,MATCH(1,INDEX(EXACT('Asignaturas'!$A$4:$A$18,$D70)*1,0),0))))</f>
        <v/>
      </c>
      <c r="K70" s="3">
        <f>IF(ISNA(MATCH(1,INDEX(EXACT('Asignaturas'!$A$4:$A$18,$D70)*1,0),0)),"",IF(ISBLANK(INDEX('Asignaturas'!$F$4:$F$18,MATCH(1,INDEX(EXACT('Asignaturas'!$A$4:$A$18,$D70)*1,0),0))),"",INDEX('Asignaturas'!$F$4:$F$18,MATCH(1,INDEX(EXACT('Asignaturas'!$A$4:$A$18,$D70)*1,0),0))))</f>
        <v/>
      </c>
      <c r="L70" s="3">
        <f>IF(ISNA(MATCH(1,INDEX(EXACT('Profesores'!$A$4:$A$33,$F70)*1,0),0)),"no",IF(ISBLANK(INDEX('Profesores'!$B$4:$B$33,MATCH(1,INDEX(EXACT('Profesores'!$A$4:$A$33,$F70)*1,0),0))),"",INDEX('Profesores'!$B$4:$B$33,MATCH(1,INDEX(EXACT('Profesores'!$A$4:$A$33,$F70)*1,0),0))))</f>
        <v/>
      </c>
      <c r="M70" s="3">
        <f>IF(ISNA(MATCH(1,INDEX(EXACT('Profesores'!$A$4:$A$33,$F70)*1,0),0)),"no",IF(ISBLANK(INDEX('Profesores'!$C$4:$C$33,MATCH(1,INDEX(EXACT('Profesores'!$A$4:$A$33,$F70)*1,0),0))),"",INDEX('Profesores'!$C$4:$C$33,MATCH(1,INDEX(EXACT('Profesores'!$A$4:$A$33,$F70)*1,0),0))))</f>
        <v/>
      </c>
      <c r="N70" s="3">
        <f>IF(ISNA(MATCH(1,INDEX(1*((('Dias que asisten los contratado'!$A$4:$A$4&lt;&gt;"")+('Dias que asisten los contratado'!$B$4:$B$4&lt;&gt;""))&gt;0)*(EXACT('Dias que asisten los contratado'!$A$4:$A$4,$F70))*(EXACT('Dias que asisten los contratado'!$B$4:$B$4,$B70)),0),0)),"no",IF(ISBLANK(INDEX('Dias que asisten los contratado'!$C$4:$C$4,MATCH(1,INDEX(1*((('Dias que asisten los contratado'!$A$4:$A$4&lt;&gt;"")+('Dias que asisten los contratado'!$B$4:$B$4&lt;&gt;""))&gt;0)*(EXACT('Dias que asisten los contratado'!$A$4:$A$4,$F70))*(EXACT('Dias que asisten los contratado'!$B$4:$B$4,$B70)),0),0))),"",INDEX('Dias que asisten los contratado'!$C$4:$C$4,MATCH(1,INDEX(1*((('Dias que asisten los contratado'!$A$4:$A$4&lt;&gt;"")+('Dias que asisten los contratado'!$B$4:$B$4&lt;&gt;""))&gt;0)*(EXACT('Dias que asisten los contratado'!$A$4:$A$4,$F70))*(EXACT('Dias que asisten los contratado'!$B$4:$B$4,$B70)),0),0))))</f>
        <v/>
      </c>
      <c r="O70" s="3">
        <f>IF(AND(NOT(($D70="")),(SUMPRODUCT(1*((EXACT('Casillas del horario'!$A$4:$A$73,$A70)))*((EXACT('Casillas del horario'!$B$4:$B$73,$B70)))*((EXACT('Casillas del horario'!$D$4:$D$73,$D70)))*(((((EXACT($I70,"no")))+((NOT(EXACT('Casillas del horario'!$C$4:$C$73,(IFERROR(VALUE($C70&amp;""),0)+1))))*(NOT(EXACT('Casillas del horario'!$C$4:$C$73,(IFERROR(VALUE($C70&amp;""),0)-1))))))&gt;0))*((ROW('Casillas del horario'!$A$4:$A$73)&lt;&gt;ROW($A70))))&gt;0)),"si","no")</f>
        <v/>
      </c>
      <c r="P70" s="3">
        <f>MID(IF(AND(NOT(($D70="")),(SUMPRODUCT(1*((EXACT('Casillas del horario'!$B$4:$B$73,$B70)))*((EXACT('Casillas del horario'!$C$4:$C$73,$C70)))*((EXACT('Casillas del horario'!$F$4:$F$73,$F70)))*((ROW('Casillas del horario'!$A$4:$A$73)&lt;&gt;ROW($A70))))&gt;0)),"; "&amp;"Este profesor ya da clase a otro grupo en este mismo turno","")&amp;IF(AND(NOT(($D70="")),(SUMPRODUCT(1*((EXACT('Casillas del horario'!$B$4:$B$73,$B70)))*((EXACT('Casillas del horario'!$C$4:$C$73,$C70)))*((EXACT('Casillas del horario'!$H$4:$H$73,$H70)))*((ROW('Casillas del horario'!$A$4:$A$73)&lt;&gt;ROW($A70))))&gt;0)),"; "&amp;"Ese local esta ocupado por otro grupo a esa hora","")&amp;IF(EXACT($O70,"si"),"; "&amp;IF(ISNUMBER(IF(EXACT($I70,"no"),"Esta asignatura no admite turno doble y repite el dia en este grupo","Esta asignatura repite el dia en este grupo sin ser en turnos seguidos")),IF(IF(EXACT($I70,"no"),"Esta asignatura no admite turno doble y repite el dia en este grupo","Esta asignatura repite el dia en este grupo sin ser en turnos seguidos")=0,"0",ROUND(IF(EXACT($I70,"no"),"Esta asignatura no admite turno doble y repite el dia en este grupo","Esta asignatura repite el dia en este grupo sin ser en turnos seguidos"),9-INT(LOG10(ABS(IF(EXACT($I70,"no"),"Esta asignatura no admite turno doble y repite el dia en este grupo","Esta asignatura repite el dia en este grupo sin ser en turnos seguidos")))))&amp;""),IF(EXACT($I70,"no"),"Esta asignatura no admite turno doble y repite el dia en este grupo","Esta asignatura repite el dia en este grupo sin ser en turnos seguidos")&amp;""),"")&amp;IF(AND(NOT(($D70="")),EXACT($B70,$K70)),"; "&amp;"Es el dia de preparacion de la asignatura","")&amp;IF(AND(EXACT($D70,"EF"),(IFERROR(VALUE($C70&amp;""),0)&gt;3)),"; "&amp;"Educacion Fisica no puede caer despues del tercer turno","")&amp;IF(AND(NOT(($D70="")),EXACT($J70,"no"),(IFERROR(VALUE($C70&amp;""),0)&gt;6)),"; "&amp;"Esta asignatura no admite turnos de tarde","")&amp;IF(AND(NOT(($D70="")),EXACT($L70,"si"),EXACT($N70,"no")),"; "&amp;"Este profesor esta contratado y no asiste al centro este dia","")&amp;IF(AND(NOT(($D70="")),EXACT($M70,"si"),EXACT($C70,1)),"; "&amp;"Se preferiria no darle el primer turno a un profesor que vive lejos","")&amp;IF(($D70=""),"; "&amp;"Turno sin asignar",""),3,32767)</f>
        <v/>
      </c>
      <c r="Q70" s="3">
        <f>IF(OR(AND(NOT(($D70="")),(SUMPRODUCT(1*((EXACT('Casillas del horario'!$B$4:$B$73,$B70)))*((EXACT('Casillas del horario'!$C$4:$C$73,$C70)))*((EXACT('Casillas del horario'!$F$4:$F$73,$F70)))*((ROW('Casillas del horario'!$A$4:$A$73)&lt;&gt;ROW($A70))))&gt;0)),AND(NOT(($D70="")),(SUMPRODUCT(1*((EXACT('Casillas del horario'!$B$4:$B$73,$B70)))*((EXACT('Casillas del horario'!$C$4:$C$73,$C70)))*((EXACT('Casillas del horario'!$H$4:$H$73,$H70)))*((ROW('Casillas del horario'!$A$4:$A$73)&lt;&gt;ROW($A70))))&gt;0)),EXACT($O70,"si"),AND(NOT(($D70="")),EXACT($B70,$K70)),AND(EXACT($D70,"EF"),(IFERROR(VALUE($C70&amp;""),0)&gt;3)),AND(NOT(($D70="")),EXACT($J70,"no"),(IFERROR(VALUE($C70&amp;""),0)&gt;6)),AND(NOT(($D70="")),EXACT($L70,"si"),EXACT($N70,"no"))),3,IF(OR(AND(NOT(($D70="")),EXACT($M70,"si"),EXACT($C70,1))),2,IF(OR(($D70="")),1,0)))</f>
        <v/>
      </c>
      <c r="R70" s="3">
        <f>$A70&amp;CHAR(31)&amp;$C70&amp;CHAR(31)&amp;$B70</f>
        <v/>
      </c>
      <c r="S70" s="3">
        <f>$F70&amp;CHAR(31)&amp;$C70&amp;CHAR(31)&amp;$B70</f>
        <v/>
      </c>
      <c r="T70" s="3">
        <f>$H70&amp;CHAR(31)&amp;$C70&amp;CHAR(31)&amp;$B70</f>
        <v/>
      </c>
    </row>
    <row r="71">
      <c r="A71" s="3" t="inlineStr">
        <is>
          <t>10-4</t>
        </is>
      </c>
      <c r="B71" s="3" t="inlineStr">
        <is>
          <t>MI</t>
        </is>
      </c>
      <c r="C71" s="3" t="n">
        <v>7</v>
      </c>
      <c r="D71" s="4" t="n"/>
      <c r="E71" s="3">
        <f>IF(ISNA(MATCH(1,INDEX(EXACT('Asignaturas'!$A$4:$A$18,$D71)*1,0),0)),"",IF(ISBLANK(INDEX('Asignaturas'!$B$4:$B$18,MATCH(1,INDEX(EXACT('Asignaturas'!$A$4:$A$18,$D71)*1,0),0))),"",INDEX('Asignaturas'!$B$4:$B$18,MATCH(1,INDEX(EXACT('Asignaturas'!$A$4:$A$18,$D71)*1,0),0))))</f>
        <v/>
      </c>
      <c r="F71" s="3">
        <f>IF(ISNA(MATCH(1,INDEX(1*(EXACT('Frecuencias por grupo'!$A$4:$A$33,$A71))*(EXACT('Frecuencias por grupo'!$B$4:$B$33,$D71)),0),0)),"",IF(ISBLANK(INDEX('Frecuencias por grupo'!$C$4:$C$33,MATCH(1,INDEX(1*(EXACT('Frecuencias por grupo'!$A$4:$A$33,$A71))*(EXACT('Frecuencias por grupo'!$B$4:$B$33,$D71)),0),0))),"",INDEX('Frecuencias por grupo'!$C$4:$C$33,MATCH(1,INDEX(1*(EXACT('Frecuencias por grupo'!$A$4:$A$33,$A71))*(EXACT('Frecuencias por grupo'!$B$4:$B$33,$D71)),0),0))))</f>
        <v/>
      </c>
      <c r="G71" s="3">
        <f>IF(ISNA(MATCH(1,INDEX(EXACT('Asignaturas'!$A$4:$A$18,$D71)*1,0),0)),"",IF(ISBLANK(INDEX('Asignaturas'!$G$4:$G$18,MATCH(1,INDEX(EXACT('Asignaturas'!$A$4:$A$18,$D71)*1,0),0))),"",INDEX('Asignaturas'!$G$4:$G$18,MATCH(1,INDEX(EXACT('Asignaturas'!$A$4:$A$18,$D71)*1,0),0))))</f>
        <v/>
      </c>
      <c r="H71" s="3">
        <f>IF(($D71=""),"",IF(($G71=""),("Aula "&amp;IF(ISNUMBER($A71),IF($A71=0,"0",ROUND($A71,9-INT(LOG10(ABS($A71))))&amp;""),$A71&amp;"")),$G71))</f>
        <v/>
      </c>
      <c r="I71" s="3">
        <f>IF(ISNA(MATCH(1,INDEX(EXACT('Asignaturas'!$A$4:$A$18,$D71)*1,0),0)),"no",IF(ISBLANK(INDEX('Asignaturas'!$D$4:$D$18,MATCH(1,INDEX(EXACT('Asignaturas'!$A$4:$A$18,$D71)*1,0),0))),"",INDEX('Asignaturas'!$D$4:$D$18,MATCH(1,INDEX(EXACT('Asignaturas'!$A$4:$A$18,$D71)*1,0),0))))</f>
        <v/>
      </c>
      <c r="J71" s="3">
        <f>IF(ISNA(MATCH(1,INDEX(EXACT('Asignaturas'!$A$4:$A$18,$D71)*1,0),0)),"no",IF(ISBLANK(INDEX('Asignaturas'!$E$4:$E$18,MATCH(1,INDEX(EXACT('Asignaturas'!$A$4:$A$18,$D71)*1,0),0))),"",INDEX('Asignaturas'!$E$4:$E$18,MATCH(1,INDEX(EXACT('Asignaturas'!$A$4:$A$18,$D71)*1,0),0))))</f>
        <v/>
      </c>
      <c r="K71" s="3">
        <f>IF(ISNA(MATCH(1,INDEX(EXACT('Asignaturas'!$A$4:$A$18,$D71)*1,0),0)),"",IF(ISBLANK(INDEX('Asignaturas'!$F$4:$F$18,MATCH(1,INDEX(EXACT('Asignaturas'!$A$4:$A$18,$D71)*1,0),0))),"",INDEX('Asignaturas'!$F$4:$F$18,MATCH(1,INDEX(EXACT('Asignaturas'!$A$4:$A$18,$D71)*1,0),0))))</f>
        <v/>
      </c>
      <c r="L71" s="3">
        <f>IF(ISNA(MATCH(1,INDEX(EXACT('Profesores'!$A$4:$A$33,$F71)*1,0),0)),"no",IF(ISBLANK(INDEX('Profesores'!$B$4:$B$33,MATCH(1,INDEX(EXACT('Profesores'!$A$4:$A$33,$F71)*1,0),0))),"",INDEX('Profesores'!$B$4:$B$33,MATCH(1,INDEX(EXACT('Profesores'!$A$4:$A$33,$F71)*1,0),0))))</f>
        <v/>
      </c>
      <c r="M71" s="3">
        <f>IF(ISNA(MATCH(1,INDEX(EXACT('Profesores'!$A$4:$A$33,$F71)*1,0),0)),"no",IF(ISBLANK(INDEX('Profesores'!$C$4:$C$33,MATCH(1,INDEX(EXACT('Profesores'!$A$4:$A$33,$F71)*1,0),0))),"",INDEX('Profesores'!$C$4:$C$33,MATCH(1,INDEX(EXACT('Profesores'!$A$4:$A$33,$F71)*1,0),0))))</f>
        <v/>
      </c>
      <c r="N71" s="3">
        <f>IF(ISNA(MATCH(1,INDEX(1*((('Dias que asisten los contratado'!$A$4:$A$4&lt;&gt;"")+('Dias que asisten los contratado'!$B$4:$B$4&lt;&gt;""))&gt;0)*(EXACT('Dias que asisten los contratado'!$A$4:$A$4,$F71))*(EXACT('Dias que asisten los contratado'!$B$4:$B$4,$B71)),0),0)),"no",IF(ISBLANK(INDEX('Dias que asisten los contratado'!$C$4:$C$4,MATCH(1,INDEX(1*((('Dias que asisten los contratado'!$A$4:$A$4&lt;&gt;"")+('Dias que asisten los contratado'!$B$4:$B$4&lt;&gt;""))&gt;0)*(EXACT('Dias que asisten los contratado'!$A$4:$A$4,$F71))*(EXACT('Dias que asisten los contratado'!$B$4:$B$4,$B71)),0),0))),"",INDEX('Dias que asisten los contratado'!$C$4:$C$4,MATCH(1,INDEX(1*((('Dias que asisten los contratado'!$A$4:$A$4&lt;&gt;"")+('Dias que asisten los contratado'!$B$4:$B$4&lt;&gt;""))&gt;0)*(EXACT('Dias que asisten los contratado'!$A$4:$A$4,$F71))*(EXACT('Dias que asisten los contratado'!$B$4:$B$4,$B71)),0),0))))</f>
        <v/>
      </c>
      <c r="O71" s="3">
        <f>IF(AND(NOT(($D71="")),(SUMPRODUCT(1*((EXACT('Casillas del horario'!$A$4:$A$73,$A71)))*((EXACT('Casillas del horario'!$B$4:$B$73,$B71)))*((EXACT('Casillas del horario'!$D$4:$D$73,$D71)))*(((((EXACT($I71,"no")))+((NOT(EXACT('Casillas del horario'!$C$4:$C$73,(IFERROR(VALUE($C71&amp;""),0)+1))))*(NOT(EXACT('Casillas del horario'!$C$4:$C$73,(IFERROR(VALUE($C71&amp;""),0)-1))))))&gt;0))*((ROW('Casillas del horario'!$A$4:$A$73)&lt;&gt;ROW($A71))))&gt;0)),"si","no")</f>
        <v/>
      </c>
      <c r="P71" s="3">
        <f>MID(IF(AND(NOT(($D71="")),(SUMPRODUCT(1*((EXACT('Casillas del horario'!$B$4:$B$73,$B71)))*((EXACT('Casillas del horario'!$C$4:$C$73,$C71)))*((EXACT('Casillas del horario'!$F$4:$F$73,$F71)))*((ROW('Casillas del horario'!$A$4:$A$73)&lt;&gt;ROW($A71))))&gt;0)),"; "&amp;"Este profesor ya da clase a otro grupo en este mismo turno","")&amp;IF(AND(NOT(($D71="")),(SUMPRODUCT(1*((EXACT('Casillas del horario'!$B$4:$B$73,$B71)))*((EXACT('Casillas del horario'!$C$4:$C$73,$C71)))*((EXACT('Casillas del horario'!$H$4:$H$73,$H71)))*((ROW('Casillas del horario'!$A$4:$A$73)&lt;&gt;ROW($A71))))&gt;0)),"; "&amp;"Ese local esta ocupado por otro grupo a esa hora","")&amp;IF(EXACT($O71,"si"),"; "&amp;IF(ISNUMBER(IF(EXACT($I71,"no"),"Esta asignatura no admite turno doble y repite el dia en este grupo","Esta asignatura repite el dia en este grupo sin ser en turnos seguidos")),IF(IF(EXACT($I71,"no"),"Esta asignatura no admite turno doble y repite el dia en este grupo","Esta asignatura repite el dia en este grupo sin ser en turnos seguidos")=0,"0",ROUND(IF(EXACT($I71,"no"),"Esta asignatura no admite turno doble y repite el dia en este grupo","Esta asignatura repite el dia en este grupo sin ser en turnos seguidos"),9-INT(LOG10(ABS(IF(EXACT($I71,"no"),"Esta asignatura no admite turno doble y repite el dia en este grupo","Esta asignatura repite el dia en este grupo sin ser en turnos seguidos")))))&amp;""),IF(EXACT($I71,"no"),"Esta asignatura no admite turno doble y repite el dia en este grupo","Esta asignatura repite el dia en este grupo sin ser en turnos seguidos")&amp;""),"")&amp;IF(AND(NOT(($D71="")),EXACT($B71,$K71)),"; "&amp;"Es el dia de preparacion de la asignatura","")&amp;IF(AND(EXACT($D71,"EF"),(IFERROR(VALUE($C71&amp;""),0)&gt;3)),"; "&amp;"Educacion Fisica no puede caer despues del tercer turno","")&amp;IF(AND(NOT(($D71="")),EXACT($J71,"no"),(IFERROR(VALUE($C71&amp;""),0)&gt;6)),"; "&amp;"Esta asignatura no admite turnos de tarde","")&amp;IF(AND(NOT(($D71="")),EXACT($L71,"si"),EXACT($N71,"no")),"; "&amp;"Este profesor esta contratado y no asiste al centro este dia","")&amp;IF(AND(NOT(($D71="")),EXACT($M71,"si"),EXACT($C71,1)),"; "&amp;"Se preferiria no darle el primer turno a un profesor que vive lejos","")&amp;IF(($D71=""),"; "&amp;"Turno sin asignar",""),3,32767)</f>
        <v/>
      </c>
      <c r="Q71" s="3">
        <f>IF(OR(AND(NOT(($D71="")),(SUMPRODUCT(1*((EXACT('Casillas del horario'!$B$4:$B$73,$B71)))*((EXACT('Casillas del horario'!$C$4:$C$73,$C71)))*((EXACT('Casillas del horario'!$F$4:$F$73,$F71)))*((ROW('Casillas del horario'!$A$4:$A$73)&lt;&gt;ROW($A71))))&gt;0)),AND(NOT(($D71="")),(SUMPRODUCT(1*((EXACT('Casillas del horario'!$B$4:$B$73,$B71)))*((EXACT('Casillas del horario'!$C$4:$C$73,$C71)))*((EXACT('Casillas del horario'!$H$4:$H$73,$H71)))*((ROW('Casillas del horario'!$A$4:$A$73)&lt;&gt;ROW($A71))))&gt;0)),EXACT($O71,"si"),AND(NOT(($D71="")),EXACT($B71,$K71)),AND(EXACT($D71,"EF"),(IFERROR(VALUE($C71&amp;""),0)&gt;3)),AND(NOT(($D71="")),EXACT($J71,"no"),(IFERROR(VALUE($C71&amp;""),0)&gt;6)),AND(NOT(($D71="")),EXACT($L71,"si"),EXACT($N71,"no"))),3,IF(OR(AND(NOT(($D71="")),EXACT($M71,"si"),EXACT($C71,1))),2,IF(OR(($D71="")),1,0)))</f>
        <v/>
      </c>
      <c r="R71" s="3">
        <f>$A71&amp;CHAR(31)&amp;$C71&amp;CHAR(31)&amp;$B71</f>
        <v/>
      </c>
      <c r="S71" s="3">
        <f>$F71&amp;CHAR(31)&amp;$C71&amp;CHAR(31)&amp;$B71</f>
        <v/>
      </c>
      <c r="T71" s="3">
        <f>$H71&amp;CHAR(31)&amp;$C71&amp;CHAR(31)&amp;$B71</f>
        <v/>
      </c>
    </row>
    <row r="72">
      <c r="A72" s="3" t="inlineStr">
        <is>
          <t>10-4</t>
        </is>
      </c>
      <c r="B72" s="3" t="inlineStr">
        <is>
          <t>J</t>
        </is>
      </c>
      <c r="C72" s="3" t="n">
        <v>7</v>
      </c>
      <c r="D72" s="4" t="n"/>
      <c r="E72" s="3">
        <f>IF(ISNA(MATCH(1,INDEX(EXACT('Asignaturas'!$A$4:$A$18,$D72)*1,0),0)),"",IF(ISBLANK(INDEX('Asignaturas'!$B$4:$B$18,MATCH(1,INDEX(EXACT('Asignaturas'!$A$4:$A$18,$D72)*1,0),0))),"",INDEX('Asignaturas'!$B$4:$B$18,MATCH(1,INDEX(EXACT('Asignaturas'!$A$4:$A$18,$D72)*1,0),0))))</f>
        <v/>
      </c>
      <c r="F72" s="3">
        <f>IF(ISNA(MATCH(1,INDEX(1*(EXACT('Frecuencias por grupo'!$A$4:$A$33,$A72))*(EXACT('Frecuencias por grupo'!$B$4:$B$33,$D72)),0),0)),"",IF(ISBLANK(INDEX('Frecuencias por grupo'!$C$4:$C$33,MATCH(1,INDEX(1*(EXACT('Frecuencias por grupo'!$A$4:$A$33,$A72))*(EXACT('Frecuencias por grupo'!$B$4:$B$33,$D72)),0),0))),"",INDEX('Frecuencias por grupo'!$C$4:$C$33,MATCH(1,INDEX(1*(EXACT('Frecuencias por grupo'!$A$4:$A$33,$A72))*(EXACT('Frecuencias por grupo'!$B$4:$B$33,$D72)),0),0))))</f>
        <v/>
      </c>
      <c r="G72" s="3">
        <f>IF(ISNA(MATCH(1,INDEX(EXACT('Asignaturas'!$A$4:$A$18,$D72)*1,0),0)),"",IF(ISBLANK(INDEX('Asignaturas'!$G$4:$G$18,MATCH(1,INDEX(EXACT('Asignaturas'!$A$4:$A$18,$D72)*1,0),0))),"",INDEX('Asignaturas'!$G$4:$G$18,MATCH(1,INDEX(EXACT('Asignaturas'!$A$4:$A$18,$D72)*1,0),0))))</f>
        <v/>
      </c>
      <c r="H72" s="3">
        <f>IF(($D72=""),"",IF(($G72=""),("Aula "&amp;IF(ISNUMBER($A72),IF($A72=0,"0",ROUND($A72,9-INT(LOG10(ABS($A72))))&amp;""),$A72&amp;"")),$G72))</f>
        <v/>
      </c>
      <c r="I72" s="3">
        <f>IF(ISNA(MATCH(1,INDEX(EXACT('Asignaturas'!$A$4:$A$18,$D72)*1,0),0)),"no",IF(ISBLANK(INDEX('Asignaturas'!$D$4:$D$18,MATCH(1,INDEX(EXACT('Asignaturas'!$A$4:$A$18,$D72)*1,0),0))),"",INDEX('Asignaturas'!$D$4:$D$18,MATCH(1,INDEX(EXACT('Asignaturas'!$A$4:$A$18,$D72)*1,0),0))))</f>
        <v/>
      </c>
      <c r="J72" s="3">
        <f>IF(ISNA(MATCH(1,INDEX(EXACT('Asignaturas'!$A$4:$A$18,$D72)*1,0),0)),"no",IF(ISBLANK(INDEX('Asignaturas'!$E$4:$E$18,MATCH(1,INDEX(EXACT('Asignaturas'!$A$4:$A$18,$D72)*1,0),0))),"",INDEX('Asignaturas'!$E$4:$E$18,MATCH(1,INDEX(EXACT('Asignaturas'!$A$4:$A$18,$D72)*1,0),0))))</f>
        <v/>
      </c>
      <c r="K72" s="3">
        <f>IF(ISNA(MATCH(1,INDEX(EXACT('Asignaturas'!$A$4:$A$18,$D72)*1,0),0)),"",IF(ISBLANK(INDEX('Asignaturas'!$F$4:$F$18,MATCH(1,INDEX(EXACT('Asignaturas'!$A$4:$A$18,$D72)*1,0),0))),"",INDEX('Asignaturas'!$F$4:$F$18,MATCH(1,INDEX(EXACT('Asignaturas'!$A$4:$A$18,$D72)*1,0),0))))</f>
        <v/>
      </c>
      <c r="L72" s="3">
        <f>IF(ISNA(MATCH(1,INDEX(EXACT('Profesores'!$A$4:$A$33,$F72)*1,0),0)),"no",IF(ISBLANK(INDEX('Profesores'!$B$4:$B$33,MATCH(1,INDEX(EXACT('Profesores'!$A$4:$A$33,$F72)*1,0),0))),"",INDEX('Profesores'!$B$4:$B$33,MATCH(1,INDEX(EXACT('Profesores'!$A$4:$A$33,$F72)*1,0),0))))</f>
        <v/>
      </c>
      <c r="M72" s="3">
        <f>IF(ISNA(MATCH(1,INDEX(EXACT('Profesores'!$A$4:$A$33,$F72)*1,0),0)),"no",IF(ISBLANK(INDEX('Profesores'!$C$4:$C$33,MATCH(1,INDEX(EXACT('Profesores'!$A$4:$A$33,$F72)*1,0),0))),"",INDEX('Profesores'!$C$4:$C$33,MATCH(1,INDEX(EXACT('Profesores'!$A$4:$A$33,$F72)*1,0),0))))</f>
        <v/>
      </c>
      <c r="N72" s="3">
        <f>IF(ISNA(MATCH(1,INDEX(1*((('Dias que asisten los contratado'!$A$4:$A$4&lt;&gt;"")+('Dias que asisten los contratado'!$B$4:$B$4&lt;&gt;""))&gt;0)*(EXACT('Dias que asisten los contratado'!$A$4:$A$4,$F72))*(EXACT('Dias que asisten los contratado'!$B$4:$B$4,$B72)),0),0)),"no",IF(ISBLANK(INDEX('Dias que asisten los contratado'!$C$4:$C$4,MATCH(1,INDEX(1*((('Dias que asisten los contratado'!$A$4:$A$4&lt;&gt;"")+('Dias que asisten los contratado'!$B$4:$B$4&lt;&gt;""))&gt;0)*(EXACT('Dias que asisten los contratado'!$A$4:$A$4,$F72))*(EXACT('Dias que asisten los contratado'!$B$4:$B$4,$B72)),0),0))),"",INDEX('Dias que asisten los contratado'!$C$4:$C$4,MATCH(1,INDEX(1*((('Dias que asisten los contratado'!$A$4:$A$4&lt;&gt;"")+('Dias que asisten los contratado'!$B$4:$B$4&lt;&gt;""))&gt;0)*(EXACT('Dias que asisten los contratado'!$A$4:$A$4,$F72))*(EXACT('Dias que asisten los contratado'!$B$4:$B$4,$B72)),0),0))))</f>
        <v/>
      </c>
      <c r="O72" s="3">
        <f>IF(AND(NOT(($D72="")),(SUMPRODUCT(1*((EXACT('Casillas del horario'!$A$4:$A$73,$A72)))*((EXACT('Casillas del horario'!$B$4:$B$73,$B72)))*((EXACT('Casillas del horario'!$D$4:$D$73,$D72)))*(((((EXACT($I72,"no")))+((NOT(EXACT('Casillas del horario'!$C$4:$C$73,(IFERROR(VALUE($C72&amp;""),0)+1))))*(NOT(EXACT('Casillas del horario'!$C$4:$C$73,(IFERROR(VALUE($C72&amp;""),0)-1))))))&gt;0))*((ROW('Casillas del horario'!$A$4:$A$73)&lt;&gt;ROW($A72))))&gt;0)),"si","no")</f>
        <v/>
      </c>
      <c r="P72" s="3">
        <f>MID(IF(AND(NOT(($D72="")),(SUMPRODUCT(1*((EXACT('Casillas del horario'!$B$4:$B$73,$B72)))*((EXACT('Casillas del horario'!$C$4:$C$73,$C72)))*((EXACT('Casillas del horario'!$F$4:$F$73,$F72)))*((ROW('Casillas del horario'!$A$4:$A$73)&lt;&gt;ROW($A72))))&gt;0)),"; "&amp;"Este profesor ya da clase a otro grupo en este mismo turno","")&amp;IF(AND(NOT(($D72="")),(SUMPRODUCT(1*((EXACT('Casillas del horario'!$B$4:$B$73,$B72)))*((EXACT('Casillas del horario'!$C$4:$C$73,$C72)))*((EXACT('Casillas del horario'!$H$4:$H$73,$H72)))*((ROW('Casillas del horario'!$A$4:$A$73)&lt;&gt;ROW($A72))))&gt;0)),"; "&amp;"Ese local esta ocupado por otro grupo a esa hora","")&amp;IF(EXACT($O72,"si"),"; "&amp;IF(ISNUMBER(IF(EXACT($I72,"no"),"Esta asignatura no admite turno doble y repite el dia en este grupo","Esta asignatura repite el dia en este grupo sin ser en turnos seguidos")),IF(IF(EXACT($I72,"no"),"Esta asignatura no admite turno doble y repite el dia en este grupo","Esta asignatura repite el dia en este grupo sin ser en turnos seguidos")=0,"0",ROUND(IF(EXACT($I72,"no"),"Esta asignatura no admite turno doble y repite el dia en este grupo","Esta asignatura repite el dia en este grupo sin ser en turnos seguidos"),9-INT(LOG10(ABS(IF(EXACT($I72,"no"),"Esta asignatura no admite turno doble y repite el dia en este grupo","Esta asignatura repite el dia en este grupo sin ser en turnos seguidos")))))&amp;""),IF(EXACT($I72,"no"),"Esta asignatura no admite turno doble y repite el dia en este grupo","Esta asignatura repite el dia en este grupo sin ser en turnos seguidos")&amp;""),"")&amp;IF(AND(NOT(($D72="")),EXACT($B72,$K72)),"; "&amp;"Es el dia de preparacion de la asignatura","")&amp;IF(AND(EXACT($D72,"EF"),(IFERROR(VALUE($C72&amp;""),0)&gt;3)),"; "&amp;"Educacion Fisica no puede caer despues del tercer turno","")&amp;IF(AND(NOT(($D72="")),EXACT($J72,"no"),(IFERROR(VALUE($C72&amp;""),0)&gt;6)),"; "&amp;"Esta asignatura no admite turnos de tarde","")&amp;IF(AND(NOT(($D72="")),EXACT($L72,"si"),EXACT($N72,"no")),"; "&amp;"Este profesor esta contratado y no asiste al centro este dia","")&amp;IF(AND(NOT(($D72="")),EXACT($M72,"si"),EXACT($C72,1)),"; "&amp;"Se preferiria no darle el primer turno a un profesor que vive lejos","")&amp;IF(($D72=""),"; "&amp;"Turno sin asignar",""),3,32767)</f>
        <v/>
      </c>
      <c r="Q72" s="3">
        <f>IF(OR(AND(NOT(($D72="")),(SUMPRODUCT(1*((EXACT('Casillas del horario'!$B$4:$B$73,$B72)))*((EXACT('Casillas del horario'!$C$4:$C$73,$C72)))*((EXACT('Casillas del horario'!$F$4:$F$73,$F72)))*((ROW('Casillas del horario'!$A$4:$A$73)&lt;&gt;ROW($A72))))&gt;0)),AND(NOT(($D72="")),(SUMPRODUCT(1*((EXACT('Casillas del horario'!$B$4:$B$73,$B72)))*((EXACT('Casillas del horario'!$C$4:$C$73,$C72)))*((EXACT('Casillas del horario'!$H$4:$H$73,$H72)))*((ROW('Casillas del horario'!$A$4:$A$73)&lt;&gt;ROW($A72))))&gt;0)),EXACT($O72,"si"),AND(NOT(($D72="")),EXACT($B72,$K72)),AND(EXACT($D72,"EF"),(IFERROR(VALUE($C72&amp;""),0)&gt;3)),AND(NOT(($D72="")),EXACT($J72,"no"),(IFERROR(VALUE($C72&amp;""),0)&gt;6)),AND(NOT(($D72="")),EXACT($L72,"si"),EXACT($N72,"no"))),3,IF(OR(AND(NOT(($D72="")),EXACT($M72,"si"),EXACT($C72,1))),2,IF(OR(($D72="")),1,0)))</f>
        <v/>
      </c>
      <c r="R72" s="3">
        <f>$A72&amp;CHAR(31)&amp;$C72&amp;CHAR(31)&amp;$B72</f>
        <v/>
      </c>
      <c r="S72" s="3">
        <f>$F72&amp;CHAR(31)&amp;$C72&amp;CHAR(31)&amp;$B72</f>
        <v/>
      </c>
      <c r="T72" s="3">
        <f>$H72&amp;CHAR(31)&amp;$C72&amp;CHAR(31)&amp;$B72</f>
        <v/>
      </c>
    </row>
    <row r="73">
      <c r="A73" s="3" t="inlineStr">
        <is>
          <t>10-4</t>
        </is>
      </c>
      <c r="B73" s="3" t="inlineStr">
        <is>
          <t>V</t>
        </is>
      </c>
      <c r="C73" s="3" t="n">
        <v>7</v>
      </c>
      <c r="D73" s="4" t="n"/>
      <c r="E73" s="3">
        <f>IF(ISNA(MATCH(1,INDEX(EXACT('Asignaturas'!$A$4:$A$18,$D73)*1,0),0)),"",IF(ISBLANK(INDEX('Asignaturas'!$B$4:$B$18,MATCH(1,INDEX(EXACT('Asignaturas'!$A$4:$A$18,$D73)*1,0),0))),"",INDEX('Asignaturas'!$B$4:$B$18,MATCH(1,INDEX(EXACT('Asignaturas'!$A$4:$A$18,$D73)*1,0),0))))</f>
        <v/>
      </c>
      <c r="F73" s="3">
        <f>IF(ISNA(MATCH(1,INDEX(1*(EXACT('Frecuencias por grupo'!$A$4:$A$33,$A73))*(EXACT('Frecuencias por grupo'!$B$4:$B$33,$D73)),0),0)),"",IF(ISBLANK(INDEX('Frecuencias por grupo'!$C$4:$C$33,MATCH(1,INDEX(1*(EXACT('Frecuencias por grupo'!$A$4:$A$33,$A73))*(EXACT('Frecuencias por grupo'!$B$4:$B$33,$D73)),0),0))),"",INDEX('Frecuencias por grupo'!$C$4:$C$33,MATCH(1,INDEX(1*(EXACT('Frecuencias por grupo'!$A$4:$A$33,$A73))*(EXACT('Frecuencias por grupo'!$B$4:$B$33,$D73)),0),0))))</f>
        <v/>
      </c>
      <c r="G73" s="3">
        <f>IF(ISNA(MATCH(1,INDEX(EXACT('Asignaturas'!$A$4:$A$18,$D73)*1,0),0)),"",IF(ISBLANK(INDEX('Asignaturas'!$G$4:$G$18,MATCH(1,INDEX(EXACT('Asignaturas'!$A$4:$A$18,$D73)*1,0),0))),"",INDEX('Asignaturas'!$G$4:$G$18,MATCH(1,INDEX(EXACT('Asignaturas'!$A$4:$A$18,$D73)*1,0),0))))</f>
        <v/>
      </c>
      <c r="H73" s="3">
        <f>IF(($D73=""),"",IF(($G73=""),("Aula "&amp;IF(ISNUMBER($A73),IF($A73=0,"0",ROUND($A73,9-INT(LOG10(ABS($A73))))&amp;""),$A73&amp;"")),$G73))</f>
        <v/>
      </c>
      <c r="I73" s="3">
        <f>IF(ISNA(MATCH(1,INDEX(EXACT('Asignaturas'!$A$4:$A$18,$D73)*1,0),0)),"no",IF(ISBLANK(INDEX('Asignaturas'!$D$4:$D$18,MATCH(1,INDEX(EXACT('Asignaturas'!$A$4:$A$18,$D73)*1,0),0))),"",INDEX('Asignaturas'!$D$4:$D$18,MATCH(1,INDEX(EXACT('Asignaturas'!$A$4:$A$18,$D73)*1,0),0))))</f>
        <v/>
      </c>
      <c r="J73" s="3">
        <f>IF(ISNA(MATCH(1,INDEX(EXACT('Asignaturas'!$A$4:$A$18,$D73)*1,0),0)),"no",IF(ISBLANK(INDEX('Asignaturas'!$E$4:$E$18,MATCH(1,INDEX(EXACT('Asignaturas'!$A$4:$A$18,$D73)*1,0),0))),"",INDEX('Asignaturas'!$E$4:$E$18,MATCH(1,INDEX(EXACT('Asignaturas'!$A$4:$A$18,$D73)*1,0),0))))</f>
        <v/>
      </c>
      <c r="K73" s="3">
        <f>IF(ISNA(MATCH(1,INDEX(EXACT('Asignaturas'!$A$4:$A$18,$D73)*1,0),0)),"",IF(ISBLANK(INDEX('Asignaturas'!$F$4:$F$18,MATCH(1,INDEX(EXACT('Asignaturas'!$A$4:$A$18,$D73)*1,0),0))),"",INDEX('Asignaturas'!$F$4:$F$18,MATCH(1,INDEX(EXACT('Asignaturas'!$A$4:$A$18,$D73)*1,0),0))))</f>
        <v/>
      </c>
      <c r="L73" s="3">
        <f>IF(ISNA(MATCH(1,INDEX(EXACT('Profesores'!$A$4:$A$33,$F73)*1,0),0)),"no",IF(ISBLANK(INDEX('Profesores'!$B$4:$B$33,MATCH(1,INDEX(EXACT('Profesores'!$A$4:$A$33,$F73)*1,0),0))),"",INDEX('Profesores'!$B$4:$B$33,MATCH(1,INDEX(EXACT('Profesores'!$A$4:$A$33,$F73)*1,0),0))))</f>
        <v/>
      </c>
      <c r="M73" s="3">
        <f>IF(ISNA(MATCH(1,INDEX(EXACT('Profesores'!$A$4:$A$33,$F73)*1,0),0)),"no",IF(ISBLANK(INDEX('Profesores'!$C$4:$C$33,MATCH(1,INDEX(EXACT('Profesores'!$A$4:$A$33,$F73)*1,0),0))),"",INDEX('Profesores'!$C$4:$C$33,MATCH(1,INDEX(EXACT('Profesores'!$A$4:$A$33,$F73)*1,0),0))))</f>
        <v/>
      </c>
      <c r="N73" s="3">
        <f>IF(ISNA(MATCH(1,INDEX(1*((('Dias que asisten los contratado'!$A$4:$A$4&lt;&gt;"")+('Dias que asisten los contratado'!$B$4:$B$4&lt;&gt;""))&gt;0)*(EXACT('Dias que asisten los contratado'!$A$4:$A$4,$F73))*(EXACT('Dias que asisten los contratado'!$B$4:$B$4,$B73)),0),0)),"no",IF(ISBLANK(INDEX('Dias que asisten los contratado'!$C$4:$C$4,MATCH(1,INDEX(1*((('Dias que asisten los contratado'!$A$4:$A$4&lt;&gt;"")+('Dias que asisten los contratado'!$B$4:$B$4&lt;&gt;""))&gt;0)*(EXACT('Dias que asisten los contratado'!$A$4:$A$4,$F73))*(EXACT('Dias que asisten los contratado'!$B$4:$B$4,$B73)),0),0))),"",INDEX('Dias que asisten los contratado'!$C$4:$C$4,MATCH(1,INDEX(1*((('Dias que asisten los contratado'!$A$4:$A$4&lt;&gt;"")+('Dias que asisten los contratado'!$B$4:$B$4&lt;&gt;""))&gt;0)*(EXACT('Dias que asisten los contratado'!$A$4:$A$4,$F73))*(EXACT('Dias que asisten los contratado'!$B$4:$B$4,$B73)),0),0))))</f>
        <v/>
      </c>
      <c r="O73" s="3">
        <f>IF(AND(NOT(($D73="")),(SUMPRODUCT(1*((EXACT('Casillas del horario'!$A$4:$A$73,$A73)))*((EXACT('Casillas del horario'!$B$4:$B$73,$B73)))*((EXACT('Casillas del horario'!$D$4:$D$73,$D73)))*(((((EXACT($I73,"no")))+((NOT(EXACT('Casillas del horario'!$C$4:$C$73,(IFERROR(VALUE($C73&amp;""),0)+1))))*(NOT(EXACT('Casillas del horario'!$C$4:$C$73,(IFERROR(VALUE($C73&amp;""),0)-1))))))&gt;0))*((ROW('Casillas del horario'!$A$4:$A$73)&lt;&gt;ROW($A73))))&gt;0)),"si","no")</f>
        <v/>
      </c>
      <c r="P73" s="3">
        <f>MID(IF(AND(NOT(($D73="")),(SUMPRODUCT(1*((EXACT('Casillas del horario'!$B$4:$B$73,$B73)))*((EXACT('Casillas del horario'!$C$4:$C$73,$C73)))*((EXACT('Casillas del horario'!$F$4:$F$73,$F73)))*((ROW('Casillas del horario'!$A$4:$A$73)&lt;&gt;ROW($A73))))&gt;0)),"; "&amp;"Este profesor ya da clase a otro grupo en este mismo turno","")&amp;IF(AND(NOT(($D73="")),(SUMPRODUCT(1*((EXACT('Casillas del horario'!$B$4:$B$73,$B73)))*((EXACT('Casillas del horario'!$C$4:$C$73,$C73)))*((EXACT('Casillas del horario'!$H$4:$H$73,$H73)))*((ROW('Casillas del horario'!$A$4:$A$73)&lt;&gt;ROW($A73))))&gt;0)),"; "&amp;"Ese local esta ocupado por otro grupo a esa hora","")&amp;IF(EXACT($O73,"si"),"; "&amp;IF(ISNUMBER(IF(EXACT($I73,"no"),"Esta asignatura no admite turno doble y repite el dia en este grupo","Esta asignatura repite el dia en este grupo sin ser en turnos seguidos")),IF(IF(EXACT($I73,"no"),"Esta asignatura no admite turno doble y repite el dia en este grupo","Esta asignatura repite el dia en este grupo sin ser en turnos seguidos")=0,"0",ROUND(IF(EXACT($I73,"no"),"Esta asignatura no admite turno doble y repite el dia en este grupo","Esta asignatura repite el dia en este grupo sin ser en turnos seguidos"),9-INT(LOG10(ABS(IF(EXACT($I73,"no"),"Esta asignatura no admite turno doble y repite el dia en este grupo","Esta asignatura repite el dia en este grupo sin ser en turnos seguidos")))))&amp;""),IF(EXACT($I73,"no"),"Esta asignatura no admite turno doble y repite el dia en este grupo","Esta asignatura repite el dia en este grupo sin ser en turnos seguidos")&amp;""),"")&amp;IF(AND(NOT(($D73="")),EXACT($B73,$K73)),"; "&amp;"Es el dia de preparacion de la asignatura","")&amp;IF(AND(EXACT($D73,"EF"),(IFERROR(VALUE($C73&amp;""),0)&gt;3)),"; "&amp;"Educacion Fisica no puede caer despues del tercer turno","")&amp;IF(AND(NOT(($D73="")),EXACT($J73,"no"),(IFERROR(VALUE($C73&amp;""),0)&gt;6)),"; "&amp;"Esta asignatura no admite turnos de tarde","")&amp;IF(AND(NOT(($D73="")),EXACT($L73,"si"),EXACT($N73,"no")),"; "&amp;"Este profesor esta contratado y no asiste al centro este dia","")&amp;IF(AND(NOT(($D73="")),EXACT($M73,"si"),EXACT($C73,1)),"; "&amp;"Se preferiria no darle el primer turno a un profesor que vive lejos","")&amp;IF(($D73=""),"; "&amp;"Turno sin asignar",""),3,32767)</f>
        <v/>
      </c>
      <c r="Q73" s="3">
        <f>IF(OR(AND(NOT(($D73="")),(SUMPRODUCT(1*((EXACT('Casillas del horario'!$B$4:$B$73,$B73)))*((EXACT('Casillas del horario'!$C$4:$C$73,$C73)))*((EXACT('Casillas del horario'!$F$4:$F$73,$F73)))*((ROW('Casillas del horario'!$A$4:$A$73)&lt;&gt;ROW($A73))))&gt;0)),AND(NOT(($D73="")),(SUMPRODUCT(1*((EXACT('Casillas del horario'!$B$4:$B$73,$B73)))*((EXACT('Casillas del horario'!$C$4:$C$73,$C73)))*((EXACT('Casillas del horario'!$H$4:$H$73,$H73)))*((ROW('Casillas del horario'!$A$4:$A$73)&lt;&gt;ROW($A73))))&gt;0)),EXACT($O73,"si"),AND(NOT(($D73="")),EXACT($B73,$K73)),AND(EXACT($D73,"EF"),(IFERROR(VALUE($C73&amp;""),0)&gt;3)),AND(NOT(($D73="")),EXACT($J73,"no"),(IFERROR(VALUE($C73&amp;""),0)&gt;6)),AND(NOT(($D73="")),EXACT($L73,"si"),EXACT($N73,"no"))),3,IF(OR(AND(NOT(($D73="")),EXACT($M73,"si"),EXACT($C73,1))),2,IF(OR(($D73="")),1,0)))</f>
        <v/>
      </c>
      <c r="R73" s="3">
        <f>$A73&amp;CHAR(31)&amp;$C73&amp;CHAR(31)&amp;$B73</f>
        <v/>
      </c>
      <c r="S73" s="3">
        <f>$F73&amp;CHAR(31)&amp;$C73&amp;CHAR(31)&amp;$B73</f>
        <v/>
      </c>
      <c r="T73" s="3">
        <f>$H73&amp;CHAR(31)&amp;$C73&amp;CHAR(31)&amp;$B73</f>
        <v/>
      </c>
    </row>
    <row r="75">
      <c r="A75" s="5" t="inlineStr">
        <is>
          <t>Leyenda</t>
        </is>
      </c>
    </row>
    <row r="76">
      <c r="A76" s="6" t="n"/>
      <c r="B76" t="inlineStr">
        <is>
          <t>Este profesor ya da clase a otro grupo en este mismo turno</t>
        </is>
      </c>
    </row>
    <row r="77">
      <c r="A77" s="7" t="n"/>
      <c r="B77" t="inlineStr">
        <is>
          <t>Ese local esta ocupado por otro grupo a esa hora</t>
        </is>
      </c>
    </row>
    <row r="78">
      <c r="A78" s="8" t="n"/>
      <c r="B78" t="inlineStr">
        <is>
          <t>sesion repetida mal</t>
        </is>
      </c>
    </row>
    <row r="79">
      <c r="A79" s="9" t="n"/>
      <c r="B79" t="inlineStr">
        <is>
          <t>Es el dia de preparacion de la asignatura</t>
        </is>
      </c>
    </row>
    <row r="80">
      <c r="A80" s="10" t="n"/>
      <c r="B80" t="inlineStr">
        <is>
          <t>Educacion Fisica no puede caer despues del tercer turno</t>
        </is>
      </c>
    </row>
    <row r="81">
      <c r="A81" s="11" t="n"/>
      <c r="B81" t="inlineStr">
        <is>
          <t>Esta asignatura no admite turnos de tarde</t>
        </is>
      </c>
    </row>
    <row r="82">
      <c r="A82" s="12" t="n"/>
      <c r="B82" t="inlineStr">
        <is>
          <t>Este profesor esta contratado y no asiste al centro este dia</t>
        </is>
      </c>
    </row>
    <row r="83">
      <c r="A83" s="13" t="n"/>
      <c r="B83" t="inlineStr">
        <is>
          <t>Se preferiria no darle el primer turno a un profesor que vive lejos</t>
        </is>
      </c>
    </row>
    <row r="84">
      <c r="A84" s="14" t="n"/>
      <c r="B84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4" dxfId="3" stopIfTrue="0">
      <formula>EXACT($O4,"si")</formula>
    </cfRule>
    <cfRule type="expression" priority="5" dxfId="4" stopIfTrue="0">
      <formula>AND(NOT(($D4="")),EXACT($B4,$K4))</formula>
    </cfRule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  <cfRule type="expression" priority="14" dxfId="2" stopIfTrue="0">
      <formula>($D4="")</formula>
    </cfRule>
  </conditionalFormatting>
  <conditionalFormatting sqref="F4:F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</conditionalFormatting>
  <conditionalFormatting sqref="H4:H73">
    <cfRule type="expression" priority="3" dxfId="8" stopIfTrue="0">
      <formula>AND(NOT(($D4="")),(SUMPRODUCT(1*((EXACT('Casillas del horario'!$B$4:$B$73,$B4)))*((EXACT('Casillas del horario'!$C$4:$C$73,$C4)))*((EXACT('Casillas del horario'!$H$4:$H$73,$H4)))*((ROW('Casillas del horario'!$A$4:$A$73)&lt;&gt;ROW($A4))))&gt;0))</formula>
    </cfRule>
  </conditionalFormatting>
  <conditionalFormatting sqref="C4:C73"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</conditionalFormatting>
  <dataValidations count="1">
    <dataValidation sqref="D4:D73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2" customWidth="1" min="3" max="3"/>
    <col width="13" customWidth="1" min="4" max="4"/>
    <col width="14" customWidth="1" min="5" max="5"/>
    <col width="20" customWidth="1" min="6" max="6"/>
    <col width="13" customWidth="1" min="7" max="7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Frecuencia</t>
        </is>
      </c>
      <c r="D3" s="2" t="inlineStr">
        <is>
          <t>Turno doble</t>
        </is>
      </c>
      <c r="E3" s="2" t="inlineStr">
        <is>
          <t>Admite tarde</t>
        </is>
      </c>
      <c r="F3" s="2" t="inlineStr">
        <is>
          <t>Dia de preparacion</t>
        </is>
      </c>
      <c r="G3" s="2" t="inlineStr">
        <is>
          <t>Local</t>
        </is>
      </c>
    </row>
    <row r="4">
      <c r="A4" s="3" t="inlineStr">
        <is>
          <t>M</t>
        </is>
      </c>
      <c r="B4" s="3" t="inlineStr">
        <is>
          <t>Matematica</t>
        </is>
      </c>
      <c r="C4" s="3" t="n">
        <v>5</v>
      </c>
      <c r="D4" s="3">
        <f>IF(EXACT($C4,5),"si","no")</f>
        <v/>
      </c>
      <c r="E4" s="3" t="inlineStr">
        <is>
          <t>no</t>
        </is>
      </c>
      <c r="F4" s="3" t="n"/>
      <c r="G4" s="3" t="n"/>
    </row>
    <row r="5">
      <c r="A5" s="3" t="inlineStr">
        <is>
          <t>Lit-L</t>
        </is>
      </c>
      <c r="B5" s="3" t="inlineStr">
        <is>
          <t>Literatura y Lengua</t>
        </is>
      </c>
      <c r="C5" s="3" t="n">
        <v>4</v>
      </c>
      <c r="D5" s="3">
        <f>IF(EXACT($C5,5),"si","no")</f>
        <v/>
      </c>
      <c r="E5" s="3" t="inlineStr">
        <is>
          <t>no</t>
        </is>
      </c>
      <c r="F5" s="3" t="n"/>
      <c r="G5" s="3" t="n"/>
    </row>
    <row r="6">
      <c r="A6" s="3" t="inlineStr">
        <is>
          <t>F</t>
        </is>
      </c>
      <c r="B6" s="3" t="inlineStr">
        <is>
          <t>Fisica</t>
        </is>
      </c>
      <c r="C6" s="3" t="n">
        <v>3</v>
      </c>
      <c r="D6" s="3">
        <f>IF(EXACT($C6,5),"si","no")</f>
        <v/>
      </c>
      <c r="E6" s="3" t="inlineStr">
        <is>
          <t>no</t>
        </is>
      </c>
      <c r="F6" s="3" t="n"/>
      <c r="G6" s="3" t="n"/>
    </row>
    <row r="7">
      <c r="A7" s="3" t="inlineStr">
        <is>
          <t>I</t>
        </is>
      </c>
      <c r="B7" s="3" t="inlineStr">
        <is>
          <t>Ingles</t>
        </is>
      </c>
      <c r="C7" s="3" t="n">
        <v>3</v>
      </c>
      <c r="D7" s="3">
        <f>IF(EXACT($C7,5),"si","no")</f>
        <v/>
      </c>
      <c r="E7" s="3" t="inlineStr">
        <is>
          <t>no</t>
        </is>
      </c>
      <c r="F7" s="3" t="n"/>
      <c r="G7" s="3" t="n"/>
    </row>
    <row r="8">
      <c r="A8" s="3" t="inlineStr">
        <is>
          <t>H</t>
        </is>
      </c>
      <c r="B8" s="3" t="inlineStr">
        <is>
          <t>Historia</t>
        </is>
      </c>
      <c r="C8" s="3" t="n">
        <v>3</v>
      </c>
      <c r="D8" s="3">
        <f>IF(EXACT($C8,5),"si","no")</f>
        <v/>
      </c>
      <c r="E8" s="3" t="inlineStr">
        <is>
          <t>no</t>
        </is>
      </c>
      <c r="F8" s="3" t="n"/>
      <c r="G8" s="3" t="n"/>
    </row>
    <row r="9">
      <c r="A9" s="3" t="inlineStr">
        <is>
          <t>EF</t>
        </is>
      </c>
      <c r="B9" s="3" t="inlineStr">
        <is>
          <t>Educacion Fisica</t>
        </is>
      </c>
      <c r="C9" s="3" t="n">
        <v>2</v>
      </c>
      <c r="D9" s="3">
        <f>IF(EXACT($C9,5),"si","no")</f>
        <v/>
      </c>
      <c r="E9" s="3" t="inlineStr">
        <is>
          <t>no</t>
        </is>
      </c>
      <c r="F9" s="3" t="n"/>
      <c r="G9" s="3" t="inlineStr">
        <is>
          <t>Terreno</t>
        </is>
      </c>
    </row>
    <row r="10">
      <c r="A10" s="3" t="inlineStr">
        <is>
          <t>B</t>
        </is>
      </c>
      <c r="B10" s="3" t="inlineStr">
        <is>
          <t>Biologia</t>
        </is>
      </c>
      <c r="C10" s="3" t="n">
        <v>2</v>
      </c>
      <c r="D10" s="3">
        <f>IF(EXACT($C10,5),"si","no")</f>
        <v/>
      </c>
      <c r="E10" s="3" t="inlineStr">
        <is>
          <t>no</t>
        </is>
      </c>
      <c r="F10" s="3" t="n"/>
      <c r="G10" s="3" t="n"/>
    </row>
    <row r="11">
      <c r="A11" s="3" t="inlineStr">
        <is>
          <t>G</t>
        </is>
      </c>
      <c r="B11" s="3" t="inlineStr">
        <is>
          <t>Geografia</t>
        </is>
      </c>
      <c r="C11" s="3" t="n">
        <v>2</v>
      </c>
      <c r="D11" s="3">
        <f>IF(EXACT($C11,5),"si","no")</f>
        <v/>
      </c>
      <c r="E11" s="3" t="inlineStr">
        <is>
          <t>no</t>
        </is>
      </c>
      <c r="F11" s="3" t="n"/>
      <c r="G11" s="3" t="n"/>
    </row>
    <row r="12">
      <c r="A12" s="3" t="inlineStr">
        <is>
          <t>INF</t>
        </is>
      </c>
      <c r="B12" s="3" t="inlineStr">
        <is>
          <t>Informatica</t>
        </is>
      </c>
      <c r="C12" s="3" t="n">
        <v>1</v>
      </c>
      <c r="D12" s="3">
        <f>IF(EXACT($C12,5),"si","no")</f>
        <v/>
      </c>
      <c r="E12" s="3" t="inlineStr">
        <is>
          <t>no</t>
        </is>
      </c>
      <c r="F12" s="3" t="n"/>
      <c r="G12" s="3" t="inlineStr">
        <is>
          <t>Laboratorio</t>
        </is>
      </c>
    </row>
    <row r="13">
      <c r="A13" s="3" t="inlineStr">
        <is>
          <t>Q</t>
        </is>
      </c>
      <c r="B13" s="3" t="inlineStr">
        <is>
          <t>Quimica</t>
        </is>
      </c>
      <c r="C13" s="3" t="n">
        <v>1</v>
      </c>
      <c r="D13" s="3">
        <f>IF(EXACT($C13,5),"si","no")</f>
        <v/>
      </c>
      <c r="E13" s="3" t="inlineStr">
        <is>
          <t>no</t>
        </is>
      </c>
      <c r="F13" s="3" t="n"/>
      <c r="G13" s="3" t="n"/>
    </row>
    <row r="14">
      <c r="A14" s="3" t="inlineStr">
        <is>
          <t>CP</t>
        </is>
      </c>
      <c r="B14" s="3" t="inlineStr">
        <is>
          <t>(CP, por confirmar)</t>
        </is>
      </c>
      <c r="C14" s="3" t="n">
        <v>1</v>
      </c>
      <c r="D14" s="3">
        <f>IF(EXACT($C14,5),"si","no")</f>
        <v/>
      </c>
      <c r="E14" s="3" t="inlineStr">
        <is>
          <t>no</t>
        </is>
      </c>
      <c r="F14" s="3" t="n"/>
      <c r="G14" s="3" t="n"/>
    </row>
    <row r="15">
      <c r="A15" s="3" t="inlineStr">
        <is>
          <t>DC</t>
        </is>
      </c>
      <c r="B15" s="3" t="inlineStr">
        <is>
          <t>(DC, por confirmar)</t>
        </is>
      </c>
      <c r="C15" s="3" t="n">
        <v>1</v>
      </c>
      <c r="D15" s="3">
        <f>IF(EXACT($C15,5),"si","no")</f>
        <v/>
      </c>
      <c r="E15" s="3" t="inlineStr">
        <is>
          <t>no</t>
        </is>
      </c>
      <c r="F15" s="3" t="n"/>
      <c r="G15" s="3" t="n"/>
    </row>
    <row r="16">
      <c r="A16" s="3" t="inlineStr">
        <is>
          <t>CA</t>
        </is>
      </c>
      <c r="B16" s="3" t="inlineStr">
        <is>
          <t>(CA, por confirmar)</t>
        </is>
      </c>
      <c r="C16" s="3" t="n">
        <v>1</v>
      </c>
      <c r="D16" s="3">
        <f>IF(EXACT($C16,5),"si","no")</f>
        <v/>
      </c>
      <c r="E16" s="3" t="inlineStr">
        <is>
          <t>no</t>
        </is>
      </c>
      <c r="F16" s="3" t="n"/>
      <c r="G16" s="3" t="n"/>
    </row>
    <row r="17">
      <c r="A17" s="3" t="inlineStr">
        <is>
          <t>RD</t>
        </is>
      </c>
      <c r="B17" s="3" t="inlineStr">
        <is>
          <t>(RD, por confirmar)</t>
        </is>
      </c>
      <c r="C17" s="3" t="n">
        <v>1</v>
      </c>
      <c r="D17" s="3">
        <f>IF(EXACT($C17,5),"si","no")</f>
        <v/>
      </c>
      <c r="E17" s="3" t="inlineStr">
        <is>
          <t>no</t>
        </is>
      </c>
      <c r="F17" s="3" t="n"/>
      <c r="G17" s="3" t="n"/>
    </row>
    <row r="18">
      <c r="A18" s="3" t="inlineStr">
        <is>
          <t>AL/AC</t>
        </is>
      </c>
      <c r="B18" s="3" t="inlineStr">
        <is>
          <t>(AL/AC, por confirmar)</t>
        </is>
      </c>
      <c r="C18" s="3" t="n">
        <v>1</v>
      </c>
      <c r="D18" s="3">
        <f>IF(EXACT($C18,5),"si","no")</f>
        <v/>
      </c>
      <c r="E18" s="3" t="inlineStr">
        <is>
          <t>si</t>
        </is>
      </c>
      <c r="F18" s="3" t="n"/>
      <c r="G18" s="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I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27" customWidth="1" min="3" max="3"/>
    <col width="24" customWidth="1" min="4" max="4"/>
    <col width="12" customWidth="1" min="5" max="5"/>
    <col width="11" customWidth="1" min="6" max="6"/>
    <col width="8" customWidth="1" min="7" max="7"/>
    <col width="8" customWidth="1" min="8" max="8"/>
    <col hidden="1" width="24" customWidth="1" min="9" max="9"/>
  </cols>
  <sheetData>
    <row r="1">
      <c r="A1" s="1" t="inlineStr">
        <is>
          <t>Frecuencias por grupo</t>
        </is>
      </c>
    </row>
    <row r="3">
      <c r="A3" s="2" t="inlineStr">
        <is>
          <t>Grupo</t>
        </is>
      </c>
      <c r="B3" s="2" t="inlineStr">
        <is>
          <t>Abrev</t>
        </is>
      </c>
      <c r="C3" s="2" t="inlineStr">
        <is>
          <t>Profesor</t>
        </is>
      </c>
      <c r="D3" s="2" t="inlineStr">
        <is>
          <t>Asignatura</t>
        </is>
      </c>
      <c r="E3" s="2" t="inlineStr">
        <is>
          <t>Frecuencia</t>
        </is>
      </c>
      <c r="F3" s="2" t="inlineStr">
        <is>
          <t>Asignadas</t>
        </is>
      </c>
      <c r="G3" s="2" t="inlineStr">
        <is>
          <t>Faltan</t>
        </is>
      </c>
      <c r="H3" s="2" t="inlineStr">
        <is>
          <t>Estado</t>
        </is>
      </c>
      <c r="I3" s="2" t="inlineStr">
        <is>
          <t>(nivel de las marcas)</t>
        </is>
      </c>
    </row>
    <row r="4">
      <c r="A4" s="3" t="inlineStr">
        <is>
          <t>10-3</t>
        </is>
      </c>
      <c r="B4" s="3" t="inlineStr">
        <is>
          <t>M</t>
        </is>
      </c>
      <c r="C4" s="3" t="inlineStr">
        <is>
          <t>Profesor de M en 10-3</t>
        </is>
      </c>
      <c r="D4" s="3">
        <f>IF(ISNA(MATCH(1,INDEX(EXACT('Asignaturas'!$A$4:$A$18,$B4)*1,0),0)),"",IF(ISBLANK(INDEX('Asignaturas'!$B$4:$B$18,MATCH(1,INDEX(EXACT('Asignaturas'!$A$4:$A$18,$B4)*1,0),0))),"",INDEX('Asignaturas'!$B$4:$B$18,MATCH(1,INDEX(EXACT('Asignaturas'!$A$4:$A$18,$B4)*1,0),0))))</f>
        <v/>
      </c>
      <c r="E4" s="3">
        <f>IF(ISNA(MATCH(1,INDEX(EXACT('Asignaturas'!$A$4:$A$18,$B4)*1,0),0)),0,IF(ISBLANK(INDEX('Asignaturas'!$C$4:$C$18,MATCH(1,INDEX(EXACT('Asignaturas'!$A$4:$A$18,$B4)*1,0),0))),"",INDEX('Asignaturas'!$C$4:$C$18,MATCH(1,INDEX(EXACT('Asignaturas'!$A$4:$A$18,$B4)*1,0),0))))</f>
        <v/>
      </c>
      <c r="F4" s="3">
        <f>SUMPRODUCT(1*((EXACT('Casillas del horario'!$A$4:$A$73,$A4)))*((EXACT('Casillas del horario'!$D$4:$D$73,$B4))))</f>
        <v/>
      </c>
      <c r="G4" s="3">
        <f>(IFERROR(VALUE($E4&amp;""),0)-IFERROR(VALUE($F4&amp;""),0))</f>
        <v/>
      </c>
      <c r="H4" s="3">
        <f>MID(IF((IFERROR(VALUE($G4&amp;""),0)&gt;0),"; "&amp;IF(ISNUMBER((IF(ISNUMBER(IF(IFERROR(VALUE($G4&amp;""),0)=1,"Falta","Faltan")),IF(IF(IFERROR(VALUE($G4&amp;""),0)=1,"Falta","Faltan")=0,"0",ROUND(IF(IFERROR(VALUE($G4&amp;""),0)=1,"Falta","Faltan"),9-INT(LOG10(ABS(IF(IFERROR(VALUE($G4&amp;""),0)=1,"Falta","Faltan")))))&amp;""),IF(IFERROR(VALUE($G4&amp;""),0)=1,"Falta","Faltan")&amp;"")&amp;" "&amp;IF(ISNUMBER($G4),IF($G4=0,"0",ROUND($G4,9-INT(LOG10(ABS($G4))))&amp;""),$G4&amp;"")&amp;" "&amp;IF(ISNUMBER(IF(IFERROR(VALUE($G4&amp;""),0)=1,"sesion","sesiones")),IF(IF(IFERROR(VALUE($G4&amp;""),0)=1,"sesion","sesiones")=0,"0",ROUND(IF(IFERROR(VALUE($G4&amp;""),0)=1,"sesion","sesiones"),9-INT(LOG10(ABS(IF(IFERROR(VALUE($G4&amp;""),0)=1,"sesion","sesiones")))))&amp;""),IF(IFERROR(VALUE($G4&amp;""),0)=1,"sesion","sesiones")&amp;""))),IF((IF(ISNUMBER(IF(IFERROR(VALUE($G4&amp;""),0)=1,"Falta","Faltan")),IF(IF(IFERROR(VALUE($G4&amp;""),0)=1,"Falta","Faltan")=0,"0",ROUND(IF(IFERROR(VALUE($G4&amp;""),0)=1,"Falta","Faltan"),9-INT(LOG10(ABS(IF(IFERROR(VALUE($G4&amp;""),0)=1,"Falta","Faltan")))))&amp;""),IF(IFERROR(VALUE($G4&amp;""),0)=1,"Falta","Faltan")&amp;"")&amp;" "&amp;IF(ISNUMBER($G4),IF($G4=0,"0",ROUND($G4,9-INT(LOG10(ABS($G4))))&amp;""),$G4&amp;"")&amp;" "&amp;IF(ISNUMBER(IF(IFERROR(VALUE($G4&amp;""),0)=1,"sesion","sesiones")),IF(IF(IFERROR(VALUE($G4&amp;""),0)=1,"sesion","sesiones")=0,"0",ROUND(IF(IFERROR(VALUE($G4&amp;""),0)=1,"sesion","sesiones"),9-INT(LOG10(ABS(IF(IFERROR(VALUE($G4&amp;""),0)=1,"sesion","sesiones")))))&amp;""),IF(IFERROR(VALUE($G4&amp;""),0)=1,"sesion","sesiones")&amp;""))=0,"0",ROUND((IF(ISNUMBER(IF(IFERROR(VALUE($G4&amp;""),0)=1,"Falta","Faltan")),IF(IF(IFERROR(VALUE($G4&amp;""),0)=1,"Falta","Faltan")=0,"0",ROUND(IF(IFERROR(VALUE($G4&amp;""),0)=1,"Falta","Faltan"),9-INT(LOG10(ABS(IF(IFERROR(VALUE($G4&amp;""),0)=1,"Falta","Faltan")))))&amp;""),IF(IFERROR(VALUE($G4&amp;""),0)=1,"Falta","Faltan")&amp;"")&amp;" "&amp;IF(ISNUMBER($G4),IF($G4=0,"0",ROUND($G4,9-INT(LOG10(ABS($G4))))&amp;""),$G4&amp;"")&amp;" "&amp;IF(ISNUMBER(IF(IFERROR(VALUE($G4&amp;""),0)=1,"sesion","sesiones")),IF(IF(IFERROR(VALUE($G4&amp;""),0)=1,"sesion","sesiones")=0,"0",ROUND(IF(IFERROR(VALUE($G4&amp;""),0)=1,"sesion","sesiones"),9-INT(LOG10(ABS(IF(IFERROR(VALUE($G4&amp;""),0)=1,"sesion","sesiones")))))&amp;""),IF(IFERROR(VALUE($G4&amp;""),0)=1,"sesion","sesiones")&amp;"")),9-INT(LOG10(ABS((IF(ISNUMBER(IF(IFERROR(VALUE($G4&amp;""),0)=1,"Falta","Faltan")),IF(IF(IFERROR(VALUE($G4&amp;""),0)=1,"Falta","Faltan")=0,"0",ROUND(IF(IFERROR(VALUE($G4&amp;""),0)=1,"Falta","Faltan"),9-INT(LOG10(ABS(IF(IFERROR(VALUE($G4&amp;""),0)=1,"Falta","Faltan")))))&amp;""),IF(IFERROR(VALUE($G4&amp;""),0)=1,"Falta","Faltan")&amp;"")&amp;" "&amp;IF(ISNUMBER($G4),IF($G4=0,"0",ROUND($G4,9-INT(LOG10(ABS($G4))))&amp;""),$G4&amp;"")&amp;" "&amp;IF(ISNUMBER(IF(IFERROR(VALUE($G4&amp;""),0)=1,"sesion","sesiones")),IF(IF(IFERROR(VALUE($G4&amp;""),0)=1,"sesion","sesiones")=0,"0",ROUND(IF(IFERROR(VALUE($G4&amp;""),0)=1,"sesion","sesiones"),9-INT(LOG10(ABS(IF(IFERROR(VALUE($G4&amp;""),0)=1,"sesion","sesiones")))))&amp;""),IF(IFERROR(VALUE($G4&amp;""),0)=1,"sesion","sesiones")&amp;""))))))&amp;""),(IF(ISNUMBER(IF(IFERROR(VALUE($G4&amp;""),0)=1,"Falta","Faltan")),IF(IF(IFERROR(VALUE($G4&amp;""),0)=1,"Falta","Faltan")=0,"0",ROUND(IF(IFERROR(VALUE($G4&amp;""),0)=1,"Falta","Faltan"),9-INT(LOG10(ABS(IF(IFERROR(VALUE($G4&amp;""),0)=1,"Falta","Faltan")))))&amp;""),IF(IFERROR(VALUE($G4&amp;""),0)=1,"Falta","Faltan")&amp;"")&amp;" "&amp;IF(ISNUMBER($G4),IF($G4=0,"0",ROUND($G4,9-INT(LOG10(ABS($G4))))&amp;""),$G4&amp;"")&amp;" "&amp;IF(ISNUMBER(IF(IFERROR(VALUE($G4&amp;""),0)=1,"sesion","sesiones")),IF(IF(IFERROR(VALUE($G4&amp;""),0)=1,"sesion","sesiones")=0,"0",ROUND(IF(IFERROR(VALUE($G4&amp;""),0)=1,"sesion","sesiones"),9-INT(LOG10(ABS(IF(IFERROR(VALUE($G4&amp;""),0)=1,"sesion","sesiones")))))&amp;""),IF(IFERROR(VALUE($G4&amp;""),0)=1,"sesion","sesiones")&amp;""))&amp;""),"")&amp;IF((IFERROR(VALUE($G4&amp;""),0)&lt;0),"; "&amp;IF(ISNUMBER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sesion","sesiones")),IF(IF(IFERROR(VALUE((0-IFERROR(VALUE($G4&amp;""),0))&amp;""),0)=1,"sesion","sesiones")=0,"0",ROUND(IF(IFERROR(VALUE((0-IFERROR(VALUE($G4&amp;""),0))&amp;""),0)=1,"sesion","sesiones"),9-INT(LOG10(ABS(IF(IFERROR(VALUE((0-IFERROR(VALUE($G4&amp;""),0))&amp;""),0)=1,"sesion","sesiones")))))&amp;""),IF(IFERROR(VALUE((0-IFERROR(VALUE($G4&amp;""),0))&amp;""),0)=1,"sesion","sesiones")&amp;""))),IF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sesion","sesiones")),IF(IF(IFERROR(VALUE((0-IFERROR(VALUE($G4&amp;""),0))&amp;""),0)=1,"sesion","sesiones")=0,"0",ROUND(IF(IFERROR(VALUE((0-IFERROR(VALUE($G4&amp;""),0))&amp;""),0)=1,"sesion","sesiones"),9-INT(LOG10(ABS(IF(IFERROR(VALUE((0-IFERROR(VALUE($G4&amp;""),0))&amp;""),0)=1,"sesion","sesiones")))))&amp;""),IF(IFERROR(VALUE((0-IFERROR(VALUE($G4&amp;""),0))&amp;""),0)=1,"sesion","sesiones")&amp;""))=0,"0",ROUND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sesion","sesiones")),IF(IF(IFERROR(VALUE((0-IFERROR(VALUE($G4&amp;""),0))&amp;""),0)=1,"sesion","sesiones")=0,"0",ROUND(IF(IFERROR(VALUE((0-IFERROR(VALUE($G4&amp;""),0))&amp;""),0)=1,"sesion","sesiones"),9-INT(LOG10(ABS(IF(IFERROR(VALUE((0-IFERROR(VALUE($G4&amp;""),0))&amp;""),0)=1,"sesion","sesiones")))))&amp;""),IF(IFERROR(VALUE((0-IFERROR(VALUE($G4&amp;""),0))&amp;""),0)=1,"sesion","sesiones")&amp;"")),9-INT(LOG10(ABS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sesion","sesiones")),IF(IF(IFERROR(VALUE((0-IFERROR(VALUE($G4&amp;""),0))&amp;""),0)=1,"sesion","sesiones")=0,"0",ROUND(IF(IFERROR(VALUE((0-IFERROR(VALUE($G4&amp;""),0))&amp;""),0)=1,"sesion","sesiones"),9-INT(LOG10(ABS(IF(IFERROR(VALUE((0-IFERROR(VALUE($G4&amp;""),0))&amp;""),0)=1,"sesion","sesiones")))))&amp;""),IF(IFERROR(VALUE((0-IFERROR(VALUE($G4&amp;""),0))&amp;""),0)=1,"sesion","sesiones")&amp;""))))))&amp;""),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sesion","sesiones")),IF(IF(IFERROR(VALUE((0-IFERROR(VALUE($G4&amp;""),0))&amp;""),0)=1,"sesion","sesiones")=0,"0",ROUND(IF(IFERROR(VALUE((0-IFERROR(VALUE($G4&amp;""),0))&amp;""),0)=1,"sesion","sesiones"),9-INT(LOG10(ABS(IF(IFERROR(VALUE((0-IFERROR(VALUE($G4&amp;""),0))&amp;""),0)=1,"sesion","sesiones")))))&amp;""),IF(IFERROR(VALUE((0-IFERROR(VALUE($G4&amp;""),0))&amp;""),0)=1,"sesion","sesiones")&amp;""))&amp;""),""),3,32767)</f>
        <v/>
      </c>
      <c r="I4" s="3">
        <f>IF(OR((IFERROR(VALUE($G4&amp;""),0)&gt;0),(IFERROR(VALUE($G4&amp;""),0)&lt;0)),3,0)</f>
        <v/>
      </c>
    </row>
    <row r="5">
      <c r="A5" s="3" t="inlineStr">
        <is>
          <t>10-3</t>
        </is>
      </c>
      <c r="B5" s="3" t="inlineStr">
        <is>
          <t>Lit-L</t>
        </is>
      </c>
      <c r="C5" s="3" t="inlineStr">
        <is>
          <t>Profesor de Lit-L en 10-3</t>
        </is>
      </c>
      <c r="D5" s="3">
        <f>IF(ISNA(MATCH(1,INDEX(EXACT('Asignaturas'!$A$4:$A$18,$B5)*1,0),0)),"",IF(ISBLANK(INDEX('Asignaturas'!$B$4:$B$18,MATCH(1,INDEX(EXACT('Asignaturas'!$A$4:$A$18,$B5)*1,0),0))),"",INDEX('Asignaturas'!$B$4:$B$18,MATCH(1,INDEX(EXACT('Asignaturas'!$A$4:$A$18,$B5)*1,0),0))))</f>
        <v/>
      </c>
      <c r="E5" s="3">
        <f>IF(ISNA(MATCH(1,INDEX(EXACT('Asignaturas'!$A$4:$A$18,$B5)*1,0),0)),0,IF(ISBLANK(INDEX('Asignaturas'!$C$4:$C$18,MATCH(1,INDEX(EXACT('Asignaturas'!$A$4:$A$18,$B5)*1,0),0))),"",INDEX('Asignaturas'!$C$4:$C$18,MATCH(1,INDEX(EXACT('Asignaturas'!$A$4:$A$18,$B5)*1,0),0))))</f>
        <v/>
      </c>
      <c r="F5" s="3">
        <f>SUMPRODUCT(1*((EXACT('Casillas del horario'!$A$4:$A$73,$A5)))*((EXACT('Casillas del horario'!$D$4:$D$73,$B5))))</f>
        <v/>
      </c>
      <c r="G5" s="3">
        <f>(IFERROR(VALUE($E5&amp;""),0)-IFERROR(VALUE($F5&amp;""),0))</f>
        <v/>
      </c>
      <c r="H5" s="3">
        <f>MID(IF((IFERROR(VALUE($G5&amp;""),0)&gt;0),"; "&amp;IF(ISNUMBER((IF(ISNUMBER(IF(IFERROR(VALUE($G5&amp;""),0)=1,"Falta","Faltan")),IF(IF(IFERROR(VALUE($G5&amp;""),0)=1,"Falta","Faltan")=0,"0",ROUND(IF(IFERROR(VALUE($G5&amp;""),0)=1,"Falta","Faltan"),9-INT(LOG10(ABS(IF(IFERROR(VALUE($G5&amp;""),0)=1,"Falta","Faltan")))))&amp;""),IF(IFERROR(VALUE($G5&amp;""),0)=1,"Falta","Faltan")&amp;"")&amp;" "&amp;IF(ISNUMBER($G5),IF($G5=0,"0",ROUND($G5,9-INT(LOG10(ABS($G5))))&amp;""),$G5&amp;"")&amp;" "&amp;IF(ISNUMBER(IF(IFERROR(VALUE($G5&amp;""),0)=1,"sesion","sesiones")),IF(IF(IFERROR(VALUE($G5&amp;""),0)=1,"sesion","sesiones")=0,"0",ROUND(IF(IFERROR(VALUE($G5&amp;""),0)=1,"sesion","sesiones"),9-INT(LOG10(ABS(IF(IFERROR(VALUE($G5&amp;""),0)=1,"sesion","sesiones")))))&amp;""),IF(IFERROR(VALUE($G5&amp;""),0)=1,"sesion","sesiones")&amp;""))),IF((IF(ISNUMBER(IF(IFERROR(VALUE($G5&amp;""),0)=1,"Falta","Faltan")),IF(IF(IFERROR(VALUE($G5&amp;""),0)=1,"Falta","Faltan")=0,"0",ROUND(IF(IFERROR(VALUE($G5&amp;""),0)=1,"Falta","Faltan"),9-INT(LOG10(ABS(IF(IFERROR(VALUE($G5&amp;""),0)=1,"Falta","Faltan")))))&amp;""),IF(IFERROR(VALUE($G5&amp;""),0)=1,"Falta","Faltan")&amp;"")&amp;" "&amp;IF(ISNUMBER($G5),IF($G5=0,"0",ROUND($G5,9-INT(LOG10(ABS($G5))))&amp;""),$G5&amp;"")&amp;" "&amp;IF(ISNUMBER(IF(IFERROR(VALUE($G5&amp;""),0)=1,"sesion","sesiones")),IF(IF(IFERROR(VALUE($G5&amp;""),0)=1,"sesion","sesiones")=0,"0",ROUND(IF(IFERROR(VALUE($G5&amp;""),0)=1,"sesion","sesiones"),9-INT(LOG10(ABS(IF(IFERROR(VALUE($G5&amp;""),0)=1,"sesion","sesiones")))))&amp;""),IF(IFERROR(VALUE($G5&amp;""),0)=1,"sesion","sesiones")&amp;""))=0,"0",ROUND((IF(ISNUMBER(IF(IFERROR(VALUE($G5&amp;""),0)=1,"Falta","Faltan")),IF(IF(IFERROR(VALUE($G5&amp;""),0)=1,"Falta","Faltan")=0,"0",ROUND(IF(IFERROR(VALUE($G5&amp;""),0)=1,"Falta","Faltan"),9-INT(LOG10(ABS(IF(IFERROR(VALUE($G5&amp;""),0)=1,"Falta","Faltan")))))&amp;""),IF(IFERROR(VALUE($G5&amp;""),0)=1,"Falta","Faltan")&amp;"")&amp;" "&amp;IF(ISNUMBER($G5),IF($G5=0,"0",ROUND($G5,9-INT(LOG10(ABS($G5))))&amp;""),$G5&amp;"")&amp;" "&amp;IF(ISNUMBER(IF(IFERROR(VALUE($G5&amp;""),0)=1,"sesion","sesiones")),IF(IF(IFERROR(VALUE($G5&amp;""),0)=1,"sesion","sesiones")=0,"0",ROUND(IF(IFERROR(VALUE($G5&amp;""),0)=1,"sesion","sesiones"),9-INT(LOG10(ABS(IF(IFERROR(VALUE($G5&amp;""),0)=1,"sesion","sesiones")))))&amp;""),IF(IFERROR(VALUE($G5&amp;""),0)=1,"sesion","sesiones")&amp;"")),9-INT(LOG10(ABS((IF(ISNUMBER(IF(IFERROR(VALUE($G5&amp;""),0)=1,"Falta","Faltan")),IF(IF(IFERROR(VALUE($G5&amp;""),0)=1,"Falta","Faltan")=0,"0",ROUND(IF(IFERROR(VALUE($G5&amp;""),0)=1,"Falta","Faltan"),9-INT(LOG10(ABS(IF(IFERROR(VALUE($G5&amp;""),0)=1,"Falta","Faltan")))))&amp;""),IF(IFERROR(VALUE($G5&amp;""),0)=1,"Falta","Faltan")&amp;"")&amp;" "&amp;IF(ISNUMBER($G5),IF($G5=0,"0",ROUND($G5,9-INT(LOG10(ABS($G5))))&amp;""),$G5&amp;"")&amp;" "&amp;IF(ISNUMBER(IF(IFERROR(VALUE($G5&amp;""),0)=1,"sesion","sesiones")),IF(IF(IFERROR(VALUE($G5&amp;""),0)=1,"sesion","sesiones")=0,"0",ROUND(IF(IFERROR(VALUE($G5&amp;""),0)=1,"sesion","sesiones"),9-INT(LOG10(ABS(IF(IFERROR(VALUE($G5&amp;""),0)=1,"sesion","sesiones")))))&amp;""),IF(IFERROR(VALUE($G5&amp;""),0)=1,"sesion","sesiones")&amp;""))))))&amp;""),(IF(ISNUMBER(IF(IFERROR(VALUE($G5&amp;""),0)=1,"Falta","Faltan")),IF(IF(IFERROR(VALUE($G5&amp;""),0)=1,"Falta","Faltan")=0,"0",ROUND(IF(IFERROR(VALUE($G5&amp;""),0)=1,"Falta","Faltan"),9-INT(LOG10(ABS(IF(IFERROR(VALUE($G5&amp;""),0)=1,"Falta","Faltan")))))&amp;""),IF(IFERROR(VALUE($G5&amp;""),0)=1,"Falta","Faltan")&amp;"")&amp;" "&amp;IF(ISNUMBER($G5),IF($G5=0,"0",ROUND($G5,9-INT(LOG10(ABS($G5))))&amp;""),$G5&amp;"")&amp;" "&amp;IF(ISNUMBER(IF(IFERROR(VALUE($G5&amp;""),0)=1,"sesion","sesiones")),IF(IF(IFERROR(VALUE($G5&amp;""),0)=1,"sesion","sesiones")=0,"0",ROUND(IF(IFERROR(VALUE($G5&amp;""),0)=1,"sesion","sesiones"),9-INT(LOG10(ABS(IF(IFERROR(VALUE($G5&amp;""),0)=1,"sesion","sesiones")))))&amp;""),IF(IFERROR(VALUE($G5&amp;""),0)=1,"sesion","sesiones")&amp;""))&amp;""),"")&amp;IF((IFERROR(VALUE($G5&amp;""),0)&lt;0),"; "&amp;IF(ISNUMBER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sesion","sesiones")),IF(IF(IFERROR(VALUE((0-IFERROR(VALUE($G5&amp;""),0))&amp;""),0)=1,"sesion","sesiones")=0,"0",ROUND(IF(IFERROR(VALUE((0-IFERROR(VALUE($G5&amp;""),0))&amp;""),0)=1,"sesion","sesiones"),9-INT(LOG10(ABS(IF(IFERROR(VALUE((0-IFERROR(VALUE($G5&amp;""),0))&amp;""),0)=1,"sesion","sesiones")))))&amp;""),IF(IFERROR(VALUE((0-IFERROR(VALUE($G5&amp;""),0))&amp;""),0)=1,"sesion","sesiones")&amp;""))),IF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sesion","sesiones")),IF(IF(IFERROR(VALUE((0-IFERROR(VALUE($G5&amp;""),0))&amp;""),0)=1,"sesion","sesiones")=0,"0",ROUND(IF(IFERROR(VALUE((0-IFERROR(VALUE($G5&amp;""),0))&amp;""),0)=1,"sesion","sesiones"),9-INT(LOG10(ABS(IF(IFERROR(VALUE((0-IFERROR(VALUE($G5&amp;""),0))&amp;""),0)=1,"sesion","sesiones")))))&amp;""),IF(IFERROR(VALUE((0-IFERROR(VALUE($G5&amp;""),0))&amp;""),0)=1,"sesion","sesiones")&amp;""))=0,"0",ROUND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sesion","sesiones")),IF(IF(IFERROR(VALUE((0-IFERROR(VALUE($G5&amp;""),0))&amp;""),0)=1,"sesion","sesiones")=0,"0",ROUND(IF(IFERROR(VALUE((0-IFERROR(VALUE($G5&amp;""),0))&amp;""),0)=1,"sesion","sesiones"),9-INT(LOG10(ABS(IF(IFERROR(VALUE((0-IFERROR(VALUE($G5&amp;""),0))&amp;""),0)=1,"sesion","sesiones")))))&amp;""),IF(IFERROR(VALUE((0-IFERROR(VALUE($G5&amp;""),0))&amp;""),0)=1,"sesion","sesiones")&amp;"")),9-INT(LOG10(ABS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sesion","sesiones")),IF(IF(IFERROR(VALUE((0-IFERROR(VALUE($G5&amp;""),0))&amp;""),0)=1,"sesion","sesiones")=0,"0",ROUND(IF(IFERROR(VALUE((0-IFERROR(VALUE($G5&amp;""),0))&amp;""),0)=1,"sesion","sesiones"),9-INT(LOG10(ABS(IF(IFERROR(VALUE((0-IFERROR(VALUE($G5&amp;""),0))&amp;""),0)=1,"sesion","sesiones")))))&amp;""),IF(IFERROR(VALUE((0-IFERROR(VALUE($G5&amp;""),0))&amp;""),0)=1,"sesion","sesiones")&amp;""))))))&amp;""),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sesion","sesiones")),IF(IF(IFERROR(VALUE((0-IFERROR(VALUE($G5&amp;""),0))&amp;""),0)=1,"sesion","sesiones")=0,"0",ROUND(IF(IFERROR(VALUE((0-IFERROR(VALUE($G5&amp;""),0))&amp;""),0)=1,"sesion","sesiones"),9-INT(LOG10(ABS(IF(IFERROR(VALUE((0-IFERROR(VALUE($G5&amp;""),0))&amp;""),0)=1,"sesion","sesiones")))))&amp;""),IF(IFERROR(VALUE((0-IFERROR(VALUE($G5&amp;""),0))&amp;""),0)=1,"sesion","sesiones")&amp;""))&amp;""),""),3,32767)</f>
        <v/>
      </c>
      <c r="I5" s="3">
        <f>IF(OR((IFERROR(VALUE($G5&amp;""),0)&gt;0),(IFERROR(VALUE($G5&amp;""),0)&lt;0)),3,0)</f>
        <v/>
      </c>
    </row>
    <row r="6">
      <c r="A6" s="3" t="inlineStr">
        <is>
          <t>10-3</t>
        </is>
      </c>
      <c r="B6" s="3" t="inlineStr">
        <is>
          <t>F</t>
        </is>
      </c>
      <c r="C6" s="3" t="inlineStr">
        <is>
          <t>Profesor de F en 10-3</t>
        </is>
      </c>
      <c r="D6" s="3">
        <f>IF(ISNA(MATCH(1,INDEX(EXACT('Asignaturas'!$A$4:$A$18,$B6)*1,0),0)),"",IF(ISBLANK(INDEX('Asignaturas'!$B$4:$B$18,MATCH(1,INDEX(EXACT('Asignaturas'!$A$4:$A$18,$B6)*1,0),0))),"",INDEX('Asignaturas'!$B$4:$B$18,MATCH(1,INDEX(EXACT('Asignaturas'!$A$4:$A$18,$B6)*1,0),0))))</f>
        <v/>
      </c>
      <c r="E6" s="3">
        <f>IF(ISNA(MATCH(1,INDEX(EXACT('Asignaturas'!$A$4:$A$18,$B6)*1,0),0)),0,IF(ISBLANK(INDEX('Asignaturas'!$C$4:$C$18,MATCH(1,INDEX(EXACT('Asignaturas'!$A$4:$A$18,$B6)*1,0),0))),"",INDEX('Asignaturas'!$C$4:$C$18,MATCH(1,INDEX(EXACT('Asignaturas'!$A$4:$A$18,$B6)*1,0),0))))</f>
        <v/>
      </c>
      <c r="F6" s="3">
        <f>SUMPRODUCT(1*((EXACT('Casillas del horario'!$A$4:$A$73,$A6)))*((EXACT('Casillas del horario'!$D$4:$D$73,$B6))))</f>
        <v/>
      </c>
      <c r="G6" s="3">
        <f>(IFERROR(VALUE($E6&amp;""),0)-IFERROR(VALUE($F6&amp;""),0))</f>
        <v/>
      </c>
      <c r="H6" s="3">
        <f>MID(IF((IFERROR(VALUE($G6&amp;""),0)&gt;0),"; "&amp;IF(ISNUMBER((IF(ISNUMBER(IF(IFERROR(VALUE($G6&amp;""),0)=1,"Falta","Faltan")),IF(IF(IFERROR(VALUE($G6&amp;""),0)=1,"Falta","Faltan")=0,"0",ROUND(IF(IFERROR(VALUE($G6&amp;""),0)=1,"Falta","Faltan"),9-INT(LOG10(ABS(IF(IFERROR(VALUE($G6&amp;""),0)=1,"Falta","Faltan")))))&amp;""),IF(IFERROR(VALUE($G6&amp;""),0)=1,"Falta","Faltan")&amp;"")&amp;" "&amp;IF(ISNUMBER($G6),IF($G6=0,"0",ROUND($G6,9-INT(LOG10(ABS($G6))))&amp;""),$G6&amp;"")&amp;" "&amp;IF(ISNUMBER(IF(IFERROR(VALUE($G6&amp;""),0)=1,"sesion","sesiones")),IF(IF(IFERROR(VALUE($G6&amp;""),0)=1,"sesion","sesiones")=0,"0",ROUND(IF(IFERROR(VALUE($G6&amp;""),0)=1,"sesion","sesiones"),9-INT(LOG10(ABS(IF(IFERROR(VALUE($G6&amp;""),0)=1,"sesion","sesiones")))))&amp;""),IF(IFERROR(VALUE($G6&amp;""),0)=1,"sesion","sesiones")&amp;""))),IF((IF(ISNUMBER(IF(IFERROR(VALUE($G6&amp;""),0)=1,"Falta","Faltan")),IF(IF(IFERROR(VALUE($G6&amp;""),0)=1,"Falta","Faltan")=0,"0",ROUND(IF(IFERROR(VALUE($G6&amp;""),0)=1,"Falta","Faltan"),9-INT(LOG10(ABS(IF(IFERROR(VALUE($G6&amp;""),0)=1,"Falta","Faltan")))))&amp;""),IF(IFERROR(VALUE($G6&amp;""),0)=1,"Falta","Faltan")&amp;"")&amp;" "&amp;IF(ISNUMBER($G6),IF($G6=0,"0",ROUND($G6,9-INT(LOG10(ABS($G6))))&amp;""),$G6&amp;"")&amp;" "&amp;IF(ISNUMBER(IF(IFERROR(VALUE($G6&amp;""),0)=1,"sesion","sesiones")),IF(IF(IFERROR(VALUE($G6&amp;""),0)=1,"sesion","sesiones")=0,"0",ROUND(IF(IFERROR(VALUE($G6&amp;""),0)=1,"sesion","sesiones"),9-INT(LOG10(ABS(IF(IFERROR(VALUE($G6&amp;""),0)=1,"sesion","sesiones")))))&amp;""),IF(IFERROR(VALUE($G6&amp;""),0)=1,"sesion","sesiones")&amp;""))=0,"0",ROUND((IF(ISNUMBER(IF(IFERROR(VALUE($G6&amp;""),0)=1,"Falta","Faltan")),IF(IF(IFERROR(VALUE($G6&amp;""),0)=1,"Falta","Faltan")=0,"0",ROUND(IF(IFERROR(VALUE($G6&amp;""),0)=1,"Falta","Faltan"),9-INT(LOG10(ABS(IF(IFERROR(VALUE($G6&amp;""),0)=1,"Falta","Faltan")))))&amp;""),IF(IFERROR(VALUE($G6&amp;""),0)=1,"Falta","Faltan")&amp;"")&amp;" "&amp;IF(ISNUMBER($G6),IF($G6=0,"0",ROUND($G6,9-INT(LOG10(ABS($G6))))&amp;""),$G6&amp;"")&amp;" "&amp;IF(ISNUMBER(IF(IFERROR(VALUE($G6&amp;""),0)=1,"sesion","sesiones")),IF(IF(IFERROR(VALUE($G6&amp;""),0)=1,"sesion","sesiones")=0,"0",ROUND(IF(IFERROR(VALUE($G6&amp;""),0)=1,"sesion","sesiones"),9-INT(LOG10(ABS(IF(IFERROR(VALUE($G6&amp;""),0)=1,"sesion","sesiones")))))&amp;""),IF(IFERROR(VALUE($G6&amp;""),0)=1,"sesion","sesiones")&amp;"")),9-INT(LOG10(ABS((IF(ISNUMBER(IF(IFERROR(VALUE($G6&amp;""),0)=1,"Falta","Faltan")),IF(IF(IFERROR(VALUE($G6&amp;""),0)=1,"Falta","Faltan")=0,"0",ROUND(IF(IFERROR(VALUE($G6&amp;""),0)=1,"Falta","Faltan"),9-INT(LOG10(ABS(IF(IFERROR(VALUE($G6&amp;""),0)=1,"Falta","Faltan")))))&amp;""),IF(IFERROR(VALUE($G6&amp;""),0)=1,"Falta","Faltan")&amp;"")&amp;" "&amp;IF(ISNUMBER($G6),IF($G6=0,"0",ROUND($G6,9-INT(LOG10(ABS($G6))))&amp;""),$G6&amp;"")&amp;" "&amp;IF(ISNUMBER(IF(IFERROR(VALUE($G6&amp;""),0)=1,"sesion","sesiones")),IF(IF(IFERROR(VALUE($G6&amp;""),0)=1,"sesion","sesiones")=0,"0",ROUND(IF(IFERROR(VALUE($G6&amp;""),0)=1,"sesion","sesiones"),9-INT(LOG10(ABS(IF(IFERROR(VALUE($G6&amp;""),0)=1,"sesion","sesiones")))))&amp;""),IF(IFERROR(VALUE($G6&amp;""),0)=1,"sesion","sesiones")&amp;""))))))&amp;""),(IF(ISNUMBER(IF(IFERROR(VALUE($G6&amp;""),0)=1,"Falta","Faltan")),IF(IF(IFERROR(VALUE($G6&amp;""),0)=1,"Falta","Faltan")=0,"0",ROUND(IF(IFERROR(VALUE($G6&amp;""),0)=1,"Falta","Faltan"),9-INT(LOG10(ABS(IF(IFERROR(VALUE($G6&amp;""),0)=1,"Falta","Faltan")))))&amp;""),IF(IFERROR(VALUE($G6&amp;""),0)=1,"Falta","Faltan")&amp;"")&amp;" "&amp;IF(ISNUMBER($G6),IF($G6=0,"0",ROUND($G6,9-INT(LOG10(ABS($G6))))&amp;""),$G6&amp;"")&amp;" "&amp;IF(ISNUMBER(IF(IFERROR(VALUE($G6&amp;""),0)=1,"sesion","sesiones")),IF(IF(IFERROR(VALUE($G6&amp;""),0)=1,"sesion","sesiones")=0,"0",ROUND(IF(IFERROR(VALUE($G6&amp;""),0)=1,"sesion","sesiones"),9-INT(LOG10(ABS(IF(IFERROR(VALUE($G6&amp;""),0)=1,"sesion","sesiones")))))&amp;""),IF(IFERROR(VALUE($G6&amp;""),0)=1,"sesion","sesiones")&amp;""))&amp;""),"")&amp;IF((IFERROR(VALUE($G6&amp;""),0)&lt;0),"; "&amp;IF(ISNUMBER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sesion","sesiones")),IF(IF(IFERROR(VALUE((0-IFERROR(VALUE($G6&amp;""),0))&amp;""),0)=1,"sesion","sesiones")=0,"0",ROUND(IF(IFERROR(VALUE((0-IFERROR(VALUE($G6&amp;""),0))&amp;""),0)=1,"sesion","sesiones"),9-INT(LOG10(ABS(IF(IFERROR(VALUE((0-IFERROR(VALUE($G6&amp;""),0))&amp;""),0)=1,"sesion","sesiones")))))&amp;""),IF(IFERROR(VALUE((0-IFERROR(VALUE($G6&amp;""),0))&amp;""),0)=1,"sesion","sesiones")&amp;""))),IF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sesion","sesiones")),IF(IF(IFERROR(VALUE((0-IFERROR(VALUE($G6&amp;""),0))&amp;""),0)=1,"sesion","sesiones")=0,"0",ROUND(IF(IFERROR(VALUE((0-IFERROR(VALUE($G6&amp;""),0))&amp;""),0)=1,"sesion","sesiones"),9-INT(LOG10(ABS(IF(IFERROR(VALUE((0-IFERROR(VALUE($G6&amp;""),0))&amp;""),0)=1,"sesion","sesiones")))))&amp;""),IF(IFERROR(VALUE((0-IFERROR(VALUE($G6&amp;""),0))&amp;""),0)=1,"sesion","sesiones")&amp;""))=0,"0",ROUND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sesion","sesiones")),IF(IF(IFERROR(VALUE((0-IFERROR(VALUE($G6&amp;""),0))&amp;""),0)=1,"sesion","sesiones")=0,"0",ROUND(IF(IFERROR(VALUE((0-IFERROR(VALUE($G6&amp;""),0))&amp;""),0)=1,"sesion","sesiones"),9-INT(LOG10(ABS(IF(IFERROR(VALUE((0-IFERROR(VALUE($G6&amp;""),0))&amp;""),0)=1,"sesion","sesiones")))))&amp;""),IF(IFERROR(VALUE((0-IFERROR(VALUE($G6&amp;""),0))&amp;""),0)=1,"sesion","sesiones")&amp;"")),9-INT(LOG10(ABS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sesion","sesiones")),IF(IF(IFERROR(VALUE((0-IFERROR(VALUE($G6&amp;""),0))&amp;""),0)=1,"sesion","sesiones")=0,"0",ROUND(IF(IFERROR(VALUE((0-IFERROR(VALUE($G6&amp;""),0))&amp;""),0)=1,"sesion","sesiones"),9-INT(LOG10(ABS(IF(IFERROR(VALUE((0-IFERROR(VALUE($G6&amp;""),0))&amp;""),0)=1,"sesion","sesiones")))))&amp;""),IF(IFERROR(VALUE((0-IFERROR(VALUE($G6&amp;""),0))&amp;""),0)=1,"sesion","sesiones")&amp;""))))))&amp;""),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sesion","sesiones")),IF(IF(IFERROR(VALUE((0-IFERROR(VALUE($G6&amp;""),0))&amp;""),0)=1,"sesion","sesiones")=0,"0",ROUND(IF(IFERROR(VALUE((0-IFERROR(VALUE($G6&amp;""),0))&amp;""),0)=1,"sesion","sesiones"),9-INT(LOG10(ABS(IF(IFERROR(VALUE((0-IFERROR(VALUE($G6&amp;""),0))&amp;""),0)=1,"sesion","sesiones")))))&amp;""),IF(IFERROR(VALUE((0-IFERROR(VALUE($G6&amp;""),0))&amp;""),0)=1,"sesion","sesiones")&amp;""))&amp;""),""),3,32767)</f>
        <v/>
      </c>
      <c r="I6" s="3">
        <f>IF(OR((IFERROR(VALUE($G6&amp;""),0)&gt;0),(IFERROR(VALUE($G6&amp;""),0)&lt;0)),3,0)</f>
        <v/>
      </c>
    </row>
    <row r="7">
      <c r="A7" s="3" t="inlineStr">
        <is>
          <t>10-3</t>
        </is>
      </c>
      <c r="B7" s="3" t="inlineStr">
        <is>
          <t>I</t>
        </is>
      </c>
      <c r="C7" s="3" t="inlineStr">
        <is>
          <t>Profesor de I en 10-3</t>
        </is>
      </c>
      <c r="D7" s="3">
        <f>IF(ISNA(MATCH(1,INDEX(EXACT('Asignaturas'!$A$4:$A$18,$B7)*1,0),0)),"",IF(ISBLANK(INDEX('Asignaturas'!$B$4:$B$18,MATCH(1,INDEX(EXACT('Asignaturas'!$A$4:$A$18,$B7)*1,0),0))),"",INDEX('Asignaturas'!$B$4:$B$18,MATCH(1,INDEX(EXACT('Asignaturas'!$A$4:$A$18,$B7)*1,0),0))))</f>
        <v/>
      </c>
      <c r="E7" s="3">
        <f>IF(ISNA(MATCH(1,INDEX(EXACT('Asignaturas'!$A$4:$A$18,$B7)*1,0),0)),0,IF(ISBLANK(INDEX('Asignaturas'!$C$4:$C$18,MATCH(1,INDEX(EXACT('Asignaturas'!$A$4:$A$18,$B7)*1,0),0))),"",INDEX('Asignaturas'!$C$4:$C$18,MATCH(1,INDEX(EXACT('Asignaturas'!$A$4:$A$18,$B7)*1,0),0))))</f>
        <v/>
      </c>
      <c r="F7" s="3">
        <f>SUMPRODUCT(1*((EXACT('Casillas del horario'!$A$4:$A$73,$A7)))*((EXACT('Casillas del horario'!$D$4:$D$73,$B7))))</f>
        <v/>
      </c>
      <c r="G7" s="3">
        <f>(IFERROR(VALUE($E7&amp;""),0)-IFERROR(VALUE($F7&amp;""),0))</f>
        <v/>
      </c>
      <c r="H7" s="3">
        <f>MID(IF((IFERROR(VALUE($G7&amp;""),0)&gt;0),"; "&amp;IF(ISNUMBER((IF(ISNUMBER(IF(IFERROR(VALUE($G7&amp;""),0)=1,"Falta","Faltan")),IF(IF(IFERROR(VALUE($G7&amp;""),0)=1,"Falta","Faltan")=0,"0",ROUND(IF(IFERROR(VALUE($G7&amp;""),0)=1,"Falta","Faltan"),9-INT(LOG10(ABS(IF(IFERROR(VALUE($G7&amp;""),0)=1,"Falta","Faltan")))))&amp;""),IF(IFERROR(VALUE($G7&amp;""),0)=1,"Falta","Faltan")&amp;"")&amp;" "&amp;IF(ISNUMBER($G7),IF($G7=0,"0",ROUND($G7,9-INT(LOG10(ABS($G7))))&amp;""),$G7&amp;"")&amp;" "&amp;IF(ISNUMBER(IF(IFERROR(VALUE($G7&amp;""),0)=1,"sesion","sesiones")),IF(IF(IFERROR(VALUE($G7&amp;""),0)=1,"sesion","sesiones")=0,"0",ROUND(IF(IFERROR(VALUE($G7&amp;""),0)=1,"sesion","sesiones"),9-INT(LOG10(ABS(IF(IFERROR(VALUE($G7&amp;""),0)=1,"sesion","sesiones")))))&amp;""),IF(IFERROR(VALUE($G7&amp;""),0)=1,"sesion","sesiones")&amp;""))),IF((IF(ISNUMBER(IF(IFERROR(VALUE($G7&amp;""),0)=1,"Falta","Faltan")),IF(IF(IFERROR(VALUE($G7&amp;""),0)=1,"Falta","Faltan")=0,"0",ROUND(IF(IFERROR(VALUE($G7&amp;""),0)=1,"Falta","Faltan"),9-INT(LOG10(ABS(IF(IFERROR(VALUE($G7&amp;""),0)=1,"Falta","Faltan")))))&amp;""),IF(IFERROR(VALUE($G7&amp;""),0)=1,"Falta","Faltan")&amp;"")&amp;" "&amp;IF(ISNUMBER($G7),IF($G7=0,"0",ROUND($G7,9-INT(LOG10(ABS($G7))))&amp;""),$G7&amp;"")&amp;" "&amp;IF(ISNUMBER(IF(IFERROR(VALUE($G7&amp;""),0)=1,"sesion","sesiones")),IF(IF(IFERROR(VALUE($G7&amp;""),0)=1,"sesion","sesiones")=0,"0",ROUND(IF(IFERROR(VALUE($G7&amp;""),0)=1,"sesion","sesiones"),9-INT(LOG10(ABS(IF(IFERROR(VALUE($G7&amp;""),0)=1,"sesion","sesiones")))))&amp;""),IF(IFERROR(VALUE($G7&amp;""),0)=1,"sesion","sesiones")&amp;""))=0,"0",ROUND((IF(ISNUMBER(IF(IFERROR(VALUE($G7&amp;""),0)=1,"Falta","Faltan")),IF(IF(IFERROR(VALUE($G7&amp;""),0)=1,"Falta","Faltan")=0,"0",ROUND(IF(IFERROR(VALUE($G7&amp;""),0)=1,"Falta","Faltan"),9-INT(LOG10(ABS(IF(IFERROR(VALUE($G7&amp;""),0)=1,"Falta","Faltan")))))&amp;""),IF(IFERROR(VALUE($G7&amp;""),0)=1,"Falta","Faltan")&amp;"")&amp;" "&amp;IF(ISNUMBER($G7),IF($G7=0,"0",ROUND($G7,9-INT(LOG10(ABS($G7))))&amp;""),$G7&amp;"")&amp;" "&amp;IF(ISNUMBER(IF(IFERROR(VALUE($G7&amp;""),0)=1,"sesion","sesiones")),IF(IF(IFERROR(VALUE($G7&amp;""),0)=1,"sesion","sesiones")=0,"0",ROUND(IF(IFERROR(VALUE($G7&amp;""),0)=1,"sesion","sesiones"),9-INT(LOG10(ABS(IF(IFERROR(VALUE($G7&amp;""),0)=1,"sesion","sesiones")))))&amp;""),IF(IFERROR(VALUE($G7&amp;""),0)=1,"sesion","sesiones")&amp;"")),9-INT(LOG10(ABS((IF(ISNUMBER(IF(IFERROR(VALUE($G7&amp;""),0)=1,"Falta","Faltan")),IF(IF(IFERROR(VALUE($G7&amp;""),0)=1,"Falta","Faltan")=0,"0",ROUND(IF(IFERROR(VALUE($G7&amp;""),0)=1,"Falta","Faltan"),9-INT(LOG10(ABS(IF(IFERROR(VALUE($G7&amp;""),0)=1,"Falta","Faltan")))))&amp;""),IF(IFERROR(VALUE($G7&amp;""),0)=1,"Falta","Faltan")&amp;"")&amp;" "&amp;IF(ISNUMBER($G7),IF($G7=0,"0",ROUND($G7,9-INT(LOG10(ABS($G7))))&amp;""),$G7&amp;"")&amp;" "&amp;IF(ISNUMBER(IF(IFERROR(VALUE($G7&amp;""),0)=1,"sesion","sesiones")),IF(IF(IFERROR(VALUE($G7&amp;""),0)=1,"sesion","sesiones")=0,"0",ROUND(IF(IFERROR(VALUE($G7&amp;""),0)=1,"sesion","sesiones"),9-INT(LOG10(ABS(IF(IFERROR(VALUE($G7&amp;""),0)=1,"sesion","sesiones")))))&amp;""),IF(IFERROR(VALUE($G7&amp;""),0)=1,"sesion","sesiones")&amp;""))))))&amp;""),(IF(ISNUMBER(IF(IFERROR(VALUE($G7&amp;""),0)=1,"Falta","Faltan")),IF(IF(IFERROR(VALUE($G7&amp;""),0)=1,"Falta","Faltan")=0,"0",ROUND(IF(IFERROR(VALUE($G7&amp;""),0)=1,"Falta","Faltan"),9-INT(LOG10(ABS(IF(IFERROR(VALUE($G7&amp;""),0)=1,"Falta","Faltan")))))&amp;""),IF(IFERROR(VALUE($G7&amp;""),0)=1,"Falta","Faltan")&amp;"")&amp;" "&amp;IF(ISNUMBER($G7),IF($G7=0,"0",ROUND($G7,9-INT(LOG10(ABS($G7))))&amp;""),$G7&amp;"")&amp;" "&amp;IF(ISNUMBER(IF(IFERROR(VALUE($G7&amp;""),0)=1,"sesion","sesiones")),IF(IF(IFERROR(VALUE($G7&amp;""),0)=1,"sesion","sesiones")=0,"0",ROUND(IF(IFERROR(VALUE($G7&amp;""),0)=1,"sesion","sesiones"),9-INT(LOG10(ABS(IF(IFERROR(VALUE($G7&amp;""),0)=1,"sesion","sesiones")))))&amp;""),IF(IFERROR(VALUE($G7&amp;""),0)=1,"sesion","sesiones")&amp;""))&amp;""),"")&amp;IF((IFERROR(VALUE($G7&amp;""),0)&lt;0),"; "&amp;IF(ISNUMBER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sesion","sesiones")),IF(IF(IFERROR(VALUE((0-IFERROR(VALUE($G7&amp;""),0))&amp;""),0)=1,"sesion","sesiones")=0,"0",ROUND(IF(IFERROR(VALUE((0-IFERROR(VALUE($G7&amp;""),0))&amp;""),0)=1,"sesion","sesiones"),9-INT(LOG10(ABS(IF(IFERROR(VALUE((0-IFERROR(VALUE($G7&amp;""),0))&amp;""),0)=1,"sesion","sesiones")))))&amp;""),IF(IFERROR(VALUE((0-IFERROR(VALUE($G7&amp;""),0))&amp;""),0)=1,"sesion","sesiones")&amp;""))),IF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sesion","sesiones")),IF(IF(IFERROR(VALUE((0-IFERROR(VALUE($G7&amp;""),0))&amp;""),0)=1,"sesion","sesiones")=0,"0",ROUND(IF(IFERROR(VALUE((0-IFERROR(VALUE($G7&amp;""),0))&amp;""),0)=1,"sesion","sesiones"),9-INT(LOG10(ABS(IF(IFERROR(VALUE((0-IFERROR(VALUE($G7&amp;""),0))&amp;""),0)=1,"sesion","sesiones")))))&amp;""),IF(IFERROR(VALUE((0-IFERROR(VALUE($G7&amp;""),0))&amp;""),0)=1,"sesion","sesiones")&amp;""))=0,"0",ROUND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sesion","sesiones")),IF(IF(IFERROR(VALUE((0-IFERROR(VALUE($G7&amp;""),0))&amp;""),0)=1,"sesion","sesiones")=0,"0",ROUND(IF(IFERROR(VALUE((0-IFERROR(VALUE($G7&amp;""),0))&amp;""),0)=1,"sesion","sesiones"),9-INT(LOG10(ABS(IF(IFERROR(VALUE((0-IFERROR(VALUE($G7&amp;""),0))&amp;""),0)=1,"sesion","sesiones")))))&amp;""),IF(IFERROR(VALUE((0-IFERROR(VALUE($G7&amp;""),0))&amp;""),0)=1,"sesion","sesiones")&amp;"")),9-INT(LOG10(ABS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sesion","sesiones")),IF(IF(IFERROR(VALUE((0-IFERROR(VALUE($G7&amp;""),0))&amp;""),0)=1,"sesion","sesiones")=0,"0",ROUND(IF(IFERROR(VALUE((0-IFERROR(VALUE($G7&amp;""),0))&amp;""),0)=1,"sesion","sesiones"),9-INT(LOG10(ABS(IF(IFERROR(VALUE((0-IFERROR(VALUE($G7&amp;""),0))&amp;""),0)=1,"sesion","sesiones")))))&amp;""),IF(IFERROR(VALUE((0-IFERROR(VALUE($G7&amp;""),0))&amp;""),0)=1,"sesion","sesiones")&amp;""))))))&amp;""),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sesion","sesiones")),IF(IF(IFERROR(VALUE((0-IFERROR(VALUE($G7&amp;""),0))&amp;""),0)=1,"sesion","sesiones")=0,"0",ROUND(IF(IFERROR(VALUE((0-IFERROR(VALUE($G7&amp;""),0))&amp;""),0)=1,"sesion","sesiones"),9-INT(LOG10(ABS(IF(IFERROR(VALUE((0-IFERROR(VALUE($G7&amp;""),0))&amp;""),0)=1,"sesion","sesiones")))))&amp;""),IF(IFERROR(VALUE((0-IFERROR(VALUE($G7&amp;""),0))&amp;""),0)=1,"sesion","sesiones")&amp;""))&amp;""),""),3,32767)</f>
        <v/>
      </c>
      <c r="I7" s="3">
        <f>IF(OR((IFERROR(VALUE($G7&amp;""),0)&gt;0),(IFERROR(VALUE($G7&amp;""),0)&lt;0)),3,0)</f>
        <v/>
      </c>
    </row>
    <row r="8">
      <c r="A8" s="3" t="inlineStr">
        <is>
          <t>10-3</t>
        </is>
      </c>
      <c r="B8" s="3" t="inlineStr">
        <is>
          <t>H</t>
        </is>
      </c>
      <c r="C8" s="3" t="inlineStr">
        <is>
          <t>Profesor de H en 10-3</t>
        </is>
      </c>
      <c r="D8" s="3">
        <f>IF(ISNA(MATCH(1,INDEX(EXACT('Asignaturas'!$A$4:$A$18,$B8)*1,0),0)),"",IF(ISBLANK(INDEX('Asignaturas'!$B$4:$B$18,MATCH(1,INDEX(EXACT('Asignaturas'!$A$4:$A$18,$B8)*1,0),0))),"",INDEX('Asignaturas'!$B$4:$B$18,MATCH(1,INDEX(EXACT('Asignaturas'!$A$4:$A$18,$B8)*1,0),0))))</f>
        <v/>
      </c>
      <c r="E8" s="3">
        <f>IF(ISNA(MATCH(1,INDEX(EXACT('Asignaturas'!$A$4:$A$18,$B8)*1,0),0)),0,IF(ISBLANK(INDEX('Asignaturas'!$C$4:$C$18,MATCH(1,INDEX(EXACT('Asignaturas'!$A$4:$A$18,$B8)*1,0),0))),"",INDEX('Asignaturas'!$C$4:$C$18,MATCH(1,INDEX(EXACT('Asignaturas'!$A$4:$A$18,$B8)*1,0),0))))</f>
        <v/>
      </c>
      <c r="F8" s="3">
        <f>SUMPRODUCT(1*((EXACT('Casillas del horario'!$A$4:$A$73,$A8)))*((EXACT('Casillas del horario'!$D$4:$D$73,$B8))))</f>
        <v/>
      </c>
      <c r="G8" s="3">
        <f>(IFERROR(VALUE($E8&amp;""),0)-IFERROR(VALUE($F8&amp;""),0))</f>
        <v/>
      </c>
      <c r="H8" s="3">
        <f>MID(IF((IFERROR(VALUE($G8&amp;""),0)&gt;0),"; "&amp;IF(ISNUMBER((IF(ISNUMBER(IF(IFERROR(VALUE($G8&amp;""),0)=1,"Falta","Faltan")),IF(IF(IFERROR(VALUE($G8&amp;""),0)=1,"Falta","Faltan")=0,"0",ROUND(IF(IFERROR(VALUE($G8&amp;""),0)=1,"Falta","Faltan"),9-INT(LOG10(ABS(IF(IFERROR(VALUE($G8&amp;""),0)=1,"Falta","Faltan")))))&amp;""),IF(IFERROR(VALUE($G8&amp;""),0)=1,"Falta","Faltan")&amp;"")&amp;" "&amp;IF(ISNUMBER($G8),IF($G8=0,"0",ROUND($G8,9-INT(LOG10(ABS($G8))))&amp;""),$G8&amp;"")&amp;" "&amp;IF(ISNUMBER(IF(IFERROR(VALUE($G8&amp;""),0)=1,"sesion","sesiones")),IF(IF(IFERROR(VALUE($G8&amp;""),0)=1,"sesion","sesiones")=0,"0",ROUND(IF(IFERROR(VALUE($G8&amp;""),0)=1,"sesion","sesiones"),9-INT(LOG10(ABS(IF(IFERROR(VALUE($G8&amp;""),0)=1,"sesion","sesiones")))))&amp;""),IF(IFERROR(VALUE($G8&amp;""),0)=1,"sesion","sesiones")&amp;""))),IF((IF(ISNUMBER(IF(IFERROR(VALUE($G8&amp;""),0)=1,"Falta","Faltan")),IF(IF(IFERROR(VALUE($G8&amp;""),0)=1,"Falta","Faltan")=0,"0",ROUND(IF(IFERROR(VALUE($G8&amp;""),0)=1,"Falta","Faltan"),9-INT(LOG10(ABS(IF(IFERROR(VALUE($G8&amp;""),0)=1,"Falta","Faltan")))))&amp;""),IF(IFERROR(VALUE($G8&amp;""),0)=1,"Falta","Faltan")&amp;"")&amp;" "&amp;IF(ISNUMBER($G8),IF($G8=0,"0",ROUND($G8,9-INT(LOG10(ABS($G8))))&amp;""),$G8&amp;"")&amp;" "&amp;IF(ISNUMBER(IF(IFERROR(VALUE($G8&amp;""),0)=1,"sesion","sesiones")),IF(IF(IFERROR(VALUE($G8&amp;""),0)=1,"sesion","sesiones")=0,"0",ROUND(IF(IFERROR(VALUE($G8&amp;""),0)=1,"sesion","sesiones"),9-INT(LOG10(ABS(IF(IFERROR(VALUE($G8&amp;""),0)=1,"sesion","sesiones")))))&amp;""),IF(IFERROR(VALUE($G8&amp;""),0)=1,"sesion","sesiones")&amp;""))=0,"0",ROUND((IF(ISNUMBER(IF(IFERROR(VALUE($G8&amp;""),0)=1,"Falta","Faltan")),IF(IF(IFERROR(VALUE($G8&amp;""),0)=1,"Falta","Faltan")=0,"0",ROUND(IF(IFERROR(VALUE($G8&amp;""),0)=1,"Falta","Faltan"),9-INT(LOG10(ABS(IF(IFERROR(VALUE($G8&amp;""),0)=1,"Falta","Faltan")))))&amp;""),IF(IFERROR(VALUE($G8&amp;""),0)=1,"Falta","Faltan")&amp;"")&amp;" "&amp;IF(ISNUMBER($G8),IF($G8=0,"0",ROUND($G8,9-INT(LOG10(ABS($G8))))&amp;""),$G8&amp;"")&amp;" "&amp;IF(ISNUMBER(IF(IFERROR(VALUE($G8&amp;""),0)=1,"sesion","sesiones")),IF(IF(IFERROR(VALUE($G8&amp;""),0)=1,"sesion","sesiones")=0,"0",ROUND(IF(IFERROR(VALUE($G8&amp;""),0)=1,"sesion","sesiones"),9-INT(LOG10(ABS(IF(IFERROR(VALUE($G8&amp;""),0)=1,"sesion","sesiones")))))&amp;""),IF(IFERROR(VALUE($G8&amp;""),0)=1,"sesion","sesiones")&amp;"")),9-INT(LOG10(ABS((IF(ISNUMBER(IF(IFERROR(VALUE($G8&amp;""),0)=1,"Falta","Faltan")),IF(IF(IFERROR(VALUE($G8&amp;""),0)=1,"Falta","Faltan")=0,"0",ROUND(IF(IFERROR(VALUE($G8&amp;""),0)=1,"Falta","Faltan"),9-INT(LOG10(ABS(IF(IFERROR(VALUE($G8&amp;""),0)=1,"Falta","Faltan")))))&amp;""),IF(IFERROR(VALUE($G8&amp;""),0)=1,"Falta","Faltan")&amp;"")&amp;" "&amp;IF(ISNUMBER($G8),IF($G8=0,"0",ROUND($G8,9-INT(LOG10(ABS($G8))))&amp;""),$G8&amp;"")&amp;" "&amp;IF(ISNUMBER(IF(IFERROR(VALUE($G8&amp;""),0)=1,"sesion","sesiones")),IF(IF(IFERROR(VALUE($G8&amp;""),0)=1,"sesion","sesiones")=0,"0",ROUND(IF(IFERROR(VALUE($G8&amp;""),0)=1,"sesion","sesiones"),9-INT(LOG10(ABS(IF(IFERROR(VALUE($G8&amp;""),0)=1,"sesion","sesiones")))))&amp;""),IF(IFERROR(VALUE($G8&amp;""),0)=1,"sesion","sesiones")&amp;""))))))&amp;""),(IF(ISNUMBER(IF(IFERROR(VALUE($G8&amp;""),0)=1,"Falta","Faltan")),IF(IF(IFERROR(VALUE($G8&amp;""),0)=1,"Falta","Faltan")=0,"0",ROUND(IF(IFERROR(VALUE($G8&amp;""),0)=1,"Falta","Faltan"),9-INT(LOG10(ABS(IF(IFERROR(VALUE($G8&amp;""),0)=1,"Falta","Faltan")))))&amp;""),IF(IFERROR(VALUE($G8&amp;""),0)=1,"Falta","Faltan")&amp;"")&amp;" "&amp;IF(ISNUMBER($G8),IF($G8=0,"0",ROUND($G8,9-INT(LOG10(ABS($G8))))&amp;""),$G8&amp;"")&amp;" "&amp;IF(ISNUMBER(IF(IFERROR(VALUE($G8&amp;""),0)=1,"sesion","sesiones")),IF(IF(IFERROR(VALUE($G8&amp;""),0)=1,"sesion","sesiones")=0,"0",ROUND(IF(IFERROR(VALUE($G8&amp;""),0)=1,"sesion","sesiones"),9-INT(LOG10(ABS(IF(IFERROR(VALUE($G8&amp;""),0)=1,"sesion","sesiones")))))&amp;""),IF(IFERROR(VALUE($G8&amp;""),0)=1,"sesion","sesiones")&amp;""))&amp;""),"")&amp;IF((IFERROR(VALUE($G8&amp;""),0)&lt;0),"; "&amp;IF(ISNUMBER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sesion","sesiones")),IF(IF(IFERROR(VALUE((0-IFERROR(VALUE($G8&amp;""),0))&amp;""),0)=1,"sesion","sesiones")=0,"0",ROUND(IF(IFERROR(VALUE((0-IFERROR(VALUE($G8&amp;""),0))&amp;""),0)=1,"sesion","sesiones"),9-INT(LOG10(ABS(IF(IFERROR(VALUE((0-IFERROR(VALUE($G8&amp;""),0))&amp;""),0)=1,"sesion","sesiones")))))&amp;""),IF(IFERROR(VALUE((0-IFERROR(VALUE($G8&amp;""),0))&amp;""),0)=1,"sesion","sesiones")&amp;""))),IF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sesion","sesiones")),IF(IF(IFERROR(VALUE((0-IFERROR(VALUE($G8&amp;""),0))&amp;""),0)=1,"sesion","sesiones")=0,"0",ROUND(IF(IFERROR(VALUE((0-IFERROR(VALUE($G8&amp;""),0))&amp;""),0)=1,"sesion","sesiones"),9-INT(LOG10(ABS(IF(IFERROR(VALUE((0-IFERROR(VALUE($G8&amp;""),0))&amp;""),0)=1,"sesion","sesiones")))))&amp;""),IF(IFERROR(VALUE((0-IFERROR(VALUE($G8&amp;""),0))&amp;""),0)=1,"sesion","sesiones")&amp;""))=0,"0",ROUND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sesion","sesiones")),IF(IF(IFERROR(VALUE((0-IFERROR(VALUE($G8&amp;""),0))&amp;""),0)=1,"sesion","sesiones")=0,"0",ROUND(IF(IFERROR(VALUE((0-IFERROR(VALUE($G8&amp;""),0))&amp;""),0)=1,"sesion","sesiones"),9-INT(LOG10(ABS(IF(IFERROR(VALUE((0-IFERROR(VALUE($G8&amp;""),0))&amp;""),0)=1,"sesion","sesiones")))))&amp;""),IF(IFERROR(VALUE((0-IFERROR(VALUE($G8&amp;""),0))&amp;""),0)=1,"sesion","sesiones")&amp;"")),9-INT(LOG10(ABS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sesion","sesiones")),IF(IF(IFERROR(VALUE((0-IFERROR(VALUE($G8&amp;""),0))&amp;""),0)=1,"sesion","sesiones")=0,"0",ROUND(IF(IFERROR(VALUE((0-IFERROR(VALUE($G8&amp;""),0))&amp;""),0)=1,"sesion","sesiones"),9-INT(LOG10(ABS(IF(IFERROR(VALUE((0-IFERROR(VALUE($G8&amp;""),0))&amp;""),0)=1,"sesion","sesiones")))))&amp;""),IF(IFERROR(VALUE((0-IFERROR(VALUE($G8&amp;""),0))&amp;""),0)=1,"sesion","sesiones")&amp;""))))))&amp;""),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sesion","sesiones")),IF(IF(IFERROR(VALUE((0-IFERROR(VALUE($G8&amp;""),0))&amp;""),0)=1,"sesion","sesiones")=0,"0",ROUND(IF(IFERROR(VALUE((0-IFERROR(VALUE($G8&amp;""),0))&amp;""),0)=1,"sesion","sesiones"),9-INT(LOG10(ABS(IF(IFERROR(VALUE((0-IFERROR(VALUE($G8&amp;""),0))&amp;""),0)=1,"sesion","sesiones")))))&amp;""),IF(IFERROR(VALUE((0-IFERROR(VALUE($G8&amp;""),0))&amp;""),0)=1,"sesion","sesiones")&amp;""))&amp;""),""),3,32767)</f>
        <v/>
      </c>
      <c r="I8" s="3">
        <f>IF(OR((IFERROR(VALUE($G8&amp;""),0)&gt;0),(IFERROR(VALUE($G8&amp;""),0)&lt;0)),3,0)</f>
        <v/>
      </c>
    </row>
    <row r="9">
      <c r="A9" s="3" t="inlineStr">
        <is>
          <t>10-3</t>
        </is>
      </c>
      <c r="B9" s="3" t="inlineStr">
        <is>
          <t>EF</t>
        </is>
      </c>
      <c r="C9" s="3" t="inlineStr">
        <is>
          <t>Profesor de EF en 10-3</t>
        </is>
      </c>
      <c r="D9" s="3">
        <f>IF(ISNA(MATCH(1,INDEX(EXACT('Asignaturas'!$A$4:$A$18,$B9)*1,0),0)),"",IF(ISBLANK(INDEX('Asignaturas'!$B$4:$B$18,MATCH(1,INDEX(EXACT('Asignaturas'!$A$4:$A$18,$B9)*1,0),0))),"",INDEX('Asignaturas'!$B$4:$B$18,MATCH(1,INDEX(EXACT('Asignaturas'!$A$4:$A$18,$B9)*1,0),0))))</f>
        <v/>
      </c>
      <c r="E9" s="3">
        <f>IF(ISNA(MATCH(1,INDEX(EXACT('Asignaturas'!$A$4:$A$18,$B9)*1,0),0)),0,IF(ISBLANK(INDEX('Asignaturas'!$C$4:$C$18,MATCH(1,INDEX(EXACT('Asignaturas'!$A$4:$A$18,$B9)*1,0),0))),"",INDEX('Asignaturas'!$C$4:$C$18,MATCH(1,INDEX(EXACT('Asignaturas'!$A$4:$A$18,$B9)*1,0),0))))</f>
        <v/>
      </c>
      <c r="F9" s="3">
        <f>SUMPRODUCT(1*((EXACT('Casillas del horario'!$A$4:$A$73,$A9)))*((EXACT('Casillas del horario'!$D$4:$D$73,$B9))))</f>
        <v/>
      </c>
      <c r="G9" s="3">
        <f>(IFERROR(VALUE($E9&amp;""),0)-IFERROR(VALUE($F9&amp;""),0))</f>
        <v/>
      </c>
      <c r="H9" s="3">
        <f>MID(IF((IFERROR(VALUE($G9&amp;""),0)&gt;0),"; "&amp;IF(ISNUMBER((IF(ISNUMBER(IF(IFERROR(VALUE($G9&amp;""),0)=1,"Falta","Faltan")),IF(IF(IFERROR(VALUE($G9&amp;""),0)=1,"Falta","Faltan")=0,"0",ROUND(IF(IFERROR(VALUE($G9&amp;""),0)=1,"Falta","Faltan"),9-INT(LOG10(ABS(IF(IFERROR(VALUE($G9&amp;""),0)=1,"Falta","Faltan")))))&amp;""),IF(IFERROR(VALUE($G9&amp;""),0)=1,"Falta","Faltan")&amp;"")&amp;" "&amp;IF(ISNUMBER($G9),IF($G9=0,"0",ROUND($G9,9-INT(LOG10(ABS($G9))))&amp;""),$G9&amp;"")&amp;" "&amp;IF(ISNUMBER(IF(IFERROR(VALUE($G9&amp;""),0)=1,"sesion","sesiones")),IF(IF(IFERROR(VALUE($G9&amp;""),0)=1,"sesion","sesiones")=0,"0",ROUND(IF(IFERROR(VALUE($G9&amp;""),0)=1,"sesion","sesiones"),9-INT(LOG10(ABS(IF(IFERROR(VALUE($G9&amp;""),0)=1,"sesion","sesiones")))))&amp;""),IF(IFERROR(VALUE($G9&amp;""),0)=1,"sesion","sesiones")&amp;""))),IF((IF(ISNUMBER(IF(IFERROR(VALUE($G9&amp;""),0)=1,"Falta","Faltan")),IF(IF(IFERROR(VALUE($G9&amp;""),0)=1,"Falta","Faltan")=0,"0",ROUND(IF(IFERROR(VALUE($G9&amp;""),0)=1,"Falta","Faltan"),9-INT(LOG10(ABS(IF(IFERROR(VALUE($G9&amp;""),0)=1,"Falta","Faltan")))))&amp;""),IF(IFERROR(VALUE($G9&amp;""),0)=1,"Falta","Faltan")&amp;"")&amp;" "&amp;IF(ISNUMBER($G9),IF($G9=0,"0",ROUND($G9,9-INT(LOG10(ABS($G9))))&amp;""),$G9&amp;"")&amp;" "&amp;IF(ISNUMBER(IF(IFERROR(VALUE($G9&amp;""),0)=1,"sesion","sesiones")),IF(IF(IFERROR(VALUE($G9&amp;""),0)=1,"sesion","sesiones")=0,"0",ROUND(IF(IFERROR(VALUE($G9&amp;""),0)=1,"sesion","sesiones"),9-INT(LOG10(ABS(IF(IFERROR(VALUE($G9&amp;""),0)=1,"sesion","sesiones")))))&amp;""),IF(IFERROR(VALUE($G9&amp;""),0)=1,"sesion","sesiones")&amp;""))=0,"0",ROUND((IF(ISNUMBER(IF(IFERROR(VALUE($G9&amp;""),0)=1,"Falta","Faltan")),IF(IF(IFERROR(VALUE($G9&amp;""),0)=1,"Falta","Faltan")=0,"0",ROUND(IF(IFERROR(VALUE($G9&amp;""),0)=1,"Falta","Faltan"),9-INT(LOG10(ABS(IF(IFERROR(VALUE($G9&amp;""),0)=1,"Falta","Faltan")))))&amp;""),IF(IFERROR(VALUE($G9&amp;""),0)=1,"Falta","Faltan")&amp;"")&amp;" "&amp;IF(ISNUMBER($G9),IF($G9=0,"0",ROUND($G9,9-INT(LOG10(ABS($G9))))&amp;""),$G9&amp;"")&amp;" "&amp;IF(ISNUMBER(IF(IFERROR(VALUE($G9&amp;""),0)=1,"sesion","sesiones")),IF(IF(IFERROR(VALUE($G9&amp;""),0)=1,"sesion","sesiones")=0,"0",ROUND(IF(IFERROR(VALUE($G9&amp;""),0)=1,"sesion","sesiones"),9-INT(LOG10(ABS(IF(IFERROR(VALUE($G9&amp;""),0)=1,"sesion","sesiones")))))&amp;""),IF(IFERROR(VALUE($G9&amp;""),0)=1,"sesion","sesiones")&amp;"")),9-INT(LOG10(ABS((IF(ISNUMBER(IF(IFERROR(VALUE($G9&amp;""),0)=1,"Falta","Faltan")),IF(IF(IFERROR(VALUE($G9&amp;""),0)=1,"Falta","Faltan")=0,"0",ROUND(IF(IFERROR(VALUE($G9&amp;""),0)=1,"Falta","Faltan"),9-INT(LOG10(ABS(IF(IFERROR(VALUE($G9&amp;""),0)=1,"Falta","Faltan")))))&amp;""),IF(IFERROR(VALUE($G9&amp;""),0)=1,"Falta","Faltan")&amp;"")&amp;" "&amp;IF(ISNUMBER($G9),IF($G9=0,"0",ROUND($G9,9-INT(LOG10(ABS($G9))))&amp;""),$G9&amp;"")&amp;" "&amp;IF(ISNUMBER(IF(IFERROR(VALUE($G9&amp;""),0)=1,"sesion","sesiones")),IF(IF(IFERROR(VALUE($G9&amp;""),0)=1,"sesion","sesiones")=0,"0",ROUND(IF(IFERROR(VALUE($G9&amp;""),0)=1,"sesion","sesiones"),9-INT(LOG10(ABS(IF(IFERROR(VALUE($G9&amp;""),0)=1,"sesion","sesiones")))))&amp;""),IF(IFERROR(VALUE($G9&amp;""),0)=1,"sesion","sesiones")&amp;""))))))&amp;""),(IF(ISNUMBER(IF(IFERROR(VALUE($G9&amp;""),0)=1,"Falta","Faltan")),IF(IF(IFERROR(VALUE($G9&amp;""),0)=1,"Falta","Faltan")=0,"0",ROUND(IF(IFERROR(VALUE($G9&amp;""),0)=1,"Falta","Faltan"),9-INT(LOG10(ABS(IF(IFERROR(VALUE($G9&amp;""),0)=1,"Falta","Faltan")))))&amp;""),IF(IFERROR(VALUE($G9&amp;""),0)=1,"Falta","Faltan")&amp;"")&amp;" "&amp;IF(ISNUMBER($G9),IF($G9=0,"0",ROUND($G9,9-INT(LOG10(ABS($G9))))&amp;""),$G9&amp;"")&amp;" "&amp;IF(ISNUMBER(IF(IFERROR(VALUE($G9&amp;""),0)=1,"sesion","sesiones")),IF(IF(IFERROR(VALUE($G9&amp;""),0)=1,"sesion","sesiones")=0,"0",ROUND(IF(IFERROR(VALUE($G9&amp;""),0)=1,"sesion","sesiones"),9-INT(LOG10(ABS(IF(IFERROR(VALUE($G9&amp;""),0)=1,"sesion","sesiones")))))&amp;""),IF(IFERROR(VALUE($G9&amp;""),0)=1,"sesion","sesiones")&amp;""))&amp;""),"")&amp;IF((IFERROR(VALUE($G9&amp;""),0)&lt;0),"; "&amp;IF(ISNUMBER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sesion","sesiones")),IF(IF(IFERROR(VALUE((0-IFERROR(VALUE($G9&amp;""),0))&amp;""),0)=1,"sesion","sesiones")=0,"0",ROUND(IF(IFERROR(VALUE((0-IFERROR(VALUE($G9&amp;""),0))&amp;""),0)=1,"sesion","sesiones"),9-INT(LOG10(ABS(IF(IFERROR(VALUE((0-IFERROR(VALUE($G9&amp;""),0))&amp;""),0)=1,"sesion","sesiones")))))&amp;""),IF(IFERROR(VALUE((0-IFERROR(VALUE($G9&amp;""),0))&amp;""),0)=1,"sesion","sesiones")&amp;""))),IF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sesion","sesiones")),IF(IF(IFERROR(VALUE((0-IFERROR(VALUE($G9&amp;""),0))&amp;""),0)=1,"sesion","sesiones")=0,"0",ROUND(IF(IFERROR(VALUE((0-IFERROR(VALUE($G9&amp;""),0))&amp;""),0)=1,"sesion","sesiones"),9-INT(LOG10(ABS(IF(IFERROR(VALUE((0-IFERROR(VALUE($G9&amp;""),0))&amp;""),0)=1,"sesion","sesiones")))))&amp;""),IF(IFERROR(VALUE((0-IFERROR(VALUE($G9&amp;""),0))&amp;""),0)=1,"sesion","sesiones")&amp;""))=0,"0",ROUND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sesion","sesiones")),IF(IF(IFERROR(VALUE((0-IFERROR(VALUE($G9&amp;""),0))&amp;""),0)=1,"sesion","sesiones")=0,"0",ROUND(IF(IFERROR(VALUE((0-IFERROR(VALUE($G9&amp;""),0))&amp;""),0)=1,"sesion","sesiones"),9-INT(LOG10(ABS(IF(IFERROR(VALUE((0-IFERROR(VALUE($G9&amp;""),0))&amp;""),0)=1,"sesion","sesiones")))))&amp;""),IF(IFERROR(VALUE((0-IFERROR(VALUE($G9&amp;""),0))&amp;""),0)=1,"sesion","sesiones")&amp;"")),9-INT(LOG10(ABS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sesion","sesiones")),IF(IF(IFERROR(VALUE((0-IFERROR(VALUE($G9&amp;""),0))&amp;""),0)=1,"sesion","sesiones")=0,"0",ROUND(IF(IFERROR(VALUE((0-IFERROR(VALUE($G9&amp;""),0))&amp;""),0)=1,"sesion","sesiones"),9-INT(LOG10(ABS(IF(IFERROR(VALUE((0-IFERROR(VALUE($G9&amp;""),0))&amp;""),0)=1,"sesion","sesiones")))))&amp;""),IF(IFERROR(VALUE((0-IFERROR(VALUE($G9&amp;""),0))&amp;""),0)=1,"sesion","sesiones")&amp;""))))))&amp;""),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sesion","sesiones")),IF(IF(IFERROR(VALUE((0-IFERROR(VALUE($G9&amp;""),0))&amp;""),0)=1,"sesion","sesiones")=0,"0",ROUND(IF(IFERROR(VALUE((0-IFERROR(VALUE($G9&amp;""),0))&amp;""),0)=1,"sesion","sesiones"),9-INT(LOG10(ABS(IF(IFERROR(VALUE((0-IFERROR(VALUE($G9&amp;""),0))&amp;""),0)=1,"sesion","sesiones")))))&amp;""),IF(IFERROR(VALUE((0-IFERROR(VALUE($G9&amp;""),0))&amp;""),0)=1,"sesion","sesiones")&amp;""))&amp;""),""),3,32767)</f>
        <v/>
      </c>
      <c r="I9" s="3">
        <f>IF(OR((IFERROR(VALUE($G9&amp;""),0)&gt;0),(IFERROR(VALUE($G9&amp;""),0)&lt;0)),3,0)</f>
        <v/>
      </c>
    </row>
    <row r="10">
      <c r="A10" s="3" t="inlineStr">
        <is>
          <t>10-3</t>
        </is>
      </c>
      <c r="B10" s="3" t="inlineStr">
        <is>
          <t>B</t>
        </is>
      </c>
      <c r="C10" s="3" t="inlineStr">
        <is>
          <t>Profesor de B en 10-3</t>
        </is>
      </c>
      <c r="D10" s="3">
        <f>IF(ISNA(MATCH(1,INDEX(EXACT('Asignaturas'!$A$4:$A$18,$B10)*1,0),0)),"",IF(ISBLANK(INDEX('Asignaturas'!$B$4:$B$18,MATCH(1,INDEX(EXACT('Asignaturas'!$A$4:$A$18,$B10)*1,0),0))),"",INDEX('Asignaturas'!$B$4:$B$18,MATCH(1,INDEX(EXACT('Asignaturas'!$A$4:$A$18,$B10)*1,0),0))))</f>
        <v/>
      </c>
      <c r="E10" s="3">
        <f>IF(ISNA(MATCH(1,INDEX(EXACT('Asignaturas'!$A$4:$A$18,$B10)*1,0),0)),0,IF(ISBLANK(INDEX('Asignaturas'!$C$4:$C$18,MATCH(1,INDEX(EXACT('Asignaturas'!$A$4:$A$18,$B10)*1,0),0))),"",INDEX('Asignaturas'!$C$4:$C$18,MATCH(1,INDEX(EXACT('Asignaturas'!$A$4:$A$18,$B10)*1,0),0))))</f>
        <v/>
      </c>
      <c r="F10" s="3">
        <f>SUMPRODUCT(1*((EXACT('Casillas del horario'!$A$4:$A$73,$A10)))*((EXACT('Casillas del horario'!$D$4:$D$73,$B10))))</f>
        <v/>
      </c>
      <c r="G10" s="3">
        <f>(IFERROR(VALUE($E10&amp;""),0)-IFERROR(VALUE($F10&amp;""),0))</f>
        <v/>
      </c>
      <c r="H10" s="3">
        <f>MID(IF((IFERROR(VALUE($G10&amp;""),0)&gt;0),"; "&amp;IF(ISNUMBER((IF(ISNUMBER(IF(IFERROR(VALUE($G10&amp;""),0)=1,"Falta","Faltan")),IF(IF(IFERROR(VALUE($G10&amp;""),0)=1,"Falta","Faltan")=0,"0",ROUND(IF(IFERROR(VALUE($G10&amp;""),0)=1,"Falta","Faltan"),9-INT(LOG10(ABS(IF(IFERROR(VALUE($G10&amp;""),0)=1,"Falta","Faltan")))))&amp;""),IF(IFERROR(VALUE($G10&amp;""),0)=1,"Falta","Faltan")&amp;"")&amp;" "&amp;IF(ISNUMBER($G10),IF($G10=0,"0",ROUND($G10,9-INT(LOG10(ABS($G10))))&amp;""),$G10&amp;"")&amp;" "&amp;IF(ISNUMBER(IF(IFERROR(VALUE($G10&amp;""),0)=1,"sesion","sesiones")),IF(IF(IFERROR(VALUE($G10&amp;""),0)=1,"sesion","sesiones")=0,"0",ROUND(IF(IFERROR(VALUE($G10&amp;""),0)=1,"sesion","sesiones"),9-INT(LOG10(ABS(IF(IFERROR(VALUE($G10&amp;""),0)=1,"sesion","sesiones")))))&amp;""),IF(IFERROR(VALUE($G10&amp;""),0)=1,"sesion","sesiones")&amp;""))),IF((IF(ISNUMBER(IF(IFERROR(VALUE($G10&amp;""),0)=1,"Falta","Faltan")),IF(IF(IFERROR(VALUE($G10&amp;""),0)=1,"Falta","Faltan")=0,"0",ROUND(IF(IFERROR(VALUE($G10&amp;""),0)=1,"Falta","Faltan"),9-INT(LOG10(ABS(IF(IFERROR(VALUE($G10&amp;""),0)=1,"Falta","Faltan")))))&amp;""),IF(IFERROR(VALUE($G10&amp;""),0)=1,"Falta","Faltan")&amp;"")&amp;" "&amp;IF(ISNUMBER($G10),IF($G10=0,"0",ROUND($G10,9-INT(LOG10(ABS($G10))))&amp;""),$G10&amp;"")&amp;" "&amp;IF(ISNUMBER(IF(IFERROR(VALUE($G10&amp;""),0)=1,"sesion","sesiones")),IF(IF(IFERROR(VALUE($G10&amp;""),0)=1,"sesion","sesiones")=0,"0",ROUND(IF(IFERROR(VALUE($G10&amp;""),0)=1,"sesion","sesiones"),9-INT(LOG10(ABS(IF(IFERROR(VALUE($G10&amp;""),0)=1,"sesion","sesiones")))))&amp;""),IF(IFERROR(VALUE($G10&amp;""),0)=1,"sesion","sesiones")&amp;""))=0,"0",ROUND((IF(ISNUMBER(IF(IFERROR(VALUE($G10&amp;""),0)=1,"Falta","Faltan")),IF(IF(IFERROR(VALUE($G10&amp;""),0)=1,"Falta","Faltan")=0,"0",ROUND(IF(IFERROR(VALUE($G10&amp;""),0)=1,"Falta","Faltan"),9-INT(LOG10(ABS(IF(IFERROR(VALUE($G10&amp;""),0)=1,"Falta","Faltan")))))&amp;""),IF(IFERROR(VALUE($G10&amp;""),0)=1,"Falta","Faltan")&amp;"")&amp;" "&amp;IF(ISNUMBER($G10),IF($G10=0,"0",ROUND($G10,9-INT(LOG10(ABS($G10))))&amp;""),$G10&amp;"")&amp;" "&amp;IF(ISNUMBER(IF(IFERROR(VALUE($G10&amp;""),0)=1,"sesion","sesiones")),IF(IF(IFERROR(VALUE($G10&amp;""),0)=1,"sesion","sesiones")=0,"0",ROUND(IF(IFERROR(VALUE($G10&amp;""),0)=1,"sesion","sesiones"),9-INT(LOG10(ABS(IF(IFERROR(VALUE($G10&amp;""),0)=1,"sesion","sesiones")))))&amp;""),IF(IFERROR(VALUE($G10&amp;""),0)=1,"sesion","sesiones")&amp;"")),9-INT(LOG10(ABS((IF(ISNUMBER(IF(IFERROR(VALUE($G10&amp;""),0)=1,"Falta","Faltan")),IF(IF(IFERROR(VALUE($G10&amp;""),0)=1,"Falta","Faltan")=0,"0",ROUND(IF(IFERROR(VALUE($G10&amp;""),0)=1,"Falta","Faltan"),9-INT(LOG10(ABS(IF(IFERROR(VALUE($G10&amp;""),0)=1,"Falta","Faltan")))))&amp;""),IF(IFERROR(VALUE($G10&amp;""),0)=1,"Falta","Faltan")&amp;"")&amp;" "&amp;IF(ISNUMBER($G10),IF($G10=0,"0",ROUND($G10,9-INT(LOG10(ABS($G10))))&amp;""),$G10&amp;"")&amp;" "&amp;IF(ISNUMBER(IF(IFERROR(VALUE($G10&amp;""),0)=1,"sesion","sesiones")),IF(IF(IFERROR(VALUE($G10&amp;""),0)=1,"sesion","sesiones")=0,"0",ROUND(IF(IFERROR(VALUE($G10&amp;""),0)=1,"sesion","sesiones"),9-INT(LOG10(ABS(IF(IFERROR(VALUE($G10&amp;""),0)=1,"sesion","sesiones")))))&amp;""),IF(IFERROR(VALUE($G10&amp;""),0)=1,"sesion","sesiones")&amp;""))))))&amp;""),(IF(ISNUMBER(IF(IFERROR(VALUE($G10&amp;""),0)=1,"Falta","Faltan")),IF(IF(IFERROR(VALUE($G10&amp;""),0)=1,"Falta","Faltan")=0,"0",ROUND(IF(IFERROR(VALUE($G10&amp;""),0)=1,"Falta","Faltan"),9-INT(LOG10(ABS(IF(IFERROR(VALUE($G10&amp;""),0)=1,"Falta","Faltan")))))&amp;""),IF(IFERROR(VALUE($G10&amp;""),0)=1,"Falta","Faltan")&amp;"")&amp;" "&amp;IF(ISNUMBER($G10),IF($G10=0,"0",ROUND($G10,9-INT(LOG10(ABS($G10))))&amp;""),$G10&amp;"")&amp;" "&amp;IF(ISNUMBER(IF(IFERROR(VALUE($G10&amp;""),0)=1,"sesion","sesiones")),IF(IF(IFERROR(VALUE($G10&amp;""),0)=1,"sesion","sesiones")=0,"0",ROUND(IF(IFERROR(VALUE($G10&amp;""),0)=1,"sesion","sesiones"),9-INT(LOG10(ABS(IF(IFERROR(VALUE($G10&amp;""),0)=1,"sesion","sesiones")))))&amp;""),IF(IFERROR(VALUE($G10&amp;""),0)=1,"sesion","sesiones")&amp;""))&amp;""),"")&amp;IF((IFERROR(VALUE($G10&amp;""),0)&lt;0),"; "&amp;IF(ISNUMBER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sesion","sesiones")),IF(IF(IFERROR(VALUE((0-IFERROR(VALUE($G10&amp;""),0))&amp;""),0)=1,"sesion","sesiones")=0,"0",ROUND(IF(IFERROR(VALUE((0-IFERROR(VALUE($G10&amp;""),0))&amp;""),0)=1,"sesion","sesiones"),9-INT(LOG10(ABS(IF(IFERROR(VALUE((0-IFERROR(VALUE($G10&amp;""),0))&amp;""),0)=1,"sesion","sesiones")))))&amp;""),IF(IFERROR(VALUE((0-IFERROR(VALUE($G10&amp;""),0))&amp;""),0)=1,"sesion","sesiones")&amp;""))),IF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sesion","sesiones")),IF(IF(IFERROR(VALUE((0-IFERROR(VALUE($G10&amp;""),0))&amp;""),0)=1,"sesion","sesiones")=0,"0",ROUND(IF(IFERROR(VALUE((0-IFERROR(VALUE($G10&amp;""),0))&amp;""),0)=1,"sesion","sesiones"),9-INT(LOG10(ABS(IF(IFERROR(VALUE((0-IFERROR(VALUE($G10&amp;""),0))&amp;""),0)=1,"sesion","sesiones")))))&amp;""),IF(IFERROR(VALUE((0-IFERROR(VALUE($G10&amp;""),0))&amp;""),0)=1,"sesion","sesiones")&amp;""))=0,"0",ROUND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sesion","sesiones")),IF(IF(IFERROR(VALUE((0-IFERROR(VALUE($G10&amp;""),0))&amp;""),0)=1,"sesion","sesiones")=0,"0",ROUND(IF(IFERROR(VALUE((0-IFERROR(VALUE($G10&amp;""),0))&amp;""),0)=1,"sesion","sesiones"),9-INT(LOG10(ABS(IF(IFERROR(VALUE((0-IFERROR(VALUE($G10&amp;""),0))&amp;""),0)=1,"sesion","sesiones")))))&amp;""),IF(IFERROR(VALUE((0-IFERROR(VALUE($G10&amp;""),0))&amp;""),0)=1,"sesion","sesiones")&amp;"")),9-INT(LOG10(ABS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sesion","sesiones")),IF(IF(IFERROR(VALUE((0-IFERROR(VALUE($G10&amp;""),0))&amp;""),0)=1,"sesion","sesiones")=0,"0",ROUND(IF(IFERROR(VALUE((0-IFERROR(VALUE($G10&amp;""),0))&amp;""),0)=1,"sesion","sesiones"),9-INT(LOG10(ABS(IF(IFERROR(VALUE((0-IFERROR(VALUE($G10&amp;""),0))&amp;""),0)=1,"sesion","sesiones")))))&amp;""),IF(IFERROR(VALUE((0-IFERROR(VALUE($G10&amp;""),0))&amp;""),0)=1,"sesion","sesiones")&amp;""))))))&amp;""),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sesion","sesiones")),IF(IF(IFERROR(VALUE((0-IFERROR(VALUE($G10&amp;""),0))&amp;""),0)=1,"sesion","sesiones")=0,"0",ROUND(IF(IFERROR(VALUE((0-IFERROR(VALUE($G10&amp;""),0))&amp;""),0)=1,"sesion","sesiones"),9-INT(LOG10(ABS(IF(IFERROR(VALUE((0-IFERROR(VALUE($G10&amp;""),0))&amp;""),0)=1,"sesion","sesiones")))))&amp;""),IF(IFERROR(VALUE((0-IFERROR(VALUE($G10&amp;""),0))&amp;""),0)=1,"sesion","sesiones")&amp;""))&amp;""),""),3,32767)</f>
        <v/>
      </c>
      <c r="I10" s="3">
        <f>IF(OR((IFERROR(VALUE($G10&amp;""),0)&gt;0),(IFERROR(VALUE($G10&amp;""),0)&lt;0)),3,0)</f>
        <v/>
      </c>
    </row>
    <row r="11">
      <c r="A11" s="3" t="inlineStr">
        <is>
          <t>10-3</t>
        </is>
      </c>
      <c r="B11" s="3" t="inlineStr">
        <is>
          <t>G</t>
        </is>
      </c>
      <c r="C11" s="3" t="inlineStr">
        <is>
          <t>Profesor de G en 10-3</t>
        </is>
      </c>
      <c r="D11" s="3">
        <f>IF(ISNA(MATCH(1,INDEX(EXACT('Asignaturas'!$A$4:$A$18,$B11)*1,0),0)),"",IF(ISBLANK(INDEX('Asignaturas'!$B$4:$B$18,MATCH(1,INDEX(EXACT('Asignaturas'!$A$4:$A$18,$B11)*1,0),0))),"",INDEX('Asignaturas'!$B$4:$B$18,MATCH(1,INDEX(EXACT('Asignaturas'!$A$4:$A$18,$B11)*1,0),0))))</f>
        <v/>
      </c>
      <c r="E11" s="3">
        <f>IF(ISNA(MATCH(1,INDEX(EXACT('Asignaturas'!$A$4:$A$18,$B11)*1,0),0)),0,IF(ISBLANK(INDEX('Asignaturas'!$C$4:$C$18,MATCH(1,INDEX(EXACT('Asignaturas'!$A$4:$A$18,$B11)*1,0),0))),"",INDEX('Asignaturas'!$C$4:$C$18,MATCH(1,INDEX(EXACT('Asignaturas'!$A$4:$A$18,$B11)*1,0),0))))</f>
        <v/>
      </c>
      <c r="F11" s="3">
        <f>SUMPRODUCT(1*((EXACT('Casillas del horario'!$A$4:$A$73,$A11)))*((EXACT('Casillas del horario'!$D$4:$D$73,$B11))))</f>
        <v/>
      </c>
      <c r="G11" s="3">
        <f>(IFERROR(VALUE($E11&amp;""),0)-IFERROR(VALUE($F11&amp;""),0))</f>
        <v/>
      </c>
      <c r="H11" s="3">
        <f>MID(IF((IFERROR(VALUE($G11&amp;""),0)&gt;0),"; "&amp;IF(ISNUMBER((IF(ISNUMBER(IF(IFERROR(VALUE($G11&amp;""),0)=1,"Falta","Faltan")),IF(IF(IFERROR(VALUE($G11&amp;""),0)=1,"Falta","Faltan")=0,"0",ROUND(IF(IFERROR(VALUE($G11&amp;""),0)=1,"Falta","Faltan"),9-INT(LOG10(ABS(IF(IFERROR(VALUE($G11&amp;""),0)=1,"Falta","Faltan")))))&amp;""),IF(IFERROR(VALUE($G11&amp;""),0)=1,"Falta","Faltan")&amp;"")&amp;" "&amp;IF(ISNUMBER($G11),IF($G11=0,"0",ROUND($G11,9-INT(LOG10(ABS($G11))))&amp;""),$G11&amp;"")&amp;" "&amp;IF(ISNUMBER(IF(IFERROR(VALUE($G11&amp;""),0)=1,"sesion","sesiones")),IF(IF(IFERROR(VALUE($G11&amp;""),0)=1,"sesion","sesiones")=0,"0",ROUND(IF(IFERROR(VALUE($G11&amp;""),0)=1,"sesion","sesiones"),9-INT(LOG10(ABS(IF(IFERROR(VALUE($G11&amp;""),0)=1,"sesion","sesiones")))))&amp;""),IF(IFERROR(VALUE($G11&amp;""),0)=1,"sesion","sesiones")&amp;""))),IF((IF(ISNUMBER(IF(IFERROR(VALUE($G11&amp;""),0)=1,"Falta","Faltan")),IF(IF(IFERROR(VALUE($G11&amp;""),0)=1,"Falta","Faltan")=0,"0",ROUND(IF(IFERROR(VALUE($G11&amp;""),0)=1,"Falta","Faltan"),9-INT(LOG10(ABS(IF(IFERROR(VALUE($G11&amp;""),0)=1,"Falta","Faltan")))))&amp;""),IF(IFERROR(VALUE($G11&amp;""),0)=1,"Falta","Faltan")&amp;"")&amp;" "&amp;IF(ISNUMBER($G11),IF($G11=0,"0",ROUND($G11,9-INT(LOG10(ABS($G11))))&amp;""),$G11&amp;"")&amp;" "&amp;IF(ISNUMBER(IF(IFERROR(VALUE($G11&amp;""),0)=1,"sesion","sesiones")),IF(IF(IFERROR(VALUE($G11&amp;""),0)=1,"sesion","sesiones")=0,"0",ROUND(IF(IFERROR(VALUE($G11&amp;""),0)=1,"sesion","sesiones"),9-INT(LOG10(ABS(IF(IFERROR(VALUE($G11&amp;""),0)=1,"sesion","sesiones")))))&amp;""),IF(IFERROR(VALUE($G11&amp;""),0)=1,"sesion","sesiones")&amp;""))=0,"0",ROUND((IF(ISNUMBER(IF(IFERROR(VALUE($G11&amp;""),0)=1,"Falta","Faltan")),IF(IF(IFERROR(VALUE($G11&amp;""),0)=1,"Falta","Faltan")=0,"0",ROUND(IF(IFERROR(VALUE($G11&amp;""),0)=1,"Falta","Faltan"),9-INT(LOG10(ABS(IF(IFERROR(VALUE($G11&amp;""),0)=1,"Falta","Faltan")))))&amp;""),IF(IFERROR(VALUE($G11&amp;""),0)=1,"Falta","Faltan")&amp;"")&amp;" "&amp;IF(ISNUMBER($G11),IF($G11=0,"0",ROUND($G11,9-INT(LOG10(ABS($G11))))&amp;""),$G11&amp;"")&amp;" "&amp;IF(ISNUMBER(IF(IFERROR(VALUE($G11&amp;""),0)=1,"sesion","sesiones")),IF(IF(IFERROR(VALUE($G11&amp;""),0)=1,"sesion","sesiones")=0,"0",ROUND(IF(IFERROR(VALUE($G11&amp;""),0)=1,"sesion","sesiones"),9-INT(LOG10(ABS(IF(IFERROR(VALUE($G11&amp;""),0)=1,"sesion","sesiones")))))&amp;""),IF(IFERROR(VALUE($G11&amp;""),0)=1,"sesion","sesiones")&amp;"")),9-INT(LOG10(ABS((IF(ISNUMBER(IF(IFERROR(VALUE($G11&amp;""),0)=1,"Falta","Faltan")),IF(IF(IFERROR(VALUE($G11&amp;""),0)=1,"Falta","Faltan")=0,"0",ROUND(IF(IFERROR(VALUE($G11&amp;""),0)=1,"Falta","Faltan"),9-INT(LOG10(ABS(IF(IFERROR(VALUE($G11&amp;""),0)=1,"Falta","Faltan")))))&amp;""),IF(IFERROR(VALUE($G11&amp;""),0)=1,"Falta","Faltan")&amp;"")&amp;" "&amp;IF(ISNUMBER($G11),IF($G11=0,"0",ROUND($G11,9-INT(LOG10(ABS($G11))))&amp;""),$G11&amp;"")&amp;" "&amp;IF(ISNUMBER(IF(IFERROR(VALUE($G11&amp;""),0)=1,"sesion","sesiones")),IF(IF(IFERROR(VALUE($G11&amp;""),0)=1,"sesion","sesiones")=0,"0",ROUND(IF(IFERROR(VALUE($G11&amp;""),0)=1,"sesion","sesiones"),9-INT(LOG10(ABS(IF(IFERROR(VALUE($G11&amp;""),0)=1,"sesion","sesiones")))))&amp;""),IF(IFERROR(VALUE($G11&amp;""),0)=1,"sesion","sesiones")&amp;""))))))&amp;""),(IF(ISNUMBER(IF(IFERROR(VALUE($G11&amp;""),0)=1,"Falta","Faltan")),IF(IF(IFERROR(VALUE($G11&amp;""),0)=1,"Falta","Faltan")=0,"0",ROUND(IF(IFERROR(VALUE($G11&amp;""),0)=1,"Falta","Faltan"),9-INT(LOG10(ABS(IF(IFERROR(VALUE($G11&amp;""),0)=1,"Falta","Faltan")))))&amp;""),IF(IFERROR(VALUE($G11&amp;""),0)=1,"Falta","Faltan")&amp;"")&amp;" "&amp;IF(ISNUMBER($G11),IF($G11=0,"0",ROUND($G11,9-INT(LOG10(ABS($G11))))&amp;""),$G11&amp;"")&amp;" "&amp;IF(ISNUMBER(IF(IFERROR(VALUE($G11&amp;""),0)=1,"sesion","sesiones")),IF(IF(IFERROR(VALUE($G11&amp;""),0)=1,"sesion","sesiones")=0,"0",ROUND(IF(IFERROR(VALUE($G11&amp;""),0)=1,"sesion","sesiones"),9-INT(LOG10(ABS(IF(IFERROR(VALUE($G11&amp;""),0)=1,"sesion","sesiones")))))&amp;""),IF(IFERROR(VALUE($G11&amp;""),0)=1,"sesion","sesiones")&amp;""))&amp;""),"")&amp;IF((IFERROR(VALUE($G11&amp;""),0)&lt;0),"; "&amp;IF(ISNUMBER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sesion","sesiones")),IF(IF(IFERROR(VALUE((0-IFERROR(VALUE($G11&amp;""),0))&amp;""),0)=1,"sesion","sesiones")=0,"0",ROUND(IF(IFERROR(VALUE((0-IFERROR(VALUE($G11&amp;""),0))&amp;""),0)=1,"sesion","sesiones"),9-INT(LOG10(ABS(IF(IFERROR(VALUE((0-IFERROR(VALUE($G11&amp;""),0))&amp;""),0)=1,"sesion","sesiones")))))&amp;""),IF(IFERROR(VALUE((0-IFERROR(VALUE($G11&amp;""),0))&amp;""),0)=1,"sesion","sesiones")&amp;""))),IF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sesion","sesiones")),IF(IF(IFERROR(VALUE((0-IFERROR(VALUE($G11&amp;""),0))&amp;""),0)=1,"sesion","sesiones")=0,"0",ROUND(IF(IFERROR(VALUE((0-IFERROR(VALUE($G11&amp;""),0))&amp;""),0)=1,"sesion","sesiones"),9-INT(LOG10(ABS(IF(IFERROR(VALUE((0-IFERROR(VALUE($G11&amp;""),0))&amp;""),0)=1,"sesion","sesiones")))))&amp;""),IF(IFERROR(VALUE((0-IFERROR(VALUE($G11&amp;""),0))&amp;""),0)=1,"sesion","sesiones")&amp;""))=0,"0",ROUND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sesion","sesiones")),IF(IF(IFERROR(VALUE((0-IFERROR(VALUE($G11&amp;""),0))&amp;""),0)=1,"sesion","sesiones")=0,"0",ROUND(IF(IFERROR(VALUE((0-IFERROR(VALUE($G11&amp;""),0))&amp;""),0)=1,"sesion","sesiones"),9-INT(LOG10(ABS(IF(IFERROR(VALUE((0-IFERROR(VALUE($G11&amp;""),0))&amp;""),0)=1,"sesion","sesiones")))))&amp;""),IF(IFERROR(VALUE((0-IFERROR(VALUE($G11&amp;""),0))&amp;""),0)=1,"sesion","sesiones")&amp;"")),9-INT(LOG10(ABS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sesion","sesiones")),IF(IF(IFERROR(VALUE((0-IFERROR(VALUE($G11&amp;""),0))&amp;""),0)=1,"sesion","sesiones")=0,"0",ROUND(IF(IFERROR(VALUE((0-IFERROR(VALUE($G11&amp;""),0))&amp;""),0)=1,"sesion","sesiones"),9-INT(LOG10(ABS(IF(IFERROR(VALUE((0-IFERROR(VALUE($G11&amp;""),0))&amp;""),0)=1,"sesion","sesiones")))))&amp;""),IF(IFERROR(VALUE((0-IFERROR(VALUE($G11&amp;""),0))&amp;""),0)=1,"sesion","sesiones")&amp;""))))))&amp;""),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sesion","sesiones")),IF(IF(IFERROR(VALUE((0-IFERROR(VALUE($G11&amp;""),0))&amp;""),0)=1,"sesion","sesiones")=0,"0",ROUND(IF(IFERROR(VALUE((0-IFERROR(VALUE($G11&amp;""),0))&amp;""),0)=1,"sesion","sesiones"),9-INT(LOG10(ABS(IF(IFERROR(VALUE((0-IFERROR(VALUE($G11&amp;""),0))&amp;""),0)=1,"sesion","sesiones")))))&amp;""),IF(IFERROR(VALUE((0-IFERROR(VALUE($G11&amp;""),0))&amp;""),0)=1,"sesion","sesiones")&amp;""))&amp;""),""),3,32767)</f>
        <v/>
      </c>
      <c r="I11" s="3">
        <f>IF(OR((IFERROR(VALUE($G11&amp;""),0)&gt;0),(IFERROR(VALUE($G11&amp;""),0)&lt;0)),3,0)</f>
        <v/>
      </c>
    </row>
    <row r="12">
      <c r="A12" s="3" t="inlineStr">
        <is>
          <t>10-3</t>
        </is>
      </c>
      <c r="B12" s="3" t="inlineStr">
        <is>
          <t>INF</t>
        </is>
      </c>
      <c r="C12" s="3" t="inlineStr">
        <is>
          <t>Profesor de INF en 10-3</t>
        </is>
      </c>
      <c r="D12" s="3">
        <f>IF(ISNA(MATCH(1,INDEX(EXACT('Asignaturas'!$A$4:$A$18,$B12)*1,0),0)),"",IF(ISBLANK(INDEX('Asignaturas'!$B$4:$B$18,MATCH(1,INDEX(EXACT('Asignaturas'!$A$4:$A$18,$B12)*1,0),0))),"",INDEX('Asignaturas'!$B$4:$B$18,MATCH(1,INDEX(EXACT('Asignaturas'!$A$4:$A$18,$B12)*1,0),0))))</f>
        <v/>
      </c>
      <c r="E12" s="3">
        <f>IF(ISNA(MATCH(1,INDEX(EXACT('Asignaturas'!$A$4:$A$18,$B12)*1,0),0)),0,IF(ISBLANK(INDEX('Asignaturas'!$C$4:$C$18,MATCH(1,INDEX(EXACT('Asignaturas'!$A$4:$A$18,$B12)*1,0),0))),"",INDEX('Asignaturas'!$C$4:$C$18,MATCH(1,INDEX(EXACT('Asignaturas'!$A$4:$A$18,$B12)*1,0),0))))</f>
        <v/>
      </c>
      <c r="F12" s="3">
        <f>SUMPRODUCT(1*((EXACT('Casillas del horario'!$A$4:$A$73,$A12)))*((EXACT('Casillas del horario'!$D$4:$D$73,$B12))))</f>
        <v/>
      </c>
      <c r="G12" s="3">
        <f>(IFERROR(VALUE($E12&amp;""),0)-IFERROR(VALUE($F12&amp;""),0))</f>
        <v/>
      </c>
      <c r="H12" s="3">
        <f>MID(IF((IFERROR(VALUE($G12&amp;""),0)&gt;0),"; "&amp;IF(ISNUMBER((IF(ISNUMBER(IF(IFERROR(VALUE($G12&amp;""),0)=1,"Falta","Faltan")),IF(IF(IFERROR(VALUE($G12&amp;""),0)=1,"Falta","Faltan")=0,"0",ROUND(IF(IFERROR(VALUE($G12&amp;""),0)=1,"Falta","Faltan"),9-INT(LOG10(ABS(IF(IFERROR(VALUE($G12&amp;""),0)=1,"Falta","Faltan")))))&amp;""),IF(IFERROR(VALUE($G12&amp;""),0)=1,"Falta","Faltan")&amp;"")&amp;" "&amp;IF(ISNUMBER($G12),IF($G12=0,"0",ROUND($G12,9-INT(LOG10(ABS($G12))))&amp;""),$G12&amp;"")&amp;" "&amp;IF(ISNUMBER(IF(IFERROR(VALUE($G12&amp;""),0)=1,"sesion","sesiones")),IF(IF(IFERROR(VALUE($G12&amp;""),0)=1,"sesion","sesiones")=0,"0",ROUND(IF(IFERROR(VALUE($G12&amp;""),0)=1,"sesion","sesiones"),9-INT(LOG10(ABS(IF(IFERROR(VALUE($G12&amp;""),0)=1,"sesion","sesiones")))))&amp;""),IF(IFERROR(VALUE($G12&amp;""),0)=1,"sesion","sesiones")&amp;""))),IF((IF(ISNUMBER(IF(IFERROR(VALUE($G12&amp;""),0)=1,"Falta","Faltan")),IF(IF(IFERROR(VALUE($G12&amp;""),0)=1,"Falta","Faltan")=0,"0",ROUND(IF(IFERROR(VALUE($G12&amp;""),0)=1,"Falta","Faltan"),9-INT(LOG10(ABS(IF(IFERROR(VALUE($G12&amp;""),0)=1,"Falta","Faltan")))))&amp;""),IF(IFERROR(VALUE($G12&amp;""),0)=1,"Falta","Faltan")&amp;"")&amp;" "&amp;IF(ISNUMBER($G12),IF($G12=0,"0",ROUND($G12,9-INT(LOG10(ABS($G12))))&amp;""),$G12&amp;"")&amp;" "&amp;IF(ISNUMBER(IF(IFERROR(VALUE($G12&amp;""),0)=1,"sesion","sesiones")),IF(IF(IFERROR(VALUE($G12&amp;""),0)=1,"sesion","sesiones")=0,"0",ROUND(IF(IFERROR(VALUE($G12&amp;""),0)=1,"sesion","sesiones"),9-INT(LOG10(ABS(IF(IFERROR(VALUE($G12&amp;""),0)=1,"sesion","sesiones")))))&amp;""),IF(IFERROR(VALUE($G12&amp;""),0)=1,"sesion","sesiones")&amp;""))=0,"0",ROUND((IF(ISNUMBER(IF(IFERROR(VALUE($G12&amp;""),0)=1,"Falta","Faltan")),IF(IF(IFERROR(VALUE($G12&amp;""),0)=1,"Falta","Faltan")=0,"0",ROUND(IF(IFERROR(VALUE($G12&amp;""),0)=1,"Falta","Faltan"),9-INT(LOG10(ABS(IF(IFERROR(VALUE($G12&amp;""),0)=1,"Falta","Faltan")))))&amp;""),IF(IFERROR(VALUE($G12&amp;""),0)=1,"Falta","Faltan")&amp;"")&amp;" "&amp;IF(ISNUMBER($G12),IF($G12=0,"0",ROUND($G12,9-INT(LOG10(ABS($G12))))&amp;""),$G12&amp;"")&amp;" "&amp;IF(ISNUMBER(IF(IFERROR(VALUE($G12&amp;""),0)=1,"sesion","sesiones")),IF(IF(IFERROR(VALUE($G12&amp;""),0)=1,"sesion","sesiones")=0,"0",ROUND(IF(IFERROR(VALUE($G12&amp;""),0)=1,"sesion","sesiones"),9-INT(LOG10(ABS(IF(IFERROR(VALUE($G12&amp;""),0)=1,"sesion","sesiones")))))&amp;""),IF(IFERROR(VALUE($G12&amp;""),0)=1,"sesion","sesiones")&amp;"")),9-INT(LOG10(ABS((IF(ISNUMBER(IF(IFERROR(VALUE($G12&amp;""),0)=1,"Falta","Faltan")),IF(IF(IFERROR(VALUE($G12&amp;""),0)=1,"Falta","Faltan")=0,"0",ROUND(IF(IFERROR(VALUE($G12&amp;""),0)=1,"Falta","Faltan"),9-INT(LOG10(ABS(IF(IFERROR(VALUE($G12&amp;""),0)=1,"Falta","Faltan")))))&amp;""),IF(IFERROR(VALUE($G12&amp;""),0)=1,"Falta","Faltan")&amp;"")&amp;" "&amp;IF(ISNUMBER($G12),IF($G12=0,"0",ROUND($G12,9-INT(LOG10(ABS($G12))))&amp;""),$G12&amp;"")&amp;" "&amp;IF(ISNUMBER(IF(IFERROR(VALUE($G12&amp;""),0)=1,"sesion","sesiones")),IF(IF(IFERROR(VALUE($G12&amp;""),0)=1,"sesion","sesiones")=0,"0",ROUND(IF(IFERROR(VALUE($G12&amp;""),0)=1,"sesion","sesiones"),9-INT(LOG10(ABS(IF(IFERROR(VALUE($G12&amp;""),0)=1,"sesion","sesiones")))))&amp;""),IF(IFERROR(VALUE($G12&amp;""),0)=1,"sesion","sesiones")&amp;""))))))&amp;""),(IF(ISNUMBER(IF(IFERROR(VALUE($G12&amp;""),0)=1,"Falta","Faltan")),IF(IF(IFERROR(VALUE($G12&amp;""),0)=1,"Falta","Faltan")=0,"0",ROUND(IF(IFERROR(VALUE($G12&amp;""),0)=1,"Falta","Faltan"),9-INT(LOG10(ABS(IF(IFERROR(VALUE($G12&amp;""),0)=1,"Falta","Faltan")))))&amp;""),IF(IFERROR(VALUE($G12&amp;""),0)=1,"Falta","Faltan")&amp;"")&amp;" "&amp;IF(ISNUMBER($G12),IF($G12=0,"0",ROUND($G12,9-INT(LOG10(ABS($G12))))&amp;""),$G12&amp;"")&amp;" "&amp;IF(ISNUMBER(IF(IFERROR(VALUE($G12&amp;""),0)=1,"sesion","sesiones")),IF(IF(IFERROR(VALUE($G12&amp;""),0)=1,"sesion","sesiones")=0,"0",ROUND(IF(IFERROR(VALUE($G12&amp;""),0)=1,"sesion","sesiones"),9-INT(LOG10(ABS(IF(IFERROR(VALUE($G12&amp;""),0)=1,"sesion","sesiones")))))&amp;""),IF(IFERROR(VALUE($G12&amp;""),0)=1,"sesion","sesiones")&amp;""))&amp;""),"")&amp;IF((IFERROR(VALUE($G12&amp;""),0)&lt;0),"; "&amp;IF(ISNUMBER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sesion","sesiones")),IF(IF(IFERROR(VALUE((0-IFERROR(VALUE($G12&amp;""),0))&amp;""),0)=1,"sesion","sesiones")=0,"0",ROUND(IF(IFERROR(VALUE((0-IFERROR(VALUE($G12&amp;""),0))&amp;""),0)=1,"sesion","sesiones"),9-INT(LOG10(ABS(IF(IFERROR(VALUE((0-IFERROR(VALUE($G12&amp;""),0))&amp;""),0)=1,"sesion","sesiones")))))&amp;""),IF(IFERROR(VALUE((0-IFERROR(VALUE($G12&amp;""),0))&amp;""),0)=1,"sesion","sesiones")&amp;""))),IF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sesion","sesiones")),IF(IF(IFERROR(VALUE((0-IFERROR(VALUE($G12&amp;""),0))&amp;""),0)=1,"sesion","sesiones")=0,"0",ROUND(IF(IFERROR(VALUE((0-IFERROR(VALUE($G12&amp;""),0))&amp;""),0)=1,"sesion","sesiones"),9-INT(LOG10(ABS(IF(IFERROR(VALUE((0-IFERROR(VALUE($G12&amp;""),0))&amp;""),0)=1,"sesion","sesiones")))))&amp;""),IF(IFERROR(VALUE((0-IFERROR(VALUE($G12&amp;""),0))&amp;""),0)=1,"sesion","sesiones")&amp;""))=0,"0",ROUND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sesion","sesiones")),IF(IF(IFERROR(VALUE((0-IFERROR(VALUE($G12&amp;""),0))&amp;""),0)=1,"sesion","sesiones")=0,"0",ROUND(IF(IFERROR(VALUE((0-IFERROR(VALUE($G12&amp;""),0))&amp;""),0)=1,"sesion","sesiones"),9-INT(LOG10(ABS(IF(IFERROR(VALUE((0-IFERROR(VALUE($G12&amp;""),0))&amp;""),0)=1,"sesion","sesiones")))))&amp;""),IF(IFERROR(VALUE((0-IFERROR(VALUE($G12&amp;""),0))&amp;""),0)=1,"sesion","sesiones")&amp;"")),9-INT(LOG10(ABS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sesion","sesiones")),IF(IF(IFERROR(VALUE((0-IFERROR(VALUE($G12&amp;""),0))&amp;""),0)=1,"sesion","sesiones")=0,"0",ROUND(IF(IFERROR(VALUE((0-IFERROR(VALUE($G12&amp;""),0))&amp;""),0)=1,"sesion","sesiones"),9-INT(LOG10(ABS(IF(IFERROR(VALUE((0-IFERROR(VALUE($G12&amp;""),0))&amp;""),0)=1,"sesion","sesiones")))))&amp;""),IF(IFERROR(VALUE((0-IFERROR(VALUE($G12&amp;""),0))&amp;""),0)=1,"sesion","sesiones")&amp;""))))))&amp;""),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sesion","sesiones")),IF(IF(IFERROR(VALUE((0-IFERROR(VALUE($G12&amp;""),0))&amp;""),0)=1,"sesion","sesiones")=0,"0",ROUND(IF(IFERROR(VALUE((0-IFERROR(VALUE($G12&amp;""),0))&amp;""),0)=1,"sesion","sesiones"),9-INT(LOG10(ABS(IF(IFERROR(VALUE((0-IFERROR(VALUE($G12&amp;""),0))&amp;""),0)=1,"sesion","sesiones")))))&amp;""),IF(IFERROR(VALUE((0-IFERROR(VALUE($G12&amp;""),0))&amp;""),0)=1,"sesion","sesiones")&amp;""))&amp;""),""),3,32767)</f>
        <v/>
      </c>
      <c r="I12" s="3">
        <f>IF(OR((IFERROR(VALUE($G12&amp;""),0)&gt;0),(IFERROR(VALUE($G12&amp;""),0)&lt;0)),3,0)</f>
        <v/>
      </c>
    </row>
    <row r="13">
      <c r="A13" s="3" t="inlineStr">
        <is>
          <t>10-3</t>
        </is>
      </c>
      <c r="B13" s="3" t="inlineStr">
        <is>
          <t>Q</t>
        </is>
      </c>
      <c r="C13" s="3" t="inlineStr">
        <is>
          <t>Profesor de Q en 10-3</t>
        </is>
      </c>
      <c r="D13" s="3">
        <f>IF(ISNA(MATCH(1,INDEX(EXACT('Asignaturas'!$A$4:$A$18,$B13)*1,0),0)),"",IF(ISBLANK(INDEX('Asignaturas'!$B$4:$B$18,MATCH(1,INDEX(EXACT('Asignaturas'!$A$4:$A$18,$B13)*1,0),0))),"",INDEX('Asignaturas'!$B$4:$B$18,MATCH(1,INDEX(EXACT('Asignaturas'!$A$4:$A$18,$B13)*1,0),0))))</f>
        <v/>
      </c>
      <c r="E13" s="3">
        <f>IF(ISNA(MATCH(1,INDEX(EXACT('Asignaturas'!$A$4:$A$18,$B13)*1,0),0)),0,IF(ISBLANK(INDEX('Asignaturas'!$C$4:$C$18,MATCH(1,INDEX(EXACT('Asignaturas'!$A$4:$A$18,$B13)*1,0),0))),"",INDEX('Asignaturas'!$C$4:$C$18,MATCH(1,INDEX(EXACT('Asignaturas'!$A$4:$A$18,$B13)*1,0),0))))</f>
        <v/>
      </c>
      <c r="F13" s="3">
        <f>SUMPRODUCT(1*((EXACT('Casillas del horario'!$A$4:$A$73,$A13)))*((EXACT('Casillas del horario'!$D$4:$D$73,$B13))))</f>
        <v/>
      </c>
      <c r="G13" s="3">
        <f>(IFERROR(VALUE($E13&amp;""),0)-IFERROR(VALUE($F13&amp;""),0))</f>
        <v/>
      </c>
      <c r="H13" s="3">
        <f>MID(IF((IFERROR(VALUE($G13&amp;""),0)&gt;0),"; "&amp;IF(ISNUMBER((IF(ISNUMBER(IF(IFERROR(VALUE($G13&amp;""),0)=1,"Falta","Faltan")),IF(IF(IFERROR(VALUE($G13&amp;""),0)=1,"Falta","Faltan")=0,"0",ROUND(IF(IFERROR(VALUE($G13&amp;""),0)=1,"Falta","Faltan"),9-INT(LOG10(ABS(IF(IFERROR(VALUE($G13&amp;""),0)=1,"Falta","Faltan")))))&amp;""),IF(IFERROR(VALUE($G13&amp;""),0)=1,"Falta","Faltan")&amp;"")&amp;" "&amp;IF(ISNUMBER($G13),IF($G13=0,"0",ROUND($G13,9-INT(LOG10(ABS($G13))))&amp;""),$G13&amp;"")&amp;" "&amp;IF(ISNUMBER(IF(IFERROR(VALUE($G13&amp;""),0)=1,"sesion","sesiones")),IF(IF(IFERROR(VALUE($G13&amp;""),0)=1,"sesion","sesiones")=0,"0",ROUND(IF(IFERROR(VALUE($G13&amp;""),0)=1,"sesion","sesiones"),9-INT(LOG10(ABS(IF(IFERROR(VALUE($G13&amp;""),0)=1,"sesion","sesiones")))))&amp;""),IF(IFERROR(VALUE($G13&amp;""),0)=1,"sesion","sesiones")&amp;""))),IF((IF(ISNUMBER(IF(IFERROR(VALUE($G13&amp;""),0)=1,"Falta","Faltan")),IF(IF(IFERROR(VALUE($G13&amp;""),0)=1,"Falta","Faltan")=0,"0",ROUND(IF(IFERROR(VALUE($G13&amp;""),0)=1,"Falta","Faltan"),9-INT(LOG10(ABS(IF(IFERROR(VALUE($G13&amp;""),0)=1,"Falta","Faltan")))))&amp;""),IF(IFERROR(VALUE($G13&amp;""),0)=1,"Falta","Faltan")&amp;"")&amp;" "&amp;IF(ISNUMBER($G13),IF($G13=0,"0",ROUND($G13,9-INT(LOG10(ABS($G13))))&amp;""),$G13&amp;"")&amp;" "&amp;IF(ISNUMBER(IF(IFERROR(VALUE($G13&amp;""),0)=1,"sesion","sesiones")),IF(IF(IFERROR(VALUE($G13&amp;""),0)=1,"sesion","sesiones")=0,"0",ROUND(IF(IFERROR(VALUE($G13&amp;""),0)=1,"sesion","sesiones"),9-INT(LOG10(ABS(IF(IFERROR(VALUE($G13&amp;""),0)=1,"sesion","sesiones")))))&amp;""),IF(IFERROR(VALUE($G13&amp;""),0)=1,"sesion","sesiones")&amp;""))=0,"0",ROUND((IF(ISNUMBER(IF(IFERROR(VALUE($G13&amp;""),0)=1,"Falta","Faltan")),IF(IF(IFERROR(VALUE($G13&amp;""),0)=1,"Falta","Faltan")=0,"0",ROUND(IF(IFERROR(VALUE($G13&amp;""),0)=1,"Falta","Faltan"),9-INT(LOG10(ABS(IF(IFERROR(VALUE($G13&amp;""),0)=1,"Falta","Faltan")))))&amp;""),IF(IFERROR(VALUE($G13&amp;""),0)=1,"Falta","Faltan")&amp;"")&amp;" "&amp;IF(ISNUMBER($G13),IF($G13=0,"0",ROUND($G13,9-INT(LOG10(ABS($G13))))&amp;""),$G13&amp;"")&amp;" "&amp;IF(ISNUMBER(IF(IFERROR(VALUE($G13&amp;""),0)=1,"sesion","sesiones")),IF(IF(IFERROR(VALUE($G13&amp;""),0)=1,"sesion","sesiones")=0,"0",ROUND(IF(IFERROR(VALUE($G13&amp;""),0)=1,"sesion","sesiones"),9-INT(LOG10(ABS(IF(IFERROR(VALUE($G13&amp;""),0)=1,"sesion","sesiones")))))&amp;""),IF(IFERROR(VALUE($G13&amp;""),0)=1,"sesion","sesiones")&amp;"")),9-INT(LOG10(ABS((IF(ISNUMBER(IF(IFERROR(VALUE($G13&amp;""),0)=1,"Falta","Faltan")),IF(IF(IFERROR(VALUE($G13&amp;""),0)=1,"Falta","Faltan")=0,"0",ROUND(IF(IFERROR(VALUE($G13&amp;""),0)=1,"Falta","Faltan"),9-INT(LOG10(ABS(IF(IFERROR(VALUE($G13&amp;""),0)=1,"Falta","Faltan")))))&amp;""),IF(IFERROR(VALUE($G13&amp;""),0)=1,"Falta","Faltan")&amp;"")&amp;" "&amp;IF(ISNUMBER($G13),IF($G13=0,"0",ROUND($G13,9-INT(LOG10(ABS($G13))))&amp;""),$G13&amp;"")&amp;" "&amp;IF(ISNUMBER(IF(IFERROR(VALUE($G13&amp;""),0)=1,"sesion","sesiones")),IF(IF(IFERROR(VALUE($G13&amp;""),0)=1,"sesion","sesiones")=0,"0",ROUND(IF(IFERROR(VALUE($G13&amp;""),0)=1,"sesion","sesiones"),9-INT(LOG10(ABS(IF(IFERROR(VALUE($G13&amp;""),0)=1,"sesion","sesiones")))))&amp;""),IF(IFERROR(VALUE($G13&amp;""),0)=1,"sesion","sesiones")&amp;""))))))&amp;""),(IF(ISNUMBER(IF(IFERROR(VALUE($G13&amp;""),0)=1,"Falta","Faltan")),IF(IF(IFERROR(VALUE($G13&amp;""),0)=1,"Falta","Faltan")=0,"0",ROUND(IF(IFERROR(VALUE($G13&amp;""),0)=1,"Falta","Faltan"),9-INT(LOG10(ABS(IF(IFERROR(VALUE($G13&amp;""),0)=1,"Falta","Faltan")))))&amp;""),IF(IFERROR(VALUE($G13&amp;""),0)=1,"Falta","Faltan")&amp;"")&amp;" "&amp;IF(ISNUMBER($G13),IF($G13=0,"0",ROUND($G13,9-INT(LOG10(ABS($G13))))&amp;""),$G13&amp;"")&amp;" "&amp;IF(ISNUMBER(IF(IFERROR(VALUE($G13&amp;""),0)=1,"sesion","sesiones")),IF(IF(IFERROR(VALUE($G13&amp;""),0)=1,"sesion","sesiones")=0,"0",ROUND(IF(IFERROR(VALUE($G13&amp;""),0)=1,"sesion","sesiones"),9-INT(LOG10(ABS(IF(IFERROR(VALUE($G13&amp;""),0)=1,"sesion","sesiones")))))&amp;""),IF(IFERROR(VALUE($G13&amp;""),0)=1,"sesion","sesiones")&amp;""))&amp;""),"")&amp;IF((IFERROR(VALUE($G13&amp;""),0)&lt;0),"; "&amp;IF(ISNUMBER((IF(ISNUMBER(IF(IFERROR(VALUE((0-IFERROR(VALUE($G13&amp;""),0))&amp;""),0)=1,"Sobra","Sobran")),IF(IF(IFERROR(VALUE((0-IFERROR(VALUE($G13&amp;""),0))&amp;""),0)=1,"Sobra","Sobran")=0,"0",ROUND(IF(IFERROR(VALUE((0-IFERROR(VALUE($G13&amp;""),0))&amp;""),0)=1,"Sobra","Sobran"),9-INT(LOG10(ABS(IF(IFERROR(VALUE((0-IFERROR(VALUE($G13&amp;""),0))&amp;""),0)=1,"Sobra","Sobran")))))&amp;""),IF(IFERROR(VALUE((0-IFERROR(VALUE($G13&amp;""),0))&amp;""),0)=1,"Sobra","Sobran")&amp;"")&amp;" "&amp;IF(ISNUMBER((0-IFERROR(VALUE($G13&amp;""),0))),IF((0-IFERROR(VALUE($G13&amp;""),0))=0,"0",ROUND((0-IFERROR(VALUE($G13&amp;""),0)),9-INT(LOG10(ABS((0-IFERROR(VALUE($G13&amp;""),0))))))&amp;""),(0-IFERROR(VALUE($G13&amp;""),0))&amp;"")&amp;" "&amp;IF(ISNUMBER(IF(IFERROR(VALUE((0-IFERROR(VALUE($G13&amp;""),0))&amp;""),0)=1,"sesion","sesiones")),IF(IF(IFERROR(VALUE((0-IFERROR(VALUE($G13&amp;""),0))&amp;""),0)=1,"sesion","sesiones")=0,"0",ROUND(IF(IFERROR(VALUE((0-IFERROR(VALUE($G13&amp;""),0))&amp;""),0)=1,"sesion","sesiones"),9-INT(LOG10(ABS(IF(IFERROR(VALUE((0-IFERROR(VALUE($G13&amp;""),0))&amp;""),0)=1,"sesion","sesiones")))))&amp;""),IF(IFERROR(VALUE((0-IFERROR(VALUE($G13&amp;""),0))&amp;""),0)=1,"sesion","sesiones")&amp;""))),IF((IF(ISNUMBER(IF(IFERROR(VALUE((0-IFERROR(VALUE($G13&amp;""),0))&amp;""),0)=1,"Sobra","Sobran")),IF(IF(IFERROR(VALUE((0-IFERROR(VALUE($G13&amp;""),0))&amp;""),0)=1,"Sobra","Sobran")=0,"0",ROUND(IF(IFERROR(VALUE((0-IFERROR(VALUE($G13&amp;""),0))&amp;""),0)=1,"Sobra","Sobran"),9-INT(LOG10(ABS(IF(IFERROR(VALUE((0-IFERROR(VALUE($G13&amp;""),0))&amp;""),0)=1,"Sobra","Sobran")))))&amp;""),IF(IFERROR(VALUE((0-IFERROR(VALUE($G13&amp;""),0))&amp;""),0)=1,"Sobra","Sobran")&amp;"")&amp;" "&amp;IF(ISNUMBER((0-IFERROR(VALUE($G13&amp;""),0))),IF((0-IFERROR(VALUE($G13&amp;""),0))=0,"0",ROUND((0-IFERROR(VALUE($G13&amp;""),0)),9-INT(LOG10(ABS((0-IFERROR(VALUE($G13&amp;""),0))))))&amp;""),(0-IFERROR(VALUE($G13&amp;""),0))&amp;"")&amp;" "&amp;IF(ISNUMBER(IF(IFERROR(VALUE((0-IFERROR(VALUE($G13&amp;""),0))&amp;""),0)=1,"sesion","sesiones")),IF(IF(IFERROR(VALUE((0-IFERROR(VALUE($G13&amp;""),0))&amp;""),0)=1,"sesion","sesiones")=0,"0",ROUND(IF(IFERROR(VALUE((0-IFERROR(VALUE($G13&amp;""),0))&amp;""),0)=1,"sesion","sesiones"),9-INT(LOG10(ABS(IF(IFERROR(VALUE((0-IFERROR(VALUE($G13&amp;""),0))&amp;""),0)=1,"sesion","sesiones")))))&amp;""),IF(IFERROR(VALUE((0-IFERROR(VALUE($G13&amp;""),0))&amp;""),0)=1,"sesion","sesiones")&amp;""))=0,"0",ROUND((IF(ISNUMBER(IF(IFERROR(VALUE((0-IFERROR(VALUE($G13&amp;""),0))&amp;""),0)=1,"Sobra","Sobran")),IF(IF(IFERROR(VALUE((0-IFERROR(VALUE($G13&amp;""),0))&amp;""),0)=1,"Sobra","Sobran")=0,"0",ROUND(IF(IFERROR(VALUE((0-IFERROR(VALUE($G13&amp;""),0))&amp;""),0)=1,"Sobra","Sobran"),9-INT(LOG10(ABS(IF(IFERROR(VALUE((0-IFERROR(VALUE($G13&amp;""),0))&amp;""),0)=1,"Sobra","Sobran")))))&amp;""),IF(IFERROR(VALUE((0-IFERROR(VALUE($G13&amp;""),0))&amp;""),0)=1,"Sobra","Sobran")&amp;"")&amp;" "&amp;IF(ISNUMBER((0-IFERROR(VALUE($G13&amp;""),0))),IF((0-IFERROR(VALUE($G13&amp;""),0))=0,"0",ROUND((0-IFERROR(VALUE($G13&amp;""),0)),9-INT(LOG10(ABS((0-IFERROR(VALUE($G13&amp;""),0))))))&amp;""),(0-IFERROR(VALUE($G13&amp;""),0))&amp;"")&amp;" "&amp;IF(ISNUMBER(IF(IFERROR(VALUE((0-IFERROR(VALUE($G13&amp;""),0))&amp;""),0)=1,"sesion","sesiones")),IF(IF(IFERROR(VALUE((0-IFERROR(VALUE($G13&amp;""),0))&amp;""),0)=1,"sesion","sesiones")=0,"0",ROUND(IF(IFERROR(VALUE((0-IFERROR(VALUE($G13&amp;""),0))&amp;""),0)=1,"sesion","sesiones"),9-INT(LOG10(ABS(IF(IFERROR(VALUE((0-IFERROR(VALUE($G13&amp;""),0))&amp;""),0)=1,"sesion","sesiones")))))&amp;""),IF(IFERROR(VALUE((0-IFERROR(VALUE($G13&amp;""),0))&amp;""),0)=1,"sesion","sesiones")&amp;"")),9-INT(LOG10(ABS((IF(ISNUMBER(IF(IFERROR(VALUE((0-IFERROR(VALUE($G13&amp;""),0))&amp;""),0)=1,"Sobra","Sobran")),IF(IF(IFERROR(VALUE((0-IFERROR(VALUE($G13&amp;""),0))&amp;""),0)=1,"Sobra","Sobran")=0,"0",ROUND(IF(IFERROR(VALUE((0-IFERROR(VALUE($G13&amp;""),0))&amp;""),0)=1,"Sobra","Sobran"),9-INT(LOG10(ABS(IF(IFERROR(VALUE((0-IFERROR(VALUE($G13&amp;""),0))&amp;""),0)=1,"Sobra","Sobran")))))&amp;""),IF(IFERROR(VALUE((0-IFERROR(VALUE($G13&amp;""),0))&amp;""),0)=1,"Sobra","Sobran")&amp;"")&amp;" "&amp;IF(ISNUMBER((0-IFERROR(VALUE($G13&amp;""),0))),IF((0-IFERROR(VALUE($G13&amp;""),0))=0,"0",ROUND((0-IFERROR(VALUE($G13&amp;""),0)),9-INT(LOG10(ABS((0-IFERROR(VALUE($G13&amp;""),0))))))&amp;""),(0-IFERROR(VALUE($G13&amp;""),0))&amp;"")&amp;" "&amp;IF(ISNUMBER(IF(IFERROR(VALUE((0-IFERROR(VALUE($G13&amp;""),0))&amp;""),0)=1,"sesion","sesiones")),IF(IF(IFERROR(VALUE((0-IFERROR(VALUE($G13&amp;""),0))&amp;""),0)=1,"sesion","sesiones")=0,"0",ROUND(IF(IFERROR(VALUE((0-IFERROR(VALUE($G13&amp;""),0))&amp;""),0)=1,"sesion","sesiones"),9-INT(LOG10(ABS(IF(IFERROR(VALUE((0-IFERROR(VALUE($G13&amp;""),0))&amp;""),0)=1,"sesion","sesiones")))))&amp;""),IF(IFERROR(VALUE((0-IFERROR(VALUE($G13&amp;""),0))&amp;""),0)=1,"sesion","sesiones")&amp;""))))))&amp;""),(IF(ISNUMBER(IF(IFERROR(VALUE((0-IFERROR(VALUE($G13&amp;""),0))&amp;""),0)=1,"Sobra","Sobran")),IF(IF(IFERROR(VALUE((0-IFERROR(VALUE($G13&amp;""),0))&amp;""),0)=1,"Sobra","Sobran")=0,"0",ROUND(IF(IFERROR(VALUE((0-IFERROR(VALUE($G13&amp;""),0))&amp;""),0)=1,"Sobra","Sobran"),9-INT(LOG10(ABS(IF(IFERROR(VALUE((0-IFERROR(VALUE($G13&amp;""),0))&amp;""),0)=1,"Sobra","Sobran")))))&amp;""),IF(IFERROR(VALUE((0-IFERROR(VALUE($G13&amp;""),0))&amp;""),0)=1,"Sobra","Sobran")&amp;"")&amp;" "&amp;IF(ISNUMBER((0-IFERROR(VALUE($G13&amp;""),0))),IF((0-IFERROR(VALUE($G13&amp;""),0))=0,"0",ROUND((0-IFERROR(VALUE($G13&amp;""),0)),9-INT(LOG10(ABS((0-IFERROR(VALUE($G13&amp;""),0))))))&amp;""),(0-IFERROR(VALUE($G13&amp;""),0))&amp;"")&amp;" "&amp;IF(ISNUMBER(IF(IFERROR(VALUE((0-IFERROR(VALUE($G13&amp;""),0))&amp;""),0)=1,"sesion","sesiones")),IF(IF(IFERROR(VALUE((0-IFERROR(VALUE($G13&amp;""),0))&amp;""),0)=1,"sesion","sesiones")=0,"0",ROUND(IF(IFERROR(VALUE((0-IFERROR(VALUE($G13&amp;""),0))&amp;""),0)=1,"sesion","sesiones"),9-INT(LOG10(ABS(IF(IFERROR(VALUE((0-IFERROR(VALUE($G13&amp;""),0))&amp;""),0)=1,"sesion","sesiones")))))&amp;""),IF(IFERROR(VALUE((0-IFERROR(VALUE($G13&amp;""),0))&amp;""),0)=1,"sesion","sesiones")&amp;""))&amp;""),""),3,32767)</f>
        <v/>
      </c>
      <c r="I13" s="3">
        <f>IF(OR((IFERROR(VALUE($G13&amp;""),0)&gt;0),(IFERROR(VALUE($G13&amp;""),0)&lt;0)),3,0)</f>
        <v/>
      </c>
    </row>
    <row r="14">
      <c r="A14" s="3" t="inlineStr">
        <is>
          <t>10-3</t>
        </is>
      </c>
      <c r="B14" s="3" t="inlineStr">
        <is>
          <t>CP</t>
        </is>
      </c>
      <c r="C14" s="3" t="inlineStr">
        <is>
          <t>Profesor de CP en 10-3</t>
        </is>
      </c>
      <c r="D14" s="3">
        <f>IF(ISNA(MATCH(1,INDEX(EXACT('Asignaturas'!$A$4:$A$18,$B14)*1,0),0)),"",IF(ISBLANK(INDEX('Asignaturas'!$B$4:$B$18,MATCH(1,INDEX(EXACT('Asignaturas'!$A$4:$A$18,$B14)*1,0),0))),"",INDEX('Asignaturas'!$B$4:$B$18,MATCH(1,INDEX(EXACT('Asignaturas'!$A$4:$A$18,$B14)*1,0),0))))</f>
        <v/>
      </c>
      <c r="E14" s="3">
        <f>IF(ISNA(MATCH(1,INDEX(EXACT('Asignaturas'!$A$4:$A$18,$B14)*1,0),0)),0,IF(ISBLANK(INDEX('Asignaturas'!$C$4:$C$18,MATCH(1,INDEX(EXACT('Asignaturas'!$A$4:$A$18,$B14)*1,0),0))),"",INDEX('Asignaturas'!$C$4:$C$18,MATCH(1,INDEX(EXACT('Asignaturas'!$A$4:$A$18,$B14)*1,0),0))))</f>
        <v/>
      </c>
      <c r="F14" s="3">
        <f>SUMPRODUCT(1*((EXACT('Casillas del horario'!$A$4:$A$73,$A14)))*((EXACT('Casillas del horario'!$D$4:$D$73,$B14))))</f>
        <v/>
      </c>
      <c r="G14" s="3">
        <f>(IFERROR(VALUE($E14&amp;""),0)-IFERROR(VALUE($F14&amp;""),0))</f>
        <v/>
      </c>
      <c r="H14" s="3">
        <f>MID(IF((IFERROR(VALUE($G14&amp;""),0)&gt;0),"; "&amp;IF(ISNUMBER((IF(ISNUMBER(IF(IFERROR(VALUE($G14&amp;""),0)=1,"Falta","Faltan")),IF(IF(IFERROR(VALUE($G14&amp;""),0)=1,"Falta","Faltan")=0,"0",ROUND(IF(IFERROR(VALUE($G14&amp;""),0)=1,"Falta","Faltan"),9-INT(LOG10(ABS(IF(IFERROR(VALUE($G14&amp;""),0)=1,"Falta","Faltan")))))&amp;""),IF(IFERROR(VALUE($G14&amp;""),0)=1,"Falta","Faltan")&amp;"")&amp;" "&amp;IF(ISNUMBER($G14),IF($G14=0,"0",ROUND($G14,9-INT(LOG10(ABS($G14))))&amp;""),$G14&amp;"")&amp;" "&amp;IF(ISNUMBER(IF(IFERROR(VALUE($G14&amp;""),0)=1,"sesion","sesiones")),IF(IF(IFERROR(VALUE($G14&amp;""),0)=1,"sesion","sesiones")=0,"0",ROUND(IF(IFERROR(VALUE($G14&amp;""),0)=1,"sesion","sesiones"),9-INT(LOG10(ABS(IF(IFERROR(VALUE($G14&amp;""),0)=1,"sesion","sesiones")))))&amp;""),IF(IFERROR(VALUE($G14&amp;""),0)=1,"sesion","sesiones")&amp;""))),IF((IF(ISNUMBER(IF(IFERROR(VALUE($G14&amp;""),0)=1,"Falta","Faltan")),IF(IF(IFERROR(VALUE($G14&amp;""),0)=1,"Falta","Faltan")=0,"0",ROUND(IF(IFERROR(VALUE($G14&amp;""),0)=1,"Falta","Faltan"),9-INT(LOG10(ABS(IF(IFERROR(VALUE($G14&amp;""),0)=1,"Falta","Faltan")))))&amp;""),IF(IFERROR(VALUE($G14&amp;""),0)=1,"Falta","Faltan")&amp;"")&amp;" "&amp;IF(ISNUMBER($G14),IF($G14=0,"0",ROUND($G14,9-INT(LOG10(ABS($G14))))&amp;""),$G14&amp;"")&amp;" "&amp;IF(ISNUMBER(IF(IFERROR(VALUE($G14&amp;""),0)=1,"sesion","sesiones")),IF(IF(IFERROR(VALUE($G14&amp;""),0)=1,"sesion","sesiones")=0,"0",ROUND(IF(IFERROR(VALUE($G14&amp;""),0)=1,"sesion","sesiones"),9-INT(LOG10(ABS(IF(IFERROR(VALUE($G14&amp;""),0)=1,"sesion","sesiones")))))&amp;""),IF(IFERROR(VALUE($G14&amp;""),0)=1,"sesion","sesiones")&amp;""))=0,"0",ROUND((IF(ISNUMBER(IF(IFERROR(VALUE($G14&amp;""),0)=1,"Falta","Faltan")),IF(IF(IFERROR(VALUE($G14&amp;""),0)=1,"Falta","Faltan")=0,"0",ROUND(IF(IFERROR(VALUE($G14&amp;""),0)=1,"Falta","Faltan"),9-INT(LOG10(ABS(IF(IFERROR(VALUE($G14&amp;""),0)=1,"Falta","Faltan")))))&amp;""),IF(IFERROR(VALUE($G14&amp;""),0)=1,"Falta","Faltan")&amp;"")&amp;" "&amp;IF(ISNUMBER($G14),IF($G14=0,"0",ROUND($G14,9-INT(LOG10(ABS($G14))))&amp;""),$G14&amp;"")&amp;" "&amp;IF(ISNUMBER(IF(IFERROR(VALUE($G14&amp;""),0)=1,"sesion","sesiones")),IF(IF(IFERROR(VALUE($G14&amp;""),0)=1,"sesion","sesiones")=0,"0",ROUND(IF(IFERROR(VALUE($G14&amp;""),0)=1,"sesion","sesiones"),9-INT(LOG10(ABS(IF(IFERROR(VALUE($G14&amp;""),0)=1,"sesion","sesiones")))))&amp;""),IF(IFERROR(VALUE($G14&amp;""),0)=1,"sesion","sesiones")&amp;"")),9-INT(LOG10(ABS((IF(ISNUMBER(IF(IFERROR(VALUE($G14&amp;""),0)=1,"Falta","Faltan")),IF(IF(IFERROR(VALUE($G14&amp;""),0)=1,"Falta","Faltan")=0,"0",ROUND(IF(IFERROR(VALUE($G14&amp;""),0)=1,"Falta","Faltan"),9-INT(LOG10(ABS(IF(IFERROR(VALUE($G14&amp;""),0)=1,"Falta","Faltan")))))&amp;""),IF(IFERROR(VALUE($G14&amp;""),0)=1,"Falta","Faltan")&amp;"")&amp;" "&amp;IF(ISNUMBER($G14),IF($G14=0,"0",ROUND($G14,9-INT(LOG10(ABS($G14))))&amp;""),$G14&amp;"")&amp;" "&amp;IF(ISNUMBER(IF(IFERROR(VALUE($G14&amp;""),0)=1,"sesion","sesiones")),IF(IF(IFERROR(VALUE($G14&amp;""),0)=1,"sesion","sesiones")=0,"0",ROUND(IF(IFERROR(VALUE($G14&amp;""),0)=1,"sesion","sesiones"),9-INT(LOG10(ABS(IF(IFERROR(VALUE($G14&amp;""),0)=1,"sesion","sesiones")))))&amp;""),IF(IFERROR(VALUE($G14&amp;""),0)=1,"sesion","sesiones")&amp;""))))))&amp;""),(IF(ISNUMBER(IF(IFERROR(VALUE($G14&amp;""),0)=1,"Falta","Faltan")),IF(IF(IFERROR(VALUE($G14&amp;""),0)=1,"Falta","Faltan")=0,"0",ROUND(IF(IFERROR(VALUE($G14&amp;""),0)=1,"Falta","Faltan"),9-INT(LOG10(ABS(IF(IFERROR(VALUE($G14&amp;""),0)=1,"Falta","Faltan")))))&amp;""),IF(IFERROR(VALUE($G14&amp;""),0)=1,"Falta","Faltan")&amp;"")&amp;" "&amp;IF(ISNUMBER($G14),IF($G14=0,"0",ROUND($G14,9-INT(LOG10(ABS($G14))))&amp;""),$G14&amp;"")&amp;" "&amp;IF(ISNUMBER(IF(IFERROR(VALUE($G14&amp;""),0)=1,"sesion","sesiones")),IF(IF(IFERROR(VALUE($G14&amp;""),0)=1,"sesion","sesiones")=0,"0",ROUND(IF(IFERROR(VALUE($G14&amp;""),0)=1,"sesion","sesiones"),9-INT(LOG10(ABS(IF(IFERROR(VALUE($G14&amp;""),0)=1,"sesion","sesiones")))))&amp;""),IF(IFERROR(VALUE($G14&amp;""),0)=1,"sesion","sesiones")&amp;""))&amp;""),"")&amp;IF((IFERROR(VALUE($G14&amp;""),0)&lt;0),"; "&amp;IF(ISNUMBER((IF(ISNUMBER(IF(IFERROR(VALUE((0-IFERROR(VALUE($G14&amp;""),0))&amp;""),0)=1,"Sobra","Sobran")),IF(IF(IFERROR(VALUE((0-IFERROR(VALUE($G14&amp;""),0))&amp;""),0)=1,"Sobra","Sobran")=0,"0",ROUND(IF(IFERROR(VALUE((0-IFERROR(VALUE($G14&amp;""),0))&amp;""),0)=1,"Sobra","Sobran"),9-INT(LOG10(ABS(IF(IFERROR(VALUE((0-IFERROR(VALUE($G14&amp;""),0))&amp;""),0)=1,"Sobra","Sobran")))))&amp;""),IF(IFERROR(VALUE((0-IFERROR(VALUE($G14&amp;""),0))&amp;""),0)=1,"Sobra","Sobran")&amp;"")&amp;" "&amp;IF(ISNUMBER((0-IFERROR(VALUE($G14&amp;""),0))),IF((0-IFERROR(VALUE($G14&amp;""),0))=0,"0",ROUND((0-IFERROR(VALUE($G14&amp;""),0)),9-INT(LOG10(ABS((0-IFERROR(VALUE($G14&amp;""),0))))))&amp;""),(0-IFERROR(VALUE($G14&amp;""),0))&amp;"")&amp;" "&amp;IF(ISNUMBER(IF(IFERROR(VALUE((0-IFERROR(VALUE($G14&amp;""),0))&amp;""),0)=1,"sesion","sesiones")),IF(IF(IFERROR(VALUE((0-IFERROR(VALUE($G14&amp;""),0))&amp;""),0)=1,"sesion","sesiones")=0,"0",ROUND(IF(IFERROR(VALUE((0-IFERROR(VALUE($G14&amp;""),0))&amp;""),0)=1,"sesion","sesiones"),9-INT(LOG10(ABS(IF(IFERROR(VALUE((0-IFERROR(VALUE($G14&amp;""),0))&amp;""),0)=1,"sesion","sesiones")))))&amp;""),IF(IFERROR(VALUE((0-IFERROR(VALUE($G14&amp;""),0))&amp;""),0)=1,"sesion","sesiones")&amp;""))),IF((IF(ISNUMBER(IF(IFERROR(VALUE((0-IFERROR(VALUE($G14&amp;""),0))&amp;""),0)=1,"Sobra","Sobran")),IF(IF(IFERROR(VALUE((0-IFERROR(VALUE($G14&amp;""),0))&amp;""),0)=1,"Sobra","Sobran")=0,"0",ROUND(IF(IFERROR(VALUE((0-IFERROR(VALUE($G14&amp;""),0))&amp;""),0)=1,"Sobra","Sobran"),9-INT(LOG10(ABS(IF(IFERROR(VALUE((0-IFERROR(VALUE($G14&amp;""),0))&amp;""),0)=1,"Sobra","Sobran")))))&amp;""),IF(IFERROR(VALUE((0-IFERROR(VALUE($G14&amp;""),0))&amp;""),0)=1,"Sobra","Sobran")&amp;"")&amp;" "&amp;IF(ISNUMBER((0-IFERROR(VALUE($G14&amp;""),0))),IF((0-IFERROR(VALUE($G14&amp;""),0))=0,"0",ROUND((0-IFERROR(VALUE($G14&amp;""),0)),9-INT(LOG10(ABS((0-IFERROR(VALUE($G14&amp;""),0))))))&amp;""),(0-IFERROR(VALUE($G14&amp;""),0))&amp;"")&amp;" "&amp;IF(ISNUMBER(IF(IFERROR(VALUE((0-IFERROR(VALUE($G14&amp;""),0))&amp;""),0)=1,"sesion","sesiones")),IF(IF(IFERROR(VALUE((0-IFERROR(VALUE($G14&amp;""),0))&amp;""),0)=1,"sesion","sesiones")=0,"0",ROUND(IF(IFERROR(VALUE((0-IFERROR(VALUE($G14&amp;""),0))&amp;""),0)=1,"sesion","sesiones"),9-INT(LOG10(ABS(IF(IFERROR(VALUE((0-IFERROR(VALUE($G14&amp;""),0))&amp;""),0)=1,"sesion","sesiones")))))&amp;""),IF(IFERROR(VALUE((0-IFERROR(VALUE($G14&amp;""),0))&amp;""),0)=1,"sesion","sesiones")&amp;""))=0,"0",ROUND((IF(ISNUMBER(IF(IFERROR(VALUE((0-IFERROR(VALUE($G14&amp;""),0))&amp;""),0)=1,"Sobra","Sobran")),IF(IF(IFERROR(VALUE((0-IFERROR(VALUE($G14&amp;""),0))&amp;""),0)=1,"Sobra","Sobran")=0,"0",ROUND(IF(IFERROR(VALUE((0-IFERROR(VALUE($G14&amp;""),0))&amp;""),0)=1,"Sobra","Sobran"),9-INT(LOG10(ABS(IF(IFERROR(VALUE((0-IFERROR(VALUE($G14&amp;""),0))&amp;""),0)=1,"Sobra","Sobran")))))&amp;""),IF(IFERROR(VALUE((0-IFERROR(VALUE($G14&amp;""),0))&amp;""),0)=1,"Sobra","Sobran")&amp;"")&amp;" "&amp;IF(ISNUMBER((0-IFERROR(VALUE($G14&amp;""),0))),IF((0-IFERROR(VALUE($G14&amp;""),0))=0,"0",ROUND((0-IFERROR(VALUE($G14&amp;""),0)),9-INT(LOG10(ABS((0-IFERROR(VALUE($G14&amp;""),0))))))&amp;""),(0-IFERROR(VALUE($G14&amp;""),0))&amp;"")&amp;" "&amp;IF(ISNUMBER(IF(IFERROR(VALUE((0-IFERROR(VALUE($G14&amp;""),0))&amp;""),0)=1,"sesion","sesiones")),IF(IF(IFERROR(VALUE((0-IFERROR(VALUE($G14&amp;""),0))&amp;""),0)=1,"sesion","sesiones")=0,"0",ROUND(IF(IFERROR(VALUE((0-IFERROR(VALUE($G14&amp;""),0))&amp;""),0)=1,"sesion","sesiones"),9-INT(LOG10(ABS(IF(IFERROR(VALUE((0-IFERROR(VALUE($G14&amp;""),0))&amp;""),0)=1,"sesion","sesiones")))))&amp;""),IF(IFERROR(VALUE((0-IFERROR(VALUE($G14&amp;""),0))&amp;""),0)=1,"sesion","sesiones")&amp;"")),9-INT(LOG10(ABS((IF(ISNUMBER(IF(IFERROR(VALUE((0-IFERROR(VALUE($G14&amp;""),0))&amp;""),0)=1,"Sobra","Sobran")),IF(IF(IFERROR(VALUE((0-IFERROR(VALUE($G14&amp;""),0))&amp;""),0)=1,"Sobra","Sobran")=0,"0",ROUND(IF(IFERROR(VALUE((0-IFERROR(VALUE($G14&amp;""),0))&amp;""),0)=1,"Sobra","Sobran"),9-INT(LOG10(ABS(IF(IFERROR(VALUE((0-IFERROR(VALUE($G14&amp;""),0))&amp;""),0)=1,"Sobra","Sobran")))))&amp;""),IF(IFERROR(VALUE((0-IFERROR(VALUE($G14&amp;""),0))&amp;""),0)=1,"Sobra","Sobran")&amp;"")&amp;" "&amp;IF(ISNUMBER((0-IFERROR(VALUE($G14&amp;""),0))),IF((0-IFERROR(VALUE($G14&amp;""),0))=0,"0",ROUND((0-IFERROR(VALUE($G14&amp;""),0)),9-INT(LOG10(ABS((0-IFERROR(VALUE($G14&amp;""),0))))))&amp;""),(0-IFERROR(VALUE($G14&amp;""),0))&amp;"")&amp;" "&amp;IF(ISNUMBER(IF(IFERROR(VALUE((0-IFERROR(VALUE($G14&amp;""),0))&amp;""),0)=1,"sesion","sesiones")),IF(IF(IFERROR(VALUE((0-IFERROR(VALUE($G14&amp;""),0))&amp;""),0)=1,"sesion","sesiones")=0,"0",ROUND(IF(IFERROR(VALUE((0-IFERROR(VALUE($G14&amp;""),0))&amp;""),0)=1,"sesion","sesiones"),9-INT(LOG10(ABS(IF(IFERROR(VALUE((0-IFERROR(VALUE($G14&amp;""),0))&amp;""),0)=1,"sesion","sesiones")))))&amp;""),IF(IFERROR(VALUE((0-IFERROR(VALUE($G14&amp;""),0))&amp;""),0)=1,"sesion","sesiones")&amp;""))))))&amp;""),(IF(ISNUMBER(IF(IFERROR(VALUE((0-IFERROR(VALUE($G14&amp;""),0))&amp;""),0)=1,"Sobra","Sobran")),IF(IF(IFERROR(VALUE((0-IFERROR(VALUE($G14&amp;""),0))&amp;""),0)=1,"Sobra","Sobran")=0,"0",ROUND(IF(IFERROR(VALUE((0-IFERROR(VALUE($G14&amp;""),0))&amp;""),0)=1,"Sobra","Sobran"),9-INT(LOG10(ABS(IF(IFERROR(VALUE((0-IFERROR(VALUE($G14&amp;""),0))&amp;""),0)=1,"Sobra","Sobran")))))&amp;""),IF(IFERROR(VALUE((0-IFERROR(VALUE($G14&amp;""),0))&amp;""),0)=1,"Sobra","Sobran")&amp;"")&amp;" "&amp;IF(ISNUMBER((0-IFERROR(VALUE($G14&amp;""),0))),IF((0-IFERROR(VALUE($G14&amp;""),0))=0,"0",ROUND((0-IFERROR(VALUE($G14&amp;""),0)),9-INT(LOG10(ABS((0-IFERROR(VALUE($G14&amp;""),0))))))&amp;""),(0-IFERROR(VALUE($G14&amp;""),0))&amp;"")&amp;" "&amp;IF(ISNUMBER(IF(IFERROR(VALUE((0-IFERROR(VALUE($G14&amp;""),0))&amp;""),0)=1,"sesion","sesiones")),IF(IF(IFERROR(VALUE((0-IFERROR(VALUE($G14&amp;""),0))&amp;""),0)=1,"sesion","sesiones")=0,"0",ROUND(IF(IFERROR(VALUE((0-IFERROR(VALUE($G14&amp;""),0))&amp;""),0)=1,"sesion","sesiones"),9-INT(LOG10(ABS(IF(IFERROR(VALUE((0-IFERROR(VALUE($G14&amp;""),0))&amp;""),0)=1,"sesion","sesiones")))))&amp;""),IF(IFERROR(VALUE((0-IFERROR(VALUE($G14&amp;""),0))&amp;""),0)=1,"sesion","sesiones")&amp;""))&amp;""),""),3,32767)</f>
        <v/>
      </c>
      <c r="I14" s="3">
        <f>IF(OR((IFERROR(VALUE($G14&amp;""),0)&gt;0),(IFERROR(VALUE($G14&amp;""),0)&lt;0)),3,0)</f>
        <v/>
      </c>
    </row>
    <row r="15">
      <c r="A15" s="3" t="inlineStr">
        <is>
          <t>10-3</t>
        </is>
      </c>
      <c r="B15" s="3" t="inlineStr">
        <is>
          <t>DC</t>
        </is>
      </c>
      <c r="C15" s="3" t="inlineStr">
        <is>
          <t>Profesor de DC en 10-3</t>
        </is>
      </c>
      <c r="D15" s="3">
        <f>IF(ISNA(MATCH(1,INDEX(EXACT('Asignaturas'!$A$4:$A$18,$B15)*1,0),0)),"",IF(ISBLANK(INDEX('Asignaturas'!$B$4:$B$18,MATCH(1,INDEX(EXACT('Asignaturas'!$A$4:$A$18,$B15)*1,0),0))),"",INDEX('Asignaturas'!$B$4:$B$18,MATCH(1,INDEX(EXACT('Asignaturas'!$A$4:$A$18,$B15)*1,0),0))))</f>
        <v/>
      </c>
      <c r="E15" s="3">
        <f>IF(ISNA(MATCH(1,INDEX(EXACT('Asignaturas'!$A$4:$A$18,$B15)*1,0),0)),0,IF(ISBLANK(INDEX('Asignaturas'!$C$4:$C$18,MATCH(1,INDEX(EXACT('Asignaturas'!$A$4:$A$18,$B15)*1,0),0))),"",INDEX('Asignaturas'!$C$4:$C$18,MATCH(1,INDEX(EXACT('Asignaturas'!$A$4:$A$18,$B15)*1,0),0))))</f>
        <v/>
      </c>
      <c r="F15" s="3">
        <f>SUMPRODUCT(1*((EXACT('Casillas del horario'!$A$4:$A$73,$A15)))*((EXACT('Casillas del horario'!$D$4:$D$73,$B15))))</f>
        <v/>
      </c>
      <c r="G15" s="3">
        <f>(IFERROR(VALUE($E15&amp;""),0)-IFERROR(VALUE($F15&amp;""),0))</f>
        <v/>
      </c>
      <c r="H15" s="3">
        <f>MID(IF((IFERROR(VALUE($G15&amp;""),0)&gt;0),"; "&amp;IF(ISNUMBER((IF(ISNUMBER(IF(IFERROR(VALUE($G15&amp;""),0)=1,"Falta","Faltan")),IF(IF(IFERROR(VALUE($G15&amp;""),0)=1,"Falta","Faltan")=0,"0",ROUND(IF(IFERROR(VALUE($G15&amp;""),0)=1,"Falta","Faltan"),9-INT(LOG10(ABS(IF(IFERROR(VALUE($G15&amp;""),0)=1,"Falta","Faltan")))))&amp;""),IF(IFERROR(VALUE($G15&amp;""),0)=1,"Falta","Faltan")&amp;"")&amp;" "&amp;IF(ISNUMBER($G15),IF($G15=0,"0",ROUND($G15,9-INT(LOG10(ABS($G15))))&amp;""),$G15&amp;"")&amp;" "&amp;IF(ISNUMBER(IF(IFERROR(VALUE($G15&amp;""),0)=1,"sesion","sesiones")),IF(IF(IFERROR(VALUE($G15&amp;""),0)=1,"sesion","sesiones")=0,"0",ROUND(IF(IFERROR(VALUE($G15&amp;""),0)=1,"sesion","sesiones"),9-INT(LOG10(ABS(IF(IFERROR(VALUE($G15&amp;""),0)=1,"sesion","sesiones")))))&amp;""),IF(IFERROR(VALUE($G15&amp;""),0)=1,"sesion","sesiones")&amp;""))),IF((IF(ISNUMBER(IF(IFERROR(VALUE($G15&amp;""),0)=1,"Falta","Faltan")),IF(IF(IFERROR(VALUE($G15&amp;""),0)=1,"Falta","Faltan")=0,"0",ROUND(IF(IFERROR(VALUE($G15&amp;""),0)=1,"Falta","Faltan"),9-INT(LOG10(ABS(IF(IFERROR(VALUE($G15&amp;""),0)=1,"Falta","Faltan")))))&amp;""),IF(IFERROR(VALUE($G15&amp;""),0)=1,"Falta","Faltan")&amp;"")&amp;" "&amp;IF(ISNUMBER($G15),IF($G15=0,"0",ROUND($G15,9-INT(LOG10(ABS($G15))))&amp;""),$G15&amp;"")&amp;" "&amp;IF(ISNUMBER(IF(IFERROR(VALUE($G15&amp;""),0)=1,"sesion","sesiones")),IF(IF(IFERROR(VALUE($G15&amp;""),0)=1,"sesion","sesiones")=0,"0",ROUND(IF(IFERROR(VALUE($G15&amp;""),0)=1,"sesion","sesiones"),9-INT(LOG10(ABS(IF(IFERROR(VALUE($G15&amp;""),0)=1,"sesion","sesiones")))))&amp;""),IF(IFERROR(VALUE($G15&amp;""),0)=1,"sesion","sesiones")&amp;""))=0,"0",ROUND((IF(ISNUMBER(IF(IFERROR(VALUE($G15&amp;""),0)=1,"Falta","Faltan")),IF(IF(IFERROR(VALUE($G15&amp;""),0)=1,"Falta","Faltan")=0,"0",ROUND(IF(IFERROR(VALUE($G15&amp;""),0)=1,"Falta","Faltan"),9-INT(LOG10(ABS(IF(IFERROR(VALUE($G15&amp;""),0)=1,"Falta","Faltan")))))&amp;""),IF(IFERROR(VALUE($G15&amp;""),0)=1,"Falta","Faltan")&amp;"")&amp;" "&amp;IF(ISNUMBER($G15),IF($G15=0,"0",ROUND($G15,9-INT(LOG10(ABS($G15))))&amp;""),$G15&amp;"")&amp;" "&amp;IF(ISNUMBER(IF(IFERROR(VALUE($G15&amp;""),0)=1,"sesion","sesiones")),IF(IF(IFERROR(VALUE($G15&amp;""),0)=1,"sesion","sesiones")=0,"0",ROUND(IF(IFERROR(VALUE($G15&amp;""),0)=1,"sesion","sesiones"),9-INT(LOG10(ABS(IF(IFERROR(VALUE($G15&amp;""),0)=1,"sesion","sesiones")))))&amp;""),IF(IFERROR(VALUE($G15&amp;""),0)=1,"sesion","sesiones")&amp;"")),9-INT(LOG10(ABS((IF(ISNUMBER(IF(IFERROR(VALUE($G15&amp;""),0)=1,"Falta","Faltan")),IF(IF(IFERROR(VALUE($G15&amp;""),0)=1,"Falta","Faltan")=0,"0",ROUND(IF(IFERROR(VALUE($G15&amp;""),0)=1,"Falta","Faltan"),9-INT(LOG10(ABS(IF(IFERROR(VALUE($G15&amp;""),0)=1,"Falta","Faltan")))))&amp;""),IF(IFERROR(VALUE($G15&amp;""),0)=1,"Falta","Faltan")&amp;"")&amp;" "&amp;IF(ISNUMBER($G15),IF($G15=0,"0",ROUND($G15,9-INT(LOG10(ABS($G15))))&amp;""),$G15&amp;"")&amp;" "&amp;IF(ISNUMBER(IF(IFERROR(VALUE($G15&amp;""),0)=1,"sesion","sesiones")),IF(IF(IFERROR(VALUE($G15&amp;""),0)=1,"sesion","sesiones")=0,"0",ROUND(IF(IFERROR(VALUE($G15&amp;""),0)=1,"sesion","sesiones"),9-INT(LOG10(ABS(IF(IFERROR(VALUE($G15&amp;""),0)=1,"sesion","sesiones")))))&amp;""),IF(IFERROR(VALUE($G15&amp;""),0)=1,"sesion","sesiones")&amp;""))))))&amp;""),(IF(ISNUMBER(IF(IFERROR(VALUE($G15&amp;""),0)=1,"Falta","Faltan")),IF(IF(IFERROR(VALUE($G15&amp;""),0)=1,"Falta","Faltan")=0,"0",ROUND(IF(IFERROR(VALUE($G15&amp;""),0)=1,"Falta","Faltan"),9-INT(LOG10(ABS(IF(IFERROR(VALUE($G15&amp;""),0)=1,"Falta","Faltan")))))&amp;""),IF(IFERROR(VALUE($G15&amp;""),0)=1,"Falta","Faltan")&amp;"")&amp;" "&amp;IF(ISNUMBER($G15),IF($G15=0,"0",ROUND($G15,9-INT(LOG10(ABS($G15))))&amp;""),$G15&amp;"")&amp;" "&amp;IF(ISNUMBER(IF(IFERROR(VALUE($G15&amp;""),0)=1,"sesion","sesiones")),IF(IF(IFERROR(VALUE($G15&amp;""),0)=1,"sesion","sesiones")=0,"0",ROUND(IF(IFERROR(VALUE($G15&amp;""),0)=1,"sesion","sesiones"),9-INT(LOG10(ABS(IF(IFERROR(VALUE($G15&amp;""),0)=1,"sesion","sesiones")))))&amp;""),IF(IFERROR(VALUE($G15&amp;""),0)=1,"sesion","sesiones")&amp;""))&amp;""),"")&amp;IF((IFERROR(VALUE($G15&amp;""),0)&lt;0),"; "&amp;IF(ISNUMBER((IF(ISNUMBER(IF(IFERROR(VALUE((0-IFERROR(VALUE($G15&amp;""),0))&amp;""),0)=1,"Sobra","Sobran")),IF(IF(IFERROR(VALUE((0-IFERROR(VALUE($G15&amp;""),0))&amp;""),0)=1,"Sobra","Sobran")=0,"0",ROUND(IF(IFERROR(VALUE((0-IFERROR(VALUE($G15&amp;""),0))&amp;""),0)=1,"Sobra","Sobran"),9-INT(LOG10(ABS(IF(IFERROR(VALUE((0-IFERROR(VALUE($G15&amp;""),0))&amp;""),0)=1,"Sobra","Sobran")))))&amp;""),IF(IFERROR(VALUE((0-IFERROR(VALUE($G15&amp;""),0))&amp;""),0)=1,"Sobra","Sobran")&amp;"")&amp;" "&amp;IF(ISNUMBER((0-IFERROR(VALUE($G15&amp;""),0))),IF((0-IFERROR(VALUE($G15&amp;""),0))=0,"0",ROUND((0-IFERROR(VALUE($G15&amp;""),0)),9-INT(LOG10(ABS((0-IFERROR(VALUE($G15&amp;""),0))))))&amp;""),(0-IFERROR(VALUE($G15&amp;""),0))&amp;"")&amp;" "&amp;IF(ISNUMBER(IF(IFERROR(VALUE((0-IFERROR(VALUE($G15&amp;""),0))&amp;""),0)=1,"sesion","sesiones")),IF(IF(IFERROR(VALUE((0-IFERROR(VALUE($G15&amp;""),0))&amp;""),0)=1,"sesion","sesiones")=0,"0",ROUND(IF(IFERROR(VALUE((0-IFERROR(VALUE($G15&amp;""),0))&amp;""),0)=1,"sesion","sesiones"),9-INT(LOG10(ABS(IF(IFERROR(VALUE((0-IFERROR(VALUE($G15&amp;""),0))&amp;""),0)=1,"sesion","sesiones")))))&amp;""),IF(IFERROR(VALUE((0-IFERROR(VALUE($G15&amp;""),0))&amp;""),0)=1,"sesion","sesiones")&amp;""))),IF((IF(ISNUMBER(IF(IFERROR(VALUE((0-IFERROR(VALUE($G15&amp;""),0))&amp;""),0)=1,"Sobra","Sobran")),IF(IF(IFERROR(VALUE((0-IFERROR(VALUE($G15&amp;""),0))&amp;""),0)=1,"Sobra","Sobran")=0,"0",ROUND(IF(IFERROR(VALUE((0-IFERROR(VALUE($G15&amp;""),0))&amp;""),0)=1,"Sobra","Sobran"),9-INT(LOG10(ABS(IF(IFERROR(VALUE((0-IFERROR(VALUE($G15&amp;""),0))&amp;""),0)=1,"Sobra","Sobran")))))&amp;""),IF(IFERROR(VALUE((0-IFERROR(VALUE($G15&amp;""),0))&amp;""),0)=1,"Sobra","Sobran")&amp;"")&amp;" "&amp;IF(ISNUMBER((0-IFERROR(VALUE($G15&amp;""),0))),IF((0-IFERROR(VALUE($G15&amp;""),0))=0,"0",ROUND((0-IFERROR(VALUE($G15&amp;""),0)),9-INT(LOG10(ABS((0-IFERROR(VALUE($G15&amp;""),0))))))&amp;""),(0-IFERROR(VALUE($G15&amp;""),0))&amp;"")&amp;" "&amp;IF(ISNUMBER(IF(IFERROR(VALUE((0-IFERROR(VALUE($G15&amp;""),0))&amp;""),0)=1,"sesion","sesiones")),IF(IF(IFERROR(VALUE((0-IFERROR(VALUE($G15&amp;""),0))&amp;""),0)=1,"sesion","sesiones")=0,"0",ROUND(IF(IFERROR(VALUE((0-IFERROR(VALUE($G15&amp;""),0))&amp;""),0)=1,"sesion","sesiones"),9-INT(LOG10(ABS(IF(IFERROR(VALUE((0-IFERROR(VALUE($G15&amp;""),0))&amp;""),0)=1,"sesion","sesiones")))))&amp;""),IF(IFERROR(VALUE((0-IFERROR(VALUE($G15&amp;""),0))&amp;""),0)=1,"sesion","sesiones")&amp;""))=0,"0",ROUND((IF(ISNUMBER(IF(IFERROR(VALUE((0-IFERROR(VALUE($G15&amp;""),0))&amp;""),0)=1,"Sobra","Sobran")),IF(IF(IFERROR(VALUE((0-IFERROR(VALUE($G15&amp;""),0))&amp;""),0)=1,"Sobra","Sobran")=0,"0",ROUND(IF(IFERROR(VALUE((0-IFERROR(VALUE($G15&amp;""),0))&amp;""),0)=1,"Sobra","Sobran"),9-INT(LOG10(ABS(IF(IFERROR(VALUE((0-IFERROR(VALUE($G15&amp;""),0))&amp;""),0)=1,"Sobra","Sobran")))))&amp;""),IF(IFERROR(VALUE((0-IFERROR(VALUE($G15&amp;""),0))&amp;""),0)=1,"Sobra","Sobran")&amp;"")&amp;" "&amp;IF(ISNUMBER((0-IFERROR(VALUE($G15&amp;""),0))),IF((0-IFERROR(VALUE($G15&amp;""),0))=0,"0",ROUND((0-IFERROR(VALUE($G15&amp;""),0)),9-INT(LOG10(ABS((0-IFERROR(VALUE($G15&amp;""),0))))))&amp;""),(0-IFERROR(VALUE($G15&amp;""),0))&amp;"")&amp;" "&amp;IF(ISNUMBER(IF(IFERROR(VALUE((0-IFERROR(VALUE($G15&amp;""),0))&amp;""),0)=1,"sesion","sesiones")),IF(IF(IFERROR(VALUE((0-IFERROR(VALUE($G15&amp;""),0))&amp;""),0)=1,"sesion","sesiones")=0,"0",ROUND(IF(IFERROR(VALUE((0-IFERROR(VALUE($G15&amp;""),0))&amp;""),0)=1,"sesion","sesiones"),9-INT(LOG10(ABS(IF(IFERROR(VALUE((0-IFERROR(VALUE($G15&amp;""),0))&amp;""),0)=1,"sesion","sesiones")))))&amp;""),IF(IFERROR(VALUE((0-IFERROR(VALUE($G15&amp;""),0))&amp;""),0)=1,"sesion","sesiones")&amp;"")),9-INT(LOG10(ABS((IF(ISNUMBER(IF(IFERROR(VALUE((0-IFERROR(VALUE($G15&amp;""),0))&amp;""),0)=1,"Sobra","Sobran")),IF(IF(IFERROR(VALUE((0-IFERROR(VALUE($G15&amp;""),0))&amp;""),0)=1,"Sobra","Sobran")=0,"0",ROUND(IF(IFERROR(VALUE((0-IFERROR(VALUE($G15&amp;""),0))&amp;""),0)=1,"Sobra","Sobran"),9-INT(LOG10(ABS(IF(IFERROR(VALUE((0-IFERROR(VALUE($G15&amp;""),0))&amp;""),0)=1,"Sobra","Sobran")))))&amp;""),IF(IFERROR(VALUE((0-IFERROR(VALUE($G15&amp;""),0))&amp;""),0)=1,"Sobra","Sobran")&amp;"")&amp;" "&amp;IF(ISNUMBER((0-IFERROR(VALUE($G15&amp;""),0))),IF((0-IFERROR(VALUE($G15&amp;""),0))=0,"0",ROUND((0-IFERROR(VALUE($G15&amp;""),0)),9-INT(LOG10(ABS((0-IFERROR(VALUE($G15&amp;""),0))))))&amp;""),(0-IFERROR(VALUE($G15&amp;""),0))&amp;"")&amp;" "&amp;IF(ISNUMBER(IF(IFERROR(VALUE((0-IFERROR(VALUE($G15&amp;""),0))&amp;""),0)=1,"sesion","sesiones")),IF(IF(IFERROR(VALUE((0-IFERROR(VALUE($G15&amp;""),0))&amp;""),0)=1,"sesion","sesiones")=0,"0",ROUND(IF(IFERROR(VALUE((0-IFERROR(VALUE($G15&amp;""),0))&amp;""),0)=1,"sesion","sesiones"),9-INT(LOG10(ABS(IF(IFERROR(VALUE((0-IFERROR(VALUE($G15&amp;""),0))&amp;""),0)=1,"sesion","sesiones")))))&amp;""),IF(IFERROR(VALUE((0-IFERROR(VALUE($G15&amp;""),0))&amp;""),0)=1,"sesion","sesiones")&amp;""))))))&amp;""),(IF(ISNUMBER(IF(IFERROR(VALUE((0-IFERROR(VALUE($G15&amp;""),0))&amp;""),0)=1,"Sobra","Sobran")),IF(IF(IFERROR(VALUE((0-IFERROR(VALUE($G15&amp;""),0))&amp;""),0)=1,"Sobra","Sobran")=0,"0",ROUND(IF(IFERROR(VALUE((0-IFERROR(VALUE($G15&amp;""),0))&amp;""),0)=1,"Sobra","Sobran"),9-INT(LOG10(ABS(IF(IFERROR(VALUE((0-IFERROR(VALUE($G15&amp;""),0))&amp;""),0)=1,"Sobra","Sobran")))))&amp;""),IF(IFERROR(VALUE((0-IFERROR(VALUE($G15&amp;""),0))&amp;""),0)=1,"Sobra","Sobran")&amp;"")&amp;" "&amp;IF(ISNUMBER((0-IFERROR(VALUE($G15&amp;""),0))),IF((0-IFERROR(VALUE($G15&amp;""),0))=0,"0",ROUND((0-IFERROR(VALUE($G15&amp;""),0)),9-INT(LOG10(ABS((0-IFERROR(VALUE($G15&amp;""),0))))))&amp;""),(0-IFERROR(VALUE($G15&amp;""),0))&amp;"")&amp;" "&amp;IF(ISNUMBER(IF(IFERROR(VALUE((0-IFERROR(VALUE($G15&amp;""),0))&amp;""),0)=1,"sesion","sesiones")),IF(IF(IFERROR(VALUE((0-IFERROR(VALUE($G15&amp;""),0))&amp;""),0)=1,"sesion","sesiones")=0,"0",ROUND(IF(IFERROR(VALUE((0-IFERROR(VALUE($G15&amp;""),0))&amp;""),0)=1,"sesion","sesiones"),9-INT(LOG10(ABS(IF(IFERROR(VALUE((0-IFERROR(VALUE($G15&amp;""),0))&amp;""),0)=1,"sesion","sesiones")))))&amp;""),IF(IFERROR(VALUE((0-IFERROR(VALUE($G15&amp;""),0))&amp;""),0)=1,"sesion","sesiones")&amp;""))&amp;""),""),3,32767)</f>
        <v/>
      </c>
      <c r="I15" s="3">
        <f>IF(OR((IFERROR(VALUE($G15&amp;""),0)&gt;0),(IFERROR(VALUE($G15&amp;""),0)&lt;0)),3,0)</f>
        <v/>
      </c>
    </row>
    <row r="16">
      <c r="A16" s="3" t="inlineStr">
        <is>
          <t>10-3</t>
        </is>
      </c>
      <c r="B16" s="3" t="inlineStr">
        <is>
          <t>CA</t>
        </is>
      </c>
      <c r="C16" s="3" t="inlineStr">
        <is>
          <t>Profesor de CA en 10-3</t>
        </is>
      </c>
      <c r="D16" s="3">
        <f>IF(ISNA(MATCH(1,INDEX(EXACT('Asignaturas'!$A$4:$A$18,$B16)*1,0),0)),"",IF(ISBLANK(INDEX('Asignaturas'!$B$4:$B$18,MATCH(1,INDEX(EXACT('Asignaturas'!$A$4:$A$18,$B16)*1,0),0))),"",INDEX('Asignaturas'!$B$4:$B$18,MATCH(1,INDEX(EXACT('Asignaturas'!$A$4:$A$18,$B16)*1,0),0))))</f>
        <v/>
      </c>
      <c r="E16" s="3">
        <f>IF(ISNA(MATCH(1,INDEX(EXACT('Asignaturas'!$A$4:$A$18,$B16)*1,0),0)),0,IF(ISBLANK(INDEX('Asignaturas'!$C$4:$C$18,MATCH(1,INDEX(EXACT('Asignaturas'!$A$4:$A$18,$B16)*1,0),0))),"",INDEX('Asignaturas'!$C$4:$C$18,MATCH(1,INDEX(EXACT('Asignaturas'!$A$4:$A$18,$B16)*1,0),0))))</f>
        <v/>
      </c>
      <c r="F16" s="3">
        <f>SUMPRODUCT(1*((EXACT('Casillas del horario'!$A$4:$A$73,$A16)))*((EXACT('Casillas del horario'!$D$4:$D$73,$B16))))</f>
        <v/>
      </c>
      <c r="G16" s="3">
        <f>(IFERROR(VALUE($E16&amp;""),0)-IFERROR(VALUE($F16&amp;""),0))</f>
        <v/>
      </c>
      <c r="H16" s="3">
        <f>MID(IF((IFERROR(VALUE($G16&amp;""),0)&gt;0),"; "&amp;IF(ISNUMBER((IF(ISNUMBER(IF(IFERROR(VALUE($G16&amp;""),0)=1,"Falta","Faltan")),IF(IF(IFERROR(VALUE($G16&amp;""),0)=1,"Falta","Faltan")=0,"0",ROUND(IF(IFERROR(VALUE($G16&amp;""),0)=1,"Falta","Faltan"),9-INT(LOG10(ABS(IF(IFERROR(VALUE($G16&amp;""),0)=1,"Falta","Faltan")))))&amp;""),IF(IFERROR(VALUE($G16&amp;""),0)=1,"Falta","Faltan")&amp;"")&amp;" "&amp;IF(ISNUMBER($G16),IF($G16=0,"0",ROUND($G16,9-INT(LOG10(ABS($G16))))&amp;""),$G16&amp;"")&amp;" "&amp;IF(ISNUMBER(IF(IFERROR(VALUE($G16&amp;""),0)=1,"sesion","sesiones")),IF(IF(IFERROR(VALUE($G16&amp;""),0)=1,"sesion","sesiones")=0,"0",ROUND(IF(IFERROR(VALUE($G16&amp;""),0)=1,"sesion","sesiones"),9-INT(LOG10(ABS(IF(IFERROR(VALUE($G16&amp;""),0)=1,"sesion","sesiones")))))&amp;""),IF(IFERROR(VALUE($G16&amp;""),0)=1,"sesion","sesiones")&amp;""))),IF((IF(ISNUMBER(IF(IFERROR(VALUE($G16&amp;""),0)=1,"Falta","Faltan")),IF(IF(IFERROR(VALUE($G16&amp;""),0)=1,"Falta","Faltan")=0,"0",ROUND(IF(IFERROR(VALUE($G16&amp;""),0)=1,"Falta","Faltan"),9-INT(LOG10(ABS(IF(IFERROR(VALUE($G16&amp;""),0)=1,"Falta","Faltan")))))&amp;""),IF(IFERROR(VALUE($G16&amp;""),0)=1,"Falta","Faltan")&amp;"")&amp;" "&amp;IF(ISNUMBER($G16),IF($G16=0,"0",ROUND($G16,9-INT(LOG10(ABS($G16))))&amp;""),$G16&amp;"")&amp;" "&amp;IF(ISNUMBER(IF(IFERROR(VALUE($G16&amp;""),0)=1,"sesion","sesiones")),IF(IF(IFERROR(VALUE($G16&amp;""),0)=1,"sesion","sesiones")=0,"0",ROUND(IF(IFERROR(VALUE($G16&amp;""),0)=1,"sesion","sesiones"),9-INT(LOG10(ABS(IF(IFERROR(VALUE($G16&amp;""),0)=1,"sesion","sesiones")))))&amp;""),IF(IFERROR(VALUE($G16&amp;""),0)=1,"sesion","sesiones")&amp;""))=0,"0",ROUND((IF(ISNUMBER(IF(IFERROR(VALUE($G16&amp;""),0)=1,"Falta","Faltan")),IF(IF(IFERROR(VALUE($G16&amp;""),0)=1,"Falta","Faltan")=0,"0",ROUND(IF(IFERROR(VALUE($G16&amp;""),0)=1,"Falta","Faltan"),9-INT(LOG10(ABS(IF(IFERROR(VALUE($G16&amp;""),0)=1,"Falta","Faltan")))))&amp;""),IF(IFERROR(VALUE($G16&amp;""),0)=1,"Falta","Faltan")&amp;"")&amp;" "&amp;IF(ISNUMBER($G16),IF($G16=0,"0",ROUND($G16,9-INT(LOG10(ABS($G16))))&amp;""),$G16&amp;"")&amp;" "&amp;IF(ISNUMBER(IF(IFERROR(VALUE($G16&amp;""),0)=1,"sesion","sesiones")),IF(IF(IFERROR(VALUE($G16&amp;""),0)=1,"sesion","sesiones")=0,"0",ROUND(IF(IFERROR(VALUE($G16&amp;""),0)=1,"sesion","sesiones"),9-INT(LOG10(ABS(IF(IFERROR(VALUE($G16&amp;""),0)=1,"sesion","sesiones")))))&amp;""),IF(IFERROR(VALUE($G16&amp;""),0)=1,"sesion","sesiones")&amp;"")),9-INT(LOG10(ABS((IF(ISNUMBER(IF(IFERROR(VALUE($G16&amp;""),0)=1,"Falta","Faltan")),IF(IF(IFERROR(VALUE($G16&amp;""),0)=1,"Falta","Faltan")=0,"0",ROUND(IF(IFERROR(VALUE($G16&amp;""),0)=1,"Falta","Faltan"),9-INT(LOG10(ABS(IF(IFERROR(VALUE($G16&amp;""),0)=1,"Falta","Faltan")))))&amp;""),IF(IFERROR(VALUE($G16&amp;""),0)=1,"Falta","Faltan")&amp;"")&amp;" "&amp;IF(ISNUMBER($G16),IF($G16=0,"0",ROUND($G16,9-INT(LOG10(ABS($G16))))&amp;""),$G16&amp;"")&amp;" "&amp;IF(ISNUMBER(IF(IFERROR(VALUE($G16&amp;""),0)=1,"sesion","sesiones")),IF(IF(IFERROR(VALUE($G16&amp;""),0)=1,"sesion","sesiones")=0,"0",ROUND(IF(IFERROR(VALUE($G16&amp;""),0)=1,"sesion","sesiones"),9-INT(LOG10(ABS(IF(IFERROR(VALUE($G16&amp;""),0)=1,"sesion","sesiones")))))&amp;""),IF(IFERROR(VALUE($G16&amp;""),0)=1,"sesion","sesiones")&amp;""))))))&amp;""),(IF(ISNUMBER(IF(IFERROR(VALUE($G16&amp;""),0)=1,"Falta","Faltan")),IF(IF(IFERROR(VALUE($G16&amp;""),0)=1,"Falta","Faltan")=0,"0",ROUND(IF(IFERROR(VALUE($G16&amp;""),0)=1,"Falta","Faltan"),9-INT(LOG10(ABS(IF(IFERROR(VALUE($G16&amp;""),0)=1,"Falta","Faltan")))))&amp;""),IF(IFERROR(VALUE($G16&amp;""),0)=1,"Falta","Faltan")&amp;"")&amp;" "&amp;IF(ISNUMBER($G16),IF($G16=0,"0",ROUND($G16,9-INT(LOG10(ABS($G16))))&amp;""),$G16&amp;"")&amp;" "&amp;IF(ISNUMBER(IF(IFERROR(VALUE($G16&amp;""),0)=1,"sesion","sesiones")),IF(IF(IFERROR(VALUE($G16&amp;""),0)=1,"sesion","sesiones")=0,"0",ROUND(IF(IFERROR(VALUE($G16&amp;""),0)=1,"sesion","sesiones"),9-INT(LOG10(ABS(IF(IFERROR(VALUE($G16&amp;""),0)=1,"sesion","sesiones")))))&amp;""),IF(IFERROR(VALUE($G16&amp;""),0)=1,"sesion","sesiones")&amp;""))&amp;""),"")&amp;IF((IFERROR(VALUE($G16&amp;""),0)&lt;0),"; "&amp;IF(ISNUMBER((IF(ISNUMBER(IF(IFERROR(VALUE((0-IFERROR(VALUE($G16&amp;""),0))&amp;""),0)=1,"Sobra","Sobran")),IF(IF(IFERROR(VALUE((0-IFERROR(VALUE($G16&amp;""),0))&amp;""),0)=1,"Sobra","Sobran")=0,"0",ROUND(IF(IFERROR(VALUE((0-IFERROR(VALUE($G16&amp;""),0))&amp;""),0)=1,"Sobra","Sobran"),9-INT(LOG10(ABS(IF(IFERROR(VALUE((0-IFERROR(VALUE($G16&amp;""),0))&amp;""),0)=1,"Sobra","Sobran")))))&amp;""),IF(IFERROR(VALUE((0-IFERROR(VALUE($G16&amp;""),0))&amp;""),0)=1,"Sobra","Sobran")&amp;"")&amp;" "&amp;IF(ISNUMBER((0-IFERROR(VALUE($G16&amp;""),0))),IF((0-IFERROR(VALUE($G16&amp;""),0))=0,"0",ROUND((0-IFERROR(VALUE($G16&amp;""),0)),9-INT(LOG10(ABS((0-IFERROR(VALUE($G16&amp;""),0))))))&amp;""),(0-IFERROR(VALUE($G16&amp;""),0))&amp;"")&amp;" "&amp;IF(ISNUMBER(IF(IFERROR(VALUE((0-IFERROR(VALUE($G16&amp;""),0))&amp;""),0)=1,"sesion","sesiones")),IF(IF(IFERROR(VALUE((0-IFERROR(VALUE($G16&amp;""),0))&amp;""),0)=1,"sesion","sesiones")=0,"0",ROUND(IF(IFERROR(VALUE((0-IFERROR(VALUE($G16&amp;""),0))&amp;""),0)=1,"sesion","sesiones"),9-INT(LOG10(ABS(IF(IFERROR(VALUE((0-IFERROR(VALUE($G16&amp;""),0))&amp;""),0)=1,"sesion","sesiones")))))&amp;""),IF(IFERROR(VALUE((0-IFERROR(VALUE($G16&amp;""),0))&amp;""),0)=1,"sesion","sesiones")&amp;""))),IF((IF(ISNUMBER(IF(IFERROR(VALUE((0-IFERROR(VALUE($G16&amp;""),0))&amp;""),0)=1,"Sobra","Sobran")),IF(IF(IFERROR(VALUE((0-IFERROR(VALUE($G16&amp;""),0))&amp;""),0)=1,"Sobra","Sobran")=0,"0",ROUND(IF(IFERROR(VALUE((0-IFERROR(VALUE($G16&amp;""),0))&amp;""),0)=1,"Sobra","Sobran"),9-INT(LOG10(ABS(IF(IFERROR(VALUE((0-IFERROR(VALUE($G16&amp;""),0))&amp;""),0)=1,"Sobra","Sobran")))))&amp;""),IF(IFERROR(VALUE((0-IFERROR(VALUE($G16&amp;""),0))&amp;""),0)=1,"Sobra","Sobran")&amp;"")&amp;" "&amp;IF(ISNUMBER((0-IFERROR(VALUE($G16&amp;""),0))),IF((0-IFERROR(VALUE($G16&amp;""),0))=0,"0",ROUND((0-IFERROR(VALUE($G16&amp;""),0)),9-INT(LOG10(ABS((0-IFERROR(VALUE($G16&amp;""),0))))))&amp;""),(0-IFERROR(VALUE($G16&amp;""),0))&amp;"")&amp;" "&amp;IF(ISNUMBER(IF(IFERROR(VALUE((0-IFERROR(VALUE($G16&amp;""),0))&amp;""),0)=1,"sesion","sesiones")),IF(IF(IFERROR(VALUE((0-IFERROR(VALUE($G16&amp;""),0))&amp;""),0)=1,"sesion","sesiones")=0,"0",ROUND(IF(IFERROR(VALUE((0-IFERROR(VALUE($G16&amp;""),0))&amp;""),0)=1,"sesion","sesiones"),9-INT(LOG10(ABS(IF(IFERROR(VALUE((0-IFERROR(VALUE($G16&amp;""),0))&amp;""),0)=1,"sesion","sesiones")))))&amp;""),IF(IFERROR(VALUE((0-IFERROR(VALUE($G16&amp;""),0))&amp;""),0)=1,"sesion","sesiones")&amp;""))=0,"0",ROUND((IF(ISNUMBER(IF(IFERROR(VALUE((0-IFERROR(VALUE($G16&amp;""),0))&amp;""),0)=1,"Sobra","Sobran")),IF(IF(IFERROR(VALUE((0-IFERROR(VALUE($G16&amp;""),0))&amp;""),0)=1,"Sobra","Sobran")=0,"0",ROUND(IF(IFERROR(VALUE((0-IFERROR(VALUE($G16&amp;""),0))&amp;""),0)=1,"Sobra","Sobran"),9-INT(LOG10(ABS(IF(IFERROR(VALUE((0-IFERROR(VALUE($G16&amp;""),0))&amp;""),0)=1,"Sobra","Sobran")))))&amp;""),IF(IFERROR(VALUE((0-IFERROR(VALUE($G16&amp;""),0))&amp;""),0)=1,"Sobra","Sobran")&amp;"")&amp;" "&amp;IF(ISNUMBER((0-IFERROR(VALUE($G16&amp;""),0))),IF((0-IFERROR(VALUE($G16&amp;""),0))=0,"0",ROUND((0-IFERROR(VALUE($G16&amp;""),0)),9-INT(LOG10(ABS((0-IFERROR(VALUE($G16&amp;""),0))))))&amp;""),(0-IFERROR(VALUE($G16&amp;""),0))&amp;"")&amp;" "&amp;IF(ISNUMBER(IF(IFERROR(VALUE((0-IFERROR(VALUE($G16&amp;""),0))&amp;""),0)=1,"sesion","sesiones")),IF(IF(IFERROR(VALUE((0-IFERROR(VALUE($G16&amp;""),0))&amp;""),0)=1,"sesion","sesiones")=0,"0",ROUND(IF(IFERROR(VALUE((0-IFERROR(VALUE($G16&amp;""),0))&amp;""),0)=1,"sesion","sesiones"),9-INT(LOG10(ABS(IF(IFERROR(VALUE((0-IFERROR(VALUE($G16&amp;""),0))&amp;""),0)=1,"sesion","sesiones")))))&amp;""),IF(IFERROR(VALUE((0-IFERROR(VALUE($G16&amp;""),0))&amp;""),0)=1,"sesion","sesiones")&amp;"")),9-INT(LOG10(ABS((IF(ISNUMBER(IF(IFERROR(VALUE((0-IFERROR(VALUE($G16&amp;""),0))&amp;""),0)=1,"Sobra","Sobran")),IF(IF(IFERROR(VALUE((0-IFERROR(VALUE($G16&amp;""),0))&amp;""),0)=1,"Sobra","Sobran")=0,"0",ROUND(IF(IFERROR(VALUE((0-IFERROR(VALUE($G16&amp;""),0))&amp;""),0)=1,"Sobra","Sobran"),9-INT(LOG10(ABS(IF(IFERROR(VALUE((0-IFERROR(VALUE($G16&amp;""),0))&amp;""),0)=1,"Sobra","Sobran")))))&amp;""),IF(IFERROR(VALUE((0-IFERROR(VALUE($G16&amp;""),0))&amp;""),0)=1,"Sobra","Sobran")&amp;"")&amp;" "&amp;IF(ISNUMBER((0-IFERROR(VALUE($G16&amp;""),0))),IF((0-IFERROR(VALUE($G16&amp;""),0))=0,"0",ROUND((0-IFERROR(VALUE($G16&amp;""),0)),9-INT(LOG10(ABS((0-IFERROR(VALUE($G16&amp;""),0))))))&amp;""),(0-IFERROR(VALUE($G16&amp;""),0))&amp;"")&amp;" "&amp;IF(ISNUMBER(IF(IFERROR(VALUE((0-IFERROR(VALUE($G16&amp;""),0))&amp;""),0)=1,"sesion","sesiones")),IF(IF(IFERROR(VALUE((0-IFERROR(VALUE($G16&amp;""),0))&amp;""),0)=1,"sesion","sesiones")=0,"0",ROUND(IF(IFERROR(VALUE((0-IFERROR(VALUE($G16&amp;""),0))&amp;""),0)=1,"sesion","sesiones"),9-INT(LOG10(ABS(IF(IFERROR(VALUE((0-IFERROR(VALUE($G16&amp;""),0))&amp;""),0)=1,"sesion","sesiones")))))&amp;""),IF(IFERROR(VALUE((0-IFERROR(VALUE($G16&amp;""),0))&amp;""),0)=1,"sesion","sesiones")&amp;""))))))&amp;""),(IF(ISNUMBER(IF(IFERROR(VALUE((0-IFERROR(VALUE($G16&amp;""),0))&amp;""),0)=1,"Sobra","Sobran")),IF(IF(IFERROR(VALUE((0-IFERROR(VALUE($G16&amp;""),0))&amp;""),0)=1,"Sobra","Sobran")=0,"0",ROUND(IF(IFERROR(VALUE((0-IFERROR(VALUE($G16&amp;""),0))&amp;""),0)=1,"Sobra","Sobran"),9-INT(LOG10(ABS(IF(IFERROR(VALUE((0-IFERROR(VALUE($G16&amp;""),0))&amp;""),0)=1,"Sobra","Sobran")))))&amp;""),IF(IFERROR(VALUE((0-IFERROR(VALUE($G16&amp;""),0))&amp;""),0)=1,"Sobra","Sobran")&amp;"")&amp;" "&amp;IF(ISNUMBER((0-IFERROR(VALUE($G16&amp;""),0))),IF((0-IFERROR(VALUE($G16&amp;""),0))=0,"0",ROUND((0-IFERROR(VALUE($G16&amp;""),0)),9-INT(LOG10(ABS((0-IFERROR(VALUE($G16&amp;""),0))))))&amp;""),(0-IFERROR(VALUE($G16&amp;""),0))&amp;"")&amp;" "&amp;IF(ISNUMBER(IF(IFERROR(VALUE((0-IFERROR(VALUE($G16&amp;""),0))&amp;""),0)=1,"sesion","sesiones")),IF(IF(IFERROR(VALUE((0-IFERROR(VALUE($G16&amp;""),0))&amp;""),0)=1,"sesion","sesiones")=0,"0",ROUND(IF(IFERROR(VALUE((0-IFERROR(VALUE($G16&amp;""),0))&amp;""),0)=1,"sesion","sesiones"),9-INT(LOG10(ABS(IF(IFERROR(VALUE((0-IFERROR(VALUE($G16&amp;""),0))&amp;""),0)=1,"sesion","sesiones")))))&amp;""),IF(IFERROR(VALUE((0-IFERROR(VALUE($G16&amp;""),0))&amp;""),0)=1,"sesion","sesiones")&amp;""))&amp;""),""),3,32767)</f>
        <v/>
      </c>
      <c r="I16" s="3">
        <f>IF(OR((IFERROR(VALUE($G16&amp;""),0)&gt;0),(IFERROR(VALUE($G16&amp;""),0)&lt;0)),3,0)</f>
        <v/>
      </c>
    </row>
    <row r="17">
      <c r="A17" s="3" t="inlineStr">
        <is>
          <t>10-3</t>
        </is>
      </c>
      <c r="B17" s="3" t="inlineStr">
        <is>
          <t>RD</t>
        </is>
      </c>
      <c r="C17" s="3" t="inlineStr">
        <is>
          <t>Profesor de RD en 10-3</t>
        </is>
      </c>
      <c r="D17" s="3">
        <f>IF(ISNA(MATCH(1,INDEX(EXACT('Asignaturas'!$A$4:$A$18,$B17)*1,0),0)),"",IF(ISBLANK(INDEX('Asignaturas'!$B$4:$B$18,MATCH(1,INDEX(EXACT('Asignaturas'!$A$4:$A$18,$B17)*1,0),0))),"",INDEX('Asignaturas'!$B$4:$B$18,MATCH(1,INDEX(EXACT('Asignaturas'!$A$4:$A$18,$B17)*1,0),0))))</f>
        <v/>
      </c>
      <c r="E17" s="3">
        <f>IF(ISNA(MATCH(1,INDEX(EXACT('Asignaturas'!$A$4:$A$18,$B17)*1,0),0)),0,IF(ISBLANK(INDEX('Asignaturas'!$C$4:$C$18,MATCH(1,INDEX(EXACT('Asignaturas'!$A$4:$A$18,$B17)*1,0),0))),"",INDEX('Asignaturas'!$C$4:$C$18,MATCH(1,INDEX(EXACT('Asignaturas'!$A$4:$A$18,$B17)*1,0),0))))</f>
        <v/>
      </c>
      <c r="F17" s="3">
        <f>SUMPRODUCT(1*((EXACT('Casillas del horario'!$A$4:$A$73,$A17)))*((EXACT('Casillas del horario'!$D$4:$D$73,$B17))))</f>
        <v/>
      </c>
      <c r="G17" s="3">
        <f>(IFERROR(VALUE($E17&amp;""),0)-IFERROR(VALUE($F17&amp;""),0))</f>
        <v/>
      </c>
      <c r="H17" s="3">
        <f>MID(IF((IFERROR(VALUE($G17&amp;""),0)&gt;0),"; "&amp;IF(ISNUMBER((IF(ISNUMBER(IF(IFERROR(VALUE($G17&amp;""),0)=1,"Falta","Faltan")),IF(IF(IFERROR(VALUE($G17&amp;""),0)=1,"Falta","Faltan")=0,"0",ROUND(IF(IFERROR(VALUE($G17&amp;""),0)=1,"Falta","Faltan"),9-INT(LOG10(ABS(IF(IFERROR(VALUE($G17&amp;""),0)=1,"Falta","Faltan")))))&amp;""),IF(IFERROR(VALUE($G17&amp;""),0)=1,"Falta","Faltan")&amp;"")&amp;" "&amp;IF(ISNUMBER($G17),IF($G17=0,"0",ROUND($G17,9-INT(LOG10(ABS($G17))))&amp;""),$G17&amp;"")&amp;" "&amp;IF(ISNUMBER(IF(IFERROR(VALUE($G17&amp;""),0)=1,"sesion","sesiones")),IF(IF(IFERROR(VALUE($G17&amp;""),0)=1,"sesion","sesiones")=0,"0",ROUND(IF(IFERROR(VALUE($G17&amp;""),0)=1,"sesion","sesiones"),9-INT(LOG10(ABS(IF(IFERROR(VALUE($G17&amp;""),0)=1,"sesion","sesiones")))))&amp;""),IF(IFERROR(VALUE($G17&amp;""),0)=1,"sesion","sesiones")&amp;""))),IF((IF(ISNUMBER(IF(IFERROR(VALUE($G17&amp;""),0)=1,"Falta","Faltan")),IF(IF(IFERROR(VALUE($G17&amp;""),0)=1,"Falta","Faltan")=0,"0",ROUND(IF(IFERROR(VALUE($G17&amp;""),0)=1,"Falta","Faltan"),9-INT(LOG10(ABS(IF(IFERROR(VALUE($G17&amp;""),0)=1,"Falta","Faltan")))))&amp;""),IF(IFERROR(VALUE($G17&amp;""),0)=1,"Falta","Faltan")&amp;"")&amp;" "&amp;IF(ISNUMBER($G17),IF($G17=0,"0",ROUND($G17,9-INT(LOG10(ABS($G17))))&amp;""),$G17&amp;"")&amp;" "&amp;IF(ISNUMBER(IF(IFERROR(VALUE($G17&amp;""),0)=1,"sesion","sesiones")),IF(IF(IFERROR(VALUE($G17&amp;""),0)=1,"sesion","sesiones")=0,"0",ROUND(IF(IFERROR(VALUE($G17&amp;""),0)=1,"sesion","sesiones"),9-INT(LOG10(ABS(IF(IFERROR(VALUE($G17&amp;""),0)=1,"sesion","sesiones")))))&amp;""),IF(IFERROR(VALUE($G17&amp;""),0)=1,"sesion","sesiones")&amp;""))=0,"0",ROUND((IF(ISNUMBER(IF(IFERROR(VALUE($G17&amp;""),0)=1,"Falta","Faltan")),IF(IF(IFERROR(VALUE($G17&amp;""),0)=1,"Falta","Faltan")=0,"0",ROUND(IF(IFERROR(VALUE($G17&amp;""),0)=1,"Falta","Faltan"),9-INT(LOG10(ABS(IF(IFERROR(VALUE($G17&amp;""),0)=1,"Falta","Faltan")))))&amp;""),IF(IFERROR(VALUE($G17&amp;""),0)=1,"Falta","Faltan")&amp;"")&amp;" "&amp;IF(ISNUMBER($G17),IF($G17=0,"0",ROUND($G17,9-INT(LOG10(ABS($G17))))&amp;""),$G17&amp;"")&amp;" "&amp;IF(ISNUMBER(IF(IFERROR(VALUE($G17&amp;""),0)=1,"sesion","sesiones")),IF(IF(IFERROR(VALUE($G17&amp;""),0)=1,"sesion","sesiones")=0,"0",ROUND(IF(IFERROR(VALUE($G17&amp;""),0)=1,"sesion","sesiones"),9-INT(LOG10(ABS(IF(IFERROR(VALUE($G17&amp;""),0)=1,"sesion","sesiones")))))&amp;""),IF(IFERROR(VALUE($G17&amp;""),0)=1,"sesion","sesiones")&amp;"")),9-INT(LOG10(ABS((IF(ISNUMBER(IF(IFERROR(VALUE($G17&amp;""),0)=1,"Falta","Faltan")),IF(IF(IFERROR(VALUE($G17&amp;""),0)=1,"Falta","Faltan")=0,"0",ROUND(IF(IFERROR(VALUE($G17&amp;""),0)=1,"Falta","Faltan"),9-INT(LOG10(ABS(IF(IFERROR(VALUE($G17&amp;""),0)=1,"Falta","Faltan")))))&amp;""),IF(IFERROR(VALUE($G17&amp;""),0)=1,"Falta","Faltan")&amp;"")&amp;" "&amp;IF(ISNUMBER($G17),IF($G17=0,"0",ROUND($G17,9-INT(LOG10(ABS($G17))))&amp;""),$G17&amp;"")&amp;" "&amp;IF(ISNUMBER(IF(IFERROR(VALUE($G17&amp;""),0)=1,"sesion","sesiones")),IF(IF(IFERROR(VALUE($G17&amp;""),0)=1,"sesion","sesiones")=0,"0",ROUND(IF(IFERROR(VALUE($G17&amp;""),0)=1,"sesion","sesiones"),9-INT(LOG10(ABS(IF(IFERROR(VALUE($G17&amp;""),0)=1,"sesion","sesiones")))))&amp;""),IF(IFERROR(VALUE($G17&amp;""),0)=1,"sesion","sesiones")&amp;""))))))&amp;""),(IF(ISNUMBER(IF(IFERROR(VALUE($G17&amp;""),0)=1,"Falta","Faltan")),IF(IF(IFERROR(VALUE($G17&amp;""),0)=1,"Falta","Faltan")=0,"0",ROUND(IF(IFERROR(VALUE($G17&amp;""),0)=1,"Falta","Faltan"),9-INT(LOG10(ABS(IF(IFERROR(VALUE($G17&amp;""),0)=1,"Falta","Faltan")))))&amp;""),IF(IFERROR(VALUE($G17&amp;""),0)=1,"Falta","Faltan")&amp;"")&amp;" "&amp;IF(ISNUMBER($G17),IF($G17=0,"0",ROUND($G17,9-INT(LOG10(ABS($G17))))&amp;""),$G17&amp;"")&amp;" "&amp;IF(ISNUMBER(IF(IFERROR(VALUE($G17&amp;""),0)=1,"sesion","sesiones")),IF(IF(IFERROR(VALUE($G17&amp;""),0)=1,"sesion","sesiones")=0,"0",ROUND(IF(IFERROR(VALUE($G17&amp;""),0)=1,"sesion","sesiones"),9-INT(LOG10(ABS(IF(IFERROR(VALUE($G17&amp;""),0)=1,"sesion","sesiones")))))&amp;""),IF(IFERROR(VALUE($G17&amp;""),0)=1,"sesion","sesiones")&amp;""))&amp;""),"")&amp;IF((IFERROR(VALUE($G17&amp;""),0)&lt;0),"; "&amp;IF(ISNUMBER((IF(ISNUMBER(IF(IFERROR(VALUE((0-IFERROR(VALUE($G17&amp;""),0))&amp;""),0)=1,"Sobra","Sobran")),IF(IF(IFERROR(VALUE((0-IFERROR(VALUE($G17&amp;""),0))&amp;""),0)=1,"Sobra","Sobran")=0,"0",ROUND(IF(IFERROR(VALUE((0-IFERROR(VALUE($G17&amp;""),0))&amp;""),0)=1,"Sobra","Sobran"),9-INT(LOG10(ABS(IF(IFERROR(VALUE((0-IFERROR(VALUE($G17&amp;""),0))&amp;""),0)=1,"Sobra","Sobran")))))&amp;""),IF(IFERROR(VALUE((0-IFERROR(VALUE($G17&amp;""),0))&amp;""),0)=1,"Sobra","Sobran")&amp;"")&amp;" "&amp;IF(ISNUMBER((0-IFERROR(VALUE($G17&amp;""),0))),IF((0-IFERROR(VALUE($G17&amp;""),0))=0,"0",ROUND((0-IFERROR(VALUE($G17&amp;""),0)),9-INT(LOG10(ABS((0-IFERROR(VALUE($G17&amp;""),0))))))&amp;""),(0-IFERROR(VALUE($G17&amp;""),0))&amp;"")&amp;" "&amp;IF(ISNUMBER(IF(IFERROR(VALUE((0-IFERROR(VALUE($G17&amp;""),0))&amp;""),0)=1,"sesion","sesiones")),IF(IF(IFERROR(VALUE((0-IFERROR(VALUE($G17&amp;""),0))&amp;""),0)=1,"sesion","sesiones")=0,"0",ROUND(IF(IFERROR(VALUE((0-IFERROR(VALUE($G17&amp;""),0))&amp;""),0)=1,"sesion","sesiones"),9-INT(LOG10(ABS(IF(IFERROR(VALUE((0-IFERROR(VALUE($G17&amp;""),0))&amp;""),0)=1,"sesion","sesiones")))))&amp;""),IF(IFERROR(VALUE((0-IFERROR(VALUE($G17&amp;""),0))&amp;""),0)=1,"sesion","sesiones")&amp;""))),IF((IF(ISNUMBER(IF(IFERROR(VALUE((0-IFERROR(VALUE($G17&amp;""),0))&amp;""),0)=1,"Sobra","Sobran")),IF(IF(IFERROR(VALUE((0-IFERROR(VALUE($G17&amp;""),0))&amp;""),0)=1,"Sobra","Sobran")=0,"0",ROUND(IF(IFERROR(VALUE((0-IFERROR(VALUE($G17&amp;""),0))&amp;""),0)=1,"Sobra","Sobran"),9-INT(LOG10(ABS(IF(IFERROR(VALUE((0-IFERROR(VALUE($G17&amp;""),0))&amp;""),0)=1,"Sobra","Sobran")))))&amp;""),IF(IFERROR(VALUE((0-IFERROR(VALUE($G17&amp;""),0))&amp;""),0)=1,"Sobra","Sobran")&amp;"")&amp;" "&amp;IF(ISNUMBER((0-IFERROR(VALUE($G17&amp;""),0))),IF((0-IFERROR(VALUE($G17&amp;""),0))=0,"0",ROUND((0-IFERROR(VALUE($G17&amp;""),0)),9-INT(LOG10(ABS((0-IFERROR(VALUE($G17&amp;""),0))))))&amp;""),(0-IFERROR(VALUE($G17&amp;""),0))&amp;"")&amp;" "&amp;IF(ISNUMBER(IF(IFERROR(VALUE((0-IFERROR(VALUE($G17&amp;""),0))&amp;""),0)=1,"sesion","sesiones")),IF(IF(IFERROR(VALUE((0-IFERROR(VALUE($G17&amp;""),0))&amp;""),0)=1,"sesion","sesiones")=0,"0",ROUND(IF(IFERROR(VALUE((0-IFERROR(VALUE($G17&amp;""),0))&amp;""),0)=1,"sesion","sesiones"),9-INT(LOG10(ABS(IF(IFERROR(VALUE((0-IFERROR(VALUE($G17&amp;""),0))&amp;""),0)=1,"sesion","sesiones")))))&amp;""),IF(IFERROR(VALUE((0-IFERROR(VALUE($G17&amp;""),0))&amp;""),0)=1,"sesion","sesiones")&amp;""))=0,"0",ROUND((IF(ISNUMBER(IF(IFERROR(VALUE((0-IFERROR(VALUE($G17&amp;""),0))&amp;""),0)=1,"Sobra","Sobran")),IF(IF(IFERROR(VALUE((0-IFERROR(VALUE($G17&amp;""),0))&amp;""),0)=1,"Sobra","Sobran")=0,"0",ROUND(IF(IFERROR(VALUE((0-IFERROR(VALUE($G17&amp;""),0))&amp;""),0)=1,"Sobra","Sobran"),9-INT(LOG10(ABS(IF(IFERROR(VALUE((0-IFERROR(VALUE($G17&amp;""),0))&amp;""),0)=1,"Sobra","Sobran")))))&amp;""),IF(IFERROR(VALUE((0-IFERROR(VALUE($G17&amp;""),0))&amp;""),0)=1,"Sobra","Sobran")&amp;"")&amp;" "&amp;IF(ISNUMBER((0-IFERROR(VALUE($G17&amp;""),0))),IF((0-IFERROR(VALUE($G17&amp;""),0))=0,"0",ROUND((0-IFERROR(VALUE($G17&amp;""),0)),9-INT(LOG10(ABS((0-IFERROR(VALUE($G17&amp;""),0))))))&amp;""),(0-IFERROR(VALUE($G17&amp;""),0))&amp;"")&amp;" "&amp;IF(ISNUMBER(IF(IFERROR(VALUE((0-IFERROR(VALUE($G17&amp;""),0))&amp;""),0)=1,"sesion","sesiones")),IF(IF(IFERROR(VALUE((0-IFERROR(VALUE($G17&amp;""),0))&amp;""),0)=1,"sesion","sesiones")=0,"0",ROUND(IF(IFERROR(VALUE((0-IFERROR(VALUE($G17&amp;""),0))&amp;""),0)=1,"sesion","sesiones"),9-INT(LOG10(ABS(IF(IFERROR(VALUE((0-IFERROR(VALUE($G17&amp;""),0))&amp;""),0)=1,"sesion","sesiones")))))&amp;""),IF(IFERROR(VALUE((0-IFERROR(VALUE($G17&amp;""),0))&amp;""),0)=1,"sesion","sesiones")&amp;"")),9-INT(LOG10(ABS((IF(ISNUMBER(IF(IFERROR(VALUE((0-IFERROR(VALUE($G17&amp;""),0))&amp;""),0)=1,"Sobra","Sobran")),IF(IF(IFERROR(VALUE((0-IFERROR(VALUE($G17&amp;""),0))&amp;""),0)=1,"Sobra","Sobran")=0,"0",ROUND(IF(IFERROR(VALUE((0-IFERROR(VALUE($G17&amp;""),0))&amp;""),0)=1,"Sobra","Sobran"),9-INT(LOG10(ABS(IF(IFERROR(VALUE((0-IFERROR(VALUE($G17&amp;""),0))&amp;""),0)=1,"Sobra","Sobran")))))&amp;""),IF(IFERROR(VALUE((0-IFERROR(VALUE($G17&amp;""),0))&amp;""),0)=1,"Sobra","Sobran")&amp;"")&amp;" "&amp;IF(ISNUMBER((0-IFERROR(VALUE($G17&amp;""),0))),IF((0-IFERROR(VALUE($G17&amp;""),0))=0,"0",ROUND((0-IFERROR(VALUE($G17&amp;""),0)),9-INT(LOG10(ABS((0-IFERROR(VALUE($G17&amp;""),0))))))&amp;""),(0-IFERROR(VALUE($G17&amp;""),0))&amp;"")&amp;" "&amp;IF(ISNUMBER(IF(IFERROR(VALUE((0-IFERROR(VALUE($G17&amp;""),0))&amp;""),0)=1,"sesion","sesiones")),IF(IF(IFERROR(VALUE((0-IFERROR(VALUE($G17&amp;""),0))&amp;""),0)=1,"sesion","sesiones")=0,"0",ROUND(IF(IFERROR(VALUE((0-IFERROR(VALUE($G17&amp;""),0))&amp;""),0)=1,"sesion","sesiones"),9-INT(LOG10(ABS(IF(IFERROR(VALUE((0-IFERROR(VALUE($G17&amp;""),0))&amp;""),0)=1,"sesion","sesiones")))))&amp;""),IF(IFERROR(VALUE((0-IFERROR(VALUE($G17&amp;""),0))&amp;""),0)=1,"sesion","sesiones")&amp;""))))))&amp;""),(IF(ISNUMBER(IF(IFERROR(VALUE((0-IFERROR(VALUE($G17&amp;""),0))&amp;""),0)=1,"Sobra","Sobran")),IF(IF(IFERROR(VALUE((0-IFERROR(VALUE($G17&amp;""),0))&amp;""),0)=1,"Sobra","Sobran")=0,"0",ROUND(IF(IFERROR(VALUE((0-IFERROR(VALUE($G17&amp;""),0))&amp;""),0)=1,"Sobra","Sobran"),9-INT(LOG10(ABS(IF(IFERROR(VALUE((0-IFERROR(VALUE($G17&amp;""),0))&amp;""),0)=1,"Sobra","Sobran")))))&amp;""),IF(IFERROR(VALUE((0-IFERROR(VALUE($G17&amp;""),0))&amp;""),0)=1,"Sobra","Sobran")&amp;"")&amp;" "&amp;IF(ISNUMBER((0-IFERROR(VALUE($G17&amp;""),0))),IF((0-IFERROR(VALUE($G17&amp;""),0))=0,"0",ROUND((0-IFERROR(VALUE($G17&amp;""),0)),9-INT(LOG10(ABS((0-IFERROR(VALUE($G17&amp;""),0))))))&amp;""),(0-IFERROR(VALUE($G17&amp;""),0))&amp;"")&amp;" "&amp;IF(ISNUMBER(IF(IFERROR(VALUE((0-IFERROR(VALUE($G17&amp;""),0))&amp;""),0)=1,"sesion","sesiones")),IF(IF(IFERROR(VALUE((0-IFERROR(VALUE($G17&amp;""),0))&amp;""),0)=1,"sesion","sesiones")=0,"0",ROUND(IF(IFERROR(VALUE((0-IFERROR(VALUE($G17&amp;""),0))&amp;""),0)=1,"sesion","sesiones"),9-INT(LOG10(ABS(IF(IFERROR(VALUE((0-IFERROR(VALUE($G17&amp;""),0))&amp;""),0)=1,"sesion","sesiones")))))&amp;""),IF(IFERROR(VALUE((0-IFERROR(VALUE($G17&amp;""),0))&amp;""),0)=1,"sesion","sesiones")&amp;""))&amp;""),""),3,32767)</f>
        <v/>
      </c>
      <c r="I17" s="3">
        <f>IF(OR((IFERROR(VALUE($G17&amp;""),0)&gt;0),(IFERROR(VALUE($G17&amp;""),0)&lt;0)),3,0)</f>
        <v/>
      </c>
    </row>
    <row r="18">
      <c r="A18" s="3" t="inlineStr">
        <is>
          <t>10-3</t>
        </is>
      </c>
      <c r="B18" s="3" t="inlineStr">
        <is>
          <t>AL/AC</t>
        </is>
      </c>
      <c r="C18" s="3" t="inlineStr">
        <is>
          <t>Profesor de AL/AC en 10-3</t>
        </is>
      </c>
      <c r="D18" s="3">
        <f>IF(ISNA(MATCH(1,INDEX(EXACT('Asignaturas'!$A$4:$A$18,$B18)*1,0),0)),"",IF(ISBLANK(INDEX('Asignaturas'!$B$4:$B$18,MATCH(1,INDEX(EXACT('Asignaturas'!$A$4:$A$18,$B18)*1,0),0))),"",INDEX('Asignaturas'!$B$4:$B$18,MATCH(1,INDEX(EXACT('Asignaturas'!$A$4:$A$18,$B18)*1,0),0))))</f>
        <v/>
      </c>
      <c r="E18" s="3">
        <f>IF(ISNA(MATCH(1,INDEX(EXACT('Asignaturas'!$A$4:$A$18,$B18)*1,0),0)),0,IF(ISBLANK(INDEX('Asignaturas'!$C$4:$C$18,MATCH(1,INDEX(EXACT('Asignaturas'!$A$4:$A$18,$B18)*1,0),0))),"",INDEX('Asignaturas'!$C$4:$C$18,MATCH(1,INDEX(EXACT('Asignaturas'!$A$4:$A$18,$B18)*1,0),0))))</f>
        <v/>
      </c>
      <c r="F18" s="3">
        <f>SUMPRODUCT(1*((EXACT('Casillas del horario'!$A$4:$A$73,$A18)))*((EXACT('Casillas del horario'!$D$4:$D$73,$B18))))</f>
        <v/>
      </c>
      <c r="G18" s="3">
        <f>(IFERROR(VALUE($E18&amp;""),0)-IFERROR(VALUE($F18&amp;""),0))</f>
        <v/>
      </c>
      <c r="H18" s="3">
        <f>MID(IF((IFERROR(VALUE($G18&amp;""),0)&gt;0),"; "&amp;IF(ISNUMBER((IF(ISNUMBER(IF(IFERROR(VALUE($G18&amp;""),0)=1,"Falta","Faltan")),IF(IF(IFERROR(VALUE($G18&amp;""),0)=1,"Falta","Faltan")=0,"0",ROUND(IF(IFERROR(VALUE($G18&amp;""),0)=1,"Falta","Faltan"),9-INT(LOG10(ABS(IF(IFERROR(VALUE($G18&amp;""),0)=1,"Falta","Faltan")))))&amp;""),IF(IFERROR(VALUE($G18&amp;""),0)=1,"Falta","Faltan")&amp;"")&amp;" "&amp;IF(ISNUMBER($G18),IF($G18=0,"0",ROUND($G18,9-INT(LOG10(ABS($G18))))&amp;""),$G18&amp;"")&amp;" "&amp;IF(ISNUMBER(IF(IFERROR(VALUE($G18&amp;""),0)=1,"sesion","sesiones")),IF(IF(IFERROR(VALUE($G18&amp;""),0)=1,"sesion","sesiones")=0,"0",ROUND(IF(IFERROR(VALUE($G18&amp;""),0)=1,"sesion","sesiones"),9-INT(LOG10(ABS(IF(IFERROR(VALUE($G18&amp;""),0)=1,"sesion","sesiones")))))&amp;""),IF(IFERROR(VALUE($G18&amp;""),0)=1,"sesion","sesiones")&amp;""))),IF((IF(ISNUMBER(IF(IFERROR(VALUE($G18&amp;""),0)=1,"Falta","Faltan")),IF(IF(IFERROR(VALUE($G18&amp;""),0)=1,"Falta","Faltan")=0,"0",ROUND(IF(IFERROR(VALUE($G18&amp;""),0)=1,"Falta","Faltan"),9-INT(LOG10(ABS(IF(IFERROR(VALUE($G18&amp;""),0)=1,"Falta","Faltan")))))&amp;""),IF(IFERROR(VALUE($G18&amp;""),0)=1,"Falta","Faltan")&amp;"")&amp;" "&amp;IF(ISNUMBER($G18),IF($G18=0,"0",ROUND($G18,9-INT(LOG10(ABS($G18))))&amp;""),$G18&amp;"")&amp;" "&amp;IF(ISNUMBER(IF(IFERROR(VALUE($G18&amp;""),0)=1,"sesion","sesiones")),IF(IF(IFERROR(VALUE($G18&amp;""),0)=1,"sesion","sesiones")=0,"0",ROUND(IF(IFERROR(VALUE($G18&amp;""),0)=1,"sesion","sesiones"),9-INT(LOG10(ABS(IF(IFERROR(VALUE($G18&amp;""),0)=1,"sesion","sesiones")))))&amp;""),IF(IFERROR(VALUE($G18&amp;""),0)=1,"sesion","sesiones")&amp;""))=0,"0",ROUND((IF(ISNUMBER(IF(IFERROR(VALUE($G18&amp;""),0)=1,"Falta","Faltan")),IF(IF(IFERROR(VALUE($G18&amp;""),0)=1,"Falta","Faltan")=0,"0",ROUND(IF(IFERROR(VALUE($G18&amp;""),0)=1,"Falta","Faltan"),9-INT(LOG10(ABS(IF(IFERROR(VALUE($G18&amp;""),0)=1,"Falta","Faltan")))))&amp;""),IF(IFERROR(VALUE($G18&amp;""),0)=1,"Falta","Faltan")&amp;"")&amp;" "&amp;IF(ISNUMBER($G18),IF($G18=0,"0",ROUND($G18,9-INT(LOG10(ABS($G18))))&amp;""),$G18&amp;"")&amp;" "&amp;IF(ISNUMBER(IF(IFERROR(VALUE($G18&amp;""),0)=1,"sesion","sesiones")),IF(IF(IFERROR(VALUE($G18&amp;""),0)=1,"sesion","sesiones")=0,"0",ROUND(IF(IFERROR(VALUE($G18&amp;""),0)=1,"sesion","sesiones"),9-INT(LOG10(ABS(IF(IFERROR(VALUE($G18&amp;""),0)=1,"sesion","sesiones")))))&amp;""),IF(IFERROR(VALUE($G18&amp;""),0)=1,"sesion","sesiones")&amp;"")),9-INT(LOG10(ABS((IF(ISNUMBER(IF(IFERROR(VALUE($G18&amp;""),0)=1,"Falta","Faltan")),IF(IF(IFERROR(VALUE($G18&amp;""),0)=1,"Falta","Faltan")=0,"0",ROUND(IF(IFERROR(VALUE($G18&amp;""),0)=1,"Falta","Faltan"),9-INT(LOG10(ABS(IF(IFERROR(VALUE($G18&amp;""),0)=1,"Falta","Faltan")))))&amp;""),IF(IFERROR(VALUE($G18&amp;""),0)=1,"Falta","Faltan")&amp;"")&amp;" "&amp;IF(ISNUMBER($G18),IF($G18=0,"0",ROUND($G18,9-INT(LOG10(ABS($G18))))&amp;""),$G18&amp;"")&amp;" "&amp;IF(ISNUMBER(IF(IFERROR(VALUE($G18&amp;""),0)=1,"sesion","sesiones")),IF(IF(IFERROR(VALUE($G18&amp;""),0)=1,"sesion","sesiones")=0,"0",ROUND(IF(IFERROR(VALUE($G18&amp;""),0)=1,"sesion","sesiones"),9-INT(LOG10(ABS(IF(IFERROR(VALUE($G18&amp;""),0)=1,"sesion","sesiones")))))&amp;""),IF(IFERROR(VALUE($G18&amp;""),0)=1,"sesion","sesiones")&amp;""))))))&amp;""),(IF(ISNUMBER(IF(IFERROR(VALUE($G18&amp;""),0)=1,"Falta","Faltan")),IF(IF(IFERROR(VALUE($G18&amp;""),0)=1,"Falta","Faltan")=0,"0",ROUND(IF(IFERROR(VALUE($G18&amp;""),0)=1,"Falta","Faltan"),9-INT(LOG10(ABS(IF(IFERROR(VALUE($G18&amp;""),0)=1,"Falta","Faltan")))))&amp;""),IF(IFERROR(VALUE($G18&amp;""),0)=1,"Falta","Faltan")&amp;"")&amp;" "&amp;IF(ISNUMBER($G18),IF($G18=0,"0",ROUND($G18,9-INT(LOG10(ABS($G18))))&amp;""),$G18&amp;"")&amp;" "&amp;IF(ISNUMBER(IF(IFERROR(VALUE($G18&amp;""),0)=1,"sesion","sesiones")),IF(IF(IFERROR(VALUE($G18&amp;""),0)=1,"sesion","sesiones")=0,"0",ROUND(IF(IFERROR(VALUE($G18&amp;""),0)=1,"sesion","sesiones"),9-INT(LOG10(ABS(IF(IFERROR(VALUE($G18&amp;""),0)=1,"sesion","sesiones")))))&amp;""),IF(IFERROR(VALUE($G18&amp;""),0)=1,"sesion","sesiones")&amp;""))&amp;""),"")&amp;IF((IFERROR(VALUE($G18&amp;""),0)&lt;0),"; "&amp;IF(ISNUMBER((IF(ISNUMBER(IF(IFERROR(VALUE((0-IFERROR(VALUE($G18&amp;""),0))&amp;""),0)=1,"Sobra","Sobran")),IF(IF(IFERROR(VALUE((0-IFERROR(VALUE($G18&amp;""),0))&amp;""),0)=1,"Sobra","Sobran")=0,"0",ROUND(IF(IFERROR(VALUE((0-IFERROR(VALUE($G18&amp;""),0))&amp;""),0)=1,"Sobra","Sobran"),9-INT(LOG10(ABS(IF(IFERROR(VALUE((0-IFERROR(VALUE($G18&amp;""),0))&amp;""),0)=1,"Sobra","Sobran")))))&amp;""),IF(IFERROR(VALUE((0-IFERROR(VALUE($G18&amp;""),0))&amp;""),0)=1,"Sobra","Sobran")&amp;"")&amp;" "&amp;IF(ISNUMBER((0-IFERROR(VALUE($G18&amp;""),0))),IF((0-IFERROR(VALUE($G18&amp;""),0))=0,"0",ROUND((0-IFERROR(VALUE($G18&amp;""),0)),9-INT(LOG10(ABS((0-IFERROR(VALUE($G18&amp;""),0))))))&amp;""),(0-IFERROR(VALUE($G18&amp;""),0))&amp;"")&amp;" "&amp;IF(ISNUMBER(IF(IFERROR(VALUE((0-IFERROR(VALUE($G18&amp;""),0))&amp;""),0)=1,"sesion","sesiones")),IF(IF(IFERROR(VALUE((0-IFERROR(VALUE($G18&amp;""),0))&amp;""),0)=1,"sesion","sesiones")=0,"0",ROUND(IF(IFERROR(VALUE((0-IFERROR(VALUE($G18&amp;""),0))&amp;""),0)=1,"sesion","sesiones"),9-INT(LOG10(ABS(IF(IFERROR(VALUE((0-IFERROR(VALUE($G18&amp;""),0))&amp;""),0)=1,"sesion","sesiones")))))&amp;""),IF(IFERROR(VALUE((0-IFERROR(VALUE($G18&amp;""),0))&amp;""),0)=1,"sesion","sesiones")&amp;""))),IF((IF(ISNUMBER(IF(IFERROR(VALUE((0-IFERROR(VALUE($G18&amp;""),0))&amp;""),0)=1,"Sobra","Sobran")),IF(IF(IFERROR(VALUE((0-IFERROR(VALUE($G18&amp;""),0))&amp;""),0)=1,"Sobra","Sobran")=0,"0",ROUND(IF(IFERROR(VALUE((0-IFERROR(VALUE($G18&amp;""),0))&amp;""),0)=1,"Sobra","Sobran"),9-INT(LOG10(ABS(IF(IFERROR(VALUE((0-IFERROR(VALUE($G18&amp;""),0))&amp;""),0)=1,"Sobra","Sobran")))))&amp;""),IF(IFERROR(VALUE((0-IFERROR(VALUE($G18&amp;""),0))&amp;""),0)=1,"Sobra","Sobran")&amp;"")&amp;" "&amp;IF(ISNUMBER((0-IFERROR(VALUE($G18&amp;""),0))),IF((0-IFERROR(VALUE($G18&amp;""),0))=0,"0",ROUND((0-IFERROR(VALUE($G18&amp;""),0)),9-INT(LOG10(ABS((0-IFERROR(VALUE($G18&amp;""),0))))))&amp;""),(0-IFERROR(VALUE($G18&amp;""),0))&amp;"")&amp;" "&amp;IF(ISNUMBER(IF(IFERROR(VALUE((0-IFERROR(VALUE($G18&amp;""),0))&amp;""),0)=1,"sesion","sesiones")),IF(IF(IFERROR(VALUE((0-IFERROR(VALUE($G18&amp;""),0))&amp;""),0)=1,"sesion","sesiones")=0,"0",ROUND(IF(IFERROR(VALUE((0-IFERROR(VALUE($G18&amp;""),0))&amp;""),0)=1,"sesion","sesiones"),9-INT(LOG10(ABS(IF(IFERROR(VALUE((0-IFERROR(VALUE($G18&amp;""),0))&amp;""),0)=1,"sesion","sesiones")))))&amp;""),IF(IFERROR(VALUE((0-IFERROR(VALUE($G18&amp;""),0))&amp;""),0)=1,"sesion","sesiones")&amp;""))=0,"0",ROUND((IF(ISNUMBER(IF(IFERROR(VALUE((0-IFERROR(VALUE($G18&amp;""),0))&amp;""),0)=1,"Sobra","Sobran")),IF(IF(IFERROR(VALUE((0-IFERROR(VALUE($G18&amp;""),0))&amp;""),0)=1,"Sobra","Sobran")=0,"0",ROUND(IF(IFERROR(VALUE((0-IFERROR(VALUE($G18&amp;""),0))&amp;""),0)=1,"Sobra","Sobran"),9-INT(LOG10(ABS(IF(IFERROR(VALUE((0-IFERROR(VALUE($G18&amp;""),0))&amp;""),0)=1,"Sobra","Sobran")))))&amp;""),IF(IFERROR(VALUE((0-IFERROR(VALUE($G18&amp;""),0))&amp;""),0)=1,"Sobra","Sobran")&amp;"")&amp;" "&amp;IF(ISNUMBER((0-IFERROR(VALUE($G18&amp;""),0))),IF((0-IFERROR(VALUE($G18&amp;""),0))=0,"0",ROUND((0-IFERROR(VALUE($G18&amp;""),0)),9-INT(LOG10(ABS((0-IFERROR(VALUE($G18&amp;""),0))))))&amp;""),(0-IFERROR(VALUE($G18&amp;""),0))&amp;"")&amp;" "&amp;IF(ISNUMBER(IF(IFERROR(VALUE((0-IFERROR(VALUE($G18&amp;""),0))&amp;""),0)=1,"sesion","sesiones")),IF(IF(IFERROR(VALUE((0-IFERROR(VALUE($G18&amp;""),0))&amp;""),0)=1,"sesion","sesiones")=0,"0",ROUND(IF(IFERROR(VALUE((0-IFERROR(VALUE($G18&amp;""),0))&amp;""),0)=1,"sesion","sesiones"),9-INT(LOG10(ABS(IF(IFERROR(VALUE((0-IFERROR(VALUE($G18&amp;""),0))&amp;""),0)=1,"sesion","sesiones")))))&amp;""),IF(IFERROR(VALUE((0-IFERROR(VALUE($G18&amp;""),0))&amp;""),0)=1,"sesion","sesiones")&amp;"")),9-INT(LOG10(ABS((IF(ISNUMBER(IF(IFERROR(VALUE((0-IFERROR(VALUE($G18&amp;""),0))&amp;""),0)=1,"Sobra","Sobran")),IF(IF(IFERROR(VALUE((0-IFERROR(VALUE($G18&amp;""),0))&amp;""),0)=1,"Sobra","Sobran")=0,"0",ROUND(IF(IFERROR(VALUE((0-IFERROR(VALUE($G18&amp;""),0))&amp;""),0)=1,"Sobra","Sobran"),9-INT(LOG10(ABS(IF(IFERROR(VALUE((0-IFERROR(VALUE($G18&amp;""),0))&amp;""),0)=1,"Sobra","Sobran")))))&amp;""),IF(IFERROR(VALUE((0-IFERROR(VALUE($G18&amp;""),0))&amp;""),0)=1,"Sobra","Sobran")&amp;"")&amp;" "&amp;IF(ISNUMBER((0-IFERROR(VALUE($G18&amp;""),0))),IF((0-IFERROR(VALUE($G18&amp;""),0))=0,"0",ROUND((0-IFERROR(VALUE($G18&amp;""),0)),9-INT(LOG10(ABS((0-IFERROR(VALUE($G18&amp;""),0))))))&amp;""),(0-IFERROR(VALUE($G18&amp;""),0))&amp;"")&amp;" "&amp;IF(ISNUMBER(IF(IFERROR(VALUE((0-IFERROR(VALUE($G18&amp;""),0))&amp;""),0)=1,"sesion","sesiones")),IF(IF(IFERROR(VALUE((0-IFERROR(VALUE($G18&amp;""),0))&amp;""),0)=1,"sesion","sesiones")=0,"0",ROUND(IF(IFERROR(VALUE((0-IFERROR(VALUE($G18&amp;""),0))&amp;""),0)=1,"sesion","sesiones"),9-INT(LOG10(ABS(IF(IFERROR(VALUE((0-IFERROR(VALUE($G18&amp;""),0))&amp;""),0)=1,"sesion","sesiones")))))&amp;""),IF(IFERROR(VALUE((0-IFERROR(VALUE($G18&amp;""),0))&amp;""),0)=1,"sesion","sesiones")&amp;""))))))&amp;""),(IF(ISNUMBER(IF(IFERROR(VALUE((0-IFERROR(VALUE($G18&amp;""),0))&amp;""),0)=1,"Sobra","Sobran")),IF(IF(IFERROR(VALUE((0-IFERROR(VALUE($G18&amp;""),0))&amp;""),0)=1,"Sobra","Sobran")=0,"0",ROUND(IF(IFERROR(VALUE((0-IFERROR(VALUE($G18&amp;""),0))&amp;""),0)=1,"Sobra","Sobran"),9-INT(LOG10(ABS(IF(IFERROR(VALUE((0-IFERROR(VALUE($G18&amp;""),0))&amp;""),0)=1,"Sobra","Sobran")))))&amp;""),IF(IFERROR(VALUE((0-IFERROR(VALUE($G18&amp;""),0))&amp;""),0)=1,"Sobra","Sobran")&amp;"")&amp;" "&amp;IF(ISNUMBER((0-IFERROR(VALUE($G18&amp;""),0))),IF((0-IFERROR(VALUE($G18&amp;""),0))=0,"0",ROUND((0-IFERROR(VALUE($G18&amp;""),0)),9-INT(LOG10(ABS((0-IFERROR(VALUE($G18&amp;""),0))))))&amp;""),(0-IFERROR(VALUE($G18&amp;""),0))&amp;"")&amp;" "&amp;IF(ISNUMBER(IF(IFERROR(VALUE((0-IFERROR(VALUE($G18&amp;""),0))&amp;""),0)=1,"sesion","sesiones")),IF(IF(IFERROR(VALUE((0-IFERROR(VALUE($G18&amp;""),0))&amp;""),0)=1,"sesion","sesiones")=0,"0",ROUND(IF(IFERROR(VALUE((0-IFERROR(VALUE($G18&amp;""),0))&amp;""),0)=1,"sesion","sesiones"),9-INT(LOG10(ABS(IF(IFERROR(VALUE((0-IFERROR(VALUE($G18&amp;""),0))&amp;""),0)=1,"sesion","sesiones")))))&amp;""),IF(IFERROR(VALUE((0-IFERROR(VALUE($G18&amp;""),0))&amp;""),0)=1,"sesion","sesiones")&amp;""))&amp;""),""),3,32767)</f>
        <v/>
      </c>
      <c r="I18" s="3">
        <f>IF(OR((IFERROR(VALUE($G18&amp;""),0)&gt;0),(IFERROR(VALUE($G18&amp;""),0)&lt;0)),3,0)</f>
        <v/>
      </c>
    </row>
    <row r="19">
      <c r="A19" s="3" t="inlineStr">
        <is>
          <t>10-4</t>
        </is>
      </c>
      <c r="B19" s="3" t="inlineStr">
        <is>
          <t>M</t>
        </is>
      </c>
      <c r="C19" s="3" t="inlineStr">
        <is>
          <t>Profesor de M en 10-4</t>
        </is>
      </c>
      <c r="D19" s="3">
        <f>IF(ISNA(MATCH(1,INDEX(EXACT('Asignaturas'!$A$4:$A$18,$B19)*1,0),0)),"",IF(ISBLANK(INDEX('Asignaturas'!$B$4:$B$18,MATCH(1,INDEX(EXACT('Asignaturas'!$A$4:$A$18,$B19)*1,0),0))),"",INDEX('Asignaturas'!$B$4:$B$18,MATCH(1,INDEX(EXACT('Asignaturas'!$A$4:$A$18,$B19)*1,0),0))))</f>
        <v/>
      </c>
      <c r="E19" s="3">
        <f>IF(ISNA(MATCH(1,INDEX(EXACT('Asignaturas'!$A$4:$A$18,$B19)*1,0),0)),0,IF(ISBLANK(INDEX('Asignaturas'!$C$4:$C$18,MATCH(1,INDEX(EXACT('Asignaturas'!$A$4:$A$18,$B19)*1,0),0))),"",INDEX('Asignaturas'!$C$4:$C$18,MATCH(1,INDEX(EXACT('Asignaturas'!$A$4:$A$18,$B19)*1,0),0))))</f>
        <v/>
      </c>
      <c r="F19" s="3">
        <f>SUMPRODUCT(1*((EXACT('Casillas del horario'!$A$4:$A$73,$A19)))*((EXACT('Casillas del horario'!$D$4:$D$73,$B19))))</f>
        <v/>
      </c>
      <c r="G19" s="3">
        <f>(IFERROR(VALUE($E19&amp;""),0)-IFERROR(VALUE($F19&amp;""),0))</f>
        <v/>
      </c>
      <c r="H19" s="3">
        <f>MID(IF((IFERROR(VALUE($G19&amp;""),0)&gt;0),"; "&amp;IF(ISNUMBER((IF(ISNUMBER(IF(IFERROR(VALUE($G19&amp;""),0)=1,"Falta","Faltan")),IF(IF(IFERROR(VALUE($G19&amp;""),0)=1,"Falta","Faltan")=0,"0",ROUND(IF(IFERROR(VALUE($G19&amp;""),0)=1,"Falta","Faltan"),9-INT(LOG10(ABS(IF(IFERROR(VALUE($G19&amp;""),0)=1,"Falta","Faltan")))))&amp;""),IF(IFERROR(VALUE($G19&amp;""),0)=1,"Falta","Faltan")&amp;"")&amp;" "&amp;IF(ISNUMBER($G19),IF($G19=0,"0",ROUND($G19,9-INT(LOG10(ABS($G19))))&amp;""),$G19&amp;"")&amp;" "&amp;IF(ISNUMBER(IF(IFERROR(VALUE($G19&amp;""),0)=1,"sesion","sesiones")),IF(IF(IFERROR(VALUE($G19&amp;""),0)=1,"sesion","sesiones")=0,"0",ROUND(IF(IFERROR(VALUE($G19&amp;""),0)=1,"sesion","sesiones"),9-INT(LOG10(ABS(IF(IFERROR(VALUE($G19&amp;""),0)=1,"sesion","sesiones")))))&amp;""),IF(IFERROR(VALUE($G19&amp;""),0)=1,"sesion","sesiones")&amp;""))),IF((IF(ISNUMBER(IF(IFERROR(VALUE($G19&amp;""),0)=1,"Falta","Faltan")),IF(IF(IFERROR(VALUE($G19&amp;""),0)=1,"Falta","Faltan")=0,"0",ROUND(IF(IFERROR(VALUE($G19&amp;""),0)=1,"Falta","Faltan"),9-INT(LOG10(ABS(IF(IFERROR(VALUE($G19&amp;""),0)=1,"Falta","Faltan")))))&amp;""),IF(IFERROR(VALUE($G19&amp;""),0)=1,"Falta","Faltan")&amp;"")&amp;" "&amp;IF(ISNUMBER($G19),IF($G19=0,"0",ROUND($G19,9-INT(LOG10(ABS($G19))))&amp;""),$G19&amp;"")&amp;" "&amp;IF(ISNUMBER(IF(IFERROR(VALUE($G19&amp;""),0)=1,"sesion","sesiones")),IF(IF(IFERROR(VALUE($G19&amp;""),0)=1,"sesion","sesiones")=0,"0",ROUND(IF(IFERROR(VALUE($G19&amp;""),0)=1,"sesion","sesiones"),9-INT(LOG10(ABS(IF(IFERROR(VALUE($G19&amp;""),0)=1,"sesion","sesiones")))))&amp;""),IF(IFERROR(VALUE($G19&amp;""),0)=1,"sesion","sesiones")&amp;""))=0,"0",ROUND((IF(ISNUMBER(IF(IFERROR(VALUE($G19&amp;""),0)=1,"Falta","Faltan")),IF(IF(IFERROR(VALUE($G19&amp;""),0)=1,"Falta","Faltan")=0,"0",ROUND(IF(IFERROR(VALUE($G19&amp;""),0)=1,"Falta","Faltan"),9-INT(LOG10(ABS(IF(IFERROR(VALUE($G19&amp;""),0)=1,"Falta","Faltan")))))&amp;""),IF(IFERROR(VALUE($G19&amp;""),0)=1,"Falta","Faltan")&amp;"")&amp;" "&amp;IF(ISNUMBER($G19),IF($G19=0,"0",ROUND($G19,9-INT(LOG10(ABS($G19))))&amp;""),$G19&amp;"")&amp;" "&amp;IF(ISNUMBER(IF(IFERROR(VALUE($G19&amp;""),0)=1,"sesion","sesiones")),IF(IF(IFERROR(VALUE($G19&amp;""),0)=1,"sesion","sesiones")=0,"0",ROUND(IF(IFERROR(VALUE($G19&amp;""),0)=1,"sesion","sesiones"),9-INT(LOG10(ABS(IF(IFERROR(VALUE($G19&amp;""),0)=1,"sesion","sesiones")))))&amp;""),IF(IFERROR(VALUE($G19&amp;""),0)=1,"sesion","sesiones")&amp;"")),9-INT(LOG10(ABS((IF(ISNUMBER(IF(IFERROR(VALUE($G19&amp;""),0)=1,"Falta","Faltan")),IF(IF(IFERROR(VALUE($G19&amp;""),0)=1,"Falta","Faltan")=0,"0",ROUND(IF(IFERROR(VALUE($G19&amp;""),0)=1,"Falta","Faltan"),9-INT(LOG10(ABS(IF(IFERROR(VALUE($G19&amp;""),0)=1,"Falta","Faltan")))))&amp;""),IF(IFERROR(VALUE($G19&amp;""),0)=1,"Falta","Faltan")&amp;"")&amp;" "&amp;IF(ISNUMBER($G19),IF($G19=0,"0",ROUND($G19,9-INT(LOG10(ABS($G19))))&amp;""),$G19&amp;"")&amp;" "&amp;IF(ISNUMBER(IF(IFERROR(VALUE($G19&amp;""),0)=1,"sesion","sesiones")),IF(IF(IFERROR(VALUE($G19&amp;""),0)=1,"sesion","sesiones")=0,"0",ROUND(IF(IFERROR(VALUE($G19&amp;""),0)=1,"sesion","sesiones"),9-INT(LOG10(ABS(IF(IFERROR(VALUE($G19&amp;""),0)=1,"sesion","sesiones")))))&amp;""),IF(IFERROR(VALUE($G19&amp;""),0)=1,"sesion","sesiones")&amp;""))))))&amp;""),(IF(ISNUMBER(IF(IFERROR(VALUE($G19&amp;""),0)=1,"Falta","Faltan")),IF(IF(IFERROR(VALUE($G19&amp;""),0)=1,"Falta","Faltan")=0,"0",ROUND(IF(IFERROR(VALUE($G19&amp;""),0)=1,"Falta","Faltan"),9-INT(LOG10(ABS(IF(IFERROR(VALUE($G19&amp;""),0)=1,"Falta","Faltan")))))&amp;""),IF(IFERROR(VALUE($G19&amp;""),0)=1,"Falta","Faltan")&amp;"")&amp;" "&amp;IF(ISNUMBER($G19),IF($G19=0,"0",ROUND($G19,9-INT(LOG10(ABS($G19))))&amp;""),$G19&amp;"")&amp;" "&amp;IF(ISNUMBER(IF(IFERROR(VALUE($G19&amp;""),0)=1,"sesion","sesiones")),IF(IF(IFERROR(VALUE($G19&amp;""),0)=1,"sesion","sesiones")=0,"0",ROUND(IF(IFERROR(VALUE($G19&amp;""),0)=1,"sesion","sesiones"),9-INT(LOG10(ABS(IF(IFERROR(VALUE($G19&amp;""),0)=1,"sesion","sesiones")))))&amp;""),IF(IFERROR(VALUE($G19&amp;""),0)=1,"sesion","sesiones")&amp;""))&amp;""),"")&amp;IF((IFERROR(VALUE($G19&amp;""),0)&lt;0),"; "&amp;IF(ISNUMBER((IF(ISNUMBER(IF(IFERROR(VALUE((0-IFERROR(VALUE($G19&amp;""),0))&amp;""),0)=1,"Sobra","Sobran")),IF(IF(IFERROR(VALUE((0-IFERROR(VALUE($G19&amp;""),0))&amp;""),0)=1,"Sobra","Sobran")=0,"0",ROUND(IF(IFERROR(VALUE((0-IFERROR(VALUE($G19&amp;""),0))&amp;""),0)=1,"Sobra","Sobran"),9-INT(LOG10(ABS(IF(IFERROR(VALUE((0-IFERROR(VALUE($G19&amp;""),0))&amp;""),0)=1,"Sobra","Sobran")))))&amp;""),IF(IFERROR(VALUE((0-IFERROR(VALUE($G19&amp;""),0))&amp;""),0)=1,"Sobra","Sobran")&amp;"")&amp;" "&amp;IF(ISNUMBER((0-IFERROR(VALUE($G19&amp;""),0))),IF((0-IFERROR(VALUE($G19&amp;""),0))=0,"0",ROUND((0-IFERROR(VALUE($G19&amp;""),0)),9-INT(LOG10(ABS((0-IFERROR(VALUE($G19&amp;""),0))))))&amp;""),(0-IFERROR(VALUE($G19&amp;""),0))&amp;"")&amp;" "&amp;IF(ISNUMBER(IF(IFERROR(VALUE((0-IFERROR(VALUE($G19&amp;""),0))&amp;""),0)=1,"sesion","sesiones")),IF(IF(IFERROR(VALUE((0-IFERROR(VALUE($G19&amp;""),0))&amp;""),0)=1,"sesion","sesiones")=0,"0",ROUND(IF(IFERROR(VALUE((0-IFERROR(VALUE($G19&amp;""),0))&amp;""),0)=1,"sesion","sesiones"),9-INT(LOG10(ABS(IF(IFERROR(VALUE((0-IFERROR(VALUE($G19&amp;""),0))&amp;""),0)=1,"sesion","sesiones")))))&amp;""),IF(IFERROR(VALUE((0-IFERROR(VALUE($G19&amp;""),0))&amp;""),0)=1,"sesion","sesiones")&amp;""))),IF((IF(ISNUMBER(IF(IFERROR(VALUE((0-IFERROR(VALUE($G19&amp;""),0))&amp;""),0)=1,"Sobra","Sobran")),IF(IF(IFERROR(VALUE((0-IFERROR(VALUE($G19&amp;""),0))&amp;""),0)=1,"Sobra","Sobran")=0,"0",ROUND(IF(IFERROR(VALUE((0-IFERROR(VALUE($G19&amp;""),0))&amp;""),0)=1,"Sobra","Sobran"),9-INT(LOG10(ABS(IF(IFERROR(VALUE((0-IFERROR(VALUE($G19&amp;""),0))&amp;""),0)=1,"Sobra","Sobran")))))&amp;""),IF(IFERROR(VALUE((0-IFERROR(VALUE($G19&amp;""),0))&amp;""),0)=1,"Sobra","Sobran")&amp;"")&amp;" "&amp;IF(ISNUMBER((0-IFERROR(VALUE($G19&amp;""),0))),IF((0-IFERROR(VALUE($G19&amp;""),0))=0,"0",ROUND((0-IFERROR(VALUE($G19&amp;""),0)),9-INT(LOG10(ABS((0-IFERROR(VALUE($G19&amp;""),0))))))&amp;""),(0-IFERROR(VALUE($G19&amp;""),0))&amp;"")&amp;" "&amp;IF(ISNUMBER(IF(IFERROR(VALUE((0-IFERROR(VALUE($G19&amp;""),0))&amp;""),0)=1,"sesion","sesiones")),IF(IF(IFERROR(VALUE((0-IFERROR(VALUE($G19&amp;""),0))&amp;""),0)=1,"sesion","sesiones")=0,"0",ROUND(IF(IFERROR(VALUE((0-IFERROR(VALUE($G19&amp;""),0))&amp;""),0)=1,"sesion","sesiones"),9-INT(LOG10(ABS(IF(IFERROR(VALUE((0-IFERROR(VALUE($G19&amp;""),0))&amp;""),0)=1,"sesion","sesiones")))))&amp;""),IF(IFERROR(VALUE((0-IFERROR(VALUE($G19&amp;""),0))&amp;""),0)=1,"sesion","sesiones")&amp;""))=0,"0",ROUND((IF(ISNUMBER(IF(IFERROR(VALUE((0-IFERROR(VALUE($G19&amp;""),0))&amp;""),0)=1,"Sobra","Sobran")),IF(IF(IFERROR(VALUE((0-IFERROR(VALUE($G19&amp;""),0))&amp;""),0)=1,"Sobra","Sobran")=0,"0",ROUND(IF(IFERROR(VALUE((0-IFERROR(VALUE($G19&amp;""),0))&amp;""),0)=1,"Sobra","Sobran"),9-INT(LOG10(ABS(IF(IFERROR(VALUE((0-IFERROR(VALUE($G19&amp;""),0))&amp;""),0)=1,"Sobra","Sobran")))))&amp;""),IF(IFERROR(VALUE((0-IFERROR(VALUE($G19&amp;""),0))&amp;""),0)=1,"Sobra","Sobran")&amp;"")&amp;" "&amp;IF(ISNUMBER((0-IFERROR(VALUE($G19&amp;""),0))),IF((0-IFERROR(VALUE($G19&amp;""),0))=0,"0",ROUND((0-IFERROR(VALUE($G19&amp;""),0)),9-INT(LOG10(ABS((0-IFERROR(VALUE($G19&amp;""),0))))))&amp;""),(0-IFERROR(VALUE($G19&amp;""),0))&amp;"")&amp;" "&amp;IF(ISNUMBER(IF(IFERROR(VALUE((0-IFERROR(VALUE($G19&amp;""),0))&amp;""),0)=1,"sesion","sesiones")),IF(IF(IFERROR(VALUE((0-IFERROR(VALUE($G19&amp;""),0))&amp;""),0)=1,"sesion","sesiones")=0,"0",ROUND(IF(IFERROR(VALUE((0-IFERROR(VALUE($G19&amp;""),0))&amp;""),0)=1,"sesion","sesiones"),9-INT(LOG10(ABS(IF(IFERROR(VALUE((0-IFERROR(VALUE($G19&amp;""),0))&amp;""),0)=1,"sesion","sesiones")))))&amp;""),IF(IFERROR(VALUE((0-IFERROR(VALUE($G19&amp;""),0))&amp;""),0)=1,"sesion","sesiones")&amp;"")),9-INT(LOG10(ABS((IF(ISNUMBER(IF(IFERROR(VALUE((0-IFERROR(VALUE($G19&amp;""),0))&amp;""),0)=1,"Sobra","Sobran")),IF(IF(IFERROR(VALUE((0-IFERROR(VALUE($G19&amp;""),0))&amp;""),0)=1,"Sobra","Sobran")=0,"0",ROUND(IF(IFERROR(VALUE((0-IFERROR(VALUE($G19&amp;""),0))&amp;""),0)=1,"Sobra","Sobran"),9-INT(LOG10(ABS(IF(IFERROR(VALUE((0-IFERROR(VALUE($G19&amp;""),0))&amp;""),0)=1,"Sobra","Sobran")))))&amp;""),IF(IFERROR(VALUE((0-IFERROR(VALUE($G19&amp;""),0))&amp;""),0)=1,"Sobra","Sobran")&amp;"")&amp;" "&amp;IF(ISNUMBER((0-IFERROR(VALUE($G19&amp;""),0))),IF((0-IFERROR(VALUE($G19&amp;""),0))=0,"0",ROUND((0-IFERROR(VALUE($G19&amp;""),0)),9-INT(LOG10(ABS((0-IFERROR(VALUE($G19&amp;""),0))))))&amp;""),(0-IFERROR(VALUE($G19&amp;""),0))&amp;"")&amp;" "&amp;IF(ISNUMBER(IF(IFERROR(VALUE((0-IFERROR(VALUE($G19&amp;""),0))&amp;""),0)=1,"sesion","sesiones")),IF(IF(IFERROR(VALUE((0-IFERROR(VALUE($G19&amp;""),0))&amp;""),0)=1,"sesion","sesiones")=0,"0",ROUND(IF(IFERROR(VALUE((0-IFERROR(VALUE($G19&amp;""),0))&amp;""),0)=1,"sesion","sesiones"),9-INT(LOG10(ABS(IF(IFERROR(VALUE((0-IFERROR(VALUE($G19&amp;""),0))&amp;""),0)=1,"sesion","sesiones")))))&amp;""),IF(IFERROR(VALUE((0-IFERROR(VALUE($G19&amp;""),0))&amp;""),0)=1,"sesion","sesiones")&amp;""))))))&amp;""),(IF(ISNUMBER(IF(IFERROR(VALUE((0-IFERROR(VALUE($G19&amp;""),0))&amp;""),0)=1,"Sobra","Sobran")),IF(IF(IFERROR(VALUE((0-IFERROR(VALUE($G19&amp;""),0))&amp;""),0)=1,"Sobra","Sobran")=0,"0",ROUND(IF(IFERROR(VALUE((0-IFERROR(VALUE($G19&amp;""),0))&amp;""),0)=1,"Sobra","Sobran"),9-INT(LOG10(ABS(IF(IFERROR(VALUE((0-IFERROR(VALUE($G19&amp;""),0))&amp;""),0)=1,"Sobra","Sobran")))))&amp;""),IF(IFERROR(VALUE((0-IFERROR(VALUE($G19&amp;""),0))&amp;""),0)=1,"Sobra","Sobran")&amp;"")&amp;" "&amp;IF(ISNUMBER((0-IFERROR(VALUE($G19&amp;""),0))),IF((0-IFERROR(VALUE($G19&amp;""),0))=0,"0",ROUND((0-IFERROR(VALUE($G19&amp;""),0)),9-INT(LOG10(ABS((0-IFERROR(VALUE($G19&amp;""),0))))))&amp;""),(0-IFERROR(VALUE($G19&amp;""),0))&amp;"")&amp;" "&amp;IF(ISNUMBER(IF(IFERROR(VALUE((0-IFERROR(VALUE($G19&amp;""),0))&amp;""),0)=1,"sesion","sesiones")),IF(IF(IFERROR(VALUE((0-IFERROR(VALUE($G19&amp;""),0))&amp;""),0)=1,"sesion","sesiones")=0,"0",ROUND(IF(IFERROR(VALUE((0-IFERROR(VALUE($G19&amp;""),0))&amp;""),0)=1,"sesion","sesiones"),9-INT(LOG10(ABS(IF(IFERROR(VALUE((0-IFERROR(VALUE($G19&amp;""),0))&amp;""),0)=1,"sesion","sesiones")))))&amp;""),IF(IFERROR(VALUE((0-IFERROR(VALUE($G19&amp;""),0))&amp;""),0)=1,"sesion","sesiones")&amp;""))&amp;""),""),3,32767)</f>
        <v/>
      </c>
      <c r="I19" s="3">
        <f>IF(OR((IFERROR(VALUE($G19&amp;""),0)&gt;0),(IFERROR(VALUE($G19&amp;""),0)&lt;0)),3,0)</f>
        <v/>
      </c>
    </row>
    <row r="20">
      <c r="A20" s="3" t="inlineStr">
        <is>
          <t>10-4</t>
        </is>
      </c>
      <c r="B20" s="3" t="inlineStr">
        <is>
          <t>Lit-L</t>
        </is>
      </c>
      <c r="C20" s="3" t="inlineStr">
        <is>
          <t>Profesor de Lit-L en 10-4</t>
        </is>
      </c>
      <c r="D20" s="3">
        <f>IF(ISNA(MATCH(1,INDEX(EXACT('Asignaturas'!$A$4:$A$18,$B20)*1,0),0)),"",IF(ISBLANK(INDEX('Asignaturas'!$B$4:$B$18,MATCH(1,INDEX(EXACT('Asignaturas'!$A$4:$A$18,$B20)*1,0),0))),"",INDEX('Asignaturas'!$B$4:$B$18,MATCH(1,INDEX(EXACT('Asignaturas'!$A$4:$A$18,$B20)*1,0),0))))</f>
        <v/>
      </c>
      <c r="E20" s="3">
        <f>IF(ISNA(MATCH(1,INDEX(EXACT('Asignaturas'!$A$4:$A$18,$B20)*1,0),0)),0,IF(ISBLANK(INDEX('Asignaturas'!$C$4:$C$18,MATCH(1,INDEX(EXACT('Asignaturas'!$A$4:$A$18,$B20)*1,0),0))),"",INDEX('Asignaturas'!$C$4:$C$18,MATCH(1,INDEX(EXACT('Asignaturas'!$A$4:$A$18,$B20)*1,0),0))))</f>
        <v/>
      </c>
      <c r="F20" s="3">
        <f>SUMPRODUCT(1*((EXACT('Casillas del horario'!$A$4:$A$73,$A20)))*((EXACT('Casillas del horario'!$D$4:$D$73,$B20))))</f>
        <v/>
      </c>
      <c r="G20" s="3">
        <f>(IFERROR(VALUE($E20&amp;""),0)-IFERROR(VALUE($F20&amp;""),0))</f>
        <v/>
      </c>
      <c r="H20" s="3">
        <f>MID(IF((IFERROR(VALUE($G20&amp;""),0)&gt;0),"; "&amp;IF(ISNUMBER((IF(ISNUMBER(IF(IFERROR(VALUE($G20&amp;""),0)=1,"Falta","Faltan")),IF(IF(IFERROR(VALUE($G20&amp;""),0)=1,"Falta","Faltan")=0,"0",ROUND(IF(IFERROR(VALUE($G20&amp;""),0)=1,"Falta","Faltan"),9-INT(LOG10(ABS(IF(IFERROR(VALUE($G20&amp;""),0)=1,"Falta","Faltan")))))&amp;""),IF(IFERROR(VALUE($G20&amp;""),0)=1,"Falta","Faltan")&amp;"")&amp;" "&amp;IF(ISNUMBER($G20),IF($G20=0,"0",ROUND($G20,9-INT(LOG10(ABS($G20))))&amp;""),$G20&amp;"")&amp;" "&amp;IF(ISNUMBER(IF(IFERROR(VALUE($G20&amp;""),0)=1,"sesion","sesiones")),IF(IF(IFERROR(VALUE($G20&amp;""),0)=1,"sesion","sesiones")=0,"0",ROUND(IF(IFERROR(VALUE($G20&amp;""),0)=1,"sesion","sesiones"),9-INT(LOG10(ABS(IF(IFERROR(VALUE($G20&amp;""),0)=1,"sesion","sesiones")))))&amp;""),IF(IFERROR(VALUE($G20&amp;""),0)=1,"sesion","sesiones")&amp;""))),IF((IF(ISNUMBER(IF(IFERROR(VALUE($G20&amp;""),0)=1,"Falta","Faltan")),IF(IF(IFERROR(VALUE($G20&amp;""),0)=1,"Falta","Faltan")=0,"0",ROUND(IF(IFERROR(VALUE($G20&amp;""),0)=1,"Falta","Faltan"),9-INT(LOG10(ABS(IF(IFERROR(VALUE($G20&amp;""),0)=1,"Falta","Faltan")))))&amp;""),IF(IFERROR(VALUE($G20&amp;""),0)=1,"Falta","Faltan")&amp;"")&amp;" "&amp;IF(ISNUMBER($G20),IF($G20=0,"0",ROUND($G20,9-INT(LOG10(ABS($G20))))&amp;""),$G20&amp;"")&amp;" "&amp;IF(ISNUMBER(IF(IFERROR(VALUE($G20&amp;""),0)=1,"sesion","sesiones")),IF(IF(IFERROR(VALUE($G20&amp;""),0)=1,"sesion","sesiones")=0,"0",ROUND(IF(IFERROR(VALUE($G20&amp;""),0)=1,"sesion","sesiones"),9-INT(LOG10(ABS(IF(IFERROR(VALUE($G20&amp;""),0)=1,"sesion","sesiones")))))&amp;""),IF(IFERROR(VALUE($G20&amp;""),0)=1,"sesion","sesiones")&amp;""))=0,"0",ROUND((IF(ISNUMBER(IF(IFERROR(VALUE($G20&amp;""),0)=1,"Falta","Faltan")),IF(IF(IFERROR(VALUE($G20&amp;""),0)=1,"Falta","Faltan")=0,"0",ROUND(IF(IFERROR(VALUE($G20&amp;""),0)=1,"Falta","Faltan"),9-INT(LOG10(ABS(IF(IFERROR(VALUE($G20&amp;""),0)=1,"Falta","Faltan")))))&amp;""),IF(IFERROR(VALUE($G20&amp;""),0)=1,"Falta","Faltan")&amp;"")&amp;" "&amp;IF(ISNUMBER($G20),IF($G20=0,"0",ROUND($G20,9-INT(LOG10(ABS($G20))))&amp;""),$G20&amp;"")&amp;" "&amp;IF(ISNUMBER(IF(IFERROR(VALUE($G20&amp;""),0)=1,"sesion","sesiones")),IF(IF(IFERROR(VALUE($G20&amp;""),0)=1,"sesion","sesiones")=0,"0",ROUND(IF(IFERROR(VALUE($G20&amp;""),0)=1,"sesion","sesiones"),9-INT(LOG10(ABS(IF(IFERROR(VALUE($G20&amp;""),0)=1,"sesion","sesiones")))))&amp;""),IF(IFERROR(VALUE($G20&amp;""),0)=1,"sesion","sesiones")&amp;"")),9-INT(LOG10(ABS((IF(ISNUMBER(IF(IFERROR(VALUE($G20&amp;""),0)=1,"Falta","Faltan")),IF(IF(IFERROR(VALUE($G20&amp;""),0)=1,"Falta","Faltan")=0,"0",ROUND(IF(IFERROR(VALUE($G20&amp;""),0)=1,"Falta","Faltan"),9-INT(LOG10(ABS(IF(IFERROR(VALUE($G20&amp;""),0)=1,"Falta","Faltan")))))&amp;""),IF(IFERROR(VALUE($G20&amp;""),0)=1,"Falta","Faltan")&amp;"")&amp;" "&amp;IF(ISNUMBER($G20),IF($G20=0,"0",ROUND($G20,9-INT(LOG10(ABS($G20))))&amp;""),$G20&amp;"")&amp;" "&amp;IF(ISNUMBER(IF(IFERROR(VALUE($G20&amp;""),0)=1,"sesion","sesiones")),IF(IF(IFERROR(VALUE($G20&amp;""),0)=1,"sesion","sesiones")=0,"0",ROUND(IF(IFERROR(VALUE($G20&amp;""),0)=1,"sesion","sesiones"),9-INT(LOG10(ABS(IF(IFERROR(VALUE($G20&amp;""),0)=1,"sesion","sesiones")))))&amp;""),IF(IFERROR(VALUE($G20&amp;""),0)=1,"sesion","sesiones")&amp;""))))))&amp;""),(IF(ISNUMBER(IF(IFERROR(VALUE($G20&amp;""),0)=1,"Falta","Faltan")),IF(IF(IFERROR(VALUE($G20&amp;""),0)=1,"Falta","Faltan")=0,"0",ROUND(IF(IFERROR(VALUE($G20&amp;""),0)=1,"Falta","Faltan"),9-INT(LOG10(ABS(IF(IFERROR(VALUE($G20&amp;""),0)=1,"Falta","Faltan")))))&amp;""),IF(IFERROR(VALUE($G20&amp;""),0)=1,"Falta","Faltan")&amp;"")&amp;" "&amp;IF(ISNUMBER($G20),IF($G20=0,"0",ROUND($G20,9-INT(LOG10(ABS($G20))))&amp;""),$G20&amp;"")&amp;" "&amp;IF(ISNUMBER(IF(IFERROR(VALUE($G20&amp;""),0)=1,"sesion","sesiones")),IF(IF(IFERROR(VALUE($G20&amp;""),0)=1,"sesion","sesiones")=0,"0",ROUND(IF(IFERROR(VALUE($G20&amp;""),0)=1,"sesion","sesiones"),9-INT(LOG10(ABS(IF(IFERROR(VALUE($G20&amp;""),0)=1,"sesion","sesiones")))))&amp;""),IF(IFERROR(VALUE($G20&amp;""),0)=1,"sesion","sesiones")&amp;""))&amp;""),"")&amp;IF((IFERROR(VALUE($G20&amp;""),0)&lt;0),"; "&amp;IF(ISNUMBER((IF(ISNUMBER(IF(IFERROR(VALUE((0-IFERROR(VALUE($G20&amp;""),0))&amp;""),0)=1,"Sobra","Sobran")),IF(IF(IFERROR(VALUE((0-IFERROR(VALUE($G20&amp;""),0))&amp;""),0)=1,"Sobra","Sobran")=0,"0",ROUND(IF(IFERROR(VALUE((0-IFERROR(VALUE($G20&amp;""),0))&amp;""),0)=1,"Sobra","Sobran"),9-INT(LOG10(ABS(IF(IFERROR(VALUE((0-IFERROR(VALUE($G20&amp;""),0))&amp;""),0)=1,"Sobra","Sobran")))))&amp;""),IF(IFERROR(VALUE((0-IFERROR(VALUE($G20&amp;""),0))&amp;""),0)=1,"Sobra","Sobran")&amp;"")&amp;" "&amp;IF(ISNUMBER((0-IFERROR(VALUE($G20&amp;""),0))),IF((0-IFERROR(VALUE($G20&amp;""),0))=0,"0",ROUND((0-IFERROR(VALUE($G20&amp;""),0)),9-INT(LOG10(ABS((0-IFERROR(VALUE($G20&amp;""),0))))))&amp;""),(0-IFERROR(VALUE($G20&amp;""),0))&amp;"")&amp;" "&amp;IF(ISNUMBER(IF(IFERROR(VALUE((0-IFERROR(VALUE($G20&amp;""),0))&amp;""),0)=1,"sesion","sesiones")),IF(IF(IFERROR(VALUE((0-IFERROR(VALUE($G20&amp;""),0))&amp;""),0)=1,"sesion","sesiones")=0,"0",ROUND(IF(IFERROR(VALUE((0-IFERROR(VALUE($G20&amp;""),0))&amp;""),0)=1,"sesion","sesiones"),9-INT(LOG10(ABS(IF(IFERROR(VALUE((0-IFERROR(VALUE($G20&amp;""),0))&amp;""),0)=1,"sesion","sesiones")))))&amp;""),IF(IFERROR(VALUE((0-IFERROR(VALUE($G20&amp;""),0))&amp;""),0)=1,"sesion","sesiones")&amp;""))),IF((IF(ISNUMBER(IF(IFERROR(VALUE((0-IFERROR(VALUE($G20&amp;""),0))&amp;""),0)=1,"Sobra","Sobran")),IF(IF(IFERROR(VALUE((0-IFERROR(VALUE($G20&amp;""),0))&amp;""),0)=1,"Sobra","Sobran")=0,"0",ROUND(IF(IFERROR(VALUE((0-IFERROR(VALUE($G20&amp;""),0))&amp;""),0)=1,"Sobra","Sobran"),9-INT(LOG10(ABS(IF(IFERROR(VALUE((0-IFERROR(VALUE($G20&amp;""),0))&amp;""),0)=1,"Sobra","Sobran")))))&amp;""),IF(IFERROR(VALUE((0-IFERROR(VALUE($G20&amp;""),0))&amp;""),0)=1,"Sobra","Sobran")&amp;"")&amp;" "&amp;IF(ISNUMBER((0-IFERROR(VALUE($G20&amp;""),0))),IF((0-IFERROR(VALUE($G20&amp;""),0))=0,"0",ROUND((0-IFERROR(VALUE($G20&amp;""),0)),9-INT(LOG10(ABS((0-IFERROR(VALUE($G20&amp;""),0))))))&amp;""),(0-IFERROR(VALUE($G20&amp;""),0))&amp;"")&amp;" "&amp;IF(ISNUMBER(IF(IFERROR(VALUE((0-IFERROR(VALUE($G20&amp;""),0))&amp;""),0)=1,"sesion","sesiones")),IF(IF(IFERROR(VALUE((0-IFERROR(VALUE($G20&amp;""),0))&amp;""),0)=1,"sesion","sesiones")=0,"0",ROUND(IF(IFERROR(VALUE((0-IFERROR(VALUE($G20&amp;""),0))&amp;""),0)=1,"sesion","sesiones"),9-INT(LOG10(ABS(IF(IFERROR(VALUE((0-IFERROR(VALUE($G20&amp;""),0))&amp;""),0)=1,"sesion","sesiones")))))&amp;""),IF(IFERROR(VALUE((0-IFERROR(VALUE($G20&amp;""),0))&amp;""),0)=1,"sesion","sesiones")&amp;""))=0,"0",ROUND((IF(ISNUMBER(IF(IFERROR(VALUE((0-IFERROR(VALUE($G20&amp;""),0))&amp;""),0)=1,"Sobra","Sobran")),IF(IF(IFERROR(VALUE((0-IFERROR(VALUE($G20&amp;""),0))&amp;""),0)=1,"Sobra","Sobran")=0,"0",ROUND(IF(IFERROR(VALUE((0-IFERROR(VALUE($G20&amp;""),0))&amp;""),0)=1,"Sobra","Sobran"),9-INT(LOG10(ABS(IF(IFERROR(VALUE((0-IFERROR(VALUE($G20&amp;""),0))&amp;""),0)=1,"Sobra","Sobran")))))&amp;""),IF(IFERROR(VALUE((0-IFERROR(VALUE($G20&amp;""),0))&amp;""),0)=1,"Sobra","Sobran")&amp;"")&amp;" "&amp;IF(ISNUMBER((0-IFERROR(VALUE($G20&amp;""),0))),IF((0-IFERROR(VALUE($G20&amp;""),0))=0,"0",ROUND((0-IFERROR(VALUE($G20&amp;""),0)),9-INT(LOG10(ABS((0-IFERROR(VALUE($G20&amp;""),0))))))&amp;""),(0-IFERROR(VALUE($G20&amp;""),0))&amp;"")&amp;" "&amp;IF(ISNUMBER(IF(IFERROR(VALUE((0-IFERROR(VALUE($G20&amp;""),0))&amp;""),0)=1,"sesion","sesiones")),IF(IF(IFERROR(VALUE((0-IFERROR(VALUE($G20&amp;""),0))&amp;""),0)=1,"sesion","sesiones")=0,"0",ROUND(IF(IFERROR(VALUE((0-IFERROR(VALUE($G20&amp;""),0))&amp;""),0)=1,"sesion","sesiones"),9-INT(LOG10(ABS(IF(IFERROR(VALUE((0-IFERROR(VALUE($G20&amp;""),0))&amp;""),0)=1,"sesion","sesiones")))))&amp;""),IF(IFERROR(VALUE((0-IFERROR(VALUE($G20&amp;""),0))&amp;""),0)=1,"sesion","sesiones")&amp;"")),9-INT(LOG10(ABS((IF(ISNUMBER(IF(IFERROR(VALUE((0-IFERROR(VALUE($G20&amp;""),0))&amp;""),0)=1,"Sobra","Sobran")),IF(IF(IFERROR(VALUE((0-IFERROR(VALUE($G20&amp;""),0))&amp;""),0)=1,"Sobra","Sobran")=0,"0",ROUND(IF(IFERROR(VALUE((0-IFERROR(VALUE($G20&amp;""),0))&amp;""),0)=1,"Sobra","Sobran"),9-INT(LOG10(ABS(IF(IFERROR(VALUE((0-IFERROR(VALUE($G20&amp;""),0))&amp;""),0)=1,"Sobra","Sobran")))))&amp;""),IF(IFERROR(VALUE((0-IFERROR(VALUE($G20&amp;""),0))&amp;""),0)=1,"Sobra","Sobran")&amp;"")&amp;" "&amp;IF(ISNUMBER((0-IFERROR(VALUE($G20&amp;""),0))),IF((0-IFERROR(VALUE($G20&amp;""),0))=0,"0",ROUND((0-IFERROR(VALUE($G20&amp;""),0)),9-INT(LOG10(ABS((0-IFERROR(VALUE($G20&amp;""),0))))))&amp;""),(0-IFERROR(VALUE($G20&amp;""),0))&amp;"")&amp;" "&amp;IF(ISNUMBER(IF(IFERROR(VALUE((0-IFERROR(VALUE($G20&amp;""),0))&amp;""),0)=1,"sesion","sesiones")),IF(IF(IFERROR(VALUE((0-IFERROR(VALUE($G20&amp;""),0))&amp;""),0)=1,"sesion","sesiones")=0,"0",ROUND(IF(IFERROR(VALUE((0-IFERROR(VALUE($G20&amp;""),0))&amp;""),0)=1,"sesion","sesiones"),9-INT(LOG10(ABS(IF(IFERROR(VALUE((0-IFERROR(VALUE($G20&amp;""),0))&amp;""),0)=1,"sesion","sesiones")))))&amp;""),IF(IFERROR(VALUE((0-IFERROR(VALUE($G20&amp;""),0))&amp;""),0)=1,"sesion","sesiones")&amp;""))))))&amp;""),(IF(ISNUMBER(IF(IFERROR(VALUE((0-IFERROR(VALUE($G20&amp;""),0))&amp;""),0)=1,"Sobra","Sobran")),IF(IF(IFERROR(VALUE((0-IFERROR(VALUE($G20&amp;""),0))&amp;""),0)=1,"Sobra","Sobran")=0,"0",ROUND(IF(IFERROR(VALUE((0-IFERROR(VALUE($G20&amp;""),0))&amp;""),0)=1,"Sobra","Sobran"),9-INT(LOG10(ABS(IF(IFERROR(VALUE((0-IFERROR(VALUE($G20&amp;""),0))&amp;""),0)=1,"Sobra","Sobran")))))&amp;""),IF(IFERROR(VALUE((0-IFERROR(VALUE($G20&amp;""),0))&amp;""),0)=1,"Sobra","Sobran")&amp;"")&amp;" "&amp;IF(ISNUMBER((0-IFERROR(VALUE($G20&amp;""),0))),IF((0-IFERROR(VALUE($G20&amp;""),0))=0,"0",ROUND((0-IFERROR(VALUE($G20&amp;""),0)),9-INT(LOG10(ABS((0-IFERROR(VALUE($G20&amp;""),0))))))&amp;""),(0-IFERROR(VALUE($G20&amp;""),0))&amp;"")&amp;" "&amp;IF(ISNUMBER(IF(IFERROR(VALUE((0-IFERROR(VALUE($G20&amp;""),0))&amp;""),0)=1,"sesion","sesiones")),IF(IF(IFERROR(VALUE((0-IFERROR(VALUE($G20&amp;""),0))&amp;""),0)=1,"sesion","sesiones")=0,"0",ROUND(IF(IFERROR(VALUE((0-IFERROR(VALUE($G20&amp;""),0))&amp;""),0)=1,"sesion","sesiones"),9-INT(LOG10(ABS(IF(IFERROR(VALUE((0-IFERROR(VALUE($G20&amp;""),0))&amp;""),0)=1,"sesion","sesiones")))))&amp;""),IF(IFERROR(VALUE((0-IFERROR(VALUE($G20&amp;""),0))&amp;""),0)=1,"sesion","sesiones")&amp;""))&amp;""),""),3,32767)</f>
        <v/>
      </c>
      <c r="I20" s="3">
        <f>IF(OR((IFERROR(VALUE($G20&amp;""),0)&gt;0),(IFERROR(VALUE($G20&amp;""),0)&lt;0)),3,0)</f>
        <v/>
      </c>
    </row>
    <row r="21">
      <c r="A21" s="3" t="inlineStr">
        <is>
          <t>10-4</t>
        </is>
      </c>
      <c r="B21" s="3" t="inlineStr">
        <is>
          <t>F</t>
        </is>
      </c>
      <c r="C21" s="3" t="inlineStr">
        <is>
          <t>Profesor de F en 10-4</t>
        </is>
      </c>
      <c r="D21" s="3">
        <f>IF(ISNA(MATCH(1,INDEX(EXACT('Asignaturas'!$A$4:$A$18,$B21)*1,0),0)),"",IF(ISBLANK(INDEX('Asignaturas'!$B$4:$B$18,MATCH(1,INDEX(EXACT('Asignaturas'!$A$4:$A$18,$B21)*1,0),0))),"",INDEX('Asignaturas'!$B$4:$B$18,MATCH(1,INDEX(EXACT('Asignaturas'!$A$4:$A$18,$B21)*1,0),0))))</f>
        <v/>
      </c>
      <c r="E21" s="3">
        <f>IF(ISNA(MATCH(1,INDEX(EXACT('Asignaturas'!$A$4:$A$18,$B21)*1,0),0)),0,IF(ISBLANK(INDEX('Asignaturas'!$C$4:$C$18,MATCH(1,INDEX(EXACT('Asignaturas'!$A$4:$A$18,$B21)*1,0),0))),"",INDEX('Asignaturas'!$C$4:$C$18,MATCH(1,INDEX(EXACT('Asignaturas'!$A$4:$A$18,$B21)*1,0),0))))</f>
        <v/>
      </c>
      <c r="F21" s="3">
        <f>SUMPRODUCT(1*((EXACT('Casillas del horario'!$A$4:$A$73,$A21)))*((EXACT('Casillas del horario'!$D$4:$D$73,$B21))))</f>
        <v/>
      </c>
      <c r="G21" s="3">
        <f>(IFERROR(VALUE($E21&amp;""),0)-IFERROR(VALUE($F21&amp;""),0))</f>
        <v/>
      </c>
      <c r="H21" s="3">
        <f>MID(IF((IFERROR(VALUE($G21&amp;""),0)&gt;0),"; "&amp;IF(ISNUMBER((IF(ISNUMBER(IF(IFERROR(VALUE($G21&amp;""),0)=1,"Falta","Faltan")),IF(IF(IFERROR(VALUE($G21&amp;""),0)=1,"Falta","Faltan")=0,"0",ROUND(IF(IFERROR(VALUE($G21&amp;""),0)=1,"Falta","Faltan"),9-INT(LOG10(ABS(IF(IFERROR(VALUE($G21&amp;""),0)=1,"Falta","Faltan")))))&amp;""),IF(IFERROR(VALUE($G21&amp;""),0)=1,"Falta","Faltan")&amp;"")&amp;" "&amp;IF(ISNUMBER($G21),IF($G21=0,"0",ROUND($G21,9-INT(LOG10(ABS($G21))))&amp;""),$G21&amp;"")&amp;" "&amp;IF(ISNUMBER(IF(IFERROR(VALUE($G21&amp;""),0)=1,"sesion","sesiones")),IF(IF(IFERROR(VALUE($G21&amp;""),0)=1,"sesion","sesiones")=0,"0",ROUND(IF(IFERROR(VALUE($G21&amp;""),0)=1,"sesion","sesiones"),9-INT(LOG10(ABS(IF(IFERROR(VALUE($G21&amp;""),0)=1,"sesion","sesiones")))))&amp;""),IF(IFERROR(VALUE($G21&amp;""),0)=1,"sesion","sesiones")&amp;""))),IF((IF(ISNUMBER(IF(IFERROR(VALUE($G21&amp;""),0)=1,"Falta","Faltan")),IF(IF(IFERROR(VALUE($G21&amp;""),0)=1,"Falta","Faltan")=0,"0",ROUND(IF(IFERROR(VALUE($G21&amp;""),0)=1,"Falta","Faltan"),9-INT(LOG10(ABS(IF(IFERROR(VALUE($G21&amp;""),0)=1,"Falta","Faltan")))))&amp;""),IF(IFERROR(VALUE($G21&amp;""),0)=1,"Falta","Faltan")&amp;"")&amp;" "&amp;IF(ISNUMBER($G21),IF($G21=0,"0",ROUND($G21,9-INT(LOG10(ABS($G21))))&amp;""),$G21&amp;"")&amp;" "&amp;IF(ISNUMBER(IF(IFERROR(VALUE($G21&amp;""),0)=1,"sesion","sesiones")),IF(IF(IFERROR(VALUE($G21&amp;""),0)=1,"sesion","sesiones")=0,"0",ROUND(IF(IFERROR(VALUE($G21&amp;""),0)=1,"sesion","sesiones"),9-INT(LOG10(ABS(IF(IFERROR(VALUE($G21&amp;""),0)=1,"sesion","sesiones")))))&amp;""),IF(IFERROR(VALUE($G21&amp;""),0)=1,"sesion","sesiones")&amp;""))=0,"0",ROUND((IF(ISNUMBER(IF(IFERROR(VALUE($G21&amp;""),0)=1,"Falta","Faltan")),IF(IF(IFERROR(VALUE($G21&amp;""),0)=1,"Falta","Faltan")=0,"0",ROUND(IF(IFERROR(VALUE($G21&amp;""),0)=1,"Falta","Faltan"),9-INT(LOG10(ABS(IF(IFERROR(VALUE($G21&amp;""),0)=1,"Falta","Faltan")))))&amp;""),IF(IFERROR(VALUE($G21&amp;""),0)=1,"Falta","Faltan")&amp;"")&amp;" "&amp;IF(ISNUMBER($G21),IF($G21=0,"0",ROUND($G21,9-INT(LOG10(ABS($G21))))&amp;""),$G21&amp;"")&amp;" "&amp;IF(ISNUMBER(IF(IFERROR(VALUE($G21&amp;""),0)=1,"sesion","sesiones")),IF(IF(IFERROR(VALUE($G21&amp;""),0)=1,"sesion","sesiones")=0,"0",ROUND(IF(IFERROR(VALUE($G21&amp;""),0)=1,"sesion","sesiones"),9-INT(LOG10(ABS(IF(IFERROR(VALUE($G21&amp;""),0)=1,"sesion","sesiones")))))&amp;""),IF(IFERROR(VALUE($G21&amp;""),0)=1,"sesion","sesiones")&amp;"")),9-INT(LOG10(ABS((IF(ISNUMBER(IF(IFERROR(VALUE($G21&amp;""),0)=1,"Falta","Faltan")),IF(IF(IFERROR(VALUE($G21&amp;""),0)=1,"Falta","Faltan")=0,"0",ROUND(IF(IFERROR(VALUE($G21&amp;""),0)=1,"Falta","Faltan"),9-INT(LOG10(ABS(IF(IFERROR(VALUE($G21&amp;""),0)=1,"Falta","Faltan")))))&amp;""),IF(IFERROR(VALUE($G21&amp;""),0)=1,"Falta","Faltan")&amp;"")&amp;" "&amp;IF(ISNUMBER($G21),IF($G21=0,"0",ROUND($G21,9-INT(LOG10(ABS($G21))))&amp;""),$G21&amp;"")&amp;" "&amp;IF(ISNUMBER(IF(IFERROR(VALUE($G21&amp;""),0)=1,"sesion","sesiones")),IF(IF(IFERROR(VALUE($G21&amp;""),0)=1,"sesion","sesiones")=0,"0",ROUND(IF(IFERROR(VALUE($G21&amp;""),0)=1,"sesion","sesiones"),9-INT(LOG10(ABS(IF(IFERROR(VALUE($G21&amp;""),0)=1,"sesion","sesiones")))))&amp;""),IF(IFERROR(VALUE($G21&amp;""),0)=1,"sesion","sesiones")&amp;""))))))&amp;""),(IF(ISNUMBER(IF(IFERROR(VALUE($G21&amp;""),0)=1,"Falta","Faltan")),IF(IF(IFERROR(VALUE($G21&amp;""),0)=1,"Falta","Faltan")=0,"0",ROUND(IF(IFERROR(VALUE($G21&amp;""),0)=1,"Falta","Faltan"),9-INT(LOG10(ABS(IF(IFERROR(VALUE($G21&amp;""),0)=1,"Falta","Faltan")))))&amp;""),IF(IFERROR(VALUE($G21&amp;""),0)=1,"Falta","Faltan")&amp;"")&amp;" "&amp;IF(ISNUMBER($G21),IF($G21=0,"0",ROUND($G21,9-INT(LOG10(ABS($G21))))&amp;""),$G21&amp;"")&amp;" "&amp;IF(ISNUMBER(IF(IFERROR(VALUE($G21&amp;""),0)=1,"sesion","sesiones")),IF(IF(IFERROR(VALUE($G21&amp;""),0)=1,"sesion","sesiones")=0,"0",ROUND(IF(IFERROR(VALUE($G21&amp;""),0)=1,"sesion","sesiones"),9-INT(LOG10(ABS(IF(IFERROR(VALUE($G21&amp;""),0)=1,"sesion","sesiones")))))&amp;""),IF(IFERROR(VALUE($G21&amp;""),0)=1,"sesion","sesiones")&amp;""))&amp;""),"")&amp;IF((IFERROR(VALUE($G21&amp;""),0)&lt;0),"; "&amp;IF(ISNUMBER((IF(ISNUMBER(IF(IFERROR(VALUE((0-IFERROR(VALUE($G21&amp;""),0))&amp;""),0)=1,"Sobra","Sobran")),IF(IF(IFERROR(VALUE((0-IFERROR(VALUE($G21&amp;""),0))&amp;""),0)=1,"Sobra","Sobran")=0,"0",ROUND(IF(IFERROR(VALUE((0-IFERROR(VALUE($G21&amp;""),0))&amp;""),0)=1,"Sobra","Sobran"),9-INT(LOG10(ABS(IF(IFERROR(VALUE((0-IFERROR(VALUE($G21&amp;""),0))&amp;""),0)=1,"Sobra","Sobran")))))&amp;""),IF(IFERROR(VALUE((0-IFERROR(VALUE($G21&amp;""),0))&amp;""),0)=1,"Sobra","Sobran")&amp;"")&amp;" "&amp;IF(ISNUMBER((0-IFERROR(VALUE($G21&amp;""),0))),IF((0-IFERROR(VALUE($G21&amp;""),0))=0,"0",ROUND((0-IFERROR(VALUE($G21&amp;""),0)),9-INT(LOG10(ABS((0-IFERROR(VALUE($G21&amp;""),0))))))&amp;""),(0-IFERROR(VALUE($G21&amp;""),0))&amp;"")&amp;" "&amp;IF(ISNUMBER(IF(IFERROR(VALUE((0-IFERROR(VALUE($G21&amp;""),0))&amp;""),0)=1,"sesion","sesiones")),IF(IF(IFERROR(VALUE((0-IFERROR(VALUE($G21&amp;""),0))&amp;""),0)=1,"sesion","sesiones")=0,"0",ROUND(IF(IFERROR(VALUE((0-IFERROR(VALUE($G21&amp;""),0))&amp;""),0)=1,"sesion","sesiones"),9-INT(LOG10(ABS(IF(IFERROR(VALUE((0-IFERROR(VALUE($G21&amp;""),0))&amp;""),0)=1,"sesion","sesiones")))))&amp;""),IF(IFERROR(VALUE((0-IFERROR(VALUE($G21&amp;""),0))&amp;""),0)=1,"sesion","sesiones")&amp;""))),IF((IF(ISNUMBER(IF(IFERROR(VALUE((0-IFERROR(VALUE($G21&amp;""),0))&amp;""),0)=1,"Sobra","Sobran")),IF(IF(IFERROR(VALUE((0-IFERROR(VALUE($G21&amp;""),0))&amp;""),0)=1,"Sobra","Sobran")=0,"0",ROUND(IF(IFERROR(VALUE((0-IFERROR(VALUE($G21&amp;""),0))&amp;""),0)=1,"Sobra","Sobran"),9-INT(LOG10(ABS(IF(IFERROR(VALUE((0-IFERROR(VALUE($G21&amp;""),0))&amp;""),0)=1,"Sobra","Sobran")))))&amp;""),IF(IFERROR(VALUE((0-IFERROR(VALUE($G21&amp;""),0))&amp;""),0)=1,"Sobra","Sobran")&amp;"")&amp;" "&amp;IF(ISNUMBER((0-IFERROR(VALUE($G21&amp;""),0))),IF((0-IFERROR(VALUE($G21&amp;""),0))=0,"0",ROUND((0-IFERROR(VALUE($G21&amp;""),0)),9-INT(LOG10(ABS((0-IFERROR(VALUE($G21&amp;""),0))))))&amp;""),(0-IFERROR(VALUE($G21&amp;""),0))&amp;"")&amp;" "&amp;IF(ISNUMBER(IF(IFERROR(VALUE((0-IFERROR(VALUE($G21&amp;""),0))&amp;""),0)=1,"sesion","sesiones")),IF(IF(IFERROR(VALUE((0-IFERROR(VALUE($G21&amp;""),0))&amp;""),0)=1,"sesion","sesiones")=0,"0",ROUND(IF(IFERROR(VALUE((0-IFERROR(VALUE($G21&amp;""),0))&amp;""),0)=1,"sesion","sesiones"),9-INT(LOG10(ABS(IF(IFERROR(VALUE((0-IFERROR(VALUE($G21&amp;""),0))&amp;""),0)=1,"sesion","sesiones")))))&amp;""),IF(IFERROR(VALUE((0-IFERROR(VALUE($G21&amp;""),0))&amp;""),0)=1,"sesion","sesiones")&amp;""))=0,"0",ROUND((IF(ISNUMBER(IF(IFERROR(VALUE((0-IFERROR(VALUE($G21&amp;""),0))&amp;""),0)=1,"Sobra","Sobran")),IF(IF(IFERROR(VALUE((0-IFERROR(VALUE($G21&amp;""),0))&amp;""),0)=1,"Sobra","Sobran")=0,"0",ROUND(IF(IFERROR(VALUE((0-IFERROR(VALUE($G21&amp;""),0))&amp;""),0)=1,"Sobra","Sobran"),9-INT(LOG10(ABS(IF(IFERROR(VALUE((0-IFERROR(VALUE($G21&amp;""),0))&amp;""),0)=1,"Sobra","Sobran")))))&amp;""),IF(IFERROR(VALUE((0-IFERROR(VALUE($G21&amp;""),0))&amp;""),0)=1,"Sobra","Sobran")&amp;"")&amp;" "&amp;IF(ISNUMBER((0-IFERROR(VALUE($G21&amp;""),0))),IF((0-IFERROR(VALUE($G21&amp;""),0))=0,"0",ROUND((0-IFERROR(VALUE($G21&amp;""),0)),9-INT(LOG10(ABS((0-IFERROR(VALUE($G21&amp;""),0))))))&amp;""),(0-IFERROR(VALUE($G21&amp;""),0))&amp;"")&amp;" "&amp;IF(ISNUMBER(IF(IFERROR(VALUE((0-IFERROR(VALUE($G21&amp;""),0))&amp;""),0)=1,"sesion","sesiones")),IF(IF(IFERROR(VALUE((0-IFERROR(VALUE($G21&amp;""),0))&amp;""),0)=1,"sesion","sesiones")=0,"0",ROUND(IF(IFERROR(VALUE((0-IFERROR(VALUE($G21&amp;""),0))&amp;""),0)=1,"sesion","sesiones"),9-INT(LOG10(ABS(IF(IFERROR(VALUE((0-IFERROR(VALUE($G21&amp;""),0))&amp;""),0)=1,"sesion","sesiones")))))&amp;""),IF(IFERROR(VALUE((0-IFERROR(VALUE($G21&amp;""),0))&amp;""),0)=1,"sesion","sesiones")&amp;"")),9-INT(LOG10(ABS((IF(ISNUMBER(IF(IFERROR(VALUE((0-IFERROR(VALUE($G21&amp;""),0))&amp;""),0)=1,"Sobra","Sobran")),IF(IF(IFERROR(VALUE((0-IFERROR(VALUE($G21&amp;""),0))&amp;""),0)=1,"Sobra","Sobran")=0,"0",ROUND(IF(IFERROR(VALUE((0-IFERROR(VALUE($G21&amp;""),0))&amp;""),0)=1,"Sobra","Sobran"),9-INT(LOG10(ABS(IF(IFERROR(VALUE((0-IFERROR(VALUE($G21&amp;""),0))&amp;""),0)=1,"Sobra","Sobran")))))&amp;""),IF(IFERROR(VALUE((0-IFERROR(VALUE($G21&amp;""),0))&amp;""),0)=1,"Sobra","Sobran")&amp;"")&amp;" "&amp;IF(ISNUMBER((0-IFERROR(VALUE($G21&amp;""),0))),IF((0-IFERROR(VALUE($G21&amp;""),0))=0,"0",ROUND((0-IFERROR(VALUE($G21&amp;""),0)),9-INT(LOG10(ABS((0-IFERROR(VALUE($G21&amp;""),0))))))&amp;""),(0-IFERROR(VALUE($G21&amp;""),0))&amp;"")&amp;" "&amp;IF(ISNUMBER(IF(IFERROR(VALUE((0-IFERROR(VALUE($G21&amp;""),0))&amp;""),0)=1,"sesion","sesiones")),IF(IF(IFERROR(VALUE((0-IFERROR(VALUE($G21&amp;""),0))&amp;""),0)=1,"sesion","sesiones")=0,"0",ROUND(IF(IFERROR(VALUE((0-IFERROR(VALUE($G21&amp;""),0))&amp;""),0)=1,"sesion","sesiones"),9-INT(LOG10(ABS(IF(IFERROR(VALUE((0-IFERROR(VALUE($G21&amp;""),0))&amp;""),0)=1,"sesion","sesiones")))))&amp;""),IF(IFERROR(VALUE((0-IFERROR(VALUE($G21&amp;""),0))&amp;""),0)=1,"sesion","sesiones")&amp;""))))))&amp;""),(IF(ISNUMBER(IF(IFERROR(VALUE((0-IFERROR(VALUE($G21&amp;""),0))&amp;""),0)=1,"Sobra","Sobran")),IF(IF(IFERROR(VALUE((0-IFERROR(VALUE($G21&amp;""),0))&amp;""),0)=1,"Sobra","Sobran")=0,"0",ROUND(IF(IFERROR(VALUE((0-IFERROR(VALUE($G21&amp;""),0))&amp;""),0)=1,"Sobra","Sobran"),9-INT(LOG10(ABS(IF(IFERROR(VALUE((0-IFERROR(VALUE($G21&amp;""),0))&amp;""),0)=1,"Sobra","Sobran")))))&amp;""),IF(IFERROR(VALUE((0-IFERROR(VALUE($G21&amp;""),0))&amp;""),0)=1,"Sobra","Sobran")&amp;"")&amp;" "&amp;IF(ISNUMBER((0-IFERROR(VALUE($G21&amp;""),0))),IF((0-IFERROR(VALUE($G21&amp;""),0))=0,"0",ROUND((0-IFERROR(VALUE($G21&amp;""),0)),9-INT(LOG10(ABS((0-IFERROR(VALUE($G21&amp;""),0))))))&amp;""),(0-IFERROR(VALUE($G21&amp;""),0))&amp;"")&amp;" "&amp;IF(ISNUMBER(IF(IFERROR(VALUE((0-IFERROR(VALUE($G21&amp;""),0))&amp;""),0)=1,"sesion","sesiones")),IF(IF(IFERROR(VALUE((0-IFERROR(VALUE($G21&amp;""),0))&amp;""),0)=1,"sesion","sesiones")=0,"0",ROUND(IF(IFERROR(VALUE((0-IFERROR(VALUE($G21&amp;""),0))&amp;""),0)=1,"sesion","sesiones"),9-INT(LOG10(ABS(IF(IFERROR(VALUE((0-IFERROR(VALUE($G21&amp;""),0))&amp;""),0)=1,"sesion","sesiones")))))&amp;""),IF(IFERROR(VALUE((0-IFERROR(VALUE($G21&amp;""),0))&amp;""),0)=1,"sesion","sesiones")&amp;""))&amp;""),""),3,32767)</f>
        <v/>
      </c>
      <c r="I21" s="3">
        <f>IF(OR((IFERROR(VALUE($G21&amp;""),0)&gt;0),(IFERROR(VALUE($G21&amp;""),0)&lt;0)),3,0)</f>
        <v/>
      </c>
    </row>
    <row r="22">
      <c r="A22" s="3" t="inlineStr">
        <is>
          <t>10-4</t>
        </is>
      </c>
      <c r="B22" s="3" t="inlineStr">
        <is>
          <t>I</t>
        </is>
      </c>
      <c r="C22" s="3" t="inlineStr">
        <is>
          <t>Profesor de I en 10-4</t>
        </is>
      </c>
      <c r="D22" s="3">
        <f>IF(ISNA(MATCH(1,INDEX(EXACT('Asignaturas'!$A$4:$A$18,$B22)*1,0),0)),"",IF(ISBLANK(INDEX('Asignaturas'!$B$4:$B$18,MATCH(1,INDEX(EXACT('Asignaturas'!$A$4:$A$18,$B22)*1,0),0))),"",INDEX('Asignaturas'!$B$4:$B$18,MATCH(1,INDEX(EXACT('Asignaturas'!$A$4:$A$18,$B22)*1,0),0))))</f>
        <v/>
      </c>
      <c r="E22" s="3">
        <f>IF(ISNA(MATCH(1,INDEX(EXACT('Asignaturas'!$A$4:$A$18,$B22)*1,0),0)),0,IF(ISBLANK(INDEX('Asignaturas'!$C$4:$C$18,MATCH(1,INDEX(EXACT('Asignaturas'!$A$4:$A$18,$B22)*1,0),0))),"",INDEX('Asignaturas'!$C$4:$C$18,MATCH(1,INDEX(EXACT('Asignaturas'!$A$4:$A$18,$B22)*1,0),0))))</f>
        <v/>
      </c>
      <c r="F22" s="3">
        <f>SUMPRODUCT(1*((EXACT('Casillas del horario'!$A$4:$A$73,$A22)))*((EXACT('Casillas del horario'!$D$4:$D$73,$B22))))</f>
        <v/>
      </c>
      <c r="G22" s="3">
        <f>(IFERROR(VALUE($E22&amp;""),0)-IFERROR(VALUE($F22&amp;""),0))</f>
        <v/>
      </c>
      <c r="H22" s="3">
        <f>MID(IF((IFERROR(VALUE($G22&amp;""),0)&gt;0),"; "&amp;IF(ISNUMBER((IF(ISNUMBER(IF(IFERROR(VALUE($G22&amp;""),0)=1,"Falta","Faltan")),IF(IF(IFERROR(VALUE($G22&amp;""),0)=1,"Falta","Faltan")=0,"0",ROUND(IF(IFERROR(VALUE($G22&amp;""),0)=1,"Falta","Faltan"),9-INT(LOG10(ABS(IF(IFERROR(VALUE($G22&amp;""),0)=1,"Falta","Faltan")))))&amp;""),IF(IFERROR(VALUE($G22&amp;""),0)=1,"Falta","Faltan")&amp;"")&amp;" "&amp;IF(ISNUMBER($G22),IF($G22=0,"0",ROUND($G22,9-INT(LOG10(ABS($G22))))&amp;""),$G22&amp;"")&amp;" "&amp;IF(ISNUMBER(IF(IFERROR(VALUE($G22&amp;""),0)=1,"sesion","sesiones")),IF(IF(IFERROR(VALUE($G22&amp;""),0)=1,"sesion","sesiones")=0,"0",ROUND(IF(IFERROR(VALUE($G22&amp;""),0)=1,"sesion","sesiones"),9-INT(LOG10(ABS(IF(IFERROR(VALUE($G22&amp;""),0)=1,"sesion","sesiones")))))&amp;""),IF(IFERROR(VALUE($G22&amp;""),0)=1,"sesion","sesiones")&amp;""))),IF((IF(ISNUMBER(IF(IFERROR(VALUE($G22&amp;""),0)=1,"Falta","Faltan")),IF(IF(IFERROR(VALUE($G22&amp;""),0)=1,"Falta","Faltan")=0,"0",ROUND(IF(IFERROR(VALUE($G22&amp;""),0)=1,"Falta","Faltan"),9-INT(LOG10(ABS(IF(IFERROR(VALUE($G22&amp;""),0)=1,"Falta","Faltan")))))&amp;""),IF(IFERROR(VALUE($G22&amp;""),0)=1,"Falta","Faltan")&amp;"")&amp;" "&amp;IF(ISNUMBER($G22),IF($G22=0,"0",ROUND($G22,9-INT(LOG10(ABS($G22))))&amp;""),$G22&amp;"")&amp;" "&amp;IF(ISNUMBER(IF(IFERROR(VALUE($G22&amp;""),0)=1,"sesion","sesiones")),IF(IF(IFERROR(VALUE($G22&amp;""),0)=1,"sesion","sesiones")=0,"0",ROUND(IF(IFERROR(VALUE($G22&amp;""),0)=1,"sesion","sesiones"),9-INT(LOG10(ABS(IF(IFERROR(VALUE($G22&amp;""),0)=1,"sesion","sesiones")))))&amp;""),IF(IFERROR(VALUE($G22&amp;""),0)=1,"sesion","sesiones")&amp;""))=0,"0",ROUND((IF(ISNUMBER(IF(IFERROR(VALUE($G22&amp;""),0)=1,"Falta","Faltan")),IF(IF(IFERROR(VALUE($G22&amp;""),0)=1,"Falta","Faltan")=0,"0",ROUND(IF(IFERROR(VALUE($G22&amp;""),0)=1,"Falta","Faltan"),9-INT(LOG10(ABS(IF(IFERROR(VALUE($G22&amp;""),0)=1,"Falta","Faltan")))))&amp;""),IF(IFERROR(VALUE($G22&amp;""),0)=1,"Falta","Faltan")&amp;"")&amp;" "&amp;IF(ISNUMBER($G22),IF($G22=0,"0",ROUND($G22,9-INT(LOG10(ABS($G22))))&amp;""),$G22&amp;"")&amp;" "&amp;IF(ISNUMBER(IF(IFERROR(VALUE($G22&amp;""),0)=1,"sesion","sesiones")),IF(IF(IFERROR(VALUE($G22&amp;""),0)=1,"sesion","sesiones")=0,"0",ROUND(IF(IFERROR(VALUE($G22&amp;""),0)=1,"sesion","sesiones"),9-INT(LOG10(ABS(IF(IFERROR(VALUE($G22&amp;""),0)=1,"sesion","sesiones")))))&amp;""),IF(IFERROR(VALUE($G22&amp;""),0)=1,"sesion","sesiones")&amp;"")),9-INT(LOG10(ABS((IF(ISNUMBER(IF(IFERROR(VALUE($G22&amp;""),0)=1,"Falta","Faltan")),IF(IF(IFERROR(VALUE($G22&amp;""),0)=1,"Falta","Faltan")=0,"0",ROUND(IF(IFERROR(VALUE($G22&amp;""),0)=1,"Falta","Faltan"),9-INT(LOG10(ABS(IF(IFERROR(VALUE($G22&amp;""),0)=1,"Falta","Faltan")))))&amp;""),IF(IFERROR(VALUE($G22&amp;""),0)=1,"Falta","Faltan")&amp;"")&amp;" "&amp;IF(ISNUMBER($G22),IF($G22=0,"0",ROUND($G22,9-INT(LOG10(ABS($G22))))&amp;""),$G22&amp;"")&amp;" "&amp;IF(ISNUMBER(IF(IFERROR(VALUE($G22&amp;""),0)=1,"sesion","sesiones")),IF(IF(IFERROR(VALUE($G22&amp;""),0)=1,"sesion","sesiones")=0,"0",ROUND(IF(IFERROR(VALUE($G22&amp;""),0)=1,"sesion","sesiones"),9-INT(LOG10(ABS(IF(IFERROR(VALUE($G22&amp;""),0)=1,"sesion","sesiones")))))&amp;""),IF(IFERROR(VALUE($G22&amp;""),0)=1,"sesion","sesiones")&amp;""))))))&amp;""),(IF(ISNUMBER(IF(IFERROR(VALUE($G22&amp;""),0)=1,"Falta","Faltan")),IF(IF(IFERROR(VALUE($G22&amp;""),0)=1,"Falta","Faltan")=0,"0",ROUND(IF(IFERROR(VALUE($G22&amp;""),0)=1,"Falta","Faltan"),9-INT(LOG10(ABS(IF(IFERROR(VALUE($G22&amp;""),0)=1,"Falta","Faltan")))))&amp;""),IF(IFERROR(VALUE($G22&amp;""),0)=1,"Falta","Faltan")&amp;"")&amp;" "&amp;IF(ISNUMBER($G22),IF($G22=0,"0",ROUND($G22,9-INT(LOG10(ABS($G22))))&amp;""),$G22&amp;"")&amp;" "&amp;IF(ISNUMBER(IF(IFERROR(VALUE($G22&amp;""),0)=1,"sesion","sesiones")),IF(IF(IFERROR(VALUE($G22&amp;""),0)=1,"sesion","sesiones")=0,"0",ROUND(IF(IFERROR(VALUE($G22&amp;""),0)=1,"sesion","sesiones"),9-INT(LOG10(ABS(IF(IFERROR(VALUE($G22&amp;""),0)=1,"sesion","sesiones")))))&amp;""),IF(IFERROR(VALUE($G22&amp;""),0)=1,"sesion","sesiones")&amp;""))&amp;""),"")&amp;IF((IFERROR(VALUE($G22&amp;""),0)&lt;0),"; "&amp;IF(ISNUMBER((IF(ISNUMBER(IF(IFERROR(VALUE((0-IFERROR(VALUE($G22&amp;""),0))&amp;""),0)=1,"Sobra","Sobran")),IF(IF(IFERROR(VALUE((0-IFERROR(VALUE($G22&amp;""),0))&amp;""),0)=1,"Sobra","Sobran")=0,"0",ROUND(IF(IFERROR(VALUE((0-IFERROR(VALUE($G22&amp;""),0))&amp;""),0)=1,"Sobra","Sobran"),9-INT(LOG10(ABS(IF(IFERROR(VALUE((0-IFERROR(VALUE($G22&amp;""),0))&amp;""),0)=1,"Sobra","Sobran")))))&amp;""),IF(IFERROR(VALUE((0-IFERROR(VALUE($G22&amp;""),0))&amp;""),0)=1,"Sobra","Sobran")&amp;"")&amp;" "&amp;IF(ISNUMBER((0-IFERROR(VALUE($G22&amp;""),0))),IF((0-IFERROR(VALUE($G22&amp;""),0))=0,"0",ROUND((0-IFERROR(VALUE($G22&amp;""),0)),9-INT(LOG10(ABS((0-IFERROR(VALUE($G22&amp;""),0))))))&amp;""),(0-IFERROR(VALUE($G22&amp;""),0))&amp;"")&amp;" "&amp;IF(ISNUMBER(IF(IFERROR(VALUE((0-IFERROR(VALUE($G22&amp;""),0))&amp;""),0)=1,"sesion","sesiones")),IF(IF(IFERROR(VALUE((0-IFERROR(VALUE($G22&amp;""),0))&amp;""),0)=1,"sesion","sesiones")=0,"0",ROUND(IF(IFERROR(VALUE((0-IFERROR(VALUE($G22&amp;""),0))&amp;""),0)=1,"sesion","sesiones"),9-INT(LOG10(ABS(IF(IFERROR(VALUE((0-IFERROR(VALUE($G22&amp;""),0))&amp;""),0)=1,"sesion","sesiones")))))&amp;""),IF(IFERROR(VALUE((0-IFERROR(VALUE($G22&amp;""),0))&amp;""),0)=1,"sesion","sesiones")&amp;""))),IF((IF(ISNUMBER(IF(IFERROR(VALUE((0-IFERROR(VALUE($G22&amp;""),0))&amp;""),0)=1,"Sobra","Sobran")),IF(IF(IFERROR(VALUE((0-IFERROR(VALUE($G22&amp;""),0))&amp;""),0)=1,"Sobra","Sobran")=0,"0",ROUND(IF(IFERROR(VALUE((0-IFERROR(VALUE($G22&amp;""),0))&amp;""),0)=1,"Sobra","Sobran"),9-INT(LOG10(ABS(IF(IFERROR(VALUE((0-IFERROR(VALUE($G22&amp;""),0))&amp;""),0)=1,"Sobra","Sobran")))))&amp;""),IF(IFERROR(VALUE((0-IFERROR(VALUE($G22&amp;""),0))&amp;""),0)=1,"Sobra","Sobran")&amp;"")&amp;" "&amp;IF(ISNUMBER((0-IFERROR(VALUE($G22&amp;""),0))),IF((0-IFERROR(VALUE($G22&amp;""),0))=0,"0",ROUND((0-IFERROR(VALUE($G22&amp;""),0)),9-INT(LOG10(ABS((0-IFERROR(VALUE($G22&amp;""),0))))))&amp;""),(0-IFERROR(VALUE($G22&amp;""),0))&amp;"")&amp;" "&amp;IF(ISNUMBER(IF(IFERROR(VALUE((0-IFERROR(VALUE($G22&amp;""),0))&amp;""),0)=1,"sesion","sesiones")),IF(IF(IFERROR(VALUE((0-IFERROR(VALUE($G22&amp;""),0))&amp;""),0)=1,"sesion","sesiones")=0,"0",ROUND(IF(IFERROR(VALUE((0-IFERROR(VALUE($G22&amp;""),0))&amp;""),0)=1,"sesion","sesiones"),9-INT(LOG10(ABS(IF(IFERROR(VALUE((0-IFERROR(VALUE($G22&amp;""),0))&amp;""),0)=1,"sesion","sesiones")))))&amp;""),IF(IFERROR(VALUE((0-IFERROR(VALUE($G22&amp;""),0))&amp;""),0)=1,"sesion","sesiones")&amp;""))=0,"0",ROUND((IF(ISNUMBER(IF(IFERROR(VALUE((0-IFERROR(VALUE($G22&amp;""),0))&amp;""),0)=1,"Sobra","Sobran")),IF(IF(IFERROR(VALUE((0-IFERROR(VALUE($G22&amp;""),0))&amp;""),0)=1,"Sobra","Sobran")=0,"0",ROUND(IF(IFERROR(VALUE((0-IFERROR(VALUE($G22&amp;""),0))&amp;""),0)=1,"Sobra","Sobran"),9-INT(LOG10(ABS(IF(IFERROR(VALUE((0-IFERROR(VALUE($G22&amp;""),0))&amp;""),0)=1,"Sobra","Sobran")))))&amp;""),IF(IFERROR(VALUE((0-IFERROR(VALUE($G22&amp;""),0))&amp;""),0)=1,"Sobra","Sobran")&amp;"")&amp;" "&amp;IF(ISNUMBER((0-IFERROR(VALUE($G22&amp;""),0))),IF((0-IFERROR(VALUE($G22&amp;""),0))=0,"0",ROUND((0-IFERROR(VALUE($G22&amp;""),0)),9-INT(LOG10(ABS((0-IFERROR(VALUE($G22&amp;""),0))))))&amp;""),(0-IFERROR(VALUE($G22&amp;""),0))&amp;"")&amp;" "&amp;IF(ISNUMBER(IF(IFERROR(VALUE((0-IFERROR(VALUE($G22&amp;""),0))&amp;""),0)=1,"sesion","sesiones")),IF(IF(IFERROR(VALUE((0-IFERROR(VALUE($G22&amp;""),0))&amp;""),0)=1,"sesion","sesiones")=0,"0",ROUND(IF(IFERROR(VALUE((0-IFERROR(VALUE($G22&amp;""),0))&amp;""),0)=1,"sesion","sesiones"),9-INT(LOG10(ABS(IF(IFERROR(VALUE((0-IFERROR(VALUE($G22&amp;""),0))&amp;""),0)=1,"sesion","sesiones")))))&amp;""),IF(IFERROR(VALUE((0-IFERROR(VALUE($G22&amp;""),0))&amp;""),0)=1,"sesion","sesiones")&amp;"")),9-INT(LOG10(ABS((IF(ISNUMBER(IF(IFERROR(VALUE((0-IFERROR(VALUE($G22&amp;""),0))&amp;""),0)=1,"Sobra","Sobran")),IF(IF(IFERROR(VALUE((0-IFERROR(VALUE($G22&amp;""),0))&amp;""),0)=1,"Sobra","Sobran")=0,"0",ROUND(IF(IFERROR(VALUE((0-IFERROR(VALUE($G22&amp;""),0))&amp;""),0)=1,"Sobra","Sobran"),9-INT(LOG10(ABS(IF(IFERROR(VALUE((0-IFERROR(VALUE($G22&amp;""),0))&amp;""),0)=1,"Sobra","Sobran")))))&amp;""),IF(IFERROR(VALUE((0-IFERROR(VALUE($G22&amp;""),0))&amp;""),0)=1,"Sobra","Sobran")&amp;"")&amp;" "&amp;IF(ISNUMBER((0-IFERROR(VALUE($G22&amp;""),0))),IF((0-IFERROR(VALUE($G22&amp;""),0))=0,"0",ROUND((0-IFERROR(VALUE($G22&amp;""),0)),9-INT(LOG10(ABS((0-IFERROR(VALUE($G22&amp;""),0))))))&amp;""),(0-IFERROR(VALUE($G22&amp;""),0))&amp;"")&amp;" "&amp;IF(ISNUMBER(IF(IFERROR(VALUE((0-IFERROR(VALUE($G22&amp;""),0))&amp;""),0)=1,"sesion","sesiones")),IF(IF(IFERROR(VALUE((0-IFERROR(VALUE($G22&amp;""),0))&amp;""),0)=1,"sesion","sesiones")=0,"0",ROUND(IF(IFERROR(VALUE((0-IFERROR(VALUE($G22&amp;""),0))&amp;""),0)=1,"sesion","sesiones"),9-INT(LOG10(ABS(IF(IFERROR(VALUE((0-IFERROR(VALUE($G22&amp;""),0))&amp;""),0)=1,"sesion","sesiones")))))&amp;""),IF(IFERROR(VALUE((0-IFERROR(VALUE($G22&amp;""),0))&amp;""),0)=1,"sesion","sesiones")&amp;""))))))&amp;""),(IF(ISNUMBER(IF(IFERROR(VALUE((0-IFERROR(VALUE($G22&amp;""),0))&amp;""),0)=1,"Sobra","Sobran")),IF(IF(IFERROR(VALUE((0-IFERROR(VALUE($G22&amp;""),0))&amp;""),0)=1,"Sobra","Sobran")=0,"0",ROUND(IF(IFERROR(VALUE((0-IFERROR(VALUE($G22&amp;""),0))&amp;""),0)=1,"Sobra","Sobran"),9-INT(LOG10(ABS(IF(IFERROR(VALUE((0-IFERROR(VALUE($G22&amp;""),0))&amp;""),0)=1,"Sobra","Sobran")))))&amp;""),IF(IFERROR(VALUE((0-IFERROR(VALUE($G22&amp;""),0))&amp;""),0)=1,"Sobra","Sobran")&amp;"")&amp;" "&amp;IF(ISNUMBER((0-IFERROR(VALUE($G22&amp;""),0))),IF((0-IFERROR(VALUE($G22&amp;""),0))=0,"0",ROUND((0-IFERROR(VALUE($G22&amp;""),0)),9-INT(LOG10(ABS((0-IFERROR(VALUE($G22&amp;""),0))))))&amp;""),(0-IFERROR(VALUE($G22&amp;""),0))&amp;"")&amp;" "&amp;IF(ISNUMBER(IF(IFERROR(VALUE((0-IFERROR(VALUE($G22&amp;""),0))&amp;""),0)=1,"sesion","sesiones")),IF(IF(IFERROR(VALUE((0-IFERROR(VALUE($G22&amp;""),0))&amp;""),0)=1,"sesion","sesiones")=0,"0",ROUND(IF(IFERROR(VALUE((0-IFERROR(VALUE($G22&amp;""),0))&amp;""),0)=1,"sesion","sesiones"),9-INT(LOG10(ABS(IF(IFERROR(VALUE((0-IFERROR(VALUE($G22&amp;""),0))&amp;""),0)=1,"sesion","sesiones")))))&amp;""),IF(IFERROR(VALUE((0-IFERROR(VALUE($G22&amp;""),0))&amp;""),0)=1,"sesion","sesiones")&amp;""))&amp;""),""),3,32767)</f>
        <v/>
      </c>
      <c r="I22" s="3">
        <f>IF(OR((IFERROR(VALUE($G22&amp;""),0)&gt;0),(IFERROR(VALUE($G22&amp;""),0)&lt;0)),3,0)</f>
        <v/>
      </c>
    </row>
    <row r="23">
      <c r="A23" s="3" t="inlineStr">
        <is>
          <t>10-4</t>
        </is>
      </c>
      <c r="B23" s="3" t="inlineStr">
        <is>
          <t>H</t>
        </is>
      </c>
      <c r="C23" s="3" t="inlineStr">
        <is>
          <t>Profesor de H en 10-4</t>
        </is>
      </c>
      <c r="D23" s="3">
        <f>IF(ISNA(MATCH(1,INDEX(EXACT('Asignaturas'!$A$4:$A$18,$B23)*1,0),0)),"",IF(ISBLANK(INDEX('Asignaturas'!$B$4:$B$18,MATCH(1,INDEX(EXACT('Asignaturas'!$A$4:$A$18,$B23)*1,0),0))),"",INDEX('Asignaturas'!$B$4:$B$18,MATCH(1,INDEX(EXACT('Asignaturas'!$A$4:$A$18,$B23)*1,0),0))))</f>
        <v/>
      </c>
      <c r="E23" s="3">
        <f>IF(ISNA(MATCH(1,INDEX(EXACT('Asignaturas'!$A$4:$A$18,$B23)*1,0),0)),0,IF(ISBLANK(INDEX('Asignaturas'!$C$4:$C$18,MATCH(1,INDEX(EXACT('Asignaturas'!$A$4:$A$18,$B23)*1,0),0))),"",INDEX('Asignaturas'!$C$4:$C$18,MATCH(1,INDEX(EXACT('Asignaturas'!$A$4:$A$18,$B23)*1,0),0))))</f>
        <v/>
      </c>
      <c r="F23" s="3">
        <f>SUMPRODUCT(1*((EXACT('Casillas del horario'!$A$4:$A$73,$A23)))*((EXACT('Casillas del horario'!$D$4:$D$73,$B23))))</f>
        <v/>
      </c>
      <c r="G23" s="3">
        <f>(IFERROR(VALUE($E23&amp;""),0)-IFERROR(VALUE($F23&amp;""),0))</f>
        <v/>
      </c>
      <c r="H23" s="3">
        <f>MID(IF((IFERROR(VALUE($G23&amp;""),0)&gt;0),"; "&amp;IF(ISNUMBER((IF(ISNUMBER(IF(IFERROR(VALUE($G23&amp;""),0)=1,"Falta","Faltan")),IF(IF(IFERROR(VALUE($G23&amp;""),0)=1,"Falta","Faltan")=0,"0",ROUND(IF(IFERROR(VALUE($G23&amp;""),0)=1,"Falta","Faltan"),9-INT(LOG10(ABS(IF(IFERROR(VALUE($G23&amp;""),0)=1,"Falta","Faltan")))))&amp;""),IF(IFERROR(VALUE($G23&amp;""),0)=1,"Falta","Faltan")&amp;"")&amp;" "&amp;IF(ISNUMBER($G23),IF($G23=0,"0",ROUND($G23,9-INT(LOG10(ABS($G23))))&amp;""),$G23&amp;"")&amp;" "&amp;IF(ISNUMBER(IF(IFERROR(VALUE($G23&amp;""),0)=1,"sesion","sesiones")),IF(IF(IFERROR(VALUE($G23&amp;""),0)=1,"sesion","sesiones")=0,"0",ROUND(IF(IFERROR(VALUE($G23&amp;""),0)=1,"sesion","sesiones"),9-INT(LOG10(ABS(IF(IFERROR(VALUE($G23&amp;""),0)=1,"sesion","sesiones")))))&amp;""),IF(IFERROR(VALUE($G23&amp;""),0)=1,"sesion","sesiones")&amp;""))),IF((IF(ISNUMBER(IF(IFERROR(VALUE($G23&amp;""),0)=1,"Falta","Faltan")),IF(IF(IFERROR(VALUE($G23&amp;""),0)=1,"Falta","Faltan")=0,"0",ROUND(IF(IFERROR(VALUE($G23&amp;""),0)=1,"Falta","Faltan"),9-INT(LOG10(ABS(IF(IFERROR(VALUE($G23&amp;""),0)=1,"Falta","Faltan")))))&amp;""),IF(IFERROR(VALUE($G23&amp;""),0)=1,"Falta","Faltan")&amp;"")&amp;" "&amp;IF(ISNUMBER($G23),IF($G23=0,"0",ROUND($G23,9-INT(LOG10(ABS($G23))))&amp;""),$G23&amp;"")&amp;" "&amp;IF(ISNUMBER(IF(IFERROR(VALUE($G23&amp;""),0)=1,"sesion","sesiones")),IF(IF(IFERROR(VALUE($G23&amp;""),0)=1,"sesion","sesiones")=0,"0",ROUND(IF(IFERROR(VALUE($G23&amp;""),0)=1,"sesion","sesiones"),9-INT(LOG10(ABS(IF(IFERROR(VALUE($G23&amp;""),0)=1,"sesion","sesiones")))))&amp;""),IF(IFERROR(VALUE($G23&amp;""),0)=1,"sesion","sesiones")&amp;""))=0,"0",ROUND((IF(ISNUMBER(IF(IFERROR(VALUE($G23&amp;""),0)=1,"Falta","Faltan")),IF(IF(IFERROR(VALUE($G23&amp;""),0)=1,"Falta","Faltan")=0,"0",ROUND(IF(IFERROR(VALUE($G23&amp;""),0)=1,"Falta","Faltan"),9-INT(LOG10(ABS(IF(IFERROR(VALUE($G23&amp;""),0)=1,"Falta","Faltan")))))&amp;""),IF(IFERROR(VALUE($G23&amp;""),0)=1,"Falta","Faltan")&amp;"")&amp;" "&amp;IF(ISNUMBER($G23),IF($G23=0,"0",ROUND($G23,9-INT(LOG10(ABS($G23))))&amp;""),$G23&amp;"")&amp;" "&amp;IF(ISNUMBER(IF(IFERROR(VALUE($G23&amp;""),0)=1,"sesion","sesiones")),IF(IF(IFERROR(VALUE($G23&amp;""),0)=1,"sesion","sesiones")=0,"0",ROUND(IF(IFERROR(VALUE($G23&amp;""),0)=1,"sesion","sesiones"),9-INT(LOG10(ABS(IF(IFERROR(VALUE($G23&amp;""),0)=1,"sesion","sesiones")))))&amp;""),IF(IFERROR(VALUE($G23&amp;""),0)=1,"sesion","sesiones")&amp;"")),9-INT(LOG10(ABS((IF(ISNUMBER(IF(IFERROR(VALUE($G23&amp;""),0)=1,"Falta","Faltan")),IF(IF(IFERROR(VALUE($G23&amp;""),0)=1,"Falta","Faltan")=0,"0",ROUND(IF(IFERROR(VALUE($G23&amp;""),0)=1,"Falta","Faltan"),9-INT(LOG10(ABS(IF(IFERROR(VALUE($G23&amp;""),0)=1,"Falta","Faltan")))))&amp;""),IF(IFERROR(VALUE($G23&amp;""),0)=1,"Falta","Faltan")&amp;"")&amp;" "&amp;IF(ISNUMBER($G23),IF($G23=0,"0",ROUND($G23,9-INT(LOG10(ABS($G23))))&amp;""),$G23&amp;"")&amp;" "&amp;IF(ISNUMBER(IF(IFERROR(VALUE($G23&amp;""),0)=1,"sesion","sesiones")),IF(IF(IFERROR(VALUE($G23&amp;""),0)=1,"sesion","sesiones")=0,"0",ROUND(IF(IFERROR(VALUE($G23&amp;""),0)=1,"sesion","sesiones"),9-INT(LOG10(ABS(IF(IFERROR(VALUE($G23&amp;""),0)=1,"sesion","sesiones")))))&amp;""),IF(IFERROR(VALUE($G23&amp;""),0)=1,"sesion","sesiones")&amp;""))))))&amp;""),(IF(ISNUMBER(IF(IFERROR(VALUE($G23&amp;""),0)=1,"Falta","Faltan")),IF(IF(IFERROR(VALUE($G23&amp;""),0)=1,"Falta","Faltan")=0,"0",ROUND(IF(IFERROR(VALUE($G23&amp;""),0)=1,"Falta","Faltan"),9-INT(LOG10(ABS(IF(IFERROR(VALUE($G23&amp;""),0)=1,"Falta","Faltan")))))&amp;""),IF(IFERROR(VALUE($G23&amp;""),0)=1,"Falta","Faltan")&amp;"")&amp;" "&amp;IF(ISNUMBER($G23),IF($G23=0,"0",ROUND($G23,9-INT(LOG10(ABS($G23))))&amp;""),$G23&amp;"")&amp;" "&amp;IF(ISNUMBER(IF(IFERROR(VALUE($G23&amp;""),0)=1,"sesion","sesiones")),IF(IF(IFERROR(VALUE($G23&amp;""),0)=1,"sesion","sesiones")=0,"0",ROUND(IF(IFERROR(VALUE($G23&amp;""),0)=1,"sesion","sesiones"),9-INT(LOG10(ABS(IF(IFERROR(VALUE($G23&amp;""),0)=1,"sesion","sesiones")))))&amp;""),IF(IFERROR(VALUE($G23&amp;""),0)=1,"sesion","sesiones")&amp;""))&amp;""),"")&amp;IF((IFERROR(VALUE($G23&amp;""),0)&lt;0),"; "&amp;IF(ISNUMBER((IF(ISNUMBER(IF(IFERROR(VALUE((0-IFERROR(VALUE($G23&amp;""),0))&amp;""),0)=1,"Sobra","Sobran")),IF(IF(IFERROR(VALUE((0-IFERROR(VALUE($G23&amp;""),0))&amp;""),0)=1,"Sobra","Sobran")=0,"0",ROUND(IF(IFERROR(VALUE((0-IFERROR(VALUE($G23&amp;""),0))&amp;""),0)=1,"Sobra","Sobran"),9-INT(LOG10(ABS(IF(IFERROR(VALUE((0-IFERROR(VALUE($G23&amp;""),0))&amp;""),0)=1,"Sobra","Sobran")))))&amp;""),IF(IFERROR(VALUE((0-IFERROR(VALUE($G23&amp;""),0))&amp;""),0)=1,"Sobra","Sobran")&amp;"")&amp;" "&amp;IF(ISNUMBER((0-IFERROR(VALUE($G23&amp;""),0))),IF((0-IFERROR(VALUE($G23&amp;""),0))=0,"0",ROUND((0-IFERROR(VALUE($G23&amp;""),0)),9-INT(LOG10(ABS((0-IFERROR(VALUE($G23&amp;""),0))))))&amp;""),(0-IFERROR(VALUE($G23&amp;""),0))&amp;"")&amp;" "&amp;IF(ISNUMBER(IF(IFERROR(VALUE((0-IFERROR(VALUE($G23&amp;""),0))&amp;""),0)=1,"sesion","sesiones")),IF(IF(IFERROR(VALUE((0-IFERROR(VALUE($G23&amp;""),0))&amp;""),0)=1,"sesion","sesiones")=0,"0",ROUND(IF(IFERROR(VALUE((0-IFERROR(VALUE($G23&amp;""),0))&amp;""),0)=1,"sesion","sesiones"),9-INT(LOG10(ABS(IF(IFERROR(VALUE((0-IFERROR(VALUE($G23&amp;""),0))&amp;""),0)=1,"sesion","sesiones")))))&amp;""),IF(IFERROR(VALUE((0-IFERROR(VALUE($G23&amp;""),0))&amp;""),0)=1,"sesion","sesiones")&amp;""))),IF((IF(ISNUMBER(IF(IFERROR(VALUE((0-IFERROR(VALUE($G23&amp;""),0))&amp;""),0)=1,"Sobra","Sobran")),IF(IF(IFERROR(VALUE((0-IFERROR(VALUE($G23&amp;""),0))&amp;""),0)=1,"Sobra","Sobran")=0,"0",ROUND(IF(IFERROR(VALUE((0-IFERROR(VALUE($G23&amp;""),0))&amp;""),0)=1,"Sobra","Sobran"),9-INT(LOG10(ABS(IF(IFERROR(VALUE((0-IFERROR(VALUE($G23&amp;""),0))&amp;""),0)=1,"Sobra","Sobran")))))&amp;""),IF(IFERROR(VALUE((0-IFERROR(VALUE($G23&amp;""),0))&amp;""),0)=1,"Sobra","Sobran")&amp;"")&amp;" "&amp;IF(ISNUMBER((0-IFERROR(VALUE($G23&amp;""),0))),IF((0-IFERROR(VALUE($G23&amp;""),0))=0,"0",ROUND((0-IFERROR(VALUE($G23&amp;""),0)),9-INT(LOG10(ABS((0-IFERROR(VALUE($G23&amp;""),0))))))&amp;""),(0-IFERROR(VALUE($G23&amp;""),0))&amp;"")&amp;" "&amp;IF(ISNUMBER(IF(IFERROR(VALUE((0-IFERROR(VALUE($G23&amp;""),0))&amp;""),0)=1,"sesion","sesiones")),IF(IF(IFERROR(VALUE((0-IFERROR(VALUE($G23&amp;""),0))&amp;""),0)=1,"sesion","sesiones")=0,"0",ROUND(IF(IFERROR(VALUE((0-IFERROR(VALUE($G23&amp;""),0))&amp;""),0)=1,"sesion","sesiones"),9-INT(LOG10(ABS(IF(IFERROR(VALUE((0-IFERROR(VALUE($G23&amp;""),0))&amp;""),0)=1,"sesion","sesiones")))))&amp;""),IF(IFERROR(VALUE((0-IFERROR(VALUE($G23&amp;""),0))&amp;""),0)=1,"sesion","sesiones")&amp;""))=0,"0",ROUND((IF(ISNUMBER(IF(IFERROR(VALUE((0-IFERROR(VALUE($G23&amp;""),0))&amp;""),0)=1,"Sobra","Sobran")),IF(IF(IFERROR(VALUE((0-IFERROR(VALUE($G23&amp;""),0))&amp;""),0)=1,"Sobra","Sobran")=0,"0",ROUND(IF(IFERROR(VALUE((0-IFERROR(VALUE($G23&amp;""),0))&amp;""),0)=1,"Sobra","Sobran"),9-INT(LOG10(ABS(IF(IFERROR(VALUE((0-IFERROR(VALUE($G23&amp;""),0))&amp;""),0)=1,"Sobra","Sobran")))))&amp;""),IF(IFERROR(VALUE((0-IFERROR(VALUE($G23&amp;""),0))&amp;""),0)=1,"Sobra","Sobran")&amp;"")&amp;" "&amp;IF(ISNUMBER((0-IFERROR(VALUE($G23&amp;""),0))),IF((0-IFERROR(VALUE($G23&amp;""),0))=0,"0",ROUND((0-IFERROR(VALUE($G23&amp;""),0)),9-INT(LOG10(ABS((0-IFERROR(VALUE($G23&amp;""),0))))))&amp;""),(0-IFERROR(VALUE($G23&amp;""),0))&amp;"")&amp;" "&amp;IF(ISNUMBER(IF(IFERROR(VALUE((0-IFERROR(VALUE($G23&amp;""),0))&amp;""),0)=1,"sesion","sesiones")),IF(IF(IFERROR(VALUE((0-IFERROR(VALUE($G23&amp;""),0))&amp;""),0)=1,"sesion","sesiones")=0,"0",ROUND(IF(IFERROR(VALUE((0-IFERROR(VALUE($G23&amp;""),0))&amp;""),0)=1,"sesion","sesiones"),9-INT(LOG10(ABS(IF(IFERROR(VALUE((0-IFERROR(VALUE($G23&amp;""),0))&amp;""),0)=1,"sesion","sesiones")))))&amp;""),IF(IFERROR(VALUE((0-IFERROR(VALUE($G23&amp;""),0))&amp;""),0)=1,"sesion","sesiones")&amp;"")),9-INT(LOG10(ABS((IF(ISNUMBER(IF(IFERROR(VALUE((0-IFERROR(VALUE($G23&amp;""),0))&amp;""),0)=1,"Sobra","Sobran")),IF(IF(IFERROR(VALUE((0-IFERROR(VALUE($G23&amp;""),0))&amp;""),0)=1,"Sobra","Sobran")=0,"0",ROUND(IF(IFERROR(VALUE((0-IFERROR(VALUE($G23&amp;""),0))&amp;""),0)=1,"Sobra","Sobran"),9-INT(LOG10(ABS(IF(IFERROR(VALUE((0-IFERROR(VALUE($G23&amp;""),0))&amp;""),0)=1,"Sobra","Sobran")))))&amp;""),IF(IFERROR(VALUE((0-IFERROR(VALUE($G23&amp;""),0))&amp;""),0)=1,"Sobra","Sobran")&amp;"")&amp;" "&amp;IF(ISNUMBER((0-IFERROR(VALUE($G23&amp;""),0))),IF((0-IFERROR(VALUE($G23&amp;""),0))=0,"0",ROUND((0-IFERROR(VALUE($G23&amp;""),0)),9-INT(LOG10(ABS((0-IFERROR(VALUE($G23&amp;""),0))))))&amp;""),(0-IFERROR(VALUE($G23&amp;""),0))&amp;"")&amp;" "&amp;IF(ISNUMBER(IF(IFERROR(VALUE((0-IFERROR(VALUE($G23&amp;""),0))&amp;""),0)=1,"sesion","sesiones")),IF(IF(IFERROR(VALUE((0-IFERROR(VALUE($G23&amp;""),0))&amp;""),0)=1,"sesion","sesiones")=0,"0",ROUND(IF(IFERROR(VALUE((0-IFERROR(VALUE($G23&amp;""),0))&amp;""),0)=1,"sesion","sesiones"),9-INT(LOG10(ABS(IF(IFERROR(VALUE((0-IFERROR(VALUE($G23&amp;""),0))&amp;""),0)=1,"sesion","sesiones")))))&amp;""),IF(IFERROR(VALUE((0-IFERROR(VALUE($G23&amp;""),0))&amp;""),0)=1,"sesion","sesiones")&amp;""))))))&amp;""),(IF(ISNUMBER(IF(IFERROR(VALUE((0-IFERROR(VALUE($G23&amp;""),0))&amp;""),0)=1,"Sobra","Sobran")),IF(IF(IFERROR(VALUE((0-IFERROR(VALUE($G23&amp;""),0))&amp;""),0)=1,"Sobra","Sobran")=0,"0",ROUND(IF(IFERROR(VALUE((0-IFERROR(VALUE($G23&amp;""),0))&amp;""),0)=1,"Sobra","Sobran"),9-INT(LOG10(ABS(IF(IFERROR(VALUE((0-IFERROR(VALUE($G23&amp;""),0))&amp;""),0)=1,"Sobra","Sobran")))))&amp;""),IF(IFERROR(VALUE((0-IFERROR(VALUE($G23&amp;""),0))&amp;""),0)=1,"Sobra","Sobran")&amp;"")&amp;" "&amp;IF(ISNUMBER((0-IFERROR(VALUE($G23&amp;""),0))),IF((0-IFERROR(VALUE($G23&amp;""),0))=0,"0",ROUND((0-IFERROR(VALUE($G23&amp;""),0)),9-INT(LOG10(ABS((0-IFERROR(VALUE($G23&amp;""),0))))))&amp;""),(0-IFERROR(VALUE($G23&amp;""),0))&amp;"")&amp;" "&amp;IF(ISNUMBER(IF(IFERROR(VALUE((0-IFERROR(VALUE($G23&amp;""),0))&amp;""),0)=1,"sesion","sesiones")),IF(IF(IFERROR(VALUE((0-IFERROR(VALUE($G23&amp;""),0))&amp;""),0)=1,"sesion","sesiones")=0,"0",ROUND(IF(IFERROR(VALUE((0-IFERROR(VALUE($G23&amp;""),0))&amp;""),0)=1,"sesion","sesiones"),9-INT(LOG10(ABS(IF(IFERROR(VALUE((0-IFERROR(VALUE($G23&amp;""),0))&amp;""),0)=1,"sesion","sesiones")))))&amp;""),IF(IFERROR(VALUE((0-IFERROR(VALUE($G23&amp;""),0))&amp;""),0)=1,"sesion","sesiones")&amp;""))&amp;""),""),3,32767)</f>
        <v/>
      </c>
      <c r="I23" s="3">
        <f>IF(OR((IFERROR(VALUE($G23&amp;""),0)&gt;0),(IFERROR(VALUE($G23&amp;""),0)&lt;0)),3,0)</f>
        <v/>
      </c>
    </row>
    <row r="24">
      <c r="A24" s="3" t="inlineStr">
        <is>
          <t>10-4</t>
        </is>
      </c>
      <c r="B24" s="3" t="inlineStr">
        <is>
          <t>EF</t>
        </is>
      </c>
      <c r="C24" s="3" t="inlineStr">
        <is>
          <t>Profesor de EF en 10-4</t>
        </is>
      </c>
      <c r="D24" s="3">
        <f>IF(ISNA(MATCH(1,INDEX(EXACT('Asignaturas'!$A$4:$A$18,$B24)*1,0),0)),"",IF(ISBLANK(INDEX('Asignaturas'!$B$4:$B$18,MATCH(1,INDEX(EXACT('Asignaturas'!$A$4:$A$18,$B24)*1,0),0))),"",INDEX('Asignaturas'!$B$4:$B$18,MATCH(1,INDEX(EXACT('Asignaturas'!$A$4:$A$18,$B24)*1,0),0))))</f>
        <v/>
      </c>
      <c r="E24" s="3">
        <f>IF(ISNA(MATCH(1,INDEX(EXACT('Asignaturas'!$A$4:$A$18,$B24)*1,0),0)),0,IF(ISBLANK(INDEX('Asignaturas'!$C$4:$C$18,MATCH(1,INDEX(EXACT('Asignaturas'!$A$4:$A$18,$B24)*1,0),0))),"",INDEX('Asignaturas'!$C$4:$C$18,MATCH(1,INDEX(EXACT('Asignaturas'!$A$4:$A$18,$B24)*1,0),0))))</f>
        <v/>
      </c>
      <c r="F24" s="3">
        <f>SUMPRODUCT(1*((EXACT('Casillas del horario'!$A$4:$A$73,$A24)))*((EXACT('Casillas del horario'!$D$4:$D$73,$B24))))</f>
        <v/>
      </c>
      <c r="G24" s="3">
        <f>(IFERROR(VALUE($E24&amp;""),0)-IFERROR(VALUE($F24&amp;""),0))</f>
        <v/>
      </c>
      <c r="H24" s="3">
        <f>MID(IF((IFERROR(VALUE($G24&amp;""),0)&gt;0),"; "&amp;IF(ISNUMBER((IF(ISNUMBER(IF(IFERROR(VALUE($G24&amp;""),0)=1,"Falta","Faltan")),IF(IF(IFERROR(VALUE($G24&amp;""),0)=1,"Falta","Faltan")=0,"0",ROUND(IF(IFERROR(VALUE($G24&amp;""),0)=1,"Falta","Faltan"),9-INT(LOG10(ABS(IF(IFERROR(VALUE($G24&amp;""),0)=1,"Falta","Faltan")))))&amp;""),IF(IFERROR(VALUE($G24&amp;""),0)=1,"Falta","Faltan")&amp;"")&amp;" "&amp;IF(ISNUMBER($G24),IF($G24=0,"0",ROUND($G24,9-INT(LOG10(ABS($G24))))&amp;""),$G24&amp;"")&amp;" "&amp;IF(ISNUMBER(IF(IFERROR(VALUE($G24&amp;""),0)=1,"sesion","sesiones")),IF(IF(IFERROR(VALUE($G24&amp;""),0)=1,"sesion","sesiones")=0,"0",ROUND(IF(IFERROR(VALUE($G24&amp;""),0)=1,"sesion","sesiones"),9-INT(LOG10(ABS(IF(IFERROR(VALUE($G24&amp;""),0)=1,"sesion","sesiones")))))&amp;""),IF(IFERROR(VALUE($G24&amp;""),0)=1,"sesion","sesiones")&amp;""))),IF((IF(ISNUMBER(IF(IFERROR(VALUE($G24&amp;""),0)=1,"Falta","Faltan")),IF(IF(IFERROR(VALUE($G24&amp;""),0)=1,"Falta","Faltan")=0,"0",ROUND(IF(IFERROR(VALUE($G24&amp;""),0)=1,"Falta","Faltan"),9-INT(LOG10(ABS(IF(IFERROR(VALUE($G24&amp;""),0)=1,"Falta","Faltan")))))&amp;""),IF(IFERROR(VALUE($G24&amp;""),0)=1,"Falta","Faltan")&amp;"")&amp;" "&amp;IF(ISNUMBER($G24),IF($G24=0,"0",ROUND($G24,9-INT(LOG10(ABS($G24))))&amp;""),$G24&amp;"")&amp;" "&amp;IF(ISNUMBER(IF(IFERROR(VALUE($G24&amp;""),0)=1,"sesion","sesiones")),IF(IF(IFERROR(VALUE($G24&amp;""),0)=1,"sesion","sesiones")=0,"0",ROUND(IF(IFERROR(VALUE($G24&amp;""),0)=1,"sesion","sesiones"),9-INT(LOG10(ABS(IF(IFERROR(VALUE($G24&amp;""),0)=1,"sesion","sesiones")))))&amp;""),IF(IFERROR(VALUE($G24&amp;""),0)=1,"sesion","sesiones")&amp;""))=0,"0",ROUND((IF(ISNUMBER(IF(IFERROR(VALUE($G24&amp;""),0)=1,"Falta","Faltan")),IF(IF(IFERROR(VALUE($G24&amp;""),0)=1,"Falta","Faltan")=0,"0",ROUND(IF(IFERROR(VALUE($G24&amp;""),0)=1,"Falta","Faltan"),9-INT(LOG10(ABS(IF(IFERROR(VALUE($G24&amp;""),0)=1,"Falta","Faltan")))))&amp;""),IF(IFERROR(VALUE($G24&amp;""),0)=1,"Falta","Faltan")&amp;"")&amp;" "&amp;IF(ISNUMBER($G24),IF($G24=0,"0",ROUND($G24,9-INT(LOG10(ABS($G24))))&amp;""),$G24&amp;"")&amp;" "&amp;IF(ISNUMBER(IF(IFERROR(VALUE($G24&amp;""),0)=1,"sesion","sesiones")),IF(IF(IFERROR(VALUE($G24&amp;""),0)=1,"sesion","sesiones")=0,"0",ROUND(IF(IFERROR(VALUE($G24&amp;""),0)=1,"sesion","sesiones"),9-INT(LOG10(ABS(IF(IFERROR(VALUE($G24&amp;""),0)=1,"sesion","sesiones")))))&amp;""),IF(IFERROR(VALUE($G24&amp;""),0)=1,"sesion","sesiones")&amp;"")),9-INT(LOG10(ABS((IF(ISNUMBER(IF(IFERROR(VALUE($G24&amp;""),0)=1,"Falta","Faltan")),IF(IF(IFERROR(VALUE($G24&amp;""),0)=1,"Falta","Faltan")=0,"0",ROUND(IF(IFERROR(VALUE($G24&amp;""),0)=1,"Falta","Faltan"),9-INT(LOG10(ABS(IF(IFERROR(VALUE($G24&amp;""),0)=1,"Falta","Faltan")))))&amp;""),IF(IFERROR(VALUE($G24&amp;""),0)=1,"Falta","Faltan")&amp;"")&amp;" "&amp;IF(ISNUMBER($G24),IF($G24=0,"0",ROUND($G24,9-INT(LOG10(ABS($G24))))&amp;""),$G24&amp;"")&amp;" "&amp;IF(ISNUMBER(IF(IFERROR(VALUE($G24&amp;""),0)=1,"sesion","sesiones")),IF(IF(IFERROR(VALUE($G24&amp;""),0)=1,"sesion","sesiones")=0,"0",ROUND(IF(IFERROR(VALUE($G24&amp;""),0)=1,"sesion","sesiones"),9-INT(LOG10(ABS(IF(IFERROR(VALUE($G24&amp;""),0)=1,"sesion","sesiones")))))&amp;""),IF(IFERROR(VALUE($G24&amp;""),0)=1,"sesion","sesiones")&amp;""))))))&amp;""),(IF(ISNUMBER(IF(IFERROR(VALUE($G24&amp;""),0)=1,"Falta","Faltan")),IF(IF(IFERROR(VALUE($G24&amp;""),0)=1,"Falta","Faltan")=0,"0",ROUND(IF(IFERROR(VALUE($G24&amp;""),0)=1,"Falta","Faltan"),9-INT(LOG10(ABS(IF(IFERROR(VALUE($G24&amp;""),0)=1,"Falta","Faltan")))))&amp;""),IF(IFERROR(VALUE($G24&amp;""),0)=1,"Falta","Faltan")&amp;"")&amp;" "&amp;IF(ISNUMBER($G24),IF($G24=0,"0",ROUND($G24,9-INT(LOG10(ABS($G24))))&amp;""),$G24&amp;"")&amp;" "&amp;IF(ISNUMBER(IF(IFERROR(VALUE($G24&amp;""),0)=1,"sesion","sesiones")),IF(IF(IFERROR(VALUE($G24&amp;""),0)=1,"sesion","sesiones")=0,"0",ROUND(IF(IFERROR(VALUE($G24&amp;""),0)=1,"sesion","sesiones"),9-INT(LOG10(ABS(IF(IFERROR(VALUE($G24&amp;""),0)=1,"sesion","sesiones")))))&amp;""),IF(IFERROR(VALUE($G24&amp;""),0)=1,"sesion","sesiones")&amp;""))&amp;""),"")&amp;IF((IFERROR(VALUE($G24&amp;""),0)&lt;0),"; "&amp;IF(ISNUMBER((IF(ISNUMBER(IF(IFERROR(VALUE((0-IFERROR(VALUE($G24&amp;""),0))&amp;""),0)=1,"Sobra","Sobran")),IF(IF(IFERROR(VALUE((0-IFERROR(VALUE($G24&amp;""),0))&amp;""),0)=1,"Sobra","Sobran")=0,"0",ROUND(IF(IFERROR(VALUE((0-IFERROR(VALUE($G24&amp;""),0))&amp;""),0)=1,"Sobra","Sobran"),9-INT(LOG10(ABS(IF(IFERROR(VALUE((0-IFERROR(VALUE($G24&amp;""),0))&amp;""),0)=1,"Sobra","Sobran")))))&amp;""),IF(IFERROR(VALUE((0-IFERROR(VALUE($G24&amp;""),0))&amp;""),0)=1,"Sobra","Sobran")&amp;"")&amp;" "&amp;IF(ISNUMBER((0-IFERROR(VALUE($G24&amp;""),0))),IF((0-IFERROR(VALUE($G24&amp;""),0))=0,"0",ROUND((0-IFERROR(VALUE($G24&amp;""),0)),9-INT(LOG10(ABS((0-IFERROR(VALUE($G24&amp;""),0))))))&amp;""),(0-IFERROR(VALUE($G24&amp;""),0))&amp;"")&amp;" "&amp;IF(ISNUMBER(IF(IFERROR(VALUE((0-IFERROR(VALUE($G24&amp;""),0))&amp;""),0)=1,"sesion","sesiones")),IF(IF(IFERROR(VALUE((0-IFERROR(VALUE($G24&amp;""),0))&amp;""),0)=1,"sesion","sesiones")=0,"0",ROUND(IF(IFERROR(VALUE((0-IFERROR(VALUE($G24&amp;""),0))&amp;""),0)=1,"sesion","sesiones"),9-INT(LOG10(ABS(IF(IFERROR(VALUE((0-IFERROR(VALUE($G24&amp;""),0))&amp;""),0)=1,"sesion","sesiones")))))&amp;""),IF(IFERROR(VALUE((0-IFERROR(VALUE($G24&amp;""),0))&amp;""),0)=1,"sesion","sesiones")&amp;""))),IF((IF(ISNUMBER(IF(IFERROR(VALUE((0-IFERROR(VALUE($G24&amp;""),0))&amp;""),0)=1,"Sobra","Sobran")),IF(IF(IFERROR(VALUE((0-IFERROR(VALUE($G24&amp;""),0))&amp;""),0)=1,"Sobra","Sobran")=0,"0",ROUND(IF(IFERROR(VALUE((0-IFERROR(VALUE($G24&amp;""),0))&amp;""),0)=1,"Sobra","Sobran"),9-INT(LOG10(ABS(IF(IFERROR(VALUE((0-IFERROR(VALUE($G24&amp;""),0))&amp;""),0)=1,"Sobra","Sobran")))))&amp;""),IF(IFERROR(VALUE((0-IFERROR(VALUE($G24&amp;""),0))&amp;""),0)=1,"Sobra","Sobran")&amp;"")&amp;" "&amp;IF(ISNUMBER((0-IFERROR(VALUE($G24&amp;""),0))),IF((0-IFERROR(VALUE($G24&amp;""),0))=0,"0",ROUND((0-IFERROR(VALUE($G24&amp;""),0)),9-INT(LOG10(ABS((0-IFERROR(VALUE($G24&amp;""),0))))))&amp;""),(0-IFERROR(VALUE($G24&amp;""),0))&amp;"")&amp;" "&amp;IF(ISNUMBER(IF(IFERROR(VALUE((0-IFERROR(VALUE($G24&amp;""),0))&amp;""),0)=1,"sesion","sesiones")),IF(IF(IFERROR(VALUE((0-IFERROR(VALUE($G24&amp;""),0))&amp;""),0)=1,"sesion","sesiones")=0,"0",ROUND(IF(IFERROR(VALUE((0-IFERROR(VALUE($G24&amp;""),0))&amp;""),0)=1,"sesion","sesiones"),9-INT(LOG10(ABS(IF(IFERROR(VALUE((0-IFERROR(VALUE($G24&amp;""),0))&amp;""),0)=1,"sesion","sesiones")))))&amp;""),IF(IFERROR(VALUE((0-IFERROR(VALUE($G24&amp;""),0))&amp;""),0)=1,"sesion","sesiones")&amp;""))=0,"0",ROUND((IF(ISNUMBER(IF(IFERROR(VALUE((0-IFERROR(VALUE($G24&amp;""),0))&amp;""),0)=1,"Sobra","Sobran")),IF(IF(IFERROR(VALUE((0-IFERROR(VALUE($G24&amp;""),0))&amp;""),0)=1,"Sobra","Sobran")=0,"0",ROUND(IF(IFERROR(VALUE((0-IFERROR(VALUE($G24&amp;""),0))&amp;""),0)=1,"Sobra","Sobran"),9-INT(LOG10(ABS(IF(IFERROR(VALUE((0-IFERROR(VALUE($G24&amp;""),0))&amp;""),0)=1,"Sobra","Sobran")))))&amp;""),IF(IFERROR(VALUE((0-IFERROR(VALUE($G24&amp;""),0))&amp;""),0)=1,"Sobra","Sobran")&amp;"")&amp;" "&amp;IF(ISNUMBER((0-IFERROR(VALUE($G24&amp;""),0))),IF((0-IFERROR(VALUE($G24&amp;""),0))=0,"0",ROUND((0-IFERROR(VALUE($G24&amp;""),0)),9-INT(LOG10(ABS((0-IFERROR(VALUE($G24&amp;""),0))))))&amp;""),(0-IFERROR(VALUE($G24&amp;""),0))&amp;"")&amp;" "&amp;IF(ISNUMBER(IF(IFERROR(VALUE((0-IFERROR(VALUE($G24&amp;""),0))&amp;""),0)=1,"sesion","sesiones")),IF(IF(IFERROR(VALUE((0-IFERROR(VALUE($G24&amp;""),0))&amp;""),0)=1,"sesion","sesiones")=0,"0",ROUND(IF(IFERROR(VALUE((0-IFERROR(VALUE($G24&amp;""),0))&amp;""),0)=1,"sesion","sesiones"),9-INT(LOG10(ABS(IF(IFERROR(VALUE((0-IFERROR(VALUE($G24&amp;""),0))&amp;""),0)=1,"sesion","sesiones")))))&amp;""),IF(IFERROR(VALUE((0-IFERROR(VALUE($G24&amp;""),0))&amp;""),0)=1,"sesion","sesiones")&amp;"")),9-INT(LOG10(ABS((IF(ISNUMBER(IF(IFERROR(VALUE((0-IFERROR(VALUE($G24&amp;""),0))&amp;""),0)=1,"Sobra","Sobran")),IF(IF(IFERROR(VALUE((0-IFERROR(VALUE($G24&amp;""),0))&amp;""),0)=1,"Sobra","Sobran")=0,"0",ROUND(IF(IFERROR(VALUE((0-IFERROR(VALUE($G24&amp;""),0))&amp;""),0)=1,"Sobra","Sobran"),9-INT(LOG10(ABS(IF(IFERROR(VALUE((0-IFERROR(VALUE($G24&amp;""),0))&amp;""),0)=1,"Sobra","Sobran")))))&amp;""),IF(IFERROR(VALUE((0-IFERROR(VALUE($G24&amp;""),0))&amp;""),0)=1,"Sobra","Sobran")&amp;"")&amp;" "&amp;IF(ISNUMBER((0-IFERROR(VALUE($G24&amp;""),0))),IF((0-IFERROR(VALUE($G24&amp;""),0))=0,"0",ROUND((0-IFERROR(VALUE($G24&amp;""),0)),9-INT(LOG10(ABS((0-IFERROR(VALUE($G24&amp;""),0))))))&amp;""),(0-IFERROR(VALUE($G24&amp;""),0))&amp;"")&amp;" "&amp;IF(ISNUMBER(IF(IFERROR(VALUE((0-IFERROR(VALUE($G24&amp;""),0))&amp;""),0)=1,"sesion","sesiones")),IF(IF(IFERROR(VALUE((0-IFERROR(VALUE($G24&amp;""),0))&amp;""),0)=1,"sesion","sesiones")=0,"0",ROUND(IF(IFERROR(VALUE((0-IFERROR(VALUE($G24&amp;""),0))&amp;""),0)=1,"sesion","sesiones"),9-INT(LOG10(ABS(IF(IFERROR(VALUE((0-IFERROR(VALUE($G24&amp;""),0))&amp;""),0)=1,"sesion","sesiones")))))&amp;""),IF(IFERROR(VALUE((0-IFERROR(VALUE($G24&amp;""),0))&amp;""),0)=1,"sesion","sesiones")&amp;""))))))&amp;""),(IF(ISNUMBER(IF(IFERROR(VALUE((0-IFERROR(VALUE($G24&amp;""),0))&amp;""),0)=1,"Sobra","Sobran")),IF(IF(IFERROR(VALUE((0-IFERROR(VALUE($G24&amp;""),0))&amp;""),0)=1,"Sobra","Sobran")=0,"0",ROUND(IF(IFERROR(VALUE((0-IFERROR(VALUE($G24&amp;""),0))&amp;""),0)=1,"Sobra","Sobran"),9-INT(LOG10(ABS(IF(IFERROR(VALUE((0-IFERROR(VALUE($G24&amp;""),0))&amp;""),0)=1,"Sobra","Sobran")))))&amp;""),IF(IFERROR(VALUE((0-IFERROR(VALUE($G24&amp;""),0))&amp;""),0)=1,"Sobra","Sobran")&amp;"")&amp;" "&amp;IF(ISNUMBER((0-IFERROR(VALUE($G24&amp;""),0))),IF((0-IFERROR(VALUE($G24&amp;""),0))=0,"0",ROUND((0-IFERROR(VALUE($G24&amp;""),0)),9-INT(LOG10(ABS((0-IFERROR(VALUE($G24&amp;""),0))))))&amp;""),(0-IFERROR(VALUE($G24&amp;""),0))&amp;"")&amp;" "&amp;IF(ISNUMBER(IF(IFERROR(VALUE((0-IFERROR(VALUE($G24&amp;""),0))&amp;""),0)=1,"sesion","sesiones")),IF(IF(IFERROR(VALUE((0-IFERROR(VALUE($G24&amp;""),0))&amp;""),0)=1,"sesion","sesiones")=0,"0",ROUND(IF(IFERROR(VALUE((0-IFERROR(VALUE($G24&amp;""),0))&amp;""),0)=1,"sesion","sesiones"),9-INT(LOG10(ABS(IF(IFERROR(VALUE((0-IFERROR(VALUE($G24&amp;""),0))&amp;""),0)=1,"sesion","sesiones")))))&amp;""),IF(IFERROR(VALUE((0-IFERROR(VALUE($G24&amp;""),0))&amp;""),0)=1,"sesion","sesiones")&amp;""))&amp;""),""),3,32767)</f>
        <v/>
      </c>
      <c r="I24" s="3">
        <f>IF(OR((IFERROR(VALUE($G24&amp;""),0)&gt;0),(IFERROR(VALUE($G24&amp;""),0)&lt;0)),3,0)</f>
        <v/>
      </c>
    </row>
    <row r="25">
      <c r="A25" s="3" t="inlineStr">
        <is>
          <t>10-4</t>
        </is>
      </c>
      <c r="B25" s="3" t="inlineStr">
        <is>
          <t>B</t>
        </is>
      </c>
      <c r="C25" s="3" t="inlineStr">
        <is>
          <t>Profesor de B en 10-4</t>
        </is>
      </c>
      <c r="D25" s="3">
        <f>IF(ISNA(MATCH(1,INDEX(EXACT('Asignaturas'!$A$4:$A$18,$B25)*1,0),0)),"",IF(ISBLANK(INDEX('Asignaturas'!$B$4:$B$18,MATCH(1,INDEX(EXACT('Asignaturas'!$A$4:$A$18,$B25)*1,0),0))),"",INDEX('Asignaturas'!$B$4:$B$18,MATCH(1,INDEX(EXACT('Asignaturas'!$A$4:$A$18,$B25)*1,0),0))))</f>
        <v/>
      </c>
      <c r="E25" s="3">
        <f>IF(ISNA(MATCH(1,INDEX(EXACT('Asignaturas'!$A$4:$A$18,$B25)*1,0),0)),0,IF(ISBLANK(INDEX('Asignaturas'!$C$4:$C$18,MATCH(1,INDEX(EXACT('Asignaturas'!$A$4:$A$18,$B25)*1,0),0))),"",INDEX('Asignaturas'!$C$4:$C$18,MATCH(1,INDEX(EXACT('Asignaturas'!$A$4:$A$18,$B25)*1,0),0))))</f>
        <v/>
      </c>
      <c r="F25" s="3">
        <f>SUMPRODUCT(1*((EXACT('Casillas del horario'!$A$4:$A$73,$A25)))*((EXACT('Casillas del horario'!$D$4:$D$73,$B25))))</f>
        <v/>
      </c>
      <c r="G25" s="3">
        <f>(IFERROR(VALUE($E25&amp;""),0)-IFERROR(VALUE($F25&amp;""),0))</f>
        <v/>
      </c>
      <c r="H25" s="3">
        <f>MID(IF((IFERROR(VALUE($G25&amp;""),0)&gt;0),"; "&amp;IF(ISNUMBER((IF(ISNUMBER(IF(IFERROR(VALUE($G25&amp;""),0)=1,"Falta","Faltan")),IF(IF(IFERROR(VALUE($G25&amp;""),0)=1,"Falta","Faltan")=0,"0",ROUND(IF(IFERROR(VALUE($G25&amp;""),0)=1,"Falta","Faltan"),9-INT(LOG10(ABS(IF(IFERROR(VALUE($G25&amp;""),0)=1,"Falta","Faltan")))))&amp;""),IF(IFERROR(VALUE($G25&amp;""),0)=1,"Falta","Faltan")&amp;"")&amp;" "&amp;IF(ISNUMBER($G25),IF($G25=0,"0",ROUND($G25,9-INT(LOG10(ABS($G25))))&amp;""),$G25&amp;"")&amp;" "&amp;IF(ISNUMBER(IF(IFERROR(VALUE($G25&amp;""),0)=1,"sesion","sesiones")),IF(IF(IFERROR(VALUE($G25&amp;""),0)=1,"sesion","sesiones")=0,"0",ROUND(IF(IFERROR(VALUE($G25&amp;""),0)=1,"sesion","sesiones"),9-INT(LOG10(ABS(IF(IFERROR(VALUE($G25&amp;""),0)=1,"sesion","sesiones")))))&amp;""),IF(IFERROR(VALUE($G25&amp;""),0)=1,"sesion","sesiones")&amp;""))),IF((IF(ISNUMBER(IF(IFERROR(VALUE($G25&amp;""),0)=1,"Falta","Faltan")),IF(IF(IFERROR(VALUE($G25&amp;""),0)=1,"Falta","Faltan")=0,"0",ROUND(IF(IFERROR(VALUE($G25&amp;""),0)=1,"Falta","Faltan"),9-INT(LOG10(ABS(IF(IFERROR(VALUE($G25&amp;""),0)=1,"Falta","Faltan")))))&amp;""),IF(IFERROR(VALUE($G25&amp;""),0)=1,"Falta","Faltan")&amp;"")&amp;" "&amp;IF(ISNUMBER($G25),IF($G25=0,"0",ROUND($G25,9-INT(LOG10(ABS($G25))))&amp;""),$G25&amp;"")&amp;" "&amp;IF(ISNUMBER(IF(IFERROR(VALUE($G25&amp;""),0)=1,"sesion","sesiones")),IF(IF(IFERROR(VALUE($G25&amp;""),0)=1,"sesion","sesiones")=0,"0",ROUND(IF(IFERROR(VALUE($G25&amp;""),0)=1,"sesion","sesiones"),9-INT(LOG10(ABS(IF(IFERROR(VALUE($G25&amp;""),0)=1,"sesion","sesiones")))))&amp;""),IF(IFERROR(VALUE($G25&amp;""),0)=1,"sesion","sesiones")&amp;""))=0,"0",ROUND((IF(ISNUMBER(IF(IFERROR(VALUE($G25&amp;""),0)=1,"Falta","Faltan")),IF(IF(IFERROR(VALUE($G25&amp;""),0)=1,"Falta","Faltan")=0,"0",ROUND(IF(IFERROR(VALUE($G25&amp;""),0)=1,"Falta","Faltan"),9-INT(LOG10(ABS(IF(IFERROR(VALUE($G25&amp;""),0)=1,"Falta","Faltan")))))&amp;""),IF(IFERROR(VALUE($G25&amp;""),0)=1,"Falta","Faltan")&amp;"")&amp;" "&amp;IF(ISNUMBER($G25),IF($G25=0,"0",ROUND($G25,9-INT(LOG10(ABS($G25))))&amp;""),$G25&amp;"")&amp;" "&amp;IF(ISNUMBER(IF(IFERROR(VALUE($G25&amp;""),0)=1,"sesion","sesiones")),IF(IF(IFERROR(VALUE($G25&amp;""),0)=1,"sesion","sesiones")=0,"0",ROUND(IF(IFERROR(VALUE($G25&amp;""),0)=1,"sesion","sesiones"),9-INT(LOG10(ABS(IF(IFERROR(VALUE($G25&amp;""),0)=1,"sesion","sesiones")))))&amp;""),IF(IFERROR(VALUE($G25&amp;""),0)=1,"sesion","sesiones")&amp;"")),9-INT(LOG10(ABS((IF(ISNUMBER(IF(IFERROR(VALUE($G25&amp;""),0)=1,"Falta","Faltan")),IF(IF(IFERROR(VALUE($G25&amp;""),0)=1,"Falta","Faltan")=0,"0",ROUND(IF(IFERROR(VALUE($G25&amp;""),0)=1,"Falta","Faltan"),9-INT(LOG10(ABS(IF(IFERROR(VALUE($G25&amp;""),0)=1,"Falta","Faltan")))))&amp;""),IF(IFERROR(VALUE($G25&amp;""),0)=1,"Falta","Faltan")&amp;"")&amp;" "&amp;IF(ISNUMBER($G25),IF($G25=0,"0",ROUND($G25,9-INT(LOG10(ABS($G25))))&amp;""),$G25&amp;"")&amp;" "&amp;IF(ISNUMBER(IF(IFERROR(VALUE($G25&amp;""),0)=1,"sesion","sesiones")),IF(IF(IFERROR(VALUE($G25&amp;""),0)=1,"sesion","sesiones")=0,"0",ROUND(IF(IFERROR(VALUE($G25&amp;""),0)=1,"sesion","sesiones"),9-INT(LOG10(ABS(IF(IFERROR(VALUE($G25&amp;""),0)=1,"sesion","sesiones")))))&amp;""),IF(IFERROR(VALUE($G25&amp;""),0)=1,"sesion","sesiones")&amp;""))))))&amp;""),(IF(ISNUMBER(IF(IFERROR(VALUE($G25&amp;""),0)=1,"Falta","Faltan")),IF(IF(IFERROR(VALUE($G25&amp;""),0)=1,"Falta","Faltan")=0,"0",ROUND(IF(IFERROR(VALUE($G25&amp;""),0)=1,"Falta","Faltan"),9-INT(LOG10(ABS(IF(IFERROR(VALUE($G25&amp;""),0)=1,"Falta","Faltan")))))&amp;""),IF(IFERROR(VALUE($G25&amp;""),0)=1,"Falta","Faltan")&amp;"")&amp;" "&amp;IF(ISNUMBER($G25),IF($G25=0,"0",ROUND($G25,9-INT(LOG10(ABS($G25))))&amp;""),$G25&amp;"")&amp;" "&amp;IF(ISNUMBER(IF(IFERROR(VALUE($G25&amp;""),0)=1,"sesion","sesiones")),IF(IF(IFERROR(VALUE($G25&amp;""),0)=1,"sesion","sesiones")=0,"0",ROUND(IF(IFERROR(VALUE($G25&amp;""),0)=1,"sesion","sesiones"),9-INT(LOG10(ABS(IF(IFERROR(VALUE($G25&amp;""),0)=1,"sesion","sesiones")))))&amp;""),IF(IFERROR(VALUE($G25&amp;""),0)=1,"sesion","sesiones")&amp;""))&amp;""),"")&amp;IF((IFERROR(VALUE($G25&amp;""),0)&lt;0),"; "&amp;IF(ISNUMBER((IF(ISNUMBER(IF(IFERROR(VALUE((0-IFERROR(VALUE($G25&amp;""),0))&amp;""),0)=1,"Sobra","Sobran")),IF(IF(IFERROR(VALUE((0-IFERROR(VALUE($G25&amp;""),0))&amp;""),0)=1,"Sobra","Sobran")=0,"0",ROUND(IF(IFERROR(VALUE((0-IFERROR(VALUE($G25&amp;""),0))&amp;""),0)=1,"Sobra","Sobran"),9-INT(LOG10(ABS(IF(IFERROR(VALUE((0-IFERROR(VALUE($G25&amp;""),0))&amp;""),0)=1,"Sobra","Sobran")))))&amp;""),IF(IFERROR(VALUE((0-IFERROR(VALUE($G25&amp;""),0))&amp;""),0)=1,"Sobra","Sobran")&amp;"")&amp;" "&amp;IF(ISNUMBER((0-IFERROR(VALUE($G25&amp;""),0))),IF((0-IFERROR(VALUE($G25&amp;""),0))=0,"0",ROUND((0-IFERROR(VALUE($G25&amp;""),0)),9-INT(LOG10(ABS((0-IFERROR(VALUE($G25&amp;""),0))))))&amp;""),(0-IFERROR(VALUE($G25&amp;""),0))&amp;"")&amp;" "&amp;IF(ISNUMBER(IF(IFERROR(VALUE((0-IFERROR(VALUE($G25&amp;""),0))&amp;""),0)=1,"sesion","sesiones")),IF(IF(IFERROR(VALUE((0-IFERROR(VALUE($G25&amp;""),0))&amp;""),0)=1,"sesion","sesiones")=0,"0",ROUND(IF(IFERROR(VALUE((0-IFERROR(VALUE($G25&amp;""),0))&amp;""),0)=1,"sesion","sesiones"),9-INT(LOG10(ABS(IF(IFERROR(VALUE((0-IFERROR(VALUE($G25&amp;""),0))&amp;""),0)=1,"sesion","sesiones")))))&amp;""),IF(IFERROR(VALUE((0-IFERROR(VALUE($G25&amp;""),0))&amp;""),0)=1,"sesion","sesiones")&amp;""))),IF((IF(ISNUMBER(IF(IFERROR(VALUE((0-IFERROR(VALUE($G25&amp;""),0))&amp;""),0)=1,"Sobra","Sobran")),IF(IF(IFERROR(VALUE((0-IFERROR(VALUE($G25&amp;""),0))&amp;""),0)=1,"Sobra","Sobran")=0,"0",ROUND(IF(IFERROR(VALUE((0-IFERROR(VALUE($G25&amp;""),0))&amp;""),0)=1,"Sobra","Sobran"),9-INT(LOG10(ABS(IF(IFERROR(VALUE((0-IFERROR(VALUE($G25&amp;""),0))&amp;""),0)=1,"Sobra","Sobran")))))&amp;""),IF(IFERROR(VALUE((0-IFERROR(VALUE($G25&amp;""),0))&amp;""),0)=1,"Sobra","Sobran")&amp;"")&amp;" "&amp;IF(ISNUMBER((0-IFERROR(VALUE($G25&amp;""),0))),IF((0-IFERROR(VALUE($G25&amp;""),0))=0,"0",ROUND((0-IFERROR(VALUE($G25&amp;""),0)),9-INT(LOG10(ABS((0-IFERROR(VALUE($G25&amp;""),0))))))&amp;""),(0-IFERROR(VALUE($G25&amp;""),0))&amp;"")&amp;" "&amp;IF(ISNUMBER(IF(IFERROR(VALUE((0-IFERROR(VALUE($G25&amp;""),0))&amp;""),0)=1,"sesion","sesiones")),IF(IF(IFERROR(VALUE((0-IFERROR(VALUE($G25&amp;""),0))&amp;""),0)=1,"sesion","sesiones")=0,"0",ROUND(IF(IFERROR(VALUE((0-IFERROR(VALUE($G25&amp;""),0))&amp;""),0)=1,"sesion","sesiones"),9-INT(LOG10(ABS(IF(IFERROR(VALUE((0-IFERROR(VALUE($G25&amp;""),0))&amp;""),0)=1,"sesion","sesiones")))))&amp;""),IF(IFERROR(VALUE((0-IFERROR(VALUE($G25&amp;""),0))&amp;""),0)=1,"sesion","sesiones")&amp;""))=0,"0",ROUND((IF(ISNUMBER(IF(IFERROR(VALUE((0-IFERROR(VALUE($G25&amp;""),0))&amp;""),0)=1,"Sobra","Sobran")),IF(IF(IFERROR(VALUE((0-IFERROR(VALUE($G25&amp;""),0))&amp;""),0)=1,"Sobra","Sobran")=0,"0",ROUND(IF(IFERROR(VALUE((0-IFERROR(VALUE($G25&amp;""),0))&amp;""),0)=1,"Sobra","Sobran"),9-INT(LOG10(ABS(IF(IFERROR(VALUE((0-IFERROR(VALUE($G25&amp;""),0))&amp;""),0)=1,"Sobra","Sobran")))))&amp;""),IF(IFERROR(VALUE((0-IFERROR(VALUE($G25&amp;""),0))&amp;""),0)=1,"Sobra","Sobran")&amp;"")&amp;" "&amp;IF(ISNUMBER((0-IFERROR(VALUE($G25&amp;""),0))),IF((0-IFERROR(VALUE($G25&amp;""),0))=0,"0",ROUND((0-IFERROR(VALUE($G25&amp;""),0)),9-INT(LOG10(ABS((0-IFERROR(VALUE($G25&amp;""),0))))))&amp;""),(0-IFERROR(VALUE($G25&amp;""),0))&amp;"")&amp;" "&amp;IF(ISNUMBER(IF(IFERROR(VALUE((0-IFERROR(VALUE($G25&amp;""),0))&amp;""),0)=1,"sesion","sesiones")),IF(IF(IFERROR(VALUE((0-IFERROR(VALUE($G25&amp;""),0))&amp;""),0)=1,"sesion","sesiones")=0,"0",ROUND(IF(IFERROR(VALUE((0-IFERROR(VALUE($G25&amp;""),0))&amp;""),0)=1,"sesion","sesiones"),9-INT(LOG10(ABS(IF(IFERROR(VALUE((0-IFERROR(VALUE($G25&amp;""),0))&amp;""),0)=1,"sesion","sesiones")))))&amp;""),IF(IFERROR(VALUE((0-IFERROR(VALUE($G25&amp;""),0))&amp;""),0)=1,"sesion","sesiones")&amp;"")),9-INT(LOG10(ABS((IF(ISNUMBER(IF(IFERROR(VALUE((0-IFERROR(VALUE($G25&amp;""),0))&amp;""),0)=1,"Sobra","Sobran")),IF(IF(IFERROR(VALUE((0-IFERROR(VALUE($G25&amp;""),0))&amp;""),0)=1,"Sobra","Sobran")=0,"0",ROUND(IF(IFERROR(VALUE((0-IFERROR(VALUE($G25&amp;""),0))&amp;""),0)=1,"Sobra","Sobran"),9-INT(LOG10(ABS(IF(IFERROR(VALUE((0-IFERROR(VALUE($G25&amp;""),0))&amp;""),0)=1,"Sobra","Sobran")))))&amp;""),IF(IFERROR(VALUE((0-IFERROR(VALUE($G25&amp;""),0))&amp;""),0)=1,"Sobra","Sobran")&amp;"")&amp;" "&amp;IF(ISNUMBER((0-IFERROR(VALUE($G25&amp;""),0))),IF((0-IFERROR(VALUE($G25&amp;""),0))=0,"0",ROUND((0-IFERROR(VALUE($G25&amp;""),0)),9-INT(LOG10(ABS((0-IFERROR(VALUE($G25&amp;""),0))))))&amp;""),(0-IFERROR(VALUE($G25&amp;""),0))&amp;"")&amp;" "&amp;IF(ISNUMBER(IF(IFERROR(VALUE((0-IFERROR(VALUE($G25&amp;""),0))&amp;""),0)=1,"sesion","sesiones")),IF(IF(IFERROR(VALUE((0-IFERROR(VALUE($G25&amp;""),0))&amp;""),0)=1,"sesion","sesiones")=0,"0",ROUND(IF(IFERROR(VALUE((0-IFERROR(VALUE($G25&amp;""),0))&amp;""),0)=1,"sesion","sesiones"),9-INT(LOG10(ABS(IF(IFERROR(VALUE((0-IFERROR(VALUE($G25&amp;""),0))&amp;""),0)=1,"sesion","sesiones")))))&amp;""),IF(IFERROR(VALUE((0-IFERROR(VALUE($G25&amp;""),0))&amp;""),0)=1,"sesion","sesiones")&amp;""))))))&amp;""),(IF(ISNUMBER(IF(IFERROR(VALUE((0-IFERROR(VALUE($G25&amp;""),0))&amp;""),0)=1,"Sobra","Sobran")),IF(IF(IFERROR(VALUE((0-IFERROR(VALUE($G25&amp;""),0))&amp;""),0)=1,"Sobra","Sobran")=0,"0",ROUND(IF(IFERROR(VALUE((0-IFERROR(VALUE($G25&amp;""),0))&amp;""),0)=1,"Sobra","Sobran"),9-INT(LOG10(ABS(IF(IFERROR(VALUE((0-IFERROR(VALUE($G25&amp;""),0))&amp;""),0)=1,"Sobra","Sobran")))))&amp;""),IF(IFERROR(VALUE((0-IFERROR(VALUE($G25&amp;""),0))&amp;""),0)=1,"Sobra","Sobran")&amp;"")&amp;" "&amp;IF(ISNUMBER((0-IFERROR(VALUE($G25&amp;""),0))),IF((0-IFERROR(VALUE($G25&amp;""),0))=0,"0",ROUND((0-IFERROR(VALUE($G25&amp;""),0)),9-INT(LOG10(ABS((0-IFERROR(VALUE($G25&amp;""),0))))))&amp;""),(0-IFERROR(VALUE($G25&amp;""),0))&amp;"")&amp;" "&amp;IF(ISNUMBER(IF(IFERROR(VALUE((0-IFERROR(VALUE($G25&amp;""),0))&amp;""),0)=1,"sesion","sesiones")),IF(IF(IFERROR(VALUE((0-IFERROR(VALUE($G25&amp;""),0))&amp;""),0)=1,"sesion","sesiones")=0,"0",ROUND(IF(IFERROR(VALUE((0-IFERROR(VALUE($G25&amp;""),0))&amp;""),0)=1,"sesion","sesiones"),9-INT(LOG10(ABS(IF(IFERROR(VALUE((0-IFERROR(VALUE($G25&amp;""),0))&amp;""),0)=1,"sesion","sesiones")))))&amp;""),IF(IFERROR(VALUE((0-IFERROR(VALUE($G25&amp;""),0))&amp;""),0)=1,"sesion","sesiones")&amp;""))&amp;""),""),3,32767)</f>
        <v/>
      </c>
      <c r="I25" s="3">
        <f>IF(OR((IFERROR(VALUE($G25&amp;""),0)&gt;0),(IFERROR(VALUE($G25&amp;""),0)&lt;0)),3,0)</f>
        <v/>
      </c>
    </row>
    <row r="26">
      <c r="A26" s="3" t="inlineStr">
        <is>
          <t>10-4</t>
        </is>
      </c>
      <c r="B26" s="3" t="inlineStr">
        <is>
          <t>G</t>
        </is>
      </c>
      <c r="C26" s="3" t="inlineStr">
        <is>
          <t>Profesor de G en 10-4</t>
        </is>
      </c>
      <c r="D26" s="3">
        <f>IF(ISNA(MATCH(1,INDEX(EXACT('Asignaturas'!$A$4:$A$18,$B26)*1,0),0)),"",IF(ISBLANK(INDEX('Asignaturas'!$B$4:$B$18,MATCH(1,INDEX(EXACT('Asignaturas'!$A$4:$A$18,$B26)*1,0),0))),"",INDEX('Asignaturas'!$B$4:$B$18,MATCH(1,INDEX(EXACT('Asignaturas'!$A$4:$A$18,$B26)*1,0),0))))</f>
        <v/>
      </c>
      <c r="E26" s="3">
        <f>IF(ISNA(MATCH(1,INDEX(EXACT('Asignaturas'!$A$4:$A$18,$B26)*1,0),0)),0,IF(ISBLANK(INDEX('Asignaturas'!$C$4:$C$18,MATCH(1,INDEX(EXACT('Asignaturas'!$A$4:$A$18,$B26)*1,0),0))),"",INDEX('Asignaturas'!$C$4:$C$18,MATCH(1,INDEX(EXACT('Asignaturas'!$A$4:$A$18,$B26)*1,0),0))))</f>
        <v/>
      </c>
      <c r="F26" s="3">
        <f>SUMPRODUCT(1*((EXACT('Casillas del horario'!$A$4:$A$73,$A26)))*((EXACT('Casillas del horario'!$D$4:$D$73,$B26))))</f>
        <v/>
      </c>
      <c r="G26" s="3">
        <f>(IFERROR(VALUE($E26&amp;""),0)-IFERROR(VALUE($F26&amp;""),0))</f>
        <v/>
      </c>
      <c r="H26" s="3">
        <f>MID(IF((IFERROR(VALUE($G26&amp;""),0)&gt;0),"; "&amp;IF(ISNUMBER((IF(ISNUMBER(IF(IFERROR(VALUE($G26&amp;""),0)=1,"Falta","Faltan")),IF(IF(IFERROR(VALUE($G26&amp;""),0)=1,"Falta","Faltan")=0,"0",ROUND(IF(IFERROR(VALUE($G26&amp;""),0)=1,"Falta","Faltan"),9-INT(LOG10(ABS(IF(IFERROR(VALUE($G26&amp;""),0)=1,"Falta","Faltan")))))&amp;""),IF(IFERROR(VALUE($G26&amp;""),0)=1,"Falta","Faltan")&amp;"")&amp;" "&amp;IF(ISNUMBER($G26),IF($G26=0,"0",ROUND($G26,9-INT(LOG10(ABS($G26))))&amp;""),$G26&amp;"")&amp;" "&amp;IF(ISNUMBER(IF(IFERROR(VALUE($G26&amp;""),0)=1,"sesion","sesiones")),IF(IF(IFERROR(VALUE($G26&amp;""),0)=1,"sesion","sesiones")=0,"0",ROUND(IF(IFERROR(VALUE($G26&amp;""),0)=1,"sesion","sesiones"),9-INT(LOG10(ABS(IF(IFERROR(VALUE($G26&amp;""),0)=1,"sesion","sesiones")))))&amp;""),IF(IFERROR(VALUE($G26&amp;""),0)=1,"sesion","sesiones")&amp;""))),IF((IF(ISNUMBER(IF(IFERROR(VALUE($G26&amp;""),0)=1,"Falta","Faltan")),IF(IF(IFERROR(VALUE($G26&amp;""),0)=1,"Falta","Faltan")=0,"0",ROUND(IF(IFERROR(VALUE($G26&amp;""),0)=1,"Falta","Faltan"),9-INT(LOG10(ABS(IF(IFERROR(VALUE($G26&amp;""),0)=1,"Falta","Faltan")))))&amp;""),IF(IFERROR(VALUE($G26&amp;""),0)=1,"Falta","Faltan")&amp;"")&amp;" "&amp;IF(ISNUMBER($G26),IF($G26=0,"0",ROUND($G26,9-INT(LOG10(ABS($G26))))&amp;""),$G26&amp;"")&amp;" "&amp;IF(ISNUMBER(IF(IFERROR(VALUE($G26&amp;""),0)=1,"sesion","sesiones")),IF(IF(IFERROR(VALUE($G26&amp;""),0)=1,"sesion","sesiones")=0,"0",ROUND(IF(IFERROR(VALUE($G26&amp;""),0)=1,"sesion","sesiones"),9-INT(LOG10(ABS(IF(IFERROR(VALUE($G26&amp;""),0)=1,"sesion","sesiones")))))&amp;""),IF(IFERROR(VALUE($G26&amp;""),0)=1,"sesion","sesiones")&amp;""))=0,"0",ROUND((IF(ISNUMBER(IF(IFERROR(VALUE($G26&amp;""),0)=1,"Falta","Faltan")),IF(IF(IFERROR(VALUE($G26&amp;""),0)=1,"Falta","Faltan")=0,"0",ROUND(IF(IFERROR(VALUE($G26&amp;""),0)=1,"Falta","Faltan"),9-INT(LOG10(ABS(IF(IFERROR(VALUE($G26&amp;""),0)=1,"Falta","Faltan")))))&amp;""),IF(IFERROR(VALUE($G26&amp;""),0)=1,"Falta","Faltan")&amp;"")&amp;" "&amp;IF(ISNUMBER($G26),IF($G26=0,"0",ROUND($G26,9-INT(LOG10(ABS($G26))))&amp;""),$G26&amp;"")&amp;" "&amp;IF(ISNUMBER(IF(IFERROR(VALUE($G26&amp;""),0)=1,"sesion","sesiones")),IF(IF(IFERROR(VALUE($G26&amp;""),0)=1,"sesion","sesiones")=0,"0",ROUND(IF(IFERROR(VALUE($G26&amp;""),0)=1,"sesion","sesiones"),9-INT(LOG10(ABS(IF(IFERROR(VALUE($G26&amp;""),0)=1,"sesion","sesiones")))))&amp;""),IF(IFERROR(VALUE($G26&amp;""),0)=1,"sesion","sesiones")&amp;"")),9-INT(LOG10(ABS((IF(ISNUMBER(IF(IFERROR(VALUE($G26&amp;""),0)=1,"Falta","Faltan")),IF(IF(IFERROR(VALUE($G26&amp;""),0)=1,"Falta","Faltan")=0,"0",ROUND(IF(IFERROR(VALUE($G26&amp;""),0)=1,"Falta","Faltan"),9-INT(LOG10(ABS(IF(IFERROR(VALUE($G26&amp;""),0)=1,"Falta","Faltan")))))&amp;""),IF(IFERROR(VALUE($G26&amp;""),0)=1,"Falta","Faltan")&amp;"")&amp;" "&amp;IF(ISNUMBER($G26),IF($G26=0,"0",ROUND($G26,9-INT(LOG10(ABS($G26))))&amp;""),$G26&amp;"")&amp;" "&amp;IF(ISNUMBER(IF(IFERROR(VALUE($G26&amp;""),0)=1,"sesion","sesiones")),IF(IF(IFERROR(VALUE($G26&amp;""),0)=1,"sesion","sesiones")=0,"0",ROUND(IF(IFERROR(VALUE($G26&amp;""),0)=1,"sesion","sesiones"),9-INT(LOG10(ABS(IF(IFERROR(VALUE($G26&amp;""),0)=1,"sesion","sesiones")))))&amp;""),IF(IFERROR(VALUE($G26&amp;""),0)=1,"sesion","sesiones")&amp;""))))))&amp;""),(IF(ISNUMBER(IF(IFERROR(VALUE($G26&amp;""),0)=1,"Falta","Faltan")),IF(IF(IFERROR(VALUE($G26&amp;""),0)=1,"Falta","Faltan")=0,"0",ROUND(IF(IFERROR(VALUE($G26&amp;""),0)=1,"Falta","Faltan"),9-INT(LOG10(ABS(IF(IFERROR(VALUE($G26&amp;""),0)=1,"Falta","Faltan")))))&amp;""),IF(IFERROR(VALUE($G26&amp;""),0)=1,"Falta","Faltan")&amp;"")&amp;" "&amp;IF(ISNUMBER($G26),IF($G26=0,"0",ROUND($G26,9-INT(LOG10(ABS($G26))))&amp;""),$G26&amp;"")&amp;" "&amp;IF(ISNUMBER(IF(IFERROR(VALUE($G26&amp;""),0)=1,"sesion","sesiones")),IF(IF(IFERROR(VALUE($G26&amp;""),0)=1,"sesion","sesiones")=0,"0",ROUND(IF(IFERROR(VALUE($G26&amp;""),0)=1,"sesion","sesiones"),9-INT(LOG10(ABS(IF(IFERROR(VALUE($G26&amp;""),0)=1,"sesion","sesiones")))))&amp;""),IF(IFERROR(VALUE($G26&amp;""),0)=1,"sesion","sesiones")&amp;""))&amp;""),"")&amp;IF((IFERROR(VALUE($G26&amp;""),0)&lt;0),"; "&amp;IF(ISNUMBER((IF(ISNUMBER(IF(IFERROR(VALUE((0-IFERROR(VALUE($G26&amp;""),0))&amp;""),0)=1,"Sobra","Sobran")),IF(IF(IFERROR(VALUE((0-IFERROR(VALUE($G26&amp;""),0))&amp;""),0)=1,"Sobra","Sobran")=0,"0",ROUND(IF(IFERROR(VALUE((0-IFERROR(VALUE($G26&amp;""),0))&amp;""),0)=1,"Sobra","Sobran"),9-INT(LOG10(ABS(IF(IFERROR(VALUE((0-IFERROR(VALUE($G26&amp;""),0))&amp;""),0)=1,"Sobra","Sobran")))))&amp;""),IF(IFERROR(VALUE((0-IFERROR(VALUE($G26&amp;""),0))&amp;""),0)=1,"Sobra","Sobran")&amp;"")&amp;" "&amp;IF(ISNUMBER((0-IFERROR(VALUE($G26&amp;""),0))),IF((0-IFERROR(VALUE($G26&amp;""),0))=0,"0",ROUND((0-IFERROR(VALUE($G26&amp;""),0)),9-INT(LOG10(ABS((0-IFERROR(VALUE($G26&amp;""),0))))))&amp;""),(0-IFERROR(VALUE($G26&amp;""),0))&amp;"")&amp;" "&amp;IF(ISNUMBER(IF(IFERROR(VALUE((0-IFERROR(VALUE($G26&amp;""),0))&amp;""),0)=1,"sesion","sesiones")),IF(IF(IFERROR(VALUE((0-IFERROR(VALUE($G26&amp;""),0))&amp;""),0)=1,"sesion","sesiones")=0,"0",ROUND(IF(IFERROR(VALUE((0-IFERROR(VALUE($G26&amp;""),0))&amp;""),0)=1,"sesion","sesiones"),9-INT(LOG10(ABS(IF(IFERROR(VALUE((0-IFERROR(VALUE($G26&amp;""),0))&amp;""),0)=1,"sesion","sesiones")))))&amp;""),IF(IFERROR(VALUE((0-IFERROR(VALUE($G26&amp;""),0))&amp;""),0)=1,"sesion","sesiones")&amp;""))),IF((IF(ISNUMBER(IF(IFERROR(VALUE((0-IFERROR(VALUE($G26&amp;""),0))&amp;""),0)=1,"Sobra","Sobran")),IF(IF(IFERROR(VALUE((0-IFERROR(VALUE($G26&amp;""),0))&amp;""),0)=1,"Sobra","Sobran")=0,"0",ROUND(IF(IFERROR(VALUE((0-IFERROR(VALUE($G26&amp;""),0))&amp;""),0)=1,"Sobra","Sobran"),9-INT(LOG10(ABS(IF(IFERROR(VALUE((0-IFERROR(VALUE($G26&amp;""),0))&amp;""),0)=1,"Sobra","Sobran")))))&amp;""),IF(IFERROR(VALUE((0-IFERROR(VALUE($G26&amp;""),0))&amp;""),0)=1,"Sobra","Sobran")&amp;"")&amp;" "&amp;IF(ISNUMBER((0-IFERROR(VALUE($G26&amp;""),0))),IF((0-IFERROR(VALUE($G26&amp;""),0))=0,"0",ROUND((0-IFERROR(VALUE($G26&amp;""),0)),9-INT(LOG10(ABS((0-IFERROR(VALUE($G26&amp;""),0))))))&amp;""),(0-IFERROR(VALUE($G26&amp;""),0))&amp;"")&amp;" "&amp;IF(ISNUMBER(IF(IFERROR(VALUE((0-IFERROR(VALUE($G26&amp;""),0))&amp;""),0)=1,"sesion","sesiones")),IF(IF(IFERROR(VALUE((0-IFERROR(VALUE($G26&amp;""),0))&amp;""),0)=1,"sesion","sesiones")=0,"0",ROUND(IF(IFERROR(VALUE((0-IFERROR(VALUE($G26&amp;""),0))&amp;""),0)=1,"sesion","sesiones"),9-INT(LOG10(ABS(IF(IFERROR(VALUE((0-IFERROR(VALUE($G26&amp;""),0))&amp;""),0)=1,"sesion","sesiones")))))&amp;""),IF(IFERROR(VALUE((0-IFERROR(VALUE($G26&amp;""),0))&amp;""),0)=1,"sesion","sesiones")&amp;""))=0,"0",ROUND((IF(ISNUMBER(IF(IFERROR(VALUE((0-IFERROR(VALUE($G26&amp;""),0))&amp;""),0)=1,"Sobra","Sobran")),IF(IF(IFERROR(VALUE((0-IFERROR(VALUE($G26&amp;""),0))&amp;""),0)=1,"Sobra","Sobran")=0,"0",ROUND(IF(IFERROR(VALUE((0-IFERROR(VALUE($G26&amp;""),0))&amp;""),0)=1,"Sobra","Sobran"),9-INT(LOG10(ABS(IF(IFERROR(VALUE((0-IFERROR(VALUE($G26&amp;""),0))&amp;""),0)=1,"Sobra","Sobran")))))&amp;""),IF(IFERROR(VALUE((0-IFERROR(VALUE($G26&amp;""),0))&amp;""),0)=1,"Sobra","Sobran")&amp;"")&amp;" "&amp;IF(ISNUMBER((0-IFERROR(VALUE($G26&amp;""),0))),IF((0-IFERROR(VALUE($G26&amp;""),0))=0,"0",ROUND((0-IFERROR(VALUE($G26&amp;""),0)),9-INT(LOG10(ABS((0-IFERROR(VALUE($G26&amp;""),0))))))&amp;""),(0-IFERROR(VALUE($G26&amp;""),0))&amp;"")&amp;" "&amp;IF(ISNUMBER(IF(IFERROR(VALUE((0-IFERROR(VALUE($G26&amp;""),0))&amp;""),0)=1,"sesion","sesiones")),IF(IF(IFERROR(VALUE((0-IFERROR(VALUE($G26&amp;""),0))&amp;""),0)=1,"sesion","sesiones")=0,"0",ROUND(IF(IFERROR(VALUE((0-IFERROR(VALUE($G26&amp;""),0))&amp;""),0)=1,"sesion","sesiones"),9-INT(LOG10(ABS(IF(IFERROR(VALUE((0-IFERROR(VALUE($G26&amp;""),0))&amp;""),0)=1,"sesion","sesiones")))))&amp;""),IF(IFERROR(VALUE((0-IFERROR(VALUE($G26&amp;""),0))&amp;""),0)=1,"sesion","sesiones")&amp;"")),9-INT(LOG10(ABS((IF(ISNUMBER(IF(IFERROR(VALUE((0-IFERROR(VALUE($G26&amp;""),0))&amp;""),0)=1,"Sobra","Sobran")),IF(IF(IFERROR(VALUE((0-IFERROR(VALUE($G26&amp;""),0))&amp;""),0)=1,"Sobra","Sobran")=0,"0",ROUND(IF(IFERROR(VALUE((0-IFERROR(VALUE($G26&amp;""),0))&amp;""),0)=1,"Sobra","Sobran"),9-INT(LOG10(ABS(IF(IFERROR(VALUE((0-IFERROR(VALUE($G26&amp;""),0))&amp;""),0)=1,"Sobra","Sobran")))))&amp;""),IF(IFERROR(VALUE((0-IFERROR(VALUE($G26&amp;""),0))&amp;""),0)=1,"Sobra","Sobran")&amp;"")&amp;" "&amp;IF(ISNUMBER((0-IFERROR(VALUE($G26&amp;""),0))),IF((0-IFERROR(VALUE($G26&amp;""),0))=0,"0",ROUND((0-IFERROR(VALUE($G26&amp;""),0)),9-INT(LOG10(ABS((0-IFERROR(VALUE($G26&amp;""),0))))))&amp;""),(0-IFERROR(VALUE($G26&amp;""),0))&amp;"")&amp;" "&amp;IF(ISNUMBER(IF(IFERROR(VALUE((0-IFERROR(VALUE($G26&amp;""),0))&amp;""),0)=1,"sesion","sesiones")),IF(IF(IFERROR(VALUE((0-IFERROR(VALUE($G26&amp;""),0))&amp;""),0)=1,"sesion","sesiones")=0,"0",ROUND(IF(IFERROR(VALUE((0-IFERROR(VALUE($G26&amp;""),0))&amp;""),0)=1,"sesion","sesiones"),9-INT(LOG10(ABS(IF(IFERROR(VALUE((0-IFERROR(VALUE($G26&amp;""),0))&amp;""),0)=1,"sesion","sesiones")))))&amp;""),IF(IFERROR(VALUE((0-IFERROR(VALUE($G26&amp;""),0))&amp;""),0)=1,"sesion","sesiones")&amp;""))))))&amp;""),(IF(ISNUMBER(IF(IFERROR(VALUE((0-IFERROR(VALUE($G26&amp;""),0))&amp;""),0)=1,"Sobra","Sobran")),IF(IF(IFERROR(VALUE((0-IFERROR(VALUE($G26&amp;""),0))&amp;""),0)=1,"Sobra","Sobran")=0,"0",ROUND(IF(IFERROR(VALUE((0-IFERROR(VALUE($G26&amp;""),0))&amp;""),0)=1,"Sobra","Sobran"),9-INT(LOG10(ABS(IF(IFERROR(VALUE((0-IFERROR(VALUE($G26&amp;""),0))&amp;""),0)=1,"Sobra","Sobran")))))&amp;""),IF(IFERROR(VALUE((0-IFERROR(VALUE($G26&amp;""),0))&amp;""),0)=1,"Sobra","Sobran")&amp;"")&amp;" "&amp;IF(ISNUMBER((0-IFERROR(VALUE($G26&amp;""),0))),IF((0-IFERROR(VALUE($G26&amp;""),0))=0,"0",ROUND((0-IFERROR(VALUE($G26&amp;""),0)),9-INT(LOG10(ABS((0-IFERROR(VALUE($G26&amp;""),0))))))&amp;""),(0-IFERROR(VALUE($G26&amp;""),0))&amp;"")&amp;" "&amp;IF(ISNUMBER(IF(IFERROR(VALUE((0-IFERROR(VALUE($G26&amp;""),0))&amp;""),0)=1,"sesion","sesiones")),IF(IF(IFERROR(VALUE((0-IFERROR(VALUE($G26&amp;""),0))&amp;""),0)=1,"sesion","sesiones")=0,"0",ROUND(IF(IFERROR(VALUE((0-IFERROR(VALUE($G26&amp;""),0))&amp;""),0)=1,"sesion","sesiones"),9-INT(LOG10(ABS(IF(IFERROR(VALUE((0-IFERROR(VALUE($G26&amp;""),0))&amp;""),0)=1,"sesion","sesiones")))))&amp;""),IF(IFERROR(VALUE((0-IFERROR(VALUE($G26&amp;""),0))&amp;""),0)=1,"sesion","sesiones")&amp;""))&amp;""),""),3,32767)</f>
        <v/>
      </c>
      <c r="I26" s="3">
        <f>IF(OR((IFERROR(VALUE($G26&amp;""),0)&gt;0),(IFERROR(VALUE($G26&amp;""),0)&lt;0)),3,0)</f>
        <v/>
      </c>
    </row>
    <row r="27">
      <c r="A27" s="3" t="inlineStr">
        <is>
          <t>10-4</t>
        </is>
      </c>
      <c r="B27" s="3" t="inlineStr">
        <is>
          <t>INF</t>
        </is>
      </c>
      <c r="C27" s="3" t="inlineStr">
        <is>
          <t>Profesor de INF en 10-4</t>
        </is>
      </c>
      <c r="D27" s="3">
        <f>IF(ISNA(MATCH(1,INDEX(EXACT('Asignaturas'!$A$4:$A$18,$B27)*1,0),0)),"",IF(ISBLANK(INDEX('Asignaturas'!$B$4:$B$18,MATCH(1,INDEX(EXACT('Asignaturas'!$A$4:$A$18,$B27)*1,0),0))),"",INDEX('Asignaturas'!$B$4:$B$18,MATCH(1,INDEX(EXACT('Asignaturas'!$A$4:$A$18,$B27)*1,0),0))))</f>
        <v/>
      </c>
      <c r="E27" s="3">
        <f>IF(ISNA(MATCH(1,INDEX(EXACT('Asignaturas'!$A$4:$A$18,$B27)*1,0),0)),0,IF(ISBLANK(INDEX('Asignaturas'!$C$4:$C$18,MATCH(1,INDEX(EXACT('Asignaturas'!$A$4:$A$18,$B27)*1,0),0))),"",INDEX('Asignaturas'!$C$4:$C$18,MATCH(1,INDEX(EXACT('Asignaturas'!$A$4:$A$18,$B27)*1,0),0))))</f>
        <v/>
      </c>
      <c r="F27" s="3">
        <f>SUMPRODUCT(1*((EXACT('Casillas del horario'!$A$4:$A$73,$A27)))*((EXACT('Casillas del horario'!$D$4:$D$73,$B27))))</f>
        <v/>
      </c>
      <c r="G27" s="3">
        <f>(IFERROR(VALUE($E27&amp;""),0)-IFERROR(VALUE($F27&amp;""),0))</f>
        <v/>
      </c>
      <c r="H27" s="3">
        <f>MID(IF((IFERROR(VALUE($G27&amp;""),0)&gt;0),"; "&amp;IF(ISNUMBER((IF(ISNUMBER(IF(IFERROR(VALUE($G27&amp;""),0)=1,"Falta","Faltan")),IF(IF(IFERROR(VALUE($G27&amp;""),0)=1,"Falta","Faltan")=0,"0",ROUND(IF(IFERROR(VALUE($G27&amp;""),0)=1,"Falta","Faltan"),9-INT(LOG10(ABS(IF(IFERROR(VALUE($G27&amp;""),0)=1,"Falta","Faltan")))))&amp;""),IF(IFERROR(VALUE($G27&amp;""),0)=1,"Falta","Faltan")&amp;"")&amp;" "&amp;IF(ISNUMBER($G27),IF($G27=0,"0",ROUND($G27,9-INT(LOG10(ABS($G27))))&amp;""),$G27&amp;"")&amp;" "&amp;IF(ISNUMBER(IF(IFERROR(VALUE($G27&amp;""),0)=1,"sesion","sesiones")),IF(IF(IFERROR(VALUE($G27&amp;""),0)=1,"sesion","sesiones")=0,"0",ROUND(IF(IFERROR(VALUE($G27&amp;""),0)=1,"sesion","sesiones"),9-INT(LOG10(ABS(IF(IFERROR(VALUE($G27&amp;""),0)=1,"sesion","sesiones")))))&amp;""),IF(IFERROR(VALUE($G27&amp;""),0)=1,"sesion","sesiones")&amp;""))),IF((IF(ISNUMBER(IF(IFERROR(VALUE($G27&amp;""),0)=1,"Falta","Faltan")),IF(IF(IFERROR(VALUE($G27&amp;""),0)=1,"Falta","Faltan")=0,"0",ROUND(IF(IFERROR(VALUE($G27&amp;""),0)=1,"Falta","Faltan"),9-INT(LOG10(ABS(IF(IFERROR(VALUE($G27&amp;""),0)=1,"Falta","Faltan")))))&amp;""),IF(IFERROR(VALUE($G27&amp;""),0)=1,"Falta","Faltan")&amp;"")&amp;" "&amp;IF(ISNUMBER($G27),IF($G27=0,"0",ROUND($G27,9-INT(LOG10(ABS($G27))))&amp;""),$G27&amp;"")&amp;" "&amp;IF(ISNUMBER(IF(IFERROR(VALUE($G27&amp;""),0)=1,"sesion","sesiones")),IF(IF(IFERROR(VALUE($G27&amp;""),0)=1,"sesion","sesiones")=0,"0",ROUND(IF(IFERROR(VALUE($G27&amp;""),0)=1,"sesion","sesiones"),9-INT(LOG10(ABS(IF(IFERROR(VALUE($G27&amp;""),0)=1,"sesion","sesiones")))))&amp;""),IF(IFERROR(VALUE($G27&amp;""),0)=1,"sesion","sesiones")&amp;""))=0,"0",ROUND((IF(ISNUMBER(IF(IFERROR(VALUE($G27&amp;""),0)=1,"Falta","Faltan")),IF(IF(IFERROR(VALUE($G27&amp;""),0)=1,"Falta","Faltan")=0,"0",ROUND(IF(IFERROR(VALUE($G27&amp;""),0)=1,"Falta","Faltan"),9-INT(LOG10(ABS(IF(IFERROR(VALUE($G27&amp;""),0)=1,"Falta","Faltan")))))&amp;""),IF(IFERROR(VALUE($G27&amp;""),0)=1,"Falta","Faltan")&amp;"")&amp;" "&amp;IF(ISNUMBER($G27),IF($G27=0,"0",ROUND($G27,9-INT(LOG10(ABS($G27))))&amp;""),$G27&amp;"")&amp;" "&amp;IF(ISNUMBER(IF(IFERROR(VALUE($G27&amp;""),0)=1,"sesion","sesiones")),IF(IF(IFERROR(VALUE($G27&amp;""),0)=1,"sesion","sesiones")=0,"0",ROUND(IF(IFERROR(VALUE($G27&amp;""),0)=1,"sesion","sesiones"),9-INT(LOG10(ABS(IF(IFERROR(VALUE($G27&amp;""),0)=1,"sesion","sesiones")))))&amp;""),IF(IFERROR(VALUE($G27&amp;""),0)=1,"sesion","sesiones")&amp;"")),9-INT(LOG10(ABS((IF(ISNUMBER(IF(IFERROR(VALUE($G27&amp;""),0)=1,"Falta","Faltan")),IF(IF(IFERROR(VALUE($G27&amp;""),0)=1,"Falta","Faltan")=0,"0",ROUND(IF(IFERROR(VALUE($G27&amp;""),0)=1,"Falta","Faltan"),9-INT(LOG10(ABS(IF(IFERROR(VALUE($G27&amp;""),0)=1,"Falta","Faltan")))))&amp;""),IF(IFERROR(VALUE($G27&amp;""),0)=1,"Falta","Faltan")&amp;"")&amp;" "&amp;IF(ISNUMBER($G27),IF($G27=0,"0",ROUND($G27,9-INT(LOG10(ABS($G27))))&amp;""),$G27&amp;"")&amp;" "&amp;IF(ISNUMBER(IF(IFERROR(VALUE($G27&amp;""),0)=1,"sesion","sesiones")),IF(IF(IFERROR(VALUE($G27&amp;""),0)=1,"sesion","sesiones")=0,"0",ROUND(IF(IFERROR(VALUE($G27&amp;""),0)=1,"sesion","sesiones"),9-INT(LOG10(ABS(IF(IFERROR(VALUE($G27&amp;""),0)=1,"sesion","sesiones")))))&amp;""),IF(IFERROR(VALUE($G27&amp;""),0)=1,"sesion","sesiones")&amp;""))))))&amp;""),(IF(ISNUMBER(IF(IFERROR(VALUE($G27&amp;""),0)=1,"Falta","Faltan")),IF(IF(IFERROR(VALUE($G27&amp;""),0)=1,"Falta","Faltan")=0,"0",ROUND(IF(IFERROR(VALUE($G27&amp;""),0)=1,"Falta","Faltan"),9-INT(LOG10(ABS(IF(IFERROR(VALUE($G27&amp;""),0)=1,"Falta","Faltan")))))&amp;""),IF(IFERROR(VALUE($G27&amp;""),0)=1,"Falta","Faltan")&amp;"")&amp;" "&amp;IF(ISNUMBER($G27),IF($G27=0,"0",ROUND($G27,9-INT(LOG10(ABS($G27))))&amp;""),$G27&amp;"")&amp;" "&amp;IF(ISNUMBER(IF(IFERROR(VALUE($G27&amp;""),0)=1,"sesion","sesiones")),IF(IF(IFERROR(VALUE($G27&amp;""),0)=1,"sesion","sesiones")=0,"0",ROUND(IF(IFERROR(VALUE($G27&amp;""),0)=1,"sesion","sesiones"),9-INT(LOG10(ABS(IF(IFERROR(VALUE($G27&amp;""),0)=1,"sesion","sesiones")))))&amp;""),IF(IFERROR(VALUE($G27&amp;""),0)=1,"sesion","sesiones")&amp;""))&amp;""),"")&amp;IF((IFERROR(VALUE($G27&amp;""),0)&lt;0),"; "&amp;IF(ISNUMBER((IF(ISNUMBER(IF(IFERROR(VALUE((0-IFERROR(VALUE($G27&amp;""),0))&amp;""),0)=1,"Sobra","Sobran")),IF(IF(IFERROR(VALUE((0-IFERROR(VALUE($G27&amp;""),0))&amp;""),0)=1,"Sobra","Sobran")=0,"0",ROUND(IF(IFERROR(VALUE((0-IFERROR(VALUE($G27&amp;""),0))&amp;""),0)=1,"Sobra","Sobran"),9-INT(LOG10(ABS(IF(IFERROR(VALUE((0-IFERROR(VALUE($G27&amp;""),0))&amp;""),0)=1,"Sobra","Sobran")))))&amp;""),IF(IFERROR(VALUE((0-IFERROR(VALUE($G27&amp;""),0))&amp;""),0)=1,"Sobra","Sobran")&amp;"")&amp;" "&amp;IF(ISNUMBER((0-IFERROR(VALUE($G27&amp;""),0))),IF((0-IFERROR(VALUE($G27&amp;""),0))=0,"0",ROUND((0-IFERROR(VALUE($G27&amp;""),0)),9-INT(LOG10(ABS((0-IFERROR(VALUE($G27&amp;""),0))))))&amp;""),(0-IFERROR(VALUE($G27&amp;""),0))&amp;"")&amp;" "&amp;IF(ISNUMBER(IF(IFERROR(VALUE((0-IFERROR(VALUE($G27&amp;""),0))&amp;""),0)=1,"sesion","sesiones")),IF(IF(IFERROR(VALUE((0-IFERROR(VALUE($G27&amp;""),0))&amp;""),0)=1,"sesion","sesiones")=0,"0",ROUND(IF(IFERROR(VALUE((0-IFERROR(VALUE($G27&amp;""),0))&amp;""),0)=1,"sesion","sesiones"),9-INT(LOG10(ABS(IF(IFERROR(VALUE((0-IFERROR(VALUE($G27&amp;""),0))&amp;""),0)=1,"sesion","sesiones")))))&amp;""),IF(IFERROR(VALUE((0-IFERROR(VALUE($G27&amp;""),0))&amp;""),0)=1,"sesion","sesiones")&amp;""))),IF((IF(ISNUMBER(IF(IFERROR(VALUE((0-IFERROR(VALUE($G27&amp;""),0))&amp;""),0)=1,"Sobra","Sobran")),IF(IF(IFERROR(VALUE((0-IFERROR(VALUE($G27&amp;""),0))&amp;""),0)=1,"Sobra","Sobran")=0,"0",ROUND(IF(IFERROR(VALUE((0-IFERROR(VALUE($G27&amp;""),0))&amp;""),0)=1,"Sobra","Sobran"),9-INT(LOG10(ABS(IF(IFERROR(VALUE((0-IFERROR(VALUE($G27&amp;""),0))&amp;""),0)=1,"Sobra","Sobran")))))&amp;""),IF(IFERROR(VALUE((0-IFERROR(VALUE($G27&amp;""),0))&amp;""),0)=1,"Sobra","Sobran")&amp;"")&amp;" "&amp;IF(ISNUMBER((0-IFERROR(VALUE($G27&amp;""),0))),IF((0-IFERROR(VALUE($G27&amp;""),0))=0,"0",ROUND((0-IFERROR(VALUE($G27&amp;""),0)),9-INT(LOG10(ABS((0-IFERROR(VALUE($G27&amp;""),0))))))&amp;""),(0-IFERROR(VALUE($G27&amp;""),0))&amp;"")&amp;" "&amp;IF(ISNUMBER(IF(IFERROR(VALUE((0-IFERROR(VALUE($G27&amp;""),0))&amp;""),0)=1,"sesion","sesiones")),IF(IF(IFERROR(VALUE((0-IFERROR(VALUE($G27&amp;""),0))&amp;""),0)=1,"sesion","sesiones")=0,"0",ROUND(IF(IFERROR(VALUE((0-IFERROR(VALUE($G27&amp;""),0))&amp;""),0)=1,"sesion","sesiones"),9-INT(LOG10(ABS(IF(IFERROR(VALUE((0-IFERROR(VALUE($G27&amp;""),0))&amp;""),0)=1,"sesion","sesiones")))))&amp;""),IF(IFERROR(VALUE((0-IFERROR(VALUE($G27&amp;""),0))&amp;""),0)=1,"sesion","sesiones")&amp;""))=0,"0",ROUND((IF(ISNUMBER(IF(IFERROR(VALUE((0-IFERROR(VALUE($G27&amp;""),0))&amp;""),0)=1,"Sobra","Sobran")),IF(IF(IFERROR(VALUE((0-IFERROR(VALUE($G27&amp;""),0))&amp;""),0)=1,"Sobra","Sobran")=0,"0",ROUND(IF(IFERROR(VALUE((0-IFERROR(VALUE($G27&amp;""),0))&amp;""),0)=1,"Sobra","Sobran"),9-INT(LOG10(ABS(IF(IFERROR(VALUE((0-IFERROR(VALUE($G27&amp;""),0))&amp;""),0)=1,"Sobra","Sobran")))))&amp;""),IF(IFERROR(VALUE((0-IFERROR(VALUE($G27&amp;""),0))&amp;""),0)=1,"Sobra","Sobran")&amp;"")&amp;" "&amp;IF(ISNUMBER((0-IFERROR(VALUE($G27&amp;""),0))),IF((0-IFERROR(VALUE($G27&amp;""),0))=0,"0",ROUND((0-IFERROR(VALUE($G27&amp;""),0)),9-INT(LOG10(ABS((0-IFERROR(VALUE($G27&amp;""),0))))))&amp;""),(0-IFERROR(VALUE($G27&amp;""),0))&amp;"")&amp;" "&amp;IF(ISNUMBER(IF(IFERROR(VALUE((0-IFERROR(VALUE($G27&amp;""),0))&amp;""),0)=1,"sesion","sesiones")),IF(IF(IFERROR(VALUE((0-IFERROR(VALUE($G27&amp;""),0))&amp;""),0)=1,"sesion","sesiones")=0,"0",ROUND(IF(IFERROR(VALUE((0-IFERROR(VALUE($G27&amp;""),0))&amp;""),0)=1,"sesion","sesiones"),9-INT(LOG10(ABS(IF(IFERROR(VALUE((0-IFERROR(VALUE($G27&amp;""),0))&amp;""),0)=1,"sesion","sesiones")))))&amp;""),IF(IFERROR(VALUE((0-IFERROR(VALUE($G27&amp;""),0))&amp;""),0)=1,"sesion","sesiones")&amp;"")),9-INT(LOG10(ABS((IF(ISNUMBER(IF(IFERROR(VALUE((0-IFERROR(VALUE($G27&amp;""),0))&amp;""),0)=1,"Sobra","Sobran")),IF(IF(IFERROR(VALUE((0-IFERROR(VALUE($G27&amp;""),0))&amp;""),0)=1,"Sobra","Sobran")=0,"0",ROUND(IF(IFERROR(VALUE((0-IFERROR(VALUE($G27&amp;""),0))&amp;""),0)=1,"Sobra","Sobran"),9-INT(LOG10(ABS(IF(IFERROR(VALUE((0-IFERROR(VALUE($G27&amp;""),0))&amp;""),0)=1,"Sobra","Sobran")))))&amp;""),IF(IFERROR(VALUE((0-IFERROR(VALUE($G27&amp;""),0))&amp;""),0)=1,"Sobra","Sobran")&amp;"")&amp;" "&amp;IF(ISNUMBER((0-IFERROR(VALUE($G27&amp;""),0))),IF((0-IFERROR(VALUE($G27&amp;""),0))=0,"0",ROUND((0-IFERROR(VALUE($G27&amp;""),0)),9-INT(LOG10(ABS((0-IFERROR(VALUE($G27&amp;""),0))))))&amp;""),(0-IFERROR(VALUE($G27&amp;""),0))&amp;"")&amp;" "&amp;IF(ISNUMBER(IF(IFERROR(VALUE((0-IFERROR(VALUE($G27&amp;""),0))&amp;""),0)=1,"sesion","sesiones")),IF(IF(IFERROR(VALUE((0-IFERROR(VALUE($G27&amp;""),0))&amp;""),0)=1,"sesion","sesiones")=0,"0",ROUND(IF(IFERROR(VALUE((0-IFERROR(VALUE($G27&amp;""),0))&amp;""),0)=1,"sesion","sesiones"),9-INT(LOG10(ABS(IF(IFERROR(VALUE((0-IFERROR(VALUE($G27&amp;""),0))&amp;""),0)=1,"sesion","sesiones")))))&amp;""),IF(IFERROR(VALUE((0-IFERROR(VALUE($G27&amp;""),0))&amp;""),0)=1,"sesion","sesiones")&amp;""))))))&amp;""),(IF(ISNUMBER(IF(IFERROR(VALUE((0-IFERROR(VALUE($G27&amp;""),0))&amp;""),0)=1,"Sobra","Sobran")),IF(IF(IFERROR(VALUE((0-IFERROR(VALUE($G27&amp;""),0))&amp;""),0)=1,"Sobra","Sobran")=0,"0",ROUND(IF(IFERROR(VALUE((0-IFERROR(VALUE($G27&amp;""),0))&amp;""),0)=1,"Sobra","Sobran"),9-INT(LOG10(ABS(IF(IFERROR(VALUE((0-IFERROR(VALUE($G27&amp;""),0))&amp;""),0)=1,"Sobra","Sobran")))))&amp;""),IF(IFERROR(VALUE((0-IFERROR(VALUE($G27&amp;""),0))&amp;""),0)=1,"Sobra","Sobran")&amp;"")&amp;" "&amp;IF(ISNUMBER((0-IFERROR(VALUE($G27&amp;""),0))),IF((0-IFERROR(VALUE($G27&amp;""),0))=0,"0",ROUND((0-IFERROR(VALUE($G27&amp;""),0)),9-INT(LOG10(ABS((0-IFERROR(VALUE($G27&amp;""),0))))))&amp;""),(0-IFERROR(VALUE($G27&amp;""),0))&amp;"")&amp;" "&amp;IF(ISNUMBER(IF(IFERROR(VALUE((0-IFERROR(VALUE($G27&amp;""),0))&amp;""),0)=1,"sesion","sesiones")),IF(IF(IFERROR(VALUE((0-IFERROR(VALUE($G27&amp;""),0))&amp;""),0)=1,"sesion","sesiones")=0,"0",ROUND(IF(IFERROR(VALUE((0-IFERROR(VALUE($G27&amp;""),0))&amp;""),0)=1,"sesion","sesiones"),9-INT(LOG10(ABS(IF(IFERROR(VALUE((0-IFERROR(VALUE($G27&amp;""),0))&amp;""),0)=1,"sesion","sesiones")))))&amp;""),IF(IFERROR(VALUE((0-IFERROR(VALUE($G27&amp;""),0))&amp;""),0)=1,"sesion","sesiones")&amp;""))&amp;""),""),3,32767)</f>
        <v/>
      </c>
      <c r="I27" s="3">
        <f>IF(OR((IFERROR(VALUE($G27&amp;""),0)&gt;0),(IFERROR(VALUE($G27&amp;""),0)&lt;0)),3,0)</f>
        <v/>
      </c>
    </row>
    <row r="28">
      <c r="A28" s="3" t="inlineStr">
        <is>
          <t>10-4</t>
        </is>
      </c>
      <c r="B28" s="3" t="inlineStr">
        <is>
          <t>Q</t>
        </is>
      </c>
      <c r="C28" s="3" t="inlineStr">
        <is>
          <t>Profesor de Q en 10-4</t>
        </is>
      </c>
      <c r="D28" s="3">
        <f>IF(ISNA(MATCH(1,INDEX(EXACT('Asignaturas'!$A$4:$A$18,$B28)*1,0),0)),"",IF(ISBLANK(INDEX('Asignaturas'!$B$4:$B$18,MATCH(1,INDEX(EXACT('Asignaturas'!$A$4:$A$18,$B28)*1,0),0))),"",INDEX('Asignaturas'!$B$4:$B$18,MATCH(1,INDEX(EXACT('Asignaturas'!$A$4:$A$18,$B28)*1,0),0))))</f>
        <v/>
      </c>
      <c r="E28" s="3">
        <f>IF(ISNA(MATCH(1,INDEX(EXACT('Asignaturas'!$A$4:$A$18,$B28)*1,0),0)),0,IF(ISBLANK(INDEX('Asignaturas'!$C$4:$C$18,MATCH(1,INDEX(EXACT('Asignaturas'!$A$4:$A$18,$B28)*1,0),0))),"",INDEX('Asignaturas'!$C$4:$C$18,MATCH(1,INDEX(EXACT('Asignaturas'!$A$4:$A$18,$B28)*1,0),0))))</f>
        <v/>
      </c>
      <c r="F28" s="3">
        <f>SUMPRODUCT(1*((EXACT('Casillas del horario'!$A$4:$A$73,$A28)))*((EXACT('Casillas del horario'!$D$4:$D$73,$B28))))</f>
        <v/>
      </c>
      <c r="G28" s="3">
        <f>(IFERROR(VALUE($E28&amp;""),0)-IFERROR(VALUE($F28&amp;""),0))</f>
        <v/>
      </c>
      <c r="H28" s="3">
        <f>MID(IF((IFERROR(VALUE($G28&amp;""),0)&gt;0),"; "&amp;IF(ISNUMBER((IF(ISNUMBER(IF(IFERROR(VALUE($G28&amp;""),0)=1,"Falta","Faltan")),IF(IF(IFERROR(VALUE($G28&amp;""),0)=1,"Falta","Faltan")=0,"0",ROUND(IF(IFERROR(VALUE($G28&amp;""),0)=1,"Falta","Faltan"),9-INT(LOG10(ABS(IF(IFERROR(VALUE($G28&amp;""),0)=1,"Falta","Faltan")))))&amp;""),IF(IFERROR(VALUE($G28&amp;""),0)=1,"Falta","Faltan")&amp;"")&amp;" "&amp;IF(ISNUMBER($G28),IF($G28=0,"0",ROUND($G28,9-INT(LOG10(ABS($G28))))&amp;""),$G28&amp;"")&amp;" "&amp;IF(ISNUMBER(IF(IFERROR(VALUE($G28&amp;""),0)=1,"sesion","sesiones")),IF(IF(IFERROR(VALUE($G28&amp;""),0)=1,"sesion","sesiones")=0,"0",ROUND(IF(IFERROR(VALUE($G28&amp;""),0)=1,"sesion","sesiones"),9-INT(LOG10(ABS(IF(IFERROR(VALUE($G28&amp;""),0)=1,"sesion","sesiones")))))&amp;""),IF(IFERROR(VALUE($G28&amp;""),0)=1,"sesion","sesiones")&amp;""))),IF((IF(ISNUMBER(IF(IFERROR(VALUE($G28&amp;""),0)=1,"Falta","Faltan")),IF(IF(IFERROR(VALUE($G28&amp;""),0)=1,"Falta","Faltan")=0,"0",ROUND(IF(IFERROR(VALUE($G28&amp;""),0)=1,"Falta","Faltan"),9-INT(LOG10(ABS(IF(IFERROR(VALUE($G28&amp;""),0)=1,"Falta","Faltan")))))&amp;""),IF(IFERROR(VALUE($G28&amp;""),0)=1,"Falta","Faltan")&amp;"")&amp;" "&amp;IF(ISNUMBER($G28),IF($G28=0,"0",ROUND($G28,9-INT(LOG10(ABS($G28))))&amp;""),$G28&amp;"")&amp;" "&amp;IF(ISNUMBER(IF(IFERROR(VALUE($G28&amp;""),0)=1,"sesion","sesiones")),IF(IF(IFERROR(VALUE($G28&amp;""),0)=1,"sesion","sesiones")=0,"0",ROUND(IF(IFERROR(VALUE($G28&amp;""),0)=1,"sesion","sesiones"),9-INT(LOG10(ABS(IF(IFERROR(VALUE($G28&amp;""),0)=1,"sesion","sesiones")))))&amp;""),IF(IFERROR(VALUE($G28&amp;""),0)=1,"sesion","sesiones")&amp;""))=0,"0",ROUND((IF(ISNUMBER(IF(IFERROR(VALUE($G28&amp;""),0)=1,"Falta","Faltan")),IF(IF(IFERROR(VALUE($G28&amp;""),0)=1,"Falta","Faltan")=0,"0",ROUND(IF(IFERROR(VALUE($G28&amp;""),0)=1,"Falta","Faltan"),9-INT(LOG10(ABS(IF(IFERROR(VALUE($G28&amp;""),0)=1,"Falta","Faltan")))))&amp;""),IF(IFERROR(VALUE($G28&amp;""),0)=1,"Falta","Faltan")&amp;"")&amp;" "&amp;IF(ISNUMBER($G28),IF($G28=0,"0",ROUND($G28,9-INT(LOG10(ABS($G28))))&amp;""),$G28&amp;"")&amp;" "&amp;IF(ISNUMBER(IF(IFERROR(VALUE($G28&amp;""),0)=1,"sesion","sesiones")),IF(IF(IFERROR(VALUE($G28&amp;""),0)=1,"sesion","sesiones")=0,"0",ROUND(IF(IFERROR(VALUE($G28&amp;""),0)=1,"sesion","sesiones"),9-INT(LOG10(ABS(IF(IFERROR(VALUE($G28&amp;""),0)=1,"sesion","sesiones")))))&amp;""),IF(IFERROR(VALUE($G28&amp;""),0)=1,"sesion","sesiones")&amp;"")),9-INT(LOG10(ABS((IF(ISNUMBER(IF(IFERROR(VALUE($G28&amp;""),0)=1,"Falta","Faltan")),IF(IF(IFERROR(VALUE($G28&amp;""),0)=1,"Falta","Faltan")=0,"0",ROUND(IF(IFERROR(VALUE($G28&amp;""),0)=1,"Falta","Faltan"),9-INT(LOG10(ABS(IF(IFERROR(VALUE($G28&amp;""),0)=1,"Falta","Faltan")))))&amp;""),IF(IFERROR(VALUE($G28&amp;""),0)=1,"Falta","Faltan")&amp;"")&amp;" "&amp;IF(ISNUMBER($G28),IF($G28=0,"0",ROUND($G28,9-INT(LOG10(ABS($G28))))&amp;""),$G28&amp;"")&amp;" "&amp;IF(ISNUMBER(IF(IFERROR(VALUE($G28&amp;""),0)=1,"sesion","sesiones")),IF(IF(IFERROR(VALUE($G28&amp;""),0)=1,"sesion","sesiones")=0,"0",ROUND(IF(IFERROR(VALUE($G28&amp;""),0)=1,"sesion","sesiones"),9-INT(LOG10(ABS(IF(IFERROR(VALUE($G28&amp;""),0)=1,"sesion","sesiones")))))&amp;""),IF(IFERROR(VALUE($G28&amp;""),0)=1,"sesion","sesiones")&amp;""))))))&amp;""),(IF(ISNUMBER(IF(IFERROR(VALUE($G28&amp;""),0)=1,"Falta","Faltan")),IF(IF(IFERROR(VALUE($G28&amp;""),0)=1,"Falta","Faltan")=0,"0",ROUND(IF(IFERROR(VALUE($G28&amp;""),0)=1,"Falta","Faltan"),9-INT(LOG10(ABS(IF(IFERROR(VALUE($G28&amp;""),0)=1,"Falta","Faltan")))))&amp;""),IF(IFERROR(VALUE($G28&amp;""),0)=1,"Falta","Faltan")&amp;"")&amp;" "&amp;IF(ISNUMBER($G28),IF($G28=0,"0",ROUND($G28,9-INT(LOG10(ABS($G28))))&amp;""),$G28&amp;"")&amp;" "&amp;IF(ISNUMBER(IF(IFERROR(VALUE($G28&amp;""),0)=1,"sesion","sesiones")),IF(IF(IFERROR(VALUE($G28&amp;""),0)=1,"sesion","sesiones")=0,"0",ROUND(IF(IFERROR(VALUE($G28&amp;""),0)=1,"sesion","sesiones"),9-INT(LOG10(ABS(IF(IFERROR(VALUE($G28&amp;""),0)=1,"sesion","sesiones")))))&amp;""),IF(IFERROR(VALUE($G28&amp;""),0)=1,"sesion","sesiones")&amp;""))&amp;""),"")&amp;IF((IFERROR(VALUE($G28&amp;""),0)&lt;0),"; "&amp;IF(ISNUMBER((IF(ISNUMBER(IF(IFERROR(VALUE((0-IFERROR(VALUE($G28&amp;""),0))&amp;""),0)=1,"Sobra","Sobran")),IF(IF(IFERROR(VALUE((0-IFERROR(VALUE($G28&amp;""),0))&amp;""),0)=1,"Sobra","Sobran")=0,"0",ROUND(IF(IFERROR(VALUE((0-IFERROR(VALUE($G28&amp;""),0))&amp;""),0)=1,"Sobra","Sobran"),9-INT(LOG10(ABS(IF(IFERROR(VALUE((0-IFERROR(VALUE($G28&amp;""),0))&amp;""),0)=1,"Sobra","Sobran")))))&amp;""),IF(IFERROR(VALUE((0-IFERROR(VALUE($G28&amp;""),0))&amp;""),0)=1,"Sobra","Sobran")&amp;"")&amp;" "&amp;IF(ISNUMBER((0-IFERROR(VALUE($G28&amp;""),0))),IF((0-IFERROR(VALUE($G28&amp;""),0))=0,"0",ROUND((0-IFERROR(VALUE($G28&amp;""),0)),9-INT(LOG10(ABS((0-IFERROR(VALUE($G28&amp;""),0))))))&amp;""),(0-IFERROR(VALUE($G28&amp;""),0))&amp;"")&amp;" "&amp;IF(ISNUMBER(IF(IFERROR(VALUE((0-IFERROR(VALUE($G28&amp;""),0))&amp;""),0)=1,"sesion","sesiones")),IF(IF(IFERROR(VALUE((0-IFERROR(VALUE($G28&amp;""),0))&amp;""),0)=1,"sesion","sesiones")=0,"0",ROUND(IF(IFERROR(VALUE((0-IFERROR(VALUE($G28&amp;""),0))&amp;""),0)=1,"sesion","sesiones"),9-INT(LOG10(ABS(IF(IFERROR(VALUE((0-IFERROR(VALUE($G28&amp;""),0))&amp;""),0)=1,"sesion","sesiones")))))&amp;""),IF(IFERROR(VALUE((0-IFERROR(VALUE($G28&amp;""),0))&amp;""),0)=1,"sesion","sesiones")&amp;""))),IF((IF(ISNUMBER(IF(IFERROR(VALUE((0-IFERROR(VALUE($G28&amp;""),0))&amp;""),0)=1,"Sobra","Sobran")),IF(IF(IFERROR(VALUE((0-IFERROR(VALUE($G28&amp;""),0))&amp;""),0)=1,"Sobra","Sobran")=0,"0",ROUND(IF(IFERROR(VALUE((0-IFERROR(VALUE($G28&amp;""),0))&amp;""),0)=1,"Sobra","Sobran"),9-INT(LOG10(ABS(IF(IFERROR(VALUE((0-IFERROR(VALUE($G28&amp;""),0))&amp;""),0)=1,"Sobra","Sobran")))))&amp;""),IF(IFERROR(VALUE((0-IFERROR(VALUE($G28&amp;""),0))&amp;""),0)=1,"Sobra","Sobran")&amp;"")&amp;" "&amp;IF(ISNUMBER((0-IFERROR(VALUE($G28&amp;""),0))),IF((0-IFERROR(VALUE($G28&amp;""),0))=0,"0",ROUND((0-IFERROR(VALUE($G28&amp;""),0)),9-INT(LOG10(ABS((0-IFERROR(VALUE($G28&amp;""),0))))))&amp;""),(0-IFERROR(VALUE($G28&amp;""),0))&amp;"")&amp;" "&amp;IF(ISNUMBER(IF(IFERROR(VALUE((0-IFERROR(VALUE($G28&amp;""),0))&amp;""),0)=1,"sesion","sesiones")),IF(IF(IFERROR(VALUE((0-IFERROR(VALUE($G28&amp;""),0))&amp;""),0)=1,"sesion","sesiones")=0,"0",ROUND(IF(IFERROR(VALUE((0-IFERROR(VALUE($G28&amp;""),0))&amp;""),0)=1,"sesion","sesiones"),9-INT(LOG10(ABS(IF(IFERROR(VALUE((0-IFERROR(VALUE($G28&amp;""),0))&amp;""),0)=1,"sesion","sesiones")))))&amp;""),IF(IFERROR(VALUE((0-IFERROR(VALUE($G28&amp;""),0))&amp;""),0)=1,"sesion","sesiones")&amp;""))=0,"0",ROUND((IF(ISNUMBER(IF(IFERROR(VALUE((0-IFERROR(VALUE($G28&amp;""),0))&amp;""),0)=1,"Sobra","Sobran")),IF(IF(IFERROR(VALUE((0-IFERROR(VALUE($G28&amp;""),0))&amp;""),0)=1,"Sobra","Sobran")=0,"0",ROUND(IF(IFERROR(VALUE((0-IFERROR(VALUE($G28&amp;""),0))&amp;""),0)=1,"Sobra","Sobran"),9-INT(LOG10(ABS(IF(IFERROR(VALUE((0-IFERROR(VALUE($G28&amp;""),0))&amp;""),0)=1,"Sobra","Sobran")))))&amp;""),IF(IFERROR(VALUE((0-IFERROR(VALUE($G28&amp;""),0))&amp;""),0)=1,"Sobra","Sobran")&amp;"")&amp;" "&amp;IF(ISNUMBER((0-IFERROR(VALUE($G28&amp;""),0))),IF((0-IFERROR(VALUE($G28&amp;""),0))=0,"0",ROUND((0-IFERROR(VALUE($G28&amp;""),0)),9-INT(LOG10(ABS((0-IFERROR(VALUE($G28&amp;""),0))))))&amp;""),(0-IFERROR(VALUE($G28&amp;""),0))&amp;"")&amp;" "&amp;IF(ISNUMBER(IF(IFERROR(VALUE((0-IFERROR(VALUE($G28&amp;""),0))&amp;""),0)=1,"sesion","sesiones")),IF(IF(IFERROR(VALUE((0-IFERROR(VALUE($G28&amp;""),0))&amp;""),0)=1,"sesion","sesiones")=0,"0",ROUND(IF(IFERROR(VALUE((0-IFERROR(VALUE($G28&amp;""),0))&amp;""),0)=1,"sesion","sesiones"),9-INT(LOG10(ABS(IF(IFERROR(VALUE((0-IFERROR(VALUE($G28&amp;""),0))&amp;""),0)=1,"sesion","sesiones")))))&amp;""),IF(IFERROR(VALUE((0-IFERROR(VALUE($G28&amp;""),0))&amp;""),0)=1,"sesion","sesiones")&amp;"")),9-INT(LOG10(ABS((IF(ISNUMBER(IF(IFERROR(VALUE((0-IFERROR(VALUE($G28&amp;""),0))&amp;""),0)=1,"Sobra","Sobran")),IF(IF(IFERROR(VALUE((0-IFERROR(VALUE($G28&amp;""),0))&amp;""),0)=1,"Sobra","Sobran")=0,"0",ROUND(IF(IFERROR(VALUE((0-IFERROR(VALUE($G28&amp;""),0))&amp;""),0)=1,"Sobra","Sobran"),9-INT(LOG10(ABS(IF(IFERROR(VALUE((0-IFERROR(VALUE($G28&amp;""),0))&amp;""),0)=1,"Sobra","Sobran")))))&amp;""),IF(IFERROR(VALUE((0-IFERROR(VALUE($G28&amp;""),0))&amp;""),0)=1,"Sobra","Sobran")&amp;"")&amp;" "&amp;IF(ISNUMBER((0-IFERROR(VALUE($G28&amp;""),0))),IF((0-IFERROR(VALUE($G28&amp;""),0))=0,"0",ROUND((0-IFERROR(VALUE($G28&amp;""),0)),9-INT(LOG10(ABS((0-IFERROR(VALUE($G28&amp;""),0))))))&amp;""),(0-IFERROR(VALUE($G28&amp;""),0))&amp;"")&amp;" "&amp;IF(ISNUMBER(IF(IFERROR(VALUE((0-IFERROR(VALUE($G28&amp;""),0))&amp;""),0)=1,"sesion","sesiones")),IF(IF(IFERROR(VALUE((0-IFERROR(VALUE($G28&amp;""),0))&amp;""),0)=1,"sesion","sesiones")=0,"0",ROUND(IF(IFERROR(VALUE((0-IFERROR(VALUE($G28&amp;""),0))&amp;""),0)=1,"sesion","sesiones"),9-INT(LOG10(ABS(IF(IFERROR(VALUE((0-IFERROR(VALUE($G28&amp;""),0))&amp;""),0)=1,"sesion","sesiones")))))&amp;""),IF(IFERROR(VALUE((0-IFERROR(VALUE($G28&amp;""),0))&amp;""),0)=1,"sesion","sesiones")&amp;""))))))&amp;""),(IF(ISNUMBER(IF(IFERROR(VALUE((0-IFERROR(VALUE($G28&amp;""),0))&amp;""),0)=1,"Sobra","Sobran")),IF(IF(IFERROR(VALUE((0-IFERROR(VALUE($G28&amp;""),0))&amp;""),0)=1,"Sobra","Sobran")=0,"0",ROUND(IF(IFERROR(VALUE((0-IFERROR(VALUE($G28&amp;""),0))&amp;""),0)=1,"Sobra","Sobran"),9-INT(LOG10(ABS(IF(IFERROR(VALUE((0-IFERROR(VALUE($G28&amp;""),0))&amp;""),0)=1,"Sobra","Sobran")))))&amp;""),IF(IFERROR(VALUE((0-IFERROR(VALUE($G28&amp;""),0))&amp;""),0)=1,"Sobra","Sobran")&amp;"")&amp;" "&amp;IF(ISNUMBER((0-IFERROR(VALUE($G28&amp;""),0))),IF((0-IFERROR(VALUE($G28&amp;""),0))=0,"0",ROUND((0-IFERROR(VALUE($G28&amp;""),0)),9-INT(LOG10(ABS((0-IFERROR(VALUE($G28&amp;""),0))))))&amp;""),(0-IFERROR(VALUE($G28&amp;""),0))&amp;"")&amp;" "&amp;IF(ISNUMBER(IF(IFERROR(VALUE((0-IFERROR(VALUE($G28&amp;""),0))&amp;""),0)=1,"sesion","sesiones")),IF(IF(IFERROR(VALUE((0-IFERROR(VALUE($G28&amp;""),0))&amp;""),0)=1,"sesion","sesiones")=0,"0",ROUND(IF(IFERROR(VALUE((0-IFERROR(VALUE($G28&amp;""),0))&amp;""),0)=1,"sesion","sesiones"),9-INT(LOG10(ABS(IF(IFERROR(VALUE((0-IFERROR(VALUE($G28&amp;""),0))&amp;""),0)=1,"sesion","sesiones")))))&amp;""),IF(IFERROR(VALUE((0-IFERROR(VALUE($G28&amp;""),0))&amp;""),0)=1,"sesion","sesiones")&amp;""))&amp;""),""),3,32767)</f>
        <v/>
      </c>
      <c r="I28" s="3">
        <f>IF(OR((IFERROR(VALUE($G28&amp;""),0)&gt;0),(IFERROR(VALUE($G28&amp;""),0)&lt;0)),3,0)</f>
        <v/>
      </c>
    </row>
    <row r="29">
      <c r="A29" s="3" t="inlineStr">
        <is>
          <t>10-4</t>
        </is>
      </c>
      <c r="B29" s="3" t="inlineStr">
        <is>
          <t>CP</t>
        </is>
      </c>
      <c r="C29" s="3" t="inlineStr">
        <is>
          <t>Profesor de CP en 10-4</t>
        </is>
      </c>
      <c r="D29" s="3">
        <f>IF(ISNA(MATCH(1,INDEX(EXACT('Asignaturas'!$A$4:$A$18,$B29)*1,0),0)),"",IF(ISBLANK(INDEX('Asignaturas'!$B$4:$B$18,MATCH(1,INDEX(EXACT('Asignaturas'!$A$4:$A$18,$B29)*1,0),0))),"",INDEX('Asignaturas'!$B$4:$B$18,MATCH(1,INDEX(EXACT('Asignaturas'!$A$4:$A$18,$B29)*1,0),0))))</f>
        <v/>
      </c>
      <c r="E29" s="3">
        <f>IF(ISNA(MATCH(1,INDEX(EXACT('Asignaturas'!$A$4:$A$18,$B29)*1,0),0)),0,IF(ISBLANK(INDEX('Asignaturas'!$C$4:$C$18,MATCH(1,INDEX(EXACT('Asignaturas'!$A$4:$A$18,$B29)*1,0),0))),"",INDEX('Asignaturas'!$C$4:$C$18,MATCH(1,INDEX(EXACT('Asignaturas'!$A$4:$A$18,$B29)*1,0),0))))</f>
        <v/>
      </c>
      <c r="F29" s="3">
        <f>SUMPRODUCT(1*((EXACT('Casillas del horario'!$A$4:$A$73,$A29)))*((EXACT('Casillas del horario'!$D$4:$D$73,$B29))))</f>
        <v/>
      </c>
      <c r="G29" s="3">
        <f>(IFERROR(VALUE($E29&amp;""),0)-IFERROR(VALUE($F29&amp;""),0))</f>
        <v/>
      </c>
      <c r="H29" s="3">
        <f>MID(IF((IFERROR(VALUE($G29&amp;""),0)&gt;0),"; "&amp;IF(ISNUMBER((IF(ISNUMBER(IF(IFERROR(VALUE($G29&amp;""),0)=1,"Falta","Faltan")),IF(IF(IFERROR(VALUE($G29&amp;""),0)=1,"Falta","Faltan")=0,"0",ROUND(IF(IFERROR(VALUE($G29&amp;""),0)=1,"Falta","Faltan"),9-INT(LOG10(ABS(IF(IFERROR(VALUE($G29&amp;""),0)=1,"Falta","Faltan")))))&amp;""),IF(IFERROR(VALUE($G29&amp;""),0)=1,"Falta","Faltan")&amp;"")&amp;" "&amp;IF(ISNUMBER($G29),IF($G29=0,"0",ROUND($G29,9-INT(LOG10(ABS($G29))))&amp;""),$G29&amp;"")&amp;" "&amp;IF(ISNUMBER(IF(IFERROR(VALUE($G29&amp;""),0)=1,"sesion","sesiones")),IF(IF(IFERROR(VALUE($G29&amp;""),0)=1,"sesion","sesiones")=0,"0",ROUND(IF(IFERROR(VALUE($G29&amp;""),0)=1,"sesion","sesiones"),9-INT(LOG10(ABS(IF(IFERROR(VALUE($G29&amp;""),0)=1,"sesion","sesiones")))))&amp;""),IF(IFERROR(VALUE($G29&amp;""),0)=1,"sesion","sesiones")&amp;""))),IF((IF(ISNUMBER(IF(IFERROR(VALUE($G29&amp;""),0)=1,"Falta","Faltan")),IF(IF(IFERROR(VALUE($G29&amp;""),0)=1,"Falta","Faltan")=0,"0",ROUND(IF(IFERROR(VALUE($G29&amp;""),0)=1,"Falta","Faltan"),9-INT(LOG10(ABS(IF(IFERROR(VALUE($G29&amp;""),0)=1,"Falta","Faltan")))))&amp;""),IF(IFERROR(VALUE($G29&amp;""),0)=1,"Falta","Faltan")&amp;"")&amp;" "&amp;IF(ISNUMBER($G29),IF($G29=0,"0",ROUND($G29,9-INT(LOG10(ABS($G29))))&amp;""),$G29&amp;"")&amp;" "&amp;IF(ISNUMBER(IF(IFERROR(VALUE($G29&amp;""),0)=1,"sesion","sesiones")),IF(IF(IFERROR(VALUE($G29&amp;""),0)=1,"sesion","sesiones")=0,"0",ROUND(IF(IFERROR(VALUE($G29&amp;""),0)=1,"sesion","sesiones"),9-INT(LOG10(ABS(IF(IFERROR(VALUE($G29&amp;""),0)=1,"sesion","sesiones")))))&amp;""),IF(IFERROR(VALUE($G29&amp;""),0)=1,"sesion","sesiones")&amp;""))=0,"0",ROUND((IF(ISNUMBER(IF(IFERROR(VALUE($G29&amp;""),0)=1,"Falta","Faltan")),IF(IF(IFERROR(VALUE($G29&amp;""),0)=1,"Falta","Faltan")=0,"0",ROUND(IF(IFERROR(VALUE($G29&amp;""),0)=1,"Falta","Faltan"),9-INT(LOG10(ABS(IF(IFERROR(VALUE($G29&amp;""),0)=1,"Falta","Faltan")))))&amp;""),IF(IFERROR(VALUE($G29&amp;""),0)=1,"Falta","Faltan")&amp;"")&amp;" "&amp;IF(ISNUMBER($G29),IF($G29=0,"0",ROUND($G29,9-INT(LOG10(ABS($G29))))&amp;""),$G29&amp;"")&amp;" "&amp;IF(ISNUMBER(IF(IFERROR(VALUE($G29&amp;""),0)=1,"sesion","sesiones")),IF(IF(IFERROR(VALUE($G29&amp;""),0)=1,"sesion","sesiones")=0,"0",ROUND(IF(IFERROR(VALUE($G29&amp;""),0)=1,"sesion","sesiones"),9-INT(LOG10(ABS(IF(IFERROR(VALUE($G29&amp;""),0)=1,"sesion","sesiones")))))&amp;""),IF(IFERROR(VALUE($G29&amp;""),0)=1,"sesion","sesiones")&amp;"")),9-INT(LOG10(ABS((IF(ISNUMBER(IF(IFERROR(VALUE($G29&amp;""),0)=1,"Falta","Faltan")),IF(IF(IFERROR(VALUE($G29&amp;""),0)=1,"Falta","Faltan")=0,"0",ROUND(IF(IFERROR(VALUE($G29&amp;""),0)=1,"Falta","Faltan"),9-INT(LOG10(ABS(IF(IFERROR(VALUE($G29&amp;""),0)=1,"Falta","Faltan")))))&amp;""),IF(IFERROR(VALUE($G29&amp;""),0)=1,"Falta","Faltan")&amp;"")&amp;" "&amp;IF(ISNUMBER($G29),IF($G29=0,"0",ROUND($G29,9-INT(LOG10(ABS($G29))))&amp;""),$G29&amp;"")&amp;" "&amp;IF(ISNUMBER(IF(IFERROR(VALUE($G29&amp;""),0)=1,"sesion","sesiones")),IF(IF(IFERROR(VALUE($G29&amp;""),0)=1,"sesion","sesiones")=0,"0",ROUND(IF(IFERROR(VALUE($G29&amp;""),0)=1,"sesion","sesiones"),9-INT(LOG10(ABS(IF(IFERROR(VALUE($G29&amp;""),0)=1,"sesion","sesiones")))))&amp;""),IF(IFERROR(VALUE($G29&amp;""),0)=1,"sesion","sesiones")&amp;""))))))&amp;""),(IF(ISNUMBER(IF(IFERROR(VALUE($G29&amp;""),0)=1,"Falta","Faltan")),IF(IF(IFERROR(VALUE($G29&amp;""),0)=1,"Falta","Faltan")=0,"0",ROUND(IF(IFERROR(VALUE($G29&amp;""),0)=1,"Falta","Faltan"),9-INT(LOG10(ABS(IF(IFERROR(VALUE($G29&amp;""),0)=1,"Falta","Faltan")))))&amp;""),IF(IFERROR(VALUE($G29&amp;""),0)=1,"Falta","Faltan")&amp;"")&amp;" "&amp;IF(ISNUMBER($G29),IF($G29=0,"0",ROUND($G29,9-INT(LOG10(ABS($G29))))&amp;""),$G29&amp;"")&amp;" "&amp;IF(ISNUMBER(IF(IFERROR(VALUE($G29&amp;""),0)=1,"sesion","sesiones")),IF(IF(IFERROR(VALUE($G29&amp;""),0)=1,"sesion","sesiones")=0,"0",ROUND(IF(IFERROR(VALUE($G29&amp;""),0)=1,"sesion","sesiones"),9-INT(LOG10(ABS(IF(IFERROR(VALUE($G29&amp;""),0)=1,"sesion","sesiones")))))&amp;""),IF(IFERROR(VALUE($G29&amp;""),0)=1,"sesion","sesiones")&amp;""))&amp;""),"")&amp;IF((IFERROR(VALUE($G29&amp;""),0)&lt;0),"; "&amp;IF(ISNUMBER((IF(ISNUMBER(IF(IFERROR(VALUE((0-IFERROR(VALUE($G29&amp;""),0))&amp;""),0)=1,"Sobra","Sobran")),IF(IF(IFERROR(VALUE((0-IFERROR(VALUE($G29&amp;""),0))&amp;""),0)=1,"Sobra","Sobran")=0,"0",ROUND(IF(IFERROR(VALUE((0-IFERROR(VALUE($G29&amp;""),0))&amp;""),0)=1,"Sobra","Sobran"),9-INT(LOG10(ABS(IF(IFERROR(VALUE((0-IFERROR(VALUE($G29&amp;""),0))&amp;""),0)=1,"Sobra","Sobran")))))&amp;""),IF(IFERROR(VALUE((0-IFERROR(VALUE($G29&amp;""),0))&amp;""),0)=1,"Sobra","Sobran")&amp;"")&amp;" "&amp;IF(ISNUMBER((0-IFERROR(VALUE($G29&amp;""),0))),IF((0-IFERROR(VALUE($G29&amp;""),0))=0,"0",ROUND((0-IFERROR(VALUE($G29&amp;""),0)),9-INT(LOG10(ABS((0-IFERROR(VALUE($G29&amp;""),0))))))&amp;""),(0-IFERROR(VALUE($G29&amp;""),0))&amp;"")&amp;" "&amp;IF(ISNUMBER(IF(IFERROR(VALUE((0-IFERROR(VALUE($G29&amp;""),0))&amp;""),0)=1,"sesion","sesiones")),IF(IF(IFERROR(VALUE((0-IFERROR(VALUE($G29&amp;""),0))&amp;""),0)=1,"sesion","sesiones")=0,"0",ROUND(IF(IFERROR(VALUE((0-IFERROR(VALUE($G29&amp;""),0))&amp;""),0)=1,"sesion","sesiones"),9-INT(LOG10(ABS(IF(IFERROR(VALUE((0-IFERROR(VALUE($G29&amp;""),0))&amp;""),0)=1,"sesion","sesiones")))))&amp;""),IF(IFERROR(VALUE((0-IFERROR(VALUE($G29&amp;""),0))&amp;""),0)=1,"sesion","sesiones")&amp;""))),IF((IF(ISNUMBER(IF(IFERROR(VALUE((0-IFERROR(VALUE($G29&amp;""),0))&amp;""),0)=1,"Sobra","Sobran")),IF(IF(IFERROR(VALUE((0-IFERROR(VALUE($G29&amp;""),0))&amp;""),0)=1,"Sobra","Sobran")=0,"0",ROUND(IF(IFERROR(VALUE((0-IFERROR(VALUE($G29&amp;""),0))&amp;""),0)=1,"Sobra","Sobran"),9-INT(LOG10(ABS(IF(IFERROR(VALUE((0-IFERROR(VALUE($G29&amp;""),0))&amp;""),0)=1,"Sobra","Sobran")))))&amp;""),IF(IFERROR(VALUE((0-IFERROR(VALUE($G29&amp;""),0))&amp;""),0)=1,"Sobra","Sobran")&amp;"")&amp;" "&amp;IF(ISNUMBER((0-IFERROR(VALUE($G29&amp;""),0))),IF((0-IFERROR(VALUE($G29&amp;""),0))=0,"0",ROUND((0-IFERROR(VALUE($G29&amp;""),0)),9-INT(LOG10(ABS((0-IFERROR(VALUE($G29&amp;""),0))))))&amp;""),(0-IFERROR(VALUE($G29&amp;""),0))&amp;"")&amp;" "&amp;IF(ISNUMBER(IF(IFERROR(VALUE((0-IFERROR(VALUE($G29&amp;""),0))&amp;""),0)=1,"sesion","sesiones")),IF(IF(IFERROR(VALUE((0-IFERROR(VALUE($G29&amp;""),0))&amp;""),0)=1,"sesion","sesiones")=0,"0",ROUND(IF(IFERROR(VALUE((0-IFERROR(VALUE($G29&amp;""),0))&amp;""),0)=1,"sesion","sesiones"),9-INT(LOG10(ABS(IF(IFERROR(VALUE((0-IFERROR(VALUE($G29&amp;""),0))&amp;""),0)=1,"sesion","sesiones")))))&amp;""),IF(IFERROR(VALUE((0-IFERROR(VALUE($G29&amp;""),0))&amp;""),0)=1,"sesion","sesiones")&amp;""))=0,"0",ROUND((IF(ISNUMBER(IF(IFERROR(VALUE((0-IFERROR(VALUE($G29&amp;""),0))&amp;""),0)=1,"Sobra","Sobran")),IF(IF(IFERROR(VALUE((0-IFERROR(VALUE($G29&amp;""),0))&amp;""),0)=1,"Sobra","Sobran")=0,"0",ROUND(IF(IFERROR(VALUE((0-IFERROR(VALUE($G29&amp;""),0))&amp;""),0)=1,"Sobra","Sobran"),9-INT(LOG10(ABS(IF(IFERROR(VALUE((0-IFERROR(VALUE($G29&amp;""),0))&amp;""),0)=1,"Sobra","Sobran")))))&amp;""),IF(IFERROR(VALUE((0-IFERROR(VALUE($G29&amp;""),0))&amp;""),0)=1,"Sobra","Sobran")&amp;"")&amp;" "&amp;IF(ISNUMBER((0-IFERROR(VALUE($G29&amp;""),0))),IF((0-IFERROR(VALUE($G29&amp;""),0))=0,"0",ROUND((0-IFERROR(VALUE($G29&amp;""),0)),9-INT(LOG10(ABS((0-IFERROR(VALUE($G29&amp;""),0))))))&amp;""),(0-IFERROR(VALUE($G29&amp;""),0))&amp;"")&amp;" "&amp;IF(ISNUMBER(IF(IFERROR(VALUE((0-IFERROR(VALUE($G29&amp;""),0))&amp;""),0)=1,"sesion","sesiones")),IF(IF(IFERROR(VALUE((0-IFERROR(VALUE($G29&amp;""),0))&amp;""),0)=1,"sesion","sesiones")=0,"0",ROUND(IF(IFERROR(VALUE((0-IFERROR(VALUE($G29&amp;""),0))&amp;""),0)=1,"sesion","sesiones"),9-INT(LOG10(ABS(IF(IFERROR(VALUE((0-IFERROR(VALUE($G29&amp;""),0))&amp;""),0)=1,"sesion","sesiones")))))&amp;""),IF(IFERROR(VALUE((0-IFERROR(VALUE($G29&amp;""),0))&amp;""),0)=1,"sesion","sesiones")&amp;"")),9-INT(LOG10(ABS((IF(ISNUMBER(IF(IFERROR(VALUE((0-IFERROR(VALUE($G29&amp;""),0))&amp;""),0)=1,"Sobra","Sobran")),IF(IF(IFERROR(VALUE((0-IFERROR(VALUE($G29&amp;""),0))&amp;""),0)=1,"Sobra","Sobran")=0,"0",ROUND(IF(IFERROR(VALUE((0-IFERROR(VALUE($G29&amp;""),0))&amp;""),0)=1,"Sobra","Sobran"),9-INT(LOG10(ABS(IF(IFERROR(VALUE((0-IFERROR(VALUE($G29&amp;""),0))&amp;""),0)=1,"Sobra","Sobran")))))&amp;""),IF(IFERROR(VALUE((0-IFERROR(VALUE($G29&amp;""),0))&amp;""),0)=1,"Sobra","Sobran")&amp;"")&amp;" "&amp;IF(ISNUMBER((0-IFERROR(VALUE($G29&amp;""),0))),IF((0-IFERROR(VALUE($G29&amp;""),0))=0,"0",ROUND((0-IFERROR(VALUE($G29&amp;""),0)),9-INT(LOG10(ABS((0-IFERROR(VALUE($G29&amp;""),0))))))&amp;""),(0-IFERROR(VALUE($G29&amp;""),0))&amp;"")&amp;" "&amp;IF(ISNUMBER(IF(IFERROR(VALUE((0-IFERROR(VALUE($G29&amp;""),0))&amp;""),0)=1,"sesion","sesiones")),IF(IF(IFERROR(VALUE((0-IFERROR(VALUE($G29&amp;""),0))&amp;""),0)=1,"sesion","sesiones")=0,"0",ROUND(IF(IFERROR(VALUE((0-IFERROR(VALUE($G29&amp;""),0))&amp;""),0)=1,"sesion","sesiones"),9-INT(LOG10(ABS(IF(IFERROR(VALUE((0-IFERROR(VALUE($G29&amp;""),0))&amp;""),0)=1,"sesion","sesiones")))))&amp;""),IF(IFERROR(VALUE((0-IFERROR(VALUE($G29&amp;""),0))&amp;""),0)=1,"sesion","sesiones")&amp;""))))))&amp;""),(IF(ISNUMBER(IF(IFERROR(VALUE((0-IFERROR(VALUE($G29&amp;""),0))&amp;""),0)=1,"Sobra","Sobran")),IF(IF(IFERROR(VALUE((0-IFERROR(VALUE($G29&amp;""),0))&amp;""),0)=1,"Sobra","Sobran")=0,"0",ROUND(IF(IFERROR(VALUE((0-IFERROR(VALUE($G29&amp;""),0))&amp;""),0)=1,"Sobra","Sobran"),9-INT(LOG10(ABS(IF(IFERROR(VALUE((0-IFERROR(VALUE($G29&amp;""),0))&amp;""),0)=1,"Sobra","Sobran")))))&amp;""),IF(IFERROR(VALUE((0-IFERROR(VALUE($G29&amp;""),0))&amp;""),0)=1,"Sobra","Sobran")&amp;"")&amp;" "&amp;IF(ISNUMBER((0-IFERROR(VALUE($G29&amp;""),0))),IF((0-IFERROR(VALUE($G29&amp;""),0))=0,"0",ROUND((0-IFERROR(VALUE($G29&amp;""),0)),9-INT(LOG10(ABS((0-IFERROR(VALUE($G29&amp;""),0))))))&amp;""),(0-IFERROR(VALUE($G29&amp;""),0))&amp;"")&amp;" "&amp;IF(ISNUMBER(IF(IFERROR(VALUE((0-IFERROR(VALUE($G29&amp;""),0))&amp;""),0)=1,"sesion","sesiones")),IF(IF(IFERROR(VALUE((0-IFERROR(VALUE($G29&amp;""),0))&amp;""),0)=1,"sesion","sesiones")=0,"0",ROUND(IF(IFERROR(VALUE((0-IFERROR(VALUE($G29&amp;""),0))&amp;""),0)=1,"sesion","sesiones"),9-INT(LOG10(ABS(IF(IFERROR(VALUE((0-IFERROR(VALUE($G29&amp;""),0))&amp;""),0)=1,"sesion","sesiones")))))&amp;""),IF(IFERROR(VALUE((0-IFERROR(VALUE($G29&amp;""),0))&amp;""),0)=1,"sesion","sesiones")&amp;""))&amp;""),""),3,32767)</f>
        <v/>
      </c>
      <c r="I29" s="3">
        <f>IF(OR((IFERROR(VALUE($G29&amp;""),0)&gt;0),(IFERROR(VALUE($G29&amp;""),0)&lt;0)),3,0)</f>
        <v/>
      </c>
    </row>
    <row r="30">
      <c r="A30" s="3" t="inlineStr">
        <is>
          <t>10-4</t>
        </is>
      </c>
      <c r="B30" s="3" t="inlineStr">
        <is>
          <t>DC</t>
        </is>
      </c>
      <c r="C30" s="3" t="inlineStr">
        <is>
          <t>Profesor de DC en 10-4</t>
        </is>
      </c>
      <c r="D30" s="3">
        <f>IF(ISNA(MATCH(1,INDEX(EXACT('Asignaturas'!$A$4:$A$18,$B30)*1,0),0)),"",IF(ISBLANK(INDEX('Asignaturas'!$B$4:$B$18,MATCH(1,INDEX(EXACT('Asignaturas'!$A$4:$A$18,$B30)*1,0),0))),"",INDEX('Asignaturas'!$B$4:$B$18,MATCH(1,INDEX(EXACT('Asignaturas'!$A$4:$A$18,$B30)*1,0),0))))</f>
        <v/>
      </c>
      <c r="E30" s="3">
        <f>IF(ISNA(MATCH(1,INDEX(EXACT('Asignaturas'!$A$4:$A$18,$B30)*1,0),0)),0,IF(ISBLANK(INDEX('Asignaturas'!$C$4:$C$18,MATCH(1,INDEX(EXACT('Asignaturas'!$A$4:$A$18,$B30)*1,0),0))),"",INDEX('Asignaturas'!$C$4:$C$18,MATCH(1,INDEX(EXACT('Asignaturas'!$A$4:$A$18,$B30)*1,0),0))))</f>
        <v/>
      </c>
      <c r="F30" s="3">
        <f>SUMPRODUCT(1*((EXACT('Casillas del horario'!$A$4:$A$73,$A30)))*((EXACT('Casillas del horario'!$D$4:$D$73,$B30))))</f>
        <v/>
      </c>
      <c r="G30" s="3">
        <f>(IFERROR(VALUE($E30&amp;""),0)-IFERROR(VALUE($F30&amp;""),0))</f>
        <v/>
      </c>
      <c r="H30" s="3">
        <f>MID(IF((IFERROR(VALUE($G30&amp;""),0)&gt;0),"; "&amp;IF(ISNUMBER((IF(ISNUMBER(IF(IFERROR(VALUE($G30&amp;""),0)=1,"Falta","Faltan")),IF(IF(IFERROR(VALUE($G30&amp;""),0)=1,"Falta","Faltan")=0,"0",ROUND(IF(IFERROR(VALUE($G30&amp;""),0)=1,"Falta","Faltan"),9-INT(LOG10(ABS(IF(IFERROR(VALUE($G30&amp;""),0)=1,"Falta","Faltan")))))&amp;""),IF(IFERROR(VALUE($G30&amp;""),0)=1,"Falta","Faltan")&amp;"")&amp;" "&amp;IF(ISNUMBER($G30),IF($G30=0,"0",ROUND($G30,9-INT(LOG10(ABS($G30))))&amp;""),$G30&amp;"")&amp;" "&amp;IF(ISNUMBER(IF(IFERROR(VALUE($G30&amp;""),0)=1,"sesion","sesiones")),IF(IF(IFERROR(VALUE($G30&amp;""),0)=1,"sesion","sesiones")=0,"0",ROUND(IF(IFERROR(VALUE($G30&amp;""),0)=1,"sesion","sesiones"),9-INT(LOG10(ABS(IF(IFERROR(VALUE($G30&amp;""),0)=1,"sesion","sesiones")))))&amp;""),IF(IFERROR(VALUE($G30&amp;""),0)=1,"sesion","sesiones")&amp;""))),IF((IF(ISNUMBER(IF(IFERROR(VALUE($G30&amp;""),0)=1,"Falta","Faltan")),IF(IF(IFERROR(VALUE($G30&amp;""),0)=1,"Falta","Faltan")=0,"0",ROUND(IF(IFERROR(VALUE($G30&amp;""),0)=1,"Falta","Faltan"),9-INT(LOG10(ABS(IF(IFERROR(VALUE($G30&amp;""),0)=1,"Falta","Faltan")))))&amp;""),IF(IFERROR(VALUE($G30&amp;""),0)=1,"Falta","Faltan")&amp;"")&amp;" "&amp;IF(ISNUMBER($G30),IF($G30=0,"0",ROUND($G30,9-INT(LOG10(ABS($G30))))&amp;""),$G30&amp;"")&amp;" "&amp;IF(ISNUMBER(IF(IFERROR(VALUE($G30&amp;""),0)=1,"sesion","sesiones")),IF(IF(IFERROR(VALUE($G30&amp;""),0)=1,"sesion","sesiones")=0,"0",ROUND(IF(IFERROR(VALUE($G30&amp;""),0)=1,"sesion","sesiones"),9-INT(LOG10(ABS(IF(IFERROR(VALUE($G30&amp;""),0)=1,"sesion","sesiones")))))&amp;""),IF(IFERROR(VALUE($G30&amp;""),0)=1,"sesion","sesiones")&amp;""))=0,"0",ROUND((IF(ISNUMBER(IF(IFERROR(VALUE($G30&amp;""),0)=1,"Falta","Faltan")),IF(IF(IFERROR(VALUE($G30&amp;""),0)=1,"Falta","Faltan")=0,"0",ROUND(IF(IFERROR(VALUE($G30&amp;""),0)=1,"Falta","Faltan"),9-INT(LOG10(ABS(IF(IFERROR(VALUE($G30&amp;""),0)=1,"Falta","Faltan")))))&amp;""),IF(IFERROR(VALUE($G30&amp;""),0)=1,"Falta","Faltan")&amp;"")&amp;" "&amp;IF(ISNUMBER($G30),IF($G30=0,"0",ROUND($G30,9-INT(LOG10(ABS($G30))))&amp;""),$G30&amp;"")&amp;" "&amp;IF(ISNUMBER(IF(IFERROR(VALUE($G30&amp;""),0)=1,"sesion","sesiones")),IF(IF(IFERROR(VALUE($G30&amp;""),0)=1,"sesion","sesiones")=0,"0",ROUND(IF(IFERROR(VALUE($G30&amp;""),0)=1,"sesion","sesiones"),9-INT(LOG10(ABS(IF(IFERROR(VALUE($G30&amp;""),0)=1,"sesion","sesiones")))))&amp;""),IF(IFERROR(VALUE($G30&amp;""),0)=1,"sesion","sesiones")&amp;"")),9-INT(LOG10(ABS((IF(ISNUMBER(IF(IFERROR(VALUE($G30&amp;""),0)=1,"Falta","Faltan")),IF(IF(IFERROR(VALUE($G30&amp;""),0)=1,"Falta","Faltan")=0,"0",ROUND(IF(IFERROR(VALUE($G30&amp;""),0)=1,"Falta","Faltan"),9-INT(LOG10(ABS(IF(IFERROR(VALUE($G30&amp;""),0)=1,"Falta","Faltan")))))&amp;""),IF(IFERROR(VALUE($G30&amp;""),0)=1,"Falta","Faltan")&amp;"")&amp;" "&amp;IF(ISNUMBER($G30),IF($G30=0,"0",ROUND($G30,9-INT(LOG10(ABS($G30))))&amp;""),$G30&amp;"")&amp;" "&amp;IF(ISNUMBER(IF(IFERROR(VALUE($G30&amp;""),0)=1,"sesion","sesiones")),IF(IF(IFERROR(VALUE($G30&amp;""),0)=1,"sesion","sesiones")=0,"0",ROUND(IF(IFERROR(VALUE($G30&amp;""),0)=1,"sesion","sesiones"),9-INT(LOG10(ABS(IF(IFERROR(VALUE($G30&amp;""),0)=1,"sesion","sesiones")))))&amp;""),IF(IFERROR(VALUE($G30&amp;""),0)=1,"sesion","sesiones")&amp;""))))))&amp;""),(IF(ISNUMBER(IF(IFERROR(VALUE($G30&amp;""),0)=1,"Falta","Faltan")),IF(IF(IFERROR(VALUE($G30&amp;""),0)=1,"Falta","Faltan")=0,"0",ROUND(IF(IFERROR(VALUE($G30&amp;""),0)=1,"Falta","Faltan"),9-INT(LOG10(ABS(IF(IFERROR(VALUE($G30&amp;""),0)=1,"Falta","Faltan")))))&amp;""),IF(IFERROR(VALUE($G30&amp;""),0)=1,"Falta","Faltan")&amp;"")&amp;" "&amp;IF(ISNUMBER($G30),IF($G30=0,"0",ROUND($G30,9-INT(LOG10(ABS($G30))))&amp;""),$G30&amp;"")&amp;" "&amp;IF(ISNUMBER(IF(IFERROR(VALUE($G30&amp;""),0)=1,"sesion","sesiones")),IF(IF(IFERROR(VALUE($G30&amp;""),0)=1,"sesion","sesiones")=0,"0",ROUND(IF(IFERROR(VALUE($G30&amp;""),0)=1,"sesion","sesiones"),9-INT(LOG10(ABS(IF(IFERROR(VALUE($G30&amp;""),0)=1,"sesion","sesiones")))))&amp;""),IF(IFERROR(VALUE($G30&amp;""),0)=1,"sesion","sesiones")&amp;""))&amp;""),"")&amp;IF((IFERROR(VALUE($G30&amp;""),0)&lt;0),"; "&amp;IF(ISNUMBER((IF(ISNUMBER(IF(IFERROR(VALUE((0-IFERROR(VALUE($G30&amp;""),0))&amp;""),0)=1,"Sobra","Sobran")),IF(IF(IFERROR(VALUE((0-IFERROR(VALUE($G30&amp;""),0))&amp;""),0)=1,"Sobra","Sobran")=0,"0",ROUND(IF(IFERROR(VALUE((0-IFERROR(VALUE($G30&amp;""),0))&amp;""),0)=1,"Sobra","Sobran"),9-INT(LOG10(ABS(IF(IFERROR(VALUE((0-IFERROR(VALUE($G30&amp;""),0))&amp;""),0)=1,"Sobra","Sobran")))))&amp;""),IF(IFERROR(VALUE((0-IFERROR(VALUE($G30&amp;""),0))&amp;""),0)=1,"Sobra","Sobran")&amp;"")&amp;" "&amp;IF(ISNUMBER((0-IFERROR(VALUE($G30&amp;""),0))),IF((0-IFERROR(VALUE($G30&amp;""),0))=0,"0",ROUND((0-IFERROR(VALUE($G30&amp;""),0)),9-INT(LOG10(ABS((0-IFERROR(VALUE($G30&amp;""),0))))))&amp;""),(0-IFERROR(VALUE($G30&amp;""),0))&amp;"")&amp;" "&amp;IF(ISNUMBER(IF(IFERROR(VALUE((0-IFERROR(VALUE($G30&amp;""),0))&amp;""),0)=1,"sesion","sesiones")),IF(IF(IFERROR(VALUE((0-IFERROR(VALUE($G30&amp;""),0))&amp;""),0)=1,"sesion","sesiones")=0,"0",ROUND(IF(IFERROR(VALUE((0-IFERROR(VALUE($G30&amp;""),0))&amp;""),0)=1,"sesion","sesiones"),9-INT(LOG10(ABS(IF(IFERROR(VALUE((0-IFERROR(VALUE($G30&amp;""),0))&amp;""),0)=1,"sesion","sesiones")))))&amp;""),IF(IFERROR(VALUE((0-IFERROR(VALUE($G30&amp;""),0))&amp;""),0)=1,"sesion","sesiones")&amp;""))),IF((IF(ISNUMBER(IF(IFERROR(VALUE((0-IFERROR(VALUE($G30&amp;""),0))&amp;""),0)=1,"Sobra","Sobran")),IF(IF(IFERROR(VALUE((0-IFERROR(VALUE($G30&amp;""),0))&amp;""),0)=1,"Sobra","Sobran")=0,"0",ROUND(IF(IFERROR(VALUE((0-IFERROR(VALUE($G30&amp;""),0))&amp;""),0)=1,"Sobra","Sobran"),9-INT(LOG10(ABS(IF(IFERROR(VALUE((0-IFERROR(VALUE($G30&amp;""),0))&amp;""),0)=1,"Sobra","Sobran")))))&amp;""),IF(IFERROR(VALUE((0-IFERROR(VALUE($G30&amp;""),0))&amp;""),0)=1,"Sobra","Sobran")&amp;"")&amp;" "&amp;IF(ISNUMBER((0-IFERROR(VALUE($G30&amp;""),0))),IF((0-IFERROR(VALUE($G30&amp;""),0))=0,"0",ROUND((0-IFERROR(VALUE($G30&amp;""),0)),9-INT(LOG10(ABS((0-IFERROR(VALUE($G30&amp;""),0))))))&amp;""),(0-IFERROR(VALUE($G30&amp;""),0))&amp;"")&amp;" "&amp;IF(ISNUMBER(IF(IFERROR(VALUE((0-IFERROR(VALUE($G30&amp;""),0))&amp;""),0)=1,"sesion","sesiones")),IF(IF(IFERROR(VALUE((0-IFERROR(VALUE($G30&amp;""),0))&amp;""),0)=1,"sesion","sesiones")=0,"0",ROUND(IF(IFERROR(VALUE((0-IFERROR(VALUE($G30&amp;""),0))&amp;""),0)=1,"sesion","sesiones"),9-INT(LOG10(ABS(IF(IFERROR(VALUE((0-IFERROR(VALUE($G30&amp;""),0))&amp;""),0)=1,"sesion","sesiones")))))&amp;""),IF(IFERROR(VALUE((0-IFERROR(VALUE($G30&amp;""),0))&amp;""),0)=1,"sesion","sesiones")&amp;""))=0,"0",ROUND((IF(ISNUMBER(IF(IFERROR(VALUE((0-IFERROR(VALUE($G30&amp;""),0))&amp;""),0)=1,"Sobra","Sobran")),IF(IF(IFERROR(VALUE((0-IFERROR(VALUE($G30&amp;""),0))&amp;""),0)=1,"Sobra","Sobran")=0,"0",ROUND(IF(IFERROR(VALUE((0-IFERROR(VALUE($G30&amp;""),0))&amp;""),0)=1,"Sobra","Sobran"),9-INT(LOG10(ABS(IF(IFERROR(VALUE((0-IFERROR(VALUE($G30&amp;""),0))&amp;""),0)=1,"Sobra","Sobran")))))&amp;""),IF(IFERROR(VALUE((0-IFERROR(VALUE($G30&amp;""),0))&amp;""),0)=1,"Sobra","Sobran")&amp;"")&amp;" "&amp;IF(ISNUMBER((0-IFERROR(VALUE($G30&amp;""),0))),IF((0-IFERROR(VALUE($G30&amp;""),0))=0,"0",ROUND((0-IFERROR(VALUE($G30&amp;""),0)),9-INT(LOG10(ABS((0-IFERROR(VALUE($G30&amp;""),0))))))&amp;""),(0-IFERROR(VALUE($G30&amp;""),0))&amp;"")&amp;" "&amp;IF(ISNUMBER(IF(IFERROR(VALUE((0-IFERROR(VALUE($G30&amp;""),0))&amp;""),0)=1,"sesion","sesiones")),IF(IF(IFERROR(VALUE((0-IFERROR(VALUE($G30&amp;""),0))&amp;""),0)=1,"sesion","sesiones")=0,"0",ROUND(IF(IFERROR(VALUE((0-IFERROR(VALUE($G30&amp;""),0))&amp;""),0)=1,"sesion","sesiones"),9-INT(LOG10(ABS(IF(IFERROR(VALUE((0-IFERROR(VALUE($G30&amp;""),0))&amp;""),0)=1,"sesion","sesiones")))))&amp;""),IF(IFERROR(VALUE((0-IFERROR(VALUE($G30&amp;""),0))&amp;""),0)=1,"sesion","sesiones")&amp;"")),9-INT(LOG10(ABS((IF(ISNUMBER(IF(IFERROR(VALUE((0-IFERROR(VALUE($G30&amp;""),0))&amp;""),0)=1,"Sobra","Sobran")),IF(IF(IFERROR(VALUE((0-IFERROR(VALUE($G30&amp;""),0))&amp;""),0)=1,"Sobra","Sobran")=0,"0",ROUND(IF(IFERROR(VALUE((0-IFERROR(VALUE($G30&amp;""),0))&amp;""),0)=1,"Sobra","Sobran"),9-INT(LOG10(ABS(IF(IFERROR(VALUE((0-IFERROR(VALUE($G30&amp;""),0))&amp;""),0)=1,"Sobra","Sobran")))))&amp;""),IF(IFERROR(VALUE((0-IFERROR(VALUE($G30&amp;""),0))&amp;""),0)=1,"Sobra","Sobran")&amp;"")&amp;" "&amp;IF(ISNUMBER((0-IFERROR(VALUE($G30&amp;""),0))),IF((0-IFERROR(VALUE($G30&amp;""),0))=0,"0",ROUND((0-IFERROR(VALUE($G30&amp;""),0)),9-INT(LOG10(ABS((0-IFERROR(VALUE($G30&amp;""),0))))))&amp;""),(0-IFERROR(VALUE($G30&amp;""),0))&amp;"")&amp;" "&amp;IF(ISNUMBER(IF(IFERROR(VALUE((0-IFERROR(VALUE($G30&amp;""),0))&amp;""),0)=1,"sesion","sesiones")),IF(IF(IFERROR(VALUE((0-IFERROR(VALUE($G30&amp;""),0))&amp;""),0)=1,"sesion","sesiones")=0,"0",ROUND(IF(IFERROR(VALUE((0-IFERROR(VALUE($G30&amp;""),0))&amp;""),0)=1,"sesion","sesiones"),9-INT(LOG10(ABS(IF(IFERROR(VALUE((0-IFERROR(VALUE($G30&amp;""),0))&amp;""),0)=1,"sesion","sesiones")))))&amp;""),IF(IFERROR(VALUE((0-IFERROR(VALUE($G30&amp;""),0))&amp;""),0)=1,"sesion","sesiones")&amp;""))))))&amp;""),(IF(ISNUMBER(IF(IFERROR(VALUE((0-IFERROR(VALUE($G30&amp;""),0))&amp;""),0)=1,"Sobra","Sobran")),IF(IF(IFERROR(VALUE((0-IFERROR(VALUE($G30&amp;""),0))&amp;""),0)=1,"Sobra","Sobran")=0,"0",ROUND(IF(IFERROR(VALUE((0-IFERROR(VALUE($G30&amp;""),0))&amp;""),0)=1,"Sobra","Sobran"),9-INT(LOG10(ABS(IF(IFERROR(VALUE((0-IFERROR(VALUE($G30&amp;""),0))&amp;""),0)=1,"Sobra","Sobran")))))&amp;""),IF(IFERROR(VALUE((0-IFERROR(VALUE($G30&amp;""),0))&amp;""),0)=1,"Sobra","Sobran")&amp;"")&amp;" "&amp;IF(ISNUMBER((0-IFERROR(VALUE($G30&amp;""),0))),IF((0-IFERROR(VALUE($G30&amp;""),0))=0,"0",ROUND((0-IFERROR(VALUE($G30&amp;""),0)),9-INT(LOG10(ABS((0-IFERROR(VALUE($G30&amp;""),0))))))&amp;""),(0-IFERROR(VALUE($G30&amp;""),0))&amp;"")&amp;" "&amp;IF(ISNUMBER(IF(IFERROR(VALUE((0-IFERROR(VALUE($G30&amp;""),0))&amp;""),0)=1,"sesion","sesiones")),IF(IF(IFERROR(VALUE((0-IFERROR(VALUE($G30&amp;""),0))&amp;""),0)=1,"sesion","sesiones")=0,"0",ROUND(IF(IFERROR(VALUE((0-IFERROR(VALUE($G30&amp;""),0))&amp;""),0)=1,"sesion","sesiones"),9-INT(LOG10(ABS(IF(IFERROR(VALUE((0-IFERROR(VALUE($G30&amp;""),0))&amp;""),0)=1,"sesion","sesiones")))))&amp;""),IF(IFERROR(VALUE((0-IFERROR(VALUE($G30&amp;""),0))&amp;""),0)=1,"sesion","sesiones")&amp;""))&amp;""),""),3,32767)</f>
        <v/>
      </c>
      <c r="I30" s="3">
        <f>IF(OR((IFERROR(VALUE($G30&amp;""),0)&gt;0),(IFERROR(VALUE($G30&amp;""),0)&lt;0)),3,0)</f>
        <v/>
      </c>
    </row>
    <row r="31">
      <c r="A31" s="3" t="inlineStr">
        <is>
          <t>10-4</t>
        </is>
      </c>
      <c r="B31" s="3" t="inlineStr">
        <is>
          <t>CA</t>
        </is>
      </c>
      <c r="C31" s="3" t="inlineStr">
        <is>
          <t>Profesor de CA en 10-4</t>
        </is>
      </c>
      <c r="D31" s="3">
        <f>IF(ISNA(MATCH(1,INDEX(EXACT('Asignaturas'!$A$4:$A$18,$B31)*1,0),0)),"",IF(ISBLANK(INDEX('Asignaturas'!$B$4:$B$18,MATCH(1,INDEX(EXACT('Asignaturas'!$A$4:$A$18,$B31)*1,0),0))),"",INDEX('Asignaturas'!$B$4:$B$18,MATCH(1,INDEX(EXACT('Asignaturas'!$A$4:$A$18,$B31)*1,0),0))))</f>
        <v/>
      </c>
      <c r="E31" s="3">
        <f>IF(ISNA(MATCH(1,INDEX(EXACT('Asignaturas'!$A$4:$A$18,$B31)*1,0),0)),0,IF(ISBLANK(INDEX('Asignaturas'!$C$4:$C$18,MATCH(1,INDEX(EXACT('Asignaturas'!$A$4:$A$18,$B31)*1,0),0))),"",INDEX('Asignaturas'!$C$4:$C$18,MATCH(1,INDEX(EXACT('Asignaturas'!$A$4:$A$18,$B31)*1,0),0))))</f>
        <v/>
      </c>
      <c r="F31" s="3">
        <f>SUMPRODUCT(1*((EXACT('Casillas del horario'!$A$4:$A$73,$A31)))*((EXACT('Casillas del horario'!$D$4:$D$73,$B31))))</f>
        <v/>
      </c>
      <c r="G31" s="3">
        <f>(IFERROR(VALUE($E31&amp;""),0)-IFERROR(VALUE($F31&amp;""),0))</f>
        <v/>
      </c>
      <c r="H31" s="3">
        <f>MID(IF((IFERROR(VALUE($G31&amp;""),0)&gt;0),"; "&amp;IF(ISNUMBER((IF(ISNUMBER(IF(IFERROR(VALUE($G31&amp;""),0)=1,"Falta","Faltan")),IF(IF(IFERROR(VALUE($G31&amp;""),0)=1,"Falta","Faltan")=0,"0",ROUND(IF(IFERROR(VALUE($G31&amp;""),0)=1,"Falta","Faltan"),9-INT(LOG10(ABS(IF(IFERROR(VALUE($G31&amp;""),0)=1,"Falta","Faltan")))))&amp;""),IF(IFERROR(VALUE($G31&amp;""),0)=1,"Falta","Faltan")&amp;"")&amp;" "&amp;IF(ISNUMBER($G31),IF($G31=0,"0",ROUND($G31,9-INT(LOG10(ABS($G31))))&amp;""),$G31&amp;"")&amp;" "&amp;IF(ISNUMBER(IF(IFERROR(VALUE($G31&amp;""),0)=1,"sesion","sesiones")),IF(IF(IFERROR(VALUE($G31&amp;""),0)=1,"sesion","sesiones")=0,"0",ROUND(IF(IFERROR(VALUE($G31&amp;""),0)=1,"sesion","sesiones"),9-INT(LOG10(ABS(IF(IFERROR(VALUE($G31&amp;""),0)=1,"sesion","sesiones")))))&amp;""),IF(IFERROR(VALUE($G31&amp;""),0)=1,"sesion","sesiones")&amp;""))),IF((IF(ISNUMBER(IF(IFERROR(VALUE($G31&amp;""),0)=1,"Falta","Faltan")),IF(IF(IFERROR(VALUE($G31&amp;""),0)=1,"Falta","Faltan")=0,"0",ROUND(IF(IFERROR(VALUE($G31&amp;""),0)=1,"Falta","Faltan"),9-INT(LOG10(ABS(IF(IFERROR(VALUE($G31&amp;""),0)=1,"Falta","Faltan")))))&amp;""),IF(IFERROR(VALUE($G31&amp;""),0)=1,"Falta","Faltan")&amp;"")&amp;" "&amp;IF(ISNUMBER($G31),IF($G31=0,"0",ROUND($G31,9-INT(LOG10(ABS($G31))))&amp;""),$G31&amp;"")&amp;" "&amp;IF(ISNUMBER(IF(IFERROR(VALUE($G31&amp;""),0)=1,"sesion","sesiones")),IF(IF(IFERROR(VALUE($G31&amp;""),0)=1,"sesion","sesiones")=0,"0",ROUND(IF(IFERROR(VALUE($G31&amp;""),0)=1,"sesion","sesiones"),9-INT(LOG10(ABS(IF(IFERROR(VALUE($G31&amp;""),0)=1,"sesion","sesiones")))))&amp;""),IF(IFERROR(VALUE($G31&amp;""),0)=1,"sesion","sesiones")&amp;""))=0,"0",ROUND((IF(ISNUMBER(IF(IFERROR(VALUE($G31&amp;""),0)=1,"Falta","Faltan")),IF(IF(IFERROR(VALUE($G31&amp;""),0)=1,"Falta","Faltan")=0,"0",ROUND(IF(IFERROR(VALUE($G31&amp;""),0)=1,"Falta","Faltan"),9-INT(LOG10(ABS(IF(IFERROR(VALUE($G31&amp;""),0)=1,"Falta","Faltan")))))&amp;""),IF(IFERROR(VALUE($G31&amp;""),0)=1,"Falta","Faltan")&amp;"")&amp;" "&amp;IF(ISNUMBER($G31),IF($G31=0,"0",ROUND($G31,9-INT(LOG10(ABS($G31))))&amp;""),$G31&amp;"")&amp;" "&amp;IF(ISNUMBER(IF(IFERROR(VALUE($G31&amp;""),0)=1,"sesion","sesiones")),IF(IF(IFERROR(VALUE($G31&amp;""),0)=1,"sesion","sesiones")=0,"0",ROUND(IF(IFERROR(VALUE($G31&amp;""),0)=1,"sesion","sesiones"),9-INT(LOG10(ABS(IF(IFERROR(VALUE($G31&amp;""),0)=1,"sesion","sesiones")))))&amp;""),IF(IFERROR(VALUE($G31&amp;""),0)=1,"sesion","sesiones")&amp;"")),9-INT(LOG10(ABS((IF(ISNUMBER(IF(IFERROR(VALUE($G31&amp;""),0)=1,"Falta","Faltan")),IF(IF(IFERROR(VALUE($G31&amp;""),0)=1,"Falta","Faltan")=0,"0",ROUND(IF(IFERROR(VALUE($G31&amp;""),0)=1,"Falta","Faltan"),9-INT(LOG10(ABS(IF(IFERROR(VALUE($G31&amp;""),0)=1,"Falta","Faltan")))))&amp;""),IF(IFERROR(VALUE($G31&amp;""),0)=1,"Falta","Faltan")&amp;"")&amp;" "&amp;IF(ISNUMBER($G31),IF($G31=0,"0",ROUND($G31,9-INT(LOG10(ABS($G31))))&amp;""),$G31&amp;"")&amp;" "&amp;IF(ISNUMBER(IF(IFERROR(VALUE($G31&amp;""),0)=1,"sesion","sesiones")),IF(IF(IFERROR(VALUE($G31&amp;""),0)=1,"sesion","sesiones")=0,"0",ROUND(IF(IFERROR(VALUE($G31&amp;""),0)=1,"sesion","sesiones"),9-INT(LOG10(ABS(IF(IFERROR(VALUE($G31&amp;""),0)=1,"sesion","sesiones")))))&amp;""),IF(IFERROR(VALUE($G31&amp;""),0)=1,"sesion","sesiones")&amp;""))))))&amp;""),(IF(ISNUMBER(IF(IFERROR(VALUE($G31&amp;""),0)=1,"Falta","Faltan")),IF(IF(IFERROR(VALUE($G31&amp;""),0)=1,"Falta","Faltan")=0,"0",ROUND(IF(IFERROR(VALUE($G31&amp;""),0)=1,"Falta","Faltan"),9-INT(LOG10(ABS(IF(IFERROR(VALUE($G31&amp;""),0)=1,"Falta","Faltan")))))&amp;""),IF(IFERROR(VALUE($G31&amp;""),0)=1,"Falta","Faltan")&amp;"")&amp;" "&amp;IF(ISNUMBER($G31),IF($G31=0,"0",ROUND($G31,9-INT(LOG10(ABS($G31))))&amp;""),$G31&amp;"")&amp;" "&amp;IF(ISNUMBER(IF(IFERROR(VALUE($G31&amp;""),0)=1,"sesion","sesiones")),IF(IF(IFERROR(VALUE($G31&amp;""),0)=1,"sesion","sesiones")=0,"0",ROUND(IF(IFERROR(VALUE($G31&amp;""),0)=1,"sesion","sesiones"),9-INT(LOG10(ABS(IF(IFERROR(VALUE($G31&amp;""),0)=1,"sesion","sesiones")))))&amp;""),IF(IFERROR(VALUE($G31&amp;""),0)=1,"sesion","sesiones")&amp;""))&amp;""),"")&amp;IF((IFERROR(VALUE($G31&amp;""),0)&lt;0),"; "&amp;IF(ISNUMBER((IF(ISNUMBER(IF(IFERROR(VALUE((0-IFERROR(VALUE($G31&amp;""),0))&amp;""),0)=1,"Sobra","Sobran")),IF(IF(IFERROR(VALUE((0-IFERROR(VALUE($G31&amp;""),0))&amp;""),0)=1,"Sobra","Sobran")=0,"0",ROUND(IF(IFERROR(VALUE((0-IFERROR(VALUE($G31&amp;""),0))&amp;""),0)=1,"Sobra","Sobran"),9-INT(LOG10(ABS(IF(IFERROR(VALUE((0-IFERROR(VALUE($G31&amp;""),0))&amp;""),0)=1,"Sobra","Sobran")))))&amp;""),IF(IFERROR(VALUE((0-IFERROR(VALUE($G31&amp;""),0))&amp;""),0)=1,"Sobra","Sobran")&amp;"")&amp;" "&amp;IF(ISNUMBER((0-IFERROR(VALUE($G31&amp;""),0))),IF((0-IFERROR(VALUE($G31&amp;""),0))=0,"0",ROUND((0-IFERROR(VALUE($G31&amp;""),0)),9-INT(LOG10(ABS((0-IFERROR(VALUE($G31&amp;""),0))))))&amp;""),(0-IFERROR(VALUE($G31&amp;""),0))&amp;"")&amp;" "&amp;IF(ISNUMBER(IF(IFERROR(VALUE((0-IFERROR(VALUE($G31&amp;""),0))&amp;""),0)=1,"sesion","sesiones")),IF(IF(IFERROR(VALUE((0-IFERROR(VALUE($G31&amp;""),0))&amp;""),0)=1,"sesion","sesiones")=0,"0",ROUND(IF(IFERROR(VALUE((0-IFERROR(VALUE($G31&amp;""),0))&amp;""),0)=1,"sesion","sesiones"),9-INT(LOG10(ABS(IF(IFERROR(VALUE((0-IFERROR(VALUE($G31&amp;""),0))&amp;""),0)=1,"sesion","sesiones")))))&amp;""),IF(IFERROR(VALUE((0-IFERROR(VALUE($G31&amp;""),0))&amp;""),0)=1,"sesion","sesiones")&amp;""))),IF((IF(ISNUMBER(IF(IFERROR(VALUE((0-IFERROR(VALUE($G31&amp;""),0))&amp;""),0)=1,"Sobra","Sobran")),IF(IF(IFERROR(VALUE((0-IFERROR(VALUE($G31&amp;""),0))&amp;""),0)=1,"Sobra","Sobran")=0,"0",ROUND(IF(IFERROR(VALUE((0-IFERROR(VALUE($G31&amp;""),0))&amp;""),0)=1,"Sobra","Sobran"),9-INT(LOG10(ABS(IF(IFERROR(VALUE((0-IFERROR(VALUE($G31&amp;""),0))&amp;""),0)=1,"Sobra","Sobran")))))&amp;""),IF(IFERROR(VALUE((0-IFERROR(VALUE($G31&amp;""),0))&amp;""),0)=1,"Sobra","Sobran")&amp;"")&amp;" "&amp;IF(ISNUMBER((0-IFERROR(VALUE($G31&amp;""),0))),IF((0-IFERROR(VALUE($G31&amp;""),0))=0,"0",ROUND((0-IFERROR(VALUE($G31&amp;""),0)),9-INT(LOG10(ABS((0-IFERROR(VALUE($G31&amp;""),0))))))&amp;""),(0-IFERROR(VALUE($G31&amp;""),0))&amp;"")&amp;" "&amp;IF(ISNUMBER(IF(IFERROR(VALUE((0-IFERROR(VALUE($G31&amp;""),0))&amp;""),0)=1,"sesion","sesiones")),IF(IF(IFERROR(VALUE((0-IFERROR(VALUE($G31&amp;""),0))&amp;""),0)=1,"sesion","sesiones")=0,"0",ROUND(IF(IFERROR(VALUE((0-IFERROR(VALUE($G31&amp;""),0))&amp;""),0)=1,"sesion","sesiones"),9-INT(LOG10(ABS(IF(IFERROR(VALUE((0-IFERROR(VALUE($G31&amp;""),0))&amp;""),0)=1,"sesion","sesiones")))))&amp;""),IF(IFERROR(VALUE((0-IFERROR(VALUE($G31&amp;""),0))&amp;""),0)=1,"sesion","sesiones")&amp;""))=0,"0",ROUND((IF(ISNUMBER(IF(IFERROR(VALUE((0-IFERROR(VALUE($G31&amp;""),0))&amp;""),0)=1,"Sobra","Sobran")),IF(IF(IFERROR(VALUE((0-IFERROR(VALUE($G31&amp;""),0))&amp;""),0)=1,"Sobra","Sobran")=0,"0",ROUND(IF(IFERROR(VALUE((0-IFERROR(VALUE($G31&amp;""),0))&amp;""),0)=1,"Sobra","Sobran"),9-INT(LOG10(ABS(IF(IFERROR(VALUE((0-IFERROR(VALUE($G31&amp;""),0))&amp;""),0)=1,"Sobra","Sobran")))))&amp;""),IF(IFERROR(VALUE((0-IFERROR(VALUE($G31&amp;""),0))&amp;""),0)=1,"Sobra","Sobran")&amp;"")&amp;" "&amp;IF(ISNUMBER((0-IFERROR(VALUE($G31&amp;""),0))),IF((0-IFERROR(VALUE($G31&amp;""),0))=0,"0",ROUND((0-IFERROR(VALUE($G31&amp;""),0)),9-INT(LOG10(ABS((0-IFERROR(VALUE($G31&amp;""),0))))))&amp;""),(0-IFERROR(VALUE($G31&amp;""),0))&amp;"")&amp;" "&amp;IF(ISNUMBER(IF(IFERROR(VALUE((0-IFERROR(VALUE($G31&amp;""),0))&amp;""),0)=1,"sesion","sesiones")),IF(IF(IFERROR(VALUE((0-IFERROR(VALUE($G31&amp;""),0))&amp;""),0)=1,"sesion","sesiones")=0,"0",ROUND(IF(IFERROR(VALUE((0-IFERROR(VALUE($G31&amp;""),0))&amp;""),0)=1,"sesion","sesiones"),9-INT(LOG10(ABS(IF(IFERROR(VALUE((0-IFERROR(VALUE($G31&amp;""),0))&amp;""),0)=1,"sesion","sesiones")))))&amp;""),IF(IFERROR(VALUE((0-IFERROR(VALUE($G31&amp;""),0))&amp;""),0)=1,"sesion","sesiones")&amp;"")),9-INT(LOG10(ABS((IF(ISNUMBER(IF(IFERROR(VALUE((0-IFERROR(VALUE($G31&amp;""),0))&amp;""),0)=1,"Sobra","Sobran")),IF(IF(IFERROR(VALUE((0-IFERROR(VALUE($G31&amp;""),0))&amp;""),0)=1,"Sobra","Sobran")=0,"0",ROUND(IF(IFERROR(VALUE((0-IFERROR(VALUE($G31&amp;""),0))&amp;""),0)=1,"Sobra","Sobran"),9-INT(LOG10(ABS(IF(IFERROR(VALUE((0-IFERROR(VALUE($G31&amp;""),0))&amp;""),0)=1,"Sobra","Sobran")))))&amp;""),IF(IFERROR(VALUE((0-IFERROR(VALUE($G31&amp;""),0))&amp;""),0)=1,"Sobra","Sobran")&amp;"")&amp;" "&amp;IF(ISNUMBER((0-IFERROR(VALUE($G31&amp;""),0))),IF((0-IFERROR(VALUE($G31&amp;""),0))=0,"0",ROUND((0-IFERROR(VALUE($G31&amp;""),0)),9-INT(LOG10(ABS((0-IFERROR(VALUE($G31&amp;""),0))))))&amp;""),(0-IFERROR(VALUE($G31&amp;""),0))&amp;"")&amp;" "&amp;IF(ISNUMBER(IF(IFERROR(VALUE((0-IFERROR(VALUE($G31&amp;""),0))&amp;""),0)=1,"sesion","sesiones")),IF(IF(IFERROR(VALUE((0-IFERROR(VALUE($G31&amp;""),0))&amp;""),0)=1,"sesion","sesiones")=0,"0",ROUND(IF(IFERROR(VALUE((0-IFERROR(VALUE($G31&amp;""),0))&amp;""),0)=1,"sesion","sesiones"),9-INT(LOG10(ABS(IF(IFERROR(VALUE((0-IFERROR(VALUE($G31&amp;""),0))&amp;""),0)=1,"sesion","sesiones")))))&amp;""),IF(IFERROR(VALUE((0-IFERROR(VALUE($G31&amp;""),0))&amp;""),0)=1,"sesion","sesiones")&amp;""))))))&amp;""),(IF(ISNUMBER(IF(IFERROR(VALUE((0-IFERROR(VALUE($G31&amp;""),0))&amp;""),0)=1,"Sobra","Sobran")),IF(IF(IFERROR(VALUE((0-IFERROR(VALUE($G31&amp;""),0))&amp;""),0)=1,"Sobra","Sobran")=0,"0",ROUND(IF(IFERROR(VALUE((0-IFERROR(VALUE($G31&amp;""),0))&amp;""),0)=1,"Sobra","Sobran"),9-INT(LOG10(ABS(IF(IFERROR(VALUE((0-IFERROR(VALUE($G31&amp;""),0))&amp;""),0)=1,"Sobra","Sobran")))))&amp;""),IF(IFERROR(VALUE((0-IFERROR(VALUE($G31&amp;""),0))&amp;""),0)=1,"Sobra","Sobran")&amp;"")&amp;" "&amp;IF(ISNUMBER((0-IFERROR(VALUE($G31&amp;""),0))),IF((0-IFERROR(VALUE($G31&amp;""),0))=0,"0",ROUND((0-IFERROR(VALUE($G31&amp;""),0)),9-INT(LOG10(ABS((0-IFERROR(VALUE($G31&amp;""),0))))))&amp;""),(0-IFERROR(VALUE($G31&amp;""),0))&amp;"")&amp;" "&amp;IF(ISNUMBER(IF(IFERROR(VALUE((0-IFERROR(VALUE($G31&amp;""),0))&amp;""),0)=1,"sesion","sesiones")),IF(IF(IFERROR(VALUE((0-IFERROR(VALUE($G31&amp;""),0))&amp;""),0)=1,"sesion","sesiones")=0,"0",ROUND(IF(IFERROR(VALUE((0-IFERROR(VALUE($G31&amp;""),0))&amp;""),0)=1,"sesion","sesiones"),9-INT(LOG10(ABS(IF(IFERROR(VALUE((0-IFERROR(VALUE($G31&amp;""),0))&amp;""),0)=1,"sesion","sesiones")))))&amp;""),IF(IFERROR(VALUE((0-IFERROR(VALUE($G31&amp;""),0))&amp;""),0)=1,"sesion","sesiones")&amp;""))&amp;""),""),3,32767)</f>
        <v/>
      </c>
      <c r="I31" s="3">
        <f>IF(OR((IFERROR(VALUE($G31&amp;""),0)&gt;0),(IFERROR(VALUE($G31&amp;""),0)&lt;0)),3,0)</f>
        <v/>
      </c>
    </row>
    <row r="32">
      <c r="A32" s="3" t="inlineStr">
        <is>
          <t>10-4</t>
        </is>
      </c>
      <c r="B32" s="3" t="inlineStr">
        <is>
          <t>RD</t>
        </is>
      </c>
      <c r="C32" s="3" t="inlineStr">
        <is>
          <t>Profesor de RD en 10-4</t>
        </is>
      </c>
      <c r="D32" s="3">
        <f>IF(ISNA(MATCH(1,INDEX(EXACT('Asignaturas'!$A$4:$A$18,$B32)*1,0),0)),"",IF(ISBLANK(INDEX('Asignaturas'!$B$4:$B$18,MATCH(1,INDEX(EXACT('Asignaturas'!$A$4:$A$18,$B32)*1,0),0))),"",INDEX('Asignaturas'!$B$4:$B$18,MATCH(1,INDEX(EXACT('Asignaturas'!$A$4:$A$18,$B32)*1,0),0))))</f>
        <v/>
      </c>
      <c r="E32" s="3">
        <f>IF(ISNA(MATCH(1,INDEX(EXACT('Asignaturas'!$A$4:$A$18,$B32)*1,0),0)),0,IF(ISBLANK(INDEX('Asignaturas'!$C$4:$C$18,MATCH(1,INDEX(EXACT('Asignaturas'!$A$4:$A$18,$B32)*1,0),0))),"",INDEX('Asignaturas'!$C$4:$C$18,MATCH(1,INDEX(EXACT('Asignaturas'!$A$4:$A$18,$B32)*1,0),0))))</f>
        <v/>
      </c>
      <c r="F32" s="3">
        <f>SUMPRODUCT(1*((EXACT('Casillas del horario'!$A$4:$A$73,$A32)))*((EXACT('Casillas del horario'!$D$4:$D$73,$B32))))</f>
        <v/>
      </c>
      <c r="G32" s="3">
        <f>(IFERROR(VALUE($E32&amp;""),0)-IFERROR(VALUE($F32&amp;""),0))</f>
        <v/>
      </c>
      <c r="H32" s="3">
        <f>MID(IF((IFERROR(VALUE($G32&amp;""),0)&gt;0),"; "&amp;IF(ISNUMBER((IF(ISNUMBER(IF(IFERROR(VALUE($G32&amp;""),0)=1,"Falta","Faltan")),IF(IF(IFERROR(VALUE($G32&amp;""),0)=1,"Falta","Faltan")=0,"0",ROUND(IF(IFERROR(VALUE($G32&amp;""),0)=1,"Falta","Faltan"),9-INT(LOG10(ABS(IF(IFERROR(VALUE($G32&amp;""),0)=1,"Falta","Faltan")))))&amp;""),IF(IFERROR(VALUE($G32&amp;""),0)=1,"Falta","Faltan")&amp;"")&amp;" "&amp;IF(ISNUMBER($G32),IF($G32=0,"0",ROUND($G32,9-INT(LOG10(ABS($G32))))&amp;""),$G32&amp;"")&amp;" "&amp;IF(ISNUMBER(IF(IFERROR(VALUE($G32&amp;""),0)=1,"sesion","sesiones")),IF(IF(IFERROR(VALUE($G32&amp;""),0)=1,"sesion","sesiones")=0,"0",ROUND(IF(IFERROR(VALUE($G32&amp;""),0)=1,"sesion","sesiones"),9-INT(LOG10(ABS(IF(IFERROR(VALUE($G32&amp;""),0)=1,"sesion","sesiones")))))&amp;""),IF(IFERROR(VALUE($G32&amp;""),0)=1,"sesion","sesiones")&amp;""))),IF((IF(ISNUMBER(IF(IFERROR(VALUE($G32&amp;""),0)=1,"Falta","Faltan")),IF(IF(IFERROR(VALUE($G32&amp;""),0)=1,"Falta","Faltan")=0,"0",ROUND(IF(IFERROR(VALUE($G32&amp;""),0)=1,"Falta","Faltan"),9-INT(LOG10(ABS(IF(IFERROR(VALUE($G32&amp;""),0)=1,"Falta","Faltan")))))&amp;""),IF(IFERROR(VALUE($G32&amp;""),0)=1,"Falta","Faltan")&amp;"")&amp;" "&amp;IF(ISNUMBER($G32),IF($G32=0,"0",ROUND($G32,9-INT(LOG10(ABS($G32))))&amp;""),$G32&amp;"")&amp;" "&amp;IF(ISNUMBER(IF(IFERROR(VALUE($G32&amp;""),0)=1,"sesion","sesiones")),IF(IF(IFERROR(VALUE($G32&amp;""),0)=1,"sesion","sesiones")=0,"0",ROUND(IF(IFERROR(VALUE($G32&amp;""),0)=1,"sesion","sesiones"),9-INT(LOG10(ABS(IF(IFERROR(VALUE($G32&amp;""),0)=1,"sesion","sesiones")))))&amp;""),IF(IFERROR(VALUE($G32&amp;""),0)=1,"sesion","sesiones")&amp;""))=0,"0",ROUND((IF(ISNUMBER(IF(IFERROR(VALUE($G32&amp;""),0)=1,"Falta","Faltan")),IF(IF(IFERROR(VALUE($G32&amp;""),0)=1,"Falta","Faltan")=0,"0",ROUND(IF(IFERROR(VALUE($G32&amp;""),0)=1,"Falta","Faltan"),9-INT(LOG10(ABS(IF(IFERROR(VALUE($G32&amp;""),0)=1,"Falta","Faltan")))))&amp;""),IF(IFERROR(VALUE($G32&amp;""),0)=1,"Falta","Faltan")&amp;"")&amp;" "&amp;IF(ISNUMBER($G32),IF($G32=0,"0",ROUND($G32,9-INT(LOG10(ABS($G32))))&amp;""),$G32&amp;"")&amp;" "&amp;IF(ISNUMBER(IF(IFERROR(VALUE($G32&amp;""),0)=1,"sesion","sesiones")),IF(IF(IFERROR(VALUE($G32&amp;""),0)=1,"sesion","sesiones")=0,"0",ROUND(IF(IFERROR(VALUE($G32&amp;""),0)=1,"sesion","sesiones"),9-INT(LOG10(ABS(IF(IFERROR(VALUE($G32&amp;""),0)=1,"sesion","sesiones")))))&amp;""),IF(IFERROR(VALUE($G32&amp;""),0)=1,"sesion","sesiones")&amp;"")),9-INT(LOG10(ABS((IF(ISNUMBER(IF(IFERROR(VALUE($G32&amp;""),0)=1,"Falta","Faltan")),IF(IF(IFERROR(VALUE($G32&amp;""),0)=1,"Falta","Faltan")=0,"0",ROUND(IF(IFERROR(VALUE($G32&amp;""),0)=1,"Falta","Faltan"),9-INT(LOG10(ABS(IF(IFERROR(VALUE($G32&amp;""),0)=1,"Falta","Faltan")))))&amp;""),IF(IFERROR(VALUE($G32&amp;""),0)=1,"Falta","Faltan")&amp;"")&amp;" "&amp;IF(ISNUMBER($G32),IF($G32=0,"0",ROUND($G32,9-INT(LOG10(ABS($G32))))&amp;""),$G32&amp;"")&amp;" "&amp;IF(ISNUMBER(IF(IFERROR(VALUE($G32&amp;""),0)=1,"sesion","sesiones")),IF(IF(IFERROR(VALUE($G32&amp;""),0)=1,"sesion","sesiones")=0,"0",ROUND(IF(IFERROR(VALUE($G32&amp;""),0)=1,"sesion","sesiones"),9-INT(LOG10(ABS(IF(IFERROR(VALUE($G32&amp;""),0)=1,"sesion","sesiones")))))&amp;""),IF(IFERROR(VALUE($G32&amp;""),0)=1,"sesion","sesiones")&amp;""))))))&amp;""),(IF(ISNUMBER(IF(IFERROR(VALUE($G32&amp;""),0)=1,"Falta","Faltan")),IF(IF(IFERROR(VALUE($G32&amp;""),0)=1,"Falta","Faltan")=0,"0",ROUND(IF(IFERROR(VALUE($G32&amp;""),0)=1,"Falta","Faltan"),9-INT(LOG10(ABS(IF(IFERROR(VALUE($G32&amp;""),0)=1,"Falta","Faltan")))))&amp;""),IF(IFERROR(VALUE($G32&amp;""),0)=1,"Falta","Faltan")&amp;"")&amp;" "&amp;IF(ISNUMBER($G32),IF($G32=0,"0",ROUND($G32,9-INT(LOG10(ABS($G32))))&amp;""),$G32&amp;"")&amp;" "&amp;IF(ISNUMBER(IF(IFERROR(VALUE($G32&amp;""),0)=1,"sesion","sesiones")),IF(IF(IFERROR(VALUE($G32&amp;""),0)=1,"sesion","sesiones")=0,"0",ROUND(IF(IFERROR(VALUE($G32&amp;""),0)=1,"sesion","sesiones"),9-INT(LOG10(ABS(IF(IFERROR(VALUE($G32&amp;""),0)=1,"sesion","sesiones")))))&amp;""),IF(IFERROR(VALUE($G32&amp;""),0)=1,"sesion","sesiones")&amp;""))&amp;""),"")&amp;IF((IFERROR(VALUE($G32&amp;""),0)&lt;0),"; "&amp;IF(ISNUMBER((IF(ISNUMBER(IF(IFERROR(VALUE((0-IFERROR(VALUE($G32&amp;""),0))&amp;""),0)=1,"Sobra","Sobran")),IF(IF(IFERROR(VALUE((0-IFERROR(VALUE($G32&amp;""),0))&amp;""),0)=1,"Sobra","Sobran")=0,"0",ROUND(IF(IFERROR(VALUE((0-IFERROR(VALUE($G32&amp;""),0))&amp;""),0)=1,"Sobra","Sobran"),9-INT(LOG10(ABS(IF(IFERROR(VALUE((0-IFERROR(VALUE($G32&amp;""),0))&amp;""),0)=1,"Sobra","Sobran")))))&amp;""),IF(IFERROR(VALUE((0-IFERROR(VALUE($G32&amp;""),0))&amp;""),0)=1,"Sobra","Sobran")&amp;"")&amp;" "&amp;IF(ISNUMBER((0-IFERROR(VALUE($G32&amp;""),0))),IF((0-IFERROR(VALUE($G32&amp;""),0))=0,"0",ROUND((0-IFERROR(VALUE($G32&amp;""),0)),9-INT(LOG10(ABS((0-IFERROR(VALUE($G32&amp;""),0))))))&amp;""),(0-IFERROR(VALUE($G32&amp;""),0))&amp;"")&amp;" "&amp;IF(ISNUMBER(IF(IFERROR(VALUE((0-IFERROR(VALUE($G32&amp;""),0))&amp;""),0)=1,"sesion","sesiones")),IF(IF(IFERROR(VALUE((0-IFERROR(VALUE($G32&amp;""),0))&amp;""),0)=1,"sesion","sesiones")=0,"0",ROUND(IF(IFERROR(VALUE((0-IFERROR(VALUE($G32&amp;""),0))&amp;""),0)=1,"sesion","sesiones"),9-INT(LOG10(ABS(IF(IFERROR(VALUE((0-IFERROR(VALUE($G32&amp;""),0))&amp;""),0)=1,"sesion","sesiones")))))&amp;""),IF(IFERROR(VALUE((0-IFERROR(VALUE($G32&amp;""),0))&amp;""),0)=1,"sesion","sesiones")&amp;""))),IF((IF(ISNUMBER(IF(IFERROR(VALUE((0-IFERROR(VALUE($G32&amp;""),0))&amp;""),0)=1,"Sobra","Sobran")),IF(IF(IFERROR(VALUE((0-IFERROR(VALUE($G32&amp;""),0))&amp;""),0)=1,"Sobra","Sobran")=0,"0",ROUND(IF(IFERROR(VALUE((0-IFERROR(VALUE($G32&amp;""),0))&amp;""),0)=1,"Sobra","Sobran"),9-INT(LOG10(ABS(IF(IFERROR(VALUE((0-IFERROR(VALUE($G32&amp;""),0))&amp;""),0)=1,"Sobra","Sobran")))))&amp;""),IF(IFERROR(VALUE((0-IFERROR(VALUE($G32&amp;""),0))&amp;""),0)=1,"Sobra","Sobran")&amp;"")&amp;" "&amp;IF(ISNUMBER((0-IFERROR(VALUE($G32&amp;""),0))),IF((0-IFERROR(VALUE($G32&amp;""),0))=0,"0",ROUND((0-IFERROR(VALUE($G32&amp;""),0)),9-INT(LOG10(ABS((0-IFERROR(VALUE($G32&amp;""),0))))))&amp;""),(0-IFERROR(VALUE($G32&amp;""),0))&amp;"")&amp;" "&amp;IF(ISNUMBER(IF(IFERROR(VALUE((0-IFERROR(VALUE($G32&amp;""),0))&amp;""),0)=1,"sesion","sesiones")),IF(IF(IFERROR(VALUE((0-IFERROR(VALUE($G32&amp;""),0))&amp;""),0)=1,"sesion","sesiones")=0,"0",ROUND(IF(IFERROR(VALUE((0-IFERROR(VALUE($G32&amp;""),0))&amp;""),0)=1,"sesion","sesiones"),9-INT(LOG10(ABS(IF(IFERROR(VALUE((0-IFERROR(VALUE($G32&amp;""),0))&amp;""),0)=1,"sesion","sesiones")))))&amp;""),IF(IFERROR(VALUE((0-IFERROR(VALUE($G32&amp;""),0))&amp;""),0)=1,"sesion","sesiones")&amp;""))=0,"0",ROUND((IF(ISNUMBER(IF(IFERROR(VALUE((0-IFERROR(VALUE($G32&amp;""),0))&amp;""),0)=1,"Sobra","Sobran")),IF(IF(IFERROR(VALUE((0-IFERROR(VALUE($G32&amp;""),0))&amp;""),0)=1,"Sobra","Sobran")=0,"0",ROUND(IF(IFERROR(VALUE((0-IFERROR(VALUE($G32&amp;""),0))&amp;""),0)=1,"Sobra","Sobran"),9-INT(LOG10(ABS(IF(IFERROR(VALUE((0-IFERROR(VALUE($G32&amp;""),0))&amp;""),0)=1,"Sobra","Sobran")))))&amp;""),IF(IFERROR(VALUE((0-IFERROR(VALUE($G32&amp;""),0))&amp;""),0)=1,"Sobra","Sobran")&amp;"")&amp;" "&amp;IF(ISNUMBER((0-IFERROR(VALUE($G32&amp;""),0))),IF((0-IFERROR(VALUE($G32&amp;""),0))=0,"0",ROUND((0-IFERROR(VALUE($G32&amp;""),0)),9-INT(LOG10(ABS((0-IFERROR(VALUE($G32&amp;""),0))))))&amp;""),(0-IFERROR(VALUE($G32&amp;""),0))&amp;"")&amp;" "&amp;IF(ISNUMBER(IF(IFERROR(VALUE((0-IFERROR(VALUE($G32&amp;""),0))&amp;""),0)=1,"sesion","sesiones")),IF(IF(IFERROR(VALUE((0-IFERROR(VALUE($G32&amp;""),0))&amp;""),0)=1,"sesion","sesiones")=0,"0",ROUND(IF(IFERROR(VALUE((0-IFERROR(VALUE($G32&amp;""),0))&amp;""),0)=1,"sesion","sesiones"),9-INT(LOG10(ABS(IF(IFERROR(VALUE((0-IFERROR(VALUE($G32&amp;""),0))&amp;""),0)=1,"sesion","sesiones")))))&amp;""),IF(IFERROR(VALUE((0-IFERROR(VALUE($G32&amp;""),0))&amp;""),0)=1,"sesion","sesiones")&amp;"")),9-INT(LOG10(ABS((IF(ISNUMBER(IF(IFERROR(VALUE((0-IFERROR(VALUE($G32&amp;""),0))&amp;""),0)=1,"Sobra","Sobran")),IF(IF(IFERROR(VALUE((0-IFERROR(VALUE($G32&amp;""),0))&amp;""),0)=1,"Sobra","Sobran")=0,"0",ROUND(IF(IFERROR(VALUE((0-IFERROR(VALUE($G32&amp;""),0))&amp;""),0)=1,"Sobra","Sobran"),9-INT(LOG10(ABS(IF(IFERROR(VALUE((0-IFERROR(VALUE($G32&amp;""),0))&amp;""),0)=1,"Sobra","Sobran")))))&amp;""),IF(IFERROR(VALUE((0-IFERROR(VALUE($G32&amp;""),0))&amp;""),0)=1,"Sobra","Sobran")&amp;"")&amp;" "&amp;IF(ISNUMBER((0-IFERROR(VALUE($G32&amp;""),0))),IF((0-IFERROR(VALUE($G32&amp;""),0))=0,"0",ROUND((0-IFERROR(VALUE($G32&amp;""),0)),9-INT(LOG10(ABS((0-IFERROR(VALUE($G32&amp;""),0))))))&amp;""),(0-IFERROR(VALUE($G32&amp;""),0))&amp;"")&amp;" "&amp;IF(ISNUMBER(IF(IFERROR(VALUE((0-IFERROR(VALUE($G32&amp;""),0))&amp;""),0)=1,"sesion","sesiones")),IF(IF(IFERROR(VALUE((0-IFERROR(VALUE($G32&amp;""),0))&amp;""),0)=1,"sesion","sesiones")=0,"0",ROUND(IF(IFERROR(VALUE((0-IFERROR(VALUE($G32&amp;""),0))&amp;""),0)=1,"sesion","sesiones"),9-INT(LOG10(ABS(IF(IFERROR(VALUE((0-IFERROR(VALUE($G32&amp;""),0))&amp;""),0)=1,"sesion","sesiones")))))&amp;""),IF(IFERROR(VALUE((0-IFERROR(VALUE($G32&amp;""),0))&amp;""),0)=1,"sesion","sesiones")&amp;""))))))&amp;""),(IF(ISNUMBER(IF(IFERROR(VALUE((0-IFERROR(VALUE($G32&amp;""),0))&amp;""),0)=1,"Sobra","Sobran")),IF(IF(IFERROR(VALUE((0-IFERROR(VALUE($G32&amp;""),0))&amp;""),0)=1,"Sobra","Sobran")=0,"0",ROUND(IF(IFERROR(VALUE((0-IFERROR(VALUE($G32&amp;""),0))&amp;""),0)=1,"Sobra","Sobran"),9-INT(LOG10(ABS(IF(IFERROR(VALUE((0-IFERROR(VALUE($G32&amp;""),0))&amp;""),0)=1,"Sobra","Sobran")))))&amp;""),IF(IFERROR(VALUE((0-IFERROR(VALUE($G32&amp;""),0))&amp;""),0)=1,"Sobra","Sobran")&amp;"")&amp;" "&amp;IF(ISNUMBER((0-IFERROR(VALUE($G32&amp;""),0))),IF((0-IFERROR(VALUE($G32&amp;""),0))=0,"0",ROUND((0-IFERROR(VALUE($G32&amp;""),0)),9-INT(LOG10(ABS((0-IFERROR(VALUE($G32&amp;""),0))))))&amp;""),(0-IFERROR(VALUE($G32&amp;""),0))&amp;"")&amp;" "&amp;IF(ISNUMBER(IF(IFERROR(VALUE((0-IFERROR(VALUE($G32&amp;""),0))&amp;""),0)=1,"sesion","sesiones")),IF(IF(IFERROR(VALUE((0-IFERROR(VALUE($G32&amp;""),0))&amp;""),0)=1,"sesion","sesiones")=0,"0",ROUND(IF(IFERROR(VALUE((0-IFERROR(VALUE($G32&amp;""),0))&amp;""),0)=1,"sesion","sesiones"),9-INT(LOG10(ABS(IF(IFERROR(VALUE((0-IFERROR(VALUE($G32&amp;""),0))&amp;""),0)=1,"sesion","sesiones")))))&amp;""),IF(IFERROR(VALUE((0-IFERROR(VALUE($G32&amp;""),0))&amp;""),0)=1,"sesion","sesiones")&amp;""))&amp;""),""),3,32767)</f>
        <v/>
      </c>
      <c r="I32" s="3">
        <f>IF(OR((IFERROR(VALUE($G32&amp;""),0)&gt;0),(IFERROR(VALUE($G32&amp;""),0)&lt;0)),3,0)</f>
        <v/>
      </c>
    </row>
    <row r="33">
      <c r="A33" s="3" t="inlineStr">
        <is>
          <t>10-4</t>
        </is>
      </c>
      <c r="B33" s="3" t="inlineStr">
        <is>
          <t>AL/AC</t>
        </is>
      </c>
      <c r="C33" s="3" t="inlineStr">
        <is>
          <t>Profesor de AL/AC en 10-4</t>
        </is>
      </c>
      <c r="D33" s="3">
        <f>IF(ISNA(MATCH(1,INDEX(EXACT('Asignaturas'!$A$4:$A$18,$B33)*1,0),0)),"",IF(ISBLANK(INDEX('Asignaturas'!$B$4:$B$18,MATCH(1,INDEX(EXACT('Asignaturas'!$A$4:$A$18,$B33)*1,0),0))),"",INDEX('Asignaturas'!$B$4:$B$18,MATCH(1,INDEX(EXACT('Asignaturas'!$A$4:$A$18,$B33)*1,0),0))))</f>
        <v/>
      </c>
      <c r="E33" s="3">
        <f>IF(ISNA(MATCH(1,INDEX(EXACT('Asignaturas'!$A$4:$A$18,$B33)*1,0),0)),0,IF(ISBLANK(INDEX('Asignaturas'!$C$4:$C$18,MATCH(1,INDEX(EXACT('Asignaturas'!$A$4:$A$18,$B33)*1,0),0))),"",INDEX('Asignaturas'!$C$4:$C$18,MATCH(1,INDEX(EXACT('Asignaturas'!$A$4:$A$18,$B33)*1,0),0))))</f>
        <v/>
      </c>
      <c r="F33" s="3">
        <f>SUMPRODUCT(1*((EXACT('Casillas del horario'!$A$4:$A$73,$A33)))*((EXACT('Casillas del horario'!$D$4:$D$73,$B33))))</f>
        <v/>
      </c>
      <c r="G33" s="3">
        <f>(IFERROR(VALUE($E33&amp;""),0)-IFERROR(VALUE($F33&amp;""),0))</f>
        <v/>
      </c>
      <c r="H33" s="3">
        <f>MID(IF((IFERROR(VALUE($G33&amp;""),0)&gt;0),"; "&amp;IF(ISNUMBER((IF(ISNUMBER(IF(IFERROR(VALUE($G33&amp;""),0)=1,"Falta","Faltan")),IF(IF(IFERROR(VALUE($G33&amp;""),0)=1,"Falta","Faltan")=0,"0",ROUND(IF(IFERROR(VALUE($G33&amp;""),0)=1,"Falta","Faltan"),9-INT(LOG10(ABS(IF(IFERROR(VALUE($G33&amp;""),0)=1,"Falta","Faltan")))))&amp;""),IF(IFERROR(VALUE($G33&amp;""),0)=1,"Falta","Faltan")&amp;"")&amp;" "&amp;IF(ISNUMBER($G33),IF($G33=0,"0",ROUND($G33,9-INT(LOG10(ABS($G33))))&amp;""),$G33&amp;"")&amp;" "&amp;IF(ISNUMBER(IF(IFERROR(VALUE($G33&amp;""),0)=1,"sesion","sesiones")),IF(IF(IFERROR(VALUE($G33&amp;""),0)=1,"sesion","sesiones")=0,"0",ROUND(IF(IFERROR(VALUE($G33&amp;""),0)=1,"sesion","sesiones"),9-INT(LOG10(ABS(IF(IFERROR(VALUE($G33&amp;""),0)=1,"sesion","sesiones")))))&amp;""),IF(IFERROR(VALUE($G33&amp;""),0)=1,"sesion","sesiones")&amp;""))),IF((IF(ISNUMBER(IF(IFERROR(VALUE($G33&amp;""),0)=1,"Falta","Faltan")),IF(IF(IFERROR(VALUE($G33&amp;""),0)=1,"Falta","Faltan")=0,"0",ROUND(IF(IFERROR(VALUE($G33&amp;""),0)=1,"Falta","Faltan"),9-INT(LOG10(ABS(IF(IFERROR(VALUE($G33&amp;""),0)=1,"Falta","Faltan")))))&amp;""),IF(IFERROR(VALUE($G33&amp;""),0)=1,"Falta","Faltan")&amp;"")&amp;" "&amp;IF(ISNUMBER($G33),IF($G33=0,"0",ROUND($G33,9-INT(LOG10(ABS($G33))))&amp;""),$G33&amp;"")&amp;" "&amp;IF(ISNUMBER(IF(IFERROR(VALUE($G33&amp;""),0)=1,"sesion","sesiones")),IF(IF(IFERROR(VALUE($G33&amp;""),0)=1,"sesion","sesiones")=0,"0",ROUND(IF(IFERROR(VALUE($G33&amp;""),0)=1,"sesion","sesiones"),9-INT(LOG10(ABS(IF(IFERROR(VALUE($G33&amp;""),0)=1,"sesion","sesiones")))))&amp;""),IF(IFERROR(VALUE($G33&amp;""),0)=1,"sesion","sesiones")&amp;""))=0,"0",ROUND((IF(ISNUMBER(IF(IFERROR(VALUE($G33&amp;""),0)=1,"Falta","Faltan")),IF(IF(IFERROR(VALUE($G33&amp;""),0)=1,"Falta","Faltan")=0,"0",ROUND(IF(IFERROR(VALUE($G33&amp;""),0)=1,"Falta","Faltan"),9-INT(LOG10(ABS(IF(IFERROR(VALUE($G33&amp;""),0)=1,"Falta","Faltan")))))&amp;""),IF(IFERROR(VALUE($G33&amp;""),0)=1,"Falta","Faltan")&amp;"")&amp;" "&amp;IF(ISNUMBER($G33),IF($G33=0,"0",ROUND($G33,9-INT(LOG10(ABS($G33))))&amp;""),$G33&amp;"")&amp;" "&amp;IF(ISNUMBER(IF(IFERROR(VALUE($G33&amp;""),0)=1,"sesion","sesiones")),IF(IF(IFERROR(VALUE($G33&amp;""),0)=1,"sesion","sesiones")=0,"0",ROUND(IF(IFERROR(VALUE($G33&amp;""),0)=1,"sesion","sesiones"),9-INT(LOG10(ABS(IF(IFERROR(VALUE($G33&amp;""),0)=1,"sesion","sesiones")))))&amp;""),IF(IFERROR(VALUE($G33&amp;""),0)=1,"sesion","sesiones")&amp;"")),9-INT(LOG10(ABS((IF(ISNUMBER(IF(IFERROR(VALUE($G33&amp;""),0)=1,"Falta","Faltan")),IF(IF(IFERROR(VALUE($G33&amp;""),0)=1,"Falta","Faltan")=0,"0",ROUND(IF(IFERROR(VALUE($G33&amp;""),0)=1,"Falta","Faltan"),9-INT(LOG10(ABS(IF(IFERROR(VALUE($G33&amp;""),0)=1,"Falta","Faltan")))))&amp;""),IF(IFERROR(VALUE($G33&amp;""),0)=1,"Falta","Faltan")&amp;"")&amp;" "&amp;IF(ISNUMBER($G33),IF($G33=0,"0",ROUND($G33,9-INT(LOG10(ABS($G33))))&amp;""),$G33&amp;"")&amp;" "&amp;IF(ISNUMBER(IF(IFERROR(VALUE($G33&amp;""),0)=1,"sesion","sesiones")),IF(IF(IFERROR(VALUE($G33&amp;""),0)=1,"sesion","sesiones")=0,"0",ROUND(IF(IFERROR(VALUE($G33&amp;""),0)=1,"sesion","sesiones"),9-INT(LOG10(ABS(IF(IFERROR(VALUE($G33&amp;""),0)=1,"sesion","sesiones")))))&amp;""),IF(IFERROR(VALUE($G33&amp;""),0)=1,"sesion","sesiones")&amp;""))))))&amp;""),(IF(ISNUMBER(IF(IFERROR(VALUE($G33&amp;""),0)=1,"Falta","Faltan")),IF(IF(IFERROR(VALUE($G33&amp;""),0)=1,"Falta","Faltan")=0,"0",ROUND(IF(IFERROR(VALUE($G33&amp;""),0)=1,"Falta","Faltan"),9-INT(LOG10(ABS(IF(IFERROR(VALUE($G33&amp;""),0)=1,"Falta","Faltan")))))&amp;""),IF(IFERROR(VALUE($G33&amp;""),0)=1,"Falta","Faltan")&amp;"")&amp;" "&amp;IF(ISNUMBER($G33),IF($G33=0,"0",ROUND($G33,9-INT(LOG10(ABS($G33))))&amp;""),$G33&amp;"")&amp;" "&amp;IF(ISNUMBER(IF(IFERROR(VALUE($G33&amp;""),0)=1,"sesion","sesiones")),IF(IF(IFERROR(VALUE($G33&amp;""),0)=1,"sesion","sesiones")=0,"0",ROUND(IF(IFERROR(VALUE($G33&amp;""),0)=1,"sesion","sesiones"),9-INT(LOG10(ABS(IF(IFERROR(VALUE($G33&amp;""),0)=1,"sesion","sesiones")))))&amp;""),IF(IFERROR(VALUE($G33&amp;""),0)=1,"sesion","sesiones")&amp;""))&amp;""),"")&amp;IF((IFERROR(VALUE($G33&amp;""),0)&lt;0),"; "&amp;IF(ISNUMBER((IF(ISNUMBER(IF(IFERROR(VALUE((0-IFERROR(VALUE($G33&amp;""),0))&amp;""),0)=1,"Sobra","Sobran")),IF(IF(IFERROR(VALUE((0-IFERROR(VALUE($G33&amp;""),0))&amp;""),0)=1,"Sobra","Sobran")=0,"0",ROUND(IF(IFERROR(VALUE((0-IFERROR(VALUE($G33&amp;""),0))&amp;""),0)=1,"Sobra","Sobran"),9-INT(LOG10(ABS(IF(IFERROR(VALUE((0-IFERROR(VALUE($G33&amp;""),0))&amp;""),0)=1,"Sobra","Sobran")))))&amp;""),IF(IFERROR(VALUE((0-IFERROR(VALUE($G33&amp;""),0))&amp;""),0)=1,"Sobra","Sobran")&amp;"")&amp;" "&amp;IF(ISNUMBER((0-IFERROR(VALUE($G33&amp;""),0))),IF((0-IFERROR(VALUE($G33&amp;""),0))=0,"0",ROUND((0-IFERROR(VALUE($G33&amp;""),0)),9-INT(LOG10(ABS((0-IFERROR(VALUE($G33&amp;""),0))))))&amp;""),(0-IFERROR(VALUE($G33&amp;""),0))&amp;"")&amp;" "&amp;IF(ISNUMBER(IF(IFERROR(VALUE((0-IFERROR(VALUE($G33&amp;""),0))&amp;""),0)=1,"sesion","sesiones")),IF(IF(IFERROR(VALUE((0-IFERROR(VALUE($G33&amp;""),0))&amp;""),0)=1,"sesion","sesiones")=0,"0",ROUND(IF(IFERROR(VALUE((0-IFERROR(VALUE($G33&amp;""),0))&amp;""),0)=1,"sesion","sesiones"),9-INT(LOG10(ABS(IF(IFERROR(VALUE((0-IFERROR(VALUE($G33&amp;""),0))&amp;""),0)=1,"sesion","sesiones")))))&amp;""),IF(IFERROR(VALUE((0-IFERROR(VALUE($G33&amp;""),0))&amp;""),0)=1,"sesion","sesiones")&amp;""))),IF((IF(ISNUMBER(IF(IFERROR(VALUE((0-IFERROR(VALUE($G33&amp;""),0))&amp;""),0)=1,"Sobra","Sobran")),IF(IF(IFERROR(VALUE((0-IFERROR(VALUE($G33&amp;""),0))&amp;""),0)=1,"Sobra","Sobran")=0,"0",ROUND(IF(IFERROR(VALUE((0-IFERROR(VALUE($G33&amp;""),0))&amp;""),0)=1,"Sobra","Sobran"),9-INT(LOG10(ABS(IF(IFERROR(VALUE((0-IFERROR(VALUE($G33&amp;""),0))&amp;""),0)=1,"Sobra","Sobran")))))&amp;""),IF(IFERROR(VALUE((0-IFERROR(VALUE($G33&amp;""),0))&amp;""),0)=1,"Sobra","Sobran")&amp;"")&amp;" "&amp;IF(ISNUMBER((0-IFERROR(VALUE($G33&amp;""),0))),IF((0-IFERROR(VALUE($G33&amp;""),0))=0,"0",ROUND((0-IFERROR(VALUE($G33&amp;""),0)),9-INT(LOG10(ABS((0-IFERROR(VALUE($G33&amp;""),0))))))&amp;""),(0-IFERROR(VALUE($G33&amp;""),0))&amp;"")&amp;" "&amp;IF(ISNUMBER(IF(IFERROR(VALUE((0-IFERROR(VALUE($G33&amp;""),0))&amp;""),0)=1,"sesion","sesiones")),IF(IF(IFERROR(VALUE((0-IFERROR(VALUE($G33&amp;""),0))&amp;""),0)=1,"sesion","sesiones")=0,"0",ROUND(IF(IFERROR(VALUE((0-IFERROR(VALUE($G33&amp;""),0))&amp;""),0)=1,"sesion","sesiones"),9-INT(LOG10(ABS(IF(IFERROR(VALUE((0-IFERROR(VALUE($G33&amp;""),0))&amp;""),0)=1,"sesion","sesiones")))))&amp;""),IF(IFERROR(VALUE((0-IFERROR(VALUE($G33&amp;""),0))&amp;""),0)=1,"sesion","sesiones")&amp;""))=0,"0",ROUND((IF(ISNUMBER(IF(IFERROR(VALUE((0-IFERROR(VALUE($G33&amp;""),0))&amp;""),0)=1,"Sobra","Sobran")),IF(IF(IFERROR(VALUE((0-IFERROR(VALUE($G33&amp;""),0))&amp;""),0)=1,"Sobra","Sobran")=0,"0",ROUND(IF(IFERROR(VALUE((0-IFERROR(VALUE($G33&amp;""),0))&amp;""),0)=1,"Sobra","Sobran"),9-INT(LOG10(ABS(IF(IFERROR(VALUE((0-IFERROR(VALUE($G33&amp;""),0))&amp;""),0)=1,"Sobra","Sobran")))))&amp;""),IF(IFERROR(VALUE((0-IFERROR(VALUE($G33&amp;""),0))&amp;""),0)=1,"Sobra","Sobran")&amp;"")&amp;" "&amp;IF(ISNUMBER((0-IFERROR(VALUE($G33&amp;""),0))),IF((0-IFERROR(VALUE($G33&amp;""),0))=0,"0",ROUND((0-IFERROR(VALUE($G33&amp;""),0)),9-INT(LOG10(ABS((0-IFERROR(VALUE($G33&amp;""),0))))))&amp;""),(0-IFERROR(VALUE($G33&amp;""),0))&amp;"")&amp;" "&amp;IF(ISNUMBER(IF(IFERROR(VALUE((0-IFERROR(VALUE($G33&amp;""),0))&amp;""),0)=1,"sesion","sesiones")),IF(IF(IFERROR(VALUE((0-IFERROR(VALUE($G33&amp;""),0))&amp;""),0)=1,"sesion","sesiones")=0,"0",ROUND(IF(IFERROR(VALUE((0-IFERROR(VALUE($G33&amp;""),0))&amp;""),0)=1,"sesion","sesiones"),9-INT(LOG10(ABS(IF(IFERROR(VALUE((0-IFERROR(VALUE($G33&amp;""),0))&amp;""),0)=1,"sesion","sesiones")))))&amp;""),IF(IFERROR(VALUE((0-IFERROR(VALUE($G33&amp;""),0))&amp;""),0)=1,"sesion","sesiones")&amp;"")),9-INT(LOG10(ABS((IF(ISNUMBER(IF(IFERROR(VALUE((0-IFERROR(VALUE($G33&amp;""),0))&amp;""),0)=1,"Sobra","Sobran")),IF(IF(IFERROR(VALUE((0-IFERROR(VALUE($G33&amp;""),0))&amp;""),0)=1,"Sobra","Sobran")=0,"0",ROUND(IF(IFERROR(VALUE((0-IFERROR(VALUE($G33&amp;""),0))&amp;""),0)=1,"Sobra","Sobran"),9-INT(LOG10(ABS(IF(IFERROR(VALUE((0-IFERROR(VALUE($G33&amp;""),0))&amp;""),0)=1,"Sobra","Sobran")))))&amp;""),IF(IFERROR(VALUE((0-IFERROR(VALUE($G33&amp;""),0))&amp;""),0)=1,"Sobra","Sobran")&amp;"")&amp;" "&amp;IF(ISNUMBER((0-IFERROR(VALUE($G33&amp;""),0))),IF((0-IFERROR(VALUE($G33&amp;""),0))=0,"0",ROUND((0-IFERROR(VALUE($G33&amp;""),0)),9-INT(LOG10(ABS((0-IFERROR(VALUE($G33&amp;""),0))))))&amp;""),(0-IFERROR(VALUE($G33&amp;""),0))&amp;"")&amp;" "&amp;IF(ISNUMBER(IF(IFERROR(VALUE((0-IFERROR(VALUE($G33&amp;""),0))&amp;""),0)=1,"sesion","sesiones")),IF(IF(IFERROR(VALUE((0-IFERROR(VALUE($G33&amp;""),0))&amp;""),0)=1,"sesion","sesiones")=0,"0",ROUND(IF(IFERROR(VALUE((0-IFERROR(VALUE($G33&amp;""),0))&amp;""),0)=1,"sesion","sesiones"),9-INT(LOG10(ABS(IF(IFERROR(VALUE((0-IFERROR(VALUE($G33&amp;""),0))&amp;""),0)=1,"sesion","sesiones")))))&amp;""),IF(IFERROR(VALUE((0-IFERROR(VALUE($G33&amp;""),0))&amp;""),0)=1,"sesion","sesiones")&amp;""))))))&amp;""),(IF(ISNUMBER(IF(IFERROR(VALUE((0-IFERROR(VALUE($G33&amp;""),0))&amp;""),0)=1,"Sobra","Sobran")),IF(IF(IFERROR(VALUE((0-IFERROR(VALUE($G33&amp;""),0))&amp;""),0)=1,"Sobra","Sobran")=0,"0",ROUND(IF(IFERROR(VALUE((0-IFERROR(VALUE($G33&amp;""),0))&amp;""),0)=1,"Sobra","Sobran"),9-INT(LOG10(ABS(IF(IFERROR(VALUE((0-IFERROR(VALUE($G33&amp;""),0))&amp;""),0)=1,"Sobra","Sobran")))))&amp;""),IF(IFERROR(VALUE((0-IFERROR(VALUE($G33&amp;""),0))&amp;""),0)=1,"Sobra","Sobran")&amp;"")&amp;" "&amp;IF(ISNUMBER((0-IFERROR(VALUE($G33&amp;""),0))),IF((0-IFERROR(VALUE($G33&amp;""),0))=0,"0",ROUND((0-IFERROR(VALUE($G33&amp;""),0)),9-INT(LOG10(ABS((0-IFERROR(VALUE($G33&amp;""),0))))))&amp;""),(0-IFERROR(VALUE($G33&amp;""),0))&amp;"")&amp;" "&amp;IF(ISNUMBER(IF(IFERROR(VALUE((0-IFERROR(VALUE($G33&amp;""),0))&amp;""),0)=1,"sesion","sesiones")),IF(IF(IFERROR(VALUE((0-IFERROR(VALUE($G33&amp;""),0))&amp;""),0)=1,"sesion","sesiones")=0,"0",ROUND(IF(IFERROR(VALUE((0-IFERROR(VALUE($G33&amp;""),0))&amp;""),0)=1,"sesion","sesiones"),9-INT(LOG10(ABS(IF(IFERROR(VALUE((0-IFERROR(VALUE($G33&amp;""),0))&amp;""),0)=1,"sesion","sesiones")))))&amp;""),IF(IFERROR(VALUE((0-IFERROR(VALUE($G33&amp;""),0))&amp;""),0)=1,"sesion","sesiones")&amp;""))&amp;""),""),3,32767)</f>
        <v/>
      </c>
      <c r="I33" s="3">
        <f>IF(OR((IFERROR(VALUE($G33&amp;""),0)&gt;0),(IFERROR(VALUE($G33&amp;""),0)&lt;0)),3,0)</f>
        <v/>
      </c>
    </row>
    <row r="35">
      <c r="A35" s="5" t="inlineStr">
        <is>
          <t>Leyenda</t>
        </is>
      </c>
    </row>
    <row r="36">
      <c r="A36" s="6" t="n"/>
      <c r="B36" t="inlineStr">
        <is>
          <t>frecuencia incompleta</t>
        </is>
      </c>
    </row>
    <row r="37">
      <c r="A37" s="7" t="n"/>
      <c r="B37" t="inlineStr">
        <is>
          <t>frecuencia excedida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F4:F33">
    <cfRule type="expression" priority="1" dxfId="0" stopIfTrue="0">
      <formula>(IFERROR(VALUE($G4&amp;""),0)&gt;0)</formula>
    </cfRule>
    <cfRule type="expression" priority="3" dxfId="8" stopIfTrue="0">
      <formula>(IFERROR(VALUE($G4&amp;""),0)&lt;0)</formula>
    </cfRule>
  </conditionalFormatting>
  <conditionalFormatting sqref="G4:G33">
    <cfRule type="expression" priority="1" dxfId="0" stopIfTrue="0">
      <formula>(IFERROR(VALUE($G4&amp;""),0)&gt;0)</formula>
    </cfRule>
    <cfRule type="expression" priority="3" dxfId="8" stopIfTrue="0">
      <formula>(IFERROR(VALUE($G4&amp;""),0)&lt;0)</formula>
    </cfRule>
  </conditionalFormatting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</cols>
  <sheetData>
    <row r="1">
      <c r="A1" s="1" t="inlineStr">
        <is>
          <t>Profesores</t>
        </is>
      </c>
    </row>
    <row r="3">
      <c r="A3" s="2" t="inlineStr">
        <is>
          <t>Profesor</t>
        </is>
      </c>
      <c r="B3" s="2" t="inlineStr">
        <is>
          <t>Contratado</t>
        </is>
      </c>
      <c r="C3" s="2" t="inlineStr">
        <is>
          <t>Vive lejos</t>
        </is>
      </c>
    </row>
    <row r="4">
      <c r="A4" s="3" t="inlineStr">
        <is>
          <t>Profesor de M en 10-3</t>
        </is>
      </c>
      <c r="B4" s="3" t="inlineStr">
        <is>
          <t>no</t>
        </is>
      </c>
      <c r="C4" s="3" t="inlineStr">
        <is>
          <t>no</t>
        </is>
      </c>
    </row>
    <row r="5">
      <c r="A5" s="3" t="inlineStr">
        <is>
          <t>Profesor de Lit-L en 10-3</t>
        </is>
      </c>
      <c r="B5" s="3" t="inlineStr">
        <is>
          <t>no</t>
        </is>
      </c>
      <c r="C5" s="3" t="inlineStr">
        <is>
          <t>no</t>
        </is>
      </c>
    </row>
    <row r="6">
      <c r="A6" s="3" t="inlineStr">
        <is>
          <t>Profesor de F en 10-3</t>
        </is>
      </c>
      <c r="B6" s="3" t="inlineStr">
        <is>
          <t>no</t>
        </is>
      </c>
      <c r="C6" s="3" t="inlineStr">
        <is>
          <t>no</t>
        </is>
      </c>
    </row>
    <row r="7">
      <c r="A7" s="3" t="inlineStr">
        <is>
          <t>Profesor de I en 10-3</t>
        </is>
      </c>
      <c r="B7" s="3" t="inlineStr">
        <is>
          <t>no</t>
        </is>
      </c>
      <c r="C7" s="3" t="inlineStr">
        <is>
          <t>no</t>
        </is>
      </c>
    </row>
    <row r="8">
      <c r="A8" s="3" t="inlineStr">
        <is>
          <t>Profesor de H en 10-3</t>
        </is>
      </c>
      <c r="B8" s="3" t="inlineStr">
        <is>
          <t>no</t>
        </is>
      </c>
      <c r="C8" s="3" t="inlineStr">
        <is>
          <t>no</t>
        </is>
      </c>
    </row>
    <row r="9">
      <c r="A9" s="3" t="inlineStr">
        <is>
          <t>Profesor de EF en 10-3</t>
        </is>
      </c>
      <c r="B9" s="3" t="inlineStr">
        <is>
          <t>no</t>
        </is>
      </c>
      <c r="C9" s="3" t="inlineStr">
        <is>
          <t>no</t>
        </is>
      </c>
    </row>
    <row r="10">
      <c r="A10" s="3" t="inlineStr">
        <is>
          <t>Profesor de B en 10-3</t>
        </is>
      </c>
      <c r="B10" s="3" t="inlineStr">
        <is>
          <t>no</t>
        </is>
      </c>
      <c r="C10" s="3" t="inlineStr">
        <is>
          <t>no</t>
        </is>
      </c>
    </row>
    <row r="11">
      <c r="A11" s="3" t="inlineStr">
        <is>
          <t>Profesor de G en 10-3</t>
        </is>
      </c>
      <c r="B11" s="3" t="inlineStr">
        <is>
          <t>no</t>
        </is>
      </c>
      <c r="C11" s="3" t="inlineStr">
        <is>
          <t>no</t>
        </is>
      </c>
    </row>
    <row r="12">
      <c r="A12" s="3" t="inlineStr">
        <is>
          <t>Profesor de INF en 10-3</t>
        </is>
      </c>
      <c r="B12" s="3" t="inlineStr">
        <is>
          <t>no</t>
        </is>
      </c>
      <c r="C12" s="3" t="inlineStr">
        <is>
          <t>no</t>
        </is>
      </c>
    </row>
    <row r="13">
      <c r="A13" s="3" t="inlineStr">
        <is>
          <t>Profesor de Q en 10-3</t>
        </is>
      </c>
      <c r="B13" s="3" t="inlineStr">
        <is>
          <t>no</t>
        </is>
      </c>
      <c r="C13" s="3" t="inlineStr">
        <is>
          <t>no</t>
        </is>
      </c>
    </row>
    <row r="14">
      <c r="A14" s="3" t="inlineStr">
        <is>
          <t>Profesor de CP en 10-3</t>
        </is>
      </c>
      <c r="B14" s="3" t="inlineStr">
        <is>
          <t>no</t>
        </is>
      </c>
      <c r="C14" s="3" t="inlineStr">
        <is>
          <t>no</t>
        </is>
      </c>
    </row>
    <row r="15">
      <c r="A15" s="3" t="inlineStr">
        <is>
          <t>Profesor de DC en 10-3</t>
        </is>
      </c>
      <c r="B15" s="3" t="inlineStr">
        <is>
          <t>no</t>
        </is>
      </c>
      <c r="C15" s="3" t="inlineStr">
        <is>
          <t>no</t>
        </is>
      </c>
    </row>
    <row r="16">
      <c r="A16" s="3" t="inlineStr">
        <is>
          <t>Profesor de CA en 10-3</t>
        </is>
      </c>
      <c r="B16" s="3" t="inlineStr">
        <is>
          <t>no</t>
        </is>
      </c>
      <c r="C16" s="3" t="inlineStr">
        <is>
          <t>no</t>
        </is>
      </c>
    </row>
    <row r="17">
      <c r="A17" s="3" t="inlineStr">
        <is>
          <t>Profesor de RD en 10-3</t>
        </is>
      </c>
      <c r="B17" s="3" t="inlineStr">
        <is>
          <t>no</t>
        </is>
      </c>
      <c r="C17" s="3" t="inlineStr">
        <is>
          <t>no</t>
        </is>
      </c>
    </row>
    <row r="18">
      <c r="A18" s="3" t="inlineStr">
        <is>
          <t>Profesor de AL/AC en 10-3</t>
        </is>
      </c>
      <c r="B18" s="3" t="inlineStr">
        <is>
          <t>no</t>
        </is>
      </c>
      <c r="C18" s="3" t="inlineStr">
        <is>
          <t>no</t>
        </is>
      </c>
    </row>
    <row r="19">
      <c r="A19" s="3" t="inlineStr">
        <is>
          <t>Profesor de M en 10-4</t>
        </is>
      </c>
      <c r="B19" s="3" t="inlineStr">
        <is>
          <t>no</t>
        </is>
      </c>
      <c r="C19" s="3" t="inlineStr">
        <is>
          <t>no</t>
        </is>
      </c>
    </row>
    <row r="20">
      <c r="A20" s="3" t="inlineStr">
        <is>
          <t>Profesor de Lit-L en 10-4</t>
        </is>
      </c>
      <c r="B20" s="3" t="inlineStr">
        <is>
          <t>no</t>
        </is>
      </c>
      <c r="C20" s="3" t="inlineStr">
        <is>
          <t>no</t>
        </is>
      </c>
    </row>
    <row r="21">
      <c r="A21" s="3" t="inlineStr">
        <is>
          <t>Profesor de F en 10-4</t>
        </is>
      </c>
      <c r="B21" s="3" t="inlineStr">
        <is>
          <t>no</t>
        </is>
      </c>
      <c r="C21" s="3" t="inlineStr">
        <is>
          <t>no</t>
        </is>
      </c>
    </row>
    <row r="22">
      <c r="A22" s="3" t="inlineStr">
        <is>
          <t>Profesor de I en 10-4</t>
        </is>
      </c>
      <c r="B22" s="3" t="inlineStr">
        <is>
          <t>no</t>
        </is>
      </c>
      <c r="C22" s="3" t="inlineStr">
        <is>
          <t>no</t>
        </is>
      </c>
    </row>
    <row r="23">
      <c r="A23" s="3" t="inlineStr">
        <is>
          <t>Profesor de H en 10-4</t>
        </is>
      </c>
      <c r="B23" s="3" t="inlineStr">
        <is>
          <t>no</t>
        </is>
      </c>
      <c r="C23" s="3" t="inlineStr">
        <is>
          <t>no</t>
        </is>
      </c>
    </row>
    <row r="24">
      <c r="A24" s="3" t="inlineStr">
        <is>
          <t>Profesor de EF en 10-4</t>
        </is>
      </c>
      <c r="B24" s="3" t="inlineStr">
        <is>
          <t>no</t>
        </is>
      </c>
      <c r="C24" s="3" t="inlineStr">
        <is>
          <t>no</t>
        </is>
      </c>
    </row>
    <row r="25">
      <c r="A25" s="3" t="inlineStr">
        <is>
          <t>Profesor de B en 10-4</t>
        </is>
      </c>
      <c r="B25" s="3" t="inlineStr">
        <is>
          <t>no</t>
        </is>
      </c>
      <c r="C25" s="3" t="inlineStr">
        <is>
          <t>no</t>
        </is>
      </c>
    </row>
    <row r="26">
      <c r="A26" s="3" t="inlineStr">
        <is>
          <t>Profesor de G en 10-4</t>
        </is>
      </c>
      <c r="B26" s="3" t="inlineStr">
        <is>
          <t>no</t>
        </is>
      </c>
      <c r="C26" s="3" t="inlineStr">
        <is>
          <t>no</t>
        </is>
      </c>
    </row>
    <row r="27">
      <c r="A27" s="3" t="inlineStr">
        <is>
          <t>Profesor de INF en 10-4</t>
        </is>
      </c>
      <c r="B27" s="3" t="inlineStr">
        <is>
          <t>no</t>
        </is>
      </c>
      <c r="C27" s="3" t="inlineStr">
        <is>
          <t>no</t>
        </is>
      </c>
    </row>
    <row r="28">
      <c r="A28" s="3" t="inlineStr">
        <is>
          <t>Profesor de Q en 10-4</t>
        </is>
      </c>
      <c r="B28" s="3" t="inlineStr">
        <is>
          <t>no</t>
        </is>
      </c>
      <c r="C28" s="3" t="inlineStr">
        <is>
          <t>no</t>
        </is>
      </c>
    </row>
    <row r="29">
      <c r="A29" s="3" t="inlineStr">
        <is>
          <t>Profesor de CP en 10-4</t>
        </is>
      </c>
      <c r="B29" s="3" t="inlineStr">
        <is>
          <t>no</t>
        </is>
      </c>
      <c r="C29" s="3" t="inlineStr">
        <is>
          <t>no</t>
        </is>
      </c>
    </row>
    <row r="30">
      <c r="A30" s="3" t="inlineStr">
        <is>
          <t>Profesor de DC en 10-4</t>
        </is>
      </c>
      <c r="B30" s="3" t="inlineStr">
        <is>
          <t>no</t>
        </is>
      </c>
      <c r="C30" s="3" t="inlineStr">
        <is>
          <t>no</t>
        </is>
      </c>
    </row>
    <row r="31">
      <c r="A31" s="3" t="inlineStr">
        <is>
          <t>Profesor de CA en 10-4</t>
        </is>
      </c>
      <c r="B31" s="3" t="inlineStr">
        <is>
          <t>no</t>
        </is>
      </c>
      <c r="C31" s="3" t="inlineStr">
        <is>
          <t>no</t>
        </is>
      </c>
    </row>
    <row r="32">
      <c r="A32" s="3" t="inlineStr">
        <is>
          <t>Profesor de RD en 10-4</t>
        </is>
      </c>
      <c r="B32" s="3" t="inlineStr">
        <is>
          <t>no</t>
        </is>
      </c>
      <c r="C32" s="3" t="inlineStr">
        <is>
          <t>no</t>
        </is>
      </c>
    </row>
    <row r="33">
      <c r="A33" s="3" t="inlineStr">
        <is>
          <t>Profesor de AL/AC en 10-4</t>
        </is>
      </c>
      <c r="B33" s="3" t="inlineStr">
        <is>
          <t>no</t>
        </is>
      </c>
      <c r="C33" s="3" t="inlineStr">
        <is>
          <t>no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4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8" customWidth="1" min="3" max="3"/>
  </cols>
  <sheetData>
    <row r="1">
      <c r="A1" s="1" t="inlineStr">
        <is>
          <t>Dias que asisten los contratados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Asiste</t>
        </is>
      </c>
    </row>
    <row r="4">
      <c r="A4" s="3" t="n"/>
      <c r="B4" s="3" t="n"/>
      <c r="C4" s="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4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E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6" customWidth="1" min="2" max="2"/>
    <col width="10" customWidth="1" min="3" max="3"/>
    <col width="8" customWidth="1" min="4" max="4"/>
    <col hidden="1" width="24" customWidth="1" min="5" max="5"/>
  </cols>
  <sheetData>
    <row r="1">
      <c r="A1" s="1" t="inlineStr">
        <is>
          <t>Carga diaria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Sesiones</t>
        </is>
      </c>
      <c r="D3" s="2" t="inlineStr">
        <is>
          <t>Estado</t>
        </is>
      </c>
      <c r="E3" s="2" t="inlineStr">
        <is>
          <t>(nivel de las marcas)</t>
        </is>
      </c>
    </row>
    <row r="4">
      <c r="A4" s="3" t="inlineStr">
        <is>
          <t>Profesor de M en 10-3</t>
        </is>
      </c>
      <c r="B4" s="3" t="inlineStr">
        <is>
          <t>L</t>
        </is>
      </c>
      <c r="C4" s="3">
        <f>SUMPRODUCT(1*((EXACT('Casillas del horario'!$F$4:$F$73,$A4)))*((EXACT('Casillas del horario'!$B$4:$B$73,$B4)))*((1-(('Casillas del horario'!$D$4:$D$73="")))))</f>
        <v/>
      </c>
      <c r="D4" s="3">
        <f>MID(IF((IFERROR(VALUE($C4&amp;""),0)&gt;IFERROR(VALUE(3&amp;""),0)),"; "&amp;IF(ISNUMBER(("Da "&amp;IF(ISNUMBER($C4),IF($C4=0,"0",ROUND($C4,9-INT(LOG10(ABS($C4))))&amp;""),$C4&amp;"")&amp;" sesiones ese dia")),IF(("Da "&amp;IF(ISNUMBER($C4),IF($C4=0,"0",ROUND($C4,9-INT(LOG10(ABS($C4))))&amp;""),$C4&amp;"")&amp;" sesiones ese dia")=0,"0",ROUND(("Da "&amp;IF(ISNUMBER($C4),IF($C4=0,"0",ROUND($C4,9-INT(LOG10(ABS($C4))))&amp;""),$C4&amp;"")&amp;" sesiones ese dia"),9-INT(LOG10(ABS(("Da "&amp;IF(ISNUMBER($C4),IF($C4=0,"0",ROUND($C4,9-INT(LOG10(ABS($C4))))&amp;""),$C4&amp;"")&amp;" sesiones ese dia")))))&amp;""),("Da "&amp;IF(ISNUMBER($C4),IF($C4=0,"0",ROUND($C4,9-INT(LOG10(ABS($C4))))&amp;""),$C4&amp;"")&amp;" sesiones ese dia")&amp;""),""),3,32767)</f>
        <v/>
      </c>
      <c r="E4" s="3">
        <f>IF(OR((IFERROR(VALUE($C4&amp;""),0)&gt;IFERROR(VALUE(3&amp;""),0))),2,0)</f>
        <v/>
      </c>
    </row>
    <row r="5">
      <c r="A5" s="3" t="inlineStr">
        <is>
          <t>Profesor de M en 10-3</t>
        </is>
      </c>
      <c r="B5" s="3" t="inlineStr">
        <is>
          <t>M</t>
        </is>
      </c>
      <c r="C5" s="3">
        <f>SUMPRODUCT(1*((EXACT('Casillas del horario'!$F$4:$F$73,$A5)))*((EXACT('Casillas del horario'!$B$4:$B$73,$B5)))*((1-(('Casillas del horario'!$D$4:$D$73="")))))</f>
        <v/>
      </c>
      <c r="D5" s="3">
        <f>MID(IF((IFERROR(VALUE($C5&amp;""),0)&gt;IFERROR(VALUE(3&amp;""),0)),"; "&amp;IF(ISNUMBER(("Da "&amp;IF(ISNUMBER($C5),IF($C5=0,"0",ROUND($C5,9-INT(LOG10(ABS($C5))))&amp;""),$C5&amp;"")&amp;" sesiones ese dia")),IF(("Da "&amp;IF(ISNUMBER($C5),IF($C5=0,"0",ROUND($C5,9-INT(LOG10(ABS($C5))))&amp;""),$C5&amp;"")&amp;" sesiones ese dia")=0,"0",ROUND(("Da "&amp;IF(ISNUMBER($C5),IF($C5=0,"0",ROUND($C5,9-INT(LOG10(ABS($C5))))&amp;""),$C5&amp;"")&amp;" sesiones ese dia"),9-INT(LOG10(ABS(("Da "&amp;IF(ISNUMBER($C5),IF($C5=0,"0",ROUND($C5,9-INT(LOG10(ABS($C5))))&amp;""),$C5&amp;"")&amp;" sesiones ese dia")))))&amp;""),("Da "&amp;IF(ISNUMBER($C5),IF($C5=0,"0",ROUND($C5,9-INT(LOG10(ABS($C5))))&amp;""),$C5&amp;"")&amp;" sesiones ese dia")&amp;""),""),3,32767)</f>
        <v/>
      </c>
      <c r="E5" s="3">
        <f>IF(OR((IFERROR(VALUE($C5&amp;""),0)&gt;IFERROR(VALUE(3&amp;""),0))),2,0)</f>
        <v/>
      </c>
    </row>
    <row r="6">
      <c r="A6" s="3" t="inlineStr">
        <is>
          <t>Profesor de M en 10-3</t>
        </is>
      </c>
      <c r="B6" s="3" t="inlineStr">
        <is>
          <t>MI</t>
        </is>
      </c>
      <c r="C6" s="3">
        <f>SUMPRODUCT(1*((EXACT('Casillas del horario'!$F$4:$F$73,$A6)))*((EXACT('Casillas del horario'!$B$4:$B$73,$B6)))*((1-(('Casillas del horario'!$D$4:$D$73="")))))</f>
        <v/>
      </c>
      <c r="D6" s="3">
        <f>MID(IF((IFERROR(VALUE($C6&amp;""),0)&gt;IFERROR(VALUE(3&amp;""),0)),"; "&amp;IF(ISNUMBER(("Da "&amp;IF(ISNUMBER($C6),IF($C6=0,"0",ROUND($C6,9-INT(LOG10(ABS($C6))))&amp;""),$C6&amp;"")&amp;" sesiones ese dia")),IF(("Da "&amp;IF(ISNUMBER($C6),IF($C6=0,"0",ROUND($C6,9-INT(LOG10(ABS($C6))))&amp;""),$C6&amp;"")&amp;" sesiones ese dia")=0,"0",ROUND(("Da "&amp;IF(ISNUMBER($C6),IF($C6=0,"0",ROUND($C6,9-INT(LOG10(ABS($C6))))&amp;""),$C6&amp;"")&amp;" sesiones ese dia"),9-INT(LOG10(ABS(("Da "&amp;IF(ISNUMBER($C6),IF($C6=0,"0",ROUND($C6,9-INT(LOG10(ABS($C6))))&amp;""),$C6&amp;"")&amp;" sesiones ese dia")))))&amp;""),("Da "&amp;IF(ISNUMBER($C6),IF($C6=0,"0",ROUND($C6,9-INT(LOG10(ABS($C6))))&amp;""),$C6&amp;"")&amp;" sesiones ese dia")&amp;""),""),3,32767)</f>
        <v/>
      </c>
      <c r="E6" s="3">
        <f>IF(OR((IFERROR(VALUE($C6&amp;""),0)&gt;IFERROR(VALUE(3&amp;""),0))),2,0)</f>
        <v/>
      </c>
    </row>
    <row r="7">
      <c r="A7" s="3" t="inlineStr">
        <is>
          <t>Profesor de M en 10-3</t>
        </is>
      </c>
      <c r="B7" s="3" t="inlineStr">
        <is>
          <t>J</t>
        </is>
      </c>
      <c r="C7" s="3">
        <f>SUMPRODUCT(1*((EXACT('Casillas del horario'!$F$4:$F$73,$A7)))*((EXACT('Casillas del horario'!$B$4:$B$73,$B7)))*((1-(('Casillas del horario'!$D$4:$D$73="")))))</f>
        <v/>
      </c>
      <c r="D7" s="3">
        <f>MID(IF((IFERROR(VALUE($C7&amp;""),0)&gt;IFERROR(VALUE(3&amp;""),0)),"; "&amp;IF(ISNUMBER(("Da "&amp;IF(ISNUMBER($C7),IF($C7=0,"0",ROUND($C7,9-INT(LOG10(ABS($C7))))&amp;""),$C7&amp;"")&amp;" sesiones ese dia")),IF(("Da "&amp;IF(ISNUMBER($C7),IF($C7=0,"0",ROUND($C7,9-INT(LOG10(ABS($C7))))&amp;""),$C7&amp;"")&amp;" sesiones ese dia")=0,"0",ROUND(("Da "&amp;IF(ISNUMBER($C7),IF($C7=0,"0",ROUND($C7,9-INT(LOG10(ABS($C7))))&amp;""),$C7&amp;"")&amp;" sesiones ese dia"),9-INT(LOG10(ABS(("Da "&amp;IF(ISNUMBER($C7),IF($C7=0,"0",ROUND($C7,9-INT(LOG10(ABS($C7))))&amp;""),$C7&amp;"")&amp;" sesiones ese dia")))))&amp;""),("Da "&amp;IF(ISNUMBER($C7),IF($C7=0,"0",ROUND($C7,9-INT(LOG10(ABS($C7))))&amp;""),$C7&amp;"")&amp;" sesiones ese dia")&amp;""),""),3,32767)</f>
        <v/>
      </c>
      <c r="E7" s="3">
        <f>IF(OR((IFERROR(VALUE($C7&amp;""),0)&gt;IFERROR(VALUE(3&amp;""),0))),2,0)</f>
        <v/>
      </c>
    </row>
    <row r="8">
      <c r="A8" s="3" t="inlineStr">
        <is>
          <t>Profesor de M en 10-3</t>
        </is>
      </c>
      <c r="B8" s="3" t="inlineStr">
        <is>
          <t>V</t>
        </is>
      </c>
      <c r="C8" s="3">
        <f>SUMPRODUCT(1*((EXACT('Casillas del horario'!$F$4:$F$73,$A8)))*((EXACT('Casillas del horario'!$B$4:$B$73,$B8)))*((1-(('Casillas del horario'!$D$4:$D$73="")))))</f>
        <v/>
      </c>
      <c r="D8" s="3">
        <f>MID(IF((IFERROR(VALUE($C8&amp;""),0)&gt;IFERROR(VALUE(3&amp;""),0)),"; "&amp;IF(ISNUMBER(("Da "&amp;IF(ISNUMBER($C8),IF($C8=0,"0",ROUND($C8,9-INT(LOG10(ABS($C8))))&amp;""),$C8&amp;"")&amp;" sesiones ese dia")),IF(("Da "&amp;IF(ISNUMBER($C8),IF($C8=0,"0",ROUND($C8,9-INT(LOG10(ABS($C8))))&amp;""),$C8&amp;"")&amp;" sesiones ese dia")=0,"0",ROUND(("Da "&amp;IF(ISNUMBER($C8),IF($C8=0,"0",ROUND($C8,9-INT(LOG10(ABS($C8))))&amp;""),$C8&amp;"")&amp;" sesiones ese dia"),9-INT(LOG10(ABS(("Da "&amp;IF(ISNUMBER($C8),IF($C8=0,"0",ROUND($C8,9-INT(LOG10(ABS($C8))))&amp;""),$C8&amp;"")&amp;" sesiones ese dia")))))&amp;""),("Da "&amp;IF(ISNUMBER($C8),IF($C8=0,"0",ROUND($C8,9-INT(LOG10(ABS($C8))))&amp;""),$C8&amp;"")&amp;" sesiones ese dia")&amp;""),""),3,32767)</f>
        <v/>
      </c>
      <c r="E8" s="3">
        <f>IF(OR((IFERROR(VALUE($C8&amp;""),0)&gt;IFERROR(VALUE(3&amp;""),0))),2,0)</f>
        <v/>
      </c>
    </row>
    <row r="9">
      <c r="A9" s="3" t="inlineStr">
        <is>
          <t>Profesor de Lit-L en 10-3</t>
        </is>
      </c>
      <c r="B9" s="3" t="inlineStr">
        <is>
          <t>L</t>
        </is>
      </c>
      <c r="C9" s="3">
        <f>SUMPRODUCT(1*((EXACT('Casillas del horario'!$F$4:$F$73,$A9)))*((EXACT('Casillas del horario'!$B$4:$B$73,$B9)))*((1-(('Casillas del horario'!$D$4:$D$73="")))))</f>
        <v/>
      </c>
      <c r="D9" s="3">
        <f>MID(IF((IFERROR(VALUE($C9&amp;""),0)&gt;IFERROR(VALUE(3&amp;""),0)),"; "&amp;IF(ISNUMBER(("Da "&amp;IF(ISNUMBER($C9),IF($C9=0,"0",ROUND($C9,9-INT(LOG10(ABS($C9))))&amp;""),$C9&amp;"")&amp;" sesiones ese dia")),IF(("Da "&amp;IF(ISNUMBER($C9),IF($C9=0,"0",ROUND($C9,9-INT(LOG10(ABS($C9))))&amp;""),$C9&amp;"")&amp;" sesiones ese dia")=0,"0",ROUND(("Da "&amp;IF(ISNUMBER($C9),IF($C9=0,"0",ROUND($C9,9-INT(LOG10(ABS($C9))))&amp;""),$C9&amp;"")&amp;" sesiones ese dia"),9-INT(LOG10(ABS(("Da "&amp;IF(ISNUMBER($C9),IF($C9=0,"0",ROUND($C9,9-INT(LOG10(ABS($C9))))&amp;""),$C9&amp;"")&amp;" sesiones ese dia")))))&amp;""),("Da "&amp;IF(ISNUMBER($C9),IF($C9=0,"0",ROUND($C9,9-INT(LOG10(ABS($C9))))&amp;""),$C9&amp;"")&amp;" sesiones ese dia")&amp;""),""),3,32767)</f>
        <v/>
      </c>
      <c r="E9" s="3">
        <f>IF(OR((IFERROR(VALUE($C9&amp;""),0)&gt;IFERROR(VALUE(3&amp;""),0))),2,0)</f>
        <v/>
      </c>
    </row>
    <row r="10">
      <c r="A10" s="3" t="inlineStr">
        <is>
          <t>Profesor de Lit-L en 10-3</t>
        </is>
      </c>
      <c r="B10" s="3" t="inlineStr">
        <is>
          <t>M</t>
        </is>
      </c>
      <c r="C10" s="3">
        <f>SUMPRODUCT(1*((EXACT('Casillas del horario'!$F$4:$F$73,$A10)))*((EXACT('Casillas del horario'!$B$4:$B$73,$B10)))*((1-(('Casillas del horario'!$D$4:$D$73="")))))</f>
        <v/>
      </c>
      <c r="D10" s="3">
        <f>MID(IF((IFERROR(VALUE($C10&amp;""),0)&gt;IFERROR(VALUE(3&amp;""),0)),"; "&amp;IF(ISNUMBER(("Da "&amp;IF(ISNUMBER($C10),IF($C10=0,"0",ROUND($C10,9-INT(LOG10(ABS($C10))))&amp;""),$C10&amp;"")&amp;" sesiones ese dia")),IF(("Da "&amp;IF(ISNUMBER($C10),IF($C10=0,"0",ROUND($C10,9-INT(LOG10(ABS($C10))))&amp;""),$C10&amp;"")&amp;" sesiones ese dia")=0,"0",ROUND(("Da "&amp;IF(ISNUMBER($C10),IF($C10=0,"0",ROUND($C10,9-INT(LOG10(ABS($C10))))&amp;""),$C10&amp;"")&amp;" sesiones ese dia"),9-INT(LOG10(ABS(("Da "&amp;IF(ISNUMBER($C10),IF($C10=0,"0",ROUND($C10,9-INT(LOG10(ABS($C10))))&amp;""),$C10&amp;"")&amp;" sesiones ese dia")))))&amp;""),("Da "&amp;IF(ISNUMBER($C10),IF($C10=0,"0",ROUND($C10,9-INT(LOG10(ABS($C10))))&amp;""),$C10&amp;"")&amp;" sesiones ese dia")&amp;""),""),3,32767)</f>
        <v/>
      </c>
      <c r="E10" s="3">
        <f>IF(OR((IFERROR(VALUE($C10&amp;""),0)&gt;IFERROR(VALUE(3&amp;""),0))),2,0)</f>
        <v/>
      </c>
    </row>
    <row r="11">
      <c r="A11" s="3" t="inlineStr">
        <is>
          <t>Profesor de Lit-L en 10-3</t>
        </is>
      </c>
      <c r="B11" s="3" t="inlineStr">
        <is>
          <t>MI</t>
        </is>
      </c>
      <c r="C11" s="3">
        <f>SUMPRODUCT(1*((EXACT('Casillas del horario'!$F$4:$F$73,$A11)))*((EXACT('Casillas del horario'!$B$4:$B$73,$B11)))*((1-(('Casillas del horario'!$D$4:$D$73="")))))</f>
        <v/>
      </c>
      <c r="D11" s="3">
        <f>MID(IF((IFERROR(VALUE($C11&amp;""),0)&gt;IFERROR(VALUE(3&amp;""),0)),"; "&amp;IF(ISNUMBER(("Da "&amp;IF(ISNUMBER($C11),IF($C11=0,"0",ROUND($C11,9-INT(LOG10(ABS($C11))))&amp;""),$C11&amp;"")&amp;" sesiones ese dia")),IF(("Da "&amp;IF(ISNUMBER($C11),IF($C11=0,"0",ROUND($C11,9-INT(LOG10(ABS($C11))))&amp;""),$C11&amp;"")&amp;" sesiones ese dia")=0,"0",ROUND(("Da "&amp;IF(ISNUMBER($C11),IF($C11=0,"0",ROUND($C11,9-INT(LOG10(ABS($C11))))&amp;""),$C11&amp;"")&amp;" sesiones ese dia"),9-INT(LOG10(ABS(("Da "&amp;IF(ISNUMBER($C11),IF($C11=0,"0",ROUND($C11,9-INT(LOG10(ABS($C11))))&amp;""),$C11&amp;"")&amp;" sesiones ese dia")))))&amp;""),("Da "&amp;IF(ISNUMBER($C11),IF($C11=0,"0",ROUND($C11,9-INT(LOG10(ABS($C11))))&amp;""),$C11&amp;"")&amp;" sesiones ese dia")&amp;""),""),3,32767)</f>
        <v/>
      </c>
      <c r="E11" s="3">
        <f>IF(OR((IFERROR(VALUE($C11&amp;""),0)&gt;IFERROR(VALUE(3&amp;""),0))),2,0)</f>
        <v/>
      </c>
    </row>
    <row r="12">
      <c r="A12" s="3" t="inlineStr">
        <is>
          <t>Profesor de Lit-L en 10-3</t>
        </is>
      </c>
      <c r="B12" s="3" t="inlineStr">
        <is>
          <t>J</t>
        </is>
      </c>
      <c r="C12" s="3">
        <f>SUMPRODUCT(1*((EXACT('Casillas del horario'!$F$4:$F$73,$A12)))*((EXACT('Casillas del horario'!$B$4:$B$73,$B12)))*((1-(('Casillas del horario'!$D$4:$D$73="")))))</f>
        <v/>
      </c>
      <c r="D12" s="3">
        <f>MID(IF((IFERROR(VALUE($C12&amp;""),0)&gt;IFERROR(VALUE(3&amp;""),0)),"; "&amp;IF(ISNUMBER(("Da "&amp;IF(ISNUMBER($C12),IF($C12=0,"0",ROUND($C12,9-INT(LOG10(ABS($C12))))&amp;""),$C12&amp;"")&amp;" sesiones ese dia")),IF(("Da "&amp;IF(ISNUMBER($C12),IF($C12=0,"0",ROUND($C12,9-INT(LOG10(ABS($C12))))&amp;""),$C12&amp;"")&amp;" sesiones ese dia")=0,"0",ROUND(("Da "&amp;IF(ISNUMBER($C12),IF($C12=0,"0",ROUND($C12,9-INT(LOG10(ABS($C12))))&amp;""),$C12&amp;"")&amp;" sesiones ese dia"),9-INT(LOG10(ABS(("Da "&amp;IF(ISNUMBER($C12),IF($C12=0,"0",ROUND($C12,9-INT(LOG10(ABS($C12))))&amp;""),$C12&amp;"")&amp;" sesiones ese dia")))))&amp;""),("Da "&amp;IF(ISNUMBER($C12),IF($C12=0,"0",ROUND($C12,9-INT(LOG10(ABS($C12))))&amp;""),$C12&amp;"")&amp;" sesiones ese dia")&amp;""),""),3,32767)</f>
        <v/>
      </c>
      <c r="E12" s="3">
        <f>IF(OR((IFERROR(VALUE($C12&amp;""),0)&gt;IFERROR(VALUE(3&amp;""),0))),2,0)</f>
        <v/>
      </c>
    </row>
    <row r="13">
      <c r="A13" s="3" t="inlineStr">
        <is>
          <t>Profesor de Lit-L en 10-3</t>
        </is>
      </c>
      <c r="B13" s="3" t="inlineStr">
        <is>
          <t>V</t>
        </is>
      </c>
      <c r="C13" s="3">
        <f>SUMPRODUCT(1*((EXACT('Casillas del horario'!$F$4:$F$73,$A13)))*((EXACT('Casillas del horario'!$B$4:$B$73,$B13)))*((1-(('Casillas del horario'!$D$4:$D$73="")))))</f>
        <v/>
      </c>
      <c r="D13" s="3">
        <f>MID(IF((IFERROR(VALUE($C13&amp;""),0)&gt;IFERROR(VALUE(3&amp;""),0)),"; "&amp;IF(ISNUMBER(("Da "&amp;IF(ISNUMBER($C13),IF($C13=0,"0",ROUND($C13,9-INT(LOG10(ABS($C13))))&amp;""),$C13&amp;"")&amp;" sesiones ese dia")),IF(("Da "&amp;IF(ISNUMBER($C13),IF($C13=0,"0",ROUND($C13,9-INT(LOG10(ABS($C13))))&amp;""),$C13&amp;"")&amp;" sesiones ese dia")=0,"0",ROUND(("Da "&amp;IF(ISNUMBER($C13),IF($C13=0,"0",ROUND($C13,9-INT(LOG10(ABS($C13))))&amp;""),$C13&amp;"")&amp;" sesiones ese dia"),9-INT(LOG10(ABS(("Da "&amp;IF(ISNUMBER($C13),IF($C13=0,"0",ROUND($C13,9-INT(LOG10(ABS($C13))))&amp;""),$C13&amp;"")&amp;" sesiones ese dia")))))&amp;""),("Da "&amp;IF(ISNUMBER($C13),IF($C13=0,"0",ROUND($C13,9-INT(LOG10(ABS($C13))))&amp;""),$C13&amp;"")&amp;" sesiones ese dia")&amp;""),""),3,32767)</f>
        <v/>
      </c>
      <c r="E13" s="3">
        <f>IF(OR((IFERROR(VALUE($C13&amp;""),0)&gt;IFERROR(VALUE(3&amp;""),0))),2,0)</f>
        <v/>
      </c>
    </row>
    <row r="14">
      <c r="A14" s="3" t="inlineStr">
        <is>
          <t>Profesor de F en 10-3</t>
        </is>
      </c>
      <c r="B14" s="3" t="inlineStr">
        <is>
          <t>L</t>
        </is>
      </c>
      <c r="C14" s="3">
        <f>SUMPRODUCT(1*((EXACT('Casillas del horario'!$F$4:$F$73,$A14)))*((EXACT('Casillas del horario'!$B$4:$B$73,$B14)))*((1-(('Casillas del horario'!$D$4:$D$73="")))))</f>
        <v/>
      </c>
      <c r="D14" s="3">
        <f>MID(IF((IFERROR(VALUE($C14&amp;""),0)&gt;IFERROR(VALUE(3&amp;""),0)),"; "&amp;IF(ISNUMBER(("Da "&amp;IF(ISNUMBER($C14),IF($C14=0,"0",ROUND($C14,9-INT(LOG10(ABS($C14))))&amp;""),$C14&amp;"")&amp;" sesiones ese dia")),IF(("Da "&amp;IF(ISNUMBER($C14),IF($C14=0,"0",ROUND($C14,9-INT(LOG10(ABS($C14))))&amp;""),$C14&amp;"")&amp;" sesiones ese dia")=0,"0",ROUND(("Da "&amp;IF(ISNUMBER($C14),IF($C14=0,"0",ROUND($C14,9-INT(LOG10(ABS($C14))))&amp;""),$C14&amp;"")&amp;" sesiones ese dia"),9-INT(LOG10(ABS(("Da "&amp;IF(ISNUMBER($C14),IF($C14=0,"0",ROUND($C14,9-INT(LOG10(ABS($C14))))&amp;""),$C14&amp;"")&amp;" sesiones ese dia")))))&amp;""),("Da "&amp;IF(ISNUMBER($C14),IF($C14=0,"0",ROUND($C14,9-INT(LOG10(ABS($C14))))&amp;""),$C14&amp;"")&amp;" sesiones ese dia")&amp;""),""),3,32767)</f>
        <v/>
      </c>
      <c r="E14" s="3">
        <f>IF(OR((IFERROR(VALUE($C14&amp;""),0)&gt;IFERROR(VALUE(3&amp;""),0))),2,0)</f>
        <v/>
      </c>
    </row>
    <row r="15">
      <c r="A15" s="3" t="inlineStr">
        <is>
          <t>Profesor de F en 10-3</t>
        </is>
      </c>
      <c r="B15" s="3" t="inlineStr">
        <is>
          <t>M</t>
        </is>
      </c>
      <c r="C15" s="3">
        <f>SUMPRODUCT(1*((EXACT('Casillas del horario'!$F$4:$F$73,$A15)))*((EXACT('Casillas del horario'!$B$4:$B$73,$B15)))*((1-(('Casillas del horario'!$D$4:$D$73="")))))</f>
        <v/>
      </c>
      <c r="D15" s="3">
        <f>MID(IF((IFERROR(VALUE($C15&amp;""),0)&gt;IFERROR(VALUE(3&amp;""),0)),"; "&amp;IF(ISNUMBER(("Da "&amp;IF(ISNUMBER($C15),IF($C15=0,"0",ROUND($C15,9-INT(LOG10(ABS($C15))))&amp;""),$C15&amp;"")&amp;" sesiones ese dia")),IF(("Da "&amp;IF(ISNUMBER($C15),IF($C15=0,"0",ROUND($C15,9-INT(LOG10(ABS($C15))))&amp;""),$C15&amp;"")&amp;" sesiones ese dia")=0,"0",ROUND(("Da "&amp;IF(ISNUMBER($C15),IF($C15=0,"0",ROUND($C15,9-INT(LOG10(ABS($C15))))&amp;""),$C15&amp;"")&amp;" sesiones ese dia"),9-INT(LOG10(ABS(("Da "&amp;IF(ISNUMBER($C15),IF($C15=0,"0",ROUND($C15,9-INT(LOG10(ABS($C15))))&amp;""),$C15&amp;"")&amp;" sesiones ese dia")))))&amp;""),("Da "&amp;IF(ISNUMBER($C15),IF($C15=0,"0",ROUND($C15,9-INT(LOG10(ABS($C15))))&amp;""),$C15&amp;"")&amp;" sesiones ese dia")&amp;""),""),3,32767)</f>
        <v/>
      </c>
      <c r="E15" s="3">
        <f>IF(OR((IFERROR(VALUE($C15&amp;""),0)&gt;IFERROR(VALUE(3&amp;""),0))),2,0)</f>
        <v/>
      </c>
    </row>
    <row r="16">
      <c r="A16" s="3" t="inlineStr">
        <is>
          <t>Profesor de F en 10-3</t>
        </is>
      </c>
      <c r="B16" s="3" t="inlineStr">
        <is>
          <t>MI</t>
        </is>
      </c>
      <c r="C16" s="3">
        <f>SUMPRODUCT(1*((EXACT('Casillas del horario'!$F$4:$F$73,$A16)))*((EXACT('Casillas del horario'!$B$4:$B$73,$B16)))*((1-(('Casillas del horario'!$D$4:$D$73="")))))</f>
        <v/>
      </c>
      <c r="D16" s="3">
        <f>MID(IF((IFERROR(VALUE($C16&amp;""),0)&gt;IFERROR(VALUE(3&amp;""),0)),"; "&amp;IF(ISNUMBER(("Da "&amp;IF(ISNUMBER($C16),IF($C16=0,"0",ROUND($C16,9-INT(LOG10(ABS($C16))))&amp;""),$C16&amp;"")&amp;" sesiones ese dia")),IF(("Da "&amp;IF(ISNUMBER($C16),IF($C16=0,"0",ROUND($C16,9-INT(LOG10(ABS($C16))))&amp;""),$C16&amp;"")&amp;" sesiones ese dia")=0,"0",ROUND(("Da "&amp;IF(ISNUMBER($C16),IF($C16=0,"0",ROUND($C16,9-INT(LOG10(ABS($C16))))&amp;""),$C16&amp;"")&amp;" sesiones ese dia"),9-INT(LOG10(ABS(("Da "&amp;IF(ISNUMBER($C16),IF($C16=0,"0",ROUND($C16,9-INT(LOG10(ABS($C16))))&amp;""),$C16&amp;"")&amp;" sesiones ese dia")))))&amp;""),("Da "&amp;IF(ISNUMBER($C16),IF($C16=0,"0",ROUND($C16,9-INT(LOG10(ABS($C16))))&amp;""),$C16&amp;"")&amp;" sesiones ese dia")&amp;""),""),3,32767)</f>
        <v/>
      </c>
      <c r="E16" s="3">
        <f>IF(OR((IFERROR(VALUE($C16&amp;""),0)&gt;IFERROR(VALUE(3&amp;""),0))),2,0)</f>
        <v/>
      </c>
    </row>
    <row r="17">
      <c r="A17" s="3" t="inlineStr">
        <is>
          <t>Profesor de F en 10-3</t>
        </is>
      </c>
      <c r="B17" s="3" t="inlineStr">
        <is>
          <t>J</t>
        </is>
      </c>
      <c r="C17" s="3">
        <f>SUMPRODUCT(1*((EXACT('Casillas del horario'!$F$4:$F$73,$A17)))*((EXACT('Casillas del horario'!$B$4:$B$73,$B17)))*((1-(('Casillas del horario'!$D$4:$D$73="")))))</f>
        <v/>
      </c>
      <c r="D17" s="3">
        <f>MID(IF((IFERROR(VALUE($C17&amp;""),0)&gt;IFERROR(VALUE(3&amp;""),0)),"; "&amp;IF(ISNUMBER(("Da "&amp;IF(ISNUMBER($C17),IF($C17=0,"0",ROUND($C17,9-INT(LOG10(ABS($C17))))&amp;""),$C17&amp;"")&amp;" sesiones ese dia")),IF(("Da "&amp;IF(ISNUMBER($C17),IF($C17=0,"0",ROUND($C17,9-INT(LOG10(ABS($C17))))&amp;""),$C17&amp;"")&amp;" sesiones ese dia")=0,"0",ROUND(("Da "&amp;IF(ISNUMBER($C17),IF($C17=0,"0",ROUND($C17,9-INT(LOG10(ABS($C17))))&amp;""),$C17&amp;"")&amp;" sesiones ese dia"),9-INT(LOG10(ABS(("Da "&amp;IF(ISNUMBER($C17),IF($C17=0,"0",ROUND($C17,9-INT(LOG10(ABS($C17))))&amp;""),$C17&amp;"")&amp;" sesiones ese dia")))))&amp;""),("Da "&amp;IF(ISNUMBER($C17),IF($C17=0,"0",ROUND($C17,9-INT(LOG10(ABS($C17))))&amp;""),$C17&amp;"")&amp;" sesiones ese dia")&amp;""),""),3,32767)</f>
        <v/>
      </c>
      <c r="E17" s="3">
        <f>IF(OR((IFERROR(VALUE($C17&amp;""),0)&gt;IFERROR(VALUE(3&amp;""),0))),2,0)</f>
        <v/>
      </c>
    </row>
    <row r="18">
      <c r="A18" s="3" t="inlineStr">
        <is>
          <t>Profesor de F en 10-3</t>
        </is>
      </c>
      <c r="B18" s="3" t="inlineStr">
        <is>
          <t>V</t>
        </is>
      </c>
      <c r="C18" s="3">
        <f>SUMPRODUCT(1*((EXACT('Casillas del horario'!$F$4:$F$73,$A18)))*((EXACT('Casillas del horario'!$B$4:$B$73,$B18)))*((1-(('Casillas del horario'!$D$4:$D$73="")))))</f>
        <v/>
      </c>
      <c r="D18" s="3">
        <f>MID(IF((IFERROR(VALUE($C18&amp;""),0)&gt;IFERROR(VALUE(3&amp;""),0)),"; "&amp;IF(ISNUMBER(("Da "&amp;IF(ISNUMBER($C18),IF($C18=0,"0",ROUND($C18,9-INT(LOG10(ABS($C18))))&amp;""),$C18&amp;"")&amp;" sesiones ese dia")),IF(("Da "&amp;IF(ISNUMBER($C18),IF($C18=0,"0",ROUND($C18,9-INT(LOG10(ABS($C18))))&amp;""),$C18&amp;"")&amp;" sesiones ese dia")=0,"0",ROUND(("Da "&amp;IF(ISNUMBER($C18),IF($C18=0,"0",ROUND($C18,9-INT(LOG10(ABS($C18))))&amp;""),$C18&amp;"")&amp;" sesiones ese dia"),9-INT(LOG10(ABS(("Da "&amp;IF(ISNUMBER($C18),IF($C18=0,"0",ROUND($C18,9-INT(LOG10(ABS($C18))))&amp;""),$C18&amp;"")&amp;" sesiones ese dia")))))&amp;""),("Da "&amp;IF(ISNUMBER($C18),IF($C18=0,"0",ROUND($C18,9-INT(LOG10(ABS($C18))))&amp;""),$C18&amp;"")&amp;" sesiones ese dia")&amp;""),""),3,32767)</f>
        <v/>
      </c>
      <c r="E18" s="3">
        <f>IF(OR((IFERROR(VALUE($C18&amp;""),0)&gt;IFERROR(VALUE(3&amp;""),0))),2,0)</f>
        <v/>
      </c>
    </row>
    <row r="19">
      <c r="A19" s="3" t="inlineStr">
        <is>
          <t>Profesor de I en 10-3</t>
        </is>
      </c>
      <c r="B19" s="3" t="inlineStr">
        <is>
          <t>L</t>
        </is>
      </c>
      <c r="C19" s="3">
        <f>SUMPRODUCT(1*((EXACT('Casillas del horario'!$F$4:$F$73,$A19)))*((EXACT('Casillas del horario'!$B$4:$B$73,$B19)))*((1-(('Casillas del horario'!$D$4:$D$73="")))))</f>
        <v/>
      </c>
      <c r="D19" s="3">
        <f>MID(IF((IFERROR(VALUE($C19&amp;""),0)&gt;IFERROR(VALUE(3&amp;""),0)),"; "&amp;IF(ISNUMBER(("Da "&amp;IF(ISNUMBER($C19),IF($C19=0,"0",ROUND($C19,9-INT(LOG10(ABS($C19))))&amp;""),$C19&amp;"")&amp;" sesiones ese dia")),IF(("Da "&amp;IF(ISNUMBER($C19),IF($C19=0,"0",ROUND($C19,9-INT(LOG10(ABS($C19))))&amp;""),$C19&amp;"")&amp;" sesiones ese dia")=0,"0",ROUND(("Da "&amp;IF(ISNUMBER($C19),IF($C19=0,"0",ROUND($C19,9-INT(LOG10(ABS($C19))))&amp;""),$C19&amp;"")&amp;" sesiones ese dia"),9-INT(LOG10(ABS(("Da "&amp;IF(ISNUMBER($C19),IF($C19=0,"0",ROUND($C19,9-INT(LOG10(ABS($C19))))&amp;""),$C19&amp;"")&amp;" sesiones ese dia")))))&amp;""),("Da "&amp;IF(ISNUMBER($C19),IF($C19=0,"0",ROUND($C19,9-INT(LOG10(ABS($C19))))&amp;""),$C19&amp;"")&amp;" sesiones ese dia")&amp;""),""),3,32767)</f>
        <v/>
      </c>
      <c r="E19" s="3">
        <f>IF(OR((IFERROR(VALUE($C19&amp;""),0)&gt;IFERROR(VALUE(3&amp;""),0))),2,0)</f>
        <v/>
      </c>
    </row>
    <row r="20">
      <c r="A20" s="3" t="inlineStr">
        <is>
          <t>Profesor de I en 10-3</t>
        </is>
      </c>
      <c r="B20" s="3" t="inlineStr">
        <is>
          <t>M</t>
        </is>
      </c>
      <c r="C20" s="3">
        <f>SUMPRODUCT(1*((EXACT('Casillas del horario'!$F$4:$F$73,$A20)))*((EXACT('Casillas del horario'!$B$4:$B$73,$B20)))*((1-(('Casillas del horario'!$D$4:$D$73="")))))</f>
        <v/>
      </c>
      <c r="D20" s="3">
        <f>MID(IF((IFERROR(VALUE($C20&amp;""),0)&gt;IFERROR(VALUE(3&amp;""),0)),"; "&amp;IF(ISNUMBER(("Da "&amp;IF(ISNUMBER($C20),IF($C20=0,"0",ROUND($C20,9-INT(LOG10(ABS($C20))))&amp;""),$C20&amp;"")&amp;" sesiones ese dia")),IF(("Da "&amp;IF(ISNUMBER($C20),IF($C20=0,"0",ROUND($C20,9-INT(LOG10(ABS($C20))))&amp;""),$C20&amp;"")&amp;" sesiones ese dia")=0,"0",ROUND(("Da "&amp;IF(ISNUMBER($C20),IF($C20=0,"0",ROUND($C20,9-INT(LOG10(ABS($C20))))&amp;""),$C20&amp;"")&amp;" sesiones ese dia"),9-INT(LOG10(ABS(("Da "&amp;IF(ISNUMBER($C20),IF($C20=0,"0",ROUND($C20,9-INT(LOG10(ABS($C20))))&amp;""),$C20&amp;"")&amp;" sesiones ese dia")))))&amp;""),("Da "&amp;IF(ISNUMBER($C20),IF($C20=0,"0",ROUND($C20,9-INT(LOG10(ABS($C20))))&amp;""),$C20&amp;"")&amp;" sesiones ese dia")&amp;""),""),3,32767)</f>
        <v/>
      </c>
      <c r="E20" s="3">
        <f>IF(OR((IFERROR(VALUE($C20&amp;""),0)&gt;IFERROR(VALUE(3&amp;""),0))),2,0)</f>
        <v/>
      </c>
    </row>
    <row r="21">
      <c r="A21" s="3" t="inlineStr">
        <is>
          <t>Profesor de I en 10-3</t>
        </is>
      </c>
      <c r="B21" s="3" t="inlineStr">
        <is>
          <t>MI</t>
        </is>
      </c>
      <c r="C21" s="3">
        <f>SUMPRODUCT(1*((EXACT('Casillas del horario'!$F$4:$F$73,$A21)))*((EXACT('Casillas del horario'!$B$4:$B$73,$B21)))*((1-(('Casillas del horario'!$D$4:$D$73="")))))</f>
        <v/>
      </c>
      <c r="D21" s="3">
        <f>MID(IF((IFERROR(VALUE($C21&amp;""),0)&gt;IFERROR(VALUE(3&amp;""),0)),"; "&amp;IF(ISNUMBER(("Da "&amp;IF(ISNUMBER($C21),IF($C21=0,"0",ROUND($C21,9-INT(LOG10(ABS($C21))))&amp;""),$C21&amp;"")&amp;" sesiones ese dia")),IF(("Da "&amp;IF(ISNUMBER($C21),IF($C21=0,"0",ROUND($C21,9-INT(LOG10(ABS($C21))))&amp;""),$C21&amp;"")&amp;" sesiones ese dia")=0,"0",ROUND(("Da "&amp;IF(ISNUMBER($C21),IF($C21=0,"0",ROUND($C21,9-INT(LOG10(ABS($C21))))&amp;""),$C21&amp;"")&amp;" sesiones ese dia"),9-INT(LOG10(ABS(("Da "&amp;IF(ISNUMBER($C21),IF($C21=0,"0",ROUND($C21,9-INT(LOG10(ABS($C21))))&amp;""),$C21&amp;"")&amp;" sesiones ese dia")))))&amp;""),("Da "&amp;IF(ISNUMBER($C21),IF($C21=0,"0",ROUND($C21,9-INT(LOG10(ABS($C21))))&amp;""),$C21&amp;"")&amp;" sesiones ese dia")&amp;""),""),3,32767)</f>
        <v/>
      </c>
      <c r="E21" s="3">
        <f>IF(OR((IFERROR(VALUE($C21&amp;""),0)&gt;IFERROR(VALUE(3&amp;""),0))),2,0)</f>
        <v/>
      </c>
    </row>
    <row r="22">
      <c r="A22" s="3" t="inlineStr">
        <is>
          <t>Profesor de I en 10-3</t>
        </is>
      </c>
      <c r="B22" s="3" t="inlineStr">
        <is>
          <t>J</t>
        </is>
      </c>
      <c r="C22" s="3">
        <f>SUMPRODUCT(1*((EXACT('Casillas del horario'!$F$4:$F$73,$A22)))*((EXACT('Casillas del horario'!$B$4:$B$73,$B22)))*((1-(('Casillas del horario'!$D$4:$D$73="")))))</f>
        <v/>
      </c>
      <c r="D22" s="3">
        <f>MID(IF((IFERROR(VALUE($C22&amp;""),0)&gt;IFERROR(VALUE(3&amp;""),0)),"; "&amp;IF(ISNUMBER(("Da "&amp;IF(ISNUMBER($C22),IF($C22=0,"0",ROUND($C22,9-INT(LOG10(ABS($C22))))&amp;""),$C22&amp;"")&amp;" sesiones ese dia")),IF(("Da "&amp;IF(ISNUMBER($C22),IF($C22=0,"0",ROUND($C22,9-INT(LOG10(ABS($C22))))&amp;""),$C22&amp;"")&amp;" sesiones ese dia")=0,"0",ROUND(("Da "&amp;IF(ISNUMBER($C22),IF($C22=0,"0",ROUND($C22,9-INT(LOG10(ABS($C22))))&amp;""),$C22&amp;"")&amp;" sesiones ese dia"),9-INT(LOG10(ABS(("Da "&amp;IF(ISNUMBER($C22),IF($C22=0,"0",ROUND($C22,9-INT(LOG10(ABS($C22))))&amp;""),$C22&amp;"")&amp;" sesiones ese dia")))))&amp;""),("Da "&amp;IF(ISNUMBER($C22),IF($C22=0,"0",ROUND($C22,9-INT(LOG10(ABS($C22))))&amp;""),$C22&amp;"")&amp;" sesiones ese dia")&amp;""),""),3,32767)</f>
        <v/>
      </c>
      <c r="E22" s="3">
        <f>IF(OR((IFERROR(VALUE($C22&amp;""),0)&gt;IFERROR(VALUE(3&amp;""),0))),2,0)</f>
        <v/>
      </c>
    </row>
    <row r="23">
      <c r="A23" s="3" t="inlineStr">
        <is>
          <t>Profesor de I en 10-3</t>
        </is>
      </c>
      <c r="B23" s="3" t="inlineStr">
        <is>
          <t>V</t>
        </is>
      </c>
      <c r="C23" s="3">
        <f>SUMPRODUCT(1*((EXACT('Casillas del horario'!$F$4:$F$73,$A23)))*((EXACT('Casillas del horario'!$B$4:$B$73,$B23)))*((1-(('Casillas del horario'!$D$4:$D$73="")))))</f>
        <v/>
      </c>
      <c r="D23" s="3">
        <f>MID(IF((IFERROR(VALUE($C23&amp;""),0)&gt;IFERROR(VALUE(3&amp;""),0)),"; "&amp;IF(ISNUMBER(("Da "&amp;IF(ISNUMBER($C23),IF($C23=0,"0",ROUND($C23,9-INT(LOG10(ABS($C23))))&amp;""),$C23&amp;"")&amp;" sesiones ese dia")),IF(("Da "&amp;IF(ISNUMBER($C23),IF($C23=0,"0",ROUND($C23,9-INT(LOG10(ABS($C23))))&amp;""),$C23&amp;"")&amp;" sesiones ese dia")=0,"0",ROUND(("Da "&amp;IF(ISNUMBER($C23),IF($C23=0,"0",ROUND($C23,9-INT(LOG10(ABS($C23))))&amp;""),$C23&amp;"")&amp;" sesiones ese dia"),9-INT(LOG10(ABS(("Da "&amp;IF(ISNUMBER($C23),IF($C23=0,"0",ROUND($C23,9-INT(LOG10(ABS($C23))))&amp;""),$C23&amp;"")&amp;" sesiones ese dia")))))&amp;""),("Da "&amp;IF(ISNUMBER($C23),IF($C23=0,"0",ROUND($C23,9-INT(LOG10(ABS($C23))))&amp;""),$C23&amp;"")&amp;" sesiones ese dia")&amp;""),""),3,32767)</f>
        <v/>
      </c>
      <c r="E23" s="3">
        <f>IF(OR((IFERROR(VALUE($C23&amp;""),0)&gt;IFERROR(VALUE(3&amp;""),0))),2,0)</f>
        <v/>
      </c>
    </row>
    <row r="24">
      <c r="A24" s="3" t="inlineStr">
        <is>
          <t>Profesor de H en 10-3</t>
        </is>
      </c>
      <c r="B24" s="3" t="inlineStr">
        <is>
          <t>L</t>
        </is>
      </c>
      <c r="C24" s="3">
        <f>SUMPRODUCT(1*((EXACT('Casillas del horario'!$F$4:$F$73,$A24)))*((EXACT('Casillas del horario'!$B$4:$B$73,$B24)))*((1-(('Casillas del horario'!$D$4:$D$73="")))))</f>
        <v/>
      </c>
      <c r="D24" s="3">
        <f>MID(IF((IFERROR(VALUE($C24&amp;""),0)&gt;IFERROR(VALUE(3&amp;""),0)),"; "&amp;IF(ISNUMBER(("Da "&amp;IF(ISNUMBER($C24),IF($C24=0,"0",ROUND($C24,9-INT(LOG10(ABS($C24))))&amp;""),$C24&amp;"")&amp;" sesiones ese dia")),IF(("Da "&amp;IF(ISNUMBER($C24),IF($C24=0,"0",ROUND($C24,9-INT(LOG10(ABS($C24))))&amp;""),$C24&amp;"")&amp;" sesiones ese dia")=0,"0",ROUND(("Da "&amp;IF(ISNUMBER($C24),IF($C24=0,"0",ROUND($C24,9-INT(LOG10(ABS($C24))))&amp;""),$C24&amp;"")&amp;" sesiones ese dia"),9-INT(LOG10(ABS(("Da "&amp;IF(ISNUMBER($C24),IF($C24=0,"0",ROUND($C24,9-INT(LOG10(ABS($C24))))&amp;""),$C24&amp;"")&amp;" sesiones ese dia")))))&amp;""),("Da "&amp;IF(ISNUMBER($C24),IF($C24=0,"0",ROUND($C24,9-INT(LOG10(ABS($C24))))&amp;""),$C24&amp;"")&amp;" sesiones ese dia")&amp;""),""),3,32767)</f>
        <v/>
      </c>
      <c r="E24" s="3">
        <f>IF(OR((IFERROR(VALUE($C24&amp;""),0)&gt;IFERROR(VALUE(3&amp;""),0))),2,0)</f>
        <v/>
      </c>
    </row>
    <row r="25">
      <c r="A25" s="3" t="inlineStr">
        <is>
          <t>Profesor de H en 10-3</t>
        </is>
      </c>
      <c r="B25" s="3" t="inlineStr">
        <is>
          <t>M</t>
        </is>
      </c>
      <c r="C25" s="3">
        <f>SUMPRODUCT(1*((EXACT('Casillas del horario'!$F$4:$F$73,$A25)))*((EXACT('Casillas del horario'!$B$4:$B$73,$B25)))*((1-(('Casillas del horario'!$D$4:$D$73="")))))</f>
        <v/>
      </c>
      <c r="D25" s="3">
        <f>MID(IF((IFERROR(VALUE($C25&amp;""),0)&gt;IFERROR(VALUE(3&amp;""),0)),"; "&amp;IF(ISNUMBER(("Da "&amp;IF(ISNUMBER($C25),IF($C25=0,"0",ROUND($C25,9-INT(LOG10(ABS($C25))))&amp;""),$C25&amp;"")&amp;" sesiones ese dia")),IF(("Da "&amp;IF(ISNUMBER($C25),IF($C25=0,"0",ROUND($C25,9-INT(LOG10(ABS($C25))))&amp;""),$C25&amp;"")&amp;" sesiones ese dia")=0,"0",ROUND(("Da "&amp;IF(ISNUMBER($C25),IF($C25=0,"0",ROUND($C25,9-INT(LOG10(ABS($C25))))&amp;""),$C25&amp;"")&amp;" sesiones ese dia"),9-INT(LOG10(ABS(("Da "&amp;IF(ISNUMBER($C25),IF($C25=0,"0",ROUND($C25,9-INT(LOG10(ABS($C25))))&amp;""),$C25&amp;"")&amp;" sesiones ese dia")))))&amp;""),("Da "&amp;IF(ISNUMBER($C25),IF($C25=0,"0",ROUND($C25,9-INT(LOG10(ABS($C25))))&amp;""),$C25&amp;"")&amp;" sesiones ese dia")&amp;""),""),3,32767)</f>
        <v/>
      </c>
      <c r="E25" s="3">
        <f>IF(OR((IFERROR(VALUE($C25&amp;""),0)&gt;IFERROR(VALUE(3&amp;""),0))),2,0)</f>
        <v/>
      </c>
    </row>
    <row r="26">
      <c r="A26" s="3" t="inlineStr">
        <is>
          <t>Profesor de H en 10-3</t>
        </is>
      </c>
      <c r="B26" s="3" t="inlineStr">
        <is>
          <t>MI</t>
        </is>
      </c>
      <c r="C26" s="3">
        <f>SUMPRODUCT(1*((EXACT('Casillas del horario'!$F$4:$F$73,$A26)))*((EXACT('Casillas del horario'!$B$4:$B$73,$B26)))*((1-(('Casillas del horario'!$D$4:$D$73="")))))</f>
        <v/>
      </c>
      <c r="D26" s="3">
        <f>MID(IF((IFERROR(VALUE($C26&amp;""),0)&gt;IFERROR(VALUE(3&amp;""),0)),"; "&amp;IF(ISNUMBER(("Da "&amp;IF(ISNUMBER($C26),IF($C26=0,"0",ROUND($C26,9-INT(LOG10(ABS($C26))))&amp;""),$C26&amp;"")&amp;" sesiones ese dia")),IF(("Da "&amp;IF(ISNUMBER($C26),IF($C26=0,"0",ROUND($C26,9-INT(LOG10(ABS($C26))))&amp;""),$C26&amp;"")&amp;" sesiones ese dia")=0,"0",ROUND(("Da "&amp;IF(ISNUMBER($C26),IF($C26=0,"0",ROUND($C26,9-INT(LOG10(ABS($C26))))&amp;""),$C26&amp;"")&amp;" sesiones ese dia"),9-INT(LOG10(ABS(("Da "&amp;IF(ISNUMBER($C26),IF($C26=0,"0",ROUND($C26,9-INT(LOG10(ABS($C26))))&amp;""),$C26&amp;"")&amp;" sesiones ese dia")))))&amp;""),("Da "&amp;IF(ISNUMBER($C26),IF($C26=0,"0",ROUND($C26,9-INT(LOG10(ABS($C26))))&amp;""),$C26&amp;"")&amp;" sesiones ese dia")&amp;""),""),3,32767)</f>
        <v/>
      </c>
      <c r="E26" s="3">
        <f>IF(OR((IFERROR(VALUE($C26&amp;""),0)&gt;IFERROR(VALUE(3&amp;""),0))),2,0)</f>
        <v/>
      </c>
    </row>
    <row r="27">
      <c r="A27" s="3" t="inlineStr">
        <is>
          <t>Profesor de H en 10-3</t>
        </is>
      </c>
      <c r="B27" s="3" t="inlineStr">
        <is>
          <t>J</t>
        </is>
      </c>
      <c r="C27" s="3">
        <f>SUMPRODUCT(1*((EXACT('Casillas del horario'!$F$4:$F$73,$A27)))*((EXACT('Casillas del horario'!$B$4:$B$73,$B27)))*((1-(('Casillas del horario'!$D$4:$D$73="")))))</f>
        <v/>
      </c>
      <c r="D27" s="3">
        <f>MID(IF((IFERROR(VALUE($C27&amp;""),0)&gt;IFERROR(VALUE(3&amp;""),0)),"; "&amp;IF(ISNUMBER(("Da "&amp;IF(ISNUMBER($C27),IF($C27=0,"0",ROUND($C27,9-INT(LOG10(ABS($C27))))&amp;""),$C27&amp;"")&amp;" sesiones ese dia")),IF(("Da "&amp;IF(ISNUMBER($C27),IF($C27=0,"0",ROUND($C27,9-INT(LOG10(ABS($C27))))&amp;""),$C27&amp;"")&amp;" sesiones ese dia")=0,"0",ROUND(("Da "&amp;IF(ISNUMBER($C27),IF($C27=0,"0",ROUND($C27,9-INT(LOG10(ABS($C27))))&amp;""),$C27&amp;"")&amp;" sesiones ese dia"),9-INT(LOG10(ABS(("Da "&amp;IF(ISNUMBER($C27),IF($C27=0,"0",ROUND($C27,9-INT(LOG10(ABS($C27))))&amp;""),$C27&amp;"")&amp;" sesiones ese dia")))))&amp;""),("Da "&amp;IF(ISNUMBER($C27),IF($C27=0,"0",ROUND($C27,9-INT(LOG10(ABS($C27))))&amp;""),$C27&amp;"")&amp;" sesiones ese dia")&amp;""),""),3,32767)</f>
        <v/>
      </c>
      <c r="E27" s="3">
        <f>IF(OR((IFERROR(VALUE($C27&amp;""),0)&gt;IFERROR(VALUE(3&amp;""),0))),2,0)</f>
        <v/>
      </c>
    </row>
    <row r="28">
      <c r="A28" s="3" t="inlineStr">
        <is>
          <t>Profesor de H en 10-3</t>
        </is>
      </c>
      <c r="B28" s="3" t="inlineStr">
        <is>
          <t>V</t>
        </is>
      </c>
      <c r="C28" s="3">
        <f>SUMPRODUCT(1*((EXACT('Casillas del horario'!$F$4:$F$73,$A28)))*((EXACT('Casillas del horario'!$B$4:$B$73,$B28)))*((1-(('Casillas del horario'!$D$4:$D$73="")))))</f>
        <v/>
      </c>
      <c r="D28" s="3">
        <f>MID(IF((IFERROR(VALUE($C28&amp;""),0)&gt;IFERROR(VALUE(3&amp;""),0)),"; "&amp;IF(ISNUMBER(("Da "&amp;IF(ISNUMBER($C28),IF($C28=0,"0",ROUND($C28,9-INT(LOG10(ABS($C28))))&amp;""),$C28&amp;"")&amp;" sesiones ese dia")),IF(("Da "&amp;IF(ISNUMBER($C28),IF($C28=0,"0",ROUND($C28,9-INT(LOG10(ABS($C28))))&amp;""),$C28&amp;"")&amp;" sesiones ese dia")=0,"0",ROUND(("Da "&amp;IF(ISNUMBER($C28),IF($C28=0,"0",ROUND($C28,9-INT(LOG10(ABS($C28))))&amp;""),$C28&amp;"")&amp;" sesiones ese dia"),9-INT(LOG10(ABS(("Da "&amp;IF(ISNUMBER($C28),IF($C28=0,"0",ROUND($C28,9-INT(LOG10(ABS($C28))))&amp;""),$C28&amp;"")&amp;" sesiones ese dia")))))&amp;""),("Da "&amp;IF(ISNUMBER($C28),IF($C28=0,"0",ROUND($C28,9-INT(LOG10(ABS($C28))))&amp;""),$C28&amp;"")&amp;" sesiones ese dia")&amp;""),""),3,32767)</f>
        <v/>
      </c>
      <c r="E28" s="3">
        <f>IF(OR((IFERROR(VALUE($C28&amp;""),0)&gt;IFERROR(VALUE(3&amp;""),0))),2,0)</f>
        <v/>
      </c>
    </row>
    <row r="29">
      <c r="A29" s="3" t="inlineStr">
        <is>
          <t>Profesor de EF en 10-3</t>
        </is>
      </c>
      <c r="B29" s="3" t="inlineStr">
        <is>
          <t>L</t>
        </is>
      </c>
      <c r="C29" s="3">
        <f>SUMPRODUCT(1*((EXACT('Casillas del horario'!$F$4:$F$73,$A29)))*((EXACT('Casillas del horario'!$B$4:$B$73,$B29)))*((1-(('Casillas del horario'!$D$4:$D$73="")))))</f>
        <v/>
      </c>
      <c r="D29" s="3">
        <f>MID(IF((IFERROR(VALUE($C29&amp;""),0)&gt;IFERROR(VALUE(3&amp;""),0)),"; "&amp;IF(ISNUMBER(("Da "&amp;IF(ISNUMBER($C29),IF($C29=0,"0",ROUND($C29,9-INT(LOG10(ABS($C29))))&amp;""),$C29&amp;"")&amp;" sesiones ese dia")),IF(("Da "&amp;IF(ISNUMBER($C29),IF($C29=0,"0",ROUND($C29,9-INT(LOG10(ABS($C29))))&amp;""),$C29&amp;"")&amp;" sesiones ese dia")=0,"0",ROUND(("Da "&amp;IF(ISNUMBER($C29),IF($C29=0,"0",ROUND($C29,9-INT(LOG10(ABS($C29))))&amp;""),$C29&amp;"")&amp;" sesiones ese dia"),9-INT(LOG10(ABS(("Da "&amp;IF(ISNUMBER($C29),IF($C29=0,"0",ROUND($C29,9-INT(LOG10(ABS($C29))))&amp;""),$C29&amp;"")&amp;" sesiones ese dia")))))&amp;""),("Da "&amp;IF(ISNUMBER($C29),IF($C29=0,"0",ROUND($C29,9-INT(LOG10(ABS($C29))))&amp;""),$C29&amp;"")&amp;" sesiones ese dia")&amp;""),""),3,32767)</f>
        <v/>
      </c>
      <c r="E29" s="3">
        <f>IF(OR((IFERROR(VALUE($C29&amp;""),0)&gt;IFERROR(VALUE(3&amp;""),0))),2,0)</f>
        <v/>
      </c>
    </row>
    <row r="30">
      <c r="A30" s="3" t="inlineStr">
        <is>
          <t>Profesor de EF en 10-3</t>
        </is>
      </c>
      <c r="B30" s="3" t="inlineStr">
        <is>
          <t>M</t>
        </is>
      </c>
      <c r="C30" s="3">
        <f>SUMPRODUCT(1*((EXACT('Casillas del horario'!$F$4:$F$73,$A30)))*((EXACT('Casillas del horario'!$B$4:$B$73,$B30)))*((1-(('Casillas del horario'!$D$4:$D$73="")))))</f>
        <v/>
      </c>
      <c r="D30" s="3">
        <f>MID(IF((IFERROR(VALUE($C30&amp;""),0)&gt;IFERROR(VALUE(3&amp;""),0)),"; "&amp;IF(ISNUMBER(("Da "&amp;IF(ISNUMBER($C30),IF($C30=0,"0",ROUND($C30,9-INT(LOG10(ABS($C30))))&amp;""),$C30&amp;"")&amp;" sesiones ese dia")),IF(("Da "&amp;IF(ISNUMBER($C30),IF($C30=0,"0",ROUND($C30,9-INT(LOG10(ABS($C30))))&amp;""),$C30&amp;"")&amp;" sesiones ese dia")=0,"0",ROUND(("Da "&amp;IF(ISNUMBER($C30),IF($C30=0,"0",ROUND($C30,9-INT(LOG10(ABS($C30))))&amp;""),$C30&amp;"")&amp;" sesiones ese dia"),9-INT(LOG10(ABS(("Da "&amp;IF(ISNUMBER($C30),IF($C30=0,"0",ROUND($C30,9-INT(LOG10(ABS($C30))))&amp;""),$C30&amp;"")&amp;" sesiones ese dia")))))&amp;""),("Da "&amp;IF(ISNUMBER($C30),IF($C30=0,"0",ROUND($C30,9-INT(LOG10(ABS($C30))))&amp;""),$C30&amp;"")&amp;" sesiones ese dia")&amp;""),""),3,32767)</f>
        <v/>
      </c>
      <c r="E30" s="3">
        <f>IF(OR((IFERROR(VALUE($C30&amp;""),0)&gt;IFERROR(VALUE(3&amp;""),0))),2,0)</f>
        <v/>
      </c>
    </row>
    <row r="31">
      <c r="A31" s="3" t="inlineStr">
        <is>
          <t>Profesor de EF en 10-3</t>
        </is>
      </c>
      <c r="B31" s="3" t="inlineStr">
        <is>
          <t>MI</t>
        </is>
      </c>
      <c r="C31" s="3">
        <f>SUMPRODUCT(1*((EXACT('Casillas del horario'!$F$4:$F$73,$A31)))*((EXACT('Casillas del horario'!$B$4:$B$73,$B31)))*((1-(('Casillas del horario'!$D$4:$D$73="")))))</f>
        <v/>
      </c>
      <c r="D31" s="3">
        <f>MID(IF((IFERROR(VALUE($C31&amp;""),0)&gt;IFERROR(VALUE(3&amp;""),0)),"; "&amp;IF(ISNUMBER(("Da "&amp;IF(ISNUMBER($C31),IF($C31=0,"0",ROUND($C31,9-INT(LOG10(ABS($C31))))&amp;""),$C31&amp;"")&amp;" sesiones ese dia")),IF(("Da "&amp;IF(ISNUMBER($C31),IF($C31=0,"0",ROUND($C31,9-INT(LOG10(ABS($C31))))&amp;""),$C31&amp;"")&amp;" sesiones ese dia")=0,"0",ROUND(("Da "&amp;IF(ISNUMBER($C31),IF($C31=0,"0",ROUND($C31,9-INT(LOG10(ABS($C31))))&amp;""),$C31&amp;"")&amp;" sesiones ese dia"),9-INT(LOG10(ABS(("Da "&amp;IF(ISNUMBER($C31),IF($C31=0,"0",ROUND($C31,9-INT(LOG10(ABS($C31))))&amp;""),$C31&amp;"")&amp;" sesiones ese dia")))))&amp;""),("Da "&amp;IF(ISNUMBER($C31),IF($C31=0,"0",ROUND($C31,9-INT(LOG10(ABS($C31))))&amp;""),$C31&amp;"")&amp;" sesiones ese dia")&amp;""),""),3,32767)</f>
        <v/>
      </c>
      <c r="E31" s="3">
        <f>IF(OR((IFERROR(VALUE($C31&amp;""),0)&gt;IFERROR(VALUE(3&amp;""),0))),2,0)</f>
        <v/>
      </c>
    </row>
    <row r="32">
      <c r="A32" s="3" t="inlineStr">
        <is>
          <t>Profesor de EF en 10-3</t>
        </is>
      </c>
      <c r="B32" s="3" t="inlineStr">
        <is>
          <t>J</t>
        </is>
      </c>
      <c r="C32" s="3">
        <f>SUMPRODUCT(1*((EXACT('Casillas del horario'!$F$4:$F$73,$A32)))*((EXACT('Casillas del horario'!$B$4:$B$73,$B32)))*((1-(('Casillas del horario'!$D$4:$D$73="")))))</f>
        <v/>
      </c>
      <c r="D32" s="3">
        <f>MID(IF((IFERROR(VALUE($C32&amp;""),0)&gt;IFERROR(VALUE(3&amp;""),0)),"; "&amp;IF(ISNUMBER(("Da "&amp;IF(ISNUMBER($C32),IF($C32=0,"0",ROUND($C32,9-INT(LOG10(ABS($C32))))&amp;""),$C32&amp;"")&amp;" sesiones ese dia")),IF(("Da "&amp;IF(ISNUMBER($C32),IF($C32=0,"0",ROUND($C32,9-INT(LOG10(ABS($C32))))&amp;""),$C32&amp;"")&amp;" sesiones ese dia")=0,"0",ROUND(("Da "&amp;IF(ISNUMBER($C32),IF($C32=0,"0",ROUND($C32,9-INT(LOG10(ABS($C32))))&amp;""),$C32&amp;"")&amp;" sesiones ese dia"),9-INT(LOG10(ABS(("Da "&amp;IF(ISNUMBER($C32),IF($C32=0,"0",ROUND($C32,9-INT(LOG10(ABS($C32))))&amp;""),$C32&amp;"")&amp;" sesiones ese dia")))))&amp;""),("Da "&amp;IF(ISNUMBER($C32),IF($C32=0,"0",ROUND($C32,9-INT(LOG10(ABS($C32))))&amp;""),$C32&amp;"")&amp;" sesiones ese dia")&amp;""),""),3,32767)</f>
        <v/>
      </c>
      <c r="E32" s="3">
        <f>IF(OR((IFERROR(VALUE($C32&amp;""),0)&gt;IFERROR(VALUE(3&amp;""),0))),2,0)</f>
        <v/>
      </c>
    </row>
    <row r="33">
      <c r="A33" s="3" t="inlineStr">
        <is>
          <t>Profesor de EF en 10-3</t>
        </is>
      </c>
      <c r="B33" s="3" t="inlineStr">
        <is>
          <t>V</t>
        </is>
      </c>
      <c r="C33" s="3">
        <f>SUMPRODUCT(1*((EXACT('Casillas del horario'!$F$4:$F$73,$A33)))*((EXACT('Casillas del horario'!$B$4:$B$73,$B33)))*((1-(('Casillas del horario'!$D$4:$D$73="")))))</f>
        <v/>
      </c>
      <c r="D33" s="3">
        <f>MID(IF((IFERROR(VALUE($C33&amp;""),0)&gt;IFERROR(VALUE(3&amp;""),0)),"; "&amp;IF(ISNUMBER(("Da "&amp;IF(ISNUMBER($C33),IF($C33=0,"0",ROUND($C33,9-INT(LOG10(ABS($C33))))&amp;""),$C33&amp;"")&amp;" sesiones ese dia")),IF(("Da "&amp;IF(ISNUMBER($C33),IF($C33=0,"0",ROUND($C33,9-INT(LOG10(ABS($C33))))&amp;""),$C33&amp;"")&amp;" sesiones ese dia")=0,"0",ROUND(("Da "&amp;IF(ISNUMBER($C33),IF($C33=0,"0",ROUND($C33,9-INT(LOG10(ABS($C33))))&amp;""),$C33&amp;"")&amp;" sesiones ese dia"),9-INT(LOG10(ABS(("Da "&amp;IF(ISNUMBER($C33),IF($C33=0,"0",ROUND($C33,9-INT(LOG10(ABS($C33))))&amp;""),$C33&amp;"")&amp;" sesiones ese dia")))))&amp;""),("Da "&amp;IF(ISNUMBER($C33),IF($C33=0,"0",ROUND($C33,9-INT(LOG10(ABS($C33))))&amp;""),$C33&amp;"")&amp;" sesiones ese dia")&amp;""),""),3,32767)</f>
        <v/>
      </c>
      <c r="E33" s="3">
        <f>IF(OR((IFERROR(VALUE($C33&amp;""),0)&gt;IFERROR(VALUE(3&amp;""),0))),2,0)</f>
        <v/>
      </c>
    </row>
    <row r="34">
      <c r="A34" s="3" t="inlineStr">
        <is>
          <t>Profesor de B en 10-3</t>
        </is>
      </c>
      <c r="B34" s="3" t="inlineStr">
        <is>
          <t>L</t>
        </is>
      </c>
      <c r="C34" s="3">
        <f>SUMPRODUCT(1*((EXACT('Casillas del horario'!$F$4:$F$73,$A34)))*((EXACT('Casillas del horario'!$B$4:$B$73,$B34)))*((1-(('Casillas del horario'!$D$4:$D$73="")))))</f>
        <v/>
      </c>
      <c r="D34" s="3">
        <f>MID(IF((IFERROR(VALUE($C34&amp;""),0)&gt;IFERROR(VALUE(3&amp;""),0)),"; "&amp;IF(ISNUMBER(("Da "&amp;IF(ISNUMBER($C34),IF($C34=0,"0",ROUND($C34,9-INT(LOG10(ABS($C34))))&amp;""),$C34&amp;"")&amp;" sesiones ese dia")),IF(("Da "&amp;IF(ISNUMBER($C34),IF($C34=0,"0",ROUND($C34,9-INT(LOG10(ABS($C34))))&amp;""),$C34&amp;"")&amp;" sesiones ese dia")=0,"0",ROUND(("Da "&amp;IF(ISNUMBER($C34),IF($C34=0,"0",ROUND($C34,9-INT(LOG10(ABS($C34))))&amp;""),$C34&amp;"")&amp;" sesiones ese dia"),9-INT(LOG10(ABS(("Da "&amp;IF(ISNUMBER($C34),IF($C34=0,"0",ROUND($C34,9-INT(LOG10(ABS($C34))))&amp;""),$C34&amp;"")&amp;" sesiones ese dia")))))&amp;""),("Da "&amp;IF(ISNUMBER($C34),IF($C34=0,"0",ROUND($C34,9-INT(LOG10(ABS($C34))))&amp;""),$C34&amp;"")&amp;" sesiones ese dia")&amp;""),""),3,32767)</f>
        <v/>
      </c>
      <c r="E34" s="3">
        <f>IF(OR((IFERROR(VALUE($C34&amp;""),0)&gt;IFERROR(VALUE(3&amp;""),0))),2,0)</f>
        <v/>
      </c>
    </row>
    <row r="35">
      <c r="A35" s="3" t="inlineStr">
        <is>
          <t>Profesor de B en 10-3</t>
        </is>
      </c>
      <c r="B35" s="3" t="inlineStr">
        <is>
          <t>M</t>
        </is>
      </c>
      <c r="C35" s="3">
        <f>SUMPRODUCT(1*((EXACT('Casillas del horario'!$F$4:$F$73,$A35)))*((EXACT('Casillas del horario'!$B$4:$B$73,$B35)))*((1-(('Casillas del horario'!$D$4:$D$73="")))))</f>
        <v/>
      </c>
      <c r="D35" s="3">
        <f>MID(IF((IFERROR(VALUE($C35&amp;""),0)&gt;IFERROR(VALUE(3&amp;""),0)),"; "&amp;IF(ISNUMBER(("Da "&amp;IF(ISNUMBER($C35),IF($C35=0,"0",ROUND($C35,9-INT(LOG10(ABS($C35))))&amp;""),$C35&amp;"")&amp;" sesiones ese dia")),IF(("Da "&amp;IF(ISNUMBER($C35),IF($C35=0,"0",ROUND($C35,9-INT(LOG10(ABS($C35))))&amp;""),$C35&amp;"")&amp;" sesiones ese dia")=0,"0",ROUND(("Da "&amp;IF(ISNUMBER($C35),IF($C35=0,"0",ROUND($C35,9-INT(LOG10(ABS($C35))))&amp;""),$C35&amp;"")&amp;" sesiones ese dia"),9-INT(LOG10(ABS(("Da "&amp;IF(ISNUMBER($C35),IF($C35=0,"0",ROUND($C35,9-INT(LOG10(ABS($C35))))&amp;""),$C35&amp;"")&amp;" sesiones ese dia")))))&amp;""),("Da "&amp;IF(ISNUMBER($C35),IF($C35=0,"0",ROUND($C35,9-INT(LOG10(ABS($C35))))&amp;""),$C35&amp;"")&amp;" sesiones ese dia")&amp;""),""),3,32767)</f>
        <v/>
      </c>
      <c r="E35" s="3">
        <f>IF(OR((IFERROR(VALUE($C35&amp;""),0)&gt;IFERROR(VALUE(3&amp;""),0))),2,0)</f>
        <v/>
      </c>
    </row>
    <row r="36">
      <c r="A36" s="3" t="inlineStr">
        <is>
          <t>Profesor de B en 10-3</t>
        </is>
      </c>
      <c r="B36" s="3" t="inlineStr">
        <is>
          <t>MI</t>
        </is>
      </c>
      <c r="C36" s="3">
        <f>SUMPRODUCT(1*((EXACT('Casillas del horario'!$F$4:$F$73,$A36)))*((EXACT('Casillas del horario'!$B$4:$B$73,$B36)))*((1-(('Casillas del horario'!$D$4:$D$73="")))))</f>
        <v/>
      </c>
      <c r="D36" s="3">
        <f>MID(IF((IFERROR(VALUE($C36&amp;""),0)&gt;IFERROR(VALUE(3&amp;""),0)),"; "&amp;IF(ISNUMBER(("Da "&amp;IF(ISNUMBER($C36),IF($C36=0,"0",ROUND($C36,9-INT(LOG10(ABS($C36))))&amp;""),$C36&amp;"")&amp;" sesiones ese dia")),IF(("Da "&amp;IF(ISNUMBER($C36),IF($C36=0,"0",ROUND($C36,9-INT(LOG10(ABS($C36))))&amp;""),$C36&amp;"")&amp;" sesiones ese dia")=0,"0",ROUND(("Da "&amp;IF(ISNUMBER($C36),IF($C36=0,"0",ROUND($C36,9-INT(LOG10(ABS($C36))))&amp;""),$C36&amp;"")&amp;" sesiones ese dia"),9-INT(LOG10(ABS(("Da "&amp;IF(ISNUMBER($C36),IF($C36=0,"0",ROUND($C36,9-INT(LOG10(ABS($C36))))&amp;""),$C36&amp;"")&amp;" sesiones ese dia")))))&amp;""),("Da "&amp;IF(ISNUMBER($C36),IF($C36=0,"0",ROUND($C36,9-INT(LOG10(ABS($C36))))&amp;""),$C36&amp;"")&amp;" sesiones ese dia")&amp;""),""),3,32767)</f>
        <v/>
      </c>
      <c r="E36" s="3">
        <f>IF(OR((IFERROR(VALUE($C36&amp;""),0)&gt;IFERROR(VALUE(3&amp;""),0))),2,0)</f>
        <v/>
      </c>
    </row>
    <row r="37">
      <c r="A37" s="3" t="inlineStr">
        <is>
          <t>Profesor de B en 10-3</t>
        </is>
      </c>
      <c r="B37" s="3" t="inlineStr">
        <is>
          <t>J</t>
        </is>
      </c>
      <c r="C37" s="3">
        <f>SUMPRODUCT(1*((EXACT('Casillas del horario'!$F$4:$F$73,$A37)))*((EXACT('Casillas del horario'!$B$4:$B$73,$B37)))*((1-(('Casillas del horario'!$D$4:$D$73="")))))</f>
        <v/>
      </c>
      <c r="D37" s="3">
        <f>MID(IF((IFERROR(VALUE($C37&amp;""),0)&gt;IFERROR(VALUE(3&amp;""),0)),"; "&amp;IF(ISNUMBER(("Da "&amp;IF(ISNUMBER($C37),IF($C37=0,"0",ROUND($C37,9-INT(LOG10(ABS($C37))))&amp;""),$C37&amp;"")&amp;" sesiones ese dia")),IF(("Da "&amp;IF(ISNUMBER($C37),IF($C37=0,"0",ROUND($C37,9-INT(LOG10(ABS($C37))))&amp;""),$C37&amp;"")&amp;" sesiones ese dia")=0,"0",ROUND(("Da "&amp;IF(ISNUMBER($C37),IF($C37=0,"0",ROUND($C37,9-INT(LOG10(ABS($C37))))&amp;""),$C37&amp;"")&amp;" sesiones ese dia"),9-INT(LOG10(ABS(("Da "&amp;IF(ISNUMBER($C37),IF($C37=0,"0",ROUND($C37,9-INT(LOG10(ABS($C37))))&amp;""),$C37&amp;"")&amp;" sesiones ese dia")))))&amp;""),("Da "&amp;IF(ISNUMBER($C37),IF($C37=0,"0",ROUND($C37,9-INT(LOG10(ABS($C37))))&amp;""),$C37&amp;"")&amp;" sesiones ese dia")&amp;""),""),3,32767)</f>
        <v/>
      </c>
      <c r="E37" s="3">
        <f>IF(OR((IFERROR(VALUE($C37&amp;""),0)&gt;IFERROR(VALUE(3&amp;""),0))),2,0)</f>
        <v/>
      </c>
    </row>
    <row r="38">
      <c r="A38" s="3" t="inlineStr">
        <is>
          <t>Profesor de B en 10-3</t>
        </is>
      </c>
      <c r="B38" s="3" t="inlineStr">
        <is>
          <t>V</t>
        </is>
      </c>
      <c r="C38" s="3">
        <f>SUMPRODUCT(1*((EXACT('Casillas del horario'!$F$4:$F$73,$A38)))*((EXACT('Casillas del horario'!$B$4:$B$73,$B38)))*((1-(('Casillas del horario'!$D$4:$D$73="")))))</f>
        <v/>
      </c>
      <c r="D38" s="3">
        <f>MID(IF((IFERROR(VALUE($C38&amp;""),0)&gt;IFERROR(VALUE(3&amp;""),0)),"; "&amp;IF(ISNUMBER(("Da "&amp;IF(ISNUMBER($C38),IF($C38=0,"0",ROUND($C38,9-INT(LOG10(ABS($C38))))&amp;""),$C38&amp;"")&amp;" sesiones ese dia")),IF(("Da "&amp;IF(ISNUMBER($C38),IF($C38=0,"0",ROUND($C38,9-INT(LOG10(ABS($C38))))&amp;""),$C38&amp;"")&amp;" sesiones ese dia")=0,"0",ROUND(("Da "&amp;IF(ISNUMBER($C38),IF($C38=0,"0",ROUND($C38,9-INT(LOG10(ABS($C38))))&amp;""),$C38&amp;"")&amp;" sesiones ese dia"),9-INT(LOG10(ABS(("Da "&amp;IF(ISNUMBER($C38),IF($C38=0,"0",ROUND($C38,9-INT(LOG10(ABS($C38))))&amp;""),$C38&amp;"")&amp;" sesiones ese dia")))))&amp;""),("Da "&amp;IF(ISNUMBER($C38),IF($C38=0,"0",ROUND($C38,9-INT(LOG10(ABS($C38))))&amp;""),$C38&amp;"")&amp;" sesiones ese dia")&amp;""),""),3,32767)</f>
        <v/>
      </c>
      <c r="E38" s="3">
        <f>IF(OR((IFERROR(VALUE($C38&amp;""),0)&gt;IFERROR(VALUE(3&amp;""),0))),2,0)</f>
        <v/>
      </c>
    </row>
    <row r="39">
      <c r="A39" s="3" t="inlineStr">
        <is>
          <t>Profesor de G en 10-3</t>
        </is>
      </c>
      <c r="B39" s="3" t="inlineStr">
        <is>
          <t>L</t>
        </is>
      </c>
      <c r="C39" s="3">
        <f>SUMPRODUCT(1*((EXACT('Casillas del horario'!$F$4:$F$73,$A39)))*((EXACT('Casillas del horario'!$B$4:$B$73,$B39)))*((1-(('Casillas del horario'!$D$4:$D$73="")))))</f>
        <v/>
      </c>
      <c r="D39" s="3">
        <f>MID(IF((IFERROR(VALUE($C39&amp;""),0)&gt;IFERROR(VALUE(3&amp;""),0)),"; "&amp;IF(ISNUMBER(("Da "&amp;IF(ISNUMBER($C39),IF($C39=0,"0",ROUND($C39,9-INT(LOG10(ABS($C39))))&amp;""),$C39&amp;"")&amp;" sesiones ese dia")),IF(("Da "&amp;IF(ISNUMBER($C39),IF($C39=0,"0",ROUND($C39,9-INT(LOG10(ABS($C39))))&amp;""),$C39&amp;"")&amp;" sesiones ese dia")=0,"0",ROUND(("Da "&amp;IF(ISNUMBER($C39),IF($C39=0,"0",ROUND($C39,9-INT(LOG10(ABS($C39))))&amp;""),$C39&amp;"")&amp;" sesiones ese dia"),9-INT(LOG10(ABS(("Da "&amp;IF(ISNUMBER($C39),IF($C39=0,"0",ROUND($C39,9-INT(LOG10(ABS($C39))))&amp;""),$C39&amp;"")&amp;" sesiones ese dia")))))&amp;""),("Da "&amp;IF(ISNUMBER($C39),IF($C39=0,"0",ROUND($C39,9-INT(LOG10(ABS($C39))))&amp;""),$C39&amp;"")&amp;" sesiones ese dia")&amp;""),""),3,32767)</f>
        <v/>
      </c>
      <c r="E39" s="3">
        <f>IF(OR((IFERROR(VALUE($C39&amp;""),0)&gt;IFERROR(VALUE(3&amp;""),0))),2,0)</f>
        <v/>
      </c>
    </row>
    <row r="40">
      <c r="A40" s="3" t="inlineStr">
        <is>
          <t>Profesor de G en 10-3</t>
        </is>
      </c>
      <c r="B40" s="3" t="inlineStr">
        <is>
          <t>M</t>
        </is>
      </c>
      <c r="C40" s="3">
        <f>SUMPRODUCT(1*((EXACT('Casillas del horario'!$F$4:$F$73,$A40)))*((EXACT('Casillas del horario'!$B$4:$B$73,$B40)))*((1-(('Casillas del horario'!$D$4:$D$73="")))))</f>
        <v/>
      </c>
      <c r="D40" s="3">
        <f>MID(IF((IFERROR(VALUE($C40&amp;""),0)&gt;IFERROR(VALUE(3&amp;""),0)),"; "&amp;IF(ISNUMBER(("Da "&amp;IF(ISNUMBER($C40),IF($C40=0,"0",ROUND($C40,9-INT(LOG10(ABS($C40))))&amp;""),$C40&amp;"")&amp;" sesiones ese dia")),IF(("Da "&amp;IF(ISNUMBER($C40),IF($C40=0,"0",ROUND($C40,9-INT(LOG10(ABS($C40))))&amp;""),$C40&amp;"")&amp;" sesiones ese dia")=0,"0",ROUND(("Da "&amp;IF(ISNUMBER($C40),IF($C40=0,"0",ROUND($C40,9-INT(LOG10(ABS($C40))))&amp;""),$C40&amp;"")&amp;" sesiones ese dia"),9-INT(LOG10(ABS(("Da "&amp;IF(ISNUMBER($C40),IF($C40=0,"0",ROUND($C40,9-INT(LOG10(ABS($C40))))&amp;""),$C40&amp;"")&amp;" sesiones ese dia")))))&amp;""),("Da "&amp;IF(ISNUMBER($C40),IF($C40=0,"0",ROUND($C40,9-INT(LOG10(ABS($C40))))&amp;""),$C40&amp;"")&amp;" sesiones ese dia")&amp;""),""),3,32767)</f>
        <v/>
      </c>
      <c r="E40" s="3">
        <f>IF(OR((IFERROR(VALUE($C40&amp;""),0)&gt;IFERROR(VALUE(3&amp;""),0))),2,0)</f>
        <v/>
      </c>
    </row>
    <row r="41">
      <c r="A41" s="3" t="inlineStr">
        <is>
          <t>Profesor de G en 10-3</t>
        </is>
      </c>
      <c r="B41" s="3" t="inlineStr">
        <is>
          <t>MI</t>
        </is>
      </c>
      <c r="C41" s="3">
        <f>SUMPRODUCT(1*((EXACT('Casillas del horario'!$F$4:$F$73,$A41)))*((EXACT('Casillas del horario'!$B$4:$B$73,$B41)))*((1-(('Casillas del horario'!$D$4:$D$73="")))))</f>
        <v/>
      </c>
      <c r="D41" s="3">
        <f>MID(IF((IFERROR(VALUE($C41&amp;""),0)&gt;IFERROR(VALUE(3&amp;""),0)),"; "&amp;IF(ISNUMBER(("Da "&amp;IF(ISNUMBER($C41),IF($C41=0,"0",ROUND($C41,9-INT(LOG10(ABS($C41))))&amp;""),$C41&amp;"")&amp;" sesiones ese dia")),IF(("Da "&amp;IF(ISNUMBER($C41),IF($C41=0,"0",ROUND($C41,9-INT(LOG10(ABS($C41))))&amp;""),$C41&amp;"")&amp;" sesiones ese dia")=0,"0",ROUND(("Da "&amp;IF(ISNUMBER($C41),IF($C41=0,"0",ROUND($C41,9-INT(LOG10(ABS($C41))))&amp;""),$C41&amp;"")&amp;" sesiones ese dia"),9-INT(LOG10(ABS(("Da "&amp;IF(ISNUMBER($C41),IF($C41=0,"0",ROUND($C41,9-INT(LOG10(ABS($C41))))&amp;""),$C41&amp;"")&amp;" sesiones ese dia")))))&amp;""),("Da "&amp;IF(ISNUMBER($C41),IF($C41=0,"0",ROUND($C41,9-INT(LOG10(ABS($C41))))&amp;""),$C41&amp;"")&amp;" sesiones ese dia")&amp;""),""),3,32767)</f>
        <v/>
      </c>
      <c r="E41" s="3">
        <f>IF(OR((IFERROR(VALUE($C41&amp;""),0)&gt;IFERROR(VALUE(3&amp;""),0))),2,0)</f>
        <v/>
      </c>
    </row>
    <row r="42">
      <c r="A42" s="3" t="inlineStr">
        <is>
          <t>Profesor de G en 10-3</t>
        </is>
      </c>
      <c r="B42" s="3" t="inlineStr">
        <is>
          <t>J</t>
        </is>
      </c>
      <c r="C42" s="3">
        <f>SUMPRODUCT(1*((EXACT('Casillas del horario'!$F$4:$F$73,$A42)))*((EXACT('Casillas del horario'!$B$4:$B$73,$B42)))*((1-(('Casillas del horario'!$D$4:$D$73="")))))</f>
        <v/>
      </c>
      <c r="D42" s="3">
        <f>MID(IF((IFERROR(VALUE($C42&amp;""),0)&gt;IFERROR(VALUE(3&amp;""),0)),"; "&amp;IF(ISNUMBER(("Da "&amp;IF(ISNUMBER($C42),IF($C42=0,"0",ROUND($C42,9-INT(LOG10(ABS($C42))))&amp;""),$C42&amp;"")&amp;" sesiones ese dia")),IF(("Da "&amp;IF(ISNUMBER($C42),IF($C42=0,"0",ROUND($C42,9-INT(LOG10(ABS($C42))))&amp;""),$C42&amp;"")&amp;" sesiones ese dia")=0,"0",ROUND(("Da "&amp;IF(ISNUMBER($C42),IF($C42=0,"0",ROUND($C42,9-INT(LOG10(ABS($C42))))&amp;""),$C42&amp;"")&amp;" sesiones ese dia"),9-INT(LOG10(ABS(("Da "&amp;IF(ISNUMBER($C42),IF($C42=0,"0",ROUND($C42,9-INT(LOG10(ABS($C42))))&amp;""),$C42&amp;"")&amp;" sesiones ese dia")))))&amp;""),("Da "&amp;IF(ISNUMBER($C42),IF($C42=0,"0",ROUND($C42,9-INT(LOG10(ABS($C42))))&amp;""),$C42&amp;"")&amp;" sesiones ese dia")&amp;""),""),3,32767)</f>
        <v/>
      </c>
      <c r="E42" s="3">
        <f>IF(OR((IFERROR(VALUE($C42&amp;""),0)&gt;IFERROR(VALUE(3&amp;""),0))),2,0)</f>
        <v/>
      </c>
    </row>
    <row r="43">
      <c r="A43" s="3" t="inlineStr">
        <is>
          <t>Profesor de G en 10-3</t>
        </is>
      </c>
      <c r="B43" s="3" t="inlineStr">
        <is>
          <t>V</t>
        </is>
      </c>
      <c r="C43" s="3">
        <f>SUMPRODUCT(1*((EXACT('Casillas del horario'!$F$4:$F$73,$A43)))*((EXACT('Casillas del horario'!$B$4:$B$73,$B43)))*((1-(('Casillas del horario'!$D$4:$D$73="")))))</f>
        <v/>
      </c>
      <c r="D43" s="3">
        <f>MID(IF((IFERROR(VALUE($C43&amp;""),0)&gt;IFERROR(VALUE(3&amp;""),0)),"; "&amp;IF(ISNUMBER(("Da "&amp;IF(ISNUMBER($C43),IF($C43=0,"0",ROUND($C43,9-INT(LOG10(ABS($C43))))&amp;""),$C43&amp;"")&amp;" sesiones ese dia")),IF(("Da "&amp;IF(ISNUMBER($C43),IF($C43=0,"0",ROUND($C43,9-INT(LOG10(ABS($C43))))&amp;""),$C43&amp;"")&amp;" sesiones ese dia")=0,"0",ROUND(("Da "&amp;IF(ISNUMBER($C43),IF($C43=0,"0",ROUND($C43,9-INT(LOG10(ABS($C43))))&amp;""),$C43&amp;"")&amp;" sesiones ese dia"),9-INT(LOG10(ABS(("Da "&amp;IF(ISNUMBER($C43),IF($C43=0,"0",ROUND($C43,9-INT(LOG10(ABS($C43))))&amp;""),$C43&amp;"")&amp;" sesiones ese dia")))))&amp;""),("Da "&amp;IF(ISNUMBER($C43),IF($C43=0,"0",ROUND($C43,9-INT(LOG10(ABS($C43))))&amp;""),$C43&amp;"")&amp;" sesiones ese dia")&amp;""),""),3,32767)</f>
        <v/>
      </c>
      <c r="E43" s="3">
        <f>IF(OR((IFERROR(VALUE($C43&amp;""),0)&gt;IFERROR(VALUE(3&amp;""),0))),2,0)</f>
        <v/>
      </c>
    </row>
    <row r="44">
      <c r="A44" s="3" t="inlineStr">
        <is>
          <t>Profesor de INF en 10-3</t>
        </is>
      </c>
      <c r="B44" s="3" t="inlineStr">
        <is>
          <t>L</t>
        </is>
      </c>
      <c r="C44" s="3">
        <f>SUMPRODUCT(1*((EXACT('Casillas del horario'!$F$4:$F$73,$A44)))*((EXACT('Casillas del horario'!$B$4:$B$73,$B44)))*((1-(('Casillas del horario'!$D$4:$D$73="")))))</f>
        <v/>
      </c>
      <c r="D44" s="3">
        <f>MID(IF((IFERROR(VALUE($C44&amp;""),0)&gt;IFERROR(VALUE(3&amp;""),0)),"; "&amp;IF(ISNUMBER(("Da "&amp;IF(ISNUMBER($C44),IF($C44=0,"0",ROUND($C44,9-INT(LOG10(ABS($C44))))&amp;""),$C44&amp;"")&amp;" sesiones ese dia")),IF(("Da "&amp;IF(ISNUMBER($C44),IF($C44=0,"0",ROUND($C44,9-INT(LOG10(ABS($C44))))&amp;""),$C44&amp;"")&amp;" sesiones ese dia")=0,"0",ROUND(("Da "&amp;IF(ISNUMBER($C44),IF($C44=0,"0",ROUND($C44,9-INT(LOG10(ABS($C44))))&amp;""),$C44&amp;"")&amp;" sesiones ese dia"),9-INT(LOG10(ABS(("Da "&amp;IF(ISNUMBER($C44),IF($C44=0,"0",ROUND($C44,9-INT(LOG10(ABS($C44))))&amp;""),$C44&amp;"")&amp;" sesiones ese dia")))))&amp;""),("Da "&amp;IF(ISNUMBER($C44),IF($C44=0,"0",ROUND($C44,9-INT(LOG10(ABS($C44))))&amp;""),$C44&amp;"")&amp;" sesiones ese dia")&amp;""),""),3,32767)</f>
        <v/>
      </c>
      <c r="E44" s="3">
        <f>IF(OR((IFERROR(VALUE($C44&amp;""),0)&gt;IFERROR(VALUE(3&amp;""),0))),2,0)</f>
        <v/>
      </c>
    </row>
    <row r="45">
      <c r="A45" s="3" t="inlineStr">
        <is>
          <t>Profesor de INF en 10-3</t>
        </is>
      </c>
      <c r="B45" s="3" t="inlineStr">
        <is>
          <t>M</t>
        </is>
      </c>
      <c r="C45" s="3">
        <f>SUMPRODUCT(1*((EXACT('Casillas del horario'!$F$4:$F$73,$A45)))*((EXACT('Casillas del horario'!$B$4:$B$73,$B45)))*((1-(('Casillas del horario'!$D$4:$D$73="")))))</f>
        <v/>
      </c>
      <c r="D45" s="3">
        <f>MID(IF((IFERROR(VALUE($C45&amp;""),0)&gt;IFERROR(VALUE(3&amp;""),0)),"; "&amp;IF(ISNUMBER(("Da "&amp;IF(ISNUMBER($C45),IF($C45=0,"0",ROUND($C45,9-INT(LOG10(ABS($C45))))&amp;""),$C45&amp;"")&amp;" sesiones ese dia")),IF(("Da "&amp;IF(ISNUMBER($C45),IF($C45=0,"0",ROUND($C45,9-INT(LOG10(ABS($C45))))&amp;""),$C45&amp;"")&amp;" sesiones ese dia")=0,"0",ROUND(("Da "&amp;IF(ISNUMBER($C45),IF($C45=0,"0",ROUND($C45,9-INT(LOG10(ABS($C45))))&amp;""),$C45&amp;"")&amp;" sesiones ese dia"),9-INT(LOG10(ABS(("Da "&amp;IF(ISNUMBER($C45),IF($C45=0,"0",ROUND($C45,9-INT(LOG10(ABS($C45))))&amp;""),$C45&amp;"")&amp;" sesiones ese dia")))))&amp;""),("Da "&amp;IF(ISNUMBER($C45),IF($C45=0,"0",ROUND($C45,9-INT(LOG10(ABS($C45))))&amp;""),$C45&amp;"")&amp;" sesiones ese dia")&amp;""),""),3,32767)</f>
        <v/>
      </c>
      <c r="E45" s="3">
        <f>IF(OR((IFERROR(VALUE($C45&amp;""),0)&gt;IFERROR(VALUE(3&amp;""),0))),2,0)</f>
        <v/>
      </c>
    </row>
    <row r="46">
      <c r="A46" s="3" t="inlineStr">
        <is>
          <t>Profesor de INF en 10-3</t>
        </is>
      </c>
      <c r="B46" s="3" t="inlineStr">
        <is>
          <t>MI</t>
        </is>
      </c>
      <c r="C46" s="3">
        <f>SUMPRODUCT(1*((EXACT('Casillas del horario'!$F$4:$F$73,$A46)))*((EXACT('Casillas del horario'!$B$4:$B$73,$B46)))*((1-(('Casillas del horario'!$D$4:$D$73="")))))</f>
        <v/>
      </c>
      <c r="D46" s="3">
        <f>MID(IF((IFERROR(VALUE($C46&amp;""),0)&gt;IFERROR(VALUE(3&amp;""),0)),"; "&amp;IF(ISNUMBER(("Da "&amp;IF(ISNUMBER($C46),IF($C46=0,"0",ROUND($C46,9-INT(LOG10(ABS($C46))))&amp;""),$C46&amp;"")&amp;" sesiones ese dia")),IF(("Da "&amp;IF(ISNUMBER($C46),IF($C46=0,"0",ROUND($C46,9-INT(LOG10(ABS($C46))))&amp;""),$C46&amp;"")&amp;" sesiones ese dia")=0,"0",ROUND(("Da "&amp;IF(ISNUMBER($C46),IF($C46=0,"0",ROUND($C46,9-INT(LOG10(ABS($C46))))&amp;""),$C46&amp;"")&amp;" sesiones ese dia"),9-INT(LOG10(ABS(("Da "&amp;IF(ISNUMBER($C46),IF($C46=0,"0",ROUND($C46,9-INT(LOG10(ABS($C46))))&amp;""),$C46&amp;"")&amp;" sesiones ese dia")))))&amp;""),("Da "&amp;IF(ISNUMBER($C46),IF($C46=0,"0",ROUND($C46,9-INT(LOG10(ABS($C46))))&amp;""),$C46&amp;"")&amp;" sesiones ese dia")&amp;""),""),3,32767)</f>
        <v/>
      </c>
      <c r="E46" s="3">
        <f>IF(OR((IFERROR(VALUE($C46&amp;""),0)&gt;IFERROR(VALUE(3&amp;""),0))),2,0)</f>
        <v/>
      </c>
    </row>
    <row r="47">
      <c r="A47" s="3" t="inlineStr">
        <is>
          <t>Profesor de INF en 10-3</t>
        </is>
      </c>
      <c r="B47" s="3" t="inlineStr">
        <is>
          <t>J</t>
        </is>
      </c>
      <c r="C47" s="3">
        <f>SUMPRODUCT(1*((EXACT('Casillas del horario'!$F$4:$F$73,$A47)))*((EXACT('Casillas del horario'!$B$4:$B$73,$B47)))*((1-(('Casillas del horario'!$D$4:$D$73="")))))</f>
        <v/>
      </c>
      <c r="D47" s="3">
        <f>MID(IF((IFERROR(VALUE($C47&amp;""),0)&gt;IFERROR(VALUE(3&amp;""),0)),"; "&amp;IF(ISNUMBER(("Da "&amp;IF(ISNUMBER($C47),IF($C47=0,"0",ROUND($C47,9-INT(LOG10(ABS($C47))))&amp;""),$C47&amp;"")&amp;" sesiones ese dia")),IF(("Da "&amp;IF(ISNUMBER($C47),IF($C47=0,"0",ROUND($C47,9-INT(LOG10(ABS($C47))))&amp;""),$C47&amp;"")&amp;" sesiones ese dia")=0,"0",ROUND(("Da "&amp;IF(ISNUMBER($C47),IF($C47=0,"0",ROUND($C47,9-INT(LOG10(ABS($C47))))&amp;""),$C47&amp;"")&amp;" sesiones ese dia"),9-INT(LOG10(ABS(("Da "&amp;IF(ISNUMBER($C47),IF($C47=0,"0",ROUND($C47,9-INT(LOG10(ABS($C47))))&amp;""),$C47&amp;"")&amp;" sesiones ese dia")))))&amp;""),("Da "&amp;IF(ISNUMBER($C47),IF($C47=0,"0",ROUND($C47,9-INT(LOG10(ABS($C47))))&amp;""),$C47&amp;"")&amp;" sesiones ese dia")&amp;""),""),3,32767)</f>
        <v/>
      </c>
      <c r="E47" s="3">
        <f>IF(OR((IFERROR(VALUE($C47&amp;""),0)&gt;IFERROR(VALUE(3&amp;""),0))),2,0)</f>
        <v/>
      </c>
    </row>
    <row r="48">
      <c r="A48" s="3" t="inlineStr">
        <is>
          <t>Profesor de INF en 10-3</t>
        </is>
      </c>
      <c r="B48" s="3" t="inlineStr">
        <is>
          <t>V</t>
        </is>
      </c>
      <c r="C48" s="3">
        <f>SUMPRODUCT(1*((EXACT('Casillas del horario'!$F$4:$F$73,$A48)))*((EXACT('Casillas del horario'!$B$4:$B$73,$B48)))*((1-(('Casillas del horario'!$D$4:$D$73="")))))</f>
        <v/>
      </c>
      <c r="D48" s="3">
        <f>MID(IF((IFERROR(VALUE($C48&amp;""),0)&gt;IFERROR(VALUE(3&amp;""),0)),"; "&amp;IF(ISNUMBER(("Da "&amp;IF(ISNUMBER($C48),IF($C48=0,"0",ROUND($C48,9-INT(LOG10(ABS($C48))))&amp;""),$C48&amp;"")&amp;" sesiones ese dia")),IF(("Da "&amp;IF(ISNUMBER($C48),IF($C48=0,"0",ROUND($C48,9-INT(LOG10(ABS($C48))))&amp;""),$C48&amp;"")&amp;" sesiones ese dia")=0,"0",ROUND(("Da "&amp;IF(ISNUMBER($C48),IF($C48=0,"0",ROUND($C48,9-INT(LOG10(ABS($C48))))&amp;""),$C48&amp;"")&amp;" sesiones ese dia"),9-INT(LOG10(ABS(("Da "&amp;IF(ISNUMBER($C48),IF($C48=0,"0",ROUND($C48,9-INT(LOG10(ABS($C48))))&amp;""),$C48&amp;"")&amp;" sesiones ese dia")))))&amp;""),("Da "&amp;IF(ISNUMBER($C48),IF($C48=0,"0",ROUND($C48,9-INT(LOG10(ABS($C48))))&amp;""),$C48&amp;"")&amp;" sesiones ese dia")&amp;""),""),3,32767)</f>
        <v/>
      </c>
      <c r="E48" s="3">
        <f>IF(OR((IFERROR(VALUE($C48&amp;""),0)&gt;IFERROR(VALUE(3&amp;""),0))),2,0)</f>
        <v/>
      </c>
    </row>
    <row r="49">
      <c r="A49" s="3" t="inlineStr">
        <is>
          <t>Profesor de Q en 10-3</t>
        </is>
      </c>
      <c r="B49" s="3" t="inlineStr">
        <is>
          <t>L</t>
        </is>
      </c>
      <c r="C49" s="3">
        <f>SUMPRODUCT(1*((EXACT('Casillas del horario'!$F$4:$F$73,$A49)))*((EXACT('Casillas del horario'!$B$4:$B$73,$B49)))*((1-(('Casillas del horario'!$D$4:$D$73="")))))</f>
        <v/>
      </c>
      <c r="D49" s="3">
        <f>MID(IF((IFERROR(VALUE($C49&amp;""),0)&gt;IFERROR(VALUE(3&amp;""),0)),"; "&amp;IF(ISNUMBER(("Da "&amp;IF(ISNUMBER($C49),IF($C49=0,"0",ROUND($C49,9-INT(LOG10(ABS($C49))))&amp;""),$C49&amp;"")&amp;" sesiones ese dia")),IF(("Da "&amp;IF(ISNUMBER($C49),IF($C49=0,"0",ROUND($C49,9-INT(LOG10(ABS($C49))))&amp;""),$C49&amp;"")&amp;" sesiones ese dia")=0,"0",ROUND(("Da "&amp;IF(ISNUMBER($C49),IF($C49=0,"0",ROUND($C49,9-INT(LOG10(ABS($C49))))&amp;""),$C49&amp;"")&amp;" sesiones ese dia"),9-INT(LOG10(ABS(("Da "&amp;IF(ISNUMBER($C49),IF($C49=0,"0",ROUND($C49,9-INT(LOG10(ABS($C49))))&amp;""),$C49&amp;"")&amp;" sesiones ese dia")))))&amp;""),("Da "&amp;IF(ISNUMBER($C49),IF($C49=0,"0",ROUND($C49,9-INT(LOG10(ABS($C49))))&amp;""),$C49&amp;"")&amp;" sesiones ese dia")&amp;""),""),3,32767)</f>
        <v/>
      </c>
      <c r="E49" s="3">
        <f>IF(OR((IFERROR(VALUE($C49&amp;""),0)&gt;IFERROR(VALUE(3&amp;""),0))),2,0)</f>
        <v/>
      </c>
    </row>
    <row r="50">
      <c r="A50" s="3" t="inlineStr">
        <is>
          <t>Profesor de Q en 10-3</t>
        </is>
      </c>
      <c r="B50" s="3" t="inlineStr">
        <is>
          <t>M</t>
        </is>
      </c>
      <c r="C50" s="3">
        <f>SUMPRODUCT(1*((EXACT('Casillas del horario'!$F$4:$F$73,$A50)))*((EXACT('Casillas del horario'!$B$4:$B$73,$B50)))*((1-(('Casillas del horario'!$D$4:$D$73="")))))</f>
        <v/>
      </c>
      <c r="D50" s="3">
        <f>MID(IF((IFERROR(VALUE($C50&amp;""),0)&gt;IFERROR(VALUE(3&amp;""),0)),"; "&amp;IF(ISNUMBER(("Da "&amp;IF(ISNUMBER($C50),IF($C50=0,"0",ROUND($C50,9-INT(LOG10(ABS($C50))))&amp;""),$C50&amp;"")&amp;" sesiones ese dia")),IF(("Da "&amp;IF(ISNUMBER($C50),IF($C50=0,"0",ROUND($C50,9-INT(LOG10(ABS($C50))))&amp;""),$C50&amp;"")&amp;" sesiones ese dia")=0,"0",ROUND(("Da "&amp;IF(ISNUMBER($C50),IF($C50=0,"0",ROUND($C50,9-INT(LOG10(ABS($C50))))&amp;""),$C50&amp;"")&amp;" sesiones ese dia"),9-INT(LOG10(ABS(("Da "&amp;IF(ISNUMBER($C50),IF($C50=0,"0",ROUND($C50,9-INT(LOG10(ABS($C50))))&amp;""),$C50&amp;"")&amp;" sesiones ese dia")))))&amp;""),("Da "&amp;IF(ISNUMBER($C50),IF($C50=0,"0",ROUND($C50,9-INT(LOG10(ABS($C50))))&amp;""),$C50&amp;"")&amp;" sesiones ese dia")&amp;""),""),3,32767)</f>
        <v/>
      </c>
      <c r="E50" s="3">
        <f>IF(OR((IFERROR(VALUE($C50&amp;""),0)&gt;IFERROR(VALUE(3&amp;""),0))),2,0)</f>
        <v/>
      </c>
    </row>
    <row r="51">
      <c r="A51" s="3" t="inlineStr">
        <is>
          <t>Profesor de Q en 10-3</t>
        </is>
      </c>
      <c r="B51" s="3" t="inlineStr">
        <is>
          <t>MI</t>
        </is>
      </c>
      <c r="C51" s="3">
        <f>SUMPRODUCT(1*((EXACT('Casillas del horario'!$F$4:$F$73,$A51)))*((EXACT('Casillas del horario'!$B$4:$B$73,$B51)))*((1-(('Casillas del horario'!$D$4:$D$73="")))))</f>
        <v/>
      </c>
      <c r="D51" s="3">
        <f>MID(IF((IFERROR(VALUE($C51&amp;""),0)&gt;IFERROR(VALUE(3&amp;""),0)),"; "&amp;IF(ISNUMBER(("Da "&amp;IF(ISNUMBER($C51),IF($C51=0,"0",ROUND($C51,9-INT(LOG10(ABS($C51))))&amp;""),$C51&amp;"")&amp;" sesiones ese dia")),IF(("Da "&amp;IF(ISNUMBER($C51),IF($C51=0,"0",ROUND($C51,9-INT(LOG10(ABS($C51))))&amp;""),$C51&amp;"")&amp;" sesiones ese dia")=0,"0",ROUND(("Da "&amp;IF(ISNUMBER($C51),IF($C51=0,"0",ROUND($C51,9-INT(LOG10(ABS($C51))))&amp;""),$C51&amp;"")&amp;" sesiones ese dia"),9-INT(LOG10(ABS(("Da "&amp;IF(ISNUMBER($C51),IF($C51=0,"0",ROUND($C51,9-INT(LOG10(ABS($C51))))&amp;""),$C51&amp;"")&amp;" sesiones ese dia")))))&amp;""),("Da "&amp;IF(ISNUMBER($C51),IF($C51=0,"0",ROUND($C51,9-INT(LOG10(ABS($C51))))&amp;""),$C51&amp;"")&amp;" sesiones ese dia")&amp;""),""),3,32767)</f>
        <v/>
      </c>
      <c r="E51" s="3">
        <f>IF(OR((IFERROR(VALUE($C51&amp;""),0)&gt;IFERROR(VALUE(3&amp;""),0))),2,0)</f>
        <v/>
      </c>
    </row>
    <row r="52">
      <c r="A52" s="3" t="inlineStr">
        <is>
          <t>Profesor de Q en 10-3</t>
        </is>
      </c>
      <c r="B52" s="3" t="inlineStr">
        <is>
          <t>J</t>
        </is>
      </c>
      <c r="C52" s="3">
        <f>SUMPRODUCT(1*((EXACT('Casillas del horario'!$F$4:$F$73,$A52)))*((EXACT('Casillas del horario'!$B$4:$B$73,$B52)))*((1-(('Casillas del horario'!$D$4:$D$73="")))))</f>
        <v/>
      </c>
      <c r="D52" s="3">
        <f>MID(IF((IFERROR(VALUE($C52&amp;""),0)&gt;IFERROR(VALUE(3&amp;""),0)),"; "&amp;IF(ISNUMBER(("Da "&amp;IF(ISNUMBER($C52),IF($C52=0,"0",ROUND($C52,9-INT(LOG10(ABS($C52))))&amp;""),$C52&amp;"")&amp;" sesiones ese dia")),IF(("Da "&amp;IF(ISNUMBER($C52),IF($C52=0,"0",ROUND($C52,9-INT(LOG10(ABS($C52))))&amp;""),$C52&amp;"")&amp;" sesiones ese dia")=0,"0",ROUND(("Da "&amp;IF(ISNUMBER($C52),IF($C52=0,"0",ROUND($C52,9-INT(LOG10(ABS($C52))))&amp;""),$C52&amp;"")&amp;" sesiones ese dia"),9-INT(LOG10(ABS(("Da "&amp;IF(ISNUMBER($C52),IF($C52=0,"0",ROUND($C52,9-INT(LOG10(ABS($C52))))&amp;""),$C52&amp;"")&amp;" sesiones ese dia")))))&amp;""),("Da "&amp;IF(ISNUMBER($C52),IF($C52=0,"0",ROUND($C52,9-INT(LOG10(ABS($C52))))&amp;""),$C52&amp;"")&amp;" sesiones ese dia")&amp;""),""),3,32767)</f>
        <v/>
      </c>
      <c r="E52" s="3">
        <f>IF(OR((IFERROR(VALUE($C52&amp;""),0)&gt;IFERROR(VALUE(3&amp;""),0))),2,0)</f>
        <v/>
      </c>
    </row>
    <row r="53">
      <c r="A53" s="3" t="inlineStr">
        <is>
          <t>Profesor de Q en 10-3</t>
        </is>
      </c>
      <c r="B53" s="3" t="inlineStr">
        <is>
          <t>V</t>
        </is>
      </c>
      <c r="C53" s="3">
        <f>SUMPRODUCT(1*((EXACT('Casillas del horario'!$F$4:$F$73,$A53)))*((EXACT('Casillas del horario'!$B$4:$B$73,$B53)))*((1-(('Casillas del horario'!$D$4:$D$73="")))))</f>
        <v/>
      </c>
      <c r="D53" s="3">
        <f>MID(IF((IFERROR(VALUE($C53&amp;""),0)&gt;IFERROR(VALUE(3&amp;""),0)),"; "&amp;IF(ISNUMBER(("Da "&amp;IF(ISNUMBER($C53),IF($C53=0,"0",ROUND($C53,9-INT(LOG10(ABS($C53))))&amp;""),$C53&amp;"")&amp;" sesiones ese dia")),IF(("Da "&amp;IF(ISNUMBER($C53),IF($C53=0,"0",ROUND($C53,9-INT(LOG10(ABS($C53))))&amp;""),$C53&amp;"")&amp;" sesiones ese dia")=0,"0",ROUND(("Da "&amp;IF(ISNUMBER($C53),IF($C53=0,"0",ROUND($C53,9-INT(LOG10(ABS($C53))))&amp;""),$C53&amp;"")&amp;" sesiones ese dia"),9-INT(LOG10(ABS(("Da "&amp;IF(ISNUMBER($C53),IF($C53=0,"0",ROUND($C53,9-INT(LOG10(ABS($C53))))&amp;""),$C53&amp;"")&amp;" sesiones ese dia")))))&amp;""),("Da "&amp;IF(ISNUMBER($C53),IF($C53=0,"0",ROUND($C53,9-INT(LOG10(ABS($C53))))&amp;""),$C53&amp;"")&amp;" sesiones ese dia")&amp;""),""),3,32767)</f>
        <v/>
      </c>
      <c r="E53" s="3">
        <f>IF(OR((IFERROR(VALUE($C53&amp;""),0)&gt;IFERROR(VALUE(3&amp;""),0))),2,0)</f>
        <v/>
      </c>
    </row>
    <row r="54">
      <c r="A54" s="3" t="inlineStr">
        <is>
          <t>Profesor de CP en 10-3</t>
        </is>
      </c>
      <c r="B54" s="3" t="inlineStr">
        <is>
          <t>L</t>
        </is>
      </c>
      <c r="C54" s="3">
        <f>SUMPRODUCT(1*((EXACT('Casillas del horario'!$F$4:$F$73,$A54)))*((EXACT('Casillas del horario'!$B$4:$B$73,$B54)))*((1-(('Casillas del horario'!$D$4:$D$73="")))))</f>
        <v/>
      </c>
      <c r="D54" s="3">
        <f>MID(IF((IFERROR(VALUE($C54&amp;""),0)&gt;IFERROR(VALUE(3&amp;""),0)),"; "&amp;IF(ISNUMBER(("Da "&amp;IF(ISNUMBER($C54),IF($C54=0,"0",ROUND($C54,9-INT(LOG10(ABS($C54))))&amp;""),$C54&amp;"")&amp;" sesiones ese dia")),IF(("Da "&amp;IF(ISNUMBER($C54),IF($C54=0,"0",ROUND($C54,9-INT(LOG10(ABS($C54))))&amp;""),$C54&amp;"")&amp;" sesiones ese dia")=0,"0",ROUND(("Da "&amp;IF(ISNUMBER($C54),IF($C54=0,"0",ROUND($C54,9-INT(LOG10(ABS($C54))))&amp;""),$C54&amp;"")&amp;" sesiones ese dia"),9-INT(LOG10(ABS(("Da "&amp;IF(ISNUMBER($C54),IF($C54=0,"0",ROUND($C54,9-INT(LOG10(ABS($C54))))&amp;""),$C54&amp;"")&amp;" sesiones ese dia")))))&amp;""),("Da "&amp;IF(ISNUMBER($C54),IF($C54=0,"0",ROUND($C54,9-INT(LOG10(ABS($C54))))&amp;""),$C54&amp;"")&amp;" sesiones ese dia")&amp;""),""),3,32767)</f>
        <v/>
      </c>
      <c r="E54" s="3">
        <f>IF(OR((IFERROR(VALUE($C54&amp;""),0)&gt;IFERROR(VALUE(3&amp;""),0))),2,0)</f>
        <v/>
      </c>
    </row>
    <row r="55">
      <c r="A55" s="3" t="inlineStr">
        <is>
          <t>Profesor de CP en 10-3</t>
        </is>
      </c>
      <c r="B55" s="3" t="inlineStr">
        <is>
          <t>M</t>
        </is>
      </c>
      <c r="C55" s="3">
        <f>SUMPRODUCT(1*((EXACT('Casillas del horario'!$F$4:$F$73,$A55)))*((EXACT('Casillas del horario'!$B$4:$B$73,$B55)))*((1-(('Casillas del horario'!$D$4:$D$73="")))))</f>
        <v/>
      </c>
      <c r="D55" s="3">
        <f>MID(IF((IFERROR(VALUE($C55&amp;""),0)&gt;IFERROR(VALUE(3&amp;""),0)),"; "&amp;IF(ISNUMBER(("Da "&amp;IF(ISNUMBER($C55),IF($C55=0,"0",ROUND($C55,9-INT(LOG10(ABS($C55))))&amp;""),$C55&amp;"")&amp;" sesiones ese dia")),IF(("Da "&amp;IF(ISNUMBER($C55),IF($C55=0,"0",ROUND($C55,9-INT(LOG10(ABS($C55))))&amp;""),$C55&amp;"")&amp;" sesiones ese dia")=0,"0",ROUND(("Da "&amp;IF(ISNUMBER($C55),IF($C55=0,"0",ROUND($C55,9-INT(LOG10(ABS($C55))))&amp;""),$C55&amp;"")&amp;" sesiones ese dia"),9-INT(LOG10(ABS(("Da "&amp;IF(ISNUMBER($C55),IF($C55=0,"0",ROUND($C55,9-INT(LOG10(ABS($C55))))&amp;""),$C55&amp;"")&amp;" sesiones ese dia")))))&amp;""),("Da "&amp;IF(ISNUMBER($C55),IF($C55=0,"0",ROUND($C55,9-INT(LOG10(ABS($C55))))&amp;""),$C55&amp;"")&amp;" sesiones ese dia")&amp;""),""),3,32767)</f>
        <v/>
      </c>
      <c r="E55" s="3">
        <f>IF(OR((IFERROR(VALUE($C55&amp;""),0)&gt;IFERROR(VALUE(3&amp;""),0))),2,0)</f>
        <v/>
      </c>
    </row>
    <row r="56">
      <c r="A56" s="3" t="inlineStr">
        <is>
          <t>Profesor de CP en 10-3</t>
        </is>
      </c>
      <c r="B56" s="3" t="inlineStr">
        <is>
          <t>MI</t>
        </is>
      </c>
      <c r="C56" s="3">
        <f>SUMPRODUCT(1*((EXACT('Casillas del horario'!$F$4:$F$73,$A56)))*((EXACT('Casillas del horario'!$B$4:$B$73,$B56)))*((1-(('Casillas del horario'!$D$4:$D$73="")))))</f>
        <v/>
      </c>
      <c r="D56" s="3">
        <f>MID(IF((IFERROR(VALUE($C56&amp;""),0)&gt;IFERROR(VALUE(3&amp;""),0)),"; "&amp;IF(ISNUMBER(("Da "&amp;IF(ISNUMBER($C56),IF($C56=0,"0",ROUND($C56,9-INT(LOG10(ABS($C56))))&amp;""),$C56&amp;"")&amp;" sesiones ese dia")),IF(("Da "&amp;IF(ISNUMBER($C56),IF($C56=0,"0",ROUND($C56,9-INT(LOG10(ABS($C56))))&amp;""),$C56&amp;"")&amp;" sesiones ese dia")=0,"0",ROUND(("Da "&amp;IF(ISNUMBER($C56),IF($C56=0,"0",ROUND($C56,9-INT(LOG10(ABS($C56))))&amp;""),$C56&amp;"")&amp;" sesiones ese dia"),9-INT(LOG10(ABS(("Da "&amp;IF(ISNUMBER($C56),IF($C56=0,"0",ROUND($C56,9-INT(LOG10(ABS($C56))))&amp;""),$C56&amp;"")&amp;" sesiones ese dia")))))&amp;""),("Da "&amp;IF(ISNUMBER($C56),IF($C56=0,"0",ROUND($C56,9-INT(LOG10(ABS($C56))))&amp;""),$C56&amp;"")&amp;" sesiones ese dia")&amp;""),""),3,32767)</f>
        <v/>
      </c>
      <c r="E56" s="3">
        <f>IF(OR((IFERROR(VALUE($C56&amp;""),0)&gt;IFERROR(VALUE(3&amp;""),0))),2,0)</f>
        <v/>
      </c>
    </row>
    <row r="57">
      <c r="A57" s="3" t="inlineStr">
        <is>
          <t>Profesor de CP en 10-3</t>
        </is>
      </c>
      <c r="B57" s="3" t="inlineStr">
        <is>
          <t>J</t>
        </is>
      </c>
      <c r="C57" s="3">
        <f>SUMPRODUCT(1*((EXACT('Casillas del horario'!$F$4:$F$73,$A57)))*((EXACT('Casillas del horario'!$B$4:$B$73,$B57)))*((1-(('Casillas del horario'!$D$4:$D$73="")))))</f>
        <v/>
      </c>
      <c r="D57" s="3">
        <f>MID(IF((IFERROR(VALUE($C57&amp;""),0)&gt;IFERROR(VALUE(3&amp;""),0)),"; "&amp;IF(ISNUMBER(("Da "&amp;IF(ISNUMBER($C57),IF($C57=0,"0",ROUND($C57,9-INT(LOG10(ABS($C57))))&amp;""),$C57&amp;"")&amp;" sesiones ese dia")),IF(("Da "&amp;IF(ISNUMBER($C57),IF($C57=0,"0",ROUND($C57,9-INT(LOG10(ABS($C57))))&amp;""),$C57&amp;"")&amp;" sesiones ese dia")=0,"0",ROUND(("Da "&amp;IF(ISNUMBER($C57),IF($C57=0,"0",ROUND($C57,9-INT(LOG10(ABS($C57))))&amp;""),$C57&amp;"")&amp;" sesiones ese dia"),9-INT(LOG10(ABS(("Da "&amp;IF(ISNUMBER($C57),IF($C57=0,"0",ROUND($C57,9-INT(LOG10(ABS($C57))))&amp;""),$C57&amp;"")&amp;" sesiones ese dia")))))&amp;""),("Da "&amp;IF(ISNUMBER($C57),IF($C57=0,"0",ROUND($C57,9-INT(LOG10(ABS($C57))))&amp;""),$C57&amp;"")&amp;" sesiones ese dia")&amp;""),""),3,32767)</f>
        <v/>
      </c>
      <c r="E57" s="3">
        <f>IF(OR((IFERROR(VALUE($C57&amp;""),0)&gt;IFERROR(VALUE(3&amp;""),0))),2,0)</f>
        <v/>
      </c>
    </row>
    <row r="58">
      <c r="A58" s="3" t="inlineStr">
        <is>
          <t>Profesor de CP en 10-3</t>
        </is>
      </c>
      <c r="B58" s="3" t="inlineStr">
        <is>
          <t>V</t>
        </is>
      </c>
      <c r="C58" s="3">
        <f>SUMPRODUCT(1*((EXACT('Casillas del horario'!$F$4:$F$73,$A58)))*((EXACT('Casillas del horario'!$B$4:$B$73,$B58)))*((1-(('Casillas del horario'!$D$4:$D$73="")))))</f>
        <v/>
      </c>
      <c r="D58" s="3">
        <f>MID(IF((IFERROR(VALUE($C58&amp;""),0)&gt;IFERROR(VALUE(3&amp;""),0)),"; "&amp;IF(ISNUMBER(("Da "&amp;IF(ISNUMBER($C58),IF($C58=0,"0",ROUND($C58,9-INT(LOG10(ABS($C58))))&amp;""),$C58&amp;"")&amp;" sesiones ese dia")),IF(("Da "&amp;IF(ISNUMBER($C58),IF($C58=0,"0",ROUND($C58,9-INT(LOG10(ABS($C58))))&amp;""),$C58&amp;"")&amp;" sesiones ese dia")=0,"0",ROUND(("Da "&amp;IF(ISNUMBER($C58),IF($C58=0,"0",ROUND($C58,9-INT(LOG10(ABS($C58))))&amp;""),$C58&amp;"")&amp;" sesiones ese dia"),9-INT(LOG10(ABS(("Da "&amp;IF(ISNUMBER($C58),IF($C58=0,"0",ROUND($C58,9-INT(LOG10(ABS($C58))))&amp;""),$C58&amp;"")&amp;" sesiones ese dia")))))&amp;""),("Da "&amp;IF(ISNUMBER($C58),IF($C58=0,"0",ROUND($C58,9-INT(LOG10(ABS($C58))))&amp;""),$C58&amp;"")&amp;" sesiones ese dia")&amp;""),""),3,32767)</f>
        <v/>
      </c>
      <c r="E58" s="3">
        <f>IF(OR((IFERROR(VALUE($C58&amp;""),0)&gt;IFERROR(VALUE(3&amp;""),0))),2,0)</f>
        <v/>
      </c>
    </row>
    <row r="59">
      <c r="A59" s="3" t="inlineStr">
        <is>
          <t>Profesor de DC en 10-3</t>
        </is>
      </c>
      <c r="B59" s="3" t="inlineStr">
        <is>
          <t>L</t>
        </is>
      </c>
      <c r="C59" s="3">
        <f>SUMPRODUCT(1*((EXACT('Casillas del horario'!$F$4:$F$73,$A59)))*((EXACT('Casillas del horario'!$B$4:$B$73,$B59)))*((1-(('Casillas del horario'!$D$4:$D$73="")))))</f>
        <v/>
      </c>
      <c r="D59" s="3">
        <f>MID(IF((IFERROR(VALUE($C59&amp;""),0)&gt;IFERROR(VALUE(3&amp;""),0)),"; "&amp;IF(ISNUMBER(("Da "&amp;IF(ISNUMBER($C59),IF($C59=0,"0",ROUND($C59,9-INT(LOG10(ABS($C59))))&amp;""),$C59&amp;"")&amp;" sesiones ese dia")),IF(("Da "&amp;IF(ISNUMBER($C59),IF($C59=0,"0",ROUND($C59,9-INT(LOG10(ABS($C59))))&amp;""),$C59&amp;"")&amp;" sesiones ese dia")=0,"0",ROUND(("Da "&amp;IF(ISNUMBER($C59),IF($C59=0,"0",ROUND($C59,9-INT(LOG10(ABS($C59))))&amp;""),$C59&amp;"")&amp;" sesiones ese dia"),9-INT(LOG10(ABS(("Da "&amp;IF(ISNUMBER($C59),IF($C59=0,"0",ROUND($C59,9-INT(LOG10(ABS($C59))))&amp;""),$C59&amp;"")&amp;" sesiones ese dia")))))&amp;""),("Da "&amp;IF(ISNUMBER($C59),IF($C59=0,"0",ROUND($C59,9-INT(LOG10(ABS($C59))))&amp;""),$C59&amp;"")&amp;" sesiones ese dia")&amp;""),""),3,32767)</f>
        <v/>
      </c>
      <c r="E59" s="3">
        <f>IF(OR((IFERROR(VALUE($C59&amp;""),0)&gt;IFERROR(VALUE(3&amp;""),0))),2,0)</f>
        <v/>
      </c>
    </row>
    <row r="60">
      <c r="A60" s="3" t="inlineStr">
        <is>
          <t>Profesor de DC en 10-3</t>
        </is>
      </c>
      <c r="B60" s="3" t="inlineStr">
        <is>
          <t>M</t>
        </is>
      </c>
      <c r="C60" s="3">
        <f>SUMPRODUCT(1*((EXACT('Casillas del horario'!$F$4:$F$73,$A60)))*((EXACT('Casillas del horario'!$B$4:$B$73,$B60)))*((1-(('Casillas del horario'!$D$4:$D$73="")))))</f>
        <v/>
      </c>
      <c r="D60" s="3">
        <f>MID(IF((IFERROR(VALUE($C60&amp;""),0)&gt;IFERROR(VALUE(3&amp;""),0)),"; "&amp;IF(ISNUMBER(("Da "&amp;IF(ISNUMBER($C60),IF($C60=0,"0",ROUND($C60,9-INT(LOG10(ABS($C60))))&amp;""),$C60&amp;"")&amp;" sesiones ese dia")),IF(("Da "&amp;IF(ISNUMBER($C60),IF($C60=0,"0",ROUND($C60,9-INT(LOG10(ABS($C60))))&amp;""),$C60&amp;"")&amp;" sesiones ese dia")=0,"0",ROUND(("Da "&amp;IF(ISNUMBER($C60),IF($C60=0,"0",ROUND($C60,9-INT(LOG10(ABS($C60))))&amp;""),$C60&amp;"")&amp;" sesiones ese dia"),9-INT(LOG10(ABS(("Da "&amp;IF(ISNUMBER($C60),IF($C60=0,"0",ROUND($C60,9-INT(LOG10(ABS($C60))))&amp;""),$C60&amp;"")&amp;" sesiones ese dia")))))&amp;""),("Da "&amp;IF(ISNUMBER($C60),IF($C60=0,"0",ROUND($C60,9-INT(LOG10(ABS($C60))))&amp;""),$C60&amp;"")&amp;" sesiones ese dia")&amp;""),""),3,32767)</f>
        <v/>
      </c>
      <c r="E60" s="3">
        <f>IF(OR((IFERROR(VALUE($C60&amp;""),0)&gt;IFERROR(VALUE(3&amp;""),0))),2,0)</f>
        <v/>
      </c>
    </row>
    <row r="61">
      <c r="A61" s="3" t="inlineStr">
        <is>
          <t>Profesor de DC en 10-3</t>
        </is>
      </c>
      <c r="B61" s="3" t="inlineStr">
        <is>
          <t>MI</t>
        </is>
      </c>
      <c r="C61" s="3">
        <f>SUMPRODUCT(1*((EXACT('Casillas del horario'!$F$4:$F$73,$A61)))*((EXACT('Casillas del horario'!$B$4:$B$73,$B61)))*((1-(('Casillas del horario'!$D$4:$D$73="")))))</f>
        <v/>
      </c>
      <c r="D61" s="3">
        <f>MID(IF((IFERROR(VALUE($C61&amp;""),0)&gt;IFERROR(VALUE(3&amp;""),0)),"; "&amp;IF(ISNUMBER(("Da "&amp;IF(ISNUMBER($C61),IF($C61=0,"0",ROUND($C61,9-INT(LOG10(ABS($C61))))&amp;""),$C61&amp;"")&amp;" sesiones ese dia")),IF(("Da "&amp;IF(ISNUMBER($C61),IF($C61=0,"0",ROUND($C61,9-INT(LOG10(ABS($C61))))&amp;""),$C61&amp;"")&amp;" sesiones ese dia")=0,"0",ROUND(("Da "&amp;IF(ISNUMBER($C61),IF($C61=0,"0",ROUND($C61,9-INT(LOG10(ABS($C61))))&amp;""),$C61&amp;"")&amp;" sesiones ese dia"),9-INT(LOG10(ABS(("Da "&amp;IF(ISNUMBER($C61),IF($C61=0,"0",ROUND($C61,9-INT(LOG10(ABS($C61))))&amp;""),$C61&amp;"")&amp;" sesiones ese dia")))))&amp;""),("Da "&amp;IF(ISNUMBER($C61),IF($C61=0,"0",ROUND($C61,9-INT(LOG10(ABS($C61))))&amp;""),$C61&amp;"")&amp;" sesiones ese dia")&amp;""),""),3,32767)</f>
        <v/>
      </c>
      <c r="E61" s="3">
        <f>IF(OR((IFERROR(VALUE($C61&amp;""),0)&gt;IFERROR(VALUE(3&amp;""),0))),2,0)</f>
        <v/>
      </c>
    </row>
    <row r="62">
      <c r="A62" s="3" t="inlineStr">
        <is>
          <t>Profesor de DC en 10-3</t>
        </is>
      </c>
      <c r="B62" s="3" t="inlineStr">
        <is>
          <t>J</t>
        </is>
      </c>
      <c r="C62" s="3">
        <f>SUMPRODUCT(1*((EXACT('Casillas del horario'!$F$4:$F$73,$A62)))*((EXACT('Casillas del horario'!$B$4:$B$73,$B62)))*((1-(('Casillas del horario'!$D$4:$D$73="")))))</f>
        <v/>
      </c>
      <c r="D62" s="3">
        <f>MID(IF((IFERROR(VALUE($C62&amp;""),0)&gt;IFERROR(VALUE(3&amp;""),0)),"; "&amp;IF(ISNUMBER(("Da "&amp;IF(ISNUMBER($C62),IF($C62=0,"0",ROUND($C62,9-INT(LOG10(ABS($C62))))&amp;""),$C62&amp;"")&amp;" sesiones ese dia")),IF(("Da "&amp;IF(ISNUMBER($C62),IF($C62=0,"0",ROUND($C62,9-INT(LOG10(ABS($C62))))&amp;""),$C62&amp;"")&amp;" sesiones ese dia")=0,"0",ROUND(("Da "&amp;IF(ISNUMBER($C62),IF($C62=0,"0",ROUND($C62,9-INT(LOG10(ABS($C62))))&amp;""),$C62&amp;"")&amp;" sesiones ese dia"),9-INT(LOG10(ABS(("Da "&amp;IF(ISNUMBER($C62),IF($C62=0,"0",ROUND($C62,9-INT(LOG10(ABS($C62))))&amp;""),$C62&amp;"")&amp;" sesiones ese dia")))))&amp;""),("Da "&amp;IF(ISNUMBER($C62),IF($C62=0,"0",ROUND($C62,9-INT(LOG10(ABS($C62))))&amp;""),$C62&amp;"")&amp;" sesiones ese dia")&amp;""),""),3,32767)</f>
        <v/>
      </c>
      <c r="E62" s="3">
        <f>IF(OR((IFERROR(VALUE($C62&amp;""),0)&gt;IFERROR(VALUE(3&amp;""),0))),2,0)</f>
        <v/>
      </c>
    </row>
    <row r="63">
      <c r="A63" s="3" t="inlineStr">
        <is>
          <t>Profesor de DC en 10-3</t>
        </is>
      </c>
      <c r="B63" s="3" t="inlineStr">
        <is>
          <t>V</t>
        </is>
      </c>
      <c r="C63" s="3">
        <f>SUMPRODUCT(1*((EXACT('Casillas del horario'!$F$4:$F$73,$A63)))*((EXACT('Casillas del horario'!$B$4:$B$73,$B63)))*((1-(('Casillas del horario'!$D$4:$D$73="")))))</f>
        <v/>
      </c>
      <c r="D63" s="3">
        <f>MID(IF((IFERROR(VALUE($C63&amp;""),0)&gt;IFERROR(VALUE(3&amp;""),0)),"; "&amp;IF(ISNUMBER(("Da "&amp;IF(ISNUMBER($C63),IF($C63=0,"0",ROUND($C63,9-INT(LOG10(ABS($C63))))&amp;""),$C63&amp;"")&amp;" sesiones ese dia")),IF(("Da "&amp;IF(ISNUMBER($C63),IF($C63=0,"0",ROUND($C63,9-INT(LOG10(ABS($C63))))&amp;""),$C63&amp;"")&amp;" sesiones ese dia")=0,"0",ROUND(("Da "&amp;IF(ISNUMBER($C63),IF($C63=0,"0",ROUND($C63,9-INT(LOG10(ABS($C63))))&amp;""),$C63&amp;"")&amp;" sesiones ese dia"),9-INT(LOG10(ABS(("Da "&amp;IF(ISNUMBER($C63),IF($C63=0,"0",ROUND($C63,9-INT(LOG10(ABS($C63))))&amp;""),$C63&amp;"")&amp;" sesiones ese dia")))))&amp;""),("Da "&amp;IF(ISNUMBER($C63),IF($C63=0,"0",ROUND($C63,9-INT(LOG10(ABS($C63))))&amp;""),$C63&amp;"")&amp;" sesiones ese dia")&amp;""),""),3,32767)</f>
        <v/>
      </c>
      <c r="E63" s="3">
        <f>IF(OR((IFERROR(VALUE($C63&amp;""),0)&gt;IFERROR(VALUE(3&amp;""),0))),2,0)</f>
        <v/>
      </c>
    </row>
    <row r="64">
      <c r="A64" s="3" t="inlineStr">
        <is>
          <t>Profesor de CA en 10-3</t>
        </is>
      </c>
      <c r="B64" s="3" t="inlineStr">
        <is>
          <t>L</t>
        </is>
      </c>
      <c r="C64" s="3">
        <f>SUMPRODUCT(1*((EXACT('Casillas del horario'!$F$4:$F$73,$A64)))*((EXACT('Casillas del horario'!$B$4:$B$73,$B64)))*((1-(('Casillas del horario'!$D$4:$D$73="")))))</f>
        <v/>
      </c>
      <c r="D64" s="3">
        <f>MID(IF((IFERROR(VALUE($C64&amp;""),0)&gt;IFERROR(VALUE(3&amp;""),0)),"; "&amp;IF(ISNUMBER(("Da "&amp;IF(ISNUMBER($C64),IF($C64=0,"0",ROUND($C64,9-INT(LOG10(ABS($C64))))&amp;""),$C64&amp;"")&amp;" sesiones ese dia")),IF(("Da "&amp;IF(ISNUMBER($C64),IF($C64=0,"0",ROUND($C64,9-INT(LOG10(ABS($C64))))&amp;""),$C64&amp;"")&amp;" sesiones ese dia")=0,"0",ROUND(("Da "&amp;IF(ISNUMBER($C64),IF($C64=0,"0",ROUND($C64,9-INT(LOG10(ABS($C64))))&amp;""),$C64&amp;"")&amp;" sesiones ese dia"),9-INT(LOG10(ABS(("Da "&amp;IF(ISNUMBER($C64),IF($C64=0,"0",ROUND($C64,9-INT(LOG10(ABS($C64))))&amp;""),$C64&amp;"")&amp;" sesiones ese dia")))))&amp;""),("Da "&amp;IF(ISNUMBER($C64),IF($C64=0,"0",ROUND($C64,9-INT(LOG10(ABS($C64))))&amp;""),$C64&amp;"")&amp;" sesiones ese dia")&amp;""),""),3,32767)</f>
        <v/>
      </c>
      <c r="E64" s="3">
        <f>IF(OR((IFERROR(VALUE($C64&amp;""),0)&gt;IFERROR(VALUE(3&amp;""),0))),2,0)</f>
        <v/>
      </c>
    </row>
    <row r="65">
      <c r="A65" s="3" t="inlineStr">
        <is>
          <t>Profesor de CA en 10-3</t>
        </is>
      </c>
      <c r="B65" s="3" t="inlineStr">
        <is>
          <t>M</t>
        </is>
      </c>
      <c r="C65" s="3">
        <f>SUMPRODUCT(1*((EXACT('Casillas del horario'!$F$4:$F$73,$A65)))*((EXACT('Casillas del horario'!$B$4:$B$73,$B65)))*((1-(('Casillas del horario'!$D$4:$D$73="")))))</f>
        <v/>
      </c>
      <c r="D65" s="3">
        <f>MID(IF((IFERROR(VALUE($C65&amp;""),0)&gt;IFERROR(VALUE(3&amp;""),0)),"; "&amp;IF(ISNUMBER(("Da "&amp;IF(ISNUMBER($C65),IF($C65=0,"0",ROUND($C65,9-INT(LOG10(ABS($C65))))&amp;""),$C65&amp;"")&amp;" sesiones ese dia")),IF(("Da "&amp;IF(ISNUMBER($C65),IF($C65=0,"0",ROUND($C65,9-INT(LOG10(ABS($C65))))&amp;""),$C65&amp;"")&amp;" sesiones ese dia")=0,"0",ROUND(("Da "&amp;IF(ISNUMBER($C65),IF($C65=0,"0",ROUND($C65,9-INT(LOG10(ABS($C65))))&amp;""),$C65&amp;"")&amp;" sesiones ese dia"),9-INT(LOG10(ABS(("Da "&amp;IF(ISNUMBER($C65),IF($C65=0,"0",ROUND($C65,9-INT(LOG10(ABS($C65))))&amp;""),$C65&amp;"")&amp;" sesiones ese dia")))))&amp;""),("Da "&amp;IF(ISNUMBER($C65),IF($C65=0,"0",ROUND($C65,9-INT(LOG10(ABS($C65))))&amp;""),$C65&amp;"")&amp;" sesiones ese dia")&amp;""),""),3,32767)</f>
        <v/>
      </c>
      <c r="E65" s="3">
        <f>IF(OR((IFERROR(VALUE($C65&amp;""),0)&gt;IFERROR(VALUE(3&amp;""),0))),2,0)</f>
        <v/>
      </c>
    </row>
    <row r="66">
      <c r="A66" s="3" t="inlineStr">
        <is>
          <t>Profesor de CA en 10-3</t>
        </is>
      </c>
      <c r="B66" s="3" t="inlineStr">
        <is>
          <t>MI</t>
        </is>
      </c>
      <c r="C66" s="3">
        <f>SUMPRODUCT(1*((EXACT('Casillas del horario'!$F$4:$F$73,$A66)))*((EXACT('Casillas del horario'!$B$4:$B$73,$B66)))*((1-(('Casillas del horario'!$D$4:$D$73="")))))</f>
        <v/>
      </c>
      <c r="D66" s="3">
        <f>MID(IF((IFERROR(VALUE($C66&amp;""),0)&gt;IFERROR(VALUE(3&amp;""),0)),"; "&amp;IF(ISNUMBER(("Da "&amp;IF(ISNUMBER($C66),IF($C66=0,"0",ROUND($C66,9-INT(LOG10(ABS($C66))))&amp;""),$C66&amp;"")&amp;" sesiones ese dia")),IF(("Da "&amp;IF(ISNUMBER($C66),IF($C66=0,"0",ROUND($C66,9-INT(LOG10(ABS($C66))))&amp;""),$C66&amp;"")&amp;" sesiones ese dia")=0,"0",ROUND(("Da "&amp;IF(ISNUMBER($C66),IF($C66=0,"0",ROUND($C66,9-INT(LOG10(ABS($C66))))&amp;""),$C66&amp;"")&amp;" sesiones ese dia"),9-INT(LOG10(ABS(("Da "&amp;IF(ISNUMBER($C66),IF($C66=0,"0",ROUND($C66,9-INT(LOG10(ABS($C66))))&amp;""),$C66&amp;"")&amp;" sesiones ese dia")))))&amp;""),("Da "&amp;IF(ISNUMBER($C66),IF($C66=0,"0",ROUND($C66,9-INT(LOG10(ABS($C66))))&amp;""),$C66&amp;"")&amp;" sesiones ese dia")&amp;""),""),3,32767)</f>
        <v/>
      </c>
      <c r="E66" s="3">
        <f>IF(OR((IFERROR(VALUE($C66&amp;""),0)&gt;IFERROR(VALUE(3&amp;""),0))),2,0)</f>
        <v/>
      </c>
    </row>
    <row r="67">
      <c r="A67" s="3" t="inlineStr">
        <is>
          <t>Profesor de CA en 10-3</t>
        </is>
      </c>
      <c r="B67" s="3" t="inlineStr">
        <is>
          <t>J</t>
        </is>
      </c>
      <c r="C67" s="3">
        <f>SUMPRODUCT(1*((EXACT('Casillas del horario'!$F$4:$F$73,$A67)))*((EXACT('Casillas del horario'!$B$4:$B$73,$B67)))*((1-(('Casillas del horario'!$D$4:$D$73="")))))</f>
        <v/>
      </c>
      <c r="D67" s="3">
        <f>MID(IF((IFERROR(VALUE($C67&amp;""),0)&gt;IFERROR(VALUE(3&amp;""),0)),"; "&amp;IF(ISNUMBER(("Da "&amp;IF(ISNUMBER($C67),IF($C67=0,"0",ROUND($C67,9-INT(LOG10(ABS($C67))))&amp;""),$C67&amp;"")&amp;" sesiones ese dia")),IF(("Da "&amp;IF(ISNUMBER($C67),IF($C67=0,"0",ROUND($C67,9-INT(LOG10(ABS($C67))))&amp;""),$C67&amp;"")&amp;" sesiones ese dia")=0,"0",ROUND(("Da "&amp;IF(ISNUMBER($C67),IF($C67=0,"0",ROUND($C67,9-INT(LOG10(ABS($C67))))&amp;""),$C67&amp;"")&amp;" sesiones ese dia"),9-INT(LOG10(ABS(("Da "&amp;IF(ISNUMBER($C67),IF($C67=0,"0",ROUND($C67,9-INT(LOG10(ABS($C67))))&amp;""),$C67&amp;"")&amp;" sesiones ese dia")))))&amp;""),("Da "&amp;IF(ISNUMBER($C67),IF($C67=0,"0",ROUND($C67,9-INT(LOG10(ABS($C67))))&amp;""),$C67&amp;"")&amp;" sesiones ese dia")&amp;""),""),3,32767)</f>
        <v/>
      </c>
      <c r="E67" s="3">
        <f>IF(OR((IFERROR(VALUE($C67&amp;""),0)&gt;IFERROR(VALUE(3&amp;""),0))),2,0)</f>
        <v/>
      </c>
    </row>
    <row r="68">
      <c r="A68" s="3" t="inlineStr">
        <is>
          <t>Profesor de CA en 10-3</t>
        </is>
      </c>
      <c r="B68" s="3" t="inlineStr">
        <is>
          <t>V</t>
        </is>
      </c>
      <c r="C68" s="3">
        <f>SUMPRODUCT(1*((EXACT('Casillas del horario'!$F$4:$F$73,$A68)))*((EXACT('Casillas del horario'!$B$4:$B$73,$B68)))*((1-(('Casillas del horario'!$D$4:$D$73="")))))</f>
        <v/>
      </c>
      <c r="D68" s="3">
        <f>MID(IF((IFERROR(VALUE($C68&amp;""),0)&gt;IFERROR(VALUE(3&amp;""),0)),"; "&amp;IF(ISNUMBER(("Da "&amp;IF(ISNUMBER($C68),IF($C68=0,"0",ROUND($C68,9-INT(LOG10(ABS($C68))))&amp;""),$C68&amp;"")&amp;" sesiones ese dia")),IF(("Da "&amp;IF(ISNUMBER($C68),IF($C68=0,"0",ROUND($C68,9-INT(LOG10(ABS($C68))))&amp;""),$C68&amp;"")&amp;" sesiones ese dia")=0,"0",ROUND(("Da "&amp;IF(ISNUMBER($C68),IF($C68=0,"0",ROUND($C68,9-INT(LOG10(ABS($C68))))&amp;""),$C68&amp;"")&amp;" sesiones ese dia"),9-INT(LOG10(ABS(("Da "&amp;IF(ISNUMBER($C68),IF($C68=0,"0",ROUND($C68,9-INT(LOG10(ABS($C68))))&amp;""),$C68&amp;"")&amp;" sesiones ese dia")))))&amp;""),("Da "&amp;IF(ISNUMBER($C68),IF($C68=0,"0",ROUND($C68,9-INT(LOG10(ABS($C68))))&amp;""),$C68&amp;"")&amp;" sesiones ese dia")&amp;""),""),3,32767)</f>
        <v/>
      </c>
      <c r="E68" s="3">
        <f>IF(OR((IFERROR(VALUE($C68&amp;""),0)&gt;IFERROR(VALUE(3&amp;""),0))),2,0)</f>
        <v/>
      </c>
    </row>
    <row r="69">
      <c r="A69" s="3" t="inlineStr">
        <is>
          <t>Profesor de RD en 10-3</t>
        </is>
      </c>
      <c r="B69" s="3" t="inlineStr">
        <is>
          <t>L</t>
        </is>
      </c>
      <c r="C69" s="3">
        <f>SUMPRODUCT(1*((EXACT('Casillas del horario'!$F$4:$F$73,$A69)))*((EXACT('Casillas del horario'!$B$4:$B$73,$B69)))*((1-(('Casillas del horario'!$D$4:$D$73="")))))</f>
        <v/>
      </c>
      <c r="D69" s="3">
        <f>MID(IF((IFERROR(VALUE($C69&amp;""),0)&gt;IFERROR(VALUE(3&amp;""),0)),"; "&amp;IF(ISNUMBER(("Da "&amp;IF(ISNUMBER($C69),IF($C69=0,"0",ROUND($C69,9-INT(LOG10(ABS($C69))))&amp;""),$C69&amp;"")&amp;" sesiones ese dia")),IF(("Da "&amp;IF(ISNUMBER($C69),IF($C69=0,"0",ROUND($C69,9-INT(LOG10(ABS($C69))))&amp;""),$C69&amp;"")&amp;" sesiones ese dia")=0,"0",ROUND(("Da "&amp;IF(ISNUMBER($C69),IF($C69=0,"0",ROUND($C69,9-INT(LOG10(ABS($C69))))&amp;""),$C69&amp;"")&amp;" sesiones ese dia"),9-INT(LOG10(ABS(("Da "&amp;IF(ISNUMBER($C69),IF($C69=0,"0",ROUND($C69,9-INT(LOG10(ABS($C69))))&amp;""),$C69&amp;"")&amp;" sesiones ese dia")))))&amp;""),("Da "&amp;IF(ISNUMBER($C69),IF($C69=0,"0",ROUND($C69,9-INT(LOG10(ABS($C69))))&amp;""),$C69&amp;"")&amp;" sesiones ese dia")&amp;""),""),3,32767)</f>
        <v/>
      </c>
      <c r="E69" s="3">
        <f>IF(OR((IFERROR(VALUE($C69&amp;""),0)&gt;IFERROR(VALUE(3&amp;""),0))),2,0)</f>
        <v/>
      </c>
    </row>
    <row r="70">
      <c r="A70" s="3" t="inlineStr">
        <is>
          <t>Profesor de RD en 10-3</t>
        </is>
      </c>
      <c r="B70" s="3" t="inlineStr">
        <is>
          <t>M</t>
        </is>
      </c>
      <c r="C70" s="3">
        <f>SUMPRODUCT(1*((EXACT('Casillas del horario'!$F$4:$F$73,$A70)))*((EXACT('Casillas del horario'!$B$4:$B$73,$B70)))*((1-(('Casillas del horario'!$D$4:$D$73="")))))</f>
        <v/>
      </c>
      <c r="D70" s="3">
        <f>MID(IF((IFERROR(VALUE($C70&amp;""),0)&gt;IFERROR(VALUE(3&amp;""),0)),"; "&amp;IF(ISNUMBER(("Da "&amp;IF(ISNUMBER($C70),IF($C70=0,"0",ROUND($C70,9-INT(LOG10(ABS($C70))))&amp;""),$C70&amp;"")&amp;" sesiones ese dia")),IF(("Da "&amp;IF(ISNUMBER($C70),IF($C70=0,"0",ROUND($C70,9-INT(LOG10(ABS($C70))))&amp;""),$C70&amp;"")&amp;" sesiones ese dia")=0,"0",ROUND(("Da "&amp;IF(ISNUMBER($C70),IF($C70=0,"0",ROUND($C70,9-INT(LOG10(ABS($C70))))&amp;""),$C70&amp;"")&amp;" sesiones ese dia"),9-INT(LOG10(ABS(("Da "&amp;IF(ISNUMBER($C70),IF($C70=0,"0",ROUND($C70,9-INT(LOG10(ABS($C70))))&amp;""),$C70&amp;"")&amp;" sesiones ese dia")))))&amp;""),("Da "&amp;IF(ISNUMBER($C70),IF($C70=0,"0",ROUND($C70,9-INT(LOG10(ABS($C70))))&amp;""),$C70&amp;"")&amp;" sesiones ese dia")&amp;""),""),3,32767)</f>
        <v/>
      </c>
      <c r="E70" s="3">
        <f>IF(OR((IFERROR(VALUE($C70&amp;""),0)&gt;IFERROR(VALUE(3&amp;""),0))),2,0)</f>
        <v/>
      </c>
    </row>
    <row r="71">
      <c r="A71" s="3" t="inlineStr">
        <is>
          <t>Profesor de RD en 10-3</t>
        </is>
      </c>
      <c r="B71" s="3" t="inlineStr">
        <is>
          <t>MI</t>
        </is>
      </c>
      <c r="C71" s="3">
        <f>SUMPRODUCT(1*((EXACT('Casillas del horario'!$F$4:$F$73,$A71)))*((EXACT('Casillas del horario'!$B$4:$B$73,$B71)))*((1-(('Casillas del horario'!$D$4:$D$73="")))))</f>
        <v/>
      </c>
      <c r="D71" s="3">
        <f>MID(IF((IFERROR(VALUE($C71&amp;""),0)&gt;IFERROR(VALUE(3&amp;""),0)),"; "&amp;IF(ISNUMBER(("Da "&amp;IF(ISNUMBER($C71),IF($C71=0,"0",ROUND($C71,9-INT(LOG10(ABS($C71))))&amp;""),$C71&amp;"")&amp;" sesiones ese dia")),IF(("Da "&amp;IF(ISNUMBER($C71),IF($C71=0,"0",ROUND($C71,9-INT(LOG10(ABS($C71))))&amp;""),$C71&amp;"")&amp;" sesiones ese dia")=0,"0",ROUND(("Da "&amp;IF(ISNUMBER($C71),IF($C71=0,"0",ROUND($C71,9-INT(LOG10(ABS($C71))))&amp;""),$C71&amp;"")&amp;" sesiones ese dia"),9-INT(LOG10(ABS(("Da "&amp;IF(ISNUMBER($C71),IF($C71=0,"0",ROUND($C71,9-INT(LOG10(ABS($C71))))&amp;""),$C71&amp;"")&amp;" sesiones ese dia")))))&amp;""),("Da "&amp;IF(ISNUMBER($C71),IF($C71=0,"0",ROUND($C71,9-INT(LOG10(ABS($C71))))&amp;""),$C71&amp;"")&amp;" sesiones ese dia")&amp;""),""),3,32767)</f>
        <v/>
      </c>
      <c r="E71" s="3">
        <f>IF(OR((IFERROR(VALUE($C71&amp;""),0)&gt;IFERROR(VALUE(3&amp;""),0))),2,0)</f>
        <v/>
      </c>
    </row>
    <row r="72">
      <c r="A72" s="3" t="inlineStr">
        <is>
          <t>Profesor de RD en 10-3</t>
        </is>
      </c>
      <c r="B72" s="3" t="inlineStr">
        <is>
          <t>J</t>
        </is>
      </c>
      <c r="C72" s="3">
        <f>SUMPRODUCT(1*((EXACT('Casillas del horario'!$F$4:$F$73,$A72)))*((EXACT('Casillas del horario'!$B$4:$B$73,$B72)))*((1-(('Casillas del horario'!$D$4:$D$73="")))))</f>
        <v/>
      </c>
      <c r="D72" s="3">
        <f>MID(IF((IFERROR(VALUE($C72&amp;""),0)&gt;IFERROR(VALUE(3&amp;""),0)),"; "&amp;IF(ISNUMBER(("Da "&amp;IF(ISNUMBER($C72),IF($C72=0,"0",ROUND($C72,9-INT(LOG10(ABS($C72))))&amp;""),$C72&amp;"")&amp;" sesiones ese dia")),IF(("Da "&amp;IF(ISNUMBER($C72),IF($C72=0,"0",ROUND($C72,9-INT(LOG10(ABS($C72))))&amp;""),$C72&amp;"")&amp;" sesiones ese dia")=0,"0",ROUND(("Da "&amp;IF(ISNUMBER($C72),IF($C72=0,"0",ROUND($C72,9-INT(LOG10(ABS($C72))))&amp;""),$C72&amp;"")&amp;" sesiones ese dia"),9-INT(LOG10(ABS(("Da "&amp;IF(ISNUMBER($C72),IF($C72=0,"0",ROUND($C72,9-INT(LOG10(ABS($C72))))&amp;""),$C72&amp;"")&amp;" sesiones ese dia")))))&amp;""),("Da "&amp;IF(ISNUMBER($C72),IF($C72=0,"0",ROUND($C72,9-INT(LOG10(ABS($C72))))&amp;""),$C72&amp;"")&amp;" sesiones ese dia")&amp;""),""),3,32767)</f>
        <v/>
      </c>
      <c r="E72" s="3">
        <f>IF(OR((IFERROR(VALUE($C72&amp;""),0)&gt;IFERROR(VALUE(3&amp;""),0))),2,0)</f>
        <v/>
      </c>
    </row>
    <row r="73">
      <c r="A73" s="3" t="inlineStr">
        <is>
          <t>Profesor de RD en 10-3</t>
        </is>
      </c>
      <c r="B73" s="3" t="inlineStr">
        <is>
          <t>V</t>
        </is>
      </c>
      <c r="C73" s="3">
        <f>SUMPRODUCT(1*((EXACT('Casillas del horario'!$F$4:$F$73,$A73)))*((EXACT('Casillas del horario'!$B$4:$B$73,$B73)))*((1-(('Casillas del horario'!$D$4:$D$73="")))))</f>
        <v/>
      </c>
      <c r="D73" s="3">
        <f>MID(IF((IFERROR(VALUE($C73&amp;""),0)&gt;IFERROR(VALUE(3&amp;""),0)),"; "&amp;IF(ISNUMBER(("Da "&amp;IF(ISNUMBER($C73),IF($C73=0,"0",ROUND($C73,9-INT(LOG10(ABS($C73))))&amp;""),$C73&amp;"")&amp;" sesiones ese dia")),IF(("Da "&amp;IF(ISNUMBER($C73),IF($C73=0,"0",ROUND($C73,9-INT(LOG10(ABS($C73))))&amp;""),$C73&amp;"")&amp;" sesiones ese dia")=0,"0",ROUND(("Da "&amp;IF(ISNUMBER($C73),IF($C73=0,"0",ROUND($C73,9-INT(LOG10(ABS($C73))))&amp;""),$C73&amp;"")&amp;" sesiones ese dia"),9-INT(LOG10(ABS(("Da "&amp;IF(ISNUMBER($C73),IF($C73=0,"0",ROUND($C73,9-INT(LOG10(ABS($C73))))&amp;""),$C73&amp;"")&amp;" sesiones ese dia")))))&amp;""),("Da "&amp;IF(ISNUMBER($C73),IF($C73=0,"0",ROUND($C73,9-INT(LOG10(ABS($C73))))&amp;""),$C73&amp;"")&amp;" sesiones ese dia")&amp;""),""),3,32767)</f>
        <v/>
      </c>
      <c r="E73" s="3">
        <f>IF(OR((IFERROR(VALUE($C73&amp;""),0)&gt;IFERROR(VALUE(3&amp;""),0))),2,0)</f>
        <v/>
      </c>
    </row>
    <row r="74">
      <c r="A74" s="3" t="inlineStr">
        <is>
          <t>Profesor de AL/AC en 10-3</t>
        </is>
      </c>
      <c r="B74" s="3" t="inlineStr">
        <is>
          <t>L</t>
        </is>
      </c>
      <c r="C74" s="3">
        <f>SUMPRODUCT(1*((EXACT('Casillas del horario'!$F$4:$F$73,$A74)))*((EXACT('Casillas del horario'!$B$4:$B$73,$B74)))*((1-(('Casillas del horario'!$D$4:$D$73="")))))</f>
        <v/>
      </c>
      <c r="D74" s="3">
        <f>MID(IF((IFERROR(VALUE($C74&amp;""),0)&gt;IFERROR(VALUE(3&amp;""),0)),"; "&amp;IF(ISNUMBER(("Da "&amp;IF(ISNUMBER($C74),IF($C74=0,"0",ROUND($C74,9-INT(LOG10(ABS($C74))))&amp;""),$C74&amp;"")&amp;" sesiones ese dia")),IF(("Da "&amp;IF(ISNUMBER($C74),IF($C74=0,"0",ROUND($C74,9-INT(LOG10(ABS($C74))))&amp;""),$C74&amp;"")&amp;" sesiones ese dia")=0,"0",ROUND(("Da "&amp;IF(ISNUMBER($C74),IF($C74=0,"0",ROUND($C74,9-INT(LOG10(ABS($C74))))&amp;""),$C74&amp;"")&amp;" sesiones ese dia"),9-INT(LOG10(ABS(("Da "&amp;IF(ISNUMBER($C74),IF($C74=0,"0",ROUND($C74,9-INT(LOG10(ABS($C74))))&amp;""),$C74&amp;"")&amp;" sesiones ese dia")))))&amp;""),("Da "&amp;IF(ISNUMBER($C74),IF($C74=0,"0",ROUND($C74,9-INT(LOG10(ABS($C74))))&amp;""),$C74&amp;"")&amp;" sesiones ese dia")&amp;""),""),3,32767)</f>
        <v/>
      </c>
      <c r="E74" s="3">
        <f>IF(OR((IFERROR(VALUE($C74&amp;""),0)&gt;IFERROR(VALUE(3&amp;""),0))),2,0)</f>
        <v/>
      </c>
    </row>
    <row r="75">
      <c r="A75" s="3" t="inlineStr">
        <is>
          <t>Profesor de AL/AC en 10-3</t>
        </is>
      </c>
      <c r="B75" s="3" t="inlineStr">
        <is>
          <t>M</t>
        </is>
      </c>
      <c r="C75" s="3">
        <f>SUMPRODUCT(1*((EXACT('Casillas del horario'!$F$4:$F$73,$A75)))*((EXACT('Casillas del horario'!$B$4:$B$73,$B75)))*((1-(('Casillas del horario'!$D$4:$D$73="")))))</f>
        <v/>
      </c>
      <c r="D75" s="3">
        <f>MID(IF((IFERROR(VALUE($C75&amp;""),0)&gt;IFERROR(VALUE(3&amp;""),0)),"; "&amp;IF(ISNUMBER(("Da "&amp;IF(ISNUMBER($C75),IF($C75=0,"0",ROUND($C75,9-INT(LOG10(ABS($C75))))&amp;""),$C75&amp;"")&amp;" sesiones ese dia")),IF(("Da "&amp;IF(ISNUMBER($C75),IF($C75=0,"0",ROUND($C75,9-INT(LOG10(ABS($C75))))&amp;""),$C75&amp;"")&amp;" sesiones ese dia")=0,"0",ROUND(("Da "&amp;IF(ISNUMBER($C75),IF($C75=0,"0",ROUND($C75,9-INT(LOG10(ABS($C75))))&amp;""),$C75&amp;"")&amp;" sesiones ese dia"),9-INT(LOG10(ABS(("Da "&amp;IF(ISNUMBER($C75),IF($C75=0,"0",ROUND($C75,9-INT(LOG10(ABS($C75))))&amp;""),$C75&amp;"")&amp;" sesiones ese dia")))))&amp;""),("Da "&amp;IF(ISNUMBER($C75),IF($C75=0,"0",ROUND($C75,9-INT(LOG10(ABS($C75))))&amp;""),$C75&amp;"")&amp;" sesiones ese dia")&amp;""),""),3,32767)</f>
        <v/>
      </c>
      <c r="E75" s="3">
        <f>IF(OR((IFERROR(VALUE($C75&amp;""),0)&gt;IFERROR(VALUE(3&amp;""),0))),2,0)</f>
        <v/>
      </c>
    </row>
    <row r="76">
      <c r="A76" s="3" t="inlineStr">
        <is>
          <t>Profesor de AL/AC en 10-3</t>
        </is>
      </c>
      <c r="B76" s="3" t="inlineStr">
        <is>
          <t>MI</t>
        </is>
      </c>
      <c r="C76" s="3">
        <f>SUMPRODUCT(1*((EXACT('Casillas del horario'!$F$4:$F$73,$A76)))*((EXACT('Casillas del horario'!$B$4:$B$73,$B76)))*((1-(('Casillas del horario'!$D$4:$D$73="")))))</f>
        <v/>
      </c>
      <c r="D76" s="3">
        <f>MID(IF((IFERROR(VALUE($C76&amp;""),0)&gt;IFERROR(VALUE(3&amp;""),0)),"; "&amp;IF(ISNUMBER(("Da "&amp;IF(ISNUMBER($C76),IF($C76=0,"0",ROUND($C76,9-INT(LOG10(ABS($C76))))&amp;""),$C76&amp;"")&amp;" sesiones ese dia")),IF(("Da "&amp;IF(ISNUMBER($C76),IF($C76=0,"0",ROUND($C76,9-INT(LOG10(ABS($C76))))&amp;""),$C76&amp;"")&amp;" sesiones ese dia")=0,"0",ROUND(("Da "&amp;IF(ISNUMBER($C76),IF($C76=0,"0",ROUND($C76,9-INT(LOG10(ABS($C76))))&amp;""),$C76&amp;"")&amp;" sesiones ese dia"),9-INT(LOG10(ABS(("Da "&amp;IF(ISNUMBER($C76),IF($C76=0,"0",ROUND($C76,9-INT(LOG10(ABS($C76))))&amp;""),$C76&amp;"")&amp;" sesiones ese dia")))))&amp;""),("Da "&amp;IF(ISNUMBER($C76),IF($C76=0,"0",ROUND($C76,9-INT(LOG10(ABS($C76))))&amp;""),$C76&amp;"")&amp;" sesiones ese dia")&amp;""),""),3,32767)</f>
        <v/>
      </c>
      <c r="E76" s="3">
        <f>IF(OR((IFERROR(VALUE($C76&amp;""),0)&gt;IFERROR(VALUE(3&amp;""),0))),2,0)</f>
        <v/>
      </c>
    </row>
    <row r="77">
      <c r="A77" s="3" t="inlineStr">
        <is>
          <t>Profesor de AL/AC en 10-3</t>
        </is>
      </c>
      <c r="B77" s="3" t="inlineStr">
        <is>
          <t>J</t>
        </is>
      </c>
      <c r="C77" s="3">
        <f>SUMPRODUCT(1*((EXACT('Casillas del horario'!$F$4:$F$73,$A77)))*((EXACT('Casillas del horario'!$B$4:$B$73,$B77)))*((1-(('Casillas del horario'!$D$4:$D$73="")))))</f>
        <v/>
      </c>
      <c r="D77" s="3">
        <f>MID(IF((IFERROR(VALUE($C77&amp;""),0)&gt;IFERROR(VALUE(3&amp;""),0)),"; "&amp;IF(ISNUMBER(("Da "&amp;IF(ISNUMBER($C77),IF($C77=0,"0",ROUND($C77,9-INT(LOG10(ABS($C77))))&amp;""),$C77&amp;"")&amp;" sesiones ese dia")),IF(("Da "&amp;IF(ISNUMBER($C77),IF($C77=0,"0",ROUND($C77,9-INT(LOG10(ABS($C77))))&amp;""),$C77&amp;"")&amp;" sesiones ese dia")=0,"0",ROUND(("Da "&amp;IF(ISNUMBER($C77),IF($C77=0,"0",ROUND($C77,9-INT(LOG10(ABS($C77))))&amp;""),$C77&amp;"")&amp;" sesiones ese dia"),9-INT(LOG10(ABS(("Da "&amp;IF(ISNUMBER($C77),IF($C77=0,"0",ROUND($C77,9-INT(LOG10(ABS($C77))))&amp;""),$C77&amp;"")&amp;" sesiones ese dia")))))&amp;""),("Da "&amp;IF(ISNUMBER($C77),IF($C77=0,"0",ROUND($C77,9-INT(LOG10(ABS($C77))))&amp;""),$C77&amp;"")&amp;" sesiones ese dia")&amp;""),""),3,32767)</f>
        <v/>
      </c>
      <c r="E77" s="3">
        <f>IF(OR((IFERROR(VALUE($C77&amp;""),0)&gt;IFERROR(VALUE(3&amp;""),0))),2,0)</f>
        <v/>
      </c>
    </row>
    <row r="78">
      <c r="A78" s="3" t="inlineStr">
        <is>
          <t>Profesor de AL/AC en 10-3</t>
        </is>
      </c>
      <c r="B78" s="3" t="inlineStr">
        <is>
          <t>V</t>
        </is>
      </c>
      <c r="C78" s="3">
        <f>SUMPRODUCT(1*((EXACT('Casillas del horario'!$F$4:$F$73,$A78)))*((EXACT('Casillas del horario'!$B$4:$B$73,$B78)))*((1-(('Casillas del horario'!$D$4:$D$73="")))))</f>
        <v/>
      </c>
      <c r="D78" s="3">
        <f>MID(IF((IFERROR(VALUE($C78&amp;""),0)&gt;IFERROR(VALUE(3&amp;""),0)),"; "&amp;IF(ISNUMBER(("Da "&amp;IF(ISNUMBER($C78),IF($C78=0,"0",ROUND($C78,9-INT(LOG10(ABS($C78))))&amp;""),$C78&amp;"")&amp;" sesiones ese dia")),IF(("Da "&amp;IF(ISNUMBER($C78),IF($C78=0,"0",ROUND($C78,9-INT(LOG10(ABS($C78))))&amp;""),$C78&amp;"")&amp;" sesiones ese dia")=0,"0",ROUND(("Da "&amp;IF(ISNUMBER($C78),IF($C78=0,"0",ROUND($C78,9-INT(LOG10(ABS($C78))))&amp;""),$C78&amp;"")&amp;" sesiones ese dia"),9-INT(LOG10(ABS(("Da "&amp;IF(ISNUMBER($C78),IF($C78=0,"0",ROUND($C78,9-INT(LOG10(ABS($C78))))&amp;""),$C78&amp;"")&amp;" sesiones ese dia")))))&amp;""),("Da "&amp;IF(ISNUMBER($C78),IF($C78=0,"0",ROUND($C78,9-INT(LOG10(ABS($C78))))&amp;""),$C78&amp;"")&amp;" sesiones ese dia")&amp;""),""),3,32767)</f>
        <v/>
      </c>
      <c r="E78" s="3">
        <f>IF(OR((IFERROR(VALUE($C78&amp;""),0)&gt;IFERROR(VALUE(3&amp;""),0))),2,0)</f>
        <v/>
      </c>
    </row>
    <row r="79">
      <c r="A79" s="3" t="inlineStr">
        <is>
          <t>Profesor de M en 10-4</t>
        </is>
      </c>
      <c r="B79" s="3" t="inlineStr">
        <is>
          <t>L</t>
        </is>
      </c>
      <c r="C79" s="3">
        <f>SUMPRODUCT(1*((EXACT('Casillas del horario'!$F$4:$F$73,$A79)))*((EXACT('Casillas del horario'!$B$4:$B$73,$B79)))*((1-(('Casillas del horario'!$D$4:$D$73="")))))</f>
        <v/>
      </c>
      <c r="D79" s="3">
        <f>MID(IF((IFERROR(VALUE($C79&amp;""),0)&gt;IFERROR(VALUE(3&amp;""),0)),"; "&amp;IF(ISNUMBER(("Da "&amp;IF(ISNUMBER($C79),IF($C79=0,"0",ROUND($C79,9-INT(LOG10(ABS($C79))))&amp;""),$C79&amp;"")&amp;" sesiones ese dia")),IF(("Da "&amp;IF(ISNUMBER($C79),IF($C79=0,"0",ROUND($C79,9-INT(LOG10(ABS($C79))))&amp;""),$C79&amp;"")&amp;" sesiones ese dia")=0,"0",ROUND(("Da "&amp;IF(ISNUMBER($C79),IF($C79=0,"0",ROUND($C79,9-INT(LOG10(ABS($C79))))&amp;""),$C79&amp;"")&amp;" sesiones ese dia"),9-INT(LOG10(ABS(("Da "&amp;IF(ISNUMBER($C79),IF($C79=0,"0",ROUND($C79,9-INT(LOG10(ABS($C79))))&amp;""),$C79&amp;"")&amp;" sesiones ese dia")))))&amp;""),("Da "&amp;IF(ISNUMBER($C79),IF($C79=0,"0",ROUND($C79,9-INT(LOG10(ABS($C79))))&amp;""),$C79&amp;"")&amp;" sesiones ese dia")&amp;""),""),3,32767)</f>
        <v/>
      </c>
      <c r="E79" s="3">
        <f>IF(OR((IFERROR(VALUE($C79&amp;""),0)&gt;IFERROR(VALUE(3&amp;""),0))),2,0)</f>
        <v/>
      </c>
    </row>
    <row r="80">
      <c r="A80" s="3" t="inlineStr">
        <is>
          <t>Profesor de M en 10-4</t>
        </is>
      </c>
      <c r="B80" s="3" t="inlineStr">
        <is>
          <t>M</t>
        </is>
      </c>
      <c r="C80" s="3">
        <f>SUMPRODUCT(1*((EXACT('Casillas del horario'!$F$4:$F$73,$A80)))*((EXACT('Casillas del horario'!$B$4:$B$73,$B80)))*((1-(('Casillas del horario'!$D$4:$D$73="")))))</f>
        <v/>
      </c>
      <c r="D80" s="3">
        <f>MID(IF((IFERROR(VALUE($C80&amp;""),0)&gt;IFERROR(VALUE(3&amp;""),0)),"; "&amp;IF(ISNUMBER(("Da "&amp;IF(ISNUMBER($C80),IF($C80=0,"0",ROUND($C80,9-INT(LOG10(ABS($C80))))&amp;""),$C80&amp;"")&amp;" sesiones ese dia")),IF(("Da "&amp;IF(ISNUMBER($C80),IF($C80=0,"0",ROUND($C80,9-INT(LOG10(ABS($C80))))&amp;""),$C80&amp;"")&amp;" sesiones ese dia")=0,"0",ROUND(("Da "&amp;IF(ISNUMBER($C80),IF($C80=0,"0",ROUND($C80,9-INT(LOG10(ABS($C80))))&amp;""),$C80&amp;"")&amp;" sesiones ese dia"),9-INT(LOG10(ABS(("Da "&amp;IF(ISNUMBER($C80),IF($C80=0,"0",ROUND($C80,9-INT(LOG10(ABS($C80))))&amp;""),$C80&amp;"")&amp;" sesiones ese dia")))))&amp;""),("Da "&amp;IF(ISNUMBER($C80),IF($C80=0,"0",ROUND($C80,9-INT(LOG10(ABS($C80))))&amp;""),$C80&amp;"")&amp;" sesiones ese dia")&amp;""),""),3,32767)</f>
        <v/>
      </c>
      <c r="E80" s="3">
        <f>IF(OR((IFERROR(VALUE($C80&amp;""),0)&gt;IFERROR(VALUE(3&amp;""),0))),2,0)</f>
        <v/>
      </c>
    </row>
    <row r="81">
      <c r="A81" s="3" t="inlineStr">
        <is>
          <t>Profesor de M en 10-4</t>
        </is>
      </c>
      <c r="B81" s="3" t="inlineStr">
        <is>
          <t>MI</t>
        </is>
      </c>
      <c r="C81" s="3">
        <f>SUMPRODUCT(1*((EXACT('Casillas del horario'!$F$4:$F$73,$A81)))*((EXACT('Casillas del horario'!$B$4:$B$73,$B81)))*((1-(('Casillas del horario'!$D$4:$D$73="")))))</f>
        <v/>
      </c>
      <c r="D81" s="3">
        <f>MID(IF((IFERROR(VALUE($C81&amp;""),0)&gt;IFERROR(VALUE(3&amp;""),0)),"; "&amp;IF(ISNUMBER(("Da "&amp;IF(ISNUMBER($C81),IF($C81=0,"0",ROUND($C81,9-INT(LOG10(ABS($C81))))&amp;""),$C81&amp;"")&amp;" sesiones ese dia")),IF(("Da "&amp;IF(ISNUMBER($C81),IF($C81=0,"0",ROUND($C81,9-INT(LOG10(ABS($C81))))&amp;""),$C81&amp;"")&amp;" sesiones ese dia")=0,"0",ROUND(("Da "&amp;IF(ISNUMBER($C81),IF($C81=0,"0",ROUND($C81,9-INT(LOG10(ABS($C81))))&amp;""),$C81&amp;"")&amp;" sesiones ese dia"),9-INT(LOG10(ABS(("Da "&amp;IF(ISNUMBER($C81),IF($C81=0,"0",ROUND($C81,9-INT(LOG10(ABS($C81))))&amp;""),$C81&amp;"")&amp;" sesiones ese dia")))))&amp;""),("Da "&amp;IF(ISNUMBER($C81),IF($C81=0,"0",ROUND($C81,9-INT(LOG10(ABS($C81))))&amp;""),$C81&amp;"")&amp;" sesiones ese dia")&amp;""),""),3,32767)</f>
        <v/>
      </c>
      <c r="E81" s="3">
        <f>IF(OR((IFERROR(VALUE($C81&amp;""),0)&gt;IFERROR(VALUE(3&amp;""),0))),2,0)</f>
        <v/>
      </c>
    </row>
    <row r="82">
      <c r="A82" s="3" t="inlineStr">
        <is>
          <t>Profesor de M en 10-4</t>
        </is>
      </c>
      <c r="B82" s="3" t="inlineStr">
        <is>
          <t>J</t>
        </is>
      </c>
      <c r="C82" s="3">
        <f>SUMPRODUCT(1*((EXACT('Casillas del horario'!$F$4:$F$73,$A82)))*((EXACT('Casillas del horario'!$B$4:$B$73,$B82)))*((1-(('Casillas del horario'!$D$4:$D$73="")))))</f>
        <v/>
      </c>
      <c r="D82" s="3">
        <f>MID(IF((IFERROR(VALUE($C82&amp;""),0)&gt;IFERROR(VALUE(3&amp;""),0)),"; "&amp;IF(ISNUMBER(("Da "&amp;IF(ISNUMBER($C82),IF($C82=0,"0",ROUND($C82,9-INT(LOG10(ABS($C82))))&amp;""),$C82&amp;"")&amp;" sesiones ese dia")),IF(("Da "&amp;IF(ISNUMBER($C82),IF($C82=0,"0",ROUND($C82,9-INT(LOG10(ABS($C82))))&amp;""),$C82&amp;"")&amp;" sesiones ese dia")=0,"0",ROUND(("Da "&amp;IF(ISNUMBER($C82),IF($C82=0,"0",ROUND($C82,9-INT(LOG10(ABS($C82))))&amp;""),$C82&amp;"")&amp;" sesiones ese dia"),9-INT(LOG10(ABS(("Da "&amp;IF(ISNUMBER($C82),IF($C82=0,"0",ROUND($C82,9-INT(LOG10(ABS($C82))))&amp;""),$C82&amp;"")&amp;" sesiones ese dia")))))&amp;""),("Da "&amp;IF(ISNUMBER($C82),IF($C82=0,"0",ROUND($C82,9-INT(LOG10(ABS($C82))))&amp;""),$C82&amp;"")&amp;" sesiones ese dia")&amp;""),""),3,32767)</f>
        <v/>
      </c>
      <c r="E82" s="3">
        <f>IF(OR((IFERROR(VALUE($C82&amp;""),0)&gt;IFERROR(VALUE(3&amp;""),0))),2,0)</f>
        <v/>
      </c>
    </row>
    <row r="83">
      <c r="A83" s="3" t="inlineStr">
        <is>
          <t>Profesor de M en 10-4</t>
        </is>
      </c>
      <c r="B83" s="3" t="inlineStr">
        <is>
          <t>V</t>
        </is>
      </c>
      <c r="C83" s="3">
        <f>SUMPRODUCT(1*((EXACT('Casillas del horario'!$F$4:$F$73,$A83)))*((EXACT('Casillas del horario'!$B$4:$B$73,$B83)))*((1-(('Casillas del horario'!$D$4:$D$73="")))))</f>
        <v/>
      </c>
      <c r="D83" s="3">
        <f>MID(IF((IFERROR(VALUE($C83&amp;""),0)&gt;IFERROR(VALUE(3&amp;""),0)),"; "&amp;IF(ISNUMBER(("Da "&amp;IF(ISNUMBER($C83),IF($C83=0,"0",ROUND($C83,9-INT(LOG10(ABS($C83))))&amp;""),$C83&amp;"")&amp;" sesiones ese dia")),IF(("Da "&amp;IF(ISNUMBER($C83),IF($C83=0,"0",ROUND($C83,9-INT(LOG10(ABS($C83))))&amp;""),$C83&amp;"")&amp;" sesiones ese dia")=0,"0",ROUND(("Da "&amp;IF(ISNUMBER($C83),IF($C83=0,"0",ROUND($C83,9-INT(LOG10(ABS($C83))))&amp;""),$C83&amp;"")&amp;" sesiones ese dia"),9-INT(LOG10(ABS(("Da "&amp;IF(ISNUMBER($C83),IF($C83=0,"0",ROUND($C83,9-INT(LOG10(ABS($C83))))&amp;""),$C83&amp;"")&amp;" sesiones ese dia")))))&amp;""),("Da "&amp;IF(ISNUMBER($C83),IF($C83=0,"0",ROUND($C83,9-INT(LOG10(ABS($C83))))&amp;""),$C83&amp;"")&amp;" sesiones ese dia")&amp;""),""),3,32767)</f>
        <v/>
      </c>
      <c r="E83" s="3">
        <f>IF(OR((IFERROR(VALUE($C83&amp;""),0)&gt;IFERROR(VALUE(3&amp;""),0))),2,0)</f>
        <v/>
      </c>
    </row>
    <row r="84">
      <c r="A84" s="3" t="inlineStr">
        <is>
          <t>Profesor de Lit-L en 10-4</t>
        </is>
      </c>
      <c r="B84" s="3" t="inlineStr">
        <is>
          <t>L</t>
        </is>
      </c>
      <c r="C84" s="3">
        <f>SUMPRODUCT(1*((EXACT('Casillas del horario'!$F$4:$F$73,$A84)))*((EXACT('Casillas del horario'!$B$4:$B$73,$B84)))*((1-(('Casillas del horario'!$D$4:$D$73="")))))</f>
        <v/>
      </c>
      <c r="D84" s="3">
        <f>MID(IF((IFERROR(VALUE($C84&amp;""),0)&gt;IFERROR(VALUE(3&amp;""),0)),"; "&amp;IF(ISNUMBER(("Da "&amp;IF(ISNUMBER($C84),IF($C84=0,"0",ROUND($C84,9-INT(LOG10(ABS($C84))))&amp;""),$C84&amp;"")&amp;" sesiones ese dia")),IF(("Da "&amp;IF(ISNUMBER($C84),IF($C84=0,"0",ROUND($C84,9-INT(LOG10(ABS($C84))))&amp;""),$C84&amp;"")&amp;" sesiones ese dia")=0,"0",ROUND(("Da "&amp;IF(ISNUMBER($C84),IF($C84=0,"0",ROUND($C84,9-INT(LOG10(ABS($C84))))&amp;""),$C84&amp;"")&amp;" sesiones ese dia"),9-INT(LOG10(ABS(("Da "&amp;IF(ISNUMBER($C84),IF($C84=0,"0",ROUND($C84,9-INT(LOG10(ABS($C84))))&amp;""),$C84&amp;"")&amp;" sesiones ese dia")))))&amp;""),("Da "&amp;IF(ISNUMBER($C84),IF($C84=0,"0",ROUND($C84,9-INT(LOG10(ABS($C84))))&amp;""),$C84&amp;"")&amp;" sesiones ese dia")&amp;""),""),3,32767)</f>
        <v/>
      </c>
      <c r="E84" s="3">
        <f>IF(OR((IFERROR(VALUE($C84&amp;""),0)&gt;IFERROR(VALUE(3&amp;""),0))),2,0)</f>
        <v/>
      </c>
    </row>
    <row r="85">
      <c r="A85" s="3" t="inlineStr">
        <is>
          <t>Profesor de Lit-L en 10-4</t>
        </is>
      </c>
      <c r="B85" s="3" t="inlineStr">
        <is>
          <t>M</t>
        </is>
      </c>
      <c r="C85" s="3">
        <f>SUMPRODUCT(1*((EXACT('Casillas del horario'!$F$4:$F$73,$A85)))*((EXACT('Casillas del horario'!$B$4:$B$73,$B85)))*((1-(('Casillas del horario'!$D$4:$D$73="")))))</f>
        <v/>
      </c>
      <c r="D85" s="3">
        <f>MID(IF((IFERROR(VALUE($C85&amp;""),0)&gt;IFERROR(VALUE(3&amp;""),0)),"; "&amp;IF(ISNUMBER(("Da "&amp;IF(ISNUMBER($C85),IF($C85=0,"0",ROUND($C85,9-INT(LOG10(ABS($C85))))&amp;""),$C85&amp;"")&amp;" sesiones ese dia")),IF(("Da "&amp;IF(ISNUMBER($C85),IF($C85=0,"0",ROUND($C85,9-INT(LOG10(ABS($C85))))&amp;""),$C85&amp;"")&amp;" sesiones ese dia")=0,"0",ROUND(("Da "&amp;IF(ISNUMBER($C85),IF($C85=0,"0",ROUND($C85,9-INT(LOG10(ABS($C85))))&amp;""),$C85&amp;"")&amp;" sesiones ese dia"),9-INT(LOG10(ABS(("Da "&amp;IF(ISNUMBER($C85),IF($C85=0,"0",ROUND($C85,9-INT(LOG10(ABS($C85))))&amp;""),$C85&amp;"")&amp;" sesiones ese dia")))))&amp;""),("Da "&amp;IF(ISNUMBER($C85),IF($C85=0,"0",ROUND($C85,9-INT(LOG10(ABS($C85))))&amp;""),$C85&amp;"")&amp;" sesiones ese dia")&amp;""),""),3,32767)</f>
        <v/>
      </c>
      <c r="E85" s="3">
        <f>IF(OR((IFERROR(VALUE($C85&amp;""),0)&gt;IFERROR(VALUE(3&amp;""),0))),2,0)</f>
        <v/>
      </c>
    </row>
    <row r="86">
      <c r="A86" s="3" t="inlineStr">
        <is>
          <t>Profesor de Lit-L en 10-4</t>
        </is>
      </c>
      <c r="B86" s="3" t="inlineStr">
        <is>
          <t>MI</t>
        </is>
      </c>
      <c r="C86" s="3">
        <f>SUMPRODUCT(1*((EXACT('Casillas del horario'!$F$4:$F$73,$A86)))*((EXACT('Casillas del horario'!$B$4:$B$73,$B86)))*((1-(('Casillas del horario'!$D$4:$D$73="")))))</f>
        <v/>
      </c>
      <c r="D86" s="3">
        <f>MID(IF((IFERROR(VALUE($C86&amp;""),0)&gt;IFERROR(VALUE(3&amp;""),0)),"; "&amp;IF(ISNUMBER(("Da "&amp;IF(ISNUMBER($C86),IF($C86=0,"0",ROUND($C86,9-INT(LOG10(ABS($C86))))&amp;""),$C86&amp;"")&amp;" sesiones ese dia")),IF(("Da "&amp;IF(ISNUMBER($C86),IF($C86=0,"0",ROUND($C86,9-INT(LOG10(ABS($C86))))&amp;""),$C86&amp;"")&amp;" sesiones ese dia")=0,"0",ROUND(("Da "&amp;IF(ISNUMBER($C86),IF($C86=0,"0",ROUND($C86,9-INT(LOG10(ABS($C86))))&amp;""),$C86&amp;"")&amp;" sesiones ese dia"),9-INT(LOG10(ABS(("Da "&amp;IF(ISNUMBER($C86),IF($C86=0,"0",ROUND($C86,9-INT(LOG10(ABS($C86))))&amp;""),$C86&amp;"")&amp;" sesiones ese dia")))))&amp;""),("Da "&amp;IF(ISNUMBER($C86),IF($C86=0,"0",ROUND($C86,9-INT(LOG10(ABS($C86))))&amp;""),$C86&amp;"")&amp;" sesiones ese dia")&amp;""),""),3,32767)</f>
        <v/>
      </c>
      <c r="E86" s="3">
        <f>IF(OR((IFERROR(VALUE($C86&amp;""),0)&gt;IFERROR(VALUE(3&amp;""),0))),2,0)</f>
        <v/>
      </c>
    </row>
    <row r="87">
      <c r="A87" s="3" t="inlineStr">
        <is>
          <t>Profesor de Lit-L en 10-4</t>
        </is>
      </c>
      <c r="B87" s="3" t="inlineStr">
        <is>
          <t>J</t>
        </is>
      </c>
      <c r="C87" s="3">
        <f>SUMPRODUCT(1*((EXACT('Casillas del horario'!$F$4:$F$73,$A87)))*((EXACT('Casillas del horario'!$B$4:$B$73,$B87)))*((1-(('Casillas del horario'!$D$4:$D$73="")))))</f>
        <v/>
      </c>
      <c r="D87" s="3">
        <f>MID(IF((IFERROR(VALUE($C87&amp;""),0)&gt;IFERROR(VALUE(3&amp;""),0)),"; "&amp;IF(ISNUMBER(("Da "&amp;IF(ISNUMBER($C87),IF($C87=0,"0",ROUND($C87,9-INT(LOG10(ABS($C87))))&amp;""),$C87&amp;"")&amp;" sesiones ese dia")),IF(("Da "&amp;IF(ISNUMBER($C87),IF($C87=0,"0",ROUND($C87,9-INT(LOG10(ABS($C87))))&amp;""),$C87&amp;"")&amp;" sesiones ese dia")=0,"0",ROUND(("Da "&amp;IF(ISNUMBER($C87),IF($C87=0,"0",ROUND($C87,9-INT(LOG10(ABS($C87))))&amp;""),$C87&amp;"")&amp;" sesiones ese dia"),9-INT(LOG10(ABS(("Da "&amp;IF(ISNUMBER($C87),IF($C87=0,"0",ROUND($C87,9-INT(LOG10(ABS($C87))))&amp;""),$C87&amp;"")&amp;" sesiones ese dia")))))&amp;""),("Da "&amp;IF(ISNUMBER($C87),IF($C87=0,"0",ROUND($C87,9-INT(LOG10(ABS($C87))))&amp;""),$C87&amp;"")&amp;" sesiones ese dia")&amp;""),""),3,32767)</f>
        <v/>
      </c>
      <c r="E87" s="3">
        <f>IF(OR((IFERROR(VALUE($C87&amp;""),0)&gt;IFERROR(VALUE(3&amp;""),0))),2,0)</f>
        <v/>
      </c>
    </row>
    <row r="88">
      <c r="A88" s="3" t="inlineStr">
        <is>
          <t>Profesor de Lit-L en 10-4</t>
        </is>
      </c>
      <c r="B88" s="3" t="inlineStr">
        <is>
          <t>V</t>
        </is>
      </c>
      <c r="C88" s="3">
        <f>SUMPRODUCT(1*((EXACT('Casillas del horario'!$F$4:$F$73,$A88)))*((EXACT('Casillas del horario'!$B$4:$B$73,$B88)))*((1-(('Casillas del horario'!$D$4:$D$73="")))))</f>
        <v/>
      </c>
      <c r="D88" s="3">
        <f>MID(IF((IFERROR(VALUE($C88&amp;""),0)&gt;IFERROR(VALUE(3&amp;""),0)),"; "&amp;IF(ISNUMBER(("Da "&amp;IF(ISNUMBER($C88),IF($C88=0,"0",ROUND($C88,9-INT(LOG10(ABS($C88))))&amp;""),$C88&amp;"")&amp;" sesiones ese dia")),IF(("Da "&amp;IF(ISNUMBER($C88),IF($C88=0,"0",ROUND($C88,9-INT(LOG10(ABS($C88))))&amp;""),$C88&amp;"")&amp;" sesiones ese dia")=0,"0",ROUND(("Da "&amp;IF(ISNUMBER($C88),IF($C88=0,"0",ROUND($C88,9-INT(LOG10(ABS($C88))))&amp;""),$C88&amp;"")&amp;" sesiones ese dia"),9-INT(LOG10(ABS(("Da "&amp;IF(ISNUMBER($C88),IF($C88=0,"0",ROUND($C88,9-INT(LOG10(ABS($C88))))&amp;""),$C88&amp;"")&amp;" sesiones ese dia")))))&amp;""),("Da "&amp;IF(ISNUMBER($C88),IF($C88=0,"0",ROUND($C88,9-INT(LOG10(ABS($C88))))&amp;""),$C88&amp;"")&amp;" sesiones ese dia")&amp;""),""),3,32767)</f>
        <v/>
      </c>
      <c r="E88" s="3">
        <f>IF(OR((IFERROR(VALUE($C88&amp;""),0)&gt;IFERROR(VALUE(3&amp;""),0))),2,0)</f>
        <v/>
      </c>
    </row>
    <row r="89">
      <c r="A89" s="3" t="inlineStr">
        <is>
          <t>Profesor de F en 10-4</t>
        </is>
      </c>
      <c r="B89" s="3" t="inlineStr">
        <is>
          <t>L</t>
        </is>
      </c>
      <c r="C89" s="3">
        <f>SUMPRODUCT(1*((EXACT('Casillas del horario'!$F$4:$F$73,$A89)))*((EXACT('Casillas del horario'!$B$4:$B$73,$B89)))*((1-(('Casillas del horario'!$D$4:$D$73="")))))</f>
        <v/>
      </c>
      <c r="D89" s="3">
        <f>MID(IF((IFERROR(VALUE($C89&amp;""),0)&gt;IFERROR(VALUE(3&amp;""),0)),"; "&amp;IF(ISNUMBER(("Da "&amp;IF(ISNUMBER($C89),IF($C89=0,"0",ROUND($C89,9-INT(LOG10(ABS($C89))))&amp;""),$C89&amp;"")&amp;" sesiones ese dia")),IF(("Da "&amp;IF(ISNUMBER($C89),IF($C89=0,"0",ROUND($C89,9-INT(LOG10(ABS($C89))))&amp;""),$C89&amp;"")&amp;" sesiones ese dia")=0,"0",ROUND(("Da "&amp;IF(ISNUMBER($C89),IF($C89=0,"0",ROUND($C89,9-INT(LOG10(ABS($C89))))&amp;""),$C89&amp;"")&amp;" sesiones ese dia"),9-INT(LOG10(ABS(("Da "&amp;IF(ISNUMBER($C89),IF($C89=0,"0",ROUND($C89,9-INT(LOG10(ABS($C89))))&amp;""),$C89&amp;"")&amp;" sesiones ese dia")))))&amp;""),("Da "&amp;IF(ISNUMBER($C89),IF($C89=0,"0",ROUND($C89,9-INT(LOG10(ABS($C89))))&amp;""),$C89&amp;"")&amp;" sesiones ese dia")&amp;""),""),3,32767)</f>
        <v/>
      </c>
      <c r="E89" s="3">
        <f>IF(OR((IFERROR(VALUE($C89&amp;""),0)&gt;IFERROR(VALUE(3&amp;""),0))),2,0)</f>
        <v/>
      </c>
    </row>
    <row r="90">
      <c r="A90" s="3" t="inlineStr">
        <is>
          <t>Profesor de F en 10-4</t>
        </is>
      </c>
      <c r="B90" s="3" t="inlineStr">
        <is>
          <t>M</t>
        </is>
      </c>
      <c r="C90" s="3">
        <f>SUMPRODUCT(1*((EXACT('Casillas del horario'!$F$4:$F$73,$A90)))*((EXACT('Casillas del horario'!$B$4:$B$73,$B90)))*((1-(('Casillas del horario'!$D$4:$D$73="")))))</f>
        <v/>
      </c>
      <c r="D90" s="3">
        <f>MID(IF((IFERROR(VALUE($C90&amp;""),0)&gt;IFERROR(VALUE(3&amp;""),0)),"; "&amp;IF(ISNUMBER(("Da "&amp;IF(ISNUMBER($C90),IF($C90=0,"0",ROUND($C90,9-INT(LOG10(ABS($C90))))&amp;""),$C90&amp;"")&amp;" sesiones ese dia")),IF(("Da "&amp;IF(ISNUMBER($C90),IF($C90=0,"0",ROUND($C90,9-INT(LOG10(ABS($C90))))&amp;""),$C90&amp;"")&amp;" sesiones ese dia")=0,"0",ROUND(("Da "&amp;IF(ISNUMBER($C90),IF($C90=0,"0",ROUND($C90,9-INT(LOG10(ABS($C90))))&amp;""),$C90&amp;"")&amp;" sesiones ese dia"),9-INT(LOG10(ABS(("Da "&amp;IF(ISNUMBER($C90),IF($C90=0,"0",ROUND($C90,9-INT(LOG10(ABS($C90))))&amp;""),$C90&amp;"")&amp;" sesiones ese dia")))))&amp;""),("Da "&amp;IF(ISNUMBER($C90),IF($C90=0,"0",ROUND($C90,9-INT(LOG10(ABS($C90))))&amp;""),$C90&amp;"")&amp;" sesiones ese dia")&amp;""),""),3,32767)</f>
        <v/>
      </c>
      <c r="E90" s="3">
        <f>IF(OR((IFERROR(VALUE($C90&amp;""),0)&gt;IFERROR(VALUE(3&amp;""),0))),2,0)</f>
        <v/>
      </c>
    </row>
    <row r="91">
      <c r="A91" s="3" t="inlineStr">
        <is>
          <t>Profesor de F en 10-4</t>
        </is>
      </c>
      <c r="B91" s="3" t="inlineStr">
        <is>
          <t>MI</t>
        </is>
      </c>
      <c r="C91" s="3">
        <f>SUMPRODUCT(1*((EXACT('Casillas del horario'!$F$4:$F$73,$A91)))*((EXACT('Casillas del horario'!$B$4:$B$73,$B91)))*((1-(('Casillas del horario'!$D$4:$D$73="")))))</f>
        <v/>
      </c>
      <c r="D91" s="3">
        <f>MID(IF((IFERROR(VALUE($C91&amp;""),0)&gt;IFERROR(VALUE(3&amp;""),0)),"; "&amp;IF(ISNUMBER(("Da "&amp;IF(ISNUMBER($C91),IF($C91=0,"0",ROUND($C91,9-INT(LOG10(ABS($C91))))&amp;""),$C91&amp;"")&amp;" sesiones ese dia")),IF(("Da "&amp;IF(ISNUMBER($C91),IF($C91=0,"0",ROUND($C91,9-INT(LOG10(ABS($C91))))&amp;""),$C91&amp;"")&amp;" sesiones ese dia")=0,"0",ROUND(("Da "&amp;IF(ISNUMBER($C91),IF($C91=0,"0",ROUND($C91,9-INT(LOG10(ABS($C91))))&amp;""),$C91&amp;"")&amp;" sesiones ese dia"),9-INT(LOG10(ABS(("Da "&amp;IF(ISNUMBER($C91),IF($C91=0,"0",ROUND($C91,9-INT(LOG10(ABS($C91))))&amp;""),$C91&amp;"")&amp;" sesiones ese dia")))))&amp;""),("Da "&amp;IF(ISNUMBER($C91),IF($C91=0,"0",ROUND($C91,9-INT(LOG10(ABS($C91))))&amp;""),$C91&amp;"")&amp;" sesiones ese dia")&amp;""),""),3,32767)</f>
        <v/>
      </c>
      <c r="E91" s="3">
        <f>IF(OR((IFERROR(VALUE($C91&amp;""),0)&gt;IFERROR(VALUE(3&amp;""),0))),2,0)</f>
        <v/>
      </c>
    </row>
    <row r="92">
      <c r="A92" s="3" t="inlineStr">
        <is>
          <t>Profesor de F en 10-4</t>
        </is>
      </c>
      <c r="B92" s="3" t="inlineStr">
        <is>
          <t>J</t>
        </is>
      </c>
      <c r="C92" s="3">
        <f>SUMPRODUCT(1*((EXACT('Casillas del horario'!$F$4:$F$73,$A92)))*((EXACT('Casillas del horario'!$B$4:$B$73,$B92)))*((1-(('Casillas del horario'!$D$4:$D$73="")))))</f>
        <v/>
      </c>
      <c r="D92" s="3">
        <f>MID(IF((IFERROR(VALUE($C92&amp;""),0)&gt;IFERROR(VALUE(3&amp;""),0)),"; "&amp;IF(ISNUMBER(("Da "&amp;IF(ISNUMBER($C92),IF($C92=0,"0",ROUND($C92,9-INT(LOG10(ABS($C92))))&amp;""),$C92&amp;"")&amp;" sesiones ese dia")),IF(("Da "&amp;IF(ISNUMBER($C92),IF($C92=0,"0",ROUND($C92,9-INT(LOG10(ABS($C92))))&amp;""),$C92&amp;"")&amp;" sesiones ese dia")=0,"0",ROUND(("Da "&amp;IF(ISNUMBER($C92),IF($C92=0,"0",ROUND($C92,9-INT(LOG10(ABS($C92))))&amp;""),$C92&amp;"")&amp;" sesiones ese dia"),9-INT(LOG10(ABS(("Da "&amp;IF(ISNUMBER($C92),IF($C92=0,"0",ROUND($C92,9-INT(LOG10(ABS($C92))))&amp;""),$C92&amp;"")&amp;" sesiones ese dia")))))&amp;""),("Da "&amp;IF(ISNUMBER($C92),IF($C92=0,"0",ROUND($C92,9-INT(LOG10(ABS($C92))))&amp;""),$C92&amp;"")&amp;" sesiones ese dia")&amp;""),""),3,32767)</f>
        <v/>
      </c>
      <c r="E92" s="3">
        <f>IF(OR((IFERROR(VALUE($C92&amp;""),0)&gt;IFERROR(VALUE(3&amp;""),0))),2,0)</f>
        <v/>
      </c>
    </row>
    <row r="93">
      <c r="A93" s="3" t="inlineStr">
        <is>
          <t>Profesor de F en 10-4</t>
        </is>
      </c>
      <c r="B93" s="3" t="inlineStr">
        <is>
          <t>V</t>
        </is>
      </c>
      <c r="C93" s="3">
        <f>SUMPRODUCT(1*((EXACT('Casillas del horario'!$F$4:$F$73,$A93)))*((EXACT('Casillas del horario'!$B$4:$B$73,$B93)))*((1-(('Casillas del horario'!$D$4:$D$73="")))))</f>
        <v/>
      </c>
      <c r="D93" s="3">
        <f>MID(IF((IFERROR(VALUE($C93&amp;""),0)&gt;IFERROR(VALUE(3&amp;""),0)),"; "&amp;IF(ISNUMBER(("Da "&amp;IF(ISNUMBER($C93),IF($C93=0,"0",ROUND($C93,9-INT(LOG10(ABS($C93))))&amp;""),$C93&amp;"")&amp;" sesiones ese dia")),IF(("Da "&amp;IF(ISNUMBER($C93),IF($C93=0,"0",ROUND($C93,9-INT(LOG10(ABS($C93))))&amp;""),$C93&amp;"")&amp;" sesiones ese dia")=0,"0",ROUND(("Da "&amp;IF(ISNUMBER($C93),IF($C93=0,"0",ROUND($C93,9-INT(LOG10(ABS($C93))))&amp;""),$C93&amp;"")&amp;" sesiones ese dia"),9-INT(LOG10(ABS(("Da "&amp;IF(ISNUMBER($C93),IF($C93=0,"0",ROUND($C93,9-INT(LOG10(ABS($C93))))&amp;""),$C93&amp;"")&amp;" sesiones ese dia")))))&amp;""),("Da "&amp;IF(ISNUMBER($C93),IF($C93=0,"0",ROUND($C93,9-INT(LOG10(ABS($C93))))&amp;""),$C93&amp;"")&amp;" sesiones ese dia")&amp;""),""),3,32767)</f>
        <v/>
      </c>
      <c r="E93" s="3">
        <f>IF(OR((IFERROR(VALUE($C93&amp;""),0)&gt;IFERROR(VALUE(3&amp;""),0))),2,0)</f>
        <v/>
      </c>
    </row>
    <row r="94">
      <c r="A94" s="3" t="inlineStr">
        <is>
          <t>Profesor de I en 10-4</t>
        </is>
      </c>
      <c r="B94" s="3" t="inlineStr">
        <is>
          <t>L</t>
        </is>
      </c>
      <c r="C94" s="3">
        <f>SUMPRODUCT(1*((EXACT('Casillas del horario'!$F$4:$F$73,$A94)))*((EXACT('Casillas del horario'!$B$4:$B$73,$B94)))*((1-(('Casillas del horario'!$D$4:$D$73="")))))</f>
        <v/>
      </c>
      <c r="D94" s="3">
        <f>MID(IF((IFERROR(VALUE($C94&amp;""),0)&gt;IFERROR(VALUE(3&amp;""),0)),"; "&amp;IF(ISNUMBER(("Da "&amp;IF(ISNUMBER($C94),IF($C94=0,"0",ROUND($C94,9-INT(LOG10(ABS($C94))))&amp;""),$C94&amp;"")&amp;" sesiones ese dia")),IF(("Da "&amp;IF(ISNUMBER($C94),IF($C94=0,"0",ROUND($C94,9-INT(LOG10(ABS($C94))))&amp;""),$C94&amp;"")&amp;" sesiones ese dia")=0,"0",ROUND(("Da "&amp;IF(ISNUMBER($C94),IF($C94=0,"0",ROUND($C94,9-INT(LOG10(ABS($C94))))&amp;""),$C94&amp;"")&amp;" sesiones ese dia"),9-INT(LOG10(ABS(("Da "&amp;IF(ISNUMBER($C94),IF($C94=0,"0",ROUND($C94,9-INT(LOG10(ABS($C94))))&amp;""),$C94&amp;"")&amp;" sesiones ese dia")))))&amp;""),("Da "&amp;IF(ISNUMBER($C94),IF($C94=0,"0",ROUND($C94,9-INT(LOG10(ABS($C94))))&amp;""),$C94&amp;"")&amp;" sesiones ese dia")&amp;""),""),3,32767)</f>
        <v/>
      </c>
      <c r="E94" s="3">
        <f>IF(OR((IFERROR(VALUE($C94&amp;""),0)&gt;IFERROR(VALUE(3&amp;""),0))),2,0)</f>
        <v/>
      </c>
    </row>
    <row r="95">
      <c r="A95" s="3" t="inlineStr">
        <is>
          <t>Profesor de I en 10-4</t>
        </is>
      </c>
      <c r="B95" s="3" t="inlineStr">
        <is>
          <t>M</t>
        </is>
      </c>
      <c r="C95" s="3">
        <f>SUMPRODUCT(1*((EXACT('Casillas del horario'!$F$4:$F$73,$A95)))*((EXACT('Casillas del horario'!$B$4:$B$73,$B95)))*((1-(('Casillas del horario'!$D$4:$D$73="")))))</f>
        <v/>
      </c>
      <c r="D95" s="3">
        <f>MID(IF((IFERROR(VALUE($C95&amp;""),0)&gt;IFERROR(VALUE(3&amp;""),0)),"; "&amp;IF(ISNUMBER(("Da "&amp;IF(ISNUMBER($C95),IF($C95=0,"0",ROUND($C95,9-INT(LOG10(ABS($C95))))&amp;""),$C95&amp;"")&amp;" sesiones ese dia")),IF(("Da "&amp;IF(ISNUMBER($C95),IF($C95=0,"0",ROUND($C95,9-INT(LOG10(ABS($C95))))&amp;""),$C95&amp;"")&amp;" sesiones ese dia")=0,"0",ROUND(("Da "&amp;IF(ISNUMBER($C95),IF($C95=0,"0",ROUND($C95,9-INT(LOG10(ABS($C95))))&amp;""),$C95&amp;"")&amp;" sesiones ese dia"),9-INT(LOG10(ABS(("Da "&amp;IF(ISNUMBER($C95),IF($C95=0,"0",ROUND($C95,9-INT(LOG10(ABS($C95))))&amp;""),$C95&amp;"")&amp;" sesiones ese dia")))))&amp;""),("Da "&amp;IF(ISNUMBER($C95),IF($C95=0,"0",ROUND($C95,9-INT(LOG10(ABS($C95))))&amp;""),$C95&amp;"")&amp;" sesiones ese dia")&amp;""),""),3,32767)</f>
        <v/>
      </c>
      <c r="E95" s="3">
        <f>IF(OR((IFERROR(VALUE($C95&amp;""),0)&gt;IFERROR(VALUE(3&amp;""),0))),2,0)</f>
        <v/>
      </c>
    </row>
    <row r="96">
      <c r="A96" s="3" t="inlineStr">
        <is>
          <t>Profesor de I en 10-4</t>
        </is>
      </c>
      <c r="B96" s="3" t="inlineStr">
        <is>
          <t>MI</t>
        </is>
      </c>
      <c r="C96" s="3">
        <f>SUMPRODUCT(1*((EXACT('Casillas del horario'!$F$4:$F$73,$A96)))*((EXACT('Casillas del horario'!$B$4:$B$73,$B96)))*((1-(('Casillas del horario'!$D$4:$D$73="")))))</f>
        <v/>
      </c>
      <c r="D96" s="3">
        <f>MID(IF((IFERROR(VALUE($C96&amp;""),0)&gt;IFERROR(VALUE(3&amp;""),0)),"; "&amp;IF(ISNUMBER(("Da "&amp;IF(ISNUMBER($C96),IF($C96=0,"0",ROUND($C96,9-INT(LOG10(ABS($C96))))&amp;""),$C96&amp;"")&amp;" sesiones ese dia")),IF(("Da "&amp;IF(ISNUMBER($C96),IF($C96=0,"0",ROUND($C96,9-INT(LOG10(ABS($C96))))&amp;""),$C96&amp;"")&amp;" sesiones ese dia")=0,"0",ROUND(("Da "&amp;IF(ISNUMBER($C96),IF($C96=0,"0",ROUND($C96,9-INT(LOG10(ABS($C96))))&amp;""),$C96&amp;"")&amp;" sesiones ese dia"),9-INT(LOG10(ABS(("Da "&amp;IF(ISNUMBER($C96),IF($C96=0,"0",ROUND($C96,9-INT(LOG10(ABS($C96))))&amp;""),$C96&amp;"")&amp;" sesiones ese dia")))))&amp;""),("Da "&amp;IF(ISNUMBER($C96),IF($C96=0,"0",ROUND($C96,9-INT(LOG10(ABS($C96))))&amp;""),$C96&amp;"")&amp;" sesiones ese dia")&amp;""),""),3,32767)</f>
        <v/>
      </c>
      <c r="E96" s="3">
        <f>IF(OR((IFERROR(VALUE($C96&amp;""),0)&gt;IFERROR(VALUE(3&amp;""),0))),2,0)</f>
        <v/>
      </c>
    </row>
    <row r="97">
      <c r="A97" s="3" t="inlineStr">
        <is>
          <t>Profesor de I en 10-4</t>
        </is>
      </c>
      <c r="B97" s="3" t="inlineStr">
        <is>
          <t>J</t>
        </is>
      </c>
      <c r="C97" s="3">
        <f>SUMPRODUCT(1*((EXACT('Casillas del horario'!$F$4:$F$73,$A97)))*((EXACT('Casillas del horario'!$B$4:$B$73,$B97)))*((1-(('Casillas del horario'!$D$4:$D$73="")))))</f>
        <v/>
      </c>
      <c r="D97" s="3">
        <f>MID(IF((IFERROR(VALUE($C97&amp;""),0)&gt;IFERROR(VALUE(3&amp;""),0)),"; "&amp;IF(ISNUMBER(("Da "&amp;IF(ISNUMBER($C97),IF($C97=0,"0",ROUND($C97,9-INT(LOG10(ABS($C97))))&amp;""),$C97&amp;"")&amp;" sesiones ese dia")),IF(("Da "&amp;IF(ISNUMBER($C97),IF($C97=0,"0",ROUND($C97,9-INT(LOG10(ABS($C97))))&amp;""),$C97&amp;"")&amp;" sesiones ese dia")=0,"0",ROUND(("Da "&amp;IF(ISNUMBER($C97),IF($C97=0,"0",ROUND($C97,9-INT(LOG10(ABS($C97))))&amp;""),$C97&amp;"")&amp;" sesiones ese dia"),9-INT(LOG10(ABS(("Da "&amp;IF(ISNUMBER($C97),IF($C97=0,"0",ROUND($C97,9-INT(LOG10(ABS($C97))))&amp;""),$C97&amp;"")&amp;" sesiones ese dia")))))&amp;""),("Da "&amp;IF(ISNUMBER($C97),IF($C97=0,"0",ROUND($C97,9-INT(LOG10(ABS($C97))))&amp;""),$C97&amp;"")&amp;" sesiones ese dia")&amp;""),""),3,32767)</f>
        <v/>
      </c>
      <c r="E97" s="3">
        <f>IF(OR((IFERROR(VALUE($C97&amp;""),0)&gt;IFERROR(VALUE(3&amp;""),0))),2,0)</f>
        <v/>
      </c>
    </row>
    <row r="98">
      <c r="A98" s="3" t="inlineStr">
        <is>
          <t>Profesor de I en 10-4</t>
        </is>
      </c>
      <c r="B98" s="3" t="inlineStr">
        <is>
          <t>V</t>
        </is>
      </c>
      <c r="C98" s="3">
        <f>SUMPRODUCT(1*((EXACT('Casillas del horario'!$F$4:$F$73,$A98)))*((EXACT('Casillas del horario'!$B$4:$B$73,$B98)))*((1-(('Casillas del horario'!$D$4:$D$73="")))))</f>
        <v/>
      </c>
      <c r="D98" s="3">
        <f>MID(IF((IFERROR(VALUE($C98&amp;""),0)&gt;IFERROR(VALUE(3&amp;""),0)),"; "&amp;IF(ISNUMBER(("Da "&amp;IF(ISNUMBER($C98),IF($C98=0,"0",ROUND($C98,9-INT(LOG10(ABS($C98))))&amp;""),$C98&amp;"")&amp;" sesiones ese dia")),IF(("Da "&amp;IF(ISNUMBER($C98),IF($C98=0,"0",ROUND($C98,9-INT(LOG10(ABS($C98))))&amp;""),$C98&amp;"")&amp;" sesiones ese dia")=0,"0",ROUND(("Da "&amp;IF(ISNUMBER($C98),IF($C98=0,"0",ROUND($C98,9-INT(LOG10(ABS($C98))))&amp;""),$C98&amp;"")&amp;" sesiones ese dia"),9-INT(LOG10(ABS(("Da "&amp;IF(ISNUMBER($C98),IF($C98=0,"0",ROUND($C98,9-INT(LOG10(ABS($C98))))&amp;""),$C98&amp;"")&amp;" sesiones ese dia")))))&amp;""),("Da "&amp;IF(ISNUMBER($C98),IF($C98=0,"0",ROUND($C98,9-INT(LOG10(ABS($C98))))&amp;""),$C98&amp;"")&amp;" sesiones ese dia")&amp;""),""),3,32767)</f>
        <v/>
      </c>
      <c r="E98" s="3">
        <f>IF(OR((IFERROR(VALUE($C98&amp;""),0)&gt;IFERROR(VALUE(3&amp;""),0))),2,0)</f>
        <v/>
      </c>
    </row>
    <row r="99">
      <c r="A99" s="3" t="inlineStr">
        <is>
          <t>Profesor de H en 10-4</t>
        </is>
      </c>
      <c r="B99" s="3" t="inlineStr">
        <is>
          <t>L</t>
        </is>
      </c>
      <c r="C99" s="3">
        <f>SUMPRODUCT(1*((EXACT('Casillas del horario'!$F$4:$F$73,$A99)))*((EXACT('Casillas del horario'!$B$4:$B$73,$B99)))*((1-(('Casillas del horario'!$D$4:$D$73="")))))</f>
        <v/>
      </c>
      <c r="D99" s="3">
        <f>MID(IF((IFERROR(VALUE($C99&amp;""),0)&gt;IFERROR(VALUE(3&amp;""),0)),"; "&amp;IF(ISNUMBER(("Da "&amp;IF(ISNUMBER($C99),IF($C99=0,"0",ROUND($C99,9-INT(LOG10(ABS($C99))))&amp;""),$C99&amp;"")&amp;" sesiones ese dia")),IF(("Da "&amp;IF(ISNUMBER($C99),IF($C99=0,"0",ROUND($C99,9-INT(LOG10(ABS($C99))))&amp;""),$C99&amp;"")&amp;" sesiones ese dia")=0,"0",ROUND(("Da "&amp;IF(ISNUMBER($C99),IF($C99=0,"0",ROUND($C99,9-INT(LOG10(ABS($C99))))&amp;""),$C99&amp;"")&amp;" sesiones ese dia"),9-INT(LOG10(ABS(("Da "&amp;IF(ISNUMBER($C99),IF($C99=0,"0",ROUND($C99,9-INT(LOG10(ABS($C99))))&amp;""),$C99&amp;"")&amp;" sesiones ese dia")))))&amp;""),("Da "&amp;IF(ISNUMBER($C99),IF($C99=0,"0",ROUND($C99,9-INT(LOG10(ABS($C99))))&amp;""),$C99&amp;"")&amp;" sesiones ese dia")&amp;""),""),3,32767)</f>
        <v/>
      </c>
      <c r="E99" s="3">
        <f>IF(OR((IFERROR(VALUE($C99&amp;""),0)&gt;IFERROR(VALUE(3&amp;""),0))),2,0)</f>
        <v/>
      </c>
    </row>
    <row r="100">
      <c r="A100" s="3" t="inlineStr">
        <is>
          <t>Profesor de H en 10-4</t>
        </is>
      </c>
      <c r="B100" s="3" t="inlineStr">
        <is>
          <t>M</t>
        </is>
      </c>
      <c r="C100" s="3">
        <f>SUMPRODUCT(1*((EXACT('Casillas del horario'!$F$4:$F$73,$A100)))*((EXACT('Casillas del horario'!$B$4:$B$73,$B100)))*((1-(('Casillas del horario'!$D$4:$D$73="")))))</f>
        <v/>
      </c>
      <c r="D100" s="3">
        <f>MID(IF((IFERROR(VALUE($C100&amp;""),0)&gt;IFERROR(VALUE(3&amp;""),0)),"; "&amp;IF(ISNUMBER(("Da "&amp;IF(ISNUMBER($C100),IF($C100=0,"0",ROUND($C100,9-INT(LOG10(ABS($C100))))&amp;""),$C100&amp;"")&amp;" sesiones ese dia")),IF(("Da "&amp;IF(ISNUMBER($C100),IF($C100=0,"0",ROUND($C100,9-INT(LOG10(ABS($C100))))&amp;""),$C100&amp;"")&amp;" sesiones ese dia")=0,"0",ROUND(("Da "&amp;IF(ISNUMBER($C100),IF($C100=0,"0",ROUND($C100,9-INT(LOG10(ABS($C100))))&amp;""),$C100&amp;"")&amp;" sesiones ese dia"),9-INT(LOG10(ABS(("Da "&amp;IF(ISNUMBER($C100),IF($C100=0,"0",ROUND($C100,9-INT(LOG10(ABS($C100))))&amp;""),$C100&amp;"")&amp;" sesiones ese dia")))))&amp;""),("Da "&amp;IF(ISNUMBER($C100),IF($C100=0,"0",ROUND($C100,9-INT(LOG10(ABS($C100))))&amp;""),$C100&amp;"")&amp;" sesiones ese dia")&amp;""),""),3,32767)</f>
        <v/>
      </c>
      <c r="E100" s="3">
        <f>IF(OR((IFERROR(VALUE($C100&amp;""),0)&gt;IFERROR(VALUE(3&amp;""),0))),2,0)</f>
        <v/>
      </c>
    </row>
    <row r="101">
      <c r="A101" s="3" t="inlineStr">
        <is>
          <t>Profesor de H en 10-4</t>
        </is>
      </c>
      <c r="B101" s="3" t="inlineStr">
        <is>
          <t>MI</t>
        </is>
      </c>
      <c r="C101" s="3">
        <f>SUMPRODUCT(1*((EXACT('Casillas del horario'!$F$4:$F$73,$A101)))*((EXACT('Casillas del horario'!$B$4:$B$73,$B101)))*((1-(('Casillas del horario'!$D$4:$D$73="")))))</f>
        <v/>
      </c>
      <c r="D101" s="3">
        <f>MID(IF((IFERROR(VALUE($C101&amp;""),0)&gt;IFERROR(VALUE(3&amp;""),0)),"; "&amp;IF(ISNUMBER(("Da "&amp;IF(ISNUMBER($C101),IF($C101=0,"0",ROUND($C101,9-INT(LOG10(ABS($C101))))&amp;""),$C101&amp;"")&amp;" sesiones ese dia")),IF(("Da "&amp;IF(ISNUMBER($C101),IF($C101=0,"0",ROUND($C101,9-INT(LOG10(ABS($C101))))&amp;""),$C101&amp;"")&amp;" sesiones ese dia")=0,"0",ROUND(("Da "&amp;IF(ISNUMBER($C101),IF($C101=0,"0",ROUND($C101,9-INT(LOG10(ABS($C101))))&amp;""),$C101&amp;"")&amp;" sesiones ese dia"),9-INT(LOG10(ABS(("Da "&amp;IF(ISNUMBER($C101),IF($C101=0,"0",ROUND($C101,9-INT(LOG10(ABS($C101))))&amp;""),$C101&amp;"")&amp;" sesiones ese dia")))))&amp;""),("Da "&amp;IF(ISNUMBER($C101),IF($C101=0,"0",ROUND($C101,9-INT(LOG10(ABS($C101))))&amp;""),$C101&amp;"")&amp;" sesiones ese dia")&amp;""),""),3,32767)</f>
        <v/>
      </c>
      <c r="E101" s="3">
        <f>IF(OR((IFERROR(VALUE($C101&amp;""),0)&gt;IFERROR(VALUE(3&amp;""),0))),2,0)</f>
        <v/>
      </c>
    </row>
    <row r="102">
      <c r="A102" s="3" t="inlineStr">
        <is>
          <t>Profesor de H en 10-4</t>
        </is>
      </c>
      <c r="B102" s="3" t="inlineStr">
        <is>
          <t>J</t>
        </is>
      </c>
      <c r="C102" s="3">
        <f>SUMPRODUCT(1*((EXACT('Casillas del horario'!$F$4:$F$73,$A102)))*((EXACT('Casillas del horario'!$B$4:$B$73,$B102)))*((1-(('Casillas del horario'!$D$4:$D$73="")))))</f>
        <v/>
      </c>
      <c r="D102" s="3">
        <f>MID(IF((IFERROR(VALUE($C102&amp;""),0)&gt;IFERROR(VALUE(3&amp;""),0)),"; "&amp;IF(ISNUMBER(("Da "&amp;IF(ISNUMBER($C102),IF($C102=0,"0",ROUND($C102,9-INT(LOG10(ABS($C102))))&amp;""),$C102&amp;"")&amp;" sesiones ese dia")),IF(("Da "&amp;IF(ISNUMBER($C102),IF($C102=0,"0",ROUND($C102,9-INT(LOG10(ABS($C102))))&amp;""),$C102&amp;"")&amp;" sesiones ese dia")=0,"0",ROUND(("Da "&amp;IF(ISNUMBER($C102),IF($C102=0,"0",ROUND($C102,9-INT(LOG10(ABS($C102))))&amp;""),$C102&amp;"")&amp;" sesiones ese dia"),9-INT(LOG10(ABS(("Da "&amp;IF(ISNUMBER($C102),IF($C102=0,"0",ROUND($C102,9-INT(LOG10(ABS($C102))))&amp;""),$C102&amp;"")&amp;" sesiones ese dia")))))&amp;""),("Da "&amp;IF(ISNUMBER($C102),IF($C102=0,"0",ROUND($C102,9-INT(LOG10(ABS($C102))))&amp;""),$C102&amp;"")&amp;" sesiones ese dia")&amp;""),""),3,32767)</f>
        <v/>
      </c>
      <c r="E102" s="3">
        <f>IF(OR((IFERROR(VALUE($C102&amp;""),0)&gt;IFERROR(VALUE(3&amp;""),0))),2,0)</f>
        <v/>
      </c>
    </row>
    <row r="103">
      <c r="A103" s="3" t="inlineStr">
        <is>
          <t>Profesor de H en 10-4</t>
        </is>
      </c>
      <c r="B103" s="3" t="inlineStr">
        <is>
          <t>V</t>
        </is>
      </c>
      <c r="C103" s="3">
        <f>SUMPRODUCT(1*((EXACT('Casillas del horario'!$F$4:$F$73,$A103)))*((EXACT('Casillas del horario'!$B$4:$B$73,$B103)))*((1-(('Casillas del horario'!$D$4:$D$73="")))))</f>
        <v/>
      </c>
      <c r="D103" s="3">
        <f>MID(IF((IFERROR(VALUE($C103&amp;""),0)&gt;IFERROR(VALUE(3&amp;""),0)),"; "&amp;IF(ISNUMBER(("Da "&amp;IF(ISNUMBER($C103),IF($C103=0,"0",ROUND($C103,9-INT(LOG10(ABS($C103))))&amp;""),$C103&amp;"")&amp;" sesiones ese dia")),IF(("Da "&amp;IF(ISNUMBER($C103),IF($C103=0,"0",ROUND($C103,9-INT(LOG10(ABS($C103))))&amp;""),$C103&amp;"")&amp;" sesiones ese dia")=0,"0",ROUND(("Da "&amp;IF(ISNUMBER($C103),IF($C103=0,"0",ROUND($C103,9-INT(LOG10(ABS($C103))))&amp;""),$C103&amp;"")&amp;" sesiones ese dia"),9-INT(LOG10(ABS(("Da "&amp;IF(ISNUMBER($C103),IF($C103=0,"0",ROUND($C103,9-INT(LOG10(ABS($C103))))&amp;""),$C103&amp;"")&amp;" sesiones ese dia")))))&amp;""),("Da "&amp;IF(ISNUMBER($C103),IF($C103=0,"0",ROUND($C103,9-INT(LOG10(ABS($C103))))&amp;""),$C103&amp;"")&amp;" sesiones ese dia")&amp;""),""),3,32767)</f>
        <v/>
      </c>
      <c r="E103" s="3">
        <f>IF(OR((IFERROR(VALUE($C103&amp;""),0)&gt;IFERROR(VALUE(3&amp;""),0))),2,0)</f>
        <v/>
      </c>
    </row>
    <row r="104">
      <c r="A104" s="3" t="inlineStr">
        <is>
          <t>Profesor de EF en 10-4</t>
        </is>
      </c>
      <c r="B104" s="3" t="inlineStr">
        <is>
          <t>L</t>
        </is>
      </c>
      <c r="C104" s="3">
        <f>SUMPRODUCT(1*((EXACT('Casillas del horario'!$F$4:$F$73,$A104)))*((EXACT('Casillas del horario'!$B$4:$B$73,$B104)))*((1-(('Casillas del horario'!$D$4:$D$73="")))))</f>
        <v/>
      </c>
      <c r="D104" s="3">
        <f>MID(IF((IFERROR(VALUE($C104&amp;""),0)&gt;IFERROR(VALUE(3&amp;""),0)),"; "&amp;IF(ISNUMBER(("Da "&amp;IF(ISNUMBER($C104),IF($C104=0,"0",ROUND($C104,9-INT(LOG10(ABS($C104))))&amp;""),$C104&amp;"")&amp;" sesiones ese dia")),IF(("Da "&amp;IF(ISNUMBER($C104),IF($C104=0,"0",ROUND($C104,9-INT(LOG10(ABS($C104))))&amp;""),$C104&amp;"")&amp;" sesiones ese dia")=0,"0",ROUND(("Da "&amp;IF(ISNUMBER($C104),IF($C104=0,"0",ROUND($C104,9-INT(LOG10(ABS($C104))))&amp;""),$C104&amp;"")&amp;" sesiones ese dia"),9-INT(LOG10(ABS(("Da "&amp;IF(ISNUMBER($C104),IF($C104=0,"0",ROUND($C104,9-INT(LOG10(ABS($C104))))&amp;""),$C104&amp;"")&amp;" sesiones ese dia")))))&amp;""),("Da "&amp;IF(ISNUMBER($C104),IF($C104=0,"0",ROUND($C104,9-INT(LOG10(ABS($C104))))&amp;""),$C104&amp;"")&amp;" sesiones ese dia")&amp;""),""),3,32767)</f>
        <v/>
      </c>
      <c r="E104" s="3">
        <f>IF(OR((IFERROR(VALUE($C104&amp;""),0)&gt;IFERROR(VALUE(3&amp;""),0))),2,0)</f>
        <v/>
      </c>
    </row>
    <row r="105">
      <c r="A105" s="3" t="inlineStr">
        <is>
          <t>Profesor de EF en 10-4</t>
        </is>
      </c>
      <c r="B105" s="3" t="inlineStr">
        <is>
          <t>M</t>
        </is>
      </c>
      <c r="C105" s="3">
        <f>SUMPRODUCT(1*((EXACT('Casillas del horario'!$F$4:$F$73,$A105)))*((EXACT('Casillas del horario'!$B$4:$B$73,$B105)))*((1-(('Casillas del horario'!$D$4:$D$73="")))))</f>
        <v/>
      </c>
      <c r="D105" s="3">
        <f>MID(IF((IFERROR(VALUE($C105&amp;""),0)&gt;IFERROR(VALUE(3&amp;""),0)),"; "&amp;IF(ISNUMBER(("Da "&amp;IF(ISNUMBER($C105),IF($C105=0,"0",ROUND($C105,9-INT(LOG10(ABS($C105))))&amp;""),$C105&amp;"")&amp;" sesiones ese dia")),IF(("Da "&amp;IF(ISNUMBER($C105),IF($C105=0,"0",ROUND($C105,9-INT(LOG10(ABS($C105))))&amp;""),$C105&amp;"")&amp;" sesiones ese dia")=0,"0",ROUND(("Da "&amp;IF(ISNUMBER($C105),IF($C105=0,"0",ROUND($C105,9-INT(LOG10(ABS($C105))))&amp;""),$C105&amp;"")&amp;" sesiones ese dia"),9-INT(LOG10(ABS(("Da "&amp;IF(ISNUMBER($C105),IF($C105=0,"0",ROUND($C105,9-INT(LOG10(ABS($C105))))&amp;""),$C105&amp;"")&amp;" sesiones ese dia")))))&amp;""),("Da "&amp;IF(ISNUMBER($C105),IF($C105=0,"0",ROUND($C105,9-INT(LOG10(ABS($C105))))&amp;""),$C105&amp;"")&amp;" sesiones ese dia")&amp;""),""),3,32767)</f>
        <v/>
      </c>
      <c r="E105" s="3">
        <f>IF(OR((IFERROR(VALUE($C105&amp;""),0)&gt;IFERROR(VALUE(3&amp;""),0))),2,0)</f>
        <v/>
      </c>
    </row>
    <row r="106">
      <c r="A106" s="3" t="inlineStr">
        <is>
          <t>Profesor de EF en 10-4</t>
        </is>
      </c>
      <c r="B106" s="3" t="inlineStr">
        <is>
          <t>MI</t>
        </is>
      </c>
      <c r="C106" s="3">
        <f>SUMPRODUCT(1*((EXACT('Casillas del horario'!$F$4:$F$73,$A106)))*((EXACT('Casillas del horario'!$B$4:$B$73,$B106)))*((1-(('Casillas del horario'!$D$4:$D$73="")))))</f>
        <v/>
      </c>
      <c r="D106" s="3">
        <f>MID(IF((IFERROR(VALUE($C106&amp;""),0)&gt;IFERROR(VALUE(3&amp;""),0)),"; "&amp;IF(ISNUMBER(("Da "&amp;IF(ISNUMBER($C106),IF($C106=0,"0",ROUND($C106,9-INT(LOG10(ABS($C106))))&amp;""),$C106&amp;"")&amp;" sesiones ese dia")),IF(("Da "&amp;IF(ISNUMBER($C106),IF($C106=0,"0",ROUND($C106,9-INT(LOG10(ABS($C106))))&amp;""),$C106&amp;"")&amp;" sesiones ese dia")=0,"0",ROUND(("Da "&amp;IF(ISNUMBER($C106),IF($C106=0,"0",ROUND($C106,9-INT(LOG10(ABS($C106))))&amp;""),$C106&amp;"")&amp;" sesiones ese dia"),9-INT(LOG10(ABS(("Da "&amp;IF(ISNUMBER($C106),IF($C106=0,"0",ROUND($C106,9-INT(LOG10(ABS($C106))))&amp;""),$C106&amp;"")&amp;" sesiones ese dia")))))&amp;""),("Da "&amp;IF(ISNUMBER($C106),IF($C106=0,"0",ROUND($C106,9-INT(LOG10(ABS($C106))))&amp;""),$C106&amp;"")&amp;" sesiones ese dia")&amp;""),""),3,32767)</f>
        <v/>
      </c>
      <c r="E106" s="3">
        <f>IF(OR((IFERROR(VALUE($C106&amp;""),0)&gt;IFERROR(VALUE(3&amp;""),0))),2,0)</f>
        <v/>
      </c>
    </row>
    <row r="107">
      <c r="A107" s="3" t="inlineStr">
        <is>
          <t>Profesor de EF en 10-4</t>
        </is>
      </c>
      <c r="B107" s="3" t="inlineStr">
        <is>
          <t>J</t>
        </is>
      </c>
      <c r="C107" s="3">
        <f>SUMPRODUCT(1*((EXACT('Casillas del horario'!$F$4:$F$73,$A107)))*((EXACT('Casillas del horario'!$B$4:$B$73,$B107)))*((1-(('Casillas del horario'!$D$4:$D$73="")))))</f>
        <v/>
      </c>
      <c r="D107" s="3">
        <f>MID(IF((IFERROR(VALUE($C107&amp;""),0)&gt;IFERROR(VALUE(3&amp;""),0)),"; "&amp;IF(ISNUMBER(("Da "&amp;IF(ISNUMBER($C107),IF($C107=0,"0",ROUND($C107,9-INT(LOG10(ABS($C107))))&amp;""),$C107&amp;"")&amp;" sesiones ese dia")),IF(("Da "&amp;IF(ISNUMBER($C107),IF($C107=0,"0",ROUND($C107,9-INT(LOG10(ABS($C107))))&amp;""),$C107&amp;"")&amp;" sesiones ese dia")=0,"0",ROUND(("Da "&amp;IF(ISNUMBER($C107),IF($C107=0,"0",ROUND($C107,9-INT(LOG10(ABS($C107))))&amp;""),$C107&amp;"")&amp;" sesiones ese dia"),9-INT(LOG10(ABS(("Da "&amp;IF(ISNUMBER($C107),IF($C107=0,"0",ROUND($C107,9-INT(LOG10(ABS($C107))))&amp;""),$C107&amp;"")&amp;" sesiones ese dia")))))&amp;""),("Da "&amp;IF(ISNUMBER($C107),IF($C107=0,"0",ROUND($C107,9-INT(LOG10(ABS($C107))))&amp;""),$C107&amp;"")&amp;" sesiones ese dia")&amp;""),""),3,32767)</f>
        <v/>
      </c>
      <c r="E107" s="3">
        <f>IF(OR((IFERROR(VALUE($C107&amp;""),0)&gt;IFERROR(VALUE(3&amp;""),0))),2,0)</f>
        <v/>
      </c>
    </row>
    <row r="108">
      <c r="A108" s="3" t="inlineStr">
        <is>
          <t>Profesor de EF en 10-4</t>
        </is>
      </c>
      <c r="B108" s="3" t="inlineStr">
        <is>
          <t>V</t>
        </is>
      </c>
      <c r="C108" s="3">
        <f>SUMPRODUCT(1*((EXACT('Casillas del horario'!$F$4:$F$73,$A108)))*((EXACT('Casillas del horario'!$B$4:$B$73,$B108)))*((1-(('Casillas del horario'!$D$4:$D$73="")))))</f>
        <v/>
      </c>
      <c r="D108" s="3">
        <f>MID(IF((IFERROR(VALUE($C108&amp;""),0)&gt;IFERROR(VALUE(3&amp;""),0)),"; "&amp;IF(ISNUMBER(("Da "&amp;IF(ISNUMBER($C108),IF($C108=0,"0",ROUND($C108,9-INT(LOG10(ABS($C108))))&amp;""),$C108&amp;"")&amp;" sesiones ese dia")),IF(("Da "&amp;IF(ISNUMBER($C108),IF($C108=0,"0",ROUND($C108,9-INT(LOG10(ABS($C108))))&amp;""),$C108&amp;"")&amp;" sesiones ese dia")=0,"0",ROUND(("Da "&amp;IF(ISNUMBER($C108),IF($C108=0,"0",ROUND($C108,9-INT(LOG10(ABS($C108))))&amp;""),$C108&amp;"")&amp;" sesiones ese dia"),9-INT(LOG10(ABS(("Da "&amp;IF(ISNUMBER($C108),IF($C108=0,"0",ROUND($C108,9-INT(LOG10(ABS($C108))))&amp;""),$C108&amp;"")&amp;" sesiones ese dia")))))&amp;""),("Da "&amp;IF(ISNUMBER($C108),IF($C108=0,"0",ROUND($C108,9-INT(LOG10(ABS($C108))))&amp;""),$C108&amp;"")&amp;" sesiones ese dia")&amp;""),""),3,32767)</f>
        <v/>
      </c>
      <c r="E108" s="3">
        <f>IF(OR((IFERROR(VALUE($C108&amp;""),0)&gt;IFERROR(VALUE(3&amp;""),0))),2,0)</f>
        <v/>
      </c>
    </row>
    <row r="109">
      <c r="A109" s="3" t="inlineStr">
        <is>
          <t>Profesor de B en 10-4</t>
        </is>
      </c>
      <c r="B109" s="3" t="inlineStr">
        <is>
          <t>L</t>
        </is>
      </c>
      <c r="C109" s="3">
        <f>SUMPRODUCT(1*((EXACT('Casillas del horario'!$F$4:$F$73,$A109)))*((EXACT('Casillas del horario'!$B$4:$B$73,$B109)))*((1-(('Casillas del horario'!$D$4:$D$73="")))))</f>
        <v/>
      </c>
      <c r="D109" s="3">
        <f>MID(IF((IFERROR(VALUE($C109&amp;""),0)&gt;IFERROR(VALUE(3&amp;""),0)),"; "&amp;IF(ISNUMBER(("Da "&amp;IF(ISNUMBER($C109),IF($C109=0,"0",ROUND($C109,9-INT(LOG10(ABS($C109))))&amp;""),$C109&amp;"")&amp;" sesiones ese dia")),IF(("Da "&amp;IF(ISNUMBER($C109),IF($C109=0,"0",ROUND($C109,9-INT(LOG10(ABS($C109))))&amp;""),$C109&amp;"")&amp;" sesiones ese dia")=0,"0",ROUND(("Da "&amp;IF(ISNUMBER($C109),IF($C109=0,"0",ROUND($C109,9-INT(LOG10(ABS($C109))))&amp;""),$C109&amp;"")&amp;" sesiones ese dia"),9-INT(LOG10(ABS(("Da "&amp;IF(ISNUMBER($C109),IF($C109=0,"0",ROUND($C109,9-INT(LOG10(ABS($C109))))&amp;""),$C109&amp;"")&amp;" sesiones ese dia")))))&amp;""),("Da "&amp;IF(ISNUMBER($C109),IF($C109=0,"0",ROUND($C109,9-INT(LOG10(ABS($C109))))&amp;""),$C109&amp;"")&amp;" sesiones ese dia")&amp;""),""),3,32767)</f>
        <v/>
      </c>
      <c r="E109" s="3">
        <f>IF(OR((IFERROR(VALUE($C109&amp;""),0)&gt;IFERROR(VALUE(3&amp;""),0))),2,0)</f>
        <v/>
      </c>
    </row>
    <row r="110">
      <c r="A110" s="3" t="inlineStr">
        <is>
          <t>Profesor de B en 10-4</t>
        </is>
      </c>
      <c r="B110" s="3" t="inlineStr">
        <is>
          <t>M</t>
        </is>
      </c>
      <c r="C110" s="3">
        <f>SUMPRODUCT(1*((EXACT('Casillas del horario'!$F$4:$F$73,$A110)))*((EXACT('Casillas del horario'!$B$4:$B$73,$B110)))*((1-(('Casillas del horario'!$D$4:$D$73="")))))</f>
        <v/>
      </c>
      <c r="D110" s="3">
        <f>MID(IF((IFERROR(VALUE($C110&amp;""),0)&gt;IFERROR(VALUE(3&amp;""),0)),"; "&amp;IF(ISNUMBER(("Da "&amp;IF(ISNUMBER($C110),IF($C110=0,"0",ROUND($C110,9-INT(LOG10(ABS($C110))))&amp;""),$C110&amp;"")&amp;" sesiones ese dia")),IF(("Da "&amp;IF(ISNUMBER($C110),IF($C110=0,"0",ROUND($C110,9-INT(LOG10(ABS($C110))))&amp;""),$C110&amp;"")&amp;" sesiones ese dia")=0,"0",ROUND(("Da "&amp;IF(ISNUMBER($C110),IF($C110=0,"0",ROUND($C110,9-INT(LOG10(ABS($C110))))&amp;""),$C110&amp;"")&amp;" sesiones ese dia"),9-INT(LOG10(ABS(("Da "&amp;IF(ISNUMBER($C110),IF($C110=0,"0",ROUND($C110,9-INT(LOG10(ABS($C110))))&amp;""),$C110&amp;"")&amp;" sesiones ese dia")))))&amp;""),("Da "&amp;IF(ISNUMBER($C110),IF($C110=0,"0",ROUND($C110,9-INT(LOG10(ABS($C110))))&amp;""),$C110&amp;"")&amp;" sesiones ese dia")&amp;""),""),3,32767)</f>
        <v/>
      </c>
      <c r="E110" s="3">
        <f>IF(OR((IFERROR(VALUE($C110&amp;""),0)&gt;IFERROR(VALUE(3&amp;""),0))),2,0)</f>
        <v/>
      </c>
    </row>
    <row r="111">
      <c r="A111" s="3" t="inlineStr">
        <is>
          <t>Profesor de B en 10-4</t>
        </is>
      </c>
      <c r="B111" s="3" t="inlineStr">
        <is>
          <t>MI</t>
        </is>
      </c>
      <c r="C111" s="3">
        <f>SUMPRODUCT(1*((EXACT('Casillas del horario'!$F$4:$F$73,$A111)))*((EXACT('Casillas del horario'!$B$4:$B$73,$B111)))*((1-(('Casillas del horario'!$D$4:$D$73="")))))</f>
        <v/>
      </c>
      <c r="D111" s="3">
        <f>MID(IF((IFERROR(VALUE($C111&amp;""),0)&gt;IFERROR(VALUE(3&amp;""),0)),"; "&amp;IF(ISNUMBER(("Da "&amp;IF(ISNUMBER($C111),IF($C111=0,"0",ROUND($C111,9-INT(LOG10(ABS($C111))))&amp;""),$C111&amp;"")&amp;" sesiones ese dia")),IF(("Da "&amp;IF(ISNUMBER($C111),IF($C111=0,"0",ROUND($C111,9-INT(LOG10(ABS($C111))))&amp;""),$C111&amp;"")&amp;" sesiones ese dia")=0,"0",ROUND(("Da "&amp;IF(ISNUMBER($C111),IF($C111=0,"0",ROUND($C111,9-INT(LOG10(ABS($C111))))&amp;""),$C111&amp;"")&amp;" sesiones ese dia"),9-INT(LOG10(ABS(("Da "&amp;IF(ISNUMBER($C111),IF($C111=0,"0",ROUND($C111,9-INT(LOG10(ABS($C111))))&amp;""),$C111&amp;"")&amp;" sesiones ese dia")))))&amp;""),("Da "&amp;IF(ISNUMBER($C111),IF($C111=0,"0",ROUND($C111,9-INT(LOG10(ABS($C111))))&amp;""),$C111&amp;"")&amp;" sesiones ese dia")&amp;""),""),3,32767)</f>
        <v/>
      </c>
      <c r="E111" s="3">
        <f>IF(OR((IFERROR(VALUE($C111&amp;""),0)&gt;IFERROR(VALUE(3&amp;""),0))),2,0)</f>
        <v/>
      </c>
    </row>
    <row r="112">
      <c r="A112" s="3" t="inlineStr">
        <is>
          <t>Profesor de B en 10-4</t>
        </is>
      </c>
      <c r="B112" s="3" t="inlineStr">
        <is>
          <t>J</t>
        </is>
      </c>
      <c r="C112" s="3">
        <f>SUMPRODUCT(1*((EXACT('Casillas del horario'!$F$4:$F$73,$A112)))*((EXACT('Casillas del horario'!$B$4:$B$73,$B112)))*((1-(('Casillas del horario'!$D$4:$D$73="")))))</f>
        <v/>
      </c>
      <c r="D112" s="3">
        <f>MID(IF((IFERROR(VALUE($C112&amp;""),0)&gt;IFERROR(VALUE(3&amp;""),0)),"; "&amp;IF(ISNUMBER(("Da "&amp;IF(ISNUMBER($C112),IF($C112=0,"0",ROUND($C112,9-INT(LOG10(ABS($C112))))&amp;""),$C112&amp;"")&amp;" sesiones ese dia")),IF(("Da "&amp;IF(ISNUMBER($C112),IF($C112=0,"0",ROUND($C112,9-INT(LOG10(ABS($C112))))&amp;""),$C112&amp;"")&amp;" sesiones ese dia")=0,"0",ROUND(("Da "&amp;IF(ISNUMBER($C112),IF($C112=0,"0",ROUND($C112,9-INT(LOG10(ABS($C112))))&amp;""),$C112&amp;"")&amp;" sesiones ese dia"),9-INT(LOG10(ABS(("Da "&amp;IF(ISNUMBER($C112),IF($C112=0,"0",ROUND($C112,9-INT(LOG10(ABS($C112))))&amp;""),$C112&amp;"")&amp;" sesiones ese dia")))))&amp;""),("Da "&amp;IF(ISNUMBER($C112),IF($C112=0,"0",ROUND($C112,9-INT(LOG10(ABS($C112))))&amp;""),$C112&amp;"")&amp;" sesiones ese dia")&amp;""),""),3,32767)</f>
        <v/>
      </c>
      <c r="E112" s="3">
        <f>IF(OR((IFERROR(VALUE($C112&amp;""),0)&gt;IFERROR(VALUE(3&amp;""),0))),2,0)</f>
        <v/>
      </c>
    </row>
    <row r="113">
      <c r="A113" s="3" t="inlineStr">
        <is>
          <t>Profesor de B en 10-4</t>
        </is>
      </c>
      <c r="B113" s="3" t="inlineStr">
        <is>
          <t>V</t>
        </is>
      </c>
      <c r="C113" s="3">
        <f>SUMPRODUCT(1*((EXACT('Casillas del horario'!$F$4:$F$73,$A113)))*((EXACT('Casillas del horario'!$B$4:$B$73,$B113)))*((1-(('Casillas del horario'!$D$4:$D$73="")))))</f>
        <v/>
      </c>
      <c r="D113" s="3">
        <f>MID(IF((IFERROR(VALUE($C113&amp;""),0)&gt;IFERROR(VALUE(3&amp;""),0)),"; "&amp;IF(ISNUMBER(("Da "&amp;IF(ISNUMBER($C113),IF($C113=0,"0",ROUND($C113,9-INT(LOG10(ABS($C113))))&amp;""),$C113&amp;"")&amp;" sesiones ese dia")),IF(("Da "&amp;IF(ISNUMBER($C113),IF($C113=0,"0",ROUND($C113,9-INT(LOG10(ABS($C113))))&amp;""),$C113&amp;"")&amp;" sesiones ese dia")=0,"0",ROUND(("Da "&amp;IF(ISNUMBER($C113),IF($C113=0,"0",ROUND($C113,9-INT(LOG10(ABS($C113))))&amp;""),$C113&amp;"")&amp;" sesiones ese dia"),9-INT(LOG10(ABS(("Da "&amp;IF(ISNUMBER($C113),IF($C113=0,"0",ROUND($C113,9-INT(LOG10(ABS($C113))))&amp;""),$C113&amp;"")&amp;" sesiones ese dia")))))&amp;""),("Da "&amp;IF(ISNUMBER($C113),IF($C113=0,"0",ROUND($C113,9-INT(LOG10(ABS($C113))))&amp;""),$C113&amp;"")&amp;" sesiones ese dia")&amp;""),""),3,32767)</f>
        <v/>
      </c>
      <c r="E113" s="3">
        <f>IF(OR((IFERROR(VALUE($C113&amp;""),0)&gt;IFERROR(VALUE(3&amp;""),0))),2,0)</f>
        <v/>
      </c>
    </row>
    <row r="114">
      <c r="A114" s="3" t="inlineStr">
        <is>
          <t>Profesor de G en 10-4</t>
        </is>
      </c>
      <c r="B114" s="3" t="inlineStr">
        <is>
          <t>L</t>
        </is>
      </c>
      <c r="C114" s="3">
        <f>SUMPRODUCT(1*((EXACT('Casillas del horario'!$F$4:$F$73,$A114)))*((EXACT('Casillas del horario'!$B$4:$B$73,$B114)))*((1-(('Casillas del horario'!$D$4:$D$73="")))))</f>
        <v/>
      </c>
      <c r="D114" s="3">
        <f>MID(IF((IFERROR(VALUE($C114&amp;""),0)&gt;IFERROR(VALUE(3&amp;""),0)),"; "&amp;IF(ISNUMBER(("Da "&amp;IF(ISNUMBER($C114),IF($C114=0,"0",ROUND($C114,9-INT(LOG10(ABS($C114))))&amp;""),$C114&amp;"")&amp;" sesiones ese dia")),IF(("Da "&amp;IF(ISNUMBER($C114),IF($C114=0,"0",ROUND($C114,9-INT(LOG10(ABS($C114))))&amp;""),$C114&amp;"")&amp;" sesiones ese dia")=0,"0",ROUND(("Da "&amp;IF(ISNUMBER($C114),IF($C114=0,"0",ROUND($C114,9-INT(LOG10(ABS($C114))))&amp;""),$C114&amp;"")&amp;" sesiones ese dia"),9-INT(LOG10(ABS(("Da "&amp;IF(ISNUMBER($C114),IF($C114=0,"0",ROUND($C114,9-INT(LOG10(ABS($C114))))&amp;""),$C114&amp;"")&amp;" sesiones ese dia")))))&amp;""),("Da "&amp;IF(ISNUMBER($C114),IF($C114=0,"0",ROUND($C114,9-INT(LOG10(ABS($C114))))&amp;""),$C114&amp;"")&amp;" sesiones ese dia")&amp;""),""),3,32767)</f>
        <v/>
      </c>
      <c r="E114" s="3">
        <f>IF(OR((IFERROR(VALUE($C114&amp;""),0)&gt;IFERROR(VALUE(3&amp;""),0))),2,0)</f>
        <v/>
      </c>
    </row>
    <row r="115">
      <c r="A115" s="3" t="inlineStr">
        <is>
          <t>Profesor de G en 10-4</t>
        </is>
      </c>
      <c r="B115" s="3" t="inlineStr">
        <is>
          <t>M</t>
        </is>
      </c>
      <c r="C115" s="3">
        <f>SUMPRODUCT(1*((EXACT('Casillas del horario'!$F$4:$F$73,$A115)))*((EXACT('Casillas del horario'!$B$4:$B$73,$B115)))*((1-(('Casillas del horario'!$D$4:$D$73="")))))</f>
        <v/>
      </c>
      <c r="D115" s="3">
        <f>MID(IF((IFERROR(VALUE($C115&amp;""),0)&gt;IFERROR(VALUE(3&amp;""),0)),"; "&amp;IF(ISNUMBER(("Da "&amp;IF(ISNUMBER($C115),IF($C115=0,"0",ROUND($C115,9-INT(LOG10(ABS($C115))))&amp;""),$C115&amp;"")&amp;" sesiones ese dia")),IF(("Da "&amp;IF(ISNUMBER($C115),IF($C115=0,"0",ROUND($C115,9-INT(LOG10(ABS($C115))))&amp;""),$C115&amp;"")&amp;" sesiones ese dia")=0,"0",ROUND(("Da "&amp;IF(ISNUMBER($C115),IF($C115=0,"0",ROUND($C115,9-INT(LOG10(ABS($C115))))&amp;""),$C115&amp;"")&amp;" sesiones ese dia"),9-INT(LOG10(ABS(("Da "&amp;IF(ISNUMBER($C115),IF($C115=0,"0",ROUND($C115,9-INT(LOG10(ABS($C115))))&amp;""),$C115&amp;"")&amp;" sesiones ese dia")))))&amp;""),("Da "&amp;IF(ISNUMBER($C115),IF($C115=0,"0",ROUND($C115,9-INT(LOG10(ABS($C115))))&amp;""),$C115&amp;"")&amp;" sesiones ese dia")&amp;""),""),3,32767)</f>
        <v/>
      </c>
      <c r="E115" s="3">
        <f>IF(OR((IFERROR(VALUE($C115&amp;""),0)&gt;IFERROR(VALUE(3&amp;""),0))),2,0)</f>
        <v/>
      </c>
    </row>
    <row r="116">
      <c r="A116" s="3" t="inlineStr">
        <is>
          <t>Profesor de G en 10-4</t>
        </is>
      </c>
      <c r="B116" s="3" t="inlineStr">
        <is>
          <t>MI</t>
        </is>
      </c>
      <c r="C116" s="3">
        <f>SUMPRODUCT(1*((EXACT('Casillas del horario'!$F$4:$F$73,$A116)))*((EXACT('Casillas del horario'!$B$4:$B$73,$B116)))*((1-(('Casillas del horario'!$D$4:$D$73="")))))</f>
        <v/>
      </c>
      <c r="D116" s="3">
        <f>MID(IF((IFERROR(VALUE($C116&amp;""),0)&gt;IFERROR(VALUE(3&amp;""),0)),"; "&amp;IF(ISNUMBER(("Da "&amp;IF(ISNUMBER($C116),IF($C116=0,"0",ROUND($C116,9-INT(LOG10(ABS($C116))))&amp;""),$C116&amp;"")&amp;" sesiones ese dia")),IF(("Da "&amp;IF(ISNUMBER($C116),IF($C116=0,"0",ROUND($C116,9-INT(LOG10(ABS($C116))))&amp;""),$C116&amp;"")&amp;" sesiones ese dia")=0,"0",ROUND(("Da "&amp;IF(ISNUMBER($C116),IF($C116=0,"0",ROUND($C116,9-INT(LOG10(ABS($C116))))&amp;""),$C116&amp;"")&amp;" sesiones ese dia"),9-INT(LOG10(ABS(("Da "&amp;IF(ISNUMBER($C116),IF($C116=0,"0",ROUND($C116,9-INT(LOG10(ABS($C116))))&amp;""),$C116&amp;"")&amp;" sesiones ese dia")))))&amp;""),("Da "&amp;IF(ISNUMBER($C116),IF($C116=0,"0",ROUND($C116,9-INT(LOG10(ABS($C116))))&amp;""),$C116&amp;"")&amp;" sesiones ese dia")&amp;""),""),3,32767)</f>
        <v/>
      </c>
      <c r="E116" s="3">
        <f>IF(OR((IFERROR(VALUE($C116&amp;""),0)&gt;IFERROR(VALUE(3&amp;""),0))),2,0)</f>
        <v/>
      </c>
    </row>
    <row r="117">
      <c r="A117" s="3" t="inlineStr">
        <is>
          <t>Profesor de G en 10-4</t>
        </is>
      </c>
      <c r="B117" s="3" t="inlineStr">
        <is>
          <t>J</t>
        </is>
      </c>
      <c r="C117" s="3">
        <f>SUMPRODUCT(1*((EXACT('Casillas del horario'!$F$4:$F$73,$A117)))*((EXACT('Casillas del horario'!$B$4:$B$73,$B117)))*((1-(('Casillas del horario'!$D$4:$D$73="")))))</f>
        <v/>
      </c>
      <c r="D117" s="3">
        <f>MID(IF((IFERROR(VALUE($C117&amp;""),0)&gt;IFERROR(VALUE(3&amp;""),0)),"; "&amp;IF(ISNUMBER(("Da "&amp;IF(ISNUMBER($C117),IF($C117=0,"0",ROUND($C117,9-INT(LOG10(ABS($C117))))&amp;""),$C117&amp;"")&amp;" sesiones ese dia")),IF(("Da "&amp;IF(ISNUMBER($C117),IF($C117=0,"0",ROUND($C117,9-INT(LOG10(ABS($C117))))&amp;""),$C117&amp;"")&amp;" sesiones ese dia")=0,"0",ROUND(("Da "&amp;IF(ISNUMBER($C117),IF($C117=0,"0",ROUND($C117,9-INT(LOG10(ABS($C117))))&amp;""),$C117&amp;"")&amp;" sesiones ese dia"),9-INT(LOG10(ABS(("Da "&amp;IF(ISNUMBER($C117),IF($C117=0,"0",ROUND($C117,9-INT(LOG10(ABS($C117))))&amp;""),$C117&amp;"")&amp;" sesiones ese dia")))))&amp;""),("Da "&amp;IF(ISNUMBER($C117),IF($C117=0,"0",ROUND($C117,9-INT(LOG10(ABS($C117))))&amp;""),$C117&amp;"")&amp;" sesiones ese dia")&amp;""),""),3,32767)</f>
        <v/>
      </c>
      <c r="E117" s="3">
        <f>IF(OR((IFERROR(VALUE($C117&amp;""),0)&gt;IFERROR(VALUE(3&amp;""),0))),2,0)</f>
        <v/>
      </c>
    </row>
    <row r="118">
      <c r="A118" s="3" t="inlineStr">
        <is>
          <t>Profesor de G en 10-4</t>
        </is>
      </c>
      <c r="B118" s="3" t="inlineStr">
        <is>
          <t>V</t>
        </is>
      </c>
      <c r="C118" s="3">
        <f>SUMPRODUCT(1*((EXACT('Casillas del horario'!$F$4:$F$73,$A118)))*((EXACT('Casillas del horario'!$B$4:$B$73,$B118)))*((1-(('Casillas del horario'!$D$4:$D$73="")))))</f>
        <v/>
      </c>
      <c r="D118" s="3">
        <f>MID(IF((IFERROR(VALUE($C118&amp;""),0)&gt;IFERROR(VALUE(3&amp;""),0)),"; "&amp;IF(ISNUMBER(("Da "&amp;IF(ISNUMBER($C118),IF($C118=0,"0",ROUND($C118,9-INT(LOG10(ABS($C118))))&amp;""),$C118&amp;"")&amp;" sesiones ese dia")),IF(("Da "&amp;IF(ISNUMBER($C118),IF($C118=0,"0",ROUND($C118,9-INT(LOG10(ABS($C118))))&amp;""),$C118&amp;"")&amp;" sesiones ese dia")=0,"0",ROUND(("Da "&amp;IF(ISNUMBER($C118),IF($C118=0,"0",ROUND($C118,9-INT(LOG10(ABS($C118))))&amp;""),$C118&amp;"")&amp;" sesiones ese dia"),9-INT(LOG10(ABS(("Da "&amp;IF(ISNUMBER($C118),IF($C118=0,"0",ROUND($C118,9-INT(LOG10(ABS($C118))))&amp;""),$C118&amp;"")&amp;" sesiones ese dia")))))&amp;""),("Da "&amp;IF(ISNUMBER($C118),IF($C118=0,"0",ROUND($C118,9-INT(LOG10(ABS($C118))))&amp;""),$C118&amp;"")&amp;" sesiones ese dia")&amp;""),""),3,32767)</f>
        <v/>
      </c>
      <c r="E118" s="3">
        <f>IF(OR((IFERROR(VALUE($C118&amp;""),0)&gt;IFERROR(VALUE(3&amp;""),0))),2,0)</f>
        <v/>
      </c>
    </row>
    <row r="119">
      <c r="A119" s="3" t="inlineStr">
        <is>
          <t>Profesor de INF en 10-4</t>
        </is>
      </c>
      <c r="B119" s="3" t="inlineStr">
        <is>
          <t>L</t>
        </is>
      </c>
      <c r="C119" s="3">
        <f>SUMPRODUCT(1*((EXACT('Casillas del horario'!$F$4:$F$73,$A119)))*((EXACT('Casillas del horario'!$B$4:$B$73,$B119)))*((1-(('Casillas del horario'!$D$4:$D$73="")))))</f>
        <v/>
      </c>
      <c r="D119" s="3">
        <f>MID(IF((IFERROR(VALUE($C119&amp;""),0)&gt;IFERROR(VALUE(3&amp;""),0)),"; "&amp;IF(ISNUMBER(("Da "&amp;IF(ISNUMBER($C119),IF($C119=0,"0",ROUND($C119,9-INT(LOG10(ABS($C119))))&amp;""),$C119&amp;"")&amp;" sesiones ese dia")),IF(("Da "&amp;IF(ISNUMBER($C119),IF($C119=0,"0",ROUND($C119,9-INT(LOG10(ABS($C119))))&amp;""),$C119&amp;"")&amp;" sesiones ese dia")=0,"0",ROUND(("Da "&amp;IF(ISNUMBER($C119),IF($C119=0,"0",ROUND($C119,9-INT(LOG10(ABS($C119))))&amp;""),$C119&amp;"")&amp;" sesiones ese dia"),9-INT(LOG10(ABS(("Da "&amp;IF(ISNUMBER($C119),IF($C119=0,"0",ROUND($C119,9-INT(LOG10(ABS($C119))))&amp;""),$C119&amp;"")&amp;" sesiones ese dia")))))&amp;""),("Da "&amp;IF(ISNUMBER($C119),IF($C119=0,"0",ROUND($C119,9-INT(LOG10(ABS($C119))))&amp;""),$C119&amp;"")&amp;" sesiones ese dia")&amp;""),""),3,32767)</f>
        <v/>
      </c>
      <c r="E119" s="3">
        <f>IF(OR((IFERROR(VALUE($C119&amp;""),0)&gt;IFERROR(VALUE(3&amp;""),0))),2,0)</f>
        <v/>
      </c>
    </row>
    <row r="120">
      <c r="A120" s="3" t="inlineStr">
        <is>
          <t>Profesor de INF en 10-4</t>
        </is>
      </c>
      <c r="B120" s="3" t="inlineStr">
        <is>
          <t>M</t>
        </is>
      </c>
      <c r="C120" s="3">
        <f>SUMPRODUCT(1*((EXACT('Casillas del horario'!$F$4:$F$73,$A120)))*((EXACT('Casillas del horario'!$B$4:$B$73,$B120)))*((1-(('Casillas del horario'!$D$4:$D$73="")))))</f>
        <v/>
      </c>
      <c r="D120" s="3">
        <f>MID(IF((IFERROR(VALUE($C120&amp;""),0)&gt;IFERROR(VALUE(3&amp;""),0)),"; "&amp;IF(ISNUMBER(("Da "&amp;IF(ISNUMBER($C120),IF($C120=0,"0",ROUND($C120,9-INT(LOG10(ABS($C120))))&amp;""),$C120&amp;"")&amp;" sesiones ese dia")),IF(("Da "&amp;IF(ISNUMBER($C120),IF($C120=0,"0",ROUND($C120,9-INT(LOG10(ABS($C120))))&amp;""),$C120&amp;"")&amp;" sesiones ese dia")=0,"0",ROUND(("Da "&amp;IF(ISNUMBER($C120),IF($C120=0,"0",ROUND($C120,9-INT(LOG10(ABS($C120))))&amp;""),$C120&amp;"")&amp;" sesiones ese dia"),9-INT(LOG10(ABS(("Da "&amp;IF(ISNUMBER($C120),IF($C120=0,"0",ROUND($C120,9-INT(LOG10(ABS($C120))))&amp;""),$C120&amp;"")&amp;" sesiones ese dia")))))&amp;""),("Da "&amp;IF(ISNUMBER($C120),IF($C120=0,"0",ROUND($C120,9-INT(LOG10(ABS($C120))))&amp;""),$C120&amp;"")&amp;" sesiones ese dia")&amp;""),""),3,32767)</f>
        <v/>
      </c>
      <c r="E120" s="3">
        <f>IF(OR((IFERROR(VALUE($C120&amp;""),0)&gt;IFERROR(VALUE(3&amp;""),0))),2,0)</f>
        <v/>
      </c>
    </row>
    <row r="121">
      <c r="A121" s="3" t="inlineStr">
        <is>
          <t>Profesor de INF en 10-4</t>
        </is>
      </c>
      <c r="B121" s="3" t="inlineStr">
        <is>
          <t>MI</t>
        </is>
      </c>
      <c r="C121" s="3">
        <f>SUMPRODUCT(1*((EXACT('Casillas del horario'!$F$4:$F$73,$A121)))*((EXACT('Casillas del horario'!$B$4:$B$73,$B121)))*((1-(('Casillas del horario'!$D$4:$D$73="")))))</f>
        <v/>
      </c>
      <c r="D121" s="3">
        <f>MID(IF((IFERROR(VALUE($C121&amp;""),0)&gt;IFERROR(VALUE(3&amp;""),0)),"; "&amp;IF(ISNUMBER(("Da "&amp;IF(ISNUMBER($C121),IF($C121=0,"0",ROUND($C121,9-INT(LOG10(ABS($C121))))&amp;""),$C121&amp;"")&amp;" sesiones ese dia")),IF(("Da "&amp;IF(ISNUMBER($C121),IF($C121=0,"0",ROUND($C121,9-INT(LOG10(ABS($C121))))&amp;""),$C121&amp;"")&amp;" sesiones ese dia")=0,"0",ROUND(("Da "&amp;IF(ISNUMBER($C121),IF($C121=0,"0",ROUND($C121,9-INT(LOG10(ABS($C121))))&amp;""),$C121&amp;"")&amp;" sesiones ese dia"),9-INT(LOG10(ABS(("Da "&amp;IF(ISNUMBER($C121),IF($C121=0,"0",ROUND($C121,9-INT(LOG10(ABS($C121))))&amp;""),$C121&amp;"")&amp;" sesiones ese dia")))))&amp;""),("Da "&amp;IF(ISNUMBER($C121),IF($C121=0,"0",ROUND($C121,9-INT(LOG10(ABS($C121))))&amp;""),$C121&amp;"")&amp;" sesiones ese dia")&amp;""),""),3,32767)</f>
        <v/>
      </c>
      <c r="E121" s="3">
        <f>IF(OR((IFERROR(VALUE($C121&amp;""),0)&gt;IFERROR(VALUE(3&amp;""),0))),2,0)</f>
        <v/>
      </c>
    </row>
    <row r="122">
      <c r="A122" s="3" t="inlineStr">
        <is>
          <t>Profesor de INF en 10-4</t>
        </is>
      </c>
      <c r="B122" s="3" t="inlineStr">
        <is>
          <t>J</t>
        </is>
      </c>
      <c r="C122" s="3">
        <f>SUMPRODUCT(1*((EXACT('Casillas del horario'!$F$4:$F$73,$A122)))*((EXACT('Casillas del horario'!$B$4:$B$73,$B122)))*((1-(('Casillas del horario'!$D$4:$D$73="")))))</f>
        <v/>
      </c>
      <c r="D122" s="3">
        <f>MID(IF((IFERROR(VALUE($C122&amp;""),0)&gt;IFERROR(VALUE(3&amp;""),0)),"; "&amp;IF(ISNUMBER(("Da "&amp;IF(ISNUMBER($C122),IF($C122=0,"0",ROUND($C122,9-INT(LOG10(ABS($C122))))&amp;""),$C122&amp;"")&amp;" sesiones ese dia")),IF(("Da "&amp;IF(ISNUMBER($C122),IF($C122=0,"0",ROUND($C122,9-INT(LOG10(ABS($C122))))&amp;""),$C122&amp;"")&amp;" sesiones ese dia")=0,"0",ROUND(("Da "&amp;IF(ISNUMBER($C122),IF($C122=0,"0",ROUND($C122,9-INT(LOG10(ABS($C122))))&amp;""),$C122&amp;"")&amp;" sesiones ese dia"),9-INT(LOG10(ABS(("Da "&amp;IF(ISNUMBER($C122),IF($C122=0,"0",ROUND($C122,9-INT(LOG10(ABS($C122))))&amp;""),$C122&amp;"")&amp;" sesiones ese dia")))))&amp;""),("Da "&amp;IF(ISNUMBER($C122),IF($C122=0,"0",ROUND($C122,9-INT(LOG10(ABS($C122))))&amp;""),$C122&amp;"")&amp;" sesiones ese dia")&amp;""),""),3,32767)</f>
        <v/>
      </c>
      <c r="E122" s="3">
        <f>IF(OR((IFERROR(VALUE($C122&amp;""),0)&gt;IFERROR(VALUE(3&amp;""),0))),2,0)</f>
        <v/>
      </c>
    </row>
    <row r="123">
      <c r="A123" s="3" t="inlineStr">
        <is>
          <t>Profesor de INF en 10-4</t>
        </is>
      </c>
      <c r="B123" s="3" t="inlineStr">
        <is>
          <t>V</t>
        </is>
      </c>
      <c r="C123" s="3">
        <f>SUMPRODUCT(1*((EXACT('Casillas del horario'!$F$4:$F$73,$A123)))*((EXACT('Casillas del horario'!$B$4:$B$73,$B123)))*((1-(('Casillas del horario'!$D$4:$D$73="")))))</f>
        <v/>
      </c>
      <c r="D123" s="3">
        <f>MID(IF((IFERROR(VALUE($C123&amp;""),0)&gt;IFERROR(VALUE(3&amp;""),0)),"; "&amp;IF(ISNUMBER(("Da "&amp;IF(ISNUMBER($C123),IF($C123=0,"0",ROUND($C123,9-INT(LOG10(ABS($C123))))&amp;""),$C123&amp;"")&amp;" sesiones ese dia")),IF(("Da "&amp;IF(ISNUMBER($C123),IF($C123=0,"0",ROUND($C123,9-INT(LOG10(ABS($C123))))&amp;""),$C123&amp;"")&amp;" sesiones ese dia")=0,"0",ROUND(("Da "&amp;IF(ISNUMBER($C123),IF($C123=0,"0",ROUND($C123,9-INT(LOG10(ABS($C123))))&amp;""),$C123&amp;"")&amp;" sesiones ese dia"),9-INT(LOG10(ABS(("Da "&amp;IF(ISNUMBER($C123),IF($C123=0,"0",ROUND($C123,9-INT(LOG10(ABS($C123))))&amp;""),$C123&amp;"")&amp;" sesiones ese dia")))))&amp;""),("Da "&amp;IF(ISNUMBER($C123),IF($C123=0,"0",ROUND($C123,9-INT(LOG10(ABS($C123))))&amp;""),$C123&amp;"")&amp;" sesiones ese dia")&amp;""),""),3,32767)</f>
        <v/>
      </c>
      <c r="E123" s="3">
        <f>IF(OR((IFERROR(VALUE($C123&amp;""),0)&gt;IFERROR(VALUE(3&amp;""),0))),2,0)</f>
        <v/>
      </c>
    </row>
    <row r="124">
      <c r="A124" s="3" t="inlineStr">
        <is>
          <t>Profesor de Q en 10-4</t>
        </is>
      </c>
      <c r="B124" s="3" t="inlineStr">
        <is>
          <t>L</t>
        </is>
      </c>
      <c r="C124" s="3">
        <f>SUMPRODUCT(1*((EXACT('Casillas del horario'!$F$4:$F$73,$A124)))*((EXACT('Casillas del horario'!$B$4:$B$73,$B124)))*((1-(('Casillas del horario'!$D$4:$D$73="")))))</f>
        <v/>
      </c>
      <c r="D124" s="3">
        <f>MID(IF((IFERROR(VALUE($C124&amp;""),0)&gt;IFERROR(VALUE(3&amp;""),0)),"; "&amp;IF(ISNUMBER(("Da "&amp;IF(ISNUMBER($C124),IF($C124=0,"0",ROUND($C124,9-INT(LOG10(ABS($C124))))&amp;""),$C124&amp;"")&amp;" sesiones ese dia")),IF(("Da "&amp;IF(ISNUMBER($C124),IF($C124=0,"0",ROUND($C124,9-INT(LOG10(ABS($C124))))&amp;""),$C124&amp;"")&amp;" sesiones ese dia")=0,"0",ROUND(("Da "&amp;IF(ISNUMBER($C124),IF($C124=0,"0",ROUND($C124,9-INT(LOG10(ABS($C124))))&amp;""),$C124&amp;"")&amp;" sesiones ese dia"),9-INT(LOG10(ABS(("Da "&amp;IF(ISNUMBER($C124),IF($C124=0,"0",ROUND($C124,9-INT(LOG10(ABS($C124))))&amp;""),$C124&amp;"")&amp;" sesiones ese dia")))))&amp;""),("Da "&amp;IF(ISNUMBER($C124),IF($C124=0,"0",ROUND($C124,9-INT(LOG10(ABS($C124))))&amp;""),$C124&amp;"")&amp;" sesiones ese dia")&amp;""),""),3,32767)</f>
        <v/>
      </c>
      <c r="E124" s="3">
        <f>IF(OR((IFERROR(VALUE($C124&amp;""),0)&gt;IFERROR(VALUE(3&amp;""),0))),2,0)</f>
        <v/>
      </c>
    </row>
    <row r="125">
      <c r="A125" s="3" t="inlineStr">
        <is>
          <t>Profesor de Q en 10-4</t>
        </is>
      </c>
      <c r="B125" s="3" t="inlineStr">
        <is>
          <t>M</t>
        </is>
      </c>
      <c r="C125" s="3">
        <f>SUMPRODUCT(1*((EXACT('Casillas del horario'!$F$4:$F$73,$A125)))*((EXACT('Casillas del horario'!$B$4:$B$73,$B125)))*((1-(('Casillas del horario'!$D$4:$D$73="")))))</f>
        <v/>
      </c>
      <c r="D125" s="3">
        <f>MID(IF((IFERROR(VALUE($C125&amp;""),0)&gt;IFERROR(VALUE(3&amp;""),0)),"; "&amp;IF(ISNUMBER(("Da "&amp;IF(ISNUMBER($C125),IF($C125=0,"0",ROUND($C125,9-INT(LOG10(ABS($C125))))&amp;""),$C125&amp;"")&amp;" sesiones ese dia")),IF(("Da "&amp;IF(ISNUMBER($C125),IF($C125=0,"0",ROUND($C125,9-INT(LOG10(ABS($C125))))&amp;""),$C125&amp;"")&amp;" sesiones ese dia")=0,"0",ROUND(("Da "&amp;IF(ISNUMBER($C125),IF($C125=0,"0",ROUND($C125,9-INT(LOG10(ABS($C125))))&amp;""),$C125&amp;"")&amp;" sesiones ese dia"),9-INT(LOG10(ABS(("Da "&amp;IF(ISNUMBER($C125),IF($C125=0,"0",ROUND($C125,9-INT(LOG10(ABS($C125))))&amp;""),$C125&amp;"")&amp;" sesiones ese dia")))))&amp;""),("Da "&amp;IF(ISNUMBER($C125),IF($C125=0,"0",ROUND($C125,9-INT(LOG10(ABS($C125))))&amp;""),$C125&amp;"")&amp;" sesiones ese dia")&amp;""),""),3,32767)</f>
        <v/>
      </c>
      <c r="E125" s="3">
        <f>IF(OR((IFERROR(VALUE($C125&amp;""),0)&gt;IFERROR(VALUE(3&amp;""),0))),2,0)</f>
        <v/>
      </c>
    </row>
    <row r="126">
      <c r="A126" s="3" t="inlineStr">
        <is>
          <t>Profesor de Q en 10-4</t>
        </is>
      </c>
      <c r="B126" s="3" t="inlineStr">
        <is>
          <t>MI</t>
        </is>
      </c>
      <c r="C126" s="3">
        <f>SUMPRODUCT(1*((EXACT('Casillas del horario'!$F$4:$F$73,$A126)))*((EXACT('Casillas del horario'!$B$4:$B$73,$B126)))*((1-(('Casillas del horario'!$D$4:$D$73="")))))</f>
        <v/>
      </c>
      <c r="D126" s="3">
        <f>MID(IF((IFERROR(VALUE($C126&amp;""),0)&gt;IFERROR(VALUE(3&amp;""),0)),"; "&amp;IF(ISNUMBER(("Da "&amp;IF(ISNUMBER($C126),IF($C126=0,"0",ROUND($C126,9-INT(LOG10(ABS($C126))))&amp;""),$C126&amp;"")&amp;" sesiones ese dia")),IF(("Da "&amp;IF(ISNUMBER($C126),IF($C126=0,"0",ROUND($C126,9-INT(LOG10(ABS($C126))))&amp;""),$C126&amp;"")&amp;" sesiones ese dia")=0,"0",ROUND(("Da "&amp;IF(ISNUMBER($C126),IF($C126=0,"0",ROUND($C126,9-INT(LOG10(ABS($C126))))&amp;""),$C126&amp;"")&amp;" sesiones ese dia"),9-INT(LOG10(ABS(("Da "&amp;IF(ISNUMBER($C126),IF($C126=0,"0",ROUND($C126,9-INT(LOG10(ABS($C126))))&amp;""),$C126&amp;"")&amp;" sesiones ese dia")))))&amp;""),("Da "&amp;IF(ISNUMBER($C126),IF($C126=0,"0",ROUND($C126,9-INT(LOG10(ABS($C126))))&amp;""),$C126&amp;"")&amp;" sesiones ese dia")&amp;""),""),3,32767)</f>
        <v/>
      </c>
      <c r="E126" s="3">
        <f>IF(OR((IFERROR(VALUE($C126&amp;""),0)&gt;IFERROR(VALUE(3&amp;""),0))),2,0)</f>
        <v/>
      </c>
    </row>
    <row r="127">
      <c r="A127" s="3" t="inlineStr">
        <is>
          <t>Profesor de Q en 10-4</t>
        </is>
      </c>
      <c r="B127" s="3" t="inlineStr">
        <is>
          <t>J</t>
        </is>
      </c>
      <c r="C127" s="3">
        <f>SUMPRODUCT(1*((EXACT('Casillas del horario'!$F$4:$F$73,$A127)))*((EXACT('Casillas del horario'!$B$4:$B$73,$B127)))*((1-(('Casillas del horario'!$D$4:$D$73="")))))</f>
        <v/>
      </c>
      <c r="D127" s="3">
        <f>MID(IF((IFERROR(VALUE($C127&amp;""),0)&gt;IFERROR(VALUE(3&amp;""),0)),"; "&amp;IF(ISNUMBER(("Da "&amp;IF(ISNUMBER($C127),IF($C127=0,"0",ROUND($C127,9-INT(LOG10(ABS($C127))))&amp;""),$C127&amp;"")&amp;" sesiones ese dia")),IF(("Da "&amp;IF(ISNUMBER($C127),IF($C127=0,"0",ROUND($C127,9-INT(LOG10(ABS($C127))))&amp;""),$C127&amp;"")&amp;" sesiones ese dia")=0,"0",ROUND(("Da "&amp;IF(ISNUMBER($C127),IF($C127=0,"0",ROUND($C127,9-INT(LOG10(ABS($C127))))&amp;""),$C127&amp;"")&amp;" sesiones ese dia"),9-INT(LOG10(ABS(("Da "&amp;IF(ISNUMBER($C127),IF($C127=0,"0",ROUND($C127,9-INT(LOG10(ABS($C127))))&amp;""),$C127&amp;"")&amp;" sesiones ese dia")))))&amp;""),("Da "&amp;IF(ISNUMBER($C127),IF($C127=0,"0",ROUND($C127,9-INT(LOG10(ABS($C127))))&amp;""),$C127&amp;"")&amp;" sesiones ese dia")&amp;""),""),3,32767)</f>
        <v/>
      </c>
      <c r="E127" s="3">
        <f>IF(OR((IFERROR(VALUE($C127&amp;""),0)&gt;IFERROR(VALUE(3&amp;""),0))),2,0)</f>
        <v/>
      </c>
    </row>
    <row r="128">
      <c r="A128" s="3" t="inlineStr">
        <is>
          <t>Profesor de Q en 10-4</t>
        </is>
      </c>
      <c r="B128" s="3" t="inlineStr">
        <is>
          <t>V</t>
        </is>
      </c>
      <c r="C128" s="3">
        <f>SUMPRODUCT(1*((EXACT('Casillas del horario'!$F$4:$F$73,$A128)))*((EXACT('Casillas del horario'!$B$4:$B$73,$B128)))*((1-(('Casillas del horario'!$D$4:$D$73="")))))</f>
        <v/>
      </c>
      <c r="D128" s="3">
        <f>MID(IF((IFERROR(VALUE($C128&amp;""),0)&gt;IFERROR(VALUE(3&amp;""),0)),"; "&amp;IF(ISNUMBER(("Da "&amp;IF(ISNUMBER($C128),IF($C128=0,"0",ROUND($C128,9-INT(LOG10(ABS($C128))))&amp;""),$C128&amp;"")&amp;" sesiones ese dia")),IF(("Da "&amp;IF(ISNUMBER($C128),IF($C128=0,"0",ROUND($C128,9-INT(LOG10(ABS($C128))))&amp;""),$C128&amp;"")&amp;" sesiones ese dia")=0,"0",ROUND(("Da "&amp;IF(ISNUMBER($C128),IF($C128=0,"0",ROUND($C128,9-INT(LOG10(ABS($C128))))&amp;""),$C128&amp;"")&amp;" sesiones ese dia"),9-INT(LOG10(ABS(("Da "&amp;IF(ISNUMBER($C128),IF($C128=0,"0",ROUND($C128,9-INT(LOG10(ABS($C128))))&amp;""),$C128&amp;"")&amp;" sesiones ese dia")))))&amp;""),("Da "&amp;IF(ISNUMBER($C128),IF($C128=0,"0",ROUND($C128,9-INT(LOG10(ABS($C128))))&amp;""),$C128&amp;"")&amp;" sesiones ese dia")&amp;""),""),3,32767)</f>
        <v/>
      </c>
      <c r="E128" s="3">
        <f>IF(OR((IFERROR(VALUE($C128&amp;""),0)&gt;IFERROR(VALUE(3&amp;""),0))),2,0)</f>
        <v/>
      </c>
    </row>
    <row r="129">
      <c r="A129" s="3" t="inlineStr">
        <is>
          <t>Profesor de CP en 10-4</t>
        </is>
      </c>
      <c r="B129" s="3" t="inlineStr">
        <is>
          <t>L</t>
        </is>
      </c>
      <c r="C129" s="3">
        <f>SUMPRODUCT(1*((EXACT('Casillas del horario'!$F$4:$F$73,$A129)))*((EXACT('Casillas del horario'!$B$4:$B$73,$B129)))*((1-(('Casillas del horario'!$D$4:$D$73="")))))</f>
        <v/>
      </c>
      <c r="D129" s="3">
        <f>MID(IF((IFERROR(VALUE($C129&amp;""),0)&gt;IFERROR(VALUE(3&amp;""),0)),"; "&amp;IF(ISNUMBER(("Da "&amp;IF(ISNUMBER($C129),IF($C129=0,"0",ROUND($C129,9-INT(LOG10(ABS($C129))))&amp;""),$C129&amp;"")&amp;" sesiones ese dia")),IF(("Da "&amp;IF(ISNUMBER($C129),IF($C129=0,"0",ROUND($C129,9-INT(LOG10(ABS($C129))))&amp;""),$C129&amp;"")&amp;" sesiones ese dia")=0,"0",ROUND(("Da "&amp;IF(ISNUMBER($C129),IF($C129=0,"0",ROUND($C129,9-INT(LOG10(ABS($C129))))&amp;""),$C129&amp;"")&amp;" sesiones ese dia"),9-INT(LOG10(ABS(("Da "&amp;IF(ISNUMBER($C129),IF($C129=0,"0",ROUND($C129,9-INT(LOG10(ABS($C129))))&amp;""),$C129&amp;"")&amp;" sesiones ese dia")))))&amp;""),("Da "&amp;IF(ISNUMBER($C129),IF($C129=0,"0",ROUND($C129,9-INT(LOG10(ABS($C129))))&amp;""),$C129&amp;"")&amp;" sesiones ese dia")&amp;""),""),3,32767)</f>
        <v/>
      </c>
      <c r="E129" s="3">
        <f>IF(OR((IFERROR(VALUE($C129&amp;""),0)&gt;IFERROR(VALUE(3&amp;""),0))),2,0)</f>
        <v/>
      </c>
    </row>
    <row r="130">
      <c r="A130" s="3" t="inlineStr">
        <is>
          <t>Profesor de CP en 10-4</t>
        </is>
      </c>
      <c r="B130" s="3" t="inlineStr">
        <is>
          <t>M</t>
        </is>
      </c>
      <c r="C130" s="3">
        <f>SUMPRODUCT(1*((EXACT('Casillas del horario'!$F$4:$F$73,$A130)))*((EXACT('Casillas del horario'!$B$4:$B$73,$B130)))*((1-(('Casillas del horario'!$D$4:$D$73="")))))</f>
        <v/>
      </c>
      <c r="D130" s="3">
        <f>MID(IF((IFERROR(VALUE($C130&amp;""),0)&gt;IFERROR(VALUE(3&amp;""),0)),"; "&amp;IF(ISNUMBER(("Da "&amp;IF(ISNUMBER($C130),IF($C130=0,"0",ROUND($C130,9-INT(LOG10(ABS($C130))))&amp;""),$C130&amp;"")&amp;" sesiones ese dia")),IF(("Da "&amp;IF(ISNUMBER($C130),IF($C130=0,"0",ROUND($C130,9-INT(LOG10(ABS($C130))))&amp;""),$C130&amp;"")&amp;" sesiones ese dia")=0,"0",ROUND(("Da "&amp;IF(ISNUMBER($C130),IF($C130=0,"0",ROUND($C130,9-INT(LOG10(ABS($C130))))&amp;""),$C130&amp;"")&amp;" sesiones ese dia"),9-INT(LOG10(ABS(("Da "&amp;IF(ISNUMBER($C130),IF($C130=0,"0",ROUND($C130,9-INT(LOG10(ABS($C130))))&amp;""),$C130&amp;"")&amp;" sesiones ese dia")))))&amp;""),("Da "&amp;IF(ISNUMBER($C130),IF($C130=0,"0",ROUND($C130,9-INT(LOG10(ABS($C130))))&amp;""),$C130&amp;"")&amp;" sesiones ese dia")&amp;""),""),3,32767)</f>
        <v/>
      </c>
      <c r="E130" s="3">
        <f>IF(OR((IFERROR(VALUE($C130&amp;""),0)&gt;IFERROR(VALUE(3&amp;""),0))),2,0)</f>
        <v/>
      </c>
    </row>
    <row r="131">
      <c r="A131" s="3" t="inlineStr">
        <is>
          <t>Profesor de CP en 10-4</t>
        </is>
      </c>
      <c r="B131" s="3" t="inlineStr">
        <is>
          <t>MI</t>
        </is>
      </c>
      <c r="C131" s="3">
        <f>SUMPRODUCT(1*((EXACT('Casillas del horario'!$F$4:$F$73,$A131)))*((EXACT('Casillas del horario'!$B$4:$B$73,$B131)))*((1-(('Casillas del horario'!$D$4:$D$73="")))))</f>
        <v/>
      </c>
      <c r="D131" s="3">
        <f>MID(IF((IFERROR(VALUE($C131&amp;""),0)&gt;IFERROR(VALUE(3&amp;""),0)),"; "&amp;IF(ISNUMBER(("Da "&amp;IF(ISNUMBER($C131),IF($C131=0,"0",ROUND($C131,9-INT(LOG10(ABS($C131))))&amp;""),$C131&amp;"")&amp;" sesiones ese dia")),IF(("Da "&amp;IF(ISNUMBER($C131),IF($C131=0,"0",ROUND($C131,9-INT(LOG10(ABS($C131))))&amp;""),$C131&amp;"")&amp;" sesiones ese dia")=0,"0",ROUND(("Da "&amp;IF(ISNUMBER($C131),IF($C131=0,"0",ROUND($C131,9-INT(LOG10(ABS($C131))))&amp;""),$C131&amp;"")&amp;" sesiones ese dia"),9-INT(LOG10(ABS(("Da "&amp;IF(ISNUMBER($C131),IF($C131=0,"0",ROUND($C131,9-INT(LOG10(ABS($C131))))&amp;""),$C131&amp;"")&amp;" sesiones ese dia")))))&amp;""),("Da "&amp;IF(ISNUMBER($C131),IF($C131=0,"0",ROUND($C131,9-INT(LOG10(ABS($C131))))&amp;""),$C131&amp;"")&amp;" sesiones ese dia")&amp;""),""),3,32767)</f>
        <v/>
      </c>
      <c r="E131" s="3">
        <f>IF(OR((IFERROR(VALUE($C131&amp;""),0)&gt;IFERROR(VALUE(3&amp;""),0))),2,0)</f>
        <v/>
      </c>
    </row>
    <row r="132">
      <c r="A132" s="3" t="inlineStr">
        <is>
          <t>Profesor de CP en 10-4</t>
        </is>
      </c>
      <c r="B132" s="3" t="inlineStr">
        <is>
          <t>J</t>
        </is>
      </c>
      <c r="C132" s="3">
        <f>SUMPRODUCT(1*((EXACT('Casillas del horario'!$F$4:$F$73,$A132)))*((EXACT('Casillas del horario'!$B$4:$B$73,$B132)))*((1-(('Casillas del horario'!$D$4:$D$73="")))))</f>
        <v/>
      </c>
      <c r="D132" s="3">
        <f>MID(IF((IFERROR(VALUE($C132&amp;""),0)&gt;IFERROR(VALUE(3&amp;""),0)),"; "&amp;IF(ISNUMBER(("Da "&amp;IF(ISNUMBER($C132),IF($C132=0,"0",ROUND($C132,9-INT(LOG10(ABS($C132))))&amp;""),$C132&amp;"")&amp;" sesiones ese dia")),IF(("Da "&amp;IF(ISNUMBER($C132),IF($C132=0,"0",ROUND($C132,9-INT(LOG10(ABS($C132))))&amp;""),$C132&amp;"")&amp;" sesiones ese dia")=0,"0",ROUND(("Da "&amp;IF(ISNUMBER($C132),IF($C132=0,"0",ROUND($C132,9-INT(LOG10(ABS($C132))))&amp;""),$C132&amp;"")&amp;" sesiones ese dia"),9-INT(LOG10(ABS(("Da "&amp;IF(ISNUMBER($C132),IF($C132=0,"0",ROUND($C132,9-INT(LOG10(ABS($C132))))&amp;""),$C132&amp;"")&amp;" sesiones ese dia")))))&amp;""),("Da "&amp;IF(ISNUMBER($C132),IF($C132=0,"0",ROUND($C132,9-INT(LOG10(ABS($C132))))&amp;""),$C132&amp;"")&amp;" sesiones ese dia")&amp;""),""),3,32767)</f>
        <v/>
      </c>
      <c r="E132" s="3">
        <f>IF(OR((IFERROR(VALUE($C132&amp;""),0)&gt;IFERROR(VALUE(3&amp;""),0))),2,0)</f>
        <v/>
      </c>
    </row>
    <row r="133">
      <c r="A133" s="3" t="inlineStr">
        <is>
          <t>Profesor de CP en 10-4</t>
        </is>
      </c>
      <c r="B133" s="3" t="inlineStr">
        <is>
          <t>V</t>
        </is>
      </c>
      <c r="C133" s="3">
        <f>SUMPRODUCT(1*((EXACT('Casillas del horario'!$F$4:$F$73,$A133)))*((EXACT('Casillas del horario'!$B$4:$B$73,$B133)))*((1-(('Casillas del horario'!$D$4:$D$73="")))))</f>
        <v/>
      </c>
      <c r="D133" s="3">
        <f>MID(IF((IFERROR(VALUE($C133&amp;""),0)&gt;IFERROR(VALUE(3&amp;""),0)),"; "&amp;IF(ISNUMBER(("Da "&amp;IF(ISNUMBER($C133),IF($C133=0,"0",ROUND($C133,9-INT(LOG10(ABS($C133))))&amp;""),$C133&amp;"")&amp;" sesiones ese dia")),IF(("Da "&amp;IF(ISNUMBER($C133),IF($C133=0,"0",ROUND($C133,9-INT(LOG10(ABS($C133))))&amp;""),$C133&amp;"")&amp;" sesiones ese dia")=0,"0",ROUND(("Da "&amp;IF(ISNUMBER($C133),IF($C133=0,"0",ROUND($C133,9-INT(LOG10(ABS($C133))))&amp;""),$C133&amp;"")&amp;" sesiones ese dia"),9-INT(LOG10(ABS(("Da "&amp;IF(ISNUMBER($C133),IF($C133=0,"0",ROUND($C133,9-INT(LOG10(ABS($C133))))&amp;""),$C133&amp;"")&amp;" sesiones ese dia")))))&amp;""),("Da "&amp;IF(ISNUMBER($C133),IF($C133=0,"0",ROUND($C133,9-INT(LOG10(ABS($C133))))&amp;""),$C133&amp;"")&amp;" sesiones ese dia")&amp;""),""),3,32767)</f>
        <v/>
      </c>
      <c r="E133" s="3">
        <f>IF(OR((IFERROR(VALUE($C133&amp;""),0)&gt;IFERROR(VALUE(3&amp;""),0))),2,0)</f>
        <v/>
      </c>
    </row>
    <row r="134">
      <c r="A134" s="3" t="inlineStr">
        <is>
          <t>Profesor de DC en 10-4</t>
        </is>
      </c>
      <c r="B134" s="3" t="inlineStr">
        <is>
          <t>L</t>
        </is>
      </c>
      <c r="C134" s="3">
        <f>SUMPRODUCT(1*((EXACT('Casillas del horario'!$F$4:$F$73,$A134)))*((EXACT('Casillas del horario'!$B$4:$B$73,$B134)))*((1-(('Casillas del horario'!$D$4:$D$73="")))))</f>
        <v/>
      </c>
      <c r="D134" s="3">
        <f>MID(IF((IFERROR(VALUE($C134&amp;""),0)&gt;IFERROR(VALUE(3&amp;""),0)),"; "&amp;IF(ISNUMBER(("Da "&amp;IF(ISNUMBER($C134),IF($C134=0,"0",ROUND($C134,9-INT(LOG10(ABS($C134))))&amp;""),$C134&amp;"")&amp;" sesiones ese dia")),IF(("Da "&amp;IF(ISNUMBER($C134),IF($C134=0,"0",ROUND($C134,9-INT(LOG10(ABS($C134))))&amp;""),$C134&amp;"")&amp;" sesiones ese dia")=0,"0",ROUND(("Da "&amp;IF(ISNUMBER($C134),IF($C134=0,"0",ROUND($C134,9-INT(LOG10(ABS($C134))))&amp;""),$C134&amp;"")&amp;" sesiones ese dia"),9-INT(LOG10(ABS(("Da "&amp;IF(ISNUMBER($C134),IF($C134=0,"0",ROUND($C134,9-INT(LOG10(ABS($C134))))&amp;""),$C134&amp;"")&amp;" sesiones ese dia")))))&amp;""),("Da "&amp;IF(ISNUMBER($C134),IF($C134=0,"0",ROUND($C134,9-INT(LOG10(ABS($C134))))&amp;""),$C134&amp;"")&amp;" sesiones ese dia")&amp;""),""),3,32767)</f>
        <v/>
      </c>
      <c r="E134" s="3">
        <f>IF(OR((IFERROR(VALUE($C134&amp;""),0)&gt;IFERROR(VALUE(3&amp;""),0))),2,0)</f>
        <v/>
      </c>
    </row>
    <row r="135">
      <c r="A135" s="3" t="inlineStr">
        <is>
          <t>Profesor de DC en 10-4</t>
        </is>
      </c>
      <c r="B135" s="3" t="inlineStr">
        <is>
          <t>M</t>
        </is>
      </c>
      <c r="C135" s="3">
        <f>SUMPRODUCT(1*((EXACT('Casillas del horario'!$F$4:$F$73,$A135)))*((EXACT('Casillas del horario'!$B$4:$B$73,$B135)))*((1-(('Casillas del horario'!$D$4:$D$73="")))))</f>
        <v/>
      </c>
      <c r="D135" s="3">
        <f>MID(IF((IFERROR(VALUE($C135&amp;""),0)&gt;IFERROR(VALUE(3&amp;""),0)),"; "&amp;IF(ISNUMBER(("Da "&amp;IF(ISNUMBER($C135),IF($C135=0,"0",ROUND($C135,9-INT(LOG10(ABS($C135))))&amp;""),$C135&amp;"")&amp;" sesiones ese dia")),IF(("Da "&amp;IF(ISNUMBER($C135),IF($C135=0,"0",ROUND($C135,9-INT(LOG10(ABS($C135))))&amp;""),$C135&amp;"")&amp;" sesiones ese dia")=0,"0",ROUND(("Da "&amp;IF(ISNUMBER($C135),IF($C135=0,"0",ROUND($C135,9-INT(LOG10(ABS($C135))))&amp;""),$C135&amp;"")&amp;" sesiones ese dia"),9-INT(LOG10(ABS(("Da "&amp;IF(ISNUMBER($C135),IF($C135=0,"0",ROUND($C135,9-INT(LOG10(ABS($C135))))&amp;""),$C135&amp;"")&amp;" sesiones ese dia")))))&amp;""),("Da "&amp;IF(ISNUMBER($C135),IF($C135=0,"0",ROUND($C135,9-INT(LOG10(ABS($C135))))&amp;""),$C135&amp;"")&amp;" sesiones ese dia")&amp;""),""),3,32767)</f>
        <v/>
      </c>
      <c r="E135" s="3">
        <f>IF(OR((IFERROR(VALUE($C135&amp;""),0)&gt;IFERROR(VALUE(3&amp;""),0))),2,0)</f>
        <v/>
      </c>
    </row>
    <row r="136">
      <c r="A136" s="3" t="inlineStr">
        <is>
          <t>Profesor de DC en 10-4</t>
        </is>
      </c>
      <c r="B136" s="3" t="inlineStr">
        <is>
          <t>MI</t>
        </is>
      </c>
      <c r="C136" s="3">
        <f>SUMPRODUCT(1*((EXACT('Casillas del horario'!$F$4:$F$73,$A136)))*((EXACT('Casillas del horario'!$B$4:$B$73,$B136)))*((1-(('Casillas del horario'!$D$4:$D$73="")))))</f>
        <v/>
      </c>
      <c r="D136" s="3">
        <f>MID(IF((IFERROR(VALUE($C136&amp;""),0)&gt;IFERROR(VALUE(3&amp;""),0)),"; "&amp;IF(ISNUMBER(("Da "&amp;IF(ISNUMBER($C136),IF($C136=0,"0",ROUND($C136,9-INT(LOG10(ABS($C136))))&amp;""),$C136&amp;"")&amp;" sesiones ese dia")),IF(("Da "&amp;IF(ISNUMBER($C136),IF($C136=0,"0",ROUND($C136,9-INT(LOG10(ABS($C136))))&amp;""),$C136&amp;"")&amp;" sesiones ese dia")=0,"0",ROUND(("Da "&amp;IF(ISNUMBER($C136),IF($C136=0,"0",ROUND($C136,9-INT(LOG10(ABS($C136))))&amp;""),$C136&amp;"")&amp;" sesiones ese dia"),9-INT(LOG10(ABS(("Da "&amp;IF(ISNUMBER($C136),IF($C136=0,"0",ROUND($C136,9-INT(LOG10(ABS($C136))))&amp;""),$C136&amp;"")&amp;" sesiones ese dia")))))&amp;""),("Da "&amp;IF(ISNUMBER($C136),IF($C136=0,"0",ROUND($C136,9-INT(LOG10(ABS($C136))))&amp;""),$C136&amp;"")&amp;" sesiones ese dia")&amp;""),""),3,32767)</f>
        <v/>
      </c>
      <c r="E136" s="3">
        <f>IF(OR((IFERROR(VALUE($C136&amp;""),0)&gt;IFERROR(VALUE(3&amp;""),0))),2,0)</f>
        <v/>
      </c>
    </row>
    <row r="137">
      <c r="A137" s="3" t="inlineStr">
        <is>
          <t>Profesor de DC en 10-4</t>
        </is>
      </c>
      <c r="B137" s="3" t="inlineStr">
        <is>
          <t>J</t>
        </is>
      </c>
      <c r="C137" s="3">
        <f>SUMPRODUCT(1*((EXACT('Casillas del horario'!$F$4:$F$73,$A137)))*((EXACT('Casillas del horario'!$B$4:$B$73,$B137)))*((1-(('Casillas del horario'!$D$4:$D$73="")))))</f>
        <v/>
      </c>
      <c r="D137" s="3">
        <f>MID(IF((IFERROR(VALUE($C137&amp;""),0)&gt;IFERROR(VALUE(3&amp;""),0)),"; "&amp;IF(ISNUMBER(("Da "&amp;IF(ISNUMBER($C137),IF($C137=0,"0",ROUND($C137,9-INT(LOG10(ABS($C137))))&amp;""),$C137&amp;"")&amp;" sesiones ese dia")),IF(("Da "&amp;IF(ISNUMBER($C137),IF($C137=0,"0",ROUND($C137,9-INT(LOG10(ABS($C137))))&amp;""),$C137&amp;"")&amp;" sesiones ese dia")=0,"0",ROUND(("Da "&amp;IF(ISNUMBER($C137),IF($C137=0,"0",ROUND($C137,9-INT(LOG10(ABS($C137))))&amp;""),$C137&amp;"")&amp;" sesiones ese dia"),9-INT(LOG10(ABS(("Da "&amp;IF(ISNUMBER($C137),IF($C137=0,"0",ROUND($C137,9-INT(LOG10(ABS($C137))))&amp;""),$C137&amp;"")&amp;" sesiones ese dia")))))&amp;""),("Da "&amp;IF(ISNUMBER($C137),IF($C137=0,"0",ROUND($C137,9-INT(LOG10(ABS($C137))))&amp;""),$C137&amp;"")&amp;" sesiones ese dia")&amp;""),""),3,32767)</f>
        <v/>
      </c>
      <c r="E137" s="3">
        <f>IF(OR((IFERROR(VALUE($C137&amp;""),0)&gt;IFERROR(VALUE(3&amp;""),0))),2,0)</f>
        <v/>
      </c>
    </row>
    <row r="138">
      <c r="A138" s="3" t="inlineStr">
        <is>
          <t>Profesor de DC en 10-4</t>
        </is>
      </c>
      <c r="B138" s="3" t="inlineStr">
        <is>
          <t>V</t>
        </is>
      </c>
      <c r="C138" s="3">
        <f>SUMPRODUCT(1*((EXACT('Casillas del horario'!$F$4:$F$73,$A138)))*((EXACT('Casillas del horario'!$B$4:$B$73,$B138)))*((1-(('Casillas del horario'!$D$4:$D$73="")))))</f>
        <v/>
      </c>
      <c r="D138" s="3">
        <f>MID(IF((IFERROR(VALUE($C138&amp;""),0)&gt;IFERROR(VALUE(3&amp;""),0)),"; "&amp;IF(ISNUMBER(("Da "&amp;IF(ISNUMBER($C138),IF($C138=0,"0",ROUND($C138,9-INT(LOG10(ABS($C138))))&amp;""),$C138&amp;"")&amp;" sesiones ese dia")),IF(("Da "&amp;IF(ISNUMBER($C138),IF($C138=0,"0",ROUND($C138,9-INT(LOG10(ABS($C138))))&amp;""),$C138&amp;"")&amp;" sesiones ese dia")=0,"0",ROUND(("Da "&amp;IF(ISNUMBER($C138),IF($C138=0,"0",ROUND($C138,9-INT(LOG10(ABS($C138))))&amp;""),$C138&amp;"")&amp;" sesiones ese dia"),9-INT(LOG10(ABS(("Da "&amp;IF(ISNUMBER($C138),IF($C138=0,"0",ROUND($C138,9-INT(LOG10(ABS($C138))))&amp;""),$C138&amp;"")&amp;" sesiones ese dia")))))&amp;""),("Da "&amp;IF(ISNUMBER($C138),IF($C138=0,"0",ROUND($C138,9-INT(LOG10(ABS($C138))))&amp;""),$C138&amp;"")&amp;" sesiones ese dia")&amp;""),""),3,32767)</f>
        <v/>
      </c>
      <c r="E138" s="3">
        <f>IF(OR((IFERROR(VALUE($C138&amp;""),0)&gt;IFERROR(VALUE(3&amp;""),0))),2,0)</f>
        <v/>
      </c>
    </row>
    <row r="139">
      <c r="A139" s="3" t="inlineStr">
        <is>
          <t>Profesor de CA en 10-4</t>
        </is>
      </c>
      <c r="B139" s="3" t="inlineStr">
        <is>
          <t>L</t>
        </is>
      </c>
      <c r="C139" s="3">
        <f>SUMPRODUCT(1*((EXACT('Casillas del horario'!$F$4:$F$73,$A139)))*((EXACT('Casillas del horario'!$B$4:$B$73,$B139)))*((1-(('Casillas del horario'!$D$4:$D$73="")))))</f>
        <v/>
      </c>
      <c r="D139" s="3">
        <f>MID(IF((IFERROR(VALUE($C139&amp;""),0)&gt;IFERROR(VALUE(3&amp;""),0)),"; "&amp;IF(ISNUMBER(("Da "&amp;IF(ISNUMBER($C139),IF($C139=0,"0",ROUND($C139,9-INT(LOG10(ABS($C139))))&amp;""),$C139&amp;"")&amp;" sesiones ese dia")),IF(("Da "&amp;IF(ISNUMBER($C139),IF($C139=0,"0",ROUND($C139,9-INT(LOG10(ABS($C139))))&amp;""),$C139&amp;"")&amp;" sesiones ese dia")=0,"0",ROUND(("Da "&amp;IF(ISNUMBER($C139),IF($C139=0,"0",ROUND($C139,9-INT(LOG10(ABS($C139))))&amp;""),$C139&amp;"")&amp;" sesiones ese dia"),9-INT(LOG10(ABS(("Da "&amp;IF(ISNUMBER($C139),IF($C139=0,"0",ROUND($C139,9-INT(LOG10(ABS($C139))))&amp;""),$C139&amp;"")&amp;" sesiones ese dia")))))&amp;""),("Da "&amp;IF(ISNUMBER($C139),IF($C139=0,"0",ROUND($C139,9-INT(LOG10(ABS($C139))))&amp;""),$C139&amp;"")&amp;" sesiones ese dia")&amp;""),""),3,32767)</f>
        <v/>
      </c>
      <c r="E139" s="3">
        <f>IF(OR((IFERROR(VALUE($C139&amp;""),0)&gt;IFERROR(VALUE(3&amp;""),0))),2,0)</f>
        <v/>
      </c>
    </row>
    <row r="140">
      <c r="A140" s="3" t="inlineStr">
        <is>
          <t>Profesor de CA en 10-4</t>
        </is>
      </c>
      <c r="B140" s="3" t="inlineStr">
        <is>
          <t>M</t>
        </is>
      </c>
      <c r="C140" s="3">
        <f>SUMPRODUCT(1*((EXACT('Casillas del horario'!$F$4:$F$73,$A140)))*((EXACT('Casillas del horario'!$B$4:$B$73,$B140)))*((1-(('Casillas del horario'!$D$4:$D$73="")))))</f>
        <v/>
      </c>
      <c r="D140" s="3">
        <f>MID(IF((IFERROR(VALUE($C140&amp;""),0)&gt;IFERROR(VALUE(3&amp;""),0)),"; "&amp;IF(ISNUMBER(("Da "&amp;IF(ISNUMBER($C140),IF($C140=0,"0",ROUND($C140,9-INT(LOG10(ABS($C140))))&amp;""),$C140&amp;"")&amp;" sesiones ese dia")),IF(("Da "&amp;IF(ISNUMBER($C140),IF($C140=0,"0",ROUND($C140,9-INT(LOG10(ABS($C140))))&amp;""),$C140&amp;"")&amp;" sesiones ese dia")=0,"0",ROUND(("Da "&amp;IF(ISNUMBER($C140),IF($C140=0,"0",ROUND($C140,9-INT(LOG10(ABS($C140))))&amp;""),$C140&amp;"")&amp;" sesiones ese dia"),9-INT(LOG10(ABS(("Da "&amp;IF(ISNUMBER($C140),IF($C140=0,"0",ROUND($C140,9-INT(LOG10(ABS($C140))))&amp;""),$C140&amp;"")&amp;" sesiones ese dia")))))&amp;""),("Da "&amp;IF(ISNUMBER($C140),IF($C140=0,"0",ROUND($C140,9-INT(LOG10(ABS($C140))))&amp;""),$C140&amp;"")&amp;" sesiones ese dia")&amp;""),""),3,32767)</f>
        <v/>
      </c>
      <c r="E140" s="3">
        <f>IF(OR((IFERROR(VALUE($C140&amp;""),0)&gt;IFERROR(VALUE(3&amp;""),0))),2,0)</f>
        <v/>
      </c>
    </row>
    <row r="141">
      <c r="A141" s="3" t="inlineStr">
        <is>
          <t>Profesor de CA en 10-4</t>
        </is>
      </c>
      <c r="B141" s="3" t="inlineStr">
        <is>
          <t>MI</t>
        </is>
      </c>
      <c r="C141" s="3">
        <f>SUMPRODUCT(1*((EXACT('Casillas del horario'!$F$4:$F$73,$A141)))*((EXACT('Casillas del horario'!$B$4:$B$73,$B141)))*((1-(('Casillas del horario'!$D$4:$D$73="")))))</f>
        <v/>
      </c>
      <c r="D141" s="3">
        <f>MID(IF((IFERROR(VALUE($C141&amp;""),0)&gt;IFERROR(VALUE(3&amp;""),0)),"; "&amp;IF(ISNUMBER(("Da "&amp;IF(ISNUMBER($C141),IF($C141=0,"0",ROUND($C141,9-INT(LOG10(ABS($C141))))&amp;""),$C141&amp;"")&amp;" sesiones ese dia")),IF(("Da "&amp;IF(ISNUMBER($C141),IF($C141=0,"0",ROUND($C141,9-INT(LOG10(ABS($C141))))&amp;""),$C141&amp;"")&amp;" sesiones ese dia")=0,"0",ROUND(("Da "&amp;IF(ISNUMBER($C141),IF($C141=0,"0",ROUND($C141,9-INT(LOG10(ABS($C141))))&amp;""),$C141&amp;"")&amp;" sesiones ese dia"),9-INT(LOG10(ABS(("Da "&amp;IF(ISNUMBER($C141),IF($C141=0,"0",ROUND($C141,9-INT(LOG10(ABS($C141))))&amp;""),$C141&amp;"")&amp;" sesiones ese dia")))))&amp;""),("Da "&amp;IF(ISNUMBER($C141),IF($C141=0,"0",ROUND($C141,9-INT(LOG10(ABS($C141))))&amp;""),$C141&amp;"")&amp;" sesiones ese dia")&amp;""),""),3,32767)</f>
        <v/>
      </c>
      <c r="E141" s="3">
        <f>IF(OR((IFERROR(VALUE($C141&amp;""),0)&gt;IFERROR(VALUE(3&amp;""),0))),2,0)</f>
        <v/>
      </c>
    </row>
    <row r="142">
      <c r="A142" s="3" t="inlineStr">
        <is>
          <t>Profesor de CA en 10-4</t>
        </is>
      </c>
      <c r="B142" s="3" t="inlineStr">
        <is>
          <t>J</t>
        </is>
      </c>
      <c r="C142" s="3">
        <f>SUMPRODUCT(1*((EXACT('Casillas del horario'!$F$4:$F$73,$A142)))*((EXACT('Casillas del horario'!$B$4:$B$73,$B142)))*((1-(('Casillas del horario'!$D$4:$D$73="")))))</f>
        <v/>
      </c>
      <c r="D142" s="3">
        <f>MID(IF((IFERROR(VALUE($C142&amp;""),0)&gt;IFERROR(VALUE(3&amp;""),0)),"; "&amp;IF(ISNUMBER(("Da "&amp;IF(ISNUMBER($C142),IF($C142=0,"0",ROUND($C142,9-INT(LOG10(ABS($C142))))&amp;""),$C142&amp;"")&amp;" sesiones ese dia")),IF(("Da "&amp;IF(ISNUMBER($C142),IF($C142=0,"0",ROUND($C142,9-INT(LOG10(ABS($C142))))&amp;""),$C142&amp;"")&amp;" sesiones ese dia")=0,"0",ROUND(("Da "&amp;IF(ISNUMBER($C142),IF($C142=0,"0",ROUND($C142,9-INT(LOG10(ABS($C142))))&amp;""),$C142&amp;"")&amp;" sesiones ese dia"),9-INT(LOG10(ABS(("Da "&amp;IF(ISNUMBER($C142),IF($C142=0,"0",ROUND($C142,9-INT(LOG10(ABS($C142))))&amp;""),$C142&amp;"")&amp;" sesiones ese dia")))))&amp;""),("Da "&amp;IF(ISNUMBER($C142),IF($C142=0,"0",ROUND($C142,9-INT(LOG10(ABS($C142))))&amp;""),$C142&amp;"")&amp;" sesiones ese dia")&amp;""),""),3,32767)</f>
        <v/>
      </c>
      <c r="E142" s="3">
        <f>IF(OR((IFERROR(VALUE($C142&amp;""),0)&gt;IFERROR(VALUE(3&amp;""),0))),2,0)</f>
        <v/>
      </c>
    </row>
    <row r="143">
      <c r="A143" s="3" t="inlineStr">
        <is>
          <t>Profesor de CA en 10-4</t>
        </is>
      </c>
      <c r="B143" s="3" t="inlineStr">
        <is>
          <t>V</t>
        </is>
      </c>
      <c r="C143" s="3">
        <f>SUMPRODUCT(1*((EXACT('Casillas del horario'!$F$4:$F$73,$A143)))*((EXACT('Casillas del horario'!$B$4:$B$73,$B143)))*((1-(('Casillas del horario'!$D$4:$D$73="")))))</f>
        <v/>
      </c>
      <c r="D143" s="3">
        <f>MID(IF((IFERROR(VALUE($C143&amp;""),0)&gt;IFERROR(VALUE(3&amp;""),0)),"; "&amp;IF(ISNUMBER(("Da "&amp;IF(ISNUMBER($C143),IF($C143=0,"0",ROUND($C143,9-INT(LOG10(ABS($C143))))&amp;""),$C143&amp;"")&amp;" sesiones ese dia")),IF(("Da "&amp;IF(ISNUMBER($C143),IF($C143=0,"0",ROUND($C143,9-INT(LOG10(ABS($C143))))&amp;""),$C143&amp;"")&amp;" sesiones ese dia")=0,"0",ROUND(("Da "&amp;IF(ISNUMBER($C143),IF($C143=0,"0",ROUND($C143,9-INT(LOG10(ABS($C143))))&amp;""),$C143&amp;"")&amp;" sesiones ese dia"),9-INT(LOG10(ABS(("Da "&amp;IF(ISNUMBER($C143),IF($C143=0,"0",ROUND($C143,9-INT(LOG10(ABS($C143))))&amp;""),$C143&amp;"")&amp;" sesiones ese dia")))))&amp;""),("Da "&amp;IF(ISNUMBER($C143),IF($C143=0,"0",ROUND($C143,9-INT(LOG10(ABS($C143))))&amp;""),$C143&amp;"")&amp;" sesiones ese dia")&amp;""),""),3,32767)</f>
        <v/>
      </c>
      <c r="E143" s="3">
        <f>IF(OR((IFERROR(VALUE($C143&amp;""),0)&gt;IFERROR(VALUE(3&amp;""),0))),2,0)</f>
        <v/>
      </c>
    </row>
    <row r="144">
      <c r="A144" s="3" t="inlineStr">
        <is>
          <t>Profesor de RD en 10-4</t>
        </is>
      </c>
      <c r="B144" s="3" t="inlineStr">
        <is>
          <t>L</t>
        </is>
      </c>
      <c r="C144" s="3">
        <f>SUMPRODUCT(1*((EXACT('Casillas del horario'!$F$4:$F$73,$A144)))*((EXACT('Casillas del horario'!$B$4:$B$73,$B144)))*((1-(('Casillas del horario'!$D$4:$D$73="")))))</f>
        <v/>
      </c>
      <c r="D144" s="3">
        <f>MID(IF((IFERROR(VALUE($C144&amp;""),0)&gt;IFERROR(VALUE(3&amp;""),0)),"; "&amp;IF(ISNUMBER(("Da "&amp;IF(ISNUMBER($C144),IF($C144=0,"0",ROUND($C144,9-INT(LOG10(ABS($C144))))&amp;""),$C144&amp;"")&amp;" sesiones ese dia")),IF(("Da "&amp;IF(ISNUMBER($C144),IF($C144=0,"0",ROUND($C144,9-INT(LOG10(ABS($C144))))&amp;""),$C144&amp;"")&amp;" sesiones ese dia")=0,"0",ROUND(("Da "&amp;IF(ISNUMBER($C144),IF($C144=0,"0",ROUND($C144,9-INT(LOG10(ABS($C144))))&amp;""),$C144&amp;"")&amp;" sesiones ese dia"),9-INT(LOG10(ABS(("Da "&amp;IF(ISNUMBER($C144),IF($C144=0,"0",ROUND($C144,9-INT(LOG10(ABS($C144))))&amp;""),$C144&amp;"")&amp;" sesiones ese dia")))))&amp;""),("Da "&amp;IF(ISNUMBER($C144),IF($C144=0,"0",ROUND($C144,9-INT(LOG10(ABS($C144))))&amp;""),$C144&amp;"")&amp;" sesiones ese dia")&amp;""),""),3,32767)</f>
        <v/>
      </c>
      <c r="E144" s="3">
        <f>IF(OR((IFERROR(VALUE($C144&amp;""),0)&gt;IFERROR(VALUE(3&amp;""),0))),2,0)</f>
        <v/>
      </c>
    </row>
    <row r="145">
      <c r="A145" s="3" t="inlineStr">
        <is>
          <t>Profesor de RD en 10-4</t>
        </is>
      </c>
      <c r="B145" s="3" t="inlineStr">
        <is>
          <t>M</t>
        </is>
      </c>
      <c r="C145" s="3">
        <f>SUMPRODUCT(1*((EXACT('Casillas del horario'!$F$4:$F$73,$A145)))*((EXACT('Casillas del horario'!$B$4:$B$73,$B145)))*((1-(('Casillas del horario'!$D$4:$D$73="")))))</f>
        <v/>
      </c>
      <c r="D145" s="3">
        <f>MID(IF((IFERROR(VALUE($C145&amp;""),0)&gt;IFERROR(VALUE(3&amp;""),0)),"; "&amp;IF(ISNUMBER(("Da "&amp;IF(ISNUMBER($C145),IF($C145=0,"0",ROUND($C145,9-INT(LOG10(ABS($C145))))&amp;""),$C145&amp;"")&amp;" sesiones ese dia")),IF(("Da "&amp;IF(ISNUMBER($C145),IF($C145=0,"0",ROUND($C145,9-INT(LOG10(ABS($C145))))&amp;""),$C145&amp;"")&amp;" sesiones ese dia")=0,"0",ROUND(("Da "&amp;IF(ISNUMBER($C145),IF($C145=0,"0",ROUND($C145,9-INT(LOG10(ABS($C145))))&amp;""),$C145&amp;"")&amp;" sesiones ese dia"),9-INT(LOG10(ABS(("Da "&amp;IF(ISNUMBER($C145),IF($C145=0,"0",ROUND($C145,9-INT(LOG10(ABS($C145))))&amp;""),$C145&amp;"")&amp;" sesiones ese dia")))))&amp;""),("Da "&amp;IF(ISNUMBER($C145),IF($C145=0,"0",ROUND($C145,9-INT(LOG10(ABS($C145))))&amp;""),$C145&amp;"")&amp;" sesiones ese dia")&amp;""),""),3,32767)</f>
        <v/>
      </c>
      <c r="E145" s="3">
        <f>IF(OR((IFERROR(VALUE($C145&amp;""),0)&gt;IFERROR(VALUE(3&amp;""),0))),2,0)</f>
        <v/>
      </c>
    </row>
    <row r="146">
      <c r="A146" s="3" t="inlineStr">
        <is>
          <t>Profesor de RD en 10-4</t>
        </is>
      </c>
      <c r="B146" s="3" t="inlineStr">
        <is>
          <t>MI</t>
        </is>
      </c>
      <c r="C146" s="3">
        <f>SUMPRODUCT(1*((EXACT('Casillas del horario'!$F$4:$F$73,$A146)))*((EXACT('Casillas del horario'!$B$4:$B$73,$B146)))*((1-(('Casillas del horario'!$D$4:$D$73="")))))</f>
        <v/>
      </c>
      <c r="D146" s="3">
        <f>MID(IF((IFERROR(VALUE($C146&amp;""),0)&gt;IFERROR(VALUE(3&amp;""),0)),"; "&amp;IF(ISNUMBER(("Da "&amp;IF(ISNUMBER($C146),IF($C146=0,"0",ROUND($C146,9-INT(LOG10(ABS($C146))))&amp;""),$C146&amp;"")&amp;" sesiones ese dia")),IF(("Da "&amp;IF(ISNUMBER($C146),IF($C146=0,"0",ROUND($C146,9-INT(LOG10(ABS($C146))))&amp;""),$C146&amp;"")&amp;" sesiones ese dia")=0,"0",ROUND(("Da "&amp;IF(ISNUMBER($C146),IF($C146=0,"0",ROUND($C146,9-INT(LOG10(ABS($C146))))&amp;""),$C146&amp;"")&amp;" sesiones ese dia"),9-INT(LOG10(ABS(("Da "&amp;IF(ISNUMBER($C146),IF($C146=0,"0",ROUND($C146,9-INT(LOG10(ABS($C146))))&amp;""),$C146&amp;"")&amp;" sesiones ese dia")))))&amp;""),("Da "&amp;IF(ISNUMBER($C146),IF($C146=0,"0",ROUND($C146,9-INT(LOG10(ABS($C146))))&amp;""),$C146&amp;"")&amp;" sesiones ese dia")&amp;""),""),3,32767)</f>
        <v/>
      </c>
      <c r="E146" s="3">
        <f>IF(OR((IFERROR(VALUE($C146&amp;""),0)&gt;IFERROR(VALUE(3&amp;""),0))),2,0)</f>
        <v/>
      </c>
    </row>
    <row r="147">
      <c r="A147" s="3" t="inlineStr">
        <is>
          <t>Profesor de RD en 10-4</t>
        </is>
      </c>
      <c r="B147" s="3" t="inlineStr">
        <is>
          <t>J</t>
        </is>
      </c>
      <c r="C147" s="3">
        <f>SUMPRODUCT(1*((EXACT('Casillas del horario'!$F$4:$F$73,$A147)))*((EXACT('Casillas del horario'!$B$4:$B$73,$B147)))*((1-(('Casillas del horario'!$D$4:$D$73="")))))</f>
        <v/>
      </c>
      <c r="D147" s="3">
        <f>MID(IF((IFERROR(VALUE($C147&amp;""),0)&gt;IFERROR(VALUE(3&amp;""),0)),"; "&amp;IF(ISNUMBER(("Da "&amp;IF(ISNUMBER($C147),IF($C147=0,"0",ROUND($C147,9-INT(LOG10(ABS($C147))))&amp;""),$C147&amp;"")&amp;" sesiones ese dia")),IF(("Da "&amp;IF(ISNUMBER($C147),IF($C147=0,"0",ROUND($C147,9-INT(LOG10(ABS($C147))))&amp;""),$C147&amp;"")&amp;" sesiones ese dia")=0,"0",ROUND(("Da "&amp;IF(ISNUMBER($C147),IF($C147=0,"0",ROUND($C147,9-INT(LOG10(ABS($C147))))&amp;""),$C147&amp;"")&amp;" sesiones ese dia"),9-INT(LOG10(ABS(("Da "&amp;IF(ISNUMBER($C147),IF($C147=0,"0",ROUND($C147,9-INT(LOG10(ABS($C147))))&amp;""),$C147&amp;"")&amp;" sesiones ese dia")))))&amp;""),("Da "&amp;IF(ISNUMBER($C147),IF($C147=0,"0",ROUND($C147,9-INT(LOG10(ABS($C147))))&amp;""),$C147&amp;"")&amp;" sesiones ese dia")&amp;""),""),3,32767)</f>
        <v/>
      </c>
      <c r="E147" s="3">
        <f>IF(OR((IFERROR(VALUE($C147&amp;""),0)&gt;IFERROR(VALUE(3&amp;""),0))),2,0)</f>
        <v/>
      </c>
    </row>
    <row r="148">
      <c r="A148" s="3" t="inlineStr">
        <is>
          <t>Profesor de RD en 10-4</t>
        </is>
      </c>
      <c r="B148" s="3" t="inlineStr">
        <is>
          <t>V</t>
        </is>
      </c>
      <c r="C148" s="3">
        <f>SUMPRODUCT(1*((EXACT('Casillas del horario'!$F$4:$F$73,$A148)))*((EXACT('Casillas del horario'!$B$4:$B$73,$B148)))*((1-(('Casillas del horario'!$D$4:$D$73="")))))</f>
        <v/>
      </c>
      <c r="D148" s="3">
        <f>MID(IF((IFERROR(VALUE($C148&amp;""),0)&gt;IFERROR(VALUE(3&amp;""),0)),"; "&amp;IF(ISNUMBER(("Da "&amp;IF(ISNUMBER($C148),IF($C148=0,"0",ROUND($C148,9-INT(LOG10(ABS($C148))))&amp;""),$C148&amp;"")&amp;" sesiones ese dia")),IF(("Da "&amp;IF(ISNUMBER($C148),IF($C148=0,"0",ROUND($C148,9-INT(LOG10(ABS($C148))))&amp;""),$C148&amp;"")&amp;" sesiones ese dia")=0,"0",ROUND(("Da "&amp;IF(ISNUMBER($C148),IF($C148=0,"0",ROUND($C148,9-INT(LOG10(ABS($C148))))&amp;""),$C148&amp;"")&amp;" sesiones ese dia"),9-INT(LOG10(ABS(("Da "&amp;IF(ISNUMBER($C148),IF($C148=0,"0",ROUND($C148,9-INT(LOG10(ABS($C148))))&amp;""),$C148&amp;"")&amp;" sesiones ese dia")))))&amp;""),("Da "&amp;IF(ISNUMBER($C148),IF($C148=0,"0",ROUND($C148,9-INT(LOG10(ABS($C148))))&amp;""),$C148&amp;"")&amp;" sesiones ese dia")&amp;""),""),3,32767)</f>
        <v/>
      </c>
      <c r="E148" s="3">
        <f>IF(OR((IFERROR(VALUE($C148&amp;""),0)&gt;IFERROR(VALUE(3&amp;""),0))),2,0)</f>
        <v/>
      </c>
    </row>
    <row r="149">
      <c r="A149" s="3" t="inlineStr">
        <is>
          <t>Profesor de AL/AC en 10-4</t>
        </is>
      </c>
      <c r="B149" s="3" t="inlineStr">
        <is>
          <t>L</t>
        </is>
      </c>
      <c r="C149" s="3">
        <f>SUMPRODUCT(1*((EXACT('Casillas del horario'!$F$4:$F$73,$A149)))*((EXACT('Casillas del horario'!$B$4:$B$73,$B149)))*((1-(('Casillas del horario'!$D$4:$D$73="")))))</f>
        <v/>
      </c>
      <c r="D149" s="3">
        <f>MID(IF((IFERROR(VALUE($C149&amp;""),0)&gt;IFERROR(VALUE(3&amp;""),0)),"; "&amp;IF(ISNUMBER(("Da "&amp;IF(ISNUMBER($C149),IF($C149=0,"0",ROUND($C149,9-INT(LOG10(ABS($C149))))&amp;""),$C149&amp;"")&amp;" sesiones ese dia")),IF(("Da "&amp;IF(ISNUMBER($C149),IF($C149=0,"0",ROUND($C149,9-INT(LOG10(ABS($C149))))&amp;""),$C149&amp;"")&amp;" sesiones ese dia")=0,"0",ROUND(("Da "&amp;IF(ISNUMBER($C149),IF($C149=0,"0",ROUND($C149,9-INT(LOG10(ABS($C149))))&amp;""),$C149&amp;"")&amp;" sesiones ese dia"),9-INT(LOG10(ABS(("Da "&amp;IF(ISNUMBER($C149),IF($C149=0,"0",ROUND($C149,9-INT(LOG10(ABS($C149))))&amp;""),$C149&amp;"")&amp;" sesiones ese dia")))))&amp;""),("Da "&amp;IF(ISNUMBER($C149),IF($C149=0,"0",ROUND($C149,9-INT(LOG10(ABS($C149))))&amp;""),$C149&amp;"")&amp;" sesiones ese dia")&amp;""),""),3,32767)</f>
        <v/>
      </c>
      <c r="E149" s="3">
        <f>IF(OR((IFERROR(VALUE($C149&amp;""),0)&gt;IFERROR(VALUE(3&amp;""),0))),2,0)</f>
        <v/>
      </c>
    </row>
    <row r="150">
      <c r="A150" s="3" t="inlineStr">
        <is>
          <t>Profesor de AL/AC en 10-4</t>
        </is>
      </c>
      <c r="B150" s="3" t="inlineStr">
        <is>
          <t>M</t>
        </is>
      </c>
      <c r="C150" s="3">
        <f>SUMPRODUCT(1*((EXACT('Casillas del horario'!$F$4:$F$73,$A150)))*((EXACT('Casillas del horario'!$B$4:$B$73,$B150)))*((1-(('Casillas del horario'!$D$4:$D$73="")))))</f>
        <v/>
      </c>
      <c r="D150" s="3">
        <f>MID(IF((IFERROR(VALUE($C150&amp;""),0)&gt;IFERROR(VALUE(3&amp;""),0)),"; "&amp;IF(ISNUMBER(("Da "&amp;IF(ISNUMBER($C150),IF($C150=0,"0",ROUND($C150,9-INT(LOG10(ABS($C150))))&amp;""),$C150&amp;"")&amp;" sesiones ese dia")),IF(("Da "&amp;IF(ISNUMBER($C150),IF($C150=0,"0",ROUND($C150,9-INT(LOG10(ABS($C150))))&amp;""),$C150&amp;"")&amp;" sesiones ese dia")=0,"0",ROUND(("Da "&amp;IF(ISNUMBER($C150),IF($C150=0,"0",ROUND($C150,9-INT(LOG10(ABS($C150))))&amp;""),$C150&amp;"")&amp;" sesiones ese dia"),9-INT(LOG10(ABS(("Da "&amp;IF(ISNUMBER($C150),IF($C150=0,"0",ROUND($C150,9-INT(LOG10(ABS($C150))))&amp;""),$C150&amp;"")&amp;" sesiones ese dia")))))&amp;""),("Da "&amp;IF(ISNUMBER($C150),IF($C150=0,"0",ROUND($C150,9-INT(LOG10(ABS($C150))))&amp;""),$C150&amp;"")&amp;" sesiones ese dia")&amp;""),""),3,32767)</f>
        <v/>
      </c>
      <c r="E150" s="3">
        <f>IF(OR((IFERROR(VALUE($C150&amp;""),0)&gt;IFERROR(VALUE(3&amp;""),0))),2,0)</f>
        <v/>
      </c>
    </row>
    <row r="151">
      <c r="A151" s="3" t="inlineStr">
        <is>
          <t>Profesor de AL/AC en 10-4</t>
        </is>
      </c>
      <c r="B151" s="3" t="inlineStr">
        <is>
          <t>MI</t>
        </is>
      </c>
      <c r="C151" s="3">
        <f>SUMPRODUCT(1*((EXACT('Casillas del horario'!$F$4:$F$73,$A151)))*((EXACT('Casillas del horario'!$B$4:$B$73,$B151)))*((1-(('Casillas del horario'!$D$4:$D$73="")))))</f>
        <v/>
      </c>
      <c r="D151" s="3">
        <f>MID(IF((IFERROR(VALUE($C151&amp;""),0)&gt;IFERROR(VALUE(3&amp;""),0)),"; "&amp;IF(ISNUMBER(("Da "&amp;IF(ISNUMBER($C151),IF($C151=0,"0",ROUND($C151,9-INT(LOG10(ABS($C151))))&amp;""),$C151&amp;"")&amp;" sesiones ese dia")),IF(("Da "&amp;IF(ISNUMBER($C151),IF($C151=0,"0",ROUND($C151,9-INT(LOG10(ABS($C151))))&amp;""),$C151&amp;"")&amp;" sesiones ese dia")=0,"0",ROUND(("Da "&amp;IF(ISNUMBER($C151),IF($C151=0,"0",ROUND($C151,9-INT(LOG10(ABS($C151))))&amp;""),$C151&amp;"")&amp;" sesiones ese dia"),9-INT(LOG10(ABS(("Da "&amp;IF(ISNUMBER($C151),IF($C151=0,"0",ROUND($C151,9-INT(LOG10(ABS($C151))))&amp;""),$C151&amp;"")&amp;" sesiones ese dia")))))&amp;""),("Da "&amp;IF(ISNUMBER($C151),IF($C151=0,"0",ROUND($C151,9-INT(LOG10(ABS($C151))))&amp;""),$C151&amp;"")&amp;" sesiones ese dia")&amp;""),""),3,32767)</f>
        <v/>
      </c>
      <c r="E151" s="3">
        <f>IF(OR((IFERROR(VALUE($C151&amp;""),0)&gt;IFERROR(VALUE(3&amp;""),0))),2,0)</f>
        <v/>
      </c>
    </row>
    <row r="152">
      <c r="A152" s="3" t="inlineStr">
        <is>
          <t>Profesor de AL/AC en 10-4</t>
        </is>
      </c>
      <c r="B152" s="3" t="inlineStr">
        <is>
          <t>J</t>
        </is>
      </c>
      <c r="C152" s="3">
        <f>SUMPRODUCT(1*((EXACT('Casillas del horario'!$F$4:$F$73,$A152)))*((EXACT('Casillas del horario'!$B$4:$B$73,$B152)))*((1-(('Casillas del horario'!$D$4:$D$73="")))))</f>
        <v/>
      </c>
      <c r="D152" s="3">
        <f>MID(IF((IFERROR(VALUE($C152&amp;""),0)&gt;IFERROR(VALUE(3&amp;""),0)),"; "&amp;IF(ISNUMBER(("Da "&amp;IF(ISNUMBER($C152),IF($C152=0,"0",ROUND($C152,9-INT(LOG10(ABS($C152))))&amp;""),$C152&amp;"")&amp;" sesiones ese dia")),IF(("Da "&amp;IF(ISNUMBER($C152),IF($C152=0,"0",ROUND($C152,9-INT(LOG10(ABS($C152))))&amp;""),$C152&amp;"")&amp;" sesiones ese dia")=0,"0",ROUND(("Da "&amp;IF(ISNUMBER($C152),IF($C152=0,"0",ROUND($C152,9-INT(LOG10(ABS($C152))))&amp;""),$C152&amp;"")&amp;" sesiones ese dia"),9-INT(LOG10(ABS(("Da "&amp;IF(ISNUMBER($C152),IF($C152=0,"0",ROUND($C152,9-INT(LOG10(ABS($C152))))&amp;""),$C152&amp;"")&amp;" sesiones ese dia")))))&amp;""),("Da "&amp;IF(ISNUMBER($C152),IF($C152=0,"0",ROUND($C152,9-INT(LOG10(ABS($C152))))&amp;""),$C152&amp;"")&amp;" sesiones ese dia")&amp;""),""),3,32767)</f>
        <v/>
      </c>
      <c r="E152" s="3">
        <f>IF(OR((IFERROR(VALUE($C152&amp;""),0)&gt;IFERROR(VALUE(3&amp;""),0))),2,0)</f>
        <v/>
      </c>
    </row>
    <row r="153">
      <c r="A153" s="3" t="inlineStr">
        <is>
          <t>Profesor de AL/AC en 10-4</t>
        </is>
      </c>
      <c r="B153" s="3" t="inlineStr">
        <is>
          <t>V</t>
        </is>
      </c>
      <c r="C153" s="3">
        <f>SUMPRODUCT(1*((EXACT('Casillas del horario'!$F$4:$F$73,$A153)))*((EXACT('Casillas del horario'!$B$4:$B$73,$B153)))*((1-(('Casillas del horario'!$D$4:$D$73="")))))</f>
        <v/>
      </c>
      <c r="D153" s="3">
        <f>MID(IF((IFERROR(VALUE($C153&amp;""),0)&gt;IFERROR(VALUE(3&amp;""),0)),"; "&amp;IF(ISNUMBER(("Da "&amp;IF(ISNUMBER($C153),IF($C153=0,"0",ROUND($C153,9-INT(LOG10(ABS($C153))))&amp;""),$C153&amp;"")&amp;" sesiones ese dia")),IF(("Da "&amp;IF(ISNUMBER($C153),IF($C153=0,"0",ROUND($C153,9-INT(LOG10(ABS($C153))))&amp;""),$C153&amp;"")&amp;" sesiones ese dia")=0,"0",ROUND(("Da "&amp;IF(ISNUMBER($C153),IF($C153=0,"0",ROUND($C153,9-INT(LOG10(ABS($C153))))&amp;""),$C153&amp;"")&amp;" sesiones ese dia"),9-INT(LOG10(ABS(("Da "&amp;IF(ISNUMBER($C153),IF($C153=0,"0",ROUND($C153,9-INT(LOG10(ABS($C153))))&amp;""),$C153&amp;"")&amp;" sesiones ese dia")))))&amp;""),("Da "&amp;IF(ISNUMBER($C153),IF($C153=0,"0",ROUND($C153,9-INT(LOG10(ABS($C153))))&amp;""),$C153&amp;"")&amp;" sesiones ese dia")&amp;""),""),3,32767)</f>
        <v/>
      </c>
      <c r="E153" s="3">
        <f>IF(OR((IFERROR(VALUE($C153&amp;""),0)&gt;IFERROR(VALUE(3&amp;""),0))),2,0)</f>
        <v/>
      </c>
    </row>
    <row r="155">
      <c r="A155" s="5" t="inlineStr">
        <is>
          <t>Leyenda</t>
        </is>
      </c>
    </row>
    <row r="156">
      <c r="A156" s="13" t="n"/>
      <c r="B156" t="inlineStr">
        <is>
          <t>pasa del tope diario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153">
    <cfRule type="expression" priority="1" dxfId="1" stopIfTrue="0">
      <formula>(IFERROR(VALUE($C4&amp;""),0)&gt;IFERROR(VALUE(3&amp;""),0))</formula>
    </cfRule>
  </conditionalFormatting>
  <pageMargins left="0.75" right="0.75" top="1" bottom="1" header="0.5" footer="0.5"/>
  <pageSetup fitToHeight="0" fitToWidth="1"/>
</worksheet>
</file>

<file path=xl/worksheets/sheet43.xml><?xml version="1.0" encoding="utf-8"?>
<worksheet xmlns="http://schemas.openxmlformats.org/spreadsheetml/2006/main">
  <sheetPr>
    <tabColor rgb="00BFBFBF"/>
    <outlinePr summaryBelow="1" summaryRight="1"/>
    <pageSetUpPr/>
  </sheetPr>
  <dimension ref="A1:A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M</t>
        </is>
      </c>
    </row>
    <row r="5">
      <c r="A5" s="3" t="inlineStr">
        <is>
          <t>Lit-L</t>
        </is>
      </c>
    </row>
    <row r="6">
      <c r="A6" s="3" t="inlineStr">
        <is>
          <t>F</t>
        </is>
      </c>
    </row>
    <row r="7">
      <c r="A7" s="3" t="inlineStr">
        <is>
          <t>I</t>
        </is>
      </c>
    </row>
    <row r="8">
      <c r="A8" s="3" t="inlineStr">
        <is>
          <t>H</t>
        </is>
      </c>
    </row>
    <row r="9">
      <c r="A9" s="3" t="inlineStr">
        <is>
          <t>EF</t>
        </is>
      </c>
    </row>
    <row r="10">
      <c r="A10" s="3" t="inlineStr">
        <is>
          <t>B</t>
        </is>
      </c>
    </row>
    <row r="11">
      <c r="A11" s="3" t="inlineStr">
        <is>
          <t>G</t>
        </is>
      </c>
    </row>
    <row r="12">
      <c r="A12" s="3" t="inlineStr">
        <is>
          <t>INF</t>
        </is>
      </c>
    </row>
    <row r="13">
      <c r="A13" s="3" t="inlineStr">
        <is>
          <t>Q</t>
        </is>
      </c>
    </row>
    <row r="14">
      <c r="A14" s="3" t="inlineStr">
        <is>
          <t>CP</t>
        </is>
      </c>
    </row>
    <row r="15">
      <c r="A15" s="3" t="inlineStr">
        <is>
          <t>DC</t>
        </is>
      </c>
    </row>
    <row r="16">
      <c r="A16" s="3" t="inlineStr">
        <is>
          <t>CA</t>
        </is>
      </c>
    </row>
    <row r="17">
      <c r="A17" s="3" t="inlineStr">
        <is>
          <t>RD</t>
        </is>
      </c>
    </row>
    <row r="18">
      <c r="A18" s="3" t="inlineStr">
        <is>
          <t>AL/AC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2026-10-18T02:40:30Z</dcterms:created>
  <dcterms:modified xmlns:dcterms="http://purl.org/dc/terms/" xmlns:xsi="http://www.w3.org/2001/XMLSchema-instance" xsi:type="dcterms:W3CDTF">2026-10-18T02:40:30Z</dcterms:modified>
</cp:coreProperties>
</file>