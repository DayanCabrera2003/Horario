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rario del grupo - 10-3" sheetId="1" state="visible" r:id="rId1"/>
    <sheet xmlns:r="http://schemas.openxmlformats.org/officeDocument/2006/relationships" name="Horario del grupo - 10-4" sheetId="2" state="visible" r:id="rId2"/>
    <sheet xmlns:r="http://schemas.openxmlformats.org/officeDocument/2006/relationships" name="Profesor de EF en 10-3" sheetId="3" state="visible" r:id="rId3"/>
    <sheet xmlns:r="http://schemas.openxmlformats.org/officeDocument/2006/relationships" name="Horario - Profesor de H en 10-3" sheetId="4" state="visible" r:id="rId4"/>
    <sheet xmlns:r="http://schemas.openxmlformats.org/officeDocument/2006/relationships" name="Profesor de INF en 10-3" sheetId="5" state="visible" r:id="rId5"/>
    <sheet xmlns:r="http://schemas.openxmlformats.org/officeDocument/2006/relationships" name="Horario - Profesor de F en 10-3" sheetId="6" state="visible" r:id="rId6"/>
    <sheet xmlns:r="http://schemas.openxmlformats.org/officeDocument/2006/relationships" name="Horario - Profesor de M en 10-4" sheetId="7" state="visible" r:id="rId7"/>
    <sheet xmlns:r="http://schemas.openxmlformats.org/officeDocument/2006/relationships" name="Profesor de Lit-L en 10-4" sheetId="8" state="visible" r:id="rId8"/>
    <sheet xmlns:r="http://schemas.openxmlformats.org/officeDocument/2006/relationships" name="Profesor de CP en 10-4" sheetId="9" state="visible" r:id="rId9"/>
    <sheet xmlns:r="http://schemas.openxmlformats.org/officeDocument/2006/relationships" name="Horario - Profesor de F en 10-4" sheetId="10" state="visible" r:id="rId10"/>
    <sheet xmlns:r="http://schemas.openxmlformats.org/officeDocument/2006/relationships" name="Horario - Profesor de I en 10-3" sheetId="11" state="visible" r:id="rId11"/>
    <sheet xmlns:r="http://schemas.openxmlformats.org/officeDocument/2006/relationships" name="Horario - Profesor de B en 10-3" sheetId="12" state="visible" r:id="rId12"/>
    <sheet xmlns:r="http://schemas.openxmlformats.org/officeDocument/2006/relationships" name="Horario - Profesor de M en 10-3" sheetId="13" state="visible" r:id="rId13"/>
    <sheet xmlns:r="http://schemas.openxmlformats.org/officeDocument/2006/relationships" name="Profesor de DC en 10-3" sheetId="14" state="visible" r:id="rId14"/>
    <sheet xmlns:r="http://schemas.openxmlformats.org/officeDocument/2006/relationships" name="Horario - Profesor de I en 10-4" sheetId="15" state="visible" r:id="rId15"/>
    <sheet xmlns:r="http://schemas.openxmlformats.org/officeDocument/2006/relationships" name="Profesor de EF en 10-4" sheetId="16" state="visible" r:id="rId16"/>
    <sheet xmlns:r="http://schemas.openxmlformats.org/officeDocument/2006/relationships" name="Profesor de CP en 10-3" sheetId="17" state="visible" r:id="rId17"/>
    <sheet xmlns:r="http://schemas.openxmlformats.org/officeDocument/2006/relationships" name="Profesor de Lit-L en 10-3" sheetId="18" state="visible" r:id="rId18"/>
    <sheet xmlns:r="http://schemas.openxmlformats.org/officeDocument/2006/relationships" name="Horario - Profesor de Q en 10-3" sheetId="19" state="visible" r:id="rId19"/>
    <sheet xmlns:r="http://schemas.openxmlformats.org/officeDocument/2006/relationships" name="Horario - Profesor de B en 10-4" sheetId="20" state="visible" r:id="rId20"/>
    <sheet xmlns:r="http://schemas.openxmlformats.org/officeDocument/2006/relationships" name="Profesor de CA en 10-4" sheetId="21" state="visible" r:id="rId21"/>
    <sheet xmlns:r="http://schemas.openxmlformats.org/officeDocument/2006/relationships" name="Horario - Profesor de H en 10-4" sheetId="22" state="visible" r:id="rId22"/>
    <sheet xmlns:r="http://schemas.openxmlformats.org/officeDocument/2006/relationships" name="Horario - Profesor de G en 10-4" sheetId="23" state="visible" r:id="rId23"/>
    <sheet xmlns:r="http://schemas.openxmlformats.org/officeDocument/2006/relationships" name="Profesor de INF en 10-4" sheetId="24" state="visible" r:id="rId24"/>
    <sheet xmlns:r="http://schemas.openxmlformats.org/officeDocument/2006/relationships" name="Profesor de CA en 10-3" sheetId="25" state="visible" r:id="rId25"/>
    <sheet xmlns:r="http://schemas.openxmlformats.org/officeDocument/2006/relationships" name="Horario - Profesor de G en 10-3" sheetId="26" state="visible" r:id="rId26"/>
    <sheet xmlns:r="http://schemas.openxmlformats.org/officeDocument/2006/relationships" name="Profesor de RD en 10-4" sheetId="27" state="visible" r:id="rId27"/>
    <sheet xmlns:r="http://schemas.openxmlformats.org/officeDocument/2006/relationships" name="Profesor de DC en 10-4" sheetId="28" state="visible" r:id="rId28"/>
    <sheet xmlns:r="http://schemas.openxmlformats.org/officeDocument/2006/relationships" name="Horario - Profesor de Q en 10-4" sheetId="29" state="visible" r:id="rId29"/>
    <sheet xmlns:r="http://schemas.openxmlformats.org/officeDocument/2006/relationships" name="Profesor de RD en 10-3" sheetId="30" state="visible" r:id="rId30"/>
    <sheet xmlns:r="http://schemas.openxmlformats.org/officeDocument/2006/relationships" name="Profesor de ALAC en 10-3" sheetId="31" state="visible" r:id="rId31"/>
    <sheet xmlns:r="http://schemas.openxmlformats.org/officeDocument/2006/relationships" name="Profesor de ALAC en 10-4" sheetId="32" state="visible" r:id="rId32"/>
    <sheet xmlns:r="http://schemas.openxmlformats.org/officeDocument/2006/relationships" name="Horario del aula - Terreno" sheetId="33" state="visible" r:id="rId33"/>
    <sheet xmlns:r="http://schemas.openxmlformats.org/officeDocument/2006/relationships" name="Horario del aula - Aula 10-3" sheetId="34" state="visible" r:id="rId34"/>
    <sheet xmlns:r="http://schemas.openxmlformats.org/officeDocument/2006/relationships" name="Horario del aula - Laboratorio" sheetId="35" state="visible" r:id="rId35"/>
    <sheet xmlns:r="http://schemas.openxmlformats.org/officeDocument/2006/relationships" name="Horario del aula - Aula 10-4" sheetId="36" state="visible" r:id="rId36"/>
    <sheet xmlns:r="http://schemas.openxmlformats.org/officeDocument/2006/relationships" name="Casillas del horario" sheetId="37" state="visible" r:id="rId37"/>
    <sheet xmlns:r="http://schemas.openxmlformats.org/officeDocument/2006/relationships" name="Asignaturas" sheetId="38" state="visible" r:id="rId38"/>
    <sheet xmlns:r="http://schemas.openxmlformats.org/officeDocument/2006/relationships" name="Plan por grupo" sheetId="39" state="visible" r:id="rId39"/>
    <sheet xmlns:r="http://schemas.openxmlformats.org/officeDocument/2006/relationships" name="Profesores" sheetId="40" state="visible" r:id="rId40"/>
    <sheet xmlns:r="http://schemas.openxmlformats.org/officeDocument/2006/relationships" name="Dias que asisten los contratado" sheetId="41" state="visible" r:id="rId41"/>
    <sheet xmlns:r="http://schemas.openxmlformats.org/officeDocument/2006/relationships" name="Carga diaria por profesor" sheetId="42" state="visible" r:id="rId42"/>
  </sheets>
  <definedNames>
    <definedName name="Casillas">'Casillas del horario'!$A$4:$Q$73</definedName>
    <definedName name="Asignaturas">Asignaturas!$A$4:$G$18</definedName>
    <definedName name="PlanPorGrupo">'Plan por grupo'!$A$4:$H$33</definedName>
    <definedName name="Profesores">Profesores!$A$4:$C$33</definedName>
    <definedName name="Disponibilidad">'Dias que asisten los contratados'!$A$4:$D$4</definedName>
    <definedName name="CargaDiaria">'Carga diaria por profesor'!$A$4:$C$153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6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Protection="1" pivotButton="0" quotePrefix="0" xfId="0">
      <protection locked="0" hidden="0"/>
    </xf>
    <xf numFmtId="0" fontId="3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D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EA9DB"/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</cols>
  <sheetData>
    <row r="1">
      <c r="A1" s="1" t="inlineStr">
        <is>
          <t>Horario del grupo - 10-3</t>
        </is>
      </c>
    </row>
    <row r="3">
      <c r="A3" s="2" t="inlineStr">
        <is>
          <t>Turno</t>
        </is>
      </c>
      <c r="B3" s="2" t="inlineStr">
        <is>
          <t>L</t>
        </is>
      </c>
      <c r="C3" s="2" t="inlineStr">
        <is>
          <t>M</t>
        </is>
      </c>
      <c r="D3" s="2" t="inlineStr">
        <is>
          <t>MI</t>
        </is>
      </c>
      <c r="E3" s="2" t="inlineStr">
        <is>
          <t>J</t>
        </is>
      </c>
      <c r="F3" s="2" t="inlineStr">
        <is>
          <t>V</t>
        </is>
      </c>
    </row>
    <row r="4">
      <c r="A4" s="3" t="n">
        <v>1</v>
      </c>
      <c r="B4" s="3">
        <f>IFERROR(IF(INDEX('Casillas del horario'!$D$4:$D$73,MATCH("10-3"&amp;"|"&amp;$A4&amp;"|"&amp;B$3,'Casillas del horario'!$R$4:$R$73,0))="","",INDEX('Casillas del horario'!$D$4:$D$73,MATCH("10-3"&amp;"|"&amp;$A4&amp;"|"&amp;B$3,'Casillas del horario'!$R$4:$R$73,0))),"")</f>
        <v/>
      </c>
      <c r="C4" s="3">
        <f>IFERROR(IF(INDEX('Casillas del horario'!$D$4:$D$73,MATCH("10-3"&amp;"|"&amp;$A4&amp;"|"&amp;C$3,'Casillas del horario'!$R$4:$R$73,0))="","",INDEX('Casillas del horario'!$D$4:$D$73,MATCH("10-3"&amp;"|"&amp;$A4&amp;"|"&amp;C$3,'Casillas del horario'!$R$4:$R$73,0))),"")</f>
        <v/>
      </c>
      <c r="D4" s="3">
        <f>IFERROR(IF(INDEX('Casillas del horario'!$D$4:$D$73,MATCH("10-3"&amp;"|"&amp;$A4&amp;"|"&amp;D$3,'Casillas del horario'!$R$4:$R$73,0))="","",INDEX('Casillas del horario'!$D$4:$D$73,MATCH("10-3"&amp;"|"&amp;$A4&amp;"|"&amp;D$3,'Casillas del horario'!$R$4:$R$73,0))),"")</f>
        <v/>
      </c>
      <c r="E4" s="3">
        <f>IFERROR(IF(INDEX('Casillas del horario'!$D$4:$D$73,MATCH("10-3"&amp;"|"&amp;$A4&amp;"|"&amp;E$3,'Casillas del horario'!$R$4:$R$73,0))="","",INDEX('Casillas del horario'!$D$4:$D$73,MATCH("10-3"&amp;"|"&amp;$A4&amp;"|"&amp;E$3,'Casillas del horario'!$R$4:$R$73,0))),"")</f>
        <v/>
      </c>
      <c r="F4" s="3">
        <f>IFERROR(IF(INDEX('Casillas del horario'!$D$4:$D$73,MATCH("10-3"&amp;"|"&amp;$A4&amp;"|"&amp;F$3,'Casillas del horario'!$R$4:$R$73,0))="","",INDEX('Casillas del horario'!$D$4:$D$73,MATCH("10-3"&amp;"|"&amp;$A4&amp;"|"&amp;F$3,'Casillas del horario'!$R$4:$R$73,0))),"")</f>
        <v/>
      </c>
    </row>
    <row r="5">
      <c r="A5" s="3" t="n">
        <v>2</v>
      </c>
      <c r="B5" s="3">
        <f>IFERROR(IF(INDEX('Casillas del horario'!$D$4:$D$73,MATCH("10-3"&amp;"|"&amp;$A5&amp;"|"&amp;B$3,'Casillas del horario'!$R$4:$R$73,0))="","",INDEX('Casillas del horario'!$D$4:$D$73,MATCH("10-3"&amp;"|"&amp;$A5&amp;"|"&amp;B$3,'Casillas del horario'!$R$4:$R$73,0))),"")</f>
        <v/>
      </c>
      <c r="C5" s="3">
        <f>IFERROR(IF(INDEX('Casillas del horario'!$D$4:$D$73,MATCH("10-3"&amp;"|"&amp;$A5&amp;"|"&amp;C$3,'Casillas del horario'!$R$4:$R$73,0))="","",INDEX('Casillas del horario'!$D$4:$D$73,MATCH("10-3"&amp;"|"&amp;$A5&amp;"|"&amp;C$3,'Casillas del horario'!$R$4:$R$73,0))),"")</f>
        <v/>
      </c>
      <c r="D5" s="3">
        <f>IFERROR(IF(INDEX('Casillas del horario'!$D$4:$D$73,MATCH("10-3"&amp;"|"&amp;$A5&amp;"|"&amp;D$3,'Casillas del horario'!$R$4:$R$73,0))="","",INDEX('Casillas del horario'!$D$4:$D$73,MATCH("10-3"&amp;"|"&amp;$A5&amp;"|"&amp;D$3,'Casillas del horario'!$R$4:$R$73,0))),"")</f>
        <v/>
      </c>
      <c r="E5" s="3">
        <f>IFERROR(IF(INDEX('Casillas del horario'!$D$4:$D$73,MATCH("10-3"&amp;"|"&amp;$A5&amp;"|"&amp;E$3,'Casillas del horario'!$R$4:$R$73,0))="","",INDEX('Casillas del horario'!$D$4:$D$73,MATCH("10-3"&amp;"|"&amp;$A5&amp;"|"&amp;E$3,'Casillas del horario'!$R$4:$R$73,0))),"")</f>
        <v/>
      </c>
      <c r="F5" s="3">
        <f>IFERROR(IF(INDEX('Casillas del horario'!$D$4:$D$73,MATCH("10-3"&amp;"|"&amp;$A5&amp;"|"&amp;F$3,'Casillas del horario'!$R$4:$R$73,0))="","",INDEX('Casillas del horario'!$D$4:$D$73,MATCH("10-3"&amp;"|"&amp;$A5&amp;"|"&amp;F$3,'Casillas del horario'!$R$4:$R$73,0))),"")</f>
        <v/>
      </c>
    </row>
    <row r="6">
      <c r="A6" s="3" t="n">
        <v>3</v>
      </c>
      <c r="B6" s="3">
        <f>IFERROR(IF(INDEX('Casillas del horario'!$D$4:$D$73,MATCH("10-3"&amp;"|"&amp;$A6&amp;"|"&amp;B$3,'Casillas del horario'!$R$4:$R$73,0))="","",INDEX('Casillas del horario'!$D$4:$D$73,MATCH("10-3"&amp;"|"&amp;$A6&amp;"|"&amp;B$3,'Casillas del horario'!$R$4:$R$73,0))),"")</f>
        <v/>
      </c>
      <c r="C6" s="3">
        <f>IFERROR(IF(INDEX('Casillas del horario'!$D$4:$D$73,MATCH("10-3"&amp;"|"&amp;$A6&amp;"|"&amp;C$3,'Casillas del horario'!$R$4:$R$73,0))="","",INDEX('Casillas del horario'!$D$4:$D$73,MATCH("10-3"&amp;"|"&amp;$A6&amp;"|"&amp;C$3,'Casillas del horario'!$R$4:$R$73,0))),"")</f>
        <v/>
      </c>
      <c r="D6" s="3">
        <f>IFERROR(IF(INDEX('Casillas del horario'!$D$4:$D$73,MATCH("10-3"&amp;"|"&amp;$A6&amp;"|"&amp;D$3,'Casillas del horario'!$R$4:$R$73,0))="","",INDEX('Casillas del horario'!$D$4:$D$73,MATCH("10-3"&amp;"|"&amp;$A6&amp;"|"&amp;D$3,'Casillas del horario'!$R$4:$R$73,0))),"")</f>
        <v/>
      </c>
      <c r="E6" s="3">
        <f>IFERROR(IF(INDEX('Casillas del horario'!$D$4:$D$73,MATCH("10-3"&amp;"|"&amp;$A6&amp;"|"&amp;E$3,'Casillas del horario'!$R$4:$R$73,0))="","",INDEX('Casillas del horario'!$D$4:$D$73,MATCH("10-3"&amp;"|"&amp;$A6&amp;"|"&amp;E$3,'Casillas del horario'!$R$4:$R$73,0))),"")</f>
        <v/>
      </c>
      <c r="F6" s="3">
        <f>IFERROR(IF(INDEX('Casillas del horario'!$D$4:$D$73,MATCH("10-3"&amp;"|"&amp;$A6&amp;"|"&amp;F$3,'Casillas del horario'!$R$4:$R$73,0))="","",INDEX('Casillas del horario'!$D$4:$D$73,MATCH("10-3"&amp;"|"&amp;$A6&amp;"|"&amp;F$3,'Casillas del horario'!$R$4:$R$73,0))),"")</f>
        <v/>
      </c>
    </row>
    <row r="7">
      <c r="A7" s="3" t="n">
        <v>4</v>
      </c>
      <c r="B7" s="3">
        <f>IFERROR(IF(INDEX('Casillas del horario'!$D$4:$D$73,MATCH("10-3"&amp;"|"&amp;$A7&amp;"|"&amp;B$3,'Casillas del horario'!$R$4:$R$73,0))="","",INDEX('Casillas del horario'!$D$4:$D$73,MATCH("10-3"&amp;"|"&amp;$A7&amp;"|"&amp;B$3,'Casillas del horario'!$R$4:$R$73,0))),"")</f>
        <v/>
      </c>
      <c r="C7" s="3">
        <f>IFERROR(IF(INDEX('Casillas del horario'!$D$4:$D$73,MATCH("10-3"&amp;"|"&amp;$A7&amp;"|"&amp;C$3,'Casillas del horario'!$R$4:$R$73,0))="","",INDEX('Casillas del horario'!$D$4:$D$73,MATCH("10-3"&amp;"|"&amp;$A7&amp;"|"&amp;C$3,'Casillas del horario'!$R$4:$R$73,0))),"")</f>
        <v/>
      </c>
      <c r="D7" s="3">
        <f>IFERROR(IF(INDEX('Casillas del horario'!$D$4:$D$73,MATCH("10-3"&amp;"|"&amp;$A7&amp;"|"&amp;D$3,'Casillas del horario'!$R$4:$R$73,0))="","",INDEX('Casillas del horario'!$D$4:$D$73,MATCH("10-3"&amp;"|"&amp;$A7&amp;"|"&amp;D$3,'Casillas del horario'!$R$4:$R$73,0))),"")</f>
        <v/>
      </c>
      <c r="E7" s="3">
        <f>IFERROR(IF(INDEX('Casillas del horario'!$D$4:$D$73,MATCH("10-3"&amp;"|"&amp;$A7&amp;"|"&amp;E$3,'Casillas del horario'!$R$4:$R$73,0))="","",INDEX('Casillas del horario'!$D$4:$D$73,MATCH("10-3"&amp;"|"&amp;$A7&amp;"|"&amp;E$3,'Casillas del horario'!$R$4:$R$73,0))),"")</f>
        <v/>
      </c>
      <c r="F7" s="3">
        <f>IFERROR(IF(INDEX('Casillas del horario'!$D$4:$D$73,MATCH("10-3"&amp;"|"&amp;$A7&amp;"|"&amp;F$3,'Casillas del horario'!$R$4:$R$73,0))="","",INDEX('Casillas del horario'!$D$4:$D$73,MATCH("10-3"&amp;"|"&amp;$A7&amp;"|"&amp;F$3,'Casillas del horario'!$R$4:$R$73,0))),"")</f>
        <v/>
      </c>
    </row>
    <row r="8">
      <c r="A8" s="3" t="n">
        <v>5</v>
      </c>
      <c r="B8" s="3">
        <f>IFERROR(IF(INDEX('Casillas del horario'!$D$4:$D$73,MATCH("10-3"&amp;"|"&amp;$A8&amp;"|"&amp;B$3,'Casillas del horario'!$R$4:$R$73,0))="","",INDEX('Casillas del horario'!$D$4:$D$73,MATCH("10-3"&amp;"|"&amp;$A8&amp;"|"&amp;B$3,'Casillas del horario'!$R$4:$R$73,0))),"")</f>
        <v/>
      </c>
      <c r="C8" s="3">
        <f>IFERROR(IF(INDEX('Casillas del horario'!$D$4:$D$73,MATCH("10-3"&amp;"|"&amp;$A8&amp;"|"&amp;C$3,'Casillas del horario'!$R$4:$R$73,0))="","",INDEX('Casillas del horario'!$D$4:$D$73,MATCH("10-3"&amp;"|"&amp;$A8&amp;"|"&amp;C$3,'Casillas del horario'!$R$4:$R$73,0))),"")</f>
        <v/>
      </c>
      <c r="D8" s="3">
        <f>IFERROR(IF(INDEX('Casillas del horario'!$D$4:$D$73,MATCH("10-3"&amp;"|"&amp;$A8&amp;"|"&amp;D$3,'Casillas del horario'!$R$4:$R$73,0))="","",INDEX('Casillas del horario'!$D$4:$D$73,MATCH("10-3"&amp;"|"&amp;$A8&amp;"|"&amp;D$3,'Casillas del horario'!$R$4:$R$73,0))),"")</f>
        <v/>
      </c>
      <c r="E8" s="3">
        <f>IFERROR(IF(INDEX('Casillas del horario'!$D$4:$D$73,MATCH("10-3"&amp;"|"&amp;$A8&amp;"|"&amp;E$3,'Casillas del horario'!$R$4:$R$73,0))="","",INDEX('Casillas del horario'!$D$4:$D$73,MATCH("10-3"&amp;"|"&amp;$A8&amp;"|"&amp;E$3,'Casillas del horario'!$R$4:$R$73,0))),"")</f>
        <v/>
      </c>
      <c r="F8" s="3">
        <f>IFERROR(IF(INDEX('Casillas del horario'!$D$4:$D$73,MATCH("10-3"&amp;"|"&amp;$A8&amp;"|"&amp;F$3,'Casillas del horario'!$R$4:$R$73,0))="","",INDEX('Casillas del horario'!$D$4:$D$73,MATCH("10-3"&amp;"|"&amp;$A8&amp;"|"&amp;F$3,'Casillas del horario'!$R$4:$R$73,0))),"")</f>
        <v/>
      </c>
    </row>
    <row r="9">
      <c r="A9" s="3" t="n">
        <v>6</v>
      </c>
      <c r="B9" s="3">
        <f>IFERROR(IF(INDEX('Casillas del horario'!$D$4:$D$73,MATCH("10-3"&amp;"|"&amp;$A9&amp;"|"&amp;B$3,'Casillas del horario'!$R$4:$R$73,0))="","",INDEX('Casillas del horario'!$D$4:$D$73,MATCH("10-3"&amp;"|"&amp;$A9&amp;"|"&amp;B$3,'Casillas del horario'!$R$4:$R$73,0))),"")</f>
        <v/>
      </c>
      <c r="C9" s="3">
        <f>IFERROR(IF(INDEX('Casillas del horario'!$D$4:$D$73,MATCH("10-3"&amp;"|"&amp;$A9&amp;"|"&amp;C$3,'Casillas del horario'!$R$4:$R$73,0))="","",INDEX('Casillas del horario'!$D$4:$D$73,MATCH("10-3"&amp;"|"&amp;$A9&amp;"|"&amp;C$3,'Casillas del horario'!$R$4:$R$73,0))),"")</f>
        <v/>
      </c>
      <c r="D9" s="3">
        <f>IFERROR(IF(INDEX('Casillas del horario'!$D$4:$D$73,MATCH("10-3"&amp;"|"&amp;$A9&amp;"|"&amp;D$3,'Casillas del horario'!$R$4:$R$73,0))="","",INDEX('Casillas del horario'!$D$4:$D$73,MATCH("10-3"&amp;"|"&amp;$A9&amp;"|"&amp;D$3,'Casillas del horario'!$R$4:$R$73,0))),"")</f>
        <v/>
      </c>
      <c r="E9" s="3">
        <f>IFERROR(IF(INDEX('Casillas del horario'!$D$4:$D$73,MATCH("10-3"&amp;"|"&amp;$A9&amp;"|"&amp;E$3,'Casillas del horario'!$R$4:$R$73,0))="","",INDEX('Casillas del horario'!$D$4:$D$73,MATCH("10-3"&amp;"|"&amp;$A9&amp;"|"&amp;E$3,'Casillas del horario'!$R$4:$R$73,0))),"")</f>
        <v/>
      </c>
      <c r="F9" s="3">
        <f>IFERROR(IF(INDEX('Casillas del horario'!$D$4:$D$73,MATCH("10-3"&amp;"|"&amp;$A9&amp;"|"&amp;F$3,'Casillas del horario'!$R$4:$R$73,0))="","",INDEX('Casillas del horario'!$D$4:$D$73,MATCH("10-3"&amp;"|"&amp;$A9&amp;"|"&amp;F$3,'Casillas del horario'!$R$4:$R$73,0))),"")</f>
        <v/>
      </c>
    </row>
    <row r="10">
      <c r="A10" s="3" t="n">
        <v>7</v>
      </c>
      <c r="B10" s="3">
        <f>IFERROR(IF(INDEX('Casillas del horario'!$D$4:$D$73,MATCH("10-3"&amp;"|"&amp;$A10&amp;"|"&amp;B$3,'Casillas del horario'!$R$4:$R$73,0))="","",INDEX('Casillas del horario'!$D$4:$D$73,MATCH("10-3"&amp;"|"&amp;$A10&amp;"|"&amp;B$3,'Casillas del horario'!$R$4:$R$73,0))),"")</f>
        <v/>
      </c>
      <c r="C10" s="3">
        <f>IFERROR(IF(INDEX('Casillas del horario'!$D$4:$D$73,MATCH("10-3"&amp;"|"&amp;$A10&amp;"|"&amp;C$3,'Casillas del horario'!$R$4:$R$73,0))="","",INDEX('Casillas del horario'!$D$4:$D$73,MATCH("10-3"&amp;"|"&amp;$A10&amp;"|"&amp;C$3,'Casillas del horario'!$R$4:$R$73,0))),"")</f>
        <v/>
      </c>
      <c r="D10" s="3">
        <f>IFERROR(IF(INDEX('Casillas del horario'!$D$4:$D$73,MATCH("10-3"&amp;"|"&amp;$A10&amp;"|"&amp;D$3,'Casillas del horario'!$R$4:$R$73,0))="","",INDEX('Casillas del horario'!$D$4:$D$73,MATCH("10-3"&amp;"|"&amp;$A10&amp;"|"&amp;D$3,'Casillas del horario'!$R$4:$R$73,0))),"")</f>
        <v/>
      </c>
      <c r="E10" s="3">
        <f>IFERROR(IF(INDEX('Casillas del horario'!$D$4:$D$73,MATCH("10-3"&amp;"|"&amp;$A10&amp;"|"&amp;E$3,'Casillas del horario'!$R$4:$R$73,0))="","",INDEX('Casillas del horario'!$D$4:$D$73,MATCH("10-3"&amp;"|"&amp;$A10&amp;"|"&amp;E$3,'Casillas del horario'!$R$4:$R$73,0))),"")</f>
        <v/>
      </c>
      <c r="F10" s="3">
        <f>IFERROR(IF(INDEX('Casillas del horario'!$D$4:$D$73,MATCH("10-3"&amp;"|"&amp;$A10&amp;"|"&amp;F$3,'Casillas del horario'!$R$4:$R$73,0))="","",INDEX('Casillas del horario'!$D$4:$D$73,MATCH("10-3"&amp;"|"&amp;$A10&amp;"|"&amp;F$3,'Casillas del horario'!$R$4:$R$73,0))),"")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EA9DB"/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</cols>
  <sheetData>
    <row r="1">
      <c r="A1" s="1" t="inlineStr">
        <is>
          <t>Horario del grupo - 10-4</t>
        </is>
      </c>
    </row>
    <row r="3">
      <c r="A3" s="2" t="inlineStr">
        <is>
          <t>Turno</t>
        </is>
      </c>
      <c r="B3" s="2" t="inlineStr">
        <is>
          <t>L</t>
        </is>
      </c>
      <c r="C3" s="2" t="inlineStr">
        <is>
          <t>M</t>
        </is>
      </c>
      <c r="D3" s="2" t="inlineStr">
        <is>
          <t>MI</t>
        </is>
      </c>
      <c r="E3" s="2" t="inlineStr">
        <is>
          <t>J</t>
        </is>
      </c>
      <c r="F3" s="2" t="inlineStr">
        <is>
          <t>V</t>
        </is>
      </c>
    </row>
    <row r="4">
      <c r="A4" s="3" t="n">
        <v>1</v>
      </c>
      <c r="B4" s="3">
        <f>IFERROR(IF(INDEX('Casillas del horario'!$D$4:$D$73,MATCH("10-4"&amp;"|"&amp;$A4&amp;"|"&amp;B$3,'Casillas del horario'!$R$4:$R$73,0))="","",INDEX('Casillas del horario'!$D$4:$D$73,MATCH("10-4"&amp;"|"&amp;$A4&amp;"|"&amp;B$3,'Casillas del horario'!$R$4:$R$73,0))),"")</f>
        <v/>
      </c>
      <c r="C4" s="3">
        <f>IFERROR(IF(INDEX('Casillas del horario'!$D$4:$D$73,MATCH("10-4"&amp;"|"&amp;$A4&amp;"|"&amp;C$3,'Casillas del horario'!$R$4:$R$73,0))="","",INDEX('Casillas del horario'!$D$4:$D$73,MATCH("10-4"&amp;"|"&amp;$A4&amp;"|"&amp;C$3,'Casillas del horario'!$R$4:$R$73,0))),"")</f>
        <v/>
      </c>
      <c r="D4" s="3">
        <f>IFERROR(IF(INDEX('Casillas del horario'!$D$4:$D$73,MATCH("10-4"&amp;"|"&amp;$A4&amp;"|"&amp;D$3,'Casillas del horario'!$R$4:$R$73,0))="","",INDEX('Casillas del horario'!$D$4:$D$73,MATCH("10-4"&amp;"|"&amp;$A4&amp;"|"&amp;D$3,'Casillas del horario'!$R$4:$R$73,0))),"")</f>
        <v/>
      </c>
      <c r="E4" s="3">
        <f>IFERROR(IF(INDEX('Casillas del horario'!$D$4:$D$73,MATCH("10-4"&amp;"|"&amp;$A4&amp;"|"&amp;E$3,'Casillas del horario'!$R$4:$R$73,0))="","",INDEX('Casillas del horario'!$D$4:$D$73,MATCH("10-4"&amp;"|"&amp;$A4&amp;"|"&amp;E$3,'Casillas del horario'!$R$4:$R$73,0))),"")</f>
        <v/>
      </c>
      <c r="F4" s="3">
        <f>IFERROR(IF(INDEX('Casillas del horario'!$D$4:$D$73,MATCH("10-4"&amp;"|"&amp;$A4&amp;"|"&amp;F$3,'Casillas del horario'!$R$4:$R$73,0))="","",INDEX('Casillas del horario'!$D$4:$D$73,MATCH("10-4"&amp;"|"&amp;$A4&amp;"|"&amp;F$3,'Casillas del horario'!$R$4:$R$73,0))),"")</f>
        <v/>
      </c>
    </row>
    <row r="5">
      <c r="A5" s="3" t="n">
        <v>2</v>
      </c>
      <c r="B5" s="3">
        <f>IFERROR(IF(INDEX('Casillas del horario'!$D$4:$D$73,MATCH("10-4"&amp;"|"&amp;$A5&amp;"|"&amp;B$3,'Casillas del horario'!$R$4:$R$73,0))="","",INDEX('Casillas del horario'!$D$4:$D$73,MATCH("10-4"&amp;"|"&amp;$A5&amp;"|"&amp;B$3,'Casillas del horario'!$R$4:$R$73,0))),"")</f>
        <v/>
      </c>
      <c r="C5" s="3">
        <f>IFERROR(IF(INDEX('Casillas del horario'!$D$4:$D$73,MATCH("10-4"&amp;"|"&amp;$A5&amp;"|"&amp;C$3,'Casillas del horario'!$R$4:$R$73,0))="","",INDEX('Casillas del horario'!$D$4:$D$73,MATCH("10-4"&amp;"|"&amp;$A5&amp;"|"&amp;C$3,'Casillas del horario'!$R$4:$R$73,0))),"")</f>
        <v/>
      </c>
      <c r="D5" s="3">
        <f>IFERROR(IF(INDEX('Casillas del horario'!$D$4:$D$73,MATCH("10-4"&amp;"|"&amp;$A5&amp;"|"&amp;D$3,'Casillas del horario'!$R$4:$R$73,0))="","",INDEX('Casillas del horario'!$D$4:$D$73,MATCH("10-4"&amp;"|"&amp;$A5&amp;"|"&amp;D$3,'Casillas del horario'!$R$4:$R$73,0))),"")</f>
        <v/>
      </c>
      <c r="E5" s="3">
        <f>IFERROR(IF(INDEX('Casillas del horario'!$D$4:$D$73,MATCH("10-4"&amp;"|"&amp;$A5&amp;"|"&amp;E$3,'Casillas del horario'!$R$4:$R$73,0))="","",INDEX('Casillas del horario'!$D$4:$D$73,MATCH("10-4"&amp;"|"&amp;$A5&amp;"|"&amp;E$3,'Casillas del horario'!$R$4:$R$73,0))),"")</f>
        <v/>
      </c>
      <c r="F5" s="3">
        <f>IFERROR(IF(INDEX('Casillas del horario'!$D$4:$D$73,MATCH("10-4"&amp;"|"&amp;$A5&amp;"|"&amp;F$3,'Casillas del horario'!$R$4:$R$73,0))="","",INDEX('Casillas del horario'!$D$4:$D$73,MATCH("10-4"&amp;"|"&amp;$A5&amp;"|"&amp;F$3,'Casillas del horario'!$R$4:$R$73,0))),"")</f>
        <v/>
      </c>
    </row>
    <row r="6">
      <c r="A6" s="3" t="n">
        <v>3</v>
      </c>
      <c r="B6" s="3">
        <f>IFERROR(IF(INDEX('Casillas del horario'!$D$4:$D$73,MATCH("10-4"&amp;"|"&amp;$A6&amp;"|"&amp;B$3,'Casillas del horario'!$R$4:$R$73,0))="","",INDEX('Casillas del horario'!$D$4:$D$73,MATCH("10-4"&amp;"|"&amp;$A6&amp;"|"&amp;B$3,'Casillas del horario'!$R$4:$R$73,0))),"")</f>
        <v/>
      </c>
      <c r="C6" s="3">
        <f>IFERROR(IF(INDEX('Casillas del horario'!$D$4:$D$73,MATCH("10-4"&amp;"|"&amp;$A6&amp;"|"&amp;C$3,'Casillas del horario'!$R$4:$R$73,0))="","",INDEX('Casillas del horario'!$D$4:$D$73,MATCH("10-4"&amp;"|"&amp;$A6&amp;"|"&amp;C$3,'Casillas del horario'!$R$4:$R$73,0))),"")</f>
        <v/>
      </c>
      <c r="D6" s="3">
        <f>IFERROR(IF(INDEX('Casillas del horario'!$D$4:$D$73,MATCH("10-4"&amp;"|"&amp;$A6&amp;"|"&amp;D$3,'Casillas del horario'!$R$4:$R$73,0))="","",INDEX('Casillas del horario'!$D$4:$D$73,MATCH("10-4"&amp;"|"&amp;$A6&amp;"|"&amp;D$3,'Casillas del horario'!$R$4:$R$73,0))),"")</f>
        <v/>
      </c>
      <c r="E6" s="3">
        <f>IFERROR(IF(INDEX('Casillas del horario'!$D$4:$D$73,MATCH("10-4"&amp;"|"&amp;$A6&amp;"|"&amp;E$3,'Casillas del horario'!$R$4:$R$73,0))="","",INDEX('Casillas del horario'!$D$4:$D$73,MATCH("10-4"&amp;"|"&amp;$A6&amp;"|"&amp;E$3,'Casillas del horario'!$R$4:$R$73,0))),"")</f>
        <v/>
      </c>
      <c r="F6" s="3">
        <f>IFERROR(IF(INDEX('Casillas del horario'!$D$4:$D$73,MATCH("10-4"&amp;"|"&amp;$A6&amp;"|"&amp;F$3,'Casillas del horario'!$R$4:$R$73,0))="","",INDEX('Casillas del horario'!$D$4:$D$73,MATCH("10-4"&amp;"|"&amp;$A6&amp;"|"&amp;F$3,'Casillas del horario'!$R$4:$R$73,0))),"")</f>
        <v/>
      </c>
    </row>
    <row r="7">
      <c r="A7" s="3" t="n">
        <v>4</v>
      </c>
      <c r="B7" s="3">
        <f>IFERROR(IF(INDEX('Casillas del horario'!$D$4:$D$73,MATCH("10-4"&amp;"|"&amp;$A7&amp;"|"&amp;B$3,'Casillas del horario'!$R$4:$R$73,0))="","",INDEX('Casillas del horario'!$D$4:$D$73,MATCH("10-4"&amp;"|"&amp;$A7&amp;"|"&amp;B$3,'Casillas del horario'!$R$4:$R$73,0))),"")</f>
        <v/>
      </c>
      <c r="C7" s="3">
        <f>IFERROR(IF(INDEX('Casillas del horario'!$D$4:$D$73,MATCH("10-4"&amp;"|"&amp;$A7&amp;"|"&amp;C$3,'Casillas del horario'!$R$4:$R$73,0))="","",INDEX('Casillas del horario'!$D$4:$D$73,MATCH("10-4"&amp;"|"&amp;$A7&amp;"|"&amp;C$3,'Casillas del horario'!$R$4:$R$73,0))),"")</f>
        <v/>
      </c>
      <c r="D7" s="3">
        <f>IFERROR(IF(INDEX('Casillas del horario'!$D$4:$D$73,MATCH("10-4"&amp;"|"&amp;$A7&amp;"|"&amp;D$3,'Casillas del horario'!$R$4:$R$73,0))="","",INDEX('Casillas del horario'!$D$4:$D$73,MATCH("10-4"&amp;"|"&amp;$A7&amp;"|"&amp;D$3,'Casillas del horario'!$R$4:$R$73,0))),"")</f>
        <v/>
      </c>
      <c r="E7" s="3">
        <f>IFERROR(IF(INDEX('Casillas del horario'!$D$4:$D$73,MATCH("10-4"&amp;"|"&amp;$A7&amp;"|"&amp;E$3,'Casillas del horario'!$R$4:$R$73,0))="","",INDEX('Casillas del horario'!$D$4:$D$73,MATCH("10-4"&amp;"|"&amp;$A7&amp;"|"&amp;E$3,'Casillas del horario'!$R$4:$R$73,0))),"")</f>
        <v/>
      </c>
      <c r="F7" s="3">
        <f>IFERROR(IF(INDEX('Casillas del horario'!$D$4:$D$73,MATCH("10-4"&amp;"|"&amp;$A7&amp;"|"&amp;F$3,'Casillas del horario'!$R$4:$R$73,0))="","",INDEX('Casillas del horario'!$D$4:$D$73,MATCH("10-4"&amp;"|"&amp;$A7&amp;"|"&amp;F$3,'Casillas del horario'!$R$4:$R$73,0))),"")</f>
        <v/>
      </c>
    </row>
    <row r="8">
      <c r="A8" s="3" t="n">
        <v>5</v>
      </c>
      <c r="B8" s="3">
        <f>IFERROR(IF(INDEX('Casillas del horario'!$D$4:$D$73,MATCH("10-4"&amp;"|"&amp;$A8&amp;"|"&amp;B$3,'Casillas del horario'!$R$4:$R$73,0))="","",INDEX('Casillas del horario'!$D$4:$D$73,MATCH("10-4"&amp;"|"&amp;$A8&amp;"|"&amp;B$3,'Casillas del horario'!$R$4:$R$73,0))),"")</f>
        <v/>
      </c>
      <c r="C8" s="3">
        <f>IFERROR(IF(INDEX('Casillas del horario'!$D$4:$D$73,MATCH("10-4"&amp;"|"&amp;$A8&amp;"|"&amp;C$3,'Casillas del horario'!$R$4:$R$73,0))="","",INDEX('Casillas del horario'!$D$4:$D$73,MATCH("10-4"&amp;"|"&amp;$A8&amp;"|"&amp;C$3,'Casillas del horario'!$R$4:$R$73,0))),"")</f>
        <v/>
      </c>
      <c r="D8" s="3">
        <f>IFERROR(IF(INDEX('Casillas del horario'!$D$4:$D$73,MATCH("10-4"&amp;"|"&amp;$A8&amp;"|"&amp;D$3,'Casillas del horario'!$R$4:$R$73,0))="","",INDEX('Casillas del horario'!$D$4:$D$73,MATCH("10-4"&amp;"|"&amp;$A8&amp;"|"&amp;D$3,'Casillas del horario'!$R$4:$R$73,0))),"")</f>
        <v/>
      </c>
      <c r="E8" s="3">
        <f>IFERROR(IF(INDEX('Casillas del horario'!$D$4:$D$73,MATCH("10-4"&amp;"|"&amp;$A8&amp;"|"&amp;E$3,'Casillas del horario'!$R$4:$R$73,0))="","",INDEX('Casillas del horario'!$D$4:$D$73,MATCH("10-4"&amp;"|"&amp;$A8&amp;"|"&amp;E$3,'Casillas del horario'!$R$4:$R$73,0))),"")</f>
        <v/>
      </c>
      <c r="F8" s="3">
        <f>IFERROR(IF(INDEX('Casillas del horario'!$D$4:$D$73,MATCH("10-4"&amp;"|"&amp;$A8&amp;"|"&amp;F$3,'Casillas del horario'!$R$4:$R$73,0))="","",INDEX('Casillas del horario'!$D$4:$D$73,MATCH("10-4"&amp;"|"&amp;$A8&amp;"|"&amp;F$3,'Casillas del horario'!$R$4:$R$73,0))),"")</f>
        <v/>
      </c>
    </row>
    <row r="9">
      <c r="A9" s="3" t="n">
        <v>6</v>
      </c>
      <c r="B9" s="3">
        <f>IFERROR(IF(INDEX('Casillas del horario'!$D$4:$D$73,MATCH("10-4"&amp;"|"&amp;$A9&amp;"|"&amp;B$3,'Casillas del horario'!$R$4:$R$73,0))="","",INDEX('Casillas del horario'!$D$4:$D$73,MATCH("10-4"&amp;"|"&amp;$A9&amp;"|"&amp;B$3,'Casillas del horario'!$R$4:$R$73,0))),"")</f>
        <v/>
      </c>
      <c r="C9" s="3">
        <f>IFERROR(IF(INDEX('Casillas del horario'!$D$4:$D$73,MATCH("10-4"&amp;"|"&amp;$A9&amp;"|"&amp;C$3,'Casillas del horario'!$R$4:$R$73,0))="","",INDEX('Casillas del horario'!$D$4:$D$73,MATCH("10-4"&amp;"|"&amp;$A9&amp;"|"&amp;C$3,'Casillas del horario'!$R$4:$R$73,0))),"")</f>
        <v/>
      </c>
      <c r="D9" s="3">
        <f>IFERROR(IF(INDEX('Casillas del horario'!$D$4:$D$73,MATCH("10-4"&amp;"|"&amp;$A9&amp;"|"&amp;D$3,'Casillas del horario'!$R$4:$R$73,0))="","",INDEX('Casillas del horario'!$D$4:$D$73,MATCH("10-4"&amp;"|"&amp;$A9&amp;"|"&amp;D$3,'Casillas del horario'!$R$4:$R$73,0))),"")</f>
        <v/>
      </c>
      <c r="E9" s="3">
        <f>IFERROR(IF(INDEX('Casillas del horario'!$D$4:$D$73,MATCH("10-4"&amp;"|"&amp;$A9&amp;"|"&amp;E$3,'Casillas del horario'!$R$4:$R$73,0))="","",INDEX('Casillas del horario'!$D$4:$D$73,MATCH("10-4"&amp;"|"&amp;$A9&amp;"|"&amp;E$3,'Casillas del horario'!$R$4:$R$73,0))),"")</f>
        <v/>
      </c>
      <c r="F9" s="3">
        <f>IFERROR(IF(INDEX('Casillas del horario'!$D$4:$D$73,MATCH("10-4"&amp;"|"&amp;$A9&amp;"|"&amp;F$3,'Casillas del horario'!$R$4:$R$73,0))="","",INDEX('Casillas del horario'!$D$4:$D$73,MATCH("10-4"&amp;"|"&amp;$A9&amp;"|"&amp;F$3,'Casillas del horario'!$R$4:$R$73,0))),"")</f>
        <v/>
      </c>
    </row>
    <row r="10">
      <c r="A10" s="3" t="n">
        <v>7</v>
      </c>
      <c r="B10" s="3">
        <f>IFERROR(IF(INDEX('Casillas del horario'!$D$4:$D$73,MATCH("10-4"&amp;"|"&amp;$A10&amp;"|"&amp;B$3,'Casillas del horario'!$R$4:$R$73,0))="","",INDEX('Casillas del horario'!$D$4:$D$73,MATCH("10-4"&amp;"|"&amp;$A10&amp;"|"&amp;B$3,'Casillas del horario'!$R$4:$R$73,0))),"")</f>
        <v/>
      </c>
      <c r="C10" s="3">
        <f>IFERROR(IF(INDEX('Casillas del horario'!$D$4:$D$73,MATCH("10-4"&amp;"|"&amp;$A10&amp;"|"&amp;C$3,'Casillas del horario'!$R$4:$R$73,0))="","",INDEX('Casillas del horario'!$D$4:$D$73,MATCH("10-4"&amp;"|"&amp;$A10&amp;"|"&amp;C$3,'Casillas del horario'!$R$4:$R$73,0))),"")</f>
        <v/>
      </c>
      <c r="D10" s="3">
        <f>IFERROR(IF(INDEX('Casillas del horario'!$D$4:$D$73,MATCH("10-4"&amp;"|"&amp;$A10&amp;"|"&amp;D$3,'Casillas del horario'!$R$4:$R$73,0))="","",INDEX('Casillas del horario'!$D$4:$D$73,MATCH("10-4"&amp;"|"&amp;$A10&amp;"|"&amp;D$3,'Casillas del horario'!$R$4:$R$73,0))),"")</f>
        <v/>
      </c>
      <c r="E10" s="3">
        <f>IFERROR(IF(INDEX('Casillas del horario'!$D$4:$D$73,MATCH("10-4"&amp;"|"&amp;$A10&amp;"|"&amp;E$3,'Casillas del horario'!$R$4:$R$73,0))="","",INDEX('Casillas del horario'!$D$4:$D$73,MATCH("10-4"&amp;"|"&amp;$A10&amp;"|"&amp;E$3,'Casillas del horario'!$R$4:$R$73,0))),"")</f>
        <v/>
      </c>
      <c r="F10" s="3">
        <f>IFERROR(IF(INDEX('Casillas del horario'!$D$4:$D$73,MATCH("10-4"&amp;"|"&amp;$A10&amp;"|"&amp;F$3,'Casillas del horario'!$R$4:$R$73,0))="","",INDEX('Casillas del horario'!$D$4:$D$73,MATCH("10-4"&amp;"|"&amp;$A10&amp;"|"&amp;F$3,'Casillas del horario'!$R$4:$R$73,0))),"")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EA9DB"/>
    <outlinePr summaryBelow="1" summaryRight="1"/>
    <pageSetUpPr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42" customWidth="1" min="3" max="3"/>
  </cols>
  <sheetData>
    <row r="1">
      <c r="A1" s="1" t="inlineStr">
        <is>
          <t>Profesor de EF en 10-3</t>
        </is>
      </c>
    </row>
    <row r="3">
      <c r="A3" s="2" t="inlineStr">
        <is>
          <t>Turno</t>
        </is>
      </c>
      <c r="B3" s="2" t="inlineStr">
        <is>
          <t>L</t>
        </is>
      </c>
      <c r="C3" s="2" t="inlineStr">
        <is>
          <t>MI</t>
        </is>
      </c>
    </row>
    <row r="4">
      <c r="A4" s="3" t="n">
        <v>1</v>
      </c>
      <c r="B4" s="3">
        <f>IF(COUNTIF('Casillas del horario'!$S$4:$S$73,"Profesor de EF en 10-3"&amp;"|"&amp;$A4&amp;"|"&amp;B$3)&gt;1,IFERROR(IF(INDEX('Casillas del horario'!$A$4:$A$73,MATCH("Profesor de EF en 10-3"&amp;"|"&amp;$A4&amp;"|"&amp;B$3,'Casillas del horario'!$S$4:$S$73,0))="","",INDEX('Casillas del horario'!$A$4:$A$73,MATCH("Profesor de EF en 10-3"&amp;"|"&amp;$A4&amp;"|"&amp;B$3,'Casillas del horario'!$S$4:$S$73,0))),"")&amp;" (+"&amp;(COUNTIF('Casillas del horario'!$S$4:$S$73,"Profesor de EF en 10-3"&amp;"|"&amp;$A4&amp;"|"&amp;B$3)-1)&amp;")",IFERROR(IF(INDEX('Casillas del horario'!$A$4:$A$73,MATCH("Profesor de EF en 10-3"&amp;"|"&amp;$A4&amp;"|"&amp;B$3,'Casillas del horario'!$S$4:$S$73,0))="","",INDEX('Casillas del horario'!$A$4:$A$73,MATCH("Profesor de EF en 10-3"&amp;"|"&amp;$A4&amp;"|"&amp;B$3,'Casillas del horario'!$S$4:$S$73,0))),""))</f>
        <v/>
      </c>
      <c r="C4" s="3">
        <f>IF(COUNTIF('Casillas del horario'!$S$4:$S$73,"Profesor de EF en 10-3"&amp;"|"&amp;$A4&amp;"|"&amp;C$3)&gt;1,IFERROR(IF(INDEX('Casillas del horario'!$A$4:$A$73,MATCH("Profesor de EF en 10-3"&amp;"|"&amp;$A4&amp;"|"&amp;C$3,'Casillas del horario'!$S$4:$S$73,0))="","",INDEX('Casillas del horario'!$A$4:$A$73,MATCH("Profesor de EF en 10-3"&amp;"|"&amp;$A4&amp;"|"&amp;C$3,'Casillas del horario'!$S$4:$S$73,0))),"")&amp;" (+"&amp;(COUNTIF('Casillas del horario'!$S$4:$S$73,"Profesor de EF en 10-3"&amp;"|"&amp;$A4&amp;"|"&amp;C$3)-1)&amp;")",IFERROR(IF(INDEX('Casillas del horario'!$A$4:$A$73,MATCH("Profesor de EF en 10-3"&amp;"|"&amp;$A4&amp;"|"&amp;C$3,'Casillas del horario'!$S$4:$S$73,0))="","",INDEX('Casillas del horario'!$A$4:$A$73,MATCH("Profesor de EF en 10-3"&amp;"|"&amp;$A4&amp;"|"&amp;C$3,'Casillas del horario'!$S$4:$S$73,0))),""))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EA9DB"/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42" customWidth="1" min="3" max="3"/>
    <col width="42" customWidth="1" min="4" max="4"/>
  </cols>
  <sheetData>
    <row r="1">
      <c r="A1" s="1" t="inlineStr">
        <is>
          <t>Horario - Profesor de H en 10-3</t>
        </is>
      </c>
    </row>
    <row r="3">
      <c r="A3" s="2" t="inlineStr">
        <is>
          <t>Turno</t>
        </is>
      </c>
      <c r="B3" s="2" t="inlineStr">
        <is>
          <t>M</t>
        </is>
      </c>
      <c r="C3" s="2" t="inlineStr">
        <is>
          <t>MI</t>
        </is>
      </c>
      <c r="D3" s="2" t="inlineStr">
        <is>
          <t>J</t>
        </is>
      </c>
    </row>
    <row r="4">
      <c r="A4" s="3" t="n">
        <v>1</v>
      </c>
      <c r="B4" s="3">
        <f>IF(COUNTIF('Casillas del horario'!$S$4:$S$73,"Profesor de H en 10-3"&amp;"|"&amp;$A4&amp;"|"&amp;B$3)&gt;1,IFERROR(IF(INDEX('Casillas del horario'!$A$4:$A$73,MATCH("Profesor de H en 10-3"&amp;"|"&amp;$A4&amp;"|"&amp;B$3,'Casillas del horario'!$S$4:$S$73,0))="","",INDEX('Casillas del horario'!$A$4:$A$73,MATCH("Profesor de H en 10-3"&amp;"|"&amp;$A4&amp;"|"&amp;B$3,'Casillas del horario'!$S$4:$S$73,0))),"")&amp;" (+"&amp;(COUNTIF('Casillas del horario'!$S$4:$S$73,"Profesor de H en 10-3"&amp;"|"&amp;$A4&amp;"|"&amp;B$3)-1)&amp;")",IFERROR(IF(INDEX('Casillas del horario'!$A$4:$A$73,MATCH("Profesor de H en 10-3"&amp;"|"&amp;$A4&amp;"|"&amp;B$3,'Casillas del horario'!$S$4:$S$73,0))="","",INDEX('Casillas del horario'!$A$4:$A$73,MATCH("Profesor de H en 10-3"&amp;"|"&amp;$A4&amp;"|"&amp;B$3,'Casillas del horario'!$S$4:$S$73,0))),""))</f>
        <v/>
      </c>
      <c r="C4" s="3">
        <f>IF(COUNTIF('Casillas del horario'!$S$4:$S$73,"Profesor de H en 10-3"&amp;"|"&amp;$A4&amp;"|"&amp;C$3)&gt;1,IFERROR(IF(INDEX('Casillas del horario'!$A$4:$A$73,MATCH("Profesor de H en 10-3"&amp;"|"&amp;$A4&amp;"|"&amp;C$3,'Casillas del horario'!$S$4:$S$73,0))="","",INDEX('Casillas del horario'!$A$4:$A$73,MATCH("Profesor de H en 10-3"&amp;"|"&amp;$A4&amp;"|"&amp;C$3,'Casillas del horario'!$S$4:$S$73,0))),"")&amp;" (+"&amp;(COUNTIF('Casillas del horario'!$S$4:$S$73,"Profesor de H en 10-3"&amp;"|"&amp;$A4&amp;"|"&amp;C$3)-1)&amp;")",IFERROR(IF(INDEX('Casillas del horario'!$A$4:$A$73,MATCH("Profesor de H en 10-3"&amp;"|"&amp;$A4&amp;"|"&amp;C$3,'Casillas del horario'!$S$4:$S$73,0))="","",INDEX('Casillas del horario'!$A$4:$A$73,MATCH("Profesor de H en 10-3"&amp;"|"&amp;$A4&amp;"|"&amp;C$3,'Casillas del horario'!$S$4:$S$73,0))),""))</f>
        <v/>
      </c>
      <c r="D4" s="3">
        <f>IF(COUNTIF('Casillas del horario'!$S$4:$S$73,"Profesor de H en 10-3"&amp;"|"&amp;$A4&amp;"|"&amp;D$3)&gt;1,IFERROR(IF(INDEX('Casillas del horario'!$A$4:$A$73,MATCH("Profesor de H en 10-3"&amp;"|"&amp;$A4&amp;"|"&amp;D$3,'Casillas del horario'!$S$4:$S$73,0))="","",INDEX('Casillas del horario'!$A$4:$A$73,MATCH("Profesor de H en 10-3"&amp;"|"&amp;$A4&amp;"|"&amp;D$3,'Casillas del horario'!$S$4:$S$73,0))),"")&amp;" (+"&amp;(COUNTIF('Casillas del horario'!$S$4:$S$73,"Profesor de H en 10-3"&amp;"|"&amp;$A4&amp;"|"&amp;D$3)-1)&amp;")",IFERROR(IF(INDEX('Casillas del horario'!$A$4:$A$73,MATCH("Profesor de H en 10-3"&amp;"|"&amp;$A4&amp;"|"&amp;D$3,'Casillas del horario'!$S$4:$S$73,0))="","",INDEX('Casillas del horario'!$A$4:$A$73,MATCH("Profesor de H en 10-3"&amp;"|"&amp;$A4&amp;"|"&amp;D$3,'Casillas del horario'!$S$4:$S$73,0))),""))</f>
        <v/>
      </c>
    </row>
    <row r="5">
      <c r="A5" s="3" t="n">
        <v>4</v>
      </c>
      <c r="B5" s="3">
        <f>IF(COUNTIF('Casillas del horario'!$S$4:$S$73,"Profesor de H en 10-3"&amp;"|"&amp;$A5&amp;"|"&amp;B$3)&gt;1,IFERROR(IF(INDEX('Casillas del horario'!$A$4:$A$73,MATCH("Profesor de H en 10-3"&amp;"|"&amp;$A5&amp;"|"&amp;B$3,'Casillas del horario'!$S$4:$S$73,0))="","",INDEX('Casillas del horario'!$A$4:$A$73,MATCH("Profesor de H en 10-3"&amp;"|"&amp;$A5&amp;"|"&amp;B$3,'Casillas del horario'!$S$4:$S$73,0))),"")&amp;" (+"&amp;(COUNTIF('Casillas del horario'!$S$4:$S$73,"Profesor de H en 10-3"&amp;"|"&amp;$A5&amp;"|"&amp;B$3)-1)&amp;")",IFERROR(IF(INDEX('Casillas del horario'!$A$4:$A$73,MATCH("Profesor de H en 10-3"&amp;"|"&amp;$A5&amp;"|"&amp;B$3,'Casillas del horario'!$S$4:$S$73,0))="","",INDEX('Casillas del horario'!$A$4:$A$73,MATCH("Profesor de H en 10-3"&amp;"|"&amp;$A5&amp;"|"&amp;B$3,'Casillas del horario'!$S$4:$S$73,0))),""))</f>
        <v/>
      </c>
      <c r="C5" s="3">
        <f>IF(COUNTIF('Casillas del horario'!$S$4:$S$73,"Profesor de H en 10-3"&amp;"|"&amp;$A5&amp;"|"&amp;C$3)&gt;1,IFERROR(IF(INDEX('Casillas del horario'!$A$4:$A$73,MATCH("Profesor de H en 10-3"&amp;"|"&amp;$A5&amp;"|"&amp;C$3,'Casillas del horario'!$S$4:$S$73,0))="","",INDEX('Casillas del horario'!$A$4:$A$73,MATCH("Profesor de H en 10-3"&amp;"|"&amp;$A5&amp;"|"&amp;C$3,'Casillas del horario'!$S$4:$S$73,0))),"")&amp;" (+"&amp;(COUNTIF('Casillas del horario'!$S$4:$S$73,"Profesor de H en 10-3"&amp;"|"&amp;$A5&amp;"|"&amp;C$3)-1)&amp;")",IFERROR(IF(INDEX('Casillas del horario'!$A$4:$A$73,MATCH("Profesor de H en 10-3"&amp;"|"&amp;$A5&amp;"|"&amp;C$3,'Casillas del horario'!$S$4:$S$73,0))="","",INDEX('Casillas del horario'!$A$4:$A$73,MATCH("Profesor de H en 10-3"&amp;"|"&amp;$A5&amp;"|"&amp;C$3,'Casillas del horario'!$S$4:$S$73,0))),""))</f>
        <v/>
      </c>
      <c r="D5" s="3">
        <f>IF(COUNTIF('Casillas del horario'!$S$4:$S$73,"Profesor de H en 10-3"&amp;"|"&amp;$A5&amp;"|"&amp;D$3)&gt;1,IFERROR(IF(INDEX('Casillas del horario'!$A$4:$A$73,MATCH("Profesor de H en 10-3"&amp;"|"&amp;$A5&amp;"|"&amp;D$3,'Casillas del horario'!$S$4:$S$73,0))="","",INDEX('Casillas del horario'!$A$4:$A$73,MATCH("Profesor de H en 10-3"&amp;"|"&amp;$A5&amp;"|"&amp;D$3,'Casillas del horario'!$S$4:$S$73,0))),"")&amp;" (+"&amp;(COUNTIF('Casillas del horario'!$S$4:$S$73,"Profesor de H en 10-3"&amp;"|"&amp;$A5&amp;"|"&amp;D$3)-1)&amp;")",IFERROR(IF(INDEX('Casillas del horario'!$A$4:$A$73,MATCH("Profesor de H en 10-3"&amp;"|"&amp;$A5&amp;"|"&amp;D$3,'Casillas del horario'!$S$4:$S$73,0))="","",INDEX('Casillas del horario'!$A$4:$A$73,MATCH("Profesor de H en 10-3"&amp;"|"&amp;$A5&amp;"|"&amp;D$3,'Casillas del horario'!$S$4:$S$73,0))),""))</f>
        <v/>
      </c>
    </row>
    <row r="6">
      <c r="A6" s="3" t="n">
        <v>6</v>
      </c>
      <c r="B6" s="3">
        <f>IF(COUNTIF('Casillas del horario'!$S$4:$S$73,"Profesor de H en 10-3"&amp;"|"&amp;$A6&amp;"|"&amp;B$3)&gt;1,IFERROR(IF(INDEX('Casillas del horario'!$A$4:$A$73,MATCH("Profesor de H en 10-3"&amp;"|"&amp;$A6&amp;"|"&amp;B$3,'Casillas del horario'!$S$4:$S$73,0))="","",INDEX('Casillas del horario'!$A$4:$A$73,MATCH("Profesor de H en 10-3"&amp;"|"&amp;$A6&amp;"|"&amp;B$3,'Casillas del horario'!$S$4:$S$73,0))),"")&amp;" (+"&amp;(COUNTIF('Casillas del horario'!$S$4:$S$73,"Profesor de H en 10-3"&amp;"|"&amp;$A6&amp;"|"&amp;B$3)-1)&amp;")",IFERROR(IF(INDEX('Casillas del horario'!$A$4:$A$73,MATCH("Profesor de H en 10-3"&amp;"|"&amp;$A6&amp;"|"&amp;B$3,'Casillas del horario'!$S$4:$S$73,0))="","",INDEX('Casillas del horario'!$A$4:$A$73,MATCH("Profesor de H en 10-3"&amp;"|"&amp;$A6&amp;"|"&amp;B$3,'Casillas del horario'!$S$4:$S$73,0))),""))</f>
        <v/>
      </c>
      <c r="C6" s="3">
        <f>IF(COUNTIF('Casillas del horario'!$S$4:$S$73,"Profesor de H en 10-3"&amp;"|"&amp;$A6&amp;"|"&amp;C$3)&gt;1,IFERROR(IF(INDEX('Casillas del horario'!$A$4:$A$73,MATCH("Profesor de H en 10-3"&amp;"|"&amp;$A6&amp;"|"&amp;C$3,'Casillas del horario'!$S$4:$S$73,0))="","",INDEX('Casillas del horario'!$A$4:$A$73,MATCH("Profesor de H en 10-3"&amp;"|"&amp;$A6&amp;"|"&amp;C$3,'Casillas del horario'!$S$4:$S$73,0))),"")&amp;" (+"&amp;(COUNTIF('Casillas del horario'!$S$4:$S$73,"Profesor de H en 10-3"&amp;"|"&amp;$A6&amp;"|"&amp;C$3)-1)&amp;")",IFERROR(IF(INDEX('Casillas del horario'!$A$4:$A$73,MATCH("Profesor de H en 10-3"&amp;"|"&amp;$A6&amp;"|"&amp;C$3,'Casillas del horario'!$S$4:$S$73,0))="","",INDEX('Casillas del horario'!$A$4:$A$73,MATCH("Profesor de H en 10-3"&amp;"|"&amp;$A6&amp;"|"&amp;C$3,'Casillas del horario'!$S$4:$S$73,0))),""))</f>
        <v/>
      </c>
      <c r="D6" s="3">
        <f>IF(COUNTIF('Casillas del horario'!$S$4:$S$73,"Profesor de H en 10-3"&amp;"|"&amp;$A6&amp;"|"&amp;D$3)&gt;1,IFERROR(IF(INDEX('Casillas del horario'!$A$4:$A$73,MATCH("Profesor de H en 10-3"&amp;"|"&amp;$A6&amp;"|"&amp;D$3,'Casillas del horario'!$S$4:$S$73,0))="","",INDEX('Casillas del horario'!$A$4:$A$73,MATCH("Profesor de H en 10-3"&amp;"|"&amp;$A6&amp;"|"&amp;D$3,'Casillas del horario'!$S$4:$S$73,0))),"")&amp;" (+"&amp;(COUNTIF('Casillas del horario'!$S$4:$S$73,"Profesor de H en 10-3"&amp;"|"&amp;$A6&amp;"|"&amp;D$3)-1)&amp;")",IFERROR(IF(INDEX('Casillas del horario'!$A$4:$A$73,MATCH("Profesor de H en 10-3"&amp;"|"&amp;$A6&amp;"|"&amp;D$3,'Casillas del horario'!$S$4:$S$73,0))="","",INDEX('Casillas del horario'!$A$4:$A$73,MATCH("Profesor de H en 10-3"&amp;"|"&amp;$A6&amp;"|"&amp;D$3,'Casillas del horario'!$S$4:$S$73,0))),""))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EA9DB"/>
    <outlinePr summaryBelow="1" summaryRight="1"/>
    <pageSetUpPr/>
  </sheetPr>
  <dimension ref="A1:B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Profesor de INF en 10-3</t>
        </is>
      </c>
    </row>
    <row r="3">
      <c r="A3" s="2" t="inlineStr">
        <is>
          <t>Turno</t>
        </is>
      </c>
      <c r="B3" s="2" t="inlineStr">
        <is>
          <t>J</t>
        </is>
      </c>
    </row>
    <row r="4">
      <c r="A4" s="3" t="n">
        <v>1</v>
      </c>
      <c r="B4" s="3">
        <f>IF(COUNTIF('Casillas del horario'!$S$4:$S$73,"Profesor de INF en 10-3"&amp;"|"&amp;$A4&amp;"|"&amp;B$3)&gt;1,IFERROR(IF(INDEX('Casillas del horario'!$A$4:$A$73,MATCH("Profesor de INF en 10-3"&amp;"|"&amp;$A4&amp;"|"&amp;B$3,'Casillas del horario'!$S$4:$S$73,0))="","",INDEX('Casillas del horario'!$A$4:$A$73,MATCH("Profesor de INF en 10-3"&amp;"|"&amp;$A4&amp;"|"&amp;B$3,'Casillas del horario'!$S$4:$S$73,0))),"")&amp;" (+"&amp;(COUNTIF('Casillas del horario'!$S$4:$S$73,"Profesor de INF en 10-3"&amp;"|"&amp;$A4&amp;"|"&amp;B$3)-1)&amp;")",IFERROR(IF(INDEX('Casillas del horario'!$A$4:$A$73,MATCH("Profesor de INF en 10-3"&amp;"|"&amp;$A4&amp;"|"&amp;B$3,'Casillas del horario'!$S$4:$S$73,0))="","",INDEX('Casillas del horario'!$A$4:$A$73,MATCH("Profesor de INF en 10-3"&amp;"|"&amp;$A4&amp;"|"&amp;B$3,'Casillas del horario'!$S$4:$S$73,0))),""))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EA9DB"/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42" customWidth="1" min="3" max="3"/>
    <col width="42" customWidth="1" min="4" max="4"/>
  </cols>
  <sheetData>
    <row r="1">
      <c r="A1" s="1" t="inlineStr">
        <is>
          <t>Horario - Profesor de F en 10-3</t>
        </is>
      </c>
    </row>
    <row r="3">
      <c r="A3" s="2" t="inlineStr">
        <is>
          <t>Turno</t>
        </is>
      </c>
      <c r="B3" s="2" t="inlineStr">
        <is>
          <t>V</t>
        </is>
      </c>
      <c r="C3" s="2" t="inlineStr">
        <is>
          <t>J</t>
        </is>
      </c>
      <c r="D3" s="2" t="inlineStr">
        <is>
          <t>MI</t>
        </is>
      </c>
    </row>
    <row r="4">
      <c r="A4" s="3" t="n">
        <v>1</v>
      </c>
      <c r="B4" s="3">
        <f>IF(COUNTIF('Casillas del horario'!$S$4:$S$73,"Profesor de F en 10-3"&amp;"|"&amp;$A4&amp;"|"&amp;B$3)&gt;1,IFERROR(IF(INDEX('Casillas del horario'!$A$4:$A$73,MATCH("Profesor de F en 10-3"&amp;"|"&amp;$A4&amp;"|"&amp;B$3,'Casillas del horario'!$S$4:$S$73,0))="","",INDEX('Casillas del horario'!$A$4:$A$73,MATCH("Profesor de F en 10-3"&amp;"|"&amp;$A4&amp;"|"&amp;B$3,'Casillas del horario'!$S$4:$S$73,0))),"")&amp;" (+"&amp;(COUNTIF('Casillas del horario'!$S$4:$S$73,"Profesor de F en 10-3"&amp;"|"&amp;$A4&amp;"|"&amp;B$3)-1)&amp;")",IFERROR(IF(INDEX('Casillas del horario'!$A$4:$A$73,MATCH("Profesor de F en 10-3"&amp;"|"&amp;$A4&amp;"|"&amp;B$3,'Casillas del horario'!$S$4:$S$73,0))="","",INDEX('Casillas del horario'!$A$4:$A$73,MATCH("Profesor de F en 10-3"&amp;"|"&amp;$A4&amp;"|"&amp;B$3,'Casillas del horario'!$S$4:$S$73,0))),""))</f>
        <v/>
      </c>
      <c r="C4" s="3">
        <f>IF(COUNTIF('Casillas del horario'!$S$4:$S$73,"Profesor de F en 10-3"&amp;"|"&amp;$A4&amp;"|"&amp;C$3)&gt;1,IFERROR(IF(INDEX('Casillas del horario'!$A$4:$A$73,MATCH("Profesor de F en 10-3"&amp;"|"&amp;$A4&amp;"|"&amp;C$3,'Casillas del horario'!$S$4:$S$73,0))="","",INDEX('Casillas del horario'!$A$4:$A$73,MATCH("Profesor de F en 10-3"&amp;"|"&amp;$A4&amp;"|"&amp;C$3,'Casillas del horario'!$S$4:$S$73,0))),"")&amp;" (+"&amp;(COUNTIF('Casillas del horario'!$S$4:$S$73,"Profesor de F en 10-3"&amp;"|"&amp;$A4&amp;"|"&amp;C$3)-1)&amp;")",IFERROR(IF(INDEX('Casillas del horario'!$A$4:$A$73,MATCH("Profesor de F en 10-3"&amp;"|"&amp;$A4&amp;"|"&amp;C$3,'Casillas del horario'!$S$4:$S$73,0))="","",INDEX('Casillas del horario'!$A$4:$A$73,MATCH("Profesor de F en 10-3"&amp;"|"&amp;$A4&amp;"|"&amp;C$3,'Casillas del horario'!$S$4:$S$73,0))),""))</f>
        <v/>
      </c>
      <c r="D4" s="3">
        <f>IF(COUNTIF('Casillas del horario'!$S$4:$S$73,"Profesor de F en 10-3"&amp;"|"&amp;$A4&amp;"|"&amp;D$3)&gt;1,IFERROR(IF(INDEX('Casillas del horario'!$A$4:$A$73,MATCH("Profesor de F en 10-3"&amp;"|"&amp;$A4&amp;"|"&amp;D$3,'Casillas del horario'!$S$4:$S$73,0))="","",INDEX('Casillas del horario'!$A$4:$A$73,MATCH("Profesor de F en 10-3"&amp;"|"&amp;$A4&amp;"|"&amp;D$3,'Casillas del horario'!$S$4:$S$73,0))),"")&amp;" (+"&amp;(COUNTIF('Casillas del horario'!$S$4:$S$73,"Profesor de F en 10-3"&amp;"|"&amp;$A4&amp;"|"&amp;D$3)-1)&amp;")",IFERROR(IF(INDEX('Casillas del horario'!$A$4:$A$73,MATCH("Profesor de F en 10-3"&amp;"|"&amp;$A4&amp;"|"&amp;D$3,'Casillas del horario'!$S$4:$S$73,0))="","",INDEX('Casillas del horario'!$A$4:$A$73,MATCH("Profesor de F en 10-3"&amp;"|"&amp;$A4&amp;"|"&amp;D$3,'Casillas del horario'!$S$4:$S$73,0))),""))</f>
        <v/>
      </c>
    </row>
    <row r="5">
      <c r="A5" s="3" t="n">
        <v>2</v>
      </c>
      <c r="B5" s="3">
        <f>IF(COUNTIF('Casillas del horario'!$S$4:$S$73,"Profesor de F en 10-3"&amp;"|"&amp;$A5&amp;"|"&amp;B$3)&gt;1,IFERROR(IF(INDEX('Casillas del horario'!$A$4:$A$73,MATCH("Profesor de F en 10-3"&amp;"|"&amp;$A5&amp;"|"&amp;B$3,'Casillas del horario'!$S$4:$S$73,0))="","",INDEX('Casillas del horario'!$A$4:$A$73,MATCH("Profesor de F en 10-3"&amp;"|"&amp;$A5&amp;"|"&amp;B$3,'Casillas del horario'!$S$4:$S$73,0))),"")&amp;" (+"&amp;(COUNTIF('Casillas del horario'!$S$4:$S$73,"Profesor de F en 10-3"&amp;"|"&amp;$A5&amp;"|"&amp;B$3)-1)&amp;")",IFERROR(IF(INDEX('Casillas del horario'!$A$4:$A$73,MATCH("Profesor de F en 10-3"&amp;"|"&amp;$A5&amp;"|"&amp;B$3,'Casillas del horario'!$S$4:$S$73,0))="","",INDEX('Casillas del horario'!$A$4:$A$73,MATCH("Profesor de F en 10-3"&amp;"|"&amp;$A5&amp;"|"&amp;B$3,'Casillas del horario'!$S$4:$S$73,0))),""))</f>
        <v/>
      </c>
      <c r="C5" s="3">
        <f>IF(COUNTIF('Casillas del horario'!$S$4:$S$73,"Profesor de F en 10-3"&amp;"|"&amp;$A5&amp;"|"&amp;C$3)&gt;1,IFERROR(IF(INDEX('Casillas del horario'!$A$4:$A$73,MATCH("Profesor de F en 10-3"&amp;"|"&amp;$A5&amp;"|"&amp;C$3,'Casillas del horario'!$S$4:$S$73,0))="","",INDEX('Casillas del horario'!$A$4:$A$73,MATCH("Profesor de F en 10-3"&amp;"|"&amp;$A5&amp;"|"&amp;C$3,'Casillas del horario'!$S$4:$S$73,0))),"")&amp;" (+"&amp;(COUNTIF('Casillas del horario'!$S$4:$S$73,"Profesor de F en 10-3"&amp;"|"&amp;$A5&amp;"|"&amp;C$3)-1)&amp;")",IFERROR(IF(INDEX('Casillas del horario'!$A$4:$A$73,MATCH("Profesor de F en 10-3"&amp;"|"&amp;$A5&amp;"|"&amp;C$3,'Casillas del horario'!$S$4:$S$73,0))="","",INDEX('Casillas del horario'!$A$4:$A$73,MATCH("Profesor de F en 10-3"&amp;"|"&amp;$A5&amp;"|"&amp;C$3,'Casillas del horario'!$S$4:$S$73,0))),""))</f>
        <v/>
      </c>
      <c r="D5" s="3">
        <f>IF(COUNTIF('Casillas del horario'!$S$4:$S$73,"Profesor de F en 10-3"&amp;"|"&amp;$A5&amp;"|"&amp;D$3)&gt;1,IFERROR(IF(INDEX('Casillas del horario'!$A$4:$A$73,MATCH("Profesor de F en 10-3"&amp;"|"&amp;$A5&amp;"|"&amp;D$3,'Casillas del horario'!$S$4:$S$73,0))="","",INDEX('Casillas del horario'!$A$4:$A$73,MATCH("Profesor de F en 10-3"&amp;"|"&amp;$A5&amp;"|"&amp;D$3,'Casillas del horario'!$S$4:$S$73,0))),"")&amp;" (+"&amp;(COUNTIF('Casillas del horario'!$S$4:$S$73,"Profesor de F en 10-3"&amp;"|"&amp;$A5&amp;"|"&amp;D$3)-1)&amp;")",IFERROR(IF(INDEX('Casillas del horario'!$A$4:$A$73,MATCH("Profesor de F en 10-3"&amp;"|"&amp;$A5&amp;"|"&amp;D$3,'Casillas del horario'!$S$4:$S$73,0))="","",INDEX('Casillas del horario'!$A$4:$A$73,MATCH("Profesor de F en 10-3"&amp;"|"&amp;$A5&amp;"|"&amp;D$3,'Casillas del horario'!$S$4:$S$73,0))),""))</f>
        <v/>
      </c>
    </row>
    <row r="6">
      <c r="A6" s="3" t="n">
        <v>6</v>
      </c>
      <c r="B6" s="3">
        <f>IF(COUNTIF('Casillas del horario'!$S$4:$S$73,"Profesor de F en 10-3"&amp;"|"&amp;$A6&amp;"|"&amp;B$3)&gt;1,IFERROR(IF(INDEX('Casillas del horario'!$A$4:$A$73,MATCH("Profesor de F en 10-3"&amp;"|"&amp;$A6&amp;"|"&amp;B$3,'Casillas del horario'!$S$4:$S$73,0))="","",INDEX('Casillas del horario'!$A$4:$A$73,MATCH("Profesor de F en 10-3"&amp;"|"&amp;$A6&amp;"|"&amp;B$3,'Casillas del horario'!$S$4:$S$73,0))),"")&amp;" (+"&amp;(COUNTIF('Casillas del horario'!$S$4:$S$73,"Profesor de F en 10-3"&amp;"|"&amp;$A6&amp;"|"&amp;B$3)-1)&amp;")",IFERROR(IF(INDEX('Casillas del horario'!$A$4:$A$73,MATCH("Profesor de F en 10-3"&amp;"|"&amp;$A6&amp;"|"&amp;B$3,'Casillas del horario'!$S$4:$S$73,0))="","",INDEX('Casillas del horario'!$A$4:$A$73,MATCH("Profesor de F en 10-3"&amp;"|"&amp;$A6&amp;"|"&amp;B$3,'Casillas del horario'!$S$4:$S$73,0))),""))</f>
        <v/>
      </c>
      <c r="C6" s="3">
        <f>IF(COUNTIF('Casillas del horario'!$S$4:$S$73,"Profesor de F en 10-3"&amp;"|"&amp;$A6&amp;"|"&amp;C$3)&gt;1,IFERROR(IF(INDEX('Casillas del horario'!$A$4:$A$73,MATCH("Profesor de F en 10-3"&amp;"|"&amp;$A6&amp;"|"&amp;C$3,'Casillas del horario'!$S$4:$S$73,0))="","",INDEX('Casillas del horario'!$A$4:$A$73,MATCH("Profesor de F en 10-3"&amp;"|"&amp;$A6&amp;"|"&amp;C$3,'Casillas del horario'!$S$4:$S$73,0))),"")&amp;" (+"&amp;(COUNTIF('Casillas del horario'!$S$4:$S$73,"Profesor de F en 10-3"&amp;"|"&amp;$A6&amp;"|"&amp;C$3)-1)&amp;")",IFERROR(IF(INDEX('Casillas del horario'!$A$4:$A$73,MATCH("Profesor de F en 10-3"&amp;"|"&amp;$A6&amp;"|"&amp;C$3,'Casillas del horario'!$S$4:$S$73,0))="","",INDEX('Casillas del horario'!$A$4:$A$73,MATCH("Profesor de F en 10-3"&amp;"|"&amp;$A6&amp;"|"&amp;C$3,'Casillas del horario'!$S$4:$S$73,0))),""))</f>
        <v/>
      </c>
      <c r="D6" s="3">
        <f>IF(COUNTIF('Casillas del horario'!$S$4:$S$73,"Profesor de F en 10-3"&amp;"|"&amp;$A6&amp;"|"&amp;D$3)&gt;1,IFERROR(IF(INDEX('Casillas del horario'!$A$4:$A$73,MATCH("Profesor de F en 10-3"&amp;"|"&amp;$A6&amp;"|"&amp;D$3,'Casillas del horario'!$S$4:$S$73,0))="","",INDEX('Casillas del horario'!$A$4:$A$73,MATCH("Profesor de F en 10-3"&amp;"|"&amp;$A6&amp;"|"&amp;D$3,'Casillas del horario'!$S$4:$S$73,0))),"")&amp;" (+"&amp;(COUNTIF('Casillas del horario'!$S$4:$S$73,"Profesor de F en 10-3"&amp;"|"&amp;$A6&amp;"|"&amp;D$3)-1)&amp;")",IFERROR(IF(INDEX('Casillas del horario'!$A$4:$A$73,MATCH("Profesor de F en 10-3"&amp;"|"&amp;$A6&amp;"|"&amp;D$3,'Casillas del horario'!$S$4:$S$73,0))="","",INDEX('Casillas del horario'!$A$4:$A$73,MATCH("Profesor de F en 10-3"&amp;"|"&amp;$A6&amp;"|"&amp;D$3,'Casillas del horario'!$S$4:$S$73,0))),""))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EA9DB"/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>
      <c r="A1" s="1" t="inlineStr">
        <is>
          <t>Horario - Profesor de M en 10-4</t>
        </is>
      </c>
    </row>
    <row r="3">
      <c r="A3" s="2" t="inlineStr">
        <is>
          <t>Turno</t>
        </is>
      </c>
      <c r="B3" s="2" t="inlineStr">
        <is>
          <t>L</t>
        </is>
      </c>
      <c r="C3" s="2" t="inlineStr">
        <is>
          <t>MI</t>
        </is>
      </c>
      <c r="D3" s="2" t="inlineStr">
        <is>
          <t>J</t>
        </is>
      </c>
      <c r="E3" s="2" t="inlineStr">
        <is>
          <t>V</t>
        </is>
      </c>
    </row>
    <row r="4">
      <c r="A4" s="3" t="n">
        <v>1</v>
      </c>
      <c r="B4" s="3">
        <f>IF(COUNTIF('Casillas del horario'!$S$4:$S$73,"Profesor de M en 10-4"&amp;"|"&amp;$A4&amp;"|"&amp;B$3)&gt;1,IFERROR(IF(INDEX('Casillas del horario'!$A$4:$A$73,MATCH("Profesor de M en 10-4"&amp;"|"&amp;$A4&amp;"|"&amp;B$3,'Casillas del horario'!$S$4:$S$73,0))="","",INDEX('Casillas del horario'!$A$4:$A$73,MATCH("Profesor de M en 10-4"&amp;"|"&amp;$A4&amp;"|"&amp;B$3,'Casillas del horario'!$S$4:$S$73,0))),"")&amp;" (+"&amp;(COUNTIF('Casillas del horario'!$S$4:$S$73,"Profesor de M en 10-4"&amp;"|"&amp;$A4&amp;"|"&amp;B$3)-1)&amp;")",IFERROR(IF(INDEX('Casillas del horario'!$A$4:$A$73,MATCH("Profesor de M en 10-4"&amp;"|"&amp;$A4&amp;"|"&amp;B$3,'Casillas del horario'!$S$4:$S$73,0))="","",INDEX('Casillas del horario'!$A$4:$A$73,MATCH("Profesor de M en 10-4"&amp;"|"&amp;$A4&amp;"|"&amp;B$3,'Casillas del horario'!$S$4:$S$73,0))),""))</f>
        <v/>
      </c>
      <c r="C4" s="3">
        <f>IF(COUNTIF('Casillas del horario'!$S$4:$S$73,"Profesor de M en 10-4"&amp;"|"&amp;$A4&amp;"|"&amp;C$3)&gt;1,IFERROR(IF(INDEX('Casillas del horario'!$A$4:$A$73,MATCH("Profesor de M en 10-4"&amp;"|"&amp;$A4&amp;"|"&amp;C$3,'Casillas del horario'!$S$4:$S$73,0))="","",INDEX('Casillas del horario'!$A$4:$A$73,MATCH("Profesor de M en 10-4"&amp;"|"&amp;$A4&amp;"|"&amp;C$3,'Casillas del horario'!$S$4:$S$73,0))),"")&amp;" (+"&amp;(COUNTIF('Casillas del horario'!$S$4:$S$73,"Profesor de M en 10-4"&amp;"|"&amp;$A4&amp;"|"&amp;C$3)-1)&amp;")",IFERROR(IF(INDEX('Casillas del horario'!$A$4:$A$73,MATCH("Profesor de M en 10-4"&amp;"|"&amp;$A4&amp;"|"&amp;C$3,'Casillas del horario'!$S$4:$S$73,0))="","",INDEX('Casillas del horario'!$A$4:$A$73,MATCH("Profesor de M en 10-4"&amp;"|"&amp;$A4&amp;"|"&amp;C$3,'Casillas del horario'!$S$4:$S$73,0))),""))</f>
        <v/>
      </c>
      <c r="D4" s="3">
        <f>IF(COUNTIF('Casillas del horario'!$S$4:$S$73,"Profesor de M en 10-4"&amp;"|"&amp;$A4&amp;"|"&amp;D$3)&gt;1,IFERROR(IF(INDEX('Casillas del horario'!$A$4:$A$73,MATCH("Profesor de M en 10-4"&amp;"|"&amp;$A4&amp;"|"&amp;D$3,'Casillas del horario'!$S$4:$S$73,0))="","",INDEX('Casillas del horario'!$A$4:$A$73,MATCH("Profesor de M en 10-4"&amp;"|"&amp;$A4&amp;"|"&amp;D$3,'Casillas del horario'!$S$4:$S$73,0))),"")&amp;" (+"&amp;(COUNTIF('Casillas del horario'!$S$4:$S$73,"Profesor de M en 10-4"&amp;"|"&amp;$A4&amp;"|"&amp;D$3)-1)&amp;")",IFERROR(IF(INDEX('Casillas del horario'!$A$4:$A$73,MATCH("Profesor de M en 10-4"&amp;"|"&amp;$A4&amp;"|"&amp;D$3,'Casillas del horario'!$S$4:$S$73,0))="","",INDEX('Casillas del horario'!$A$4:$A$73,MATCH("Profesor de M en 10-4"&amp;"|"&amp;$A4&amp;"|"&amp;D$3,'Casillas del horario'!$S$4:$S$73,0))),""))</f>
        <v/>
      </c>
      <c r="E4" s="3">
        <f>IF(COUNTIF('Casillas del horario'!$S$4:$S$73,"Profesor de M en 10-4"&amp;"|"&amp;$A4&amp;"|"&amp;E$3)&gt;1,IFERROR(IF(INDEX('Casillas del horario'!$A$4:$A$73,MATCH("Profesor de M en 10-4"&amp;"|"&amp;$A4&amp;"|"&amp;E$3,'Casillas del horario'!$S$4:$S$73,0))="","",INDEX('Casillas del horario'!$A$4:$A$73,MATCH("Profesor de M en 10-4"&amp;"|"&amp;$A4&amp;"|"&amp;E$3,'Casillas del horario'!$S$4:$S$73,0))),"")&amp;" (+"&amp;(COUNTIF('Casillas del horario'!$S$4:$S$73,"Profesor de M en 10-4"&amp;"|"&amp;$A4&amp;"|"&amp;E$3)-1)&amp;")",IFERROR(IF(INDEX('Casillas del horario'!$A$4:$A$73,MATCH("Profesor de M en 10-4"&amp;"|"&amp;$A4&amp;"|"&amp;E$3,'Casillas del horario'!$S$4:$S$73,0))="","",INDEX('Casillas del horario'!$A$4:$A$73,MATCH("Profesor de M en 10-4"&amp;"|"&amp;$A4&amp;"|"&amp;E$3,'Casillas del horario'!$S$4:$S$73,0))),""))</f>
        <v/>
      </c>
    </row>
    <row r="5">
      <c r="A5" s="3" t="n">
        <v>2</v>
      </c>
      <c r="B5" s="3">
        <f>IF(COUNTIF('Casillas del horario'!$S$4:$S$73,"Profesor de M en 10-4"&amp;"|"&amp;$A5&amp;"|"&amp;B$3)&gt;1,IFERROR(IF(INDEX('Casillas del horario'!$A$4:$A$73,MATCH("Profesor de M en 10-4"&amp;"|"&amp;$A5&amp;"|"&amp;B$3,'Casillas del horario'!$S$4:$S$73,0))="","",INDEX('Casillas del horario'!$A$4:$A$73,MATCH("Profesor de M en 10-4"&amp;"|"&amp;$A5&amp;"|"&amp;B$3,'Casillas del horario'!$S$4:$S$73,0))),"")&amp;" (+"&amp;(COUNTIF('Casillas del horario'!$S$4:$S$73,"Profesor de M en 10-4"&amp;"|"&amp;$A5&amp;"|"&amp;B$3)-1)&amp;")",IFERROR(IF(INDEX('Casillas del horario'!$A$4:$A$73,MATCH("Profesor de M en 10-4"&amp;"|"&amp;$A5&amp;"|"&amp;B$3,'Casillas del horario'!$S$4:$S$73,0))="","",INDEX('Casillas del horario'!$A$4:$A$73,MATCH("Profesor de M en 10-4"&amp;"|"&amp;$A5&amp;"|"&amp;B$3,'Casillas del horario'!$S$4:$S$73,0))),""))</f>
        <v/>
      </c>
      <c r="C5" s="3">
        <f>IF(COUNTIF('Casillas del horario'!$S$4:$S$73,"Profesor de M en 10-4"&amp;"|"&amp;$A5&amp;"|"&amp;C$3)&gt;1,IFERROR(IF(INDEX('Casillas del horario'!$A$4:$A$73,MATCH("Profesor de M en 10-4"&amp;"|"&amp;$A5&amp;"|"&amp;C$3,'Casillas del horario'!$S$4:$S$73,0))="","",INDEX('Casillas del horario'!$A$4:$A$73,MATCH("Profesor de M en 10-4"&amp;"|"&amp;$A5&amp;"|"&amp;C$3,'Casillas del horario'!$S$4:$S$73,0))),"")&amp;" (+"&amp;(COUNTIF('Casillas del horario'!$S$4:$S$73,"Profesor de M en 10-4"&amp;"|"&amp;$A5&amp;"|"&amp;C$3)-1)&amp;")",IFERROR(IF(INDEX('Casillas del horario'!$A$4:$A$73,MATCH("Profesor de M en 10-4"&amp;"|"&amp;$A5&amp;"|"&amp;C$3,'Casillas del horario'!$S$4:$S$73,0))="","",INDEX('Casillas del horario'!$A$4:$A$73,MATCH("Profesor de M en 10-4"&amp;"|"&amp;$A5&amp;"|"&amp;C$3,'Casillas del horario'!$S$4:$S$73,0))),""))</f>
        <v/>
      </c>
      <c r="D5" s="3">
        <f>IF(COUNTIF('Casillas del horario'!$S$4:$S$73,"Profesor de M en 10-4"&amp;"|"&amp;$A5&amp;"|"&amp;D$3)&gt;1,IFERROR(IF(INDEX('Casillas del horario'!$A$4:$A$73,MATCH("Profesor de M en 10-4"&amp;"|"&amp;$A5&amp;"|"&amp;D$3,'Casillas del horario'!$S$4:$S$73,0))="","",INDEX('Casillas del horario'!$A$4:$A$73,MATCH("Profesor de M en 10-4"&amp;"|"&amp;$A5&amp;"|"&amp;D$3,'Casillas del horario'!$S$4:$S$73,0))),"")&amp;" (+"&amp;(COUNTIF('Casillas del horario'!$S$4:$S$73,"Profesor de M en 10-4"&amp;"|"&amp;$A5&amp;"|"&amp;D$3)-1)&amp;")",IFERROR(IF(INDEX('Casillas del horario'!$A$4:$A$73,MATCH("Profesor de M en 10-4"&amp;"|"&amp;$A5&amp;"|"&amp;D$3,'Casillas del horario'!$S$4:$S$73,0))="","",INDEX('Casillas del horario'!$A$4:$A$73,MATCH("Profesor de M en 10-4"&amp;"|"&amp;$A5&amp;"|"&amp;D$3,'Casillas del horario'!$S$4:$S$73,0))),""))</f>
        <v/>
      </c>
      <c r="E5" s="3">
        <f>IF(COUNTIF('Casillas del horario'!$S$4:$S$73,"Profesor de M en 10-4"&amp;"|"&amp;$A5&amp;"|"&amp;E$3)&gt;1,IFERROR(IF(INDEX('Casillas del horario'!$A$4:$A$73,MATCH("Profesor de M en 10-4"&amp;"|"&amp;$A5&amp;"|"&amp;E$3,'Casillas del horario'!$S$4:$S$73,0))="","",INDEX('Casillas del horario'!$A$4:$A$73,MATCH("Profesor de M en 10-4"&amp;"|"&amp;$A5&amp;"|"&amp;E$3,'Casillas del horario'!$S$4:$S$73,0))),"")&amp;" (+"&amp;(COUNTIF('Casillas del horario'!$S$4:$S$73,"Profesor de M en 10-4"&amp;"|"&amp;$A5&amp;"|"&amp;E$3)-1)&amp;")",IFERROR(IF(INDEX('Casillas del horario'!$A$4:$A$73,MATCH("Profesor de M en 10-4"&amp;"|"&amp;$A5&amp;"|"&amp;E$3,'Casillas del horario'!$S$4:$S$73,0))="","",INDEX('Casillas del horario'!$A$4:$A$73,MATCH("Profesor de M en 10-4"&amp;"|"&amp;$A5&amp;"|"&amp;E$3,'Casillas del horario'!$S$4:$S$73,0))),""))</f>
        <v/>
      </c>
    </row>
    <row r="6">
      <c r="A6" s="3" t="n">
        <v>3</v>
      </c>
      <c r="B6" s="3">
        <f>IF(COUNTIF('Casillas del horario'!$S$4:$S$73,"Profesor de M en 10-4"&amp;"|"&amp;$A6&amp;"|"&amp;B$3)&gt;1,IFERROR(IF(INDEX('Casillas del horario'!$A$4:$A$73,MATCH("Profesor de M en 10-4"&amp;"|"&amp;$A6&amp;"|"&amp;B$3,'Casillas del horario'!$S$4:$S$73,0))="","",INDEX('Casillas del horario'!$A$4:$A$73,MATCH("Profesor de M en 10-4"&amp;"|"&amp;$A6&amp;"|"&amp;B$3,'Casillas del horario'!$S$4:$S$73,0))),"")&amp;" (+"&amp;(COUNTIF('Casillas del horario'!$S$4:$S$73,"Profesor de M en 10-4"&amp;"|"&amp;$A6&amp;"|"&amp;B$3)-1)&amp;")",IFERROR(IF(INDEX('Casillas del horario'!$A$4:$A$73,MATCH("Profesor de M en 10-4"&amp;"|"&amp;$A6&amp;"|"&amp;B$3,'Casillas del horario'!$S$4:$S$73,0))="","",INDEX('Casillas del horario'!$A$4:$A$73,MATCH("Profesor de M en 10-4"&amp;"|"&amp;$A6&amp;"|"&amp;B$3,'Casillas del horario'!$S$4:$S$73,0))),""))</f>
        <v/>
      </c>
      <c r="C6" s="3">
        <f>IF(COUNTIF('Casillas del horario'!$S$4:$S$73,"Profesor de M en 10-4"&amp;"|"&amp;$A6&amp;"|"&amp;C$3)&gt;1,IFERROR(IF(INDEX('Casillas del horario'!$A$4:$A$73,MATCH("Profesor de M en 10-4"&amp;"|"&amp;$A6&amp;"|"&amp;C$3,'Casillas del horario'!$S$4:$S$73,0))="","",INDEX('Casillas del horario'!$A$4:$A$73,MATCH("Profesor de M en 10-4"&amp;"|"&amp;$A6&amp;"|"&amp;C$3,'Casillas del horario'!$S$4:$S$73,0))),"")&amp;" (+"&amp;(COUNTIF('Casillas del horario'!$S$4:$S$73,"Profesor de M en 10-4"&amp;"|"&amp;$A6&amp;"|"&amp;C$3)-1)&amp;")",IFERROR(IF(INDEX('Casillas del horario'!$A$4:$A$73,MATCH("Profesor de M en 10-4"&amp;"|"&amp;$A6&amp;"|"&amp;C$3,'Casillas del horario'!$S$4:$S$73,0))="","",INDEX('Casillas del horario'!$A$4:$A$73,MATCH("Profesor de M en 10-4"&amp;"|"&amp;$A6&amp;"|"&amp;C$3,'Casillas del horario'!$S$4:$S$73,0))),""))</f>
        <v/>
      </c>
      <c r="D6" s="3">
        <f>IF(COUNTIF('Casillas del horario'!$S$4:$S$73,"Profesor de M en 10-4"&amp;"|"&amp;$A6&amp;"|"&amp;D$3)&gt;1,IFERROR(IF(INDEX('Casillas del horario'!$A$4:$A$73,MATCH("Profesor de M en 10-4"&amp;"|"&amp;$A6&amp;"|"&amp;D$3,'Casillas del horario'!$S$4:$S$73,0))="","",INDEX('Casillas del horario'!$A$4:$A$73,MATCH("Profesor de M en 10-4"&amp;"|"&amp;$A6&amp;"|"&amp;D$3,'Casillas del horario'!$S$4:$S$73,0))),"")&amp;" (+"&amp;(COUNTIF('Casillas del horario'!$S$4:$S$73,"Profesor de M en 10-4"&amp;"|"&amp;$A6&amp;"|"&amp;D$3)-1)&amp;")",IFERROR(IF(INDEX('Casillas del horario'!$A$4:$A$73,MATCH("Profesor de M en 10-4"&amp;"|"&amp;$A6&amp;"|"&amp;D$3,'Casillas del horario'!$S$4:$S$73,0))="","",INDEX('Casillas del horario'!$A$4:$A$73,MATCH("Profesor de M en 10-4"&amp;"|"&amp;$A6&amp;"|"&amp;D$3,'Casillas del horario'!$S$4:$S$73,0))),""))</f>
        <v/>
      </c>
      <c r="E6" s="3">
        <f>IF(COUNTIF('Casillas del horario'!$S$4:$S$73,"Profesor de M en 10-4"&amp;"|"&amp;$A6&amp;"|"&amp;E$3)&gt;1,IFERROR(IF(INDEX('Casillas del horario'!$A$4:$A$73,MATCH("Profesor de M en 10-4"&amp;"|"&amp;$A6&amp;"|"&amp;E$3,'Casillas del horario'!$S$4:$S$73,0))="","",INDEX('Casillas del horario'!$A$4:$A$73,MATCH("Profesor de M en 10-4"&amp;"|"&amp;$A6&amp;"|"&amp;E$3,'Casillas del horario'!$S$4:$S$73,0))),"")&amp;" (+"&amp;(COUNTIF('Casillas del horario'!$S$4:$S$73,"Profesor de M en 10-4"&amp;"|"&amp;$A6&amp;"|"&amp;E$3)-1)&amp;")",IFERROR(IF(INDEX('Casillas del horario'!$A$4:$A$73,MATCH("Profesor de M en 10-4"&amp;"|"&amp;$A6&amp;"|"&amp;E$3,'Casillas del horario'!$S$4:$S$73,0))="","",INDEX('Casillas del horario'!$A$4:$A$73,MATCH("Profesor de M en 10-4"&amp;"|"&amp;$A6&amp;"|"&amp;E$3,'Casillas del horario'!$S$4:$S$73,0))),""))</f>
        <v/>
      </c>
    </row>
    <row r="7">
      <c r="A7" s="3" t="n">
        <v>6</v>
      </c>
      <c r="B7" s="3">
        <f>IF(COUNTIF('Casillas del horario'!$S$4:$S$73,"Profesor de M en 10-4"&amp;"|"&amp;$A7&amp;"|"&amp;B$3)&gt;1,IFERROR(IF(INDEX('Casillas del horario'!$A$4:$A$73,MATCH("Profesor de M en 10-4"&amp;"|"&amp;$A7&amp;"|"&amp;B$3,'Casillas del horario'!$S$4:$S$73,0))="","",INDEX('Casillas del horario'!$A$4:$A$73,MATCH("Profesor de M en 10-4"&amp;"|"&amp;$A7&amp;"|"&amp;B$3,'Casillas del horario'!$S$4:$S$73,0))),"")&amp;" (+"&amp;(COUNTIF('Casillas del horario'!$S$4:$S$73,"Profesor de M en 10-4"&amp;"|"&amp;$A7&amp;"|"&amp;B$3)-1)&amp;")",IFERROR(IF(INDEX('Casillas del horario'!$A$4:$A$73,MATCH("Profesor de M en 10-4"&amp;"|"&amp;$A7&amp;"|"&amp;B$3,'Casillas del horario'!$S$4:$S$73,0))="","",INDEX('Casillas del horario'!$A$4:$A$73,MATCH("Profesor de M en 10-4"&amp;"|"&amp;$A7&amp;"|"&amp;B$3,'Casillas del horario'!$S$4:$S$73,0))),""))</f>
        <v/>
      </c>
      <c r="C7" s="3">
        <f>IF(COUNTIF('Casillas del horario'!$S$4:$S$73,"Profesor de M en 10-4"&amp;"|"&amp;$A7&amp;"|"&amp;C$3)&gt;1,IFERROR(IF(INDEX('Casillas del horario'!$A$4:$A$73,MATCH("Profesor de M en 10-4"&amp;"|"&amp;$A7&amp;"|"&amp;C$3,'Casillas del horario'!$S$4:$S$73,0))="","",INDEX('Casillas del horario'!$A$4:$A$73,MATCH("Profesor de M en 10-4"&amp;"|"&amp;$A7&amp;"|"&amp;C$3,'Casillas del horario'!$S$4:$S$73,0))),"")&amp;" (+"&amp;(COUNTIF('Casillas del horario'!$S$4:$S$73,"Profesor de M en 10-4"&amp;"|"&amp;$A7&amp;"|"&amp;C$3)-1)&amp;")",IFERROR(IF(INDEX('Casillas del horario'!$A$4:$A$73,MATCH("Profesor de M en 10-4"&amp;"|"&amp;$A7&amp;"|"&amp;C$3,'Casillas del horario'!$S$4:$S$73,0))="","",INDEX('Casillas del horario'!$A$4:$A$73,MATCH("Profesor de M en 10-4"&amp;"|"&amp;$A7&amp;"|"&amp;C$3,'Casillas del horario'!$S$4:$S$73,0))),""))</f>
        <v/>
      </c>
      <c r="D7" s="3">
        <f>IF(COUNTIF('Casillas del horario'!$S$4:$S$73,"Profesor de M en 10-4"&amp;"|"&amp;$A7&amp;"|"&amp;D$3)&gt;1,IFERROR(IF(INDEX('Casillas del horario'!$A$4:$A$73,MATCH("Profesor de M en 10-4"&amp;"|"&amp;$A7&amp;"|"&amp;D$3,'Casillas del horario'!$S$4:$S$73,0))="","",INDEX('Casillas del horario'!$A$4:$A$73,MATCH("Profesor de M en 10-4"&amp;"|"&amp;$A7&amp;"|"&amp;D$3,'Casillas del horario'!$S$4:$S$73,0))),"")&amp;" (+"&amp;(COUNTIF('Casillas del horario'!$S$4:$S$73,"Profesor de M en 10-4"&amp;"|"&amp;$A7&amp;"|"&amp;D$3)-1)&amp;")",IFERROR(IF(INDEX('Casillas del horario'!$A$4:$A$73,MATCH("Profesor de M en 10-4"&amp;"|"&amp;$A7&amp;"|"&amp;D$3,'Casillas del horario'!$S$4:$S$73,0))="","",INDEX('Casillas del horario'!$A$4:$A$73,MATCH("Profesor de M en 10-4"&amp;"|"&amp;$A7&amp;"|"&amp;D$3,'Casillas del horario'!$S$4:$S$73,0))),""))</f>
        <v/>
      </c>
      <c r="E7" s="3">
        <f>IF(COUNTIF('Casillas del horario'!$S$4:$S$73,"Profesor de M en 10-4"&amp;"|"&amp;$A7&amp;"|"&amp;E$3)&gt;1,IFERROR(IF(INDEX('Casillas del horario'!$A$4:$A$73,MATCH("Profesor de M en 10-4"&amp;"|"&amp;$A7&amp;"|"&amp;E$3,'Casillas del horario'!$S$4:$S$73,0))="","",INDEX('Casillas del horario'!$A$4:$A$73,MATCH("Profesor de M en 10-4"&amp;"|"&amp;$A7&amp;"|"&amp;E$3,'Casillas del horario'!$S$4:$S$73,0))),"")&amp;" (+"&amp;(COUNTIF('Casillas del horario'!$S$4:$S$73,"Profesor de M en 10-4"&amp;"|"&amp;$A7&amp;"|"&amp;E$3)-1)&amp;")",IFERROR(IF(INDEX('Casillas del horario'!$A$4:$A$73,MATCH("Profesor de M en 10-4"&amp;"|"&amp;$A7&amp;"|"&amp;E$3,'Casillas del horario'!$S$4:$S$73,0))="","",INDEX('Casillas del horario'!$A$4:$A$73,MATCH("Profesor de M en 10-4"&amp;"|"&amp;$A7&amp;"|"&amp;E$3,'Casillas del horario'!$S$4:$S$73,0))),""))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EA9DB"/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42" customWidth="1" min="3" max="3"/>
    <col width="42" customWidth="1" min="4" max="4"/>
  </cols>
  <sheetData>
    <row r="1">
      <c r="A1" s="1" t="inlineStr">
        <is>
          <t>Profesor de Lit-L en 10-4</t>
        </is>
      </c>
    </row>
    <row r="3">
      <c r="A3" s="2" t="inlineStr">
        <is>
          <t>Turno</t>
        </is>
      </c>
      <c r="B3" s="2" t="inlineStr">
        <is>
          <t>M</t>
        </is>
      </c>
      <c r="C3" s="2" t="inlineStr">
        <is>
          <t>V</t>
        </is>
      </c>
      <c r="D3" s="2" t="inlineStr">
        <is>
          <t>J</t>
        </is>
      </c>
    </row>
    <row r="4">
      <c r="A4" s="3" t="n">
        <v>1</v>
      </c>
      <c r="B4" s="3">
        <f>IF(COUNTIF('Casillas del horario'!$S$4:$S$73,"Profesor de Lit-L en 10-4"&amp;"|"&amp;$A4&amp;"|"&amp;B$3)&gt;1,IFERROR(IF(INDEX('Casillas del horario'!$A$4:$A$73,MATCH("Profesor de Lit-L en 10-4"&amp;"|"&amp;$A4&amp;"|"&amp;B$3,'Casillas del horario'!$S$4:$S$73,0))="","",INDEX('Casillas del horario'!$A$4:$A$73,MATCH("Profesor de Lit-L en 10-4"&amp;"|"&amp;$A4&amp;"|"&amp;B$3,'Casillas del horario'!$S$4:$S$73,0))),"")&amp;" (+"&amp;(COUNTIF('Casillas del horario'!$S$4:$S$73,"Profesor de Lit-L en 10-4"&amp;"|"&amp;$A4&amp;"|"&amp;B$3)-1)&amp;")",IFERROR(IF(INDEX('Casillas del horario'!$A$4:$A$73,MATCH("Profesor de Lit-L en 10-4"&amp;"|"&amp;$A4&amp;"|"&amp;B$3,'Casillas del horario'!$S$4:$S$73,0))="","",INDEX('Casillas del horario'!$A$4:$A$73,MATCH("Profesor de Lit-L en 10-4"&amp;"|"&amp;$A4&amp;"|"&amp;B$3,'Casillas del horario'!$S$4:$S$73,0))),""))</f>
        <v/>
      </c>
      <c r="C4" s="3">
        <f>IF(COUNTIF('Casillas del horario'!$S$4:$S$73,"Profesor de Lit-L en 10-4"&amp;"|"&amp;$A4&amp;"|"&amp;C$3)&gt;1,IFERROR(IF(INDEX('Casillas del horario'!$A$4:$A$73,MATCH("Profesor de Lit-L en 10-4"&amp;"|"&amp;$A4&amp;"|"&amp;C$3,'Casillas del horario'!$S$4:$S$73,0))="","",INDEX('Casillas del horario'!$A$4:$A$73,MATCH("Profesor de Lit-L en 10-4"&amp;"|"&amp;$A4&amp;"|"&amp;C$3,'Casillas del horario'!$S$4:$S$73,0))),"")&amp;" (+"&amp;(COUNTIF('Casillas del horario'!$S$4:$S$73,"Profesor de Lit-L en 10-4"&amp;"|"&amp;$A4&amp;"|"&amp;C$3)-1)&amp;")",IFERROR(IF(INDEX('Casillas del horario'!$A$4:$A$73,MATCH("Profesor de Lit-L en 10-4"&amp;"|"&amp;$A4&amp;"|"&amp;C$3,'Casillas del horario'!$S$4:$S$73,0))="","",INDEX('Casillas del horario'!$A$4:$A$73,MATCH("Profesor de Lit-L en 10-4"&amp;"|"&amp;$A4&amp;"|"&amp;C$3,'Casillas del horario'!$S$4:$S$73,0))),""))</f>
        <v/>
      </c>
      <c r="D4" s="3">
        <f>IF(COUNTIF('Casillas del horario'!$S$4:$S$73,"Profesor de Lit-L en 10-4"&amp;"|"&amp;$A4&amp;"|"&amp;D$3)&gt;1,IFERROR(IF(INDEX('Casillas del horario'!$A$4:$A$73,MATCH("Profesor de Lit-L en 10-4"&amp;"|"&amp;$A4&amp;"|"&amp;D$3,'Casillas del horario'!$S$4:$S$73,0))="","",INDEX('Casillas del horario'!$A$4:$A$73,MATCH("Profesor de Lit-L en 10-4"&amp;"|"&amp;$A4&amp;"|"&amp;D$3,'Casillas del horario'!$S$4:$S$73,0))),"")&amp;" (+"&amp;(COUNTIF('Casillas del horario'!$S$4:$S$73,"Profesor de Lit-L en 10-4"&amp;"|"&amp;$A4&amp;"|"&amp;D$3)-1)&amp;")",IFERROR(IF(INDEX('Casillas del horario'!$A$4:$A$73,MATCH("Profesor de Lit-L en 10-4"&amp;"|"&amp;$A4&amp;"|"&amp;D$3,'Casillas del horario'!$S$4:$S$73,0))="","",INDEX('Casillas del horario'!$A$4:$A$73,MATCH("Profesor de Lit-L en 10-4"&amp;"|"&amp;$A4&amp;"|"&amp;D$3,'Casillas del horario'!$S$4:$S$73,0))),""))</f>
        <v/>
      </c>
    </row>
    <row r="5">
      <c r="A5" s="3" t="n">
        <v>2</v>
      </c>
      <c r="B5" s="3">
        <f>IF(COUNTIF('Casillas del horario'!$S$4:$S$73,"Profesor de Lit-L en 10-4"&amp;"|"&amp;$A5&amp;"|"&amp;B$3)&gt;1,IFERROR(IF(INDEX('Casillas del horario'!$A$4:$A$73,MATCH("Profesor de Lit-L en 10-4"&amp;"|"&amp;$A5&amp;"|"&amp;B$3,'Casillas del horario'!$S$4:$S$73,0))="","",INDEX('Casillas del horario'!$A$4:$A$73,MATCH("Profesor de Lit-L en 10-4"&amp;"|"&amp;$A5&amp;"|"&amp;B$3,'Casillas del horario'!$S$4:$S$73,0))),"")&amp;" (+"&amp;(COUNTIF('Casillas del horario'!$S$4:$S$73,"Profesor de Lit-L en 10-4"&amp;"|"&amp;$A5&amp;"|"&amp;B$3)-1)&amp;")",IFERROR(IF(INDEX('Casillas del horario'!$A$4:$A$73,MATCH("Profesor de Lit-L en 10-4"&amp;"|"&amp;$A5&amp;"|"&amp;B$3,'Casillas del horario'!$S$4:$S$73,0))="","",INDEX('Casillas del horario'!$A$4:$A$73,MATCH("Profesor de Lit-L en 10-4"&amp;"|"&amp;$A5&amp;"|"&amp;B$3,'Casillas del horario'!$S$4:$S$73,0))),""))</f>
        <v/>
      </c>
      <c r="C5" s="3">
        <f>IF(COUNTIF('Casillas del horario'!$S$4:$S$73,"Profesor de Lit-L en 10-4"&amp;"|"&amp;$A5&amp;"|"&amp;C$3)&gt;1,IFERROR(IF(INDEX('Casillas del horario'!$A$4:$A$73,MATCH("Profesor de Lit-L en 10-4"&amp;"|"&amp;$A5&amp;"|"&amp;C$3,'Casillas del horario'!$S$4:$S$73,0))="","",INDEX('Casillas del horario'!$A$4:$A$73,MATCH("Profesor de Lit-L en 10-4"&amp;"|"&amp;$A5&amp;"|"&amp;C$3,'Casillas del horario'!$S$4:$S$73,0))),"")&amp;" (+"&amp;(COUNTIF('Casillas del horario'!$S$4:$S$73,"Profesor de Lit-L en 10-4"&amp;"|"&amp;$A5&amp;"|"&amp;C$3)-1)&amp;")",IFERROR(IF(INDEX('Casillas del horario'!$A$4:$A$73,MATCH("Profesor de Lit-L en 10-4"&amp;"|"&amp;$A5&amp;"|"&amp;C$3,'Casillas del horario'!$S$4:$S$73,0))="","",INDEX('Casillas del horario'!$A$4:$A$73,MATCH("Profesor de Lit-L en 10-4"&amp;"|"&amp;$A5&amp;"|"&amp;C$3,'Casillas del horario'!$S$4:$S$73,0))),""))</f>
        <v/>
      </c>
      <c r="D5" s="3">
        <f>IF(COUNTIF('Casillas del horario'!$S$4:$S$73,"Profesor de Lit-L en 10-4"&amp;"|"&amp;$A5&amp;"|"&amp;D$3)&gt;1,IFERROR(IF(INDEX('Casillas del horario'!$A$4:$A$73,MATCH("Profesor de Lit-L en 10-4"&amp;"|"&amp;$A5&amp;"|"&amp;D$3,'Casillas del horario'!$S$4:$S$73,0))="","",INDEX('Casillas del horario'!$A$4:$A$73,MATCH("Profesor de Lit-L en 10-4"&amp;"|"&amp;$A5&amp;"|"&amp;D$3,'Casillas del horario'!$S$4:$S$73,0))),"")&amp;" (+"&amp;(COUNTIF('Casillas del horario'!$S$4:$S$73,"Profesor de Lit-L en 10-4"&amp;"|"&amp;$A5&amp;"|"&amp;D$3)-1)&amp;")",IFERROR(IF(INDEX('Casillas del horario'!$A$4:$A$73,MATCH("Profesor de Lit-L en 10-4"&amp;"|"&amp;$A5&amp;"|"&amp;D$3,'Casillas del horario'!$S$4:$S$73,0))="","",INDEX('Casillas del horario'!$A$4:$A$73,MATCH("Profesor de Lit-L en 10-4"&amp;"|"&amp;$A5&amp;"|"&amp;D$3,'Casillas del horario'!$S$4:$S$73,0))),""))</f>
        <v/>
      </c>
    </row>
    <row r="6">
      <c r="A6" s="3" t="n">
        <v>6</v>
      </c>
      <c r="B6" s="3">
        <f>IF(COUNTIF('Casillas del horario'!$S$4:$S$73,"Profesor de Lit-L en 10-4"&amp;"|"&amp;$A6&amp;"|"&amp;B$3)&gt;1,IFERROR(IF(INDEX('Casillas del horario'!$A$4:$A$73,MATCH("Profesor de Lit-L en 10-4"&amp;"|"&amp;$A6&amp;"|"&amp;B$3,'Casillas del horario'!$S$4:$S$73,0))="","",INDEX('Casillas del horario'!$A$4:$A$73,MATCH("Profesor de Lit-L en 10-4"&amp;"|"&amp;$A6&amp;"|"&amp;B$3,'Casillas del horario'!$S$4:$S$73,0))),"")&amp;" (+"&amp;(COUNTIF('Casillas del horario'!$S$4:$S$73,"Profesor de Lit-L en 10-4"&amp;"|"&amp;$A6&amp;"|"&amp;B$3)-1)&amp;")",IFERROR(IF(INDEX('Casillas del horario'!$A$4:$A$73,MATCH("Profesor de Lit-L en 10-4"&amp;"|"&amp;$A6&amp;"|"&amp;B$3,'Casillas del horario'!$S$4:$S$73,0))="","",INDEX('Casillas del horario'!$A$4:$A$73,MATCH("Profesor de Lit-L en 10-4"&amp;"|"&amp;$A6&amp;"|"&amp;B$3,'Casillas del horario'!$S$4:$S$73,0))),""))</f>
        <v/>
      </c>
      <c r="C6" s="3">
        <f>IF(COUNTIF('Casillas del horario'!$S$4:$S$73,"Profesor de Lit-L en 10-4"&amp;"|"&amp;$A6&amp;"|"&amp;C$3)&gt;1,IFERROR(IF(INDEX('Casillas del horario'!$A$4:$A$73,MATCH("Profesor de Lit-L en 10-4"&amp;"|"&amp;$A6&amp;"|"&amp;C$3,'Casillas del horario'!$S$4:$S$73,0))="","",INDEX('Casillas del horario'!$A$4:$A$73,MATCH("Profesor de Lit-L en 10-4"&amp;"|"&amp;$A6&amp;"|"&amp;C$3,'Casillas del horario'!$S$4:$S$73,0))),"")&amp;" (+"&amp;(COUNTIF('Casillas del horario'!$S$4:$S$73,"Profesor de Lit-L en 10-4"&amp;"|"&amp;$A6&amp;"|"&amp;C$3)-1)&amp;")",IFERROR(IF(INDEX('Casillas del horario'!$A$4:$A$73,MATCH("Profesor de Lit-L en 10-4"&amp;"|"&amp;$A6&amp;"|"&amp;C$3,'Casillas del horario'!$S$4:$S$73,0))="","",INDEX('Casillas del horario'!$A$4:$A$73,MATCH("Profesor de Lit-L en 10-4"&amp;"|"&amp;$A6&amp;"|"&amp;C$3,'Casillas del horario'!$S$4:$S$73,0))),""))</f>
        <v/>
      </c>
      <c r="D6" s="3">
        <f>IF(COUNTIF('Casillas del horario'!$S$4:$S$73,"Profesor de Lit-L en 10-4"&amp;"|"&amp;$A6&amp;"|"&amp;D$3)&gt;1,IFERROR(IF(INDEX('Casillas del horario'!$A$4:$A$73,MATCH("Profesor de Lit-L en 10-4"&amp;"|"&amp;$A6&amp;"|"&amp;D$3,'Casillas del horario'!$S$4:$S$73,0))="","",INDEX('Casillas del horario'!$A$4:$A$73,MATCH("Profesor de Lit-L en 10-4"&amp;"|"&amp;$A6&amp;"|"&amp;D$3,'Casillas del horario'!$S$4:$S$73,0))),"")&amp;" (+"&amp;(COUNTIF('Casillas del horario'!$S$4:$S$73,"Profesor de Lit-L en 10-4"&amp;"|"&amp;$A6&amp;"|"&amp;D$3)-1)&amp;")",IFERROR(IF(INDEX('Casillas del horario'!$A$4:$A$73,MATCH("Profesor de Lit-L en 10-4"&amp;"|"&amp;$A6&amp;"|"&amp;D$3,'Casillas del horario'!$S$4:$S$73,0))="","",INDEX('Casillas del horario'!$A$4:$A$73,MATCH("Profesor de Lit-L en 10-4"&amp;"|"&amp;$A6&amp;"|"&amp;D$3,'Casillas del horario'!$S$4:$S$73,0))),""))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EA9DB"/>
    <outlinePr summaryBelow="1" summaryRight="1"/>
    <pageSetUpPr/>
  </sheetPr>
  <dimension ref="A1:B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Profesor de CP en 10-4</t>
        </is>
      </c>
    </row>
    <row r="3">
      <c r="A3" s="2" t="inlineStr">
        <is>
          <t>Turno</t>
        </is>
      </c>
      <c r="B3" s="2" t="inlineStr">
        <is>
          <t>MI</t>
        </is>
      </c>
    </row>
    <row r="4">
      <c r="A4" s="3" t="n">
        <v>1</v>
      </c>
      <c r="B4" s="3">
        <f>IF(COUNTIF('Casillas del horario'!$S$4:$S$73,"Profesor de CP en 10-4"&amp;"|"&amp;$A4&amp;"|"&amp;B$3)&gt;1,IFERROR(IF(INDEX('Casillas del horario'!$A$4:$A$73,MATCH("Profesor de CP en 10-4"&amp;"|"&amp;$A4&amp;"|"&amp;B$3,'Casillas del horario'!$S$4:$S$73,0))="","",INDEX('Casillas del horario'!$A$4:$A$73,MATCH("Profesor de CP en 10-4"&amp;"|"&amp;$A4&amp;"|"&amp;B$3,'Casillas del horario'!$S$4:$S$73,0))),"")&amp;" (+"&amp;(COUNTIF('Casillas del horario'!$S$4:$S$73,"Profesor de CP en 10-4"&amp;"|"&amp;$A4&amp;"|"&amp;B$3)-1)&amp;")",IFERROR(IF(INDEX('Casillas del horario'!$A$4:$A$73,MATCH("Profesor de CP en 10-4"&amp;"|"&amp;$A4&amp;"|"&amp;B$3,'Casillas del horario'!$S$4:$S$73,0))="","",INDEX('Casillas del horario'!$A$4:$A$73,MATCH("Profesor de CP en 10-4"&amp;"|"&amp;$A4&amp;"|"&amp;B$3,'Casillas del horario'!$S$4:$S$73,0))),""))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EA9DB"/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42" customWidth="1" min="3" max="3"/>
    <col width="42" customWidth="1" min="4" max="4"/>
  </cols>
  <sheetData>
    <row r="1">
      <c r="A1" s="1" t="inlineStr">
        <is>
          <t>Horario - Profesor de F en 10-4</t>
        </is>
      </c>
    </row>
    <row r="3">
      <c r="A3" s="2" t="inlineStr">
        <is>
          <t>Turno</t>
        </is>
      </c>
      <c r="B3" s="2" t="inlineStr">
        <is>
          <t>J</t>
        </is>
      </c>
      <c r="C3" s="2" t="inlineStr">
        <is>
          <t>V</t>
        </is>
      </c>
      <c r="D3" s="2" t="inlineStr">
        <is>
          <t>MI</t>
        </is>
      </c>
    </row>
    <row r="4">
      <c r="A4" s="3" t="n">
        <v>1</v>
      </c>
      <c r="B4" s="3">
        <f>IF(COUNTIF('Casillas del horario'!$S$4:$S$73,"Profesor de F en 10-4"&amp;"|"&amp;$A4&amp;"|"&amp;B$3)&gt;1,IFERROR(IF(INDEX('Casillas del horario'!$A$4:$A$73,MATCH("Profesor de F en 10-4"&amp;"|"&amp;$A4&amp;"|"&amp;B$3,'Casillas del horario'!$S$4:$S$73,0))="","",INDEX('Casillas del horario'!$A$4:$A$73,MATCH("Profesor de F en 10-4"&amp;"|"&amp;$A4&amp;"|"&amp;B$3,'Casillas del horario'!$S$4:$S$73,0))),"")&amp;" (+"&amp;(COUNTIF('Casillas del horario'!$S$4:$S$73,"Profesor de F en 10-4"&amp;"|"&amp;$A4&amp;"|"&amp;B$3)-1)&amp;")",IFERROR(IF(INDEX('Casillas del horario'!$A$4:$A$73,MATCH("Profesor de F en 10-4"&amp;"|"&amp;$A4&amp;"|"&amp;B$3,'Casillas del horario'!$S$4:$S$73,0))="","",INDEX('Casillas del horario'!$A$4:$A$73,MATCH("Profesor de F en 10-4"&amp;"|"&amp;$A4&amp;"|"&amp;B$3,'Casillas del horario'!$S$4:$S$73,0))),""))</f>
        <v/>
      </c>
      <c r="C4" s="3">
        <f>IF(COUNTIF('Casillas del horario'!$S$4:$S$73,"Profesor de F en 10-4"&amp;"|"&amp;$A4&amp;"|"&amp;C$3)&gt;1,IFERROR(IF(INDEX('Casillas del horario'!$A$4:$A$73,MATCH("Profesor de F en 10-4"&amp;"|"&amp;$A4&amp;"|"&amp;C$3,'Casillas del horario'!$S$4:$S$73,0))="","",INDEX('Casillas del horario'!$A$4:$A$73,MATCH("Profesor de F en 10-4"&amp;"|"&amp;$A4&amp;"|"&amp;C$3,'Casillas del horario'!$S$4:$S$73,0))),"")&amp;" (+"&amp;(COUNTIF('Casillas del horario'!$S$4:$S$73,"Profesor de F en 10-4"&amp;"|"&amp;$A4&amp;"|"&amp;C$3)-1)&amp;")",IFERROR(IF(INDEX('Casillas del horario'!$A$4:$A$73,MATCH("Profesor de F en 10-4"&amp;"|"&amp;$A4&amp;"|"&amp;C$3,'Casillas del horario'!$S$4:$S$73,0))="","",INDEX('Casillas del horario'!$A$4:$A$73,MATCH("Profesor de F en 10-4"&amp;"|"&amp;$A4&amp;"|"&amp;C$3,'Casillas del horario'!$S$4:$S$73,0))),""))</f>
        <v/>
      </c>
      <c r="D4" s="3">
        <f>IF(COUNTIF('Casillas del horario'!$S$4:$S$73,"Profesor de F en 10-4"&amp;"|"&amp;$A4&amp;"|"&amp;D$3)&gt;1,IFERROR(IF(INDEX('Casillas del horario'!$A$4:$A$73,MATCH("Profesor de F en 10-4"&amp;"|"&amp;$A4&amp;"|"&amp;D$3,'Casillas del horario'!$S$4:$S$73,0))="","",INDEX('Casillas del horario'!$A$4:$A$73,MATCH("Profesor de F en 10-4"&amp;"|"&amp;$A4&amp;"|"&amp;D$3,'Casillas del horario'!$S$4:$S$73,0))),"")&amp;" (+"&amp;(COUNTIF('Casillas del horario'!$S$4:$S$73,"Profesor de F en 10-4"&amp;"|"&amp;$A4&amp;"|"&amp;D$3)-1)&amp;")",IFERROR(IF(INDEX('Casillas del horario'!$A$4:$A$73,MATCH("Profesor de F en 10-4"&amp;"|"&amp;$A4&amp;"|"&amp;D$3,'Casillas del horario'!$S$4:$S$73,0))="","",INDEX('Casillas del horario'!$A$4:$A$73,MATCH("Profesor de F en 10-4"&amp;"|"&amp;$A4&amp;"|"&amp;D$3,'Casillas del horario'!$S$4:$S$73,0))),""))</f>
        <v/>
      </c>
    </row>
    <row r="5">
      <c r="A5" s="3" t="n">
        <v>3</v>
      </c>
      <c r="B5" s="3">
        <f>IF(COUNTIF('Casillas del horario'!$S$4:$S$73,"Profesor de F en 10-4"&amp;"|"&amp;$A5&amp;"|"&amp;B$3)&gt;1,IFERROR(IF(INDEX('Casillas del horario'!$A$4:$A$73,MATCH("Profesor de F en 10-4"&amp;"|"&amp;$A5&amp;"|"&amp;B$3,'Casillas del horario'!$S$4:$S$73,0))="","",INDEX('Casillas del horario'!$A$4:$A$73,MATCH("Profesor de F en 10-4"&amp;"|"&amp;$A5&amp;"|"&amp;B$3,'Casillas del horario'!$S$4:$S$73,0))),"")&amp;" (+"&amp;(COUNTIF('Casillas del horario'!$S$4:$S$73,"Profesor de F en 10-4"&amp;"|"&amp;$A5&amp;"|"&amp;B$3)-1)&amp;")",IFERROR(IF(INDEX('Casillas del horario'!$A$4:$A$73,MATCH("Profesor de F en 10-4"&amp;"|"&amp;$A5&amp;"|"&amp;B$3,'Casillas del horario'!$S$4:$S$73,0))="","",INDEX('Casillas del horario'!$A$4:$A$73,MATCH("Profesor de F en 10-4"&amp;"|"&amp;$A5&amp;"|"&amp;B$3,'Casillas del horario'!$S$4:$S$73,0))),""))</f>
        <v/>
      </c>
      <c r="C5" s="3">
        <f>IF(COUNTIF('Casillas del horario'!$S$4:$S$73,"Profesor de F en 10-4"&amp;"|"&amp;$A5&amp;"|"&amp;C$3)&gt;1,IFERROR(IF(INDEX('Casillas del horario'!$A$4:$A$73,MATCH("Profesor de F en 10-4"&amp;"|"&amp;$A5&amp;"|"&amp;C$3,'Casillas del horario'!$S$4:$S$73,0))="","",INDEX('Casillas del horario'!$A$4:$A$73,MATCH("Profesor de F en 10-4"&amp;"|"&amp;$A5&amp;"|"&amp;C$3,'Casillas del horario'!$S$4:$S$73,0))),"")&amp;" (+"&amp;(COUNTIF('Casillas del horario'!$S$4:$S$73,"Profesor de F en 10-4"&amp;"|"&amp;$A5&amp;"|"&amp;C$3)-1)&amp;")",IFERROR(IF(INDEX('Casillas del horario'!$A$4:$A$73,MATCH("Profesor de F en 10-4"&amp;"|"&amp;$A5&amp;"|"&amp;C$3,'Casillas del horario'!$S$4:$S$73,0))="","",INDEX('Casillas del horario'!$A$4:$A$73,MATCH("Profesor de F en 10-4"&amp;"|"&amp;$A5&amp;"|"&amp;C$3,'Casillas del horario'!$S$4:$S$73,0))),""))</f>
        <v/>
      </c>
      <c r="D5" s="3">
        <f>IF(COUNTIF('Casillas del horario'!$S$4:$S$73,"Profesor de F en 10-4"&amp;"|"&amp;$A5&amp;"|"&amp;D$3)&gt;1,IFERROR(IF(INDEX('Casillas del horario'!$A$4:$A$73,MATCH("Profesor de F en 10-4"&amp;"|"&amp;$A5&amp;"|"&amp;D$3,'Casillas del horario'!$S$4:$S$73,0))="","",INDEX('Casillas del horario'!$A$4:$A$73,MATCH("Profesor de F en 10-4"&amp;"|"&amp;$A5&amp;"|"&amp;D$3,'Casillas del horario'!$S$4:$S$73,0))),"")&amp;" (+"&amp;(COUNTIF('Casillas del horario'!$S$4:$S$73,"Profesor de F en 10-4"&amp;"|"&amp;$A5&amp;"|"&amp;D$3)-1)&amp;")",IFERROR(IF(INDEX('Casillas del horario'!$A$4:$A$73,MATCH("Profesor de F en 10-4"&amp;"|"&amp;$A5&amp;"|"&amp;D$3,'Casillas del horario'!$S$4:$S$73,0))="","",INDEX('Casillas del horario'!$A$4:$A$73,MATCH("Profesor de F en 10-4"&amp;"|"&amp;$A5&amp;"|"&amp;D$3,'Casillas del horario'!$S$4:$S$73,0))),""))</f>
        <v/>
      </c>
    </row>
    <row r="6">
      <c r="A6" s="3" t="n">
        <v>5</v>
      </c>
      <c r="B6" s="3">
        <f>IF(COUNTIF('Casillas del horario'!$S$4:$S$73,"Profesor de F en 10-4"&amp;"|"&amp;$A6&amp;"|"&amp;B$3)&gt;1,IFERROR(IF(INDEX('Casillas del horario'!$A$4:$A$73,MATCH("Profesor de F en 10-4"&amp;"|"&amp;$A6&amp;"|"&amp;B$3,'Casillas del horario'!$S$4:$S$73,0))="","",INDEX('Casillas del horario'!$A$4:$A$73,MATCH("Profesor de F en 10-4"&amp;"|"&amp;$A6&amp;"|"&amp;B$3,'Casillas del horario'!$S$4:$S$73,0))),"")&amp;" (+"&amp;(COUNTIF('Casillas del horario'!$S$4:$S$73,"Profesor de F en 10-4"&amp;"|"&amp;$A6&amp;"|"&amp;B$3)-1)&amp;")",IFERROR(IF(INDEX('Casillas del horario'!$A$4:$A$73,MATCH("Profesor de F en 10-4"&amp;"|"&amp;$A6&amp;"|"&amp;B$3,'Casillas del horario'!$S$4:$S$73,0))="","",INDEX('Casillas del horario'!$A$4:$A$73,MATCH("Profesor de F en 10-4"&amp;"|"&amp;$A6&amp;"|"&amp;B$3,'Casillas del horario'!$S$4:$S$73,0))),""))</f>
        <v/>
      </c>
      <c r="C6" s="3">
        <f>IF(COUNTIF('Casillas del horario'!$S$4:$S$73,"Profesor de F en 10-4"&amp;"|"&amp;$A6&amp;"|"&amp;C$3)&gt;1,IFERROR(IF(INDEX('Casillas del horario'!$A$4:$A$73,MATCH("Profesor de F en 10-4"&amp;"|"&amp;$A6&amp;"|"&amp;C$3,'Casillas del horario'!$S$4:$S$73,0))="","",INDEX('Casillas del horario'!$A$4:$A$73,MATCH("Profesor de F en 10-4"&amp;"|"&amp;$A6&amp;"|"&amp;C$3,'Casillas del horario'!$S$4:$S$73,0))),"")&amp;" (+"&amp;(COUNTIF('Casillas del horario'!$S$4:$S$73,"Profesor de F en 10-4"&amp;"|"&amp;$A6&amp;"|"&amp;C$3)-1)&amp;")",IFERROR(IF(INDEX('Casillas del horario'!$A$4:$A$73,MATCH("Profesor de F en 10-4"&amp;"|"&amp;$A6&amp;"|"&amp;C$3,'Casillas del horario'!$S$4:$S$73,0))="","",INDEX('Casillas del horario'!$A$4:$A$73,MATCH("Profesor de F en 10-4"&amp;"|"&amp;$A6&amp;"|"&amp;C$3,'Casillas del horario'!$S$4:$S$73,0))),""))</f>
        <v/>
      </c>
      <c r="D6" s="3">
        <f>IF(COUNTIF('Casillas del horario'!$S$4:$S$73,"Profesor de F en 10-4"&amp;"|"&amp;$A6&amp;"|"&amp;D$3)&gt;1,IFERROR(IF(INDEX('Casillas del horario'!$A$4:$A$73,MATCH("Profesor de F en 10-4"&amp;"|"&amp;$A6&amp;"|"&amp;D$3,'Casillas del horario'!$S$4:$S$73,0))="","",INDEX('Casillas del horario'!$A$4:$A$73,MATCH("Profesor de F en 10-4"&amp;"|"&amp;$A6&amp;"|"&amp;D$3,'Casillas del horario'!$S$4:$S$73,0))),"")&amp;" (+"&amp;(COUNTIF('Casillas del horario'!$S$4:$S$73,"Profesor de F en 10-4"&amp;"|"&amp;$A6&amp;"|"&amp;D$3)-1)&amp;")",IFERROR(IF(INDEX('Casillas del horario'!$A$4:$A$73,MATCH("Profesor de F en 10-4"&amp;"|"&amp;$A6&amp;"|"&amp;D$3,'Casillas del horario'!$S$4:$S$73,0))="","",INDEX('Casillas del horario'!$A$4:$A$73,MATCH("Profesor de F en 10-4"&amp;"|"&amp;$A6&amp;"|"&amp;D$3,'Casillas del horario'!$S$4:$S$73,0))),""))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EA9DB"/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42" customWidth="1" min="3" max="3"/>
    <col width="42" customWidth="1" min="4" max="4"/>
  </cols>
  <sheetData>
    <row r="1">
      <c r="A1" s="1" t="inlineStr">
        <is>
          <t>Horario - Profesor de I en 10-3</t>
        </is>
      </c>
    </row>
    <row r="3">
      <c r="A3" s="2" t="inlineStr">
        <is>
          <t>Turno</t>
        </is>
      </c>
      <c r="B3" s="2" t="inlineStr">
        <is>
          <t>L</t>
        </is>
      </c>
      <c r="C3" s="2" t="inlineStr">
        <is>
          <t>V</t>
        </is>
      </c>
      <c r="D3" s="2" t="inlineStr">
        <is>
          <t>J</t>
        </is>
      </c>
    </row>
    <row r="4">
      <c r="A4" s="3" t="n">
        <v>2</v>
      </c>
      <c r="B4" s="3">
        <f>IF(COUNTIF('Casillas del horario'!$S$4:$S$73,"Profesor de I en 10-3"&amp;"|"&amp;$A4&amp;"|"&amp;B$3)&gt;1,IFERROR(IF(INDEX('Casillas del horario'!$A$4:$A$73,MATCH("Profesor de I en 10-3"&amp;"|"&amp;$A4&amp;"|"&amp;B$3,'Casillas del horario'!$S$4:$S$73,0))="","",INDEX('Casillas del horario'!$A$4:$A$73,MATCH("Profesor de I en 10-3"&amp;"|"&amp;$A4&amp;"|"&amp;B$3,'Casillas del horario'!$S$4:$S$73,0))),"")&amp;" (+"&amp;(COUNTIF('Casillas del horario'!$S$4:$S$73,"Profesor de I en 10-3"&amp;"|"&amp;$A4&amp;"|"&amp;B$3)-1)&amp;")",IFERROR(IF(INDEX('Casillas del horario'!$A$4:$A$73,MATCH("Profesor de I en 10-3"&amp;"|"&amp;$A4&amp;"|"&amp;B$3,'Casillas del horario'!$S$4:$S$73,0))="","",INDEX('Casillas del horario'!$A$4:$A$73,MATCH("Profesor de I en 10-3"&amp;"|"&amp;$A4&amp;"|"&amp;B$3,'Casillas del horario'!$S$4:$S$73,0))),""))</f>
        <v/>
      </c>
      <c r="C4" s="3">
        <f>IF(COUNTIF('Casillas del horario'!$S$4:$S$73,"Profesor de I en 10-3"&amp;"|"&amp;$A4&amp;"|"&amp;C$3)&gt;1,IFERROR(IF(INDEX('Casillas del horario'!$A$4:$A$73,MATCH("Profesor de I en 10-3"&amp;"|"&amp;$A4&amp;"|"&amp;C$3,'Casillas del horario'!$S$4:$S$73,0))="","",INDEX('Casillas del horario'!$A$4:$A$73,MATCH("Profesor de I en 10-3"&amp;"|"&amp;$A4&amp;"|"&amp;C$3,'Casillas del horario'!$S$4:$S$73,0))),"")&amp;" (+"&amp;(COUNTIF('Casillas del horario'!$S$4:$S$73,"Profesor de I en 10-3"&amp;"|"&amp;$A4&amp;"|"&amp;C$3)-1)&amp;")",IFERROR(IF(INDEX('Casillas del horario'!$A$4:$A$73,MATCH("Profesor de I en 10-3"&amp;"|"&amp;$A4&amp;"|"&amp;C$3,'Casillas del horario'!$S$4:$S$73,0))="","",INDEX('Casillas del horario'!$A$4:$A$73,MATCH("Profesor de I en 10-3"&amp;"|"&amp;$A4&amp;"|"&amp;C$3,'Casillas del horario'!$S$4:$S$73,0))),""))</f>
        <v/>
      </c>
      <c r="D4" s="3">
        <f>IF(COUNTIF('Casillas del horario'!$S$4:$S$73,"Profesor de I en 10-3"&amp;"|"&amp;$A4&amp;"|"&amp;D$3)&gt;1,IFERROR(IF(INDEX('Casillas del horario'!$A$4:$A$73,MATCH("Profesor de I en 10-3"&amp;"|"&amp;$A4&amp;"|"&amp;D$3,'Casillas del horario'!$S$4:$S$73,0))="","",INDEX('Casillas del horario'!$A$4:$A$73,MATCH("Profesor de I en 10-3"&amp;"|"&amp;$A4&amp;"|"&amp;D$3,'Casillas del horario'!$S$4:$S$73,0))),"")&amp;" (+"&amp;(COUNTIF('Casillas del horario'!$S$4:$S$73,"Profesor de I en 10-3"&amp;"|"&amp;$A4&amp;"|"&amp;D$3)-1)&amp;")",IFERROR(IF(INDEX('Casillas del horario'!$A$4:$A$73,MATCH("Profesor de I en 10-3"&amp;"|"&amp;$A4&amp;"|"&amp;D$3,'Casillas del horario'!$S$4:$S$73,0))="","",INDEX('Casillas del horario'!$A$4:$A$73,MATCH("Profesor de I en 10-3"&amp;"|"&amp;$A4&amp;"|"&amp;D$3,'Casillas del horario'!$S$4:$S$73,0))),""))</f>
        <v/>
      </c>
    </row>
    <row r="5">
      <c r="A5" s="3" t="n">
        <v>4</v>
      </c>
      <c r="B5" s="3">
        <f>IF(COUNTIF('Casillas del horario'!$S$4:$S$73,"Profesor de I en 10-3"&amp;"|"&amp;$A5&amp;"|"&amp;B$3)&gt;1,IFERROR(IF(INDEX('Casillas del horario'!$A$4:$A$73,MATCH("Profesor de I en 10-3"&amp;"|"&amp;$A5&amp;"|"&amp;B$3,'Casillas del horario'!$S$4:$S$73,0))="","",INDEX('Casillas del horario'!$A$4:$A$73,MATCH("Profesor de I en 10-3"&amp;"|"&amp;$A5&amp;"|"&amp;B$3,'Casillas del horario'!$S$4:$S$73,0))),"")&amp;" (+"&amp;(COUNTIF('Casillas del horario'!$S$4:$S$73,"Profesor de I en 10-3"&amp;"|"&amp;$A5&amp;"|"&amp;B$3)-1)&amp;")",IFERROR(IF(INDEX('Casillas del horario'!$A$4:$A$73,MATCH("Profesor de I en 10-3"&amp;"|"&amp;$A5&amp;"|"&amp;B$3,'Casillas del horario'!$S$4:$S$73,0))="","",INDEX('Casillas del horario'!$A$4:$A$73,MATCH("Profesor de I en 10-3"&amp;"|"&amp;$A5&amp;"|"&amp;B$3,'Casillas del horario'!$S$4:$S$73,0))),""))</f>
        <v/>
      </c>
      <c r="C5" s="3">
        <f>IF(COUNTIF('Casillas del horario'!$S$4:$S$73,"Profesor de I en 10-3"&amp;"|"&amp;$A5&amp;"|"&amp;C$3)&gt;1,IFERROR(IF(INDEX('Casillas del horario'!$A$4:$A$73,MATCH("Profesor de I en 10-3"&amp;"|"&amp;$A5&amp;"|"&amp;C$3,'Casillas del horario'!$S$4:$S$73,0))="","",INDEX('Casillas del horario'!$A$4:$A$73,MATCH("Profesor de I en 10-3"&amp;"|"&amp;$A5&amp;"|"&amp;C$3,'Casillas del horario'!$S$4:$S$73,0))),"")&amp;" (+"&amp;(COUNTIF('Casillas del horario'!$S$4:$S$73,"Profesor de I en 10-3"&amp;"|"&amp;$A5&amp;"|"&amp;C$3)-1)&amp;")",IFERROR(IF(INDEX('Casillas del horario'!$A$4:$A$73,MATCH("Profesor de I en 10-3"&amp;"|"&amp;$A5&amp;"|"&amp;C$3,'Casillas del horario'!$S$4:$S$73,0))="","",INDEX('Casillas del horario'!$A$4:$A$73,MATCH("Profesor de I en 10-3"&amp;"|"&amp;$A5&amp;"|"&amp;C$3,'Casillas del horario'!$S$4:$S$73,0))),""))</f>
        <v/>
      </c>
      <c r="D5" s="3">
        <f>IF(COUNTIF('Casillas del horario'!$S$4:$S$73,"Profesor de I en 10-3"&amp;"|"&amp;$A5&amp;"|"&amp;D$3)&gt;1,IFERROR(IF(INDEX('Casillas del horario'!$A$4:$A$73,MATCH("Profesor de I en 10-3"&amp;"|"&amp;$A5&amp;"|"&amp;D$3,'Casillas del horario'!$S$4:$S$73,0))="","",INDEX('Casillas del horario'!$A$4:$A$73,MATCH("Profesor de I en 10-3"&amp;"|"&amp;$A5&amp;"|"&amp;D$3,'Casillas del horario'!$S$4:$S$73,0))),"")&amp;" (+"&amp;(COUNTIF('Casillas del horario'!$S$4:$S$73,"Profesor de I en 10-3"&amp;"|"&amp;$A5&amp;"|"&amp;D$3)-1)&amp;")",IFERROR(IF(INDEX('Casillas del horario'!$A$4:$A$73,MATCH("Profesor de I en 10-3"&amp;"|"&amp;$A5&amp;"|"&amp;D$3,'Casillas del horario'!$S$4:$S$73,0))="","",INDEX('Casillas del horario'!$A$4:$A$73,MATCH("Profesor de I en 10-3"&amp;"|"&amp;$A5&amp;"|"&amp;D$3,'Casillas del horario'!$S$4:$S$73,0))),""))</f>
        <v/>
      </c>
    </row>
    <row r="6">
      <c r="A6" s="3" t="n">
        <v>5</v>
      </c>
      <c r="B6" s="3">
        <f>IF(COUNTIF('Casillas del horario'!$S$4:$S$73,"Profesor de I en 10-3"&amp;"|"&amp;$A6&amp;"|"&amp;B$3)&gt;1,IFERROR(IF(INDEX('Casillas del horario'!$A$4:$A$73,MATCH("Profesor de I en 10-3"&amp;"|"&amp;$A6&amp;"|"&amp;B$3,'Casillas del horario'!$S$4:$S$73,0))="","",INDEX('Casillas del horario'!$A$4:$A$73,MATCH("Profesor de I en 10-3"&amp;"|"&amp;$A6&amp;"|"&amp;B$3,'Casillas del horario'!$S$4:$S$73,0))),"")&amp;" (+"&amp;(COUNTIF('Casillas del horario'!$S$4:$S$73,"Profesor de I en 10-3"&amp;"|"&amp;$A6&amp;"|"&amp;B$3)-1)&amp;")",IFERROR(IF(INDEX('Casillas del horario'!$A$4:$A$73,MATCH("Profesor de I en 10-3"&amp;"|"&amp;$A6&amp;"|"&amp;B$3,'Casillas del horario'!$S$4:$S$73,0))="","",INDEX('Casillas del horario'!$A$4:$A$73,MATCH("Profesor de I en 10-3"&amp;"|"&amp;$A6&amp;"|"&amp;B$3,'Casillas del horario'!$S$4:$S$73,0))),""))</f>
        <v/>
      </c>
      <c r="C6" s="3">
        <f>IF(COUNTIF('Casillas del horario'!$S$4:$S$73,"Profesor de I en 10-3"&amp;"|"&amp;$A6&amp;"|"&amp;C$3)&gt;1,IFERROR(IF(INDEX('Casillas del horario'!$A$4:$A$73,MATCH("Profesor de I en 10-3"&amp;"|"&amp;$A6&amp;"|"&amp;C$3,'Casillas del horario'!$S$4:$S$73,0))="","",INDEX('Casillas del horario'!$A$4:$A$73,MATCH("Profesor de I en 10-3"&amp;"|"&amp;$A6&amp;"|"&amp;C$3,'Casillas del horario'!$S$4:$S$73,0))),"")&amp;" (+"&amp;(COUNTIF('Casillas del horario'!$S$4:$S$73,"Profesor de I en 10-3"&amp;"|"&amp;$A6&amp;"|"&amp;C$3)-1)&amp;")",IFERROR(IF(INDEX('Casillas del horario'!$A$4:$A$73,MATCH("Profesor de I en 10-3"&amp;"|"&amp;$A6&amp;"|"&amp;C$3,'Casillas del horario'!$S$4:$S$73,0))="","",INDEX('Casillas del horario'!$A$4:$A$73,MATCH("Profesor de I en 10-3"&amp;"|"&amp;$A6&amp;"|"&amp;C$3,'Casillas del horario'!$S$4:$S$73,0))),""))</f>
        <v/>
      </c>
      <c r="D6" s="3">
        <f>IF(COUNTIF('Casillas del horario'!$S$4:$S$73,"Profesor de I en 10-3"&amp;"|"&amp;$A6&amp;"|"&amp;D$3)&gt;1,IFERROR(IF(INDEX('Casillas del horario'!$A$4:$A$73,MATCH("Profesor de I en 10-3"&amp;"|"&amp;$A6&amp;"|"&amp;D$3,'Casillas del horario'!$S$4:$S$73,0))="","",INDEX('Casillas del horario'!$A$4:$A$73,MATCH("Profesor de I en 10-3"&amp;"|"&amp;$A6&amp;"|"&amp;D$3,'Casillas del horario'!$S$4:$S$73,0))),"")&amp;" (+"&amp;(COUNTIF('Casillas del horario'!$S$4:$S$73,"Profesor de I en 10-3"&amp;"|"&amp;$A6&amp;"|"&amp;D$3)-1)&amp;")",IFERROR(IF(INDEX('Casillas del horario'!$A$4:$A$73,MATCH("Profesor de I en 10-3"&amp;"|"&amp;$A6&amp;"|"&amp;D$3,'Casillas del horario'!$S$4:$S$73,0))="","",INDEX('Casillas del horario'!$A$4:$A$73,MATCH("Profesor de I en 10-3"&amp;"|"&amp;$A6&amp;"|"&amp;D$3,'Casillas del horario'!$S$4:$S$73,0))),""))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EA9DB"/>
    <outlinePr summaryBelow="1" summaryRight="1"/>
    <pageSetUpPr/>
  </sheetPr>
  <dimension ref="A1:C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42" customWidth="1" min="3" max="3"/>
  </cols>
  <sheetData>
    <row r="1">
      <c r="A1" s="1" t="inlineStr">
        <is>
          <t>Horario - Profesor de B en 10-3</t>
        </is>
      </c>
    </row>
    <row r="3">
      <c r="A3" s="2" t="inlineStr">
        <is>
          <t>Turno</t>
        </is>
      </c>
      <c r="B3" s="2" t="inlineStr">
        <is>
          <t>M</t>
        </is>
      </c>
      <c r="C3" s="2" t="inlineStr">
        <is>
          <t>L</t>
        </is>
      </c>
    </row>
    <row r="4">
      <c r="A4" s="3" t="n">
        <v>2</v>
      </c>
      <c r="B4" s="3">
        <f>IF(COUNTIF('Casillas del horario'!$S$4:$S$73,"Profesor de B en 10-3"&amp;"|"&amp;$A4&amp;"|"&amp;B$3)&gt;1,IFERROR(IF(INDEX('Casillas del horario'!$A$4:$A$73,MATCH("Profesor de B en 10-3"&amp;"|"&amp;$A4&amp;"|"&amp;B$3,'Casillas del horario'!$S$4:$S$73,0))="","",INDEX('Casillas del horario'!$A$4:$A$73,MATCH("Profesor de B en 10-3"&amp;"|"&amp;$A4&amp;"|"&amp;B$3,'Casillas del horario'!$S$4:$S$73,0))),"")&amp;" (+"&amp;(COUNTIF('Casillas del horario'!$S$4:$S$73,"Profesor de B en 10-3"&amp;"|"&amp;$A4&amp;"|"&amp;B$3)-1)&amp;")",IFERROR(IF(INDEX('Casillas del horario'!$A$4:$A$73,MATCH("Profesor de B en 10-3"&amp;"|"&amp;$A4&amp;"|"&amp;B$3,'Casillas del horario'!$S$4:$S$73,0))="","",INDEX('Casillas del horario'!$A$4:$A$73,MATCH("Profesor de B en 10-3"&amp;"|"&amp;$A4&amp;"|"&amp;B$3,'Casillas del horario'!$S$4:$S$73,0))),""))</f>
        <v/>
      </c>
      <c r="C4" s="3">
        <f>IF(COUNTIF('Casillas del horario'!$S$4:$S$73,"Profesor de B en 10-3"&amp;"|"&amp;$A4&amp;"|"&amp;C$3)&gt;1,IFERROR(IF(INDEX('Casillas del horario'!$A$4:$A$73,MATCH("Profesor de B en 10-3"&amp;"|"&amp;$A4&amp;"|"&amp;C$3,'Casillas del horario'!$S$4:$S$73,0))="","",INDEX('Casillas del horario'!$A$4:$A$73,MATCH("Profesor de B en 10-3"&amp;"|"&amp;$A4&amp;"|"&amp;C$3,'Casillas del horario'!$S$4:$S$73,0))),"")&amp;" (+"&amp;(COUNTIF('Casillas del horario'!$S$4:$S$73,"Profesor de B en 10-3"&amp;"|"&amp;$A4&amp;"|"&amp;C$3)-1)&amp;")",IFERROR(IF(INDEX('Casillas del horario'!$A$4:$A$73,MATCH("Profesor de B en 10-3"&amp;"|"&amp;$A4&amp;"|"&amp;C$3,'Casillas del horario'!$S$4:$S$73,0))="","",INDEX('Casillas del horario'!$A$4:$A$73,MATCH("Profesor de B en 10-3"&amp;"|"&amp;$A4&amp;"|"&amp;C$3,'Casillas del horario'!$S$4:$S$73,0))),""))</f>
        <v/>
      </c>
    </row>
    <row r="5">
      <c r="A5" s="3" t="n">
        <v>3</v>
      </c>
      <c r="B5" s="3">
        <f>IF(COUNTIF('Casillas del horario'!$S$4:$S$73,"Profesor de B en 10-3"&amp;"|"&amp;$A5&amp;"|"&amp;B$3)&gt;1,IFERROR(IF(INDEX('Casillas del horario'!$A$4:$A$73,MATCH("Profesor de B en 10-3"&amp;"|"&amp;$A5&amp;"|"&amp;B$3,'Casillas del horario'!$S$4:$S$73,0))="","",INDEX('Casillas del horario'!$A$4:$A$73,MATCH("Profesor de B en 10-3"&amp;"|"&amp;$A5&amp;"|"&amp;B$3,'Casillas del horario'!$S$4:$S$73,0))),"")&amp;" (+"&amp;(COUNTIF('Casillas del horario'!$S$4:$S$73,"Profesor de B en 10-3"&amp;"|"&amp;$A5&amp;"|"&amp;B$3)-1)&amp;")",IFERROR(IF(INDEX('Casillas del horario'!$A$4:$A$73,MATCH("Profesor de B en 10-3"&amp;"|"&amp;$A5&amp;"|"&amp;B$3,'Casillas del horario'!$S$4:$S$73,0))="","",INDEX('Casillas del horario'!$A$4:$A$73,MATCH("Profesor de B en 10-3"&amp;"|"&amp;$A5&amp;"|"&amp;B$3,'Casillas del horario'!$S$4:$S$73,0))),""))</f>
        <v/>
      </c>
      <c r="C5" s="3">
        <f>IF(COUNTIF('Casillas del horario'!$S$4:$S$73,"Profesor de B en 10-3"&amp;"|"&amp;$A5&amp;"|"&amp;C$3)&gt;1,IFERROR(IF(INDEX('Casillas del horario'!$A$4:$A$73,MATCH("Profesor de B en 10-3"&amp;"|"&amp;$A5&amp;"|"&amp;C$3,'Casillas del horario'!$S$4:$S$73,0))="","",INDEX('Casillas del horario'!$A$4:$A$73,MATCH("Profesor de B en 10-3"&amp;"|"&amp;$A5&amp;"|"&amp;C$3,'Casillas del horario'!$S$4:$S$73,0))),"")&amp;" (+"&amp;(COUNTIF('Casillas del horario'!$S$4:$S$73,"Profesor de B en 10-3"&amp;"|"&amp;$A5&amp;"|"&amp;C$3)-1)&amp;")",IFERROR(IF(INDEX('Casillas del horario'!$A$4:$A$73,MATCH("Profesor de B en 10-3"&amp;"|"&amp;$A5&amp;"|"&amp;C$3,'Casillas del horario'!$S$4:$S$73,0))="","",INDEX('Casillas del horario'!$A$4:$A$73,MATCH("Profesor de B en 10-3"&amp;"|"&amp;$A5&amp;"|"&amp;C$3,'Casillas del horario'!$S$4:$S$73,0))),""))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EA9DB"/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42" customWidth="1" min="3" max="3"/>
    <col width="42" customWidth="1" min="4" max="4"/>
  </cols>
  <sheetData>
    <row r="1">
      <c r="A1" s="1" t="inlineStr">
        <is>
          <t>Horario - Profesor de M en 10-3</t>
        </is>
      </c>
    </row>
    <row r="3">
      <c r="A3" s="2" t="inlineStr">
        <is>
          <t>Turno</t>
        </is>
      </c>
      <c r="B3" s="2" t="inlineStr">
        <is>
          <t>MI</t>
        </is>
      </c>
      <c r="C3" s="2" t="inlineStr">
        <is>
          <t>V</t>
        </is>
      </c>
      <c r="D3" s="2" t="inlineStr">
        <is>
          <t>L</t>
        </is>
      </c>
    </row>
    <row r="4">
      <c r="A4" s="3" t="n">
        <v>2</v>
      </c>
      <c r="B4" s="3">
        <f>IF(COUNTIF('Casillas del horario'!$S$4:$S$73,"Profesor de M en 10-3"&amp;"|"&amp;$A4&amp;"|"&amp;B$3)&gt;1,IFERROR(IF(INDEX('Casillas del horario'!$A$4:$A$73,MATCH("Profesor de M en 10-3"&amp;"|"&amp;$A4&amp;"|"&amp;B$3,'Casillas del horario'!$S$4:$S$73,0))="","",INDEX('Casillas del horario'!$A$4:$A$73,MATCH("Profesor de M en 10-3"&amp;"|"&amp;$A4&amp;"|"&amp;B$3,'Casillas del horario'!$S$4:$S$73,0))),"")&amp;" (+"&amp;(COUNTIF('Casillas del horario'!$S$4:$S$73,"Profesor de M en 10-3"&amp;"|"&amp;$A4&amp;"|"&amp;B$3)-1)&amp;")",IFERROR(IF(INDEX('Casillas del horario'!$A$4:$A$73,MATCH("Profesor de M en 10-3"&amp;"|"&amp;$A4&amp;"|"&amp;B$3,'Casillas del horario'!$S$4:$S$73,0))="","",INDEX('Casillas del horario'!$A$4:$A$73,MATCH("Profesor de M en 10-3"&amp;"|"&amp;$A4&amp;"|"&amp;B$3,'Casillas del horario'!$S$4:$S$73,0))),""))</f>
        <v/>
      </c>
      <c r="C4" s="3">
        <f>IF(COUNTIF('Casillas del horario'!$S$4:$S$73,"Profesor de M en 10-3"&amp;"|"&amp;$A4&amp;"|"&amp;C$3)&gt;1,IFERROR(IF(INDEX('Casillas del horario'!$A$4:$A$73,MATCH("Profesor de M en 10-3"&amp;"|"&amp;$A4&amp;"|"&amp;C$3,'Casillas del horario'!$S$4:$S$73,0))="","",INDEX('Casillas del horario'!$A$4:$A$73,MATCH("Profesor de M en 10-3"&amp;"|"&amp;$A4&amp;"|"&amp;C$3,'Casillas del horario'!$S$4:$S$73,0))),"")&amp;" (+"&amp;(COUNTIF('Casillas del horario'!$S$4:$S$73,"Profesor de M en 10-3"&amp;"|"&amp;$A4&amp;"|"&amp;C$3)-1)&amp;")",IFERROR(IF(INDEX('Casillas del horario'!$A$4:$A$73,MATCH("Profesor de M en 10-3"&amp;"|"&amp;$A4&amp;"|"&amp;C$3,'Casillas del horario'!$S$4:$S$73,0))="","",INDEX('Casillas del horario'!$A$4:$A$73,MATCH("Profesor de M en 10-3"&amp;"|"&amp;$A4&amp;"|"&amp;C$3,'Casillas del horario'!$S$4:$S$73,0))),""))</f>
        <v/>
      </c>
      <c r="D4" s="3">
        <f>IF(COUNTIF('Casillas del horario'!$S$4:$S$73,"Profesor de M en 10-3"&amp;"|"&amp;$A4&amp;"|"&amp;D$3)&gt;1,IFERROR(IF(INDEX('Casillas del horario'!$A$4:$A$73,MATCH("Profesor de M en 10-3"&amp;"|"&amp;$A4&amp;"|"&amp;D$3,'Casillas del horario'!$S$4:$S$73,0))="","",INDEX('Casillas del horario'!$A$4:$A$73,MATCH("Profesor de M en 10-3"&amp;"|"&amp;$A4&amp;"|"&amp;D$3,'Casillas del horario'!$S$4:$S$73,0))),"")&amp;" (+"&amp;(COUNTIF('Casillas del horario'!$S$4:$S$73,"Profesor de M en 10-3"&amp;"|"&amp;$A4&amp;"|"&amp;D$3)-1)&amp;")",IFERROR(IF(INDEX('Casillas del horario'!$A$4:$A$73,MATCH("Profesor de M en 10-3"&amp;"|"&amp;$A4&amp;"|"&amp;D$3,'Casillas del horario'!$S$4:$S$73,0))="","",INDEX('Casillas del horario'!$A$4:$A$73,MATCH("Profesor de M en 10-3"&amp;"|"&amp;$A4&amp;"|"&amp;D$3,'Casillas del horario'!$S$4:$S$73,0))),""))</f>
        <v/>
      </c>
    </row>
    <row r="5">
      <c r="A5" s="3" t="n">
        <v>3</v>
      </c>
      <c r="B5" s="3">
        <f>IF(COUNTIF('Casillas del horario'!$S$4:$S$73,"Profesor de M en 10-3"&amp;"|"&amp;$A5&amp;"|"&amp;B$3)&gt;1,IFERROR(IF(INDEX('Casillas del horario'!$A$4:$A$73,MATCH("Profesor de M en 10-3"&amp;"|"&amp;$A5&amp;"|"&amp;B$3,'Casillas del horario'!$S$4:$S$73,0))="","",INDEX('Casillas del horario'!$A$4:$A$73,MATCH("Profesor de M en 10-3"&amp;"|"&amp;$A5&amp;"|"&amp;B$3,'Casillas del horario'!$S$4:$S$73,0))),"")&amp;" (+"&amp;(COUNTIF('Casillas del horario'!$S$4:$S$73,"Profesor de M en 10-3"&amp;"|"&amp;$A5&amp;"|"&amp;B$3)-1)&amp;")",IFERROR(IF(INDEX('Casillas del horario'!$A$4:$A$73,MATCH("Profesor de M en 10-3"&amp;"|"&amp;$A5&amp;"|"&amp;B$3,'Casillas del horario'!$S$4:$S$73,0))="","",INDEX('Casillas del horario'!$A$4:$A$73,MATCH("Profesor de M en 10-3"&amp;"|"&amp;$A5&amp;"|"&amp;B$3,'Casillas del horario'!$S$4:$S$73,0))),""))</f>
        <v/>
      </c>
      <c r="C5" s="3">
        <f>IF(COUNTIF('Casillas del horario'!$S$4:$S$73,"Profesor de M en 10-3"&amp;"|"&amp;$A5&amp;"|"&amp;C$3)&gt;1,IFERROR(IF(INDEX('Casillas del horario'!$A$4:$A$73,MATCH("Profesor de M en 10-3"&amp;"|"&amp;$A5&amp;"|"&amp;C$3,'Casillas del horario'!$S$4:$S$73,0))="","",INDEX('Casillas del horario'!$A$4:$A$73,MATCH("Profesor de M en 10-3"&amp;"|"&amp;$A5&amp;"|"&amp;C$3,'Casillas del horario'!$S$4:$S$73,0))),"")&amp;" (+"&amp;(COUNTIF('Casillas del horario'!$S$4:$S$73,"Profesor de M en 10-3"&amp;"|"&amp;$A5&amp;"|"&amp;C$3)-1)&amp;")",IFERROR(IF(INDEX('Casillas del horario'!$A$4:$A$73,MATCH("Profesor de M en 10-3"&amp;"|"&amp;$A5&amp;"|"&amp;C$3,'Casillas del horario'!$S$4:$S$73,0))="","",INDEX('Casillas del horario'!$A$4:$A$73,MATCH("Profesor de M en 10-3"&amp;"|"&amp;$A5&amp;"|"&amp;C$3,'Casillas del horario'!$S$4:$S$73,0))),""))</f>
        <v/>
      </c>
      <c r="D5" s="3">
        <f>IF(COUNTIF('Casillas del horario'!$S$4:$S$73,"Profesor de M en 10-3"&amp;"|"&amp;$A5&amp;"|"&amp;D$3)&gt;1,IFERROR(IF(INDEX('Casillas del horario'!$A$4:$A$73,MATCH("Profesor de M en 10-3"&amp;"|"&amp;$A5&amp;"|"&amp;D$3,'Casillas del horario'!$S$4:$S$73,0))="","",INDEX('Casillas del horario'!$A$4:$A$73,MATCH("Profesor de M en 10-3"&amp;"|"&amp;$A5&amp;"|"&amp;D$3,'Casillas del horario'!$S$4:$S$73,0))),"")&amp;" (+"&amp;(COUNTIF('Casillas del horario'!$S$4:$S$73,"Profesor de M en 10-3"&amp;"|"&amp;$A5&amp;"|"&amp;D$3)-1)&amp;")",IFERROR(IF(INDEX('Casillas del horario'!$A$4:$A$73,MATCH("Profesor de M en 10-3"&amp;"|"&amp;$A5&amp;"|"&amp;D$3,'Casillas del horario'!$S$4:$S$73,0))="","",INDEX('Casillas del horario'!$A$4:$A$73,MATCH("Profesor de M en 10-3"&amp;"|"&amp;$A5&amp;"|"&amp;D$3,'Casillas del horario'!$S$4:$S$73,0))),""))</f>
        <v/>
      </c>
    </row>
    <row r="6">
      <c r="A6" s="3" t="n">
        <v>5</v>
      </c>
      <c r="B6" s="3">
        <f>IF(COUNTIF('Casillas del horario'!$S$4:$S$73,"Profesor de M en 10-3"&amp;"|"&amp;$A6&amp;"|"&amp;B$3)&gt;1,IFERROR(IF(INDEX('Casillas del horario'!$A$4:$A$73,MATCH("Profesor de M en 10-3"&amp;"|"&amp;$A6&amp;"|"&amp;B$3,'Casillas del horario'!$S$4:$S$73,0))="","",INDEX('Casillas del horario'!$A$4:$A$73,MATCH("Profesor de M en 10-3"&amp;"|"&amp;$A6&amp;"|"&amp;B$3,'Casillas del horario'!$S$4:$S$73,0))),"")&amp;" (+"&amp;(COUNTIF('Casillas del horario'!$S$4:$S$73,"Profesor de M en 10-3"&amp;"|"&amp;$A6&amp;"|"&amp;B$3)-1)&amp;")",IFERROR(IF(INDEX('Casillas del horario'!$A$4:$A$73,MATCH("Profesor de M en 10-3"&amp;"|"&amp;$A6&amp;"|"&amp;B$3,'Casillas del horario'!$S$4:$S$73,0))="","",INDEX('Casillas del horario'!$A$4:$A$73,MATCH("Profesor de M en 10-3"&amp;"|"&amp;$A6&amp;"|"&amp;B$3,'Casillas del horario'!$S$4:$S$73,0))),""))</f>
        <v/>
      </c>
      <c r="C6" s="3">
        <f>IF(COUNTIF('Casillas del horario'!$S$4:$S$73,"Profesor de M en 10-3"&amp;"|"&amp;$A6&amp;"|"&amp;C$3)&gt;1,IFERROR(IF(INDEX('Casillas del horario'!$A$4:$A$73,MATCH("Profesor de M en 10-3"&amp;"|"&amp;$A6&amp;"|"&amp;C$3,'Casillas del horario'!$S$4:$S$73,0))="","",INDEX('Casillas del horario'!$A$4:$A$73,MATCH("Profesor de M en 10-3"&amp;"|"&amp;$A6&amp;"|"&amp;C$3,'Casillas del horario'!$S$4:$S$73,0))),"")&amp;" (+"&amp;(COUNTIF('Casillas del horario'!$S$4:$S$73,"Profesor de M en 10-3"&amp;"|"&amp;$A6&amp;"|"&amp;C$3)-1)&amp;")",IFERROR(IF(INDEX('Casillas del horario'!$A$4:$A$73,MATCH("Profesor de M en 10-3"&amp;"|"&amp;$A6&amp;"|"&amp;C$3,'Casillas del horario'!$S$4:$S$73,0))="","",INDEX('Casillas del horario'!$A$4:$A$73,MATCH("Profesor de M en 10-3"&amp;"|"&amp;$A6&amp;"|"&amp;C$3,'Casillas del horario'!$S$4:$S$73,0))),""))</f>
        <v/>
      </c>
      <c r="D6" s="3">
        <f>IF(COUNTIF('Casillas del horario'!$S$4:$S$73,"Profesor de M en 10-3"&amp;"|"&amp;$A6&amp;"|"&amp;D$3)&gt;1,IFERROR(IF(INDEX('Casillas del horario'!$A$4:$A$73,MATCH("Profesor de M en 10-3"&amp;"|"&amp;$A6&amp;"|"&amp;D$3,'Casillas del horario'!$S$4:$S$73,0))="","",INDEX('Casillas del horario'!$A$4:$A$73,MATCH("Profesor de M en 10-3"&amp;"|"&amp;$A6&amp;"|"&amp;D$3,'Casillas del horario'!$S$4:$S$73,0))),"")&amp;" (+"&amp;(COUNTIF('Casillas del horario'!$S$4:$S$73,"Profesor de M en 10-3"&amp;"|"&amp;$A6&amp;"|"&amp;D$3)-1)&amp;")",IFERROR(IF(INDEX('Casillas del horario'!$A$4:$A$73,MATCH("Profesor de M en 10-3"&amp;"|"&amp;$A6&amp;"|"&amp;D$3,'Casillas del horario'!$S$4:$S$73,0))="","",INDEX('Casillas del horario'!$A$4:$A$73,MATCH("Profesor de M en 10-3"&amp;"|"&amp;$A6&amp;"|"&amp;D$3,'Casillas del horario'!$S$4:$S$73,0))),""))</f>
        <v/>
      </c>
    </row>
    <row r="7">
      <c r="A7" s="3" t="n">
        <v>6</v>
      </c>
      <c r="B7" s="3">
        <f>IF(COUNTIF('Casillas del horario'!$S$4:$S$73,"Profesor de M en 10-3"&amp;"|"&amp;$A7&amp;"|"&amp;B$3)&gt;1,IFERROR(IF(INDEX('Casillas del horario'!$A$4:$A$73,MATCH("Profesor de M en 10-3"&amp;"|"&amp;$A7&amp;"|"&amp;B$3,'Casillas del horario'!$S$4:$S$73,0))="","",INDEX('Casillas del horario'!$A$4:$A$73,MATCH("Profesor de M en 10-3"&amp;"|"&amp;$A7&amp;"|"&amp;B$3,'Casillas del horario'!$S$4:$S$73,0))),"")&amp;" (+"&amp;(COUNTIF('Casillas del horario'!$S$4:$S$73,"Profesor de M en 10-3"&amp;"|"&amp;$A7&amp;"|"&amp;B$3)-1)&amp;")",IFERROR(IF(INDEX('Casillas del horario'!$A$4:$A$73,MATCH("Profesor de M en 10-3"&amp;"|"&amp;$A7&amp;"|"&amp;B$3,'Casillas del horario'!$S$4:$S$73,0))="","",INDEX('Casillas del horario'!$A$4:$A$73,MATCH("Profesor de M en 10-3"&amp;"|"&amp;$A7&amp;"|"&amp;B$3,'Casillas del horario'!$S$4:$S$73,0))),""))</f>
        <v/>
      </c>
      <c r="C7" s="3">
        <f>IF(COUNTIF('Casillas del horario'!$S$4:$S$73,"Profesor de M en 10-3"&amp;"|"&amp;$A7&amp;"|"&amp;C$3)&gt;1,IFERROR(IF(INDEX('Casillas del horario'!$A$4:$A$73,MATCH("Profesor de M en 10-3"&amp;"|"&amp;$A7&amp;"|"&amp;C$3,'Casillas del horario'!$S$4:$S$73,0))="","",INDEX('Casillas del horario'!$A$4:$A$73,MATCH("Profesor de M en 10-3"&amp;"|"&amp;$A7&amp;"|"&amp;C$3,'Casillas del horario'!$S$4:$S$73,0))),"")&amp;" (+"&amp;(COUNTIF('Casillas del horario'!$S$4:$S$73,"Profesor de M en 10-3"&amp;"|"&amp;$A7&amp;"|"&amp;C$3)-1)&amp;")",IFERROR(IF(INDEX('Casillas del horario'!$A$4:$A$73,MATCH("Profesor de M en 10-3"&amp;"|"&amp;$A7&amp;"|"&amp;C$3,'Casillas del horario'!$S$4:$S$73,0))="","",INDEX('Casillas del horario'!$A$4:$A$73,MATCH("Profesor de M en 10-3"&amp;"|"&amp;$A7&amp;"|"&amp;C$3,'Casillas del horario'!$S$4:$S$73,0))),""))</f>
        <v/>
      </c>
      <c r="D7" s="3">
        <f>IF(COUNTIF('Casillas del horario'!$S$4:$S$73,"Profesor de M en 10-3"&amp;"|"&amp;$A7&amp;"|"&amp;D$3)&gt;1,IFERROR(IF(INDEX('Casillas del horario'!$A$4:$A$73,MATCH("Profesor de M en 10-3"&amp;"|"&amp;$A7&amp;"|"&amp;D$3,'Casillas del horario'!$S$4:$S$73,0))="","",INDEX('Casillas del horario'!$A$4:$A$73,MATCH("Profesor de M en 10-3"&amp;"|"&amp;$A7&amp;"|"&amp;D$3,'Casillas del horario'!$S$4:$S$73,0))),"")&amp;" (+"&amp;(COUNTIF('Casillas del horario'!$S$4:$S$73,"Profesor de M en 10-3"&amp;"|"&amp;$A7&amp;"|"&amp;D$3)-1)&amp;")",IFERROR(IF(INDEX('Casillas del horario'!$A$4:$A$73,MATCH("Profesor de M en 10-3"&amp;"|"&amp;$A7&amp;"|"&amp;D$3,'Casillas del horario'!$S$4:$S$73,0))="","",INDEX('Casillas del horario'!$A$4:$A$73,MATCH("Profesor de M en 10-3"&amp;"|"&amp;$A7&amp;"|"&amp;D$3,'Casillas del horario'!$S$4:$S$73,0))),""))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EA9DB"/>
    <outlinePr summaryBelow="1" summaryRight="1"/>
    <pageSetUpPr/>
  </sheetPr>
  <dimension ref="A1:B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Profesor de DC en 10-3</t>
        </is>
      </c>
    </row>
    <row r="3">
      <c r="A3" s="2" t="inlineStr">
        <is>
          <t>Turno</t>
        </is>
      </c>
      <c r="B3" s="2" t="inlineStr">
        <is>
          <t>V</t>
        </is>
      </c>
    </row>
    <row r="4">
      <c r="A4" s="3" t="n">
        <v>2</v>
      </c>
      <c r="B4" s="3">
        <f>IF(COUNTIF('Casillas del horario'!$S$4:$S$73,"Profesor de DC en 10-3"&amp;"|"&amp;$A4&amp;"|"&amp;B$3)&gt;1,IFERROR(IF(INDEX('Casillas del horario'!$A$4:$A$73,MATCH("Profesor de DC en 10-3"&amp;"|"&amp;$A4&amp;"|"&amp;B$3,'Casillas del horario'!$S$4:$S$73,0))="","",INDEX('Casillas del horario'!$A$4:$A$73,MATCH("Profesor de DC en 10-3"&amp;"|"&amp;$A4&amp;"|"&amp;B$3,'Casillas del horario'!$S$4:$S$73,0))),"")&amp;" (+"&amp;(COUNTIF('Casillas del horario'!$S$4:$S$73,"Profesor de DC en 10-3"&amp;"|"&amp;$A4&amp;"|"&amp;B$3)-1)&amp;")",IFERROR(IF(INDEX('Casillas del horario'!$A$4:$A$73,MATCH("Profesor de DC en 10-3"&amp;"|"&amp;$A4&amp;"|"&amp;B$3,'Casillas del horario'!$S$4:$S$73,0))="","",INDEX('Casillas del horario'!$A$4:$A$73,MATCH("Profesor de DC en 10-3"&amp;"|"&amp;$A4&amp;"|"&amp;B$3,'Casillas del horario'!$S$4:$S$73,0))),""))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EA9DB"/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42" customWidth="1" min="3" max="3"/>
    <col width="42" customWidth="1" min="4" max="4"/>
  </cols>
  <sheetData>
    <row r="1">
      <c r="A1" s="1" t="inlineStr">
        <is>
          <t>Horario - Profesor de I en 10-4</t>
        </is>
      </c>
    </row>
    <row r="3">
      <c r="A3" s="2" t="inlineStr">
        <is>
          <t>Turno</t>
        </is>
      </c>
      <c r="B3" s="2" t="inlineStr">
        <is>
          <t>M</t>
        </is>
      </c>
      <c r="C3" s="2" t="inlineStr">
        <is>
          <t>J</t>
        </is>
      </c>
      <c r="D3" s="2" t="inlineStr">
        <is>
          <t>V</t>
        </is>
      </c>
    </row>
    <row r="4">
      <c r="A4" s="3" t="n">
        <v>2</v>
      </c>
      <c r="B4" s="3">
        <f>IF(COUNTIF('Casillas del horario'!$S$4:$S$73,"Profesor de I en 10-4"&amp;"|"&amp;$A4&amp;"|"&amp;B$3)&gt;1,IFERROR(IF(INDEX('Casillas del horario'!$A$4:$A$73,MATCH("Profesor de I en 10-4"&amp;"|"&amp;$A4&amp;"|"&amp;B$3,'Casillas del horario'!$S$4:$S$73,0))="","",INDEX('Casillas del horario'!$A$4:$A$73,MATCH("Profesor de I en 10-4"&amp;"|"&amp;$A4&amp;"|"&amp;B$3,'Casillas del horario'!$S$4:$S$73,0))),"")&amp;" (+"&amp;(COUNTIF('Casillas del horario'!$S$4:$S$73,"Profesor de I en 10-4"&amp;"|"&amp;$A4&amp;"|"&amp;B$3)-1)&amp;")",IFERROR(IF(INDEX('Casillas del horario'!$A$4:$A$73,MATCH("Profesor de I en 10-4"&amp;"|"&amp;$A4&amp;"|"&amp;B$3,'Casillas del horario'!$S$4:$S$73,0))="","",INDEX('Casillas del horario'!$A$4:$A$73,MATCH("Profesor de I en 10-4"&amp;"|"&amp;$A4&amp;"|"&amp;B$3,'Casillas del horario'!$S$4:$S$73,0))),""))</f>
        <v/>
      </c>
      <c r="C4" s="3">
        <f>IF(COUNTIF('Casillas del horario'!$S$4:$S$73,"Profesor de I en 10-4"&amp;"|"&amp;$A4&amp;"|"&amp;C$3)&gt;1,IFERROR(IF(INDEX('Casillas del horario'!$A$4:$A$73,MATCH("Profesor de I en 10-4"&amp;"|"&amp;$A4&amp;"|"&amp;C$3,'Casillas del horario'!$S$4:$S$73,0))="","",INDEX('Casillas del horario'!$A$4:$A$73,MATCH("Profesor de I en 10-4"&amp;"|"&amp;$A4&amp;"|"&amp;C$3,'Casillas del horario'!$S$4:$S$73,0))),"")&amp;" (+"&amp;(COUNTIF('Casillas del horario'!$S$4:$S$73,"Profesor de I en 10-4"&amp;"|"&amp;$A4&amp;"|"&amp;C$3)-1)&amp;")",IFERROR(IF(INDEX('Casillas del horario'!$A$4:$A$73,MATCH("Profesor de I en 10-4"&amp;"|"&amp;$A4&amp;"|"&amp;C$3,'Casillas del horario'!$S$4:$S$73,0))="","",INDEX('Casillas del horario'!$A$4:$A$73,MATCH("Profesor de I en 10-4"&amp;"|"&amp;$A4&amp;"|"&amp;C$3,'Casillas del horario'!$S$4:$S$73,0))),""))</f>
        <v/>
      </c>
      <c r="D4" s="3">
        <f>IF(COUNTIF('Casillas del horario'!$S$4:$S$73,"Profesor de I en 10-4"&amp;"|"&amp;$A4&amp;"|"&amp;D$3)&gt;1,IFERROR(IF(INDEX('Casillas del horario'!$A$4:$A$73,MATCH("Profesor de I en 10-4"&amp;"|"&amp;$A4&amp;"|"&amp;D$3,'Casillas del horario'!$S$4:$S$73,0))="","",INDEX('Casillas del horario'!$A$4:$A$73,MATCH("Profesor de I en 10-4"&amp;"|"&amp;$A4&amp;"|"&amp;D$3,'Casillas del horario'!$S$4:$S$73,0))),"")&amp;" (+"&amp;(COUNTIF('Casillas del horario'!$S$4:$S$73,"Profesor de I en 10-4"&amp;"|"&amp;$A4&amp;"|"&amp;D$3)-1)&amp;")",IFERROR(IF(INDEX('Casillas del horario'!$A$4:$A$73,MATCH("Profesor de I en 10-4"&amp;"|"&amp;$A4&amp;"|"&amp;D$3,'Casillas del horario'!$S$4:$S$73,0))="","",INDEX('Casillas del horario'!$A$4:$A$73,MATCH("Profesor de I en 10-4"&amp;"|"&amp;$A4&amp;"|"&amp;D$3,'Casillas del horario'!$S$4:$S$73,0))),""))</f>
        <v/>
      </c>
    </row>
    <row r="5">
      <c r="A5" s="3" t="n">
        <v>4</v>
      </c>
      <c r="B5" s="3">
        <f>IF(COUNTIF('Casillas del horario'!$S$4:$S$73,"Profesor de I en 10-4"&amp;"|"&amp;$A5&amp;"|"&amp;B$3)&gt;1,IFERROR(IF(INDEX('Casillas del horario'!$A$4:$A$73,MATCH("Profesor de I en 10-4"&amp;"|"&amp;$A5&amp;"|"&amp;B$3,'Casillas del horario'!$S$4:$S$73,0))="","",INDEX('Casillas del horario'!$A$4:$A$73,MATCH("Profesor de I en 10-4"&amp;"|"&amp;$A5&amp;"|"&amp;B$3,'Casillas del horario'!$S$4:$S$73,0))),"")&amp;" (+"&amp;(COUNTIF('Casillas del horario'!$S$4:$S$73,"Profesor de I en 10-4"&amp;"|"&amp;$A5&amp;"|"&amp;B$3)-1)&amp;")",IFERROR(IF(INDEX('Casillas del horario'!$A$4:$A$73,MATCH("Profesor de I en 10-4"&amp;"|"&amp;$A5&amp;"|"&amp;B$3,'Casillas del horario'!$S$4:$S$73,0))="","",INDEX('Casillas del horario'!$A$4:$A$73,MATCH("Profesor de I en 10-4"&amp;"|"&amp;$A5&amp;"|"&amp;B$3,'Casillas del horario'!$S$4:$S$73,0))),""))</f>
        <v/>
      </c>
      <c r="C5" s="3">
        <f>IF(COUNTIF('Casillas del horario'!$S$4:$S$73,"Profesor de I en 10-4"&amp;"|"&amp;$A5&amp;"|"&amp;C$3)&gt;1,IFERROR(IF(INDEX('Casillas del horario'!$A$4:$A$73,MATCH("Profesor de I en 10-4"&amp;"|"&amp;$A5&amp;"|"&amp;C$3,'Casillas del horario'!$S$4:$S$73,0))="","",INDEX('Casillas del horario'!$A$4:$A$73,MATCH("Profesor de I en 10-4"&amp;"|"&amp;$A5&amp;"|"&amp;C$3,'Casillas del horario'!$S$4:$S$73,0))),"")&amp;" (+"&amp;(COUNTIF('Casillas del horario'!$S$4:$S$73,"Profesor de I en 10-4"&amp;"|"&amp;$A5&amp;"|"&amp;C$3)-1)&amp;")",IFERROR(IF(INDEX('Casillas del horario'!$A$4:$A$73,MATCH("Profesor de I en 10-4"&amp;"|"&amp;$A5&amp;"|"&amp;C$3,'Casillas del horario'!$S$4:$S$73,0))="","",INDEX('Casillas del horario'!$A$4:$A$73,MATCH("Profesor de I en 10-4"&amp;"|"&amp;$A5&amp;"|"&amp;C$3,'Casillas del horario'!$S$4:$S$73,0))),""))</f>
        <v/>
      </c>
      <c r="D5" s="3">
        <f>IF(COUNTIF('Casillas del horario'!$S$4:$S$73,"Profesor de I en 10-4"&amp;"|"&amp;$A5&amp;"|"&amp;D$3)&gt;1,IFERROR(IF(INDEX('Casillas del horario'!$A$4:$A$73,MATCH("Profesor de I en 10-4"&amp;"|"&amp;$A5&amp;"|"&amp;D$3,'Casillas del horario'!$S$4:$S$73,0))="","",INDEX('Casillas del horario'!$A$4:$A$73,MATCH("Profesor de I en 10-4"&amp;"|"&amp;$A5&amp;"|"&amp;D$3,'Casillas del horario'!$S$4:$S$73,0))),"")&amp;" (+"&amp;(COUNTIF('Casillas del horario'!$S$4:$S$73,"Profesor de I en 10-4"&amp;"|"&amp;$A5&amp;"|"&amp;D$3)-1)&amp;")",IFERROR(IF(INDEX('Casillas del horario'!$A$4:$A$73,MATCH("Profesor de I en 10-4"&amp;"|"&amp;$A5&amp;"|"&amp;D$3,'Casillas del horario'!$S$4:$S$73,0))="","",INDEX('Casillas del horario'!$A$4:$A$73,MATCH("Profesor de I en 10-4"&amp;"|"&amp;$A5&amp;"|"&amp;D$3,'Casillas del horario'!$S$4:$S$73,0))),""))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EA9DB"/>
    <outlinePr summaryBelow="1" summaryRight="1"/>
    <pageSetUpPr/>
  </sheetPr>
  <dimension ref="A1:C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42" customWidth="1" min="3" max="3"/>
  </cols>
  <sheetData>
    <row r="1">
      <c r="A1" s="1" t="inlineStr">
        <is>
          <t>Profesor de EF en 10-4</t>
        </is>
      </c>
    </row>
    <row r="3">
      <c r="A3" s="2" t="inlineStr">
        <is>
          <t>Turno</t>
        </is>
      </c>
      <c r="B3" s="2" t="inlineStr">
        <is>
          <t>MI</t>
        </is>
      </c>
      <c r="C3" s="2" t="inlineStr">
        <is>
          <t>L</t>
        </is>
      </c>
    </row>
    <row r="4">
      <c r="A4" s="3" t="n">
        <v>2</v>
      </c>
      <c r="B4" s="3">
        <f>IF(COUNTIF('Casillas del horario'!$S$4:$S$73,"Profesor de EF en 10-4"&amp;"|"&amp;$A4&amp;"|"&amp;B$3)&gt;1,IFERROR(IF(INDEX('Casillas del horario'!$A$4:$A$73,MATCH("Profesor de EF en 10-4"&amp;"|"&amp;$A4&amp;"|"&amp;B$3,'Casillas del horario'!$S$4:$S$73,0))="","",INDEX('Casillas del horario'!$A$4:$A$73,MATCH("Profesor de EF en 10-4"&amp;"|"&amp;$A4&amp;"|"&amp;B$3,'Casillas del horario'!$S$4:$S$73,0))),"")&amp;" (+"&amp;(COUNTIF('Casillas del horario'!$S$4:$S$73,"Profesor de EF en 10-4"&amp;"|"&amp;$A4&amp;"|"&amp;B$3)-1)&amp;")",IFERROR(IF(INDEX('Casillas del horario'!$A$4:$A$73,MATCH("Profesor de EF en 10-4"&amp;"|"&amp;$A4&amp;"|"&amp;B$3,'Casillas del horario'!$S$4:$S$73,0))="","",INDEX('Casillas del horario'!$A$4:$A$73,MATCH("Profesor de EF en 10-4"&amp;"|"&amp;$A4&amp;"|"&amp;B$3,'Casillas del horario'!$S$4:$S$73,0))),""))</f>
        <v/>
      </c>
      <c r="C4" s="3">
        <f>IF(COUNTIF('Casillas del horario'!$S$4:$S$73,"Profesor de EF en 10-4"&amp;"|"&amp;$A4&amp;"|"&amp;C$3)&gt;1,IFERROR(IF(INDEX('Casillas del horario'!$A$4:$A$73,MATCH("Profesor de EF en 10-4"&amp;"|"&amp;$A4&amp;"|"&amp;C$3,'Casillas del horario'!$S$4:$S$73,0))="","",INDEX('Casillas del horario'!$A$4:$A$73,MATCH("Profesor de EF en 10-4"&amp;"|"&amp;$A4&amp;"|"&amp;C$3,'Casillas del horario'!$S$4:$S$73,0))),"")&amp;" (+"&amp;(COUNTIF('Casillas del horario'!$S$4:$S$73,"Profesor de EF en 10-4"&amp;"|"&amp;$A4&amp;"|"&amp;C$3)-1)&amp;")",IFERROR(IF(INDEX('Casillas del horario'!$A$4:$A$73,MATCH("Profesor de EF en 10-4"&amp;"|"&amp;$A4&amp;"|"&amp;C$3,'Casillas del horario'!$S$4:$S$73,0))="","",INDEX('Casillas del horario'!$A$4:$A$73,MATCH("Profesor de EF en 10-4"&amp;"|"&amp;$A4&amp;"|"&amp;C$3,'Casillas del horario'!$S$4:$S$73,0))),""))</f>
        <v/>
      </c>
    </row>
    <row r="5">
      <c r="A5" s="3" t="n">
        <v>3</v>
      </c>
      <c r="B5" s="3">
        <f>IF(COUNTIF('Casillas del horario'!$S$4:$S$73,"Profesor de EF en 10-4"&amp;"|"&amp;$A5&amp;"|"&amp;B$3)&gt;1,IFERROR(IF(INDEX('Casillas del horario'!$A$4:$A$73,MATCH("Profesor de EF en 10-4"&amp;"|"&amp;$A5&amp;"|"&amp;B$3,'Casillas del horario'!$S$4:$S$73,0))="","",INDEX('Casillas del horario'!$A$4:$A$73,MATCH("Profesor de EF en 10-4"&amp;"|"&amp;$A5&amp;"|"&amp;B$3,'Casillas del horario'!$S$4:$S$73,0))),"")&amp;" (+"&amp;(COUNTIF('Casillas del horario'!$S$4:$S$73,"Profesor de EF en 10-4"&amp;"|"&amp;$A5&amp;"|"&amp;B$3)-1)&amp;")",IFERROR(IF(INDEX('Casillas del horario'!$A$4:$A$73,MATCH("Profesor de EF en 10-4"&amp;"|"&amp;$A5&amp;"|"&amp;B$3,'Casillas del horario'!$S$4:$S$73,0))="","",INDEX('Casillas del horario'!$A$4:$A$73,MATCH("Profesor de EF en 10-4"&amp;"|"&amp;$A5&amp;"|"&amp;B$3,'Casillas del horario'!$S$4:$S$73,0))),""))</f>
        <v/>
      </c>
      <c r="C5" s="3">
        <f>IF(COUNTIF('Casillas del horario'!$S$4:$S$73,"Profesor de EF en 10-4"&amp;"|"&amp;$A5&amp;"|"&amp;C$3)&gt;1,IFERROR(IF(INDEX('Casillas del horario'!$A$4:$A$73,MATCH("Profesor de EF en 10-4"&amp;"|"&amp;$A5&amp;"|"&amp;C$3,'Casillas del horario'!$S$4:$S$73,0))="","",INDEX('Casillas del horario'!$A$4:$A$73,MATCH("Profesor de EF en 10-4"&amp;"|"&amp;$A5&amp;"|"&amp;C$3,'Casillas del horario'!$S$4:$S$73,0))),"")&amp;" (+"&amp;(COUNTIF('Casillas del horario'!$S$4:$S$73,"Profesor de EF en 10-4"&amp;"|"&amp;$A5&amp;"|"&amp;C$3)-1)&amp;")",IFERROR(IF(INDEX('Casillas del horario'!$A$4:$A$73,MATCH("Profesor de EF en 10-4"&amp;"|"&amp;$A5&amp;"|"&amp;C$3,'Casillas del horario'!$S$4:$S$73,0))="","",INDEX('Casillas del horario'!$A$4:$A$73,MATCH("Profesor de EF en 10-4"&amp;"|"&amp;$A5&amp;"|"&amp;C$3,'Casillas del horario'!$S$4:$S$73,0))),""))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EA9DB"/>
    <outlinePr summaryBelow="1" summaryRight="1"/>
    <pageSetUpPr/>
  </sheetPr>
  <dimension ref="A1:B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Profesor de CP en 10-3</t>
        </is>
      </c>
    </row>
    <row r="3">
      <c r="A3" s="2" t="inlineStr">
        <is>
          <t>Turno</t>
        </is>
      </c>
      <c r="B3" s="2" t="inlineStr">
        <is>
          <t>M</t>
        </is>
      </c>
    </row>
    <row r="4">
      <c r="A4" s="3" t="n">
        <v>3</v>
      </c>
      <c r="B4" s="3">
        <f>IF(COUNTIF('Casillas del horario'!$S$4:$S$73,"Profesor de CP en 10-3"&amp;"|"&amp;$A4&amp;"|"&amp;B$3)&gt;1,IFERROR(IF(INDEX('Casillas del horario'!$A$4:$A$73,MATCH("Profesor de CP en 10-3"&amp;"|"&amp;$A4&amp;"|"&amp;B$3,'Casillas del horario'!$S$4:$S$73,0))="","",INDEX('Casillas del horario'!$A$4:$A$73,MATCH("Profesor de CP en 10-3"&amp;"|"&amp;$A4&amp;"|"&amp;B$3,'Casillas del horario'!$S$4:$S$73,0))),"")&amp;" (+"&amp;(COUNTIF('Casillas del horario'!$S$4:$S$73,"Profesor de CP en 10-3"&amp;"|"&amp;$A4&amp;"|"&amp;B$3)-1)&amp;")",IFERROR(IF(INDEX('Casillas del horario'!$A$4:$A$73,MATCH("Profesor de CP en 10-3"&amp;"|"&amp;$A4&amp;"|"&amp;B$3,'Casillas del horario'!$S$4:$S$73,0))="","",INDEX('Casillas del horario'!$A$4:$A$73,MATCH("Profesor de CP en 10-3"&amp;"|"&amp;$A4&amp;"|"&amp;B$3,'Casillas del horario'!$S$4:$S$73,0))),""))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EA9DB"/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42" customWidth="1" min="3" max="3"/>
    <col width="42" customWidth="1" min="4" max="4"/>
  </cols>
  <sheetData>
    <row r="1">
      <c r="A1" s="1" t="inlineStr">
        <is>
          <t>Profesor de Lit-L en 10-3</t>
        </is>
      </c>
    </row>
    <row r="3">
      <c r="A3" s="2" t="inlineStr">
        <is>
          <t>Turno</t>
        </is>
      </c>
      <c r="B3" s="2" t="inlineStr">
        <is>
          <t>J</t>
        </is>
      </c>
      <c r="C3" s="2" t="inlineStr">
        <is>
          <t>L</t>
        </is>
      </c>
      <c r="D3" s="2" t="inlineStr">
        <is>
          <t>M</t>
        </is>
      </c>
    </row>
    <row r="4">
      <c r="A4" s="3" t="n">
        <v>3</v>
      </c>
      <c r="B4" s="3">
        <f>IF(COUNTIF('Casillas del horario'!$S$4:$S$73,"Profesor de Lit-L en 10-3"&amp;"|"&amp;$A4&amp;"|"&amp;B$3)&gt;1,IFERROR(IF(INDEX('Casillas del horario'!$A$4:$A$73,MATCH("Profesor de Lit-L en 10-3"&amp;"|"&amp;$A4&amp;"|"&amp;B$3,'Casillas del horario'!$S$4:$S$73,0))="","",INDEX('Casillas del horario'!$A$4:$A$73,MATCH("Profesor de Lit-L en 10-3"&amp;"|"&amp;$A4&amp;"|"&amp;B$3,'Casillas del horario'!$S$4:$S$73,0))),"")&amp;" (+"&amp;(COUNTIF('Casillas del horario'!$S$4:$S$73,"Profesor de Lit-L en 10-3"&amp;"|"&amp;$A4&amp;"|"&amp;B$3)-1)&amp;")",IFERROR(IF(INDEX('Casillas del horario'!$A$4:$A$73,MATCH("Profesor de Lit-L en 10-3"&amp;"|"&amp;$A4&amp;"|"&amp;B$3,'Casillas del horario'!$S$4:$S$73,0))="","",INDEX('Casillas del horario'!$A$4:$A$73,MATCH("Profesor de Lit-L en 10-3"&amp;"|"&amp;$A4&amp;"|"&amp;B$3,'Casillas del horario'!$S$4:$S$73,0))),""))</f>
        <v/>
      </c>
      <c r="C4" s="3">
        <f>IF(COUNTIF('Casillas del horario'!$S$4:$S$73,"Profesor de Lit-L en 10-3"&amp;"|"&amp;$A4&amp;"|"&amp;C$3)&gt;1,IFERROR(IF(INDEX('Casillas del horario'!$A$4:$A$73,MATCH("Profesor de Lit-L en 10-3"&amp;"|"&amp;$A4&amp;"|"&amp;C$3,'Casillas del horario'!$S$4:$S$73,0))="","",INDEX('Casillas del horario'!$A$4:$A$73,MATCH("Profesor de Lit-L en 10-3"&amp;"|"&amp;$A4&amp;"|"&amp;C$3,'Casillas del horario'!$S$4:$S$73,0))),"")&amp;" (+"&amp;(COUNTIF('Casillas del horario'!$S$4:$S$73,"Profesor de Lit-L en 10-3"&amp;"|"&amp;$A4&amp;"|"&amp;C$3)-1)&amp;")",IFERROR(IF(INDEX('Casillas del horario'!$A$4:$A$73,MATCH("Profesor de Lit-L en 10-3"&amp;"|"&amp;$A4&amp;"|"&amp;C$3,'Casillas del horario'!$S$4:$S$73,0))="","",INDEX('Casillas del horario'!$A$4:$A$73,MATCH("Profesor de Lit-L en 10-3"&amp;"|"&amp;$A4&amp;"|"&amp;C$3,'Casillas del horario'!$S$4:$S$73,0))),""))</f>
        <v/>
      </c>
      <c r="D4" s="3">
        <f>IF(COUNTIF('Casillas del horario'!$S$4:$S$73,"Profesor de Lit-L en 10-3"&amp;"|"&amp;$A4&amp;"|"&amp;D$3)&gt;1,IFERROR(IF(INDEX('Casillas del horario'!$A$4:$A$73,MATCH("Profesor de Lit-L en 10-3"&amp;"|"&amp;$A4&amp;"|"&amp;D$3,'Casillas del horario'!$S$4:$S$73,0))="","",INDEX('Casillas del horario'!$A$4:$A$73,MATCH("Profesor de Lit-L en 10-3"&amp;"|"&amp;$A4&amp;"|"&amp;D$3,'Casillas del horario'!$S$4:$S$73,0))),"")&amp;" (+"&amp;(COUNTIF('Casillas del horario'!$S$4:$S$73,"Profesor de Lit-L en 10-3"&amp;"|"&amp;$A4&amp;"|"&amp;D$3)-1)&amp;")",IFERROR(IF(INDEX('Casillas del horario'!$A$4:$A$73,MATCH("Profesor de Lit-L en 10-3"&amp;"|"&amp;$A4&amp;"|"&amp;D$3,'Casillas del horario'!$S$4:$S$73,0))="","",INDEX('Casillas del horario'!$A$4:$A$73,MATCH("Profesor de Lit-L en 10-3"&amp;"|"&amp;$A4&amp;"|"&amp;D$3,'Casillas del horario'!$S$4:$S$73,0))),""))</f>
        <v/>
      </c>
    </row>
    <row r="5">
      <c r="A5" s="3" t="n">
        <v>4</v>
      </c>
      <c r="B5" s="3">
        <f>IF(COUNTIF('Casillas del horario'!$S$4:$S$73,"Profesor de Lit-L en 10-3"&amp;"|"&amp;$A5&amp;"|"&amp;B$3)&gt;1,IFERROR(IF(INDEX('Casillas del horario'!$A$4:$A$73,MATCH("Profesor de Lit-L en 10-3"&amp;"|"&amp;$A5&amp;"|"&amp;B$3,'Casillas del horario'!$S$4:$S$73,0))="","",INDEX('Casillas del horario'!$A$4:$A$73,MATCH("Profesor de Lit-L en 10-3"&amp;"|"&amp;$A5&amp;"|"&amp;B$3,'Casillas del horario'!$S$4:$S$73,0))),"")&amp;" (+"&amp;(COUNTIF('Casillas del horario'!$S$4:$S$73,"Profesor de Lit-L en 10-3"&amp;"|"&amp;$A5&amp;"|"&amp;B$3)-1)&amp;")",IFERROR(IF(INDEX('Casillas del horario'!$A$4:$A$73,MATCH("Profesor de Lit-L en 10-3"&amp;"|"&amp;$A5&amp;"|"&amp;B$3,'Casillas del horario'!$S$4:$S$73,0))="","",INDEX('Casillas del horario'!$A$4:$A$73,MATCH("Profesor de Lit-L en 10-3"&amp;"|"&amp;$A5&amp;"|"&amp;B$3,'Casillas del horario'!$S$4:$S$73,0))),""))</f>
        <v/>
      </c>
      <c r="C5" s="3">
        <f>IF(COUNTIF('Casillas del horario'!$S$4:$S$73,"Profesor de Lit-L en 10-3"&amp;"|"&amp;$A5&amp;"|"&amp;C$3)&gt;1,IFERROR(IF(INDEX('Casillas del horario'!$A$4:$A$73,MATCH("Profesor de Lit-L en 10-3"&amp;"|"&amp;$A5&amp;"|"&amp;C$3,'Casillas del horario'!$S$4:$S$73,0))="","",INDEX('Casillas del horario'!$A$4:$A$73,MATCH("Profesor de Lit-L en 10-3"&amp;"|"&amp;$A5&amp;"|"&amp;C$3,'Casillas del horario'!$S$4:$S$73,0))),"")&amp;" (+"&amp;(COUNTIF('Casillas del horario'!$S$4:$S$73,"Profesor de Lit-L en 10-3"&amp;"|"&amp;$A5&amp;"|"&amp;C$3)-1)&amp;")",IFERROR(IF(INDEX('Casillas del horario'!$A$4:$A$73,MATCH("Profesor de Lit-L en 10-3"&amp;"|"&amp;$A5&amp;"|"&amp;C$3,'Casillas del horario'!$S$4:$S$73,0))="","",INDEX('Casillas del horario'!$A$4:$A$73,MATCH("Profesor de Lit-L en 10-3"&amp;"|"&amp;$A5&amp;"|"&amp;C$3,'Casillas del horario'!$S$4:$S$73,0))),""))</f>
        <v/>
      </c>
      <c r="D5" s="3">
        <f>IF(COUNTIF('Casillas del horario'!$S$4:$S$73,"Profesor de Lit-L en 10-3"&amp;"|"&amp;$A5&amp;"|"&amp;D$3)&gt;1,IFERROR(IF(INDEX('Casillas del horario'!$A$4:$A$73,MATCH("Profesor de Lit-L en 10-3"&amp;"|"&amp;$A5&amp;"|"&amp;D$3,'Casillas del horario'!$S$4:$S$73,0))="","",INDEX('Casillas del horario'!$A$4:$A$73,MATCH("Profesor de Lit-L en 10-3"&amp;"|"&amp;$A5&amp;"|"&amp;D$3,'Casillas del horario'!$S$4:$S$73,0))),"")&amp;" (+"&amp;(COUNTIF('Casillas del horario'!$S$4:$S$73,"Profesor de Lit-L en 10-3"&amp;"|"&amp;$A5&amp;"|"&amp;D$3)-1)&amp;")",IFERROR(IF(INDEX('Casillas del horario'!$A$4:$A$73,MATCH("Profesor de Lit-L en 10-3"&amp;"|"&amp;$A5&amp;"|"&amp;D$3,'Casillas del horario'!$S$4:$S$73,0))="","",INDEX('Casillas del horario'!$A$4:$A$73,MATCH("Profesor de Lit-L en 10-3"&amp;"|"&amp;$A5&amp;"|"&amp;D$3,'Casillas del horario'!$S$4:$S$73,0))),""))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EA9DB"/>
    <outlinePr summaryBelow="1" summaryRight="1"/>
    <pageSetUpPr/>
  </sheetPr>
  <dimension ref="A1:B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Horario - Profesor de Q en 10-3</t>
        </is>
      </c>
    </row>
    <row r="3">
      <c r="A3" s="2" t="inlineStr">
        <is>
          <t>Turno</t>
        </is>
      </c>
      <c r="B3" s="2" t="inlineStr">
        <is>
          <t>V</t>
        </is>
      </c>
    </row>
    <row r="4">
      <c r="A4" s="3" t="n">
        <v>3</v>
      </c>
      <c r="B4" s="3">
        <f>IF(COUNTIF('Casillas del horario'!$S$4:$S$73,"Profesor de Q en 10-3"&amp;"|"&amp;$A4&amp;"|"&amp;B$3)&gt;1,IFERROR(IF(INDEX('Casillas del horario'!$A$4:$A$73,MATCH("Profesor de Q en 10-3"&amp;"|"&amp;$A4&amp;"|"&amp;B$3,'Casillas del horario'!$S$4:$S$73,0))="","",INDEX('Casillas del horario'!$A$4:$A$73,MATCH("Profesor de Q en 10-3"&amp;"|"&amp;$A4&amp;"|"&amp;B$3,'Casillas del horario'!$S$4:$S$73,0))),"")&amp;" (+"&amp;(COUNTIF('Casillas del horario'!$S$4:$S$73,"Profesor de Q en 10-3"&amp;"|"&amp;$A4&amp;"|"&amp;B$3)-1)&amp;")",IFERROR(IF(INDEX('Casillas del horario'!$A$4:$A$73,MATCH("Profesor de Q en 10-3"&amp;"|"&amp;$A4&amp;"|"&amp;B$3,'Casillas del horario'!$S$4:$S$73,0))="","",INDEX('Casillas del horario'!$A$4:$A$73,MATCH("Profesor de Q en 10-3"&amp;"|"&amp;$A4&amp;"|"&amp;B$3,'Casillas del horario'!$S$4:$S$73,0))),""))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8EA9DB"/>
    <outlinePr summaryBelow="1" summaryRight="1"/>
    <pageSetUpPr/>
  </sheetPr>
  <dimension ref="A1:C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42" customWidth="1" min="3" max="3"/>
  </cols>
  <sheetData>
    <row r="1">
      <c r="A1" s="1" t="inlineStr">
        <is>
          <t>Horario - Profesor de B en 10-4</t>
        </is>
      </c>
    </row>
    <row r="3">
      <c r="A3" s="2" t="inlineStr">
        <is>
          <t>Turno</t>
        </is>
      </c>
      <c r="B3" s="2" t="inlineStr">
        <is>
          <t>M</t>
        </is>
      </c>
      <c r="C3" s="2" t="inlineStr">
        <is>
          <t>L</t>
        </is>
      </c>
    </row>
    <row r="4">
      <c r="A4" s="3" t="n">
        <v>3</v>
      </c>
      <c r="B4" s="3">
        <f>IF(COUNTIF('Casillas del horario'!$S$4:$S$73,"Profesor de B en 10-4"&amp;"|"&amp;$A4&amp;"|"&amp;B$3)&gt;1,IFERROR(IF(INDEX('Casillas del horario'!$A$4:$A$73,MATCH("Profesor de B en 10-4"&amp;"|"&amp;$A4&amp;"|"&amp;B$3,'Casillas del horario'!$S$4:$S$73,0))="","",INDEX('Casillas del horario'!$A$4:$A$73,MATCH("Profesor de B en 10-4"&amp;"|"&amp;$A4&amp;"|"&amp;B$3,'Casillas del horario'!$S$4:$S$73,0))),"")&amp;" (+"&amp;(COUNTIF('Casillas del horario'!$S$4:$S$73,"Profesor de B en 10-4"&amp;"|"&amp;$A4&amp;"|"&amp;B$3)-1)&amp;")",IFERROR(IF(INDEX('Casillas del horario'!$A$4:$A$73,MATCH("Profesor de B en 10-4"&amp;"|"&amp;$A4&amp;"|"&amp;B$3,'Casillas del horario'!$S$4:$S$73,0))="","",INDEX('Casillas del horario'!$A$4:$A$73,MATCH("Profesor de B en 10-4"&amp;"|"&amp;$A4&amp;"|"&amp;B$3,'Casillas del horario'!$S$4:$S$73,0))),""))</f>
        <v/>
      </c>
      <c r="C4" s="3">
        <f>IF(COUNTIF('Casillas del horario'!$S$4:$S$73,"Profesor de B en 10-4"&amp;"|"&amp;$A4&amp;"|"&amp;C$3)&gt;1,IFERROR(IF(INDEX('Casillas del horario'!$A$4:$A$73,MATCH("Profesor de B en 10-4"&amp;"|"&amp;$A4&amp;"|"&amp;C$3,'Casillas del horario'!$S$4:$S$73,0))="","",INDEX('Casillas del horario'!$A$4:$A$73,MATCH("Profesor de B en 10-4"&amp;"|"&amp;$A4&amp;"|"&amp;C$3,'Casillas del horario'!$S$4:$S$73,0))),"")&amp;" (+"&amp;(COUNTIF('Casillas del horario'!$S$4:$S$73,"Profesor de B en 10-4"&amp;"|"&amp;$A4&amp;"|"&amp;C$3)-1)&amp;")",IFERROR(IF(INDEX('Casillas del horario'!$A$4:$A$73,MATCH("Profesor de B en 10-4"&amp;"|"&amp;$A4&amp;"|"&amp;C$3,'Casillas del horario'!$S$4:$S$73,0))="","",INDEX('Casillas del horario'!$A$4:$A$73,MATCH("Profesor de B en 10-4"&amp;"|"&amp;$A4&amp;"|"&amp;C$3,'Casillas del horario'!$S$4:$S$73,0))),""))</f>
        <v/>
      </c>
    </row>
    <row r="5">
      <c r="A5" s="3" t="n">
        <v>6</v>
      </c>
      <c r="B5" s="3">
        <f>IF(COUNTIF('Casillas del horario'!$S$4:$S$73,"Profesor de B en 10-4"&amp;"|"&amp;$A5&amp;"|"&amp;B$3)&gt;1,IFERROR(IF(INDEX('Casillas del horario'!$A$4:$A$73,MATCH("Profesor de B en 10-4"&amp;"|"&amp;$A5&amp;"|"&amp;B$3,'Casillas del horario'!$S$4:$S$73,0))="","",INDEX('Casillas del horario'!$A$4:$A$73,MATCH("Profesor de B en 10-4"&amp;"|"&amp;$A5&amp;"|"&amp;B$3,'Casillas del horario'!$S$4:$S$73,0))),"")&amp;" (+"&amp;(COUNTIF('Casillas del horario'!$S$4:$S$73,"Profesor de B en 10-4"&amp;"|"&amp;$A5&amp;"|"&amp;B$3)-1)&amp;")",IFERROR(IF(INDEX('Casillas del horario'!$A$4:$A$73,MATCH("Profesor de B en 10-4"&amp;"|"&amp;$A5&amp;"|"&amp;B$3,'Casillas del horario'!$S$4:$S$73,0))="","",INDEX('Casillas del horario'!$A$4:$A$73,MATCH("Profesor de B en 10-4"&amp;"|"&amp;$A5&amp;"|"&amp;B$3,'Casillas del horario'!$S$4:$S$73,0))),""))</f>
        <v/>
      </c>
      <c r="C5" s="3">
        <f>IF(COUNTIF('Casillas del horario'!$S$4:$S$73,"Profesor de B en 10-4"&amp;"|"&amp;$A5&amp;"|"&amp;C$3)&gt;1,IFERROR(IF(INDEX('Casillas del horario'!$A$4:$A$73,MATCH("Profesor de B en 10-4"&amp;"|"&amp;$A5&amp;"|"&amp;C$3,'Casillas del horario'!$S$4:$S$73,0))="","",INDEX('Casillas del horario'!$A$4:$A$73,MATCH("Profesor de B en 10-4"&amp;"|"&amp;$A5&amp;"|"&amp;C$3,'Casillas del horario'!$S$4:$S$73,0))),"")&amp;" (+"&amp;(COUNTIF('Casillas del horario'!$S$4:$S$73,"Profesor de B en 10-4"&amp;"|"&amp;$A5&amp;"|"&amp;C$3)-1)&amp;")",IFERROR(IF(INDEX('Casillas del horario'!$A$4:$A$73,MATCH("Profesor de B en 10-4"&amp;"|"&amp;$A5&amp;"|"&amp;C$3,'Casillas del horario'!$S$4:$S$73,0))="","",INDEX('Casillas del horario'!$A$4:$A$73,MATCH("Profesor de B en 10-4"&amp;"|"&amp;$A5&amp;"|"&amp;C$3,'Casillas del horario'!$S$4:$S$73,0))),""))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8EA9DB"/>
    <outlinePr summaryBelow="1" summaryRight="1"/>
    <pageSetUpPr/>
  </sheetPr>
  <dimension ref="A1:B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Profesor de CA en 10-4</t>
        </is>
      </c>
    </row>
    <row r="3">
      <c r="A3" s="2" t="inlineStr">
        <is>
          <t>Turno</t>
        </is>
      </c>
      <c r="B3" s="2" t="inlineStr">
        <is>
          <t>L</t>
        </is>
      </c>
    </row>
    <row r="4">
      <c r="A4" s="3" t="n">
        <v>4</v>
      </c>
      <c r="B4" s="3">
        <f>IF(COUNTIF('Casillas del horario'!$S$4:$S$73,"Profesor de CA en 10-4"&amp;"|"&amp;$A4&amp;"|"&amp;B$3)&gt;1,IFERROR(IF(INDEX('Casillas del horario'!$A$4:$A$73,MATCH("Profesor de CA en 10-4"&amp;"|"&amp;$A4&amp;"|"&amp;B$3,'Casillas del horario'!$S$4:$S$73,0))="","",INDEX('Casillas del horario'!$A$4:$A$73,MATCH("Profesor de CA en 10-4"&amp;"|"&amp;$A4&amp;"|"&amp;B$3,'Casillas del horario'!$S$4:$S$73,0))),"")&amp;" (+"&amp;(COUNTIF('Casillas del horario'!$S$4:$S$73,"Profesor de CA en 10-4"&amp;"|"&amp;$A4&amp;"|"&amp;B$3)-1)&amp;")",IFERROR(IF(INDEX('Casillas del horario'!$A$4:$A$73,MATCH("Profesor de CA en 10-4"&amp;"|"&amp;$A4&amp;"|"&amp;B$3,'Casillas del horario'!$S$4:$S$73,0))="","",INDEX('Casillas del horario'!$A$4:$A$73,MATCH("Profesor de CA en 10-4"&amp;"|"&amp;$A4&amp;"|"&amp;B$3,'Casillas del horario'!$S$4:$S$73,0))),""))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8EA9DB"/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42" customWidth="1" min="3" max="3"/>
    <col width="42" customWidth="1" min="4" max="4"/>
  </cols>
  <sheetData>
    <row r="1">
      <c r="A1" s="1" t="inlineStr">
        <is>
          <t>Horario - Profesor de H en 10-4</t>
        </is>
      </c>
    </row>
    <row r="3">
      <c r="A3" s="2" t="inlineStr">
        <is>
          <t>Turno</t>
        </is>
      </c>
      <c r="B3" s="2" t="inlineStr">
        <is>
          <t>M</t>
        </is>
      </c>
      <c r="C3" s="2" t="inlineStr">
        <is>
          <t>J</t>
        </is>
      </c>
      <c r="D3" s="2" t="inlineStr">
        <is>
          <t>MI</t>
        </is>
      </c>
    </row>
    <row r="4">
      <c r="A4" s="3" t="n">
        <v>4</v>
      </c>
      <c r="B4" s="3">
        <f>IF(COUNTIF('Casillas del horario'!$S$4:$S$73,"Profesor de H en 10-4"&amp;"|"&amp;$A4&amp;"|"&amp;B$3)&gt;1,IFERROR(IF(INDEX('Casillas del horario'!$A$4:$A$73,MATCH("Profesor de H en 10-4"&amp;"|"&amp;$A4&amp;"|"&amp;B$3,'Casillas del horario'!$S$4:$S$73,0))="","",INDEX('Casillas del horario'!$A$4:$A$73,MATCH("Profesor de H en 10-4"&amp;"|"&amp;$A4&amp;"|"&amp;B$3,'Casillas del horario'!$S$4:$S$73,0))),"")&amp;" (+"&amp;(COUNTIF('Casillas del horario'!$S$4:$S$73,"Profesor de H en 10-4"&amp;"|"&amp;$A4&amp;"|"&amp;B$3)-1)&amp;")",IFERROR(IF(INDEX('Casillas del horario'!$A$4:$A$73,MATCH("Profesor de H en 10-4"&amp;"|"&amp;$A4&amp;"|"&amp;B$3,'Casillas del horario'!$S$4:$S$73,0))="","",INDEX('Casillas del horario'!$A$4:$A$73,MATCH("Profesor de H en 10-4"&amp;"|"&amp;$A4&amp;"|"&amp;B$3,'Casillas del horario'!$S$4:$S$73,0))),""))</f>
        <v/>
      </c>
      <c r="C4" s="3">
        <f>IF(COUNTIF('Casillas del horario'!$S$4:$S$73,"Profesor de H en 10-4"&amp;"|"&amp;$A4&amp;"|"&amp;C$3)&gt;1,IFERROR(IF(INDEX('Casillas del horario'!$A$4:$A$73,MATCH("Profesor de H en 10-4"&amp;"|"&amp;$A4&amp;"|"&amp;C$3,'Casillas del horario'!$S$4:$S$73,0))="","",INDEX('Casillas del horario'!$A$4:$A$73,MATCH("Profesor de H en 10-4"&amp;"|"&amp;$A4&amp;"|"&amp;C$3,'Casillas del horario'!$S$4:$S$73,0))),"")&amp;" (+"&amp;(COUNTIF('Casillas del horario'!$S$4:$S$73,"Profesor de H en 10-4"&amp;"|"&amp;$A4&amp;"|"&amp;C$3)-1)&amp;")",IFERROR(IF(INDEX('Casillas del horario'!$A$4:$A$73,MATCH("Profesor de H en 10-4"&amp;"|"&amp;$A4&amp;"|"&amp;C$3,'Casillas del horario'!$S$4:$S$73,0))="","",INDEX('Casillas del horario'!$A$4:$A$73,MATCH("Profesor de H en 10-4"&amp;"|"&amp;$A4&amp;"|"&amp;C$3,'Casillas del horario'!$S$4:$S$73,0))),""))</f>
        <v/>
      </c>
      <c r="D4" s="3">
        <f>IF(COUNTIF('Casillas del horario'!$S$4:$S$73,"Profesor de H en 10-4"&amp;"|"&amp;$A4&amp;"|"&amp;D$3)&gt;1,IFERROR(IF(INDEX('Casillas del horario'!$A$4:$A$73,MATCH("Profesor de H en 10-4"&amp;"|"&amp;$A4&amp;"|"&amp;D$3,'Casillas del horario'!$S$4:$S$73,0))="","",INDEX('Casillas del horario'!$A$4:$A$73,MATCH("Profesor de H en 10-4"&amp;"|"&amp;$A4&amp;"|"&amp;D$3,'Casillas del horario'!$S$4:$S$73,0))),"")&amp;" (+"&amp;(COUNTIF('Casillas del horario'!$S$4:$S$73,"Profesor de H en 10-4"&amp;"|"&amp;$A4&amp;"|"&amp;D$3)-1)&amp;")",IFERROR(IF(INDEX('Casillas del horario'!$A$4:$A$73,MATCH("Profesor de H en 10-4"&amp;"|"&amp;$A4&amp;"|"&amp;D$3,'Casillas del horario'!$S$4:$S$73,0))="","",INDEX('Casillas del horario'!$A$4:$A$73,MATCH("Profesor de H en 10-4"&amp;"|"&amp;$A4&amp;"|"&amp;D$3,'Casillas del horario'!$S$4:$S$73,0))),""))</f>
        <v/>
      </c>
    </row>
    <row r="5">
      <c r="A5" s="3" t="n">
        <v>5</v>
      </c>
      <c r="B5" s="3">
        <f>IF(COUNTIF('Casillas del horario'!$S$4:$S$73,"Profesor de H en 10-4"&amp;"|"&amp;$A5&amp;"|"&amp;B$3)&gt;1,IFERROR(IF(INDEX('Casillas del horario'!$A$4:$A$73,MATCH("Profesor de H en 10-4"&amp;"|"&amp;$A5&amp;"|"&amp;B$3,'Casillas del horario'!$S$4:$S$73,0))="","",INDEX('Casillas del horario'!$A$4:$A$73,MATCH("Profesor de H en 10-4"&amp;"|"&amp;$A5&amp;"|"&amp;B$3,'Casillas del horario'!$S$4:$S$73,0))),"")&amp;" (+"&amp;(COUNTIF('Casillas del horario'!$S$4:$S$73,"Profesor de H en 10-4"&amp;"|"&amp;$A5&amp;"|"&amp;B$3)-1)&amp;")",IFERROR(IF(INDEX('Casillas del horario'!$A$4:$A$73,MATCH("Profesor de H en 10-4"&amp;"|"&amp;$A5&amp;"|"&amp;B$3,'Casillas del horario'!$S$4:$S$73,0))="","",INDEX('Casillas del horario'!$A$4:$A$73,MATCH("Profesor de H en 10-4"&amp;"|"&amp;$A5&amp;"|"&amp;B$3,'Casillas del horario'!$S$4:$S$73,0))),""))</f>
        <v/>
      </c>
      <c r="C5" s="3">
        <f>IF(COUNTIF('Casillas del horario'!$S$4:$S$73,"Profesor de H en 10-4"&amp;"|"&amp;$A5&amp;"|"&amp;C$3)&gt;1,IFERROR(IF(INDEX('Casillas del horario'!$A$4:$A$73,MATCH("Profesor de H en 10-4"&amp;"|"&amp;$A5&amp;"|"&amp;C$3,'Casillas del horario'!$S$4:$S$73,0))="","",INDEX('Casillas del horario'!$A$4:$A$73,MATCH("Profesor de H en 10-4"&amp;"|"&amp;$A5&amp;"|"&amp;C$3,'Casillas del horario'!$S$4:$S$73,0))),"")&amp;" (+"&amp;(COUNTIF('Casillas del horario'!$S$4:$S$73,"Profesor de H en 10-4"&amp;"|"&amp;$A5&amp;"|"&amp;C$3)-1)&amp;")",IFERROR(IF(INDEX('Casillas del horario'!$A$4:$A$73,MATCH("Profesor de H en 10-4"&amp;"|"&amp;$A5&amp;"|"&amp;C$3,'Casillas del horario'!$S$4:$S$73,0))="","",INDEX('Casillas del horario'!$A$4:$A$73,MATCH("Profesor de H en 10-4"&amp;"|"&amp;$A5&amp;"|"&amp;C$3,'Casillas del horario'!$S$4:$S$73,0))),""))</f>
        <v/>
      </c>
      <c r="D5" s="3">
        <f>IF(COUNTIF('Casillas del horario'!$S$4:$S$73,"Profesor de H en 10-4"&amp;"|"&amp;$A5&amp;"|"&amp;D$3)&gt;1,IFERROR(IF(INDEX('Casillas del horario'!$A$4:$A$73,MATCH("Profesor de H en 10-4"&amp;"|"&amp;$A5&amp;"|"&amp;D$3,'Casillas del horario'!$S$4:$S$73,0))="","",INDEX('Casillas del horario'!$A$4:$A$73,MATCH("Profesor de H en 10-4"&amp;"|"&amp;$A5&amp;"|"&amp;D$3,'Casillas del horario'!$S$4:$S$73,0))),"")&amp;" (+"&amp;(COUNTIF('Casillas del horario'!$S$4:$S$73,"Profesor de H en 10-4"&amp;"|"&amp;$A5&amp;"|"&amp;D$3)-1)&amp;")",IFERROR(IF(INDEX('Casillas del horario'!$A$4:$A$73,MATCH("Profesor de H en 10-4"&amp;"|"&amp;$A5&amp;"|"&amp;D$3,'Casillas del horario'!$S$4:$S$73,0))="","",INDEX('Casillas del horario'!$A$4:$A$73,MATCH("Profesor de H en 10-4"&amp;"|"&amp;$A5&amp;"|"&amp;D$3,'Casillas del horario'!$S$4:$S$73,0))),""))</f>
        <v/>
      </c>
    </row>
    <row r="6">
      <c r="A6" s="3" t="n">
        <v>6</v>
      </c>
      <c r="B6" s="3">
        <f>IF(COUNTIF('Casillas del horario'!$S$4:$S$73,"Profesor de H en 10-4"&amp;"|"&amp;$A6&amp;"|"&amp;B$3)&gt;1,IFERROR(IF(INDEX('Casillas del horario'!$A$4:$A$73,MATCH("Profesor de H en 10-4"&amp;"|"&amp;$A6&amp;"|"&amp;B$3,'Casillas del horario'!$S$4:$S$73,0))="","",INDEX('Casillas del horario'!$A$4:$A$73,MATCH("Profesor de H en 10-4"&amp;"|"&amp;$A6&amp;"|"&amp;B$3,'Casillas del horario'!$S$4:$S$73,0))),"")&amp;" (+"&amp;(COUNTIF('Casillas del horario'!$S$4:$S$73,"Profesor de H en 10-4"&amp;"|"&amp;$A6&amp;"|"&amp;B$3)-1)&amp;")",IFERROR(IF(INDEX('Casillas del horario'!$A$4:$A$73,MATCH("Profesor de H en 10-4"&amp;"|"&amp;$A6&amp;"|"&amp;B$3,'Casillas del horario'!$S$4:$S$73,0))="","",INDEX('Casillas del horario'!$A$4:$A$73,MATCH("Profesor de H en 10-4"&amp;"|"&amp;$A6&amp;"|"&amp;B$3,'Casillas del horario'!$S$4:$S$73,0))),""))</f>
        <v/>
      </c>
      <c r="C6" s="3">
        <f>IF(COUNTIF('Casillas del horario'!$S$4:$S$73,"Profesor de H en 10-4"&amp;"|"&amp;$A6&amp;"|"&amp;C$3)&gt;1,IFERROR(IF(INDEX('Casillas del horario'!$A$4:$A$73,MATCH("Profesor de H en 10-4"&amp;"|"&amp;$A6&amp;"|"&amp;C$3,'Casillas del horario'!$S$4:$S$73,0))="","",INDEX('Casillas del horario'!$A$4:$A$73,MATCH("Profesor de H en 10-4"&amp;"|"&amp;$A6&amp;"|"&amp;C$3,'Casillas del horario'!$S$4:$S$73,0))),"")&amp;" (+"&amp;(COUNTIF('Casillas del horario'!$S$4:$S$73,"Profesor de H en 10-4"&amp;"|"&amp;$A6&amp;"|"&amp;C$3)-1)&amp;")",IFERROR(IF(INDEX('Casillas del horario'!$A$4:$A$73,MATCH("Profesor de H en 10-4"&amp;"|"&amp;$A6&amp;"|"&amp;C$3,'Casillas del horario'!$S$4:$S$73,0))="","",INDEX('Casillas del horario'!$A$4:$A$73,MATCH("Profesor de H en 10-4"&amp;"|"&amp;$A6&amp;"|"&amp;C$3,'Casillas del horario'!$S$4:$S$73,0))),""))</f>
        <v/>
      </c>
      <c r="D6" s="3">
        <f>IF(COUNTIF('Casillas del horario'!$S$4:$S$73,"Profesor de H en 10-4"&amp;"|"&amp;$A6&amp;"|"&amp;D$3)&gt;1,IFERROR(IF(INDEX('Casillas del horario'!$A$4:$A$73,MATCH("Profesor de H en 10-4"&amp;"|"&amp;$A6&amp;"|"&amp;D$3,'Casillas del horario'!$S$4:$S$73,0))="","",INDEX('Casillas del horario'!$A$4:$A$73,MATCH("Profesor de H en 10-4"&amp;"|"&amp;$A6&amp;"|"&amp;D$3,'Casillas del horario'!$S$4:$S$73,0))),"")&amp;" (+"&amp;(COUNTIF('Casillas del horario'!$S$4:$S$73,"Profesor de H en 10-4"&amp;"|"&amp;$A6&amp;"|"&amp;D$3)-1)&amp;")",IFERROR(IF(INDEX('Casillas del horario'!$A$4:$A$73,MATCH("Profesor de H en 10-4"&amp;"|"&amp;$A6&amp;"|"&amp;D$3,'Casillas del horario'!$S$4:$S$73,0))="","",INDEX('Casillas del horario'!$A$4:$A$73,MATCH("Profesor de H en 10-4"&amp;"|"&amp;$A6&amp;"|"&amp;D$3,'Casillas del horario'!$S$4:$S$73,0))),""))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8EA9DB"/>
    <outlinePr summaryBelow="1" summaryRight="1"/>
    <pageSetUpPr/>
  </sheetPr>
  <dimension ref="A1:C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42" customWidth="1" min="3" max="3"/>
  </cols>
  <sheetData>
    <row r="1">
      <c r="A1" s="1" t="inlineStr">
        <is>
          <t>Horario - Profesor de G en 10-4</t>
        </is>
      </c>
    </row>
    <row r="3">
      <c r="A3" s="2" t="inlineStr">
        <is>
          <t>Turno</t>
        </is>
      </c>
      <c r="B3" s="2" t="inlineStr">
        <is>
          <t>MI</t>
        </is>
      </c>
      <c r="C3" s="2" t="inlineStr">
        <is>
          <t>M</t>
        </is>
      </c>
    </row>
    <row r="4">
      <c r="A4" s="3" t="n">
        <v>4</v>
      </c>
      <c r="B4" s="3">
        <f>IF(COUNTIF('Casillas del horario'!$S$4:$S$73,"Profesor de G en 10-4"&amp;"|"&amp;$A4&amp;"|"&amp;B$3)&gt;1,IFERROR(IF(INDEX('Casillas del horario'!$A$4:$A$73,MATCH("Profesor de G en 10-4"&amp;"|"&amp;$A4&amp;"|"&amp;B$3,'Casillas del horario'!$S$4:$S$73,0))="","",INDEX('Casillas del horario'!$A$4:$A$73,MATCH("Profesor de G en 10-4"&amp;"|"&amp;$A4&amp;"|"&amp;B$3,'Casillas del horario'!$S$4:$S$73,0))),"")&amp;" (+"&amp;(COUNTIF('Casillas del horario'!$S$4:$S$73,"Profesor de G en 10-4"&amp;"|"&amp;$A4&amp;"|"&amp;B$3)-1)&amp;")",IFERROR(IF(INDEX('Casillas del horario'!$A$4:$A$73,MATCH("Profesor de G en 10-4"&amp;"|"&amp;$A4&amp;"|"&amp;B$3,'Casillas del horario'!$S$4:$S$73,0))="","",INDEX('Casillas del horario'!$A$4:$A$73,MATCH("Profesor de G en 10-4"&amp;"|"&amp;$A4&amp;"|"&amp;B$3,'Casillas del horario'!$S$4:$S$73,0))),""))</f>
        <v/>
      </c>
      <c r="C4" s="3">
        <f>IF(COUNTIF('Casillas del horario'!$S$4:$S$73,"Profesor de G en 10-4"&amp;"|"&amp;$A4&amp;"|"&amp;C$3)&gt;1,IFERROR(IF(INDEX('Casillas del horario'!$A$4:$A$73,MATCH("Profesor de G en 10-4"&amp;"|"&amp;$A4&amp;"|"&amp;C$3,'Casillas del horario'!$S$4:$S$73,0))="","",INDEX('Casillas del horario'!$A$4:$A$73,MATCH("Profesor de G en 10-4"&amp;"|"&amp;$A4&amp;"|"&amp;C$3,'Casillas del horario'!$S$4:$S$73,0))),"")&amp;" (+"&amp;(COUNTIF('Casillas del horario'!$S$4:$S$73,"Profesor de G en 10-4"&amp;"|"&amp;$A4&amp;"|"&amp;C$3)-1)&amp;")",IFERROR(IF(INDEX('Casillas del horario'!$A$4:$A$73,MATCH("Profesor de G en 10-4"&amp;"|"&amp;$A4&amp;"|"&amp;C$3,'Casillas del horario'!$S$4:$S$73,0))="","",INDEX('Casillas del horario'!$A$4:$A$73,MATCH("Profesor de G en 10-4"&amp;"|"&amp;$A4&amp;"|"&amp;C$3,'Casillas del horario'!$S$4:$S$73,0))),""))</f>
        <v/>
      </c>
    </row>
    <row r="5">
      <c r="A5" s="3" t="n">
        <v>6</v>
      </c>
      <c r="B5" s="3">
        <f>IF(COUNTIF('Casillas del horario'!$S$4:$S$73,"Profesor de G en 10-4"&amp;"|"&amp;$A5&amp;"|"&amp;B$3)&gt;1,IFERROR(IF(INDEX('Casillas del horario'!$A$4:$A$73,MATCH("Profesor de G en 10-4"&amp;"|"&amp;$A5&amp;"|"&amp;B$3,'Casillas del horario'!$S$4:$S$73,0))="","",INDEX('Casillas del horario'!$A$4:$A$73,MATCH("Profesor de G en 10-4"&amp;"|"&amp;$A5&amp;"|"&amp;B$3,'Casillas del horario'!$S$4:$S$73,0))),"")&amp;" (+"&amp;(COUNTIF('Casillas del horario'!$S$4:$S$73,"Profesor de G en 10-4"&amp;"|"&amp;$A5&amp;"|"&amp;B$3)-1)&amp;")",IFERROR(IF(INDEX('Casillas del horario'!$A$4:$A$73,MATCH("Profesor de G en 10-4"&amp;"|"&amp;$A5&amp;"|"&amp;B$3,'Casillas del horario'!$S$4:$S$73,0))="","",INDEX('Casillas del horario'!$A$4:$A$73,MATCH("Profesor de G en 10-4"&amp;"|"&amp;$A5&amp;"|"&amp;B$3,'Casillas del horario'!$S$4:$S$73,0))),""))</f>
        <v/>
      </c>
      <c r="C5" s="3">
        <f>IF(COUNTIF('Casillas del horario'!$S$4:$S$73,"Profesor de G en 10-4"&amp;"|"&amp;$A5&amp;"|"&amp;C$3)&gt;1,IFERROR(IF(INDEX('Casillas del horario'!$A$4:$A$73,MATCH("Profesor de G en 10-4"&amp;"|"&amp;$A5&amp;"|"&amp;C$3,'Casillas del horario'!$S$4:$S$73,0))="","",INDEX('Casillas del horario'!$A$4:$A$73,MATCH("Profesor de G en 10-4"&amp;"|"&amp;$A5&amp;"|"&amp;C$3,'Casillas del horario'!$S$4:$S$73,0))),"")&amp;" (+"&amp;(COUNTIF('Casillas del horario'!$S$4:$S$73,"Profesor de G en 10-4"&amp;"|"&amp;$A5&amp;"|"&amp;C$3)-1)&amp;")",IFERROR(IF(INDEX('Casillas del horario'!$A$4:$A$73,MATCH("Profesor de G en 10-4"&amp;"|"&amp;$A5&amp;"|"&amp;C$3,'Casillas del horario'!$S$4:$S$73,0))="","",INDEX('Casillas del horario'!$A$4:$A$73,MATCH("Profesor de G en 10-4"&amp;"|"&amp;$A5&amp;"|"&amp;C$3,'Casillas del horario'!$S$4:$S$73,0))),""))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8EA9DB"/>
    <outlinePr summaryBelow="1" summaryRight="1"/>
    <pageSetUpPr/>
  </sheetPr>
  <dimension ref="A1:B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Profesor de INF en 10-4</t>
        </is>
      </c>
    </row>
    <row r="3">
      <c r="A3" s="2" t="inlineStr">
        <is>
          <t>Turno</t>
        </is>
      </c>
      <c r="B3" s="2" t="inlineStr">
        <is>
          <t>J</t>
        </is>
      </c>
    </row>
    <row r="4">
      <c r="A4" s="3" t="n">
        <v>4</v>
      </c>
      <c r="B4" s="3">
        <f>IF(COUNTIF('Casillas del horario'!$S$4:$S$73,"Profesor de INF en 10-4"&amp;"|"&amp;$A4&amp;"|"&amp;B$3)&gt;1,IFERROR(IF(INDEX('Casillas del horario'!$A$4:$A$73,MATCH("Profesor de INF en 10-4"&amp;"|"&amp;$A4&amp;"|"&amp;B$3,'Casillas del horario'!$S$4:$S$73,0))="","",INDEX('Casillas del horario'!$A$4:$A$73,MATCH("Profesor de INF en 10-4"&amp;"|"&amp;$A4&amp;"|"&amp;B$3,'Casillas del horario'!$S$4:$S$73,0))),"")&amp;" (+"&amp;(COUNTIF('Casillas del horario'!$S$4:$S$73,"Profesor de INF en 10-4"&amp;"|"&amp;$A4&amp;"|"&amp;B$3)-1)&amp;")",IFERROR(IF(INDEX('Casillas del horario'!$A$4:$A$73,MATCH("Profesor de INF en 10-4"&amp;"|"&amp;$A4&amp;"|"&amp;B$3,'Casillas del horario'!$S$4:$S$73,0))="","",INDEX('Casillas del horario'!$A$4:$A$73,MATCH("Profesor de INF en 10-4"&amp;"|"&amp;$A4&amp;"|"&amp;B$3,'Casillas del horario'!$S$4:$S$73,0))),""))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8EA9DB"/>
    <outlinePr summaryBelow="1" summaryRight="1"/>
    <pageSetUpPr/>
  </sheetPr>
  <dimension ref="A1:B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Profesor de CA en 10-3</t>
        </is>
      </c>
    </row>
    <row r="3">
      <c r="A3" s="2" t="inlineStr">
        <is>
          <t>Turno</t>
        </is>
      </c>
      <c r="B3" s="2" t="inlineStr">
        <is>
          <t>L</t>
        </is>
      </c>
    </row>
    <row r="4">
      <c r="A4" s="3" t="n">
        <v>5</v>
      </c>
      <c r="B4" s="3">
        <f>IF(COUNTIF('Casillas del horario'!$S$4:$S$73,"Profesor de CA en 10-3"&amp;"|"&amp;$A4&amp;"|"&amp;B$3)&gt;1,IFERROR(IF(INDEX('Casillas del horario'!$A$4:$A$73,MATCH("Profesor de CA en 10-3"&amp;"|"&amp;$A4&amp;"|"&amp;B$3,'Casillas del horario'!$S$4:$S$73,0))="","",INDEX('Casillas del horario'!$A$4:$A$73,MATCH("Profesor de CA en 10-3"&amp;"|"&amp;$A4&amp;"|"&amp;B$3,'Casillas del horario'!$S$4:$S$73,0))),"")&amp;" (+"&amp;(COUNTIF('Casillas del horario'!$S$4:$S$73,"Profesor de CA en 10-3"&amp;"|"&amp;$A4&amp;"|"&amp;B$3)-1)&amp;")",IFERROR(IF(INDEX('Casillas del horario'!$A$4:$A$73,MATCH("Profesor de CA en 10-3"&amp;"|"&amp;$A4&amp;"|"&amp;B$3,'Casillas del horario'!$S$4:$S$73,0))="","",INDEX('Casillas del horario'!$A$4:$A$73,MATCH("Profesor de CA en 10-3"&amp;"|"&amp;$A4&amp;"|"&amp;B$3,'Casillas del horario'!$S$4:$S$73,0))),""))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8EA9DB"/>
    <outlinePr summaryBelow="1" summaryRight="1"/>
    <pageSetUpPr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42" customWidth="1" min="3" max="3"/>
  </cols>
  <sheetData>
    <row r="1">
      <c r="A1" s="1" t="inlineStr">
        <is>
          <t>Horario - Profesor de G en 10-3</t>
        </is>
      </c>
    </row>
    <row r="3">
      <c r="A3" s="2" t="inlineStr">
        <is>
          <t>Turno</t>
        </is>
      </c>
      <c r="B3" s="2" t="inlineStr">
        <is>
          <t>M</t>
        </is>
      </c>
      <c r="C3" s="2" t="inlineStr">
        <is>
          <t>MI</t>
        </is>
      </c>
    </row>
    <row r="4">
      <c r="A4" s="3" t="n">
        <v>5</v>
      </c>
      <c r="B4" s="3">
        <f>IF(COUNTIF('Casillas del horario'!$S$4:$S$73,"Profesor de G en 10-3"&amp;"|"&amp;$A4&amp;"|"&amp;B$3)&gt;1,IFERROR(IF(INDEX('Casillas del horario'!$A$4:$A$73,MATCH("Profesor de G en 10-3"&amp;"|"&amp;$A4&amp;"|"&amp;B$3,'Casillas del horario'!$S$4:$S$73,0))="","",INDEX('Casillas del horario'!$A$4:$A$73,MATCH("Profesor de G en 10-3"&amp;"|"&amp;$A4&amp;"|"&amp;B$3,'Casillas del horario'!$S$4:$S$73,0))),"")&amp;" (+"&amp;(COUNTIF('Casillas del horario'!$S$4:$S$73,"Profesor de G en 10-3"&amp;"|"&amp;$A4&amp;"|"&amp;B$3)-1)&amp;")",IFERROR(IF(INDEX('Casillas del horario'!$A$4:$A$73,MATCH("Profesor de G en 10-3"&amp;"|"&amp;$A4&amp;"|"&amp;B$3,'Casillas del horario'!$S$4:$S$73,0))="","",INDEX('Casillas del horario'!$A$4:$A$73,MATCH("Profesor de G en 10-3"&amp;"|"&amp;$A4&amp;"|"&amp;B$3,'Casillas del horario'!$S$4:$S$73,0))),""))</f>
        <v/>
      </c>
      <c r="C4" s="3">
        <f>IF(COUNTIF('Casillas del horario'!$S$4:$S$73,"Profesor de G en 10-3"&amp;"|"&amp;$A4&amp;"|"&amp;C$3)&gt;1,IFERROR(IF(INDEX('Casillas del horario'!$A$4:$A$73,MATCH("Profesor de G en 10-3"&amp;"|"&amp;$A4&amp;"|"&amp;C$3,'Casillas del horario'!$S$4:$S$73,0))="","",INDEX('Casillas del horario'!$A$4:$A$73,MATCH("Profesor de G en 10-3"&amp;"|"&amp;$A4&amp;"|"&amp;C$3,'Casillas del horario'!$S$4:$S$73,0))),"")&amp;" (+"&amp;(COUNTIF('Casillas del horario'!$S$4:$S$73,"Profesor de G en 10-3"&amp;"|"&amp;$A4&amp;"|"&amp;C$3)-1)&amp;")",IFERROR(IF(INDEX('Casillas del horario'!$A$4:$A$73,MATCH("Profesor de G en 10-3"&amp;"|"&amp;$A4&amp;"|"&amp;C$3,'Casillas del horario'!$S$4:$S$73,0))="","",INDEX('Casillas del horario'!$A$4:$A$73,MATCH("Profesor de G en 10-3"&amp;"|"&amp;$A4&amp;"|"&amp;C$3,'Casillas del horario'!$S$4:$S$73,0))),""))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8EA9DB"/>
    <outlinePr summaryBelow="1" summaryRight="1"/>
    <pageSetUpPr/>
  </sheetPr>
  <dimension ref="A1:B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Profesor de RD en 10-4</t>
        </is>
      </c>
    </row>
    <row r="3">
      <c r="A3" s="2" t="inlineStr">
        <is>
          <t>Turno</t>
        </is>
      </c>
      <c r="B3" s="2" t="inlineStr">
        <is>
          <t>L</t>
        </is>
      </c>
    </row>
    <row r="4">
      <c r="A4" s="3" t="n">
        <v>5</v>
      </c>
      <c r="B4" s="3">
        <f>IF(COUNTIF('Casillas del horario'!$S$4:$S$73,"Profesor de RD en 10-4"&amp;"|"&amp;$A4&amp;"|"&amp;B$3)&gt;1,IFERROR(IF(INDEX('Casillas del horario'!$A$4:$A$73,MATCH("Profesor de RD en 10-4"&amp;"|"&amp;$A4&amp;"|"&amp;B$3,'Casillas del horario'!$S$4:$S$73,0))="","",INDEX('Casillas del horario'!$A$4:$A$73,MATCH("Profesor de RD en 10-4"&amp;"|"&amp;$A4&amp;"|"&amp;B$3,'Casillas del horario'!$S$4:$S$73,0))),"")&amp;" (+"&amp;(COUNTIF('Casillas del horario'!$S$4:$S$73,"Profesor de RD en 10-4"&amp;"|"&amp;$A4&amp;"|"&amp;B$3)-1)&amp;")",IFERROR(IF(INDEX('Casillas del horario'!$A$4:$A$73,MATCH("Profesor de RD en 10-4"&amp;"|"&amp;$A4&amp;"|"&amp;B$3,'Casillas del horario'!$S$4:$S$73,0))="","",INDEX('Casillas del horario'!$A$4:$A$73,MATCH("Profesor de RD en 10-4"&amp;"|"&amp;$A4&amp;"|"&amp;B$3,'Casillas del horario'!$S$4:$S$73,0))),""))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8EA9DB"/>
    <outlinePr summaryBelow="1" summaryRight="1"/>
    <pageSetUpPr/>
  </sheetPr>
  <dimension ref="A1:B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Profesor de DC en 10-4</t>
        </is>
      </c>
    </row>
    <row r="3">
      <c r="A3" s="2" t="inlineStr">
        <is>
          <t>Turno</t>
        </is>
      </c>
      <c r="B3" s="2" t="inlineStr">
        <is>
          <t>M</t>
        </is>
      </c>
    </row>
    <row r="4">
      <c r="A4" s="3" t="n">
        <v>5</v>
      </c>
      <c r="B4" s="3">
        <f>IF(COUNTIF('Casillas del horario'!$S$4:$S$73,"Profesor de DC en 10-4"&amp;"|"&amp;$A4&amp;"|"&amp;B$3)&gt;1,IFERROR(IF(INDEX('Casillas del horario'!$A$4:$A$73,MATCH("Profesor de DC en 10-4"&amp;"|"&amp;$A4&amp;"|"&amp;B$3,'Casillas del horario'!$S$4:$S$73,0))="","",INDEX('Casillas del horario'!$A$4:$A$73,MATCH("Profesor de DC en 10-4"&amp;"|"&amp;$A4&amp;"|"&amp;B$3,'Casillas del horario'!$S$4:$S$73,0))),"")&amp;" (+"&amp;(COUNTIF('Casillas del horario'!$S$4:$S$73,"Profesor de DC en 10-4"&amp;"|"&amp;$A4&amp;"|"&amp;B$3)-1)&amp;")",IFERROR(IF(INDEX('Casillas del horario'!$A$4:$A$73,MATCH("Profesor de DC en 10-4"&amp;"|"&amp;$A4&amp;"|"&amp;B$3,'Casillas del horario'!$S$4:$S$73,0))="","",INDEX('Casillas del horario'!$A$4:$A$73,MATCH("Profesor de DC en 10-4"&amp;"|"&amp;$A4&amp;"|"&amp;B$3,'Casillas del horario'!$S$4:$S$73,0))),""))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8EA9DB"/>
    <outlinePr summaryBelow="1" summaryRight="1"/>
    <pageSetUpPr/>
  </sheetPr>
  <dimension ref="A1:B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Horario - Profesor de Q en 10-4</t>
        </is>
      </c>
    </row>
    <row r="3">
      <c r="A3" s="2" t="inlineStr">
        <is>
          <t>Turno</t>
        </is>
      </c>
      <c r="B3" s="2" t="inlineStr">
        <is>
          <t>V</t>
        </is>
      </c>
    </row>
    <row r="4">
      <c r="A4" s="3" t="n">
        <v>5</v>
      </c>
      <c r="B4" s="3">
        <f>IF(COUNTIF('Casillas del horario'!$S$4:$S$73,"Profesor de Q en 10-4"&amp;"|"&amp;$A4&amp;"|"&amp;B$3)&gt;1,IFERROR(IF(INDEX('Casillas del horario'!$A$4:$A$73,MATCH("Profesor de Q en 10-4"&amp;"|"&amp;$A4&amp;"|"&amp;B$3,'Casillas del horario'!$S$4:$S$73,0))="","",INDEX('Casillas del horario'!$A$4:$A$73,MATCH("Profesor de Q en 10-4"&amp;"|"&amp;$A4&amp;"|"&amp;B$3,'Casillas del horario'!$S$4:$S$73,0))),"")&amp;" (+"&amp;(COUNTIF('Casillas del horario'!$S$4:$S$73,"Profesor de Q en 10-4"&amp;"|"&amp;$A4&amp;"|"&amp;B$3)-1)&amp;")",IFERROR(IF(INDEX('Casillas del horario'!$A$4:$A$73,MATCH("Profesor de Q en 10-4"&amp;"|"&amp;$A4&amp;"|"&amp;B$3,'Casillas del horario'!$S$4:$S$73,0))="","",INDEX('Casillas del horario'!$A$4:$A$73,MATCH("Profesor de Q en 10-4"&amp;"|"&amp;$A4&amp;"|"&amp;B$3,'Casillas del horario'!$S$4:$S$73,0))),""))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8EA9DB"/>
    <outlinePr summaryBelow="1" summaryRight="1"/>
    <pageSetUpPr/>
  </sheetPr>
  <dimension ref="A1:B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Profesor de RD en 10-3</t>
        </is>
      </c>
    </row>
    <row r="3">
      <c r="A3" s="2" t="inlineStr">
        <is>
          <t>Turno</t>
        </is>
      </c>
      <c r="B3" s="2" t="inlineStr">
        <is>
          <t>M</t>
        </is>
      </c>
    </row>
    <row r="4">
      <c r="A4" s="3" t="n">
        <v>6</v>
      </c>
      <c r="B4" s="3">
        <f>IF(COUNTIF('Casillas del horario'!$S$4:$S$73,"Profesor de RD en 10-3"&amp;"|"&amp;$A4&amp;"|"&amp;B$3)&gt;1,IFERROR(IF(INDEX('Casillas del horario'!$A$4:$A$73,MATCH("Profesor de RD en 10-3"&amp;"|"&amp;$A4&amp;"|"&amp;B$3,'Casillas del horario'!$S$4:$S$73,0))="","",INDEX('Casillas del horario'!$A$4:$A$73,MATCH("Profesor de RD en 10-3"&amp;"|"&amp;$A4&amp;"|"&amp;B$3,'Casillas del horario'!$S$4:$S$73,0))),"")&amp;" (+"&amp;(COUNTIF('Casillas del horario'!$S$4:$S$73,"Profesor de RD en 10-3"&amp;"|"&amp;$A4&amp;"|"&amp;B$3)-1)&amp;")",IFERROR(IF(INDEX('Casillas del horario'!$A$4:$A$73,MATCH("Profesor de RD en 10-3"&amp;"|"&amp;$A4&amp;"|"&amp;B$3,'Casillas del horario'!$S$4:$S$73,0))="","",INDEX('Casillas del horario'!$A$4:$A$73,MATCH("Profesor de RD en 10-3"&amp;"|"&amp;$A4&amp;"|"&amp;B$3,'Casillas del horario'!$S$4:$S$73,0))),""))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008EA9DB"/>
    <outlinePr summaryBelow="1" summaryRight="1"/>
    <pageSetUpPr/>
  </sheetPr>
  <dimension ref="A1:B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Profesor de ALAC en 10-3</t>
        </is>
      </c>
    </row>
    <row r="3">
      <c r="A3" s="2" t="inlineStr">
        <is>
          <t>Turno</t>
        </is>
      </c>
      <c r="B3" s="2" t="inlineStr">
        <is>
          <t>MI</t>
        </is>
      </c>
    </row>
    <row r="4">
      <c r="A4" s="3" t="n">
        <v>7</v>
      </c>
      <c r="B4" s="3">
        <f>IF(COUNTIF('Casillas del horario'!$S$4:$S$73,"Profesor de AL/AC en 10-3"&amp;"|"&amp;$A4&amp;"|"&amp;B$3)&gt;1,IFERROR(IF(INDEX('Casillas del horario'!$A$4:$A$73,MATCH("Profesor de AL/AC en 10-3"&amp;"|"&amp;$A4&amp;"|"&amp;B$3,'Casillas del horario'!$S$4:$S$73,0))="","",INDEX('Casillas del horario'!$A$4:$A$73,MATCH("Profesor de AL/AC en 10-3"&amp;"|"&amp;$A4&amp;"|"&amp;B$3,'Casillas del horario'!$S$4:$S$73,0))),"")&amp;" (+"&amp;(COUNTIF('Casillas del horario'!$S$4:$S$73,"Profesor de AL/AC en 10-3"&amp;"|"&amp;$A4&amp;"|"&amp;B$3)-1)&amp;")",IFERROR(IF(INDEX('Casillas del horario'!$A$4:$A$73,MATCH("Profesor de AL/AC en 10-3"&amp;"|"&amp;$A4&amp;"|"&amp;B$3,'Casillas del horario'!$S$4:$S$73,0))="","",INDEX('Casillas del horario'!$A$4:$A$73,MATCH("Profesor de AL/AC en 10-3"&amp;"|"&amp;$A4&amp;"|"&amp;B$3,'Casillas del horario'!$S$4:$S$73,0))),""))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008EA9DB"/>
    <outlinePr summaryBelow="1" summaryRight="1"/>
    <pageSetUpPr/>
  </sheetPr>
  <dimension ref="A1:B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Profesor de ALAC en 10-4</t>
        </is>
      </c>
    </row>
    <row r="3">
      <c r="A3" s="2" t="inlineStr">
        <is>
          <t>Turno</t>
        </is>
      </c>
      <c r="B3" s="2" t="inlineStr">
        <is>
          <t>L</t>
        </is>
      </c>
    </row>
    <row r="4">
      <c r="A4" s="3" t="n">
        <v>7</v>
      </c>
      <c r="B4" s="3">
        <f>IF(COUNTIF('Casillas del horario'!$S$4:$S$73,"Profesor de AL/AC en 10-4"&amp;"|"&amp;$A4&amp;"|"&amp;B$3)&gt;1,IFERROR(IF(INDEX('Casillas del horario'!$A$4:$A$73,MATCH("Profesor de AL/AC en 10-4"&amp;"|"&amp;$A4&amp;"|"&amp;B$3,'Casillas del horario'!$S$4:$S$73,0))="","",INDEX('Casillas del horario'!$A$4:$A$73,MATCH("Profesor de AL/AC en 10-4"&amp;"|"&amp;$A4&amp;"|"&amp;B$3,'Casillas del horario'!$S$4:$S$73,0))),"")&amp;" (+"&amp;(COUNTIF('Casillas del horario'!$S$4:$S$73,"Profesor de AL/AC en 10-4"&amp;"|"&amp;$A4&amp;"|"&amp;B$3)-1)&amp;")",IFERROR(IF(INDEX('Casillas del horario'!$A$4:$A$73,MATCH("Profesor de AL/AC en 10-4"&amp;"|"&amp;$A4&amp;"|"&amp;B$3,'Casillas del horario'!$S$4:$S$73,0))="","",INDEX('Casillas del horario'!$A$4:$A$73,MATCH("Profesor de AL/AC en 10-4"&amp;"|"&amp;$A4&amp;"|"&amp;B$3,'Casillas del horario'!$S$4:$S$73,0))),""))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tabColor rgb="008EA9DB"/>
    <outlinePr summaryBelow="1" summaryRight="1"/>
    <pageSetUpPr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42" customWidth="1" min="3" max="3"/>
  </cols>
  <sheetData>
    <row r="1">
      <c r="A1" s="1" t="inlineStr">
        <is>
          <t>Horario del aula - Terreno</t>
        </is>
      </c>
    </row>
    <row r="3">
      <c r="A3" s="2" t="inlineStr">
        <is>
          <t>Turno</t>
        </is>
      </c>
      <c r="B3" s="2" t="inlineStr">
        <is>
          <t>L</t>
        </is>
      </c>
      <c r="C3" s="2" t="inlineStr">
        <is>
          <t>MI</t>
        </is>
      </c>
    </row>
    <row r="4">
      <c r="A4" s="3" t="n">
        <v>1</v>
      </c>
      <c r="B4" s="3">
        <f>IF(COUNTIF('Casillas del horario'!$T$4:$T$73,"Terreno"&amp;"|"&amp;$A4&amp;"|"&amp;B$3)&gt;1,IFERROR(IF(INDEX('Casillas del horario'!$A$4:$A$73,MATCH("Terreno"&amp;"|"&amp;$A4&amp;"|"&amp;B$3,'Casillas del horario'!$T$4:$T$73,0))="","",INDEX('Casillas del horario'!$A$4:$A$73,MATCH("Terreno"&amp;"|"&amp;$A4&amp;"|"&amp;B$3,'Casillas del horario'!$T$4:$T$73,0))),"")&amp;" (+"&amp;(COUNTIF('Casillas del horario'!$T$4:$T$73,"Terreno"&amp;"|"&amp;$A4&amp;"|"&amp;B$3)-1)&amp;")",IFERROR(IF(INDEX('Casillas del horario'!$A$4:$A$73,MATCH("Terreno"&amp;"|"&amp;$A4&amp;"|"&amp;B$3,'Casillas del horario'!$T$4:$T$73,0))="","",INDEX('Casillas del horario'!$A$4:$A$73,MATCH("Terreno"&amp;"|"&amp;$A4&amp;"|"&amp;B$3,'Casillas del horario'!$T$4:$T$73,0))),""))</f>
        <v/>
      </c>
      <c r="C4" s="3">
        <f>IF(COUNTIF('Casillas del horario'!$T$4:$T$73,"Terreno"&amp;"|"&amp;$A4&amp;"|"&amp;C$3)&gt;1,IFERROR(IF(INDEX('Casillas del horario'!$A$4:$A$73,MATCH("Terreno"&amp;"|"&amp;$A4&amp;"|"&amp;C$3,'Casillas del horario'!$T$4:$T$73,0))="","",INDEX('Casillas del horario'!$A$4:$A$73,MATCH("Terreno"&amp;"|"&amp;$A4&amp;"|"&amp;C$3,'Casillas del horario'!$T$4:$T$73,0))),"")&amp;" (+"&amp;(COUNTIF('Casillas del horario'!$T$4:$T$73,"Terreno"&amp;"|"&amp;$A4&amp;"|"&amp;C$3)-1)&amp;")",IFERROR(IF(INDEX('Casillas del horario'!$A$4:$A$73,MATCH("Terreno"&amp;"|"&amp;$A4&amp;"|"&amp;C$3,'Casillas del horario'!$T$4:$T$73,0))="","",INDEX('Casillas del horario'!$A$4:$A$73,MATCH("Terreno"&amp;"|"&amp;$A4&amp;"|"&amp;C$3,'Casillas del horario'!$T$4:$T$73,0))),""))</f>
        <v/>
      </c>
    </row>
    <row r="5">
      <c r="A5" s="3" t="n">
        <v>2</v>
      </c>
      <c r="B5" s="3">
        <f>IF(COUNTIF('Casillas del horario'!$T$4:$T$73,"Terreno"&amp;"|"&amp;$A5&amp;"|"&amp;B$3)&gt;1,IFERROR(IF(INDEX('Casillas del horario'!$A$4:$A$73,MATCH("Terreno"&amp;"|"&amp;$A5&amp;"|"&amp;B$3,'Casillas del horario'!$T$4:$T$73,0))="","",INDEX('Casillas del horario'!$A$4:$A$73,MATCH("Terreno"&amp;"|"&amp;$A5&amp;"|"&amp;B$3,'Casillas del horario'!$T$4:$T$73,0))),"")&amp;" (+"&amp;(COUNTIF('Casillas del horario'!$T$4:$T$73,"Terreno"&amp;"|"&amp;$A5&amp;"|"&amp;B$3)-1)&amp;")",IFERROR(IF(INDEX('Casillas del horario'!$A$4:$A$73,MATCH("Terreno"&amp;"|"&amp;$A5&amp;"|"&amp;B$3,'Casillas del horario'!$T$4:$T$73,0))="","",INDEX('Casillas del horario'!$A$4:$A$73,MATCH("Terreno"&amp;"|"&amp;$A5&amp;"|"&amp;B$3,'Casillas del horario'!$T$4:$T$73,0))),""))</f>
        <v/>
      </c>
      <c r="C5" s="3">
        <f>IF(COUNTIF('Casillas del horario'!$T$4:$T$73,"Terreno"&amp;"|"&amp;$A5&amp;"|"&amp;C$3)&gt;1,IFERROR(IF(INDEX('Casillas del horario'!$A$4:$A$73,MATCH("Terreno"&amp;"|"&amp;$A5&amp;"|"&amp;C$3,'Casillas del horario'!$T$4:$T$73,0))="","",INDEX('Casillas del horario'!$A$4:$A$73,MATCH("Terreno"&amp;"|"&amp;$A5&amp;"|"&amp;C$3,'Casillas del horario'!$T$4:$T$73,0))),"")&amp;" (+"&amp;(COUNTIF('Casillas del horario'!$T$4:$T$73,"Terreno"&amp;"|"&amp;$A5&amp;"|"&amp;C$3)-1)&amp;")",IFERROR(IF(INDEX('Casillas del horario'!$A$4:$A$73,MATCH("Terreno"&amp;"|"&amp;$A5&amp;"|"&amp;C$3,'Casillas del horario'!$T$4:$T$73,0))="","",INDEX('Casillas del horario'!$A$4:$A$73,MATCH("Terreno"&amp;"|"&amp;$A5&amp;"|"&amp;C$3,'Casillas del horario'!$T$4:$T$73,0))),""))</f>
        <v/>
      </c>
    </row>
    <row r="6">
      <c r="A6" s="3" t="n">
        <v>3</v>
      </c>
      <c r="B6" s="3">
        <f>IF(COUNTIF('Casillas del horario'!$T$4:$T$73,"Terreno"&amp;"|"&amp;$A6&amp;"|"&amp;B$3)&gt;1,IFERROR(IF(INDEX('Casillas del horario'!$A$4:$A$73,MATCH("Terreno"&amp;"|"&amp;$A6&amp;"|"&amp;B$3,'Casillas del horario'!$T$4:$T$73,0))="","",INDEX('Casillas del horario'!$A$4:$A$73,MATCH("Terreno"&amp;"|"&amp;$A6&amp;"|"&amp;B$3,'Casillas del horario'!$T$4:$T$73,0))),"")&amp;" (+"&amp;(COUNTIF('Casillas del horario'!$T$4:$T$73,"Terreno"&amp;"|"&amp;$A6&amp;"|"&amp;B$3)-1)&amp;")",IFERROR(IF(INDEX('Casillas del horario'!$A$4:$A$73,MATCH("Terreno"&amp;"|"&amp;$A6&amp;"|"&amp;B$3,'Casillas del horario'!$T$4:$T$73,0))="","",INDEX('Casillas del horario'!$A$4:$A$73,MATCH("Terreno"&amp;"|"&amp;$A6&amp;"|"&amp;B$3,'Casillas del horario'!$T$4:$T$73,0))),""))</f>
        <v/>
      </c>
      <c r="C6" s="3">
        <f>IF(COUNTIF('Casillas del horario'!$T$4:$T$73,"Terreno"&amp;"|"&amp;$A6&amp;"|"&amp;C$3)&gt;1,IFERROR(IF(INDEX('Casillas del horario'!$A$4:$A$73,MATCH("Terreno"&amp;"|"&amp;$A6&amp;"|"&amp;C$3,'Casillas del horario'!$T$4:$T$73,0))="","",INDEX('Casillas del horario'!$A$4:$A$73,MATCH("Terreno"&amp;"|"&amp;$A6&amp;"|"&amp;C$3,'Casillas del horario'!$T$4:$T$73,0))),"")&amp;" (+"&amp;(COUNTIF('Casillas del horario'!$T$4:$T$73,"Terreno"&amp;"|"&amp;$A6&amp;"|"&amp;C$3)-1)&amp;")",IFERROR(IF(INDEX('Casillas del horario'!$A$4:$A$73,MATCH("Terreno"&amp;"|"&amp;$A6&amp;"|"&amp;C$3,'Casillas del horario'!$T$4:$T$73,0))="","",INDEX('Casillas del horario'!$A$4:$A$73,MATCH("Terreno"&amp;"|"&amp;$A6&amp;"|"&amp;C$3,'Casillas del horario'!$T$4:$T$73,0))),""))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tabColor rgb="008EA9DB"/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</cols>
  <sheetData>
    <row r="1">
      <c r="A1" s="1" t="inlineStr">
        <is>
          <t>Horario del aula - Aula 10-3</t>
        </is>
      </c>
    </row>
    <row r="3">
      <c r="A3" s="2" t="inlineStr">
        <is>
          <t>Turno</t>
        </is>
      </c>
      <c r="B3" s="2" t="inlineStr">
        <is>
          <t>M</t>
        </is>
      </c>
      <c r="C3" s="2" t="inlineStr">
        <is>
          <t>V</t>
        </is>
      </c>
      <c r="D3" s="2" t="inlineStr">
        <is>
          <t>L</t>
        </is>
      </c>
      <c r="E3" s="2" t="inlineStr">
        <is>
          <t>MI</t>
        </is>
      </c>
      <c r="F3" s="2" t="inlineStr">
        <is>
          <t>J</t>
        </is>
      </c>
    </row>
    <row r="4">
      <c r="A4" s="3" t="n">
        <v>1</v>
      </c>
      <c r="B4" s="3">
        <f>IF(COUNTIF('Casillas del horario'!$T$4:$T$73,"Aula 10-3"&amp;"|"&amp;$A4&amp;"|"&amp;B$3)&gt;1,IFERROR(IF(INDEX('Casillas del horario'!$A$4:$A$73,MATCH("Aula 10-3"&amp;"|"&amp;$A4&amp;"|"&amp;B$3,'Casillas del horario'!$T$4:$T$73,0))="","",INDEX('Casillas del horario'!$A$4:$A$73,MATCH("Aula 10-3"&amp;"|"&amp;$A4&amp;"|"&amp;B$3,'Casillas del horario'!$T$4:$T$73,0))),"")&amp;" (+"&amp;(COUNTIF('Casillas del horario'!$T$4:$T$73,"Aula 10-3"&amp;"|"&amp;$A4&amp;"|"&amp;B$3)-1)&amp;")",IFERROR(IF(INDEX('Casillas del horario'!$A$4:$A$73,MATCH("Aula 10-3"&amp;"|"&amp;$A4&amp;"|"&amp;B$3,'Casillas del horario'!$T$4:$T$73,0))="","",INDEX('Casillas del horario'!$A$4:$A$73,MATCH("Aula 10-3"&amp;"|"&amp;$A4&amp;"|"&amp;B$3,'Casillas del horario'!$T$4:$T$73,0))),""))</f>
        <v/>
      </c>
      <c r="C4" s="3">
        <f>IF(COUNTIF('Casillas del horario'!$T$4:$T$73,"Aula 10-3"&amp;"|"&amp;$A4&amp;"|"&amp;C$3)&gt;1,IFERROR(IF(INDEX('Casillas del horario'!$A$4:$A$73,MATCH("Aula 10-3"&amp;"|"&amp;$A4&amp;"|"&amp;C$3,'Casillas del horario'!$T$4:$T$73,0))="","",INDEX('Casillas del horario'!$A$4:$A$73,MATCH("Aula 10-3"&amp;"|"&amp;$A4&amp;"|"&amp;C$3,'Casillas del horario'!$T$4:$T$73,0))),"")&amp;" (+"&amp;(COUNTIF('Casillas del horario'!$T$4:$T$73,"Aula 10-3"&amp;"|"&amp;$A4&amp;"|"&amp;C$3)-1)&amp;")",IFERROR(IF(INDEX('Casillas del horario'!$A$4:$A$73,MATCH("Aula 10-3"&amp;"|"&amp;$A4&amp;"|"&amp;C$3,'Casillas del horario'!$T$4:$T$73,0))="","",INDEX('Casillas del horario'!$A$4:$A$73,MATCH("Aula 10-3"&amp;"|"&amp;$A4&amp;"|"&amp;C$3,'Casillas del horario'!$T$4:$T$73,0))),""))</f>
        <v/>
      </c>
      <c r="D4" s="3">
        <f>IF(COUNTIF('Casillas del horario'!$T$4:$T$73,"Aula 10-3"&amp;"|"&amp;$A4&amp;"|"&amp;D$3)&gt;1,IFERROR(IF(INDEX('Casillas del horario'!$A$4:$A$73,MATCH("Aula 10-3"&amp;"|"&amp;$A4&amp;"|"&amp;D$3,'Casillas del horario'!$T$4:$T$73,0))="","",INDEX('Casillas del horario'!$A$4:$A$73,MATCH("Aula 10-3"&amp;"|"&amp;$A4&amp;"|"&amp;D$3,'Casillas del horario'!$T$4:$T$73,0))),"")&amp;" (+"&amp;(COUNTIF('Casillas del horario'!$T$4:$T$73,"Aula 10-3"&amp;"|"&amp;$A4&amp;"|"&amp;D$3)-1)&amp;")",IFERROR(IF(INDEX('Casillas del horario'!$A$4:$A$73,MATCH("Aula 10-3"&amp;"|"&amp;$A4&amp;"|"&amp;D$3,'Casillas del horario'!$T$4:$T$73,0))="","",INDEX('Casillas del horario'!$A$4:$A$73,MATCH("Aula 10-3"&amp;"|"&amp;$A4&amp;"|"&amp;D$3,'Casillas del horario'!$T$4:$T$73,0))),""))</f>
        <v/>
      </c>
      <c r="E4" s="3">
        <f>IF(COUNTIF('Casillas del horario'!$T$4:$T$73,"Aula 10-3"&amp;"|"&amp;$A4&amp;"|"&amp;E$3)&gt;1,IFERROR(IF(INDEX('Casillas del horario'!$A$4:$A$73,MATCH("Aula 10-3"&amp;"|"&amp;$A4&amp;"|"&amp;E$3,'Casillas del horario'!$T$4:$T$73,0))="","",INDEX('Casillas del horario'!$A$4:$A$73,MATCH("Aula 10-3"&amp;"|"&amp;$A4&amp;"|"&amp;E$3,'Casillas del horario'!$T$4:$T$73,0))),"")&amp;" (+"&amp;(COUNTIF('Casillas del horario'!$T$4:$T$73,"Aula 10-3"&amp;"|"&amp;$A4&amp;"|"&amp;E$3)-1)&amp;")",IFERROR(IF(INDEX('Casillas del horario'!$A$4:$A$73,MATCH("Aula 10-3"&amp;"|"&amp;$A4&amp;"|"&amp;E$3,'Casillas del horario'!$T$4:$T$73,0))="","",INDEX('Casillas del horario'!$A$4:$A$73,MATCH("Aula 10-3"&amp;"|"&amp;$A4&amp;"|"&amp;E$3,'Casillas del horario'!$T$4:$T$73,0))),""))</f>
        <v/>
      </c>
      <c r="F4" s="3">
        <f>IF(COUNTIF('Casillas del horario'!$T$4:$T$73,"Aula 10-3"&amp;"|"&amp;$A4&amp;"|"&amp;F$3)&gt;1,IFERROR(IF(INDEX('Casillas del horario'!$A$4:$A$73,MATCH("Aula 10-3"&amp;"|"&amp;$A4&amp;"|"&amp;F$3,'Casillas del horario'!$T$4:$T$73,0))="","",INDEX('Casillas del horario'!$A$4:$A$73,MATCH("Aula 10-3"&amp;"|"&amp;$A4&amp;"|"&amp;F$3,'Casillas del horario'!$T$4:$T$73,0))),"")&amp;" (+"&amp;(COUNTIF('Casillas del horario'!$T$4:$T$73,"Aula 10-3"&amp;"|"&amp;$A4&amp;"|"&amp;F$3)-1)&amp;")",IFERROR(IF(INDEX('Casillas del horario'!$A$4:$A$73,MATCH("Aula 10-3"&amp;"|"&amp;$A4&amp;"|"&amp;F$3,'Casillas del horario'!$T$4:$T$73,0))="","",INDEX('Casillas del horario'!$A$4:$A$73,MATCH("Aula 10-3"&amp;"|"&amp;$A4&amp;"|"&amp;F$3,'Casillas del horario'!$T$4:$T$73,0))),""))</f>
        <v/>
      </c>
    </row>
    <row r="5">
      <c r="A5" s="3" t="n">
        <v>2</v>
      </c>
      <c r="B5" s="3">
        <f>IF(COUNTIF('Casillas del horario'!$T$4:$T$73,"Aula 10-3"&amp;"|"&amp;$A5&amp;"|"&amp;B$3)&gt;1,IFERROR(IF(INDEX('Casillas del horario'!$A$4:$A$73,MATCH("Aula 10-3"&amp;"|"&amp;$A5&amp;"|"&amp;B$3,'Casillas del horario'!$T$4:$T$73,0))="","",INDEX('Casillas del horario'!$A$4:$A$73,MATCH("Aula 10-3"&amp;"|"&amp;$A5&amp;"|"&amp;B$3,'Casillas del horario'!$T$4:$T$73,0))),"")&amp;" (+"&amp;(COUNTIF('Casillas del horario'!$T$4:$T$73,"Aula 10-3"&amp;"|"&amp;$A5&amp;"|"&amp;B$3)-1)&amp;")",IFERROR(IF(INDEX('Casillas del horario'!$A$4:$A$73,MATCH("Aula 10-3"&amp;"|"&amp;$A5&amp;"|"&amp;B$3,'Casillas del horario'!$T$4:$T$73,0))="","",INDEX('Casillas del horario'!$A$4:$A$73,MATCH("Aula 10-3"&amp;"|"&amp;$A5&amp;"|"&amp;B$3,'Casillas del horario'!$T$4:$T$73,0))),""))</f>
        <v/>
      </c>
      <c r="C5" s="3">
        <f>IF(COUNTIF('Casillas del horario'!$T$4:$T$73,"Aula 10-3"&amp;"|"&amp;$A5&amp;"|"&amp;C$3)&gt;1,IFERROR(IF(INDEX('Casillas del horario'!$A$4:$A$73,MATCH("Aula 10-3"&amp;"|"&amp;$A5&amp;"|"&amp;C$3,'Casillas del horario'!$T$4:$T$73,0))="","",INDEX('Casillas del horario'!$A$4:$A$73,MATCH("Aula 10-3"&amp;"|"&amp;$A5&amp;"|"&amp;C$3,'Casillas del horario'!$T$4:$T$73,0))),"")&amp;" (+"&amp;(COUNTIF('Casillas del horario'!$T$4:$T$73,"Aula 10-3"&amp;"|"&amp;$A5&amp;"|"&amp;C$3)-1)&amp;")",IFERROR(IF(INDEX('Casillas del horario'!$A$4:$A$73,MATCH("Aula 10-3"&amp;"|"&amp;$A5&amp;"|"&amp;C$3,'Casillas del horario'!$T$4:$T$73,0))="","",INDEX('Casillas del horario'!$A$4:$A$73,MATCH("Aula 10-3"&amp;"|"&amp;$A5&amp;"|"&amp;C$3,'Casillas del horario'!$T$4:$T$73,0))),""))</f>
        <v/>
      </c>
      <c r="D5" s="3">
        <f>IF(COUNTIF('Casillas del horario'!$T$4:$T$73,"Aula 10-3"&amp;"|"&amp;$A5&amp;"|"&amp;D$3)&gt;1,IFERROR(IF(INDEX('Casillas del horario'!$A$4:$A$73,MATCH("Aula 10-3"&amp;"|"&amp;$A5&amp;"|"&amp;D$3,'Casillas del horario'!$T$4:$T$73,0))="","",INDEX('Casillas del horario'!$A$4:$A$73,MATCH("Aula 10-3"&amp;"|"&amp;$A5&amp;"|"&amp;D$3,'Casillas del horario'!$T$4:$T$73,0))),"")&amp;" (+"&amp;(COUNTIF('Casillas del horario'!$T$4:$T$73,"Aula 10-3"&amp;"|"&amp;$A5&amp;"|"&amp;D$3)-1)&amp;")",IFERROR(IF(INDEX('Casillas del horario'!$A$4:$A$73,MATCH("Aula 10-3"&amp;"|"&amp;$A5&amp;"|"&amp;D$3,'Casillas del horario'!$T$4:$T$73,0))="","",INDEX('Casillas del horario'!$A$4:$A$73,MATCH("Aula 10-3"&amp;"|"&amp;$A5&amp;"|"&amp;D$3,'Casillas del horario'!$T$4:$T$73,0))),""))</f>
        <v/>
      </c>
      <c r="E5" s="3">
        <f>IF(COUNTIF('Casillas del horario'!$T$4:$T$73,"Aula 10-3"&amp;"|"&amp;$A5&amp;"|"&amp;E$3)&gt;1,IFERROR(IF(INDEX('Casillas del horario'!$A$4:$A$73,MATCH("Aula 10-3"&amp;"|"&amp;$A5&amp;"|"&amp;E$3,'Casillas del horario'!$T$4:$T$73,0))="","",INDEX('Casillas del horario'!$A$4:$A$73,MATCH("Aula 10-3"&amp;"|"&amp;$A5&amp;"|"&amp;E$3,'Casillas del horario'!$T$4:$T$73,0))),"")&amp;" (+"&amp;(COUNTIF('Casillas del horario'!$T$4:$T$73,"Aula 10-3"&amp;"|"&amp;$A5&amp;"|"&amp;E$3)-1)&amp;")",IFERROR(IF(INDEX('Casillas del horario'!$A$4:$A$73,MATCH("Aula 10-3"&amp;"|"&amp;$A5&amp;"|"&amp;E$3,'Casillas del horario'!$T$4:$T$73,0))="","",INDEX('Casillas del horario'!$A$4:$A$73,MATCH("Aula 10-3"&amp;"|"&amp;$A5&amp;"|"&amp;E$3,'Casillas del horario'!$T$4:$T$73,0))),""))</f>
        <v/>
      </c>
      <c r="F5" s="3">
        <f>IF(COUNTIF('Casillas del horario'!$T$4:$T$73,"Aula 10-3"&amp;"|"&amp;$A5&amp;"|"&amp;F$3)&gt;1,IFERROR(IF(INDEX('Casillas del horario'!$A$4:$A$73,MATCH("Aula 10-3"&amp;"|"&amp;$A5&amp;"|"&amp;F$3,'Casillas del horario'!$T$4:$T$73,0))="","",INDEX('Casillas del horario'!$A$4:$A$73,MATCH("Aula 10-3"&amp;"|"&amp;$A5&amp;"|"&amp;F$3,'Casillas del horario'!$T$4:$T$73,0))),"")&amp;" (+"&amp;(COUNTIF('Casillas del horario'!$T$4:$T$73,"Aula 10-3"&amp;"|"&amp;$A5&amp;"|"&amp;F$3)-1)&amp;")",IFERROR(IF(INDEX('Casillas del horario'!$A$4:$A$73,MATCH("Aula 10-3"&amp;"|"&amp;$A5&amp;"|"&amp;F$3,'Casillas del horario'!$T$4:$T$73,0))="","",INDEX('Casillas del horario'!$A$4:$A$73,MATCH("Aula 10-3"&amp;"|"&amp;$A5&amp;"|"&amp;F$3,'Casillas del horario'!$T$4:$T$73,0))),""))</f>
        <v/>
      </c>
    </row>
    <row r="6">
      <c r="A6" s="3" t="n">
        <v>3</v>
      </c>
      <c r="B6" s="3">
        <f>IF(COUNTIF('Casillas del horario'!$T$4:$T$73,"Aula 10-3"&amp;"|"&amp;$A6&amp;"|"&amp;B$3)&gt;1,IFERROR(IF(INDEX('Casillas del horario'!$A$4:$A$73,MATCH("Aula 10-3"&amp;"|"&amp;$A6&amp;"|"&amp;B$3,'Casillas del horario'!$T$4:$T$73,0))="","",INDEX('Casillas del horario'!$A$4:$A$73,MATCH("Aula 10-3"&amp;"|"&amp;$A6&amp;"|"&amp;B$3,'Casillas del horario'!$T$4:$T$73,0))),"")&amp;" (+"&amp;(COUNTIF('Casillas del horario'!$T$4:$T$73,"Aula 10-3"&amp;"|"&amp;$A6&amp;"|"&amp;B$3)-1)&amp;")",IFERROR(IF(INDEX('Casillas del horario'!$A$4:$A$73,MATCH("Aula 10-3"&amp;"|"&amp;$A6&amp;"|"&amp;B$3,'Casillas del horario'!$T$4:$T$73,0))="","",INDEX('Casillas del horario'!$A$4:$A$73,MATCH("Aula 10-3"&amp;"|"&amp;$A6&amp;"|"&amp;B$3,'Casillas del horario'!$T$4:$T$73,0))),""))</f>
        <v/>
      </c>
      <c r="C6" s="3">
        <f>IF(COUNTIF('Casillas del horario'!$T$4:$T$73,"Aula 10-3"&amp;"|"&amp;$A6&amp;"|"&amp;C$3)&gt;1,IFERROR(IF(INDEX('Casillas del horario'!$A$4:$A$73,MATCH("Aula 10-3"&amp;"|"&amp;$A6&amp;"|"&amp;C$3,'Casillas del horario'!$T$4:$T$73,0))="","",INDEX('Casillas del horario'!$A$4:$A$73,MATCH("Aula 10-3"&amp;"|"&amp;$A6&amp;"|"&amp;C$3,'Casillas del horario'!$T$4:$T$73,0))),"")&amp;" (+"&amp;(COUNTIF('Casillas del horario'!$T$4:$T$73,"Aula 10-3"&amp;"|"&amp;$A6&amp;"|"&amp;C$3)-1)&amp;")",IFERROR(IF(INDEX('Casillas del horario'!$A$4:$A$73,MATCH("Aula 10-3"&amp;"|"&amp;$A6&amp;"|"&amp;C$3,'Casillas del horario'!$T$4:$T$73,0))="","",INDEX('Casillas del horario'!$A$4:$A$73,MATCH("Aula 10-3"&amp;"|"&amp;$A6&amp;"|"&amp;C$3,'Casillas del horario'!$T$4:$T$73,0))),""))</f>
        <v/>
      </c>
      <c r="D6" s="3">
        <f>IF(COUNTIF('Casillas del horario'!$T$4:$T$73,"Aula 10-3"&amp;"|"&amp;$A6&amp;"|"&amp;D$3)&gt;1,IFERROR(IF(INDEX('Casillas del horario'!$A$4:$A$73,MATCH("Aula 10-3"&amp;"|"&amp;$A6&amp;"|"&amp;D$3,'Casillas del horario'!$T$4:$T$73,0))="","",INDEX('Casillas del horario'!$A$4:$A$73,MATCH("Aula 10-3"&amp;"|"&amp;$A6&amp;"|"&amp;D$3,'Casillas del horario'!$T$4:$T$73,0))),"")&amp;" (+"&amp;(COUNTIF('Casillas del horario'!$T$4:$T$73,"Aula 10-3"&amp;"|"&amp;$A6&amp;"|"&amp;D$3)-1)&amp;")",IFERROR(IF(INDEX('Casillas del horario'!$A$4:$A$73,MATCH("Aula 10-3"&amp;"|"&amp;$A6&amp;"|"&amp;D$3,'Casillas del horario'!$T$4:$T$73,0))="","",INDEX('Casillas del horario'!$A$4:$A$73,MATCH("Aula 10-3"&amp;"|"&amp;$A6&amp;"|"&amp;D$3,'Casillas del horario'!$T$4:$T$73,0))),""))</f>
        <v/>
      </c>
      <c r="E6" s="3">
        <f>IF(COUNTIF('Casillas del horario'!$T$4:$T$73,"Aula 10-3"&amp;"|"&amp;$A6&amp;"|"&amp;E$3)&gt;1,IFERROR(IF(INDEX('Casillas del horario'!$A$4:$A$73,MATCH("Aula 10-3"&amp;"|"&amp;$A6&amp;"|"&amp;E$3,'Casillas del horario'!$T$4:$T$73,0))="","",INDEX('Casillas del horario'!$A$4:$A$73,MATCH("Aula 10-3"&amp;"|"&amp;$A6&amp;"|"&amp;E$3,'Casillas del horario'!$T$4:$T$73,0))),"")&amp;" (+"&amp;(COUNTIF('Casillas del horario'!$T$4:$T$73,"Aula 10-3"&amp;"|"&amp;$A6&amp;"|"&amp;E$3)-1)&amp;")",IFERROR(IF(INDEX('Casillas del horario'!$A$4:$A$73,MATCH("Aula 10-3"&amp;"|"&amp;$A6&amp;"|"&amp;E$3,'Casillas del horario'!$T$4:$T$73,0))="","",INDEX('Casillas del horario'!$A$4:$A$73,MATCH("Aula 10-3"&amp;"|"&amp;$A6&amp;"|"&amp;E$3,'Casillas del horario'!$T$4:$T$73,0))),""))</f>
        <v/>
      </c>
      <c r="F6" s="3">
        <f>IF(COUNTIF('Casillas del horario'!$T$4:$T$73,"Aula 10-3"&amp;"|"&amp;$A6&amp;"|"&amp;F$3)&gt;1,IFERROR(IF(INDEX('Casillas del horario'!$A$4:$A$73,MATCH("Aula 10-3"&amp;"|"&amp;$A6&amp;"|"&amp;F$3,'Casillas del horario'!$T$4:$T$73,0))="","",INDEX('Casillas del horario'!$A$4:$A$73,MATCH("Aula 10-3"&amp;"|"&amp;$A6&amp;"|"&amp;F$3,'Casillas del horario'!$T$4:$T$73,0))),"")&amp;" (+"&amp;(COUNTIF('Casillas del horario'!$T$4:$T$73,"Aula 10-3"&amp;"|"&amp;$A6&amp;"|"&amp;F$3)-1)&amp;")",IFERROR(IF(INDEX('Casillas del horario'!$A$4:$A$73,MATCH("Aula 10-3"&amp;"|"&amp;$A6&amp;"|"&amp;F$3,'Casillas del horario'!$T$4:$T$73,0))="","",INDEX('Casillas del horario'!$A$4:$A$73,MATCH("Aula 10-3"&amp;"|"&amp;$A6&amp;"|"&amp;F$3,'Casillas del horario'!$T$4:$T$73,0))),""))</f>
        <v/>
      </c>
    </row>
    <row r="7">
      <c r="A7" s="3" t="n">
        <v>4</v>
      </c>
      <c r="B7" s="3">
        <f>IF(COUNTIF('Casillas del horario'!$T$4:$T$73,"Aula 10-3"&amp;"|"&amp;$A7&amp;"|"&amp;B$3)&gt;1,IFERROR(IF(INDEX('Casillas del horario'!$A$4:$A$73,MATCH("Aula 10-3"&amp;"|"&amp;$A7&amp;"|"&amp;B$3,'Casillas del horario'!$T$4:$T$73,0))="","",INDEX('Casillas del horario'!$A$4:$A$73,MATCH("Aula 10-3"&amp;"|"&amp;$A7&amp;"|"&amp;B$3,'Casillas del horario'!$T$4:$T$73,0))),"")&amp;" (+"&amp;(COUNTIF('Casillas del horario'!$T$4:$T$73,"Aula 10-3"&amp;"|"&amp;$A7&amp;"|"&amp;B$3)-1)&amp;")",IFERROR(IF(INDEX('Casillas del horario'!$A$4:$A$73,MATCH("Aula 10-3"&amp;"|"&amp;$A7&amp;"|"&amp;B$3,'Casillas del horario'!$T$4:$T$73,0))="","",INDEX('Casillas del horario'!$A$4:$A$73,MATCH("Aula 10-3"&amp;"|"&amp;$A7&amp;"|"&amp;B$3,'Casillas del horario'!$T$4:$T$73,0))),""))</f>
        <v/>
      </c>
      <c r="C7" s="3">
        <f>IF(COUNTIF('Casillas del horario'!$T$4:$T$73,"Aula 10-3"&amp;"|"&amp;$A7&amp;"|"&amp;C$3)&gt;1,IFERROR(IF(INDEX('Casillas del horario'!$A$4:$A$73,MATCH("Aula 10-3"&amp;"|"&amp;$A7&amp;"|"&amp;C$3,'Casillas del horario'!$T$4:$T$73,0))="","",INDEX('Casillas del horario'!$A$4:$A$73,MATCH("Aula 10-3"&amp;"|"&amp;$A7&amp;"|"&amp;C$3,'Casillas del horario'!$T$4:$T$73,0))),"")&amp;" (+"&amp;(COUNTIF('Casillas del horario'!$T$4:$T$73,"Aula 10-3"&amp;"|"&amp;$A7&amp;"|"&amp;C$3)-1)&amp;")",IFERROR(IF(INDEX('Casillas del horario'!$A$4:$A$73,MATCH("Aula 10-3"&amp;"|"&amp;$A7&amp;"|"&amp;C$3,'Casillas del horario'!$T$4:$T$73,0))="","",INDEX('Casillas del horario'!$A$4:$A$73,MATCH("Aula 10-3"&amp;"|"&amp;$A7&amp;"|"&amp;C$3,'Casillas del horario'!$T$4:$T$73,0))),""))</f>
        <v/>
      </c>
      <c r="D7" s="3">
        <f>IF(COUNTIF('Casillas del horario'!$T$4:$T$73,"Aula 10-3"&amp;"|"&amp;$A7&amp;"|"&amp;D$3)&gt;1,IFERROR(IF(INDEX('Casillas del horario'!$A$4:$A$73,MATCH("Aula 10-3"&amp;"|"&amp;$A7&amp;"|"&amp;D$3,'Casillas del horario'!$T$4:$T$73,0))="","",INDEX('Casillas del horario'!$A$4:$A$73,MATCH("Aula 10-3"&amp;"|"&amp;$A7&amp;"|"&amp;D$3,'Casillas del horario'!$T$4:$T$73,0))),"")&amp;" (+"&amp;(COUNTIF('Casillas del horario'!$T$4:$T$73,"Aula 10-3"&amp;"|"&amp;$A7&amp;"|"&amp;D$3)-1)&amp;")",IFERROR(IF(INDEX('Casillas del horario'!$A$4:$A$73,MATCH("Aula 10-3"&amp;"|"&amp;$A7&amp;"|"&amp;D$3,'Casillas del horario'!$T$4:$T$73,0))="","",INDEX('Casillas del horario'!$A$4:$A$73,MATCH("Aula 10-3"&amp;"|"&amp;$A7&amp;"|"&amp;D$3,'Casillas del horario'!$T$4:$T$73,0))),""))</f>
        <v/>
      </c>
      <c r="E7" s="3">
        <f>IF(COUNTIF('Casillas del horario'!$T$4:$T$73,"Aula 10-3"&amp;"|"&amp;$A7&amp;"|"&amp;E$3)&gt;1,IFERROR(IF(INDEX('Casillas del horario'!$A$4:$A$73,MATCH("Aula 10-3"&amp;"|"&amp;$A7&amp;"|"&amp;E$3,'Casillas del horario'!$T$4:$T$73,0))="","",INDEX('Casillas del horario'!$A$4:$A$73,MATCH("Aula 10-3"&amp;"|"&amp;$A7&amp;"|"&amp;E$3,'Casillas del horario'!$T$4:$T$73,0))),"")&amp;" (+"&amp;(COUNTIF('Casillas del horario'!$T$4:$T$73,"Aula 10-3"&amp;"|"&amp;$A7&amp;"|"&amp;E$3)-1)&amp;")",IFERROR(IF(INDEX('Casillas del horario'!$A$4:$A$73,MATCH("Aula 10-3"&amp;"|"&amp;$A7&amp;"|"&amp;E$3,'Casillas del horario'!$T$4:$T$73,0))="","",INDEX('Casillas del horario'!$A$4:$A$73,MATCH("Aula 10-3"&amp;"|"&amp;$A7&amp;"|"&amp;E$3,'Casillas del horario'!$T$4:$T$73,0))),""))</f>
        <v/>
      </c>
      <c r="F7" s="3">
        <f>IF(COUNTIF('Casillas del horario'!$T$4:$T$73,"Aula 10-3"&amp;"|"&amp;$A7&amp;"|"&amp;F$3)&gt;1,IFERROR(IF(INDEX('Casillas del horario'!$A$4:$A$73,MATCH("Aula 10-3"&amp;"|"&amp;$A7&amp;"|"&amp;F$3,'Casillas del horario'!$T$4:$T$73,0))="","",INDEX('Casillas del horario'!$A$4:$A$73,MATCH("Aula 10-3"&amp;"|"&amp;$A7&amp;"|"&amp;F$3,'Casillas del horario'!$T$4:$T$73,0))),"")&amp;" (+"&amp;(COUNTIF('Casillas del horario'!$T$4:$T$73,"Aula 10-3"&amp;"|"&amp;$A7&amp;"|"&amp;F$3)-1)&amp;")",IFERROR(IF(INDEX('Casillas del horario'!$A$4:$A$73,MATCH("Aula 10-3"&amp;"|"&amp;$A7&amp;"|"&amp;F$3,'Casillas del horario'!$T$4:$T$73,0))="","",INDEX('Casillas del horario'!$A$4:$A$73,MATCH("Aula 10-3"&amp;"|"&amp;$A7&amp;"|"&amp;F$3,'Casillas del horario'!$T$4:$T$73,0))),""))</f>
        <v/>
      </c>
    </row>
    <row r="8">
      <c r="A8" s="3" t="n">
        <v>5</v>
      </c>
      <c r="B8" s="3">
        <f>IF(COUNTIF('Casillas del horario'!$T$4:$T$73,"Aula 10-3"&amp;"|"&amp;$A8&amp;"|"&amp;B$3)&gt;1,IFERROR(IF(INDEX('Casillas del horario'!$A$4:$A$73,MATCH("Aula 10-3"&amp;"|"&amp;$A8&amp;"|"&amp;B$3,'Casillas del horario'!$T$4:$T$73,0))="","",INDEX('Casillas del horario'!$A$4:$A$73,MATCH("Aula 10-3"&amp;"|"&amp;$A8&amp;"|"&amp;B$3,'Casillas del horario'!$T$4:$T$73,0))),"")&amp;" (+"&amp;(COUNTIF('Casillas del horario'!$T$4:$T$73,"Aula 10-3"&amp;"|"&amp;$A8&amp;"|"&amp;B$3)-1)&amp;")",IFERROR(IF(INDEX('Casillas del horario'!$A$4:$A$73,MATCH("Aula 10-3"&amp;"|"&amp;$A8&amp;"|"&amp;B$3,'Casillas del horario'!$T$4:$T$73,0))="","",INDEX('Casillas del horario'!$A$4:$A$73,MATCH("Aula 10-3"&amp;"|"&amp;$A8&amp;"|"&amp;B$3,'Casillas del horario'!$T$4:$T$73,0))),""))</f>
        <v/>
      </c>
      <c r="C8" s="3">
        <f>IF(COUNTIF('Casillas del horario'!$T$4:$T$73,"Aula 10-3"&amp;"|"&amp;$A8&amp;"|"&amp;C$3)&gt;1,IFERROR(IF(INDEX('Casillas del horario'!$A$4:$A$73,MATCH("Aula 10-3"&amp;"|"&amp;$A8&amp;"|"&amp;C$3,'Casillas del horario'!$T$4:$T$73,0))="","",INDEX('Casillas del horario'!$A$4:$A$73,MATCH("Aula 10-3"&amp;"|"&amp;$A8&amp;"|"&amp;C$3,'Casillas del horario'!$T$4:$T$73,0))),"")&amp;" (+"&amp;(COUNTIF('Casillas del horario'!$T$4:$T$73,"Aula 10-3"&amp;"|"&amp;$A8&amp;"|"&amp;C$3)-1)&amp;")",IFERROR(IF(INDEX('Casillas del horario'!$A$4:$A$73,MATCH("Aula 10-3"&amp;"|"&amp;$A8&amp;"|"&amp;C$3,'Casillas del horario'!$T$4:$T$73,0))="","",INDEX('Casillas del horario'!$A$4:$A$73,MATCH("Aula 10-3"&amp;"|"&amp;$A8&amp;"|"&amp;C$3,'Casillas del horario'!$T$4:$T$73,0))),""))</f>
        <v/>
      </c>
      <c r="D8" s="3">
        <f>IF(COUNTIF('Casillas del horario'!$T$4:$T$73,"Aula 10-3"&amp;"|"&amp;$A8&amp;"|"&amp;D$3)&gt;1,IFERROR(IF(INDEX('Casillas del horario'!$A$4:$A$73,MATCH("Aula 10-3"&amp;"|"&amp;$A8&amp;"|"&amp;D$3,'Casillas del horario'!$T$4:$T$73,0))="","",INDEX('Casillas del horario'!$A$4:$A$73,MATCH("Aula 10-3"&amp;"|"&amp;$A8&amp;"|"&amp;D$3,'Casillas del horario'!$T$4:$T$73,0))),"")&amp;" (+"&amp;(COUNTIF('Casillas del horario'!$T$4:$T$73,"Aula 10-3"&amp;"|"&amp;$A8&amp;"|"&amp;D$3)-1)&amp;")",IFERROR(IF(INDEX('Casillas del horario'!$A$4:$A$73,MATCH("Aula 10-3"&amp;"|"&amp;$A8&amp;"|"&amp;D$3,'Casillas del horario'!$T$4:$T$73,0))="","",INDEX('Casillas del horario'!$A$4:$A$73,MATCH("Aula 10-3"&amp;"|"&amp;$A8&amp;"|"&amp;D$3,'Casillas del horario'!$T$4:$T$73,0))),""))</f>
        <v/>
      </c>
      <c r="E8" s="3">
        <f>IF(COUNTIF('Casillas del horario'!$T$4:$T$73,"Aula 10-3"&amp;"|"&amp;$A8&amp;"|"&amp;E$3)&gt;1,IFERROR(IF(INDEX('Casillas del horario'!$A$4:$A$73,MATCH("Aula 10-3"&amp;"|"&amp;$A8&amp;"|"&amp;E$3,'Casillas del horario'!$T$4:$T$73,0))="","",INDEX('Casillas del horario'!$A$4:$A$73,MATCH("Aula 10-3"&amp;"|"&amp;$A8&amp;"|"&amp;E$3,'Casillas del horario'!$T$4:$T$73,0))),"")&amp;" (+"&amp;(COUNTIF('Casillas del horario'!$T$4:$T$73,"Aula 10-3"&amp;"|"&amp;$A8&amp;"|"&amp;E$3)-1)&amp;")",IFERROR(IF(INDEX('Casillas del horario'!$A$4:$A$73,MATCH("Aula 10-3"&amp;"|"&amp;$A8&amp;"|"&amp;E$3,'Casillas del horario'!$T$4:$T$73,0))="","",INDEX('Casillas del horario'!$A$4:$A$73,MATCH("Aula 10-3"&amp;"|"&amp;$A8&amp;"|"&amp;E$3,'Casillas del horario'!$T$4:$T$73,0))),""))</f>
        <v/>
      </c>
      <c r="F8" s="3">
        <f>IF(COUNTIF('Casillas del horario'!$T$4:$T$73,"Aula 10-3"&amp;"|"&amp;$A8&amp;"|"&amp;F$3)&gt;1,IFERROR(IF(INDEX('Casillas del horario'!$A$4:$A$73,MATCH("Aula 10-3"&amp;"|"&amp;$A8&amp;"|"&amp;F$3,'Casillas del horario'!$T$4:$T$73,0))="","",INDEX('Casillas del horario'!$A$4:$A$73,MATCH("Aula 10-3"&amp;"|"&amp;$A8&amp;"|"&amp;F$3,'Casillas del horario'!$T$4:$T$73,0))),"")&amp;" (+"&amp;(COUNTIF('Casillas del horario'!$T$4:$T$73,"Aula 10-3"&amp;"|"&amp;$A8&amp;"|"&amp;F$3)-1)&amp;")",IFERROR(IF(INDEX('Casillas del horario'!$A$4:$A$73,MATCH("Aula 10-3"&amp;"|"&amp;$A8&amp;"|"&amp;F$3,'Casillas del horario'!$T$4:$T$73,0))="","",INDEX('Casillas del horario'!$A$4:$A$73,MATCH("Aula 10-3"&amp;"|"&amp;$A8&amp;"|"&amp;F$3,'Casillas del horario'!$T$4:$T$73,0))),""))</f>
        <v/>
      </c>
    </row>
    <row r="9">
      <c r="A9" s="3" t="n">
        <v>6</v>
      </c>
      <c r="B9" s="3">
        <f>IF(COUNTIF('Casillas del horario'!$T$4:$T$73,"Aula 10-3"&amp;"|"&amp;$A9&amp;"|"&amp;B$3)&gt;1,IFERROR(IF(INDEX('Casillas del horario'!$A$4:$A$73,MATCH("Aula 10-3"&amp;"|"&amp;$A9&amp;"|"&amp;B$3,'Casillas del horario'!$T$4:$T$73,0))="","",INDEX('Casillas del horario'!$A$4:$A$73,MATCH("Aula 10-3"&amp;"|"&amp;$A9&amp;"|"&amp;B$3,'Casillas del horario'!$T$4:$T$73,0))),"")&amp;" (+"&amp;(COUNTIF('Casillas del horario'!$T$4:$T$73,"Aula 10-3"&amp;"|"&amp;$A9&amp;"|"&amp;B$3)-1)&amp;")",IFERROR(IF(INDEX('Casillas del horario'!$A$4:$A$73,MATCH("Aula 10-3"&amp;"|"&amp;$A9&amp;"|"&amp;B$3,'Casillas del horario'!$T$4:$T$73,0))="","",INDEX('Casillas del horario'!$A$4:$A$73,MATCH("Aula 10-3"&amp;"|"&amp;$A9&amp;"|"&amp;B$3,'Casillas del horario'!$T$4:$T$73,0))),""))</f>
        <v/>
      </c>
      <c r="C9" s="3">
        <f>IF(COUNTIF('Casillas del horario'!$T$4:$T$73,"Aula 10-3"&amp;"|"&amp;$A9&amp;"|"&amp;C$3)&gt;1,IFERROR(IF(INDEX('Casillas del horario'!$A$4:$A$73,MATCH("Aula 10-3"&amp;"|"&amp;$A9&amp;"|"&amp;C$3,'Casillas del horario'!$T$4:$T$73,0))="","",INDEX('Casillas del horario'!$A$4:$A$73,MATCH("Aula 10-3"&amp;"|"&amp;$A9&amp;"|"&amp;C$3,'Casillas del horario'!$T$4:$T$73,0))),"")&amp;" (+"&amp;(COUNTIF('Casillas del horario'!$T$4:$T$73,"Aula 10-3"&amp;"|"&amp;$A9&amp;"|"&amp;C$3)-1)&amp;")",IFERROR(IF(INDEX('Casillas del horario'!$A$4:$A$73,MATCH("Aula 10-3"&amp;"|"&amp;$A9&amp;"|"&amp;C$3,'Casillas del horario'!$T$4:$T$73,0))="","",INDEX('Casillas del horario'!$A$4:$A$73,MATCH("Aula 10-3"&amp;"|"&amp;$A9&amp;"|"&amp;C$3,'Casillas del horario'!$T$4:$T$73,0))),""))</f>
        <v/>
      </c>
      <c r="D9" s="3">
        <f>IF(COUNTIF('Casillas del horario'!$T$4:$T$73,"Aula 10-3"&amp;"|"&amp;$A9&amp;"|"&amp;D$3)&gt;1,IFERROR(IF(INDEX('Casillas del horario'!$A$4:$A$73,MATCH("Aula 10-3"&amp;"|"&amp;$A9&amp;"|"&amp;D$3,'Casillas del horario'!$T$4:$T$73,0))="","",INDEX('Casillas del horario'!$A$4:$A$73,MATCH("Aula 10-3"&amp;"|"&amp;$A9&amp;"|"&amp;D$3,'Casillas del horario'!$T$4:$T$73,0))),"")&amp;" (+"&amp;(COUNTIF('Casillas del horario'!$T$4:$T$73,"Aula 10-3"&amp;"|"&amp;$A9&amp;"|"&amp;D$3)-1)&amp;")",IFERROR(IF(INDEX('Casillas del horario'!$A$4:$A$73,MATCH("Aula 10-3"&amp;"|"&amp;$A9&amp;"|"&amp;D$3,'Casillas del horario'!$T$4:$T$73,0))="","",INDEX('Casillas del horario'!$A$4:$A$73,MATCH("Aula 10-3"&amp;"|"&amp;$A9&amp;"|"&amp;D$3,'Casillas del horario'!$T$4:$T$73,0))),""))</f>
        <v/>
      </c>
      <c r="E9" s="3">
        <f>IF(COUNTIF('Casillas del horario'!$T$4:$T$73,"Aula 10-3"&amp;"|"&amp;$A9&amp;"|"&amp;E$3)&gt;1,IFERROR(IF(INDEX('Casillas del horario'!$A$4:$A$73,MATCH("Aula 10-3"&amp;"|"&amp;$A9&amp;"|"&amp;E$3,'Casillas del horario'!$T$4:$T$73,0))="","",INDEX('Casillas del horario'!$A$4:$A$73,MATCH("Aula 10-3"&amp;"|"&amp;$A9&amp;"|"&amp;E$3,'Casillas del horario'!$T$4:$T$73,0))),"")&amp;" (+"&amp;(COUNTIF('Casillas del horario'!$T$4:$T$73,"Aula 10-3"&amp;"|"&amp;$A9&amp;"|"&amp;E$3)-1)&amp;")",IFERROR(IF(INDEX('Casillas del horario'!$A$4:$A$73,MATCH("Aula 10-3"&amp;"|"&amp;$A9&amp;"|"&amp;E$3,'Casillas del horario'!$T$4:$T$73,0))="","",INDEX('Casillas del horario'!$A$4:$A$73,MATCH("Aula 10-3"&amp;"|"&amp;$A9&amp;"|"&amp;E$3,'Casillas del horario'!$T$4:$T$73,0))),""))</f>
        <v/>
      </c>
      <c r="F9" s="3">
        <f>IF(COUNTIF('Casillas del horario'!$T$4:$T$73,"Aula 10-3"&amp;"|"&amp;$A9&amp;"|"&amp;F$3)&gt;1,IFERROR(IF(INDEX('Casillas del horario'!$A$4:$A$73,MATCH("Aula 10-3"&amp;"|"&amp;$A9&amp;"|"&amp;F$3,'Casillas del horario'!$T$4:$T$73,0))="","",INDEX('Casillas del horario'!$A$4:$A$73,MATCH("Aula 10-3"&amp;"|"&amp;$A9&amp;"|"&amp;F$3,'Casillas del horario'!$T$4:$T$73,0))),"")&amp;" (+"&amp;(COUNTIF('Casillas del horario'!$T$4:$T$73,"Aula 10-3"&amp;"|"&amp;$A9&amp;"|"&amp;F$3)-1)&amp;")",IFERROR(IF(INDEX('Casillas del horario'!$A$4:$A$73,MATCH("Aula 10-3"&amp;"|"&amp;$A9&amp;"|"&amp;F$3,'Casillas del horario'!$T$4:$T$73,0))="","",INDEX('Casillas del horario'!$A$4:$A$73,MATCH("Aula 10-3"&amp;"|"&amp;$A9&amp;"|"&amp;F$3,'Casillas del horario'!$T$4:$T$73,0))),""))</f>
        <v/>
      </c>
    </row>
    <row r="10">
      <c r="A10" s="3" t="n">
        <v>7</v>
      </c>
      <c r="B10" s="3">
        <f>IF(COUNTIF('Casillas del horario'!$T$4:$T$73,"Aula 10-3"&amp;"|"&amp;$A10&amp;"|"&amp;B$3)&gt;1,IFERROR(IF(INDEX('Casillas del horario'!$A$4:$A$73,MATCH("Aula 10-3"&amp;"|"&amp;$A10&amp;"|"&amp;B$3,'Casillas del horario'!$T$4:$T$73,0))="","",INDEX('Casillas del horario'!$A$4:$A$73,MATCH("Aula 10-3"&amp;"|"&amp;$A10&amp;"|"&amp;B$3,'Casillas del horario'!$T$4:$T$73,0))),"")&amp;" (+"&amp;(COUNTIF('Casillas del horario'!$T$4:$T$73,"Aula 10-3"&amp;"|"&amp;$A10&amp;"|"&amp;B$3)-1)&amp;")",IFERROR(IF(INDEX('Casillas del horario'!$A$4:$A$73,MATCH("Aula 10-3"&amp;"|"&amp;$A10&amp;"|"&amp;B$3,'Casillas del horario'!$T$4:$T$73,0))="","",INDEX('Casillas del horario'!$A$4:$A$73,MATCH("Aula 10-3"&amp;"|"&amp;$A10&amp;"|"&amp;B$3,'Casillas del horario'!$T$4:$T$73,0))),""))</f>
        <v/>
      </c>
      <c r="C10" s="3">
        <f>IF(COUNTIF('Casillas del horario'!$T$4:$T$73,"Aula 10-3"&amp;"|"&amp;$A10&amp;"|"&amp;C$3)&gt;1,IFERROR(IF(INDEX('Casillas del horario'!$A$4:$A$73,MATCH("Aula 10-3"&amp;"|"&amp;$A10&amp;"|"&amp;C$3,'Casillas del horario'!$T$4:$T$73,0))="","",INDEX('Casillas del horario'!$A$4:$A$73,MATCH("Aula 10-3"&amp;"|"&amp;$A10&amp;"|"&amp;C$3,'Casillas del horario'!$T$4:$T$73,0))),"")&amp;" (+"&amp;(COUNTIF('Casillas del horario'!$T$4:$T$73,"Aula 10-3"&amp;"|"&amp;$A10&amp;"|"&amp;C$3)-1)&amp;")",IFERROR(IF(INDEX('Casillas del horario'!$A$4:$A$73,MATCH("Aula 10-3"&amp;"|"&amp;$A10&amp;"|"&amp;C$3,'Casillas del horario'!$T$4:$T$73,0))="","",INDEX('Casillas del horario'!$A$4:$A$73,MATCH("Aula 10-3"&amp;"|"&amp;$A10&amp;"|"&amp;C$3,'Casillas del horario'!$T$4:$T$73,0))),""))</f>
        <v/>
      </c>
      <c r="D10" s="3">
        <f>IF(COUNTIF('Casillas del horario'!$T$4:$T$73,"Aula 10-3"&amp;"|"&amp;$A10&amp;"|"&amp;D$3)&gt;1,IFERROR(IF(INDEX('Casillas del horario'!$A$4:$A$73,MATCH("Aula 10-3"&amp;"|"&amp;$A10&amp;"|"&amp;D$3,'Casillas del horario'!$T$4:$T$73,0))="","",INDEX('Casillas del horario'!$A$4:$A$73,MATCH("Aula 10-3"&amp;"|"&amp;$A10&amp;"|"&amp;D$3,'Casillas del horario'!$T$4:$T$73,0))),"")&amp;" (+"&amp;(COUNTIF('Casillas del horario'!$T$4:$T$73,"Aula 10-3"&amp;"|"&amp;$A10&amp;"|"&amp;D$3)-1)&amp;")",IFERROR(IF(INDEX('Casillas del horario'!$A$4:$A$73,MATCH("Aula 10-3"&amp;"|"&amp;$A10&amp;"|"&amp;D$3,'Casillas del horario'!$T$4:$T$73,0))="","",INDEX('Casillas del horario'!$A$4:$A$73,MATCH("Aula 10-3"&amp;"|"&amp;$A10&amp;"|"&amp;D$3,'Casillas del horario'!$T$4:$T$73,0))),""))</f>
        <v/>
      </c>
      <c r="E10" s="3">
        <f>IF(COUNTIF('Casillas del horario'!$T$4:$T$73,"Aula 10-3"&amp;"|"&amp;$A10&amp;"|"&amp;E$3)&gt;1,IFERROR(IF(INDEX('Casillas del horario'!$A$4:$A$73,MATCH("Aula 10-3"&amp;"|"&amp;$A10&amp;"|"&amp;E$3,'Casillas del horario'!$T$4:$T$73,0))="","",INDEX('Casillas del horario'!$A$4:$A$73,MATCH("Aula 10-3"&amp;"|"&amp;$A10&amp;"|"&amp;E$3,'Casillas del horario'!$T$4:$T$73,0))),"")&amp;" (+"&amp;(COUNTIF('Casillas del horario'!$T$4:$T$73,"Aula 10-3"&amp;"|"&amp;$A10&amp;"|"&amp;E$3)-1)&amp;")",IFERROR(IF(INDEX('Casillas del horario'!$A$4:$A$73,MATCH("Aula 10-3"&amp;"|"&amp;$A10&amp;"|"&amp;E$3,'Casillas del horario'!$T$4:$T$73,0))="","",INDEX('Casillas del horario'!$A$4:$A$73,MATCH("Aula 10-3"&amp;"|"&amp;$A10&amp;"|"&amp;E$3,'Casillas del horario'!$T$4:$T$73,0))),""))</f>
        <v/>
      </c>
      <c r="F10" s="3">
        <f>IF(COUNTIF('Casillas del horario'!$T$4:$T$73,"Aula 10-3"&amp;"|"&amp;$A10&amp;"|"&amp;F$3)&gt;1,IFERROR(IF(INDEX('Casillas del horario'!$A$4:$A$73,MATCH("Aula 10-3"&amp;"|"&amp;$A10&amp;"|"&amp;F$3,'Casillas del horario'!$T$4:$T$73,0))="","",INDEX('Casillas del horario'!$A$4:$A$73,MATCH("Aula 10-3"&amp;"|"&amp;$A10&amp;"|"&amp;F$3,'Casillas del horario'!$T$4:$T$73,0))),"")&amp;" (+"&amp;(COUNTIF('Casillas del horario'!$T$4:$T$73,"Aula 10-3"&amp;"|"&amp;$A10&amp;"|"&amp;F$3)-1)&amp;")",IFERROR(IF(INDEX('Casillas del horario'!$A$4:$A$73,MATCH("Aula 10-3"&amp;"|"&amp;$A10&amp;"|"&amp;F$3,'Casillas del horario'!$T$4:$T$73,0))="","",INDEX('Casillas del horario'!$A$4:$A$73,MATCH("Aula 10-3"&amp;"|"&amp;$A10&amp;"|"&amp;F$3,'Casillas del horario'!$T$4:$T$73,0))),""))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tabColor rgb="008EA9DB"/>
    <outlinePr summaryBelow="1" summaryRight="1"/>
    <pageSetUpPr/>
  </sheetPr>
  <dimension ref="A1:B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Horario del aula - Laboratorio</t>
        </is>
      </c>
    </row>
    <row r="3">
      <c r="A3" s="2" t="inlineStr">
        <is>
          <t>Turno</t>
        </is>
      </c>
      <c r="B3" s="2" t="inlineStr">
        <is>
          <t>J</t>
        </is>
      </c>
    </row>
    <row r="4">
      <c r="A4" s="3" t="n">
        <v>1</v>
      </c>
      <c r="B4" s="3">
        <f>IF(COUNTIF('Casillas del horario'!$T$4:$T$73,"Laboratorio"&amp;"|"&amp;$A4&amp;"|"&amp;B$3)&gt;1,IFERROR(IF(INDEX('Casillas del horario'!$A$4:$A$73,MATCH("Laboratorio"&amp;"|"&amp;$A4&amp;"|"&amp;B$3,'Casillas del horario'!$T$4:$T$73,0))="","",INDEX('Casillas del horario'!$A$4:$A$73,MATCH("Laboratorio"&amp;"|"&amp;$A4&amp;"|"&amp;B$3,'Casillas del horario'!$T$4:$T$73,0))),"")&amp;" (+"&amp;(COUNTIF('Casillas del horario'!$T$4:$T$73,"Laboratorio"&amp;"|"&amp;$A4&amp;"|"&amp;B$3)-1)&amp;")",IFERROR(IF(INDEX('Casillas del horario'!$A$4:$A$73,MATCH("Laboratorio"&amp;"|"&amp;$A4&amp;"|"&amp;B$3,'Casillas del horario'!$T$4:$T$73,0))="","",INDEX('Casillas del horario'!$A$4:$A$73,MATCH("Laboratorio"&amp;"|"&amp;$A4&amp;"|"&amp;B$3,'Casillas del horario'!$T$4:$T$73,0))),""))</f>
        <v/>
      </c>
    </row>
    <row r="5">
      <c r="A5" s="3" t="n">
        <v>4</v>
      </c>
      <c r="B5" s="3">
        <f>IF(COUNTIF('Casillas del horario'!$T$4:$T$73,"Laboratorio"&amp;"|"&amp;$A5&amp;"|"&amp;B$3)&gt;1,IFERROR(IF(INDEX('Casillas del horario'!$A$4:$A$73,MATCH("Laboratorio"&amp;"|"&amp;$A5&amp;"|"&amp;B$3,'Casillas del horario'!$T$4:$T$73,0))="","",INDEX('Casillas del horario'!$A$4:$A$73,MATCH("Laboratorio"&amp;"|"&amp;$A5&amp;"|"&amp;B$3,'Casillas del horario'!$T$4:$T$73,0))),"")&amp;" (+"&amp;(COUNTIF('Casillas del horario'!$T$4:$T$73,"Laboratorio"&amp;"|"&amp;$A5&amp;"|"&amp;B$3)-1)&amp;")",IFERROR(IF(INDEX('Casillas del horario'!$A$4:$A$73,MATCH("Laboratorio"&amp;"|"&amp;$A5&amp;"|"&amp;B$3,'Casillas del horario'!$T$4:$T$73,0))="","",INDEX('Casillas del horario'!$A$4:$A$73,MATCH("Laboratorio"&amp;"|"&amp;$A5&amp;"|"&amp;B$3,'Casillas del horario'!$T$4:$T$73,0))),""))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rgb="008EA9DB"/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</cols>
  <sheetData>
    <row r="1">
      <c r="A1" s="1" t="inlineStr">
        <is>
          <t>Horario del aula - Aula 10-4</t>
        </is>
      </c>
    </row>
    <row r="3">
      <c r="A3" s="2" t="inlineStr">
        <is>
          <t>Turno</t>
        </is>
      </c>
      <c r="B3" s="2" t="inlineStr">
        <is>
          <t>L</t>
        </is>
      </c>
      <c r="C3" s="2" t="inlineStr">
        <is>
          <t>M</t>
        </is>
      </c>
      <c r="D3" s="2" t="inlineStr">
        <is>
          <t>MI</t>
        </is>
      </c>
      <c r="E3" s="2" t="inlineStr">
        <is>
          <t>J</t>
        </is>
      </c>
      <c r="F3" s="2" t="inlineStr">
        <is>
          <t>V</t>
        </is>
      </c>
    </row>
    <row r="4">
      <c r="A4" s="3" t="n">
        <v>1</v>
      </c>
      <c r="B4" s="3">
        <f>IF(COUNTIF('Casillas del horario'!$T$4:$T$73,"Aula 10-4"&amp;"|"&amp;$A4&amp;"|"&amp;B$3)&gt;1,IFERROR(IF(INDEX('Casillas del horario'!$A$4:$A$73,MATCH("Aula 10-4"&amp;"|"&amp;$A4&amp;"|"&amp;B$3,'Casillas del horario'!$T$4:$T$73,0))="","",INDEX('Casillas del horario'!$A$4:$A$73,MATCH("Aula 10-4"&amp;"|"&amp;$A4&amp;"|"&amp;B$3,'Casillas del horario'!$T$4:$T$73,0))),"")&amp;" (+"&amp;(COUNTIF('Casillas del horario'!$T$4:$T$73,"Aula 10-4"&amp;"|"&amp;$A4&amp;"|"&amp;B$3)-1)&amp;")",IFERROR(IF(INDEX('Casillas del horario'!$A$4:$A$73,MATCH("Aula 10-4"&amp;"|"&amp;$A4&amp;"|"&amp;B$3,'Casillas del horario'!$T$4:$T$73,0))="","",INDEX('Casillas del horario'!$A$4:$A$73,MATCH("Aula 10-4"&amp;"|"&amp;$A4&amp;"|"&amp;B$3,'Casillas del horario'!$T$4:$T$73,0))),""))</f>
        <v/>
      </c>
      <c r="C4" s="3">
        <f>IF(COUNTIF('Casillas del horario'!$T$4:$T$73,"Aula 10-4"&amp;"|"&amp;$A4&amp;"|"&amp;C$3)&gt;1,IFERROR(IF(INDEX('Casillas del horario'!$A$4:$A$73,MATCH("Aula 10-4"&amp;"|"&amp;$A4&amp;"|"&amp;C$3,'Casillas del horario'!$T$4:$T$73,0))="","",INDEX('Casillas del horario'!$A$4:$A$73,MATCH("Aula 10-4"&amp;"|"&amp;$A4&amp;"|"&amp;C$3,'Casillas del horario'!$T$4:$T$73,0))),"")&amp;" (+"&amp;(COUNTIF('Casillas del horario'!$T$4:$T$73,"Aula 10-4"&amp;"|"&amp;$A4&amp;"|"&amp;C$3)-1)&amp;")",IFERROR(IF(INDEX('Casillas del horario'!$A$4:$A$73,MATCH("Aula 10-4"&amp;"|"&amp;$A4&amp;"|"&amp;C$3,'Casillas del horario'!$T$4:$T$73,0))="","",INDEX('Casillas del horario'!$A$4:$A$73,MATCH("Aula 10-4"&amp;"|"&amp;$A4&amp;"|"&amp;C$3,'Casillas del horario'!$T$4:$T$73,0))),""))</f>
        <v/>
      </c>
      <c r="D4" s="3">
        <f>IF(COUNTIF('Casillas del horario'!$T$4:$T$73,"Aula 10-4"&amp;"|"&amp;$A4&amp;"|"&amp;D$3)&gt;1,IFERROR(IF(INDEX('Casillas del horario'!$A$4:$A$73,MATCH("Aula 10-4"&amp;"|"&amp;$A4&amp;"|"&amp;D$3,'Casillas del horario'!$T$4:$T$73,0))="","",INDEX('Casillas del horario'!$A$4:$A$73,MATCH("Aula 10-4"&amp;"|"&amp;$A4&amp;"|"&amp;D$3,'Casillas del horario'!$T$4:$T$73,0))),"")&amp;" (+"&amp;(COUNTIF('Casillas del horario'!$T$4:$T$73,"Aula 10-4"&amp;"|"&amp;$A4&amp;"|"&amp;D$3)-1)&amp;")",IFERROR(IF(INDEX('Casillas del horario'!$A$4:$A$73,MATCH("Aula 10-4"&amp;"|"&amp;$A4&amp;"|"&amp;D$3,'Casillas del horario'!$T$4:$T$73,0))="","",INDEX('Casillas del horario'!$A$4:$A$73,MATCH("Aula 10-4"&amp;"|"&amp;$A4&amp;"|"&amp;D$3,'Casillas del horario'!$T$4:$T$73,0))),""))</f>
        <v/>
      </c>
      <c r="E4" s="3">
        <f>IF(COUNTIF('Casillas del horario'!$T$4:$T$73,"Aula 10-4"&amp;"|"&amp;$A4&amp;"|"&amp;E$3)&gt;1,IFERROR(IF(INDEX('Casillas del horario'!$A$4:$A$73,MATCH("Aula 10-4"&amp;"|"&amp;$A4&amp;"|"&amp;E$3,'Casillas del horario'!$T$4:$T$73,0))="","",INDEX('Casillas del horario'!$A$4:$A$73,MATCH("Aula 10-4"&amp;"|"&amp;$A4&amp;"|"&amp;E$3,'Casillas del horario'!$T$4:$T$73,0))),"")&amp;" (+"&amp;(COUNTIF('Casillas del horario'!$T$4:$T$73,"Aula 10-4"&amp;"|"&amp;$A4&amp;"|"&amp;E$3)-1)&amp;")",IFERROR(IF(INDEX('Casillas del horario'!$A$4:$A$73,MATCH("Aula 10-4"&amp;"|"&amp;$A4&amp;"|"&amp;E$3,'Casillas del horario'!$T$4:$T$73,0))="","",INDEX('Casillas del horario'!$A$4:$A$73,MATCH("Aula 10-4"&amp;"|"&amp;$A4&amp;"|"&amp;E$3,'Casillas del horario'!$T$4:$T$73,0))),""))</f>
        <v/>
      </c>
      <c r="F4" s="3">
        <f>IF(COUNTIF('Casillas del horario'!$T$4:$T$73,"Aula 10-4"&amp;"|"&amp;$A4&amp;"|"&amp;F$3)&gt;1,IFERROR(IF(INDEX('Casillas del horario'!$A$4:$A$73,MATCH("Aula 10-4"&amp;"|"&amp;$A4&amp;"|"&amp;F$3,'Casillas del horario'!$T$4:$T$73,0))="","",INDEX('Casillas del horario'!$A$4:$A$73,MATCH("Aula 10-4"&amp;"|"&amp;$A4&amp;"|"&amp;F$3,'Casillas del horario'!$T$4:$T$73,0))),"")&amp;" (+"&amp;(COUNTIF('Casillas del horario'!$T$4:$T$73,"Aula 10-4"&amp;"|"&amp;$A4&amp;"|"&amp;F$3)-1)&amp;")",IFERROR(IF(INDEX('Casillas del horario'!$A$4:$A$73,MATCH("Aula 10-4"&amp;"|"&amp;$A4&amp;"|"&amp;F$3,'Casillas del horario'!$T$4:$T$73,0))="","",INDEX('Casillas del horario'!$A$4:$A$73,MATCH("Aula 10-4"&amp;"|"&amp;$A4&amp;"|"&amp;F$3,'Casillas del horario'!$T$4:$T$73,0))),""))</f>
        <v/>
      </c>
    </row>
    <row r="5">
      <c r="A5" s="3" t="n">
        <v>2</v>
      </c>
      <c r="B5" s="3">
        <f>IF(COUNTIF('Casillas del horario'!$T$4:$T$73,"Aula 10-4"&amp;"|"&amp;$A5&amp;"|"&amp;B$3)&gt;1,IFERROR(IF(INDEX('Casillas del horario'!$A$4:$A$73,MATCH("Aula 10-4"&amp;"|"&amp;$A5&amp;"|"&amp;B$3,'Casillas del horario'!$T$4:$T$73,0))="","",INDEX('Casillas del horario'!$A$4:$A$73,MATCH("Aula 10-4"&amp;"|"&amp;$A5&amp;"|"&amp;B$3,'Casillas del horario'!$T$4:$T$73,0))),"")&amp;" (+"&amp;(COUNTIF('Casillas del horario'!$T$4:$T$73,"Aula 10-4"&amp;"|"&amp;$A5&amp;"|"&amp;B$3)-1)&amp;")",IFERROR(IF(INDEX('Casillas del horario'!$A$4:$A$73,MATCH("Aula 10-4"&amp;"|"&amp;$A5&amp;"|"&amp;B$3,'Casillas del horario'!$T$4:$T$73,0))="","",INDEX('Casillas del horario'!$A$4:$A$73,MATCH("Aula 10-4"&amp;"|"&amp;$A5&amp;"|"&amp;B$3,'Casillas del horario'!$T$4:$T$73,0))),""))</f>
        <v/>
      </c>
      <c r="C5" s="3">
        <f>IF(COUNTIF('Casillas del horario'!$T$4:$T$73,"Aula 10-4"&amp;"|"&amp;$A5&amp;"|"&amp;C$3)&gt;1,IFERROR(IF(INDEX('Casillas del horario'!$A$4:$A$73,MATCH("Aula 10-4"&amp;"|"&amp;$A5&amp;"|"&amp;C$3,'Casillas del horario'!$T$4:$T$73,0))="","",INDEX('Casillas del horario'!$A$4:$A$73,MATCH("Aula 10-4"&amp;"|"&amp;$A5&amp;"|"&amp;C$3,'Casillas del horario'!$T$4:$T$73,0))),"")&amp;" (+"&amp;(COUNTIF('Casillas del horario'!$T$4:$T$73,"Aula 10-4"&amp;"|"&amp;$A5&amp;"|"&amp;C$3)-1)&amp;")",IFERROR(IF(INDEX('Casillas del horario'!$A$4:$A$73,MATCH("Aula 10-4"&amp;"|"&amp;$A5&amp;"|"&amp;C$3,'Casillas del horario'!$T$4:$T$73,0))="","",INDEX('Casillas del horario'!$A$4:$A$73,MATCH("Aula 10-4"&amp;"|"&amp;$A5&amp;"|"&amp;C$3,'Casillas del horario'!$T$4:$T$73,0))),""))</f>
        <v/>
      </c>
      <c r="D5" s="3">
        <f>IF(COUNTIF('Casillas del horario'!$T$4:$T$73,"Aula 10-4"&amp;"|"&amp;$A5&amp;"|"&amp;D$3)&gt;1,IFERROR(IF(INDEX('Casillas del horario'!$A$4:$A$73,MATCH("Aula 10-4"&amp;"|"&amp;$A5&amp;"|"&amp;D$3,'Casillas del horario'!$T$4:$T$73,0))="","",INDEX('Casillas del horario'!$A$4:$A$73,MATCH("Aula 10-4"&amp;"|"&amp;$A5&amp;"|"&amp;D$3,'Casillas del horario'!$T$4:$T$73,0))),"")&amp;" (+"&amp;(COUNTIF('Casillas del horario'!$T$4:$T$73,"Aula 10-4"&amp;"|"&amp;$A5&amp;"|"&amp;D$3)-1)&amp;")",IFERROR(IF(INDEX('Casillas del horario'!$A$4:$A$73,MATCH("Aula 10-4"&amp;"|"&amp;$A5&amp;"|"&amp;D$3,'Casillas del horario'!$T$4:$T$73,0))="","",INDEX('Casillas del horario'!$A$4:$A$73,MATCH("Aula 10-4"&amp;"|"&amp;$A5&amp;"|"&amp;D$3,'Casillas del horario'!$T$4:$T$73,0))),""))</f>
        <v/>
      </c>
      <c r="E5" s="3">
        <f>IF(COUNTIF('Casillas del horario'!$T$4:$T$73,"Aula 10-4"&amp;"|"&amp;$A5&amp;"|"&amp;E$3)&gt;1,IFERROR(IF(INDEX('Casillas del horario'!$A$4:$A$73,MATCH("Aula 10-4"&amp;"|"&amp;$A5&amp;"|"&amp;E$3,'Casillas del horario'!$T$4:$T$73,0))="","",INDEX('Casillas del horario'!$A$4:$A$73,MATCH("Aula 10-4"&amp;"|"&amp;$A5&amp;"|"&amp;E$3,'Casillas del horario'!$T$4:$T$73,0))),"")&amp;" (+"&amp;(COUNTIF('Casillas del horario'!$T$4:$T$73,"Aula 10-4"&amp;"|"&amp;$A5&amp;"|"&amp;E$3)-1)&amp;")",IFERROR(IF(INDEX('Casillas del horario'!$A$4:$A$73,MATCH("Aula 10-4"&amp;"|"&amp;$A5&amp;"|"&amp;E$3,'Casillas del horario'!$T$4:$T$73,0))="","",INDEX('Casillas del horario'!$A$4:$A$73,MATCH("Aula 10-4"&amp;"|"&amp;$A5&amp;"|"&amp;E$3,'Casillas del horario'!$T$4:$T$73,0))),""))</f>
        <v/>
      </c>
      <c r="F5" s="3">
        <f>IF(COUNTIF('Casillas del horario'!$T$4:$T$73,"Aula 10-4"&amp;"|"&amp;$A5&amp;"|"&amp;F$3)&gt;1,IFERROR(IF(INDEX('Casillas del horario'!$A$4:$A$73,MATCH("Aula 10-4"&amp;"|"&amp;$A5&amp;"|"&amp;F$3,'Casillas del horario'!$T$4:$T$73,0))="","",INDEX('Casillas del horario'!$A$4:$A$73,MATCH("Aula 10-4"&amp;"|"&amp;$A5&amp;"|"&amp;F$3,'Casillas del horario'!$T$4:$T$73,0))),"")&amp;" (+"&amp;(COUNTIF('Casillas del horario'!$T$4:$T$73,"Aula 10-4"&amp;"|"&amp;$A5&amp;"|"&amp;F$3)-1)&amp;")",IFERROR(IF(INDEX('Casillas del horario'!$A$4:$A$73,MATCH("Aula 10-4"&amp;"|"&amp;$A5&amp;"|"&amp;F$3,'Casillas del horario'!$T$4:$T$73,0))="","",INDEX('Casillas del horario'!$A$4:$A$73,MATCH("Aula 10-4"&amp;"|"&amp;$A5&amp;"|"&amp;F$3,'Casillas del horario'!$T$4:$T$73,0))),""))</f>
        <v/>
      </c>
    </row>
    <row r="6">
      <c r="A6" s="3" t="n">
        <v>3</v>
      </c>
      <c r="B6" s="3">
        <f>IF(COUNTIF('Casillas del horario'!$T$4:$T$73,"Aula 10-4"&amp;"|"&amp;$A6&amp;"|"&amp;B$3)&gt;1,IFERROR(IF(INDEX('Casillas del horario'!$A$4:$A$73,MATCH("Aula 10-4"&amp;"|"&amp;$A6&amp;"|"&amp;B$3,'Casillas del horario'!$T$4:$T$73,0))="","",INDEX('Casillas del horario'!$A$4:$A$73,MATCH("Aula 10-4"&amp;"|"&amp;$A6&amp;"|"&amp;B$3,'Casillas del horario'!$T$4:$T$73,0))),"")&amp;" (+"&amp;(COUNTIF('Casillas del horario'!$T$4:$T$73,"Aula 10-4"&amp;"|"&amp;$A6&amp;"|"&amp;B$3)-1)&amp;")",IFERROR(IF(INDEX('Casillas del horario'!$A$4:$A$73,MATCH("Aula 10-4"&amp;"|"&amp;$A6&amp;"|"&amp;B$3,'Casillas del horario'!$T$4:$T$73,0))="","",INDEX('Casillas del horario'!$A$4:$A$73,MATCH("Aula 10-4"&amp;"|"&amp;$A6&amp;"|"&amp;B$3,'Casillas del horario'!$T$4:$T$73,0))),""))</f>
        <v/>
      </c>
      <c r="C6" s="3">
        <f>IF(COUNTIF('Casillas del horario'!$T$4:$T$73,"Aula 10-4"&amp;"|"&amp;$A6&amp;"|"&amp;C$3)&gt;1,IFERROR(IF(INDEX('Casillas del horario'!$A$4:$A$73,MATCH("Aula 10-4"&amp;"|"&amp;$A6&amp;"|"&amp;C$3,'Casillas del horario'!$T$4:$T$73,0))="","",INDEX('Casillas del horario'!$A$4:$A$73,MATCH("Aula 10-4"&amp;"|"&amp;$A6&amp;"|"&amp;C$3,'Casillas del horario'!$T$4:$T$73,0))),"")&amp;" (+"&amp;(COUNTIF('Casillas del horario'!$T$4:$T$73,"Aula 10-4"&amp;"|"&amp;$A6&amp;"|"&amp;C$3)-1)&amp;")",IFERROR(IF(INDEX('Casillas del horario'!$A$4:$A$73,MATCH("Aula 10-4"&amp;"|"&amp;$A6&amp;"|"&amp;C$3,'Casillas del horario'!$T$4:$T$73,0))="","",INDEX('Casillas del horario'!$A$4:$A$73,MATCH("Aula 10-4"&amp;"|"&amp;$A6&amp;"|"&amp;C$3,'Casillas del horario'!$T$4:$T$73,0))),""))</f>
        <v/>
      </c>
      <c r="D6" s="3">
        <f>IF(COUNTIF('Casillas del horario'!$T$4:$T$73,"Aula 10-4"&amp;"|"&amp;$A6&amp;"|"&amp;D$3)&gt;1,IFERROR(IF(INDEX('Casillas del horario'!$A$4:$A$73,MATCH("Aula 10-4"&amp;"|"&amp;$A6&amp;"|"&amp;D$3,'Casillas del horario'!$T$4:$T$73,0))="","",INDEX('Casillas del horario'!$A$4:$A$73,MATCH("Aula 10-4"&amp;"|"&amp;$A6&amp;"|"&amp;D$3,'Casillas del horario'!$T$4:$T$73,0))),"")&amp;" (+"&amp;(COUNTIF('Casillas del horario'!$T$4:$T$73,"Aula 10-4"&amp;"|"&amp;$A6&amp;"|"&amp;D$3)-1)&amp;")",IFERROR(IF(INDEX('Casillas del horario'!$A$4:$A$73,MATCH("Aula 10-4"&amp;"|"&amp;$A6&amp;"|"&amp;D$3,'Casillas del horario'!$T$4:$T$73,0))="","",INDEX('Casillas del horario'!$A$4:$A$73,MATCH("Aula 10-4"&amp;"|"&amp;$A6&amp;"|"&amp;D$3,'Casillas del horario'!$T$4:$T$73,0))),""))</f>
        <v/>
      </c>
      <c r="E6" s="3">
        <f>IF(COUNTIF('Casillas del horario'!$T$4:$T$73,"Aula 10-4"&amp;"|"&amp;$A6&amp;"|"&amp;E$3)&gt;1,IFERROR(IF(INDEX('Casillas del horario'!$A$4:$A$73,MATCH("Aula 10-4"&amp;"|"&amp;$A6&amp;"|"&amp;E$3,'Casillas del horario'!$T$4:$T$73,0))="","",INDEX('Casillas del horario'!$A$4:$A$73,MATCH("Aula 10-4"&amp;"|"&amp;$A6&amp;"|"&amp;E$3,'Casillas del horario'!$T$4:$T$73,0))),"")&amp;" (+"&amp;(COUNTIF('Casillas del horario'!$T$4:$T$73,"Aula 10-4"&amp;"|"&amp;$A6&amp;"|"&amp;E$3)-1)&amp;")",IFERROR(IF(INDEX('Casillas del horario'!$A$4:$A$73,MATCH("Aula 10-4"&amp;"|"&amp;$A6&amp;"|"&amp;E$3,'Casillas del horario'!$T$4:$T$73,0))="","",INDEX('Casillas del horario'!$A$4:$A$73,MATCH("Aula 10-4"&amp;"|"&amp;$A6&amp;"|"&amp;E$3,'Casillas del horario'!$T$4:$T$73,0))),""))</f>
        <v/>
      </c>
      <c r="F6" s="3">
        <f>IF(COUNTIF('Casillas del horario'!$T$4:$T$73,"Aula 10-4"&amp;"|"&amp;$A6&amp;"|"&amp;F$3)&gt;1,IFERROR(IF(INDEX('Casillas del horario'!$A$4:$A$73,MATCH("Aula 10-4"&amp;"|"&amp;$A6&amp;"|"&amp;F$3,'Casillas del horario'!$T$4:$T$73,0))="","",INDEX('Casillas del horario'!$A$4:$A$73,MATCH("Aula 10-4"&amp;"|"&amp;$A6&amp;"|"&amp;F$3,'Casillas del horario'!$T$4:$T$73,0))),"")&amp;" (+"&amp;(COUNTIF('Casillas del horario'!$T$4:$T$73,"Aula 10-4"&amp;"|"&amp;$A6&amp;"|"&amp;F$3)-1)&amp;")",IFERROR(IF(INDEX('Casillas del horario'!$A$4:$A$73,MATCH("Aula 10-4"&amp;"|"&amp;$A6&amp;"|"&amp;F$3,'Casillas del horario'!$T$4:$T$73,0))="","",INDEX('Casillas del horario'!$A$4:$A$73,MATCH("Aula 10-4"&amp;"|"&amp;$A6&amp;"|"&amp;F$3,'Casillas del horario'!$T$4:$T$73,0))),""))</f>
        <v/>
      </c>
    </row>
    <row r="7">
      <c r="A7" s="3" t="n">
        <v>4</v>
      </c>
      <c r="B7" s="3">
        <f>IF(COUNTIF('Casillas del horario'!$T$4:$T$73,"Aula 10-4"&amp;"|"&amp;$A7&amp;"|"&amp;B$3)&gt;1,IFERROR(IF(INDEX('Casillas del horario'!$A$4:$A$73,MATCH("Aula 10-4"&amp;"|"&amp;$A7&amp;"|"&amp;B$3,'Casillas del horario'!$T$4:$T$73,0))="","",INDEX('Casillas del horario'!$A$4:$A$73,MATCH("Aula 10-4"&amp;"|"&amp;$A7&amp;"|"&amp;B$3,'Casillas del horario'!$T$4:$T$73,0))),"")&amp;" (+"&amp;(COUNTIF('Casillas del horario'!$T$4:$T$73,"Aula 10-4"&amp;"|"&amp;$A7&amp;"|"&amp;B$3)-1)&amp;")",IFERROR(IF(INDEX('Casillas del horario'!$A$4:$A$73,MATCH("Aula 10-4"&amp;"|"&amp;$A7&amp;"|"&amp;B$3,'Casillas del horario'!$T$4:$T$73,0))="","",INDEX('Casillas del horario'!$A$4:$A$73,MATCH("Aula 10-4"&amp;"|"&amp;$A7&amp;"|"&amp;B$3,'Casillas del horario'!$T$4:$T$73,0))),""))</f>
        <v/>
      </c>
      <c r="C7" s="3">
        <f>IF(COUNTIF('Casillas del horario'!$T$4:$T$73,"Aula 10-4"&amp;"|"&amp;$A7&amp;"|"&amp;C$3)&gt;1,IFERROR(IF(INDEX('Casillas del horario'!$A$4:$A$73,MATCH("Aula 10-4"&amp;"|"&amp;$A7&amp;"|"&amp;C$3,'Casillas del horario'!$T$4:$T$73,0))="","",INDEX('Casillas del horario'!$A$4:$A$73,MATCH("Aula 10-4"&amp;"|"&amp;$A7&amp;"|"&amp;C$3,'Casillas del horario'!$T$4:$T$73,0))),"")&amp;" (+"&amp;(COUNTIF('Casillas del horario'!$T$4:$T$73,"Aula 10-4"&amp;"|"&amp;$A7&amp;"|"&amp;C$3)-1)&amp;")",IFERROR(IF(INDEX('Casillas del horario'!$A$4:$A$73,MATCH("Aula 10-4"&amp;"|"&amp;$A7&amp;"|"&amp;C$3,'Casillas del horario'!$T$4:$T$73,0))="","",INDEX('Casillas del horario'!$A$4:$A$73,MATCH("Aula 10-4"&amp;"|"&amp;$A7&amp;"|"&amp;C$3,'Casillas del horario'!$T$4:$T$73,0))),""))</f>
        <v/>
      </c>
      <c r="D7" s="3">
        <f>IF(COUNTIF('Casillas del horario'!$T$4:$T$73,"Aula 10-4"&amp;"|"&amp;$A7&amp;"|"&amp;D$3)&gt;1,IFERROR(IF(INDEX('Casillas del horario'!$A$4:$A$73,MATCH("Aula 10-4"&amp;"|"&amp;$A7&amp;"|"&amp;D$3,'Casillas del horario'!$T$4:$T$73,0))="","",INDEX('Casillas del horario'!$A$4:$A$73,MATCH("Aula 10-4"&amp;"|"&amp;$A7&amp;"|"&amp;D$3,'Casillas del horario'!$T$4:$T$73,0))),"")&amp;" (+"&amp;(COUNTIF('Casillas del horario'!$T$4:$T$73,"Aula 10-4"&amp;"|"&amp;$A7&amp;"|"&amp;D$3)-1)&amp;")",IFERROR(IF(INDEX('Casillas del horario'!$A$4:$A$73,MATCH("Aula 10-4"&amp;"|"&amp;$A7&amp;"|"&amp;D$3,'Casillas del horario'!$T$4:$T$73,0))="","",INDEX('Casillas del horario'!$A$4:$A$73,MATCH("Aula 10-4"&amp;"|"&amp;$A7&amp;"|"&amp;D$3,'Casillas del horario'!$T$4:$T$73,0))),""))</f>
        <v/>
      </c>
      <c r="E7" s="3">
        <f>IF(COUNTIF('Casillas del horario'!$T$4:$T$73,"Aula 10-4"&amp;"|"&amp;$A7&amp;"|"&amp;E$3)&gt;1,IFERROR(IF(INDEX('Casillas del horario'!$A$4:$A$73,MATCH("Aula 10-4"&amp;"|"&amp;$A7&amp;"|"&amp;E$3,'Casillas del horario'!$T$4:$T$73,0))="","",INDEX('Casillas del horario'!$A$4:$A$73,MATCH("Aula 10-4"&amp;"|"&amp;$A7&amp;"|"&amp;E$3,'Casillas del horario'!$T$4:$T$73,0))),"")&amp;" (+"&amp;(COUNTIF('Casillas del horario'!$T$4:$T$73,"Aula 10-4"&amp;"|"&amp;$A7&amp;"|"&amp;E$3)-1)&amp;")",IFERROR(IF(INDEX('Casillas del horario'!$A$4:$A$73,MATCH("Aula 10-4"&amp;"|"&amp;$A7&amp;"|"&amp;E$3,'Casillas del horario'!$T$4:$T$73,0))="","",INDEX('Casillas del horario'!$A$4:$A$73,MATCH("Aula 10-4"&amp;"|"&amp;$A7&amp;"|"&amp;E$3,'Casillas del horario'!$T$4:$T$73,0))),""))</f>
        <v/>
      </c>
      <c r="F7" s="3">
        <f>IF(COUNTIF('Casillas del horario'!$T$4:$T$73,"Aula 10-4"&amp;"|"&amp;$A7&amp;"|"&amp;F$3)&gt;1,IFERROR(IF(INDEX('Casillas del horario'!$A$4:$A$73,MATCH("Aula 10-4"&amp;"|"&amp;$A7&amp;"|"&amp;F$3,'Casillas del horario'!$T$4:$T$73,0))="","",INDEX('Casillas del horario'!$A$4:$A$73,MATCH("Aula 10-4"&amp;"|"&amp;$A7&amp;"|"&amp;F$3,'Casillas del horario'!$T$4:$T$73,0))),"")&amp;" (+"&amp;(COUNTIF('Casillas del horario'!$T$4:$T$73,"Aula 10-4"&amp;"|"&amp;$A7&amp;"|"&amp;F$3)-1)&amp;")",IFERROR(IF(INDEX('Casillas del horario'!$A$4:$A$73,MATCH("Aula 10-4"&amp;"|"&amp;$A7&amp;"|"&amp;F$3,'Casillas del horario'!$T$4:$T$73,0))="","",INDEX('Casillas del horario'!$A$4:$A$73,MATCH("Aula 10-4"&amp;"|"&amp;$A7&amp;"|"&amp;F$3,'Casillas del horario'!$T$4:$T$73,0))),""))</f>
        <v/>
      </c>
    </row>
    <row r="8">
      <c r="A8" s="3" t="n">
        <v>5</v>
      </c>
      <c r="B8" s="3">
        <f>IF(COUNTIF('Casillas del horario'!$T$4:$T$73,"Aula 10-4"&amp;"|"&amp;$A8&amp;"|"&amp;B$3)&gt;1,IFERROR(IF(INDEX('Casillas del horario'!$A$4:$A$73,MATCH("Aula 10-4"&amp;"|"&amp;$A8&amp;"|"&amp;B$3,'Casillas del horario'!$T$4:$T$73,0))="","",INDEX('Casillas del horario'!$A$4:$A$73,MATCH("Aula 10-4"&amp;"|"&amp;$A8&amp;"|"&amp;B$3,'Casillas del horario'!$T$4:$T$73,0))),"")&amp;" (+"&amp;(COUNTIF('Casillas del horario'!$T$4:$T$73,"Aula 10-4"&amp;"|"&amp;$A8&amp;"|"&amp;B$3)-1)&amp;")",IFERROR(IF(INDEX('Casillas del horario'!$A$4:$A$73,MATCH("Aula 10-4"&amp;"|"&amp;$A8&amp;"|"&amp;B$3,'Casillas del horario'!$T$4:$T$73,0))="","",INDEX('Casillas del horario'!$A$4:$A$73,MATCH("Aula 10-4"&amp;"|"&amp;$A8&amp;"|"&amp;B$3,'Casillas del horario'!$T$4:$T$73,0))),""))</f>
        <v/>
      </c>
      <c r="C8" s="3">
        <f>IF(COUNTIF('Casillas del horario'!$T$4:$T$73,"Aula 10-4"&amp;"|"&amp;$A8&amp;"|"&amp;C$3)&gt;1,IFERROR(IF(INDEX('Casillas del horario'!$A$4:$A$73,MATCH("Aula 10-4"&amp;"|"&amp;$A8&amp;"|"&amp;C$3,'Casillas del horario'!$T$4:$T$73,0))="","",INDEX('Casillas del horario'!$A$4:$A$73,MATCH("Aula 10-4"&amp;"|"&amp;$A8&amp;"|"&amp;C$3,'Casillas del horario'!$T$4:$T$73,0))),"")&amp;" (+"&amp;(COUNTIF('Casillas del horario'!$T$4:$T$73,"Aula 10-4"&amp;"|"&amp;$A8&amp;"|"&amp;C$3)-1)&amp;")",IFERROR(IF(INDEX('Casillas del horario'!$A$4:$A$73,MATCH("Aula 10-4"&amp;"|"&amp;$A8&amp;"|"&amp;C$3,'Casillas del horario'!$T$4:$T$73,0))="","",INDEX('Casillas del horario'!$A$4:$A$73,MATCH("Aula 10-4"&amp;"|"&amp;$A8&amp;"|"&amp;C$3,'Casillas del horario'!$T$4:$T$73,0))),""))</f>
        <v/>
      </c>
      <c r="D8" s="3">
        <f>IF(COUNTIF('Casillas del horario'!$T$4:$T$73,"Aula 10-4"&amp;"|"&amp;$A8&amp;"|"&amp;D$3)&gt;1,IFERROR(IF(INDEX('Casillas del horario'!$A$4:$A$73,MATCH("Aula 10-4"&amp;"|"&amp;$A8&amp;"|"&amp;D$3,'Casillas del horario'!$T$4:$T$73,0))="","",INDEX('Casillas del horario'!$A$4:$A$73,MATCH("Aula 10-4"&amp;"|"&amp;$A8&amp;"|"&amp;D$3,'Casillas del horario'!$T$4:$T$73,0))),"")&amp;" (+"&amp;(COUNTIF('Casillas del horario'!$T$4:$T$73,"Aula 10-4"&amp;"|"&amp;$A8&amp;"|"&amp;D$3)-1)&amp;")",IFERROR(IF(INDEX('Casillas del horario'!$A$4:$A$73,MATCH("Aula 10-4"&amp;"|"&amp;$A8&amp;"|"&amp;D$3,'Casillas del horario'!$T$4:$T$73,0))="","",INDEX('Casillas del horario'!$A$4:$A$73,MATCH("Aula 10-4"&amp;"|"&amp;$A8&amp;"|"&amp;D$3,'Casillas del horario'!$T$4:$T$73,0))),""))</f>
        <v/>
      </c>
      <c r="E8" s="3">
        <f>IF(COUNTIF('Casillas del horario'!$T$4:$T$73,"Aula 10-4"&amp;"|"&amp;$A8&amp;"|"&amp;E$3)&gt;1,IFERROR(IF(INDEX('Casillas del horario'!$A$4:$A$73,MATCH("Aula 10-4"&amp;"|"&amp;$A8&amp;"|"&amp;E$3,'Casillas del horario'!$T$4:$T$73,0))="","",INDEX('Casillas del horario'!$A$4:$A$73,MATCH("Aula 10-4"&amp;"|"&amp;$A8&amp;"|"&amp;E$3,'Casillas del horario'!$T$4:$T$73,0))),"")&amp;" (+"&amp;(COUNTIF('Casillas del horario'!$T$4:$T$73,"Aula 10-4"&amp;"|"&amp;$A8&amp;"|"&amp;E$3)-1)&amp;")",IFERROR(IF(INDEX('Casillas del horario'!$A$4:$A$73,MATCH("Aula 10-4"&amp;"|"&amp;$A8&amp;"|"&amp;E$3,'Casillas del horario'!$T$4:$T$73,0))="","",INDEX('Casillas del horario'!$A$4:$A$73,MATCH("Aula 10-4"&amp;"|"&amp;$A8&amp;"|"&amp;E$3,'Casillas del horario'!$T$4:$T$73,0))),""))</f>
        <v/>
      </c>
      <c r="F8" s="3">
        <f>IF(COUNTIF('Casillas del horario'!$T$4:$T$73,"Aula 10-4"&amp;"|"&amp;$A8&amp;"|"&amp;F$3)&gt;1,IFERROR(IF(INDEX('Casillas del horario'!$A$4:$A$73,MATCH("Aula 10-4"&amp;"|"&amp;$A8&amp;"|"&amp;F$3,'Casillas del horario'!$T$4:$T$73,0))="","",INDEX('Casillas del horario'!$A$4:$A$73,MATCH("Aula 10-4"&amp;"|"&amp;$A8&amp;"|"&amp;F$3,'Casillas del horario'!$T$4:$T$73,0))),"")&amp;" (+"&amp;(COUNTIF('Casillas del horario'!$T$4:$T$73,"Aula 10-4"&amp;"|"&amp;$A8&amp;"|"&amp;F$3)-1)&amp;")",IFERROR(IF(INDEX('Casillas del horario'!$A$4:$A$73,MATCH("Aula 10-4"&amp;"|"&amp;$A8&amp;"|"&amp;F$3,'Casillas del horario'!$T$4:$T$73,0))="","",INDEX('Casillas del horario'!$A$4:$A$73,MATCH("Aula 10-4"&amp;"|"&amp;$A8&amp;"|"&amp;F$3,'Casillas del horario'!$T$4:$T$73,0))),""))</f>
        <v/>
      </c>
    </row>
    <row r="9">
      <c r="A9" s="3" t="n">
        <v>6</v>
      </c>
      <c r="B9" s="3">
        <f>IF(COUNTIF('Casillas del horario'!$T$4:$T$73,"Aula 10-4"&amp;"|"&amp;$A9&amp;"|"&amp;B$3)&gt;1,IFERROR(IF(INDEX('Casillas del horario'!$A$4:$A$73,MATCH("Aula 10-4"&amp;"|"&amp;$A9&amp;"|"&amp;B$3,'Casillas del horario'!$T$4:$T$73,0))="","",INDEX('Casillas del horario'!$A$4:$A$73,MATCH("Aula 10-4"&amp;"|"&amp;$A9&amp;"|"&amp;B$3,'Casillas del horario'!$T$4:$T$73,0))),"")&amp;" (+"&amp;(COUNTIF('Casillas del horario'!$T$4:$T$73,"Aula 10-4"&amp;"|"&amp;$A9&amp;"|"&amp;B$3)-1)&amp;")",IFERROR(IF(INDEX('Casillas del horario'!$A$4:$A$73,MATCH("Aula 10-4"&amp;"|"&amp;$A9&amp;"|"&amp;B$3,'Casillas del horario'!$T$4:$T$73,0))="","",INDEX('Casillas del horario'!$A$4:$A$73,MATCH("Aula 10-4"&amp;"|"&amp;$A9&amp;"|"&amp;B$3,'Casillas del horario'!$T$4:$T$73,0))),""))</f>
        <v/>
      </c>
      <c r="C9" s="3">
        <f>IF(COUNTIF('Casillas del horario'!$T$4:$T$73,"Aula 10-4"&amp;"|"&amp;$A9&amp;"|"&amp;C$3)&gt;1,IFERROR(IF(INDEX('Casillas del horario'!$A$4:$A$73,MATCH("Aula 10-4"&amp;"|"&amp;$A9&amp;"|"&amp;C$3,'Casillas del horario'!$T$4:$T$73,0))="","",INDEX('Casillas del horario'!$A$4:$A$73,MATCH("Aula 10-4"&amp;"|"&amp;$A9&amp;"|"&amp;C$3,'Casillas del horario'!$T$4:$T$73,0))),"")&amp;" (+"&amp;(COUNTIF('Casillas del horario'!$T$4:$T$73,"Aula 10-4"&amp;"|"&amp;$A9&amp;"|"&amp;C$3)-1)&amp;")",IFERROR(IF(INDEX('Casillas del horario'!$A$4:$A$73,MATCH("Aula 10-4"&amp;"|"&amp;$A9&amp;"|"&amp;C$3,'Casillas del horario'!$T$4:$T$73,0))="","",INDEX('Casillas del horario'!$A$4:$A$73,MATCH("Aula 10-4"&amp;"|"&amp;$A9&amp;"|"&amp;C$3,'Casillas del horario'!$T$4:$T$73,0))),""))</f>
        <v/>
      </c>
      <c r="D9" s="3">
        <f>IF(COUNTIF('Casillas del horario'!$T$4:$T$73,"Aula 10-4"&amp;"|"&amp;$A9&amp;"|"&amp;D$3)&gt;1,IFERROR(IF(INDEX('Casillas del horario'!$A$4:$A$73,MATCH("Aula 10-4"&amp;"|"&amp;$A9&amp;"|"&amp;D$3,'Casillas del horario'!$T$4:$T$73,0))="","",INDEX('Casillas del horario'!$A$4:$A$73,MATCH("Aula 10-4"&amp;"|"&amp;$A9&amp;"|"&amp;D$3,'Casillas del horario'!$T$4:$T$73,0))),"")&amp;" (+"&amp;(COUNTIF('Casillas del horario'!$T$4:$T$73,"Aula 10-4"&amp;"|"&amp;$A9&amp;"|"&amp;D$3)-1)&amp;")",IFERROR(IF(INDEX('Casillas del horario'!$A$4:$A$73,MATCH("Aula 10-4"&amp;"|"&amp;$A9&amp;"|"&amp;D$3,'Casillas del horario'!$T$4:$T$73,0))="","",INDEX('Casillas del horario'!$A$4:$A$73,MATCH("Aula 10-4"&amp;"|"&amp;$A9&amp;"|"&amp;D$3,'Casillas del horario'!$T$4:$T$73,0))),""))</f>
        <v/>
      </c>
      <c r="E9" s="3">
        <f>IF(COUNTIF('Casillas del horario'!$T$4:$T$73,"Aula 10-4"&amp;"|"&amp;$A9&amp;"|"&amp;E$3)&gt;1,IFERROR(IF(INDEX('Casillas del horario'!$A$4:$A$73,MATCH("Aula 10-4"&amp;"|"&amp;$A9&amp;"|"&amp;E$3,'Casillas del horario'!$T$4:$T$73,0))="","",INDEX('Casillas del horario'!$A$4:$A$73,MATCH("Aula 10-4"&amp;"|"&amp;$A9&amp;"|"&amp;E$3,'Casillas del horario'!$T$4:$T$73,0))),"")&amp;" (+"&amp;(COUNTIF('Casillas del horario'!$T$4:$T$73,"Aula 10-4"&amp;"|"&amp;$A9&amp;"|"&amp;E$3)-1)&amp;")",IFERROR(IF(INDEX('Casillas del horario'!$A$4:$A$73,MATCH("Aula 10-4"&amp;"|"&amp;$A9&amp;"|"&amp;E$3,'Casillas del horario'!$T$4:$T$73,0))="","",INDEX('Casillas del horario'!$A$4:$A$73,MATCH("Aula 10-4"&amp;"|"&amp;$A9&amp;"|"&amp;E$3,'Casillas del horario'!$T$4:$T$73,0))),""))</f>
        <v/>
      </c>
      <c r="F9" s="3">
        <f>IF(COUNTIF('Casillas del horario'!$T$4:$T$73,"Aula 10-4"&amp;"|"&amp;$A9&amp;"|"&amp;F$3)&gt;1,IFERROR(IF(INDEX('Casillas del horario'!$A$4:$A$73,MATCH("Aula 10-4"&amp;"|"&amp;$A9&amp;"|"&amp;F$3,'Casillas del horario'!$T$4:$T$73,0))="","",INDEX('Casillas del horario'!$A$4:$A$73,MATCH("Aula 10-4"&amp;"|"&amp;$A9&amp;"|"&amp;F$3,'Casillas del horario'!$T$4:$T$73,0))),"")&amp;" (+"&amp;(COUNTIF('Casillas del horario'!$T$4:$T$73,"Aula 10-4"&amp;"|"&amp;$A9&amp;"|"&amp;F$3)-1)&amp;")",IFERROR(IF(INDEX('Casillas del horario'!$A$4:$A$73,MATCH("Aula 10-4"&amp;"|"&amp;$A9&amp;"|"&amp;F$3,'Casillas del horario'!$T$4:$T$73,0))="","",INDEX('Casillas del horario'!$A$4:$A$73,MATCH("Aula 10-4"&amp;"|"&amp;$A9&amp;"|"&amp;F$3,'Casillas del horario'!$T$4:$T$73,0))),""))</f>
        <v/>
      </c>
    </row>
    <row r="10">
      <c r="A10" s="3" t="n">
        <v>7</v>
      </c>
      <c r="B10" s="3">
        <f>IF(COUNTIF('Casillas del horario'!$T$4:$T$73,"Aula 10-4"&amp;"|"&amp;$A10&amp;"|"&amp;B$3)&gt;1,IFERROR(IF(INDEX('Casillas del horario'!$A$4:$A$73,MATCH("Aula 10-4"&amp;"|"&amp;$A10&amp;"|"&amp;B$3,'Casillas del horario'!$T$4:$T$73,0))="","",INDEX('Casillas del horario'!$A$4:$A$73,MATCH("Aula 10-4"&amp;"|"&amp;$A10&amp;"|"&amp;B$3,'Casillas del horario'!$T$4:$T$73,0))),"")&amp;" (+"&amp;(COUNTIF('Casillas del horario'!$T$4:$T$73,"Aula 10-4"&amp;"|"&amp;$A10&amp;"|"&amp;B$3)-1)&amp;")",IFERROR(IF(INDEX('Casillas del horario'!$A$4:$A$73,MATCH("Aula 10-4"&amp;"|"&amp;$A10&amp;"|"&amp;B$3,'Casillas del horario'!$T$4:$T$73,0))="","",INDEX('Casillas del horario'!$A$4:$A$73,MATCH("Aula 10-4"&amp;"|"&amp;$A10&amp;"|"&amp;B$3,'Casillas del horario'!$T$4:$T$73,0))),""))</f>
        <v/>
      </c>
      <c r="C10" s="3">
        <f>IF(COUNTIF('Casillas del horario'!$T$4:$T$73,"Aula 10-4"&amp;"|"&amp;$A10&amp;"|"&amp;C$3)&gt;1,IFERROR(IF(INDEX('Casillas del horario'!$A$4:$A$73,MATCH("Aula 10-4"&amp;"|"&amp;$A10&amp;"|"&amp;C$3,'Casillas del horario'!$T$4:$T$73,0))="","",INDEX('Casillas del horario'!$A$4:$A$73,MATCH("Aula 10-4"&amp;"|"&amp;$A10&amp;"|"&amp;C$3,'Casillas del horario'!$T$4:$T$73,0))),"")&amp;" (+"&amp;(COUNTIF('Casillas del horario'!$T$4:$T$73,"Aula 10-4"&amp;"|"&amp;$A10&amp;"|"&amp;C$3)-1)&amp;")",IFERROR(IF(INDEX('Casillas del horario'!$A$4:$A$73,MATCH("Aula 10-4"&amp;"|"&amp;$A10&amp;"|"&amp;C$3,'Casillas del horario'!$T$4:$T$73,0))="","",INDEX('Casillas del horario'!$A$4:$A$73,MATCH("Aula 10-4"&amp;"|"&amp;$A10&amp;"|"&amp;C$3,'Casillas del horario'!$T$4:$T$73,0))),""))</f>
        <v/>
      </c>
      <c r="D10" s="3">
        <f>IF(COUNTIF('Casillas del horario'!$T$4:$T$73,"Aula 10-4"&amp;"|"&amp;$A10&amp;"|"&amp;D$3)&gt;1,IFERROR(IF(INDEX('Casillas del horario'!$A$4:$A$73,MATCH("Aula 10-4"&amp;"|"&amp;$A10&amp;"|"&amp;D$3,'Casillas del horario'!$T$4:$T$73,0))="","",INDEX('Casillas del horario'!$A$4:$A$73,MATCH("Aula 10-4"&amp;"|"&amp;$A10&amp;"|"&amp;D$3,'Casillas del horario'!$T$4:$T$73,0))),"")&amp;" (+"&amp;(COUNTIF('Casillas del horario'!$T$4:$T$73,"Aula 10-4"&amp;"|"&amp;$A10&amp;"|"&amp;D$3)-1)&amp;")",IFERROR(IF(INDEX('Casillas del horario'!$A$4:$A$73,MATCH("Aula 10-4"&amp;"|"&amp;$A10&amp;"|"&amp;D$3,'Casillas del horario'!$T$4:$T$73,0))="","",INDEX('Casillas del horario'!$A$4:$A$73,MATCH("Aula 10-4"&amp;"|"&amp;$A10&amp;"|"&amp;D$3,'Casillas del horario'!$T$4:$T$73,0))),""))</f>
        <v/>
      </c>
      <c r="E10" s="3">
        <f>IF(COUNTIF('Casillas del horario'!$T$4:$T$73,"Aula 10-4"&amp;"|"&amp;$A10&amp;"|"&amp;E$3)&gt;1,IFERROR(IF(INDEX('Casillas del horario'!$A$4:$A$73,MATCH("Aula 10-4"&amp;"|"&amp;$A10&amp;"|"&amp;E$3,'Casillas del horario'!$T$4:$T$73,0))="","",INDEX('Casillas del horario'!$A$4:$A$73,MATCH("Aula 10-4"&amp;"|"&amp;$A10&amp;"|"&amp;E$3,'Casillas del horario'!$T$4:$T$73,0))),"")&amp;" (+"&amp;(COUNTIF('Casillas del horario'!$T$4:$T$73,"Aula 10-4"&amp;"|"&amp;$A10&amp;"|"&amp;E$3)-1)&amp;")",IFERROR(IF(INDEX('Casillas del horario'!$A$4:$A$73,MATCH("Aula 10-4"&amp;"|"&amp;$A10&amp;"|"&amp;E$3,'Casillas del horario'!$T$4:$T$73,0))="","",INDEX('Casillas del horario'!$A$4:$A$73,MATCH("Aula 10-4"&amp;"|"&amp;$A10&amp;"|"&amp;E$3,'Casillas del horario'!$T$4:$T$73,0))),""))</f>
        <v/>
      </c>
      <c r="F10" s="3">
        <f>IF(COUNTIF('Casillas del horario'!$T$4:$T$73,"Aula 10-4"&amp;"|"&amp;$A10&amp;"|"&amp;F$3)&gt;1,IFERROR(IF(INDEX('Casillas del horario'!$A$4:$A$73,MATCH("Aula 10-4"&amp;"|"&amp;$A10&amp;"|"&amp;F$3,'Casillas del horario'!$T$4:$T$73,0))="","",INDEX('Casillas del horario'!$A$4:$A$73,MATCH("Aula 10-4"&amp;"|"&amp;$A10&amp;"|"&amp;F$3,'Casillas del horario'!$T$4:$T$73,0))),"")&amp;" (+"&amp;(COUNTIF('Casillas del horario'!$T$4:$T$73,"Aula 10-4"&amp;"|"&amp;$A10&amp;"|"&amp;F$3)-1)&amp;")",IFERROR(IF(INDEX('Casillas del horario'!$A$4:$A$73,MATCH("Aula 10-4"&amp;"|"&amp;$A10&amp;"|"&amp;F$3,'Casillas del horario'!$T$4:$T$73,0))="","",INDEX('Casillas del horario'!$A$4:$A$73,MATCH("Aula 10-4"&amp;"|"&amp;$A10&amp;"|"&amp;F$3,'Casillas del horario'!$T$4:$T$73,0))),""))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tabColor rgb="004472C4"/>
    <outlinePr summaryBelow="1" summaryRight="1"/>
    <pageSetUpPr/>
  </sheetPr>
  <dimension ref="A1:T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42" customWidth="1" min="5" max="5"/>
    <col width="19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19" customWidth="1" min="15" max="15"/>
    <col width="42" customWidth="1" min="16" max="16"/>
    <col width="42" customWidth="1" min="17" max="17"/>
    <col width="26" customWidth="1" min="18" max="18"/>
    <col width="29" customWidth="1" min="19" max="19"/>
    <col width="26" customWidth="1" min="20" max="20"/>
  </cols>
  <sheetData>
    <row r="1">
      <c r="A1" s="1" t="inlineStr">
        <is>
          <t>Casillas del horario</t>
        </is>
      </c>
    </row>
    <row r="3">
      <c r="A3" s="2" t="inlineStr">
        <is>
          <t>Grupo</t>
        </is>
      </c>
      <c r="B3" s="2" t="inlineStr">
        <is>
          <t>Dia</t>
        </is>
      </c>
      <c r="C3" s="2" t="inlineStr">
        <is>
          <t>Turno</t>
        </is>
      </c>
      <c r="D3" s="2" t="inlineStr">
        <is>
          <t>Asignatura</t>
        </is>
      </c>
      <c r="E3" s="2" t="inlineStr">
        <is>
          <t>Nombre</t>
        </is>
      </c>
      <c r="F3" s="2" t="inlineStr">
        <is>
          <t>Grupo#Asignatura</t>
        </is>
      </c>
      <c r="G3" s="2" t="inlineStr">
        <is>
          <t>Profesor</t>
        </is>
      </c>
      <c r="H3" s="2" t="inlineStr">
        <is>
          <t>Local de la asignatura</t>
        </is>
      </c>
      <c r="I3" s="2" t="inlineStr">
        <is>
          <t>Aula</t>
        </is>
      </c>
      <c r="J3" s="2" t="inlineStr">
        <is>
          <t>Turno doble</t>
        </is>
      </c>
      <c r="K3" s="2" t="inlineStr">
        <is>
          <t>Admite tarde</t>
        </is>
      </c>
      <c r="L3" s="2" t="inlineStr">
        <is>
          <t>Dia de preparacion</t>
        </is>
      </c>
      <c r="M3" s="2" t="inlineStr">
        <is>
          <t>Contratado</t>
        </is>
      </c>
      <c r="N3" s="2" t="inlineStr">
        <is>
          <t>Vive lejos</t>
        </is>
      </c>
      <c r="O3" s="2" t="inlineStr">
        <is>
          <t>Profesor#Dia</t>
        </is>
      </c>
      <c r="P3" s="2" t="inlineStr">
        <is>
          <t>Asiste hoy</t>
        </is>
      </c>
      <c r="Q3" s="2" t="inlineStr">
        <is>
          <t>Repite mal el dia</t>
        </is>
      </c>
      <c r="R3" s="2" t="inlineStr">
        <is>
          <t>(clave grupo|turno|dia)</t>
        </is>
      </c>
      <c r="S3" s="2" t="inlineStr">
        <is>
          <t>(clave profesor|turno|dia)</t>
        </is>
      </c>
      <c r="T3" s="2" t="inlineStr">
        <is>
          <t>(clave aula|turno|dia)</t>
        </is>
      </c>
    </row>
    <row r="4">
      <c r="A4" s="3" t="inlineStr">
        <is>
          <t>10-3</t>
        </is>
      </c>
      <c r="B4" s="3" t="inlineStr">
        <is>
          <t>L</t>
        </is>
      </c>
      <c r="C4" s="3" t="n">
        <v>1</v>
      </c>
      <c r="D4" s="4" t="inlineStr">
        <is>
          <t>EF</t>
        </is>
      </c>
      <c r="E4" s="3">
        <f>IFERROR(VLOOKUP($D4,Asignaturas!$A$4:$G$18,2,FALSE),"")</f>
        <v/>
      </c>
      <c r="F4" s="3">
        <f>($A4&amp;"#"&amp;$D4)</f>
        <v/>
      </c>
      <c r="G4" s="3">
        <f>IFERROR(VLOOKUP($F4,'Plan por grupo'!$A$4:$H$33,4,FALSE),"")</f>
        <v/>
      </c>
      <c r="H4" s="3">
        <f>IFERROR(VLOOKUP($D4,Asignaturas!$A$4:$G$18,7,FALSE),"")</f>
        <v/>
      </c>
      <c r="I4" s="3">
        <f>IF(($D4=""),"",IF(($H4=""),("Aula "&amp;$A4),$H4))</f>
        <v/>
      </c>
      <c r="J4" s="3">
        <f>IFERROR(VLOOKUP($D4,Asignaturas!$A$4:$G$18,4,FALSE),"no")</f>
        <v/>
      </c>
      <c r="K4" s="3">
        <f>IFERROR(VLOOKUP($D4,Asignaturas!$A$4:$G$18,5,FALSE),"no")</f>
        <v/>
      </c>
      <c r="L4" s="3">
        <f>IFERROR(VLOOKUP($D4,Asignaturas!$A$4:$G$18,6,FALSE),"")</f>
        <v/>
      </c>
      <c r="M4" s="3">
        <f>IFERROR(VLOOKUP($G4,Profesores!$A$4:$C$33,2,FALSE),"no")</f>
        <v/>
      </c>
      <c r="N4" s="3">
        <f>IFERROR(VLOOKUP($G4,Profesores!$A$4:$C$33,3,FALSE),"no")</f>
        <v/>
      </c>
      <c r="O4" s="3">
        <f>($G4&amp;"#"&amp;$B4)</f>
        <v/>
      </c>
      <c r="P4" s="3">
        <f>IFERROR(VLOOKUP($O4,'Dias que asisten los contratados'!$A$4:$D$4,4,FALSE),"no")</f>
        <v/>
      </c>
      <c r="Q4" s="3">
        <f>IF(AND(NOT(($D4="")),(SUMPRODUCT((((($J4="no"))+(('Casillas del horario'!$C$4:$C$73&lt;&gt;($C4+1))*('Casillas del horario'!$C$4:$C$73&lt;&gt;($C4-1))))&gt;0)*('Casillas del horario'!$D$4:$D$73=$D4)*('Casillas del horario'!$B$4:$B$73=$B4)*('Casillas del horario'!$A$4:$A$73=$A4)*(ROW('Casillas del horario'!$A$4:$A$73)&lt;&gt;ROW($A4)))&gt;0)),"si","no")</f>
        <v/>
      </c>
      <c r="R4" s="3">
        <f>$A4&amp;"|"&amp;$C4&amp;"|"&amp;$B4</f>
        <v/>
      </c>
      <c r="S4" s="3">
        <f>$G4&amp;"|"&amp;$C4&amp;"|"&amp;$B4</f>
        <v/>
      </c>
      <c r="T4" s="3">
        <f>$I4&amp;"|"&amp;$C4&amp;"|"&amp;$B4</f>
        <v/>
      </c>
    </row>
    <row r="5">
      <c r="A5" s="3" t="inlineStr">
        <is>
          <t>10-3</t>
        </is>
      </c>
      <c r="B5" s="3" t="inlineStr">
        <is>
          <t>M</t>
        </is>
      </c>
      <c r="C5" s="3" t="n">
        <v>1</v>
      </c>
      <c r="D5" s="4" t="inlineStr">
        <is>
          <t>H</t>
        </is>
      </c>
      <c r="E5" s="3">
        <f>IFERROR(VLOOKUP($D5,Asignaturas!$A$4:$G$18,2,FALSE),"")</f>
        <v/>
      </c>
      <c r="F5" s="3">
        <f>($A5&amp;"#"&amp;$D5)</f>
        <v/>
      </c>
      <c r="G5" s="3">
        <f>IFERROR(VLOOKUP($F5,'Plan por grupo'!$A$4:$H$33,4,FALSE),"")</f>
        <v/>
      </c>
      <c r="H5" s="3">
        <f>IFERROR(VLOOKUP($D5,Asignaturas!$A$4:$G$18,7,FALSE),"")</f>
        <v/>
      </c>
      <c r="I5" s="3">
        <f>IF(($D5=""),"",IF(($H5=""),("Aula "&amp;$A5),$H5))</f>
        <v/>
      </c>
      <c r="J5" s="3">
        <f>IFERROR(VLOOKUP($D5,Asignaturas!$A$4:$G$18,4,FALSE),"no")</f>
        <v/>
      </c>
      <c r="K5" s="3">
        <f>IFERROR(VLOOKUP($D5,Asignaturas!$A$4:$G$18,5,FALSE),"no")</f>
        <v/>
      </c>
      <c r="L5" s="3">
        <f>IFERROR(VLOOKUP($D5,Asignaturas!$A$4:$G$18,6,FALSE),"")</f>
        <v/>
      </c>
      <c r="M5" s="3">
        <f>IFERROR(VLOOKUP($G5,Profesores!$A$4:$C$33,2,FALSE),"no")</f>
        <v/>
      </c>
      <c r="N5" s="3">
        <f>IFERROR(VLOOKUP($G5,Profesores!$A$4:$C$33,3,FALSE),"no")</f>
        <v/>
      </c>
      <c r="O5" s="3">
        <f>($G5&amp;"#"&amp;$B5)</f>
        <v/>
      </c>
      <c r="P5" s="3">
        <f>IFERROR(VLOOKUP($O5,'Dias que asisten los contratados'!$A$4:$D$4,4,FALSE),"no")</f>
        <v/>
      </c>
      <c r="Q5" s="3">
        <f>IF(AND(NOT(($D5="")),(SUMPRODUCT((((($J5="no"))+(('Casillas del horario'!$C$4:$C$73&lt;&gt;($C5+1))*('Casillas del horario'!$C$4:$C$73&lt;&gt;($C5-1))))&gt;0)*('Casillas del horario'!$D$4:$D$73=$D5)*('Casillas del horario'!$B$4:$B$73=$B5)*('Casillas del horario'!$A$4:$A$73=$A5)*(ROW('Casillas del horario'!$A$4:$A$73)&lt;&gt;ROW($A5)))&gt;0)),"si","no")</f>
        <v/>
      </c>
      <c r="R5" s="3">
        <f>$A5&amp;"|"&amp;$C5&amp;"|"&amp;$B5</f>
        <v/>
      </c>
      <c r="S5" s="3">
        <f>$G5&amp;"|"&amp;$C5&amp;"|"&amp;$B5</f>
        <v/>
      </c>
      <c r="T5" s="3">
        <f>$I5&amp;"|"&amp;$C5&amp;"|"&amp;$B5</f>
        <v/>
      </c>
    </row>
    <row r="6">
      <c r="A6" s="3" t="inlineStr">
        <is>
          <t>10-3</t>
        </is>
      </c>
      <c r="B6" s="3" t="inlineStr">
        <is>
          <t>MI</t>
        </is>
      </c>
      <c r="C6" s="3" t="n">
        <v>1</v>
      </c>
      <c r="D6" s="4" t="inlineStr">
        <is>
          <t>EF</t>
        </is>
      </c>
      <c r="E6" s="3">
        <f>IFERROR(VLOOKUP($D6,Asignaturas!$A$4:$G$18,2,FALSE),"")</f>
        <v/>
      </c>
      <c r="F6" s="3">
        <f>($A6&amp;"#"&amp;$D6)</f>
        <v/>
      </c>
      <c r="G6" s="3">
        <f>IFERROR(VLOOKUP($F6,'Plan por grupo'!$A$4:$H$33,4,FALSE),"")</f>
        <v/>
      </c>
      <c r="H6" s="3">
        <f>IFERROR(VLOOKUP($D6,Asignaturas!$A$4:$G$18,7,FALSE),"")</f>
        <v/>
      </c>
      <c r="I6" s="3">
        <f>IF(($D6=""),"",IF(($H6=""),("Aula "&amp;$A6),$H6))</f>
        <v/>
      </c>
      <c r="J6" s="3">
        <f>IFERROR(VLOOKUP($D6,Asignaturas!$A$4:$G$18,4,FALSE),"no")</f>
        <v/>
      </c>
      <c r="K6" s="3">
        <f>IFERROR(VLOOKUP($D6,Asignaturas!$A$4:$G$18,5,FALSE),"no")</f>
        <v/>
      </c>
      <c r="L6" s="3">
        <f>IFERROR(VLOOKUP($D6,Asignaturas!$A$4:$G$18,6,FALSE),"")</f>
        <v/>
      </c>
      <c r="M6" s="3">
        <f>IFERROR(VLOOKUP($G6,Profesores!$A$4:$C$33,2,FALSE),"no")</f>
        <v/>
      </c>
      <c r="N6" s="3">
        <f>IFERROR(VLOOKUP($G6,Profesores!$A$4:$C$33,3,FALSE),"no")</f>
        <v/>
      </c>
      <c r="O6" s="3">
        <f>($G6&amp;"#"&amp;$B6)</f>
        <v/>
      </c>
      <c r="P6" s="3">
        <f>IFERROR(VLOOKUP($O6,'Dias que asisten los contratados'!$A$4:$D$4,4,FALSE),"no")</f>
        <v/>
      </c>
      <c r="Q6" s="3">
        <f>IF(AND(NOT(($D6="")),(SUMPRODUCT((((($J6="no"))+(('Casillas del horario'!$C$4:$C$73&lt;&gt;($C6+1))*('Casillas del horario'!$C$4:$C$73&lt;&gt;($C6-1))))&gt;0)*('Casillas del horario'!$D$4:$D$73=$D6)*('Casillas del horario'!$B$4:$B$73=$B6)*('Casillas del horario'!$A$4:$A$73=$A6)*(ROW('Casillas del horario'!$A$4:$A$73)&lt;&gt;ROW($A6)))&gt;0)),"si","no")</f>
        <v/>
      </c>
      <c r="R6" s="3">
        <f>$A6&amp;"|"&amp;$C6&amp;"|"&amp;$B6</f>
        <v/>
      </c>
      <c r="S6" s="3">
        <f>$G6&amp;"|"&amp;$C6&amp;"|"&amp;$B6</f>
        <v/>
      </c>
      <c r="T6" s="3">
        <f>$I6&amp;"|"&amp;$C6&amp;"|"&amp;$B6</f>
        <v/>
      </c>
    </row>
    <row r="7">
      <c r="A7" s="3" t="inlineStr">
        <is>
          <t>10-3</t>
        </is>
      </c>
      <c r="B7" s="3" t="inlineStr">
        <is>
          <t>J</t>
        </is>
      </c>
      <c r="C7" s="3" t="n">
        <v>1</v>
      </c>
      <c r="D7" s="4" t="inlineStr">
        <is>
          <t>INF</t>
        </is>
      </c>
      <c r="E7" s="3">
        <f>IFERROR(VLOOKUP($D7,Asignaturas!$A$4:$G$18,2,FALSE),"")</f>
        <v/>
      </c>
      <c r="F7" s="3">
        <f>($A7&amp;"#"&amp;$D7)</f>
        <v/>
      </c>
      <c r="G7" s="3">
        <f>IFERROR(VLOOKUP($F7,'Plan por grupo'!$A$4:$H$33,4,FALSE),"")</f>
        <v/>
      </c>
      <c r="H7" s="3">
        <f>IFERROR(VLOOKUP($D7,Asignaturas!$A$4:$G$18,7,FALSE),"")</f>
        <v/>
      </c>
      <c r="I7" s="3">
        <f>IF(($D7=""),"",IF(($H7=""),("Aula "&amp;$A7),$H7))</f>
        <v/>
      </c>
      <c r="J7" s="3">
        <f>IFERROR(VLOOKUP($D7,Asignaturas!$A$4:$G$18,4,FALSE),"no")</f>
        <v/>
      </c>
      <c r="K7" s="3">
        <f>IFERROR(VLOOKUP($D7,Asignaturas!$A$4:$G$18,5,FALSE),"no")</f>
        <v/>
      </c>
      <c r="L7" s="3">
        <f>IFERROR(VLOOKUP($D7,Asignaturas!$A$4:$G$18,6,FALSE),"")</f>
        <v/>
      </c>
      <c r="M7" s="3">
        <f>IFERROR(VLOOKUP($G7,Profesores!$A$4:$C$33,2,FALSE),"no")</f>
        <v/>
      </c>
      <c r="N7" s="3">
        <f>IFERROR(VLOOKUP($G7,Profesores!$A$4:$C$33,3,FALSE),"no")</f>
        <v/>
      </c>
      <c r="O7" s="3">
        <f>($G7&amp;"#"&amp;$B7)</f>
        <v/>
      </c>
      <c r="P7" s="3">
        <f>IFERROR(VLOOKUP($O7,'Dias que asisten los contratados'!$A$4:$D$4,4,FALSE),"no")</f>
        <v/>
      </c>
      <c r="Q7" s="3">
        <f>IF(AND(NOT(($D7="")),(SUMPRODUCT((((($J7="no"))+(('Casillas del horario'!$C$4:$C$73&lt;&gt;($C7+1))*('Casillas del horario'!$C$4:$C$73&lt;&gt;($C7-1))))&gt;0)*('Casillas del horario'!$D$4:$D$73=$D7)*('Casillas del horario'!$B$4:$B$73=$B7)*('Casillas del horario'!$A$4:$A$73=$A7)*(ROW('Casillas del horario'!$A$4:$A$73)&lt;&gt;ROW($A7)))&gt;0)),"si","no")</f>
        <v/>
      </c>
      <c r="R7" s="3">
        <f>$A7&amp;"|"&amp;$C7&amp;"|"&amp;$B7</f>
        <v/>
      </c>
      <c r="S7" s="3">
        <f>$G7&amp;"|"&amp;$C7&amp;"|"&amp;$B7</f>
        <v/>
      </c>
      <c r="T7" s="3">
        <f>$I7&amp;"|"&amp;$C7&amp;"|"&amp;$B7</f>
        <v/>
      </c>
    </row>
    <row r="8">
      <c r="A8" s="3" t="inlineStr">
        <is>
          <t>10-3</t>
        </is>
      </c>
      <c r="B8" s="3" t="inlineStr">
        <is>
          <t>V</t>
        </is>
      </c>
      <c r="C8" s="3" t="n">
        <v>1</v>
      </c>
      <c r="D8" s="4" t="inlineStr">
        <is>
          <t>F</t>
        </is>
      </c>
      <c r="E8" s="3">
        <f>IFERROR(VLOOKUP($D8,Asignaturas!$A$4:$G$18,2,FALSE),"")</f>
        <v/>
      </c>
      <c r="F8" s="3">
        <f>($A8&amp;"#"&amp;$D8)</f>
        <v/>
      </c>
      <c r="G8" s="3">
        <f>IFERROR(VLOOKUP($F8,'Plan por grupo'!$A$4:$H$33,4,FALSE),"")</f>
        <v/>
      </c>
      <c r="H8" s="3">
        <f>IFERROR(VLOOKUP($D8,Asignaturas!$A$4:$G$18,7,FALSE),"")</f>
        <v/>
      </c>
      <c r="I8" s="3">
        <f>IF(($D8=""),"",IF(($H8=""),("Aula "&amp;$A8),$H8))</f>
        <v/>
      </c>
      <c r="J8" s="3">
        <f>IFERROR(VLOOKUP($D8,Asignaturas!$A$4:$G$18,4,FALSE),"no")</f>
        <v/>
      </c>
      <c r="K8" s="3">
        <f>IFERROR(VLOOKUP($D8,Asignaturas!$A$4:$G$18,5,FALSE),"no")</f>
        <v/>
      </c>
      <c r="L8" s="3">
        <f>IFERROR(VLOOKUP($D8,Asignaturas!$A$4:$G$18,6,FALSE),"")</f>
        <v/>
      </c>
      <c r="M8" s="3">
        <f>IFERROR(VLOOKUP($G8,Profesores!$A$4:$C$33,2,FALSE),"no")</f>
        <v/>
      </c>
      <c r="N8" s="3">
        <f>IFERROR(VLOOKUP($G8,Profesores!$A$4:$C$33,3,FALSE),"no")</f>
        <v/>
      </c>
      <c r="O8" s="3">
        <f>($G8&amp;"#"&amp;$B8)</f>
        <v/>
      </c>
      <c r="P8" s="3">
        <f>IFERROR(VLOOKUP($O8,'Dias que asisten los contratados'!$A$4:$D$4,4,FALSE),"no")</f>
        <v/>
      </c>
      <c r="Q8" s="3">
        <f>IF(AND(NOT(($D8="")),(SUMPRODUCT((((($J8="no"))+(('Casillas del horario'!$C$4:$C$73&lt;&gt;($C8+1))*('Casillas del horario'!$C$4:$C$73&lt;&gt;($C8-1))))&gt;0)*('Casillas del horario'!$D$4:$D$73=$D8)*('Casillas del horario'!$B$4:$B$73=$B8)*('Casillas del horario'!$A$4:$A$73=$A8)*(ROW('Casillas del horario'!$A$4:$A$73)&lt;&gt;ROW($A8)))&gt;0)),"si","no")</f>
        <v/>
      </c>
      <c r="R8" s="3">
        <f>$A8&amp;"|"&amp;$C8&amp;"|"&amp;$B8</f>
        <v/>
      </c>
      <c r="S8" s="3">
        <f>$G8&amp;"|"&amp;$C8&amp;"|"&amp;$B8</f>
        <v/>
      </c>
      <c r="T8" s="3">
        <f>$I8&amp;"|"&amp;$C8&amp;"|"&amp;$B8</f>
        <v/>
      </c>
    </row>
    <row r="9">
      <c r="A9" s="3" t="inlineStr">
        <is>
          <t>10-4</t>
        </is>
      </c>
      <c r="B9" s="3" t="inlineStr">
        <is>
          <t>L</t>
        </is>
      </c>
      <c r="C9" s="3" t="n">
        <v>1</v>
      </c>
      <c r="D9" s="4" t="inlineStr">
        <is>
          <t>M</t>
        </is>
      </c>
      <c r="E9" s="3">
        <f>IFERROR(VLOOKUP($D9,Asignaturas!$A$4:$G$18,2,FALSE),"")</f>
        <v/>
      </c>
      <c r="F9" s="3">
        <f>($A9&amp;"#"&amp;$D9)</f>
        <v/>
      </c>
      <c r="G9" s="3">
        <f>IFERROR(VLOOKUP($F9,'Plan por grupo'!$A$4:$H$33,4,FALSE),"")</f>
        <v/>
      </c>
      <c r="H9" s="3">
        <f>IFERROR(VLOOKUP($D9,Asignaturas!$A$4:$G$18,7,FALSE),"")</f>
        <v/>
      </c>
      <c r="I9" s="3">
        <f>IF(($D9=""),"",IF(($H9=""),("Aula "&amp;$A9),$H9))</f>
        <v/>
      </c>
      <c r="J9" s="3">
        <f>IFERROR(VLOOKUP($D9,Asignaturas!$A$4:$G$18,4,FALSE),"no")</f>
        <v/>
      </c>
      <c r="K9" s="3">
        <f>IFERROR(VLOOKUP($D9,Asignaturas!$A$4:$G$18,5,FALSE),"no")</f>
        <v/>
      </c>
      <c r="L9" s="3">
        <f>IFERROR(VLOOKUP($D9,Asignaturas!$A$4:$G$18,6,FALSE),"")</f>
        <v/>
      </c>
      <c r="M9" s="3">
        <f>IFERROR(VLOOKUP($G9,Profesores!$A$4:$C$33,2,FALSE),"no")</f>
        <v/>
      </c>
      <c r="N9" s="3">
        <f>IFERROR(VLOOKUP($G9,Profesores!$A$4:$C$33,3,FALSE),"no")</f>
        <v/>
      </c>
      <c r="O9" s="3">
        <f>($G9&amp;"#"&amp;$B9)</f>
        <v/>
      </c>
      <c r="P9" s="3">
        <f>IFERROR(VLOOKUP($O9,'Dias que asisten los contratados'!$A$4:$D$4,4,FALSE),"no")</f>
        <v/>
      </c>
      <c r="Q9" s="3">
        <f>IF(AND(NOT(($D9="")),(SUMPRODUCT((((($J9="no"))+(('Casillas del horario'!$C$4:$C$73&lt;&gt;($C9+1))*('Casillas del horario'!$C$4:$C$73&lt;&gt;($C9-1))))&gt;0)*('Casillas del horario'!$D$4:$D$73=$D9)*('Casillas del horario'!$B$4:$B$73=$B9)*('Casillas del horario'!$A$4:$A$73=$A9)*(ROW('Casillas del horario'!$A$4:$A$73)&lt;&gt;ROW($A9)))&gt;0)),"si","no")</f>
        <v/>
      </c>
      <c r="R9" s="3">
        <f>$A9&amp;"|"&amp;$C9&amp;"|"&amp;$B9</f>
        <v/>
      </c>
      <c r="S9" s="3">
        <f>$G9&amp;"|"&amp;$C9&amp;"|"&amp;$B9</f>
        <v/>
      </c>
      <c r="T9" s="3">
        <f>$I9&amp;"|"&amp;$C9&amp;"|"&amp;$B9</f>
        <v/>
      </c>
    </row>
    <row r="10">
      <c r="A10" s="3" t="inlineStr">
        <is>
          <t>10-4</t>
        </is>
      </c>
      <c r="B10" s="3" t="inlineStr">
        <is>
          <t>M</t>
        </is>
      </c>
      <c r="C10" s="3" t="n">
        <v>1</v>
      </c>
      <c r="D10" s="4" t="inlineStr">
        <is>
          <t>Lit-L</t>
        </is>
      </c>
      <c r="E10" s="3">
        <f>IFERROR(VLOOKUP($D10,Asignaturas!$A$4:$G$18,2,FALSE),"")</f>
        <v/>
      </c>
      <c r="F10" s="3">
        <f>($A10&amp;"#"&amp;$D10)</f>
        <v/>
      </c>
      <c r="G10" s="3">
        <f>IFERROR(VLOOKUP($F10,'Plan por grupo'!$A$4:$H$33,4,FALSE),"")</f>
        <v/>
      </c>
      <c r="H10" s="3">
        <f>IFERROR(VLOOKUP($D10,Asignaturas!$A$4:$G$18,7,FALSE),"")</f>
        <v/>
      </c>
      <c r="I10" s="3">
        <f>IF(($D10=""),"",IF(($H10=""),("Aula "&amp;$A10),$H10))</f>
        <v/>
      </c>
      <c r="J10" s="3">
        <f>IFERROR(VLOOKUP($D10,Asignaturas!$A$4:$G$18,4,FALSE),"no")</f>
        <v/>
      </c>
      <c r="K10" s="3">
        <f>IFERROR(VLOOKUP($D10,Asignaturas!$A$4:$G$18,5,FALSE),"no")</f>
        <v/>
      </c>
      <c r="L10" s="3">
        <f>IFERROR(VLOOKUP($D10,Asignaturas!$A$4:$G$18,6,FALSE),"")</f>
        <v/>
      </c>
      <c r="M10" s="3">
        <f>IFERROR(VLOOKUP($G10,Profesores!$A$4:$C$33,2,FALSE),"no")</f>
        <v/>
      </c>
      <c r="N10" s="3">
        <f>IFERROR(VLOOKUP($G10,Profesores!$A$4:$C$33,3,FALSE),"no")</f>
        <v/>
      </c>
      <c r="O10" s="3">
        <f>($G10&amp;"#"&amp;$B10)</f>
        <v/>
      </c>
      <c r="P10" s="3">
        <f>IFERROR(VLOOKUP($O10,'Dias que asisten los contratados'!$A$4:$D$4,4,FALSE),"no")</f>
        <v/>
      </c>
      <c r="Q10" s="3">
        <f>IF(AND(NOT(($D10="")),(SUMPRODUCT((((($J10="no"))+(('Casillas del horario'!$C$4:$C$73&lt;&gt;($C10+1))*('Casillas del horario'!$C$4:$C$73&lt;&gt;($C10-1))))&gt;0)*('Casillas del horario'!$D$4:$D$73=$D10)*('Casillas del horario'!$B$4:$B$73=$B10)*('Casillas del horario'!$A$4:$A$73=$A10)*(ROW('Casillas del horario'!$A$4:$A$73)&lt;&gt;ROW($A10)))&gt;0)),"si","no")</f>
        <v/>
      </c>
      <c r="R10" s="3">
        <f>$A10&amp;"|"&amp;$C10&amp;"|"&amp;$B10</f>
        <v/>
      </c>
      <c r="S10" s="3">
        <f>$G10&amp;"|"&amp;$C10&amp;"|"&amp;$B10</f>
        <v/>
      </c>
      <c r="T10" s="3">
        <f>$I10&amp;"|"&amp;$C10&amp;"|"&amp;$B10</f>
        <v/>
      </c>
    </row>
    <row r="11">
      <c r="A11" s="3" t="inlineStr">
        <is>
          <t>10-4</t>
        </is>
      </c>
      <c r="B11" s="3" t="inlineStr">
        <is>
          <t>MI</t>
        </is>
      </c>
      <c r="C11" s="3" t="n">
        <v>1</v>
      </c>
      <c r="D11" s="4" t="inlineStr">
        <is>
          <t>CP</t>
        </is>
      </c>
      <c r="E11" s="3">
        <f>IFERROR(VLOOKUP($D11,Asignaturas!$A$4:$G$18,2,FALSE),"")</f>
        <v/>
      </c>
      <c r="F11" s="3">
        <f>($A11&amp;"#"&amp;$D11)</f>
        <v/>
      </c>
      <c r="G11" s="3">
        <f>IFERROR(VLOOKUP($F11,'Plan por grupo'!$A$4:$H$33,4,FALSE),"")</f>
        <v/>
      </c>
      <c r="H11" s="3">
        <f>IFERROR(VLOOKUP($D11,Asignaturas!$A$4:$G$18,7,FALSE),"")</f>
        <v/>
      </c>
      <c r="I11" s="3">
        <f>IF(($D11=""),"",IF(($H11=""),("Aula "&amp;$A11),$H11))</f>
        <v/>
      </c>
      <c r="J11" s="3">
        <f>IFERROR(VLOOKUP($D11,Asignaturas!$A$4:$G$18,4,FALSE),"no")</f>
        <v/>
      </c>
      <c r="K11" s="3">
        <f>IFERROR(VLOOKUP($D11,Asignaturas!$A$4:$G$18,5,FALSE),"no")</f>
        <v/>
      </c>
      <c r="L11" s="3">
        <f>IFERROR(VLOOKUP($D11,Asignaturas!$A$4:$G$18,6,FALSE),"")</f>
        <v/>
      </c>
      <c r="M11" s="3">
        <f>IFERROR(VLOOKUP($G11,Profesores!$A$4:$C$33,2,FALSE),"no")</f>
        <v/>
      </c>
      <c r="N11" s="3">
        <f>IFERROR(VLOOKUP($G11,Profesores!$A$4:$C$33,3,FALSE),"no")</f>
        <v/>
      </c>
      <c r="O11" s="3">
        <f>($G11&amp;"#"&amp;$B11)</f>
        <v/>
      </c>
      <c r="P11" s="3">
        <f>IFERROR(VLOOKUP($O11,'Dias que asisten los contratados'!$A$4:$D$4,4,FALSE),"no")</f>
        <v/>
      </c>
      <c r="Q11" s="3">
        <f>IF(AND(NOT(($D11="")),(SUMPRODUCT((((($J11="no"))+(('Casillas del horario'!$C$4:$C$73&lt;&gt;($C11+1))*('Casillas del horario'!$C$4:$C$73&lt;&gt;($C11-1))))&gt;0)*('Casillas del horario'!$D$4:$D$73=$D11)*('Casillas del horario'!$B$4:$B$73=$B11)*('Casillas del horario'!$A$4:$A$73=$A11)*(ROW('Casillas del horario'!$A$4:$A$73)&lt;&gt;ROW($A11)))&gt;0)),"si","no")</f>
        <v/>
      </c>
      <c r="R11" s="3">
        <f>$A11&amp;"|"&amp;$C11&amp;"|"&amp;$B11</f>
        <v/>
      </c>
      <c r="S11" s="3">
        <f>$G11&amp;"|"&amp;$C11&amp;"|"&amp;$B11</f>
        <v/>
      </c>
      <c r="T11" s="3">
        <f>$I11&amp;"|"&amp;$C11&amp;"|"&amp;$B11</f>
        <v/>
      </c>
    </row>
    <row r="12">
      <c r="A12" s="3" t="inlineStr">
        <is>
          <t>10-4</t>
        </is>
      </c>
      <c r="B12" s="3" t="inlineStr">
        <is>
          <t>J</t>
        </is>
      </c>
      <c r="C12" s="3" t="n">
        <v>1</v>
      </c>
      <c r="D12" s="4" t="inlineStr">
        <is>
          <t>F</t>
        </is>
      </c>
      <c r="E12" s="3">
        <f>IFERROR(VLOOKUP($D12,Asignaturas!$A$4:$G$18,2,FALSE),"")</f>
        <v/>
      </c>
      <c r="F12" s="3">
        <f>($A12&amp;"#"&amp;$D12)</f>
        <v/>
      </c>
      <c r="G12" s="3">
        <f>IFERROR(VLOOKUP($F12,'Plan por grupo'!$A$4:$H$33,4,FALSE),"")</f>
        <v/>
      </c>
      <c r="H12" s="3">
        <f>IFERROR(VLOOKUP($D12,Asignaturas!$A$4:$G$18,7,FALSE),"")</f>
        <v/>
      </c>
      <c r="I12" s="3">
        <f>IF(($D12=""),"",IF(($H12=""),("Aula "&amp;$A12),$H12))</f>
        <v/>
      </c>
      <c r="J12" s="3">
        <f>IFERROR(VLOOKUP($D12,Asignaturas!$A$4:$G$18,4,FALSE),"no")</f>
        <v/>
      </c>
      <c r="K12" s="3">
        <f>IFERROR(VLOOKUP($D12,Asignaturas!$A$4:$G$18,5,FALSE),"no")</f>
        <v/>
      </c>
      <c r="L12" s="3">
        <f>IFERROR(VLOOKUP($D12,Asignaturas!$A$4:$G$18,6,FALSE),"")</f>
        <v/>
      </c>
      <c r="M12" s="3">
        <f>IFERROR(VLOOKUP($G12,Profesores!$A$4:$C$33,2,FALSE),"no")</f>
        <v/>
      </c>
      <c r="N12" s="3">
        <f>IFERROR(VLOOKUP($G12,Profesores!$A$4:$C$33,3,FALSE),"no")</f>
        <v/>
      </c>
      <c r="O12" s="3">
        <f>($G12&amp;"#"&amp;$B12)</f>
        <v/>
      </c>
      <c r="P12" s="3">
        <f>IFERROR(VLOOKUP($O12,'Dias que asisten los contratados'!$A$4:$D$4,4,FALSE),"no")</f>
        <v/>
      </c>
      <c r="Q12" s="3">
        <f>IF(AND(NOT(($D12="")),(SUMPRODUCT((((($J12="no"))+(('Casillas del horario'!$C$4:$C$73&lt;&gt;($C12+1))*('Casillas del horario'!$C$4:$C$73&lt;&gt;($C12-1))))&gt;0)*('Casillas del horario'!$D$4:$D$73=$D12)*('Casillas del horario'!$B$4:$B$73=$B12)*('Casillas del horario'!$A$4:$A$73=$A12)*(ROW('Casillas del horario'!$A$4:$A$73)&lt;&gt;ROW($A12)))&gt;0)),"si","no")</f>
        <v/>
      </c>
      <c r="R12" s="3">
        <f>$A12&amp;"|"&amp;$C12&amp;"|"&amp;$B12</f>
        <v/>
      </c>
      <c r="S12" s="3">
        <f>$G12&amp;"|"&amp;$C12&amp;"|"&amp;$B12</f>
        <v/>
      </c>
      <c r="T12" s="3">
        <f>$I12&amp;"|"&amp;$C12&amp;"|"&amp;$B12</f>
        <v/>
      </c>
    </row>
    <row r="13">
      <c r="A13" s="3" t="inlineStr">
        <is>
          <t>10-4</t>
        </is>
      </c>
      <c r="B13" s="3" t="inlineStr">
        <is>
          <t>V</t>
        </is>
      </c>
      <c r="C13" s="3" t="n">
        <v>1</v>
      </c>
      <c r="D13" s="4" t="inlineStr">
        <is>
          <t>Lit-L</t>
        </is>
      </c>
      <c r="E13" s="3">
        <f>IFERROR(VLOOKUP($D13,Asignaturas!$A$4:$G$18,2,FALSE),"")</f>
        <v/>
      </c>
      <c r="F13" s="3">
        <f>($A13&amp;"#"&amp;$D13)</f>
        <v/>
      </c>
      <c r="G13" s="3">
        <f>IFERROR(VLOOKUP($F13,'Plan por grupo'!$A$4:$H$33,4,FALSE),"")</f>
        <v/>
      </c>
      <c r="H13" s="3">
        <f>IFERROR(VLOOKUP($D13,Asignaturas!$A$4:$G$18,7,FALSE),"")</f>
        <v/>
      </c>
      <c r="I13" s="3">
        <f>IF(($D13=""),"",IF(($H13=""),("Aula "&amp;$A13),$H13))</f>
        <v/>
      </c>
      <c r="J13" s="3">
        <f>IFERROR(VLOOKUP($D13,Asignaturas!$A$4:$G$18,4,FALSE),"no")</f>
        <v/>
      </c>
      <c r="K13" s="3">
        <f>IFERROR(VLOOKUP($D13,Asignaturas!$A$4:$G$18,5,FALSE),"no")</f>
        <v/>
      </c>
      <c r="L13" s="3">
        <f>IFERROR(VLOOKUP($D13,Asignaturas!$A$4:$G$18,6,FALSE),"")</f>
        <v/>
      </c>
      <c r="M13" s="3">
        <f>IFERROR(VLOOKUP($G13,Profesores!$A$4:$C$33,2,FALSE),"no")</f>
        <v/>
      </c>
      <c r="N13" s="3">
        <f>IFERROR(VLOOKUP($G13,Profesores!$A$4:$C$33,3,FALSE),"no")</f>
        <v/>
      </c>
      <c r="O13" s="3">
        <f>($G13&amp;"#"&amp;$B13)</f>
        <v/>
      </c>
      <c r="P13" s="3">
        <f>IFERROR(VLOOKUP($O13,'Dias que asisten los contratados'!$A$4:$D$4,4,FALSE),"no")</f>
        <v/>
      </c>
      <c r="Q13" s="3">
        <f>IF(AND(NOT(($D13="")),(SUMPRODUCT((((($J13="no"))+(('Casillas del horario'!$C$4:$C$73&lt;&gt;($C13+1))*('Casillas del horario'!$C$4:$C$73&lt;&gt;($C13-1))))&gt;0)*('Casillas del horario'!$D$4:$D$73=$D13)*('Casillas del horario'!$B$4:$B$73=$B13)*('Casillas del horario'!$A$4:$A$73=$A13)*(ROW('Casillas del horario'!$A$4:$A$73)&lt;&gt;ROW($A13)))&gt;0)),"si","no")</f>
        <v/>
      </c>
      <c r="R13" s="3">
        <f>$A13&amp;"|"&amp;$C13&amp;"|"&amp;$B13</f>
        <v/>
      </c>
      <c r="S13" s="3">
        <f>$G13&amp;"|"&amp;$C13&amp;"|"&amp;$B13</f>
        <v/>
      </c>
      <c r="T13" s="3">
        <f>$I13&amp;"|"&amp;$C13&amp;"|"&amp;$B13</f>
        <v/>
      </c>
    </row>
    <row r="14">
      <c r="A14" s="3" t="inlineStr">
        <is>
          <t>10-3</t>
        </is>
      </c>
      <c r="B14" s="3" t="inlineStr">
        <is>
          <t>L</t>
        </is>
      </c>
      <c r="C14" s="3" t="n">
        <v>2</v>
      </c>
      <c r="D14" s="4" t="inlineStr">
        <is>
          <t>I</t>
        </is>
      </c>
      <c r="E14" s="3">
        <f>IFERROR(VLOOKUP($D14,Asignaturas!$A$4:$G$18,2,FALSE),"")</f>
        <v/>
      </c>
      <c r="F14" s="3">
        <f>($A14&amp;"#"&amp;$D14)</f>
        <v/>
      </c>
      <c r="G14" s="3">
        <f>IFERROR(VLOOKUP($F14,'Plan por grupo'!$A$4:$H$33,4,FALSE),"")</f>
        <v/>
      </c>
      <c r="H14" s="3">
        <f>IFERROR(VLOOKUP($D14,Asignaturas!$A$4:$G$18,7,FALSE),"")</f>
        <v/>
      </c>
      <c r="I14" s="3">
        <f>IF(($D14=""),"",IF(($H14=""),("Aula "&amp;$A14),$H14))</f>
        <v/>
      </c>
      <c r="J14" s="3">
        <f>IFERROR(VLOOKUP($D14,Asignaturas!$A$4:$G$18,4,FALSE),"no")</f>
        <v/>
      </c>
      <c r="K14" s="3">
        <f>IFERROR(VLOOKUP($D14,Asignaturas!$A$4:$G$18,5,FALSE),"no")</f>
        <v/>
      </c>
      <c r="L14" s="3">
        <f>IFERROR(VLOOKUP($D14,Asignaturas!$A$4:$G$18,6,FALSE),"")</f>
        <v/>
      </c>
      <c r="M14" s="3">
        <f>IFERROR(VLOOKUP($G14,Profesores!$A$4:$C$33,2,FALSE),"no")</f>
        <v/>
      </c>
      <c r="N14" s="3">
        <f>IFERROR(VLOOKUP($G14,Profesores!$A$4:$C$33,3,FALSE),"no")</f>
        <v/>
      </c>
      <c r="O14" s="3">
        <f>($G14&amp;"#"&amp;$B14)</f>
        <v/>
      </c>
      <c r="P14" s="3">
        <f>IFERROR(VLOOKUP($O14,'Dias que asisten los contratados'!$A$4:$D$4,4,FALSE),"no")</f>
        <v/>
      </c>
      <c r="Q14" s="3">
        <f>IF(AND(NOT(($D14="")),(SUMPRODUCT((((($J14="no"))+(('Casillas del horario'!$C$4:$C$73&lt;&gt;($C14+1))*('Casillas del horario'!$C$4:$C$73&lt;&gt;($C14-1))))&gt;0)*('Casillas del horario'!$D$4:$D$73=$D14)*('Casillas del horario'!$B$4:$B$73=$B14)*('Casillas del horario'!$A$4:$A$73=$A14)*(ROW('Casillas del horario'!$A$4:$A$73)&lt;&gt;ROW($A14)))&gt;0)),"si","no")</f>
        <v/>
      </c>
      <c r="R14" s="3">
        <f>$A14&amp;"|"&amp;$C14&amp;"|"&amp;$B14</f>
        <v/>
      </c>
      <c r="S14" s="3">
        <f>$G14&amp;"|"&amp;$C14&amp;"|"&amp;$B14</f>
        <v/>
      </c>
      <c r="T14" s="3">
        <f>$I14&amp;"|"&amp;$C14&amp;"|"&amp;$B14</f>
        <v/>
      </c>
    </row>
    <row r="15">
      <c r="A15" s="3" t="inlineStr">
        <is>
          <t>10-3</t>
        </is>
      </c>
      <c r="B15" s="3" t="inlineStr">
        <is>
          <t>M</t>
        </is>
      </c>
      <c r="C15" s="3" t="n">
        <v>2</v>
      </c>
      <c r="D15" s="4" t="inlineStr">
        <is>
          <t>B</t>
        </is>
      </c>
      <c r="E15" s="3">
        <f>IFERROR(VLOOKUP($D15,Asignaturas!$A$4:$G$18,2,FALSE),"")</f>
        <v/>
      </c>
      <c r="F15" s="3">
        <f>($A15&amp;"#"&amp;$D15)</f>
        <v/>
      </c>
      <c r="G15" s="3">
        <f>IFERROR(VLOOKUP($F15,'Plan por grupo'!$A$4:$H$33,4,FALSE),"")</f>
        <v/>
      </c>
      <c r="H15" s="3">
        <f>IFERROR(VLOOKUP($D15,Asignaturas!$A$4:$G$18,7,FALSE),"")</f>
        <v/>
      </c>
      <c r="I15" s="3">
        <f>IF(($D15=""),"",IF(($H15=""),("Aula "&amp;$A15),$H15))</f>
        <v/>
      </c>
      <c r="J15" s="3">
        <f>IFERROR(VLOOKUP($D15,Asignaturas!$A$4:$G$18,4,FALSE),"no")</f>
        <v/>
      </c>
      <c r="K15" s="3">
        <f>IFERROR(VLOOKUP($D15,Asignaturas!$A$4:$G$18,5,FALSE),"no")</f>
        <v/>
      </c>
      <c r="L15" s="3">
        <f>IFERROR(VLOOKUP($D15,Asignaturas!$A$4:$G$18,6,FALSE),"")</f>
        <v/>
      </c>
      <c r="M15" s="3">
        <f>IFERROR(VLOOKUP($G15,Profesores!$A$4:$C$33,2,FALSE),"no")</f>
        <v/>
      </c>
      <c r="N15" s="3">
        <f>IFERROR(VLOOKUP($G15,Profesores!$A$4:$C$33,3,FALSE),"no")</f>
        <v/>
      </c>
      <c r="O15" s="3">
        <f>($G15&amp;"#"&amp;$B15)</f>
        <v/>
      </c>
      <c r="P15" s="3">
        <f>IFERROR(VLOOKUP($O15,'Dias que asisten los contratados'!$A$4:$D$4,4,FALSE),"no")</f>
        <v/>
      </c>
      <c r="Q15" s="3">
        <f>IF(AND(NOT(($D15="")),(SUMPRODUCT((((($J15="no"))+(('Casillas del horario'!$C$4:$C$73&lt;&gt;($C15+1))*('Casillas del horario'!$C$4:$C$73&lt;&gt;($C15-1))))&gt;0)*('Casillas del horario'!$D$4:$D$73=$D15)*('Casillas del horario'!$B$4:$B$73=$B15)*('Casillas del horario'!$A$4:$A$73=$A15)*(ROW('Casillas del horario'!$A$4:$A$73)&lt;&gt;ROW($A15)))&gt;0)),"si","no")</f>
        <v/>
      </c>
      <c r="R15" s="3">
        <f>$A15&amp;"|"&amp;$C15&amp;"|"&amp;$B15</f>
        <v/>
      </c>
      <c r="S15" s="3">
        <f>$G15&amp;"|"&amp;$C15&amp;"|"&amp;$B15</f>
        <v/>
      </c>
      <c r="T15" s="3">
        <f>$I15&amp;"|"&amp;$C15&amp;"|"&amp;$B15</f>
        <v/>
      </c>
    </row>
    <row r="16">
      <c r="A16" s="3" t="inlineStr">
        <is>
          <t>10-3</t>
        </is>
      </c>
      <c r="B16" s="3" t="inlineStr">
        <is>
          <t>MI</t>
        </is>
      </c>
      <c r="C16" s="3" t="n">
        <v>2</v>
      </c>
      <c r="D16" s="4" t="inlineStr">
        <is>
          <t>M</t>
        </is>
      </c>
      <c r="E16" s="3">
        <f>IFERROR(VLOOKUP($D16,Asignaturas!$A$4:$G$18,2,FALSE),"")</f>
        <v/>
      </c>
      <c r="F16" s="3">
        <f>($A16&amp;"#"&amp;$D16)</f>
        <v/>
      </c>
      <c r="G16" s="3">
        <f>IFERROR(VLOOKUP($F16,'Plan por grupo'!$A$4:$H$33,4,FALSE),"")</f>
        <v/>
      </c>
      <c r="H16" s="3">
        <f>IFERROR(VLOOKUP($D16,Asignaturas!$A$4:$G$18,7,FALSE),"")</f>
        <v/>
      </c>
      <c r="I16" s="3">
        <f>IF(($D16=""),"",IF(($H16=""),("Aula "&amp;$A16),$H16))</f>
        <v/>
      </c>
      <c r="J16" s="3">
        <f>IFERROR(VLOOKUP($D16,Asignaturas!$A$4:$G$18,4,FALSE),"no")</f>
        <v/>
      </c>
      <c r="K16" s="3">
        <f>IFERROR(VLOOKUP($D16,Asignaturas!$A$4:$G$18,5,FALSE),"no")</f>
        <v/>
      </c>
      <c r="L16" s="3">
        <f>IFERROR(VLOOKUP($D16,Asignaturas!$A$4:$G$18,6,FALSE),"")</f>
        <v/>
      </c>
      <c r="M16" s="3">
        <f>IFERROR(VLOOKUP($G16,Profesores!$A$4:$C$33,2,FALSE),"no")</f>
        <v/>
      </c>
      <c r="N16" s="3">
        <f>IFERROR(VLOOKUP($G16,Profesores!$A$4:$C$33,3,FALSE),"no")</f>
        <v/>
      </c>
      <c r="O16" s="3">
        <f>($G16&amp;"#"&amp;$B16)</f>
        <v/>
      </c>
      <c r="P16" s="3">
        <f>IFERROR(VLOOKUP($O16,'Dias que asisten los contratados'!$A$4:$D$4,4,FALSE),"no")</f>
        <v/>
      </c>
      <c r="Q16" s="3">
        <f>IF(AND(NOT(($D16="")),(SUMPRODUCT((((($J16="no"))+(('Casillas del horario'!$C$4:$C$73&lt;&gt;($C16+1))*('Casillas del horario'!$C$4:$C$73&lt;&gt;($C16-1))))&gt;0)*('Casillas del horario'!$D$4:$D$73=$D16)*('Casillas del horario'!$B$4:$B$73=$B16)*('Casillas del horario'!$A$4:$A$73=$A16)*(ROW('Casillas del horario'!$A$4:$A$73)&lt;&gt;ROW($A16)))&gt;0)),"si","no")</f>
        <v/>
      </c>
      <c r="R16" s="3">
        <f>$A16&amp;"|"&amp;$C16&amp;"|"&amp;$B16</f>
        <v/>
      </c>
      <c r="S16" s="3">
        <f>$G16&amp;"|"&amp;$C16&amp;"|"&amp;$B16</f>
        <v/>
      </c>
      <c r="T16" s="3">
        <f>$I16&amp;"|"&amp;$C16&amp;"|"&amp;$B16</f>
        <v/>
      </c>
    </row>
    <row r="17">
      <c r="A17" s="3" t="inlineStr">
        <is>
          <t>10-3</t>
        </is>
      </c>
      <c r="B17" s="3" t="inlineStr">
        <is>
          <t>J</t>
        </is>
      </c>
      <c r="C17" s="3" t="n">
        <v>2</v>
      </c>
      <c r="D17" s="4" t="inlineStr">
        <is>
          <t>F</t>
        </is>
      </c>
      <c r="E17" s="3">
        <f>IFERROR(VLOOKUP($D17,Asignaturas!$A$4:$G$18,2,FALSE),"")</f>
        <v/>
      </c>
      <c r="F17" s="3">
        <f>($A17&amp;"#"&amp;$D17)</f>
        <v/>
      </c>
      <c r="G17" s="3">
        <f>IFERROR(VLOOKUP($F17,'Plan por grupo'!$A$4:$H$33,4,FALSE),"")</f>
        <v/>
      </c>
      <c r="H17" s="3">
        <f>IFERROR(VLOOKUP($D17,Asignaturas!$A$4:$G$18,7,FALSE),"")</f>
        <v/>
      </c>
      <c r="I17" s="3">
        <f>IF(($D17=""),"",IF(($H17=""),("Aula "&amp;$A17),$H17))</f>
        <v/>
      </c>
      <c r="J17" s="3">
        <f>IFERROR(VLOOKUP($D17,Asignaturas!$A$4:$G$18,4,FALSE),"no")</f>
        <v/>
      </c>
      <c r="K17" s="3">
        <f>IFERROR(VLOOKUP($D17,Asignaturas!$A$4:$G$18,5,FALSE),"no")</f>
        <v/>
      </c>
      <c r="L17" s="3">
        <f>IFERROR(VLOOKUP($D17,Asignaturas!$A$4:$G$18,6,FALSE),"")</f>
        <v/>
      </c>
      <c r="M17" s="3">
        <f>IFERROR(VLOOKUP($G17,Profesores!$A$4:$C$33,2,FALSE),"no")</f>
        <v/>
      </c>
      <c r="N17" s="3">
        <f>IFERROR(VLOOKUP($G17,Profesores!$A$4:$C$33,3,FALSE),"no")</f>
        <v/>
      </c>
      <c r="O17" s="3">
        <f>($G17&amp;"#"&amp;$B17)</f>
        <v/>
      </c>
      <c r="P17" s="3">
        <f>IFERROR(VLOOKUP($O17,'Dias que asisten los contratados'!$A$4:$D$4,4,FALSE),"no")</f>
        <v/>
      </c>
      <c r="Q17" s="3">
        <f>IF(AND(NOT(($D17="")),(SUMPRODUCT((((($J17="no"))+(('Casillas del horario'!$C$4:$C$73&lt;&gt;($C17+1))*('Casillas del horario'!$C$4:$C$73&lt;&gt;($C17-1))))&gt;0)*('Casillas del horario'!$D$4:$D$73=$D17)*('Casillas del horario'!$B$4:$B$73=$B17)*('Casillas del horario'!$A$4:$A$73=$A17)*(ROW('Casillas del horario'!$A$4:$A$73)&lt;&gt;ROW($A17)))&gt;0)),"si","no")</f>
        <v/>
      </c>
      <c r="R17" s="3">
        <f>$A17&amp;"|"&amp;$C17&amp;"|"&amp;$B17</f>
        <v/>
      </c>
      <c r="S17" s="3">
        <f>$G17&amp;"|"&amp;$C17&amp;"|"&amp;$B17</f>
        <v/>
      </c>
      <c r="T17" s="3">
        <f>$I17&amp;"|"&amp;$C17&amp;"|"&amp;$B17</f>
        <v/>
      </c>
    </row>
    <row r="18">
      <c r="A18" s="3" t="inlineStr">
        <is>
          <t>10-3</t>
        </is>
      </c>
      <c r="B18" s="3" t="inlineStr">
        <is>
          <t>V</t>
        </is>
      </c>
      <c r="C18" s="3" t="n">
        <v>2</v>
      </c>
      <c r="D18" s="4" t="inlineStr">
        <is>
          <t>DC</t>
        </is>
      </c>
      <c r="E18" s="3">
        <f>IFERROR(VLOOKUP($D18,Asignaturas!$A$4:$G$18,2,FALSE),"")</f>
        <v/>
      </c>
      <c r="F18" s="3">
        <f>($A18&amp;"#"&amp;$D18)</f>
        <v/>
      </c>
      <c r="G18" s="3">
        <f>IFERROR(VLOOKUP($F18,'Plan por grupo'!$A$4:$H$33,4,FALSE),"")</f>
        <v/>
      </c>
      <c r="H18" s="3">
        <f>IFERROR(VLOOKUP($D18,Asignaturas!$A$4:$G$18,7,FALSE),"")</f>
        <v/>
      </c>
      <c r="I18" s="3">
        <f>IF(($D18=""),"",IF(($H18=""),("Aula "&amp;$A18),$H18))</f>
        <v/>
      </c>
      <c r="J18" s="3">
        <f>IFERROR(VLOOKUP($D18,Asignaturas!$A$4:$G$18,4,FALSE),"no")</f>
        <v/>
      </c>
      <c r="K18" s="3">
        <f>IFERROR(VLOOKUP($D18,Asignaturas!$A$4:$G$18,5,FALSE),"no")</f>
        <v/>
      </c>
      <c r="L18" s="3">
        <f>IFERROR(VLOOKUP($D18,Asignaturas!$A$4:$G$18,6,FALSE),"")</f>
        <v/>
      </c>
      <c r="M18" s="3">
        <f>IFERROR(VLOOKUP($G18,Profesores!$A$4:$C$33,2,FALSE),"no")</f>
        <v/>
      </c>
      <c r="N18" s="3">
        <f>IFERROR(VLOOKUP($G18,Profesores!$A$4:$C$33,3,FALSE),"no")</f>
        <v/>
      </c>
      <c r="O18" s="3">
        <f>($G18&amp;"#"&amp;$B18)</f>
        <v/>
      </c>
      <c r="P18" s="3">
        <f>IFERROR(VLOOKUP($O18,'Dias que asisten los contratados'!$A$4:$D$4,4,FALSE),"no")</f>
        <v/>
      </c>
      <c r="Q18" s="3">
        <f>IF(AND(NOT(($D18="")),(SUMPRODUCT((((($J18="no"))+(('Casillas del horario'!$C$4:$C$73&lt;&gt;($C18+1))*('Casillas del horario'!$C$4:$C$73&lt;&gt;($C18-1))))&gt;0)*('Casillas del horario'!$D$4:$D$73=$D18)*('Casillas del horario'!$B$4:$B$73=$B18)*('Casillas del horario'!$A$4:$A$73=$A18)*(ROW('Casillas del horario'!$A$4:$A$73)&lt;&gt;ROW($A18)))&gt;0)),"si","no")</f>
        <v/>
      </c>
      <c r="R18" s="3">
        <f>$A18&amp;"|"&amp;$C18&amp;"|"&amp;$B18</f>
        <v/>
      </c>
      <c r="S18" s="3">
        <f>$G18&amp;"|"&amp;$C18&amp;"|"&amp;$B18</f>
        <v/>
      </c>
      <c r="T18" s="3">
        <f>$I18&amp;"|"&amp;$C18&amp;"|"&amp;$B18</f>
        <v/>
      </c>
    </row>
    <row r="19">
      <c r="A19" s="3" t="inlineStr">
        <is>
          <t>10-4</t>
        </is>
      </c>
      <c r="B19" s="3" t="inlineStr">
        <is>
          <t>L</t>
        </is>
      </c>
      <c r="C19" s="3" t="n">
        <v>2</v>
      </c>
      <c r="D19" s="4" t="inlineStr">
        <is>
          <t>M</t>
        </is>
      </c>
      <c r="E19" s="3">
        <f>IFERROR(VLOOKUP($D19,Asignaturas!$A$4:$G$18,2,FALSE),"")</f>
        <v/>
      </c>
      <c r="F19" s="3">
        <f>($A19&amp;"#"&amp;$D19)</f>
        <v/>
      </c>
      <c r="G19" s="3">
        <f>IFERROR(VLOOKUP($F19,'Plan por grupo'!$A$4:$H$33,4,FALSE),"")</f>
        <v/>
      </c>
      <c r="H19" s="3">
        <f>IFERROR(VLOOKUP($D19,Asignaturas!$A$4:$G$18,7,FALSE),"")</f>
        <v/>
      </c>
      <c r="I19" s="3">
        <f>IF(($D19=""),"",IF(($H19=""),("Aula "&amp;$A19),$H19))</f>
        <v/>
      </c>
      <c r="J19" s="3">
        <f>IFERROR(VLOOKUP($D19,Asignaturas!$A$4:$G$18,4,FALSE),"no")</f>
        <v/>
      </c>
      <c r="K19" s="3">
        <f>IFERROR(VLOOKUP($D19,Asignaturas!$A$4:$G$18,5,FALSE),"no")</f>
        <v/>
      </c>
      <c r="L19" s="3">
        <f>IFERROR(VLOOKUP($D19,Asignaturas!$A$4:$G$18,6,FALSE),"")</f>
        <v/>
      </c>
      <c r="M19" s="3">
        <f>IFERROR(VLOOKUP($G19,Profesores!$A$4:$C$33,2,FALSE),"no")</f>
        <v/>
      </c>
      <c r="N19" s="3">
        <f>IFERROR(VLOOKUP($G19,Profesores!$A$4:$C$33,3,FALSE),"no")</f>
        <v/>
      </c>
      <c r="O19" s="3">
        <f>($G19&amp;"#"&amp;$B19)</f>
        <v/>
      </c>
      <c r="P19" s="3">
        <f>IFERROR(VLOOKUP($O19,'Dias que asisten los contratados'!$A$4:$D$4,4,FALSE),"no")</f>
        <v/>
      </c>
      <c r="Q19" s="3">
        <f>IF(AND(NOT(($D19="")),(SUMPRODUCT((((($J19="no"))+(('Casillas del horario'!$C$4:$C$73&lt;&gt;($C19+1))*('Casillas del horario'!$C$4:$C$73&lt;&gt;($C19-1))))&gt;0)*('Casillas del horario'!$D$4:$D$73=$D19)*('Casillas del horario'!$B$4:$B$73=$B19)*('Casillas del horario'!$A$4:$A$73=$A19)*(ROW('Casillas del horario'!$A$4:$A$73)&lt;&gt;ROW($A19)))&gt;0)),"si","no")</f>
        <v/>
      </c>
      <c r="R19" s="3">
        <f>$A19&amp;"|"&amp;$C19&amp;"|"&amp;$B19</f>
        <v/>
      </c>
      <c r="S19" s="3">
        <f>$G19&amp;"|"&amp;$C19&amp;"|"&amp;$B19</f>
        <v/>
      </c>
      <c r="T19" s="3">
        <f>$I19&amp;"|"&amp;$C19&amp;"|"&amp;$B19</f>
        <v/>
      </c>
    </row>
    <row r="20">
      <c r="A20" s="3" t="inlineStr">
        <is>
          <t>10-4</t>
        </is>
      </c>
      <c r="B20" s="3" t="inlineStr">
        <is>
          <t>M</t>
        </is>
      </c>
      <c r="C20" s="3" t="n">
        <v>2</v>
      </c>
      <c r="D20" s="4" t="inlineStr">
        <is>
          <t>I</t>
        </is>
      </c>
      <c r="E20" s="3">
        <f>IFERROR(VLOOKUP($D20,Asignaturas!$A$4:$G$18,2,FALSE),"")</f>
        <v/>
      </c>
      <c r="F20" s="3">
        <f>($A20&amp;"#"&amp;$D20)</f>
        <v/>
      </c>
      <c r="G20" s="3">
        <f>IFERROR(VLOOKUP($F20,'Plan por grupo'!$A$4:$H$33,4,FALSE),"")</f>
        <v/>
      </c>
      <c r="H20" s="3">
        <f>IFERROR(VLOOKUP($D20,Asignaturas!$A$4:$G$18,7,FALSE),"")</f>
        <v/>
      </c>
      <c r="I20" s="3">
        <f>IF(($D20=""),"",IF(($H20=""),("Aula "&amp;$A20),$H20))</f>
        <v/>
      </c>
      <c r="J20" s="3">
        <f>IFERROR(VLOOKUP($D20,Asignaturas!$A$4:$G$18,4,FALSE),"no")</f>
        <v/>
      </c>
      <c r="K20" s="3">
        <f>IFERROR(VLOOKUP($D20,Asignaturas!$A$4:$G$18,5,FALSE),"no")</f>
        <v/>
      </c>
      <c r="L20" s="3">
        <f>IFERROR(VLOOKUP($D20,Asignaturas!$A$4:$G$18,6,FALSE),"")</f>
        <v/>
      </c>
      <c r="M20" s="3">
        <f>IFERROR(VLOOKUP($G20,Profesores!$A$4:$C$33,2,FALSE),"no")</f>
        <v/>
      </c>
      <c r="N20" s="3">
        <f>IFERROR(VLOOKUP($G20,Profesores!$A$4:$C$33,3,FALSE),"no")</f>
        <v/>
      </c>
      <c r="O20" s="3">
        <f>($G20&amp;"#"&amp;$B20)</f>
        <v/>
      </c>
      <c r="P20" s="3">
        <f>IFERROR(VLOOKUP($O20,'Dias que asisten los contratados'!$A$4:$D$4,4,FALSE),"no")</f>
        <v/>
      </c>
      <c r="Q20" s="3">
        <f>IF(AND(NOT(($D20="")),(SUMPRODUCT((((($J20="no"))+(('Casillas del horario'!$C$4:$C$73&lt;&gt;($C20+1))*('Casillas del horario'!$C$4:$C$73&lt;&gt;($C20-1))))&gt;0)*('Casillas del horario'!$D$4:$D$73=$D20)*('Casillas del horario'!$B$4:$B$73=$B20)*('Casillas del horario'!$A$4:$A$73=$A20)*(ROW('Casillas del horario'!$A$4:$A$73)&lt;&gt;ROW($A20)))&gt;0)),"si","no")</f>
        <v/>
      </c>
      <c r="R20" s="3">
        <f>$A20&amp;"|"&amp;$C20&amp;"|"&amp;$B20</f>
        <v/>
      </c>
      <c r="S20" s="3">
        <f>$G20&amp;"|"&amp;$C20&amp;"|"&amp;$B20</f>
        <v/>
      </c>
      <c r="T20" s="3">
        <f>$I20&amp;"|"&amp;$C20&amp;"|"&amp;$B20</f>
        <v/>
      </c>
    </row>
    <row r="21">
      <c r="A21" s="3" t="inlineStr">
        <is>
          <t>10-4</t>
        </is>
      </c>
      <c r="B21" s="3" t="inlineStr">
        <is>
          <t>MI</t>
        </is>
      </c>
      <c r="C21" s="3" t="n">
        <v>2</v>
      </c>
      <c r="D21" s="4" t="inlineStr">
        <is>
          <t>EF</t>
        </is>
      </c>
      <c r="E21" s="3">
        <f>IFERROR(VLOOKUP($D21,Asignaturas!$A$4:$G$18,2,FALSE),"")</f>
        <v/>
      </c>
      <c r="F21" s="3">
        <f>($A21&amp;"#"&amp;$D21)</f>
        <v/>
      </c>
      <c r="G21" s="3">
        <f>IFERROR(VLOOKUP($F21,'Plan por grupo'!$A$4:$H$33,4,FALSE),"")</f>
        <v/>
      </c>
      <c r="H21" s="3">
        <f>IFERROR(VLOOKUP($D21,Asignaturas!$A$4:$G$18,7,FALSE),"")</f>
        <v/>
      </c>
      <c r="I21" s="3">
        <f>IF(($D21=""),"",IF(($H21=""),("Aula "&amp;$A21),$H21))</f>
        <v/>
      </c>
      <c r="J21" s="3">
        <f>IFERROR(VLOOKUP($D21,Asignaturas!$A$4:$G$18,4,FALSE),"no")</f>
        <v/>
      </c>
      <c r="K21" s="3">
        <f>IFERROR(VLOOKUP($D21,Asignaturas!$A$4:$G$18,5,FALSE),"no")</f>
        <v/>
      </c>
      <c r="L21" s="3">
        <f>IFERROR(VLOOKUP($D21,Asignaturas!$A$4:$G$18,6,FALSE),"")</f>
        <v/>
      </c>
      <c r="M21" s="3">
        <f>IFERROR(VLOOKUP($G21,Profesores!$A$4:$C$33,2,FALSE),"no")</f>
        <v/>
      </c>
      <c r="N21" s="3">
        <f>IFERROR(VLOOKUP($G21,Profesores!$A$4:$C$33,3,FALSE),"no")</f>
        <v/>
      </c>
      <c r="O21" s="3">
        <f>($G21&amp;"#"&amp;$B21)</f>
        <v/>
      </c>
      <c r="P21" s="3">
        <f>IFERROR(VLOOKUP($O21,'Dias que asisten los contratados'!$A$4:$D$4,4,FALSE),"no")</f>
        <v/>
      </c>
      <c r="Q21" s="3">
        <f>IF(AND(NOT(($D21="")),(SUMPRODUCT((((($J21="no"))+(('Casillas del horario'!$C$4:$C$73&lt;&gt;($C21+1))*('Casillas del horario'!$C$4:$C$73&lt;&gt;($C21-1))))&gt;0)*('Casillas del horario'!$D$4:$D$73=$D21)*('Casillas del horario'!$B$4:$B$73=$B21)*('Casillas del horario'!$A$4:$A$73=$A21)*(ROW('Casillas del horario'!$A$4:$A$73)&lt;&gt;ROW($A21)))&gt;0)),"si","no")</f>
        <v/>
      </c>
      <c r="R21" s="3">
        <f>$A21&amp;"|"&amp;$C21&amp;"|"&amp;$B21</f>
        <v/>
      </c>
      <c r="S21" s="3">
        <f>$G21&amp;"|"&amp;$C21&amp;"|"&amp;$B21</f>
        <v/>
      </c>
      <c r="T21" s="3">
        <f>$I21&amp;"|"&amp;$C21&amp;"|"&amp;$B21</f>
        <v/>
      </c>
    </row>
    <row r="22">
      <c r="A22" s="3" t="inlineStr">
        <is>
          <t>10-4</t>
        </is>
      </c>
      <c r="B22" s="3" t="inlineStr">
        <is>
          <t>J</t>
        </is>
      </c>
      <c r="C22" s="3" t="n">
        <v>2</v>
      </c>
      <c r="D22" s="4" t="inlineStr">
        <is>
          <t>I</t>
        </is>
      </c>
      <c r="E22" s="3">
        <f>IFERROR(VLOOKUP($D22,Asignaturas!$A$4:$G$18,2,FALSE),"")</f>
        <v/>
      </c>
      <c r="F22" s="3">
        <f>($A22&amp;"#"&amp;$D22)</f>
        <v/>
      </c>
      <c r="G22" s="3">
        <f>IFERROR(VLOOKUP($F22,'Plan por grupo'!$A$4:$H$33,4,FALSE),"")</f>
        <v/>
      </c>
      <c r="H22" s="3">
        <f>IFERROR(VLOOKUP($D22,Asignaturas!$A$4:$G$18,7,FALSE),"")</f>
        <v/>
      </c>
      <c r="I22" s="3">
        <f>IF(($D22=""),"",IF(($H22=""),("Aula "&amp;$A22),$H22))</f>
        <v/>
      </c>
      <c r="J22" s="3">
        <f>IFERROR(VLOOKUP($D22,Asignaturas!$A$4:$G$18,4,FALSE),"no")</f>
        <v/>
      </c>
      <c r="K22" s="3">
        <f>IFERROR(VLOOKUP($D22,Asignaturas!$A$4:$G$18,5,FALSE),"no")</f>
        <v/>
      </c>
      <c r="L22" s="3">
        <f>IFERROR(VLOOKUP($D22,Asignaturas!$A$4:$G$18,6,FALSE),"")</f>
        <v/>
      </c>
      <c r="M22" s="3">
        <f>IFERROR(VLOOKUP($G22,Profesores!$A$4:$C$33,2,FALSE),"no")</f>
        <v/>
      </c>
      <c r="N22" s="3">
        <f>IFERROR(VLOOKUP($G22,Profesores!$A$4:$C$33,3,FALSE),"no")</f>
        <v/>
      </c>
      <c r="O22" s="3">
        <f>($G22&amp;"#"&amp;$B22)</f>
        <v/>
      </c>
      <c r="P22" s="3">
        <f>IFERROR(VLOOKUP($O22,'Dias que asisten los contratados'!$A$4:$D$4,4,FALSE),"no")</f>
        <v/>
      </c>
      <c r="Q22" s="3">
        <f>IF(AND(NOT(($D22="")),(SUMPRODUCT((((($J22="no"))+(('Casillas del horario'!$C$4:$C$73&lt;&gt;($C22+1))*('Casillas del horario'!$C$4:$C$73&lt;&gt;($C22-1))))&gt;0)*('Casillas del horario'!$D$4:$D$73=$D22)*('Casillas del horario'!$B$4:$B$73=$B22)*('Casillas del horario'!$A$4:$A$73=$A22)*(ROW('Casillas del horario'!$A$4:$A$73)&lt;&gt;ROW($A22)))&gt;0)),"si","no")</f>
        <v/>
      </c>
      <c r="R22" s="3">
        <f>$A22&amp;"|"&amp;$C22&amp;"|"&amp;$B22</f>
        <v/>
      </c>
      <c r="S22" s="3">
        <f>$G22&amp;"|"&amp;$C22&amp;"|"&amp;$B22</f>
        <v/>
      </c>
      <c r="T22" s="3">
        <f>$I22&amp;"|"&amp;$C22&amp;"|"&amp;$B22</f>
        <v/>
      </c>
    </row>
    <row r="23">
      <c r="A23" s="3" t="inlineStr">
        <is>
          <t>10-4</t>
        </is>
      </c>
      <c r="B23" s="3" t="inlineStr">
        <is>
          <t>V</t>
        </is>
      </c>
      <c r="C23" s="3" t="n">
        <v>2</v>
      </c>
      <c r="D23" s="4" t="inlineStr">
        <is>
          <t>Lit-L</t>
        </is>
      </c>
      <c r="E23" s="3">
        <f>IFERROR(VLOOKUP($D23,Asignaturas!$A$4:$G$18,2,FALSE),"")</f>
        <v/>
      </c>
      <c r="F23" s="3">
        <f>($A23&amp;"#"&amp;$D23)</f>
        <v/>
      </c>
      <c r="G23" s="3">
        <f>IFERROR(VLOOKUP($F23,'Plan por grupo'!$A$4:$H$33,4,FALSE),"")</f>
        <v/>
      </c>
      <c r="H23" s="3">
        <f>IFERROR(VLOOKUP($D23,Asignaturas!$A$4:$G$18,7,FALSE),"")</f>
        <v/>
      </c>
      <c r="I23" s="3">
        <f>IF(($D23=""),"",IF(($H23=""),("Aula "&amp;$A23),$H23))</f>
        <v/>
      </c>
      <c r="J23" s="3">
        <f>IFERROR(VLOOKUP($D23,Asignaturas!$A$4:$G$18,4,FALSE),"no")</f>
        <v/>
      </c>
      <c r="K23" s="3">
        <f>IFERROR(VLOOKUP($D23,Asignaturas!$A$4:$G$18,5,FALSE),"no")</f>
        <v/>
      </c>
      <c r="L23" s="3">
        <f>IFERROR(VLOOKUP($D23,Asignaturas!$A$4:$G$18,6,FALSE),"")</f>
        <v/>
      </c>
      <c r="M23" s="3">
        <f>IFERROR(VLOOKUP($G23,Profesores!$A$4:$C$33,2,FALSE),"no")</f>
        <v/>
      </c>
      <c r="N23" s="3">
        <f>IFERROR(VLOOKUP($G23,Profesores!$A$4:$C$33,3,FALSE),"no")</f>
        <v/>
      </c>
      <c r="O23" s="3">
        <f>($G23&amp;"#"&amp;$B23)</f>
        <v/>
      </c>
      <c r="P23" s="3">
        <f>IFERROR(VLOOKUP($O23,'Dias que asisten los contratados'!$A$4:$D$4,4,FALSE),"no")</f>
        <v/>
      </c>
      <c r="Q23" s="3">
        <f>IF(AND(NOT(($D23="")),(SUMPRODUCT((((($J23="no"))+(('Casillas del horario'!$C$4:$C$73&lt;&gt;($C23+1))*('Casillas del horario'!$C$4:$C$73&lt;&gt;($C23-1))))&gt;0)*('Casillas del horario'!$D$4:$D$73=$D23)*('Casillas del horario'!$B$4:$B$73=$B23)*('Casillas del horario'!$A$4:$A$73=$A23)*(ROW('Casillas del horario'!$A$4:$A$73)&lt;&gt;ROW($A23)))&gt;0)),"si","no")</f>
        <v/>
      </c>
      <c r="R23" s="3">
        <f>$A23&amp;"|"&amp;$C23&amp;"|"&amp;$B23</f>
        <v/>
      </c>
      <c r="S23" s="3">
        <f>$G23&amp;"|"&amp;$C23&amp;"|"&amp;$B23</f>
        <v/>
      </c>
      <c r="T23" s="3">
        <f>$I23&amp;"|"&amp;$C23&amp;"|"&amp;$B23</f>
        <v/>
      </c>
    </row>
    <row r="24">
      <c r="A24" s="3" t="inlineStr">
        <is>
          <t>10-3</t>
        </is>
      </c>
      <c r="B24" s="3" t="inlineStr">
        <is>
          <t>L</t>
        </is>
      </c>
      <c r="C24" s="3" t="n">
        <v>3</v>
      </c>
      <c r="D24" s="4" t="inlineStr">
        <is>
          <t>B</t>
        </is>
      </c>
      <c r="E24" s="3">
        <f>IFERROR(VLOOKUP($D24,Asignaturas!$A$4:$G$18,2,FALSE),"")</f>
        <v/>
      </c>
      <c r="F24" s="3">
        <f>($A24&amp;"#"&amp;$D24)</f>
        <v/>
      </c>
      <c r="G24" s="3">
        <f>IFERROR(VLOOKUP($F24,'Plan por grupo'!$A$4:$H$33,4,FALSE),"")</f>
        <v/>
      </c>
      <c r="H24" s="3">
        <f>IFERROR(VLOOKUP($D24,Asignaturas!$A$4:$G$18,7,FALSE),"")</f>
        <v/>
      </c>
      <c r="I24" s="3">
        <f>IF(($D24=""),"",IF(($H24=""),("Aula "&amp;$A24),$H24))</f>
        <v/>
      </c>
      <c r="J24" s="3">
        <f>IFERROR(VLOOKUP($D24,Asignaturas!$A$4:$G$18,4,FALSE),"no")</f>
        <v/>
      </c>
      <c r="K24" s="3">
        <f>IFERROR(VLOOKUP($D24,Asignaturas!$A$4:$G$18,5,FALSE),"no")</f>
        <v/>
      </c>
      <c r="L24" s="3">
        <f>IFERROR(VLOOKUP($D24,Asignaturas!$A$4:$G$18,6,FALSE),"")</f>
        <v/>
      </c>
      <c r="M24" s="3">
        <f>IFERROR(VLOOKUP($G24,Profesores!$A$4:$C$33,2,FALSE),"no")</f>
        <v/>
      </c>
      <c r="N24" s="3">
        <f>IFERROR(VLOOKUP($G24,Profesores!$A$4:$C$33,3,FALSE),"no")</f>
        <v/>
      </c>
      <c r="O24" s="3">
        <f>($G24&amp;"#"&amp;$B24)</f>
        <v/>
      </c>
      <c r="P24" s="3">
        <f>IFERROR(VLOOKUP($O24,'Dias que asisten los contratados'!$A$4:$D$4,4,FALSE),"no")</f>
        <v/>
      </c>
      <c r="Q24" s="3">
        <f>IF(AND(NOT(($D24="")),(SUMPRODUCT((((($J24="no"))+(('Casillas del horario'!$C$4:$C$73&lt;&gt;($C24+1))*('Casillas del horario'!$C$4:$C$73&lt;&gt;($C24-1))))&gt;0)*('Casillas del horario'!$D$4:$D$73=$D24)*('Casillas del horario'!$B$4:$B$73=$B24)*('Casillas del horario'!$A$4:$A$73=$A24)*(ROW('Casillas del horario'!$A$4:$A$73)&lt;&gt;ROW($A24)))&gt;0)),"si","no")</f>
        <v/>
      </c>
      <c r="R24" s="3">
        <f>$A24&amp;"|"&amp;$C24&amp;"|"&amp;$B24</f>
        <v/>
      </c>
      <c r="S24" s="3">
        <f>$G24&amp;"|"&amp;$C24&amp;"|"&amp;$B24</f>
        <v/>
      </c>
      <c r="T24" s="3">
        <f>$I24&amp;"|"&amp;$C24&amp;"|"&amp;$B24</f>
        <v/>
      </c>
    </row>
    <row r="25">
      <c r="A25" s="3" t="inlineStr">
        <is>
          <t>10-3</t>
        </is>
      </c>
      <c r="B25" s="3" t="inlineStr">
        <is>
          <t>M</t>
        </is>
      </c>
      <c r="C25" s="3" t="n">
        <v>3</v>
      </c>
      <c r="D25" s="4" t="inlineStr">
        <is>
          <t>CP</t>
        </is>
      </c>
      <c r="E25" s="3">
        <f>IFERROR(VLOOKUP($D25,Asignaturas!$A$4:$G$18,2,FALSE),"")</f>
        <v/>
      </c>
      <c r="F25" s="3">
        <f>($A25&amp;"#"&amp;$D25)</f>
        <v/>
      </c>
      <c r="G25" s="3">
        <f>IFERROR(VLOOKUP($F25,'Plan por grupo'!$A$4:$H$33,4,FALSE),"")</f>
        <v/>
      </c>
      <c r="H25" s="3">
        <f>IFERROR(VLOOKUP($D25,Asignaturas!$A$4:$G$18,7,FALSE),"")</f>
        <v/>
      </c>
      <c r="I25" s="3">
        <f>IF(($D25=""),"",IF(($H25=""),("Aula "&amp;$A25),$H25))</f>
        <v/>
      </c>
      <c r="J25" s="3">
        <f>IFERROR(VLOOKUP($D25,Asignaturas!$A$4:$G$18,4,FALSE),"no")</f>
        <v/>
      </c>
      <c r="K25" s="3">
        <f>IFERROR(VLOOKUP($D25,Asignaturas!$A$4:$G$18,5,FALSE),"no")</f>
        <v/>
      </c>
      <c r="L25" s="3">
        <f>IFERROR(VLOOKUP($D25,Asignaturas!$A$4:$G$18,6,FALSE),"")</f>
        <v/>
      </c>
      <c r="M25" s="3">
        <f>IFERROR(VLOOKUP($G25,Profesores!$A$4:$C$33,2,FALSE),"no")</f>
        <v/>
      </c>
      <c r="N25" s="3">
        <f>IFERROR(VLOOKUP($G25,Profesores!$A$4:$C$33,3,FALSE),"no")</f>
        <v/>
      </c>
      <c r="O25" s="3">
        <f>($G25&amp;"#"&amp;$B25)</f>
        <v/>
      </c>
      <c r="P25" s="3">
        <f>IFERROR(VLOOKUP($O25,'Dias que asisten los contratados'!$A$4:$D$4,4,FALSE),"no")</f>
        <v/>
      </c>
      <c r="Q25" s="3">
        <f>IF(AND(NOT(($D25="")),(SUMPRODUCT((((($J25="no"))+(('Casillas del horario'!$C$4:$C$73&lt;&gt;($C25+1))*('Casillas del horario'!$C$4:$C$73&lt;&gt;($C25-1))))&gt;0)*('Casillas del horario'!$D$4:$D$73=$D25)*('Casillas del horario'!$B$4:$B$73=$B25)*('Casillas del horario'!$A$4:$A$73=$A25)*(ROW('Casillas del horario'!$A$4:$A$73)&lt;&gt;ROW($A25)))&gt;0)),"si","no")</f>
        <v/>
      </c>
      <c r="R25" s="3">
        <f>$A25&amp;"|"&amp;$C25&amp;"|"&amp;$B25</f>
        <v/>
      </c>
      <c r="S25" s="3">
        <f>$G25&amp;"|"&amp;$C25&amp;"|"&amp;$B25</f>
        <v/>
      </c>
      <c r="T25" s="3">
        <f>$I25&amp;"|"&amp;$C25&amp;"|"&amp;$B25</f>
        <v/>
      </c>
    </row>
    <row r="26">
      <c r="A26" s="3" t="inlineStr">
        <is>
          <t>10-3</t>
        </is>
      </c>
      <c r="B26" s="3" t="inlineStr">
        <is>
          <t>MI</t>
        </is>
      </c>
      <c r="C26" s="3" t="n">
        <v>3</v>
      </c>
      <c r="D26" s="4" t="inlineStr">
        <is>
          <t>M</t>
        </is>
      </c>
      <c r="E26" s="3">
        <f>IFERROR(VLOOKUP($D26,Asignaturas!$A$4:$G$18,2,FALSE),"")</f>
        <v/>
      </c>
      <c r="F26" s="3">
        <f>($A26&amp;"#"&amp;$D26)</f>
        <v/>
      </c>
      <c r="G26" s="3">
        <f>IFERROR(VLOOKUP($F26,'Plan por grupo'!$A$4:$H$33,4,FALSE),"")</f>
        <v/>
      </c>
      <c r="H26" s="3">
        <f>IFERROR(VLOOKUP($D26,Asignaturas!$A$4:$G$18,7,FALSE),"")</f>
        <v/>
      </c>
      <c r="I26" s="3">
        <f>IF(($D26=""),"",IF(($H26=""),("Aula "&amp;$A26),$H26))</f>
        <v/>
      </c>
      <c r="J26" s="3">
        <f>IFERROR(VLOOKUP($D26,Asignaturas!$A$4:$G$18,4,FALSE),"no")</f>
        <v/>
      </c>
      <c r="K26" s="3">
        <f>IFERROR(VLOOKUP($D26,Asignaturas!$A$4:$G$18,5,FALSE),"no")</f>
        <v/>
      </c>
      <c r="L26" s="3">
        <f>IFERROR(VLOOKUP($D26,Asignaturas!$A$4:$G$18,6,FALSE),"")</f>
        <v/>
      </c>
      <c r="M26" s="3">
        <f>IFERROR(VLOOKUP($G26,Profesores!$A$4:$C$33,2,FALSE),"no")</f>
        <v/>
      </c>
      <c r="N26" s="3">
        <f>IFERROR(VLOOKUP($G26,Profesores!$A$4:$C$33,3,FALSE),"no")</f>
        <v/>
      </c>
      <c r="O26" s="3">
        <f>($G26&amp;"#"&amp;$B26)</f>
        <v/>
      </c>
      <c r="P26" s="3">
        <f>IFERROR(VLOOKUP($O26,'Dias que asisten los contratados'!$A$4:$D$4,4,FALSE),"no")</f>
        <v/>
      </c>
      <c r="Q26" s="3">
        <f>IF(AND(NOT(($D26="")),(SUMPRODUCT((((($J26="no"))+(('Casillas del horario'!$C$4:$C$73&lt;&gt;($C26+1))*('Casillas del horario'!$C$4:$C$73&lt;&gt;($C26-1))))&gt;0)*('Casillas del horario'!$D$4:$D$73=$D26)*('Casillas del horario'!$B$4:$B$73=$B26)*('Casillas del horario'!$A$4:$A$73=$A26)*(ROW('Casillas del horario'!$A$4:$A$73)&lt;&gt;ROW($A26)))&gt;0)),"si","no")</f>
        <v/>
      </c>
      <c r="R26" s="3">
        <f>$A26&amp;"|"&amp;$C26&amp;"|"&amp;$B26</f>
        <v/>
      </c>
      <c r="S26" s="3">
        <f>$G26&amp;"|"&amp;$C26&amp;"|"&amp;$B26</f>
        <v/>
      </c>
      <c r="T26" s="3">
        <f>$I26&amp;"|"&amp;$C26&amp;"|"&amp;$B26</f>
        <v/>
      </c>
    </row>
    <row r="27">
      <c r="A27" s="3" t="inlineStr">
        <is>
          <t>10-3</t>
        </is>
      </c>
      <c r="B27" s="3" t="inlineStr">
        <is>
          <t>J</t>
        </is>
      </c>
      <c r="C27" s="3" t="n">
        <v>3</v>
      </c>
      <c r="D27" s="4" t="inlineStr">
        <is>
          <t>Lit-L</t>
        </is>
      </c>
      <c r="E27" s="3">
        <f>IFERROR(VLOOKUP($D27,Asignaturas!$A$4:$G$18,2,FALSE),"")</f>
        <v/>
      </c>
      <c r="F27" s="3">
        <f>($A27&amp;"#"&amp;$D27)</f>
        <v/>
      </c>
      <c r="G27" s="3">
        <f>IFERROR(VLOOKUP($F27,'Plan por grupo'!$A$4:$H$33,4,FALSE),"")</f>
        <v/>
      </c>
      <c r="H27" s="3">
        <f>IFERROR(VLOOKUP($D27,Asignaturas!$A$4:$G$18,7,FALSE),"")</f>
        <v/>
      </c>
      <c r="I27" s="3">
        <f>IF(($D27=""),"",IF(($H27=""),("Aula "&amp;$A27),$H27))</f>
        <v/>
      </c>
      <c r="J27" s="3">
        <f>IFERROR(VLOOKUP($D27,Asignaturas!$A$4:$G$18,4,FALSE),"no")</f>
        <v/>
      </c>
      <c r="K27" s="3">
        <f>IFERROR(VLOOKUP($D27,Asignaturas!$A$4:$G$18,5,FALSE),"no")</f>
        <v/>
      </c>
      <c r="L27" s="3">
        <f>IFERROR(VLOOKUP($D27,Asignaturas!$A$4:$G$18,6,FALSE),"")</f>
        <v/>
      </c>
      <c r="M27" s="3">
        <f>IFERROR(VLOOKUP($G27,Profesores!$A$4:$C$33,2,FALSE),"no")</f>
        <v/>
      </c>
      <c r="N27" s="3">
        <f>IFERROR(VLOOKUP($G27,Profesores!$A$4:$C$33,3,FALSE),"no")</f>
        <v/>
      </c>
      <c r="O27" s="3">
        <f>($G27&amp;"#"&amp;$B27)</f>
        <v/>
      </c>
      <c r="P27" s="3">
        <f>IFERROR(VLOOKUP($O27,'Dias que asisten los contratados'!$A$4:$D$4,4,FALSE),"no")</f>
        <v/>
      </c>
      <c r="Q27" s="3">
        <f>IF(AND(NOT(($D27="")),(SUMPRODUCT((((($J27="no"))+(('Casillas del horario'!$C$4:$C$73&lt;&gt;($C27+1))*('Casillas del horario'!$C$4:$C$73&lt;&gt;($C27-1))))&gt;0)*('Casillas del horario'!$D$4:$D$73=$D27)*('Casillas del horario'!$B$4:$B$73=$B27)*('Casillas del horario'!$A$4:$A$73=$A27)*(ROW('Casillas del horario'!$A$4:$A$73)&lt;&gt;ROW($A27)))&gt;0)),"si","no")</f>
        <v/>
      </c>
      <c r="R27" s="3">
        <f>$A27&amp;"|"&amp;$C27&amp;"|"&amp;$B27</f>
        <v/>
      </c>
      <c r="S27" s="3">
        <f>$G27&amp;"|"&amp;$C27&amp;"|"&amp;$B27</f>
        <v/>
      </c>
      <c r="T27" s="3">
        <f>$I27&amp;"|"&amp;$C27&amp;"|"&amp;$B27</f>
        <v/>
      </c>
    </row>
    <row r="28">
      <c r="A28" s="3" t="inlineStr">
        <is>
          <t>10-3</t>
        </is>
      </c>
      <c r="B28" s="3" t="inlineStr">
        <is>
          <t>V</t>
        </is>
      </c>
      <c r="C28" s="3" t="n">
        <v>3</v>
      </c>
      <c r="D28" s="4" t="inlineStr">
        <is>
          <t>Q</t>
        </is>
      </c>
      <c r="E28" s="3">
        <f>IFERROR(VLOOKUP($D28,Asignaturas!$A$4:$G$18,2,FALSE),"")</f>
        <v/>
      </c>
      <c r="F28" s="3">
        <f>($A28&amp;"#"&amp;$D28)</f>
        <v/>
      </c>
      <c r="G28" s="3">
        <f>IFERROR(VLOOKUP($F28,'Plan por grupo'!$A$4:$H$33,4,FALSE),"")</f>
        <v/>
      </c>
      <c r="H28" s="3">
        <f>IFERROR(VLOOKUP($D28,Asignaturas!$A$4:$G$18,7,FALSE),"")</f>
        <v/>
      </c>
      <c r="I28" s="3">
        <f>IF(($D28=""),"",IF(($H28=""),("Aula "&amp;$A28),$H28))</f>
        <v/>
      </c>
      <c r="J28" s="3">
        <f>IFERROR(VLOOKUP($D28,Asignaturas!$A$4:$G$18,4,FALSE),"no")</f>
        <v/>
      </c>
      <c r="K28" s="3">
        <f>IFERROR(VLOOKUP($D28,Asignaturas!$A$4:$G$18,5,FALSE),"no")</f>
        <v/>
      </c>
      <c r="L28" s="3">
        <f>IFERROR(VLOOKUP($D28,Asignaturas!$A$4:$G$18,6,FALSE),"")</f>
        <v/>
      </c>
      <c r="M28" s="3">
        <f>IFERROR(VLOOKUP($G28,Profesores!$A$4:$C$33,2,FALSE),"no")</f>
        <v/>
      </c>
      <c r="N28" s="3">
        <f>IFERROR(VLOOKUP($G28,Profesores!$A$4:$C$33,3,FALSE),"no")</f>
        <v/>
      </c>
      <c r="O28" s="3">
        <f>($G28&amp;"#"&amp;$B28)</f>
        <v/>
      </c>
      <c r="P28" s="3">
        <f>IFERROR(VLOOKUP($O28,'Dias que asisten los contratados'!$A$4:$D$4,4,FALSE),"no")</f>
        <v/>
      </c>
      <c r="Q28" s="3">
        <f>IF(AND(NOT(($D28="")),(SUMPRODUCT((((($J28="no"))+(('Casillas del horario'!$C$4:$C$73&lt;&gt;($C28+1))*('Casillas del horario'!$C$4:$C$73&lt;&gt;($C28-1))))&gt;0)*('Casillas del horario'!$D$4:$D$73=$D28)*('Casillas del horario'!$B$4:$B$73=$B28)*('Casillas del horario'!$A$4:$A$73=$A28)*(ROW('Casillas del horario'!$A$4:$A$73)&lt;&gt;ROW($A28)))&gt;0)),"si","no")</f>
        <v/>
      </c>
      <c r="R28" s="3">
        <f>$A28&amp;"|"&amp;$C28&amp;"|"&amp;$B28</f>
        <v/>
      </c>
      <c r="S28" s="3">
        <f>$G28&amp;"|"&amp;$C28&amp;"|"&amp;$B28</f>
        <v/>
      </c>
      <c r="T28" s="3">
        <f>$I28&amp;"|"&amp;$C28&amp;"|"&amp;$B28</f>
        <v/>
      </c>
    </row>
    <row r="29">
      <c r="A29" s="3" t="inlineStr">
        <is>
          <t>10-4</t>
        </is>
      </c>
      <c r="B29" s="3" t="inlineStr">
        <is>
          <t>L</t>
        </is>
      </c>
      <c r="C29" s="3" t="n">
        <v>3</v>
      </c>
      <c r="D29" s="4" t="inlineStr">
        <is>
          <t>EF</t>
        </is>
      </c>
      <c r="E29" s="3">
        <f>IFERROR(VLOOKUP($D29,Asignaturas!$A$4:$G$18,2,FALSE),"")</f>
        <v/>
      </c>
      <c r="F29" s="3">
        <f>($A29&amp;"#"&amp;$D29)</f>
        <v/>
      </c>
      <c r="G29" s="3">
        <f>IFERROR(VLOOKUP($F29,'Plan por grupo'!$A$4:$H$33,4,FALSE),"")</f>
        <v/>
      </c>
      <c r="H29" s="3">
        <f>IFERROR(VLOOKUP($D29,Asignaturas!$A$4:$G$18,7,FALSE),"")</f>
        <v/>
      </c>
      <c r="I29" s="3">
        <f>IF(($D29=""),"",IF(($H29=""),("Aula "&amp;$A29),$H29))</f>
        <v/>
      </c>
      <c r="J29" s="3">
        <f>IFERROR(VLOOKUP($D29,Asignaturas!$A$4:$G$18,4,FALSE),"no")</f>
        <v/>
      </c>
      <c r="K29" s="3">
        <f>IFERROR(VLOOKUP($D29,Asignaturas!$A$4:$G$18,5,FALSE),"no")</f>
        <v/>
      </c>
      <c r="L29" s="3">
        <f>IFERROR(VLOOKUP($D29,Asignaturas!$A$4:$G$18,6,FALSE),"")</f>
        <v/>
      </c>
      <c r="M29" s="3">
        <f>IFERROR(VLOOKUP($G29,Profesores!$A$4:$C$33,2,FALSE),"no")</f>
        <v/>
      </c>
      <c r="N29" s="3">
        <f>IFERROR(VLOOKUP($G29,Profesores!$A$4:$C$33,3,FALSE),"no")</f>
        <v/>
      </c>
      <c r="O29" s="3">
        <f>($G29&amp;"#"&amp;$B29)</f>
        <v/>
      </c>
      <c r="P29" s="3">
        <f>IFERROR(VLOOKUP($O29,'Dias que asisten los contratados'!$A$4:$D$4,4,FALSE),"no")</f>
        <v/>
      </c>
      <c r="Q29" s="3">
        <f>IF(AND(NOT(($D29="")),(SUMPRODUCT((((($J29="no"))+(('Casillas del horario'!$C$4:$C$73&lt;&gt;($C29+1))*('Casillas del horario'!$C$4:$C$73&lt;&gt;($C29-1))))&gt;0)*('Casillas del horario'!$D$4:$D$73=$D29)*('Casillas del horario'!$B$4:$B$73=$B29)*('Casillas del horario'!$A$4:$A$73=$A29)*(ROW('Casillas del horario'!$A$4:$A$73)&lt;&gt;ROW($A29)))&gt;0)),"si","no")</f>
        <v/>
      </c>
      <c r="R29" s="3">
        <f>$A29&amp;"|"&amp;$C29&amp;"|"&amp;$B29</f>
        <v/>
      </c>
      <c r="S29" s="3">
        <f>$G29&amp;"|"&amp;$C29&amp;"|"&amp;$B29</f>
        <v/>
      </c>
      <c r="T29" s="3">
        <f>$I29&amp;"|"&amp;$C29&amp;"|"&amp;$B29</f>
        <v/>
      </c>
    </row>
    <row r="30">
      <c r="A30" s="3" t="inlineStr">
        <is>
          <t>10-4</t>
        </is>
      </c>
      <c r="B30" s="3" t="inlineStr">
        <is>
          <t>M</t>
        </is>
      </c>
      <c r="C30" s="3" t="n">
        <v>3</v>
      </c>
      <c r="D30" s="4" t="inlineStr">
        <is>
          <t>B</t>
        </is>
      </c>
      <c r="E30" s="3">
        <f>IFERROR(VLOOKUP($D30,Asignaturas!$A$4:$G$18,2,FALSE),"")</f>
        <v/>
      </c>
      <c r="F30" s="3">
        <f>($A30&amp;"#"&amp;$D30)</f>
        <v/>
      </c>
      <c r="G30" s="3">
        <f>IFERROR(VLOOKUP($F30,'Plan por grupo'!$A$4:$H$33,4,FALSE),"")</f>
        <v/>
      </c>
      <c r="H30" s="3">
        <f>IFERROR(VLOOKUP($D30,Asignaturas!$A$4:$G$18,7,FALSE),"")</f>
        <v/>
      </c>
      <c r="I30" s="3">
        <f>IF(($D30=""),"",IF(($H30=""),("Aula "&amp;$A30),$H30))</f>
        <v/>
      </c>
      <c r="J30" s="3">
        <f>IFERROR(VLOOKUP($D30,Asignaturas!$A$4:$G$18,4,FALSE),"no")</f>
        <v/>
      </c>
      <c r="K30" s="3">
        <f>IFERROR(VLOOKUP($D30,Asignaturas!$A$4:$G$18,5,FALSE),"no")</f>
        <v/>
      </c>
      <c r="L30" s="3">
        <f>IFERROR(VLOOKUP($D30,Asignaturas!$A$4:$G$18,6,FALSE),"")</f>
        <v/>
      </c>
      <c r="M30" s="3">
        <f>IFERROR(VLOOKUP($G30,Profesores!$A$4:$C$33,2,FALSE),"no")</f>
        <v/>
      </c>
      <c r="N30" s="3">
        <f>IFERROR(VLOOKUP($G30,Profesores!$A$4:$C$33,3,FALSE),"no")</f>
        <v/>
      </c>
      <c r="O30" s="3">
        <f>($G30&amp;"#"&amp;$B30)</f>
        <v/>
      </c>
      <c r="P30" s="3">
        <f>IFERROR(VLOOKUP($O30,'Dias que asisten los contratados'!$A$4:$D$4,4,FALSE),"no")</f>
        <v/>
      </c>
      <c r="Q30" s="3">
        <f>IF(AND(NOT(($D30="")),(SUMPRODUCT((((($J30="no"))+(('Casillas del horario'!$C$4:$C$73&lt;&gt;($C30+1))*('Casillas del horario'!$C$4:$C$73&lt;&gt;($C30-1))))&gt;0)*('Casillas del horario'!$D$4:$D$73=$D30)*('Casillas del horario'!$B$4:$B$73=$B30)*('Casillas del horario'!$A$4:$A$73=$A30)*(ROW('Casillas del horario'!$A$4:$A$73)&lt;&gt;ROW($A30)))&gt;0)),"si","no")</f>
        <v/>
      </c>
      <c r="R30" s="3">
        <f>$A30&amp;"|"&amp;$C30&amp;"|"&amp;$B30</f>
        <v/>
      </c>
      <c r="S30" s="3">
        <f>$G30&amp;"|"&amp;$C30&amp;"|"&amp;$B30</f>
        <v/>
      </c>
      <c r="T30" s="3">
        <f>$I30&amp;"|"&amp;$C30&amp;"|"&amp;$B30</f>
        <v/>
      </c>
    </row>
    <row r="31">
      <c r="A31" s="3" t="inlineStr">
        <is>
          <t>10-4</t>
        </is>
      </c>
      <c r="B31" s="3" t="inlineStr">
        <is>
          <t>MI</t>
        </is>
      </c>
      <c r="C31" s="3" t="n">
        <v>3</v>
      </c>
      <c r="D31" s="4" t="inlineStr">
        <is>
          <t>M</t>
        </is>
      </c>
      <c r="E31" s="3">
        <f>IFERROR(VLOOKUP($D31,Asignaturas!$A$4:$G$18,2,FALSE),"")</f>
        <v/>
      </c>
      <c r="F31" s="3">
        <f>($A31&amp;"#"&amp;$D31)</f>
        <v/>
      </c>
      <c r="G31" s="3">
        <f>IFERROR(VLOOKUP($F31,'Plan por grupo'!$A$4:$H$33,4,FALSE),"")</f>
        <v/>
      </c>
      <c r="H31" s="3">
        <f>IFERROR(VLOOKUP($D31,Asignaturas!$A$4:$G$18,7,FALSE),"")</f>
        <v/>
      </c>
      <c r="I31" s="3">
        <f>IF(($D31=""),"",IF(($H31=""),("Aula "&amp;$A31),$H31))</f>
        <v/>
      </c>
      <c r="J31" s="3">
        <f>IFERROR(VLOOKUP($D31,Asignaturas!$A$4:$G$18,4,FALSE),"no")</f>
        <v/>
      </c>
      <c r="K31" s="3">
        <f>IFERROR(VLOOKUP($D31,Asignaturas!$A$4:$G$18,5,FALSE),"no")</f>
        <v/>
      </c>
      <c r="L31" s="3">
        <f>IFERROR(VLOOKUP($D31,Asignaturas!$A$4:$G$18,6,FALSE),"")</f>
        <v/>
      </c>
      <c r="M31" s="3">
        <f>IFERROR(VLOOKUP($G31,Profesores!$A$4:$C$33,2,FALSE),"no")</f>
        <v/>
      </c>
      <c r="N31" s="3">
        <f>IFERROR(VLOOKUP($G31,Profesores!$A$4:$C$33,3,FALSE),"no")</f>
        <v/>
      </c>
      <c r="O31" s="3">
        <f>($G31&amp;"#"&amp;$B31)</f>
        <v/>
      </c>
      <c r="P31" s="3">
        <f>IFERROR(VLOOKUP($O31,'Dias que asisten los contratados'!$A$4:$D$4,4,FALSE),"no")</f>
        <v/>
      </c>
      <c r="Q31" s="3">
        <f>IF(AND(NOT(($D31="")),(SUMPRODUCT((((($J31="no"))+(('Casillas del horario'!$C$4:$C$73&lt;&gt;($C31+1))*('Casillas del horario'!$C$4:$C$73&lt;&gt;($C31-1))))&gt;0)*('Casillas del horario'!$D$4:$D$73=$D31)*('Casillas del horario'!$B$4:$B$73=$B31)*('Casillas del horario'!$A$4:$A$73=$A31)*(ROW('Casillas del horario'!$A$4:$A$73)&lt;&gt;ROW($A31)))&gt;0)),"si","no")</f>
        <v/>
      </c>
      <c r="R31" s="3">
        <f>$A31&amp;"|"&amp;$C31&amp;"|"&amp;$B31</f>
        <v/>
      </c>
      <c r="S31" s="3">
        <f>$G31&amp;"|"&amp;$C31&amp;"|"&amp;$B31</f>
        <v/>
      </c>
      <c r="T31" s="3">
        <f>$I31&amp;"|"&amp;$C31&amp;"|"&amp;$B31</f>
        <v/>
      </c>
    </row>
    <row r="32">
      <c r="A32" s="3" t="inlineStr">
        <is>
          <t>10-4</t>
        </is>
      </c>
      <c r="B32" s="3" t="inlineStr">
        <is>
          <t>J</t>
        </is>
      </c>
      <c r="C32" s="3" t="n">
        <v>3</v>
      </c>
      <c r="D32" s="4" t="inlineStr">
        <is>
          <t>M</t>
        </is>
      </c>
      <c r="E32" s="3">
        <f>IFERROR(VLOOKUP($D32,Asignaturas!$A$4:$G$18,2,FALSE),"")</f>
        <v/>
      </c>
      <c r="F32" s="3">
        <f>($A32&amp;"#"&amp;$D32)</f>
        <v/>
      </c>
      <c r="G32" s="3">
        <f>IFERROR(VLOOKUP($F32,'Plan por grupo'!$A$4:$H$33,4,FALSE),"")</f>
        <v/>
      </c>
      <c r="H32" s="3">
        <f>IFERROR(VLOOKUP($D32,Asignaturas!$A$4:$G$18,7,FALSE),"")</f>
        <v/>
      </c>
      <c r="I32" s="3">
        <f>IF(($D32=""),"",IF(($H32=""),("Aula "&amp;$A32),$H32))</f>
        <v/>
      </c>
      <c r="J32" s="3">
        <f>IFERROR(VLOOKUP($D32,Asignaturas!$A$4:$G$18,4,FALSE),"no")</f>
        <v/>
      </c>
      <c r="K32" s="3">
        <f>IFERROR(VLOOKUP($D32,Asignaturas!$A$4:$G$18,5,FALSE),"no")</f>
        <v/>
      </c>
      <c r="L32" s="3">
        <f>IFERROR(VLOOKUP($D32,Asignaturas!$A$4:$G$18,6,FALSE),"")</f>
        <v/>
      </c>
      <c r="M32" s="3">
        <f>IFERROR(VLOOKUP($G32,Profesores!$A$4:$C$33,2,FALSE),"no")</f>
        <v/>
      </c>
      <c r="N32" s="3">
        <f>IFERROR(VLOOKUP($G32,Profesores!$A$4:$C$33,3,FALSE),"no")</f>
        <v/>
      </c>
      <c r="O32" s="3">
        <f>($G32&amp;"#"&amp;$B32)</f>
        <v/>
      </c>
      <c r="P32" s="3">
        <f>IFERROR(VLOOKUP($O32,'Dias que asisten los contratados'!$A$4:$D$4,4,FALSE),"no")</f>
        <v/>
      </c>
      <c r="Q32" s="3">
        <f>IF(AND(NOT(($D32="")),(SUMPRODUCT((((($J32="no"))+(('Casillas del horario'!$C$4:$C$73&lt;&gt;($C32+1))*('Casillas del horario'!$C$4:$C$73&lt;&gt;($C32-1))))&gt;0)*('Casillas del horario'!$D$4:$D$73=$D32)*('Casillas del horario'!$B$4:$B$73=$B32)*('Casillas del horario'!$A$4:$A$73=$A32)*(ROW('Casillas del horario'!$A$4:$A$73)&lt;&gt;ROW($A32)))&gt;0)),"si","no")</f>
        <v/>
      </c>
      <c r="R32" s="3">
        <f>$A32&amp;"|"&amp;$C32&amp;"|"&amp;$B32</f>
        <v/>
      </c>
      <c r="S32" s="3">
        <f>$G32&amp;"|"&amp;$C32&amp;"|"&amp;$B32</f>
        <v/>
      </c>
      <c r="T32" s="3">
        <f>$I32&amp;"|"&amp;$C32&amp;"|"&amp;$B32</f>
        <v/>
      </c>
    </row>
    <row r="33">
      <c r="A33" s="3" t="inlineStr">
        <is>
          <t>10-4</t>
        </is>
      </c>
      <c r="B33" s="3" t="inlineStr">
        <is>
          <t>V</t>
        </is>
      </c>
      <c r="C33" s="3" t="n">
        <v>3</v>
      </c>
      <c r="D33" s="4" t="inlineStr">
        <is>
          <t>F</t>
        </is>
      </c>
      <c r="E33" s="3">
        <f>IFERROR(VLOOKUP($D33,Asignaturas!$A$4:$G$18,2,FALSE),"")</f>
        <v/>
      </c>
      <c r="F33" s="3">
        <f>($A33&amp;"#"&amp;$D33)</f>
        <v/>
      </c>
      <c r="G33" s="3">
        <f>IFERROR(VLOOKUP($F33,'Plan por grupo'!$A$4:$H$33,4,FALSE),"")</f>
        <v/>
      </c>
      <c r="H33" s="3">
        <f>IFERROR(VLOOKUP($D33,Asignaturas!$A$4:$G$18,7,FALSE),"")</f>
        <v/>
      </c>
      <c r="I33" s="3">
        <f>IF(($D33=""),"",IF(($H33=""),("Aula "&amp;$A33),$H33))</f>
        <v/>
      </c>
      <c r="J33" s="3">
        <f>IFERROR(VLOOKUP($D33,Asignaturas!$A$4:$G$18,4,FALSE),"no")</f>
        <v/>
      </c>
      <c r="K33" s="3">
        <f>IFERROR(VLOOKUP($D33,Asignaturas!$A$4:$G$18,5,FALSE),"no")</f>
        <v/>
      </c>
      <c r="L33" s="3">
        <f>IFERROR(VLOOKUP($D33,Asignaturas!$A$4:$G$18,6,FALSE),"")</f>
        <v/>
      </c>
      <c r="M33" s="3">
        <f>IFERROR(VLOOKUP($G33,Profesores!$A$4:$C$33,2,FALSE),"no")</f>
        <v/>
      </c>
      <c r="N33" s="3">
        <f>IFERROR(VLOOKUP($G33,Profesores!$A$4:$C$33,3,FALSE),"no")</f>
        <v/>
      </c>
      <c r="O33" s="3">
        <f>($G33&amp;"#"&amp;$B33)</f>
        <v/>
      </c>
      <c r="P33" s="3">
        <f>IFERROR(VLOOKUP($O33,'Dias que asisten los contratados'!$A$4:$D$4,4,FALSE),"no")</f>
        <v/>
      </c>
      <c r="Q33" s="3">
        <f>IF(AND(NOT(($D33="")),(SUMPRODUCT((((($J33="no"))+(('Casillas del horario'!$C$4:$C$73&lt;&gt;($C33+1))*('Casillas del horario'!$C$4:$C$73&lt;&gt;($C33-1))))&gt;0)*('Casillas del horario'!$D$4:$D$73=$D33)*('Casillas del horario'!$B$4:$B$73=$B33)*('Casillas del horario'!$A$4:$A$73=$A33)*(ROW('Casillas del horario'!$A$4:$A$73)&lt;&gt;ROW($A33)))&gt;0)),"si","no")</f>
        <v/>
      </c>
      <c r="R33" s="3">
        <f>$A33&amp;"|"&amp;$C33&amp;"|"&amp;$B33</f>
        <v/>
      </c>
      <c r="S33" s="3">
        <f>$G33&amp;"|"&amp;$C33&amp;"|"&amp;$B33</f>
        <v/>
      </c>
      <c r="T33" s="3">
        <f>$I33&amp;"|"&amp;$C33&amp;"|"&amp;$B33</f>
        <v/>
      </c>
    </row>
    <row r="34">
      <c r="A34" s="3" t="inlineStr">
        <is>
          <t>10-3</t>
        </is>
      </c>
      <c r="B34" s="3" t="inlineStr">
        <is>
          <t>L</t>
        </is>
      </c>
      <c r="C34" s="3" t="n">
        <v>4</v>
      </c>
      <c r="D34" s="4" t="inlineStr">
        <is>
          <t>Lit-L</t>
        </is>
      </c>
      <c r="E34" s="3">
        <f>IFERROR(VLOOKUP($D34,Asignaturas!$A$4:$G$18,2,FALSE),"")</f>
        <v/>
      </c>
      <c r="F34" s="3">
        <f>($A34&amp;"#"&amp;$D34)</f>
        <v/>
      </c>
      <c r="G34" s="3">
        <f>IFERROR(VLOOKUP($F34,'Plan por grupo'!$A$4:$H$33,4,FALSE),"")</f>
        <v/>
      </c>
      <c r="H34" s="3">
        <f>IFERROR(VLOOKUP($D34,Asignaturas!$A$4:$G$18,7,FALSE),"")</f>
        <v/>
      </c>
      <c r="I34" s="3">
        <f>IF(($D34=""),"",IF(($H34=""),("Aula "&amp;$A34),$H34))</f>
        <v/>
      </c>
      <c r="J34" s="3">
        <f>IFERROR(VLOOKUP($D34,Asignaturas!$A$4:$G$18,4,FALSE),"no")</f>
        <v/>
      </c>
      <c r="K34" s="3">
        <f>IFERROR(VLOOKUP($D34,Asignaturas!$A$4:$G$18,5,FALSE),"no")</f>
        <v/>
      </c>
      <c r="L34" s="3">
        <f>IFERROR(VLOOKUP($D34,Asignaturas!$A$4:$G$18,6,FALSE),"")</f>
        <v/>
      </c>
      <c r="M34" s="3">
        <f>IFERROR(VLOOKUP($G34,Profesores!$A$4:$C$33,2,FALSE),"no")</f>
        <v/>
      </c>
      <c r="N34" s="3">
        <f>IFERROR(VLOOKUP($G34,Profesores!$A$4:$C$33,3,FALSE),"no")</f>
        <v/>
      </c>
      <c r="O34" s="3">
        <f>($G34&amp;"#"&amp;$B34)</f>
        <v/>
      </c>
      <c r="P34" s="3">
        <f>IFERROR(VLOOKUP($O34,'Dias que asisten los contratados'!$A$4:$D$4,4,FALSE),"no")</f>
        <v/>
      </c>
      <c r="Q34" s="3">
        <f>IF(AND(NOT(($D34="")),(SUMPRODUCT((((($J34="no"))+(('Casillas del horario'!$C$4:$C$73&lt;&gt;($C34+1))*('Casillas del horario'!$C$4:$C$73&lt;&gt;($C34-1))))&gt;0)*('Casillas del horario'!$D$4:$D$73=$D34)*('Casillas del horario'!$B$4:$B$73=$B34)*('Casillas del horario'!$A$4:$A$73=$A34)*(ROW('Casillas del horario'!$A$4:$A$73)&lt;&gt;ROW($A34)))&gt;0)),"si","no")</f>
        <v/>
      </c>
      <c r="R34" s="3">
        <f>$A34&amp;"|"&amp;$C34&amp;"|"&amp;$B34</f>
        <v/>
      </c>
      <c r="S34" s="3">
        <f>$G34&amp;"|"&amp;$C34&amp;"|"&amp;$B34</f>
        <v/>
      </c>
      <c r="T34" s="3">
        <f>$I34&amp;"|"&amp;$C34&amp;"|"&amp;$B34</f>
        <v/>
      </c>
    </row>
    <row r="35">
      <c r="A35" s="3" t="inlineStr">
        <is>
          <t>10-3</t>
        </is>
      </c>
      <c r="B35" s="3" t="inlineStr">
        <is>
          <t>M</t>
        </is>
      </c>
      <c r="C35" s="3" t="n">
        <v>4</v>
      </c>
      <c r="D35" s="4" t="inlineStr">
        <is>
          <t>Lit-L</t>
        </is>
      </c>
      <c r="E35" s="3">
        <f>IFERROR(VLOOKUP($D35,Asignaturas!$A$4:$G$18,2,FALSE),"")</f>
        <v/>
      </c>
      <c r="F35" s="3">
        <f>($A35&amp;"#"&amp;$D35)</f>
        <v/>
      </c>
      <c r="G35" s="3">
        <f>IFERROR(VLOOKUP($F35,'Plan por grupo'!$A$4:$H$33,4,FALSE),"")</f>
        <v/>
      </c>
      <c r="H35" s="3">
        <f>IFERROR(VLOOKUP($D35,Asignaturas!$A$4:$G$18,7,FALSE),"")</f>
        <v/>
      </c>
      <c r="I35" s="3">
        <f>IF(($D35=""),"",IF(($H35=""),("Aula "&amp;$A35),$H35))</f>
        <v/>
      </c>
      <c r="J35" s="3">
        <f>IFERROR(VLOOKUP($D35,Asignaturas!$A$4:$G$18,4,FALSE),"no")</f>
        <v/>
      </c>
      <c r="K35" s="3">
        <f>IFERROR(VLOOKUP($D35,Asignaturas!$A$4:$G$18,5,FALSE),"no")</f>
        <v/>
      </c>
      <c r="L35" s="3">
        <f>IFERROR(VLOOKUP($D35,Asignaturas!$A$4:$G$18,6,FALSE),"")</f>
        <v/>
      </c>
      <c r="M35" s="3">
        <f>IFERROR(VLOOKUP($G35,Profesores!$A$4:$C$33,2,FALSE),"no")</f>
        <v/>
      </c>
      <c r="N35" s="3">
        <f>IFERROR(VLOOKUP($G35,Profesores!$A$4:$C$33,3,FALSE),"no")</f>
        <v/>
      </c>
      <c r="O35" s="3">
        <f>($G35&amp;"#"&amp;$B35)</f>
        <v/>
      </c>
      <c r="P35" s="3">
        <f>IFERROR(VLOOKUP($O35,'Dias que asisten los contratados'!$A$4:$D$4,4,FALSE),"no")</f>
        <v/>
      </c>
      <c r="Q35" s="3">
        <f>IF(AND(NOT(($D35="")),(SUMPRODUCT((((($J35="no"))+(('Casillas del horario'!$C$4:$C$73&lt;&gt;($C35+1))*('Casillas del horario'!$C$4:$C$73&lt;&gt;($C35-1))))&gt;0)*('Casillas del horario'!$D$4:$D$73=$D35)*('Casillas del horario'!$B$4:$B$73=$B35)*('Casillas del horario'!$A$4:$A$73=$A35)*(ROW('Casillas del horario'!$A$4:$A$73)&lt;&gt;ROW($A35)))&gt;0)),"si","no")</f>
        <v/>
      </c>
      <c r="R35" s="3">
        <f>$A35&amp;"|"&amp;$C35&amp;"|"&amp;$B35</f>
        <v/>
      </c>
      <c r="S35" s="3">
        <f>$G35&amp;"|"&amp;$C35&amp;"|"&amp;$B35</f>
        <v/>
      </c>
      <c r="T35" s="3">
        <f>$I35&amp;"|"&amp;$C35&amp;"|"&amp;$B35</f>
        <v/>
      </c>
    </row>
    <row r="36">
      <c r="A36" s="3" t="inlineStr">
        <is>
          <t>10-3</t>
        </is>
      </c>
      <c r="B36" s="3" t="inlineStr">
        <is>
          <t>MI</t>
        </is>
      </c>
      <c r="C36" s="3" t="n">
        <v>4</v>
      </c>
      <c r="D36" s="4" t="inlineStr">
        <is>
          <t>H</t>
        </is>
      </c>
      <c r="E36" s="3">
        <f>IFERROR(VLOOKUP($D36,Asignaturas!$A$4:$G$18,2,FALSE),"")</f>
        <v/>
      </c>
      <c r="F36" s="3">
        <f>($A36&amp;"#"&amp;$D36)</f>
        <v/>
      </c>
      <c r="G36" s="3">
        <f>IFERROR(VLOOKUP($F36,'Plan por grupo'!$A$4:$H$33,4,FALSE),"")</f>
        <v/>
      </c>
      <c r="H36" s="3">
        <f>IFERROR(VLOOKUP($D36,Asignaturas!$A$4:$G$18,7,FALSE),"")</f>
        <v/>
      </c>
      <c r="I36" s="3">
        <f>IF(($D36=""),"",IF(($H36=""),("Aula "&amp;$A36),$H36))</f>
        <v/>
      </c>
      <c r="J36" s="3">
        <f>IFERROR(VLOOKUP($D36,Asignaturas!$A$4:$G$18,4,FALSE),"no")</f>
        <v/>
      </c>
      <c r="K36" s="3">
        <f>IFERROR(VLOOKUP($D36,Asignaturas!$A$4:$G$18,5,FALSE),"no")</f>
        <v/>
      </c>
      <c r="L36" s="3">
        <f>IFERROR(VLOOKUP($D36,Asignaturas!$A$4:$G$18,6,FALSE),"")</f>
        <v/>
      </c>
      <c r="M36" s="3">
        <f>IFERROR(VLOOKUP($G36,Profesores!$A$4:$C$33,2,FALSE),"no")</f>
        <v/>
      </c>
      <c r="N36" s="3">
        <f>IFERROR(VLOOKUP($G36,Profesores!$A$4:$C$33,3,FALSE),"no")</f>
        <v/>
      </c>
      <c r="O36" s="3">
        <f>($G36&amp;"#"&amp;$B36)</f>
        <v/>
      </c>
      <c r="P36" s="3">
        <f>IFERROR(VLOOKUP($O36,'Dias que asisten los contratados'!$A$4:$D$4,4,FALSE),"no")</f>
        <v/>
      </c>
      <c r="Q36" s="3">
        <f>IF(AND(NOT(($D36="")),(SUMPRODUCT((((($J36="no"))+(('Casillas del horario'!$C$4:$C$73&lt;&gt;($C36+1))*('Casillas del horario'!$C$4:$C$73&lt;&gt;($C36-1))))&gt;0)*('Casillas del horario'!$D$4:$D$73=$D36)*('Casillas del horario'!$B$4:$B$73=$B36)*('Casillas del horario'!$A$4:$A$73=$A36)*(ROW('Casillas del horario'!$A$4:$A$73)&lt;&gt;ROW($A36)))&gt;0)),"si","no")</f>
        <v/>
      </c>
      <c r="R36" s="3">
        <f>$A36&amp;"|"&amp;$C36&amp;"|"&amp;$B36</f>
        <v/>
      </c>
      <c r="S36" s="3">
        <f>$G36&amp;"|"&amp;$C36&amp;"|"&amp;$B36</f>
        <v/>
      </c>
      <c r="T36" s="3">
        <f>$I36&amp;"|"&amp;$C36&amp;"|"&amp;$B36</f>
        <v/>
      </c>
    </row>
    <row r="37">
      <c r="A37" s="3" t="inlineStr">
        <is>
          <t>10-3</t>
        </is>
      </c>
      <c r="B37" s="3" t="inlineStr">
        <is>
          <t>J</t>
        </is>
      </c>
      <c r="C37" s="3" t="n">
        <v>4</v>
      </c>
      <c r="D37" s="4" t="inlineStr">
        <is>
          <t>Lit-L</t>
        </is>
      </c>
      <c r="E37" s="3">
        <f>IFERROR(VLOOKUP($D37,Asignaturas!$A$4:$G$18,2,FALSE),"")</f>
        <v/>
      </c>
      <c r="F37" s="3">
        <f>($A37&amp;"#"&amp;$D37)</f>
        <v/>
      </c>
      <c r="G37" s="3">
        <f>IFERROR(VLOOKUP($F37,'Plan por grupo'!$A$4:$H$33,4,FALSE),"")</f>
        <v/>
      </c>
      <c r="H37" s="3">
        <f>IFERROR(VLOOKUP($D37,Asignaturas!$A$4:$G$18,7,FALSE),"")</f>
        <v/>
      </c>
      <c r="I37" s="3">
        <f>IF(($D37=""),"",IF(($H37=""),("Aula "&amp;$A37),$H37))</f>
        <v/>
      </c>
      <c r="J37" s="3">
        <f>IFERROR(VLOOKUP($D37,Asignaturas!$A$4:$G$18,4,FALSE),"no")</f>
        <v/>
      </c>
      <c r="K37" s="3">
        <f>IFERROR(VLOOKUP($D37,Asignaturas!$A$4:$G$18,5,FALSE),"no")</f>
        <v/>
      </c>
      <c r="L37" s="3">
        <f>IFERROR(VLOOKUP($D37,Asignaturas!$A$4:$G$18,6,FALSE),"")</f>
        <v/>
      </c>
      <c r="M37" s="3">
        <f>IFERROR(VLOOKUP($G37,Profesores!$A$4:$C$33,2,FALSE),"no")</f>
        <v/>
      </c>
      <c r="N37" s="3">
        <f>IFERROR(VLOOKUP($G37,Profesores!$A$4:$C$33,3,FALSE),"no")</f>
        <v/>
      </c>
      <c r="O37" s="3">
        <f>($G37&amp;"#"&amp;$B37)</f>
        <v/>
      </c>
      <c r="P37" s="3">
        <f>IFERROR(VLOOKUP($O37,'Dias que asisten los contratados'!$A$4:$D$4,4,FALSE),"no")</f>
        <v/>
      </c>
      <c r="Q37" s="3">
        <f>IF(AND(NOT(($D37="")),(SUMPRODUCT((((($J37="no"))+(('Casillas del horario'!$C$4:$C$73&lt;&gt;($C37+1))*('Casillas del horario'!$C$4:$C$73&lt;&gt;($C37-1))))&gt;0)*('Casillas del horario'!$D$4:$D$73=$D37)*('Casillas del horario'!$B$4:$B$73=$B37)*('Casillas del horario'!$A$4:$A$73=$A37)*(ROW('Casillas del horario'!$A$4:$A$73)&lt;&gt;ROW($A37)))&gt;0)),"si","no")</f>
        <v/>
      </c>
      <c r="R37" s="3">
        <f>$A37&amp;"|"&amp;$C37&amp;"|"&amp;$B37</f>
        <v/>
      </c>
      <c r="S37" s="3">
        <f>$G37&amp;"|"&amp;$C37&amp;"|"&amp;$B37</f>
        <v/>
      </c>
      <c r="T37" s="3">
        <f>$I37&amp;"|"&amp;$C37&amp;"|"&amp;$B37</f>
        <v/>
      </c>
    </row>
    <row r="38">
      <c r="A38" s="3" t="inlineStr">
        <is>
          <t>10-3</t>
        </is>
      </c>
      <c r="B38" s="3" t="inlineStr">
        <is>
          <t>V</t>
        </is>
      </c>
      <c r="C38" s="3" t="n">
        <v>4</v>
      </c>
      <c r="D38" s="4" t="inlineStr">
        <is>
          <t>I</t>
        </is>
      </c>
      <c r="E38" s="3">
        <f>IFERROR(VLOOKUP($D38,Asignaturas!$A$4:$G$18,2,FALSE),"")</f>
        <v/>
      </c>
      <c r="F38" s="3">
        <f>($A38&amp;"#"&amp;$D38)</f>
        <v/>
      </c>
      <c r="G38" s="3">
        <f>IFERROR(VLOOKUP($F38,'Plan por grupo'!$A$4:$H$33,4,FALSE),"")</f>
        <v/>
      </c>
      <c r="H38" s="3">
        <f>IFERROR(VLOOKUP($D38,Asignaturas!$A$4:$G$18,7,FALSE),"")</f>
        <v/>
      </c>
      <c r="I38" s="3">
        <f>IF(($D38=""),"",IF(($H38=""),("Aula "&amp;$A38),$H38))</f>
        <v/>
      </c>
      <c r="J38" s="3">
        <f>IFERROR(VLOOKUP($D38,Asignaturas!$A$4:$G$18,4,FALSE),"no")</f>
        <v/>
      </c>
      <c r="K38" s="3">
        <f>IFERROR(VLOOKUP($D38,Asignaturas!$A$4:$G$18,5,FALSE),"no")</f>
        <v/>
      </c>
      <c r="L38" s="3">
        <f>IFERROR(VLOOKUP($D38,Asignaturas!$A$4:$G$18,6,FALSE),"")</f>
        <v/>
      </c>
      <c r="M38" s="3">
        <f>IFERROR(VLOOKUP($G38,Profesores!$A$4:$C$33,2,FALSE),"no")</f>
        <v/>
      </c>
      <c r="N38" s="3">
        <f>IFERROR(VLOOKUP($G38,Profesores!$A$4:$C$33,3,FALSE),"no")</f>
        <v/>
      </c>
      <c r="O38" s="3">
        <f>($G38&amp;"#"&amp;$B38)</f>
        <v/>
      </c>
      <c r="P38" s="3">
        <f>IFERROR(VLOOKUP($O38,'Dias que asisten los contratados'!$A$4:$D$4,4,FALSE),"no")</f>
        <v/>
      </c>
      <c r="Q38" s="3">
        <f>IF(AND(NOT(($D38="")),(SUMPRODUCT((((($J38="no"))+(('Casillas del horario'!$C$4:$C$73&lt;&gt;($C38+1))*('Casillas del horario'!$C$4:$C$73&lt;&gt;($C38-1))))&gt;0)*('Casillas del horario'!$D$4:$D$73=$D38)*('Casillas del horario'!$B$4:$B$73=$B38)*('Casillas del horario'!$A$4:$A$73=$A38)*(ROW('Casillas del horario'!$A$4:$A$73)&lt;&gt;ROW($A38)))&gt;0)),"si","no")</f>
        <v/>
      </c>
      <c r="R38" s="3">
        <f>$A38&amp;"|"&amp;$C38&amp;"|"&amp;$B38</f>
        <v/>
      </c>
      <c r="S38" s="3">
        <f>$G38&amp;"|"&amp;$C38&amp;"|"&amp;$B38</f>
        <v/>
      </c>
      <c r="T38" s="3">
        <f>$I38&amp;"|"&amp;$C38&amp;"|"&amp;$B38</f>
        <v/>
      </c>
    </row>
    <row r="39">
      <c r="A39" s="3" t="inlineStr">
        <is>
          <t>10-4</t>
        </is>
      </c>
      <c r="B39" s="3" t="inlineStr">
        <is>
          <t>L</t>
        </is>
      </c>
      <c r="C39" s="3" t="n">
        <v>4</v>
      </c>
      <c r="D39" s="4" t="inlineStr">
        <is>
          <t>CA</t>
        </is>
      </c>
      <c r="E39" s="3">
        <f>IFERROR(VLOOKUP($D39,Asignaturas!$A$4:$G$18,2,FALSE),"")</f>
        <v/>
      </c>
      <c r="F39" s="3">
        <f>($A39&amp;"#"&amp;$D39)</f>
        <v/>
      </c>
      <c r="G39" s="3">
        <f>IFERROR(VLOOKUP($F39,'Plan por grupo'!$A$4:$H$33,4,FALSE),"")</f>
        <v/>
      </c>
      <c r="H39" s="3">
        <f>IFERROR(VLOOKUP($D39,Asignaturas!$A$4:$G$18,7,FALSE),"")</f>
        <v/>
      </c>
      <c r="I39" s="3">
        <f>IF(($D39=""),"",IF(($H39=""),("Aula "&amp;$A39),$H39))</f>
        <v/>
      </c>
      <c r="J39" s="3">
        <f>IFERROR(VLOOKUP($D39,Asignaturas!$A$4:$G$18,4,FALSE),"no")</f>
        <v/>
      </c>
      <c r="K39" s="3">
        <f>IFERROR(VLOOKUP($D39,Asignaturas!$A$4:$G$18,5,FALSE),"no")</f>
        <v/>
      </c>
      <c r="L39" s="3">
        <f>IFERROR(VLOOKUP($D39,Asignaturas!$A$4:$G$18,6,FALSE),"")</f>
        <v/>
      </c>
      <c r="M39" s="3">
        <f>IFERROR(VLOOKUP($G39,Profesores!$A$4:$C$33,2,FALSE),"no")</f>
        <v/>
      </c>
      <c r="N39" s="3">
        <f>IFERROR(VLOOKUP($G39,Profesores!$A$4:$C$33,3,FALSE),"no")</f>
        <v/>
      </c>
      <c r="O39" s="3">
        <f>($G39&amp;"#"&amp;$B39)</f>
        <v/>
      </c>
      <c r="P39" s="3">
        <f>IFERROR(VLOOKUP($O39,'Dias que asisten los contratados'!$A$4:$D$4,4,FALSE),"no")</f>
        <v/>
      </c>
      <c r="Q39" s="3">
        <f>IF(AND(NOT(($D39="")),(SUMPRODUCT((((($J39="no"))+(('Casillas del horario'!$C$4:$C$73&lt;&gt;($C39+1))*('Casillas del horario'!$C$4:$C$73&lt;&gt;($C39-1))))&gt;0)*('Casillas del horario'!$D$4:$D$73=$D39)*('Casillas del horario'!$B$4:$B$73=$B39)*('Casillas del horario'!$A$4:$A$73=$A39)*(ROW('Casillas del horario'!$A$4:$A$73)&lt;&gt;ROW($A39)))&gt;0)),"si","no")</f>
        <v/>
      </c>
      <c r="R39" s="3">
        <f>$A39&amp;"|"&amp;$C39&amp;"|"&amp;$B39</f>
        <v/>
      </c>
      <c r="S39" s="3">
        <f>$G39&amp;"|"&amp;$C39&amp;"|"&amp;$B39</f>
        <v/>
      </c>
      <c r="T39" s="3">
        <f>$I39&amp;"|"&amp;$C39&amp;"|"&amp;$B39</f>
        <v/>
      </c>
    </row>
    <row r="40">
      <c r="A40" s="3" t="inlineStr">
        <is>
          <t>10-4</t>
        </is>
      </c>
      <c r="B40" s="3" t="inlineStr">
        <is>
          <t>M</t>
        </is>
      </c>
      <c r="C40" s="3" t="n">
        <v>4</v>
      </c>
      <c r="D40" s="4" t="inlineStr">
        <is>
          <t>H</t>
        </is>
      </c>
      <c r="E40" s="3">
        <f>IFERROR(VLOOKUP($D40,Asignaturas!$A$4:$G$18,2,FALSE),"")</f>
        <v/>
      </c>
      <c r="F40" s="3">
        <f>($A40&amp;"#"&amp;$D40)</f>
        <v/>
      </c>
      <c r="G40" s="3">
        <f>IFERROR(VLOOKUP($F40,'Plan por grupo'!$A$4:$H$33,4,FALSE),"")</f>
        <v/>
      </c>
      <c r="H40" s="3">
        <f>IFERROR(VLOOKUP($D40,Asignaturas!$A$4:$G$18,7,FALSE),"")</f>
        <v/>
      </c>
      <c r="I40" s="3">
        <f>IF(($D40=""),"",IF(($H40=""),("Aula "&amp;$A40),$H40))</f>
        <v/>
      </c>
      <c r="J40" s="3">
        <f>IFERROR(VLOOKUP($D40,Asignaturas!$A$4:$G$18,4,FALSE),"no")</f>
        <v/>
      </c>
      <c r="K40" s="3">
        <f>IFERROR(VLOOKUP($D40,Asignaturas!$A$4:$G$18,5,FALSE),"no")</f>
        <v/>
      </c>
      <c r="L40" s="3">
        <f>IFERROR(VLOOKUP($D40,Asignaturas!$A$4:$G$18,6,FALSE),"")</f>
        <v/>
      </c>
      <c r="M40" s="3">
        <f>IFERROR(VLOOKUP($G40,Profesores!$A$4:$C$33,2,FALSE),"no")</f>
        <v/>
      </c>
      <c r="N40" s="3">
        <f>IFERROR(VLOOKUP($G40,Profesores!$A$4:$C$33,3,FALSE),"no")</f>
        <v/>
      </c>
      <c r="O40" s="3">
        <f>($G40&amp;"#"&amp;$B40)</f>
        <v/>
      </c>
      <c r="P40" s="3">
        <f>IFERROR(VLOOKUP($O40,'Dias que asisten los contratados'!$A$4:$D$4,4,FALSE),"no")</f>
        <v/>
      </c>
      <c r="Q40" s="3">
        <f>IF(AND(NOT(($D40="")),(SUMPRODUCT((((($J40="no"))+(('Casillas del horario'!$C$4:$C$73&lt;&gt;($C40+1))*('Casillas del horario'!$C$4:$C$73&lt;&gt;($C40-1))))&gt;0)*('Casillas del horario'!$D$4:$D$73=$D40)*('Casillas del horario'!$B$4:$B$73=$B40)*('Casillas del horario'!$A$4:$A$73=$A40)*(ROW('Casillas del horario'!$A$4:$A$73)&lt;&gt;ROW($A40)))&gt;0)),"si","no")</f>
        <v/>
      </c>
      <c r="R40" s="3">
        <f>$A40&amp;"|"&amp;$C40&amp;"|"&amp;$B40</f>
        <v/>
      </c>
      <c r="S40" s="3">
        <f>$G40&amp;"|"&amp;$C40&amp;"|"&amp;$B40</f>
        <v/>
      </c>
      <c r="T40" s="3">
        <f>$I40&amp;"|"&amp;$C40&amp;"|"&amp;$B40</f>
        <v/>
      </c>
    </row>
    <row r="41">
      <c r="A41" s="3" t="inlineStr">
        <is>
          <t>10-4</t>
        </is>
      </c>
      <c r="B41" s="3" t="inlineStr">
        <is>
          <t>MI</t>
        </is>
      </c>
      <c r="C41" s="3" t="n">
        <v>4</v>
      </c>
      <c r="D41" s="4" t="inlineStr">
        <is>
          <t>G</t>
        </is>
      </c>
      <c r="E41" s="3">
        <f>IFERROR(VLOOKUP($D41,Asignaturas!$A$4:$G$18,2,FALSE),"")</f>
        <v/>
      </c>
      <c r="F41" s="3">
        <f>($A41&amp;"#"&amp;$D41)</f>
        <v/>
      </c>
      <c r="G41" s="3">
        <f>IFERROR(VLOOKUP($F41,'Plan por grupo'!$A$4:$H$33,4,FALSE),"")</f>
        <v/>
      </c>
      <c r="H41" s="3">
        <f>IFERROR(VLOOKUP($D41,Asignaturas!$A$4:$G$18,7,FALSE),"")</f>
        <v/>
      </c>
      <c r="I41" s="3">
        <f>IF(($D41=""),"",IF(($H41=""),("Aula "&amp;$A41),$H41))</f>
        <v/>
      </c>
      <c r="J41" s="3">
        <f>IFERROR(VLOOKUP($D41,Asignaturas!$A$4:$G$18,4,FALSE),"no")</f>
        <v/>
      </c>
      <c r="K41" s="3">
        <f>IFERROR(VLOOKUP($D41,Asignaturas!$A$4:$G$18,5,FALSE),"no")</f>
        <v/>
      </c>
      <c r="L41" s="3">
        <f>IFERROR(VLOOKUP($D41,Asignaturas!$A$4:$G$18,6,FALSE),"")</f>
        <v/>
      </c>
      <c r="M41" s="3">
        <f>IFERROR(VLOOKUP($G41,Profesores!$A$4:$C$33,2,FALSE),"no")</f>
        <v/>
      </c>
      <c r="N41" s="3">
        <f>IFERROR(VLOOKUP($G41,Profesores!$A$4:$C$33,3,FALSE),"no")</f>
        <v/>
      </c>
      <c r="O41" s="3">
        <f>($G41&amp;"#"&amp;$B41)</f>
        <v/>
      </c>
      <c r="P41" s="3">
        <f>IFERROR(VLOOKUP($O41,'Dias que asisten los contratados'!$A$4:$D$4,4,FALSE),"no")</f>
        <v/>
      </c>
      <c r="Q41" s="3">
        <f>IF(AND(NOT(($D41="")),(SUMPRODUCT((((($J41="no"))+(('Casillas del horario'!$C$4:$C$73&lt;&gt;($C41+1))*('Casillas del horario'!$C$4:$C$73&lt;&gt;($C41-1))))&gt;0)*('Casillas del horario'!$D$4:$D$73=$D41)*('Casillas del horario'!$B$4:$B$73=$B41)*('Casillas del horario'!$A$4:$A$73=$A41)*(ROW('Casillas del horario'!$A$4:$A$73)&lt;&gt;ROW($A41)))&gt;0)),"si","no")</f>
        <v/>
      </c>
      <c r="R41" s="3">
        <f>$A41&amp;"|"&amp;$C41&amp;"|"&amp;$B41</f>
        <v/>
      </c>
      <c r="S41" s="3">
        <f>$G41&amp;"|"&amp;$C41&amp;"|"&amp;$B41</f>
        <v/>
      </c>
      <c r="T41" s="3">
        <f>$I41&amp;"|"&amp;$C41&amp;"|"&amp;$B41</f>
        <v/>
      </c>
    </row>
    <row r="42">
      <c r="A42" s="3" t="inlineStr">
        <is>
          <t>10-4</t>
        </is>
      </c>
      <c r="B42" s="3" t="inlineStr">
        <is>
          <t>J</t>
        </is>
      </c>
      <c r="C42" s="3" t="n">
        <v>4</v>
      </c>
      <c r="D42" s="4" t="inlineStr">
        <is>
          <t>INF</t>
        </is>
      </c>
      <c r="E42" s="3">
        <f>IFERROR(VLOOKUP($D42,Asignaturas!$A$4:$G$18,2,FALSE),"")</f>
        <v/>
      </c>
      <c r="F42" s="3">
        <f>($A42&amp;"#"&amp;$D42)</f>
        <v/>
      </c>
      <c r="G42" s="3">
        <f>IFERROR(VLOOKUP($F42,'Plan por grupo'!$A$4:$H$33,4,FALSE),"")</f>
        <v/>
      </c>
      <c r="H42" s="3">
        <f>IFERROR(VLOOKUP($D42,Asignaturas!$A$4:$G$18,7,FALSE),"")</f>
        <v/>
      </c>
      <c r="I42" s="3">
        <f>IF(($D42=""),"",IF(($H42=""),("Aula "&amp;$A42),$H42))</f>
        <v/>
      </c>
      <c r="J42" s="3">
        <f>IFERROR(VLOOKUP($D42,Asignaturas!$A$4:$G$18,4,FALSE),"no")</f>
        <v/>
      </c>
      <c r="K42" s="3">
        <f>IFERROR(VLOOKUP($D42,Asignaturas!$A$4:$G$18,5,FALSE),"no")</f>
        <v/>
      </c>
      <c r="L42" s="3">
        <f>IFERROR(VLOOKUP($D42,Asignaturas!$A$4:$G$18,6,FALSE),"")</f>
        <v/>
      </c>
      <c r="M42" s="3">
        <f>IFERROR(VLOOKUP($G42,Profesores!$A$4:$C$33,2,FALSE),"no")</f>
        <v/>
      </c>
      <c r="N42" s="3">
        <f>IFERROR(VLOOKUP($G42,Profesores!$A$4:$C$33,3,FALSE),"no")</f>
        <v/>
      </c>
      <c r="O42" s="3">
        <f>($G42&amp;"#"&amp;$B42)</f>
        <v/>
      </c>
      <c r="P42" s="3">
        <f>IFERROR(VLOOKUP($O42,'Dias que asisten los contratados'!$A$4:$D$4,4,FALSE),"no")</f>
        <v/>
      </c>
      <c r="Q42" s="3">
        <f>IF(AND(NOT(($D42="")),(SUMPRODUCT((((($J42="no"))+(('Casillas del horario'!$C$4:$C$73&lt;&gt;($C42+1))*('Casillas del horario'!$C$4:$C$73&lt;&gt;($C42-1))))&gt;0)*('Casillas del horario'!$D$4:$D$73=$D42)*('Casillas del horario'!$B$4:$B$73=$B42)*('Casillas del horario'!$A$4:$A$73=$A42)*(ROW('Casillas del horario'!$A$4:$A$73)&lt;&gt;ROW($A42)))&gt;0)),"si","no")</f>
        <v/>
      </c>
      <c r="R42" s="3">
        <f>$A42&amp;"|"&amp;$C42&amp;"|"&amp;$B42</f>
        <v/>
      </c>
      <c r="S42" s="3">
        <f>$G42&amp;"|"&amp;$C42&amp;"|"&amp;$B42</f>
        <v/>
      </c>
      <c r="T42" s="3">
        <f>$I42&amp;"|"&amp;$C42&amp;"|"&amp;$B42</f>
        <v/>
      </c>
    </row>
    <row r="43">
      <c r="A43" s="3" t="inlineStr">
        <is>
          <t>10-4</t>
        </is>
      </c>
      <c r="B43" s="3" t="inlineStr">
        <is>
          <t>V</t>
        </is>
      </c>
      <c r="C43" s="3" t="n">
        <v>4</v>
      </c>
      <c r="D43" s="4" t="inlineStr">
        <is>
          <t>I</t>
        </is>
      </c>
      <c r="E43" s="3">
        <f>IFERROR(VLOOKUP($D43,Asignaturas!$A$4:$G$18,2,FALSE),"")</f>
        <v/>
      </c>
      <c r="F43" s="3">
        <f>($A43&amp;"#"&amp;$D43)</f>
        <v/>
      </c>
      <c r="G43" s="3">
        <f>IFERROR(VLOOKUP($F43,'Plan por grupo'!$A$4:$H$33,4,FALSE),"")</f>
        <v/>
      </c>
      <c r="H43" s="3">
        <f>IFERROR(VLOOKUP($D43,Asignaturas!$A$4:$G$18,7,FALSE),"")</f>
        <v/>
      </c>
      <c r="I43" s="3">
        <f>IF(($D43=""),"",IF(($H43=""),("Aula "&amp;$A43),$H43))</f>
        <v/>
      </c>
      <c r="J43" s="3">
        <f>IFERROR(VLOOKUP($D43,Asignaturas!$A$4:$G$18,4,FALSE),"no")</f>
        <v/>
      </c>
      <c r="K43" s="3">
        <f>IFERROR(VLOOKUP($D43,Asignaturas!$A$4:$G$18,5,FALSE),"no")</f>
        <v/>
      </c>
      <c r="L43" s="3">
        <f>IFERROR(VLOOKUP($D43,Asignaturas!$A$4:$G$18,6,FALSE),"")</f>
        <v/>
      </c>
      <c r="M43" s="3">
        <f>IFERROR(VLOOKUP($G43,Profesores!$A$4:$C$33,2,FALSE),"no")</f>
        <v/>
      </c>
      <c r="N43" s="3">
        <f>IFERROR(VLOOKUP($G43,Profesores!$A$4:$C$33,3,FALSE),"no")</f>
        <v/>
      </c>
      <c r="O43" s="3">
        <f>($G43&amp;"#"&amp;$B43)</f>
        <v/>
      </c>
      <c r="P43" s="3">
        <f>IFERROR(VLOOKUP($O43,'Dias que asisten los contratados'!$A$4:$D$4,4,FALSE),"no")</f>
        <v/>
      </c>
      <c r="Q43" s="3">
        <f>IF(AND(NOT(($D43="")),(SUMPRODUCT((((($J43="no"))+(('Casillas del horario'!$C$4:$C$73&lt;&gt;($C43+1))*('Casillas del horario'!$C$4:$C$73&lt;&gt;($C43-1))))&gt;0)*('Casillas del horario'!$D$4:$D$73=$D43)*('Casillas del horario'!$B$4:$B$73=$B43)*('Casillas del horario'!$A$4:$A$73=$A43)*(ROW('Casillas del horario'!$A$4:$A$73)&lt;&gt;ROW($A43)))&gt;0)),"si","no")</f>
        <v/>
      </c>
      <c r="R43" s="3">
        <f>$A43&amp;"|"&amp;$C43&amp;"|"&amp;$B43</f>
        <v/>
      </c>
      <c r="S43" s="3">
        <f>$G43&amp;"|"&amp;$C43&amp;"|"&amp;$B43</f>
        <v/>
      </c>
      <c r="T43" s="3">
        <f>$I43&amp;"|"&amp;$C43&amp;"|"&amp;$B43</f>
        <v/>
      </c>
    </row>
    <row r="44">
      <c r="A44" s="3" t="inlineStr">
        <is>
          <t>10-3</t>
        </is>
      </c>
      <c r="B44" s="3" t="inlineStr">
        <is>
          <t>L</t>
        </is>
      </c>
      <c r="C44" s="3" t="n">
        <v>5</v>
      </c>
      <c r="D44" s="4" t="inlineStr">
        <is>
          <t>CA</t>
        </is>
      </c>
      <c r="E44" s="3">
        <f>IFERROR(VLOOKUP($D44,Asignaturas!$A$4:$G$18,2,FALSE),"")</f>
        <v/>
      </c>
      <c r="F44" s="3">
        <f>($A44&amp;"#"&amp;$D44)</f>
        <v/>
      </c>
      <c r="G44" s="3">
        <f>IFERROR(VLOOKUP($F44,'Plan por grupo'!$A$4:$H$33,4,FALSE),"")</f>
        <v/>
      </c>
      <c r="H44" s="3">
        <f>IFERROR(VLOOKUP($D44,Asignaturas!$A$4:$G$18,7,FALSE),"")</f>
        <v/>
      </c>
      <c r="I44" s="3">
        <f>IF(($D44=""),"",IF(($H44=""),("Aula "&amp;$A44),$H44))</f>
        <v/>
      </c>
      <c r="J44" s="3">
        <f>IFERROR(VLOOKUP($D44,Asignaturas!$A$4:$G$18,4,FALSE),"no")</f>
        <v/>
      </c>
      <c r="K44" s="3">
        <f>IFERROR(VLOOKUP($D44,Asignaturas!$A$4:$G$18,5,FALSE),"no")</f>
        <v/>
      </c>
      <c r="L44" s="3">
        <f>IFERROR(VLOOKUP($D44,Asignaturas!$A$4:$G$18,6,FALSE),"")</f>
        <v/>
      </c>
      <c r="M44" s="3">
        <f>IFERROR(VLOOKUP($G44,Profesores!$A$4:$C$33,2,FALSE),"no")</f>
        <v/>
      </c>
      <c r="N44" s="3">
        <f>IFERROR(VLOOKUP($G44,Profesores!$A$4:$C$33,3,FALSE),"no")</f>
        <v/>
      </c>
      <c r="O44" s="3">
        <f>($G44&amp;"#"&amp;$B44)</f>
        <v/>
      </c>
      <c r="P44" s="3">
        <f>IFERROR(VLOOKUP($O44,'Dias que asisten los contratados'!$A$4:$D$4,4,FALSE),"no")</f>
        <v/>
      </c>
      <c r="Q44" s="3">
        <f>IF(AND(NOT(($D44="")),(SUMPRODUCT((((($J44="no"))+(('Casillas del horario'!$C$4:$C$73&lt;&gt;($C44+1))*('Casillas del horario'!$C$4:$C$73&lt;&gt;($C44-1))))&gt;0)*('Casillas del horario'!$D$4:$D$73=$D44)*('Casillas del horario'!$B$4:$B$73=$B44)*('Casillas del horario'!$A$4:$A$73=$A44)*(ROW('Casillas del horario'!$A$4:$A$73)&lt;&gt;ROW($A44)))&gt;0)),"si","no")</f>
        <v/>
      </c>
      <c r="R44" s="3">
        <f>$A44&amp;"|"&amp;$C44&amp;"|"&amp;$B44</f>
        <v/>
      </c>
      <c r="S44" s="3">
        <f>$G44&amp;"|"&amp;$C44&amp;"|"&amp;$B44</f>
        <v/>
      </c>
      <c r="T44" s="3">
        <f>$I44&amp;"|"&amp;$C44&amp;"|"&amp;$B44</f>
        <v/>
      </c>
    </row>
    <row r="45">
      <c r="A45" s="3" t="inlineStr">
        <is>
          <t>10-3</t>
        </is>
      </c>
      <c r="B45" s="3" t="inlineStr">
        <is>
          <t>M</t>
        </is>
      </c>
      <c r="C45" s="3" t="n">
        <v>5</v>
      </c>
      <c r="D45" s="4" t="inlineStr">
        <is>
          <t>G</t>
        </is>
      </c>
      <c r="E45" s="3">
        <f>IFERROR(VLOOKUP($D45,Asignaturas!$A$4:$G$18,2,FALSE),"")</f>
        <v/>
      </c>
      <c r="F45" s="3">
        <f>($A45&amp;"#"&amp;$D45)</f>
        <v/>
      </c>
      <c r="G45" s="3">
        <f>IFERROR(VLOOKUP($F45,'Plan por grupo'!$A$4:$H$33,4,FALSE),"")</f>
        <v/>
      </c>
      <c r="H45" s="3">
        <f>IFERROR(VLOOKUP($D45,Asignaturas!$A$4:$G$18,7,FALSE),"")</f>
        <v/>
      </c>
      <c r="I45" s="3">
        <f>IF(($D45=""),"",IF(($H45=""),("Aula "&amp;$A45),$H45))</f>
        <v/>
      </c>
      <c r="J45" s="3">
        <f>IFERROR(VLOOKUP($D45,Asignaturas!$A$4:$G$18,4,FALSE),"no")</f>
        <v/>
      </c>
      <c r="K45" s="3">
        <f>IFERROR(VLOOKUP($D45,Asignaturas!$A$4:$G$18,5,FALSE),"no")</f>
        <v/>
      </c>
      <c r="L45" s="3">
        <f>IFERROR(VLOOKUP($D45,Asignaturas!$A$4:$G$18,6,FALSE),"")</f>
        <v/>
      </c>
      <c r="M45" s="3">
        <f>IFERROR(VLOOKUP($G45,Profesores!$A$4:$C$33,2,FALSE),"no")</f>
        <v/>
      </c>
      <c r="N45" s="3">
        <f>IFERROR(VLOOKUP($G45,Profesores!$A$4:$C$33,3,FALSE),"no")</f>
        <v/>
      </c>
      <c r="O45" s="3">
        <f>($G45&amp;"#"&amp;$B45)</f>
        <v/>
      </c>
      <c r="P45" s="3">
        <f>IFERROR(VLOOKUP($O45,'Dias que asisten los contratados'!$A$4:$D$4,4,FALSE),"no")</f>
        <v/>
      </c>
      <c r="Q45" s="3">
        <f>IF(AND(NOT(($D45="")),(SUMPRODUCT((((($J45="no"))+(('Casillas del horario'!$C$4:$C$73&lt;&gt;($C45+1))*('Casillas del horario'!$C$4:$C$73&lt;&gt;($C45-1))))&gt;0)*('Casillas del horario'!$D$4:$D$73=$D45)*('Casillas del horario'!$B$4:$B$73=$B45)*('Casillas del horario'!$A$4:$A$73=$A45)*(ROW('Casillas del horario'!$A$4:$A$73)&lt;&gt;ROW($A45)))&gt;0)),"si","no")</f>
        <v/>
      </c>
      <c r="R45" s="3">
        <f>$A45&amp;"|"&amp;$C45&amp;"|"&amp;$B45</f>
        <v/>
      </c>
      <c r="S45" s="3">
        <f>$G45&amp;"|"&amp;$C45&amp;"|"&amp;$B45</f>
        <v/>
      </c>
      <c r="T45" s="3">
        <f>$I45&amp;"|"&amp;$C45&amp;"|"&amp;$B45</f>
        <v/>
      </c>
    </row>
    <row r="46">
      <c r="A46" s="3" t="inlineStr">
        <is>
          <t>10-3</t>
        </is>
      </c>
      <c r="B46" s="3" t="inlineStr">
        <is>
          <t>MI</t>
        </is>
      </c>
      <c r="C46" s="3" t="n">
        <v>5</v>
      </c>
      <c r="D46" s="4" t="inlineStr">
        <is>
          <t>G</t>
        </is>
      </c>
      <c r="E46" s="3">
        <f>IFERROR(VLOOKUP($D46,Asignaturas!$A$4:$G$18,2,FALSE),"")</f>
        <v/>
      </c>
      <c r="F46" s="3">
        <f>($A46&amp;"#"&amp;$D46)</f>
        <v/>
      </c>
      <c r="G46" s="3">
        <f>IFERROR(VLOOKUP($F46,'Plan por grupo'!$A$4:$H$33,4,FALSE),"")</f>
        <v/>
      </c>
      <c r="H46" s="3">
        <f>IFERROR(VLOOKUP($D46,Asignaturas!$A$4:$G$18,7,FALSE),"")</f>
        <v/>
      </c>
      <c r="I46" s="3">
        <f>IF(($D46=""),"",IF(($H46=""),("Aula "&amp;$A46),$H46))</f>
        <v/>
      </c>
      <c r="J46" s="3">
        <f>IFERROR(VLOOKUP($D46,Asignaturas!$A$4:$G$18,4,FALSE),"no")</f>
        <v/>
      </c>
      <c r="K46" s="3">
        <f>IFERROR(VLOOKUP($D46,Asignaturas!$A$4:$G$18,5,FALSE),"no")</f>
        <v/>
      </c>
      <c r="L46" s="3">
        <f>IFERROR(VLOOKUP($D46,Asignaturas!$A$4:$G$18,6,FALSE),"")</f>
        <v/>
      </c>
      <c r="M46" s="3">
        <f>IFERROR(VLOOKUP($G46,Profesores!$A$4:$C$33,2,FALSE),"no")</f>
        <v/>
      </c>
      <c r="N46" s="3">
        <f>IFERROR(VLOOKUP($G46,Profesores!$A$4:$C$33,3,FALSE),"no")</f>
        <v/>
      </c>
      <c r="O46" s="3">
        <f>($G46&amp;"#"&amp;$B46)</f>
        <v/>
      </c>
      <c r="P46" s="3">
        <f>IFERROR(VLOOKUP($O46,'Dias que asisten los contratados'!$A$4:$D$4,4,FALSE),"no")</f>
        <v/>
      </c>
      <c r="Q46" s="3">
        <f>IF(AND(NOT(($D46="")),(SUMPRODUCT((((($J46="no"))+(('Casillas del horario'!$C$4:$C$73&lt;&gt;($C46+1))*('Casillas del horario'!$C$4:$C$73&lt;&gt;($C46-1))))&gt;0)*('Casillas del horario'!$D$4:$D$73=$D46)*('Casillas del horario'!$B$4:$B$73=$B46)*('Casillas del horario'!$A$4:$A$73=$A46)*(ROW('Casillas del horario'!$A$4:$A$73)&lt;&gt;ROW($A46)))&gt;0)),"si","no")</f>
        <v/>
      </c>
      <c r="R46" s="3">
        <f>$A46&amp;"|"&amp;$C46&amp;"|"&amp;$B46</f>
        <v/>
      </c>
      <c r="S46" s="3">
        <f>$G46&amp;"|"&amp;$C46&amp;"|"&amp;$B46</f>
        <v/>
      </c>
      <c r="T46" s="3">
        <f>$I46&amp;"|"&amp;$C46&amp;"|"&amp;$B46</f>
        <v/>
      </c>
    </row>
    <row r="47">
      <c r="A47" s="3" t="inlineStr">
        <is>
          <t>10-3</t>
        </is>
      </c>
      <c r="B47" s="3" t="inlineStr">
        <is>
          <t>J</t>
        </is>
      </c>
      <c r="C47" s="3" t="n">
        <v>5</v>
      </c>
      <c r="D47" s="4" t="inlineStr">
        <is>
          <t>I</t>
        </is>
      </c>
      <c r="E47" s="3">
        <f>IFERROR(VLOOKUP($D47,Asignaturas!$A$4:$G$18,2,FALSE),"")</f>
        <v/>
      </c>
      <c r="F47" s="3">
        <f>($A47&amp;"#"&amp;$D47)</f>
        <v/>
      </c>
      <c r="G47" s="3">
        <f>IFERROR(VLOOKUP($F47,'Plan por grupo'!$A$4:$H$33,4,FALSE),"")</f>
        <v/>
      </c>
      <c r="H47" s="3">
        <f>IFERROR(VLOOKUP($D47,Asignaturas!$A$4:$G$18,7,FALSE),"")</f>
        <v/>
      </c>
      <c r="I47" s="3">
        <f>IF(($D47=""),"",IF(($H47=""),("Aula "&amp;$A47),$H47))</f>
        <v/>
      </c>
      <c r="J47" s="3">
        <f>IFERROR(VLOOKUP($D47,Asignaturas!$A$4:$G$18,4,FALSE),"no")</f>
        <v/>
      </c>
      <c r="K47" s="3">
        <f>IFERROR(VLOOKUP($D47,Asignaturas!$A$4:$G$18,5,FALSE),"no")</f>
        <v/>
      </c>
      <c r="L47" s="3">
        <f>IFERROR(VLOOKUP($D47,Asignaturas!$A$4:$G$18,6,FALSE),"")</f>
        <v/>
      </c>
      <c r="M47" s="3">
        <f>IFERROR(VLOOKUP($G47,Profesores!$A$4:$C$33,2,FALSE),"no")</f>
        <v/>
      </c>
      <c r="N47" s="3">
        <f>IFERROR(VLOOKUP($G47,Profesores!$A$4:$C$33,3,FALSE),"no")</f>
        <v/>
      </c>
      <c r="O47" s="3">
        <f>($G47&amp;"#"&amp;$B47)</f>
        <v/>
      </c>
      <c r="P47" s="3">
        <f>IFERROR(VLOOKUP($O47,'Dias que asisten los contratados'!$A$4:$D$4,4,FALSE),"no")</f>
        <v/>
      </c>
      <c r="Q47" s="3">
        <f>IF(AND(NOT(($D47="")),(SUMPRODUCT((((($J47="no"))+(('Casillas del horario'!$C$4:$C$73&lt;&gt;($C47+1))*('Casillas del horario'!$C$4:$C$73&lt;&gt;($C47-1))))&gt;0)*('Casillas del horario'!$D$4:$D$73=$D47)*('Casillas del horario'!$B$4:$B$73=$B47)*('Casillas del horario'!$A$4:$A$73=$A47)*(ROW('Casillas del horario'!$A$4:$A$73)&lt;&gt;ROW($A47)))&gt;0)),"si","no")</f>
        <v/>
      </c>
      <c r="R47" s="3">
        <f>$A47&amp;"|"&amp;$C47&amp;"|"&amp;$B47</f>
        <v/>
      </c>
      <c r="S47" s="3">
        <f>$G47&amp;"|"&amp;$C47&amp;"|"&amp;$B47</f>
        <v/>
      </c>
      <c r="T47" s="3">
        <f>$I47&amp;"|"&amp;$C47&amp;"|"&amp;$B47</f>
        <v/>
      </c>
    </row>
    <row r="48">
      <c r="A48" s="3" t="inlineStr">
        <is>
          <t>10-3</t>
        </is>
      </c>
      <c r="B48" s="3" t="inlineStr">
        <is>
          <t>V</t>
        </is>
      </c>
      <c r="C48" s="3" t="n">
        <v>5</v>
      </c>
      <c r="D48" s="4" t="inlineStr">
        <is>
          <t>M</t>
        </is>
      </c>
      <c r="E48" s="3">
        <f>IFERROR(VLOOKUP($D48,Asignaturas!$A$4:$G$18,2,FALSE),"")</f>
        <v/>
      </c>
      <c r="F48" s="3">
        <f>($A48&amp;"#"&amp;$D48)</f>
        <v/>
      </c>
      <c r="G48" s="3">
        <f>IFERROR(VLOOKUP($F48,'Plan por grupo'!$A$4:$H$33,4,FALSE),"")</f>
        <v/>
      </c>
      <c r="H48" s="3">
        <f>IFERROR(VLOOKUP($D48,Asignaturas!$A$4:$G$18,7,FALSE),"")</f>
        <v/>
      </c>
      <c r="I48" s="3">
        <f>IF(($D48=""),"",IF(($H48=""),("Aula "&amp;$A48),$H48))</f>
        <v/>
      </c>
      <c r="J48" s="3">
        <f>IFERROR(VLOOKUP($D48,Asignaturas!$A$4:$G$18,4,FALSE),"no")</f>
        <v/>
      </c>
      <c r="K48" s="3">
        <f>IFERROR(VLOOKUP($D48,Asignaturas!$A$4:$G$18,5,FALSE),"no")</f>
        <v/>
      </c>
      <c r="L48" s="3">
        <f>IFERROR(VLOOKUP($D48,Asignaturas!$A$4:$G$18,6,FALSE),"")</f>
        <v/>
      </c>
      <c r="M48" s="3">
        <f>IFERROR(VLOOKUP($G48,Profesores!$A$4:$C$33,2,FALSE),"no")</f>
        <v/>
      </c>
      <c r="N48" s="3">
        <f>IFERROR(VLOOKUP($G48,Profesores!$A$4:$C$33,3,FALSE),"no")</f>
        <v/>
      </c>
      <c r="O48" s="3">
        <f>($G48&amp;"#"&amp;$B48)</f>
        <v/>
      </c>
      <c r="P48" s="3">
        <f>IFERROR(VLOOKUP($O48,'Dias que asisten los contratados'!$A$4:$D$4,4,FALSE),"no")</f>
        <v/>
      </c>
      <c r="Q48" s="3">
        <f>IF(AND(NOT(($D48="")),(SUMPRODUCT((((($J48="no"))+(('Casillas del horario'!$C$4:$C$73&lt;&gt;($C48+1))*('Casillas del horario'!$C$4:$C$73&lt;&gt;($C48-1))))&gt;0)*('Casillas del horario'!$D$4:$D$73=$D48)*('Casillas del horario'!$B$4:$B$73=$B48)*('Casillas del horario'!$A$4:$A$73=$A48)*(ROW('Casillas del horario'!$A$4:$A$73)&lt;&gt;ROW($A48)))&gt;0)),"si","no")</f>
        <v/>
      </c>
      <c r="R48" s="3">
        <f>$A48&amp;"|"&amp;$C48&amp;"|"&amp;$B48</f>
        <v/>
      </c>
      <c r="S48" s="3">
        <f>$G48&amp;"|"&amp;$C48&amp;"|"&amp;$B48</f>
        <v/>
      </c>
      <c r="T48" s="3">
        <f>$I48&amp;"|"&amp;$C48&amp;"|"&amp;$B48</f>
        <v/>
      </c>
    </row>
    <row r="49">
      <c r="A49" s="3" t="inlineStr">
        <is>
          <t>10-4</t>
        </is>
      </c>
      <c r="B49" s="3" t="inlineStr">
        <is>
          <t>L</t>
        </is>
      </c>
      <c r="C49" s="3" t="n">
        <v>5</v>
      </c>
      <c r="D49" s="4" t="inlineStr">
        <is>
          <t>RD</t>
        </is>
      </c>
      <c r="E49" s="3">
        <f>IFERROR(VLOOKUP($D49,Asignaturas!$A$4:$G$18,2,FALSE),"")</f>
        <v/>
      </c>
      <c r="F49" s="3">
        <f>($A49&amp;"#"&amp;$D49)</f>
        <v/>
      </c>
      <c r="G49" s="3">
        <f>IFERROR(VLOOKUP($F49,'Plan por grupo'!$A$4:$H$33,4,FALSE),"")</f>
        <v/>
      </c>
      <c r="H49" s="3">
        <f>IFERROR(VLOOKUP($D49,Asignaturas!$A$4:$G$18,7,FALSE),"")</f>
        <v/>
      </c>
      <c r="I49" s="3">
        <f>IF(($D49=""),"",IF(($H49=""),("Aula "&amp;$A49),$H49))</f>
        <v/>
      </c>
      <c r="J49" s="3">
        <f>IFERROR(VLOOKUP($D49,Asignaturas!$A$4:$G$18,4,FALSE),"no")</f>
        <v/>
      </c>
      <c r="K49" s="3">
        <f>IFERROR(VLOOKUP($D49,Asignaturas!$A$4:$G$18,5,FALSE),"no")</f>
        <v/>
      </c>
      <c r="L49" s="3">
        <f>IFERROR(VLOOKUP($D49,Asignaturas!$A$4:$G$18,6,FALSE),"")</f>
        <v/>
      </c>
      <c r="M49" s="3">
        <f>IFERROR(VLOOKUP($G49,Profesores!$A$4:$C$33,2,FALSE),"no")</f>
        <v/>
      </c>
      <c r="N49" s="3">
        <f>IFERROR(VLOOKUP($G49,Profesores!$A$4:$C$33,3,FALSE),"no")</f>
        <v/>
      </c>
      <c r="O49" s="3">
        <f>($G49&amp;"#"&amp;$B49)</f>
        <v/>
      </c>
      <c r="P49" s="3">
        <f>IFERROR(VLOOKUP($O49,'Dias que asisten los contratados'!$A$4:$D$4,4,FALSE),"no")</f>
        <v/>
      </c>
      <c r="Q49" s="3">
        <f>IF(AND(NOT(($D49="")),(SUMPRODUCT((((($J49="no"))+(('Casillas del horario'!$C$4:$C$73&lt;&gt;($C49+1))*('Casillas del horario'!$C$4:$C$73&lt;&gt;($C49-1))))&gt;0)*('Casillas del horario'!$D$4:$D$73=$D49)*('Casillas del horario'!$B$4:$B$73=$B49)*('Casillas del horario'!$A$4:$A$73=$A49)*(ROW('Casillas del horario'!$A$4:$A$73)&lt;&gt;ROW($A49)))&gt;0)),"si","no")</f>
        <v/>
      </c>
      <c r="R49" s="3">
        <f>$A49&amp;"|"&amp;$C49&amp;"|"&amp;$B49</f>
        <v/>
      </c>
      <c r="S49" s="3">
        <f>$G49&amp;"|"&amp;$C49&amp;"|"&amp;$B49</f>
        <v/>
      </c>
      <c r="T49" s="3">
        <f>$I49&amp;"|"&amp;$C49&amp;"|"&amp;$B49</f>
        <v/>
      </c>
    </row>
    <row r="50">
      <c r="A50" s="3" t="inlineStr">
        <is>
          <t>10-4</t>
        </is>
      </c>
      <c r="B50" s="3" t="inlineStr">
        <is>
          <t>M</t>
        </is>
      </c>
      <c r="C50" s="3" t="n">
        <v>5</v>
      </c>
      <c r="D50" s="4" t="inlineStr">
        <is>
          <t>DC</t>
        </is>
      </c>
      <c r="E50" s="3">
        <f>IFERROR(VLOOKUP($D50,Asignaturas!$A$4:$G$18,2,FALSE),"")</f>
        <v/>
      </c>
      <c r="F50" s="3">
        <f>($A50&amp;"#"&amp;$D50)</f>
        <v/>
      </c>
      <c r="G50" s="3">
        <f>IFERROR(VLOOKUP($F50,'Plan por grupo'!$A$4:$H$33,4,FALSE),"")</f>
        <v/>
      </c>
      <c r="H50" s="3">
        <f>IFERROR(VLOOKUP($D50,Asignaturas!$A$4:$G$18,7,FALSE),"")</f>
        <v/>
      </c>
      <c r="I50" s="3">
        <f>IF(($D50=""),"",IF(($H50=""),("Aula "&amp;$A50),$H50))</f>
        <v/>
      </c>
      <c r="J50" s="3">
        <f>IFERROR(VLOOKUP($D50,Asignaturas!$A$4:$G$18,4,FALSE),"no")</f>
        <v/>
      </c>
      <c r="K50" s="3">
        <f>IFERROR(VLOOKUP($D50,Asignaturas!$A$4:$G$18,5,FALSE),"no")</f>
        <v/>
      </c>
      <c r="L50" s="3">
        <f>IFERROR(VLOOKUP($D50,Asignaturas!$A$4:$G$18,6,FALSE),"")</f>
        <v/>
      </c>
      <c r="M50" s="3">
        <f>IFERROR(VLOOKUP($G50,Profesores!$A$4:$C$33,2,FALSE),"no")</f>
        <v/>
      </c>
      <c r="N50" s="3">
        <f>IFERROR(VLOOKUP($G50,Profesores!$A$4:$C$33,3,FALSE),"no")</f>
        <v/>
      </c>
      <c r="O50" s="3">
        <f>($G50&amp;"#"&amp;$B50)</f>
        <v/>
      </c>
      <c r="P50" s="3">
        <f>IFERROR(VLOOKUP($O50,'Dias que asisten los contratados'!$A$4:$D$4,4,FALSE),"no")</f>
        <v/>
      </c>
      <c r="Q50" s="3">
        <f>IF(AND(NOT(($D50="")),(SUMPRODUCT((((($J50="no"))+(('Casillas del horario'!$C$4:$C$73&lt;&gt;($C50+1))*('Casillas del horario'!$C$4:$C$73&lt;&gt;($C50-1))))&gt;0)*('Casillas del horario'!$D$4:$D$73=$D50)*('Casillas del horario'!$B$4:$B$73=$B50)*('Casillas del horario'!$A$4:$A$73=$A50)*(ROW('Casillas del horario'!$A$4:$A$73)&lt;&gt;ROW($A50)))&gt;0)),"si","no")</f>
        <v/>
      </c>
      <c r="R50" s="3">
        <f>$A50&amp;"|"&amp;$C50&amp;"|"&amp;$B50</f>
        <v/>
      </c>
      <c r="S50" s="3">
        <f>$G50&amp;"|"&amp;$C50&amp;"|"&amp;$B50</f>
        <v/>
      </c>
      <c r="T50" s="3">
        <f>$I50&amp;"|"&amp;$C50&amp;"|"&amp;$B50</f>
        <v/>
      </c>
    </row>
    <row r="51">
      <c r="A51" s="3" t="inlineStr">
        <is>
          <t>10-4</t>
        </is>
      </c>
      <c r="B51" s="3" t="inlineStr">
        <is>
          <t>MI</t>
        </is>
      </c>
      <c r="C51" s="3" t="n">
        <v>5</v>
      </c>
      <c r="D51" s="4" t="inlineStr">
        <is>
          <t>F</t>
        </is>
      </c>
      <c r="E51" s="3">
        <f>IFERROR(VLOOKUP($D51,Asignaturas!$A$4:$G$18,2,FALSE),"")</f>
        <v/>
      </c>
      <c r="F51" s="3">
        <f>($A51&amp;"#"&amp;$D51)</f>
        <v/>
      </c>
      <c r="G51" s="3">
        <f>IFERROR(VLOOKUP($F51,'Plan por grupo'!$A$4:$H$33,4,FALSE),"")</f>
        <v/>
      </c>
      <c r="H51" s="3">
        <f>IFERROR(VLOOKUP($D51,Asignaturas!$A$4:$G$18,7,FALSE),"")</f>
        <v/>
      </c>
      <c r="I51" s="3">
        <f>IF(($D51=""),"",IF(($H51=""),("Aula "&amp;$A51),$H51))</f>
        <v/>
      </c>
      <c r="J51" s="3">
        <f>IFERROR(VLOOKUP($D51,Asignaturas!$A$4:$G$18,4,FALSE),"no")</f>
        <v/>
      </c>
      <c r="K51" s="3">
        <f>IFERROR(VLOOKUP($D51,Asignaturas!$A$4:$G$18,5,FALSE),"no")</f>
        <v/>
      </c>
      <c r="L51" s="3">
        <f>IFERROR(VLOOKUP($D51,Asignaturas!$A$4:$G$18,6,FALSE),"")</f>
        <v/>
      </c>
      <c r="M51" s="3">
        <f>IFERROR(VLOOKUP($G51,Profesores!$A$4:$C$33,2,FALSE),"no")</f>
        <v/>
      </c>
      <c r="N51" s="3">
        <f>IFERROR(VLOOKUP($G51,Profesores!$A$4:$C$33,3,FALSE),"no")</f>
        <v/>
      </c>
      <c r="O51" s="3">
        <f>($G51&amp;"#"&amp;$B51)</f>
        <v/>
      </c>
      <c r="P51" s="3">
        <f>IFERROR(VLOOKUP($O51,'Dias que asisten los contratados'!$A$4:$D$4,4,FALSE),"no")</f>
        <v/>
      </c>
      <c r="Q51" s="3">
        <f>IF(AND(NOT(($D51="")),(SUMPRODUCT((((($J51="no"))+(('Casillas del horario'!$C$4:$C$73&lt;&gt;($C51+1))*('Casillas del horario'!$C$4:$C$73&lt;&gt;($C51-1))))&gt;0)*('Casillas del horario'!$D$4:$D$73=$D51)*('Casillas del horario'!$B$4:$B$73=$B51)*('Casillas del horario'!$A$4:$A$73=$A51)*(ROW('Casillas del horario'!$A$4:$A$73)&lt;&gt;ROW($A51)))&gt;0)),"si","no")</f>
        <v/>
      </c>
      <c r="R51" s="3">
        <f>$A51&amp;"|"&amp;$C51&amp;"|"&amp;$B51</f>
        <v/>
      </c>
      <c r="S51" s="3">
        <f>$G51&amp;"|"&amp;$C51&amp;"|"&amp;$B51</f>
        <v/>
      </c>
      <c r="T51" s="3">
        <f>$I51&amp;"|"&amp;$C51&amp;"|"&amp;$B51</f>
        <v/>
      </c>
    </row>
    <row r="52">
      <c r="A52" s="3" t="inlineStr">
        <is>
          <t>10-4</t>
        </is>
      </c>
      <c r="B52" s="3" t="inlineStr">
        <is>
          <t>J</t>
        </is>
      </c>
      <c r="C52" s="3" t="n">
        <v>5</v>
      </c>
      <c r="D52" s="4" t="inlineStr">
        <is>
          <t>H</t>
        </is>
      </c>
      <c r="E52" s="3">
        <f>IFERROR(VLOOKUP($D52,Asignaturas!$A$4:$G$18,2,FALSE),"")</f>
        <v/>
      </c>
      <c r="F52" s="3">
        <f>($A52&amp;"#"&amp;$D52)</f>
        <v/>
      </c>
      <c r="G52" s="3">
        <f>IFERROR(VLOOKUP($F52,'Plan por grupo'!$A$4:$H$33,4,FALSE),"")</f>
        <v/>
      </c>
      <c r="H52" s="3">
        <f>IFERROR(VLOOKUP($D52,Asignaturas!$A$4:$G$18,7,FALSE),"")</f>
        <v/>
      </c>
      <c r="I52" s="3">
        <f>IF(($D52=""),"",IF(($H52=""),("Aula "&amp;$A52),$H52))</f>
        <v/>
      </c>
      <c r="J52" s="3">
        <f>IFERROR(VLOOKUP($D52,Asignaturas!$A$4:$G$18,4,FALSE),"no")</f>
        <v/>
      </c>
      <c r="K52" s="3">
        <f>IFERROR(VLOOKUP($D52,Asignaturas!$A$4:$G$18,5,FALSE),"no")</f>
        <v/>
      </c>
      <c r="L52" s="3">
        <f>IFERROR(VLOOKUP($D52,Asignaturas!$A$4:$G$18,6,FALSE),"")</f>
        <v/>
      </c>
      <c r="M52" s="3">
        <f>IFERROR(VLOOKUP($G52,Profesores!$A$4:$C$33,2,FALSE),"no")</f>
        <v/>
      </c>
      <c r="N52" s="3">
        <f>IFERROR(VLOOKUP($G52,Profesores!$A$4:$C$33,3,FALSE),"no")</f>
        <v/>
      </c>
      <c r="O52" s="3">
        <f>($G52&amp;"#"&amp;$B52)</f>
        <v/>
      </c>
      <c r="P52" s="3">
        <f>IFERROR(VLOOKUP($O52,'Dias que asisten los contratados'!$A$4:$D$4,4,FALSE),"no")</f>
        <v/>
      </c>
      <c r="Q52" s="3">
        <f>IF(AND(NOT(($D52="")),(SUMPRODUCT((((($J52="no"))+(('Casillas del horario'!$C$4:$C$73&lt;&gt;($C52+1))*('Casillas del horario'!$C$4:$C$73&lt;&gt;($C52-1))))&gt;0)*('Casillas del horario'!$D$4:$D$73=$D52)*('Casillas del horario'!$B$4:$B$73=$B52)*('Casillas del horario'!$A$4:$A$73=$A52)*(ROW('Casillas del horario'!$A$4:$A$73)&lt;&gt;ROW($A52)))&gt;0)),"si","no")</f>
        <v/>
      </c>
      <c r="R52" s="3">
        <f>$A52&amp;"|"&amp;$C52&amp;"|"&amp;$B52</f>
        <v/>
      </c>
      <c r="S52" s="3">
        <f>$G52&amp;"|"&amp;$C52&amp;"|"&amp;$B52</f>
        <v/>
      </c>
      <c r="T52" s="3">
        <f>$I52&amp;"|"&amp;$C52&amp;"|"&amp;$B52</f>
        <v/>
      </c>
    </row>
    <row r="53">
      <c r="A53" s="3" t="inlineStr">
        <is>
          <t>10-4</t>
        </is>
      </c>
      <c r="B53" s="3" t="inlineStr">
        <is>
          <t>V</t>
        </is>
      </c>
      <c r="C53" s="3" t="n">
        <v>5</v>
      </c>
      <c r="D53" s="4" t="inlineStr">
        <is>
          <t>Q</t>
        </is>
      </c>
      <c r="E53" s="3">
        <f>IFERROR(VLOOKUP($D53,Asignaturas!$A$4:$G$18,2,FALSE),"")</f>
        <v/>
      </c>
      <c r="F53" s="3">
        <f>($A53&amp;"#"&amp;$D53)</f>
        <v/>
      </c>
      <c r="G53" s="3">
        <f>IFERROR(VLOOKUP($F53,'Plan por grupo'!$A$4:$H$33,4,FALSE),"")</f>
        <v/>
      </c>
      <c r="H53" s="3">
        <f>IFERROR(VLOOKUP($D53,Asignaturas!$A$4:$G$18,7,FALSE),"")</f>
        <v/>
      </c>
      <c r="I53" s="3">
        <f>IF(($D53=""),"",IF(($H53=""),("Aula "&amp;$A53),$H53))</f>
        <v/>
      </c>
      <c r="J53" s="3">
        <f>IFERROR(VLOOKUP($D53,Asignaturas!$A$4:$G$18,4,FALSE),"no")</f>
        <v/>
      </c>
      <c r="K53" s="3">
        <f>IFERROR(VLOOKUP($D53,Asignaturas!$A$4:$G$18,5,FALSE),"no")</f>
        <v/>
      </c>
      <c r="L53" s="3">
        <f>IFERROR(VLOOKUP($D53,Asignaturas!$A$4:$G$18,6,FALSE),"")</f>
        <v/>
      </c>
      <c r="M53" s="3">
        <f>IFERROR(VLOOKUP($G53,Profesores!$A$4:$C$33,2,FALSE),"no")</f>
        <v/>
      </c>
      <c r="N53" s="3">
        <f>IFERROR(VLOOKUP($G53,Profesores!$A$4:$C$33,3,FALSE),"no")</f>
        <v/>
      </c>
      <c r="O53" s="3">
        <f>($G53&amp;"#"&amp;$B53)</f>
        <v/>
      </c>
      <c r="P53" s="3">
        <f>IFERROR(VLOOKUP($O53,'Dias que asisten los contratados'!$A$4:$D$4,4,FALSE),"no")</f>
        <v/>
      </c>
      <c r="Q53" s="3">
        <f>IF(AND(NOT(($D53="")),(SUMPRODUCT((((($J53="no"))+(('Casillas del horario'!$C$4:$C$73&lt;&gt;($C53+1))*('Casillas del horario'!$C$4:$C$73&lt;&gt;($C53-1))))&gt;0)*('Casillas del horario'!$D$4:$D$73=$D53)*('Casillas del horario'!$B$4:$B$73=$B53)*('Casillas del horario'!$A$4:$A$73=$A53)*(ROW('Casillas del horario'!$A$4:$A$73)&lt;&gt;ROW($A53)))&gt;0)),"si","no")</f>
        <v/>
      </c>
      <c r="R53" s="3">
        <f>$A53&amp;"|"&amp;$C53&amp;"|"&amp;$B53</f>
        <v/>
      </c>
      <c r="S53" s="3">
        <f>$G53&amp;"|"&amp;$C53&amp;"|"&amp;$B53</f>
        <v/>
      </c>
      <c r="T53" s="3">
        <f>$I53&amp;"|"&amp;$C53&amp;"|"&amp;$B53</f>
        <v/>
      </c>
    </row>
    <row r="54">
      <c r="A54" s="3" t="inlineStr">
        <is>
          <t>10-3</t>
        </is>
      </c>
      <c r="B54" s="3" t="inlineStr">
        <is>
          <t>L</t>
        </is>
      </c>
      <c r="C54" s="3" t="n">
        <v>6</v>
      </c>
      <c r="D54" s="4" t="inlineStr">
        <is>
          <t>M</t>
        </is>
      </c>
      <c r="E54" s="3">
        <f>IFERROR(VLOOKUP($D54,Asignaturas!$A$4:$G$18,2,FALSE),"")</f>
        <v/>
      </c>
      <c r="F54" s="3">
        <f>($A54&amp;"#"&amp;$D54)</f>
        <v/>
      </c>
      <c r="G54" s="3">
        <f>IFERROR(VLOOKUP($F54,'Plan por grupo'!$A$4:$H$33,4,FALSE),"")</f>
        <v/>
      </c>
      <c r="H54" s="3">
        <f>IFERROR(VLOOKUP($D54,Asignaturas!$A$4:$G$18,7,FALSE),"")</f>
        <v/>
      </c>
      <c r="I54" s="3">
        <f>IF(($D54=""),"",IF(($H54=""),("Aula "&amp;$A54),$H54))</f>
        <v/>
      </c>
      <c r="J54" s="3">
        <f>IFERROR(VLOOKUP($D54,Asignaturas!$A$4:$G$18,4,FALSE),"no")</f>
        <v/>
      </c>
      <c r="K54" s="3">
        <f>IFERROR(VLOOKUP($D54,Asignaturas!$A$4:$G$18,5,FALSE),"no")</f>
        <v/>
      </c>
      <c r="L54" s="3">
        <f>IFERROR(VLOOKUP($D54,Asignaturas!$A$4:$G$18,6,FALSE),"")</f>
        <v/>
      </c>
      <c r="M54" s="3">
        <f>IFERROR(VLOOKUP($G54,Profesores!$A$4:$C$33,2,FALSE),"no")</f>
        <v/>
      </c>
      <c r="N54" s="3">
        <f>IFERROR(VLOOKUP($G54,Profesores!$A$4:$C$33,3,FALSE),"no")</f>
        <v/>
      </c>
      <c r="O54" s="3">
        <f>($G54&amp;"#"&amp;$B54)</f>
        <v/>
      </c>
      <c r="P54" s="3">
        <f>IFERROR(VLOOKUP($O54,'Dias que asisten los contratados'!$A$4:$D$4,4,FALSE),"no")</f>
        <v/>
      </c>
      <c r="Q54" s="3">
        <f>IF(AND(NOT(($D54="")),(SUMPRODUCT((((($J54="no"))+(('Casillas del horario'!$C$4:$C$73&lt;&gt;($C54+1))*('Casillas del horario'!$C$4:$C$73&lt;&gt;($C54-1))))&gt;0)*('Casillas del horario'!$D$4:$D$73=$D54)*('Casillas del horario'!$B$4:$B$73=$B54)*('Casillas del horario'!$A$4:$A$73=$A54)*(ROW('Casillas del horario'!$A$4:$A$73)&lt;&gt;ROW($A54)))&gt;0)),"si","no")</f>
        <v/>
      </c>
      <c r="R54" s="3">
        <f>$A54&amp;"|"&amp;$C54&amp;"|"&amp;$B54</f>
        <v/>
      </c>
      <c r="S54" s="3">
        <f>$G54&amp;"|"&amp;$C54&amp;"|"&amp;$B54</f>
        <v/>
      </c>
      <c r="T54" s="3">
        <f>$I54&amp;"|"&amp;$C54&amp;"|"&amp;$B54</f>
        <v/>
      </c>
    </row>
    <row r="55">
      <c r="A55" s="3" t="inlineStr">
        <is>
          <t>10-3</t>
        </is>
      </c>
      <c r="B55" s="3" t="inlineStr">
        <is>
          <t>M</t>
        </is>
      </c>
      <c r="C55" s="3" t="n">
        <v>6</v>
      </c>
      <c r="D55" s="4" t="inlineStr">
        <is>
          <t>RD</t>
        </is>
      </c>
      <c r="E55" s="3">
        <f>IFERROR(VLOOKUP($D55,Asignaturas!$A$4:$G$18,2,FALSE),"")</f>
        <v/>
      </c>
      <c r="F55" s="3">
        <f>($A55&amp;"#"&amp;$D55)</f>
        <v/>
      </c>
      <c r="G55" s="3">
        <f>IFERROR(VLOOKUP($F55,'Plan por grupo'!$A$4:$H$33,4,FALSE),"")</f>
        <v/>
      </c>
      <c r="H55" s="3">
        <f>IFERROR(VLOOKUP($D55,Asignaturas!$A$4:$G$18,7,FALSE),"")</f>
        <v/>
      </c>
      <c r="I55" s="3">
        <f>IF(($D55=""),"",IF(($H55=""),("Aula "&amp;$A55),$H55))</f>
        <v/>
      </c>
      <c r="J55" s="3">
        <f>IFERROR(VLOOKUP($D55,Asignaturas!$A$4:$G$18,4,FALSE),"no")</f>
        <v/>
      </c>
      <c r="K55" s="3">
        <f>IFERROR(VLOOKUP($D55,Asignaturas!$A$4:$G$18,5,FALSE),"no")</f>
        <v/>
      </c>
      <c r="L55" s="3">
        <f>IFERROR(VLOOKUP($D55,Asignaturas!$A$4:$G$18,6,FALSE),"")</f>
        <v/>
      </c>
      <c r="M55" s="3">
        <f>IFERROR(VLOOKUP($G55,Profesores!$A$4:$C$33,2,FALSE),"no")</f>
        <v/>
      </c>
      <c r="N55" s="3">
        <f>IFERROR(VLOOKUP($G55,Profesores!$A$4:$C$33,3,FALSE),"no")</f>
        <v/>
      </c>
      <c r="O55" s="3">
        <f>($G55&amp;"#"&amp;$B55)</f>
        <v/>
      </c>
      <c r="P55" s="3">
        <f>IFERROR(VLOOKUP($O55,'Dias que asisten los contratados'!$A$4:$D$4,4,FALSE),"no")</f>
        <v/>
      </c>
      <c r="Q55" s="3">
        <f>IF(AND(NOT(($D55="")),(SUMPRODUCT((((($J55="no"))+(('Casillas del horario'!$C$4:$C$73&lt;&gt;($C55+1))*('Casillas del horario'!$C$4:$C$73&lt;&gt;($C55-1))))&gt;0)*('Casillas del horario'!$D$4:$D$73=$D55)*('Casillas del horario'!$B$4:$B$73=$B55)*('Casillas del horario'!$A$4:$A$73=$A55)*(ROW('Casillas del horario'!$A$4:$A$73)&lt;&gt;ROW($A55)))&gt;0)),"si","no")</f>
        <v/>
      </c>
      <c r="R55" s="3">
        <f>$A55&amp;"|"&amp;$C55&amp;"|"&amp;$B55</f>
        <v/>
      </c>
      <c r="S55" s="3">
        <f>$G55&amp;"|"&amp;$C55&amp;"|"&amp;$B55</f>
        <v/>
      </c>
      <c r="T55" s="3">
        <f>$I55&amp;"|"&amp;$C55&amp;"|"&amp;$B55</f>
        <v/>
      </c>
    </row>
    <row r="56">
      <c r="A56" s="3" t="inlineStr">
        <is>
          <t>10-3</t>
        </is>
      </c>
      <c r="B56" s="3" t="inlineStr">
        <is>
          <t>MI</t>
        </is>
      </c>
      <c r="C56" s="3" t="n">
        <v>6</v>
      </c>
      <c r="D56" s="4" t="inlineStr">
        <is>
          <t>F</t>
        </is>
      </c>
      <c r="E56" s="3">
        <f>IFERROR(VLOOKUP($D56,Asignaturas!$A$4:$G$18,2,FALSE),"")</f>
        <v/>
      </c>
      <c r="F56" s="3">
        <f>($A56&amp;"#"&amp;$D56)</f>
        <v/>
      </c>
      <c r="G56" s="3">
        <f>IFERROR(VLOOKUP($F56,'Plan por grupo'!$A$4:$H$33,4,FALSE),"")</f>
        <v/>
      </c>
      <c r="H56" s="3">
        <f>IFERROR(VLOOKUP($D56,Asignaturas!$A$4:$G$18,7,FALSE),"")</f>
        <v/>
      </c>
      <c r="I56" s="3">
        <f>IF(($D56=""),"",IF(($H56=""),("Aula "&amp;$A56),$H56))</f>
        <v/>
      </c>
      <c r="J56" s="3">
        <f>IFERROR(VLOOKUP($D56,Asignaturas!$A$4:$G$18,4,FALSE),"no")</f>
        <v/>
      </c>
      <c r="K56" s="3">
        <f>IFERROR(VLOOKUP($D56,Asignaturas!$A$4:$G$18,5,FALSE),"no")</f>
        <v/>
      </c>
      <c r="L56" s="3">
        <f>IFERROR(VLOOKUP($D56,Asignaturas!$A$4:$G$18,6,FALSE),"")</f>
        <v/>
      </c>
      <c r="M56" s="3">
        <f>IFERROR(VLOOKUP($G56,Profesores!$A$4:$C$33,2,FALSE),"no")</f>
        <v/>
      </c>
      <c r="N56" s="3">
        <f>IFERROR(VLOOKUP($G56,Profesores!$A$4:$C$33,3,FALSE),"no")</f>
        <v/>
      </c>
      <c r="O56" s="3">
        <f>($G56&amp;"#"&amp;$B56)</f>
        <v/>
      </c>
      <c r="P56" s="3">
        <f>IFERROR(VLOOKUP($O56,'Dias que asisten los contratados'!$A$4:$D$4,4,FALSE),"no")</f>
        <v/>
      </c>
      <c r="Q56" s="3">
        <f>IF(AND(NOT(($D56="")),(SUMPRODUCT((((($J56="no"))+(('Casillas del horario'!$C$4:$C$73&lt;&gt;($C56+1))*('Casillas del horario'!$C$4:$C$73&lt;&gt;($C56-1))))&gt;0)*('Casillas del horario'!$D$4:$D$73=$D56)*('Casillas del horario'!$B$4:$B$73=$B56)*('Casillas del horario'!$A$4:$A$73=$A56)*(ROW('Casillas del horario'!$A$4:$A$73)&lt;&gt;ROW($A56)))&gt;0)),"si","no")</f>
        <v/>
      </c>
      <c r="R56" s="3">
        <f>$A56&amp;"|"&amp;$C56&amp;"|"&amp;$B56</f>
        <v/>
      </c>
      <c r="S56" s="3">
        <f>$G56&amp;"|"&amp;$C56&amp;"|"&amp;$B56</f>
        <v/>
      </c>
      <c r="T56" s="3">
        <f>$I56&amp;"|"&amp;$C56&amp;"|"&amp;$B56</f>
        <v/>
      </c>
    </row>
    <row r="57">
      <c r="A57" s="3" t="inlineStr">
        <is>
          <t>10-3</t>
        </is>
      </c>
      <c r="B57" s="3" t="inlineStr">
        <is>
          <t>J</t>
        </is>
      </c>
      <c r="C57" s="3" t="n">
        <v>6</v>
      </c>
      <c r="D57" s="4" t="inlineStr">
        <is>
          <t>H</t>
        </is>
      </c>
      <c r="E57" s="3">
        <f>IFERROR(VLOOKUP($D57,Asignaturas!$A$4:$G$18,2,FALSE),"")</f>
        <v/>
      </c>
      <c r="F57" s="3">
        <f>($A57&amp;"#"&amp;$D57)</f>
        <v/>
      </c>
      <c r="G57" s="3">
        <f>IFERROR(VLOOKUP($F57,'Plan por grupo'!$A$4:$H$33,4,FALSE),"")</f>
        <v/>
      </c>
      <c r="H57" s="3">
        <f>IFERROR(VLOOKUP($D57,Asignaturas!$A$4:$G$18,7,FALSE),"")</f>
        <v/>
      </c>
      <c r="I57" s="3">
        <f>IF(($D57=""),"",IF(($H57=""),("Aula "&amp;$A57),$H57))</f>
        <v/>
      </c>
      <c r="J57" s="3">
        <f>IFERROR(VLOOKUP($D57,Asignaturas!$A$4:$G$18,4,FALSE),"no")</f>
        <v/>
      </c>
      <c r="K57" s="3">
        <f>IFERROR(VLOOKUP($D57,Asignaturas!$A$4:$G$18,5,FALSE),"no")</f>
        <v/>
      </c>
      <c r="L57" s="3">
        <f>IFERROR(VLOOKUP($D57,Asignaturas!$A$4:$G$18,6,FALSE),"")</f>
        <v/>
      </c>
      <c r="M57" s="3">
        <f>IFERROR(VLOOKUP($G57,Profesores!$A$4:$C$33,2,FALSE),"no")</f>
        <v/>
      </c>
      <c r="N57" s="3">
        <f>IFERROR(VLOOKUP($G57,Profesores!$A$4:$C$33,3,FALSE),"no")</f>
        <v/>
      </c>
      <c r="O57" s="3">
        <f>($G57&amp;"#"&amp;$B57)</f>
        <v/>
      </c>
      <c r="P57" s="3">
        <f>IFERROR(VLOOKUP($O57,'Dias que asisten los contratados'!$A$4:$D$4,4,FALSE),"no")</f>
        <v/>
      </c>
      <c r="Q57" s="3">
        <f>IF(AND(NOT(($D57="")),(SUMPRODUCT((((($J57="no"))+(('Casillas del horario'!$C$4:$C$73&lt;&gt;($C57+1))*('Casillas del horario'!$C$4:$C$73&lt;&gt;($C57-1))))&gt;0)*('Casillas del horario'!$D$4:$D$73=$D57)*('Casillas del horario'!$B$4:$B$73=$B57)*('Casillas del horario'!$A$4:$A$73=$A57)*(ROW('Casillas del horario'!$A$4:$A$73)&lt;&gt;ROW($A57)))&gt;0)),"si","no")</f>
        <v/>
      </c>
      <c r="R57" s="3">
        <f>$A57&amp;"|"&amp;$C57&amp;"|"&amp;$B57</f>
        <v/>
      </c>
      <c r="S57" s="3">
        <f>$G57&amp;"|"&amp;$C57&amp;"|"&amp;$B57</f>
        <v/>
      </c>
      <c r="T57" s="3">
        <f>$I57&amp;"|"&amp;$C57&amp;"|"&amp;$B57</f>
        <v/>
      </c>
    </row>
    <row r="58">
      <c r="A58" s="3" t="inlineStr">
        <is>
          <t>10-3</t>
        </is>
      </c>
      <c r="B58" s="3" t="inlineStr">
        <is>
          <t>V</t>
        </is>
      </c>
      <c r="C58" s="3" t="n">
        <v>6</v>
      </c>
      <c r="D58" s="4" t="inlineStr">
        <is>
          <t>M</t>
        </is>
      </c>
      <c r="E58" s="3">
        <f>IFERROR(VLOOKUP($D58,Asignaturas!$A$4:$G$18,2,FALSE),"")</f>
        <v/>
      </c>
      <c r="F58" s="3">
        <f>($A58&amp;"#"&amp;$D58)</f>
        <v/>
      </c>
      <c r="G58" s="3">
        <f>IFERROR(VLOOKUP($F58,'Plan por grupo'!$A$4:$H$33,4,FALSE),"")</f>
        <v/>
      </c>
      <c r="H58" s="3">
        <f>IFERROR(VLOOKUP($D58,Asignaturas!$A$4:$G$18,7,FALSE),"")</f>
        <v/>
      </c>
      <c r="I58" s="3">
        <f>IF(($D58=""),"",IF(($H58=""),("Aula "&amp;$A58),$H58))</f>
        <v/>
      </c>
      <c r="J58" s="3">
        <f>IFERROR(VLOOKUP($D58,Asignaturas!$A$4:$G$18,4,FALSE),"no")</f>
        <v/>
      </c>
      <c r="K58" s="3">
        <f>IFERROR(VLOOKUP($D58,Asignaturas!$A$4:$G$18,5,FALSE),"no")</f>
        <v/>
      </c>
      <c r="L58" s="3">
        <f>IFERROR(VLOOKUP($D58,Asignaturas!$A$4:$G$18,6,FALSE),"")</f>
        <v/>
      </c>
      <c r="M58" s="3">
        <f>IFERROR(VLOOKUP($G58,Profesores!$A$4:$C$33,2,FALSE),"no")</f>
        <v/>
      </c>
      <c r="N58" s="3">
        <f>IFERROR(VLOOKUP($G58,Profesores!$A$4:$C$33,3,FALSE),"no")</f>
        <v/>
      </c>
      <c r="O58" s="3">
        <f>($G58&amp;"#"&amp;$B58)</f>
        <v/>
      </c>
      <c r="P58" s="3">
        <f>IFERROR(VLOOKUP($O58,'Dias que asisten los contratados'!$A$4:$D$4,4,FALSE),"no")</f>
        <v/>
      </c>
      <c r="Q58" s="3">
        <f>IF(AND(NOT(($D58="")),(SUMPRODUCT((((($J58="no"))+(('Casillas del horario'!$C$4:$C$73&lt;&gt;($C58+1))*('Casillas del horario'!$C$4:$C$73&lt;&gt;($C58-1))))&gt;0)*('Casillas del horario'!$D$4:$D$73=$D58)*('Casillas del horario'!$B$4:$B$73=$B58)*('Casillas del horario'!$A$4:$A$73=$A58)*(ROW('Casillas del horario'!$A$4:$A$73)&lt;&gt;ROW($A58)))&gt;0)),"si","no")</f>
        <v/>
      </c>
      <c r="R58" s="3">
        <f>$A58&amp;"|"&amp;$C58&amp;"|"&amp;$B58</f>
        <v/>
      </c>
      <c r="S58" s="3">
        <f>$G58&amp;"|"&amp;$C58&amp;"|"&amp;$B58</f>
        <v/>
      </c>
      <c r="T58" s="3">
        <f>$I58&amp;"|"&amp;$C58&amp;"|"&amp;$B58</f>
        <v/>
      </c>
    </row>
    <row r="59">
      <c r="A59" s="3" t="inlineStr">
        <is>
          <t>10-4</t>
        </is>
      </c>
      <c r="B59" s="3" t="inlineStr">
        <is>
          <t>L</t>
        </is>
      </c>
      <c r="C59" s="3" t="n">
        <v>6</v>
      </c>
      <c r="D59" s="4" t="inlineStr">
        <is>
          <t>B</t>
        </is>
      </c>
      <c r="E59" s="3">
        <f>IFERROR(VLOOKUP($D59,Asignaturas!$A$4:$G$18,2,FALSE),"")</f>
        <v/>
      </c>
      <c r="F59" s="3">
        <f>($A59&amp;"#"&amp;$D59)</f>
        <v/>
      </c>
      <c r="G59" s="3">
        <f>IFERROR(VLOOKUP($F59,'Plan por grupo'!$A$4:$H$33,4,FALSE),"")</f>
        <v/>
      </c>
      <c r="H59" s="3">
        <f>IFERROR(VLOOKUP($D59,Asignaturas!$A$4:$G$18,7,FALSE),"")</f>
        <v/>
      </c>
      <c r="I59" s="3">
        <f>IF(($D59=""),"",IF(($H59=""),("Aula "&amp;$A59),$H59))</f>
        <v/>
      </c>
      <c r="J59" s="3">
        <f>IFERROR(VLOOKUP($D59,Asignaturas!$A$4:$G$18,4,FALSE),"no")</f>
        <v/>
      </c>
      <c r="K59" s="3">
        <f>IFERROR(VLOOKUP($D59,Asignaturas!$A$4:$G$18,5,FALSE),"no")</f>
        <v/>
      </c>
      <c r="L59" s="3">
        <f>IFERROR(VLOOKUP($D59,Asignaturas!$A$4:$G$18,6,FALSE),"")</f>
        <v/>
      </c>
      <c r="M59" s="3">
        <f>IFERROR(VLOOKUP($G59,Profesores!$A$4:$C$33,2,FALSE),"no")</f>
        <v/>
      </c>
      <c r="N59" s="3">
        <f>IFERROR(VLOOKUP($G59,Profesores!$A$4:$C$33,3,FALSE),"no")</f>
        <v/>
      </c>
      <c r="O59" s="3">
        <f>($G59&amp;"#"&amp;$B59)</f>
        <v/>
      </c>
      <c r="P59" s="3">
        <f>IFERROR(VLOOKUP($O59,'Dias que asisten los contratados'!$A$4:$D$4,4,FALSE),"no")</f>
        <v/>
      </c>
      <c r="Q59" s="3">
        <f>IF(AND(NOT(($D59="")),(SUMPRODUCT((((($J59="no"))+(('Casillas del horario'!$C$4:$C$73&lt;&gt;($C59+1))*('Casillas del horario'!$C$4:$C$73&lt;&gt;($C59-1))))&gt;0)*('Casillas del horario'!$D$4:$D$73=$D59)*('Casillas del horario'!$B$4:$B$73=$B59)*('Casillas del horario'!$A$4:$A$73=$A59)*(ROW('Casillas del horario'!$A$4:$A$73)&lt;&gt;ROW($A59)))&gt;0)),"si","no")</f>
        <v/>
      </c>
      <c r="R59" s="3">
        <f>$A59&amp;"|"&amp;$C59&amp;"|"&amp;$B59</f>
        <v/>
      </c>
      <c r="S59" s="3">
        <f>$G59&amp;"|"&amp;$C59&amp;"|"&amp;$B59</f>
        <v/>
      </c>
      <c r="T59" s="3">
        <f>$I59&amp;"|"&amp;$C59&amp;"|"&amp;$B59</f>
        <v/>
      </c>
    </row>
    <row r="60">
      <c r="A60" s="3" t="inlineStr">
        <is>
          <t>10-4</t>
        </is>
      </c>
      <c r="B60" s="3" t="inlineStr">
        <is>
          <t>M</t>
        </is>
      </c>
      <c r="C60" s="3" t="n">
        <v>6</v>
      </c>
      <c r="D60" s="4" t="inlineStr">
        <is>
          <t>G</t>
        </is>
      </c>
      <c r="E60" s="3">
        <f>IFERROR(VLOOKUP($D60,Asignaturas!$A$4:$G$18,2,FALSE),"")</f>
        <v/>
      </c>
      <c r="F60" s="3">
        <f>($A60&amp;"#"&amp;$D60)</f>
        <v/>
      </c>
      <c r="G60" s="3">
        <f>IFERROR(VLOOKUP($F60,'Plan por grupo'!$A$4:$H$33,4,FALSE),"")</f>
        <v/>
      </c>
      <c r="H60" s="3">
        <f>IFERROR(VLOOKUP($D60,Asignaturas!$A$4:$G$18,7,FALSE),"")</f>
        <v/>
      </c>
      <c r="I60" s="3">
        <f>IF(($D60=""),"",IF(($H60=""),("Aula "&amp;$A60),$H60))</f>
        <v/>
      </c>
      <c r="J60" s="3">
        <f>IFERROR(VLOOKUP($D60,Asignaturas!$A$4:$G$18,4,FALSE),"no")</f>
        <v/>
      </c>
      <c r="K60" s="3">
        <f>IFERROR(VLOOKUP($D60,Asignaturas!$A$4:$G$18,5,FALSE),"no")</f>
        <v/>
      </c>
      <c r="L60" s="3">
        <f>IFERROR(VLOOKUP($D60,Asignaturas!$A$4:$G$18,6,FALSE),"")</f>
        <v/>
      </c>
      <c r="M60" s="3">
        <f>IFERROR(VLOOKUP($G60,Profesores!$A$4:$C$33,2,FALSE),"no")</f>
        <v/>
      </c>
      <c r="N60" s="3">
        <f>IFERROR(VLOOKUP($G60,Profesores!$A$4:$C$33,3,FALSE),"no")</f>
        <v/>
      </c>
      <c r="O60" s="3">
        <f>($G60&amp;"#"&amp;$B60)</f>
        <v/>
      </c>
      <c r="P60" s="3">
        <f>IFERROR(VLOOKUP($O60,'Dias que asisten los contratados'!$A$4:$D$4,4,FALSE),"no")</f>
        <v/>
      </c>
      <c r="Q60" s="3">
        <f>IF(AND(NOT(($D60="")),(SUMPRODUCT((((($J60="no"))+(('Casillas del horario'!$C$4:$C$73&lt;&gt;($C60+1))*('Casillas del horario'!$C$4:$C$73&lt;&gt;($C60-1))))&gt;0)*('Casillas del horario'!$D$4:$D$73=$D60)*('Casillas del horario'!$B$4:$B$73=$B60)*('Casillas del horario'!$A$4:$A$73=$A60)*(ROW('Casillas del horario'!$A$4:$A$73)&lt;&gt;ROW($A60)))&gt;0)),"si","no")</f>
        <v/>
      </c>
      <c r="R60" s="3">
        <f>$A60&amp;"|"&amp;$C60&amp;"|"&amp;$B60</f>
        <v/>
      </c>
      <c r="S60" s="3">
        <f>$G60&amp;"|"&amp;$C60&amp;"|"&amp;$B60</f>
        <v/>
      </c>
      <c r="T60" s="3">
        <f>$I60&amp;"|"&amp;$C60&amp;"|"&amp;$B60</f>
        <v/>
      </c>
    </row>
    <row r="61">
      <c r="A61" s="3" t="inlineStr">
        <is>
          <t>10-4</t>
        </is>
      </c>
      <c r="B61" s="3" t="inlineStr">
        <is>
          <t>MI</t>
        </is>
      </c>
      <c r="C61" s="3" t="n">
        <v>6</v>
      </c>
      <c r="D61" s="4" t="inlineStr">
        <is>
          <t>H</t>
        </is>
      </c>
      <c r="E61" s="3">
        <f>IFERROR(VLOOKUP($D61,Asignaturas!$A$4:$G$18,2,FALSE),"")</f>
        <v/>
      </c>
      <c r="F61" s="3">
        <f>($A61&amp;"#"&amp;$D61)</f>
        <v/>
      </c>
      <c r="G61" s="3">
        <f>IFERROR(VLOOKUP($F61,'Plan por grupo'!$A$4:$H$33,4,FALSE),"")</f>
        <v/>
      </c>
      <c r="H61" s="3">
        <f>IFERROR(VLOOKUP($D61,Asignaturas!$A$4:$G$18,7,FALSE),"")</f>
        <v/>
      </c>
      <c r="I61" s="3">
        <f>IF(($D61=""),"",IF(($H61=""),("Aula "&amp;$A61),$H61))</f>
        <v/>
      </c>
      <c r="J61" s="3">
        <f>IFERROR(VLOOKUP($D61,Asignaturas!$A$4:$G$18,4,FALSE),"no")</f>
        <v/>
      </c>
      <c r="K61" s="3">
        <f>IFERROR(VLOOKUP($D61,Asignaturas!$A$4:$G$18,5,FALSE),"no")</f>
        <v/>
      </c>
      <c r="L61" s="3">
        <f>IFERROR(VLOOKUP($D61,Asignaturas!$A$4:$G$18,6,FALSE),"")</f>
        <v/>
      </c>
      <c r="M61" s="3">
        <f>IFERROR(VLOOKUP($G61,Profesores!$A$4:$C$33,2,FALSE),"no")</f>
        <v/>
      </c>
      <c r="N61" s="3">
        <f>IFERROR(VLOOKUP($G61,Profesores!$A$4:$C$33,3,FALSE),"no")</f>
        <v/>
      </c>
      <c r="O61" s="3">
        <f>($G61&amp;"#"&amp;$B61)</f>
        <v/>
      </c>
      <c r="P61" s="3">
        <f>IFERROR(VLOOKUP($O61,'Dias que asisten los contratados'!$A$4:$D$4,4,FALSE),"no")</f>
        <v/>
      </c>
      <c r="Q61" s="3">
        <f>IF(AND(NOT(($D61="")),(SUMPRODUCT((((($J61="no"))+(('Casillas del horario'!$C$4:$C$73&lt;&gt;($C61+1))*('Casillas del horario'!$C$4:$C$73&lt;&gt;($C61-1))))&gt;0)*('Casillas del horario'!$D$4:$D$73=$D61)*('Casillas del horario'!$B$4:$B$73=$B61)*('Casillas del horario'!$A$4:$A$73=$A61)*(ROW('Casillas del horario'!$A$4:$A$73)&lt;&gt;ROW($A61)))&gt;0)),"si","no")</f>
        <v/>
      </c>
      <c r="R61" s="3">
        <f>$A61&amp;"|"&amp;$C61&amp;"|"&amp;$B61</f>
        <v/>
      </c>
      <c r="S61" s="3">
        <f>$G61&amp;"|"&amp;$C61&amp;"|"&amp;$B61</f>
        <v/>
      </c>
      <c r="T61" s="3">
        <f>$I61&amp;"|"&amp;$C61&amp;"|"&amp;$B61</f>
        <v/>
      </c>
    </row>
    <row r="62">
      <c r="A62" s="3" t="inlineStr">
        <is>
          <t>10-4</t>
        </is>
      </c>
      <c r="B62" s="3" t="inlineStr">
        <is>
          <t>J</t>
        </is>
      </c>
      <c r="C62" s="3" t="n">
        <v>6</v>
      </c>
      <c r="D62" s="4" t="inlineStr">
        <is>
          <t>Lit-L</t>
        </is>
      </c>
      <c r="E62" s="3">
        <f>IFERROR(VLOOKUP($D62,Asignaturas!$A$4:$G$18,2,FALSE),"")</f>
        <v/>
      </c>
      <c r="F62" s="3">
        <f>($A62&amp;"#"&amp;$D62)</f>
        <v/>
      </c>
      <c r="G62" s="3">
        <f>IFERROR(VLOOKUP($F62,'Plan por grupo'!$A$4:$H$33,4,FALSE),"")</f>
        <v/>
      </c>
      <c r="H62" s="3">
        <f>IFERROR(VLOOKUP($D62,Asignaturas!$A$4:$G$18,7,FALSE),"")</f>
        <v/>
      </c>
      <c r="I62" s="3">
        <f>IF(($D62=""),"",IF(($H62=""),("Aula "&amp;$A62),$H62))</f>
        <v/>
      </c>
      <c r="J62" s="3">
        <f>IFERROR(VLOOKUP($D62,Asignaturas!$A$4:$G$18,4,FALSE),"no")</f>
        <v/>
      </c>
      <c r="K62" s="3">
        <f>IFERROR(VLOOKUP($D62,Asignaturas!$A$4:$G$18,5,FALSE),"no")</f>
        <v/>
      </c>
      <c r="L62" s="3">
        <f>IFERROR(VLOOKUP($D62,Asignaturas!$A$4:$G$18,6,FALSE),"")</f>
        <v/>
      </c>
      <c r="M62" s="3">
        <f>IFERROR(VLOOKUP($G62,Profesores!$A$4:$C$33,2,FALSE),"no")</f>
        <v/>
      </c>
      <c r="N62" s="3">
        <f>IFERROR(VLOOKUP($G62,Profesores!$A$4:$C$33,3,FALSE),"no")</f>
        <v/>
      </c>
      <c r="O62" s="3">
        <f>($G62&amp;"#"&amp;$B62)</f>
        <v/>
      </c>
      <c r="P62" s="3">
        <f>IFERROR(VLOOKUP($O62,'Dias que asisten los contratados'!$A$4:$D$4,4,FALSE),"no")</f>
        <v/>
      </c>
      <c r="Q62" s="3">
        <f>IF(AND(NOT(($D62="")),(SUMPRODUCT((((($J62="no"))+(('Casillas del horario'!$C$4:$C$73&lt;&gt;($C62+1))*('Casillas del horario'!$C$4:$C$73&lt;&gt;($C62-1))))&gt;0)*('Casillas del horario'!$D$4:$D$73=$D62)*('Casillas del horario'!$B$4:$B$73=$B62)*('Casillas del horario'!$A$4:$A$73=$A62)*(ROW('Casillas del horario'!$A$4:$A$73)&lt;&gt;ROW($A62)))&gt;0)),"si","no")</f>
        <v/>
      </c>
      <c r="R62" s="3">
        <f>$A62&amp;"|"&amp;$C62&amp;"|"&amp;$B62</f>
        <v/>
      </c>
      <c r="S62" s="3">
        <f>$G62&amp;"|"&amp;$C62&amp;"|"&amp;$B62</f>
        <v/>
      </c>
      <c r="T62" s="3">
        <f>$I62&amp;"|"&amp;$C62&amp;"|"&amp;$B62</f>
        <v/>
      </c>
    </row>
    <row r="63">
      <c r="A63" s="3" t="inlineStr">
        <is>
          <t>10-4</t>
        </is>
      </c>
      <c r="B63" s="3" t="inlineStr">
        <is>
          <t>V</t>
        </is>
      </c>
      <c r="C63" s="3" t="n">
        <v>6</v>
      </c>
      <c r="D63" s="4" t="inlineStr">
        <is>
          <t>M</t>
        </is>
      </c>
      <c r="E63" s="3">
        <f>IFERROR(VLOOKUP($D63,Asignaturas!$A$4:$G$18,2,FALSE),"")</f>
        <v/>
      </c>
      <c r="F63" s="3">
        <f>($A63&amp;"#"&amp;$D63)</f>
        <v/>
      </c>
      <c r="G63" s="3">
        <f>IFERROR(VLOOKUP($F63,'Plan por grupo'!$A$4:$H$33,4,FALSE),"")</f>
        <v/>
      </c>
      <c r="H63" s="3">
        <f>IFERROR(VLOOKUP($D63,Asignaturas!$A$4:$G$18,7,FALSE),"")</f>
        <v/>
      </c>
      <c r="I63" s="3">
        <f>IF(($D63=""),"",IF(($H63=""),("Aula "&amp;$A63),$H63))</f>
        <v/>
      </c>
      <c r="J63" s="3">
        <f>IFERROR(VLOOKUP($D63,Asignaturas!$A$4:$G$18,4,FALSE),"no")</f>
        <v/>
      </c>
      <c r="K63" s="3">
        <f>IFERROR(VLOOKUP($D63,Asignaturas!$A$4:$G$18,5,FALSE),"no")</f>
        <v/>
      </c>
      <c r="L63" s="3">
        <f>IFERROR(VLOOKUP($D63,Asignaturas!$A$4:$G$18,6,FALSE),"")</f>
        <v/>
      </c>
      <c r="M63" s="3">
        <f>IFERROR(VLOOKUP($G63,Profesores!$A$4:$C$33,2,FALSE),"no")</f>
        <v/>
      </c>
      <c r="N63" s="3">
        <f>IFERROR(VLOOKUP($G63,Profesores!$A$4:$C$33,3,FALSE),"no")</f>
        <v/>
      </c>
      <c r="O63" s="3">
        <f>($G63&amp;"#"&amp;$B63)</f>
        <v/>
      </c>
      <c r="P63" s="3">
        <f>IFERROR(VLOOKUP($O63,'Dias que asisten los contratados'!$A$4:$D$4,4,FALSE),"no")</f>
        <v/>
      </c>
      <c r="Q63" s="3">
        <f>IF(AND(NOT(($D63="")),(SUMPRODUCT((((($J63="no"))+(('Casillas del horario'!$C$4:$C$73&lt;&gt;($C63+1))*('Casillas del horario'!$C$4:$C$73&lt;&gt;($C63-1))))&gt;0)*('Casillas del horario'!$D$4:$D$73=$D63)*('Casillas del horario'!$B$4:$B$73=$B63)*('Casillas del horario'!$A$4:$A$73=$A63)*(ROW('Casillas del horario'!$A$4:$A$73)&lt;&gt;ROW($A63)))&gt;0)),"si","no")</f>
        <v/>
      </c>
      <c r="R63" s="3">
        <f>$A63&amp;"|"&amp;$C63&amp;"|"&amp;$B63</f>
        <v/>
      </c>
      <c r="S63" s="3">
        <f>$G63&amp;"|"&amp;$C63&amp;"|"&amp;$B63</f>
        <v/>
      </c>
      <c r="T63" s="3">
        <f>$I63&amp;"|"&amp;$C63&amp;"|"&amp;$B63</f>
        <v/>
      </c>
    </row>
    <row r="64">
      <c r="A64" s="3" t="inlineStr">
        <is>
          <t>10-3</t>
        </is>
      </c>
      <c r="B64" s="3" t="inlineStr">
        <is>
          <t>L</t>
        </is>
      </c>
      <c r="C64" s="3" t="n">
        <v>7</v>
      </c>
      <c r="D64" s="4" t="n"/>
      <c r="E64" s="3">
        <f>IFERROR(VLOOKUP($D64,Asignaturas!$A$4:$G$18,2,FALSE),"")</f>
        <v/>
      </c>
      <c r="F64" s="3">
        <f>($A64&amp;"#"&amp;$D64)</f>
        <v/>
      </c>
      <c r="G64" s="3">
        <f>IFERROR(VLOOKUP($F64,'Plan por grupo'!$A$4:$H$33,4,FALSE),"")</f>
        <v/>
      </c>
      <c r="H64" s="3">
        <f>IFERROR(VLOOKUP($D64,Asignaturas!$A$4:$G$18,7,FALSE),"")</f>
        <v/>
      </c>
      <c r="I64" s="3">
        <f>IF(($D64=""),"",IF(($H64=""),("Aula "&amp;$A64),$H64))</f>
        <v/>
      </c>
      <c r="J64" s="3">
        <f>IFERROR(VLOOKUP($D64,Asignaturas!$A$4:$G$18,4,FALSE),"no")</f>
        <v/>
      </c>
      <c r="K64" s="3">
        <f>IFERROR(VLOOKUP($D64,Asignaturas!$A$4:$G$18,5,FALSE),"no")</f>
        <v/>
      </c>
      <c r="L64" s="3">
        <f>IFERROR(VLOOKUP($D64,Asignaturas!$A$4:$G$18,6,FALSE),"")</f>
        <v/>
      </c>
      <c r="M64" s="3">
        <f>IFERROR(VLOOKUP($G64,Profesores!$A$4:$C$33,2,FALSE),"no")</f>
        <v/>
      </c>
      <c r="N64" s="3">
        <f>IFERROR(VLOOKUP($G64,Profesores!$A$4:$C$33,3,FALSE),"no")</f>
        <v/>
      </c>
      <c r="O64" s="3">
        <f>($G64&amp;"#"&amp;$B64)</f>
        <v/>
      </c>
      <c r="P64" s="3">
        <f>IFERROR(VLOOKUP($O64,'Dias que asisten los contratados'!$A$4:$D$4,4,FALSE),"no")</f>
        <v/>
      </c>
      <c r="Q64" s="3">
        <f>IF(AND(NOT(($D64="")),(SUMPRODUCT((((($J64="no"))+(('Casillas del horario'!$C$4:$C$73&lt;&gt;($C64+1))*('Casillas del horario'!$C$4:$C$73&lt;&gt;($C64-1))))&gt;0)*('Casillas del horario'!$D$4:$D$73=$D64)*('Casillas del horario'!$B$4:$B$73=$B64)*('Casillas del horario'!$A$4:$A$73=$A64)*(ROW('Casillas del horario'!$A$4:$A$73)&lt;&gt;ROW($A64)))&gt;0)),"si","no")</f>
        <v/>
      </c>
      <c r="R64" s="3">
        <f>$A64&amp;"|"&amp;$C64&amp;"|"&amp;$B64</f>
        <v/>
      </c>
      <c r="S64" s="3">
        <f>$G64&amp;"|"&amp;$C64&amp;"|"&amp;$B64</f>
        <v/>
      </c>
      <c r="T64" s="3">
        <f>$I64&amp;"|"&amp;$C64&amp;"|"&amp;$B64</f>
        <v/>
      </c>
    </row>
    <row r="65">
      <c r="A65" s="3" t="inlineStr">
        <is>
          <t>10-3</t>
        </is>
      </c>
      <c r="B65" s="3" t="inlineStr">
        <is>
          <t>M</t>
        </is>
      </c>
      <c r="C65" s="3" t="n">
        <v>7</v>
      </c>
      <c r="D65" s="4" t="n"/>
      <c r="E65" s="3">
        <f>IFERROR(VLOOKUP($D65,Asignaturas!$A$4:$G$18,2,FALSE),"")</f>
        <v/>
      </c>
      <c r="F65" s="3">
        <f>($A65&amp;"#"&amp;$D65)</f>
        <v/>
      </c>
      <c r="G65" s="3">
        <f>IFERROR(VLOOKUP($F65,'Plan por grupo'!$A$4:$H$33,4,FALSE),"")</f>
        <v/>
      </c>
      <c r="H65" s="3">
        <f>IFERROR(VLOOKUP($D65,Asignaturas!$A$4:$G$18,7,FALSE),"")</f>
        <v/>
      </c>
      <c r="I65" s="3">
        <f>IF(($D65=""),"",IF(($H65=""),("Aula "&amp;$A65),$H65))</f>
        <v/>
      </c>
      <c r="J65" s="3">
        <f>IFERROR(VLOOKUP($D65,Asignaturas!$A$4:$G$18,4,FALSE),"no")</f>
        <v/>
      </c>
      <c r="K65" s="3">
        <f>IFERROR(VLOOKUP($D65,Asignaturas!$A$4:$G$18,5,FALSE),"no")</f>
        <v/>
      </c>
      <c r="L65" s="3">
        <f>IFERROR(VLOOKUP($D65,Asignaturas!$A$4:$G$18,6,FALSE),"")</f>
        <v/>
      </c>
      <c r="M65" s="3">
        <f>IFERROR(VLOOKUP($G65,Profesores!$A$4:$C$33,2,FALSE),"no")</f>
        <v/>
      </c>
      <c r="N65" s="3">
        <f>IFERROR(VLOOKUP($G65,Profesores!$A$4:$C$33,3,FALSE),"no")</f>
        <v/>
      </c>
      <c r="O65" s="3">
        <f>($G65&amp;"#"&amp;$B65)</f>
        <v/>
      </c>
      <c r="P65" s="3">
        <f>IFERROR(VLOOKUP($O65,'Dias que asisten los contratados'!$A$4:$D$4,4,FALSE),"no")</f>
        <v/>
      </c>
      <c r="Q65" s="3">
        <f>IF(AND(NOT(($D65="")),(SUMPRODUCT((((($J65="no"))+(('Casillas del horario'!$C$4:$C$73&lt;&gt;($C65+1))*('Casillas del horario'!$C$4:$C$73&lt;&gt;($C65-1))))&gt;0)*('Casillas del horario'!$D$4:$D$73=$D65)*('Casillas del horario'!$B$4:$B$73=$B65)*('Casillas del horario'!$A$4:$A$73=$A65)*(ROW('Casillas del horario'!$A$4:$A$73)&lt;&gt;ROW($A65)))&gt;0)),"si","no")</f>
        <v/>
      </c>
      <c r="R65" s="3">
        <f>$A65&amp;"|"&amp;$C65&amp;"|"&amp;$B65</f>
        <v/>
      </c>
      <c r="S65" s="3">
        <f>$G65&amp;"|"&amp;$C65&amp;"|"&amp;$B65</f>
        <v/>
      </c>
      <c r="T65" s="3">
        <f>$I65&amp;"|"&amp;$C65&amp;"|"&amp;$B65</f>
        <v/>
      </c>
    </row>
    <row r="66">
      <c r="A66" s="3" t="inlineStr">
        <is>
          <t>10-3</t>
        </is>
      </c>
      <c r="B66" s="3" t="inlineStr">
        <is>
          <t>MI</t>
        </is>
      </c>
      <c r="C66" s="3" t="n">
        <v>7</v>
      </c>
      <c r="D66" s="4" t="inlineStr">
        <is>
          <t>AL/AC</t>
        </is>
      </c>
      <c r="E66" s="3">
        <f>IFERROR(VLOOKUP($D66,Asignaturas!$A$4:$G$18,2,FALSE),"")</f>
        <v/>
      </c>
      <c r="F66" s="3">
        <f>($A66&amp;"#"&amp;$D66)</f>
        <v/>
      </c>
      <c r="G66" s="3">
        <f>IFERROR(VLOOKUP($F66,'Plan por grupo'!$A$4:$H$33,4,FALSE),"")</f>
        <v/>
      </c>
      <c r="H66" s="3">
        <f>IFERROR(VLOOKUP($D66,Asignaturas!$A$4:$G$18,7,FALSE),"")</f>
        <v/>
      </c>
      <c r="I66" s="3">
        <f>IF(($D66=""),"",IF(($H66=""),("Aula "&amp;$A66),$H66))</f>
        <v/>
      </c>
      <c r="J66" s="3">
        <f>IFERROR(VLOOKUP($D66,Asignaturas!$A$4:$G$18,4,FALSE),"no")</f>
        <v/>
      </c>
      <c r="K66" s="3">
        <f>IFERROR(VLOOKUP($D66,Asignaturas!$A$4:$G$18,5,FALSE),"no")</f>
        <v/>
      </c>
      <c r="L66" s="3">
        <f>IFERROR(VLOOKUP($D66,Asignaturas!$A$4:$G$18,6,FALSE),"")</f>
        <v/>
      </c>
      <c r="M66" s="3">
        <f>IFERROR(VLOOKUP($G66,Profesores!$A$4:$C$33,2,FALSE),"no")</f>
        <v/>
      </c>
      <c r="N66" s="3">
        <f>IFERROR(VLOOKUP($G66,Profesores!$A$4:$C$33,3,FALSE),"no")</f>
        <v/>
      </c>
      <c r="O66" s="3">
        <f>($G66&amp;"#"&amp;$B66)</f>
        <v/>
      </c>
      <c r="P66" s="3">
        <f>IFERROR(VLOOKUP($O66,'Dias que asisten los contratados'!$A$4:$D$4,4,FALSE),"no")</f>
        <v/>
      </c>
      <c r="Q66" s="3">
        <f>IF(AND(NOT(($D66="")),(SUMPRODUCT((((($J66="no"))+(('Casillas del horario'!$C$4:$C$73&lt;&gt;($C66+1))*('Casillas del horario'!$C$4:$C$73&lt;&gt;($C66-1))))&gt;0)*('Casillas del horario'!$D$4:$D$73=$D66)*('Casillas del horario'!$B$4:$B$73=$B66)*('Casillas del horario'!$A$4:$A$73=$A66)*(ROW('Casillas del horario'!$A$4:$A$73)&lt;&gt;ROW($A66)))&gt;0)),"si","no")</f>
        <v/>
      </c>
      <c r="R66" s="3">
        <f>$A66&amp;"|"&amp;$C66&amp;"|"&amp;$B66</f>
        <v/>
      </c>
      <c r="S66" s="3">
        <f>$G66&amp;"|"&amp;$C66&amp;"|"&amp;$B66</f>
        <v/>
      </c>
      <c r="T66" s="3">
        <f>$I66&amp;"|"&amp;$C66&amp;"|"&amp;$B66</f>
        <v/>
      </c>
    </row>
    <row r="67">
      <c r="A67" s="3" t="inlineStr">
        <is>
          <t>10-3</t>
        </is>
      </c>
      <c r="B67" s="3" t="inlineStr">
        <is>
          <t>J</t>
        </is>
      </c>
      <c r="C67" s="3" t="n">
        <v>7</v>
      </c>
      <c r="D67" s="4" t="n"/>
      <c r="E67" s="3">
        <f>IFERROR(VLOOKUP($D67,Asignaturas!$A$4:$G$18,2,FALSE),"")</f>
        <v/>
      </c>
      <c r="F67" s="3">
        <f>($A67&amp;"#"&amp;$D67)</f>
        <v/>
      </c>
      <c r="G67" s="3">
        <f>IFERROR(VLOOKUP($F67,'Plan por grupo'!$A$4:$H$33,4,FALSE),"")</f>
        <v/>
      </c>
      <c r="H67" s="3">
        <f>IFERROR(VLOOKUP($D67,Asignaturas!$A$4:$G$18,7,FALSE),"")</f>
        <v/>
      </c>
      <c r="I67" s="3">
        <f>IF(($D67=""),"",IF(($H67=""),("Aula "&amp;$A67),$H67))</f>
        <v/>
      </c>
      <c r="J67" s="3">
        <f>IFERROR(VLOOKUP($D67,Asignaturas!$A$4:$G$18,4,FALSE),"no")</f>
        <v/>
      </c>
      <c r="K67" s="3">
        <f>IFERROR(VLOOKUP($D67,Asignaturas!$A$4:$G$18,5,FALSE),"no")</f>
        <v/>
      </c>
      <c r="L67" s="3">
        <f>IFERROR(VLOOKUP($D67,Asignaturas!$A$4:$G$18,6,FALSE),"")</f>
        <v/>
      </c>
      <c r="M67" s="3">
        <f>IFERROR(VLOOKUP($G67,Profesores!$A$4:$C$33,2,FALSE),"no")</f>
        <v/>
      </c>
      <c r="N67" s="3">
        <f>IFERROR(VLOOKUP($G67,Profesores!$A$4:$C$33,3,FALSE),"no")</f>
        <v/>
      </c>
      <c r="O67" s="3">
        <f>($G67&amp;"#"&amp;$B67)</f>
        <v/>
      </c>
      <c r="P67" s="3">
        <f>IFERROR(VLOOKUP($O67,'Dias que asisten los contratados'!$A$4:$D$4,4,FALSE),"no")</f>
        <v/>
      </c>
      <c r="Q67" s="3">
        <f>IF(AND(NOT(($D67="")),(SUMPRODUCT((((($J67="no"))+(('Casillas del horario'!$C$4:$C$73&lt;&gt;($C67+1))*('Casillas del horario'!$C$4:$C$73&lt;&gt;($C67-1))))&gt;0)*('Casillas del horario'!$D$4:$D$73=$D67)*('Casillas del horario'!$B$4:$B$73=$B67)*('Casillas del horario'!$A$4:$A$73=$A67)*(ROW('Casillas del horario'!$A$4:$A$73)&lt;&gt;ROW($A67)))&gt;0)),"si","no")</f>
        <v/>
      </c>
      <c r="R67" s="3">
        <f>$A67&amp;"|"&amp;$C67&amp;"|"&amp;$B67</f>
        <v/>
      </c>
      <c r="S67" s="3">
        <f>$G67&amp;"|"&amp;$C67&amp;"|"&amp;$B67</f>
        <v/>
      </c>
      <c r="T67" s="3">
        <f>$I67&amp;"|"&amp;$C67&amp;"|"&amp;$B67</f>
        <v/>
      </c>
    </row>
    <row r="68">
      <c r="A68" s="3" t="inlineStr">
        <is>
          <t>10-3</t>
        </is>
      </c>
      <c r="B68" s="3" t="inlineStr">
        <is>
          <t>V</t>
        </is>
      </c>
      <c r="C68" s="3" t="n">
        <v>7</v>
      </c>
      <c r="D68" s="4" t="n"/>
      <c r="E68" s="3">
        <f>IFERROR(VLOOKUP($D68,Asignaturas!$A$4:$G$18,2,FALSE),"")</f>
        <v/>
      </c>
      <c r="F68" s="3">
        <f>($A68&amp;"#"&amp;$D68)</f>
        <v/>
      </c>
      <c r="G68" s="3">
        <f>IFERROR(VLOOKUP($F68,'Plan por grupo'!$A$4:$H$33,4,FALSE),"")</f>
        <v/>
      </c>
      <c r="H68" s="3">
        <f>IFERROR(VLOOKUP($D68,Asignaturas!$A$4:$G$18,7,FALSE),"")</f>
        <v/>
      </c>
      <c r="I68" s="3">
        <f>IF(($D68=""),"",IF(($H68=""),("Aula "&amp;$A68),$H68))</f>
        <v/>
      </c>
      <c r="J68" s="3">
        <f>IFERROR(VLOOKUP($D68,Asignaturas!$A$4:$G$18,4,FALSE),"no")</f>
        <v/>
      </c>
      <c r="K68" s="3">
        <f>IFERROR(VLOOKUP($D68,Asignaturas!$A$4:$G$18,5,FALSE),"no")</f>
        <v/>
      </c>
      <c r="L68" s="3">
        <f>IFERROR(VLOOKUP($D68,Asignaturas!$A$4:$G$18,6,FALSE),"")</f>
        <v/>
      </c>
      <c r="M68" s="3">
        <f>IFERROR(VLOOKUP($G68,Profesores!$A$4:$C$33,2,FALSE),"no")</f>
        <v/>
      </c>
      <c r="N68" s="3">
        <f>IFERROR(VLOOKUP($G68,Profesores!$A$4:$C$33,3,FALSE),"no")</f>
        <v/>
      </c>
      <c r="O68" s="3">
        <f>($G68&amp;"#"&amp;$B68)</f>
        <v/>
      </c>
      <c r="P68" s="3">
        <f>IFERROR(VLOOKUP($O68,'Dias que asisten los contratados'!$A$4:$D$4,4,FALSE),"no")</f>
        <v/>
      </c>
      <c r="Q68" s="3">
        <f>IF(AND(NOT(($D68="")),(SUMPRODUCT((((($J68="no"))+(('Casillas del horario'!$C$4:$C$73&lt;&gt;($C68+1))*('Casillas del horario'!$C$4:$C$73&lt;&gt;($C68-1))))&gt;0)*('Casillas del horario'!$D$4:$D$73=$D68)*('Casillas del horario'!$B$4:$B$73=$B68)*('Casillas del horario'!$A$4:$A$73=$A68)*(ROW('Casillas del horario'!$A$4:$A$73)&lt;&gt;ROW($A68)))&gt;0)),"si","no")</f>
        <v/>
      </c>
      <c r="R68" s="3">
        <f>$A68&amp;"|"&amp;$C68&amp;"|"&amp;$B68</f>
        <v/>
      </c>
      <c r="S68" s="3">
        <f>$G68&amp;"|"&amp;$C68&amp;"|"&amp;$B68</f>
        <v/>
      </c>
      <c r="T68" s="3">
        <f>$I68&amp;"|"&amp;$C68&amp;"|"&amp;$B68</f>
        <v/>
      </c>
    </row>
    <row r="69">
      <c r="A69" s="3" t="inlineStr">
        <is>
          <t>10-4</t>
        </is>
      </c>
      <c r="B69" s="3" t="inlineStr">
        <is>
          <t>L</t>
        </is>
      </c>
      <c r="C69" s="3" t="n">
        <v>7</v>
      </c>
      <c r="D69" s="4" t="inlineStr">
        <is>
          <t>AL/AC</t>
        </is>
      </c>
      <c r="E69" s="3">
        <f>IFERROR(VLOOKUP($D69,Asignaturas!$A$4:$G$18,2,FALSE),"")</f>
        <v/>
      </c>
      <c r="F69" s="3">
        <f>($A69&amp;"#"&amp;$D69)</f>
        <v/>
      </c>
      <c r="G69" s="3">
        <f>IFERROR(VLOOKUP($F69,'Plan por grupo'!$A$4:$H$33,4,FALSE),"")</f>
        <v/>
      </c>
      <c r="H69" s="3">
        <f>IFERROR(VLOOKUP($D69,Asignaturas!$A$4:$G$18,7,FALSE),"")</f>
        <v/>
      </c>
      <c r="I69" s="3">
        <f>IF(($D69=""),"",IF(($H69=""),("Aula "&amp;$A69),$H69))</f>
        <v/>
      </c>
      <c r="J69" s="3">
        <f>IFERROR(VLOOKUP($D69,Asignaturas!$A$4:$G$18,4,FALSE),"no")</f>
        <v/>
      </c>
      <c r="K69" s="3">
        <f>IFERROR(VLOOKUP($D69,Asignaturas!$A$4:$G$18,5,FALSE),"no")</f>
        <v/>
      </c>
      <c r="L69" s="3">
        <f>IFERROR(VLOOKUP($D69,Asignaturas!$A$4:$G$18,6,FALSE),"")</f>
        <v/>
      </c>
      <c r="M69" s="3">
        <f>IFERROR(VLOOKUP($G69,Profesores!$A$4:$C$33,2,FALSE),"no")</f>
        <v/>
      </c>
      <c r="N69" s="3">
        <f>IFERROR(VLOOKUP($G69,Profesores!$A$4:$C$33,3,FALSE),"no")</f>
        <v/>
      </c>
      <c r="O69" s="3">
        <f>($G69&amp;"#"&amp;$B69)</f>
        <v/>
      </c>
      <c r="P69" s="3">
        <f>IFERROR(VLOOKUP($O69,'Dias que asisten los contratados'!$A$4:$D$4,4,FALSE),"no")</f>
        <v/>
      </c>
      <c r="Q69" s="3">
        <f>IF(AND(NOT(($D69="")),(SUMPRODUCT((((($J69="no"))+(('Casillas del horario'!$C$4:$C$73&lt;&gt;($C69+1))*('Casillas del horario'!$C$4:$C$73&lt;&gt;($C69-1))))&gt;0)*('Casillas del horario'!$D$4:$D$73=$D69)*('Casillas del horario'!$B$4:$B$73=$B69)*('Casillas del horario'!$A$4:$A$73=$A69)*(ROW('Casillas del horario'!$A$4:$A$73)&lt;&gt;ROW($A69)))&gt;0)),"si","no")</f>
        <v/>
      </c>
      <c r="R69" s="3">
        <f>$A69&amp;"|"&amp;$C69&amp;"|"&amp;$B69</f>
        <v/>
      </c>
      <c r="S69" s="3">
        <f>$G69&amp;"|"&amp;$C69&amp;"|"&amp;$B69</f>
        <v/>
      </c>
      <c r="T69" s="3">
        <f>$I69&amp;"|"&amp;$C69&amp;"|"&amp;$B69</f>
        <v/>
      </c>
    </row>
    <row r="70">
      <c r="A70" s="3" t="inlineStr">
        <is>
          <t>10-4</t>
        </is>
      </c>
      <c r="B70" s="3" t="inlineStr">
        <is>
          <t>M</t>
        </is>
      </c>
      <c r="C70" s="3" t="n">
        <v>7</v>
      </c>
      <c r="D70" s="4" t="n"/>
      <c r="E70" s="3">
        <f>IFERROR(VLOOKUP($D70,Asignaturas!$A$4:$G$18,2,FALSE),"")</f>
        <v/>
      </c>
      <c r="F70" s="3">
        <f>($A70&amp;"#"&amp;$D70)</f>
        <v/>
      </c>
      <c r="G70" s="3">
        <f>IFERROR(VLOOKUP($F70,'Plan por grupo'!$A$4:$H$33,4,FALSE),"")</f>
        <v/>
      </c>
      <c r="H70" s="3">
        <f>IFERROR(VLOOKUP($D70,Asignaturas!$A$4:$G$18,7,FALSE),"")</f>
        <v/>
      </c>
      <c r="I70" s="3">
        <f>IF(($D70=""),"",IF(($H70=""),("Aula "&amp;$A70),$H70))</f>
        <v/>
      </c>
      <c r="J70" s="3">
        <f>IFERROR(VLOOKUP($D70,Asignaturas!$A$4:$G$18,4,FALSE),"no")</f>
        <v/>
      </c>
      <c r="K70" s="3">
        <f>IFERROR(VLOOKUP($D70,Asignaturas!$A$4:$G$18,5,FALSE),"no")</f>
        <v/>
      </c>
      <c r="L70" s="3">
        <f>IFERROR(VLOOKUP($D70,Asignaturas!$A$4:$G$18,6,FALSE),"")</f>
        <v/>
      </c>
      <c r="M70" s="3">
        <f>IFERROR(VLOOKUP($G70,Profesores!$A$4:$C$33,2,FALSE),"no")</f>
        <v/>
      </c>
      <c r="N70" s="3">
        <f>IFERROR(VLOOKUP($G70,Profesores!$A$4:$C$33,3,FALSE),"no")</f>
        <v/>
      </c>
      <c r="O70" s="3">
        <f>($G70&amp;"#"&amp;$B70)</f>
        <v/>
      </c>
      <c r="P70" s="3">
        <f>IFERROR(VLOOKUP($O70,'Dias que asisten los contratados'!$A$4:$D$4,4,FALSE),"no")</f>
        <v/>
      </c>
      <c r="Q70" s="3">
        <f>IF(AND(NOT(($D70="")),(SUMPRODUCT((((($J70="no"))+(('Casillas del horario'!$C$4:$C$73&lt;&gt;($C70+1))*('Casillas del horario'!$C$4:$C$73&lt;&gt;($C70-1))))&gt;0)*('Casillas del horario'!$D$4:$D$73=$D70)*('Casillas del horario'!$B$4:$B$73=$B70)*('Casillas del horario'!$A$4:$A$73=$A70)*(ROW('Casillas del horario'!$A$4:$A$73)&lt;&gt;ROW($A70)))&gt;0)),"si","no")</f>
        <v/>
      </c>
      <c r="R70" s="3">
        <f>$A70&amp;"|"&amp;$C70&amp;"|"&amp;$B70</f>
        <v/>
      </c>
      <c r="S70" s="3">
        <f>$G70&amp;"|"&amp;$C70&amp;"|"&amp;$B70</f>
        <v/>
      </c>
      <c r="T70" s="3">
        <f>$I70&amp;"|"&amp;$C70&amp;"|"&amp;$B70</f>
        <v/>
      </c>
    </row>
    <row r="71">
      <c r="A71" s="3" t="inlineStr">
        <is>
          <t>10-4</t>
        </is>
      </c>
      <c r="B71" s="3" t="inlineStr">
        <is>
          <t>MI</t>
        </is>
      </c>
      <c r="C71" s="3" t="n">
        <v>7</v>
      </c>
      <c r="D71" s="4" t="n"/>
      <c r="E71" s="3">
        <f>IFERROR(VLOOKUP($D71,Asignaturas!$A$4:$G$18,2,FALSE),"")</f>
        <v/>
      </c>
      <c r="F71" s="3">
        <f>($A71&amp;"#"&amp;$D71)</f>
        <v/>
      </c>
      <c r="G71" s="3">
        <f>IFERROR(VLOOKUP($F71,'Plan por grupo'!$A$4:$H$33,4,FALSE),"")</f>
        <v/>
      </c>
      <c r="H71" s="3">
        <f>IFERROR(VLOOKUP($D71,Asignaturas!$A$4:$G$18,7,FALSE),"")</f>
        <v/>
      </c>
      <c r="I71" s="3">
        <f>IF(($D71=""),"",IF(($H71=""),("Aula "&amp;$A71),$H71))</f>
        <v/>
      </c>
      <c r="J71" s="3">
        <f>IFERROR(VLOOKUP($D71,Asignaturas!$A$4:$G$18,4,FALSE),"no")</f>
        <v/>
      </c>
      <c r="K71" s="3">
        <f>IFERROR(VLOOKUP($D71,Asignaturas!$A$4:$G$18,5,FALSE),"no")</f>
        <v/>
      </c>
      <c r="L71" s="3">
        <f>IFERROR(VLOOKUP($D71,Asignaturas!$A$4:$G$18,6,FALSE),"")</f>
        <v/>
      </c>
      <c r="M71" s="3">
        <f>IFERROR(VLOOKUP($G71,Profesores!$A$4:$C$33,2,FALSE),"no")</f>
        <v/>
      </c>
      <c r="N71" s="3">
        <f>IFERROR(VLOOKUP($G71,Profesores!$A$4:$C$33,3,FALSE),"no")</f>
        <v/>
      </c>
      <c r="O71" s="3">
        <f>($G71&amp;"#"&amp;$B71)</f>
        <v/>
      </c>
      <c r="P71" s="3">
        <f>IFERROR(VLOOKUP($O71,'Dias que asisten los contratados'!$A$4:$D$4,4,FALSE),"no")</f>
        <v/>
      </c>
      <c r="Q71" s="3">
        <f>IF(AND(NOT(($D71="")),(SUMPRODUCT((((($J71="no"))+(('Casillas del horario'!$C$4:$C$73&lt;&gt;($C71+1))*('Casillas del horario'!$C$4:$C$73&lt;&gt;($C71-1))))&gt;0)*('Casillas del horario'!$D$4:$D$73=$D71)*('Casillas del horario'!$B$4:$B$73=$B71)*('Casillas del horario'!$A$4:$A$73=$A71)*(ROW('Casillas del horario'!$A$4:$A$73)&lt;&gt;ROW($A71)))&gt;0)),"si","no")</f>
        <v/>
      </c>
      <c r="R71" s="3">
        <f>$A71&amp;"|"&amp;$C71&amp;"|"&amp;$B71</f>
        <v/>
      </c>
      <c r="S71" s="3">
        <f>$G71&amp;"|"&amp;$C71&amp;"|"&amp;$B71</f>
        <v/>
      </c>
      <c r="T71" s="3">
        <f>$I71&amp;"|"&amp;$C71&amp;"|"&amp;$B71</f>
        <v/>
      </c>
    </row>
    <row r="72">
      <c r="A72" s="3" t="inlineStr">
        <is>
          <t>10-4</t>
        </is>
      </c>
      <c r="B72" s="3" t="inlineStr">
        <is>
          <t>J</t>
        </is>
      </c>
      <c r="C72" s="3" t="n">
        <v>7</v>
      </c>
      <c r="D72" s="4" t="n"/>
      <c r="E72" s="3">
        <f>IFERROR(VLOOKUP($D72,Asignaturas!$A$4:$G$18,2,FALSE),"")</f>
        <v/>
      </c>
      <c r="F72" s="3">
        <f>($A72&amp;"#"&amp;$D72)</f>
        <v/>
      </c>
      <c r="G72" s="3">
        <f>IFERROR(VLOOKUP($F72,'Plan por grupo'!$A$4:$H$33,4,FALSE),"")</f>
        <v/>
      </c>
      <c r="H72" s="3">
        <f>IFERROR(VLOOKUP($D72,Asignaturas!$A$4:$G$18,7,FALSE),"")</f>
        <v/>
      </c>
      <c r="I72" s="3">
        <f>IF(($D72=""),"",IF(($H72=""),("Aula "&amp;$A72),$H72))</f>
        <v/>
      </c>
      <c r="J72" s="3">
        <f>IFERROR(VLOOKUP($D72,Asignaturas!$A$4:$G$18,4,FALSE),"no")</f>
        <v/>
      </c>
      <c r="K72" s="3">
        <f>IFERROR(VLOOKUP($D72,Asignaturas!$A$4:$G$18,5,FALSE),"no")</f>
        <v/>
      </c>
      <c r="L72" s="3">
        <f>IFERROR(VLOOKUP($D72,Asignaturas!$A$4:$G$18,6,FALSE),"")</f>
        <v/>
      </c>
      <c r="M72" s="3">
        <f>IFERROR(VLOOKUP($G72,Profesores!$A$4:$C$33,2,FALSE),"no")</f>
        <v/>
      </c>
      <c r="N72" s="3">
        <f>IFERROR(VLOOKUP($G72,Profesores!$A$4:$C$33,3,FALSE),"no")</f>
        <v/>
      </c>
      <c r="O72" s="3">
        <f>($G72&amp;"#"&amp;$B72)</f>
        <v/>
      </c>
      <c r="P72" s="3">
        <f>IFERROR(VLOOKUP($O72,'Dias que asisten los contratados'!$A$4:$D$4,4,FALSE),"no")</f>
        <v/>
      </c>
      <c r="Q72" s="3">
        <f>IF(AND(NOT(($D72="")),(SUMPRODUCT((((($J72="no"))+(('Casillas del horario'!$C$4:$C$73&lt;&gt;($C72+1))*('Casillas del horario'!$C$4:$C$73&lt;&gt;($C72-1))))&gt;0)*('Casillas del horario'!$D$4:$D$73=$D72)*('Casillas del horario'!$B$4:$B$73=$B72)*('Casillas del horario'!$A$4:$A$73=$A72)*(ROW('Casillas del horario'!$A$4:$A$73)&lt;&gt;ROW($A72)))&gt;0)),"si","no")</f>
        <v/>
      </c>
      <c r="R72" s="3">
        <f>$A72&amp;"|"&amp;$C72&amp;"|"&amp;$B72</f>
        <v/>
      </c>
      <c r="S72" s="3">
        <f>$G72&amp;"|"&amp;$C72&amp;"|"&amp;$B72</f>
        <v/>
      </c>
      <c r="T72" s="3">
        <f>$I72&amp;"|"&amp;$C72&amp;"|"&amp;$B72</f>
        <v/>
      </c>
    </row>
    <row r="73">
      <c r="A73" s="3" t="inlineStr">
        <is>
          <t>10-4</t>
        </is>
      </c>
      <c r="B73" s="3" t="inlineStr">
        <is>
          <t>V</t>
        </is>
      </c>
      <c r="C73" s="3" t="n">
        <v>7</v>
      </c>
      <c r="D73" s="4" t="n"/>
      <c r="E73" s="3">
        <f>IFERROR(VLOOKUP($D73,Asignaturas!$A$4:$G$18,2,FALSE),"")</f>
        <v/>
      </c>
      <c r="F73" s="3">
        <f>($A73&amp;"#"&amp;$D73)</f>
        <v/>
      </c>
      <c r="G73" s="3">
        <f>IFERROR(VLOOKUP($F73,'Plan por grupo'!$A$4:$H$33,4,FALSE),"")</f>
        <v/>
      </c>
      <c r="H73" s="3">
        <f>IFERROR(VLOOKUP($D73,Asignaturas!$A$4:$G$18,7,FALSE),"")</f>
        <v/>
      </c>
      <c r="I73" s="3">
        <f>IF(($D73=""),"",IF(($H73=""),("Aula "&amp;$A73),$H73))</f>
        <v/>
      </c>
      <c r="J73" s="3">
        <f>IFERROR(VLOOKUP($D73,Asignaturas!$A$4:$G$18,4,FALSE),"no")</f>
        <v/>
      </c>
      <c r="K73" s="3">
        <f>IFERROR(VLOOKUP($D73,Asignaturas!$A$4:$G$18,5,FALSE),"no")</f>
        <v/>
      </c>
      <c r="L73" s="3">
        <f>IFERROR(VLOOKUP($D73,Asignaturas!$A$4:$G$18,6,FALSE),"")</f>
        <v/>
      </c>
      <c r="M73" s="3">
        <f>IFERROR(VLOOKUP($G73,Profesores!$A$4:$C$33,2,FALSE),"no")</f>
        <v/>
      </c>
      <c r="N73" s="3">
        <f>IFERROR(VLOOKUP($G73,Profesores!$A$4:$C$33,3,FALSE),"no")</f>
        <v/>
      </c>
      <c r="O73" s="3">
        <f>($G73&amp;"#"&amp;$B73)</f>
        <v/>
      </c>
      <c r="P73" s="3">
        <f>IFERROR(VLOOKUP($O73,'Dias que asisten los contratados'!$A$4:$D$4,4,FALSE),"no")</f>
        <v/>
      </c>
      <c r="Q73" s="3">
        <f>IF(AND(NOT(($D73="")),(SUMPRODUCT((((($J73="no"))+(('Casillas del horario'!$C$4:$C$73&lt;&gt;($C73+1))*('Casillas del horario'!$C$4:$C$73&lt;&gt;($C73-1))))&gt;0)*('Casillas del horario'!$D$4:$D$73=$D73)*('Casillas del horario'!$B$4:$B$73=$B73)*('Casillas del horario'!$A$4:$A$73=$A73)*(ROW('Casillas del horario'!$A$4:$A$73)&lt;&gt;ROW($A73)))&gt;0)),"si","no")</f>
        <v/>
      </c>
      <c r="R73" s="3">
        <f>$A73&amp;"|"&amp;$C73&amp;"|"&amp;$B73</f>
        <v/>
      </c>
      <c r="S73" s="3">
        <f>$G73&amp;"|"&amp;$C73&amp;"|"&amp;$B73</f>
        <v/>
      </c>
      <c r="T73" s="3">
        <f>$I73&amp;"|"&amp;$C73&amp;"|"&amp;$B73</f>
        <v/>
      </c>
    </row>
    <row r="75">
      <c r="A75" s="5" t="inlineStr">
        <is>
          <t>Leyenda</t>
        </is>
      </c>
    </row>
    <row r="76">
      <c r="A76" s="6" t="n"/>
      <c r="B76" t="inlineStr">
        <is>
          <t>profesor colisiona</t>
        </is>
      </c>
    </row>
    <row r="77">
      <c r="A77" s="6" t="n"/>
      <c r="B77" t="inlineStr">
        <is>
          <t>aula ocupada</t>
        </is>
      </c>
    </row>
    <row r="78">
      <c r="A78" s="6" t="n"/>
      <c r="B78" t="inlineStr">
        <is>
          <t>sesion repetida mal</t>
        </is>
      </c>
    </row>
    <row r="79">
      <c r="A79" s="6" t="n"/>
      <c r="B79" t="inlineStr">
        <is>
          <t>en dia de preparacion</t>
        </is>
      </c>
    </row>
    <row r="80">
      <c r="A80" s="6" t="n"/>
      <c r="B80" t="inlineStr">
        <is>
          <t>ef despues del tercer turno</t>
        </is>
      </c>
    </row>
    <row r="81">
      <c r="A81" s="6" t="n"/>
      <c r="B81" t="inlineStr">
        <is>
          <t>en la tarde sin admitirla</t>
        </is>
      </c>
    </row>
    <row r="82">
      <c r="A82" s="6" t="n"/>
      <c r="B82" t="inlineStr">
        <is>
          <t>contratado en dia que no asiste</t>
        </is>
      </c>
    </row>
    <row r="83">
      <c r="A83" s="7" t="n"/>
      <c r="B83" t="inlineStr">
        <is>
          <t>primer turno a quien vive lejos</t>
        </is>
      </c>
    </row>
    <row r="84">
      <c r="A84" s="8" t="n"/>
      <c r="B84" t="inlineStr">
        <is>
          <t>turno libre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conditionalFormatting sqref="D4:D73">
    <cfRule type="expression" priority="1" dxfId="0" stopIfTrue="0">
      <formula>AND(NOT(($D4="")),(SUMPRODUCT(('Casillas del horario'!$G$4:$G$73=$G4)*('Casillas del horario'!$C$4:$C$73=$C4)*('Casillas del horario'!$B$4:$B$73=$B4)*(ROW('Casillas del horario'!$A$4:$A$73)&lt;&gt;ROW($A4)))&gt;0))</formula>
    </cfRule>
    <cfRule type="expression" priority="4" dxfId="0" stopIfTrue="0">
      <formula>($Q4="si")</formula>
    </cfRule>
    <cfRule type="expression" priority="5" dxfId="0" stopIfTrue="0">
      <formula>AND(NOT(($D4="")),($B4=$L4))</formula>
    </cfRule>
    <cfRule type="expression" priority="6" dxfId="0" stopIfTrue="0">
      <formula>AND(($D4="EF"),($C4&gt;3))</formula>
    </cfRule>
    <cfRule type="expression" priority="8" dxfId="0" stopIfTrue="0">
      <formula>AND(NOT(($D4="")),($K4="no"),($C4&gt;6))</formula>
    </cfRule>
    <cfRule type="expression" priority="10" dxfId="0" stopIfTrue="0">
      <formula>AND(NOT(($D4="")),($M4="si"),($P4="no"))</formula>
    </cfRule>
    <cfRule type="expression" priority="12" dxfId="1" stopIfTrue="0">
      <formula>AND(NOT(($D4="")),($N4="si"),($C4=1))</formula>
    </cfRule>
    <cfRule type="expression" priority="14" dxfId="2" stopIfTrue="0">
      <formula>($D4="")</formula>
    </cfRule>
  </conditionalFormatting>
  <conditionalFormatting sqref="G4:G73">
    <cfRule type="expression" priority="1" dxfId="0" stopIfTrue="0">
      <formula>AND(NOT(($D4="")),(SUMPRODUCT(('Casillas del horario'!$G$4:$G$73=$G4)*('Casillas del horario'!$C$4:$C$73=$C4)*('Casillas del horario'!$B$4:$B$73=$B4)*(ROW('Casillas del horario'!$A$4:$A$73)&lt;&gt;ROW($A4)))&gt;0))</formula>
    </cfRule>
    <cfRule type="expression" priority="10" dxfId="0" stopIfTrue="0">
      <formula>AND(NOT(($D4="")),($M4="si"),($P4="no"))</formula>
    </cfRule>
    <cfRule type="expression" priority="12" dxfId="1" stopIfTrue="0">
      <formula>AND(NOT(($D4="")),($N4="si"),($C4=1))</formula>
    </cfRule>
  </conditionalFormatting>
  <conditionalFormatting sqref="I4:I73">
    <cfRule type="expression" priority="3" dxfId="0" stopIfTrue="0">
      <formula>AND(NOT(($D4="")),(SUMPRODUCT(('Casillas del horario'!$I$4:$I$73=$I4)*('Casillas del horario'!$C$4:$C$73=$C4)*('Casillas del horario'!$B$4:$B$73=$B4)*(ROW('Casillas del horario'!$A$4:$A$73)&lt;&gt;ROW($A4)))&gt;0))</formula>
    </cfRule>
  </conditionalFormatting>
  <conditionalFormatting sqref="C4:C73">
    <cfRule type="expression" priority="6" dxfId="0" stopIfTrue="0">
      <formula>AND(($D4="EF"),($C4&gt;3))</formula>
    </cfRule>
    <cfRule type="expression" priority="8" dxfId="0" stopIfTrue="0">
      <formula>AND(NOT(($D4="")),($K4="no"),($C4&gt;6))</formula>
    </cfRule>
  </conditionalFormatting>
  <dataValidations count="1">
    <dataValidation sqref="D4:D73" showDropDown="0" showInputMessage="0" showErrorMessage="1" allowBlank="1" errorTitle="Valor fuera del dominio" error="Ese valor no esta en la lista." type="list" errorStyle="information">
      <formula1>"M,Lit-L,F,I,H,EF,B,G,INF,Q,CP,DC,CA,RD,AL/AC"</formula1>
    </dataValidation>
  </dataValidation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tabColor rgb="008EA9DB"/>
    <outlinePr summaryBelow="1" summaryRight="1"/>
    <pageSetUpPr/>
  </sheetPr>
  <dimension ref="A1:G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3" customWidth="1" min="3" max="3"/>
    <col width="26" customWidth="1" min="4" max="4"/>
    <col width="15" customWidth="1" min="5" max="5"/>
    <col width="21" customWidth="1" min="6" max="6"/>
    <col width="14" customWidth="1" min="7" max="7"/>
  </cols>
  <sheetData>
    <row r="1">
      <c r="A1" s="1" t="inlineStr">
        <is>
          <t>Asignaturas</t>
        </is>
      </c>
    </row>
    <row r="3">
      <c r="A3" s="2" t="inlineStr">
        <is>
          <t>Abrev</t>
        </is>
      </c>
      <c r="B3" s="2" t="inlineStr">
        <is>
          <t>Asignatura</t>
        </is>
      </c>
      <c r="C3" s="2" t="inlineStr">
        <is>
          <t>Frecuencia</t>
        </is>
      </c>
      <c r="D3" s="2" t="inlineStr">
        <is>
          <t>Turno doble</t>
        </is>
      </c>
      <c r="E3" s="2" t="inlineStr">
        <is>
          <t>Admite tarde</t>
        </is>
      </c>
      <c r="F3" s="2" t="inlineStr">
        <is>
          <t>Dia de preparacion</t>
        </is>
      </c>
      <c r="G3" s="2" t="inlineStr">
        <is>
          <t>Local</t>
        </is>
      </c>
    </row>
    <row r="4">
      <c r="A4" s="3" t="inlineStr">
        <is>
          <t>M</t>
        </is>
      </c>
      <c r="B4" s="3" t="inlineStr">
        <is>
          <t>Matematica</t>
        </is>
      </c>
      <c r="C4" s="3" t="n">
        <v>5</v>
      </c>
      <c r="D4" s="3">
        <f>IF(($C4=5),"si","no")</f>
        <v/>
      </c>
      <c r="E4" s="3" t="inlineStr">
        <is>
          <t>no</t>
        </is>
      </c>
      <c r="F4" s="3" t="n"/>
      <c r="G4" s="3" t="n"/>
    </row>
    <row r="5">
      <c r="A5" s="3" t="inlineStr">
        <is>
          <t>Lit-L</t>
        </is>
      </c>
      <c r="B5" s="3" t="inlineStr">
        <is>
          <t>Literatura y Lengua</t>
        </is>
      </c>
      <c r="C5" s="3" t="n">
        <v>4</v>
      </c>
      <c r="D5" s="3">
        <f>IF(($C5=5),"si","no")</f>
        <v/>
      </c>
      <c r="E5" s="3" t="inlineStr">
        <is>
          <t>no</t>
        </is>
      </c>
      <c r="F5" s="3" t="n"/>
      <c r="G5" s="3" t="n"/>
    </row>
    <row r="6">
      <c r="A6" s="3" t="inlineStr">
        <is>
          <t>F</t>
        </is>
      </c>
      <c r="B6" s="3" t="inlineStr">
        <is>
          <t>Fisica</t>
        </is>
      </c>
      <c r="C6" s="3" t="n">
        <v>3</v>
      </c>
      <c r="D6" s="3">
        <f>IF(($C6=5),"si","no")</f>
        <v/>
      </c>
      <c r="E6" s="3" t="inlineStr">
        <is>
          <t>no</t>
        </is>
      </c>
      <c r="F6" s="3" t="n"/>
      <c r="G6" s="3" t="n"/>
    </row>
    <row r="7">
      <c r="A7" s="3" t="inlineStr">
        <is>
          <t>I</t>
        </is>
      </c>
      <c r="B7" s="3" t="inlineStr">
        <is>
          <t>Ingles</t>
        </is>
      </c>
      <c r="C7" s="3" t="n">
        <v>3</v>
      </c>
      <c r="D7" s="3">
        <f>IF(($C7=5),"si","no")</f>
        <v/>
      </c>
      <c r="E7" s="3" t="inlineStr">
        <is>
          <t>no</t>
        </is>
      </c>
      <c r="F7" s="3" t="n"/>
      <c r="G7" s="3" t="n"/>
    </row>
    <row r="8">
      <c r="A8" s="3" t="inlineStr">
        <is>
          <t>H</t>
        </is>
      </c>
      <c r="B8" s="3" t="inlineStr">
        <is>
          <t>Historia</t>
        </is>
      </c>
      <c r="C8" s="3" t="n">
        <v>3</v>
      </c>
      <c r="D8" s="3">
        <f>IF(($C8=5),"si","no")</f>
        <v/>
      </c>
      <c r="E8" s="3" t="inlineStr">
        <is>
          <t>no</t>
        </is>
      </c>
      <c r="F8" s="3" t="n"/>
      <c r="G8" s="3" t="n"/>
    </row>
    <row r="9">
      <c r="A9" s="3" t="inlineStr">
        <is>
          <t>EF</t>
        </is>
      </c>
      <c r="B9" s="3" t="inlineStr">
        <is>
          <t>Educacion Fisica</t>
        </is>
      </c>
      <c r="C9" s="3" t="n">
        <v>2</v>
      </c>
      <c r="D9" s="3">
        <f>IF(($C9=5),"si","no")</f>
        <v/>
      </c>
      <c r="E9" s="3" t="inlineStr">
        <is>
          <t>no</t>
        </is>
      </c>
      <c r="F9" s="3" t="n"/>
      <c r="G9" s="3" t="inlineStr">
        <is>
          <t>Terreno</t>
        </is>
      </c>
    </row>
    <row r="10">
      <c r="A10" s="3" t="inlineStr">
        <is>
          <t>B</t>
        </is>
      </c>
      <c r="B10" s="3" t="inlineStr">
        <is>
          <t>Biologia</t>
        </is>
      </c>
      <c r="C10" s="3" t="n">
        <v>2</v>
      </c>
      <c r="D10" s="3">
        <f>IF(($C10=5),"si","no")</f>
        <v/>
      </c>
      <c r="E10" s="3" t="inlineStr">
        <is>
          <t>no</t>
        </is>
      </c>
      <c r="F10" s="3" t="n"/>
      <c r="G10" s="3" t="n"/>
    </row>
    <row r="11">
      <c r="A11" s="3" t="inlineStr">
        <is>
          <t>G</t>
        </is>
      </c>
      <c r="B11" s="3" t="inlineStr">
        <is>
          <t>Geografia</t>
        </is>
      </c>
      <c r="C11" s="3" t="n">
        <v>2</v>
      </c>
      <c r="D11" s="3">
        <f>IF(($C11=5),"si","no")</f>
        <v/>
      </c>
      <c r="E11" s="3" t="inlineStr">
        <is>
          <t>no</t>
        </is>
      </c>
      <c r="F11" s="3" t="n"/>
      <c r="G11" s="3" t="n"/>
    </row>
    <row r="12">
      <c r="A12" s="3" t="inlineStr">
        <is>
          <t>INF</t>
        </is>
      </c>
      <c r="B12" s="3" t="inlineStr">
        <is>
          <t>Informatica</t>
        </is>
      </c>
      <c r="C12" s="3" t="n">
        <v>1</v>
      </c>
      <c r="D12" s="3">
        <f>IF(($C12=5),"si","no")</f>
        <v/>
      </c>
      <c r="E12" s="3" t="inlineStr">
        <is>
          <t>no</t>
        </is>
      </c>
      <c r="F12" s="3" t="n"/>
      <c r="G12" s="3" t="inlineStr">
        <is>
          <t>Laboratorio</t>
        </is>
      </c>
    </row>
    <row r="13">
      <c r="A13" s="3" t="inlineStr">
        <is>
          <t>Q</t>
        </is>
      </c>
      <c r="B13" s="3" t="inlineStr">
        <is>
          <t>Quimica</t>
        </is>
      </c>
      <c r="C13" s="3" t="n">
        <v>1</v>
      </c>
      <c r="D13" s="3">
        <f>IF(($C13=5),"si","no")</f>
        <v/>
      </c>
      <c r="E13" s="3" t="inlineStr">
        <is>
          <t>no</t>
        </is>
      </c>
      <c r="F13" s="3" t="n"/>
      <c r="G13" s="3" t="n"/>
    </row>
    <row r="14">
      <c r="A14" s="3" t="inlineStr">
        <is>
          <t>CP</t>
        </is>
      </c>
      <c r="B14" s="3" t="inlineStr">
        <is>
          <t>(CP, por confirmar)</t>
        </is>
      </c>
      <c r="C14" s="3" t="n">
        <v>1</v>
      </c>
      <c r="D14" s="3">
        <f>IF(($C14=5),"si","no")</f>
        <v/>
      </c>
      <c r="E14" s="3" t="inlineStr">
        <is>
          <t>no</t>
        </is>
      </c>
      <c r="F14" s="3" t="n"/>
      <c r="G14" s="3" t="n"/>
    </row>
    <row r="15">
      <c r="A15" s="3" t="inlineStr">
        <is>
          <t>DC</t>
        </is>
      </c>
      <c r="B15" s="3" t="inlineStr">
        <is>
          <t>(DC, por confirmar)</t>
        </is>
      </c>
      <c r="C15" s="3" t="n">
        <v>1</v>
      </c>
      <c r="D15" s="3">
        <f>IF(($C15=5),"si","no")</f>
        <v/>
      </c>
      <c r="E15" s="3" t="inlineStr">
        <is>
          <t>no</t>
        </is>
      </c>
      <c r="F15" s="3" t="n"/>
      <c r="G15" s="3" t="n"/>
    </row>
    <row r="16">
      <c r="A16" s="3" t="inlineStr">
        <is>
          <t>CA</t>
        </is>
      </c>
      <c r="B16" s="3" t="inlineStr">
        <is>
          <t>(CA, por confirmar)</t>
        </is>
      </c>
      <c r="C16" s="3" t="n">
        <v>1</v>
      </c>
      <c r="D16" s="3">
        <f>IF(($C16=5),"si","no")</f>
        <v/>
      </c>
      <c r="E16" s="3" t="inlineStr">
        <is>
          <t>no</t>
        </is>
      </c>
      <c r="F16" s="3" t="n"/>
      <c r="G16" s="3" t="n"/>
    </row>
    <row r="17">
      <c r="A17" s="3" t="inlineStr">
        <is>
          <t>RD</t>
        </is>
      </c>
      <c r="B17" s="3" t="inlineStr">
        <is>
          <t>(RD, por confirmar)</t>
        </is>
      </c>
      <c r="C17" s="3" t="n">
        <v>1</v>
      </c>
      <c r="D17" s="3">
        <f>IF(($C17=5),"si","no")</f>
        <v/>
      </c>
      <c r="E17" s="3" t="inlineStr">
        <is>
          <t>no</t>
        </is>
      </c>
      <c r="F17" s="3" t="n"/>
      <c r="G17" s="3" t="n"/>
    </row>
    <row r="18">
      <c r="A18" s="3" t="inlineStr">
        <is>
          <t>AL/AC</t>
        </is>
      </c>
      <c r="B18" s="3" t="inlineStr">
        <is>
          <t>(AL/AC, por confirmar)</t>
        </is>
      </c>
      <c r="C18" s="3" t="n">
        <v>1</v>
      </c>
      <c r="D18" s="3">
        <f>IF(($C18=5),"si","no")</f>
        <v/>
      </c>
      <c r="E18" s="3" t="inlineStr">
        <is>
          <t>si</t>
        </is>
      </c>
      <c r="F18" s="3" t="n"/>
      <c r="G18" s="3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tabColor rgb="008EA9DB"/>
    <outlinePr summaryBelow="1" summaryRight="1"/>
    <pageSetUpPr/>
  </sheetPr>
  <dimension ref="A1:H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8" customWidth="1" min="4" max="4"/>
    <col width="42" customWidth="1" min="5" max="5"/>
    <col width="42" customWidth="1" min="6" max="6"/>
    <col width="42" customWidth="1" min="7" max="7"/>
    <col width="15" customWidth="1" min="8" max="8"/>
  </cols>
  <sheetData>
    <row r="1">
      <c r="A1" s="1" t="inlineStr">
        <is>
          <t>Plan por grupo</t>
        </is>
      </c>
    </row>
    <row r="3">
      <c r="A3" s="2" t="inlineStr">
        <is>
          <t>Clave</t>
        </is>
      </c>
      <c r="B3" s="2" t="inlineStr">
        <is>
          <t>Grupo</t>
        </is>
      </c>
      <c r="C3" s="2" t="inlineStr">
        <is>
          <t>Abrev</t>
        </is>
      </c>
      <c r="D3" s="2" t="inlineStr">
        <is>
          <t>Profesor</t>
        </is>
      </c>
      <c r="E3" s="2" t="inlineStr">
        <is>
          <t>Asignatura</t>
        </is>
      </c>
      <c r="F3" s="2" t="inlineStr">
        <is>
          <t>Frecuencia</t>
        </is>
      </c>
      <c r="G3" s="2" t="inlineStr">
        <is>
          <t>Asignadas</t>
        </is>
      </c>
      <c r="H3" s="2" t="inlineStr">
        <is>
          <t>Faltan</t>
        </is>
      </c>
    </row>
    <row r="4">
      <c r="A4" s="3" t="inlineStr">
        <is>
          <t>10-3#M</t>
        </is>
      </c>
      <c r="B4" s="3" t="inlineStr">
        <is>
          <t>10-3</t>
        </is>
      </c>
      <c r="C4" s="3" t="inlineStr">
        <is>
          <t>M</t>
        </is>
      </c>
      <c r="D4" s="3" t="inlineStr">
        <is>
          <t>Profesor de M en 10-3</t>
        </is>
      </c>
      <c r="E4" s="3">
        <f>IFERROR(VLOOKUP($C4,Asignaturas!$A$4:$G$18,2,FALSE),"")</f>
        <v/>
      </c>
      <c r="F4" s="3">
        <f>IFERROR(VLOOKUP($C4,Asignaturas!$A$4:$G$18,3,FALSE),0)</f>
        <v/>
      </c>
      <c r="G4" s="3">
        <f>COUNTIFS('Casillas del horario'!$A$4:$A$73,$B4,'Casillas del horario'!$D$4:$D$73,$C4)</f>
        <v/>
      </c>
      <c r="H4" s="3">
        <f>($F4-$G4)</f>
        <v/>
      </c>
    </row>
    <row r="5">
      <c r="A5" s="3" t="inlineStr">
        <is>
          <t>10-3#Lit-L</t>
        </is>
      </c>
      <c r="B5" s="3" t="inlineStr">
        <is>
          <t>10-3</t>
        </is>
      </c>
      <c r="C5" s="3" t="inlineStr">
        <is>
          <t>Lit-L</t>
        </is>
      </c>
      <c r="D5" s="3" t="inlineStr">
        <is>
          <t>Profesor de Lit-L en 10-3</t>
        </is>
      </c>
      <c r="E5" s="3">
        <f>IFERROR(VLOOKUP($C5,Asignaturas!$A$4:$G$18,2,FALSE),"")</f>
        <v/>
      </c>
      <c r="F5" s="3">
        <f>IFERROR(VLOOKUP($C5,Asignaturas!$A$4:$G$18,3,FALSE),0)</f>
        <v/>
      </c>
      <c r="G5" s="3">
        <f>COUNTIFS('Casillas del horario'!$A$4:$A$73,$B5,'Casillas del horario'!$D$4:$D$73,$C5)</f>
        <v/>
      </c>
      <c r="H5" s="3">
        <f>($F5-$G5)</f>
        <v/>
      </c>
    </row>
    <row r="6">
      <c r="A6" s="3" t="inlineStr">
        <is>
          <t>10-3#F</t>
        </is>
      </c>
      <c r="B6" s="3" t="inlineStr">
        <is>
          <t>10-3</t>
        </is>
      </c>
      <c r="C6" s="3" t="inlineStr">
        <is>
          <t>F</t>
        </is>
      </c>
      <c r="D6" s="3" t="inlineStr">
        <is>
          <t>Profesor de F en 10-3</t>
        </is>
      </c>
      <c r="E6" s="3">
        <f>IFERROR(VLOOKUP($C6,Asignaturas!$A$4:$G$18,2,FALSE),"")</f>
        <v/>
      </c>
      <c r="F6" s="3">
        <f>IFERROR(VLOOKUP($C6,Asignaturas!$A$4:$G$18,3,FALSE),0)</f>
        <v/>
      </c>
      <c r="G6" s="3">
        <f>COUNTIFS('Casillas del horario'!$A$4:$A$73,$B6,'Casillas del horario'!$D$4:$D$73,$C6)</f>
        <v/>
      </c>
      <c r="H6" s="3">
        <f>($F6-$G6)</f>
        <v/>
      </c>
    </row>
    <row r="7">
      <c r="A7" s="3" t="inlineStr">
        <is>
          <t>10-3#I</t>
        </is>
      </c>
      <c r="B7" s="3" t="inlineStr">
        <is>
          <t>10-3</t>
        </is>
      </c>
      <c r="C7" s="3" t="inlineStr">
        <is>
          <t>I</t>
        </is>
      </c>
      <c r="D7" s="3" t="inlineStr">
        <is>
          <t>Profesor de I en 10-3</t>
        </is>
      </c>
      <c r="E7" s="3">
        <f>IFERROR(VLOOKUP($C7,Asignaturas!$A$4:$G$18,2,FALSE),"")</f>
        <v/>
      </c>
      <c r="F7" s="3">
        <f>IFERROR(VLOOKUP($C7,Asignaturas!$A$4:$G$18,3,FALSE),0)</f>
        <v/>
      </c>
      <c r="G7" s="3">
        <f>COUNTIFS('Casillas del horario'!$A$4:$A$73,$B7,'Casillas del horario'!$D$4:$D$73,$C7)</f>
        <v/>
      </c>
      <c r="H7" s="3">
        <f>($F7-$G7)</f>
        <v/>
      </c>
    </row>
    <row r="8">
      <c r="A8" s="3" t="inlineStr">
        <is>
          <t>10-3#H</t>
        </is>
      </c>
      <c r="B8" s="3" t="inlineStr">
        <is>
          <t>10-3</t>
        </is>
      </c>
      <c r="C8" s="3" t="inlineStr">
        <is>
          <t>H</t>
        </is>
      </c>
      <c r="D8" s="3" t="inlineStr">
        <is>
          <t>Profesor de H en 10-3</t>
        </is>
      </c>
      <c r="E8" s="3">
        <f>IFERROR(VLOOKUP($C8,Asignaturas!$A$4:$G$18,2,FALSE),"")</f>
        <v/>
      </c>
      <c r="F8" s="3">
        <f>IFERROR(VLOOKUP($C8,Asignaturas!$A$4:$G$18,3,FALSE),0)</f>
        <v/>
      </c>
      <c r="G8" s="3">
        <f>COUNTIFS('Casillas del horario'!$A$4:$A$73,$B8,'Casillas del horario'!$D$4:$D$73,$C8)</f>
        <v/>
      </c>
      <c r="H8" s="3">
        <f>($F8-$G8)</f>
        <v/>
      </c>
    </row>
    <row r="9">
      <c r="A9" s="3" t="inlineStr">
        <is>
          <t>10-3#EF</t>
        </is>
      </c>
      <c r="B9" s="3" t="inlineStr">
        <is>
          <t>10-3</t>
        </is>
      </c>
      <c r="C9" s="3" t="inlineStr">
        <is>
          <t>EF</t>
        </is>
      </c>
      <c r="D9" s="3" t="inlineStr">
        <is>
          <t>Profesor de EF en 10-3</t>
        </is>
      </c>
      <c r="E9" s="3">
        <f>IFERROR(VLOOKUP($C9,Asignaturas!$A$4:$G$18,2,FALSE),"")</f>
        <v/>
      </c>
      <c r="F9" s="3">
        <f>IFERROR(VLOOKUP($C9,Asignaturas!$A$4:$G$18,3,FALSE),0)</f>
        <v/>
      </c>
      <c r="G9" s="3">
        <f>COUNTIFS('Casillas del horario'!$A$4:$A$73,$B9,'Casillas del horario'!$D$4:$D$73,$C9)</f>
        <v/>
      </c>
      <c r="H9" s="3">
        <f>($F9-$G9)</f>
        <v/>
      </c>
    </row>
    <row r="10">
      <c r="A10" s="3" t="inlineStr">
        <is>
          <t>10-3#B</t>
        </is>
      </c>
      <c r="B10" s="3" t="inlineStr">
        <is>
          <t>10-3</t>
        </is>
      </c>
      <c r="C10" s="3" t="inlineStr">
        <is>
          <t>B</t>
        </is>
      </c>
      <c r="D10" s="3" t="inlineStr">
        <is>
          <t>Profesor de B en 10-3</t>
        </is>
      </c>
      <c r="E10" s="3">
        <f>IFERROR(VLOOKUP($C10,Asignaturas!$A$4:$G$18,2,FALSE),"")</f>
        <v/>
      </c>
      <c r="F10" s="3">
        <f>IFERROR(VLOOKUP($C10,Asignaturas!$A$4:$G$18,3,FALSE),0)</f>
        <v/>
      </c>
      <c r="G10" s="3">
        <f>COUNTIFS('Casillas del horario'!$A$4:$A$73,$B10,'Casillas del horario'!$D$4:$D$73,$C10)</f>
        <v/>
      </c>
      <c r="H10" s="3">
        <f>($F10-$G10)</f>
        <v/>
      </c>
    </row>
    <row r="11">
      <c r="A11" s="3" t="inlineStr">
        <is>
          <t>10-3#G</t>
        </is>
      </c>
      <c r="B11" s="3" t="inlineStr">
        <is>
          <t>10-3</t>
        </is>
      </c>
      <c r="C11" s="3" t="inlineStr">
        <is>
          <t>G</t>
        </is>
      </c>
      <c r="D11" s="3" t="inlineStr">
        <is>
          <t>Profesor de G en 10-3</t>
        </is>
      </c>
      <c r="E11" s="3">
        <f>IFERROR(VLOOKUP($C11,Asignaturas!$A$4:$G$18,2,FALSE),"")</f>
        <v/>
      </c>
      <c r="F11" s="3">
        <f>IFERROR(VLOOKUP($C11,Asignaturas!$A$4:$G$18,3,FALSE),0)</f>
        <v/>
      </c>
      <c r="G11" s="3">
        <f>COUNTIFS('Casillas del horario'!$A$4:$A$73,$B11,'Casillas del horario'!$D$4:$D$73,$C11)</f>
        <v/>
      </c>
      <c r="H11" s="3">
        <f>($F11-$G11)</f>
        <v/>
      </c>
    </row>
    <row r="12">
      <c r="A12" s="3" t="inlineStr">
        <is>
          <t>10-3#INF</t>
        </is>
      </c>
      <c r="B12" s="3" t="inlineStr">
        <is>
          <t>10-3</t>
        </is>
      </c>
      <c r="C12" s="3" t="inlineStr">
        <is>
          <t>INF</t>
        </is>
      </c>
      <c r="D12" s="3" t="inlineStr">
        <is>
          <t>Profesor de INF en 10-3</t>
        </is>
      </c>
      <c r="E12" s="3">
        <f>IFERROR(VLOOKUP($C12,Asignaturas!$A$4:$G$18,2,FALSE),"")</f>
        <v/>
      </c>
      <c r="F12" s="3">
        <f>IFERROR(VLOOKUP($C12,Asignaturas!$A$4:$G$18,3,FALSE),0)</f>
        <v/>
      </c>
      <c r="G12" s="3">
        <f>COUNTIFS('Casillas del horario'!$A$4:$A$73,$B12,'Casillas del horario'!$D$4:$D$73,$C12)</f>
        <v/>
      </c>
      <c r="H12" s="3">
        <f>($F12-$G12)</f>
        <v/>
      </c>
    </row>
    <row r="13">
      <c r="A13" s="3" t="inlineStr">
        <is>
          <t>10-3#Q</t>
        </is>
      </c>
      <c r="B13" s="3" t="inlineStr">
        <is>
          <t>10-3</t>
        </is>
      </c>
      <c r="C13" s="3" t="inlineStr">
        <is>
          <t>Q</t>
        </is>
      </c>
      <c r="D13" s="3" t="inlineStr">
        <is>
          <t>Profesor de Q en 10-3</t>
        </is>
      </c>
      <c r="E13" s="3">
        <f>IFERROR(VLOOKUP($C13,Asignaturas!$A$4:$G$18,2,FALSE),"")</f>
        <v/>
      </c>
      <c r="F13" s="3">
        <f>IFERROR(VLOOKUP($C13,Asignaturas!$A$4:$G$18,3,FALSE),0)</f>
        <v/>
      </c>
      <c r="G13" s="3">
        <f>COUNTIFS('Casillas del horario'!$A$4:$A$73,$B13,'Casillas del horario'!$D$4:$D$73,$C13)</f>
        <v/>
      </c>
      <c r="H13" s="3">
        <f>($F13-$G13)</f>
        <v/>
      </c>
    </row>
    <row r="14">
      <c r="A14" s="3" t="inlineStr">
        <is>
          <t>10-3#CP</t>
        </is>
      </c>
      <c r="B14" s="3" t="inlineStr">
        <is>
          <t>10-3</t>
        </is>
      </c>
      <c r="C14" s="3" t="inlineStr">
        <is>
          <t>CP</t>
        </is>
      </c>
      <c r="D14" s="3" t="inlineStr">
        <is>
          <t>Profesor de CP en 10-3</t>
        </is>
      </c>
      <c r="E14" s="3">
        <f>IFERROR(VLOOKUP($C14,Asignaturas!$A$4:$G$18,2,FALSE),"")</f>
        <v/>
      </c>
      <c r="F14" s="3">
        <f>IFERROR(VLOOKUP($C14,Asignaturas!$A$4:$G$18,3,FALSE),0)</f>
        <v/>
      </c>
      <c r="G14" s="3">
        <f>COUNTIFS('Casillas del horario'!$A$4:$A$73,$B14,'Casillas del horario'!$D$4:$D$73,$C14)</f>
        <v/>
      </c>
      <c r="H14" s="3">
        <f>($F14-$G14)</f>
        <v/>
      </c>
    </row>
    <row r="15">
      <c r="A15" s="3" t="inlineStr">
        <is>
          <t>10-3#DC</t>
        </is>
      </c>
      <c r="B15" s="3" t="inlineStr">
        <is>
          <t>10-3</t>
        </is>
      </c>
      <c r="C15" s="3" t="inlineStr">
        <is>
          <t>DC</t>
        </is>
      </c>
      <c r="D15" s="3" t="inlineStr">
        <is>
          <t>Profesor de DC en 10-3</t>
        </is>
      </c>
      <c r="E15" s="3">
        <f>IFERROR(VLOOKUP($C15,Asignaturas!$A$4:$G$18,2,FALSE),"")</f>
        <v/>
      </c>
      <c r="F15" s="3">
        <f>IFERROR(VLOOKUP($C15,Asignaturas!$A$4:$G$18,3,FALSE),0)</f>
        <v/>
      </c>
      <c r="G15" s="3">
        <f>COUNTIFS('Casillas del horario'!$A$4:$A$73,$B15,'Casillas del horario'!$D$4:$D$73,$C15)</f>
        <v/>
      </c>
      <c r="H15" s="3">
        <f>($F15-$G15)</f>
        <v/>
      </c>
    </row>
    <row r="16">
      <c r="A16" s="3" t="inlineStr">
        <is>
          <t>10-3#CA</t>
        </is>
      </c>
      <c r="B16" s="3" t="inlineStr">
        <is>
          <t>10-3</t>
        </is>
      </c>
      <c r="C16" s="3" t="inlineStr">
        <is>
          <t>CA</t>
        </is>
      </c>
      <c r="D16" s="3" t="inlineStr">
        <is>
          <t>Profesor de CA en 10-3</t>
        </is>
      </c>
      <c r="E16" s="3">
        <f>IFERROR(VLOOKUP($C16,Asignaturas!$A$4:$G$18,2,FALSE),"")</f>
        <v/>
      </c>
      <c r="F16" s="3">
        <f>IFERROR(VLOOKUP($C16,Asignaturas!$A$4:$G$18,3,FALSE),0)</f>
        <v/>
      </c>
      <c r="G16" s="3">
        <f>COUNTIFS('Casillas del horario'!$A$4:$A$73,$B16,'Casillas del horario'!$D$4:$D$73,$C16)</f>
        <v/>
      </c>
      <c r="H16" s="3">
        <f>($F16-$G16)</f>
        <v/>
      </c>
    </row>
    <row r="17">
      <c r="A17" s="3" t="inlineStr">
        <is>
          <t>10-3#RD</t>
        </is>
      </c>
      <c r="B17" s="3" t="inlineStr">
        <is>
          <t>10-3</t>
        </is>
      </c>
      <c r="C17" s="3" t="inlineStr">
        <is>
          <t>RD</t>
        </is>
      </c>
      <c r="D17" s="3" t="inlineStr">
        <is>
          <t>Profesor de RD en 10-3</t>
        </is>
      </c>
      <c r="E17" s="3">
        <f>IFERROR(VLOOKUP($C17,Asignaturas!$A$4:$G$18,2,FALSE),"")</f>
        <v/>
      </c>
      <c r="F17" s="3">
        <f>IFERROR(VLOOKUP($C17,Asignaturas!$A$4:$G$18,3,FALSE),0)</f>
        <v/>
      </c>
      <c r="G17" s="3">
        <f>COUNTIFS('Casillas del horario'!$A$4:$A$73,$B17,'Casillas del horario'!$D$4:$D$73,$C17)</f>
        <v/>
      </c>
      <c r="H17" s="3">
        <f>($F17-$G17)</f>
        <v/>
      </c>
    </row>
    <row r="18">
      <c r="A18" s="3" t="inlineStr">
        <is>
          <t>10-3#AL/AC</t>
        </is>
      </c>
      <c r="B18" s="3" t="inlineStr">
        <is>
          <t>10-3</t>
        </is>
      </c>
      <c r="C18" s="3" t="inlineStr">
        <is>
          <t>AL/AC</t>
        </is>
      </c>
      <c r="D18" s="3" t="inlineStr">
        <is>
          <t>Profesor de AL/AC en 10-3</t>
        </is>
      </c>
      <c r="E18" s="3">
        <f>IFERROR(VLOOKUP($C18,Asignaturas!$A$4:$G$18,2,FALSE),"")</f>
        <v/>
      </c>
      <c r="F18" s="3">
        <f>IFERROR(VLOOKUP($C18,Asignaturas!$A$4:$G$18,3,FALSE),0)</f>
        <v/>
      </c>
      <c r="G18" s="3">
        <f>COUNTIFS('Casillas del horario'!$A$4:$A$73,$B18,'Casillas del horario'!$D$4:$D$73,$C18)</f>
        <v/>
      </c>
      <c r="H18" s="3">
        <f>($F18-$G18)</f>
        <v/>
      </c>
    </row>
    <row r="19">
      <c r="A19" s="3" t="inlineStr">
        <is>
          <t>10-4#M</t>
        </is>
      </c>
      <c r="B19" s="3" t="inlineStr">
        <is>
          <t>10-4</t>
        </is>
      </c>
      <c r="C19" s="3" t="inlineStr">
        <is>
          <t>M</t>
        </is>
      </c>
      <c r="D19" s="3" t="inlineStr">
        <is>
          <t>Profesor de M en 10-4</t>
        </is>
      </c>
      <c r="E19" s="3">
        <f>IFERROR(VLOOKUP($C19,Asignaturas!$A$4:$G$18,2,FALSE),"")</f>
        <v/>
      </c>
      <c r="F19" s="3">
        <f>IFERROR(VLOOKUP($C19,Asignaturas!$A$4:$G$18,3,FALSE),0)</f>
        <v/>
      </c>
      <c r="G19" s="3">
        <f>COUNTIFS('Casillas del horario'!$A$4:$A$73,$B19,'Casillas del horario'!$D$4:$D$73,$C19)</f>
        <v/>
      </c>
      <c r="H19" s="3">
        <f>($F19-$G19)</f>
        <v/>
      </c>
    </row>
    <row r="20">
      <c r="A20" s="3" t="inlineStr">
        <is>
          <t>10-4#Lit-L</t>
        </is>
      </c>
      <c r="B20" s="3" t="inlineStr">
        <is>
          <t>10-4</t>
        </is>
      </c>
      <c r="C20" s="3" t="inlineStr">
        <is>
          <t>Lit-L</t>
        </is>
      </c>
      <c r="D20" s="3" t="inlineStr">
        <is>
          <t>Profesor de Lit-L en 10-4</t>
        </is>
      </c>
      <c r="E20" s="3">
        <f>IFERROR(VLOOKUP($C20,Asignaturas!$A$4:$G$18,2,FALSE),"")</f>
        <v/>
      </c>
      <c r="F20" s="3">
        <f>IFERROR(VLOOKUP($C20,Asignaturas!$A$4:$G$18,3,FALSE),0)</f>
        <v/>
      </c>
      <c r="G20" s="3">
        <f>COUNTIFS('Casillas del horario'!$A$4:$A$73,$B20,'Casillas del horario'!$D$4:$D$73,$C20)</f>
        <v/>
      </c>
      <c r="H20" s="3">
        <f>($F20-$G20)</f>
        <v/>
      </c>
    </row>
    <row r="21">
      <c r="A21" s="3" t="inlineStr">
        <is>
          <t>10-4#F</t>
        </is>
      </c>
      <c r="B21" s="3" t="inlineStr">
        <is>
          <t>10-4</t>
        </is>
      </c>
      <c r="C21" s="3" t="inlineStr">
        <is>
          <t>F</t>
        </is>
      </c>
      <c r="D21" s="3" t="inlineStr">
        <is>
          <t>Profesor de F en 10-4</t>
        </is>
      </c>
      <c r="E21" s="3">
        <f>IFERROR(VLOOKUP($C21,Asignaturas!$A$4:$G$18,2,FALSE),"")</f>
        <v/>
      </c>
      <c r="F21" s="3">
        <f>IFERROR(VLOOKUP($C21,Asignaturas!$A$4:$G$18,3,FALSE),0)</f>
        <v/>
      </c>
      <c r="G21" s="3">
        <f>COUNTIFS('Casillas del horario'!$A$4:$A$73,$B21,'Casillas del horario'!$D$4:$D$73,$C21)</f>
        <v/>
      </c>
      <c r="H21" s="3">
        <f>($F21-$G21)</f>
        <v/>
      </c>
    </row>
    <row r="22">
      <c r="A22" s="3" t="inlineStr">
        <is>
          <t>10-4#I</t>
        </is>
      </c>
      <c r="B22" s="3" t="inlineStr">
        <is>
          <t>10-4</t>
        </is>
      </c>
      <c r="C22" s="3" t="inlineStr">
        <is>
          <t>I</t>
        </is>
      </c>
      <c r="D22" s="3" t="inlineStr">
        <is>
          <t>Profesor de I en 10-4</t>
        </is>
      </c>
      <c r="E22" s="3">
        <f>IFERROR(VLOOKUP($C22,Asignaturas!$A$4:$G$18,2,FALSE),"")</f>
        <v/>
      </c>
      <c r="F22" s="3">
        <f>IFERROR(VLOOKUP($C22,Asignaturas!$A$4:$G$18,3,FALSE),0)</f>
        <v/>
      </c>
      <c r="G22" s="3">
        <f>COUNTIFS('Casillas del horario'!$A$4:$A$73,$B22,'Casillas del horario'!$D$4:$D$73,$C22)</f>
        <v/>
      </c>
      <c r="H22" s="3">
        <f>($F22-$G22)</f>
        <v/>
      </c>
    </row>
    <row r="23">
      <c r="A23" s="3" t="inlineStr">
        <is>
          <t>10-4#H</t>
        </is>
      </c>
      <c r="B23" s="3" t="inlineStr">
        <is>
          <t>10-4</t>
        </is>
      </c>
      <c r="C23" s="3" t="inlineStr">
        <is>
          <t>H</t>
        </is>
      </c>
      <c r="D23" s="3" t="inlineStr">
        <is>
          <t>Profesor de H en 10-4</t>
        </is>
      </c>
      <c r="E23" s="3">
        <f>IFERROR(VLOOKUP($C23,Asignaturas!$A$4:$G$18,2,FALSE),"")</f>
        <v/>
      </c>
      <c r="F23" s="3">
        <f>IFERROR(VLOOKUP($C23,Asignaturas!$A$4:$G$18,3,FALSE),0)</f>
        <v/>
      </c>
      <c r="G23" s="3">
        <f>COUNTIFS('Casillas del horario'!$A$4:$A$73,$B23,'Casillas del horario'!$D$4:$D$73,$C23)</f>
        <v/>
      </c>
      <c r="H23" s="3">
        <f>($F23-$G23)</f>
        <v/>
      </c>
    </row>
    <row r="24">
      <c r="A24" s="3" t="inlineStr">
        <is>
          <t>10-4#EF</t>
        </is>
      </c>
      <c r="B24" s="3" t="inlineStr">
        <is>
          <t>10-4</t>
        </is>
      </c>
      <c r="C24" s="3" t="inlineStr">
        <is>
          <t>EF</t>
        </is>
      </c>
      <c r="D24" s="3" t="inlineStr">
        <is>
          <t>Profesor de EF en 10-4</t>
        </is>
      </c>
      <c r="E24" s="3">
        <f>IFERROR(VLOOKUP($C24,Asignaturas!$A$4:$G$18,2,FALSE),"")</f>
        <v/>
      </c>
      <c r="F24" s="3">
        <f>IFERROR(VLOOKUP($C24,Asignaturas!$A$4:$G$18,3,FALSE),0)</f>
        <v/>
      </c>
      <c r="G24" s="3">
        <f>COUNTIFS('Casillas del horario'!$A$4:$A$73,$B24,'Casillas del horario'!$D$4:$D$73,$C24)</f>
        <v/>
      </c>
      <c r="H24" s="3">
        <f>($F24-$G24)</f>
        <v/>
      </c>
    </row>
    <row r="25">
      <c r="A25" s="3" t="inlineStr">
        <is>
          <t>10-4#B</t>
        </is>
      </c>
      <c r="B25" s="3" t="inlineStr">
        <is>
          <t>10-4</t>
        </is>
      </c>
      <c r="C25" s="3" t="inlineStr">
        <is>
          <t>B</t>
        </is>
      </c>
      <c r="D25" s="3" t="inlineStr">
        <is>
          <t>Profesor de B en 10-4</t>
        </is>
      </c>
      <c r="E25" s="3">
        <f>IFERROR(VLOOKUP($C25,Asignaturas!$A$4:$G$18,2,FALSE),"")</f>
        <v/>
      </c>
      <c r="F25" s="3">
        <f>IFERROR(VLOOKUP($C25,Asignaturas!$A$4:$G$18,3,FALSE),0)</f>
        <v/>
      </c>
      <c r="G25" s="3">
        <f>COUNTIFS('Casillas del horario'!$A$4:$A$73,$B25,'Casillas del horario'!$D$4:$D$73,$C25)</f>
        <v/>
      </c>
      <c r="H25" s="3">
        <f>($F25-$G25)</f>
        <v/>
      </c>
    </row>
    <row r="26">
      <c r="A26" s="3" t="inlineStr">
        <is>
          <t>10-4#G</t>
        </is>
      </c>
      <c r="B26" s="3" t="inlineStr">
        <is>
          <t>10-4</t>
        </is>
      </c>
      <c r="C26" s="3" t="inlineStr">
        <is>
          <t>G</t>
        </is>
      </c>
      <c r="D26" s="3" t="inlineStr">
        <is>
          <t>Profesor de G en 10-4</t>
        </is>
      </c>
      <c r="E26" s="3">
        <f>IFERROR(VLOOKUP($C26,Asignaturas!$A$4:$G$18,2,FALSE),"")</f>
        <v/>
      </c>
      <c r="F26" s="3">
        <f>IFERROR(VLOOKUP($C26,Asignaturas!$A$4:$G$18,3,FALSE),0)</f>
        <v/>
      </c>
      <c r="G26" s="3">
        <f>COUNTIFS('Casillas del horario'!$A$4:$A$73,$B26,'Casillas del horario'!$D$4:$D$73,$C26)</f>
        <v/>
      </c>
      <c r="H26" s="3">
        <f>($F26-$G26)</f>
        <v/>
      </c>
    </row>
    <row r="27">
      <c r="A27" s="3" t="inlineStr">
        <is>
          <t>10-4#INF</t>
        </is>
      </c>
      <c r="B27" s="3" t="inlineStr">
        <is>
          <t>10-4</t>
        </is>
      </c>
      <c r="C27" s="3" t="inlineStr">
        <is>
          <t>INF</t>
        </is>
      </c>
      <c r="D27" s="3" t="inlineStr">
        <is>
          <t>Profesor de INF en 10-4</t>
        </is>
      </c>
      <c r="E27" s="3">
        <f>IFERROR(VLOOKUP($C27,Asignaturas!$A$4:$G$18,2,FALSE),"")</f>
        <v/>
      </c>
      <c r="F27" s="3">
        <f>IFERROR(VLOOKUP($C27,Asignaturas!$A$4:$G$18,3,FALSE),0)</f>
        <v/>
      </c>
      <c r="G27" s="3">
        <f>COUNTIFS('Casillas del horario'!$A$4:$A$73,$B27,'Casillas del horario'!$D$4:$D$73,$C27)</f>
        <v/>
      </c>
      <c r="H27" s="3">
        <f>($F27-$G27)</f>
        <v/>
      </c>
    </row>
    <row r="28">
      <c r="A28" s="3" t="inlineStr">
        <is>
          <t>10-4#Q</t>
        </is>
      </c>
      <c r="B28" s="3" t="inlineStr">
        <is>
          <t>10-4</t>
        </is>
      </c>
      <c r="C28" s="3" t="inlineStr">
        <is>
          <t>Q</t>
        </is>
      </c>
      <c r="D28" s="3" t="inlineStr">
        <is>
          <t>Profesor de Q en 10-4</t>
        </is>
      </c>
      <c r="E28" s="3">
        <f>IFERROR(VLOOKUP($C28,Asignaturas!$A$4:$G$18,2,FALSE),"")</f>
        <v/>
      </c>
      <c r="F28" s="3">
        <f>IFERROR(VLOOKUP($C28,Asignaturas!$A$4:$G$18,3,FALSE),0)</f>
        <v/>
      </c>
      <c r="G28" s="3">
        <f>COUNTIFS('Casillas del horario'!$A$4:$A$73,$B28,'Casillas del horario'!$D$4:$D$73,$C28)</f>
        <v/>
      </c>
      <c r="H28" s="3">
        <f>($F28-$G28)</f>
        <v/>
      </c>
    </row>
    <row r="29">
      <c r="A29" s="3" t="inlineStr">
        <is>
          <t>10-4#CP</t>
        </is>
      </c>
      <c r="B29" s="3" t="inlineStr">
        <is>
          <t>10-4</t>
        </is>
      </c>
      <c r="C29" s="3" t="inlineStr">
        <is>
          <t>CP</t>
        </is>
      </c>
      <c r="D29" s="3" t="inlineStr">
        <is>
          <t>Profesor de CP en 10-4</t>
        </is>
      </c>
      <c r="E29" s="3">
        <f>IFERROR(VLOOKUP($C29,Asignaturas!$A$4:$G$18,2,FALSE),"")</f>
        <v/>
      </c>
      <c r="F29" s="3">
        <f>IFERROR(VLOOKUP($C29,Asignaturas!$A$4:$G$18,3,FALSE),0)</f>
        <v/>
      </c>
      <c r="G29" s="3">
        <f>COUNTIFS('Casillas del horario'!$A$4:$A$73,$B29,'Casillas del horario'!$D$4:$D$73,$C29)</f>
        <v/>
      </c>
      <c r="H29" s="3">
        <f>($F29-$G29)</f>
        <v/>
      </c>
    </row>
    <row r="30">
      <c r="A30" s="3" t="inlineStr">
        <is>
          <t>10-4#DC</t>
        </is>
      </c>
      <c r="B30" s="3" t="inlineStr">
        <is>
          <t>10-4</t>
        </is>
      </c>
      <c r="C30" s="3" t="inlineStr">
        <is>
          <t>DC</t>
        </is>
      </c>
      <c r="D30" s="3" t="inlineStr">
        <is>
          <t>Profesor de DC en 10-4</t>
        </is>
      </c>
      <c r="E30" s="3">
        <f>IFERROR(VLOOKUP($C30,Asignaturas!$A$4:$G$18,2,FALSE),"")</f>
        <v/>
      </c>
      <c r="F30" s="3">
        <f>IFERROR(VLOOKUP($C30,Asignaturas!$A$4:$G$18,3,FALSE),0)</f>
        <v/>
      </c>
      <c r="G30" s="3">
        <f>COUNTIFS('Casillas del horario'!$A$4:$A$73,$B30,'Casillas del horario'!$D$4:$D$73,$C30)</f>
        <v/>
      </c>
      <c r="H30" s="3">
        <f>($F30-$G30)</f>
        <v/>
      </c>
    </row>
    <row r="31">
      <c r="A31" s="3" t="inlineStr">
        <is>
          <t>10-4#CA</t>
        </is>
      </c>
      <c r="B31" s="3" t="inlineStr">
        <is>
          <t>10-4</t>
        </is>
      </c>
      <c r="C31" s="3" t="inlineStr">
        <is>
          <t>CA</t>
        </is>
      </c>
      <c r="D31" s="3" t="inlineStr">
        <is>
          <t>Profesor de CA en 10-4</t>
        </is>
      </c>
      <c r="E31" s="3">
        <f>IFERROR(VLOOKUP($C31,Asignaturas!$A$4:$G$18,2,FALSE),"")</f>
        <v/>
      </c>
      <c r="F31" s="3">
        <f>IFERROR(VLOOKUP($C31,Asignaturas!$A$4:$G$18,3,FALSE),0)</f>
        <v/>
      </c>
      <c r="G31" s="3">
        <f>COUNTIFS('Casillas del horario'!$A$4:$A$73,$B31,'Casillas del horario'!$D$4:$D$73,$C31)</f>
        <v/>
      </c>
      <c r="H31" s="3">
        <f>($F31-$G31)</f>
        <v/>
      </c>
    </row>
    <row r="32">
      <c r="A32" s="3" t="inlineStr">
        <is>
          <t>10-4#RD</t>
        </is>
      </c>
      <c r="B32" s="3" t="inlineStr">
        <is>
          <t>10-4</t>
        </is>
      </c>
      <c r="C32" s="3" t="inlineStr">
        <is>
          <t>RD</t>
        </is>
      </c>
      <c r="D32" s="3" t="inlineStr">
        <is>
          <t>Profesor de RD en 10-4</t>
        </is>
      </c>
      <c r="E32" s="3">
        <f>IFERROR(VLOOKUP($C32,Asignaturas!$A$4:$G$18,2,FALSE),"")</f>
        <v/>
      </c>
      <c r="F32" s="3">
        <f>IFERROR(VLOOKUP($C32,Asignaturas!$A$4:$G$18,3,FALSE),0)</f>
        <v/>
      </c>
      <c r="G32" s="3">
        <f>COUNTIFS('Casillas del horario'!$A$4:$A$73,$B32,'Casillas del horario'!$D$4:$D$73,$C32)</f>
        <v/>
      </c>
      <c r="H32" s="3">
        <f>($F32-$G32)</f>
        <v/>
      </c>
    </row>
    <row r="33">
      <c r="A33" s="3" t="inlineStr">
        <is>
          <t>10-4#AL/AC</t>
        </is>
      </c>
      <c r="B33" s="3" t="inlineStr">
        <is>
          <t>10-4</t>
        </is>
      </c>
      <c r="C33" s="3" t="inlineStr">
        <is>
          <t>AL/AC</t>
        </is>
      </c>
      <c r="D33" s="3" t="inlineStr">
        <is>
          <t>Profesor de AL/AC en 10-4</t>
        </is>
      </c>
      <c r="E33" s="3">
        <f>IFERROR(VLOOKUP($C33,Asignaturas!$A$4:$G$18,2,FALSE),"")</f>
        <v/>
      </c>
      <c r="F33" s="3">
        <f>IFERROR(VLOOKUP($C33,Asignaturas!$A$4:$G$18,3,FALSE),0)</f>
        <v/>
      </c>
      <c r="G33" s="3">
        <f>COUNTIFS('Casillas del horario'!$A$4:$A$73,$B33,'Casillas del horario'!$D$4:$D$73,$C33)</f>
        <v/>
      </c>
      <c r="H33" s="3">
        <f>($F33-$G33)</f>
        <v/>
      </c>
    </row>
    <row r="35">
      <c r="A35" s="5" t="inlineStr">
        <is>
          <t>Leyenda</t>
        </is>
      </c>
    </row>
    <row r="36">
      <c r="A36" s="6" t="n"/>
      <c r="B36" t="inlineStr">
        <is>
          <t>frecuencia incompleta</t>
        </is>
      </c>
    </row>
    <row r="37">
      <c r="A37" s="6" t="n"/>
      <c r="B37" t="inlineStr">
        <is>
          <t>frecuencia excedida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conditionalFormatting sqref="G4:G33">
    <cfRule type="expression" priority="1" dxfId="0" stopIfTrue="0">
      <formula>($H4&gt;0)</formula>
    </cfRule>
    <cfRule type="expression" priority="3" dxfId="0" stopIfTrue="0">
      <formula>($H4&lt;0)</formula>
    </cfRule>
  </conditionalFormatting>
  <conditionalFormatting sqref="H4:H33">
    <cfRule type="expression" priority="1" dxfId="0" stopIfTrue="0">
      <formula>($H4&gt;0)</formula>
    </cfRule>
    <cfRule type="expression" priority="3" dxfId="0" stopIfTrue="0">
      <formula>($H4&lt;0)</formula>
    </cfRule>
  </conditionalFormatting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tabColor rgb="008EA9DB"/>
    <outlinePr summaryBelow="1" summaryRight="1"/>
    <pageSetUpPr/>
  </sheetPr>
  <dimension ref="A1:C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1" t="inlineStr">
        <is>
          <t>Profesores</t>
        </is>
      </c>
    </row>
    <row r="3">
      <c r="A3" s="2" t="inlineStr">
        <is>
          <t>Profesor</t>
        </is>
      </c>
      <c r="B3" s="2" t="inlineStr">
        <is>
          <t>Contratado</t>
        </is>
      </c>
      <c r="C3" s="2" t="inlineStr">
        <is>
          <t>Vive lejos</t>
        </is>
      </c>
    </row>
    <row r="4">
      <c r="A4" s="3" t="inlineStr">
        <is>
          <t>Profesor de M en 10-3</t>
        </is>
      </c>
      <c r="B4" s="3" t="inlineStr">
        <is>
          <t>no</t>
        </is>
      </c>
      <c r="C4" s="3" t="inlineStr">
        <is>
          <t>no</t>
        </is>
      </c>
    </row>
    <row r="5">
      <c r="A5" s="3" t="inlineStr">
        <is>
          <t>Profesor de Lit-L en 10-3</t>
        </is>
      </c>
      <c r="B5" s="3" t="inlineStr">
        <is>
          <t>no</t>
        </is>
      </c>
      <c r="C5" s="3" t="inlineStr">
        <is>
          <t>no</t>
        </is>
      </c>
    </row>
    <row r="6">
      <c r="A6" s="3" t="inlineStr">
        <is>
          <t>Profesor de F en 10-3</t>
        </is>
      </c>
      <c r="B6" s="3" t="inlineStr">
        <is>
          <t>no</t>
        </is>
      </c>
      <c r="C6" s="3" t="inlineStr">
        <is>
          <t>no</t>
        </is>
      </c>
    </row>
    <row r="7">
      <c r="A7" s="3" t="inlineStr">
        <is>
          <t>Profesor de I en 10-3</t>
        </is>
      </c>
      <c r="B7" s="3" t="inlineStr">
        <is>
          <t>no</t>
        </is>
      </c>
      <c r="C7" s="3" t="inlineStr">
        <is>
          <t>no</t>
        </is>
      </c>
    </row>
    <row r="8">
      <c r="A8" s="3" t="inlineStr">
        <is>
          <t>Profesor de H en 10-3</t>
        </is>
      </c>
      <c r="B8" s="3" t="inlineStr">
        <is>
          <t>no</t>
        </is>
      </c>
      <c r="C8" s="3" t="inlineStr">
        <is>
          <t>no</t>
        </is>
      </c>
    </row>
    <row r="9">
      <c r="A9" s="3" t="inlineStr">
        <is>
          <t>Profesor de EF en 10-3</t>
        </is>
      </c>
      <c r="B9" s="3" t="inlineStr">
        <is>
          <t>no</t>
        </is>
      </c>
      <c r="C9" s="3" t="inlineStr">
        <is>
          <t>no</t>
        </is>
      </c>
    </row>
    <row r="10">
      <c r="A10" s="3" t="inlineStr">
        <is>
          <t>Profesor de B en 10-3</t>
        </is>
      </c>
      <c r="B10" s="3" t="inlineStr">
        <is>
          <t>no</t>
        </is>
      </c>
      <c r="C10" s="3" t="inlineStr">
        <is>
          <t>no</t>
        </is>
      </c>
    </row>
    <row r="11">
      <c r="A11" s="3" t="inlineStr">
        <is>
          <t>Profesor de G en 10-3</t>
        </is>
      </c>
      <c r="B11" s="3" t="inlineStr">
        <is>
          <t>no</t>
        </is>
      </c>
      <c r="C11" s="3" t="inlineStr">
        <is>
          <t>no</t>
        </is>
      </c>
    </row>
    <row r="12">
      <c r="A12" s="3" t="inlineStr">
        <is>
          <t>Profesor de INF en 10-3</t>
        </is>
      </c>
      <c r="B12" s="3" t="inlineStr">
        <is>
          <t>no</t>
        </is>
      </c>
      <c r="C12" s="3" t="inlineStr">
        <is>
          <t>no</t>
        </is>
      </c>
    </row>
    <row r="13">
      <c r="A13" s="3" t="inlineStr">
        <is>
          <t>Profesor de Q en 10-3</t>
        </is>
      </c>
      <c r="B13" s="3" t="inlineStr">
        <is>
          <t>no</t>
        </is>
      </c>
      <c r="C13" s="3" t="inlineStr">
        <is>
          <t>no</t>
        </is>
      </c>
    </row>
    <row r="14">
      <c r="A14" s="3" t="inlineStr">
        <is>
          <t>Profesor de CP en 10-3</t>
        </is>
      </c>
      <c r="B14" s="3" t="inlineStr">
        <is>
          <t>no</t>
        </is>
      </c>
      <c r="C14" s="3" t="inlineStr">
        <is>
          <t>no</t>
        </is>
      </c>
    </row>
    <row r="15">
      <c r="A15" s="3" t="inlineStr">
        <is>
          <t>Profesor de DC en 10-3</t>
        </is>
      </c>
      <c r="B15" s="3" t="inlineStr">
        <is>
          <t>no</t>
        </is>
      </c>
      <c r="C15" s="3" t="inlineStr">
        <is>
          <t>no</t>
        </is>
      </c>
    </row>
    <row r="16">
      <c r="A16" s="3" t="inlineStr">
        <is>
          <t>Profesor de CA en 10-3</t>
        </is>
      </c>
      <c r="B16" s="3" t="inlineStr">
        <is>
          <t>no</t>
        </is>
      </c>
      <c r="C16" s="3" t="inlineStr">
        <is>
          <t>no</t>
        </is>
      </c>
    </row>
    <row r="17">
      <c r="A17" s="3" t="inlineStr">
        <is>
          <t>Profesor de RD en 10-3</t>
        </is>
      </c>
      <c r="B17" s="3" t="inlineStr">
        <is>
          <t>no</t>
        </is>
      </c>
      <c r="C17" s="3" t="inlineStr">
        <is>
          <t>no</t>
        </is>
      </c>
    </row>
    <row r="18">
      <c r="A18" s="3" t="inlineStr">
        <is>
          <t>Profesor de AL/AC en 10-3</t>
        </is>
      </c>
      <c r="B18" s="3" t="inlineStr">
        <is>
          <t>no</t>
        </is>
      </c>
      <c r="C18" s="3" t="inlineStr">
        <is>
          <t>no</t>
        </is>
      </c>
    </row>
    <row r="19">
      <c r="A19" s="3" t="inlineStr">
        <is>
          <t>Profesor de M en 10-4</t>
        </is>
      </c>
      <c r="B19" s="3" t="inlineStr">
        <is>
          <t>no</t>
        </is>
      </c>
      <c r="C19" s="3" t="inlineStr">
        <is>
          <t>no</t>
        </is>
      </c>
    </row>
    <row r="20">
      <c r="A20" s="3" t="inlineStr">
        <is>
          <t>Profesor de Lit-L en 10-4</t>
        </is>
      </c>
      <c r="B20" s="3" t="inlineStr">
        <is>
          <t>no</t>
        </is>
      </c>
      <c r="C20" s="3" t="inlineStr">
        <is>
          <t>no</t>
        </is>
      </c>
    </row>
    <row r="21">
      <c r="A21" s="3" t="inlineStr">
        <is>
          <t>Profesor de F en 10-4</t>
        </is>
      </c>
      <c r="B21" s="3" t="inlineStr">
        <is>
          <t>no</t>
        </is>
      </c>
      <c r="C21" s="3" t="inlineStr">
        <is>
          <t>no</t>
        </is>
      </c>
    </row>
    <row r="22">
      <c r="A22" s="3" t="inlineStr">
        <is>
          <t>Profesor de I en 10-4</t>
        </is>
      </c>
      <c r="B22" s="3" t="inlineStr">
        <is>
          <t>no</t>
        </is>
      </c>
      <c r="C22" s="3" t="inlineStr">
        <is>
          <t>no</t>
        </is>
      </c>
    </row>
    <row r="23">
      <c r="A23" s="3" t="inlineStr">
        <is>
          <t>Profesor de H en 10-4</t>
        </is>
      </c>
      <c r="B23" s="3" t="inlineStr">
        <is>
          <t>no</t>
        </is>
      </c>
      <c r="C23" s="3" t="inlineStr">
        <is>
          <t>no</t>
        </is>
      </c>
    </row>
    <row r="24">
      <c r="A24" s="3" t="inlineStr">
        <is>
          <t>Profesor de EF en 10-4</t>
        </is>
      </c>
      <c r="B24" s="3" t="inlineStr">
        <is>
          <t>no</t>
        </is>
      </c>
      <c r="C24" s="3" t="inlineStr">
        <is>
          <t>no</t>
        </is>
      </c>
    </row>
    <row r="25">
      <c r="A25" s="3" t="inlineStr">
        <is>
          <t>Profesor de B en 10-4</t>
        </is>
      </c>
      <c r="B25" s="3" t="inlineStr">
        <is>
          <t>no</t>
        </is>
      </c>
      <c r="C25" s="3" t="inlineStr">
        <is>
          <t>no</t>
        </is>
      </c>
    </row>
    <row r="26">
      <c r="A26" s="3" t="inlineStr">
        <is>
          <t>Profesor de G en 10-4</t>
        </is>
      </c>
      <c r="B26" s="3" t="inlineStr">
        <is>
          <t>no</t>
        </is>
      </c>
      <c r="C26" s="3" t="inlineStr">
        <is>
          <t>no</t>
        </is>
      </c>
    </row>
    <row r="27">
      <c r="A27" s="3" t="inlineStr">
        <is>
          <t>Profesor de INF en 10-4</t>
        </is>
      </c>
      <c r="B27" s="3" t="inlineStr">
        <is>
          <t>no</t>
        </is>
      </c>
      <c r="C27" s="3" t="inlineStr">
        <is>
          <t>no</t>
        </is>
      </c>
    </row>
    <row r="28">
      <c r="A28" s="3" t="inlineStr">
        <is>
          <t>Profesor de Q en 10-4</t>
        </is>
      </c>
      <c r="B28" s="3" t="inlineStr">
        <is>
          <t>no</t>
        </is>
      </c>
      <c r="C28" s="3" t="inlineStr">
        <is>
          <t>no</t>
        </is>
      </c>
    </row>
    <row r="29">
      <c r="A29" s="3" t="inlineStr">
        <is>
          <t>Profesor de CP en 10-4</t>
        </is>
      </c>
      <c r="B29" s="3" t="inlineStr">
        <is>
          <t>no</t>
        </is>
      </c>
      <c r="C29" s="3" t="inlineStr">
        <is>
          <t>no</t>
        </is>
      </c>
    </row>
    <row r="30">
      <c r="A30" s="3" t="inlineStr">
        <is>
          <t>Profesor de DC en 10-4</t>
        </is>
      </c>
      <c r="B30" s="3" t="inlineStr">
        <is>
          <t>no</t>
        </is>
      </c>
      <c r="C30" s="3" t="inlineStr">
        <is>
          <t>no</t>
        </is>
      </c>
    </row>
    <row r="31">
      <c r="A31" s="3" t="inlineStr">
        <is>
          <t>Profesor de CA en 10-4</t>
        </is>
      </c>
      <c r="B31" s="3" t="inlineStr">
        <is>
          <t>no</t>
        </is>
      </c>
      <c r="C31" s="3" t="inlineStr">
        <is>
          <t>no</t>
        </is>
      </c>
    </row>
    <row r="32">
      <c r="A32" s="3" t="inlineStr">
        <is>
          <t>Profesor de RD en 10-4</t>
        </is>
      </c>
      <c r="B32" s="3" t="inlineStr">
        <is>
          <t>no</t>
        </is>
      </c>
      <c r="C32" s="3" t="inlineStr">
        <is>
          <t>no</t>
        </is>
      </c>
    </row>
    <row r="33">
      <c r="A33" s="3" t="inlineStr">
        <is>
          <t>Profesor de AL/AC en 10-4</t>
        </is>
      </c>
      <c r="B33" s="3" t="inlineStr">
        <is>
          <t>no</t>
        </is>
      </c>
      <c r="C33" s="3" t="inlineStr">
        <is>
          <t>no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tabColor rgb="008EA9DB"/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Dias que asisten los contratados</t>
        </is>
      </c>
    </row>
    <row r="3">
      <c r="A3" s="2" t="inlineStr">
        <is>
          <t>Clave</t>
        </is>
      </c>
      <c r="B3" s="2" t="inlineStr">
        <is>
          <t>Profesor</t>
        </is>
      </c>
      <c r="C3" s="2" t="inlineStr">
        <is>
          <t>Dia</t>
        </is>
      </c>
      <c r="D3" s="2" t="inlineStr">
        <is>
          <t>Asiste</t>
        </is>
      </c>
    </row>
    <row r="4">
      <c r="A4" s="3" t="n"/>
      <c r="B4" s="3" t="n"/>
      <c r="C4" s="3" t="n"/>
      <c r="D4" s="3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tabColor rgb="008EA9DB"/>
    <outlinePr summaryBelow="1" summaryRight="1"/>
    <pageSetUpPr/>
  </sheetPr>
  <dimension ref="A1:C1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42" customWidth="1" min="3" max="3"/>
  </cols>
  <sheetData>
    <row r="1">
      <c r="A1" s="1" t="inlineStr">
        <is>
          <t>Carga diaria por profesor</t>
        </is>
      </c>
    </row>
    <row r="3">
      <c r="A3" s="2" t="inlineStr">
        <is>
          <t>Profesor</t>
        </is>
      </c>
      <c r="B3" s="2" t="inlineStr">
        <is>
          <t>Dia</t>
        </is>
      </c>
      <c r="C3" s="2" t="inlineStr">
        <is>
          <t>Sesiones</t>
        </is>
      </c>
    </row>
    <row r="4">
      <c r="A4" s="3" t="inlineStr">
        <is>
          <t>Profesor de M en 10-3</t>
        </is>
      </c>
      <c r="B4" s="3" t="inlineStr">
        <is>
          <t>L</t>
        </is>
      </c>
      <c r="C4" s="3">
        <f>COUNTIFS('Casillas del horario'!$G$4:$G$73,$A4,'Casillas del horario'!$B$4:$B$73,$B4,'Casillas del horario'!$D$4:$D$73,"&lt;&gt;")</f>
        <v/>
      </c>
    </row>
    <row r="5">
      <c r="A5" s="3" t="inlineStr">
        <is>
          <t>Profesor de M en 10-3</t>
        </is>
      </c>
      <c r="B5" s="3" t="inlineStr">
        <is>
          <t>M</t>
        </is>
      </c>
      <c r="C5" s="3">
        <f>COUNTIFS('Casillas del horario'!$G$4:$G$73,$A5,'Casillas del horario'!$B$4:$B$73,$B5,'Casillas del horario'!$D$4:$D$73,"&lt;&gt;")</f>
        <v/>
      </c>
    </row>
    <row r="6">
      <c r="A6" s="3" t="inlineStr">
        <is>
          <t>Profesor de M en 10-3</t>
        </is>
      </c>
      <c r="B6" s="3" t="inlineStr">
        <is>
          <t>MI</t>
        </is>
      </c>
      <c r="C6" s="3">
        <f>COUNTIFS('Casillas del horario'!$G$4:$G$73,$A6,'Casillas del horario'!$B$4:$B$73,$B6,'Casillas del horario'!$D$4:$D$73,"&lt;&gt;")</f>
        <v/>
      </c>
    </row>
    <row r="7">
      <c r="A7" s="3" t="inlineStr">
        <is>
          <t>Profesor de M en 10-3</t>
        </is>
      </c>
      <c r="B7" s="3" t="inlineStr">
        <is>
          <t>J</t>
        </is>
      </c>
      <c r="C7" s="3">
        <f>COUNTIFS('Casillas del horario'!$G$4:$G$73,$A7,'Casillas del horario'!$B$4:$B$73,$B7,'Casillas del horario'!$D$4:$D$73,"&lt;&gt;")</f>
        <v/>
      </c>
    </row>
    <row r="8">
      <c r="A8" s="3" t="inlineStr">
        <is>
          <t>Profesor de M en 10-3</t>
        </is>
      </c>
      <c r="B8" s="3" t="inlineStr">
        <is>
          <t>V</t>
        </is>
      </c>
      <c r="C8" s="3">
        <f>COUNTIFS('Casillas del horario'!$G$4:$G$73,$A8,'Casillas del horario'!$B$4:$B$73,$B8,'Casillas del horario'!$D$4:$D$73,"&lt;&gt;")</f>
        <v/>
      </c>
    </row>
    <row r="9">
      <c r="A9" s="3" t="inlineStr">
        <is>
          <t>Profesor de Lit-L en 10-3</t>
        </is>
      </c>
      <c r="B9" s="3" t="inlineStr">
        <is>
          <t>L</t>
        </is>
      </c>
      <c r="C9" s="3">
        <f>COUNTIFS('Casillas del horario'!$G$4:$G$73,$A9,'Casillas del horario'!$B$4:$B$73,$B9,'Casillas del horario'!$D$4:$D$73,"&lt;&gt;")</f>
        <v/>
      </c>
    </row>
    <row r="10">
      <c r="A10" s="3" t="inlineStr">
        <is>
          <t>Profesor de Lit-L en 10-3</t>
        </is>
      </c>
      <c r="B10" s="3" t="inlineStr">
        <is>
          <t>M</t>
        </is>
      </c>
      <c r="C10" s="3">
        <f>COUNTIFS('Casillas del horario'!$G$4:$G$73,$A10,'Casillas del horario'!$B$4:$B$73,$B10,'Casillas del horario'!$D$4:$D$73,"&lt;&gt;")</f>
        <v/>
      </c>
    </row>
    <row r="11">
      <c r="A11" s="3" t="inlineStr">
        <is>
          <t>Profesor de Lit-L en 10-3</t>
        </is>
      </c>
      <c r="B11" s="3" t="inlineStr">
        <is>
          <t>MI</t>
        </is>
      </c>
      <c r="C11" s="3">
        <f>COUNTIFS('Casillas del horario'!$G$4:$G$73,$A11,'Casillas del horario'!$B$4:$B$73,$B11,'Casillas del horario'!$D$4:$D$73,"&lt;&gt;")</f>
        <v/>
      </c>
    </row>
    <row r="12">
      <c r="A12" s="3" t="inlineStr">
        <is>
          <t>Profesor de Lit-L en 10-3</t>
        </is>
      </c>
      <c r="B12" s="3" t="inlineStr">
        <is>
          <t>J</t>
        </is>
      </c>
      <c r="C12" s="3">
        <f>COUNTIFS('Casillas del horario'!$G$4:$G$73,$A12,'Casillas del horario'!$B$4:$B$73,$B12,'Casillas del horario'!$D$4:$D$73,"&lt;&gt;")</f>
        <v/>
      </c>
    </row>
    <row r="13">
      <c r="A13" s="3" t="inlineStr">
        <is>
          <t>Profesor de Lit-L en 10-3</t>
        </is>
      </c>
      <c r="B13" s="3" t="inlineStr">
        <is>
          <t>V</t>
        </is>
      </c>
      <c r="C13" s="3">
        <f>COUNTIFS('Casillas del horario'!$G$4:$G$73,$A13,'Casillas del horario'!$B$4:$B$73,$B13,'Casillas del horario'!$D$4:$D$73,"&lt;&gt;")</f>
        <v/>
      </c>
    </row>
    <row r="14">
      <c r="A14" s="3" t="inlineStr">
        <is>
          <t>Profesor de F en 10-3</t>
        </is>
      </c>
      <c r="B14" s="3" t="inlineStr">
        <is>
          <t>L</t>
        </is>
      </c>
      <c r="C14" s="3">
        <f>COUNTIFS('Casillas del horario'!$G$4:$G$73,$A14,'Casillas del horario'!$B$4:$B$73,$B14,'Casillas del horario'!$D$4:$D$73,"&lt;&gt;")</f>
        <v/>
      </c>
    </row>
    <row r="15">
      <c r="A15" s="3" t="inlineStr">
        <is>
          <t>Profesor de F en 10-3</t>
        </is>
      </c>
      <c r="B15" s="3" t="inlineStr">
        <is>
          <t>M</t>
        </is>
      </c>
      <c r="C15" s="3">
        <f>COUNTIFS('Casillas del horario'!$G$4:$G$73,$A15,'Casillas del horario'!$B$4:$B$73,$B15,'Casillas del horario'!$D$4:$D$73,"&lt;&gt;")</f>
        <v/>
      </c>
    </row>
    <row r="16">
      <c r="A16" s="3" t="inlineStr">
        <is>
          <t>Profesor de F en 10-3</t>
        </is>
      </c>
      <c r="B16" s="3" t="inlineStr">
        <is>
          <t>MI</t>
        </is>
      </c>
      <c r="C16" s="3">
        <f>COUNTIFS('Casillas del horario'!$G$4:$G$73,$A16,'Casillas del horario'!$B$4:$B$73,$B16,'Casillas del horario'!$D$4:$D$73,"&lt;&gt;")</f>
        <v/>
      </c>
    </row>
    <row r="17">
      <c r="A17" s="3" t="inlineStr">
        <is>
          <t>Profesor de F en 10-3</t>
        </is>
      </c>
      <c r="B17" s="3" t="inlineStr">
        <is>
          <t>J</t>
        </is>
      </c>
      <c r="C17" s="3">
        <f>COUNTIFS('Casillas del horario'!$G$4:$G$73,$A17,'Casillas del horario'!$B$4:$B$73,$B17,'Casillas del horario'!$D$4:$D$73,"&lt;&gt;")</f>
        <v/>
      </c>
    </row>
    <row r="18">
      <c r="A18" s="3" t="inlineStr">
        <is>
          <t>Profesor de F en 10-3</t>
        </is>
      </c>
      <c r="B18" s="3" t="inlineStr">
        <is>
          <t>V</t>
        </is>
      </c>
      <c r="C18" s="3">
        <f>COUNTIFS('Casillas del horario'!$G$4:$G$73,$A18,'Casillas del horario'!$B$4:$B$73,$B18,'Casillas del horario'!$D$4:$D$73,"&lt;&gt;")</f>
        <v/>
      </c>
    </row>
    <row r="19">
      <c r="A19" s="3" t="inlineStr">
        <is>
          <t>Profesor de I en 10-3</t>
        </is>
      </c>
      <c r="B19" s="3" t="inlineStr">
        <is>
          <t>L</t>
        </is>
      </c>
      <c r="C19" s="3">
        <f>COUNTIFS('Casillas del horario'!$G$4:$G$73,$A19,'Casillas del horario'!$B$4:$B$73,$B19,'Casillas del horario'!$D$4:$D$73,"&lt;&gt;")</f>
        <v/>
      </c>
    </row>
    <row r="20">
      <c r="A20" s="3" t="inlineStr">
        <is>
          <t>Profesor de I en 10-3</t>
        </is>
      </c>
      <c r="B20" s="3" t="inlineStr">
        <is>
          <t>M</t>
        </is>
      </c>
      <c r="C20" s="3">
        <f>COUNTIFS('Casillas del horario'!$G$4:$G$73,$A20,'Casillas del horario'!$B$4:$B$73,$B20,'Casillas del horario'!$D$4:$D$73,"&lt;&gt;")</f>
        <v/>
      </c>
    </row>
    <row r="21">
      <c r="A21" s="3" t="inlineStr">
        <is>
          <t>Profesor de I en 10-3</t>
        </is>
      </c>
      <c r="B21" s="3" t="inlineStr">
        <is>
          <t>MI</t>
        </is>
      </c>
      <c r="C21" s="3">
        <f>COUNTIFS('Casillas del horario'!$G$4:$G$73,$A21,'Casillas del horario'!$B$4:$B$73,$B21,'Casillas del horario'!$D$4:$D$73,"&lt;&gt;")</f>
        <v/>
      </c>
    </row>
    <row r="22">
      <c r="A22" s="3" t="inlineStr">
        <is>
          <t>Profesor de I en 10-3</t>
        </is>
      </c>
      <c r="B22" s="3" t="inlineStr">
        <is>
          <t>J</t>
        </is>
      </c>
      <c r="C22" s="3">
        <f>COUNTIFS('Casillas del horario'!$G$4:$G$73,$A22,'Casillas del horario'!$B$4:$B$73,$B22,'Casillas del horario'!$D$4:$D$73,"&lt;&gt;")</f>
        <v/>
      </c>
    </row>
    <row r="23">
      <c r="A23" s="3" t="inlineStr">
        <is>
          <t>Profesor de I en 10-3</t>
        </is>
      </c>
      <c r="B23" s="3" t="inlineStr">
        <is>
          <t>V</t>
        </is>
      </c>
      <c r="C23" s="3">
        <f>COUNTIFS('Casillas del horario'!$G$4:$G$73,$A23,'Casillas del horario'!$B$4:$B$73,$B23,'Casillas del horario'!$D$4:$D$73,"&lt;&gt;")</f>
        <v/>
      </c>
    </row>
    <row r="24">
      <c r="A24" s="3" t="inlineStr">
        <is>
          <t>Profesor de H en 10-3</t>
        </is>
      </c>
      <c r="B24" s="3" t="inlineStr">
        <is>
          <t>L</t>
        </is>
      </c>
      <c r="C24" s="3">
        <f>COUNTIFS('Casillas del horario'!$G$4:$G$73,$A24,'Casillas del horario'!$B$4:$B$73,$B24,'Casillas del horario'!$D$4:$D$73,"&lt;&gt;")</f>
        <v/>
      </c>
    </row>
    <row r="25">
      <c r="A25" s="3" t="inlineStr">
        <is>
          <t>Profesor de H en 10-3</t>
        </is>
      </c>
      <c r="B25" s="3" t="inlineStr">
        <is>
          <t>M</t>
        </is>
      </c>
      <c r="C25" s="3">
        <f>COUNTIFS('Casillas del horario'!$G$4:$G$73,$A25,'Casillas del horario'!$B$4:$B$73,$B25,'Casillas del horario'!$D$4:$D$73,"&lt;&gt;")</f>
        <v/>
      </c>
    </row>
    <row r="26">
      <c r="A26" s="3" t="inlineStr">
        <is>
          <t>Profesor de H en 10-3</t>
        </is>
      </c>
      <c r="B26" s="3" t="inlineStr">
        <is>
          <t>MI</t>
        </is>
      </c>
      <c r="C26" s="3">
        <f>COUNTIFS('Casillas del horario'!$G$4:$G$73,$A26,'Casillas del horario'!$B$4:$B$73,$B26,'Casillas del horario'!$D$4:$D$73,"&lt;&gt;")</f>
        <v/>
      </c>
    </row>
    <row r="27">
      <c r="A27" s="3" t="inlineStr">
        <is>
          <t>Profesor de H en 10-3</t>
        </is>
      </c>
      <c r="B27" s="3" t="inlineStr">
        <is>
          <t>J</t>
        </is>
      </c>
      <c r="C27" s="3">
        <f>COUNTIFS('Casillas del horario'!$G$4:$G$73,$A27,'Casillas del horario'!$B$4:$B$73,$B27,'Casillas del horario'!$D$4:$D$73,"&lt;&gt;")</f>
        <v/>
      </c>
    </row>
    <row r="28">
      <c r="A28" s="3" t="inlineStr">
        <is>
          <t>Profesor de H en 10-3</t>
        </is>
      </c>
      <c r="B28" s="3" t="inlineStr">
        <is>
          <t>V</t>
        </is>
      </c>
      <c r="C28" s="3">
        <f>COUNTIFS('Casillas del horario'!$G$4:$G$73,$A28,'Casillas del horario'!$B$4:$B$73,$B28,'Casillas del horario'!$D$4:$D$73,"&lt;&gt;")</f>
        <v/>
      </c>
    </row>
    <row r="29">
      <c r="A29" s="3" t="inlineStr">
        <is>
          <t>Profesor de EF en 10-3</t>
        </is>
      </c>
      <c r="B29" s="3" t="inlineStr">
        <is>
          <t>L</t>
        </is>
      </c>
      <c r="C29" s="3">
        <f>COUNTIFS('Casillas del horario'!$G$4:$G$73,$A29,'Casillas del horario'!$B$4:$B$73,$B29,'Casillas del horario'!$D$4:$D$73,"&lt;&gt;")</f>
        <v/>
      </c>
    </row>
    <row r="30">
      <c r="A30" s="3" t="inlineStr">
        <is>
          <t>Profesor de EF en 10-3</t>
        </is>
      </c>
      <c r="B30" s="3" t="inlineStr">
        <is>
          <t>M</t>
        </is>
      </c>
      <c r="C30" s="3">
        <f>COUNTIFS('Casillas del horario'!$G$4:$G$73,$A30,'Casillas del horario'!$B$4:$B$73,$B30,'Casillas del horario'!$D$4:$D$73,"&lt;&gt;")</f>
        <v/>
      </c>
    </row>
    <row r="31">
      <c r="A31" s="3" t="inlineStr">
        <is>
          <t>Profesor de EF en 10-3</t>
        </is>
      </c>
      <c r="B31" s="3" t="inlineStr">
        <is>
          <t>MI</t>
        </is>
      </c>
      <c r="C31" s="3">
        <f>COUNTIFS('Casillas del horario'!$G$4:$G$73,$A31,'Casillas del horario'!$B$4:$B$73,$B31,'Casillas del horario'!$D$4:$D$73,"&lt;&gt;")</f>
        <v/>
      </c>
    </row>
    <row r="32">
      <c r="A32" s="3" t="inlineStr">
        <is>
          <t>Profesor de EF en 10-3</t>
        </is>
      </c>
      <c r="B32" s="3" t="inlineStr">
        <is>
          <t>J</t>
        </is>
      </c>
      <c r="C32" s="3">
        <f>COUNTIFS('Casillas del horario'!$G$4:$G$73,$A32,'Casillas del horario'!$B$4:$B$73,$B32,'Casillas del horario'!$D$4:$D$73,"&lt;&gt;")</f>
        <v/>
      </c>
    </row>
    <row r="33">
      <c r="A33" s="3" t="inlineStr">
        <is>
          <t>Profesor de EF en 10-3</t>
        </is>
      </c>
      <c r="B33" s="3" t="inlineStr">
        <is>
          <t>V</t>
        </is>
      </c>
      <c r="C33" s="3">
        <f>COUNTIFS('Casillas del horario'!$G$4:$G$73,$A33,'Casillas del horario'!$B$4:$B$73,$B33,'Casillas del horario'!$D$4:$D$73,"&lt;&gt;")</f>
        <v/>
      </c>
    </row>
    <row r="34">
      <c r="A34" s="3" t="inlineStr">
        <is>
          <t>Profesor de B en 10-3</t>
        </is>
      </c>
      <c r="B34" s="3" t="inlineStr">
        <is>
          <t>L</t>
        </is>
      </c>
      <c r="C34" s="3">
        <f>COUNTIFS('Casillas del horario'!$G$4:$G$73,$A34,'Casillas del horario'!$B$4:$B$73,$B34,'Casillas del horario'!$D$4:$D$73,"&lt;&gt;")</f>
        <v/>
      </c>
    </row>
    <row r="35">
      <c r="A35" s="3" t="inlineStr">
        <is>
          <t>Profesor de B en 10-3</t>
        </is>
      </c>
      <c r="B35" s="3" t="inlineStr">
        <is>
          <t>M</t>
        </is>
      </c>
      <c r="C35" s="3">
        <f>COUNTIFS('Casillas del horario'!$G$4:$G$73,$A35,'Casillas del horario'!$B$4:$B$73,$B35,'Casillas del horario'!$D$4:$D$73,"&lt;&gt;")</f>
        <v/>
      </c>
    </row>
    <row r="36">
      <c r="A36" s="3" t="inlineStr">
        <is>
          <t>Profesor de B en 10-3</t>
        </is>
      </c>
      <c r="B36" s="3" t="inlineStr">
        <is>
          <t>MI</t>
        </is>
      </c>
      <c r="C36" s="3">
        <f>COUNTIFS('Casillas del horario'!$G$4:$G$73,$A36,'Casillas del horario'!$B$4:$B$73,$B36,'Casillas del horario'!$D$4:$D$73,"&lt;&gt;")</f>
        <v/>
      </c>
    </row>
    <row r="37">
      <c r="A37" s="3" t="inlineStr">
        <is>
          <t>Profesor de B en 10-3</t>
        </is>
      </c>
      <c r="B37" s="3" t="inlineStr">
        <is>
          <t>J</t>
        </is>
      </c>
      <c r="C37" s="3">
        <f>COUNTIFS('Casillas del horario'!$G$4:$G$73,$A37,'Casillas del horario'!$B$4:$B$73,$B37,'Casillas del horario'!$D$4:$D$73,"&lt;&gt;")</f>
        <v/>
      </c>
    </row>
    <row r="38">
      <c r="A38" s="3" t="inlineStr">
        <is>
          <t>Profesor de B en 10-3</t>
        </is>
      </c>
      <c r="B38" s="3" t="inlineStr">
        <is>
          <t>V</t>
        </is>
      </c>
      <c r="C38" s="3">
        <f>COUNTIFS('Casillas del horario'!$G$4:$G$73,$A38,'Casillas del horario'!$B$4:$B$73,$B38,'Casillas del horario'!$D$4:$D$73,"&lt;&gt;")</f>
        <v/>
      </c>
    </row>
    <row r="39">
      <c r="A39" s="3" t="inlineStr">
        <is>
          <t>Profesor de G en 10-3</t>
        </is>
      </c>
      <c r="B39" s="3" t="inlineStr">
        <is>
          <t>L</t>
        </is>
      </c>
      <c r="C39" s="3">
        <f>COUNTIFS('Casillas del horario'!$G$4:$G$73,$A39,'Casillas del horario'!$B$4:$B$73,$B39,'Casillas del horario'!$D$4:$D$73,"&lt;&gt;")</f>
        <v/>
      </c>
    </row>
    <row r="40">
      <c r="A40" s="3" t="inlineStr">
        <is>
          <t>Profesor de G en 10-3</t>
        </is>
      </c>
      <c r="B40" s="3" t="inlineStr">
        <is>
          <t>M</t>
        </is>
      </c>
      <c r="C40" s="3">
        <f>COUNTIFS('Casillas del horario'!$G$4:$G$73,$A40,'Casillas del horario'!$B$4:$B$73,$B40,'Casillas del horario'!$D$4:$D$73,"&lt;&gt;")</f>
        <v/>
      </c>
    </row>
    <row r="41">
      <c r="A41" s="3" t="inlineStr">
        <is>
          <t>Profesor de G en 10-3</t>
        </is>
      </c>
      <c r="B41" s="3" t="inlineStr">
        <is>
          <t>MI</t>
        </is>
      </c>
      <c r="C41" s="3">
        <f>COUNTIFS('Casillas del horario'!$G$4:$G$73,$A41,'Casillas del horario'!$B$4:$B$73,$B41,'Casillas del horario'!$D$4:$D$73,"&lt;&gt;")</f>
        <v/>
      </c>
    </row>
    <row r="42">
      <c r="A42" s="3" t="inlineStr">
        <is>
          <t>Profesor de G en 10-3</t>
        </is>
      </c>
      <c r="B42" s="3" t="inlineStr">
        <is>
          <t>J</t>
        </is>
      </c>
      <c r="C42" s="3">
        <f>COUNTIFS('Casillas del horario'!$G$4:$G$73,$A42,'Casillas del horario'!$B$4:$B$73,$B42,'Casillas del horario'!$D$4:$D$73,"&lt;&gt;")</f>
        <v/>
      </c>
    </row>
    <row r="43">
      <c r="A43" s="3" t="inlineStr">
        <is>
          <t>Profesor de G en 10-3</t>
        </is>
      </c>
      <c r="B43" s="3" t="inlineStr">
        <is>
          <t>V</t>
        </is>
      </c>
      <c r="C43" s="3">
        <f>COUNTIFS('Casillas del horario'!$G$4:$G$73,$A43,'Casillas del horario'!$B$4:$B$73,$B43,'Casillas del horario'!$D$4:$D$73,"&lt;&gt;")</f>
        <v/>
      </c>
    </row>
    <row r="44">
      <c r="A44" s="3" t="inlineStr">
        <is>
          <t>Profesor de INF en 10-3</t>
        </is>
      </c>
      <c r="B44" s="3" t="inlineStr">
        <is>
          <t>L</t>
        </is>
      </c>
      <c r="C44" s="3">
        <f>COUNTIFS('Casillas del horario'!$G$4:$G$73,$A44,'Casillas del horario'!$B$4:$B$73,$B44,'Casillas del horario'!$D$4:$D$73,"&lt;&gt;")</f>
        <v/>
      </c>
    </row>
    <row r="45">
      <c r="A45" s="3" t="inlineStr">
        <is>
          <t>Profesor de INF en 10-3</t>
        </is>
      </c>
      <c r="B45" s="3" t="inlineStr">
        <is>
          <t>M</t>
        </is>
      </c>
      <c r="C45" s="3">
        <f>COUNTIFS('Casillas del horario'!$G$4:$G$73,$A45,'Casillas del horario'!$B$4:$B$73,$B45,'Casillas del horario'!$D$4:$D$73,"&lt;&gt;")</f>
        <v/>
      </c>
    </row>
    <row r="46">
      <c r="A46" s="3" t="inlineStr">
        <is>
          <t>Profesor de INF en 10-3</t>
        </is>
      </c>
      <c r="B46" s="3" t="inlineStr">
        <is>
          <t>MI</t>
        </is>
      </c>
      <c r="C46" s="3">
        <f>COUNTIFS('Casillas del horario'!$G$4:$G$73,$A46,'Casillas del horario'!$B$4:$B$73,$B46,'Casillas del horario'!$D$4:$D$73,"&lt;&gt;")</f>
        <v/>
      </c>
    </row>
    <row r="47">
      <c r="A47" s="3" t="inlineStr">
        <is>
          <t>Profesor de INF en 10-3</t>
        </is>
      </c>
      <c r="B47" s="3" t="inlineStr">
        <is>
          <t>J</t>
        </is>
      </c>
      <c r="C47" s="3">
        <f>COUNTIFS('Casillas del horario'!$G$4:$G$73,$A47,'Casillas del horario'!$B$4:$B$73,$B47,'Casillas del horario'!$D$4:$D$73,"&lt;&gt;")</f>
        <v/>
      </c>
    </row>
    <row r="48">
      <c r="A48" s="3" t="inlineStr">
        <is>
          <t>Profesor de INF en 10-3</t>
        </is>
      </c>
      <c r="B48" s="3" t="inlineStr">
        <is>
          <t>V</t>
        </is>
      </c>
      <c r="C48" s="3">
        <f>COUNTIFS('Casillas del horario'!$G$4:$G$73,$A48,'Casillas del horario'!$B$4:$B$73,$B48,'Casillas del horario'!$D$4:$D$73,"&lt;&gt;")</f>
        <v/>
      </c>
    </row>
    <row r="49">
      <c r="A49" s="3" t="inlineStr">
        <is>
          <t>Profesor de Q en 10-3</t>
        </is>
      </c>
      <c r="B49" s="3" t="inlineStr">
        <is>
          <t>L</t>
        </is>
      </c>
      <c r="C49" s="3">
        <f>COUNTIFS('Casillas del horario'!$G$4:$G$73,$A49,'Casillas del horario'!$B$4:$B$73,$B49,'Casillas del horario'!$D$4:$D$73,"&lt;&gt;")</f>
        <v/>
      </c>
    </row>
    <row r="50">
      <c r="A50" s="3" t="inlineStr">
        <is>
          <t>Profesor de Q en 10-3</t>
        </is>
      </c>
      <c r="B50" s="3" t="inlineStr">
        <is>
          <t>M</t>
        </is>
      </c>
      <c r="C50" s="3">
        <f>COUNTIFS('Casillas del horario'!$G$4:$G$73,$A50,'Casillas del horario'!$B$4:$B$73,$B50,'Casillas del horario'!$D$4:$D$73,"&lt;&gt;")</f>
        <v/>
      </c>
    </row>
    <row r="51">
      <c r="A51" s="3" t="inlineStr">
        <is>
          <t>Profesor de Q en 10-3</t>
        </is>
      </c>
      <c r="B51" s="3" t="inlineStr">
        <is>
          <t>MI</t>
        </is>
      </c>
      <c r="C51" s="3">
        <f>COUNTIFS('Casillas del horario'!$G$4:$G$73,$A51,'Casillas del horario'!$B$4:$B$73,$B51,'Casillas del horario'!$D$4:$D$73,"&lt;&gt;")</f>
        <v/>
      </c>
    </row>
    <row r="52">
      <c r="A52" s="3" t="inlineStr">
        <is>
          <t>Profesor de Q en 10-3</t>
        </is>
      </c>
      <c r="B52" s="3" t="inlineStr">
        <is>
          <t>J</t>
        </is>
      </c>
      <c r="C52" s="3">
        <f>COUNTIFS('Casillas del horario'!$G$4:$G$73,$A52,'Casillas del horario'!$B$4:$B$73,$B52,'Casillas del horario'!$D$4:$D$73,"&lt;&gt;")</f>
        <v/>
      </c>
    </row>
    <row r="53">
      <c r="A53" s="3" t="inlineStr">
        <is>
          <t>Profesor de Q en 10-3</t>
        </is>
      </c>
      <c r="B53" s="3" t="inlineStr">
        <is>
          <t>V</t>
        </is>
      </c>
      <c r="C53" s="3">
        <f>COUNTIFS('Casillas del horario'!$G$4:$G$73,$A53,'Casillas del horario'!$B$4:$B$73,$B53,'Casillas del horario'!$D$4:$D$73,"&lt;&gt;")</f>
        <v/>
      </c>
    </row>
    <row r="54">
      <c r="A54" s="3" t="inlineStr">
        <is>
          <t>Profesor de CP en 10-3</t>
        </is>
      </c>
      <c r="B54" s="3" t="inlineStr">
        <is>
          <t>L</t>
        </is>
      </c>
      <c r="C54" s="3">
        <f>COUNTIFS('Casillas del horario'!$G$4:$G$73,$A54,'Casillas del horario'!$B$4:$B$73,$B54,'Casillas del horario'!$D$4:$D$73,"&lt;&gt;")</f>
        <v/>
      </c>
    </row>
    <row r="55">
      <c r="A55" s="3" t="inlineStr">
        <is>
          <t>Profesor de CP en 10-3</t>
        </is>
      </c>
      <c r="B55" s="3" t="inlineStr">
        <is>
          <t>M</t>
        </is>
      </c>
      <c r="C55" s="3">
        <f>COUNTIFS('Casillas del horario'!$G$4:$G$73,$A55,'Casillas del horario'!$B$4:$B$73,$B55,'Casillas del horario'!$D$4:$D$73,"&lt;&gt;")</f>
        <v/>
      </c>
    </row>
    <row r="56">
      <c r="A56" s="3" t="inlineStr">
        <is>
          <t>Profesor de CP en 10-3</t>
        </is>
      </c>
      <c r="B56" s="3" t="inlineStr">
        <is>
          <t>MI</t>
        </is>
      </c>
      <c r="C56" s="3">
        <f>COUNTIFS('Casillas del horario'!$G$4:$G$73,$A56,'Casillas del horario'!$B$4:$B$73,$B56,'Casillas del horario'!$D$4:$D$73,"&lt;&gt;")</f>
        <v/>
      </c>
    </row>
    <row r="57">
      <c r="A57" s="3" t="inlineStr">
        <is>
          <t>Profesor de CP en 10-3</t>
        </is>
      </c>
      <c r="B57" s="3" t="inlineStr">
        <is>
          <t>J</t>
        </is>
      </c>
      <c r="C57" s="3">
        <f>COUNTIFS('Casillas del horario'!$G$4:$G$73,$A57,'Casillas del horario'!$B$4:$B$73,$B57,'Casillas del horario'!$D$4:$D$73,"&lt;&gt;")</f>
        <v/>
      </c>
    </row>
    <row r="58">
      <c r="A58" s="3" t="inlineStr">
        <is>
          <t>Profesor de CP en 10-3</t>
        </is>
      </c>
      <c r="B58" s="3" t="inlineStr">
        <is>
          <t>V</t>
        </is>
      </c>
      <c r="C58" s="3">
        <f>COUNTIFS('Casillas del horario'!$G$4:$G$73,$A58,'Casillas del horario'!$B$4:$B$73,$B58,'Casillas del horario'!$D$4:$D$73,"&lt;&gt;")</f>
        <v/>
      </c>
    </row>
    <row r="59">
      <c r="A59" s="3" t="inlineStr">
        <is>
          <t>Profesor de DC en 10-3</t>
        </is>
      </c>
      <c r="B59" s="3" t="inlineStr">
        <is>
          <t>L</t>
        </is>
      </c>
      <c r="C59" s="3">
        <f>COUNTIFS('Casillas del horario'!$G$4:$G$73,$A59,'Casillas del horario'!$B$4:$B$73,$B59,'Casillas del horario'!$D$4:$D$73,"&lt;&gt;")</f>
        <v/>
      </c>
    </row>
    <row r="60">
      <c r="A60" s="3" t="inlineStr">
        <is>
          <t>Profesor de DC en 10-3</t>
        </is>
      </c>
      <c r="B60" s="3" t="inlineStr">
        <is>
          <t>M</t>
        </is>
      </c>
      <c r="C60" s="3">
        <f>COUNTIFS('Casillas del horario'!$G$4:$G$73,$A60,'Casillas del horario'!$B$4:$B$73,$B60,'Casillas del horario'!$D$4:$D$73,"&lt;&gt;")</f>
        <v/>
      </c>
    </row>
    <row r="61">
      <c r="A61" s="3" t="inlineStr">
        <is>
          <t>Profesor de DC en 10-3</t>
        </is>
      </c>
      <c r="B61" s="3" t="inlineStr">
        <is>
          <t>MI</t>
        </is>
      </c>
      <c r="C61" s="3">
        <f>COUNTIFS('Casillas del horario'!$G$4:$G$73,$A61,'Casillas del horario'!$B$4:$B$73,$B61,'Casillas del horario'!$D$4:$D$73,"&lt;&gt;")</f>
        <v/>
      </c>
    </row>
    <row r="62">
      <c r="A62" s="3" t="inlineStr">
        <is>
          <t>Profesor de DC en 10-3</t>
        </is>
      </c>
      <c r="B62" s="3" t="inlineStr">
        <is>
          <t>J</t>
        </is>
      </c>
      <c r="C62" s="3">
        <f>COUNTIFS('Casillas del horario'!$G$4:$G$73,$A62,'Casillas del horario'!$B$4:$B$73,$B62,'Casillas del horario'!$D$4:$D$73,"&lt;&gt;")</f>
        <v/>
      </c>
    </row>
    <row r="63">
      <c r="A63" s="3" t="inlineStr">
        <is>
          <t>Profesor de DC en 10-3</t>
        </is>
      </c>
      <c r="B63" s="3" t="inlineStr">
        <is>
          <t>V</t>
        </is>
      </c>
      <c r="C63" s="3">
        <f>COUNTIFS('Casillas del horario'!$G$4:$G$73,$A63,'Casillas del horario'!$B$4:$B$73,$B63,'Casillas del horario'!$D$4:$D$73,"&lt;&gt;")</f>
        <v/>
      </c>
    </row>
    <row r="64">
      <c r="A64" s="3" t="inlineStr">
        <is>
          <t>Profesor de CA en 10-3</t>
        </is>
      </c>
      <c r="B64" s="3" t="inlineStr">
        <is>
          <t>L</t>
        </is>
      </c>
      <c r="C64" s="3">
        <f>COUNTIFS('Casillas del horario'!$G$4:$G$73,$A64,'Casillas del horario'!$B$4:$B$73,$B64,'Casillas del horario'!$D$4:$D$73,"&lt;&gt;")</f>
        <v/>
      </c>
    </row>
    <row r="65">
      <c r="A65" s="3" t="inlineStr">
        <is>
          <t>Profesor de CA en 10-3</t>
        </is>
      </c>
      <c r="B65" s="3" t="inlineStr">
        <is>
          <t>M</t>
        </is>
      </c>
      <c r="C65" s="3">
        <f>COUNTIFS('Casillas del horario'!$G$4:$G$73,$A65,'Casillas del horario'!$B$4:$B$73,$B65,'Casillas del horario'!$D$4:$D$73,"&lt;&gt;")</f>
        <v/>
      </c>
    </row>
    <row r="66">
      <c r="A66" s="3" t="inlineStr">
        <is>
          <t>Profesor de CA en 10-3</t>
        </is>
      </c>
      <c r="B66" s="3" t="inlineStr">
        <is>
          <t>MI</t>
        </is>
      </c>
      <c r="C66" s="3">
        <f>COUNTIFS('Casillas del horario'!$G$4:$G$73,$A66,'Casillas del horario'!$B$4:$B$73,$B66,'Casillas del horario'!$D$4:$D$73,"&lt;&gt;")</f>
        <v/>
      </c>
    </row>
    <row r="67">
      <c r="A67" s="3" t="inlineStr">
        <is>
          <t>Profesor de CA en 10-3</t>
        </is>
      </c>
      <c r="B67" s="3" t="inlineStr">
        <is>
          <t>J</t>
        </is>
      </c>
      <c r="C67" s="3">
        <f>COUNTIFS('Casillas del horario'!$G$4:$G$73,$A67,'Casillas del horario'!$B$4:$B$73,$B67,'Casillas del horario'!$D$4:$D$73,"&lt;&gt;")</f>
        <v/>
      </c>
    </row>
    <row r="68">
      <c r="A68" s="3" t="inlineStr">
        <is>
          <t>Profesor de CA en 10-3</t>
        </is>
      </c>
      <c r="B68" s="3" t="inlineStr">
        <is>
          <t>V</t>
        </is>
      </c>
      <c r="C68" s="3">
        <f>COUNTIFS('Casillas del horario'!$G$4:$G$73,$A68,'Casillas del horario'!$B$4:$B$73,$B68,'Casillas del horario'!$D$4:$D$73,"&lt;&gt;")</f>
        <v/>
      </c>
    </row>
    <row r="69">
      <c r="A69" s="3" t="inlineStr">
        <is>
          <t>Profesor de RD en 10-3</t>
        </is>
      </c>
      <c r="B69" s="3" t="inlineStr">
        <is>
          <t>L</t>
        </is>
      </c>
      <c r="C69" s="3">
        <f>COUNTIFS('Casillas del horario'!$G$4:$G$73,$A69,'Casillas del horario'!$B$4:$B$73,$B69,'Casillas del horario'!$D$4:$D$73,"&lt;&gt;")</f>
        <v/>
      </c>
    </row>
    <row r="70">
      <c r="A70" s="3" t="inlineStr">
        <is>
          <t>Profesor de RD en 10-3</t>
        </is>
      </c>
      <c r="B70" s="3" t="inlineStr">
        <is>
          <t>M</t>
        </is>
      </c>
      <c r="C70" s="3">
        <f>COUNTIFS('Casillas del horario'!$G$4:$G$73,$A70,'Casillas del horario'!$B$4:$B$73,$B70,'Casillas del horario'!$D$4:$D$73,"&lt;&gt;")</f>
        <v/>
      </c>
    </row>
    <row r="71">
      <c r="A71" s="3" t="inlineStr">
        <is>
          <t>Profesor de RD en 10-3</t>
        </is>
      </c>
      <c r="B71" s="3" t="inlineStr">
        <is>
          <t>MI</t>
        </is>
      </c>
      <c r="C71" s="3">
        <f>COUNTIFS('Casillas del horario'!$G$4:$G$73,$A71,'Casillas del horario'!$B$4:$B$73,$B71,'Casillas del horario'!$D$4:$D$73,"&lt;&gt;")</f>
        <v/>
      </c>
    </row>
    <row r="72">
      <c r="A72" s="3" t="inlineStr">
        <is>
          <t>Profesor de RD en 10-3</t>
        </is>
      </c>
      <c r="B72" s="3" t="inlineStr">
        <is>
          <t>J</t>
        </is>
      </c>
      <c r="C72" s="3">
        <f>COUNTIFS('Casillas del horario'!$G$4:$G$73,$A72,'Casillas del horario'!$B$4:$B$73,$B72,'Casillas del horario'!$D$4:$D$73,"&lt;&gt;")</f>
        <v/>
      </c>
    </row>
    <row r="73">
      <c r="A73" s="3" t="inlineStr">
        <is>
          <t>Profesor de RD en 10-3</t>
        </is>
      </c>
      <c r="B73" s="3" t="inlineStr">
        <is>
          <t>V</t>
        </is>
      </c>
      <c r="C73" s="3">
        <f>COUNTIFS('Casillas del horario'!$G$4:$G$73,$A73,'Casillas del horario'!$B$4:$B$73,$B73,'Casillas del horario'!$D$4:$D$73,"&lt;&gt;")</f>
        <v/>
      </c>
    </row>
    <row r="74">
      <c r="A74" s="3" t="inlineStr">
        <is>
          <t>Profesor de AL/AC en 10-3</t>
        </is>
      </c>
      <c r="B74" s="3" t="inlineStr">
        <is>
          <t>L</t>
        </is>
      </c>
      <c r="C74" s="3">
        <f>COUNTIFS('Casillas del horario'!$G$4:$G$73,$A74,'Casillas del horario'!$B$4:$B$73,$B74,'Casillas del horario'!$D$4:$D$73,"&lt;&gt;")</f>
        <v/>
      </c>
    </row>
    <row r="75">
      <c r="A75" s="3" t="inlineStr">
        <is>
          <t>Profesor de AL/AC en 10-3</t>
        </is>
      </c>
      <c r="B75" s="3" t="inlineStr">
        <is>
          <t>M</t>
        </is>
      </c>
      <c r="C75" s="3">
        <f>COUNTIFS('Casillas del horario'!$G$4:$G$73,$A75,'Casillas del horario'!$B$4:$B$73,$B75,'Casillas del horario'!$D$4:$D$73,"&lt;&gt;")</f>
        <v/>
      </c>
    </row>
    <row r="76">
      <c r="A76" s="3" t="inlineStr">
        <is>
          <t>Profesor de AL/AC en 10-3</t>
        </is>
      </c>
      <c r="B76" s="3" t="inlineStr">
        <is>
          <t>MI</t>
        </is>
      </c>
      <c r="C76" s="3">
        <f>COUNTIFS('Casillas del horario'!$G$4:$G$73,$A76,'Casillas del horario'!$B$4:$B$73,$B76,'Casillas del horario'!$D$4:$D$73,"&lt;&gt;")</f>
        <v/>
      </c>
    </row>
    <row r="77">
      <c r="A77" s="3" t="inlineStr">
        <is>
          <t>Profesor de AL/AC en 10-3</t>
        </is>
      </c>
      <c r="B77" s="3" t="inlineStr">
        <is>
          <t>J</t>
        </is>
      </c>
      <c r="C77" s="3">
        <f>COUNTIFS('Casillas del horario'!$G$4:$G$73,$A77,'Casillas del horario'!$B$4:$B$73,$B77,'Casillas del horario'!$D$4:$D$73,"&lt;&gt;")</f>
        <v/>
      </c>
    </row>
    <row r="78">
      <c r="A78" s="3" t="inlineStr">
        <is>
          <t>Profesor de AL/AC en 10-3</t>
        </is>
      </c>
      <c r="B78" s="3" t="inlineStr">
        <is>
          <t>V</t>
        </is>
      </c>
      <c r="C78" s="3">
        <f>COUNTIFS('Casillas del horario'!$G$4:$G$73,$A78,'Casillas del horario'!$B$4:$B$73,$B78,'Casillas del horario'!$D$4:$D$73,"&lt;&gt;")</f>
        <v/>
      </c>
    </row>
    <row r="79">
      <c r="A79" s="3" t="inlineStr">
        <is>
          <t>Profesor de M en 10-4</t>
        </is>
      </c>
      <c r="B79" s="3" t="inlineStr">
        <is>
          <t>L</t>
        </is>
      </c>
      <c r="C79" s="3">
        <f>COUNTIFS('Casillas del horario'!$G$4:$G$73,$A79,'Casillas del horario'!$B$4:$B$73,$B79,'Casillas del horario'!$D$4:$D$73,"&lt;&gt;")</f>
        <v/>
      </c>
    </row>
    <row r="80">
      <c r="A80" s="3" t="inlineStr">
        <is>
          <t>Profesor de M en 10-4</t>
        </is>
      </c>
      <c r="B80" s="3" t="inlineStr">
        <is>
          <t>M</t>
        </is>
      </c>
      <c r="C80" s="3">
        <f>COUNTIFS('Casillas del horario'!$G$4:$G$73,$A80,'Casillas del horario'!$B$4:$B$73,$B80,'Casillas del horario'!$D$4:$D$73,"&lt;&gt;")</f>
        <v/>
      </c>
    </row>
    <row r="81">
      <c r="A81" s="3" t="inlineStr">
        <is>
          <t>Profesor de M en 10-4</t>
        </is>
      </c>
      <c r="B81" s="3" t="inlineStr">
        <is>
          <t>MI</t>
        </is>
      </c>
      <c r="C81" s="3">
        <f>COUNTIFS('Casillas del horario'!$G$4:$G$73,$A81,'Casillas del horario'!$B$4:$B$73,$B81,'Casillas del horario'!$D$4:$D$73,"&lt;&gt;")</f>
        <v/>
      </c>
    </row>
    <row r="82">
      <c r="A82" s="3" t="inlineStr">
        <is>
          <t>Profesor de M en 10-4</t>
        </is>
      </c>
      <c r="B82" s="3" t="inlineStr">
        <is>
          <t>J</t>
        </is>
      </c>
      <c r="C82" s="3">
        <f>COUNTIFS('Casillas del horario'!$G$4:$G$73,$A82,'Casillas del horario'!$B$4:$B$73,$B82,'Casillas del horario'!$D$4:$D$73,"&lt;&gt;")</f>
        <v/>
      </c>
    </row>
    <row r="83">
      <c r="A83" s="3" t="inlineStr">
        <is>
          <t>Profesor de M en 10-4</t>
        </is>
      </c>
      <c r="B83" s="3" t="inlineStr">
        <is>
          <t>V</t>
        </is>
      </c>
      <c r="C83" s="3">
        <f>COUNTIFS('Casillas del horario'!$G$4:$G$73,$A83,'Casillas del horario'!$B$4:$B$73,$B83,'Casillas del horario'!$D$4:$D$73,"&lt;&gt;")</f>
        <v/>
      </c>
    </row>
    <row r="84">
      <c r="A84" s="3" t="inlineStr">
        <is>
          <t>Profesor de Lit-L en 10-4</t>
        </is>
      </c>
      <c r="B84" s="3" t="inlineStr">
        <is>
          <t>L</t>
        </is>
      </c>
      <c r="C84" s="3">
        <f>COUNTIFS('Casillas del horario'!$G$4:$G$73,$A84,'Casillas del horario'!$B$4:$B$73,$B84,'Casillas del horario'!$D$4:$D$73,"&lt;&gt;")</f>
        <v/>
      </c>
    </row>
    <row r="85">
      <c r="A85" s="3" t="inlineStr">
        <is>
          <t>Profesor de Lit-L en 10-4</t>
        </is>
      </c>
      <c r="B85" s="3" t="inlineStr">
        <is>
          <t>M</t>
        </is>
      </c>
      <c r="C85" s="3">
        <f>COUNTIFS('Casillas del horario'!$G$4:$G$73,$A85,'Casillas del horario'!$B$4:$B$73,$B85,'Casillas del horario'!$D$4:$D$73,"&lt;&gt;")</f>
        <v/>
      </c>
    </row>
    <row r="86">
      <c r="A86" s="3" t="inlineStr">
        <is>
          <t>Profesor de Lit-L en 10-4</t>
        </is>
      </c>
      <c r="B86" s="3" t="inlineStr">
        <is>
          <t>MI</t>
        </is>
      </c>
      <c r="C86" s="3">
        <f>COUNTIFS('Casillas del horario'!$G$4:$G$73,$A86,'Casillas del horario'!$B$4:$B$73,$B86,'Casillas del horario'!$D$4:$D$73,"&lt;&gt;")</f>
        <v/>
      </c>
    </row>
    <row r="87">
      <c r="A87" s="3" t="inlineStr">
        <is>
          <t>Profesor de Lit-L en 10-4</t>
        </is>
      </c>
      <c r="B87" s="3" t="inlineStr">
        <is>
          <t>J</t>
        </is>
      </c>
      <c r="C87" s="3">
        <f>COUNTIFS('Casillas del horario'!$G$4:$G$73,$A87,'Casillas del horario'!$B$4:$B$73,$B87,'Casillas del horario'!$D$4:$D$73,"&lt;&gt;")</f>
        <v/>
      </c>
    </row>
    <row r="88">
      <c r="A88" s="3" t="inlineStr">
        <is>
          <t>Profesor de Lit-L en 10-4</t>
        </is>
      </c>
      <c r="B88" s="3" t="inlineStr">
        <is>
          <t>V</t>
        </is>
      </c>
      <c r="C88" s="3">
        <f>COUNTIFS('Casillas del horario'!$G$4:$G$73,$A88,'Casillas del horario'!$B$4:$B$73,$B88,'Casillas del horario'!$D$4:$D$73,"&lt;&gt;")</f>
        <v/>
      </c>
    </row>
    <row r="89">
      <c r="A89" s="3" t="inlineStr">
        <is>
          <t>Profesor de F en 10-4</t>
        </is>
      </c>
      <c r="B89" s="3" t="inlineStr">
        <is>
          <t>L</t>
        </is>
      </c>
      <c r="C89" s="3">
        <f>COUNTIFS('Casillas del horario'!$G$4:$G$73,$A89,'Casillas del horario'!$B$4:$B$73,$B89,'Casillas del horario'!$D$4:$D$73,"&lt;&gt;")</f>
        <v/>
      </c>
    </row>
    <row r="90">
      <c r="A90" s="3" t="inlineStr">
        <is>
          <t>Profesor de F en 10-4</t>
        </is>
      </c>
      <c r="B90" s="3" t="inlineStr">
        <is>
          <t>M</t>
        </is>
      </c>
      <c r="C90" s="3">
        <f>COUNTIFS('Casillas del horario'!$G$4:$G$73,$A90,'Casillas del horario'!$B$4:$B$73,$B90,'Casillas del horario'!$D$4:$D$73,"&lt;&gt;")</f>
        <v/>
      </c>
    </row>
    <row r="91">
      <c r="A91" s="3" t="inlineStr">
        <is>
          <t>Profesor de F en 10-4</t>
        </is>
      </c>
      <c r="B91" s="3" t="inlineStr">
        <is>
          <t>MI</t>
        </is>
      </c>
      <c r="C91" s="3">
        <f>COUNTIFS('Casillas del horario'!$G$4:$G$73,$A91,'Casillas del horario'!$B$4:$B$73,$B91,'Casillas del horario'!$D$4:$D$73,"&lt;&gt;")</f>
        <v/>
      </c>
    </row>
    <row r="92">
      <c r="A92" s="3" t="inlineStr">
        <is>
          <t>Profesor de F en 10-4</t>
        </is>
      </c>
      <c r="B92" s="3" t="inlineStr">
        <is>
          <t>J</t>
        </is>
      </c>
      <c r="C92" s="3">
        <f>COUNTIFS('Casillas del horario'!$G$4:$G$73,$A92,'Casillas del horario'!$B$4:$B$73,$B92,'Casillas del horario'!$D$4:$D$73,"&lt;&gt;")</f>
        <v/>
      </c>
    </row>
    <row r="93">
      <c r="A93" s="3" t="inlineStr">
        <is>
          <t>Profesor de F en 10-4</t>
        </is>
      </c>
      <c r="B93" s="3" t="inlineStr">
        <is>
          <t>V</t>
        </is>
      </c>
      <c r="C93" s="3">
        <f>COUNTIFS('Casillas del horario'!$G$4:$G$73,$A93,'Casillas del horario'!$B$4:$B$73,$B93,'Casillas del horario'!$D$4:$D$73,"&lt;&gt;")</f>
        <v/>
      </c>
    </row>
    <row r="94">
      <c r="A94" s="3" t="inlineStr">
        <is>
          <t>Profesor de I en 10-4</t>
        </is>
      </c>
      <c r="B94" s="3" t="inlineStr">
        <is>
          <t>L</t>
        </is>
      </c>
      <c r="C94" s="3">
        <f>COUNTIFS('Casillas del horario'!$G$4:$G$73,$A94,'Casillas del horario'!$B$4:$B$73,$B94,'Casillas del horario'!$D$4:$D$73,"&lt;&gt;")</f>
        <v/>
      </c>
    </row>
    <row r="95">
      <c r="A95" s="3" t="inlineStr">
        <is>
          <t>Profesor de I en 10-4</t>
        </is>
      </c>
      <c r="B95" s="3" t="inlineStr">
        <is>
          <t>M</t>
        </is>
      </c>
      <c r="C95" s="3">
        <f>COUNTIFS('Casillas del horario'!$G$4:$G$73,$A95,'Casillas del horario'!$B$4:$B$73,$B95,'Casillas del horario'!$D$4:$D$73,"&lt;&gt;")</f>
        <v/>
      </c>
    </row>
    <row r="96">
      <c r="A96" s="3" t="inlineStr">
        <is>
          <t>Profesor de I en 10-4</t>
        </is>
      </c>
      <c r="B96" s="3" t="inlineStr">
        <is>
          <t>MI</t>
        </is>
      </c>
      <c r="C96" s="3">
        <f>COUNTIFS('Casillas del horario'!$G$4:$G$73,$A96,'Casillas del horario'!$B$4:$B$73,$B96,'Casillas del horario'!$D$4:$D$73,"&lt;&gt;")</f>
        <v/>
      </c>
    </row>
    <row r="97">
      <c r="A97" s="3" t="inlineStr">
        <is>
          <t>Profesor de I en 10-4</t>
        </is>
      </c>
      <c r="B97" s="3" t="inlineStr">
        <is>
          <t>J</t>
        </is>
      </c>
      <c r="C97" s="3">
        <f>COUNTIFS('Casillas del horario'!$G$4:$G$73,$A97,'Casillas del horario'!$B$4:$B$73,$B97,'Casillas del horario'!$D$4:$D$73,"&lt;&gt;")</f>
        <v/>
      </c>
    </row>
    <row r="98">
      <c r="A98" s="3" t="inlineStr">
        <is>
          <t>Profesor de I en 10-4</t>
        </is>
      </c>
      <c r="B98" s="3" t="inlineStr">
        <is>
          <t>V</t>
        </is>
      </c>
      <c r="C98" s="3">
        <f>COUNTIFS('Casillas del horario'!$G$4:$G$73,$A98,'Casillas del horario'!$B$4:$B$73,$B98,'Casillas del horario'!$D$4:$D$73,"&lt;&gt;")</f>
        <v/>
      </c>
    </row>
    <row r="99">
      <c r="A99" s="3" t="inlineStr">
        <is>
          <t>Profesor de H en 10-4</t>
        </is>
      </c>
      <c r="B99" s="3" t="inlineStr">
        <is>
          <t>L</t>
        </is>
      </c>
      <c r="C99" s="3">
        <f>COUNTIFS('Casillas del horario'!$G$4:$G$73,$A99,'Casillas del horario'!$B$4:$B$73,$B99,'Casillas del horario'!$D$4:$D$73,"&lt;&gt;")</f>
        <v/>
      </c>
    </row>
    <row r="100">
      <c r="A100" s="3" t="inlineStr">
        <is>
          <t>Profesor de H en 10-4</t>
        </is>
      </c>
      <c r="B100" s="3" t="inlineStr">
        <is>
          <t>M</t>
        </is>
      </c>
      <c r="C100" s="3">
        <f>COUNTIFS('Casillas del horario'!$G$4:$G$73,$A100,'Casillas del horario'!$B$4:$B$73,$B100,'Casillas del horario'!$D$4:$D$73,"&lt;&gt;")</f>
        <v/>
      </c>
    </row>
    <row r="101">
      <c r="A101" s="3" t="inlineStr">
        <is>
          <t>Profesor de H en 10-4</t>
        </is>
      </c>
      <c r="B101" s="3" t="inlineStr">
        <is>
          <t>MI</t>
        </is>
      </c>
      <c r="C101" s="3">
        <f>COUNTIFS('Casillas del horario'!$G$4:$G$73,$A101,'Casillas del horario'!$B$4:$B$73,$B101,'Casillas del horario'!$D$4:$D$73,"&lt;&gt;")</f>
        <v/>
      </c>
    </row>
    <row r="102">
      <c r="A102" s="3" t="inlineStr">
        <is>
          <t>Profesor de H en 10-4</t>
        </is>
      </c>
      <c r="B102" s="3" t="inlineStr">
        <is>
          <t>J</t>
        </is>
      </c>
      <c r="C102" s="3">
        <f>COUNTIFS('Casillas del horario'!$G$4:$G$73,$A102,'Casillas del horario'!$B$4:$B$73,$B102,'Casillas del horario'!$D$4:$D$73,"&lt;&gt;")</f>
        <v/>
      </c>
    </row>
    <row r="103">
      <c r="A103" s="3" t="inlineStr">
        <is>
          <t>Profesor de H en 10-4</t>
        </is>
      </c>
      <c r="B103" s="3" t="inlineStr">
        <is>
          <t>V</t>
        </is>
      </c>
      <c r="C103" s="3">
        <f>COUNTIFS('Casillas del horario'!$G$4:$G$73,$A103,'Casillas del horario'!$B$4:$B$73,$B103,'Casillas del horario'!$D$4:$D$73,"&lt;&gt;")</f>
        <v/>
      </c>
    </row>
    <row r="104">
      <c r="A104" s="3" t="inlineStr">
        <is>
          <t>Profesor de EF en 10-4</t>
        </is>
      </c>
      <c r="B104" s="3" t="inlineStr">
        <is>
          <t>L</t>
        </is>
      </c>
      <c r="C104" s="3">
        <f>COUNTIFS('Casillas del horario'!$G$4:$G$73,$A104,'Casillas del horario'!$B$4:$B$73,$B104,'Casillas del horario'!$D$4:$D$73,"&lt;&gt;")</f>
        <v/>
      </c>
    </row>
    <row r="105">
      <c r="A105" s="3" t="inlineStr">
        <is>
          <t>Profesor de EF en 10-4</t>
        </is>
      </c>
      <c r="B105" s="3" t="inlineStr">
        <is>
          <t>M</t>
        </is>
      </c>
      <c r="C105" s="3">
        <f>COUNTIFS('Casillas del horario'!$G$4:$G$73,$A105,'Casillas del horario'!$B$4:$B$73,$B105,'Casillas del horario'!$D$4:$D$73,"&lt;&gt;")</f>
        <v/>
      </c>
    </row>
    <row r="106">
      <c r="A106" s="3" t="inlineStr">
        <is>
          <t>Profesor de EF en 10-4</t>
        </is>
      </c>
      <c r="B106" s="3" t="inlineStr">
        <is>
          <t>MI</t>
        </is>
      </c>
      <c r="C106" s="3">
        <f>COUNTIFS('Casillas del horario'!$G$4:$G$73,$A106,'Casillas del horario'!$B$4:$B$73,$B106,'Casillas del horario'!$D$4:$D$73,"&lt;&gt;")</f>
        <v/>
      </c>
    </row>
    <row r="107">
      <c r="A107" s="3" t="inlineStr">
        <is>
          <t>Profesor de EF en 10-4</t>
        </is>
      </c>
      <c r="B107" s="3" t="inlineStr">
        <is>
          <t>J</t>
        </is>
      </c>
      <c r="C107" s="3">
        <f>COUNTIFS('Casillas del horario'!$G$4:$G$73,$A107,'Casillas del horario'!$B$4:$B$73,$B107,'Casillas del horario'!$D$4:$D$73,"&lt;&gt;")</f>
        <v/>
      </c>
    </row>
    <row r="108">
      <c r="A108" s="3" t="inlineStr">
        <is>
          <t>Profesor de EF en 10-4</t>
        </is>
      </c>
      <c r="B108" s="3" t="inlineStr">
        <is>
          <t>V</t>
        </is>
      </c>
      <c r="C108" s="3">
        <f>COUNTIFS('Casillas del horario'!$G$4:$G$73,$A108,'Casillas del horario'!$B$4:$B$73,$B108,'Casillas del horario'!$D$4:$D$73,"&lt;&gt;")</f>
        <v/>
      </c>
    </row>
    <row r="109">
      <c r="A109" s="3" t="inlineStr">
        <is>
          <t>Profesor de B en 10-4</t>
        </is>
      </c>
      <c r="B109" s="3" t="inlineStr">
        <is>
          <t>L</t>
        </is>
      </c>
      <c r="C109" s="3">
        <f>COUNTIFS('Casillas del horario'!$G$4:$G$73,$A109,'Casillas del horario'!$B$4:$B$73,$B109,'Casillas del horario'!$D$4:$D$73,"&lt;&gt;")</f>
        <v/>
      </c>
    </row>
    <row r="110">
      <c r="A110" s="3" t="inlineStr">
        <is>
          <t>Profesor de B en 10-4</t>
        </is>
      </c>
      <c r="B110" s="3" t="inlineStr">
        <is>
          <t>M</t>
        </is>
      </c>
      <c r="C110" s="3">
        <f>COUNTIFS('Casillas del horario'!$G$4:$G$73,$A110,'Casillas del horario'!$B$4:$B$73,$B110,'Casillas del horario'!$D$4:$D$73,"&lt;&gt;")</f>
        <v/>
      </c>
    </row>
    <row r="111">
      <c r="A111" s="3" t="inlineStr">
        <is>
          <t>Profesor de B en 10-4</t>
        </is>
      </c>
      <c r="B111" s="3" t="inlineStr">
        <is>
          <t>MI</t>
        </is>
      </c>
      <c r="C111" s="3">
        <f>COUNTIFS('Casillas del horario'!$G$4:$G$73,$A111,'Casillas del horario'!$B$4:$B$73,$B111,'Casillas del horario'!$D$4:$D$73,"&lt;&gt;")</f>
        <v/>
      </c>
    </row>
    <row r="112">
      <c r="A112" s="3" t="inlineStr">
        <is>
          <t>Profesor de B en 10-4</t>
        </is>
      </c>
      <c r="B112" s="3" t="inlineStr">
        <is>
          <t>J</t>
        </is>
      </c>
      <c r="C112" s="3">
        <f>COUNTIFS('Casillas del horario'!$G$4:$G$73,$A112,'Casillas del horario'!$B$4:$B$73,$B112,'Casillas del horario'!$D$4:$D$73,"&lt;&gt;")</f>
        <v/>
      </c>
    </row>
    <row r="113">
      <c r="A113" s="3" t="inlineStr">
        <is>
          <t>Profesor de B en 10-4</t>
        </is>
      </c>
      <c r="B113" s="3" t="inlineStr">
        <is>
          <t>V</t>
        </is>
      </c>
      <c r="C113" s="3">
        <f>COUNTIFS('Casillas del horario'!$G$4:$G$73,$A113,'Casillas del horario'!$B$4:$B$73,$B113,'Casillas del horario'!$D$4:$D$73,"&lt;&gt;")</f>
        <v/>
      </c>
    </row>
    <row r="114">
      <c r="A114" s="3" t="inlineStr">
        <is>
          <t>Profesor de G en 10-4</t>
        </is>
      </c>
      <c r="B114" s="3" t="inlineStr">
        <is>
          <t>L</t>
        </is>
      </c>
      <c r="C114" s="3">
        <f>COUNTIFS('Casillas del horario'!$G$4:$G$73,$A114,'Casillas del horario'!$B$4:$B$73,$B114,'Casillas del horario'!$D$4:$D$73,"&lt;&gt;")</f>
        <v/>
      </c>
    </row>
    <row r="115">
      <c r="A115" s="3" t="inlineStr">
        <is>
          <t>Profesor de G en 10-4</t>
        </is>
      </c>
      <c r="B115" s="3" t="inlineStr">
        <is>
          <t>M</t>
        </is>
      </c>
      <c r="C115" s="3">
        <f>COUNTIFS('Casillas del horario'!$G$4:$G$73,$A115,'Casillas del horario'!$B$4:$B$73,$B115,'Casillas del horario'!$D$4:$D$73,"&lt;&gt;")</f>
        <v/>
      </c>
    </row>
    <row r="116">
      <c r="A116" s="3" t="inlineStr">
        <is>
          <t>Profesor de G en 10-4</t>
        </is>
      </c>
      <c r="B116" s="3" t="inlineStr">
        <is>
          <t>MI</t>
        </is>
      </c>
      <c r="C116" s="3">
        <f>COUNTIFS('Casillas del horario'!$G$4:$G$73,$A116,'Casillas del horario'!$B$4:$B$73,$B116,'Casillas del horario'!$D$4:$D$73,"&lt;&gt;")</f>
        <v/>
      </c>
    </row>
    <row r="117">
      <c r="A117" s="3" t="inlineStr">
        <is>
          <t>Profesor de G en 10-4</t>
        </is>
      </c>
      <c r="B117" s="3" t="inlineStr">
        <is>
          <t>J</t>
        </is>
      </c>
      <c r="C117" s="3">
        <f>COUNTIFS('Casillas del horario'!$G$4:$G$73,$A117,'Casillas del horario'!$B$4:$B$73,$B117,'Casillas del horario'!$D$4:$D$73,"&lt;&gt;")</f>
        <v/>
      </c>
    </row>
    <row r="118">
      <c r="A118" s="3" t="inlineStr">
        <is>
          <t>Profesor de G en 10-4</t>
        </is>
      </c>
      <c r="B118" s="3" t="inlineStr">
        <is>
          <t>V</t>
        </is>
      </c>
      <c r="C118" s="3">
        <f>COUNTIFS('Casillas del horario'!$G$4:$G$73,$A118,'Casillas del horario'!$B$4:$B$73,$B118,'Casillas del horario'!$D$4:$D$73,"&lt;&gt;")</f>
        <v/>
      </c>
    </row>
    <row r="119">
      <c r="A119" s="3" t="inlineStr">
        <is>
          <t>Profesor de INF en 10-4</t>
        </is>
      </c>
      <c r="B119" s="3" t="inlineStr">
        <is>
          <t>L</t>
        </is>
      </c>
      <c r="C119" s="3">
        <f>COUNTIFS('Casillas del horario'!$G$4:$G$73,$A119,'Casillas del horario'!$B$4:$B$73,$B119,'Casillas del horario'!$D$4:$D$73,"&lt;&gt;")</f>
        <v/>
      </c>
    </row>
    <row r="120">
      <c r="A120" s="3" t="inlineStr">
        <is>
          <t>Profesor de INF en 10-4</t>
        </is>
      </c>
      <c r="B120" s="3" t="inlineStr">
        <is>
          <t>M</t>
        </is>
      </c>
      <c r="C120" s="3">
        <f>COUNTIFS('Casillas del horario'!$G$4:$G$73,$A120,'Casillas del horario'!$B$4:$B$73,$B120,'Casillas del horario'!$D$4:$D$73,"&lt;&gt;")</f>
        <v/>
      </c>
    </row>
    <row r="121">
      <c r="A121" s="3" t="inlineStr">
        <is>
          <t>Profesor de INF en 10-4</t>
        </is>
      </c>
      <c r="B121" s="3" t="inlineStr">
        <is>
          <t>MI</t>
        </is>
      </c>
      <c r="C121" s="3">
        <f>COUNTIFS('Casillas del horario'!$G$4:$G$73,$A121,'Casillas del horario'!$B$4:$B$73,$B121,'Casillas del horario'!$D$4:$D$73,"&lt;&gt;")</f>
        <v/>
      </c>
    </row>
    <row r="122">
      <c r="A122" s="3" t="inlineStr">
        <is>
          <t>Profesor de INF en 10-4</t>
        </is>
      </c>
      <c r="B122" s="3" t="inlineStr">
        <is>
          <t>J</t>
        </is>
      </c>
      <c r="C122" s="3">
        <f>COUNTIFS('Casillas del horario'!$G$4:$G$73,$A122,'Casillas del horario'!$B$4:$B$73,$B122,'Casillas del horario'!$D$4:$D$73,"&lt;&gt;")</f>
        <v/>
      </c>
    </row>
    <row r="123">
      <c r="A123" s="3" t="inlineStr">
        <is>
          <t>Profesor de INF en 10-4</t>
        </is>
      </c>
      <c r="B123" s="3" t="inlineStr">
        <is>
          <t>V</t>
        </is>
      </c>
      <c r="C123" s="3">
        <f>COUNTIFS('Casillas del horario'!$G$4:$G$73,$A123,'Casillas del horario'!$B$4:$B$73,$B123,'Casillas del horario'!$D$4:$D$73,"&lt;&gt;")</f>
        <v/>
      </c>
    </row>
    <row r="124">
      <c r="A124" s="3" t="inlineStr">
        <is>
          <t>Profesor de Q en 10-4</t>
        </is>
      </c>
      <c r="B124" s="3" t="inlineStr">
        <is>
          <t>L</t>
        </is>
      </c>
      <c r="C124" s="3">
        <f>COUNTIFS('Casillas del horario'!$G$4:$G$73,$A124,'Casillas del horario'!$B$4:$B$73,$B124,'Casillas del horario'!$D$4:$D$73,"&lt;&gt;")</f>
        <v/>
      </c>
    </row>
    <row r="125">
      <c r="A125" s="3" t="inlineStr">
        <is>
          <t>Profesor de Q en 10-4</t>
        </is>
      </c>
      <c r="B125" s="3" t="inlineStr">
        <is>
          <t>M</t>
        </is>
      </c>
      <c r="C125" s="3">
        <f>COUNTIFS('Casillas del horario'!$G$4:$G$73,$A125,'Casillas del horario'!$B$4:$B$73,$B125,'Casillas del horario'!$D$4:$D$73,"&lt;&gt;")</f>
        <v/>
      </c>
    </row>
    <row r="126">
      <c r="A126" s="3" t="inlineStr">
        <is>
          <t>Profesor de Q en 10-4</t>
        </is>
      </c>
      <c r="B126" s="3" t="inlineStr">
        <is>
          <t>MI</t>
        </is>
      </c>
      <c r="C126" s="3">
        <f>COUNTIFS('Casillas del horario'!$G$4:$G$73,$A126,'Casillas del horario'!$B$4:$B$73,$B126,'Casillas del horario'!$D$4:$D$73,"&lt;&gt;")</f>
        <v/>
      </c>
    </row>
    <row r="127">
      <c r="A127" s="3" t="inlineStr">
        <is>
          <t>Profesor de Q en 10-4</t>
        </is>
      </c>
      <c r="B127" s="3" t="inlineStr">
        <is>
          <t>J</t>
        </is>
      </c>
      <c r="C127" s="3">
        <f>COUNTIFS('Casillas del horario'!$G$4:$G$73,$A127,'Casillas del horario'!$B$4:$B$73,$B127,'Casillas del horario'!$D$4:$D$73,"&lt;&gt;")</f>
        <v/>
      </c>
    </row>
    <row r="128">
      <c r="A128" s="3" t="inlineStr">
        <is>
          <t>Profesor de Q en 10-4</t>
        </is>
      </c>
      <c r="B128" s="3" t="inlineStr">
        <is>
          <t>V</t>
        </is>
      </c>
      <c r="C128" s="3">
        <f>COUNTIFS('Casillas del horario'!$G$4:$G$73,$A128,'Casillas del horario'!$B$4:$B$73,$B128,'Casillas del horario'!$D$4:$D$73,"&lt;&gt;")</f>
        <v/>
      </c>
    </row>
    <row r="129">
      <c r="A129" s="3" t="inlineStr">
        <is>
          <t>Profesor de CP en 10-4</t>
        </is>
      </c>
      <c r="B129" s="3" t="inlineStr">
        <is>
          <t>L</t>
        </is>
      </c>
      <c r="C129" s="3">
        <f>COUNTIFS('Casillas del horario'!$G$4:$G$73,$A129,'Casillas del horario'!$B$4:$B$73,$B129,'Casillas del horario'!$D$4:$D$73,"&lt;&gt;")</f>
        <v/>
      </c>
    </row>
    <row r="130">
      <c r="A130" s="3" t="inlineStr">
        <is>
          <t>Profesor de CP en 10-4</t>
        </is>
      </c>
      <c r="B130" s="3" t="inlineStr">
        <is>
          <t>M</t>
        </is>
      </c>
      <c r="C130" s="3">
        <f>COUNTIFS('Casillas del horario'!$G$4:$G$73,$A130,'Casillas del horario'!$B$4:$B$73,$B130,'Casillas del horario'!$D$4:$D$73,"&lt;&gt;")</f>
        <v/>
      </c>
    </row>
    <row r="131">
      <c r="A131" s="3" t="inlineStr">
        <is>
          <t>Profesor de CP en 10-4</t>
        </is>
      </c>
      <c r="B131" s="3" t="inlineStr">
        <is>
          <t>MI</t>
        </is>
      </c>
      <c r="C131" s="3">
        <f>COUNTIFS('Casillas del horario'!$G$4:$G$73,$A131,'Casillas del horario'!$B$4:$B$73,$B131,'Casillas del horario'!$D$4:$D$73,"&lt;&gt;")</f>
        <v/>
      </c>
    </row>
    <row r="132">
      <c r="A132" s="3" t="inlineStr">
        <is>
          <t>Profesor de CP en 10-4</t>
        </is>
      </c>
      <c r="B132" s="3" t="inlineStr">
        <is>
          <t>J</t>
        </is>
      </c>
      <c r="C132" s="3">
        <f>COUNTIFS('Casillas del horario'!$G$4:$G$73,$A132,'Casillas del horario'!$B$4:$B$73,$B132,'Casillas del horario'!$D$4:$D$73,"&lt;&gt;")</f>
        <v/>
      </c>
    </row>
    <row r="133">
      <c r="A133" s="3" t="inlineStr">
        <is>
          <t>Profesor de CP en 10-4</t>
        </is>
      </c>
      <c r="B133" s="3" t="inlineStr">
        <is>
          <t>V</t>
        </is>
      </c>
      <c r="C133" s="3">
        <f>COUNTIFS('Casillas del horario'!$G$4:$G$73,$A133,'Casillas del horario'!$B$4:$B$73,$B133,'Casillas del horario'!$D$4:$D$73,"&lt;&gt;")</f>
        <v/>
      </c>
    </row>
    <row r="134">
      <c r="A134" s="3" t="inlineStr">
        <is>
          <t>Profesor de DC en 10-4</t>
        </is>
      </c>
      <c r="B134" s="3" t="inlineStr">
        <is>
          <t>L</t>
        </is>
      </c>
      <c r="C134" s="3">
        <f>COUNTIFS('Casillas del horario'!$G$4:$G$73,$A134,'Casillas del horario'!$B$4:$B$73,$B134,'Casillas del horario'!$D$4:$D$73,"&lt;&gt;")</f>
        <v/>
      </c>
    </row>
    <row r="135">
      <c r="A135" s="3" t="inlineStr">
        <is>
          <t>Profesor de DC en 10-4</t>
        </is>
      </c>
      <c r="B135" s="3" t="inlineStr">
        <is>
          <t>M</t>
        </is>
      </c>
      <c r="C135" s="3">
        <f>COUNTIFS('Casillas del horario'!$G$4:$G$73,$A135,'Casillas del horario'!$B$4:$B$73,$B135,'Casillas del horario'!$D$4:$D$73,"&lt;&gt;")</f>
        <v/>
      </c>
    </row>
    <row r="136">
      <c r="A136" s="3" t="inlineStr">
        <is>
          <t>Profesor de DC en 10-4</t>
        </is>
      </c>
      <c r="B136" s="3" t="inlineStr">
        <is>
          <t>MI</t>
        </is>
      </c>
      <c r="C136" s="3">
        <f>COUNTIFS('Casillas del horario'!$G$4:$G$73,$A136,'Casillas del horario'!$B$4:$B$73,$B136,'Casillas del horario'!$D$4:$D$73,"&lt;&gt;")</f>
        <v/>
      </c>
    </row>
    <row r="137">
      <c r="A137" s="3" t="inlineStr">
        <is>
          <t>Profesor de DC en 10-4</t>
        </is>
      </c>
      <c r="B137" s="3" t="inlineStr">
        <is>
          <t>J</t>
        </is>
      </c>
      <c r="C137" s="3">
        <f>COUNTIFS('Casillas del horario'!$G$4:$G$73,$A137,'Casillas del horario'!$B$4:$B$73,$B137,'Casillas del horario'!$D$4:$D$73,"&lt;&gt;")</f>
        <v/>
      </c>
    </row>
    <row r="138">
      <c r="A138" s="3" t="inlineStr">
        <is>
          <t>Profesor de DC en 10-4</t>
        </is>
      </c>
      <c r="B138" s="3" t="inlineStr">
        <is>
          <t>V</t>
        </is>
      </c>
      <c r="C138" s="3">
        <f>COUNTIFS('Casillas del horario'!$G$4:$G$73,$A138,'Casillas del horario'!$B$4:$B$73,$B138,'Casillas del horario'!$D$4:$D$73,"&lt;&gt;")</f>
        <v/>
      </c>
    </row>
    <row r="139">
      <c r="A139" s="3" t="inlineStr">
        <is>
          <t>Profesor de CA en 10-4</t>
        </is>
      </c>
      <c r="B139" s="3" t="inlineStr">
        <is>
          <t>L</t>
        </is>
      </c>
      <c r="C139" s="3">
        <f>COUNTIFS('Casillas del horario'!$G$4:$G$73,$A139,'Casillas del horario'!$B$4:$B$73,$B139,'Casillas del horario'!$D$4:$D$73,"&lt;&gt;")</f>
        <v/>
      </c>
    </row>
    <row r="140">
      <c r="A140" s="3" t="inlineStr">
        <is>
          <t>Profesor de CA en 10-4</t>
        </is>
      </c>
      <c r="B140" s="3" t="inlineStr">
        <is>
          <t>M</t>
        </is>
      </c>
      <c r="C140" s="3">
        <f>COUNTIFS('Casillas del horario'!$G$4:$G$73,$A140,'Casillas del horario'!$B$4:$B$73,$B140,'Casillas del horario'!$D$4:$D$73,"&lt;&gt;")</f>
        <v/>
      </c>
    </row>
    <row r="141">
      <c r="A141" s="3" t="inlineStr">
        <is>
          <t>Profesor de CA en 10-4</t>
        </is>
      </c>
      <c r="B141" s="3" t="inlineStr">
        <is>
          <t>MI</t>
        </is>
      </c>
      <c r="C141" s="3">
        <f>COUNTIFS('Casillas del horario'!$G$4:$G$73,$A141,'Casillas del horario'!$B$4:$B$73,$B141,'Casillas del horario'!$D$4:$D$73,"&lt;&gt;")</f>
        <v/>
      </c>
    </row>
    <row r="142">
      <c r="A142" s="3" t="inlineStr">
        <is>
          <t>Profesor de CA en 10-4</t>
        </is>
      </c>
      <c r="B142" s="3" t="inlineStr">
        <is>
          <t>J</t>
        </is>
      </c>
      <c r="C142" s="3">
        <f>COUNTIFS('Casillas del horario'!$G$4:$G$73,$A142,'Casillas del horario'!$B$4:$B$73,$B142,'Casillas del horario'!$D$4:$D$73,"&lt;&gt;")</f>
        <v/>
      </c>
    </row>
    <row r="143">
      <c r="A143" s="3" t="inlineStr">
        <is>
          <t>Profesor de CA en 10-4</t>
        </is>
      </c>
      <c r="B143" s="3" t="inlineStr">
        <is>
          <t>V</t>
        </is>
      </c>
      <c r="C143" s="3">
        <f>COUNTIFS('Casillas del horario'!$G$4:$G$73,$A143,'Casillas del horario'!$B$4:$B$73,$B143,'Casillas del horario'!$D$4:$D$73,"&lt;&gt;")</f>
        <v/>
      </c>
    </row>
    <row r="144">
      <c r="A144" s="3" t="inlineStr">
        <is>
          <t>Profesor de RD en 10-4</t>
        </is>
      </c>
      <c r="B144" s="3" t="inlineStr">
        <is>
          <t>L</t>
        </is>
      </c>
      <c r="C144" s="3">
        <f>COUNTIFS('Casillas del horario'!$G$4:$G$73,$A144,'Casillas del horario'!$B$4:$B$73,$B144,'Casillas del horario'!$D$4:$D$73,"&lt;&gt;")</f>
        <v/>
      </c>
    </row>
    <row r="145">
      <c r="A145" s="3" t="inlineStr">
        <is>
          <t>Profesor de RD en 10-4</t>
        </is>
      </c>
      <c r="B145" s="3" t="inlineStr">
        <is>
          <t>M</t>
        </is>
      </c>
      <c r="C145" s="3">
        <f>COUNTIFS('Casillas del horario'!$G$4:$G$73,$A145,'Casillas del horario'!$B$4:$B$73,$B145,'Casillas del horario'!$D$4:$D$73,"&lt;&gt;")</f>
        <v/>
      </c>
    </row>
    <row r="146">
      <c r="A146" s="3" t="inlineStr">
        <is>
          <t>Profesor de RD en 10-4</t>
        </is>
      </c>
      <c r="B146" s="3" t="inlineStr">
        <is>
          <t>MI</t>
        </is>
      </c>
      <c r="C146" s="3">
        <f>COUNTIFS('Casillas del horario'!$G$4:$G$73,$A146,'Casillas del horario'!$B$4:$B$73,$B146,'Casillas del horario'!$D$4:$D$73,"&lt;&gt;")</f>
        <v/>
      </c>
    </row>
    <row r="147">
      <c r="A147" s="3" t="inlineStr">
        <is>
          <t>Profesor de RD en 10-4</t>
        </is>
      </c>
      <c r="B147" s="3" t="inlineStr">
        <is>
          <t>J</t>
        </is>
      </c>
      <c r="C147" s="3">
        <f>COUNTIFS('Casillas del horario'!$G$4:$G$73,$A147,'Casillas del horario'!$B$4:$B$73,$B147,'Casillas del horario'!$D$4:$D$73,"&lt;&gt;")</f>
        <v/>
      </c>
    </row>
    <row r="148">
      <c r="A148" s="3" t="inlineStr">
        <is>
          <t>Profesor de RD en 10-4</t>
        </is>
      </c>
      <c r="B148" s="3" t="inlineStr">
        <is>
          <t>V</t>
        </is>
      </c>
      <c r="C148" s="3">
        <f>COUNTIFS('Casillas del horario'!$G$4:$G$73,$A148,'Casillas del horario'!$B$4:$B$73,$B148,'Casillas del horario'!$D$4:$D$73,"&lt;&gt;")</f>
        <v/>
      </c>
    </row>
    <row r="149">
      <c r="A149" s="3" t="inlineStr">
        <is>
          <t>Profesor de AL/AC en 10-4</t>
        </is>
      </c>
      <c r="B149" s="3" t="inlineStr">
        <is>
          <t>L</t>
        </is>
      </c>
      <c r="C149" s="3">
        <f>COUNTIFS('Casillas del horario'!$G$4:$G$73,$A149,'Casillas del horario'!$B$4:$B$73,$B149,'Casillas del horario'!$D$4:$D$73,"&lt;&gt;")</f>
        <v/>
      </c>
    </row>
    <row r="150">
      <c r="A150" s="3" t="inlineStr">
        <is>
          <t>Profesor de AL/AC en 10-4</t>
        </is>
      </c>
      <c r="B150" s="3" t="inlineStr">
        <is>
          <t>M</t>
        </is>
      </c>
      <c r="C150" s="3">
        <f>COUNTIFS('Casillas del horario'!$G$4:$G$73,$A150,'Casillas del horario'!$B$4:$B$73,$B150,'Casillas del horario'!$D$4:$D$73,"&lt;&gt;")</f>
        <v/>
      </c>
    </row>
    <row r="151">
      <c r="A151" s="3" t="inlineStr">
        <is>
          <t>Profesor de AL/AC en 10-4</t>
        </is>
      </c>
      <c r="B151" s="3" t="inlineStr">
        <is>
          <t>MI</t>
        </is>
      </c>
      <c r="C151" s="3">
        <f>COUNTIFS('Casillas del horario'!$G$4:$G$73,$A151,'Casillas del horario'!$B$4:$B$73,$B151,'Casillas del horario'!$D$4:$D$73,"&lt;&gt;")</f>
        <v/>
      </c>
    </row>
    <row r="152">
      <c r="A152" s="3" t="inlineStr">
        <is>
          <t>Profesor de AL/AC en 10-4</t>
        </is>
      </c>
      <c r="B152" s="3" t="inlineStr">
        <is>
          <t>J</t>
        </is>
      </c>
      <c r="C152" s="3">
        <f>COUNTIFS('Casillas del horario'!$G$4:$G$73,$A152,'Casillas del horario'!$B$4:$B$73,$B152,'Casillas del horario'!$D$4:$D$73,"&lt;&gt;")</f>
        <v/>
      </c>
    </row>
    <row r="153">
      <c r="A153" s="3" t="inlineStr">
        <is>
          <t>Profesor de AL/AC en 10-4</t>
        </is>
      </c>
      <c r="B153" s="3" t="inlineStr">
        <is>
          <t>V</t>
        </is>
      </c>
      <c r="C153" s="3">
        <f>COUNTIFS('Casillas del horario'!$G$4:$G$73,$A153,'Casillas del horario'!$B$4:$B$73,$B153,'Casillas del horario'!$D$4:$D$73,"&lt;&gt;")</f>
        <v/>
      </c>
    </row>
    <row r="155">
      <c r="A155" s="5" t="inlineStr">
        <is>
          <t>Leyenda</t>
        </is>
      </c>
    </row>
    <row r="156">
      <c r="A156" s="7" t="n"/>
      <c r="B156" t="inlineStr">
        <is>
          <t>pasa del tope diario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conditionalFormatting sqref="C4:C153">
    <cfRule type="expression" priority="1" dxfId="1" stopIfTrue="0">
      <formula>($C4&gt;3)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2026-10-13T20:04:01Z</dcterms:created>
  <dcterms:modified xmlns:dcterms="http://purl.org/dc/terms/" xmlns:xsi="http://www.w3.org/2001/XMLSchema-instance" xsi:type="dcterms:W3CDTF">2026-10-13T20:04:01Z</dcterms:modified>
</cp:coreProperties>
</file>