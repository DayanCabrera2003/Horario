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aciones" sheetId="1" state="visible" r:id="rId1"/>
    <sheet xmlns:r="http://schemas.openxmlformats.org/officeDocument/2006/relationships" name="Tesis" sheetId="2" state="visible" r:id="rId2"/>
  </sheets>
  <definedNames>
    <definedName name="Citaciones">OFFSET(Citaciones!$A$4,0,0,COUNTA(Citaciones!$A$4:$A$27),8)</definedName>
    <definedName name="Tesis">Tesis!$A$4:$E$7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8" customWidth="1" min="4" max="4"/>
    <col width="42" customWidth="1" min="5" max="5"/>
    <col width="42" customWidth="1" min="6" max="6"/>
    <col width="42" customWidth="1" min="7" max="7"/>
    <col width="42" customWidth="1" min="8" max="8"/>
  </cols>
  <sheetData>
    <row r="1">
      <c r="A1" s="1" t="inlineStr">
        <is>
          <t>Citaciones</t>
        </is>
      </c>
    </row>
    <row r="3">
      <c r="A3" s="2" t="inlineStr">
        <is>
          <t>Dia</t>
        </is>
      </c>
      <c r="B3" s="2" t="inlineStr">
        <is>
          <t>Momento</t>
        </is>
      </c>
      <c r="C3" s="2" t="inlineStr">
        <is>
          <t>Local</t>
        </is>
      </c>
      <c r="D3" s="2" t="inlineStr">
        <is>
          <t>Estudiante</t>
        </is>
      </c>
      <c r="E3" s="2" t="inlineStr">
        <is>
          <t>Tutor</t>
        </is>
      </c>
      <c r="F3" s="2" t="inlineStr">
        <is>
          <t>Oponente</t>
        </is>
      </c>
      <c r="G3" s="2" t="inlineStr">
        <is>
          <t>Presidente</t>
        </is>
      </c>
      <c r="H3" s="2" t="inlineStr">
        <is>
          <t>Secretario</t>
        </is>
      </c>
    </row>
    <row r="4">
      <c r="A4" s="3" t="inlineStr">
        <is>
          <t>lunes</t>
        </is>
      </c>
      <c r="B4" s="3" t="inlineStr">
        <is>
          <t>09:00</t>
        </is>
      </c>
      <c r="C4" s="3" t="inlineStr">
        <is>
          <t>Postgrado</t>
        </is>
      </c>
      <c r="D4" s="4" t="inlineStr">
        <is>
          <t>Juan Perez</t>
        </is>
      </c>
      <c r="E4" s="3">
        <f>IF($A4="","",IFERROR(VLOOKUP($D4,Tesis!$A$4:$E$7,2,FALSE),""))</f>
        <v/>
      </c>
      <c r="F4" s="3">
        <f>IF($A4="","",IFERROR(VLOOKUP($D4,Tesis!$A$4:$E$7,3,FALSE),""))</f>
        <v/>
      </c>
      <c r="G4" s="3">
        <f>IF($A4="","",IFERROR(VLOOKUP($D4,Tesis!$A$4:$E$7,4,FALSE),""))</f>
        <v/>
      </c>
      <c r="H4" s="3">
        <f>IF($A4="","",IFERROR(VLOOKUP($D4,Tesis!$A$4:$E$7,5,FALSE),""))</f>
        <v/>
      </c>
    </row>
    <row r="5">
      <c r="A5" s="3" t="inlineStr">
        <is>
          <t>lunes</t>
        </is>
      </c>
      <c r="B5" s="3" t="inlineStr">
        <is>
          <t>09:00</t>
        </is>
      </c>
      <c r="C5" s="3" t="inlineStr">
        <is>
          <t>Decanato</t>
        </is>
      </c>
      <c r="D5" s="4" t="inlineStr">
        <is>
          <t>Laura Fernandez</t>
        </is>
      </c>
      <c r="E5" s="3">
        <f>IF($A5="","",IFERROR(VLOOKUP($D5,Tesis!$A$4:$E$7,2,FALSE),""))</f>
        <v/>
      </c>
      <c r="F5" s="3">
        <f>IF($A5="","",IFERROR(VLOOKUP($D5,Tesis!$A$4:$E$7,3,FALSE),""))</f>
        <v/>
      </c>
      <c r="G5" s="3">
        <f>IF($A5="","",IFERROR(VLOOKUP($D5,Tesis!$A$4:$E$7,4,FALSE),""))</f>
        <v/>
      </c>
      <c r="H5" s="3">
        <f>IF($A5="","",IFERROR(VLOOKUP($D5,Tesis!$A$4:$E$7,5,FALSE),""))</f>
        <v/>
      </c>
    </row>
    <row r="6">
      <c r="A6" s="3" t="inlineStr">
        <is>
          <t>lunes</t>
        </is>
      </c>
      <c r="B6" s="3" t="inlineStr">
        <is>
          <t>10:00</t>
        </is>
      </c>
      <c r="C6" s="3" t="inlineStr">
        <is>
          <t>Postgrado</t>
        </is>
      </c>
      <c r="D6" s="4" t="inlineStr">
        <is>
          <t>Mario Gomez</t>
        </is>
      </c>
      <c r="E6" s="3">
        <f>IF($A6="","",IFERROR(VLOOKUP($D6,Tesis!$A$4:$E$7,2,FALSE),""))</f>
        <v/>
      </c>
      <c r="F6" s="3">
        <f>IF($A6="","",IFERROR(VLOOKUP($D6,Tesis!$A$4:$E$7,3,FALSE),""))</f>
        <v/>
      </c>
      <c r="G6" s="3">
        <f>IF($A6="","",IFERROR(VLOOKUP($D6,Tesis!$A$4:$E$7,4,FALSE),""))</f>
        <v/>
      </c>
      <c r="H6" s="3">
        <f>IF($A6="","",IFERROR(VLOOKUP($D6,Tesis!$A$4:$E$7,5,FALSE),""))</f>
        <v/>
      </c>
    </row>
    <row r="7">
      <c r="A7" s="3" t="inlineStr">
        <is>
          <t>lunes</t>
        </is>
      </c>
      <c r="B7" s="3" t="inlineStr">
        <is>
          <t>10:00</t>
        </is>
      </c>
      <c r="C7" s="3" t="inlineStr">
        <is>
          <t>Decanato</t>
        </is>
      </c>
      <c r="D7" s="4" t="n"/>
      <c r="E7" s="3">
        <f>IF($A7="","",IFERROR(VLOOKUP($D7,Tesis!$A$4:$E$7,2,FALSE),""))</f>
        <v/>
      </c>
      <c r="F7" s="3">
        <f>IF($A7="","",IFERROR(VLOOKUP($D7,Tesis!$A$4:$E$7,3,FALSE),""))</f>
        <v/>
      </c>
      <c r="G7" s="3">
        <f>IF($A7="","",IFERROR(VLOOKUP($D7,Tesis!$A$4:$E$7,4,FALSE),""))</f>
        <v/>
      </c>
      <c r="H7" s="3">
        <f>IF($A7="","",IFERROR(VLOOKUP($D7,Tesis!$A$4:$E$7,5,FALSE),""))</f>
        <v/>
      </c>
    </row>
    <row r="8">
      <c r="A8" s="3" t="n"/>
      <c r="B8" s="3" t="n"/>
      <c r="C8" s="3" t="n"/>
      <c r="D8" s="4" t="n"/>
      <c r="E8" s="3">
        <f>IF($A8="","",IFERROR(VLOOKUP($D8,Tesis!$A$4:$E$7,2,FALSE),""))</f>
        <v/>
      </c>
      <c r="F8" s="3">
        <f>IF($A8="","",IFERROR(VLOOKUP($D8,Tesis!$A$4:$E$7,3,FALSE),""))</f>
        <v/>
      </c>
      <c r="G8" s="3">
        <f>IF($A8="","",IFERROR(VLOOKUP($D8,Tesis!$A$4:$E$7,4,FALSE),""))</f>
        <v/>
      </c>
      <c r="H8" s="3">
        <f>IF($A8="","",IFERROR(VLOOKUP($D8,Tesis!$A$4:$E$7,5,FALSE),""))</f>
        <v/>
      </c>
    </row>
    <row r="9">
      <c r="A9" s="3" t="n"/>
      <c r="B9" s="3" t="n"/>
      <c r="C9" s="3" t="n"/>
      <c r="D9" s="4" t="n"/>
      <c r="E9" s="3">
        <f>IF($A9="","",IFERROR(VLOOKUP($D9,Tesis!$A$4:$E$7,2,FALSE),""))</f>
        <v/>
      </c>
      <c r="F9" s="3">
        <f>IF($A9="","",IFERROR(VLOOKUP($D9,Tesis!$A$4:$E$7,3,FALSE),""))</f>
        <v/>
      </c>
      <c r="G9" s="3">
        <f>IF($A9="","",IFERROR(VLOOKUP($D9,Tesis!$A$4:$E$7,4,FALSE),""))</f>
        <v/>
      </c>
      <c r="H9" s="3">
        <f>IF($A9="","",IFERROR(VLOOKUP($D9,Tesis!$A$4:$E$7,5,FALSE),""))</f>
        <v/>
      </c>
    </row>
    <row r="10">
      <c r="A10" s="3" t="n"/>
      <c r="B10" s="3" t="n"/>
      <c r="C10" s="3" t="n"/>
      <c r="D10" s="4" t="n"/>
      <c r="E10" s="3">
        <f>IF($A10="","",IFERROR(VLOOKUP($D10,Tesis!$A$4:$E$7,2,FALSE),""))</f>
        <v/>
      </c>
      <c r="F10" s="3">
        <f>IF($A10="","",IFERROR(VLOOKUP($D10,Tesis!$A$4:$E$7,3,FALSE),""))</f>
        <v/>
      </c>
      <c r="G10" s="3">
        <f>IF($A10="","",IFERROR(VLOOKUP($D10,Tesis!$A$4:$E$7,4,FALSE),""))</f>
        <v/>
      </c>
      <c r="H10" s="3">
        <f>IF($A10="","",IFERROR(VLOOKUP($D10,Tesis!$A$4:$E$7,5,FALSE),""))</f>
        <v/>
      </c>
    </row>
    <row r="11">
      <c r="A11" s="3" t="n"/>
      <c r="B11" s="3" t="n"/>
      <c r="C11" s="3" t="n"/>
      <c r="D11" s="4" t="n"/>
      <c r="E11" s="3">
        <f>IF($A11="","",IFERROR(VLOOKUP($D11,Tesis!$A$4:$E$7,2,FALSE),""))</f>
        <v/>
      </c>
      <c r="F11" s="3">
        <f>IF($A11="","",IFERROR(VLOOKUP($D11,Tesis!$A$4:$E$7,3,FALSE),""))</f>
        <v/>
      </c>
      <c r="G11" s="3">
        <f>IF($A11="","",IFERROR(VLOOKUP($D11,Tesis!$A$4:$E$7,4,FALSE),""))</f>
        <v/>
      </c>
      <c r="H11" s="3">
        <f>IF($A11="","",IFERROR(VLOOKUP($D11,Tesis!$A$4:$E$7,5,FALSE),""))</f>
        <v/>
      </c>
    </row>
    <row r="12">
      <c r="A12" s="3" t="n"/>
      <c r="B12" s="3" t="n"/>
      <c r="C12" s="3" t="n"/>
      <c r="D12" s="4" t="n"/>
      <c r="E12" s="3">
        <f>IF($A12="","",IFERROR(VLOOKUP($D12,Tesis!$A$4:$E$7,2,FALSE),""))</f>
        <v/>
      </c>
      <c r="F12" s="3">
        <f>IF($A12="","",IFERROR(VLOOKUP($D12,Tesis!$A$4:$E$7,3,FALSE),""))</f>
        <v/>
      </c>
      <c r="G12" s="3">
        <f>IF($A12="","",IFERROR(VLOOKUP($D12,Tesis!$A$4:$E$7,4,FALSE),""))</f>
        <v/>
      </c>
      <c r="H12" s="3">
        <f>IF($A12="","",IFERROR(VLOOKUP($D12,Tesis!$A$4:$E$7,5,FALSE),""))</f>
        <v/>
      </c>
    </row>
    <row r="13">
      <c r="A13" s="3" t="n"/>
      <c r="B13" s="3" t="n"/>
      <c r="C13" s="3" t="n"/>
      <c r="D13" s="4" t="n"/>
      <c r="E13" s="3">
        <f>IF($A13="","",IFERROR(VLOOKUP($D13,Tesis!$A$4:$E$7,2,FALSE),""))</f>
        <v/>
      </c>
      <c r="F13" s="3">
        <f>IF($A13="","",IFERROR(VLOOKUP($D13,Tesis!$A$4:$E$7,3,FALSE),""))</f>
        <v/>
      </c>
      <c r="G13" s="3">
        <f>IF($A13="","",IFERROR(VLOOKUP($D13,Tesis!$A$4:$E$7,4,FALSE),""))</f>
        <v/>
      </c>
      <c r="H13" s="3">
        <f>IF($A13="","",IFERROR(VLOOKUP($D13,Tesis!$A$4:$E$7,5,FALSE),""))</f>
        <v/>
      </c>
    </row>
    <row r="14">
      <c r="A14" s="3" t="n"/>
      <c r="B14" s="3" t="n"/>
      <c r="C14" s="3" t="n"/>
      <c r="D14" s="4" t="n"/>
      <c r="E14" s="3">
        <f>IF($A14="","",IFERROR(VLOOKUP($D14,Tesis!$A$4:$E$7,2,FALSE),""))</f>
        <v/>
      </c>
      <c r="F14" s="3">
        <f>IF($A14="","",IFERROR(VLOOKUP($D14,Tesis!$A$4:$E$7,3,FALSE),""))</f>
        <v/>
      </c>
      <c r="G14" s="3">
        <f>IF($A14="","",IFERROR(VLOOKUP($D14,Tesis!$A$4:$E$7,4,FALSE),""))</f>
        <v/>
      </c>
      <c r="H14" s="3">
        <f>IF($A14="","",IFERROR(VLOOKUP($D14,Tesis!$A$4:$E$7,5,FALSE),""))</f>
        <v/>
      </c>
    </row>
    <row r="15">
      <c r="A15" s="3" t="n"/>
      <c r="B15" s="3" t="n"/>
      <c r="C15" s="3" t="n"/>
      <c r="D15" s="4" t="n"/>
      <c r="E15" s="3">
        <f>IF($A15="","",IFERROR(VLOOKUP($D15,Tesis!$A$4:$E$7,2,FALSE),""))</f>
        <v/>
      </c>
      <c r="F15" s="3">
        <f>IF($A15="","",IFERROR(VLOOKUP($D15,Tesis!$A$4:$E$7,3,FALSE),""))</f>
        <v/>
      </c>
      <c r="G15" s="3">
        <f>IF($A15="","",IFERROR(VLOOKUP($D15,Tesis!$A$4:$E$7,4,FALSE),""))</f>
        <v/>
      </c>
      <c r="H15" s="3">
        <f>IF($A15="","",IFERROR(VLOOKUP($D15,Tesis!$A$4:$E$7,5,FALSE),""))</f>
        <v/>
      </c>
    </row>
    <row r="16">
      <c r="A16" s="3" t="n"/>
      <c r="B16" s="3" t="n"/>
      <c r="C16" s="3" t="n"/>
      <c r="D16" s="4" t="n"/>
      <c r="E16" s="3">
        <f>IF($A16="","",IFERROR(VLOOKUP($D16,Tesis!$A$4:$E$7,2,FALSE),""))</f>
        <v/>
      </c>
      <c r="F16" s="3">
        <f>IF($A16="","",IFERROR(VLOOKUP($D16,Tesis!$A$4:$E$7,3,FALSE),""))</f>
        <v/>
      </c>
      <c r="G16" s="3">
        <f>IF($A16="","",IFERROR(VLOOKUP($D16,Tesis!$A$4:$E$7,4,FALSE),""))</f>
        <v/>
      </c>
      <c r="H16" s="3">
        <f>IF($A16="","",IFERROR(VLOOKUP($D16,Tesis!$A$4:$E$7,5,FALSE),""))</f>
        <v/>
      </c>
    </row>
    <row r="17">
      <c r="A17" s="3" t="n"/>
      <c r="B17" s="3" t="n"/>
      <c r="C17" s="3" t="n"/>
      <c r="D17" s="4" t="n"/>
      <c r="E17" s="3">
        <f>IF($A17="","",IFERROR(VLOOKUP($D17,Tesis!$A$4:$E$7,2,FALSE),""))</f>
        <v/>
      </c>
      <c r="F17" s="3">
        <f>IF($A17="","",IFERROR(VLOOKUP($D17,Tesis!$A$4:$E$7,3,FALSE),""))</f>
        <v/>
      </c>
      <c r="G17" s="3">
        <f>IF($A17="","",IFERROR(VLOOKUP($D17,Tesis!$A$4:$E$7,4,FALSE),""))</f>
        <v/>
      </c>
      <c r="H17" s="3">
        <f>IF($A17="","",IFERROR(VLOOKUP($D17,Tesis!$A$4:$E$7,5,FALSE),""))</f>
        <v/>
      </c>
    </row>
    <row r="18">
      <c r="A18" s="3" t="n"/>
      <c r="B18" s="3" t="n"/>
      <c r="C18" s="3" t="n"/>
      <c r="D18" s="4" t="n"/>
      <c r="E18" s="3">
        <f>IF($A18="","",IFERROR(VLOOKUP($D18,Tesis!$A$4:$E$7,2,FALSE),""))</f>
        <v/>
      </c>
      <c r="F18" s="3">
        <f>IF($A18="","",IFERROR(VLOOKUP($D18,Tesis!$A$4:$E$7,3,FALSE),""))</f>
        <v/>
      </c>
      <c r="G18" s="3">
        <f>IF($A18="","",IFERROR(VLOOKUP($D18,Tesis!$A$4:$E$7,4,FALSE),""))</f>
        <v/>
      </c>
      <c r="H18" s="3">
        <f>IF($A18="","",IFERROR(VLOOKUP($D18,Tesis!$A$4:$E$7,5,FALSE),""))</f>
        <v/>
      </c>
    </row>
    <row r="19">
      <c r="A19" s="3" t="n"/>
      <c r="B19" s="3" t="n"/>
      <c r="C19" s="3" t="n"/>
      <c r="D19" s="4" t="n"/>
      <c r="E19" s="3">
        <f>IF($A19="","",IFERROR(VLOOKUP($D19,Tesis!$A$4:$E$7,2,FALSE),""))</f>
        <v/>
      </c>
      <c r="F19" s="3">
        <f>IF($A19="","",IFERROR(VLOOKUP($D19,Tesis!$A$4:$E$7,3,FALSE),""))</f>
        <v/>
      </c>
      <c r="G19" s="3">
        <f>IF($A19="","",IFERROR(VLOOKUP($D19,Tesis!$A$4:$E$7,4,FALSE),""))</f>
        <v/>
      </c>
      <c r="H19" s="3">
        <f>IF($A19="","",IFERROR(VLOOKUP($D19,Tesis!$A$4:$E$7,5,FALSE),""))</f>
        <v/>
      </c>
    </row>
    <row r="20">
      <c r="A20" s="3" t="n"/>
      <c r="B20" s="3" t="n"/>
      <c r="C20" s="3" t="n"/>
      <c r="D20" s="4" t="n"/>
      <c r="E20" s="3">
        <f>IF($A20="","",IFERROR(VLOOKUP($D20,Tesis!$A$4:$E$7,2,FALSE),""))</f>
        <v/>
      </c>
      <c r="F20" s="3">
        <f>IF($A20="","",IFERROR(VLOOKUP($D20,Tesis!$A$4:$E$7,3,FALSE),""))</f>
        <v/>
      </c>
      <c r="G20" s="3">
        <f>IF($A20="","",IFERROR(VLOOKUP($D20,Tesis!$A$4:$E$7,4,FALSE),""))</f>
        <v/>
      </c>
      <c r="H20" s="3">
        <f>IF($A20="","",IFERROR(VLOOKUP($D20,Tesis!$A$4:$E$7,5,FALSE),""))</f>
        <v/>
      </c>
    </row>
    <row r="21">
      <c r="A21" s="3" t="n"/>
      <c r="B21" s="3" t="n"/>
      <c r="C21" s="3" t="n"/>
      <c r="D21" s="4" t="n"/>
      <c r="E21" s="3">
        <f>IF($A21="","",IFERROR(VLOOKUP($D21,Tesis!$A$4:$E$7,2,FALSE),""))</f>
        <v/>
      </c>
      <c r="F21" s="3">
        <f>IF($A21="","",IFERROR(VLOOKUP($D21,Tesis!$A$4:$E$7,3,FALSE),""))</f>
        <v/>
      </c>
      <c r="G21" s="3">
        <f>IF($A21="","",IFERROR(VLOOKUP($D21,Tesis!$A$4:$E$7,4,FALSE),""))</f>
        <v/>
      </c>
      <c r="H21" s="3">
        <f>IF($A21="","",IFERROR(VLOOKUP($D21,Tesis!$A$4:$E$7,5,FALSE),""))</f>
        <v/>
      </c>
    </row>
    <row r="22">
      <c r="A22" s="3" t="n"/>
      <c r="B22" s="3" t="n"/>
      <c r="C22" s="3" t="n"/>
      <c r="D22" s="4" t="n"/>
      <c r="E22" s="3">
        <f>IF($A22="","",IFERROR(VLOOKUP($D22,Tesis!$A$4:$E$7,2,FALSE),""))</f>
        <v/>
      </c>
      <c r="F22" s="3">
        <f>IF($A22="","",IFERROR(VLOOKUP($D22,Tesis!$A$4:$E$7,3,FALSE),""))</f>
        <v/>
      </c>
      <c r="G22" s="3">
        <f>IF($A22="","",IFERROR(VLOOKUP($D22,Tesis!$A$4:$E$7,4,FALSE),""))</f>
        <v/>
      </c>
      <c r="H22" s="3">
        <f>IF($A22="","",IFERROR(VLOOKUP($D22,Tesis!$A$4:$E$7,5,FALSE),""))</f>
        <v/>
      </c>
    </row>
    <row r="23">
      <c r="A23" s="3" t="n"/>
      <c r="B23" s="3" t="n"/>
      <c r="C23" s="3" t="n"/>
      <c r="D23" s="4" t="n"/>
      <c r="E23" s="3">
        <f>IF($A23="","",IFERROR(VLOOKUP($D23,Tesis!$A$4:$E$7,2,FALSE),""))</f>
        <v/>
      </c>
      <c r="F23" s="3">
        <f>IF($A23="","",IFERROR(VLOOKUP($D23,Tesis!$A$4:$E$7,3,FALSE),""))</f>
        <v/>
      </c>
      <c r="G23" s="3">
        <f>IF($A23="","",IFERROR(VLOOKUP($D23,Tesis!$A$4:$E$7,4,FALSE),""))</f>
        <v/>
      </c>
      <c r="H23" s="3">
        <f>IF($A23="","",IFERROR(VLOOKUP($D23,Tesis!$A$4:$E$7,5,FALSE),""))</f>
        <v/>
      </c>
    </row>
    <row r="24">
      <c r="A24" s="3" t="n"/>
      <c r="B24" s="3" t="n"/>
      <c r="C24" s="3" t="n"/>
      <c r="D24" s="4" t="n"/>
      <c r="E24" s="3">
        <f>IF($A24="","",IFERROR(VLOOKUP($D24,Tesis!$A$4:$E$7,2,FALSE),""))</f>
        <v/>
      </c>
      <c r="F24" s="3">
        <f>IF($A24="","",IFERROR(VLOOKUP($D24,Tesis!$A$4:$E$7,3,FALSE),""))</f>
        <v/>
      </c>
      <c r="G24" s="3">
        <f>IF($A24="","",IFERROR(VLOOKUP($D24,Tesis!$A$4:$E$7,4,FALSE),""))</f>
        <v/>
      </c>
      <c r="H24" s="3">
        <f>IF($A24="","",IFERROR(VLOOKUP($D24,Tesis!$A$4:$E$7,5,FALSE),""))</f>
        <v/>
      </c>
    </row>
    <row r="25">
      <c r="A25" s="3" t="n"/>
      <c r="B25" s="3" t="n"/>
      <c r="C25" s="3" t="n"/>
      <c r="D25" s="4" t="n"/>
      <c r="E25" s="3">
        <f>IF($A25="","",IFERROR(VLOOKUP($D25,Tesis!$A$4:$E$7,2,FALSE),""))</f>
        <v/>
      </c>
      <c r="F25" s="3">
        <f>IF($A25="","",IFERROR(VLOOKUP($D25,Tesis!$A$4:$E$7,3,FALSE),""))</f>
        <v/>
      </c>
      <c r="G25" s="3">
        <f>IF($A25="","",IFERROR(VLOOKUP($D25,Tesis!$A$4:$E$7,4,FALSE),""))</f>
        <v/>
      </c>
      <c r="H25" s="3">
        <f>IF($A25="","",IFERROR(VLOOKUP($D25,Tesis!$A$4:$E$7,5,FALSE),""))</f>
        <v/>
      </c>
    </row>
    <row r="26">
      <c r="A26" s="3" t="n"/>
      <c r="B26" s="3" t="n"/>
      <c r="C26" s="3" t="n"/>
      <c r="D26" s="4" t="n"/>
      <c r="E26" s="3">
        <f>IF($A26="","",IFERROR(VLOOKUP($D26,Tesis!$A$4:$E$7,2,FALSE),""))</f>
        <v/>
      </c>
      <c r="F26" s="3">
        <f>IF($A26="","",IFERROR(VLOOKUP($D26,Tesis!$A$4:$E$7,3,FALSE),""))</f>
        <v/>
      </c>
      <c r="G26" s="3">
        <f>IF($A26="","",IFERROR(VLOOKUP($D26,Tesis!$A$4:$E$7,4,FALSE),""))</f>
        <v/>
      </c>
      <c r="H26" s="3">
        <f>IF($A26="","",IFERROR(VLOOKUP($D26,Tesis!$A$4:$E$7,5,FALSE),""))</f>
        <v/>
      </c>
    </row>
    <row r="27">
      <c r="A27" s="3" t="n"/>
      <c r="B27" s="3" t="n"/>
      <c r="C27" s="3" t="n"/>
      <c r="D27" s="4" t="n"/>
      <c r="E27" s="3">
        <f>IF($A27="","",IFERROR(VLOOKUP($D27,Tesis!$A$4:$E$7,2,FALSE),""))</f>
        <v/>
      </c>
      <c r="F27" s="3">
        <f>IF($A27="","",IFERROR(VLOOKUP($D27,Tesis!$A$4:$E$7,3,FALSE),""))</f>
        <v/>
      </c>
      <c r="G27" s="3">
        <f>IF($A27="","",IFERROR(VLOOKUP($D27,Tesis!$A$4:$E$7,4,FALSE),""))</f>
        <v/>
      </c>
      <c r="H27" s="3">
        <f>IF($A27="","",IFERROR(VLOOKUP($D27,Tesis!$A$4:$E$7,5,FALSE),""))</f>
        <v/>
      </c>
    </row>
    <row r="29">
      <c r="A29" s="5" t="inlineStr">
        <is>
          <t>Leyenda</t>
        </is>
      </c>
    </row>
    <row r="30">
      <c r="A30" s="6" t="n"/>
      <c r="B30" t="inlineStr">
        <is>
          <t>profesor citado dos veces</t>
        </is>
      </c>
    </row>
    <row r="31">
      <c r="A31" s="7" t="n"/>
      <c r="B31" t="inlineStr">
        <is>
          <t>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27">
    <cfRule type="expression" priority="1" dxfId="0" stopIfTrue="0">
      <formula>(SUMPRODUCT(((((Citaciones!$E$4:$E$27&lt;&gt;"")*($E4&lt;&gt;"")*(Citaciones!$E$4:$E$27=$E4))+((Citaciones!$F$4:$F$27&lt;&gt;"")*($E4&lt;&gt;"")*(Citaciones!$F$4:$F$27=$E4))+((Citaciones!$G$4:$G$27&lt;&gt;"")*($E4&lt;&gt;"")*(Citaciones!$G$4:$G$27=$E4))+((Citaciones!$H$4:$H$27&lt;&gt;"")*($E4&lt;&gt;"")*(Citaciones!$H$4:$H$27=$E4))+((Citaciones!$E$4:$E$27&lt;&gt;"")*($F4&lt;&gt;"")*(Citaciones!$E$4:$E$27=$F4))+((Citaciones!$F$4:$F$27&lt;&gt;"")*($F4&lt;&gt;"")*(Citaciones!$F$4:$F$27=$F4))+((Citaciones!$G$4:$G$27&lt;&gt;"")*($F4&lt;&gt;"")*(Citaciones!$G$4:$G$27=$F4))+((Citaciones!$H$4:$H$27&lt;&gt;"")*($F4&lt;&gt;"")*(Citaciones!$H$4:$H$27=$F4))+((Citaciones!$E$4:$E$27&lt;&gt;"")*($G4&lt;&gt;"")*(Citaciones!$E$4:$E$27=$G4))+((Citaciones!$F$4:$F$27&lt;&gt;"")*($G4&lt;&gt;"")*(Citaciones!$F$4:$F$27=$G4))+((Citaciones!$G$4:$G$27&lt;&gt;"")*($G4&lt;&gt;"")*(Citaciones!$G$4:$G$27=$G4))+((Citaciones!$H$4:$H$27&lt;&gt;"")*($G4&lt;&gt;"")*(Citaciones!$H$4:$H$27=$G4))+((Citaciones!$E$4:$E$27&lt;&gt;"")*($H4&lt;&gt;"")*(Citaciones!$E$4:$E$27=$H4))+((Citaciones!$F$4:$F$27&lt;&gt;"")*($H4&lt;&gt;"")*(Citaciones!$F$4:$F$27=$H4))+((Citaciones!$G$4:$G$27&lt;&gt;"")*($H4&lt;&gt;"")*(Citaciones!$G$4:$G$27=$H4))+((Citaciones!$H$4:$H$27&lt;&gt;"")*($H4&lt;&gt;"")*(Citaciones!$H$4:$H$27=$H4)))&gt;0)*(Citaciones!$B$4:$B$27=$B4)*(Citaciones!$A$4:$A$27=$A4)*(ROW(Citaciones!$A$4:$A$27)&lt;&gt;ROW($A4)))&gt;0)</formula>
    </cfRule>
  </conditionalFormatting>
  <conditionalFormatting sqref="F4:F27">
    <cfRule type="expression" priority="1" dxfId="0" stopIfTrue="0">
      <formula>(SUMPRODUCT(((((Citaciones!$E$4:$E$27&lt;&gt;"")*($E4&lt;&gt;"")*(Citaciones!$E$4:$E$27=$E4))+((Citaciones!$F$4:$F$27&lt;&gt;"")*($E4&lt;&gt;"")*(Citaciones!$F$4:$F$27=$E4))+((Citaciones!$G$4:$G$27&lt;&gt;"")*($E4&lt;&gt;"")*(Citaciones!$G$4:$G$27=$E4))+((Citaciones!$H$4:$H$27&lt;&gt;"")*($E4&lt;&gt;"")*(Citaciones!$H$4:$H$27=$E4))+((Citaciones!$E$4:$E$27&lt;&gt;"")*($F4&lt;&gt;"")*(Citaciones!$E$4:$E$27=$F4))+((Citaciones!$F$4:$F$27&lt;&gt;"")*($F4&lt;&gt;"")*(Citaciones!$F$4:$F$27=$F4))+((Citaciones!$G$4:$G$27&lt;&gt;"")*($F4&lt;&gt;"")*(Citaciones!$G$4:$G$27=$F4))+((Citaciones!$H$4:$H$27&lt;&gt;"")*($F4&lt;&gt;"")*(Citaciones!$H$4:$H$27=$F4))+((Citaciones!$E$4:$E$27&lt;&gt;"")*($G4&lt;&gt;"")*(Citaciones!$E$4:$E$27=$G4))+((Citaciones!$F$4:$F$27&lt;&gt;"")*($G4&lt;&gt;"")*(Citaciones!$F$4:$F$27=$G4))+((Citaciones!$G$4:$G$27&lt;&gt;"")*($G4&lt;&gt;"")*(Citaciones!$G$4:$G$27=$G4))+((Citaciones!$H$4:$H$27&lt;&gt;"")*($G4&lt;&gt;"")*(Citaciones!$H$4:$H$27=$G4))+((Citaciones!$E$4:$E$27&lt;&gt;"")*($H4&lt;&gt;"")*(Citaciones!$E$4:$E$27=$H4))+((Citaciones!$F$4:$F$27&lt;&gt;"")*($H4&lt;&gt;"")*(Citaciones!$F$4:$F$27=$H4))+((Citaciones!$G$4:$G$27&lt;&gt;"")*($H4&lt;&gt;"")*(Citaciones!$G$4:$G$27=$H4))+((Citaciones!$H$4:$H$27&lt;&gt;"")*($H4&lt;&gt;"")*(Citaciones!$H$4:$H$27=$H4)))&gt;0)*(Citaciones!$B$4:$B$27=$B4)*(Citaciones!$A$4:$A$27=$A4)*(ROW(Citaciones!$A$4:$A$27)&lt;&gt;ROW($A4)))&gt;0)</formula>
    </cfRule>
  </conditionalFormatting>
  <conditionalFormatting sqref="G4:G27">
    <cfRule type="expression" priority="1" dxfId="0" stopIfTrue="0">
      <formula>(SUMPRODUCT(((((Citaciones!$E$4:$E$27&lt;&gt;"")*($E4&lt;&gt;"")*(Citaciones!$E$4:$E$27=$E4))+((Citaciones!$F$4:$F$27&lt;&gt;"")*($E4&lt;&gt;"")*(Citaciones!$F$4:$F$27=$E4))+((Citaciones!$G$4:$G$27&lt;&gt;"")*($E4&lt;&gt;"")*(Citaciones!$G$4:$G$27=$E4))+((Citaciones!$H$4:$H$27&lt;&gt;"")*($E4&lt;&gt;"")*(Citaciones!$H$4:$H$27=$E4))+((Citaciones!$E$4:$E$27&lt;&gt;"")*($F4&lt;&gt;"")*(Citaciones!$E$4:$E$27=$F4))+((Citaciones!$F$4:$F$27&lt;&gt;"")*($F4&lt;&gt;"")*(Citaciones!$F$4:$F$27=$F4))+((Citaciones!$G$4:$G$27&lt;&gt;"")*($F4&lt;&gt;"")*(Citaciones!$G$4:$G$27=$F4))+((Citaciones!$H$4:$H$27&lt;&gt;"")*($F4&lt;&gt;"")*(Citaciones!$H$4:$H$27=$F4))+((Citaciones!$E$4:$E$27&lt;&gt;"")*($G4&lt;&gt;"")*(Citaciones!$E$4:$E$27=$G4))+((Citaciones!$F$4:$F$27&lt;&gt;"")*($G4&lt;&gt;"")*(Citaciones!$F$4:$F$27=$G4))+((Citaciones!$G$4:$G$27&lt;&gt;"")*($G4&lt;&gt;"")*(Citaciones!$G$4:$G$27=$G4))+((Citaciones!$H$4:$H$27&lt;&gt;"")*($G4&lt;&gt;"")*(Citaciones!$H$4:$H$27=$G4))+((Citaciones!$E$4:$E$27&lt;&gt;"")*($H4&lt;&gt;"")*(Citaciones!$E$4:$E$27=$H4))+((Citaciones!$F$4:$F$27&lt;&gt;"")*($H4&lt;&gt;"")*(Citaciones!$F$4:$F$27=$H4))+((Citaciones!$G$4:$G$27&lt;&gt;"")*($H4&lt;&gt;"")*(Citaciones!$G$4:$G$27=$H4))+((Citaciones!$H$4:$H$27&lt;&gt;"")*($H4&lt;&gt;"")*(Citaciones!$H$4:$H$27=$H4)))&gt;0)*(Citaciones!$B$4:$B$27=$B4)*(Citaciones!$A$4:$A$27=$A4)*(ROW(Citaciones!$A$4:$A$27)&lt;&gt;ROW($A4)))&gt;0)</formula>
    </cfRule>
  </conditionalFormatting>
  <conditionalFormatting sqref="H4:H27">
    <cfRule type="expression" priority="1" dxfId="0" stopIfTrue="0">
      <formula>(SUMPRODUCT(((((Citaciones!$E$4:$E$27&lt;&gt;"")*($E4&lt;&gt;"")*(Citaciones!$E$4:$E$27=$E4))+((Citaciones!$F$4:$F$27&lt;&gt;"")*($E4&lt;&gt;"")*(Citaciones!$F$4:$F$27=$E4))+((Citaciones!$G$4:$G$27&lt;&gt;"")*($E4&lt;&gt;"")*(Citaciones!$G$4:$G$27=$E4))+((Citaciones!$H$4:$H$27&lt;&gt;"")*($E4&lt;&gt;"")*(Citaciones!$H$4:$H$27=$E4))+((Citaciones!$E$4:$E$27&lt;&gt;"")*($F4&lt;&gt;"")*(Citaciones!$E$4:$E$27=$F4))+((Citaciones!$F$4:$F$27&lt;&gt;"")*($F4&lt;&gt;"")*(Citaciones!$F$4:$F$27=$F4))+((Citaciones!$G$4:$G$27&lt;&gt;"")*($F4&lt;&gt;"")*(Citaciones!$G$4:$G$27=$F4))+((Citaciones!$H$4:$H$27&lt;&gt;"")*($F4&lt;&gt;"")*(Citaciones!$H$4:$H$27=$F4))+((Citaciones!$E$4:$E$27&lt;&gt;"")*($G4&lt;&gt;"")*(Citaciones!$E$4:$E$27=$G4))+((Citaciones!$F$4:$F$27&lt;&gt;"")*($G4&lt;&gt;"")*(Citaciones!$F$4:$F$27=$G4))+((Citaciones!$G$4:$G$27&lt;&gt;"")*($G4&lt;&gt;"")*(Citaciones!$G$4:$G$27=$G4))+((Citaciones!$H$4:$H$27&lt;&gt;"")*($G4&lt;&gt;"")*(Citaciones!$H$4:$H$27=$G4))+((Citaciones!$E$4:$E$27&lt;&gt;"")*($H4&lt;&gt;"")*(Citaciones!$E$4:$E$27=$H4))+((Citaciones!$F$4:$F$27&lt;&gt;"")*($H4&lt;&gt;"")*(Citaciones!$F$4:$F$27=$H4))+((Citaciones!$G$4:$G$27&lt;&gt;"")*($H4&lt;&gt;"")*(Citaciones!$G$4:$G$27=$H4))+((Citaciones!$H$4:$H$27&lt;&gt;"")*($H4&lt;&gt;"")*(Citaciones!$H$4:$H$27=$H4)))&gt;0)*(Citaciones!$B$4:$B$27=$B4)*(Citaciones!$A$4:$A$27=$A4)*(ROW(Citaciones!$A$4:$A$27)&lt;&gt;ROW($A4)))&gt;0)</formula>
    </cfRule>
  </conditionalFormatting>
  <conditionalFormatting sqref="D4:D27">
    <cfRule type="expression" priority="5" dxfId="1" stopIfTrue="0">
      <formula>($D4="")</formula>
    </cfRule>
  </conditionalFormatting>
  <dataValidations count="1">
    <dataValidation sqref="D4:D27" showDropDown="0" showInputMessage="0" showErrorMessage="1" allowBlank="1" errorTitle="Valor fuera del dominio" error="Ese valor no esta en la lista." type="list" errorStyle="information">
      <formula1>"Juan Perez,Laura Fernandez,Mario Gomez,Ana Valdes"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Tesis</t>
        </is>
      </c>
    </row>
    <row r="3">
      <c r="A3" s="2" t="inlineStr">
        <is>
          <t>Estudiante</t>
        </is>
      </c>
      <c r="B3" s="2" t="inlineStr">
        <is>
          <t>Tutor</t>
        </is>
      </c>
      <c r="C3" s="2" t="inlineStr">
        <is>
          <t>Oponente</t>
        </is>
      </c>
      <c r="D3" s="2" t="inlineStr">
        <is>
          <t>Presidente</t>
        </is>
      </c>
      <c r="E3" s="2" t="inlineStr">
        <is>
          <t>Secretario</t>
        </is>
      </c>
    </row>
    <row r="4">
      <c r="A4" s="3" t="inlineStr">
        <is>
          <t>Juan Perez</t>
        </is>
      </c>
      <c r="B4" s="3" t="inlineStr">
        <is>
          <t>P. Alonso</t>
        </is>
      </c>
      <c r="C4" s="3" t="inlineStr">
        <is>
          <t>M. Ramirez</t>
        </is>
      </c>
      <c r="D4" s="3" t="inlineStr">
        <is>
          <t>L. Gomez</t>
        </is>
      </c>
      <c r="E4" s="3" t="inlineStr">
        <is>
          <t>A. Suarez</t>
        </is>
      </c>
    </row>
    <row r="5">
      <c r="A5" s="3" t="inlineStr">
        <is>
          <t>Laura Fernandez</t>
        </is>
      </c>
      <c r="B5" s="3" t="inlineStr">
        <is>
          <t>R. Torres</t>
        </is>
      </c>
      <c r="C5" s="3" t="inlineStr">
        <is>
          <t>L. Gomez</t>
        </is>
      </c>
      <c r="D5" s="3" t="inlineStr">
        <is>
          <t>P. Alonso</t>
        </is>
      </c>
      <c r="E5" s="3" t="inlineStr">
        <is>
          <t>A. Suarez</t>
        </is>
      </c>
    </row>
    <row r="6">
      <c r="A6" s="3" t="inlineStr">
        <is>
          <t>Mario Gomez</t>
        </is>
      </c>
      <c r="B6" s="3" t="inlineStr">
        <is>
          <t>M. Ramirez</t>
        </is>
      </c>
      <c r="C6" s="3" t="inlineStr">
        <is>
          <t>R. Torres</t>
        </is>
      </c>
      <c r="D6" s="3" t="inlineStr">
        <is>
          <t>P. Alonso</t>
        </is>
      </c>
      <c r="E6" s="3" t="inlineStr">
        <is>
          <t>L. Gomez</t>
        </is>
      </c>
    </row>
    <row r="7">
      <c r="A7" s="3" t="inlineStr">
        <is>
          <t>Ana Valdes</t>
        </is>
      </c>
      <c r="B7" s="3" t="inlineStr">
        <is>
          <t>A. Suarez</t>
        </is>
      </c>
      <c r="C7" s="3" t="inlineStr">
        <is>
          <t>P. Alonso</t>
        </is>
      </c>
      <c r="D7" s="3" t="inlineStr">
        <is>
          <t>R. Torres</t>
        </is>
      </c>
      <c r="E7" s="3" t="inlineStr">
        <is>
          <t>M. Ramirez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2026-10-07T11:48:45Z</dcterms:created>
  <dcterms:modified xmlns:dcterms="http://purl.org/dc/terms/" xmlns:xsi="http://www.w3.org/2001/XMLSchema-instance" xsi:type="dcterms:W3CDTF">2026-10-07T11:48:45Z</dcterms:modified>
</cp:coreProperties>
</file>