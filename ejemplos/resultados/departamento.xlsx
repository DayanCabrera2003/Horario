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ignacion" sheetId="1" state="visible" r:id="rId1"/>
    <sheet xmlns:r="http://schemas.openxmlformats.org/officeDocument/2006/relationships" name="Profesores" sheetId="2" state="visible" r:id="rId2"/>
    <sheet xmlns:r="http://schemas.openxmlformats.org/officeDocument/2006/relationships" name="Asignaturas" sheetId="3" state="visible" r:id="rId3"/>
    <sheet xmlns:r="http://schemas.openxmlformats.org/officeDocument/2006/relationships" name="Detalle - Lo que imparte" sheetId="4" state="visible" r:id="rId4"/>
  </sheets>
  <definedNames>
    <definedName name="Asignacion">OFFSET(Asignacion!$A$4,0,0,COUNTA(Asignacion!$A$4:$A$34),12)</definedName>
    <definedName name="Profesores">OFFSET(Profesores!$A$4,0,0,COUNTA(Profesores!$A$4:$A$27),7)</definedName>
    <definedName name="Asignaturas">OFFSET(Asignaturas!$A$4,0,0,COUNTA(Asignaturas!$A$4:$A$27),12)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L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</cols>
  <sheetData>
    <row r="1">
      <c r="A1" s="1" t="inlineStr">
        <is>
          <t>Asignacion</t>
        </is>
      </c>
    </row>
    <row r="3">
      <c r="A3" s="2" t="inlineStr">
        <is>
          <t>No.</t>
        </is>
      </c>
      <c r="B3" s="2" t="inlineStr">
        <is>
          <t>Id</t>
        </is>
      </c>
      <c r="C3" s="2" t="inlineStr">
        <is>
          <t>Tipo</t>
        </is>
      </c>
      <c r="D3" s="2" t="inlineStr">
        <is>
          <t>Grupo</t>
        </is>
      </c>
      <c r="E3" s="2" t="inlineStr">
        <is>
          <t>Profesor</t>
        </is>
      </c>
      <c r="F3" s="2" t="inlineStr">
        <is>
          <t>Asignatura</t>
        </is>
      </c>
      <c r="G3" s="2" t="inlineStr">
        <is>
          <t>Horas</t>
        </is>
      </c>
      <c r="H3" s="2" t="inlineStr">
        <is>
          <t>Nombre</t>
        </is>
      </c>
      <c r="I3" s="2" t="inlineStr">
        <is>
          <t>Par</t>
        </is>
      </c>
      <c r="J3" s="2" t="inlineStr">
        <is>
          <t>Codigo</t>
        </is>
      </c>
      <c r="K3" s="2" t="inlineStr">
        <is>
          <t>Primera del par</t>
        </is>
      </c>
      <c r="L3" s="2" t="inlineStr">
        <is>
          <t>Cuenta</t>
        </is>
      </c>
    </row>
    <row r="4">
      <c r="A4" s="3" t="n">
        <v>1</v>
      </c>
      <c r="B4" s="4" t="inlineStr">
        <is>
          <t>EST-CC</t>
        </is>
      </c>
      <c r="C4" s="4" t="inlineStr">
        <is>
          <t>Conf</t>
        </is>
      </c>
      <c r="D4" s="4" t="n"/>
      <c r="E4" s="4" t="inlineStr">
        <is>
          <t>PIAD</t>
        </is>
      </c>
      <c r="F4" s="3">
        <f>IF($A4="","",IFERROR(VLOOKUP($B4,Asignaturas!$A$4:$L$27,2,FALSE),""))</f>
        <v/>
      </c>
      <c r="G4" s="3">
        <f>IF($A4="","",IF(($C4="Conf"),IFERROR(VLOOKUP($B4,Asignaturas!$A$4:$L$27,4,FALSE),0),IFERROR(VLOOKUP($B4,Asignaturas!$A$4:$L$27,5,FALSE),0)))</f>
        <v/>
      </c>
      <c r="H4" s="3">
        <f>IF($A4="","",IFERROR(VLOOKUP($E4,Profesores!$A$4:$G$27,2,FALSE),""))</f>
        <v/>
      </c>
      <c r="I4" s="3">
        <f>IF($A4="","",IF(OR(($E4=""),($B4="")),"",($E4&amp;"|"&amp;$B4)))</f>
        <v/>
      </c>
      <c r="J4" s="3">
        <f>IF($A4="","",($B4&amp;" "&amp;$C4&amp;" "&amp;$D4))</f>
        <v/>
      </c>
      <c r="K4" s="3">
        <f>IF($A4="","",IF(($I4=""),"",IFERROR(VLOOKUP($I4,Asignacion!$I$4:$L$34,2,FALSE),"")))</f>
        <v/>
      </c>
      <c r="L4" s="3">
        <f>IF($A4="","",IF(AND(NOT(($I4="")),($K4=$J4)),1,0))</f>
        <v/>
      </c>
    </row>
    <row r="5">
      <c r="A5" s="3" t="n">
        <v>2</v>
      </c>
      <c r="B5" s="4" t="inlineStr">
        <is>
          <t>EST-CC</t>
        </is>
      </c>
      <c r="C5" s="4" t="inlineStr">
        <is>
          <t>CP</t>
        </is>
      </c>
      <c r="D5" s="4" t="inlineStr">
        <is>
          <t>1</t>
        </is>
      </c>
      <c r="E5" s="4" t="inlineStr">
        <is>
          <t>PIAD</t>
        </is>
      </c>
      <c r="F5" s="3">
        <f>IF($A5="","",IFERROR(VLOOKUP($B5,Asignaturas!$A$4:$L$27,2,FALSE),""))</f>
        <v/>
      </c>
      <c r="G5" s="3">
        <f>IF($A5="","",IF(($C5="Conf"),IFERROR(VLOOKUP($B5,Asignaturas!$A$4:$L$27,4,FALSE),0),IFERROR(VLOOKUP($B5,Asignaturas!$A$4:$L$27,5,FALSE),0)))</f>
        <v/>
      </c>
      <c r="H5" s="3">
        <f>IF($A5="","",IFERROR(VLOOKUP($E5,Profesores!$A$4:$G$27,2,FALSE),""))</f>
        <v/>
      </c>
      <c r="I5" s="3">
        <f>IF($A5="","",IF(OR(($E5=""),($B5="")),"",($E5&amp;"|"&amp;$B5)))</f>
        <v/>
      </c>
      <c r="J5" s="3">
        <f>IF($A5="","",($B5&amp;" "&amp;$C5&amp;" "&amp;$D5))</f>
        <v/>
      </c>
      <c r="K5" s="3">
        <f>IF($A5="","",IF(($I5=""),"",IFERROR(VLOOKUP($I5,Asignacion!$I$4:$L$34,2,FALSE),"")))</f>
        <v/>
      </c>
      <c r="L5" s="3">
        <f>IF($A5="","",IF(AND(NOT(($I5="")),($K5=$J5)),1,0))</f>
        <v/>
      </c>
    </row>
    <row r="6">
      <c r="A6" s="3" t="n">
        <v>3</v>
      </c>
      <c r="B6" s="4" t="inlineStr">
        <is>
          <t>EST-CC</t>
        </is>
      </c>
      <c r="C6" s="4" t="inlineStr">
        <is>
          <t>CP</t>
        </is>
      </c>
      <c r="D6" s="4" t="inlineStr">
        <is>
          <t>2</t>
        </is>
      </c>
      <c r="E6" s="4" t="inlineStr">
        <is>
          <t>PIAD</t>
        </is>
      </c>
      <c r="F6" s="3">
        <f>IF($A6="","",IFERROR(VLOOKUP($B6,Asignaturas!$A$4:$L$27,2,FALSE),""))</f>
        <v/>
      </c>
      <c r="G6" s="3">
        <f>IF($A6="","",IF(($C6="Conf"),IFERROR(VLOOKUP($B6,Asignaturas!$A$4:$L$27,4,FALSE),0),IFERROR(VLOOKUP($B6,Asignaturas!$A$4:$L$27,5,FALSE),0)))</f>
        <v/>
      </c>
      <c r="H6" s="3">
        <f>IF($A6="","",IFERROR(VLOOKUP($E6,Profesores!$A$4:$G$27,2,FALSE),""))</f>
        <v/>
      </c>
      <c r="I6" s="3">
        <f>IF($A6="","",IF(OR(($E6=""),($B6="")),"",($E6&amp;"|"&amp;$B6)))</f>
        <v/>
      </c>
      <c r="J6" s="3">
        <f>IF($A6="","",($B6&amp;" "&amp;$C6&amp;" "&amp;$D6))</f>
        <v/>
      </c>
      <c r="K6" s="3">
        <f>IF($A6="","",IF(($I6=""),"",IFERROR(VLOOKUP($I6,Asignacion!$I$4:$L$34,2,FALSE),"")))</f>
        <v/>
      </c>
      <c r="L6" s="3">
        <f>IF($A6="","",IF(AND(NOT(($I6="")),($K6=$J6)),1,0))</f>
        <v/>
      </c>
    </row>
    <row r="7">
      <c r="A7" s="3" t="n">
        <v>4</v>
      </c>
      <c r="B7" s="4" t="inlineStr">
        <is>
          <t>EST-MAT</t>
        </is>
      </c>
      <c r="C7" s="4" t="inlineStr">
        <is>
          <t>Conf</t>
        </is>
      </c>
      <c r="D7" s="4" t="n"/>
      <c r="E7" s="4" t="inlineStr">
        <is>
          <t>PIAD</t>
        </is>
      </c>
      <c r="F7" s="3">
        <f>IF($A7="","",IFERROR(VLOOKUP($B7,Asignaturas!$A$4:$L$27,2,FALSE),""))</f>
        <v/>
      </c>
      <c r="G7" s="3">
        <f>IF($A7="","",IF(($C7="Conf"),IFERROR(VLOOKUP($B7,Asignaturas!$A$4:$L$27,4,FALSE),0),IFERROR(VLOOKUP($B7,Asignaturas!$A$4:$L$27,5,FALSE),0)))</f>
        <v/>
      </c>
      <c r="H7" s="3">
        <f>IF($A7="","",IFERROR(VLOOKUP($E7,Profesores!$A$4:$G$27,2,FALSE),""))</f>
        <v/>
      </c>
      <c r="I7" s="3">
        <f>IF($A7="","",IF(OR(($E7=""),($B7="")),"",($E7&amp;"|"&amp;$B7)))</f>
        <v/>
      </c>
      <c r="J7" s="3">
        <f>IF($A7="","",($B7&amp;" "&amp;$C7&amp;" "&amp;$D7))</f>
        <v/>
      </c>
      <c r="K7" s="3">
        <f>IF($A7="","",IF(($I7=""),"",IFERROR(VLOOKUP($I7,Asignacion!$I$4:$L$34,2,FALSE),"")))</f>
        <v/>
      </c>
      <c r="L7" s="3">
        <f>IF($A7="","",IF(AND(NOT(($I7="")),($K7=$J7)),1,0))</f>
        <v/>
      </c>
    </row>
    <row r="8">
      <c r="A8" s="3" t="n">
        <v>5</v>
      </c>
      <c r="B8" s="4" t="inlineStr">
        <is>
          <t>EST-MAT</t>
        </is>
      </c>
      <c r="C8" s="4" t="inlineStr">
        <is>
          <t>CP</t>
        </is>
      </c>
      <c r="D8" s="4" t="inlineStr">
        <is>
          <t>1</t>
        </is>
      </c>
      <c r="E8" s="4" t="inlineStr">
        <is>
          <t>LUGO</t>
        </is>
      </c>
      <c r="F8" s="3">
        <f>IF($A8="","",IFERROR(VLOOKUP($B8,Asignaturas!$A$4:$L$27,2,FALSE),""))</f>
        <v/>
      </c>
      <c r="G8" s="3">
        <f>IF($A8="","",IF(($C8="Conf"),IFERROR(VLOOKUP($B8,Asignaturas!$A$4:$L$27,4,FALSE),0),IFERROR(VLOOKUP($B8,Asignaturas!$A$4:$L$27,5,FALSE),0)))</f>
        <v/>
      </c>
      <c r="H8" s="3">
        <f>IF($A8="","",IFERROR(VLOOKUP($E8,Profesores!$A$4:$G$27,2,FALSE),""))</f>
        <v/>
      </c>
      <c r="I8" s="3">
        <f>IF($A8="","",IF(OR(($E8=""),($B8="")),"",($E8&amp;"|"&amp;$B8)))</f>
        <v/>
      </c>
      <c r="J8" s="3">
        <f>IF($A8="","",($B8&amp;" "&amp;$C8&amp;" "&amp;$D8))</f>
        <v/>
      </c>
      <c r="K8" s="3">
        <f>IF($A8="","",IF(($I8=""),"",IFERROR(VLOOKUP($I8,Asignacion!$I$4:$L$34,2,FALSE),"")))</f>
        <v/>
      </c>
      <c r="L8" s="3">
        <f>IF($A8="","",IF(AND(NOT(($I8="")),($K8=$J8)),1,0))</f>
        <v/>
      </c>
    </row>
    <row r="9">
      <c r="A9" s="3" t="n">
        <v>6</v>
      </c>
      <c r="B9" s="4" t="inlineStr">
        <is>
          <t>PROB</t>
        </is>
      </c>
      <c r="C9" s="4" t="inlineStr">
        <is>
          <t>Conf</t>
        </is>
      </c>
      <c r="D9" s="4" t="n"/>
      <c r="E9" s="4" t="inlineStr">
        <is>
          <t>MARA</t>
        </is>
      </c>
      <c r="F9" s="3">
        <f>IF($A9="","",IFERROR(VLOOKUP($B9,Asignaturas!$A$4:$L$27,2,FALSE),""))</f>
        <v/>
      </c>
      <c r="G9" s="3">
        <f>IF($A9="","",IF(($C9="Conf"),IFERROR(VLOOKUP($B9,Asignaturas!$A$4:$L$27,4,FALSE),0),IFERROR(VLOOKUP($B9,Asignaturas!$A$4:$L$27,5,FALSE),0)))</f>
        <v/>
      </c>
      <c r="H9" s="3">
        <f>IF($A9="","",IFERROR(VLOOKUP($E9,Profesores!$A$4:$G$27,2,FALSE),""))</f>
        <v/>
      </c>
      <c r="I9" s="3">
        <f>IF($A9="","",IF(OR(($E9=""),($B9="")),"",($E9&amp;"|"&amp;$B9)))</f>
        <v/>
      </c>
      <c r="J9" s="3">
        <f>IF($A9="","",($B9&amp;" "&amp;$C9&amp;" "&amp;$D9))</f>
        <v/>
      </c>
      <c r="K9" s="3">
        <f>IF($A9="","",IF(($I9=""),"",IFERROR(VLOOKUP($I9,Asignacion!$I$4:$L$34,2,FALSE),"")))</f>
        <v/>
      </c>
      <c r="L9" s="3">
        <f>IF($A9="","",IF(AND(NOT(($I9="")),($K9=$J9)),1,0))</f>
        <v/>
      </c>
    </row>
    <row r="10">
      <c r="A10" s="3" t="n">
        <v>7</v>
      </c>
      <c r="B10" s="4" t="inlineStr">
        <is>
          <t>PROB</t>
        </is>
      </c>
      <c r="C10" s="4" t="inlineStr">
        <is>
          <t>CP</t>
        </is>
      </c>
      <c r="D10" s="4" t="inlineStr">
        <is>
          <t>1</t>
        </is>
      </c>
      <c r="E10" s="4" t="inlineStr">
        <is>
          <t>MARA</t>
        </is>
      </c>
      <c r="F10" s="3">
        <f>IF($A10="","",IFERROR(VLOOKUP($B10,Asignaturas!$A$4:$L$27,2,FALSE),""))</f>
        <v/>
      </c>
      <c r="G10" s="3">
        <f>IF($A10="","",IF(($C10="Conf"),IFERROR(VLOOKUP($B10,Asignaturas!$A$4:$L$27,4,FALSE),0),IFERROR(VLOOKUP($B10,Asignaturas!$A$4:$L$27,5,FALSE),0)))</f>
        <v/>
      </c>
      <c r="H10" s="3">
        <f>IF($A10="","",IFERROR(VLOOKUP($E10,Profesores!$A$4:$G$27,2,FALSE),""))</f>
        <v/>
      </c>
      <c r="I10" s="3">
        <f>IF($A10="","",IF(OR(($E10=""),($B10="")),"",($E10&amp;"|"&amp;$B10)))</f>
        <v/>
      </c>
      <c r="J10" s="3">
        <f>IF($A10="","",($B10&amp;" "&amp;$C10&amp;" "&amp;$D10))</f>
        <v/>
      </c>
      <c r="K10" s="3">
        <f>IF($A10="","",IF(($I10=""),"",IFERROR(VLOOKUP($I10,Asignacion!$I$4:$L$34,2,FALSE),"")))</f>
        <v/>
      </c>
      <c r="L10" s="3">
        <f>IF($A10="","",IF(AND(NOT(($I10="")),($K10=$J10)),1,0))</f>
        <v/>
      </c>
    </row>
    <row r="11">
      <c r="A11" s="3" t="n">
        <v>8</v>
      </c>
      <c r="B11" s="4" t="inlineStr">
        <is>
          <t>PROB</t>
        </is>
      </c>
      <c r="C11" s="4" t="inlineStr">
        <is>
          <t>CP</t>
        </is>
      </c>
      <c r="D11" s="4" t="inlineStr">
        <is>
          <t>2</t>
        </is>
      </c>
      <c r="E11" s="4" t="n"/>
      <c r="F11" s="3">
        <f>IF($A11="","",IFERROR(VLOOKUP($B11,Asignaturas!$A$4:$L$27,2,FALSE),""))</f>
        <v/>
      </c>
      <c r="G11" s="3">
        <f>IF($A11="","",IF(($C11="Conf"),IFERROR(VLOOKUP($B11,Asignaturas!$A$4:$L$27,4,FALSE),0),IFERROR(VLOOKUP($B11,Asignaturas!$A$4:$L$27,5,FALSE),0)))</f>
        <v/>
      </c>
      <c r="H11" s="3">
        <f>IF($A11="","",IFERROR(VLOOKUP($E11,Profesores!$A$4:$G$27,2,FALSE),""))</f>
        <v/>
      </c>
      <c r="I11" s="3">
        <f>IF($A11="","",IF(OR(($E11=""),($B11="")),"",($E11&amp;"|"&amp;$B11)))</f>
        <v/>
      </c>
      <c r="J11" s="3">
        <f>IF($A11="","",($B11&amp;" "&amp;$C11&amp;" "&amp;$D11))</f>
        <v/>
      </c>
      <c r="K11" s="3">
        <f>IF($A11="","",IF(($I11=""),"",IFERROR(VLOOKUP($I11,Asignacion!$I$4:$L$34,2,FALSE),"")))</f>
        <v/>
      </c>
      <c r="L11" s="3">
        <f>IF($A11="","",IF(AND(NOT(($I11="")),($K11=$J11)),1,0))</f>
        <v/>
      </c>
    </row>
    <row r="12">
      <c r="A12" s="3" t="n">
        <v>9</v>
      </c>
      <c r="B12" s="4" t="inlineStr">
        <is>
          <t>MNUM</t>
        </is>
      </c>
      <c r="C12" s="4" t="inlineStr">
        <is>
          <t>Conf</t>
        </is>
      </c>
      <c r="D12" s="4" t="n"/>
      <c r="E12" s="4" t="inlineStr">
        <is>
          <t>MARA</t>
        </is>
      </c>
      <c r="F12" s="3">
        <f>IF($A12="","",IFERROR(VLOOKUP($B12,Asignaturas!$A$4:$L$27,2,FALSE),""))</f>
        <v/>
      </c>
      <c r="G12" s="3">
        <f>IF($A12="","",IF(($C12="Conf"),IFERROR(VLOOKUP($B12,Asignaturas!$A$4:$L$27,4,FALSE),0),IFERROR(VLOOKUP($B12,Asignaturas!$A$4:$L$27,5,FALSE),0)))</f>
        <v/>
      </c>
      <c r="H12" s="3">
        <f>IF($A12="","",IFERROR(VLOOKUP($E12,Profesores!$A$4:$G$27,2,FALSE),""))</f>
        <v/>
      </c>
      <c r="I12" s="3">
        <f>IF($A12="","",IF(OR(($E12=""),($B12="")),"",($E12&amp;"|"&amp;$B12)))</f>
        <v/>
      </c>
      <c r="J12" s="3">
        <f>IF($A12="","",($B12&amp;" "&amp;$C12&amp;" "&amp;$D12))</f>
        <v/>
      </c>
      <c r="K12" s="3">
        <f>IF($A12="","",IF(($I12=""),"",IFERROR(VLOOKUP($I12,Asignacion!$I$4:$L$34,2,FALSE),"")))</f>
        <v/>
      </c>
      <c r="L12" s="3">
        <f>IF($A12="","",IF(AND(NOT(($I12="")),($K12=$J12)),1,0))</f>
        <v/>
      </c>
    </row>
    <row r="13">
      <c r="A13" s="3" t="n">
        <v>10</v>
      </c>
      <c r="B13" s="4" t="n"/>
      <c r="C13" s="4" t="n"/>
      <c r="D13" s="4" t="n"/>
      <c r="E13" s="4" t="n"/>
      <c r="F13" s="3">
        <f>IF($A13="","",IFERROR(VLOOKUP($B13,Asignaturas!$A$4:$L$27,2,FALSE),""))</f>
        <v/>
      </c>
      <c r="G13" s="3">
        <f>IF($A13="","",IF(($C13="Conf"),IFERROR(VLOOKUP($B13,Asignaturas!$A$4:$L$27,4,FALSE),0),IFERROR(VLOOKUP($B13,Asignaturas!$A$4:$L$27,5,FALSE),0)))</f>
        <v/>
      </c>
      <c r="H13" s="3">
        <f>IF($A13="","",IFERROR(VLOOKUP($E13,Profesores!$A$4:$G$27,2,FALSE),""))</f>
        <v/>
      </c>
      <c r="I13" s="3">
        <f>IF($A13="","",IF(OR(($E13=""),($B13="")),"",($E13&amp;"|"&amp;$B13)))</f>
        <v/>
      </c>
      <c r="J13" s="3">
        <f>IF($A13="","",($B13&amp;" "&amp;$C13&amp;" "&amp;$D13))</f>
        <v/>
      </c>
      <c r="K13" s="3">
        <f>IF($A13="","",IF(($I13=""),"",IFERROR(VLOOKUP($I13,Asignacion!$I$4:$L$34,2,FALSE),"")))</f>
        <v/>
      </c>
      <c r="L13" s="3">
        <f>IF($A13="","",IF(AND(NOT(($I13="")),($K13=$J13)),1,0))</f>
        <v/>
      </c>
    </row>
    <row r="14">
      <c r="A14" s="3" t="n">
        <v>11</v>
      </c>
      <c r="B14" s="4" t="n"/>
      <c r="C14" s="4" t="n"/>
      <c r="D14" s="4" t="n"/>
      <c r="E14" s="4" t="n"/>
      <c r="F14" s="3">
        <f>IF($A14="","",IFERROR(VLOOKUP($B14,Asignaturas!$A$4:$L$27,2,FALSE),""))</f>
        <v/>
      </c>
      <c r="G14" s="3">
        <f>IF($A14="","",IF(($C14="Conf"),IFERROR(VLOOKUP($B14,Asignaturas!$A$4:$L$27,4,FALSE),0),IFERROR(VLOOKUP($B14,Asignaturas!$A$4:$L$27,5,FALSE),0)))</f>
        <v/>
      </c>
      <c r="H14" s="3">
        <f>IF($A14="","",IFERROR(VLOOKUP($E14,Profesores!$A$4:$G$27,2,FALSE),""))</f>
        <v/>
      </c>
      <c r="I14" s="3">
        <f>IF($A14="","",IF(OR(($E14=""),($B14="")),"",($E14&amp;"|"&amp;$B14)))</f>
        <v/>
      </c>
      <c r="J14" s="3">
        <f>IF($A14="","",($B14&amp;" "&amp;$C14&amp;" "&amp;$D14))</f>
        <v/>
      </c>
      <c r="K14" s="3">
        <f>IF($A14="","",IF(($I14=""),"",IFERROR(VLOOKUP($I14,Asignacion!$I$4:$L$34,2,FALSE),"")))</f>
        <v/>
      </c>
      <c r="L14" s="3">
        <f>IF($A14="","",IF(AND(NOT(($I14="")),($K14=$J14)),1,0))</f>
        <v/>
      </c>
    </row>
    <row r="15">
      <c r="A15" s="3" t="n"/>
      <c r="B15" s="4" t="n"/>
      <c r="C15" s="4" t="n"/>
      <c r="D15" s="4" t="n"/>
      <c r="E15" s="4" t="n"/>
      <c r="F15" s="3">
        <f>IF($A15="","",IFERROR(VLOOKUP($B15,Asignaturas!$A$4:$L$27,2,FALSE),""))</f>
        <v/>
      </c>
      <c r="G15" s="3">
        <f>IF($A15="","",IF(($C15="Conf"),IFERROR(VLOOKUP($B15,Asignaturas!$A$4:$L$27,4,FALSE),0),IFERROR(VLOOKUP($B15,Asignaturas!$A$4:$L$27,5,FALSE),0)))</f>
        <v/>
      </c>
      <c r="H15" s="3">
        <f>IF($A15="","",IFERROR(VLOOKUP($E15,Profesores!$A$4:$G$27,2,FALSE),""))</f>
        <v/>
      </c>
      <c r="I15" s="3">
        <f>IF($A15="","",IF(OR(($E15=""),($B15="")),"",($E15&amp;"|"&amp;$B15)))</f>
        <v/>
      </c>
      <c r="J15" s="3">
        <f>IF($A15="","",($B15&amp;" "&amp;$C15&amp;" "&amp;$D15))</f>
        <v/>
      </c>
      <c r="K15" s="3">
        <f>IF($A15="","",IF(($I15=""),"",IFERROR(VLOOKUP($I15,Asignacion!$I$4:$L$34,2,FALSE),"")))</f>
        <v/>
      </c>
      <c r="L15" s="3">
        <f>IF($A15="","",IF(AND(NOT(($I15="")),($K15=$J15)),1,0))</f>
        <v/>
      </c>
    </row>
    <row r="16">
      <c r="A16" s="3" t="n"/>
      <c r="B16" s="4" t="n"/>
      <c r="C16" s="4" t="n"/>
      <c r="D16" s="4" t="n"/>
      <c r="E16" s="4" t="n"/>
      <c r="F16" s="3">
        <f>IF($A16="","",IFERROR(VLOOKUP($B16,Asignaturas!$A$4:$L$27,2,FALSE),""))</f>
        <v/>
      </c>
      <c r="G16" s="3">
        <f>IF($A16="","",IF(($C16="Conf"),IFERROR(VLOOKUP($B16,Asignaturas!$A$4:$L$27,4,FALSE),0),IFERROR(VLOOKUP($B16,Asignaturas!$A$4:$L$27,5,FALSE),0)))</f>
        <v/>
      </c>
      <c r="H16" s="3">
        <f>IF($A16="","",IFERROR(VLOOKUP($E16,Profesores!$A$4:$G$27,2,FALSE),""))</f>
        <v/>
      </c>
      <c r="I16" s="3">
        <f>IF($A16="","",IF(OR(($E16=""),($B16="")),"",($E16&amp;"|"&amp;$B16)))</f>
        <v/>
      </c>
      <c r="J16" s="3">
        <f>IF($A16="","",($B16&amp;" "&amp;$C16&amp;" "&amp;$D16))</f>
        <v/>
      </c>
      <c r="K16" s="3">
        <f>IF($A16="","",IF(($I16=""),"",IFERROR(VLOOKUP($I16,Asignacion!$I$4:$L$34,2,FALSE),"")))</f>
        <v/>
      </c>
      <c r="L16" s="3">
        <f>IF($A16="","",IF(AND(NOT(($I16="")),($K16=$J16)),1,0))</f>
        <v/>
      </c>
    </row>
    <row r="17">
      <c r="A17" s="3" t="n"/>
      <c r="B17" s="4" t="n"/>
      <c r="C17" s="4" t="n"/>
      <c r="D17" s="4" t="n"/>
      <c r="E17" s="4" t="n"/>
      <c r="F17" s="3">
        <f>IF($A17="","",IFERROR(VLOOKUP($B17,Asignaturas!$A$4:$L$27,2,FALSE),""))</f>
        <v/>
      </c>
      <c r="G17" s="3">
        <f>IF($A17="","",IF(($C17="Conf"),IFERROR(VLOOKUP($B17,Asignaturas!$A$4:$L$27,4,FALSE),0),IFERROR(VLOOKUP($B17,Asignaturas!$A$4:$L$27,5,FALSE),0)))</f>
        <v/>
      </c>
      <c r="H17" s="3">
        <f>IF($A17="","",IFERROR(VLOOKUP($E17,Profesores!$A$4:$G$27,2,FALSE),""))</f>
        <v/>
      </c>
      <c r="I17" s="3">
        <f>IF($A17="","",IF(OR(($E17=""),($B17="")),"",($E17&amp;"|"&amp;$B17)))</f>
        <v/>
      </c>
      <c r="J17" s="3">
        <f>IF($A17="","",($B17&amp;" "&amp;$C17&amp;" "&amp;$D17))</f>
        <v/>
      </c>
      <c r="K17" s="3">
        <f>IF($A17="","",IF(($I17=""),"",IFERROR(VLOOKUP($I17,Asignacion!$I$4:$L$34,2,FALSE),"")))</f>
        <v/>
      </c>
      <c r="L17" s="3">
        <f>IF($A17="","",IF(AND(NOT(($I17="")),($K17=$J17)),1,0))</f>
        <v/>
      </c>
    </row>
    <row r="18">
      <c r="A18" s="3" t="n"/>
      <c r="B18" s="4" t="n"/>
      <c r="C18" s="4" t="n"/>
      <c r="D18" s="4" t="n"/>
      <c r="E18" s="4" t="n"/>
      <c r="F18" s="3">
        <f>IF($A18="","",IFERROR(VLOOKUP($B18,Asignaturas!$A$4:$L$27,2,FALSE),""))</f>
        <v/>
      </c>
      <c r="G18" s="3">
        <f>IF($A18="","",IF(($C18="Conf"),IFERROR(VLOOKUP($B18,Asignaturas!$A$4:$L$27,4,FALSE),0),IFERROR(VLOOKUP($B18,Asignaturas!$A$4:$L$27,5,FALSE),0)))</f>
        <v/>
      </c>
      <c r="H18" s="3">
        <f>IF($A18="","",IFERROR(VLOOKUP($E18,Profesores!$A$4:$G$27,2,FALSE),""))</f>
        <v/>
      </c>
      <c r="I18" s="3">
        <f>IF($A18="","",IF(OR(($E18=""),($B18="")),"",($E18&amp;"|"&amp;$B18)))</f>
        <v/>
      </c>
      <c r="J18" s="3">
        <f>IF($A18="","",($B18&amp;" "&amp;$C18&amp;" "&amp;$D18))</f>
        <v/>
      </c>
      <c r="K18" s="3">
        <f>IF($A18="","",IF(($I18=""),"",IFERROR(VLOOKUP($I18,Asignacion!$I$4:$L$34,2,FALSE),"")))</f>
        <v/>
      </c>
      <c r="L18" s="3">
        <f>IF($A18="","",IF(AND(NOT(($I18="")),($K18=$J18)),1,0))</f>
        <v/>
      </c>
    </row>
    <row r="19">
      <c r="A19" s="3" t="n"/>
      <c r="B19" s="4" t="n"/>
      <c r="C19" s="4" t="n"/>
      <c r="D19" s="4" t="n"/>
      <c r="E19" s="4" t="n"/>
      <c r="F19" s="3">
        <f>IF($A19="","",IFERROR(VLOOKUP($B19,Asignaturas!$A$4:$L$27,2,FALSE),""))</f>
        <v/>
      </c>
      <c r="G19" s="3">
        <f>IF($A19="","",IF(($C19="Conf"),IFERROR(VLOOKUP($B19,Asignaturas!$A$4:$L$27,4,FALSE),0),IFERROR(VLOOKUP($B19,Asignaturas!$A$4:$L$27,5,FALSE),0)))</f>
        <v/>
      </c>
      <c r="H19" s="3">
        <f>IF($A19="","",IFERROR(VLOOKUP($E19,Profesores!$A$4:$G$27,2,FALSE),""))</f>
        <v/>
      </c>
      <c r="I19" s="3">
        <f>IF($A19="","",IF(OR(($E19=""),($B19="")),"",($E19&amp;"|"&amp;$B19)))</f>
        <v/>
      </c>
      <c r="J19" s="3">
        <f>IF($A19="","",($B19&amp;" "&amp;$C19&amp;" "&amp;$D19))</f>
        <v/>
      </c>
      <c r="K19" s="3">
        <f>IF($A19="","",IF(($I19=""),"",IFERROR(VLOOKUP($I19,Asignacion!$I$4:$L$34,2,FALSE),"")))</f>
        <v/>
      </c>
      <c r="L19" s="3">
        <f>IF($A19="","",IF(AND(NOT(($I19="")),($K19=$J19)),1,0))</f>
        <v/>
      </c>
    </row>
    <row r="20">
      <c r="A20" s="3" t="n"/>
      <c r="B20" s="4" t="n"/>
      <c r="C20" s="4" t="n"/>
      <c r="D20" s="4" t="n"/>
      <c r="E20" s="4" t="n"/>
      <c r="F20" s="3">
        <f>IF($A20="","",IFERROR(VLOOKUP($B20,Asignaturas!$A$4:$L$27,2,FALSE),""))</f>
        <v/>
      </c>
      <c r="G20" s="3">
        <f>IF($A20="","",IF(($C20="Conf"),IFERROR(VLOOKUP($B20,Asignaturas!$A$4:$L$27,4,FALSE),0),IFERROR(VLOOKUP($B20,Asignaturas!$A$4:$L$27,5,FALSE),0)))</f>
        <v/>
      </c>
      <c r="H20" s="3">
        <f>IF($A20="","",IFERROR(VLOOKUP($E20,Profesores!$A$4:$G$27,2,FALSE),""))</f>
        <v/>
      </c>
      <c r="I20" s="3">
        <f>IF($A20="","",IF(OR(($E20=""),($B20="")),"",($E20&amp;"|"&amp;$B20)))</f>
        <v/>
      </c>
      <c r="J20" s="3">
        <f>IF($A20="","",($B20&amp;" "&amp;$C20&amp;" "&amp;$D20))</f>
        <v/>
      </c>
      <c r="K20" s="3">
        <f>IF($A20="","",IF(($I20=""),"",IFERROR(VLOOKUP($I20,Asignacion!$I$4:$L$34,2,FALSE),"")))</f>
        <v/>
      </c>
      <c r="L20" s="3">
        <f>IF($A20="","",IF(AND(NOT(($I20="")),($K20=$J20)),1,0))</f>
        <v/>
      </c>
    </row>
    <row r="21">
      <c r="A21" s="3" t="n"/>
      <c r="B21" s="4" t="n"/>
      <c r="C21" s="4" t="n"/>
      <c r="D21" s="4" t="n"/>
      <c r="E21" s="4" t="n"/>
      <c r="F21" s="3">
        <f>IF($A21="","",IFERROR(VLOOKUP($B21,Asignaturas!$A$4:$L$27,2,FALSE),""))</f>
        <v/>
      </c>
      <c r="G21" s="3">
        <f>IF($A21="","",IF(($C21="Conf"),IFERROR(VLOOKUP($B21,Asignaturas!$A$4:$L$27,4,FALSE),0),IFERROR(VLOOKUP($B21,Asignaturas!$A$4:$L$27,5,FALSE),0)))</f>
        <v/>
      </c>
      <c r="H21" s="3">
        <f>IF($A21="","",IFERROR(VLOOKUP($E21,Profesores!$A$4:$G$27,2,FALSE),""))</f>
        <v/>
      </c>
      <c r="I21" s="3">
        <f>IF($A21="","",IF(OR(($E21=""),($B21="")),"",($E21&amp;"|"&amp;$B21)))</f>
        <v/>
      </c>
      <c r="J21" s="3">
        <f>IF($A21="","",($B21&amp;" "&amp;$C21&amp;" "&amp;$D21))</f>
        <v/>
      </c>
      <c r="K21" s="3">
        <f>IF($A21="","",IF(($I21=""),"",IFERROR(VLOOKUP($I21,Asignacion!$I$4:$L$34,2,FALSE),"")))</f>
        <v/>
      </c>
      <c r="L21" s="3">
        <f>IF($A21="","",IF(AND(NOT(($I21="")),($K21=$J21)),1,0))</f>
        <v/>
      </c>
    </row>
    <row r="22">
      <c r="A22" s="3" t="n"/>
      <c r="B22" s="4" t="n"/>
      <c r="C22" s="4" t="n"/>
      <c r="D22" s="4" t="n"/>
      <c r="E22" s="4" t="n"/>
      <c r="F22" s="3">
        <f>IF($A22="","",IFERROR(VLOOKUP($B22,Asignaturas!$A$4:$L$27,2,FALSE),""))</f>
        <v/>
      </c>
      <c r="G22" s="3">
        <f>IF($A22="","",IF(($C22="Conf"),IFERROR(VLOOKUP($B22,Asignaturas!$A$4:$L$27,4,FALSE),0),IFERROR(VLOOKUP($B22,Asignaturas!$A$4:$L$27,5,FALSE),0)))</f>
        <v/>
      </c>
      <c r="H22" s="3">
        <f>IF($A22="","",IFERROR(VLOOKUP($E22,Profesores!$A$4:$G$27,2,FALSE),""))</f>
        <v/>
      </c>
      <c r="I22" s="3">
        <f>IF($A22="","",IF(OR(($E22=""),($B22="")),"",($E22&amp;"|"&amp;$B22)))</f>
        <v/>
      </c>
      <c r="J22" s="3">
        <f>IF($A22="","",($B22&amp;" "&amp;$C22&amp;" "&amp;$D22))</f>
        <v/>
      </c>
      <c r="K22" s="3">
        <f>IF($A22="","",IF(($I22=""),"",IFERROR(VLOOKUP($I22,Asignacion!$I$4:$L$34,2,FALSE),"")))</f>
        <v/>
      </c>
      <c r="L22" s="3">
        <f>IF($A22="","",IF(AND(NOT(($I22="")),($K22=$J22)),1,0))</f>
        <v/>
      </c>
    </row>
    <row r="23">
      <c r="A23" s="3" t="n"/>
      <c r="B23" s="4" t="n"/>
      <c r="C23" s="4" t="n"/>
      <c r="D23" s="4" t="n"/>
      <c r="E23" s="4" t="n"/>
      <c r="F23" s="3">
        <f>IF($A23="","",IFERROR(VLOOKUP($B23,Asignaturas!$A$4:$L$27,2,FALSE),""))</f>
        <v/>
      </c>
      <c r="G23" s="3">
        <f>IF($A23="","",IF(($C23="Conf"),IFERROR(VLOOKUP($B23,Asignaturas!$A$4:$L$27,4,FALSE),0),IFERROR(VLOOKUP($B23,Asignaturas!$A$4:$L$27,5,FALSE),0)))</f>
        <v/>
      </c>
      <c r="H23" s="3">
        <f>IF($A23="","",IFERROR(VLOOKUP($E23,Profesores!$A$4:$G$27,2,FALSE),""))</f>
        <v/>
      </c>
      <c r="I23" s="3">
        <f>IF($A23="","",IF(OR(($E23=""),($B23="")),"",($E23&amp;"|"&amp;$B23)))</f>
        <v/>
      </c>
      <c r="J23" s="3">
        <f>IF($A23="","",($B23&amp;" "&amp;$C23&amp;" "&amp;$D23))</f>
        <v/>
      </c>
      <c r="K23" s="3">
        <f>IF($A23="","",IF(($I23=""),"",IFERROR(VLOOKUP($I23,Asignacion!$I$4:$L$34,2,FALSE),"")))</f>
        <v/>
      </c>
      <c r="L23" s="3">
        <f>IF($A23="","",IF(AND(NOT(($I23="")),($K23=$J23)),1,0))</f>
        <v/>
      </c>
    </row>
    <row r="24">
      <c r="A24" s="3" t="n"/>
      <c r="B24" s="4" t="n"/>
      <c r="C24" s="4" t="n"/>
      <c r="D24" s="4" t="n"/>
      <c r="E24" s="4" t="n"/>
      <c r="F24" s="3">
        <f>IF($A24="","",IFERROR(VLOOKUP($B24,Asignaturas!$A$4:$L$27,2,FALSE),""))</f>
        <v/>
      </c>
      <c r="G24" s="3">
        <f>IF($A24="","",IF(($C24="Conf"),IFERROR(VLOOKUP($B24,Asignaturas!$A$4:$L$27,4,FALSE),0),IFERROR(VLOOKUP($B24,Asignaturas!$A$4:$L$27,5,FALSE),0)))</f>
        <v/>
      </c>
      <c r="H24" s="3">
        <f>IF($A24="","",IFERROR(VLOOKUP($E24,Profesores!$A$4:$G$27,2,FALSE),""))</f>
        <v/>
      </c>
      <c r="I24" s="3">
        <f>IF($A24="","",IF(OR(($E24=""),($B24="")),"",($E24&amp;"|"&amp;$B24)))</f>
        <v/>
      </c>
      <c r="J24" s="3">
        <f>IF($A24="","",($B24&amp;" "&amp;$C24&amp;" "&amp;$D24))</f>
        <v/>
      </c>
      <c r="K24" s="3">
        <f>IF($A24="","",IF(($I24=""),"",IFERROR(VLOOKUP($I24,Asignacion!$I$4:$L$34,2,FALSE),"")))</f>
        <v/>
      </c>
      <c r="L24" s="3">
        <f>IF($A24="","",IF(AND(NOT(($I24="")),($K24=$J24)),1,0))</f>
        <v/>
      </c>
    </row>
    <row r="25">
      <c r="A25" s="3" t="n"/>
      <c r="B25" s="4" t="n"/>
      <c r="C25" s="4" t="n"/>
      <c r="D25" s="4" t="n"/>
      <c r="E25" s="4" t="n"/>
      <c r="F25" s="3">
        <f>IF($A25="","",IFERROR(VLOOKUP($B25,Asignaturas!$A$4:$L$27,2,FALSE),""))</f>
        <v/>
      </c>
      <c r="G25" s="3">
        <f>IF($A25="","",IF(($C25="Conf"),IFERROR(VLOOKUP($B25,Asignaturas!$A$4:$L$27,4,FALSE),0),IFERROR(VLOOKUP($B25,Asignaturas!$A$4:$L$27,5,FALSE),0)))</f>
        <v/>
      </c>
      <c r="H25" s="3">
        <f>IF($A25="","",IFERROR(VLOOKUP($E25,Profesores!$A$4:$G$27,2,FALSE),""))</f>
        <v/>
      </c>
      <c r="I25" s="3">
        <f>IF($A25="","",IF(OR(($E25=""),($B25="")),"",($E25&amp;"|"&amp;$B25)))</f>
        <v/>
      </c>
      <c r="J25" s="3">
        <f>IF($A25="","",($B25&amp;" "&amp;$C25&amp;" "&amp;$D25))</f>
        <v/>
      </c>
      <c r="K25" s="3">
        <f>IF($A25="","",IF(($I25=""),"",IFERROR(VLOOKUP($I25,Asignacion!$I$4:$L$34,2,FALSE),"")))</f>
        <v/>
      </c>
      <c r="L25" s="3">
        <f>IF($A25="","",IF(AND(NOT(($I25="")),($K25=$J25)),1,0))</f>
        <v/>
      </c>
    </row>
    <row r="26">
      <c r="A26" s="3" t="n"/>
      <c r="B26" s="4" t="n"/>
      <c r="C26" s="4" t="n"/>
      <c r="D26" s="4" t="n"/>
      <c r="E26" s="4" t="n"/>
      <c r="F26" s="3">
        <f>IF($A26="","",IFERROR(VLOOKUP($B26,Asignaturas!$A$4:$L$27,2,FALSE),""))</f>
        <v/>
      </c>
      <c r="G26" s="3">
        <f>IF($A26="","",IF(($C26="Conf"),IFERROR(VLOOKUP($B26,Asignaturas!$A$4:$L$27,4,FALSE),0),IFERROR(VLOOKUP($B26,Asignaturas!$A$4:$L$27,5,FALSE),0)))</f>
        <v/>
      </c>
      <c r="H26" s="3">
        <f>IF($A26="","",IFERROR(VLOOKUP($E26,Profesores!$A$4:$G$27,2,FALSE),""))</f>
        <v/>
      </c>
      <c r="I26" s="3">
        <f>IF($A26="","",IF(OR(($E26=""),($B26="")),"",($E26&amp;"|"&amp;$B26)))</f>
        <v/>
      </c>
      <c r="J26" s="3">
        <f>IF($A26="","",($B26&amp;" "&amp;$C26&amp;" "&amp;$D26))</f>
        <v/>
      </c>
      <c r="K26" s="3">
        <f>IF($A26="","",IF(($I26=""),"",IFERROR(VLOOKUP($I26,Asignacion!$I$4:$L$34,2,FALSE),"")))</f>
        <v/>
      </c>
      <c r="L26" s="3">
        <f>IF($A26="","",IF(AND(NOT(($I26="")),($K26=$J26)),1,0))</f>
        <v/>
      </c>
    </row>
    <row r="27">
      <c r="A27" s="3" t="n"/>
      <c r="B27" s="4" t="n"/>
      <c r="C27" s="4" t="n"/>
      <c r="D27" s="4" t="n"/>
      <c r="E27" s="4" t="n"/>
      <c r="F27" s="3">
        <f>IF($A27="","",IFERROR(VLOOKUP($B27,Asignaturas!$A$4:$L$27,2,FALSE),""))</f>
        <v/>
      </c>
      <c r="G27" s="3">
        <f>IF($A27="","",IF(($C27="Conf"),IFERROR(VLOOKUP($B27,Asignaturas!$A$4:$L$27,4,FALSE),0),IFERROR(VLOOKUP($B27,Asignaturas!$A$4:$L$27,5,FALSE),0)))</f>
        <v/>
      </c>
      <c r="H27" s="3">
        <f>IF($A27="","",IFERROR(VLOOKUP($E27,Profesores!$A$4:$G$27,2,FALSE),""))</f>
        <v/>
      </c>
      <c r="I27" s="3">
        <f>IF($A27="","",IF(OR(($E27=""),($B27="")),"",($E27&amp;"|"&amp;$B27)))</f>
        <v/>
      </c>
      <c r="J27" s="3">
        <f>IF($A27="","",($B27&amp;" "&amp;$C27&amp;" "&amp;$D27))</f>
        <v/>
      </c>
      <c r="K27" s="3">
        <f>IF($A27="","",IF(($I27=""),"",IFERROR(VLOOKUP($I27,Asignacion!$I$4:$L$34,2,FALSE),"")))</f>
        <v/>
      </c>
      <c r="L27" s="3">
        <f>IF($A27="","",IF(AND(NOT(($I27="")),($K27=$J27)),1,0))</f>
        <v/>
      </c>
    </row>
    <row r="28">
      <c r="A28" s="3" t="n"/>
      <c r="B28" s="4" t="n"/>
      <c r="C28" s="4" t="n"/>
      <c r="D28" s="4" t="n"/>
      <c r="E28" s="4" t="n"/>
      <c r="F28" s="3">
        <f>IF($A28="","",IFERROR(VLOOKUP($B28,Asignaturas!$A$4:$L$27,2,FALSE),""))</f>
        <v/>
      </c>
      <c r="G28" s="3">
        <f>IF($A28="","",IF(($C28="Conf"),IFERROR(VLOOKUP($B28,Asignaturas!$A$4:$L$27,4,FALSE),0),IFERROR(VLOOKUP($B28,Asignaturas!$A$4:$L$27,5,FALSE),0)))</f>
        <v/>
      </c>
      <c r="H28" s="3">
        <f>IF($A28="","",IFERROR(VLOOKUP($E28,Profesores!$A$4:$G$27,2,FALSE),""))</f>
        <v/>
      </c>
      <c r="I28" s="3">
        <f>IF($A28="","",IF(OR(($E28=""),($B28="")),"",($E28&amp;"|"&amp;$B28)))</f>
        <v/>
      </c>
      <c r="J28" s="3">
        <f>IF($A28="","",($B28&amp;" "&amp;$C28&amp;" "&amp;$D28))</f>
        <v/>
      </c>
      <c r="K28" s="3">
        <f>IF($A28="","",IF(($I28=""),"",IFERROR(VLOOKUP($I28,Asignacion!$I$4:$L$34,2,FALSE),"")))</f>
        <v/>
      </c>
      <c r="L28" s="3">
        <f>IF($A28="","",IF(AND(NOT(($I28="")),($K28=$J28)),1,0))</f>
        <v/>
      </c>
    </row>
    <row r="29">
      <c r="A29" s="3" t="n"/>
      <c r="B29" s="4" t="n"/>
      <c r="C29" s="4" t="n"/>
      <c r="D29" s="4" t="n"/>
      <c r="E29" s="4" t="n"/>
      <c r="F29" s="3">
        <f>IF($A29="","",IFERROR(VLOOKUP($B29,Asignaturas!$A$4:$L$27,2,FALSE),""))</f>
        <v/>
      </c>
      <c r="G29" s="3">
        <f>IF($A29="","",IF(($C29="Conf"),IFERROR(VLOOKUP($B29,Asignaturas!$A$4:$L$27,4,FALSE),0),IFERROR(VLOOKUP($B29,Asignaturas!$A$4:$L$27,5,FALSE),0)))</f>
        <v/>
      </c>
      <c r="H29" s="3">
        <f>IF($A29="","",IFERROR(VLOOKUP($E29,Profesores!$A$4:$G$27,2,FALSE),""))</f>
        <v/>
      </c>
      <c r="I29" s="3">
        <f>IF($A29="","",IF(OR(($E29=""),($B29="")),"",($E29&amp;"|"&amp;$B29)))</f>
        <v/>
      </c>
      <c r="J29" s="3">
        <f>IF($A29="","",($B29&amp;" "&amp;$C29&amp;" "&amp;$D29))</f>
        <v/>
      </c>
      <c r="K29" s="3">
        <f>IF($A29="","",IF(($I29=""),"",IFERROR(VLOOKUP($I29,Asignacion!$I$4:$L$34,2,FALSE),"")))</f>
        <v/>
      </c>
      <c r="L29" s="3">
        <f>IF($A29="","",IF(AND(NOT(($I29="")),($K29=$J29)),1,0))</f>
        <v/>
      </c>
    </row>
    <row r="30">
      <c r="A30" s="3" t="n"/>
      <c r="B30" s="4" t="n"/>
      <c r="C30" s="4" t="n"/>
      <c r="D30" s="4" t="n"/>
      <c r="E30" s="4" t="n"/>
      <c r="F30" s="3">
        <f>IF($A30="","",IFERROR(VLOOKUP($B30,Asignaturas!$A$4:$L$27,2,FALSE),""))</f>
        <v/>
      </c>
      <c r="G30" s="3">
        <f>IF($A30="","",IF(($C30="Conf"),IFERROR(VLOOKUP($B30,Asignaturas!$A$4:$L$27,4,FALSE),0),IFERROR(VLOOKUP($B30,Asignaturas!$A$4:$L$27,5,FALSE),0)))</f>
        <v/>
      </c>
      <c r="H30" s="3">
        <f>IF($A30="","",IFERROR(VLOOKUP($E30,Profesores!$A$4:$G$27,2,FALSE),""))</f>
        <v/>
      </c>
      <c r="I30" s="3">
        <f>IF($A30="","",IF(OR(($E30=""),($B30="")),"",($E30&amp;"|"&amp;$B30)))</f>
        <v/>
      </c>
      <c r="J30" s="3">
        <f>IF($A30="","",($B30&amp;" "&amp;$C30&amp;" "&amp;$D30))</f>
        <v/>
      </c>
      <c r="K30" s="3">
        <f>IF($A30="","",IF(($I30=""),"",IFERROR(VLOOKUP($I30,Asignacion!$I$4:$L$34,2,FALSE),"")))</f>
        <v/>
      </c>
      <c r="L30" s="3">
        <f>IF($A30="","",IF(AND(NOT(($I30="")),($K30=$J30)),1,0))</f>
        <v/>
      </c>
    </row>
    <row r="31">
      <c r="A31" s="3" t="n"/>
      <c r="B31" s="4" t="n"/>
      <c r="C31" s="4" t="n"/>
      <c r="D31" s="4" t="n"/>
      <c r="E31" s="4" t="n"/>
      <c r="F31" s="3">
        <f>IF($A31="","",IFERROR(VLOOKUP($B31,Asignaturas!$A$4:$L$27,2,FALSE),""))</f>
        <v/>
      </c>
      <c r="G31" s="3">
        <f>IF($A31="","",IF(($C31="Conf"),IFERROR(VLOOKUP($B31,Asignaturas!$A$4:$L$27,4,FALSE),0),IFERROR(VLOOKUP($B31,Asignaturas!$A$4:$L$27,5,FALSE),0)))</f>
        <v/>
      </c>
      <c r="H31" s="3">
        <f>IF($A31="","",IFERROR(VLOOKUP($E31,Profesores!$A$4:$G$27,2,FALSE),""))</f>
        <v/>
      </c>
      <c r="I31" s="3">
        <f>IF($A31="","",IF(OR(($E31=""),($B31="")),"",($E31&amp;"|"&amp;$B31)))</f>
        <v/>
      </c>
      <c r="J31" s="3">
        <f>IF($A31="","",($B31&amp;" "&amp;$C31&amp;" "&amp;$D31))</f>
        <v/>
      </c>
      <c r="K31" s="3">
        <f>IF($A31="","",IF(($I31=""),"",IFERROR(VLOOKUP($I31,Asignacion!$I$4:$L$34,2,FALSE),"")))</f>
        <v/>
      </c>
      <c r="L31" s="3">
        <f>IF($A31="","",IF(AND(NOT(($I31="")),($K31=$J31)),1,0))</f>
        <v/>
      </c>
    </row>
    <row r="32">
      <c r="A32" s="3" t="n"/>
      <c r="B32" s="4" t="n"/>
      <c r="C32" s="4" t="n"/>
      <c r="D32" s="4" t="n"/>
      <c r="E32" s="4" t="n"/>
      <c r="F32" s="3">
        <f>IF($A32="","",IFERROR(VLOOKUP($B32,Asignaturas!$A$4:$L$27,2,FALSE),""))</f>
        <v/>
      </c>
      <c r="G32" s="3">
        <f>IF($A32="","",IF(($C32="Conf"),IFERROR(VLOOKUP($B32,Asignaturas!$A$4:$L$27,4,FALSE),0),IFERROR(VLOOKUP($B32,Asignaturas!$A$4:$L$27,5,FALSE),0)))</f>
        <v/>
      </c>
      <c r="H32" s="3">
        <f>IF($A32="","",IFERROR(VLOOKUP($E32,Profesores!$A$4:$G$27,2,FALSE),""))</f>
        <v/>
      </c>
      <c r="I32" s="3">
        <f>IF($A32="","",IF(OR(($E32=""),($B32="")),"",($E32&amp;"|"&amp;$B32)))</f>
        <v/>
      </c>
      <c r="J32" s="3">
        <f>IF($A32="","",($B32&amp;" "&amp;$C32&amp;" "&amp;$D32))</f>
        <v/>
      </c>
      <c r="K32" s="3">
        <f>IF($A32="","",IF(($I32=""),"",IFERROR(VLOOKUP($I32,Asignacion!$I$4:$L$34,2,FALSE),"")))</f>
        <v/>
      </c>
      <c r="L32" s="3">
        <f>IF($A32="","",IF(AND(NOT(($I32="")),($K32=$J32)),1,0))</f>
        <v/>
      </c>
    </row>
    <row r="33">
      <c r="A33" s="3" t="n"/>
      <c r="B33" s="4" t="n"/>
      <c r="C33" s="4" t="n"/>
      <c r="D33" s="4" t="n"/>
      <c r="E33" s="4" t="n"/>
      <c r="F33" s="3">
        <f>IF($A33="","",IFERROR(VLOOKUP($B33,Asignaturas!$A$4:$L$27,2,FALSE),""))</f>
        <v/>
      </c>
      <c r="G33" s="3">
        <f>IF($A33="","",IF(($C33="Conf"),IFERROR(VLOOKUP($B33,Asignaturas!$A$4:$L$27,4,FALSE),0),IFERROR(VLOOKUP($B33,Asignaturas!$A$4:$L$27,5,FALSE),0)))</f>
        <v/>
      </c>
      <c r="H33" s="3">
        <f>IF($A33="","",IFERROR(VLOOKUP($E33,Profesores!$A$4:$G$27,2,FALSE),""))</f>
        <v/>
      </c>
      <c r="I33" s="3">
        <f>IF($A33="","",IF(OR(($E33=""),($B33="")),"",($E33&amp;"|"&amp;$B33)))</f>
        <v/>
      </c>
      <c r="J33" s="3">
        <f>IF($A33="","",($B33&amp;" "&amp;$C33&amp;" "&amp;$D33))</f>
        <v/>
      </c>
      <c r="K33" s="3">
        <f>IF($A33="","",IF(($I33=""),"",IFERROR(VLOOKUP($I33,Asignacion!$I$4:$L$34,2,FALSE),"")))</f>
        <v/>
      </c>
      <c r="L33" s="3">
        <f>IF($A33="","",IF(AND(NOT(($I33="")),($K33=$J33)),1,0))</f>
        <v/>
      </c>
    </row>
    <row r="34">
      <c r="A34" s="3" t="n"/>
      <c r="B34" s="4" t="n"/>
      <c r="C34" s="4" t="n"/>
      <c r="D34" s="4" t="n"/>
      <c r="E34" s="4" t="n"/>
      <c r="F34" s="3">
        <f>IF($A34="","",IFERROR(VLOOKUP($B34,Asignaturas!$A$4:$L$27,2,FALSE),""))</f>
        <v/>
      </c>
      <c r="G34" s="3">
        <f>IF($A34="","",IF(($C34="Conf"),IFERROR(VLOOKUP($B34,Asignaturas!$A$4:$L$27,4,FALSE),0),IFERROR(VLOOKUP($B34,Asignaturas!$A$4:$L$27,5,FALSE),0)))</f>
        <v/>
      </c>
      <c r="H34" s="3">
        <f>IF($A34="","",IFERROR(VLOOKUP($E34,Profesores!$A$4:$G$27,2,FALSE),""))</f>
        <v/>
      </c>
      <c r="I34" s="3">
        <f>IF($A34="","",IF(OR(($E34=""),($B34="")),"",($E34&amp;"|"&amp;$B34)))</f>
        <v/>
      </c>
      <c r="J34" s="3">
        <f>IF($A34="","",($B34&amp;" "&amp;$C34&amp;" "&amp;$D34))</f>
        <v/>
      </c>
      <c r="K34" s="3">
        <f>IF($A34="","",IF(($I34=""),"",IFERROR(VLOOKUP($I34,Asignacion!$I$4:$L$34,2,FALSE),"")))</f>
        <v/>
      </c>
      <c r="L34" s="3">
        <f>IF($A34="","",IF(AND(NOT(($I34="")),($K34=$J34)),1,0))</f>
        <v/>
      </c>
    </row>
    <row r="36">
      <c r="A36" s="5" t="inlineStr">
        <is>
          <t>Leyenda</t>
        </is>
      </c>
    </row>
    <row r="37">
      <c r="A37" s="6" t="n"/>
      <c r="B37" t="inlineStr">
        <is>
          <t>falta profesor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E4:E34">
    <cfRule type="expression" priority="1" dxfId="0" stopIfTrue="0">
      <formula>AND(NOT(($B4="")),($E4=""))</formula>
    </cfRule>
  </conditionalFormatting>
  <dataValidations count="3">
    <dataValidation sqref="B4:B34" showDropDown="0" showInputMessage="0" showErrorMessage="1" allowBlank="1" errorTitle="Valor fuera del dominio" error="Ese valor no esta en la lista." type="list" errorStyle="information">
      <formula1>"EST-CC,EST-MAT,PROB,MNUM"</formula1>
    </dataValidation>
    <dataValidation sqref="C4:C34" showDropDown="0" showInputMessage="0" showErrorMessage="1" allowBlank="1" errorTitle="Valor fuera del dominio" error="Ese valor no esta en la lista." type="list" errorStyle="information">
      <formula1>"Conf,CP"</formula1>
    </dataValidation>
    <dataValidation sqref="E4:E34" showDropDown="0" showInputMessage="0" showErrorMessage="1" allowBlank="1" errorTitle="Valor fuera del dominio" error="Ese valor no esta en la lista." type="list" errorStyle="information">
      <formula1>"PIAD,MARA,LUGO,ROTO"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/>
  </sheetPr>
  <dimension ref="A1:G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3" customWidth="1" min="2" max="2"/>
    <col width="13" customWidth="1" min="3" max="3"/>
    <col width="13" customWidth="1" min="4" max="4"/>
    <col width="42" customWidth="1" min="5" max="5"/>
    <col width="42" customWidth="1" min="6" max="6"/>
    <col width="42" customWidth="1" min="7" max="7"/>
  </cols>
  <sheetData>
    <row r="1">
      <c r="A1" s="1" t="inlineStr">
        <is>
          <t>Profesores</t>
        </is>
      </c>
    </row>
    <row r="3">
      <c r="A3" s="2" t="inlineStr">
        <is>
          <t>Id</t>
        </is>
      </c>
      <c r="B3" s="2" t="inlineStr">
        <is>
          <t>Nombre</t>
        </is>
      </c>
      <c r="C3" s="2" t="inlineStr">
        <is>
          <t>Grado</t>
        </is>
      </c>
      <c r="D3" s="2" t="inlineStr">
        <is>
          <t>Tope</t>
        </is>
      </c>
      <c r="E3" s="2" t="inlineStr">
        <is>
          <t>Horas</t>
        </is>
      </c>
      <c r="F3" s="2" t="inlineStr">
        <is>
          <t>Asignaturas</t>
        </is>
      </c>
      <c r="G3" s="2" t="inlineStr">
        <is>
          <t>Lo que imparte</t>
        </is>
      </c>
    </row>
    <row r="4">
      <c r="A4" s="3" t="inlineStr">
        <is>
          <t>PIAD</t>
        </is>
      </c>
      <c r="B4" s="3" t="inlineStr">
        <is>
          <t>Pedro I. Alonso Diaz</t>
        </is>
      </c>
      <c r="C4" s="3" t="inlineStr">
        <is>
          <t>Dr.</t>
        </is>
      </c>
      <c r="D4" s="3" t="n">
        <v>160</v>
      </c>
      <c r="E4" s="3">
        <f>IF($A4="","",SUMIF(Asignacion!$E$4:$E$34,$A4,Asignacion!$G$4:$G$34))</f>
        <v/>
      </c>
      <c r="F4" s="3">
        <f>IF($A4="","",SUMIF(Asignacion!$E$4:$E$34,$A4,Asignacion!$L$4:$L$34))</f>
        <v/>
      </c>
      <c r="G4" s="3">
        <f>IF($A4="","",COUNTIF('Detalle - Lo que imparte'!$A$4:$A$11,$A4&amp;"#*"))</f>
        <v/>
      </c>
    </row>
    <row r="5">
      <c r="A5" s="3" t="inlineStr">
        <is>
          <t>MARA</t>
        </is>
      </c>
      <c r="B5" s="3" t="inlineStr">
        <is>
          <t>Maria Ramirez</t>
        </is>
      </c>
      <c r="C5" s="3" t="inlineStr">
        <is>
          <t>MSc.</t>
        </is>
      </c>
      <c r="D5" s="3" t="n">
        <v>80</v>
      </c>
      <c r="E5" s="3">
        <f>IF($A5="","",SUMIF(Asignacion!$E$4:$E$34,$A5,Asignacion!$G$4:$G$34))</f>
        <v/>
      </c>
      <c r="F5" s="3">
        <f>IF($A5="","",SUMIF(Asignacion!$E$4:$E$34,$A5,Asignacion!$L$4:$L$34))</f>
        <v/>
      </c>
      <c r="G5" s="3">
        <f>IF($A5="","",COUNTIF('Detalle - Lo que imparte'!$A$4:$A$11,$A5&amp;"#*"))</f>
        <v/>
      </c>
    </row>
    <row r="6">
      <c r="A6" s="3" t="inlineStr">
        <is>
          <t>LUGO</t>
        </is>
      </c>
      <c r="B6" s="3" t="inlineStr">
        <is>
          <t>Luis Gomez</t>
        </is>
      </c>
      <c r="C6" s="3" t="inlineStr">
        <is>
          <t>Lic.</t>
        </is>
      </c>
      <c r="D6" s="3" t="n">
        <v>160</v>
      </c>
      <c r="E6" s="3">
        <f>IF($A6="","",SUMIF(Asignacion!$E$4:$E$34,$A6,Asignacion!$G$4:$G$34))</f>
        <v/>
      </c>
      <c r="F6" s="3">
        <f>IF($A6="","",SUMIF(Asignacion!$E$4:$E$34,$A6,Asignacion!$L$4:$L$34))</f>
        <v/>
      </c>
      <c r="G6" s="3">
        <f>IF($A6="","",COUNTIF('Detalle - Lo que imparte'!$A$4:$A$11,$A6&amp;"#*"))</f>
        <v/>
      </c>
    </row>
    <row r="7">
      <c r="A7" s="3" t="inlineStr">
        <is>
          <t>ROTO</t>
        </is>
      </c>
      <c r="B7" s="3" t="inlineStr">
        <is>
          <t>Rosa Torres</t>
        </is>
      </c>
      <c r="C7" s="3" t="inlineStr">
        <is>
          <t>Dra.</t>
        </is>
      </c>
      <c r="D7" s="3" t="n">
        <v>160</v>
      </c>
      <c r="E7" s="3">
        <f>IF($A7="","",SUMIF(Asignacion!$E$4:$E$34,$A7,Asignacion!$G$4:$G$34))</f>
        <v/>
      </c>
      <c r="F7" s="3">
        <f>IF($A7="","",SUMIF(Asignacion!$E$4:$E$34,$A7,Asignacion!$L$4:$L$34))</f>
        <v/>
      </c>
      <c r="G7" s="3">
        <f>IF($A7="","",COUNTIF('Detalle - Lo que imparte'!$A$4:$A$11,$A7&amp;"#*"))</f>
        <v/>
      </c>
    </row>
    <row r="8">
      <c r="A8" s="3" t="n"/>
      <c r="B8" s="3" t="n"/>
      <c r="C8" s="3" t="n"/>
      <c r="D8" s="3" t="n"/>
      <c r="E8" s="3">
        <f>IF($A8="","",SUMIF(Asignacion!$E$4:$E$34,$A8,Asignacion!$G$4:$G$34))</f>
        <v/>
      </c>
      <c r="F8" s="3">
        <f>IF($A8="","",SUMIF(Asignacion!$E$4:$E$34,$A8,Asignacion!$L$4:$L$34))</f>
        <v/>
      </c>
      <c r="G8" s="3">
        <f>IF($A8="","",COUNTIF('Detalle - Lo que imparte'!$A$4:$A$11,$A8&amp;"#*"))</f>
        <v/>
      </c>
    </row>
    <row r="9">
      <c r="A9" s="3" t="n"/>
      <c r="B9" s="3" t="n"/>
      <c r="C9" s="3" t="n"/>
      <c r="D9" s="3" t="n"/>
      <c r="E9" s="3">
        <f>IF($A9="","",SUMIF(Asignacion!$E$4:$E$34,$A9,Asignacion!$G$4:$G$34))</f>
        <v/>
      </c>
      <c r="F9" s="3">
        <f>IF($A9="","",SUMIF(Asignacion!$E$4:$E$34,$A9,Asignacion!$L$4:$L$34))</f>
        <v/>
      </c>
      <c r="G9" s="3">
        <f>IF($A9="","",COUNTIF('Detalle - Lo que imparte'!$A$4:$A$11,$A9&amp;"#*"))</f>
        <v/>
      </c>
    </row>
    <row r="10">
      <c r="A10" s="3" t="n"/>
      <c r="B10" s="3" t="n"/>
      <c r="C10" s="3" t="n"/>
      <c r="D10" s="3" t="n"/>
      <c r="E10" s="3">
        <f>IF($A10="","",SUMIF(Asignacion!$E$4:$E$34,$A10,Asignacion!$G$4:$G$34))</f>
        <v/>
      </c>
      <c r="F10" s="3">
        <f>IF($A10="","",SUMIF(Asignacion!$E$4:$E$34,$A10,Asignacion!$L$4:$L$34))</f>
        <v/>
      </c>
      <c r="G10" s="3">
        <f>IF($A10="","",COUNTIF('Detalle - Lo que imparte'!$A$4:$A$11,$A10&amp;"#*"))</f>
        <v/>
      </c>
    </row>
    <row r="11">
      <c r="A11" s="3" t="n"/>
      <c r="B11" s="3" t="n"/>
      <c r="C11" s="3" t="n"/>
      <c r="D11" s="3" t="n"/>
      <c r="E11" s="3">
        <f>IF($A11="","",SUMIF(Asignacion!$E$4:$E$34,$A11,Asignacion!$G$4:$G$34))</f>
        <v/>
      </c>
      <c r="F11" s="3">
        <f>IF($A11="","",SUMIF(Asignacion!$E$4:$E$34,$A11,Asignacion!$L$4:$L$34))</f>
        <v/>
      </c>
      <c r="G11" s="3">
        <f>IF($A11="","",COUNTIF('Detalle - Lo que imparte'!$A$4:$A$11,$A11&amp;"#*"))</f>
        <v/>
      </c>
    </row>
    <row r="12">
      <c r="A12" s="3" t="n"/>
      <c r="B12" s="3" t="n"/>
      <c r="C12" s="3" t="n"/>
      <c r="D12" s="3" t="n"/>
      <c r="E12" s="3">
        <f>IF($A12="","",SUMIF(Asignacion!$E$4:$E$34,$A12,Asignacion!$G$4:$G$34))</f>
        <v/>
      </c>
      <c r="F12" s="3">
        <f>IF($A12="","",SUMIF(Asignacion!$E$4:$E$34,$A12,Asignacion!$L$4:$L$34))</f>
        <v/>
      </c>
      <c r="G12" s="3">
        <f>IF($A12="","",COUNTIF('Detalle - Lo que imparte'!$A$4:$A$11,$A12&amp;"#*"))</f>
        <v/>
      </c>
    </row>
    <row r="13">
      <c r="A13" s="3" t="n"/>
      <c r="B13" s="3" t="n"/>
      <c r="C13" s="3" t="n"/>
      <c r="D13" s="3" t="n"/>
      <c r="E13" s="3">
        <f>IF($A13="","",SUMIF(Asignacion!$E$4:$E$34,$A13,Asignacion!$G$4:$G$34))</f>
        <v/>
      </c>
      <c r="F13" s="3">
        <f>IF($A13="","",SUMIF(Asignacion!$E$4:$E$34,$A13,Asignacion!$L$4:$L$34))</f>
        <v/>
      </c>
      <c r="G13" s="3">
        <f>IF($A13="","",COUNTIF('Detalle - Lo que imparte'!$A$4:$A$11,$A13&amp;"#*"))</f>
        <v/>
      </c>
    </row>
    <row r="14">
      <c r="A14" s="3" t="n"/>
      <c r="B14" s="3" t="n"/>
      <c r="C14" s="3" t="n"/>
      <c r="D14" s="3" t="n"/>
      <c r="E14" s="3">
        <f>IF($A14="","",SUMIF(Asignacion!$E$4:$E$34,$A14,Asignacion!$G$4:$G$34))</f>
        <v/>
      </c>
      <c r="F14" s="3">
        <f>IF($A14="","",SUMIF(Asignacion!$E$4:$E$34,$A14,Asignacion!$L$4:$L$34))</f>
        <v/>
      </c>
      <c r="G14" s="3">
        <f>IF($A14="","",COUNTIF('Detalle - Lo que imparte'!$A$4:$A$11,$A14&amp;"#*"))</f>
        <v/>
      </c>
    </row>
    <row r="15">
      <c r="A15" s="3" t="n"/>
      <c r="B15" s="3" t="n"/>
      <c r="C15" s="3" t="n"/>
      <c r="D15" s="3" t="n"/>
      <c r="E15" s="3">
        <f>IF($A15="","",SUMIF(Asignacion!$E$4:$E$34,$A15,Asignacion!$G$4:$G$34))</f>
        <v/>
      </c>
      <c r="F15" s="3">
        <f>IF($A15="","",SUMIF(Asignacion!$E$4:$E$34,$A15,Asignacion!$L$4:$L$34))</f>
        <v/>
      </c>
      <c r="G15" s="3">
        <f>IF($A15="","",COUNTIF('Detalle - Lo que imparte'!$A$4:$A$11,$A15&amp;"#*"))</f>
        <v/>
      </c>
    </row>
    <row r="16">
      <c r="A16" s="3" t="n"/>
      <c r="B16" s="3" t="n"/>
      <c r="C16" s="3" t="n"/>
      <c r="D16" s="3" t="n"/>
      <c r="E16" s="3">
        <f>IF($A16="","",SUMIF(Asignacion!$E$4:$E$34,$A16,Asignacion!$G$4:$G$34))</f>
        <v/>
      </c>
      <c r="F16" s="3">
        <f>IF($A16="","",SUMIF(Asignacion!$E$4:$E$34,$A16,Asignacion!$L$4:$L$34))</f>
        <v/>
      </c>
      <c r="G16" s="3">
        <f>IF($A16="","",COUNTIF('Detalle - Lo que imparte'!$A$4:$A$11,$A16&amp;"#*"))</f>
        <v/>
      </c>
    </row>
    <row r="17">
      <c r="A17" s="3" t="n"/>
      <c r="B17" s="3" t="n"/>
      <c r="C17" s="3" t="n"/>
      <c r="D17" s="3" t="n"/>
      <c r="E17" s="3">
        <f>IF($A17="","",SUMIF(Asignacion!$E$4:$E$34,$A17,Asignacion!$G$4:$G$34))</f>
        <v/>
      </c>
      <c r="F17" s="3">
        <f>IF($A17="","",SUMIF(Asignacion!$E$4:$E$34,$A17,Asignacion!$L$4:$L$34))</f>
        <v/>
      </c>
      <c r="G17" s="3">
        <f>IF($A17="","",COUNTIF('Detalle - Lo que imparte'!$A$4:$A$11,$A17&amp;"#*"))</f>
        <v/>
      </c>
    </row>
    <row r="18">
      <c r="A18" s="3" t="n"/>
      <c r="B18" s="3" t="n"/>
      <c r="C18" s="3" t="n"/>
      <c r="D18" s="3" t="n"/>
      <c r="E18" s="3">
        <f>IF($A18="","",SUMIF(Asignacion!$E$4:$E$34,$A18,Asignacion!$G$4:$G$34))</f>
        <v/>
      </c>
      <c r="F18" s="3">
        <f>IF($A18="","",SUMIF(Asignacion!$E$4:$E$34,$A18,Asignacion!$L$4:$L$34))</f>
        <v/>
      </c>
      <c r="G18" s="3">
        <f>IF($A18="","",COUNTIF('Detalle - Lo que imparte'!$A$4:$A$11,$A18&amp;"#*"))</f>
        <v/>
      </c>
    </row>
    <row r="19">
      <c r="A19" s="3" t="n"/>
      <c r="B19" s="3" t="n"/>
      <c r="C19" s="3" t="n"/>
      <c r="D19" s="3" t="n"/>
      <c r="E19" s="3">
        <f>IF($A19="","",SUMIF(Asignacion!$E$4:$E$34,$A19,Asignacion!$G$4:$G$34))</f>
        <v/>
      </c>
      <c r="F19" s="3">
        <f>IF($A19="","",SUMIF(Asignacion!$E$4:$E$34,$A19,Asignacion!$L$4:$L$34))</f>
        <v/>
      </c>
      <c r="G19" s="3">
        <f>IF($A19="","",COUNTIF('Detalle - Lo que imparte'!$A$4:$A$11,$A19&amp;"#*"))</f>
        <v/>
      </c>
    </row>
    <row r="20">
      <c r="A20" s="3" t="n"/>
      <c r="B20" s="3" t="n"/>
      <c r="C20" s="3" t="n"/>
      <c r="D20" s="3" t="n"/>
      <c r="E20" s="3">
        <f>IF($A20="","",SUMIF(Asignacion!$E$4:$E$34,$A20,Asignacion!$G$4:$G$34))</f>
        <v/>
      </c>
      <c r="F20" s="3">
        <f>IF($A20="","",SUMIF(Asignacion!$E$4:$E$34,$A20,Asignacion!$L$4:$L$34))</f>
        <v/>
      </c>
      <c r="G20" s="3">
        <f>IF($A20="","",COUNTIF('Detalle - Lo que imparte'!$A$4:$A$11,$A20&amp;"#*"))</f>
        <v/>
      </c>
    </row>
    <row r="21">
      <c r="A21" s="3" t="n"/>
      <c r="B21" s="3" t="n"/>
      <c r="C21" s="3" t="n"/>
      <c r="D21" s="3" t="n"/>
      <c r="E21" s="3">
        <f>IF($A21="","",SUMIF(Asignacion!$E$4:$E$34,$A21,Asignacion!$G$4:$G$34))</f>
        <v/>
      </c>
      <c r="F21" s="3">
        <f>IF($A21="","",SUMIF(Asignacion!$E$4:$E$34,$A21,Asignacion!$L$4:$L$34))</f>
        <v/>
      </c>
      <c r="G21" s="3">
        <f>IF($A21="","",COUNTIF('Detalle - Lo que imparte'!$A$4:$A$11,$A21&amp;"#*"))</f>
        <v/>
      </c>
    </row>
    <row r="22">
      <c r="A22" s="3" t="n"/>
      <c r="B22" s="3" t="n"/>
      <c r="C22" s="3" t="n"/>
      <c r="D22" s="3" t="n"/>
      <c r="E22" s="3">
        <f>IF($A22="","",SUMIF(Asignacion!$E$4:$E$34,$A22,Asignacion!$G$4:$G$34))</f>
        <v/>
      </c>
      <c r="F22" s="3">
        <f>IF($A22="","",SUMIF(Asignacion!$E$4:$E$34,$A22,Asignacion!$L$4:$L$34))</f>
        <v/>
      </c>
      <c r="G22" s="3">
        <f>IF($A22="","",COUNTIF('Detalle - Lo que imparte'!$A$4:$A$11,$A22&amp;"#*"))</f>
        <v/>
      </c>
    </row>
    <row r="23">
      <c r="A23" s="3" t="n"/>
      <c r="B23" s="3" t="n"/>
      <c r="C23" s="3" t="n"/>
      <c r="D23" s="3" t="n"/>
      <c r="E23" s="3">
        <f>IF($A23="","",SUMIF(Asignacion!$E$4:$E$34,$A23,Asignacion!$G$4:$G$34))</f>
        <v/>
      </c>
      <c r="F23" s="3">
        <f>IF($A23="","",SUMIF(Asignacion!$E$4:$E$34,$A23,Asignacion!$L$4:$L$34))</f>
        <v/>
      </c>
      <c r="G23" s="3">
        <f>IF($A23="","",COUNTIF('Detalle - Lo que imparte'!$A$4:$A$11,$A23&amp;"#*"))</f>
        <v/>
      </c>
    </row>
    <row r="24">
      <c r="A24" s="3" t="n"/>
      <c r="B24" s="3" t="n"/>
      <c r="C24" s="3" t="n"/>
      <c r="D24" s="3" t="n"/>
      <c r="E24" s="3">
        <f>IF($A24="","",SUMIF(Asignacion!$E$4:$E$34,$A24,Asignacion!$G$4:$G$34))</f>
        <v/>
      </c>
      <c r="F24" s="3">
        <f>IF($A24="","",SUMIF(Asignacion!$E$4:$E$34,$A24,Asignacion!$L$4:$L$34))</f>
        <v/>
      </c>
      <c r="G24" s="3">
        <f>IF($A24="","",COUNTIF('Detalle - Lo que imparte'!$A$4:$A$11,$A24&amp;"#*"))</f>
        <v/>
      </c>
    </row>
    <row r="25">
      <c r="A25" s="3" t="n"/>
      <c r="B25" s="3" t="n"/>
      <c r="C25" s="3" t="n"/>
      <c r="D25" s="3" t="n"/>
      <c r="E25" s="3">
        <f>IF($A25="","",SUMIF(Asignacion!$E$4:$E$34,$A25,Asignacion!$G$4:$G$34))</f>
        <v/>
      </c>
      <c r="F25" s="3">
        <f>IF($A25="","",SUMIF(Asignacion!$E$4:$E$34,$A25,Asignacion!$L$4:$L$34))</f>
        <v/>
      </c>
      <c r="G25" s="3">
        <f>IF($A25="","",COUNTIF('Detalle - Lo que imparte'!$A$4:$A$11,$A25&amp;"#*"))</f>
        <v/>
      </c>
    </row>
    <row r="26">
      <c r="A26" s="3" t="n"/>
      <c r="B26" s="3" t="n"/>
      <c r="C26" s="3" t="n"/>
      <c r="D26" s="3" t="n"/>
      <c r="E26" s="3">
        <f>IF($A26="","",SUMIF(Asignacion!$E$4:$E$34,$A26,Asignacion!$G$4:$G$34))</f>
        <v/>
      </c>
      <c r="F26" s="3">
        <f>IF($A26="","",SUMIF(Asignacion!$E$4:$E$34,$A26,Asignacion!$L$4:$L$34))</f>
        <v/>
      </c>
      <c r="G26" s="3">
        <f>IF($A26="","",COUNTIF('Detalle - Lo que imparte'!$A$4:$A$11,$A26&amp;"#*"))</f>
        <v/>
      </c>
    </row>
    <row r="27">
      <c r="A27" s="3" t="n"/>
      <c r="B27" s="3" t="n"/>
      <c r="C27" s="3" t="n"/>
      <c r="D27" s="3" t="n"/>
      <c r="E27" s="3">
        <f>IF($A27="","",SUMIF(Asignacion!$E$4:$E$34,$A27,Asignacion!$G$4:$G$34))</f>
        <v/>
      </c>
      <c r="F27" s="3">
        <f>IF($A27="","",SUMIF(Asignacion!$E$4:$E$34,$A27,Asignacion!$L$4:$L$34))</f>
        <v/>
      </c>
      <c r="G27" s="3">
        <f>IF($A27="","",COUNTIF('Detalle - Lo que imparte'!$A$4:$A$11,$A27&amp;"#*"))</f>
        <v/>
      </c>
    </row>
    <row r="29">
      <c r="A29" s="5" t="inlineStr">
        <is>
          <t>Leyenda</t>
        </is>
      </c>
    </row>
    <row r="30">
      <c r="A30" s="7" t="n"/>
      <c r="B30" t="inlineStr">
        <is>
          <t>sobrecarga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E4:E27">
    <cfRule type="expression" priority="1" dxfId="1" stopIfTrue="0">
      <formula>($E4&gt;$D4)</formula>
    </cfRule>
  </conditionalFormatting>
  <conditionalFormatting sqref="D4:D27">
    <cfRule type="expression" priority="1" dxfId="1" stopIfTrue="0">
      <formula>($E4&gt;$D4)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/>
  </sheetPr>
  <dimension ref="A1:L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8" customWidth="1" min="3" max="3"/>
    <col width="13" customWidth="1" min="4" max="4"/>
    <col width="13" customWidth="1" min="5" max="5"/>
    <col width="13" customWidth="1" min="6" max="6"/>
    <col width="37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</cols>
  <sheetData>
    <row r="1">
      <c r="A1" s="1" t="inlineStr">
        <is>
          <t>Asignaturas</t>
        </is>
      </c>
    </row>
    <row r="3">
      <c r="A3" s="2" t="inlineStr">
        <is>
          <t>Id</t>
        </is>
      </c>
      <c r="B3" s="2" t="inlineStr">
        <is>
          <t>Asignatura</t>
        </is>
      </c>
      <c r="C3" s="2" t="inlineStr">
        <is>
          <t>Carrera</t>
        </is>
      </c>
      <c r="D3" s="2" t="inlineStr">
        <is>
          <t>Horas Conf</t>
        </is>
      </c>
      <c r="E3" s="2" t="inlineStr">
        <is>
          <t>Horas CP</t>
        </is>
      </c>
      <c r="F3" s="2" t="inlineStr">
        <is>
          <t>Grupos CP</t>
        </is>
      </c>
      <c r="G3" s="2" t="inlineStr">
        <is>
          <t>Horas planificadas</t>
        </is>
      </c>
      <c r="H3" s="2" t="inlineStr">
        <is>
          <t>Filas de carga</t>
        </is>
      </c>
      <c r="I3" s="2" t="inlineStr">
        <is>
          <t>Horas en filas</t>
        </is>
      </c>
      <c r="J3" s="2" t="inlineStr">
        <is>
          <t>Horas asignadas</t>
        </is>
      </c>
      <c r="K3" s="2" t="inlineStr">
        <is>
          <t>Sin profesor</t>
        </is>
      </c>
      <c r="L3" s="2" t="inlineStr">
        <is>
          <t>Cobertura</t>
        </is>
      </c>
    </row>
    <row r="4">
      <c r="A4" s="3" t="inlineStr">
        <is>
          <t>EST-CC</t>
        </is>
      </c>
      <c r="B4" s="3" t="inlineStr">
        <is>
          <t>Estadistica (CC)</t>
        </is>
      </c>
      <c r="C4" s="3" t="inlineStr">
        <is>
          <t>Ciencia de la Computacion</t>
        </is>
      </c>
      <c r="D4" s="3" t="n">
        <v>32</v>
      </c>
      <c r="E4" s="3" t="n">
        <v>32</v>
      </c>
      <c r="F4" s="3" t="n">
        <v>2</v>
      </c>
      <c r="G4" s="3">
        <f>IF($A4="","",($D4+($E4*$F4)))</f>
        <v/>
      </c>
      <c r="H4" s="3">
        <f>IF($A4="","",COUNTIF(Asignacion!$B$4:$B$34,$A4))</f>
        <v/>
      </c>
      <c r="I4" s="3">
        <f>IF($A4="","",SUMIF(Asignacion!$B$4:$B$34,$A4,Asignacion!$G$4:$G$34))</f>
        <v/>
      </c>
      <c r="J4" s="3">
        <f>IF($A4="","",SUMIFS(Asignacion!$G$4:$G$34,Asignacion!$B$4:$B$34,$A4,Asignacion!$E$4:$E$34,"&lt;&gt;"))</f>
        <v/>
      </c>
      <c r="K4" s="3">
        <f>IF($A4="","",COUNTIFS(Asignacion!$B$4:$B$34,$A4,Asignacion!$E$4:$E$34,""))</f>
        <v/>
      </c>
      <c r="L4" s="3">
        <f>IF($A4="","",IF(($H4=0),"Sin filas de carga",IF(($I4&lt;$G4),(IF(($G4-$I4)=1,"Falta","Faltan")&amp;" "&amp;($G4-$I4)&amp;" horas de carga"),IF(($K4&gt;0),(IF($K4=1,"Falta","Faltan")&amp;" "&amp;$K4&amp;" "&amp;IF($K4=1,"profesor","profesores")),"Completa"))))</f>
        <v/>
      </c>
    </row>
    <row r="5">
      <c r="A5" s="3" t="inlineStr">
        <is>
          <t>EST-MAT</t>
        </is>
      </c>
      <c r="B5" s="3" t="inlineStr">
        <is>
          <t>Estadistica (Mat)</t>
        </is>
      </c>
      <c r="C5" s="3" t="inlineStr">
        <is>
          <t>Matematica</t>
        </is>
      </c>
      <c r="D5" s="3" t="n">
        <v>32</v>
      </c>
      <c r="E5" s="3" t="n">
        <v>32</v>
      </c>
      <c r="F5" s="3" t="n">
        <v>1</v>
      </c>
      <c r="G5" s="3">
        <f>IF($A5="","",($D5+($E5*$F5)))</f>
        <v/>
      </c>
      <c r="H5" s="3">
        <f>IF($A5="","",COUNTIF(Asignacion!$B$4:$B$34,$A5))</f>
        <v/>
      </c>
      <c r="I5" s="3">
        <f>IF($A5="","",SUMIF(Asignacion!$B$4:$B$34,$A5,Asignacion!$G$4:$G$34))</f>
        <v/>
      </c>
      <c r="J5" s="3">
        <f>IF($A5="","",SUMIFS(Asignacion!$G$4:$G$34,Asignacion!$B$4:$B$34,$A5,Asignacion!$E$4:$E$34,"&lt;&gt;"))</f>
        <v/>
      </c>
      <c r="K5" s="3">
        <f>IF($A5="","",COUNTIFS(Asignacion!$B$4:$B$34,$A5,Asignacion!$E$4:$E$34,""))</f>
        <v/>
      </c>
      <c r="L5" s="3">
        <f>IF($A5="","",IF(($H5=0),"Sin filas de carga",IF(($I5&lt;$G5),(IF(($G5-$I5)=1,"Falta","Faltan")&amp;" "&amp;($G5-$I5)&amp;" horas de carga"),IF(($K5&gt;0),(IF($K5=1,"Falta","Faltan")&amp;" "&amp;$K5&amp;" "&amp;IF($K5=1,"profesor","profesores")),"Completa"))))</f>
        <v/>
      </c>
    </row>
    <row r="6">
      <c r="A6" s="3" t="inlineStr">
        <is>
          <t>PROB</t>
        </is>
      </c>
      <c r="B6" s="3" t="inlineStr">
        <is>
          <t>Probabilidades</t>
        </is>
      </c>
      <c r="C6" s="3" t="inlineStr">
        <is>
          <t>Matematica</t>
        </is>
      </c>
      <c r="D6" s="3" t="n">
        <v>48</v>
      </c>
      <c r="E6" s="3" t="n">
        <v>32</v>
      </c>
      <c r="F6" s="3" t="n">
        <v>2</v>
      </c>
      <c r="G6" s="3">
        <f>IF($A6="","",($D6+($E6*$F6)))</f>
        <v/>
      </c>
      <c r="H6" s="3">
        <f>IF($A6="","",COUNTIF(Asignacion!$B$4:$B$34,$A6))</f>
        <v/>
      </c>
      <c r="I6" s="3">
        <f>IF($A6="","",SUMIF(Asignacion!$B$4:$B$34,$A6,Asignacion!$G$4:$G$34))</f>
        <v/>
      </c>
      <c r="J6" s="3">
        <f>IF($A6="","",SUMIFS(Asignacion!$G$4:$G$34,Asignacion!$B$4:$B$34,$A6,Asignacion!$E$4:$E$34,"&lt;&gt;"))</f>
        <v/>
      </c>
      <c r="K6" s="3">
        <f>IF($A6="","",COUNTIFS(Asignacion!$B$4:$B$34,$A6,Asignacion!$E$4:$E$34,""))</f>
        <v/>
      </c>
      <c r="L6" s="3">
        <f>IF($A6="","",IF(($H6=0),"Sin filas de carga",IF(($I6&lt;$G6),(IF(($G6-$I6)=1,"Falta","Faltan")&amp;" "&amp;($G6-$I6)&amp;" horas de carga"),IF(($K6&gt;0),(IF($K6=1,"Falta","Faltan")&amp;" "&amp;$K6&amp;" "&amp;IF($K6=1,"profesor","profesores")),"Completa"))))</f>
        <v/>
      </c>
    </row>
    <row r="7">
      <c r="A7" s="3" t="inlineStr">
        <is>
          <t>MNUM</t>
        </is>
      </c>
      <c r="B7" s="3" t="inlineStr">
        <is>
          <t>Metodos Numericos</t>
        </is>
      </c>
      <c r="C7" s="3" t="inlineStr">
        <is>
          <t>Ciencia de la Computacion</t>
        </is>
      </c>
      <c r="D7" s="3" t="n">
        <v>32</v>
      </c>
      <c r="E7" s="3" t="n">
        <v>48</v>
      </c>
      <c r="F7" s="3" t="n">
        <v>1</v>
      </c>
      <c r="G7" s="3">
        <f>IF($A7="","",($D7+($E7*$F7)))</f>
        <v/>
      </c>
      <c r="H7" s="3">
        <f>IF($A7="","",COUNTIF(Asignacion!$B$4:$B$34,$A7))</f>
        <v/>
      </c>
      <c r="I7" s="3">
        <f>IF($A7="","",SUMIF(Asignacion!$B$4:$B$34,$A7,Asignacion!$G$4:$G$34))</f>
        <v/>
      </c>
      <c r="J7" s="3">
        <f>IF($A7="","",SUMIFS(Asignacion!$G$4:$G$34,Asignacion!$B$4:$B$34,$A7,Asignacion!$E$4:$E$34,"&lt;&gt;"))</f>
        <v/>
      </c>
      <c r="K7" s="3">
        <f>IF($A7="","",COUNTIFS(Asignacion!$B$4:$B$34,$A7,Asignacion!$E$4:$E$34,""))</f>
        <v/>
      </c>
      <c r="L7" s="3">
        <f>IF($A7="","",IF(($H7=0),"Sin filas de carga",IF(($I7&lt;$G7),(IF(($G7-$I7)=1,"Falta","Faltan")&amp;" "&amp;($G7-$I7)&amp;" horas de carga"),IF(($K7&gt;0),(IF($K7=1,"Falta","Faltan")&amp;" "&amp;$K7&amp;" "&amp;IF($K7=1,"profesor","profesores")),"Completa"))))</f>
        <v/>
      </c>
    </row>
    <row r="8">
      <c r="A8" s="3" t="n"/>
      <c r="B8" s="3" t="n"/>
      <c r="C8" s="3" t="n"/>
      <c r="D8" s="3" t="n"/>
      <c r="E8" s="3" t="n"/>
      <c r="F8" s="3" t="n"/>
      <c r="G8" s="3">
        <f>IF($A8="","",($D8+($E8*$F8)))</f>
        <v/>
      </c>
      <c r="H8" s="3">
        <f>IF($A8="","",COUNTIF(Asignacion!$B$4:$B$34,$A8))</f>
        <v/>
      </c>
      <c r="I8" s="3">
        <f>IF($A8="","",SUMIF(Asignacion!$B$4:$B$34,$A8,Asignacion!$G$4:$G$34))</f>
        <v/>
      </c>
      <c r="J8" s="3">
        <f>IF($A8="","",SUMIFS(Asignacion!$G$4:$G$34,Asignacion!$B$4:$B$34,$A8,Asignacion!$E$4:$E$34,"&lt;&gt;"))</f>
        <v/>
      </c>
      <c r="K8" s="3">
        <f>IF($A8="","",COUNTIFS(Asignacion!$B$4:$B$34,$A8,Asignacion!$E$4:$E$34,""))</f>
        <v/>
      </c>
      <c r="L8" s="3">
        <f>IF($A8="","",IF(($H8=0),"Sin filas de carga",IF(($I8&lt;$G8),(IF(($G8-$I8)=1,"Falta","Faltan")&amp;" "&amp;($G8-$I8)&amp;" horas de carga"),IF(($K8&gt;0),(IF($K8=1,"Falta","Faltan")&amp;" "&amp;$K8&amp;" "&amp;IF($K8=1,"profesor","profesores")),"Completa"))))</f>
        <v/>
      </c>
    </row>
    <row r="9">
      <c r="A9" s="3" t="n"/>
      <c r="B9" s="3" t="n"/>
      <c r="C9" s="3" t="n"/>
      <c r="D9" s="3" t="n"/>
      <c r="E9" s="3" t="n"/>
      <c r="F9" s="3" t="n"/>
      <c r="G9" s="3">
        <f>IF($A9="","",($D9+($E9*$F9)))</f>
        <v/>
      </c>
      <c r="H9" s="3">
        <f>IF($A9="","",COUNTIF(Asignacion!$B$4:$B$34,$A9))</f>
        <v/>
      </c>
      <c r="I9" s="3">
        <f>IF($A9="","",SUMIF(Asignacion!$B$4:$B$34,$A9,Asignacion!$G$4:$G$34))</f>
        <v/>
      </c>
      <c r="J9" s="3">
        <f>IF($A9="","",SUMIFS(Asignacion!$G$4:$G$34,Asignacion!$B$4:$B$34,$A9,Asignacion!$E$4:$E$34,"&lt;&gt;"))</f>
        <v/>
      </c>
      <c r="K9" s="3">
        <f>IF($A9="","",COUNTIFS(Asignacion!$B$4:$B$34,$A9,Asignacion!$E$4:$E$34,""))</f>
        <v/>
      </c>
      <c r="L9" s="3">
        <f>IF($A9="","",IF(($H9=0),"Sin filas de carga",IF(($I9&lt;$G9),(IF(($G9-$I9)=1,"Falta","Faltan")&amp;" "&amp;($G9-$I9)&amp;" horas de carga"),IF(($K9&gt;0),(IF($K9=1,"Falta","Faltan")&amp;" "&amp;$K9&amp;" "&amp;IF($K9=1,"profesor","profesores")),"Completa"))))</f>
        <v/>
      </c>
    </row>
    <row r="10">
      <c r="A10" s="3" t="n"/>
      <c r="B10" s="3" t="n"/>
      <c r="C10" s="3" t="n"/>
      <c r="D10" s="3" t="n"/>
      <c r="E10" s="3" t="n"/>
      <c r="F10" s="3" t="n"/>
      <c r="G10" s="3">
        <f>IF($A10="","",($D10+($E10*$F10)))</f>
        <v/>
      </c>
      <c r="H10" s="3">
        <f>IF($A10="","",COUNTIF(Asignacion!$B$4:$B$34,$A10))</f>
        <v/>
      </c>
      <c r="I10" s="3">
        <f>IF($A10="","",SUMIF(Asignacion!$B$4:$B$34,$A10,Asignacion!$G$4:$G$34))</f>
        <v/>
      </c>
      <c r="J10" s="3">
        <f>IF($A10="","",SUMIFS(Asignacion!$G$4:$G$34,Asignacion!$B$4:$B$34,$A10,Asignacion!$E$4:$E$34,"&lt;&gt;"))</f>
        <v/>
      </c>
      <c r="K10" s="3">
        <f>IF($A10="","",COUNTIFS(Asignacion!$B$4:$B$34,$A10,Asignacion!$E$4:$E$34,""))</f>
        <v/>
      </c>
      <c r="L10" s="3">
        <f>IF($A10="","",IF(($H10=0),"Sin filas de carga",IF(($I10&lt;$G10),(IF(($G10-$I10)=1,"Falta","Faltan")&amp;" "&amp;($G10-$I10)&amp;" horas de carga"),IF(($K10&gt;0),(IF($K10=1,"Falta","Faltan")&amp;" "&amp;$K10&amp;" "&amp;IF($K10=1,"profesor","profesores")),"Completa"))))</f>
        <v/>
      </c>
    </row>
    <row r="11">
      <c r="A11" s="3" t="n"/>
      <c r="B11" s="3" t="n"/>
      <c r="C11" s="3" t="n"/>
      <c r="D11" s="3" t="n"/>
      <c r="E11" s="3" t="n"/>
      <c r="F11" s="3" t="n"/>
      <c r="G11" s="3">
        <f>IF($A11="","",($D11+($E11*$F11)))</f>
        <v/>
      </c>
      <c r="H11" s="3">
        <f>IF($A11="","",COUNTIF(Asignacion!$B$4:$B$34,$A11))</f>
        <v/>
      </c>
      <c r="I11" s="3">
        <f>IF($A11="","",SUMIF(Asignacion!$B$4:$B$34,$A11,Asignacion!$G$4:$G$34))</f>
        <v/>
      </c>
      <c r="J11" s="3">
        <f>IF($A11="","",SUMIFS(Asignacion!$G$4:$G$34,Asignacion!$B$4:$B$34,$A11,Asignacion!$E$4:$E$34,"&lt;&gt;"))</f>
        <v/>
      </c>
      <c r="K11" s="3">
        <f>IF($A11="","",COUNTIFS(Asignacion!$B$4:$B$34,$A11,Asignacion!$E$4:$E$34,""))</f>
        <v/>
      </c>
      <c r="L11" s="3">
        <f>IF($A11="","",IF(($H11=0),"Sin filas de carga",IF(($I11&lt;$G11),(IF(($G11-$I11)=1,"Falta","Faltan")&amp;" "&amp;($G11-$I11)&amp;" horas de carga"),IF(($K11&gt;0),(IF($K11=1,"Falta","Faltan")&amp;" "&amp;$K11&amp;" "&amp;IF($K11=1,"profesor","profesores")),"Completa"))))</f>
        <v/>
      </c>
    </row>
    <row r="12">
      <c r="A12" s="3" t="n"/>
      <c r="B12" s="3" t="n"/>
      <c r="C12" s="3" t="n"/>
      <c r="D12" s="3" t="n"/>
      <c r="E12" s="3" t="n"/>
      <c r="F12" s="3" t="n"/>
      <c r="G12" s="3">
        <f>IF($A12="","",($D12+($E12*$F12)))</f>
        <v/>
      </c>
      <c r="H12" s="3">
        <f>IF($A12="","",COUNTIF(Asignacion!$B$4:$B$34,$A12))</f>
        <v/>
      </c>
      <c r="I12" s="3">
        <f>IF($A12="","",SUMIF(Asignacion!$B$4:$B$34,$A12,Asignacion!$G$4:$G$34))</f>
        <v/>
      </c>
      <c r="J12" s="3">
        <f>IF($A12="","",SUMIFS(Asignacion!$G$4:$G$34,Asignacion!$B$4:$B$34,$A12,Asignacion!$E$4:$E$34,"&lt;&gt;"))</f>
        <v/>
      </c>
      <c r="K12" s="3">
        <f>IF($A12="","",COUNTIFS(Asignacion!$B$4:$B$34,$A12,Asignacion!$E$4:$E$34,""))</f>
        <v/>
      </c>
      <c r="L12" s="3">
        <f>IF($A12="","",IF(($H12=0),"Sin filas de carga",IF(($I12&lt;$G12),(IF(($G12-$I12)=1,"Falta","Faltan")&amp;" "&amp;($G12-$I12)&amp;" horas de carga"),IF(($K12&gt;0),(IF($K12=1,"Falta","Faltan")&amp;" "&amp;$K12&amp;" "&amp;IF($K12=1,"profesor","profesores")),"Completa"))))</f>
        <v/>
      </c>
    </row>
    <row r="13">
      <c r="A13" s="3" t="n"/>
      <c r="B13" s="3" t="n"/>
      <c r="C13" s="3" t="n"/>
      <c r="D13" s="3" t="n"/>
      <c r="E13" s="3" t="n"/>
      <c r="F13" s="3" t="n"/>
      <c r="G13" s="3">
        <f>IF($A13="","",($D13+($E13*$F13)))</f>
        <v/>
      </c>
      <c r="H13" s="3">
        <f>IF($A13="","",COUNTIF(Asignacion!$B$4:$B$34,$A13))</f>
        <v/>
      </c>
      <c r="I13" s="3">
        <f>IF($A13="","",SUMIF(Asignacion!$B$4:$B$34,$A13,Asignacion!$G$4:$G$34))</f>
        <v/>
      </c>
      <c r="J13" s="3">
        <f>IF($A13="","",SUMIFS(Asignacion!$G$4:$G$34,Asignacion!$B$4:$B$34,$A13,Asignacion!$E$4:$E$34,"&lt;&gt;"))</f>
        <v/>
      </c>
      <c r="K13" s="3">
        <f>IF($A13="","",COUNTIFS(Asignacion!$B$4:$B$34,$A13,Asignacion!$E$4:$E$34,""))</f>
        <v/>
      </c>
      <c r="L13" s="3">
        <f>IF($A13="","",IF(($H13=0),"Sin filas de carga",IF(($I13&lt;$G13),(IF(($G13-$I13)=1,"Falta","Faltan")&amp;" "&amp;($G13-$I13)&amp;" horas de carga"),IF(($K13&gt;0),(IF($K13=1,"Falta","Faltan")&amp;" "&amp;$K13&amp;" "&amp;IF($K13=1,"profesor","profesores")),"Completa"))))</f>
        <v/>
      </c>
    </row>
    <row r="14">
      <c r="A14" s="3" t="n"/>
      <c r="B14" s="3" t="n"/>
      <c r="C14" s="3" t="n"/>
      <c r="D14" s="3" t="n"/>
      <c r="E14" s="3" t="n"/>
      <c r="F14" s="3" t="n"/>
      <c r="G14" s="3">
        <f>IF($A14="","",($D14+($E14*$F14)))</f>
        <v/>
      </c>
      <c r="H14" s="3">
        <f>IF($A14="","",COUNTIF(Asignacion!$B$4:$B$34,$A14))</f>
        <v/>
      </c>
      <c r="I14" s="3">
        <f>IF($A14="","",SUMIF(Asignacion!$B$4:$B$34,$A14,Asignacion!$G$4:$G$34))</f>
        <v/>
      </c>
      <c r="J14" s="3">
        <f>IF($A14="","",SUMIFS(Asignacion!$G$4:$G$34,Asignacion!$B$4:$B$34,$A14,Asignacion!$E$4:$E$34,"&lt;&gt;"))</f>
        <v/>
      </c>
      <c r="K14" s="3">
        <f>IF($A14="","",COUNTIFS(Asignacion!$B$4:$B$34,$A14,Asignacion!$E$4:$E$34,""))</f>
        <v/>
      </c>
      <c r="L14" s="3">
        <f>IF($A14="","",IF(($H14=0),"Sin filas de carga",IF(($I14&lt;$G14),(IF(($G14-$I14)=1,"Falta","Faltan")&amp;" "&amp;($G14-$I14)&amp;" horas de carga"),IF(($K14&gt;0),(IF($K14=1,"Falta","Faltan")&amp;" "&amp;$K14&amp;" "&amp;IF($K14=1,"profesor","profesores")),"Completa"))))</f>
        <v/>
      </c>
    </row>
    <row r="15">
      <c r="A15" s="3" t="n"/>
      <c r="B15" s="3" t="n"/>
      <c r="C15" s="3" t="n"/>
      <c r="D15" s="3" t="n"/>
      <c r="E15" s="3" t="n"/>
      <c r="F15" s="3" t="n"/>
      <c r="G15" s="3">
        <f>IF($A15="","",($D15+($E15*$F15)))</f>
        <v/>
      </c>
      <c r="H15" s="3">
        <f>IF($A15="","",COUNTIF(Asignacion!$B$4:$B$34,$A15))</f>
        <v/>
      </c>
      <c r="I15" s="3">
        <f>IF($A15="","",SUMIF(Asignacion!$B$4:$B$34,$A15,Asignacion!$G$4:$G$34))</f>
        <v/>
      </c>
      <c r="J15" s="3">
        <f>IF($A15="","",SUMIFS(Asignacion!$G$4:$G$34,Asignacion!$B$4:$B$34,$A15,Asignacion!$E$4:$E$34,"&lt;&gt;"))</f>
        <v/>
      </c>
      <c r="K15" s="3">
        <f>IF($A15="","",COUNTIFS(Asignacion!$B$4:$B$34,$A15,Asignacion!$E$4:$E$34,""))</f>
        <v/>
      </c>
      <c r="L15" s="3">
        <f>IF($A15="","",IF(($H15=0),"Sin filas de carga",IF(($I15&lt;$G15),(IF(($G15-$I15)=1,"Falta","Faltan")&amp;" "&amp;($G15-$I15)&amp;" horas de carga"),IF(($K15&gt;0),(IF($K15=1,"Falta","Faltan")&amp;" "&amp;$K15&amp;" "&amp;IF($K15=1,"profesor","profesores")),"Completa"))))</f>
        <v/>
      </c>
    </row>
    <row r="16">
      <c r="A16" s="3" t="n"/>
      <c r="B16" s="3" t="n"/>
      <c r="C16" s="3" t="n"/>
      <c r="D16" s="3" t="n"/>
      <c r="E16" s="3" t="n"/>
      <c r="F16" s="3" t="n"/>
      <c r="G16" s="3">
        <f>IF($A16="","",($D16+($E16*$F16)))</f>
        <v/>
      </c>
      <c r="H16" s="3">
        <f>IF($A16="","",COUNTIF(Asignacion!$B$4:$B$34,$A16))</f>
        <v/>
      </c>
      <c r="I16" s="3">
        <f>IF($A16="","",SUMIF(Asignacion!$B$4:$B$34,$A16,Asignacion!$G$4:$G$34))</f>
        <v/>
      </c>
      <c r="J16" s="3">
        <f>IF($A16="","",SUMIFS(Asignacion!$G$4:$G$34,Asignacion!$B$4:$B$34,$A16,Asignacion!$E$4:$E$34,"&lt;&gt;"))</f>
        <v/>
      </c>
      <c r="K16" s="3">
        <f>IF($A16="","",COUNTIFS(Asignacion!$B$4:$B$34,$A16,Asignacion!$E$4:$E$34,""))</f>
        <v/>
      </c>
      <c r="L16" s="3">
        <f>IF($A16="","",IF(($H16=0),"Sin filas de carga",IF(($I16&lt;$G16),(IF(($G16-$I16)=1,"Falta","Faltan")&amp;" "&amp;($G16-$I16)&amp;" horas de carga"),IF(($K16&gt;0),(IF($K16=1,"Falta","Faltan")&amp;" "&amp;$K16&amp;" "&amp;IF($K16=1,"profesor","profesores")),"Completa"))))</f>
        <v/>
      </c>
    </row>
    <row r="17">
      <c r="A17" s="3" t="n"/>
      <c r="B17" s="3" t="n"/>
      <c r="C17" s="3" t="n"/>
      <c r="D17" s="3" t="n"/>
      <c r="E17" s="3" t="n"/>
      <c r="F17" s="3" t="n"/>
      <c r="G17" s="3">
        <f>IF($A17="","",($D17+($E17*$F17)))</f>
        <v/>
      </c>
      <c r="H17" s="3">
        <f>IF($A17="","",COUNTIF(Asignacion!$B$4:$B$34,$A17))</f>
        <v/>
      </c>
      <c r="I17" s="3">
        <f>IF($A17="","",SUMIF(Asignacion!$B$4:$B$34,$A17,Asignacion!$G$4:$G$34))</f>
        <v/>
      </c>
      <c r="J17" s="3">
        <f>IF($A17="","",SUMIFS(Asignacion!$G$4:$G$34,Asignacion!$B$4:$B$34,$A17,Asignacion!$E$4:$E$34,"&lt;&gt;"))</f>
        <v/>
      </c>
      <c r="K17" s="3">
        <f>IF($A17="","",COUNTIFS(Asignacion!$B$4:$B$34,$A17,Asignacion!$E$4:$E$34,""))</f>
        <v/>
      </c>
      <c r="L17" s="3">
        <f>IF($A17="","",IF(($H17=0),"Sin filas de carga",IF(($I17&lt;$G17),(IF(($G17-$I17)=1,"Falta","Faltan")&amp;" "&amp;($G17-$I17)&amp;" horas de carga"),IF(($K17&gt;0),(IF($K17=1,"Falta","Faltan")&amp;" "&amp;$K17&amp;" "&amp;IF($K17=1,"profesor","profesores")),"Completa"))))</f>
        <v/>
      </c>
    </row>
    <row r="18">
      <c r="A18" s="3" t="n"/>
      <c r="B18" s="3" t="n"/>
      <c r="C18" s="3" t="n"/>
      <c r="D18" s="3" t="n"/>
      <c r="E18" s="3" t="n"/>
      <c r="F18" s="3" t="n"/>
      <c r="G18" s="3">
        <f>IF($A18="","",($D18+($E18*$F18)))</f>
        <v/>
      </c>
      <c r="H18" s="3">
        <f>IF($A18="","",COUNTIF(Asignacion!$B$4:$B$34,$A18))</f>
        <v/>
      </c>
      <c r="I18" s="3">
        <f>IF($A18="","",SUMIF(Asignacion!$B$4:$B$34,$A18,Asignacion!$G$4:$G$34))</f>
        <v/>
      </c>
      <c r="J18" s="3">
        <f>IF($A18="","",SUMIFS(Asignacion!$G$4:$G$34,Asignacion!$B$4:$B$34,$A18,Asignacion!$E$4:$E$34,"&lt;&gt;"))</f>
        <v/>
      </c>
      <c r="K18" s="3">
        <f>IF($A18="","",COUNTIFS(Asignacion!$B$4:$B$34,$A18,Asignacion!$E$4:$E$34,""))</f>
        <v/>
      </c>
      <c r="L18" s="3">
        <f>IF($A18="","",IF(($H18=0),"Sin filas de carga",IF(($I18&lt;$G18),(IF(($G18-$I18)=1,"Falta","Faltan")&amp;" "&amp;($G18-$I18)&amp;" horas de carga"),IF(($K18&gt;0),(IF($K18=1,"Falta","Faltan")&amp;" "&amp;$K18&amp;" "&amp;IF($K18=1,"profesor","profesores")),"Completa"))))</f>
        <v/>
      </c>
    </row>
    <row r="19">
      <c r="A19" s="3" t="n"/>
      <c r="B19" s="3" t="n"/>
      <c r="C19" s="3" t="n"/>
      <c r="D19" s="3" t="n"/>
      <c r="E19" s="3" t="n"/>
      <c r="F19" s="3" t="n"/>
      <c r="G19" s="3">
        <f>IF($A19="","",($D19+($E19*$F19)))</f>
        <v/>
      </c>
      <c r="H19" s="3">
        <f>IF($A19="","",COUNTIF(Asignacion!$B$4:$B$34,$A19))</f>
        <v/>
      </c>
      <c r="I19" s="3">
        <f>IF($A19="","",SUMIF(Asignacion!$B$4:$B$34,$A19,Asignacion!$G$4:$G$34))</f>
        <v/>
      </c>
      <c r="J19" s="3">
        <f>IF($A19="","",SUMIFS(Asignacion!$G$4:$G$34,Asignacion!$B$4:$B$34,$A19,Asignacion!$E$4:$E$34,"&lt;&gt;"))</f>
        <v/>
      </c>
      <c r="K19" s="3">
        <f>IF($A19="","",COUNTIFS(Asignacion!$B$4:$B$34,$A19,Asignacion!$E$4:$E$34,""))</f>
        <v/>
      </c>
      <c r="L19" s="3">
        <f>IF($A19="","",IF(($H19=0),"Sin filas de carga",IF(($I19&lt;$G19),(IF(($G19-$I19)=1,"Falta","Faltan")&amp;" "&amp;($G19-$I19)&amp;" horas de carga"),IF(($K19&gt;0),(IF($K19=1,"Falta","Faltan")&amp;" "&amp;$K19&amp;" "&amp;IF($K19=1,"profesor","profesores")),"Completa"))))</f>
        <v/>
      </c>
    </row>
    <row r="20">
      <c r="A20" s="3" t="n"/>
      <c r="B20" s="3" t="n"/>
      <c r="C20" s="3" t="n"/>
      <c r="D20" s="3" t="n"/>
      <c r="E20" s="3" t="n"/>
      <c r="F20" s="3" t="n"/>
      <c r="G20" s="3">
        <f>IF($A20="","",($D20+($E20*$F20)))</f>
        <v/>
      </c>
      <c r="H20" s="3">
        <f>IF($A20="","",COUNTIF(Asignacion!$B$4:$B$34,$A20))</f>
        <v/>
      </c>
      <c r="I20" s="3">
        <f>IF($A20="","",SUMIF(Asignacion!$B$4:$B$34,$A20,Asignacion!$G$4:$G$34))</f>
        <v/>
      </c>
      <c r="J20" s="3">
        <f>IF($A20="","",SUMIFS(Asignacion!$G$4:$G$34,Asignacion!$B$4:$B$34,$A20,Asignacion!$E$4:$E$34,"&lt;&gt;"))</f>
        <v/>
      </c>
      <c r="K20" s="3">
        <f>IF($A20="","",COUNTIFS(Asignacion!$B$4:$B$34,$A20,Asignacion!$E$4:$E$34,""))</f>
        <v/>
      </c>
      <c r="L20" s="3">
        <f>IF($A20="","",IF(($H20=0),"Sin filas de carga",IF(($I20&lt;$G20),(IF(($G20-$I20)=1,"Falta","Faltan")&amp;" "&amp;($G20-$I20)&amp;" horas de carga"),IF(($K20&gt;0),(IF($K20=1,"Falta","Faltan")&amp;" "&amp;$K20&amp;" "&amp;IF($K20=1,"profesor","profesores")),"Completa"))))</f>
        <v/>
      </c>
    </row>
    <row r="21">
      <c r="A21" s="3" t="n"/>
      <c r="B21" s="3" t="n"/>
      <c r="C21" s="3" t="n"/>
      <c r="D21" s="3" t="n"/>
      <c r="E21" s="3" t="n"/>
      <c r="F21" s="3" t="n"/>
      <c r="G21" s="3">
        <f>IF($A21="","",($D21+($E21*$F21)))</f>
        <v/>
      </c>
      <c r="H21" s="3">
        <f>IF($A21="","",COUNTIF(Asignacion!$B$4:$B$34,$A21))</f>
        <v/>
      </c>
      <c r="I21" s="3">
        <f>IF($A21="","",SUMIF(Asignacion!$B$4:$B$34,$A21,Asignacion!$G$4:$G$34))</f>
        <v/>
      </c>
      <c r="J21" s="3">
        <f>IF($A21="","",SUMIFS(Asignacion!$G$4:$G$34,Asignacion!$B$4:$B$34,$A21,Asignacion!$E$4:$E$34,"&lt;&gt;"))</f>
        <v/>
      </c>
      <c r="K21" s="3">
        <f>IF($A21="","",COUNTIFS(Asignacion!$B$4:$B$34,$A21,Asignacion!$E$4:$E$34,""))</f>
        <v/>
      </c>
      <c r="L21" s="3">
        <f>IF($A21="","",IF(($H21=0),"Sin filas de carga",IF(($I21&lt;$G21),(IF(($G21-$I21)=1,"Falta","Faltan")&amp;" "&amp;($G21-$I21)&amp;" horas de carga"),IF(($K21&gt;0),(IF($K21=1,"Falta","Faltan")&amp;" "&amp;$K21&amp;" "&amp;IF($K21=1,"profesor","profesores")),"Completa"))))</f>
        <v/>
      </c>
    </row>
    <row r="22">
      <c r="A22" s="3" t="n"/>
      <c r="B22" s="3" t="n"/>
      <c r="C22" s="3" t="n"/>
      <c r="D22" s="3" t="n"/>
      <c r="E22" s="3" t="n"/>
      <c r="F22" s="3" t="n"/>
      <c r="G22" s="3">
        <f>IF($A22="","",($D22+($E22*$F22)))</f>
        <v/>
      </c>
      <c r="H22" s="3">
        <f>IF($A22="","",COUNTIF(Asignacion!$B$4:$B$34,$A22))</f>
        <v/>
      </c>
      <c r="I22" s="3">
        <f>IF($A22="","",SUMIF(Asignacion!$B$4:$B$34,$A22,Asignacion!$G$4:$G$34))</f>
        <v/>
      </c>
      <c r="J22" s="3">
        <f>IF($A22="","",SUMIFS(Asignacion!$G$4:$G$34,Asignacion!$B$4:$B$34,$A22,Asignacion!$E$4:$E$34,"&lt;&gt;"))</f>
        <v/>
      </c>
      <c r="K22" s="3">
        <f>IF($A22="","",COUNTIFS(Asignacion!$B$4:$B$34,$A22,Asignacion!$E$4:$E$34,""))</f>
        <v/>
      </c>
      <c r="L22" s="3">
        <f>IF($A22="","",IF(($H22=0),"Sin filas de carga",IF(($I22&lt;$G22),(IF(($G22-$I22)=1,"Falta","Faltan")&amp;" "&amp;($G22-$I22)&amp;" horas de carga"),IF(($K22&gt;0),(IF($K22=1,"Falta","Faltan")&amp;" "&amp;$K22&amp;" "&amp;IF($K22=1,"profesor","profesores")),"Completa"))))</f>
        <v/>
      </c>
    </row>
    <row r="23">
      <c r="A23" s="3" t="n"/>
      <c r="B23" s="3" t="n"/>
      <c r="C23" s="3" t="n"/>
      <c r="D23" s="3" t="n"/>
      <c r="E23" s="3" t="n"/>
      <c r="F23" s="3" t="n"/>
      <c r="G23" s="3">
        <f>IF($A23="","",($D23+($E23*$F23)))</f>
        <v/>
      </c>
      <c r="H23" s="3">
        <f>IF($A23="","",COUNTIF(Asignacion!$B$4:$B$34,$A23))</f>
        <v/>
      </c>
      <c r="I23" s="3">
        <f>IF($A23="","",SUMIF(Asignacion!$B$4:$B$34,$A23,Asignacion!$G$4:$G$34))</f>
        <v/>
      </c>
      <c r="J23" s="3">
        <f>IF($A23="","",SUMIFS(Asignacion!$G$4:$G$34,Asignacion!$B$4:$B$34,$A23,Asignacion!$E$4:$E$34,"&lt;&gt;"))</f>
        <v/>
      </c>
      <c r="K23" s="3">
        <f>IF($A23="","",COUNTIFS(Asignacion!$B$4:$B$34,$A23,Asignacion!$E$4:$E$34,""))</f>
        <v/>
      </c>
      <c r="L23" s="3">
        <f>IF($A23="","",IF(($H23=0),"Sin filas de carga",IF(($I23&lt;$G23),(IF(($G23-$I23)=1,"Falta","Faltan")&amp;" "&amp;($G23-$I23)&amp;" horas de carga"),IF(($K23&gt;0),(IF($K23=1,"Falta","Faltan")&amp;" "&amp;$K23&amp;" "&amp;IF($K23=1,"profesor","profesores")),"Completa"))))</f>
        <v/>
      </c>
    </row>
    <row r="24">
      <c r="A24" s="3" t="n"/>
      <c r="B24" s="3" t="n"/>
      <c r="C24" s="3" t="n"/>
      <c r="D24" s="3" t="n"/>
      <c r="E24" s="3" t="n"/>
      <c r="F24" s="3" t="n"/>
      <c r="G24" s="3">
        <f>IF($A24="","",($D24+($E24*$F24)))</f>
        <v/>
      </c>
      <c r="H24" s="3">
        <f>IF($A24="","",COUNTIF(Asignacion!$B$4:$B$34,$A24))</f>
        <v/>
      </c>
      <c r="I24" s="3">
        <f>IF($A24="","",SUMIF(Asignacion!$B$4:$B$34,$A24,Asignacion!$G$4:$G$34))</f>
        <v/>
      </c>
      <c r="J24" s="3">
        <f>IF($A24="","",SUMIFS(Asignacion!$G$4:$G$34,Asignacion!$B$4:$B$34,$A24,Asignacion!$E$4:$E$34,"&lt;&gt;"))</f>
        <v/>
      </c>
      <c r="K24" s="3">
        <f>IF($A24="","",COUNTIFS(Asignacion!$B$4:$B$34,$A24,Asignacion!$E$4:$E$34,""))</f>
        <v/>
      </c>
      <c r="L24" s="3">
        <f>IF($A24="","",IF(($H24=0),"Sin filas de carga",IF(($I24&lt;$G24),(IF(($G24-$I24)=1,"Falta","Faltan")&amp;" "&amp;($G24-$I24)&amp;" horas de carga"),IF(($K24&gt;0),(IF($K24=1,"Falta","Faltan")&amp;" "&amp;$K24&amp;" "&amp;IF($K24=1,"profesor","profesores")),"Completa"))))</f>
        <v/>
      </c>
    </row>
    <row r="25">
      <c r="A25" s="3" t="n"/>
      <c r="B25" s="3" t="n"/>
      <c r="C25" s="3" t="n"/>
      <c r="D25" s="3" t="n"/>
      <c r="E25" s="3" t="n"/>
      <c r="F25" s="3" t="n"/>
      <c r="G25" s="3">
        <f>IF($A25="","",($D25+($E25*$F25)))</f>
        <v/>
      </c>
      <c r="H25" s="3">
        <f>IF($A25="","",COUNTIF(Asignacion!$B$4:$B$34,$A25))</f>
        <v/>
      </c>
      <c r="I25" s="3">
        <f>IF($A25="","",SUMIF(Asignacion!$B$4:$B$34,$A25,Asignacion!$G$4:$G$34))</f>
        <v/>
      </c>
      <c r="J25" s="3">
        <f>IF($A25="","",SUMIFS(Asignacion!$G$4:$G$34,Asignacion!$B$4:$B$34,$A25,Asignacion!$E$4:$E$34,"&lt;&gt;"))</f>
        <v/>
      </c>
      <c r="K25" s="3">
        <f>IF($A25="","",COUNTIFS(Asignacion!$B$4:$B$34,$A25,Asignacion!$E$4:$E$34,""))</f>
        <v/>
      </c>
      <c r="L25" s="3">
        <f>IF($A25="","",IF(($H25=0),"Sin filas de carga",IF(($I25&lt;$G25),(IF(($G25-$I25)=1,"Falta","Faltan")&amp;" "&amp;($G25-$I25)&amp;" horas de carga"),IF(($K25&gt;0),(IF($K25=1,"Falta","Faltan")&amp;" "&amp;$K25&amp;" "&amp;IF($K25=1,"profesor","profesores")),"Completa"))))</f>
        <v/>
      </c>
    </row>
    <row r="26">
      <c r="A26" s="3" t="n"/>
      <c r="B26" s="3" t="n"/>
      <c r="C26" s="3" t="n"/>
      <c r="D26" s="3" t="n"/>
      <c r="E26" s="3" t="n"/>
      <c r="F26" s="3" t="n"/>
      <c r="G26" s="3">
        <f>IF($A26="","",($D26+($E26*$F26)))</f>
        <v/>
      </c>
      <c r="H26" s="3">
        <f>IF($A26="","",COUNTIF(Asignacion!$B$4:$B$34,$A26))</f>
        <v/>
      </c>
      <c r="I26" s="3">
        <f>IF($A26="","",SUMIF(Asignacion!$B$4:$B$34,$A26,Asignacion!$G$4:$G$34))</f>
        <v/>
      </c>
      <c r="J26" s="3">
        <f>IF($A26="","",SUMIFS(Asignacion!$G$4:$G$34,Asignacion!$B$4:$B$34,$A26,Asignacion!$E$4:$E$34,"&lt;&gt;"))</f>
        <v/>
      </c>
      <c r="K26" s="3">
        <f>IF($A26="","",COUNTIFS(Asignacion!$B$4:$B$34,$A26,Asignacion!$E$4:$E$34,""))</f>
        <v/>
      </c>
      <c r="L26" s="3">
        <f>IF($A26="","",IF(($H26=0),"Sin filas de carga",IF(($I26&lt;$G26),(IF(($G26-$I26)=1,"Falta","Faltan")&amp;" "&amp;($G26-$I26)&amp;" horas de carga"),IF(($K26&gt;0),(IF($K26=1,"Falta","Faltan")&amp;" "&amp;$K26&amp;" "&amp;IF($K26=1,"profesor","profesores")),"Completa"))))</f>
        <v/>
      </c>
    </row>
    <row r="27">
      <c r="A27" s="3" t="n"/>
      <c r="B27" s="3" t="n"/>
      <c r="C27" s="3" t="n"/>
      <c r="D27" s="3" t="n"/>
      <c r="E27" s="3" t="n"/>
      <c r="F27" s="3" t="n"/>
      <c r="G27" s="3">
        <f>IF($A27="","",($D27+($E27*$F27)))</f>
        <v/>
      </c>
      <c r="H27" s="3">
        <f>IF($A27="","",COUNTIF(Asignacion!$B$4:$B$34,$A27))</f>
        <v/>
      </c>
      <c r="I27" s="3">
        <f>IF($A27="","",SUMIF(Asignacion!$B$4:$B$34,$A27,Asignacion!$G$4:$G$34))</f>
        <v/>
      </c>
      <c r="J27" s="3">
        <f>IF($A27="","",SUMIFS(Asignacion!$G$4:$G$34,Asignacion!$B$4:$B$34,$A27,Asignacion!$E$4:$E$34,"&lt;&gt;"))</f>
        <v/>
      </c>
      <c r="K27" s="3">
        <f>IF($A27="","",COUNTIFS(Asignacion!$B$4:$B$34,$A27,Asignacion!$E$4:$E$34,""))</f>
        <v/>
      </c>
      <c r="L27" s="3">
        <f>IF($A27="","",IF(($H27=0),"Sin filas de carga",IF(($I27&lt;$G27),(IF(($G27-$I27)=1,"Falta","Faltan")&amp;" "&amp;($G27-$I27)&amp;" horas de carga"),IF(($K27&gt;0),(IF($K27=1,"Falta","Faltan")&amp;" "&amp;$K27&amp;" "&amp;IF($K27=1,"profesor","profesores")),"Completa"))))</f>
        <v/>
      </c>
    </row>
    <row r="29">
      <c r="A29" s="5" t="inlineStr">
        <is>
          <t>Leyenda</t>
        </is>
      </c>
    </row>
    <row r="30">
      <c r="A30" s="6" t="n"/>
      <c r="B30" t="inlineStr">
        <is>
          <t>cobertura incompleta</t>
        </is>
      </c>
    </row>
    <row r="31">
      <c r="A31" s="8" t="n"/>
      <c r="B31" t="inlineStr">
        <is>
          <t>cobertura completa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B27">
    <cfRule type="expression" priority="1" dxfId="0" stopIfTrue="0">
      <formula>AND(NOT(($A4="")),NOT(($L4="Completa")))</formula>
    </cfRule>
    <cfRule type="expression" priority="3" dxfId="2" stopIfTrue="0">
      <formula>AND(NOT(($A4="")),($L4="Completa"))</formula>
    </cfRule>
  </conditionalFormatting>
  <conditionalFormatting sqref="L4:L27">
    <cfRule type="expression" priority="1" dxfId="0" stopIfTrue="0">
      <formula>AND(NOT(($A4="")),NOT(($L4="Completa")))</formula>
    </cfRule>
    <cfRule type="expression" priority="3" dxfId="2" stopIfTrue="0">
      <formula>AND(NOT(($A4="")),($L4="Completa"))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9D18E"/>
    <outlinePr summaryBelow="1" summaryRight="1"/>
    <pageSetUpPr/>
  </sheetPr>
  <dimension ref="A1:Z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20" customWidth="1" min="7" max="7"/>
    <col width="13" customWidth="1" min="8" max="8"/>
    <col width="23" customWidth="1" min="9" max="9"/>
    <col width="15" customWidth="1" min="10" max="10"/>
    <col width="16" customWidth="1" min="11" max="11"/>
    <col width="18" customWidth="1" min="12" max="12"/>
    <col width="13" customWidth="1" min="13" max="13"/>
    <col width="13" customWidth="1" min="14" max="14"/>
    <col width="42" customWidth="1" min="15" max="15"/>
    <col width="42" customWidth="1" min="16" max="16"/>
    <col width="42" customWidth="1" min="17" max="17"/>
    <col width="42" customWidth="1" min="18" max="18"/>
    <col width="42" customWidth="1" min="19" max="19"/>
    <col width="42" customWidth="1" min="20" max="20"/>
    <col width="42" customWidth="1" min="21" max="21"/>
    <col width="42" customWidth="1" min="22" max="22"/>
    <col width="42" customWidth="1" min="23" max="23"/>
    <col width="42" customWidth="1" min="24" max="24"/>
    <col width="42" customWidth="1" min="25" max="25"/>
  </cols>
  <sheetData>
    <row r="1">
      <c r="A1" s="1" t="inlineStr">
        <is>
          <t>Detalle - Lo que imparte</t>
        </is>
      </c>
    </row>
    <row r="3">
      <c r="A3" s="2" t="inlineStr">
        <is>
          <t>(clave)</t>
        </is>
      </c>
      <c r="B3" s="2" t="inlineStr">
        <is>
          <t>No.</t>
        </is>
      </c>
      <c r="C3" s="2" t="inlineStr">
        <is>
          <t>Id</t>
        </is>
      </c>
      <c r="D3" s="2" t="inlineStr">
        <is>
          <t>Tipo</t>
        </is>
      </c>
      <c r="E3" s="2" t="inlineStr">
        <is>
          <t>Grupo</t>
        </is>
      </c>
      <c r="F3" s="2" t="inlineStr">
        <is>
          <t>Profesor</t>
        </is>
      </c>
      <c r="G3" s="2" t="inlineStr">
        <is>
          <t>Asignatura</t>
        </is>
      </c>
      <c r="H3" s="2" t="inlineStr">
        <is>
          <t>Horas</t>
        </is>
      </c>
      <c r="I3" s="2" t="inlineStr">
        <is>
          <t>Nombre</t>
        </is>
      </c>
      <c r="J3" s="2" t="inlineStr">
        <is>
          <t>Par</t>
        </is>
      </c>
      <c r="K3" s="2" t="inlineStr">
        <is>
          <t>Codigo</t>
        </is>
      </c>
      <c r="L3" s="2" t="inlineStr">
        <is>
          <t>Primera del par</t>
        </is>
      </c>
      <c r="M3" s="2" t="inlineStr">
        <is>
          <t>Cuenta</t>
        </is>
      </c>
      <c r="N3" s="3" t="n"/>
      <c r="O3" s="2" t="inlineStr">
        <is>
          <t>No.</t>
        </is>
      </c>
      <c r="P3" s="2" t="inlineStr">
        <is>
          <t>Id</t>
        </is>
      </c>
      <c r="Q3" s="2" t="inlineStr">
        <is>
          <t>Tipo</t>
        </is>
      </c>
      <c r="R3" s="2" t="inlineStr">
        <is>
          <t>Grupo</t>
        </is>
      </c>
      <c r="S3" s="2" t="inlineStr">
        <is>
          <t>Profesor</t>
        </is>
      </c>
      <c r="T3" s="2" t="inlineStr">
        <is>
          <t>Asignatura</t>
        </is>
      </c>
      <c r="U3" s="2" t="inlineStr">
        <is>
          <t>Horas</t>
        </is>
      </c>
      <c r="V3" s="2" t="inlineStr">
        <is>
          <t>Nombre</t>
        </is>
      </c>
      <c r="W3" s="2" t="inlineStr">
        <is>
          <t>Par</t>
        </is>
      </c>
      <c r="X3" s="2" t="inlineStr">
        <is>
          <t>Codigo</t>
        </is>
      </c>
      <c r="Y3" s="2" t="inlineStr">
        <is>
          <t>Primera del par</t>
        </is>
      </c>
      <c r="Z3" s="9" t="inlineStr">
        <is>
          <t>Cuenta</t>
        </is>
      </c>
    </row>
    <row r="4">
      <c r="A4" s="3" t="inlineStr">
        <is>
          <t>PIAD#1</t>
        </is>
      </c>
      <c r="B4" s="3" t="n">
        <v>1</v>
      </c>
      <c r="C4" s="3" t="inlineStr">
        <is>
          <t>EST-CC</t>
        </is>
      </c>
      <c r="D4" s="3" t="inlineStr">
        <is>
          <t>Conf</t>
        </is>
      </c>
      <c r="E4" s="3" t="inlineStr"/>
      <c r="F4" s="3" t="inlineStr">
        <is>
          <t>PIAD</t>
        </is>
      </c>
      <c r="G4" s="3" t="inlineStr">
        <is>
          <t>Estadistica (CC)</t>
        </is>
      </c>
      <c r="H4" s="3" t="n">
        <v>32</v>
      </c>
      <c r="I4" s="3" t="inlineStr">
        <is>
          <t>Pedro I. Alonso Diaz</t>
        </is>
      </c>
      <c r="J4" s="3" t="inlineStr">
        <is>
          <t>PIAD|EST-CC</t>
        </is>
      </c>
      <c r="K4" s="3" t="inlineStr">
        <is>
          <t xml:space="preserve">EST-CC Conf </t>
        </is>
      </c>
      <c r="L4" s="3" t="inlineStr">
        <is>
          <t xml:space="preserve">EST-CC Conf </t>
        </is>
      </c>
      <c r="M4" s="3" t="n">
        <v>1</v>
      </c>
      <c r="N4" s="3" t="n"/>
      <c r="O4" s="3" t="inlineStr">
        <is>
          <t>PIAD</t>
        </is>
      </c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</row>
    <row r="5">
      <c r="A5" s="3" t="inlineStr">
        <is>
          <t>PIAD#2</t>
        </is>
      </c>
      <c r="B5" s="3" t="n">
        <v>2</v>
      </c>
      <c r="C5" s="3" t="inlineStr">
        <is>
          <t>EST-CC</t>
        </is>
      </c>
      <c r="D5" s="3" t="inlineStr">
        <is>
          <t>CP</t>
        </is>
      </c>
      <c r="E5" s="3" t="inlineStr">
        <is>
          <t>1</t>
        </is>
      </c>
      <c r="F5" s="3" t="inlineStr">
        <is>
          <t>PIAD</t>
        </is>
      </c>
      <c r="G5" s="3" t="inlineStr">
        <is>
          <t>Estadistica (CC)</t>
        </is>
      </c>
      <c r="H5" s="3" t="n">
        <v>32</v>
      </c>
      <c r="I5" s="3" t="inlineStr">
        <is>
          <t>Pedro I. Alonso Diaz</t>
        </is>
      </c>
      <c r="J5" s="3" t="inlineStr">
        <is>
          <t>PIAD|EST-CC</t>
        </is>
      </c>
      <c r="K5" s="3" t="inlineStr">
        <is>
          <t>EST-CC CP 1</t>
        </is>
      </c>
      <c r="L5" s="3" t="inlineStr">
        <is>
          <t xml:space="preserve">EST-CC Conf </t>
        </is>
      </c>
      <c r="M5" s="3" t="n">
        <v>0</v>
      </c>
      <c r="N5" s="3" t="n"/>
      <c r="O5" s="3">
        <f>IFERROR(VLOOKUP("PIAD#1",'Detalle - Lo que imparte'!$A$4:$M$11,2,FALSE),"")</f>
        <v/>
      </c>
      <c r="P5" s="3">
        <f>IFERROR(VLOOKUP("PIAD#1",'Detalle - Lo que imparte'!$A$4:$M$11,3,FALSE),"")</f>
        <v/>
      </c>
      <c r="Q5" s="3">
        <f>IFERROR(VLOOKUP("PIAD#1",'Detalle - Lo que imparte'!$A$4:$M$11,4,FALSE),"")</f>
        <v/>
      </c>
      <c r="R5" s="3">
        <f>IFERROR(VLOOKUP("PIAD#1",'Detalle - Lo que imparte'!$A$4:$M$11,5,FALSE),"")</f>
        <v/>
      </c>
      <c r="S5" s="3">
        <f>IFERROR(VLOOKUP("PIAD#1",'Detalle - Lo que imparte'!$A$4:$M$11,6,FALSE),"")</f>
        <v/>
      </c>
      <c r="T5" s="3">
        <f>IFERROR(VLOOKUP("PIAD#1",'Detalle - Lo que imparte'!$A$4:$M$11,7,FALSE),"")</f>
        <v/>
      </c>
      <c r="U5" s="3">
        <f>IFERROR(VLOOKUP("PIAD#1",'Detalle - Lo que imparte'!$A$4:$M$11,8,FALSE),"")</f>
        <v/>
      </c>
      <c r="V5" s="3">
        <f>IFERROR(VLOOKUP("PIAD#1",'Detalle - Lo que imparte'!$A$4:$M$11,9,FALSE),"")</f>
        <v/>
      </c>
      <c r="W5" s="3">
        <f>IFERROR(VLOOKUP("PIAD#1",'Detalle - Lo que imparte'!$A$4:$M$11,10,FALSE),"")</f>
        <v/>
      </c>
      <c r="X5" s="3">
        <f>IFERROR(VLOOKUP("PIAD#1",'Detalle - Lo que imparte'!$A$4:$M$11,11,FALSE),"")</f>
        <v/>
      </c>
      <c r="Y5" s="3">
        <f>IFERROR(VLOOKUP("PIAD#1",'Detalle - Lo que imparte'!$A$4:$M$11,12,FALSE),"")</f>
        <v/>
      </c>
      <c r="Z5">
        <f>IFERROR(VLOOKUP("PIAD#1",'Detalle - Lo que imparte'!$A$4:$M$11,13,FALSE),"")</f>
        <v/>
      </c>
    </row>
    <row r="6">
      <c r="A6" s="3" t="inlineStr">
        <is>
          <t>PIAD#3</t>
        </is>
      </c>
      <c r="B6" s="3" t="n">
        <v>3</v>
      </c>
      <c r="C6" s="3" t="inlineStr">
        <is>
          <t>EST-CC</t>
        </is>
      </c>
      <c r="D6" s="3" t="inlineStr">
        <is>
          <t>CP</t>
        </is>
      </c>
      <c r="E6" s="3" t="inlineStr">
        <is>
          <t>2</t>
        </is>
      </c>
      <c r="F6" s="3" t="inlineStr">
        <is>
          <t>PIAD</t>
        </is>
      </c>
      <c r="G6" s="3" t="inlineStr">
        <is>
          <t>Estadistica (CC)</t>
        </is>
      </c>
      <c r="H6" s="3" t="n">
        <v>32</v>
      </c>
      <c r="I6" s="3" t="inlineStr">
        <is>
          <t>Pedro I. Alonso Diaz</t>
        </is>
      </c>
      <c r="J6" s="3" t="inlineStr">
        <is>
          <t>PIAD|EST-CC</t>
        </is>
      </c>
      <c r="K6" s="3" t="inlineStr">
        <is>
          <t>EST-CC CP 2</t>
        </is>
      </c>
      <c r="L6" s="3" t="inlineStr">
        <is>
          <t xml:space="preserve">EST-CC Conf </t>
        </is>
      </c>
      <c r="M6" s="3" t="n">
        <v>0</v>
      </c>
      <c r="N6" s="3" t="n"/>
      <c r="O6" s="3">
        <f>IFERROR(VLOOKUP("PIAD#2",'Detalle - Lo que imparte'!$A$4:$M$11,2,FALSE),"")</f>
        <v/>
      </c>
      <c r="P6" s="3">
        <f>IFERROR(VLOOKUP("PIAD#2",'Detalle - Lo que imparte'!$A$4:$M$11,3,FALSE),"")</f>
        <v/>
      </c>
      <c r="Q6" s="3">
        <f>IFERROR(VLOOKUP("PIAD#2",'Detalle - Lo que imparte'!$A$4:$M$11,4,FALSE),"")</f>
        <v/>
      </c>
      <c r="R6" s="3">
        <f>IFERROR(VLOOKUP("PIAD#2",'Detalle - Lo que imparte'!$A$4:$M$11,5,FALSE),"")</f>
        <v/>
      </c>
      <c r="S6" s="3">
        <f>IFERROR(VLOOKUP("PIAD#2",'Detalle - Lo que imparte'!$A$4:$M$11,6,FALSE),"")</f>
        <v/>
      </c>
      <c r="T6" s="3">
        <f>IFERROR(VLOOKUP("PIAD#2",'Detalle - Lo que imparte'!$A$4:$M$11,7,FALSE),"")</f>
        <v/>
      </c>
      <c r="U6" s="3">
        <f>IFERROR(VLOOKUP("PIAD#2",'Detalle - Lo que imparte'!$A$4:$M$11,8,FALSE),"")</f>
        <v/>
      </c>
      <c r="V6" s="3">
        <f>IFERROR(VLOOKUP("PIAD#2",'Detalle - Lo que imparte'!$A$4:$M$11,9,FALSE),"")</f>
        <v/>
      </c>
      <c r="W6" s="3">
        <f>IFERROR(VLOOKUP("PIAD#2",'Detalle - Lo que imparte'!$A$4:$M$11,10,FALSE),"")</f>
        <v/>
      </c>
      <c r="X6" s="3">
        <f>IFERROR(VLOOKUP("PIAD#2",'Detalle - Lo que imparte'!$A$4:$M$11,11,FALSE),"")</f>
        <v/>
      </c>
      <c r="Y6" s="3">
        <f>IFERROR(VLOOKUP("PIAD#2",'Detalle - Lo que imparte'!$A$4:$M$11,12,FALSE),"")</f>
        <v/>
      </c>
      <c r="Z6">
        <f>IFERROR(VLOOKUP("PIAD#2",'Detalle - Lo que imparte'!$A$4:$M$11,13,FALSE),"")</f>
        <v/>
      </c>
    </row>
    <row r="7">
      <c r="A7" s="3" t="inlineStr">
        <is>
          <t>PIAD#4</t>
        </is>
      </c>
      <c r="B7" s="3" t="n">
        <v>4</v>
      </c>
      <c r="C7" s="3" t="inlineStr">
        <is>
          <t>EST-MAT</t>
        </is>
      </c>
      <c r="D7" s="3" t="inlineStr">
        <is>
          <t>Conf</t>
        </is>
      </c>
      <c r="E7" s="3" t="inlineStr"/>
      <c r="F7" s="3" t="inlineStr">
        <is>
          <t>PIAD</t>
        </is>
      </c>
      <c r="G7" s="3" t="inlineStr">
        <is>
          <t>Estadistica (Mat)</t>
        </is>
      </c>
      <c r="H7" s="3" t="n">
        <v>32</v>
      </c>
      <c r="I7" s="3" t="inlineStr">
        <is>
          <t>Pedro I. Alonso Diaz</t>
        </is>
      </c>
      <c r="J7" s="3" t="inlineStr">
        <is>
          <t>PIAD|EST-MAT</t>
        </is>
      </c>
      <c r="K7" s="3" t="inlineStr">
        <is>
          <t xml:space="preserve">EST-MAT Conf </t>
        </is>
      </c>
      <c r="L7" s="3" t="inlineStr">
        <is>
          <t xml:space="preserve">EST-MAT Conf </t>
        </is>
      </c>
      <c r="M7" s="3" t="n">
        <v>1</v>
      </c>
      <c r="N7" s="3" t="n"/>
      <c r="O7" s="3">
        <f>IFERROR(VLOOKUP("PIAD#3",'Detalle - Lo que imparte'!$A$4:$M$11,2,FALSE),"")</f>
        <v/>
      </c>
      <c r="P7" s="3">
        <f>IFERROR(VLOOKUP("PIAD#3",'Detalle - Lo que imparte'!$A$4:$M$11,3,FALSE),"")</f>
        <v/>
      </c>
      <c r="Q7" s="3">
        <f>IFERROR(VLOOKUP("PIAD#3",'Detalle - Lo que imparte'!$A$4:$M$11,4,FALSE),"")</f>
        <v/>
      </c>
      <c r="R7" s="3">
        <f>IFERROR(VLOOKUP("PIAD#3",'Detalle - Lo que imparte'!$A$4:$M$11,5,FALSE),"")</f>
        <v/>
      </c>
      <c r="S7" s="3">
        <f>IFERROR(VLOOKUP("PIAD#3",'Detalle - Lo que imparte'!$A$4:$M$11,6,FALSE),"")</f>
        <v/>
      </c>
      <c r="T7" s="3">
        <f>IFERROR(VLOOKUP("PIAD#3",'Detalle - Lo que imparte'!$A$4:$M$11,7,FALSE),"")</f>
        <v/>
      </c>
      <c r="U7" s="3">
        <f>IFERROR(VLOOKUP("PIAD#3",'Detalle - Lo que imparte'!$A$4:$M$11,8,FALSE),"")</f>
        <v/>
      </c>
      <c r="V7" s="3">
        <f>IFERROR(VLOOKUP("PIAD#3",'Detalle - Lo que imparte'!$A$4:$M$11,9,FALSE),"")</f>
        <v/>
      </c>
      <c r="W7" s="3">
        <f>IFERROR(VLOOKUP("PIAD#3",'Detalle - Lo que imparte'!$A$4:$M$11,10,FALSE),"")</f>
        <v/>
      </c>
      <c r="X7" s="3">
        <f>IFERROR(VLOOKUP("PIAD#3",'Detalle - Lo que imparte'!$A$4:$M$11,11,FALSE),"")</f>
        <v/>
      </c>
      <c r="Y7" s="3">
        <f>IFERROR(VLOOKUP("PIAD#3",'Detalle - Lo que imparte'!$A$4:$M$11,12,FALSE),"")</f>
        <v/>
      </c>
      <c r="Z7">
        <f>IFERROR(VLOOKUP("PIAD#3",'Detalle - Lo que imparte'!$A$4:$M$11,13,FALSE),"")</f>
        <v/>
      </c>
    </row>
    <row r="8">
      <c r="A8" s="3" t="inlineStr">
        <is>
          <t>MARA#1</t>
        </is>
      </c>
      <c r="B8" s="3" t="n">
        <v>6</v>
      </c>
      <c r="C8" s="3" t="inlineStr">
        <is>
          <t>PROB</t>
        </is>
      </c>
      <c r="D8" s="3" t="inlineStr">
        <is>
          <t>Conf</t>
        </is>
      </c>
      <c r="E8" s="3" t="inlineStr"/>
      <c r="F8" s="3" t="inlineStr">
        <is>
          <t>MARA</t>
        </is>
      </c>
      <c r="G8" s="3" t="inlineStr">
        <is>
          <t>Probabilidades</t>
        </is>
      </c>
      <c r="H8" s="3" t="n">
        <v>48</v>
      </c>
      <c r="I8" s="3" t="inlineStr">
        <is>
          <t>Maria Ramirez</t>
        </is>
      </c>
      <c r="J8" s="3" t="inlineStr">
        <is>
          <t>MARA|PROB</t>
        </is>
      </c>
      <c r="K8" s="3" t="inlineStr">
        <is>
          <t xml:space="preserve">PROB Conf </t>
        </is>
      </c>
      <c r="L8" s="3" t="inlineStr">
        <is>
          <t xml:space="preserve">PROB Conf </t>
        </is>
      </c>
      <c r="M8" s="3" t="n">
        <v>1</v>
      </c>
      <c r="N8" s="3" t="n"/>
      <c r="O8" s="3">
        <f>IFERROR(VLOOKUP("PIAD#4",'Detalle - Lo que imparte'!$A$4:$M$11,2,FALSE),"")</f>
        <v/>
      </c>
      <c r="P8" s="3">
        <f>IFERROR(VLOOKUP("PIAD#4",'Detalle - Lo que imparte'!$A$4:$M$11,3,FALSE),"")</f>
        <v/>
      </c>
      <c r="Q8" s="3">
        <f>IFERROR(VLOOKUP("PIAD#4",'Detalle - Lo que imparte'!$A$4:$M$11,4,FALSE),"")</f>
        <v/>
      </c>
      <c r="R8" s="3">
        <f>IFERROR(VLOOKUP("PIAD#4",'Detalle - Lo que imparte'!$A$4:$M$11,5,FALSE),"")</f>
        <v/>
      </c>
      <c r="S8" s="3">
        <f>IFERROR(VLOOKUP("PIAD#4",'Detalle - Lo que imparte'!$A$4:$M$11,6,FALSE),"")</f>
        <v/>
      </c>
      <c r="T8" s="3">
        <f>IFERROR(VLOOKUP("PIAD#4",'Detalle - Lo que imparte'!$A$4:$M$11,7,FALSE),"")</f>
        <v/>
      </c>
      <c r="U8" s="3">
        <f>IFERROR(VLOOKUP("PIAD#4",'Detalle - Lo que imparte'!$A$4:$M$11,8,FALSE),"")</f>
        <v/>
      </c>
      <c r="V8" s="3">
        <f>IFERROR(VLOOKUP("PIAD#4",'Detalle - Lo que imparte'!$A$4:$M$11,9,FALSE),"")</f>
        <v/>
      </c>
      <c r="W8" s="3">
        <f>IFERROR(VLOOKUP("PIAD#4",'Detalle - Lo que imparte'!$A$4:$M$11,10,FALSE),"")</f>
        <v/>
      </c>
      <c r="X8" s="3">
        <f>IFERROR(VLOOKUP("PIAD#4",'Detalle - Lo que imparte'!$A$4:$M$11,11,FALSE),"")</f>
        <v/>
      </c>
      <c r="Y8" s="3">
        <f>IFERROR(VLOOKUP("PIAD#4",'Detalle - Lo que imparte'!$A$4:$M$11,12,FALSE),"")</f>
        <v/>
      </c>
      <c r="Z8">
        <f>IFERROR(VLOOKUP("PIAD#4",'Detalle - Lo que imparte'!$A$4:$M$11,13,FALSE),"")</f>
        <v/>
      </c>
    </row>
    <row r="9">
      <c r="A9" s="3" t="inlineStr">
        <is>
          <t>MARA#2</t>
        </is>
      </c>
      <c r="B9" s="3" t="n">
        <v>7</v>
      </c>
      <c r="C9" s="3" t="inlineStr">
        <is>
          <t>PROB</t>
        </is>
      </c>
      <c r="D9" s="3" t="inlineStr">
        <is>
          <t>CP</t>
        </is>
      </c>
      <c r="E9" s="3" t="inlineStr">
        <is>
          <t>1</t>
        </is>
      </c>
      <c r="F9" s="3" t="inlineStr">
        <is>
          <t>MARA</t>
        </is>
      </c>
      <c r="G9" s="3" t="inlineStr">
        <is>
          <t>Probabilidades</t>
        </is>
      </c>
      <c r="H9" s="3" t="n">
        <v>32</v>
      </c>
      <c r="I9" s="3" t="inlineStr">
        <is>
          <t>Maria Ramirez</t>
        </is>
      </c>
      <c r="J9" s="3" t="inlineStr">
        <is>
          <t>MARA|PROB</t>
        </is>
      </c>
      <c r="K9" s="3" t="inlineStr">
        <is>
          <t>PROB CP 1</t>
        </is>
      </c>
      <c r="L9" s="3" t="inlineStr">
        <is>
          <t xml:space="preserve">PROB Conf </t>
        </is>
      </c>
      <c r="M9" s="3" t="n">
        <v>0</v>
      </c>
      <c r="N9" s="3" t="n"/>
      <c r="O9" s="3">
        <f>IFERROR(VLOOKUP("PIAD#5",'Detalle - Lo que imparte'!$A$4:$M$11,2,FALSE),"")</f>
        <v/>
      </c>
      <c r="P9" s="3">
        <f>IFERROR(VLOOKUP("PIAD#5",'Detalle - Lo que imparte'!$A$4:$M$11,3,FALSE),"")</f>
        <v/>
      </c>
      <c r="Q9" s="3">
        <f>IFERROR(VLOOKUP("PIAD#5",'Detalle - Lo que imparte'!$A$4:$M$11,4,FALSE),"")</f>
        <v/>
      </c>
      <c r="R9" s="3">
        <f>IFERROR(VLOOKUP("PIAD#5",'Detalle - Lo que imparte'!$A$4:$M$11,5,FALSE),"")</f>
        <v/>
      </c>
      <c r="S9" s="3">
        <f>IFERROR(VLOOKUP("PIAD#5",'Detalle - Lo que imparte'!$A$4:$M$11,6,FALSE),"")</f>
        <v/>
      </c>
      <c r="T9" s="3">
        <f>IFERROR(VLOOKUP("PIAD#5",'Detalle - Lo que imparte'!$A$4:$M$11,7,FALSE),"")</f>
        <v/>
      </c>
      <c r="U9" s="3">
        <f>IFERROR(VLOOKUP("PIAD#5",'Detalle - Lo que imparte'!$A$4:$M$11,8,FALSE),"")</f>
        <v/>
      </c>
      <c r="V9" s="3">
        <f>IFERROR(VLOOKUP("PIAD#5",'Detalle - Lo que imparte'!$A$4:$M$11,9,FALSE),"")</f>
        <v/>
      </c>
      <c r="W9" s="3">
        <f>IFERROR(VLOOKUP("PIAD#5",'Detalle - Lo que imparte'!$A$4:$M$11,10,FALSE),"")</f>
        <v/>
      </c>
      <c r="X9" s="3">
        <f>IFERROR(VLOOKUP("PIAD#5",'Detalle - Lo que imparte'!$A$4:$M$11,11,FALSE),"")</f>
        <v/>
      </c>
      <c r="Y9" s="3">
        <f>IFERROR(VLOOKUP("PIAD#5",'Detalle - Lo que imparte'!$A$4:$M$11,12,FALSE),"")</f>
        <v/>
      </c>
      <c r="Z9">
        <f>IFERROR(VLOOKUP("PIAD#5",'Detalle - Lo que imparte'!$A$4:$M$11,13,FALSE),"")</f>
        <v/>
      </c>
    </row>
    <row r="10">
      <c r="A10" s="3" t="inlineStr">
        <is>
          <t>MARA#3</t>
        </is>
      </c>
      <c r="B10" s="3" t="n">
        <v>9</v>
      </c>
      <c r="C10" s="3" t="inlineStr">
        <is>
          <t>MNUM</t>
        </is>
      </c>
      <c r="D10" s="3" t="inlineStr">
        <is>
          <t>Conf</t>
        </is>
      </c>
      <c r="E10" s="3" t="inlineStr"/>
      <c r="F10" s="3" t="inlineStr">
        <is>
          <t>MARA</t>
        </is>
      </c>
      <c r="G10" s="3" t="inlineStr">
        <is>
          <t>Metodos Numericos</t>
        </is>
      </c>
      <c r="H10" s="3" t="n">
        <v>32</v>
      </c>
      <c r="I10" s="3" t="inlineStr">
        <is>
          <t>Maria Ramirez</t>
        </is>
      </c>
      <c r="J10" s="3" t="inlineStr">
        <is>
          <t>MARA|MNUM</t>
        </is>
      </c>
      <c r="K10" s="3" t="inlineStr">
        <is>
          <t xml:space="preserve">MNUM Conf </t>
        </is>
      </c>
      <c r="L10" s="3" t="inlineStr">
        <is>
          <t xml:space="preserve">MNUM Conf </t>
        </is>
      </c>
      <c r="M10" s="3" t="n">
        <v>1</v>
      </c>
      <c r="N10" s="3" t="n"/>
      <c r="O10" s="3" t="inlineStr">
        <is>
          <t>MARA</t>
        </is>
      </c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</row>
    <row r="11">
      <c r="A11" s="3" t="inlineStr">
        <is>
          <t>LUGO#1</t>
        </is>
      </c>
      <c r="B11" s="3" t="n">
        <v>5</v>
      </c>
      <c r="C11" s="3" t="inlineStr">
        <is>
          <t>EST-MAT</t>
        </is>
      </c>
      <c r="D11" s="3" t="inlineStr">
        <is>
          <t>CP</t>
        </is>
      </c>
      <c r="E11" s="3" t="inlineStr">
        <is>
          <t>1</t>
        </is>
      </c>
      <c r="F11" s="3" t="inlineStr">
        <is>
          <t>LUGO</t>
        </is>
      </c>
      <c r="G11" s="3" t="inlineStr">
        <is>
          <t>Estadistica (Mat)</t>
        </is>
      </c>
      <c r="H11" s="3" t="n">
        <v>32</v>
      </c>
      <c r="I11" s="3" t="inlineStr">
        <is>
          <t>Luis Gomez</t>
        </is>
      </c>
      <c r="J11" s="3" t="inlineStr">
        <is>
          <t>LUGO|EST-MAT</t>
        </is>
      </c>
      <c r="K11" s="3" t="inlineStr">
        <is>
          <t>EST-MAT CP 1</t>
        </is>
      </c>
      <c r="L11" s="3" t="inlineStr">
        <is>
          <t>EST-MAT CP 1</t>
        </is>
      </c>
      <c r="M11" s="3" t="n">
        <v>1</v>
      </c>
      <c r="N11" s="3" t="n"/>
      <c r="O11" s="3">
        <f>IFERROR(VLOOKUP("MARA#1",'Detalle - Lo que imparte'!$A$4:$M$11,2,FALSE),"")</f>
        <v/>
      </c>
      <c r="P11" s="3">
        <f>IFERROR(VLOOKUP("MARA#1",'Detalle - Lo que imparte'!$A$4:$M$11,3,FALSE),"")</f>
        <v/>
      </c>
      <c r="Q11" s="3">
        <f>IFERROR(VLOOKUP("MARA#1",'Detalle - Lo que imparte'!$A$4:$M$11,4,FALSE),"")</f>
        <v/>
      </c>
      <c r="R11" s="3">
        <f>IFERROR(VLOOKUP("MARA#1",'Detalle - Lo que imparte'!$A$4:$M$11,5,FALSE),"")</f>
        <v/>
      </c>
      <c r="S11" s="3">
        <f>IFERROR(VLOOKUP("MARA#1",'Detalle - Lo que imparte'!$A$4:$M$11,6,FALSE),"")</f>
        <v/>
      </c>
      <c r="T11" s="3">
        <f>IFERROR(VLOOKUP("MARA#1",'Detalle - Lo que imparte'!$A$4:$M$11,7,FALSE),"")</f>
        <v/>
      </c>
      <c r="U11" s="3">
        <f>IFERROR(VLOOKUP("MARA#1",'Detalle - Lo que imparte'!$A$4:$M$11,8,FALSE),"")</f>
        <v/>
      </c>
      <c r="V11" s="3">
        <f>IFERROR(VLOOKUP("MARA#1",'Detalle - Lo que imparte'!$A$4:$M$11,9,FALSE),"")</f>
        <v/>
      </c>
      <c r="W11" s="3">
        <f>IFERROR(VLOOKUP("MARA#1",'Detalle - Lo que imparte'!$A$4:$M$11,10,FALSE),"")</f>
        <v/>
      </c>
      <c r="X11" s="3">
        <f>IFERROR(VLOOKUP("MARA#1",'Detalle - Lo que imparte'!$A$4:$M$11,11,FALSE),"")</f>
        <v/>
      </c>
      <c r="Y11" s="3">
        <f>IFERROR(VLOOKUP("MARA#1",'Detalle - Lo que imparte'!$A$4:$M$11,12,FALSE),"")</f>
        <v/>
      </c>
      <c r="Z11">
        <f>IFERROR(VLOOKUP("MARA#1",'Detalle - Lo que imparte'!$A$4:$M$11,13,FALSE),"")</f>
        <v/>
      </c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>
        <f>IFERROR(VLOOKUP("MARA#2",'Detalle - Lo que imparte'!$A$4:$M$11,2,FALSE),"")</f>
        <v/>
      </c>
      <c r="P12" s="3">
        <f>IFERROR(VLOOKUP("MARA#2",'Detalle - Lo que imparte'!$A$4:$M$11,3,FALSE),"")</f>
        <v/>
      </c>
      <c r="Q12" s="3">
        <f>IFERROR(VLOOKUP("MARA#2",'Detalle - Lo que imparte'!$A$4:$M$11,4,FALSE),"")</f>
        <v/>
      </c>
      <c r="R12" s="3">
        <f>IFERROR(VLOOKUP("MARA#2",'Detalle - Lo que imparte'!$A$4:$M$11,5,FALSE),"")</f>
        <v/>
      </c>
      <c r="S12" s="3">
        <f>IFERROR(VLOOKUP("MARA#2",'Detalle - Lo que imparte'!$A$4:$M$11,6,FALSE),"")</f>
        <v/>
      </c>
      <c r="T12" s="3">
        <f>IFERROR(VLOOKUP("MARA#2",'Detalle - Lo que imparte'!$A$4:$M$11,7,FALSE),"")</f>
        <v/>
      </c>
      <c r="U12" s="3">
        <f>IFERROR(VLOOKUP("MARA#2",'Detalle - Lo que imparte'!$A$4:$M$11,8,FALSE),"")</f>
        <v/>
      </c>
      <c r="V12" s="3">
        <f>IFERROR(VLOOKUP("MARA#2",'Detalle - Lo que imparte'!$A$4:$M$11,9,FALSE),"")</f>
        <v/>
      </c>
      <c r="W12" s="3">
        <f>IFERROR(VLOOKUP("MARA#2",'Detalle - Lo que imparte'!$A$4:$M$11,10,FALSE),"")</f>
        <v/>
      </c>
      <c r="X12" s="3">
        <f>IFERROR(VLOOKUP("MARA#2",'Detalle - Lo que imparte'!$A$4:$M$11,11,FALSE),"")</f>
        <v/>
      </c>
      <c r="Y12" s="3">
        <f>IFERROR(VLOOKUP("MARA#2",'Detalle - Lo que imparte'!$A$4:$M$11,12,FALSE),"")</f>
        <v/>
      </c>
      <c r="Z12">
        <f>IFERROR(VLOOKUP("MARA#2",'Detalle - Lo que imparte'!$A$4:$M$11,13,FALSE),"")</f>
        <v/>
      </c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>
        <f>IFERROR(VLOOKUP("MARA#3",'Detalle - Lo que imparte'!$A$4:$M$11,2,FALSE),"")</f>
        <v/>
      </c>
      <c r="P13" s="3">
        <f>IFERROR(VLOOKUP("MARA#3",'Detalle - Lo que imparte'!$A$4:$M$11,3,FALSE),"")</f>
        <v/>
      </c>
      <c r="Q13" s="3">
        <f>IFERROR(VLOOKUP("MARA#3",'Detalle - Lo que imparte'!$A$4:$M$11,4,FALSE),"")</f>
        <v/>
      </c>
      <c r="R13" s="3">
        <f>IFERROR(VLOOKUP("MARA#3",'Detalle - Lo que imparte'!$A$4:$M$11,5,FALSE),"")</f>
        <v/>
      </c>
      <c r="S13" s="3">
        <f>IFERROR(VLOOKUP("MARA#3",'Detalle - Lo que imparte'!$A$4:$M$11,6,FALSE),"")</f>
        <v/>
      </c>
      <c r="T13" s="3">
        <f>IFERROR(VLOOKUP("MARA#3",'Detalle - Lo que imparte'!$A$4:$M$11,7,FALSE),"")</f>
        <v/>
      </c>
      <c r="U13" s="3">
        <f>IFERROR(VLOOKUP("MARA#3",'Detalle - Lo que imparte'!$A$4:$M$11,8,FALSE),"")</f>
        <v/>
      </c>
      <c r="V13" s="3">
        <f>IFERROR(VLOOKUP("MARA#3",'Detalle - Lo que imparte'!$A$4:$M$11,9,FALSE),"")</f>
        <v/>
      </c>
      <c r="W13" s="3">
        <f>IFERROR(VLOOKUP("MARA#3",'Detalle - Lo que imparte'!$A$4:$M$11,10,FALSE),"")</f>
        <v/>
      </c>
      <c r="X13" s="3">
        <f>IFERROR(VLOOKUP("MARA#3",'Detalle - Lo que imparte'!$A$4:$M$11,11,FALSE),"")</f>
        <v/>
      </c>
      <c r="Y13" s="3">
        <f>IFERROR(VLOOKUP("MARA#3",'Detalle - Lo que imparte'!$A$4:$M$11,12,FALSE),"")</f>
        <v/>
      </c>
      <c r="Z13">
        <f>IFERROR(VLOOKUP("MARA#3",'Detalle - Lo que imparte'!$A$4:$M$11,13,FALSE),"")</f>
        <v/>
      </c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>
        <f>IFERROR(VLOOKUP("MARA#4",'Detalle - Lo que imparte'!$A$4:$M$11,2,FALSE),"")</f>
        <v/>
      </c>
      <c r="P14" s="3">
        <f>IFERROR(VLOOKUP("MARA#4",'Detalle - Lo que imparte'!$A$4:$M$11,3,FALSE),"")</f>
        <v/>
      </c>
      <c r="Q14" s="3">
        <f>IFERROR(VLOOKUP("MARA#4",'Detalle - Lo que imparte'!$A$4:$M$11,4,FALSE),"")</f>
        <v/>
      </c>
      <c r="R14" s="3">
        <f>IFERROR(VLOOKUP("MARA#4",'Detalle - Lo que imparte'!$A$4:$M$11,5,FALSE),"")</f>
        <v/>
      </c>
      <c r="S14" s="3">
        <f>IFERROR(VLOOKUP("MARA#4",'Detalle - Lo que imparte'!$A$4:$M$11,6,FALSE),"")</f>
        <v/>
      </c>
      <c r="T14" s="3">
        <f>IFERROR(VLOOKUP("MARA#4",'Detalle - Lo que imparte'!$A$4:$M$11,7,FALSE),"")</f>
        <v/>
      </c>
      <c r="U14" s="3">
        <f>IFERROR(VLOOKUP("MARA#4",'Detalle - Lo que imparte'!$A$4:$M$11,8,FALSE),"")</f>
        <v/>
      </c>
      <c r="V14" s="3">
        <f>IFERROR(VLOOKUP("MARA#4",'Detalle - Lo que imparte'!$A$4:$M$11,9,FALSE),"")</f>
        <v/>
      </c>
      <c r="W14" s="3">
        <f>IFERROR(VLOOKUP("MARA#4",'Detalle - Lo que imparte'!$A$4:$M$11,10,FALSE),"")</f>
        <v/>
      </c>
      <c r="X14" s="3">
        <f>IFERROR(VLOOKUP("MARA#4",'Detalle - Lo que imparte'!$A$4:$M$11,11,FALSE),"")</f>
        <v/>
      </c>
      <c r="Y14" s="3">
        <f>IFERROR(VLOOKUP("MARA#4",'Detalle - Lo que imparte'!$A$4:$M$11,12,FALSE),"")</f>
        <v/>
      </c>
      <c r="Z14">
        <f>IFERROR(VLOOKUP("MARA#4",'Detalle - Lo que imparte'!$A$4:$M$11,13,FALSE),"")</f>
        <v/>
      </c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>
        <f>IFERROR(VLOOKUP("MARA#5",'Detalle - Lo que imparte'!$A$4:$M$11,2,FALSE),"")</f>
        <v/>
      </c>
      <c r="P15" s="3">
        <f>IFERROR(VLOOKUP("MARA#5",'Detalle - Lo que imparte'!$A$4:$M$11,3,FALSE),"")</f>
        <v/>
      </c>
      <c r="Q15" s="3">
        <f>IFERROR(VLOOKUP("MARA#5",'Detalle - Lo que imparte'!$A$4:$M$11,4,FALSE),"")</f>
        <v/>
      </c>
      <c r="R15" s="3">
        <f>IFERROR(VLOOKUP("MARA#5",'Detalle - Lo que imparte'!$A$4:$M$11,5,FALSE),"")</f>
        <v/>
      </c>
      <c r="S15" s="3">
        <f>IFERROR(VLOOKUP("MARA#5",'Detalle - Lo que imparte'!$A$4:$M$11,6,FALSE),"")</f>
        <v/>
      </c>
      <c r="T15" s="3">
        <f>IFERROR(VLOOKUP("MARA#5",'Detalle - Lo que imparte'!$A$4:$M$11,7,FALSE),"")</f>
        <v/>
      </c>
      <c r="U15" s="3">
        <f>IFERROR(VLOOKUP("MARA#5",'Detalle - Lo que imparte'!$A$4:$M$11,8,FALSE),"")</f>
        <v/>
      </c>
      <c r="V15" s="3">
        <f>IFERROR(VLOOKUP("MARA#5",'Detalle - Lo que imparte'!$A$4:$M$11,9,FALSE),"")</f>
        <v/>
      </c>
      <c r="W15" s="3">
        <f>IFERROR(VLOOKUP("MARA#5",'Detalle - Lo que imparte'!$A$4:$M$11,10,FALSE),"")</f>
        <v/>
      </c>
      <c r="X15" s="3">
        <f>IFERROR(VLOOKUP("MARA#5",'Detalle - Lo que imparte'!$A$4:$M$11,11,FALSE),"")</f>
        <v/>
      </c>
      <c r="Y15" s="3">
        <f>IFERROR(VLOOKUP("MARA#5",'Detalle - Lo que imparte'!$A$4:$M$11,12,FALSE),"")</f>
        <v/>
      </c>
      <c r="Z15">
        <f>IFERROR(VLOOKUP("MARA#5",'Detalle - Lo que imparte'!$A$4:$M$11,13,FALSE),"")</f>
        <v/>
      </c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inlineStr">
        <is>
          <t>LUGO</t>
        </is>
      </c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>
        <f>IFERROR(VLOOKUP("LUGO#1",'Detalle - Lo que imparte'!$A$4:$M$11,2,FALSE),"")</f>
        <v/>
      </c>
      <c r="P17" s="3">
        <f>IFERROR(VLOOKUP("LUGO#1",'Detalle - Lo que imparte'!$A$4:$M$11,3,FALSE),"")</f>
        <v/>
      </c>
      <c r="Q17" s="3">
        <f>IFERROR(VLOOKUP("LUGO#1",'Detalle - Lo que imparte'!$A$4:$M$11,4,FALSE),"")</f>
        <v/>
      </c>
      <c r="R17" s="3">
        <f>IFERROR(VLOOKUP("LUGO#1",'Detalle - Lo que imparte'!$A$4:$M$11,5,FALSE),"")</f>
        <v/>
      </c>
      <c r="S17" s="3">
        <f>IFERROR(VLOOKUP("LUGO#1",'Detalle - Lo que imparte'!$A$4:$M$11,6,FALSE),"")</f>
        <v/>
      </c>
      <c r="T17" s="3">
        <f>IFERROR(VLOOKUP("LUGO#1",'Detalle - Lo que imparte'!$A$4:$M$11,7,FALSE),"")</f>
        <v/>
      </c>
      <c r="U17" s="3">
        <f>IFERROR(VLOOKUP("LUGO#1",'Detalle - Lo que imparte'!$A$4:$M$11,8,FALSE),"")</f>
        <v/>
      </c>
      <c r="V17" s="3">
        <f>IFERROR(VLOOKUP("LUGO#1",'Detalle - Lo que imparte'!$A$4:$M$11,9,FALSE),"")</f>
        <v/>
      </c>
      <c r="W17" s="3">
        <f>IFERROR(VLOOKUP("LUGO#1",'Detalle - Lo que imparte'!$A$4:$M$11,10,FALSE),"")</f>
        <v/>
      </c>
      <c r="X17" s="3">
        <f>IFERROR(VLOOKUP("LUGO#1",'Detalle - Lo que imparte'!$A$4:$M$11,11,FALSE),"")</f>
        <v/>
      </c>
      <c r="Y17" s="3">
        <f>IFERROR(VLOOKUP("LUGO#1",'Detalle - Lo que imparte'!$A$4:$M$11,12,FALSE),"")</f>
        <v/>
      </c>
      <c r="Z17">
        <f>IFERROR(VLOOKUP("LUGO#1",'Detalle - Lo que imparte'!$A$4:$M$11,13,FALSE),"")</f>
        <v/>
      </c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>
        <f>IFERROR(VLOOKUP("LUGO#2",'Detalle - Lo que imparte'!$A$4:$M$11,2,FALSE),"")</f>
        <v/>
      </c>
      <c r="P18" s="3">
        <f>IFERROR(VLOOKUP("LUGO#2",'Detalle - Lo que imparte'!$A$4:$M$11,3,FALSE),"")</f>
        <v/>
      </c>
      <c r="Q18" s="3">
        <f>IFERROR(VLOOKUP("LUGO#2",'Detalle - Lo que imparte'!$A$4:$M$11,4,FALSE),"")</f>
        <v/>
      </c>
      <c r="R18" s="3">
        <f>IFERROR(VLOOKUP("LUGO#2",'Detalle - Lo que imparte'!$A$4:$M$11,5,FALSE),"")</f>
        <v/>
      </c>
      <c r="S18" s="3">
        <f>IFERROR(VLOOKUP("LUGO#2",'Detalle - Lo que imparte'!$A$4:$M$11,6,FALSE),"")</f>
        <v/>
      </c>
      <c r="T18" s="3">
        <f>IFERROR(VLOOKUP("LUGO#2",'Detalle - Lo que imparte'!$A$4:$M$11,7,FALSE),"")</f>
        <v/>
      </c>
      <c r="U18" s="3">
        <f>IFERROR(VLOOKUP("LUGO#2",'Detalle - Lo que imparte'!$A$4:$M$11,8,FALSE),"")</f>
        <v/>
      </c>
      <c r="V18" s="3">
        <f>IFERROR(VLOOKUP("LUGO#2",'Detalle - Lo que imparte'!$A$4:$M$11,9,FALSE),"")</f>
        <v/>
      </c>
      <c r="W18" s="3">
        <f>IFERROR(VLOOKUP("LUGO#2",'Detalle - Lo que imparte'!$A$4:$M$11,10,FALSE),"")</f>
        <v/>
      </c>
      <c r="X18" s="3">
        <f>IFERROR(VLOOKUP("LUGO#2",'Detalle - Lo que imparte'!$A$4:$M$11,11,FALSE),"")</f>
        <v/>
      </c>
      <c r="Y18" s="3">
        <f>IFERROR(VLOOKUP("LUGO#2",'Detalle - Lo que imparte'!$A$4:$M$11,12,FALSE),"")</f>
        <v/>
      </c>
      <c r="Z18">
        <f>IFERROR(VLOOKUP("LUGO#2",'Detalle - Lo que imparte'!$A$4:$M$11,13,FALSE),"")</f>
        <v/>
      </c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>
        <f>IFERROR(VLOOKUP("LUGO#3",'Detalle - Lo que imparte'!$A$4:$M$11,2,FALSE),"")</f>
        <v/>
      </c>
      <c r="P19" s="3">
        <f>IFERROR(VLOOKUP("LUGO#3",'Detalle - Lo que imparte'!$A$4:$M$11,3,FALSE),"")</f>
        <v/>
      </c>
      <c r="Q19" s="3">
        <f>IFERROR(VLOOKUP("LUGO#3",'Detalle - Lo que imparte'!$A$4:$M$11,4,FALSE),"")</f>
        <v/>
      </c>
      <c r="R19" s="3">
        <f>IFERROR(VLOOKUP("LUGO#3",'Detalle - Lo que imparte'!$A$4:$M$11,5,FALSE),"")</f>
        <v/>
      </c>
      <c r="S19" s="3">
        <f>IFERROR(VLOOKUP("LUGO#3",'Detalle - Lo que imparte'!$A$4:$M$11,6,FALSE),"")</f>
        <v/>
      </c>
      <c r="T19" s="3">
        <f>IFERROR(VLOOKUP("LUGO#3",'Detalle - Lo que imparte'!$A$4:$M$11,7,FALSE),"")</f>
        <v/>
      </c>
      <c r="U19" s="3">
        <f>IFERROR(VLOOKUP("LUGO#3",'Detalle - Lo que imparte'!$A$4:$M$11,8,FALSE),"")</f>
        <v/>
      </c>
      <c r="V19" s="3">
        <f>IFERROR(VLOOKUP("LUGO#3",'Detalle - Lo que imparte'!$A$4:$M$11,9,FALSE),"")</f>
        <v/>
      </c>
      <c r="W19" s="3">
        <f>IFERROR(VLOOKUP("LUGO#3",'Detalle - Lo que imparte'!$A$4:$M$11,10,FALSE),"")</f>
        <v/>
      </c>
      <c r="X19" s="3">
        <f>IFERROR(VLOOKUP("LUGO#3",'Detalle - Lo que imparte'!$A$4:$M$11,11,FALSE),"")</f>
        <v/>
      </c>
      <c r="Y19" s="3">
        <f>IFERROR(VLOOKUP("LUGO#3",'Detalle - Lo que imparte'!$A$4:$M$11,12,FALSE),"")</f>
        <v/>
      </c>
      <c r="Z19">
        <f>IFERROR(VLOOKUP("LUGO#3",'Detalle - Lo que imparte'!$A$4:$M$11,13,FALSE),"")</f>
        <v/>
      </c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>
        <f>IFERROR(VLOOKUP("LUGO#4",'Detalle - Lo que imparte'!$A$4:$M$11,2,FALSE),"")</f>
        <v/>
      </c>
      <c r="P20" s="3">
        <f>IFERROR(VLOOKUP("LUGO#4",'Detalle - Lo que imparte'!$A$4:$M$11,3,FALSE),"")</f>
        <v/>
      </c>
      <c r="Q20" s="3">
        <f>IFERROR(VLOOKUP("LUGO#4",'Detalle - Lo que imparte'!$A$4:$M$11,4,FALSE),"")</f>
        <v/>
      </c>
      <c r="R20" s="3">
        <f>IFERROR(VLOOKUP("LUGO#4",'Detalle - Lo que imparte'!$A$4:$M$11,5,FALSE),"")</f>
        <v/>
      </c>
      <c r="S20" s="3">
        <f>IFERROR(VLOOKUP("LUGO#4",'Detalle - Lo que imparte'!$A$4:$M$11,6,FALSE),"")</f>
        <v/>
      </c>
      <c r="T20" s="3">
        <f>IFERROR(VLOOKUP("LUGO#4",'Detalle - Lo que imparte'!$A$4:$M$11,7,FALSE),"")</f>
        <v/>
      </c>
      <c r="U20" s="3">
        <f>IFERROR(VLOOKUP("LUGO#4",'Detalle - Lo que imparte'!$A$4:$M$11,8,FALSE),"")</f>
        <v/>
      </c>
      <c r="V20" s="3">
        <f>IFERROR(VLOOKUP("LUGO#4",'Detalle - Lo que imparte'!$A$4:$M$11,9,FALSE),"")</f>
        <v/>
      </c>
      <c r="W20" s="3">
        <f>IFERROR(VLOOKUP("LUGO#4",'Detalle - Lo que imparte'!$A$4:$M$11,10,FALSE),"")</f>
        <v/>
      </c>
      <c r="X20" s="3">
        <f>IFERROR(VLOOKUP("LUGO#4",'Detalle - Lo que imparte'!$A$4:$M$11,11,FALSE),"")</f>
        <v/>
      </c>
      <c r="Y20" s="3">
        <f>IFERROR(VLOOKUP("LUGO#4",'Detalle - Lo que imparte'!$A$4:$M$11,12,FALSE),"")</f>
        <v/>
      </c>
      <c r="Z20">
        <f>IFERROR(VLOOKUP("LUGO#4",'Detalle - Lo que imparte'!$A$4:$M$11,13,FALSE),"")</f>
        <v/>
      </c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>
        <f>IFERROR(VLOOKUP("LUGO#5",'Detalle - Lo que imparte'!$A$4:$M$11,2,FALSE),"")</f>
        <v/>
      </c>
      <c r="P21" s="3">
        <f>IFERROR(VLOOKUP("LUGO#5",'Detalle - Lo que imparte'!$A$4:$M$11,3,FALSE),"")</f>
        <v/>
      </c>
      <c r="Q21" s="3">
        <f>IFERROR(VLOOKUP("LUGO#5",'Detalle - Lo que imparte'!$A$4:$M$11,4,FALSE),"")</f>
        <v/>
      </c>
      <c r="R21" s="3">
        <f>IFERROR(VLOOKUP("LUGO#5",'Detalle - Lo que imparte'!$A$4:$M$11,5,FALSE),"")</f>
        <v/>
      </c>
      <c r="S21" s="3">
        <f>IFERROR(VLOOKUP("LUGO#5",'Detalle - Lo que imparte'!$A$4:$M$11,6,FALSE),"")</f>
        <v/>
      </c>
      <c r="T21" s="3">
        <f>IFERROR(VLOOKUP("LUGO#5",'Detalle - Lo que imparte'!$A$4:$M$11,7,FALSE),"")</f>
        <v/>
      </c>
      <c r="U21" s="3">
        <f>IFERROR(VLOOKUP("LUGO#5",'Detalle - Lo que imparte'!$A$4:$M$11,8,FALSE),"")</f>
        <v/>
      </c>
      <c r="V21" s="3">
        <f>IFERROR(VLOOKUP("LUGO#5",'Detalle - Lo que imparte'!$A$4:$M$11,9,FALSE),"")</f>
        <v/>
      </c>
      <c r="W21" s="3">
        <f>IFERROR(VLOOKUP("LUGO#5",'Detalle - Lo que imparte'!$A$4:$M$11,10,FALSE),"")</f>
        <v/>
      </c>
      <c r="X21" s="3">
        <f>IFERROR(VLOOKUP("LUGO#5",'Detalle - Lo que imparte'!$A$4:$M$11,11,FALSE),"")</f>
        <v/>
      </c>
      <c r="Y21" s="3">
        <f>IFERROR(VLOOKUP("LUGO#5",'Detalle - Lo que imparte'!$A$4:$M$11,12,FALSE),"")</f>
        <v/>
      </c>
      <c r="Z21">
        <f>IFERROR(VLOOKUP("LUGO#5",'Detalle - Lo que imparte'!$A$4:$M$11,13,FALSE),"")</f>
        <v/>
      </c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inlineStr">
        <is>
          <t>ROTO</t>
        </is>
      </c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>
        <f>IFERROR(VLOOKUP("ROTO#1",'Detalle - Lo que imparte'!$A$4:$M$11,2,FALSE),"")</f>
        <v/>
      </c>
      <c r="P23" s="3">
        <f>IFERROR(VLOOKUP("ROTO#1",'Detalle - Lo que imparte'!$A$4:$M$11,3,FALSE),"")</f>
        <v/>
      </c>
      <c r="Q23" s="3">
        <f>IFERROR(VLOOKUP("ROTO#1",'Detalle - Lo que imparte'!$A$4:$M$11,4,FALSE),"")</f>
        <v/>
      </c>
      <c r="R23" s="3">
        <f>IFERROR(VLOOKUP("ROTO#1",'Detalle - Lo que imparte'!$A$4:$M$11,5,FALSE),"")</f>
        <v/>
      </c>
      <c r="S23" s="3">
        <f>IFERROR(VLOOKUP("ROTO#1",'Detalle - Lo que imparte'!$A$4:$M$11,6,FALSE),"")</f>
        <v/>
      </c>
      <c r="T23" s="3">
        <f>IFERROR(VLOOKUP("ROTO#1",'Detalle - Lo que imparte'!$A$4:$M$11,7,FALSE),"")</f>
        <v/>
      </c>
      <c r="U23" s="3">
        <f>IFERROR(VLOOKUP("ROTO#1",'Detalle - Lo que imparte'!$A$4:$M$11,8,FALSE),"")</f>
        <v/>
      </c>
      <c r="V23" s="3">
        <f>IFERROR(VLOOKUP("ROTO#1",'Detalle - Lo que imparte'!$A$4:$M$11,9,FALSE),"")</f>
        <v/>
      </c>
      <c r="W23" s="3">
        <f>IFERROR(VLOOKUP("ROTO#1",'Detalle - Lo que imparte'!$A$4:$M$11,10,FALSE),"")</f>
        <v/>
      </c>
      <c r="X23" s="3">
        <f>IFERROR(VLOOKUP("ROTO#1",'Detalle - Lo que imparte'!$A$4:$M$11,11,FALSE),"")</f>
        <v/>
      </c>
      <c r="Y23" s="3">
        <f>IFERROR(VLOOKUP("ROTO#1",'Detalle - Lo que imparte'!$A$4:$M$11,12,FALSE),"")</f>
        <v/>
      </c>
      <c r="Z23">
        <f>IFERROR(VLOOKUP("ROTO#1",'Detalle - Lo que imparte'!$A$4:$M$11,13,FALSE),"")</f>
        <v/>
      </c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>
        <f>IFERROR(VLOOKUP("ROTO#2",'Detalle - Lo que imparte'!$A$4:$M$11,2,FALSE),"")</f>
        <v/>
      </c>
      <c r="P24" s="3">
        <f>IFERROR(VLOOKUP("ROTO#2",'Detalle - Lo que imparte'!$A$4:$M$11,3,FALSE),"")</f>
        <v/>
      </c>
      <c r="Q24" s="3">
        <f>IFERROR(VLOOKUP("ROTO#2",'Detalle - Lo que imparte'!$A$4:$M$11,4,FALSE),"")</f>
        <v/>
      </c>
      <c r="R24" s="3">
        <f>IFERROR(VLOOKUP("ROTO#2",'Detalle - Lo que imparte'!$A$4:$M$11,5,FALSE),"")</f>
        <v/>
      </c>
      <c r="S24" s="3">
        <f>IFERROR(VLOOKUP("ROTO#2",'Detalle - Lo que imparte'!$A$4:$M$11,6,FALSE),"")</f>
        <v/>
      </c>
      <c r="T24" s="3">
        <f>IFERROR(VLOOKUP("ROTO#2",'Detalle - Lo que imparte'!$A$4:$M$11,7,FALSE),"")</f>
        <v/>
      </c>
      <c r="U24" s="3">
        <f>IFERROR(VLOOKUP("ROTO#2",'Detalle - Lo que imparte'!$A$4:$M$11,8,FALSE),"")</f>
        <v/>
      </c>
      <c r="V24" s="3">
        <f>IFERROR(VLOOKUP("ROTO#2",'Detalle - Lo que imparte'!$A$4:$M$11,9,FALSE),"")</f>
        <v/>
      </c>
      <c r="W24" s="3">
        <f>IFERROR(VLOOKUP("ROTO#2",'Detalle - Lo que imparte'!$A$4:$M$11,10,FALSE),"")</f>
        <v/>
      </c>
      <c r="X24" s="3">
        <f>IFERROR(VLOOKUP("ROTO#2",'Detalle - Lo que imparte'!$A$4:$M$11,11,FALSE),"")</f>
        <v/>
      </c>
      <c r="Y24" s="3">
        <f>IFERROR(VLOOKUP("ROTO#2",'Detalle - Lo que imparte'!$A$4:$M$11,12,FALSE),"")</f>
        <v/>
      </c>
      <c r="Z24">
        <f>IFERROR(VLOOKUP("ROTO#2",'Detalle - Lo que imparte'!$A$4:$M$11,13,FALSE),"")</f>
        <v/>
      </c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>
        <f>IFERROR(VLOOKUP("ROTO#3",'Detalle - Lo que imparte'!$A$4:$M$11,2,FALSE),"")</f>
        <v/>
      </c>
      <c r="P25" s="3">
        <f>IFERROR(VLOOKUP("ROTO#3",'Detalle - Lo que imparte'!$A$4:$M$11,3,FALSE),"")</f>
        <v/>
      </c>
      <c r="Q25" s="3">
        <f>IFERROR(VLOOKUP("ROTO#3",'Detalle - Lo que imparte'!$A$4:$M$11,4,FALSE),"")</f>
        <v/>
      </c>
      <c r="R25" s="3">
        <f>IFERROR(VLOOKUP("ROTO#3",'Detalle - Lo que imparte'!$A$4:$M$11,5,FALSE),"")</f>
        <v/>
      </c>
      <c r="S25" s="3">
        <f>IFERROR(VLOOKUP("ROTO#3",'Detalle - Lo que imparte'!$A$4:$M$11,6,FALSE),"")</f>
        <v/>
      </c>
      <c r="T25" s="3">
        <f>IFERROR(VLOOKUP("ROTO#3",'Detalle - Lo que imparte'!$A$4:$M$11,7,FALSE),"")</f>
        <v/>
      </c>
      <c r="U25" s="3">
        <f>IFERROR(VLOOKUP("ROTO#3",'Detalle - Lo que imparte'!$A$4:$M$11,8,FALSE),"")</f>
        <v/>
      </c>
      <c r="V25" s="3">
        <f>IFERROR(VLOOKUP("ROTO#3",'Detalle - Lo que imparte'!$A$4:$M$11,9,FALSE),"")</f>
        <v/>
      </c>
      <c r="W25" s="3">
        <f>IFERROR(VLOOKUP("ROTO#3",'Detalle - Lo que imparte'!$A$4:$M$11,10,FALSE),"")</f>
        <v/>
      </c>
      <c r="X25" s="3">
        <f>IFERROR(VLOOKUP("ROTO#3",'Detalle - Lo que imparte'!$A$4:$M$11,11,FALSE),"")</f>
        <v/>
      </c>
      <c r="Y25" s="3">
        <f>IFERROR(VLOOKUP("ROTO#3",'Detalle - Lo que imparte'!$A$4:$M$11,12,FALSE),"")</f>
        <v/>
      </c>
      <c r="Z25">
        <f>IFERROR(VLOOKUP("ROTO#3",'Detalle - Lo que imparte'!$A$4:$M$11,13,FALSE),"")</f>
        <v/>
      </c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>
        <f>IFERROR(VLOOKUP("ROTO#4",'Detalle - Lo que imparte'!$A$4:$M$11,2,FALSE),"")</f>
        <v/>
      </c>
      <c r="P26" s="3">
        <f>IFERROR(VLOOKUP("ROTO#4",'Detalle - Lo que imparte'!$A$4:$M$11,3,FALSE),"")</f>
        <v/>
      </c>
      <c r="Q26" s="3">
        <f>IFERROR(VLOOKUP("ROTO#4",'Detalle - Lo que imparte'!$A$4:$M$11,4,FALSE),"")</f>
        <v/>
      </c>
      <c r="R26" s="3">
        <f>IFERROR(VLOOKUP("ROTO#4",'Detalle - Lo que imparte'!$A$4:$M$11,5,FALSE),"")</f>
        <v/>
      </c>
      <c r="S26" s="3">
        <f>IFERROR(VLOOKUP("ROTO#4",'Detalle - Lo que imparte'!$A$4:$M$11,6,FALSE),"")</f>
        <v/>
      </c>
      <c r="T26" s="3">
        <f>IFERROR(VLOOKUP("ROTO#4",'Detalle - Lo que imparte'!$A$4:$M$11,7,FALSE),"")</f>
        <v/>
      </c>
      <c r="U26" s="3">
        <f>IFERROR(VLOOKUP("ROTO#4",'Detalle - Lo que imparte'!$A$4:$M$11,8,FALSE),"")</f>
        <v/>
      </c>
      <c r="V26" s="3">
        <f>IFERROR(VLOOKUP("ROTO#4",'Detalle - Lo que imparte'!$A$4:$M$11,9,FALSE),"")</f>
        <v/>
      </c>
      <c r="W26" s="3">
        <f>IFERROR(VLOOKUP("ROTO#4",'Detalle - Lo que imparte'!$A$4:$M$11,10,FALSE),"")</f>
        <v/>
      </c>
      <c r="X26" s="3">
        <f>IFERROR(VLOOKUP("ROTO#4",'Detalle - Lo que imparte'!$A$4:$M$11,11,FALSE),"")</f>
        <v/>
      </c>
      <c r="Y26" s="3">
        <f>IFERROR(VLOOKUP("ROTO#4",'Detalle - Lo que imparte'!$A$4:$M$11,12,FALSE),"")</f>
        <v/>
      </c>
      <c r="Z26">
        <f>IFERROR(VLOOKUP("ROTO#4",'Detalle - Lo que imparte'!$A$4:$M$11,13,FALSE),"")</f>
        <v/>
      </c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>
        <f>IFERROR(VLOOKUP("ROTO#5",'Detalle - Lo que imparte'!$A$4:$M$11,2,FALSE),"")</f>
        <v/>
      </c>
      <c r="P27" s="3">
        <f>IFERROR(VLOOKUP("ROTO#5",'Detalle - Lo que imparte'!$A$4:$M$11,3,FALSE),"")</f>
        <v/>
      </c>
      <c r="Q27" s="3">
        <f>IFERROR(VLOOKUP("ROTO#5",'Detalle - Lo que imparte'!$A$4:$M$11,4,FALSE),"")</f>
        <v/>
      </c>
      <c r="R27" s="3">
        <f>IFERROR(VLOOKUP("ROTO#5",'Detalle - Lo que imparte'!$A$4:$M$11,5,FALSE),"")</f>
        <v/>
      </c>
      <c r="S27" s="3">
        <f>IFERROR(VLOOKUP("ROTO#5",'Detalle - Lo que imparte'!$A$4:$M$11,6,FALSE),"")</f>
        <v/>
      </c>
      <c r="T27" s="3">
        <f>IFERROR(VLOOKUP("ROTO#5",'Detalle - Lo que imparte'!$A$4:$M$11,7,FALSE),"")</f>
        <v/>
      </c>
      <c r="U27" s="3">
        <f>IFERROR(VLOOKUP("ROTO#5",'Detalle - Lo que imparte'!$A$4:$M$11,8,FALSE),"")</f>
        <v/>
      </c>
      <c r="V27" s="3">
        <f>IFERROR(VLOOKUP("ROTO#5",'Detalle - Lo que imparte'!$A$4:$M$11,9,FALSE),"")</f>
        <v/>
      </c>
      <c r="W27" s="3">
        <f>IFERROR(VLOOKUP("ROTO#5",'Detalle - Lo que imparte'!$A$4:$M$11,10,FALSE),"")</f>
        <v/>
      </c>
      <c r="X27" s="3">
        <f>IFERROR(VLOOKUP("ROTO#5",'Detalle - Lo que imparte'!$A$4:$M$11,11,FALSE),"")</f>
        <v/>
      </c>
      <c r="Y27" s="3">
        <f>IFERROR(VLOOKUP("ROTO#5",'Detalle - Lo que imparte'!$A$4:$M$11,12,FALSE),"")</f>
        <v/>
      </c>
      <c r="Z27">
        <f>IFERROR(VLOOKUP("ROTO#5",'Detalle - Lo que imparte'!$A$4:$M$11,13,FALSE),"")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2026-10-07T11:48:46Z</dcterms:created>
  <dcterms:modified xmlns:dcterms="http://purl.org/dc/terms/" xmlns:xsi="http://www.w3.org/2001/XMLSchema-instance" xsi:type="dcterms:W3CDTF">2026-10-07T11:48:46Z</dcterms:modified>
</cp:coreProperties>
</file>