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" sheetId="1" state="visible" r:id="rId1"/>
    <sheet xmlns:r="http://schemas.openxmlformats.org/officeDocument/2006/relationships" name="Carga por profesor" sheetId="2" state="visible" r:id="rId2"/>
    <sheet xmlns:r="http://schemas.openxmlformats.org/officeDocument/2006/relationships" name="Cobertura por asignatura" sheetId="3" state="visible" r:id="rId3"/>
    <sheet xmlns:r="http://schemas.openxmlformats.org/officeDocument/2006/relationships" name="Detalle - Lo que imparte" sheetId="4" state="visible" r:id="rId4"/>
    <sheet xmlns:r="http://schemas.openxmlformats.org/officeDocument/2006/relationships" name="Listas" sheetId="5" state="hidden" r:id="rId5"/>
  </sheets>
  <definedNames>
    <definedName name="Asignacion">OFFSET('Asignacion'!$A$4,0,0,COUNTA('Asignacion'!$A$4:$A$34),11)</definedName>
    <definedName name="Profesores">OFFSET('Carga por profesor'!$A$4,0,0,COUNTA('Carga por profesor'!$A$4:$A$27),7)</definedName>
    <definedName name="Asignaturas">OFFSET('Cobertura por asignatura'!$A$4,0,0,COUNTA('Cobertura por asignatura'!$A$4:$A$27),12)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Protection="1" pivotButton="0" quotePrefix="0" xfId="0">
      <protection locked="0" hidden="0"/>
    </xf>
    <xf numFmtId="0" fontId="3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M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6" customWidth="1" min="3" max="3"/>
    <col width="7" customWidth="1" min="4" max="4"/>
    <col width="10" customWidth="1" min="5" max="5"/>
    <col width="19" customWidth="1" min="6" max="6"/>
    <col width="7" customWidth="1" min="7" max="7"/>
    <col width="22" customWidth="1" min="8" max="8"/>
    <col width="15" customWidth="1" min="9" max="9"/>
    <col width="17" customWidth="1" min="10" max="10"/>
    <col width="8" customWidth="1" min="11" max="11"/>
    <col width="40" customWidth="1" min="12" max="12"/>
    <col hidden="1" width="24" customWidth="1" min="13" max="13"/>
  </cols>
  <sheetData>
    <row r="1">
      <c r="A1" s="1" t="inlineStr">
        <is>
          <t>Asignacion</t>
        </is>
      </c>
    </row>
    <row r="3">
      <c r="A3" s="2" t="inlineStr">
        <is>
          <t>No.</t>
        </is>
      </c>
      <c r="B3" s="2" t="inlineStr">
        <is>
          <t>Id</t>
        </is>
      </c>
      <c r="C3" s="2" t="inlineStr">
        <is>
          <t>Tipo</t>
        </is>
      </c>
      <c r="D3" s="2" t="inlineStr">
        <is>
          <t>Grupo</t>
        </is>
      </c>
      <c r="E3" s="2" t="inlineStr">
        <is>
          <t>Profesor</t>
        </is>
      </c>
      <c r="F3" s="2" t="inlineStr">
        <is>
          <t>Asignatura</t>
        </is>
      </c>
      <c r="G3" s="2" t="inlineStr">
        <is>
          <t>Horas</t>
        </is>
      </c>
      <c r="H3" s="2" t="inlineStr">
        <is>
          <t>Nombre</t>
        </is>
      </c>
      <c r="I3" s="2" t="inlineStr">
        <is>
          <t>Codigo</t>
        </is>
      </c>
      <c r="J3" s="2" t="inlineStr">
        <is>
          <t>Primera del par</t>
        </is>
      </c>
      <c r="K3" s="2" t="inlineStr">
        <is>
          <t>Cuenta</t>
        </is>
      </c>
      <c r="L3" s="2" t="inlineStr">
        <is>
          <t>Estado</t>
        </is>
      </c>
      <c r="M3" s="2" t="inlineStr">
        <is>
          <t>(nivel de las marcas)</t>
        </is>
      </c>
    </row>
    <row r="4">
      <c r="A4" s="3" t="n">
        <v>1</v>
      </c>
      <c r="B4" s="4" t="inlineStr">
        <is>
          <t>EST-CC</t>
        </is>
      </c>
      <c r="C4" s="4" t="inlineStr">
        <is>
          <t>Conf</t>
        </is>
      </c>
      <c r="D4" s="4" t="n"/>
      <c r="E4" s="4" t="inlineStr">
        <is>
          <t>PIAD</t>
        </is>
      </c>
      <c r="F4" s="3">
        <f>IF(AND($A4=""),"",IF(ISNA(MATCH(1,INDEX(EXACT('Cobertura por asignatura'!$A$4:$A$27,$B4)*1*((('Cobertura por asignatura'!$A$4:$A$27&lt;&gt;""))&gt;0),0),0)),"",IF(ISBLANK(INDEX('Cobertura por asignatura'!$B$4:$B$27,MATCH(1,INDEX(EXACT('Cobertura por asignatura'!$A$4:$A$27,$B4)*1*((('Cobertura por asignatura'!$A$4:$A$27&lt;&gt;""))&gt;0),0),0))),"",INDEX('Cobertura por asignatura'!$B$4:$B$27,MATCH(1,INDEX(EXACT('Cobertura por asignatura'!$A$4:$A$27,$B4)*1*((('Cobertura por asignatura'!$A$4:$A$27&lt;&gt;""))&gt;0),0),0)))))</f>
        <v/>
      </c>
      <c r="G4" s="3">
        <f>IF(AND($A4=""),"",IF(EXACT($C4,"Conf"),IF(ISNA(MATCH(1,INDEX(EXACT('Cobertura por asignatura'!$A$4:$A$27,$B4)*1*((('Cobertura por asignatura'!$A$4:$A$27&lt;&gt;""))&gt;0),0),0)),0,IF(ISBLANK(INDEX('Cobertura por asignatura'!$D$4:$D$27,MATCH(1,INDEX(EXACT('Cobertura por asignatura'!$A$4:$A$27,$B4)*1*((('Cobertura por asignatura'!$A$4:$A$27&lt;&gt;""))&gt;0),0),0))),"",INDEX('Cobertura por asignatura'!$D$4:$D$27,MATCH(1,INDEX(EXACT('Cobertura por asignatura'!$A$4:$A$27,$B4)*1*((('Cobertura por asignatura'!$A$4:$A$27&lt;&gt;""))&gt;0),0),0)))),IF(ISNA(MATCH(1,INDEX(EXACT('Cobertura por asignatura'!$A$4:$A$27,$B4)*1*((('Cobertura por asignatura'!$A$4:$A$27&lt;&gt;""))&gt;0),0),0)),0,IF(ISBLANK(INDEX('Cobertura por asignatura'!$E$4:$E$27,MATCH(1,INDEX(EXACT('Cobertura por asignatura'!$A$4:$A$27,$B4)*1*((('Cobertura por asignatura'!$A$4:$A$27&lt;&gt;""))&gt;0),0),0))),"",INDEX('Cobertura por asignatura'!$E$4:$E$27,MATCH(1,INDEX(EXACT('Cobertura por asignatura'!$A$4:$A$27,$B4)*1*((('Cobertura por asignatura'!$A$4:$A$27&lt;&gt;""))&gt;0),0),0))))))</f>
        <v/>
      </c>
      <c r="H4" s="3">
        <f>IF(AND($A4=""),"",IF(ISNA(MATCH(1,INDEX(EXACT('Carga por profesor'!$A$4:$A$27,$E4)*1*((('Carga por profesor'!$A$4:$A$27&lt;&gt;""))&gt;0),0),0)),"",IF(ISBLANK(INDEX('Carga por profesor'!$B$4:$B$27,MATCH(1,INDEX(EXACT('Carga por profesor'!$A$4:$A$27,$E4)*1*((('Carga por profesor'!$A$4:$A$27&lt;&gt;""))&gt;0),0),0))),"",INDEX('Carga por profesor'!$B$4:$B$27,MATCH(1,INDEX(EXACT('Carga por profesor'!$A$4:$A$27,$E4)*1*((('Carga por profesor'!$A$4:$A$27&lt;&gt;""))&gt;0),0),0)))))</f>
        <v/>
      </c>
      <c r="I4" s="3">
        <f>IF(AND($A4=""),"",(IF(ISNUMBER($B4),IF($B4=0,"0",ROUND($B4,9-INT(LOG10(ABS($B4))))&amp;""),$B4&amp;"")&amp;" "&amp;IF(ISNUMBER($C4),IF($C4=0,"0",ROUND($C4,9-INT(LOG10(ABS($C4))))&amp;""),$C4&amp;"")&amp;" "&amp;IF(ISNUMBER($D4),IF($D4=0,"0",ROUND($D4,9-INT(LOG10(ABS($D4))))&amp;""),$D4&amp;"")))</f>
        <v/>
      </c>
      <c r="J4" s="3">
        <f>IF(AND($A4=""),"",IF(OR(($E4=""),($B4="")),"",IF(ISNA(MATCH(1,INDEX(1*((('Asignacion'!$A$4:$A$34&lt;&gt;""))&gt;0)*(EXACT('Asignacion'!$E$4:$E$34,$E4))*(EXACT('Asignacion'!$B$4:$B$34,$B4)),0),0)),"",IF(ISBLANK(INDEX('Asignacion'!$I$4:$I$34,MATCH(1,INDEX(1*((('Asignacion'!$A$4:$A$34&lt;&gt;""))&gt;0)*(EXACT('Asignacion'!$E$4:$E$34,$E4))*(EXACT('Asignacion'!$B$4:$B$34,$B4)),0),0))),"",INDEX('Asignacion'!$I$4:$I$34,MATCH(1,INDEX(1*((('Asignacion'!$A$4:$A$34&lt;&gt;""))&gt;0)*(EXACT('Asignacion'!$E$4:$E$34,$E4))*(EXACT('Asignacion'!$B$4:$B$34,$B4)),0),0))))))</f>
        <v/>
      </c>
      <c r="K4" s="3">
        <f>IF(AND($A4=""),"",IF(AND(NOT(EXACT($J4,"")),EXACT($J4,$I4)),1,0))</f>
        <v/>
      </c>
      <c r="L4" s="3">
        <f>IF(AND($A4=""),"",MID(IF(AND(NOT(($B4="")),($E4="")),"; "&amp;"Esta fila de carga todavia no tiene profesor",""),3,32767))</f>
        <v/>
      </c>
      <c r="M4" s="3">
        <f>IF(OR(AND(NOT(($B4="")),($E4=""))),2,0)</f>
        <v/>
      </c>
    </row>
    <row r="5">
      <c r="A5" s="3" t="n">
        <v>2</v>
      </c>
      <c r="B5" s="4" t="inlineStr">
        <is>
          <t>EST-CC</t>
        </is>
      </c>
      <c r="C5" s="4" t="inlineStr">
        <is>
          <t>CP</t>
        </is>
      </c>
      <c r="D5" s="4" t="inlineStr">
        <is>
          <t>1</t>
        </is>
      </c>
      <c r="E5" s="4" t="inlineStr">
        <is>
          <t>PIAD</t>
        </is>
      </c>
      <c r="F5" s="3">
        <f>IF(AND($A5=""),"",IF(ISNA(MATCH(1,INDEX(EXACT('Cobertura por asignatura'!$A$4:$A$27,$B5)*1*((('Cobertura por asignatura'!$A$4:$A$27&lt;&gt;""))&gt;0),0),0)),"",IF(ISBLANK(INDEX('Cobertura por asignatura'!$B$4:$B$27,MATCH(1,INDEX(EXACT('Cobertura por asignatura'!$A$4:$A$27,$B5)*1*((('Cobertura por asignatura'!$A$4:$A$27&lt;&gt;""))&gt;0),0),0))),"",INDEX('Cobertura por asignatura'!$B$4:$B$27,MATCH(1,INDEX(EXACT('Cobertura por asignatura'!$A$4:$A$27,$B5)*1*((('Cobertura por asignatura'!$A$4:$A$27&lt;&gt;""))&gt;0),0),0)))))</f>
        <v/>
      </c>
      <c r="G5" s="3">
        <f>IF(AND($A5=""),"",IF(EXACT($C5,"Conf"),IF(ISNA(MATCH(1,INDEX(EXACT('Cobertura por asignatura'!$A$4:$A$27,$B5)*1*((('Cobertura por asignatura'!$A$4:$A$27&lt;&gt;""))&gt;0),0),0)),0,IF(ISBLANK(INDEX('Cobertura por asignatura'!$D$4:$D$27,MATCH(1,INDEX(EXACT('Cobertura por asignatura'!$A$4:$A$27,$B5)*1*((('Cobertura por asignatura'!$A$4:$A$27&lt;&gt;""))&gt;0),0),0))),"",INDEX('Cobertura por asignatura'!$D$4:$D$27,MATCH(1,INDEX(EXACT('Cobertura por asignatura'!$A$4:$A$27,$B5)*1*((('Cobertura por asignatura'!$A$4:$A$27&lt;&gt;""))&gt;0),0),0)))),IF(ISNA(MATCH(1,INDEX(EXACT('Cobertura por asignatura'!$A$4:$A$27,$B5)*1*((('Cobertura por asignatura'!$A$4:$A$27&lt;&gt;""))&gt;0),0),0)),0,IF(ISBLANK(INDEX('Cobertura por asignatura'!$E$4:$E$27,MATCH(1,INDEX(EXACT('Cobertura por asignatura'!$A$4:$A$27,$B5)*1*((('Cobertura por asignatura'!$A$4:$A$27&lt;&gt;""))&gt;0),0),0))),"",INDEX('Cobertura por asignatura'!$E$4:$E$27,MATCH(1,INDEX(EXACT('Cobertura por asignatura'!$A$4:$A$27,$B5)*1*((('Cobertura por asignatura'!$A$4:$A$27&lt;&gt;""))&gt;0),0),0))))))</f>
        <v/>
      </c>
      <c r="H5" s="3">
        <f>IF(AND($A5=""),"",IF(ISNA(MATCH(1,INDEX(EXACT('Carga por profesor'!$A$4:$A$27,$E5)*1*((('Carga por profesor'!$A$4:$A$27&lt;&gt;""))&gt;0),0),0)),"",IF(ISBLANK(INDEX('Carga por profesor'!$B$4:$B$27,MATCH(1,INDEX(EXACT('Carga por profesor'!$A$4:$A$27,$E5)*1*((('Carga por profesor'!$A$4:$A$27&lt;&gt;""))&gt;0),0),0))),"",INDEX('Carga por profesor'!$B$4:$B$27,MATCH(1,INDEX(EXACT('Carga por profesor'!$A$4:$A$27,$E5)*1*((('Carga por profesor'!$A$4:$A$27&lt;&gt;""))&gt;0),0),0)))))</f>
        <v/>
      </c>
      <c r="I5" s="3">
        <f>IF(AND($A5=""),"",(IF(ISNUMBER($B5),IF($B5=0,"0",ROUND($B5,9-INT(LOG10(ABS($B5))))&amp;""),$B5&amp;"")&amp;" "&amp;IF(ISNUMBER($C5),IF($C5=0,"0",ROUND($C5,9-INT(LOG10(ABS($C5))))&amp;""),$C5&amp;"")&amp;" "&amp;IF(ISNUMBER($D5),IF($D5=0,"0",ROUND($D5,9-INT(LOG10(ABS($D5))))&amp;""),$D5&amp;"")))</f>
        <v/>
      </c>
      <c r="J5" s="3">
        <f>IF(AND($A5=""),"",IF(OR(($E5=""),($B5="")),"",IF(ISNA(MATCH(1,INDEX(1*((('Asignacion'!$A$4:$A$34&lt;&gt;""))&gt;0)*(EXACT('Asignacion'!$E$4:$E$34,$E5))*(EXACT('Asignacion'!$B$4:$B$34,$B5)),0),0)),"",IF(ISBLANK(INDEX('Asignacion'!$I$4:$I$34,MATCH(1,INDEX(1*((('Asignacion'!$A$4:$A$34&lt;&gt;""))&gt;0)*(EXACT('Asignacion'!$E$4:$E$34,$E5))*(EXACT('Asignacion'!$B$4:$B$34,$B5)),0),0))),"",INDEX('Asignacion'!$I$4:$I$34,MATCH(1,INDEX(1*((('Asignacion'!$A$4:$A$34&lt;&gt;""))&gt;0)*(EXACT('Asignacion'!$E$4:$E$34,$E5))*(EXACT('Asignacion'!$B$4:$B$34,$B5)),0),0))))))</f>
        <v/>
      </c>
      <c r="K5" s="3">
        <f>IF(AND($A5=""),"",IF(AND(NOT(EXACT($J5,"")),EXACT($J5,$I5)),1,0))</f>
        <v/>
      </c>
      <c r="L5" s="3">
        <f>IF(AND($A5=""),"",MID(IF(AND(NOT(($B5="")),($E5="")),"; "&amp;"Esta fila de carga todavia no tiene profesor",""),3,32767))</f>
        <v/>
      </c>
      <c r="M5" s="3">
        <f>IF(OR(AND(NOT(($B5="")),($E5=""))),2,0)</f>
        <v/>
      </c>
    </row>
    <row r="6">
      <c r="A6" s="3" t="n">
        <v>3</v>
      </c>
      <c r="B6" s="4" t="inlineStr">
        <is>
          <t>EST-CC</t>
        </is>
      </c>
      <c r="C6" s="4" t="inlineStr">
        <is>
          <t>CP</t>
        </is>
      </c>
      <c r="D6" s="4" t="inlineStr">
        <is>
          <t>2</t>
        </is>
      </c>
      <c r="E6" s="4" t="inlineStr">
        <is>
          <t>PIAD</t>
        </is>
      </c>
      <c r="F6" s="3">
        <f>IF(AND($A6=""),"",IF(ISNA(MATCH(1,INDEX(EXACT('Cobertura por asignatura'!$A$4:$A$27,$B6)*1*((('Cobertura por asignatura'!$A$4:$A$27&lt;&gt;""))&gt;0),0),0)),"",IF(ISBLANK(INDEX('Cobertura por asignatura'!$B$4:$B$27,MATCH(1,INDEX(EXACT('Cobertura por asignatura'!$A$4:$A$27,$B6)*1*((('Cobertura por asignatura'!$A$4:$A$27&lt;&gt;""))&gt;0),0),0))),"",INDEX('Cobertura por asignatura'!$B$4:$B$27,MATCH(1,INDEX(EXACT('Cobertura por asignatura'!$A$4:$A$27,$B6)*1*((('Cobertura por asignatura'!$A$4:$A$27&lt;&gt;""))&gt;0),0),0)))))</f>
        <v/>
      </c>
      <c r="G6" s="3">
        <f>IF(AND($A6=""),"",IF(EXACT($C6,"Conf"),IF(ISNA(MATCH(1,INDEX(EXACT('Cobertura por asignatura'!$A$4:$A$27,$B6)*1*((('Cobertura por asignatura'!$A$4:$A$27&lt;&gt;""))&gt;0),0),0)),0,IF(ISBLANK(INDEX('Cobertura por asignatura'!$D$4:$D$27,MATCH(1,INDEX(EXACT('Cobertura por asignatura'!$A$4:$A$27,$B6)*1*((('Cobertura por asignatura'!$A$4:$A$27&lt;&gt;""))&gt;0),0),0))),"",INDEX('Cobertura por asignatura'!$D$4:$D$27,MATCH(1,INDEX(EXACT('Cobertura por asignatura'!$A$4:$A$27,$B6)*1*((('Cobertura por asignatura'!$A$4:$A$27&lt;&gt;""))&gt;0),0),0)))),IF(ISNA(MATCH(1,INDEX(EXACT('Cobertura por asignatura'!$A$4:$A$27,$B6)*1*((('Cobertura por asignatura'!$A$4:$A$27&lt;&gt;""))&gt;0),0),0)),0,IF(ISBLANK(INDEX('Cobertura por asignatura'!$E$4:$E$27,MATCH(1,INDEX(EXACT('Cobertura por asignatura'!$A$4:$A$27,$B6)*1*((('Cobertura por asignatura'!$A$4:$A$27&lt;&gt;""))&gt;0),0),0))),"",INDEX('Cobertura por asignatura'!$E$4:$E$27,MATCH(1,INDEX(EXACT('Cobertura por asignatura'!$A$4:$A$27,$B6)*1*((('Cobertura por asignatura'!$A$4:$A$27&lt;&gt;""))&gt;0),0),0))))))</f>
        <v/>
      </c>
      <c r="H6" s="3">
        <f>IF(AND($A6=""),"",IF(ISNA(MATCH(1,INDEX(EXACT('Carga por profesor'!$A$4:$A$27,$E6)*1*((('Carga por profesor'!$A$4:$A$27&lt;&gt;""))&gt;0),0),0)),"",IF(ISBLANK(INDEX('Carga por profesor'!$B$4:$B$27,MATCH(1,INDEX(EXACT('Carga por profesor'!$A$4:$A$27,$E6)*1*((('Carga por profesor'!$A$4:$A$27&lt;&gt;""))&gt;0),0),0))),"",INDEX('Carga por profesor'!$B$4:$B$27,MATCH(1,INDEX(EXACT('Carga por profesor'!$A$4:$A$27,$E6)*1*((('Carga por profesor'!$A$4:$A$27&lt;&gt;""))&gt;0),0),0)))))</f>
        <v/>
      </c>
      <c r="I6" s="3">
        <f>IF(AND($A6=""),"",(IF(ISNUMBER($B6),IF($B6=0,"0",ROUND($B6,9-INT(LOG10(ABS($B6))))&amp;""),$B6&amp;"")&amp;" "&amp;IF(ISNUMBER($C6),IF($C6=0,"0",ROUND($C6,9-INT(LOG10(ABS($C6))))&amp;""),$C6&amp;"")&amp;" "&amp;IF(ISNUMBER($D6),IF($D6=0,"0",ROUND($D6,9-INT(LOG10(ABS($D6))))&amp;""),$D6&amp;"")))</f>
        <v/>
      </c>
      <c r="J6" s="3">
        <f>IF(AND($A6=""),"",IF(OR(($E6=""),($B6="")),"",IF(ISNA(MATCH(1,INDEX(1*((('Asignacion'!$A$4:$A$34&lt;&gt;""))&gt;0)*(EXACT('Asignacion'!$E$4:$E$34,$E6))*(EXACT('Asignacion'!$B$4:$B$34,$B6)),0),0)),"",IF(ISBLANK(INDEX('Asignacion'!$I$4:$I$34,MATCH(1,INDEX(1*((('Asignacion'!$A$4:$A$34&lt;&gt;""))&gt;0)*(EXACT('Asignacion'!$E$4:$E$34,$E6))*(EXACT('Asignacion'!$B$4:$B$34,$B6)),0),0))),"",INDEX('Asignacion'!$I$4:$I$34,MATCH(1,INDEX(1*((('Asignacion'!$A$4:$A$34&lt;&gt;""))&gt;0)*(EXACT('Asignacion'!$E$4:$E$34,$E6))*(EXACT('Asignacion'!$B$4:$B$34,$B6)),0),0))))))</f>
        <v/>
      </c>
      <c r="K6" s="3">
        <f>IF(AND($A6=""),"",IF(AND(NOT(EXACT($J6,"")),EXACT($J6,$I6)),1,0))</f>
        <v/>
      </c>
      <c r="L6" s="3">
        <f>IF(AND($A6=""),"",MID(IF(AND(NOT(($B6="")),($E6="")),"; "&amp;"Esta fila de carga todavia no tiene profesor",""),3,32767))</f>
        <v/>
      </c>
      <c r="M6" s="3">
        <f>IF(OR(AND(NOT(($B6="")),($E6=""))),2,0)</f>
        <v/>
      </c>
    </row>
    <row r="7">
      <c r="A7" s="3" t="n">
        <v>4</v>
      </c>
      <c r="B7" s="4" t="inlineStr">
        <is>
          <t>EST-MAT</t>
        </is>
      </c>
      <c r="C7" s="4" t="inlineStr">
        <is>
          <t>Conf</t>
        </is>
      </c>
      <c r="D7" s="4" t="n"/>
      <c r="E7" s="4" t="inlineStr">
        <is>
          <t>PIAD</t>
        </is>
      </c>
      <c r="F7" s="3">
        <f>IF(AND($A7=""),"",IF(ISNA(MATCH(1,INDEX(EXACT('Cobertura por asignatura'!$A$4:$A$27,$B7)*1*((('Cobertura por asignatura'!$A$4:$A$27&lt;&gt;""))&gt;0),0),0)),"",IF(ISBLANK(INDEX('Cobertura por asignatura'!$B$4:$B$27,MATCH(1,INDEX(EXACT('Cobertura por asignatura'!$A$4:$A$27,$B7)*1*((('Cobertura por asignatura'!$A$4:$A$27&lt;&gt;""))&gt;0),0),0))),"",INDEX('Cobertura por asignatura'!$B$4:$B$27,MATCH(1,INDEX(EXACT('Cobertura por asignatura'!$A$4:$A$27,$B7)*1*((('Cobertura por asignatura'!$A$4:$A$27&lt;&gt;""))&gt;0),0),0)))))</f>
        <v/>
      </c>
      <c r="G7" s="3">
        <f>IF(AND($A7=""),"",IF(EXACT($C7,"Conf"),IF(ISNA(MATCH(1,INDEX(EXACT('Cobertura por asignatura'!$A$4:$A$27,$B7)*1*((('Cobertura por asignatura'!$A$4:$A$27&lt;&gt;""))&gt;0),0),0)),0,IF(ISBLANK(INDEX('Cobertura por asignatura'!$D$4:$D$27,MATCH(1,INDEX(EXACT('Cobertura por asignatura'!$A$4:$A$27,$B7)*1*((('Cobertura por asignatura'!$A$4:$A$27&lt;&gt;""))&gt;0),0),0))),"",INDEX('Cobertura por asignatura'!$D$4:$D$27,MATCH(1,INDEX(EXACT('Cobertura por asignatura'!$A$4:$A$27,$B7)*1*((('Cobertura por asignatura'!$A$4:$A$27&lt;&gt;""))&gt;0),0),0)))),IF(ISNA(MATCH(1,INDEX(EXACT('Cobertura por asignatura'!$A$4:$A$27,$B7)*1*((('Cobertura por asignatura'!$A$4:$A$27&lt;&gt;""))&gt;0),0),0)),0,IF(ISBLANK(INDEX('Cobertura por asignatura'!$E$4:$E$27,MATCH(1,INDEX(EXACT('Cobertura por asignatura'!$A$4:$A$27,$B7)*1*((('Cobertura por asignatura'!$A$4:$A$27&lt;&gt;""))&gt;0),0),0))),"",INDEX('Cobertura por asignatura'!$E$4:$E$27,MATCH(1,INDEX(EXACT('Cobertura por asignatura'!$A$4:$A$27,$B7)*1*((('Cobertura por asignatura'!$A$4:$A$27&lt;&gt;""))&gt;0),0),0))))))</f>
        <v/>
      </c>
      <c r="H7" s="3">
        <f>IF(AND($A7=""),"",IF(ISNA(MATCH(1,INDEX(EXACT('Carga por profesor'!$A$4:$A$27,$E7)*1*((('Carga por profesor'!$A$4:$A$27&lt;&gt;""))&gt;0),0),0)),"",IF(ISBLANK(INDEX('Carga por profesor'!$B$4:$B$27,MATCH(1,INDEX(EXACT('Carga por profesor'!$A$4:$A$27,$E7)*1*((('Carga por profesor'!$A$4:$A$27&lt;&gt;""))&gt;0),0),0))),"",INDEX('Carga por profesor'!$B$4:$B$27,MATCH(1,INDEX(EXACT('Carga por profesor'!$A$4:$A$27,$E7)*1*((('Carga por profesor'!$A$4:$A$27&lt;&gt;""))&gt;0),0),0)))))</f>
        <v/>
      </c>
      <c r="I7" s="3">
        <f>IF(AND($A7=""),"",(IF(ISNUMBER($B7),IF($B7=0,"0",ROUND($B7,9-INT(LOG10(ABS($B7))))&amp;""),$B7&amp;"")&amp;" "&amp;IF(ISNUMBER($C7),IF($C7=0,"0",ROUND($C7,9-INT(LOG10(ABS($C7))))&amp;""),$C7&amp;"")&amp;" "&amp;IF(ISNUMBER($D7),IF($D7=0,"0",ROUND($D7,9-INT(LOG10(ABS($D7))))&amp;""),$D7&amp;"")))</f>
        <v/>
      </c>
      <c r="J7" s="3">
        <f>IF(AND($A7=""),"",IF(OR(($E7=""),($B7="")),"",IF(ISNA(MATCH(1,INDEX(1*((('Asignacion'!$A$4:$A$34&lt;&gt;""))&gt;0)*(EXACT('Asignacion'!$E$4:$E$34,$E7))*(EXACT('Asignacion'!$B$4:$B$34,$B7)),0),0)),"",IF(ISBLANK(INDEX('Asignacion'!$I$4:$I$34,MATCH(1,INDEX(1*((('Asignacion'!$A$4:$A$34&lt;&gt;""))&gt;0)*(EXACT('Asignacion'!$E$4:$E$34,$E7))*(EXACT('Asignacion'!$B$4:$B$34,$B7)),0),0))),"",INDEX('Asignacion'!$I$4:$I$34,MATCH(1,INDEX(1*((('Asignacion'!$A$4:$A$34&lt;&gt;""))&gt;0)*(EXACT('Asignacion'!$E$4:$E$34,$E7))*(EXACT('Asignacion'!$B$4:$B$34,$B7)),0),0))))))</f>
        <v/>
      </c>
      <c r="K7" s="3">
        <f>IF(AND($A7=""),"",IF(AND(NOT(EXACT($J7,"")),EXACT($J7,$I7)),1,0))</f>
        <v/>
      </c>
      <c r="L7" s="3">
        <f>IF(AND($A7=""),"",MID(IF(AND(NOT(($B7="")),($E7="")),"; "&amp;"Esta fila de carga todavia no tiene profesor",""),3,32767))</f>
        <v/>
      </c>
      <c r="M7" s="3">
        <f>IF(OR(AND(NOT(($B7="")),($E7=""))),2,0)</f>
        <v/>
      </c>
    </row>
    <row r="8">
      <c r="A8" s="3" t="n">
        <v>5</v>
      </c>
      <c r="B8" s="4" t="inlineStr">
        <is>
          <t>EST-MAT</t>
        </is>
      </c>
      <c r="C8" s="4" t="inlineStr">
        <is>
          <t>CP</t>
        </is>
      </c>
      <c r="D8" s="4" t="inlineStr">
        <is>
          <t>1</t>
        </is>
      </c>
      <c r="E8" s="4" t="inlineStr">
        <is>
          <t>LUGO</t>
        </is>
      </c>
      <c r="F8" s="3">
        <f>IF(AND($A8=""),"",IF(ISNA(MATCH(1,INDEX(EXACT('Cobertura por asignatura'!$A$4:$A$27,$B8)*1*((('Cobertura por asignatura'!$A$4:$A$27&lt;&gt;""))&gt;0),0),0)),"",IF(ISBLANK(INDEX('Cobertura por asignatura'!$B$4:$B$27,MATCH(1,INDEX(EXACT('Cobertura por asignatura'!$A$4:$A$27,$B8)*1*((('Cobertura por asignatura'!$A$4:$A$27&lt;&gt;""))&gt;0),0),0))),"",INDEX('Cobertura por asignatura'!$B$4:$B$27,MATCH(1,INDEX(EXACT('Cobertura por asignatura'!$A$4:$A$27,$B8)*1*((('Cobertura por asignatura'!$A$4:$A$27&lt;&gt;""))&gt;0),0),0)))))</f>
        <v/>
      </c>
      <c r="G8" s="3">
        <f>IF(AND($A8=""),"",IF(EXACT($C8,"Conf"),IF(ISNA(MATCH(1,INDEX(EXACT('Cobertura por asignatura'!$A$4:$A$27,$B8)*1*((('Cobertura por asignatura'!$A$4:$A$27&lt;&gt;""))&gt;0),0),0)),0,IF(ISBLANK(INDEX('Cobertura por asignatura'!$D$4:$D$27,MATCH(1,INDEX(EXACT('Cobertura por asignatura'!$A$4:$A$27,$B8)*1*((('Cobertura por asignatura'!$A$4:$A$27&lt;&gt;""))&gt;0),0),0))),"",INDEX('Cobertura por asignatura'!$D$4:$D$27,MATCH(1,INDEX(EXACT('Cobertura por asignatura'!$A$4:$A$27,$B8)*1*((('Cobertura por asignatura'!$A$4:$A$27&lt;&gt;""))&gt;0),0),0)))),IF(ISNA(MATCH(1,INDEX(EXACT('Cobertura por asignatura'!$A$4:$A$27,$B8)*1*((('Cobertura por asignatura'!$A$4:$A$27&lt;&gt;""))&gt;0),0),0)),0,IF(ISBLANK(INDEX('Cobertura por asignatura'!$E$4:$E$27,MATCH(1,INDEX(EXACT('Cobertura por asignatura'!$A$4:$A$27,$B8)*1*((('Cobertura por asignatura'!$A$4:$A$27&lt;&gt;""))&gt;0),0),0))),"",INDEX('Cobertura por asignatura'!$E$4:$E$27,MATCH(1,INDEX(EXACT('Cobertura por asignatura'!$A$4:$A$27,$B8)*1*((('Cobertura por asignatura'!$A$4:$A$27&lt;&gt;""))&gt;0),0),0))))))</f>
        <v/>
      </c>
      <c r="H8" s="3">
        <f>IF(AND($A8=""),"",IF(ISNA(MATCH(1,INDEX(EXACT('Carga por profesor'!$A$4:$A$27,$E8)*1*((('Carga por profesor'!$A$4:$A$27&lt;&gt;""))&gt;0),0),0)),"",IF(ISBLANK(INDEX('Carga por profesor'!$B$4:$B$27,MATCH(1,INDEX(EXACT('Carga por profesor'!$A$4:$A$27,$E8)*1*((('Carga por profesor'!$A$4:$A$27&lt;&gt;""))&gt;0),0),0))),"",INDEX('Carga por profesor'!$B$4:$B$27,MATCH(1,INDEX(EXACT('Carga por profesor'!$A$4:$A$27,$E8)*1*((('Carga por profesor'!$A$4:$A$27&lt;&gt;""))&gt;0),0),0)))))</f>
        <v/>
      </c>
      <c r="I8" s="3">
        <f>IF(AND($A8=""),"",(IF(ISNUMBER($B8),IF($B8=0,"0",ROUND($B8,9-INT(LOG10(ABS($B8))))&amp;""),$B8&amp;"")&amp;" "&amp;IF(ISNUMBER($C8),IF($C8=0,"0",ROUND($C8,9-INT(LOG10(ABS($C8))))&amp;""),$C8&amp;"")&amp;" "&amp;IF(ISNUMBER($D8),IF($D8=0,"0",ROUND($D8,9-INT(LOG10(ABS($D8))))&amp;""),$D8&amp;"")))</f>
        <v/>
      </c>
      <c r="J8" s="3">
        <f>IF(AND($A8=""),"",IF(OR(($E8=""),($B8="")),"",IF(ISNA(MATCH(1,INDEX(1*((('Asignacion'!$A$4:$A$34&lt;&gt;""))&gt;0)*(EXACT('Asignacion'!$E$4:$E$34,$E8))*(EXACT('Asignacion'!$B$4:$B$34,$B8)),0),0)),"",IF(ISBLANK(INDEX('Asignacion'!$I$4:$I$34,MATCH(1,INDEX(1*((('Asignacion'!$A$4:$A$34&lt;&gt;""))&gt;0)*(EXACT('Asignacion'!$E$4:$E$34,$E8))*(EXACT('Asignacion'!$B$4:$B$34,$B8)),0),0))),"",INDEX('Asignacion'!$I$4:$I$34,MATCH(1,INDEX(1*((('Asignacion'!$A$4:$A$34&lt;&gt;""))&gt;0)*(EXACT('Asignacion'!$E$4:$E$34,$E8))*(EXACT('Asignacion'!$B$4:$B$34,$B8)),0),0))))))</f>
        <v/>
      </c>
      <c r="K8" s="3">
        <f>IF(AND($A8=""),"",IF(AND(NOT(EXACT($J8,"")),EXACT($J8,$I8)),1,0))</f>
        <v/>
      </c>
      <c r="L8" s="3">
        <f>IF(AND($A8=""),"",MID(IF(AND(NOT(($B8="")),($E8="")),"; "&amp;"Esta fila de carga todavia no tiene profesor",""),3,32767))</f>
        <v/>
      </c>
      <c r="M8" s="3">
        <f>IF(OR(AND(NOT(($B8="")),($E8=""))),2,0)</f>
        <v/>
      </c>
    </row>
    <row r="9">
      <c r="A9" s="3" t="n">
        <v>6</v>
      </c>
      <c r="B9" s="4" t="inlineStr">
        <is>
          <t>PROB</t>
        </is>
      </c>
      <c r="C9" s="4" t="inlineStr">
        <is>
          <t>Conf</t>
        </is>
      </c>
      <c r="D9" s="4" t="n"/>
      <c r="E9" s="4" t="inlineStr">
        <is>
          <t>MARA</t>
        </is>
      </c>
      <c r="F9" s="3">
        <f>IF(AND($A9=""),"",IF(ISNA(MATCH(1,INDEX(EXACT('Cobertura por asignatura'!$A$4:$A$27,$B9)*1*((('Cobertura por asignatura'!$A$4:$A$27&lt;&gt;""))&gt;0),0),0)),"",IF(ISBLANK(INDEX('Cobertura por asignatura'!$B$4:$B$27,MATCH(1,INDEX(EXACT('Cobertura por asignatura'!$A$4:$A$27,$B9)*1*((('Cobertura por asignatura'!$A$4:$A$27&lt;&gt;""))&gt;0),0),0))),"",INDEX('Cobertura por asignatura'!$B$4:$B$27,MATCH(1,INDEX(EXACT('Cobertura por asignatura'!$A$4:$A$27,$B9)*1*((('Cobertura por asignatura'!$A$4:$A$27&lt;&gt;""))&gt;0),0),0)))))</f>
        <v/>
      </c>
      <c r="G9" s="3">
        <f>IF(AND($A9=""),"",IF(EXACT($C9,"Conf"),IF(ISNA(MATCH(1,INDEX(EXACT('Cobertura por asignatura'!$A$4:$A$27,$B9)*1*((('Cobertura por asignatura'!$A$4:$A$27&lt;&gt;""))&gt;0),0),0)),0,IF(ISBLANK(INDEX('Cobertura por asignatura'!$D$4:$D$27,MATCH(1,INDEX(EXACT('Cobertura por asignatura'!$A$4:$A$27,$B9)*1*((('Cobertura por asignatura'!$A$4:$A$27&lt;&gt;""))&gt;0),0),0))),"",INDEX('Cobertura por asignatura'!$D$4:$D$27,MATCH(1,INDEX(EXACT('Cobertura por asignatura'!$A$4:$A$27,$B9)*1*((('Cobertura por asignatura'!$A$4:$A$27&lt;&gt;""))&gt;0),0),0)))),IF(ISNA(MATCH(1,INDEX(EXACT('Cobertura por asignatura'!$A$4:$A$27,$B9)*1*((('Cobertura por asignatura'!$A$4:$A$27&lt;&gt;""))&gt;0),0),0)),0,IF(ISBLANK(INDEX('Cobertura por asignatura'!$E$4:$E$27,MATCH(1,INDEX(EXACT('Cobertura por asignatura'!$A$4:$A$27,$B9)*1*((('Cobertura por asignatura'!$A$4:$A$27&lt;&gt;""))&gt;0),0),0))),"",INDEX('Cobertura por asignatura'!$E$4:$E$27,MATCH(1,INDEX(EXACT('Cobertura por asignatura'!$A$4:$A$27,$B9)*1*((('Cobertura por asignatura'!$A$4:$A$27&lt;&gt;""))&gt;0),0),0))))))</f>
        <v/>
      </c>
      <c r="H9" s="3">
        <f>IF(AND($A9=""),"",IF(ISNA(MATCH(1,INDEX(EXACT('Carga por profesor'!$A$4:$A$27,$E9)*1*((('Carga por profesor'!$A$4:$A$27&lt;&gt;""))&gt;0),0),0)),"",IF(ISBLANK(INDEX('Carga por profesor'!$B$4:$B$27,MATCH(1,INDEX(EXACT('Carga por profesor'!$A$4:$A$27,$E9)*1*((('Carga por profesor'!$A$4:$A$27&lt;&gt;""))&gt;0),0),0))),"",INDEX('Carga por profesor'!$B$4:$B$27,MATCH(1,INDEX(EXACT('Carga por profesor'!$A$4:$A$27,$E9)*1*((('Carga por profesor'!$A$4:$A$27&lt;&gt;""))&gt;0),0),0)))))</f>
        <v/>
      </c>
      <c r="I9" s="3">
        <f>IF(AND($A9=""),"",(IF(ISNUMBER($B9),IF($B9=0,"0",ROUND($B9,9-INT(LOG10(ABS($B9))))&amp;""),$B9&amp;"")&amp;" "&amp;IF(ISNUMBER($C9),IF($C9=0,"0",ROUND($C9,9-INT(LOG10(ABS($C9))))&amp;""),$C9&amp;"")&amp;" "&amp;IF(ISNUMBER($D9),IF($D9=0,"0",ROUND($D9,9-INT(LOG10(ABS($D9))))&amp;""),$D9&amp;"")))</f>
        <v/>
      </c>
      <c r="J9" s="3">
        <f>IF(AND($A9=""),"",IF(OR(($E9=""),($B9="")),"",IF(ISNA(MATCH(1,INDEX(1*((('Asignacion'!$A$4:$A$34&lt;&gt;""))&gt;0)*(EXACT('Asignacion'!$E$4:$E$34,$E9))*(EXACT('Asignacion'!$B$4:$B$34,$B9)),0),0)),"",IF(ISBLANK(INDEX('Asignacion'!$I$4:$I$34,MATCH(1,INDEX(1*((('Asignacion'!$A$4:$A$34&lt;&gt;""))&gt;0)*(EXACT('Asignacion'!$E$4:$E$34,$E9))*(EXACT('Asignacion'!$B$4:$B$34,$B9)),0),0))),"",INDEX('Asignacion'!$I$4:$I$34,MATCH(1,INDEX(1*((('Asignacion'!$A$4:$A$34&lt;&gt;""))&gt;0)*(EXACT('Asignacion'!$E$4:$E$34,$E9))*(EXACT('Asignacion'!$B$4:$B$34,$B9)),0),0))))))</f>
        <v/>
      </c>
      <c r="K9" s="3">
        <f>IF(AND($A9=""),"",IF(AND(NOT(EXACT($J9,"")),EXACT($J9,$I9)),1,0))</f>
        <v/>
      </c>
      <c r="L9" s="3">
        <f>IF(AND($A9=""),"",MID(IF(AND(NOT(($B9="")),($E9="")),"; "&amp;"Esta fila de carga todavia no tiene profesor",""),3,32767))</f>
        <v/>
      </c>
      <c r="M9" s="3">
        <f>IF(OR(AND(NOT(($B9="")),($E9=""))),2,0)</f>
        <v/>
      </c>
    </row>
    <row r="10">
      <c r="A10" s="3" t="n">
        <v>7</v>
      </c>
      <c r="B10" s="4" t="inlineStr">
        <is>
          <t>PROB</t>
        </is>
      </c>
      <c r="C10" s="4" t="inlineStr">
        <is>
          <t>CP</t>
        </is>
      </c>
      <c r="D10" s="4" t="inlineStr">
        <is>
          <t>1</t>
        </is>
      </c>
      <c r="E10" s="4" t="inlineStr">
        <is>
          <t>MARA</t>
        </is>
      </c>
      <c r="F10" s="3">
        <f>IF(AND($A10=""),"",IF(ISNA(MATCH(1,INDEX(EXACT('Cobertura por asignatura'!$A$4:$A$27,$B10)*1*((('Cobertura por asignatura'!$A$4:$A$27&lt;&gt;""))&gt;0),0),0)),"",IF(ISBLANK(INDEX('Cobertura por asignatura'!$B$4:$B$27,MATCH(1,INDEX(EXACT('Cobertura por asignatura'!$A$4:$A$27,$B10)*1*((('Cobertura por asignatura'!$A$4:$A$27&lt;&gt;""))&gt;0),0),0))),"",INDEX('Cobertura por asignatura'!$B$4:$B$27,MATCH(1,INDEX(EXACT('Cobertura por asignatura'!$A$4:$A$27,$B10)*1*((('Cobertura por asignatura'!$A$4:$A$27&lt;&gt;""))&gt;0),0),0)))))</f>
        <v/>
      </c>
      <c r="G10" s="3">
        <f>IF(AND($A10=""),"",IF(EXACT($C10,"Conf"),IF(ISNA(MATCH(1,INDEX(EXACT('Cobertura por asignatura'!$A$4:$A$27,$B10)*1*((('Cobertura por asignatura'!$A$4:$A$27&lt;&gt;""))&gt;0),0),0)),0,IF(ISBLANK(INDEX('Cobertura por asignatura'!$D$4:$D$27,MATCH(1,INDEX(EXACT('Cobertura por asignatura'!$A$4:$A$27,$B10)*1*((('Cobertura por asignatura'!$A$4:$A$27&lt;&gt;""))&gt;0),0),0))),"",INDEX('Cobertura por asignatura'!$D$4:$D$27,MATCH(1,INDEX(EXACT('Cobertura por asignatura'!$A$4:$A$27,$B10)*1*((('Cobertura por asignatura'!$A$4:$A$27&lt;&gt;""))&gt;0),0),0)))),IF(ISNA(MATCH(1,INDEX(EXACT('Cobertura por asignatura'!$A$4:$A$27,$B10)*1*((('Cobertura por asignatura'!$A$4:$A$27&lt;&gt;""))&gt;0),0),0)),0,IF(ISBLANK(INDEX('Cobertura por asignatura'!$E$4:$E$27,MATCH(1,INDEX(EXACT('Cobertura por asignatura'!$A$4:$A$27,$B10)*1*((('Cobertura por asignatura'!$A$4:$A$27&lt;&gt;""))&gt;0),0),0))),"",INDEX('Cobertura por asignatura'!$E$4:$E$27,MATCH(1,INDEX(EXACT('Cobertura por asignatura'!$A$4:$A$27,$B10)*1*((('Cobertura por asignatura'!$A$4:$A$27&lt;&gt;""))&gt;0),0),0))))))</f>
        <v/>
      </c>
      <c r="H10" s="3">
        <f>IF(AND($A10=""),"",IF(ISNA(MATCH(1,INDEX(EXACT('Carga por profesor'!$A$4:$A$27,$E10)*1*((('Carga por profesor'!$A$4:$A$27&lt;&gt;""))&gt;0),0),0)),"",IF(ISBLANK(INDEX('Carga por profesor'!$B$4:$B$27,MATCH(1,INDEX(EXACT('Carga por profesor'!$A$4:$A$27,$E10)*1*((('Carga por profesor'!$A$4:$A$27&lt;&gt;""))&gt;0),0),0))),"",INDEX('Carga por profesor'!$B$4:$B$27,MATCH(1,INDEX(EXACT('Carga por profesor'!$A$4:$A$27,$E10)*1*((('Carga por profesor'!$A$4:$A$27&lt;&gt;""))&gt;0),0),0)))))</f>
        <v/>
      </c>
      <c r="I10" s="3">
        <f>IF(AND($A10=""),"",(IF(ISNUMBER($B10),IF($B10=0,"0",ROUND($B10,9-INT(LOG10(ABS($B10))))&amp;""),$B10&amp;"")&amp;" "&amp;IF(ISNUMBER($C10),IF($C10=0,"0",ROUND($C10,9-INT(LOG10(ABS($C10))))&amp;""),$C10&amp;"")&amp;" "&amp;IF(ISNUMBER($D10),IF($D10=0,"0",ROUND($D10,9-INT(LOG10(ABS($D10))))&amp;""),$D10&amp;"")))</f>
        <v/>
      </c>
      <c r="J10" s="3">
        <f>IF(AND($A10=""),"",IF(OR(($E10=""),($B10="")),"",IF(ISNA(MATCH(1,INDEX(1*((('Asignacion'!$A$4:$A$34&lt;&gt;""))&gt;0)*(EXACT('Asignacion'!$E$4:$E$34,$E10))*(EXACT('Asignacion'!$B$4:$B$34,$B10)),0),0)),"",IF(ISBLANK(INDEX('Asignacion'!$I$4:$I$34,MATCH(1,INDEX(1*((('Asignacion'!$A$4:$A$34&lt;&gt;""))&gt;0)*(EXACT('Asignacion'!$E$4:$E$34,$E10))*(EXACT('Asignacion'!$B$4:$B$34,$B10)),0),0))),"",INDEX('Asignacion'!$I$4:$I$34,MATCH(1,INDEX(1*((('Asignacion'!$A$4:$A$34&lt;&gt;""))&gt;0)*(EXACT('Asignacion'!$E$4:$E$34,$E10))*(EXACT('Asignacion'!$B$4:$B$34,$B10)),0),0))))))</f>
        <v/>
      </c>
      <c r="K10" s="3">
        <f>IF(AND($A10=""),"",IF(AND(NOT(EXACT($J10,"")),EXACT($J10,$I10)),1,0))</f>
        <v/>
      </c>
      <c r="L10" s="3">
        <f>IF(AND($A10=""),"",MID(IF(AND(NOT(($B10="")),($E10="")),"; "&amp;"Esta fila de carga todavia no tiene profesor",""),3,32767))</f>
        <v/>
      </c>
      <c r="M10" s="3">
        <f>IF(OR(AND(NOT(($B10="")),($E10=""))),2,0)</f>
        <v/>
      </c>
    </row>
    <row r="11">
      <c r="A11" s="3" t="n">
        <v>8</v>
      </c>
      <c r="B11" s="4" t="inlineStr">
        <is>
          <t>PROB</t>
        </is>
      </c>
      <c r="C11" s="4" t="inlineStr">
        <is>
          <t>CP</t>
        </is>
      </c>
      <c r="D11" s="4" t="inlineStr">
        <is>
          <t>2</t>
        </is>
      </c>
      <c r="E11" s="4" t="n"/>
      <c r="F11" s="3">
        <f>IF(AND($A11=""),"",IF(ISNA(MATCH(1,INDEX(EXACT('Cobertura por asignatura'!$A$4:$A$27,$B11)*1*((('Cobertura por asignatura'!$A$4:$A$27&lt;&gt;""))&gt;0),0),0)),"",IF(ISBLANK(INDEX('Cobertura por asignatura'!$B$4:$B$27,MATCH(1,INDEX(EXACT('Cobertura por asignatura'!$A$4:$A$27,$B11)*1*((('Cobertura por asignatura'!$A$4:$A$27&lt;&gt;""))&gt;0),0),0))),"",INDEX('Cobertura por asignatura'!$B$4:$B$27,MATCH(1,INDEX(EXACT('Cobertura por asignatura'!$A$4:$A$27,$B11)*1*((('Cobertura por asignatura'!$A$4:$A$27&lt;&gt;""))&gt;0),0),0)))))</f>
        <v/>
      </c>
      <c r="G11" s="3">
        <f>IF(AND($A11=""),"",IF(EXACT($C11,"Conf"),IF(ISNA(MATCH(1,INDEX(EXACT('Cobertura por asignatura'!$A$4:$A$27,$B11)*1*((('Cobertura por asignatura'!$A$4:$A$27&lt;&gt;""))&gt;0),0),0)),0,IF(ISBLANK(INDEX('Cobertura por asignatura'!$D$4:$D$27,MATCH(1,INDEX(EXACT('Cobertura por asignatura'!$A$4:$A$27,$B11)*1*((('Cobertura por asignatura'!$A$4:$A$27&lt;&gt;""))&gt;0),0),0))),"",INDEX('Cobertura por asignatura'!$D$4:$D$27,MATCH(1,INDEX(EXACT('Cobertura por asignatura'!$A$4:$A$27,$B11)*1*((('Cobertura por asignatura'!$A$4:$A$27&lt;&gt;""))&gt;0),0),0)))),IF(ISNA(MATCH(1,INDEX(EXACT('Cobertura por asignatura'!$A$4:$A$27,$B11)*1*((('Cobertura por asignatura'!$A$4:$A$27&lt;&gt;""))&gt;0),0),0)),0,IF(ISBLANK(INDEX('Cobertura por asignatura'!$E$4:$E$27,MATCH(1,INDEX(EXACT('Cobertura por asignatura'!$A$4:$A$27,$B11)*1*((('Cobertura por asignatura'!$A$4:$A$27&lt;&gt;""))&gt;0),0),0))),"",INDEX('Cobertura por asignatura'!$E$4:$E$27,MATCH(1,INDEX(EXACT('Cobertura por asignatura'!$A$4:$A$27,$B11)*1*((('Cobertura por asignatura'!$A$4:$A$27&lt;&gt;""))&gt;0),0),0))))))</f>
        <v/>
      </c>
      <c r="H11" s="3">
        <f>IF(AND($A11=""),"",IF(ISNA(MATCH(1,INDEX(EXACT('Carga por profesor'!$A$4:$A$27,$E11)*1*((('Carga por profesor'!$A$4:$A$27&lt;&gt;""))&gt;0),0),0)),"",IF(ISBLANK(INDEX('Carga por profesor'!$B$4:$B$27,MATCH(1,INDEX(EXACT('Carga por profesor'!$A$4:$A$27,$E11)*1*((('Carga por profesor'!$A$4:$A$27&lt;&gt;""))&gt;0),0),0))),"",INDEX('Carga por profesor'!$B$4:$B$27,MATCH(1,INDEX(EXACT('Carga por profesor'!$A$4:$A$27,$E11)*1*((('Carga por profesor'!$A$4:$A$27&lt;&gt;""))&gt;0),0),0)))))</f>
        <v/>
      </c>
      <c r="I11" s="3">
        <f>IF(AND($A11=""),"",(IF(ISNUMBER($B11),IF($B11=0,"0",ROUND($B11,9-INT(LOG10(ABS($B11))))&amp;""),$B11&amp;"")&amp;" "&amp;IF(ISNUMBER($C11),IF($C11=0,"0",ROUND($C11,9-INT(LOG10(ABS($C11))))&amp;""),$C11&amp;"")&amp;" "&amp;IF(ISNUMBER($D11),IF($D11=0,"0",ROUND($D11,9-INT(LOG10(ABS($D11))))&amp;""),$D11&amp;"")))</f>
        <v/>
      </c>
      <c r="J11" s="3">
        <f>IF(AND($A11=""),"",IF(OR(($E11=""),($B11="")),"",IF(ISNA(MATCH(1,INDEX(1*((('Asignacion'!$A$4:$A$34&lt;&gt;""))&gt;0)*(EXACT('Asignacion'!$E$4:$E$34,$E11))*(EXACT('Asignacion'!$B$4:$B$34,$B11)),0),0)),"",IF(ISBLANK(INDEX('Asignacion'!$I$4:$I$34,MATCH(1,INDEX(1*((('Asignacion'!$A$4:$A$34&lt;&gt;""))&gt;0)*(EXACT('Asignacion'!$E$4:$E$34,$E11))*(EXACT('Asignacion'!$B$4:$B$34,$B11)),0),0))),"",INDEX('Asignacion'!$I$4:$I$34,MATCH(1,INDEX(1*((('Asignacion'!$A$4:$A$34&lt;&gt;""))&gt;0)*(EXACT('Asignacion'!$E$4:$E$34,$E11))*(EXACT('Asignacion'!$B$4:$B$34,$B11)),0),0))))))</f>
        <v/>
      </c>
      <c r="K11" s="3">
        <f>IF(AND($A11=""),"",IF(AND(NOT(EXACT($J11,"")),EXACT($J11,$I11)),1,0))</f>
        <v/>
      </c>
      <c r="L11" s="3">
        <f>IF(AND($A11=""),"",MID(IF(AND(NOT(($B11="")),($E11="")),"; "&amp;"Esta fila de carga todavia no tiene profesor",""),3,32767))</f>
        <v/>
      </c>
      <c r="M11" s="3">
        <f>IF(OR(AND(NOT(($B11="")),($E11=""))),2,0)</f>
        <v/>
      </c>
    </row>
    <row r="12">
      <c r="A12" s="3" t="n">
        <v>9</v>
      </c>
      <c r="B12" s="4" t="inlineStr">
        <is>
          <t>MNUM</t>
        </is>
      </c>
      <c r="C12" s="4" t="inlineStr">
        <is>
          <t>Conf</t>
        </is>
      </c>
      <c r="D12" s="4" t="n"/>
      <c r="E12" s="4" t="inlineStr">
        <is>
          <t>MARA</t>
        </is>
      </c>
      <c r="F12" s="3">
        <f>IF(AND($A12=""),"",IF(ISNA(MATCH(1,INDEX(EXACT('Cobertura por asignatura'!$A$4:$A$27,$B12)*1*((('Cobertura por asignatura'!$A$4:$A$27&lt;&gt;""))&gt;0),0),0)),"",IF(ISBLANK(INDEX('Cobertura por asignatura'!$B$4:$B$27,MATCH(1,INDEX(EXACT('Cobertura por asignatura'!$A$4:$A$27,$B12)*1*((('Cobertura por asignatura'!$A$4:$A$27&lt;&gt;""))&gt;0),0),0))),"",INDEX('Cobertura por asignatura'!$B$4:$B$27,MATCH(1,INDEX(EXACT('Cobertura por asignatura'!$A$4:$A$27,$B12)*1*((('Cobertura por asignatura'!$A$4:$A$27&lt;&gt;""))&gt;0),0),0)))))</f>
        <v/>
      </c>
      <c r="G12" s="3">
        <f>IF(AND($A12=""),"",IF(EXACT($C12,"Conf"),IF(ISNA(MATCH(1,INDEX(EXACT('Cobertura por asignatura'!$A$4:$A$27,$B12)*1*((('Cobertura por asignatura'!$A$4:$A$27&lt;&gt;""))&gt;0),0),0)),0,IF(ISBLANK(INDEX('Cobertura por asignatura'!$D$4:$D$27,MATCH(1,INDEX(EXACT('Cobertura por asignatura'!$A$4:$A$27,$B12)*1*((('Cobertura por asignatura'!$A$4:$A$27&lt;&gt;""))&gt;0),0),0))),"",INDEX('Cobertura por asignatura'!$D$4:$D$27,MATCH(1,INDEX(EXACT('Cobertura por asignatura'!$A$4:$A$27,$B12)*1*((('Cobertura por asignatura'!$A$4:$A$27&lt;&gt;""))&gt;0),0),0)))),IF(ISNA(MATCH(1,INDEX(EXACT('Cobertura por asignatura'!$A$4:$A$27,$B12)*1*((('Cobertura por asignatura'!$A$4:$A$27&lt;&gt;""))&gt;0),0),0)),0,IF(ISBLANK(INDEX('Cobertura por asignatura'!$E$4:$E$27,MATCH(1,INDEX(EXACT('Cobertura por asignatura'!$A$4:$A$27,$B12)*1*((('Cobertura por asignatura'!$A$4:$A$27&lt;&gt;""))&gt;0),0),0))),"",INDEX('Cobertura por asignatura'!$E$4:$E$27,MATCH(1,INDEX(EXACT('Cobertura por asignatura'!$A$4:$A$27,$B12)*1*((('Cobertura por asignatura'!$A$4:$A$27&lt;&gt;""))&gt;0),0),0))))))</f>
        <v/>
      </c>
      <c r="H12" s="3">
        <f>IF(AND($A12=""),"",IF(ISNA(MATCH(1,INDEX(EXACT('Carga por profesor'!$A$4:$A$27,$E12)*1*((('Carga por profesor'!$A$4:$A$27&lt;&gt;""))&gt;0),0),0)),"",IF(ISBLANK(INDEX('Carga por profesor'!$B$4:$B$27,MATCH(1,INDEX(EXACT('Carga por profesor'!$A$4:$A$27,$E12)*1*((('Carga por profesor'!$A$4:$A$27&lt;&gt;""))&gt;0),0),0))),"",INDEX('Carga por profesor'!$B$4:$B$27,MATCH(1,INDEX(EXACT('Carga por profesor'!$A$4:$A$27,$E12)*1*((('Carga por profesor'!$A$4:$A$27&lt;&gt;""))&gt;0),0),0)))))</f>
        <v/>
      </c>
      <c r="I12" s="3">
        <f>IF(AND($A12=""),"",(IF(ISNUMBER($B12),IF($B12=0,"0",ROUND($B12,9-INT(LOG10(ABS($B12))))&amp;""),$B12&amp;"")&amp;" "&amp;IF(ISNUMBER($C12),IF($C12=0,"0",ROUND($C12,9-INT(LOG10(ABS($C12))))&amp;""),$C12&amp;"")&amp;" "&amp;IF(ISNUMBER($D12),IF($D12=0,"0",ROUND($D12,9-INT(LOG10(ABS($D12))))&amp;""),$D12&amp;"")))</f>
        <v/>
      </c>
      <c r="J12" s="3">
        <f>IF(AND($A12=""),"",IF(OR(($E12=""),($B12="")),"",IF(ISNA(MATCH(1,INDEX(1*((('Asignacion'!$A$4:$A$34&lt;&gt;""))&gt;0)*(EXACT('Asignacion'!$E$4:$E$34,$E12))*(EXACT('Asignacion'!$B$4:$B$34,$B12)),0),0)),"",IF(ISBLANK(INDEX('Asignacion'!$I$4:$I$34,MATCH(1,INDEX(1*((('Asignacion'!$A$4:$A$34&lt;&gt;""))&gt;0)*(EXACT('Asignacion'!$E$4:$E$34,$E12))*(EXACT('Asignacion'!$B$4:$B$34,$B12)),0),0))),"",INDEX('Asignacion'!$I$4:$I$34,MATCH(1,INDEX(1*((('Asignacion'!$A$4:$A$34&lt;&gt;""))&gt;0)*(EXACT('Asignacion'!$E$4:$E$34,$E12))*(EXACT('Asignacion'!$B$4:$B$34,$B12)),0),0))))))</f>
        <v/>
      </c>
      <c r="K12" s="3">
        <f>IF(AND($A12=""),"",IF(AND(NOT(EXACT($J12,"")),EXACT($J12,$I12)),1,0))</f>
        <v/>
      </c>
      <c r="L12" s="3">
        <f>IF(AND($A12=""),"",MID(IF(AND(NOT(($B12="")),($E12="")),"; "&amp;"Esta fila de carga todavia no tiene profesor",""),3,32767))</f>
        <v/>
      </c>
      <c r="M12" s="3">
        <f>IF(OR(AND(NOT(($B12="")),($E12=""))),2,0)</f>
        <v/>
      </c>
    </row>
    <row r="13">
      <c r="A13" s="3" t="n">
        <v>10</v>
      </c>
      <c r="B13" s="4" t="n"/>
      <c r="C13" s="4" t="n"/>
      <c r="D13" s="4" t="n"/>
      <c r="E13" s="4" t="n"/>
      <c r="F13" s="3">
        <f>IF(AND($A13=""),"",IF(ISNA(MATCH(1,INDEX(EXACT('Cobertura por asignatura'!$A$4:$A$27,$B13)*1*((('Cobertura por asignatura'!$A$4:$A$27&lt;&gt;""))&gt;0),0),0)),"",IF(ISBLANK(INDEX('Cobertura por asignatura'!$B$4:$B$27,MATCH(1,INDEX(EXACT('Cobertura por asignatura'!$A$4:$A$27,$B13)*1*((('Cobertura por asignatura'!$A$4:$A$27&lt;&gt;""))&gt;0),0),0))),"",INDEX('Cobertura por asignatura'!$B$4:$B$27,MATCH(1,INDEX(EXACT('Cobertura por asignatura'!$A$4:$A$27,$B13)*1*((('Cobertura por asignatura'!$A$4:$A$27&lt;&gt;""))&gt;0),0),0)))))</f>
        <v/>
      </c>
      <c r="G13" s="3">
        <f>IF(AND($A13=""),"",IF(EXACT($C13,"Conf"),IF(ISNA(MATCH(1,INDEX(EXACT('Cobertura por asignatura'!$A$4:$A$27,$B13)*1*((('Cobertura por asignatura'!$A$4:$A$27&lt;&gt;""))&gt;0),0),0)),0,IF(ISBLANK(INDEX('Cobertura por asignatura'!$D$4:$D$27,MATCH(1,INDEX(EXACT('Cobertura por asignatura'!$A$4:$A$27,$B13)*1*((('Cobertura por asignatura'!$A$4:$A$27&lt;&gt;""))&gt;0),0),0))),"",INDEX('Cobertura por asignatura'!$D$4:$D$27,MATCH(1,INDEX(EXACT('Cobertura por asignatura'!$A$4:$A$27,$B13)*1*((('Cobertura por asignatura'!$A$4:$A$27&lt;&gt;""))&gt;0),0),0)))),IF(ISNA(MATCH(1,INDEX(EXACT('Cobertura por asignatura'!$A$4:$A$27,$B13)*1*((('Cobertura por asignatura'!$A$4:$A$27&lt;&gt;""))&gt;0),0),0)),0,IF(ISBLANK(INDEX('Cobertura por asignatura'!$E$4:$E$27,MATCH(1,INDEX(EXACT('Cobertura por asignatura'!$A$4:$A$27,$B13)*1*((('Cobertura por asignatura'!$A$4:$A$27&lt;&gt;""))&gt;0),0),0))),"",INDEX('Cobertura por asignatura'!$E$4:$E$27,MATCH(1,INDEX(EXACT('Cobertura por asignatura'!$A$4:$A$27,$B13)*1*((('Cobertura por asignatura'!$A$4:$A$27&lt;&gt;""))&gt;0),0),0))))))</f>
        <v/>
      </c>
      <c r="H13" s="3">
        <f>IF(AND($A13=""),"",IF(ISNA(MATCH(1,INDEX(EXACT('Carga por profesor'!$A$4:$A$27,$E13)*1*((('Carga por profesor'!$A$4:$A$27&lt;&gt;""))&gt;0),0),0)),"",IF(ISBLANK(INDEX('Carga por profesor'!$B$4:$B$27,MATCH(1,INDEX(EXACT('Carga por profesor'!$A$4:$A$27,$E13)*1*((('Carga por profesor'!$A$4:$A$27&lt;&gt;""))&gt;0),0),0))),"",INDEX('Carga por profesor'!$B$4:$B$27,MATCH(1,INDEX(EXACT('Carga por profesor'!$A$4:$A$27,$E13)*1*((('Carga por profesor'!$A$4:$A$27&lt;&gt;""))&gt;0),0),0)))))</f>
        <v/>
      </c>
      <c r="I13" s="3">
        <f>IF(AND($A13=""),"",(IF(ISNUMBER($B13),IF($B13=0,"0",ROUND($B13,9-INT(LOG10(ABS($B13))))&amp;""),$B13&amp;"")&amp;" "&amp;IF(ISNUMBER($C13),IF($C13=0,"0",ROUND($C13,9-INT(LOG10(ABS($C13))))&amp;""),$C13&amp;"")&amp;" "&amp;IF(ISNUMBER($D13),IF($D13=0,"0",ROUND($D13,9-INT(LOG10(ABS($D13))))&amp;""),$D13&amp;"")))</f>
        <v/>
      </c>
      <c r="J13" s="3">
        <f>IF(AND($A13=""),"",IF(OR(($E13=""),($B13="")),"",IF(ISNA(MATCH(1,INDEX(1*((('Asignacion'!$A$4:$A$34&lt;&gt;""))&gt;0)*(EXACT('Asignacion'!$E$4:$E$34,$E13))*(EXACT('Asignacion'!$B$4:$B$34,$B13)),0),0)),"",IF(ISBLANK(INDEX('Asignacion'!$I$4:$I$34,MATCH(1,INDEX(1*((('Asignacion'!$A$4:$A$34&lt;&gt;""))&gt;0)*(EXACT('Asignacion'!$E$4:$E$34,$E13))*(EXACT('Asignacion'!$B$4:$B$34,$B13)),0),0))),"",INDEX('Asignacion'!$I$4:$I$34,MATCH(1,INDEX(1*((('Asignacion'!$A$4:$A$34&lt;&gt;""))&gt;0)*(EXACT('Asignacion'!$E$4:$E$34,$E13))*(EXACT('Asignacion'!$B$4:$B$34,$B13)),0),0))))))</f>
        <v/>
      </c>
      <c r="K13" s="3">
        <f>IF(AND($A13=""),"",IF(AND(NOT(EXACT($J13,"")),EXACT($J13,$I13)),1,0))</f>
        <v/>
      </c>
      <c r="L13" s="3">
        <f>IF(AND($A13=""),"",MID(IF(AND(NOT(($B13="")),($E13="")),"; "&amp;"Esta fila de carga todavia no tiene profesor",""),3,32767))</f>
        <v/>
      </c>
      <c r="M13" s="3">
        <f>IF(OR(AND(NOT(($B13="")),($E13=""))),2,0)</f>
        <v/>
      </c>
    </row>
    <row r="14">
      <c r="A14" s="3" t="n">
        <v>11</v>
      </c>
      <c r="B14" s="4" t="n"/>
      <c r="C14" s="4" t="n"/>
      <c r="D14" s="4" t="n"/>
      <c r="E14" s="4" t="n"/>
      <c r="F14" s="3">
        <f>IF(AND($A14=""),"",IF(ISNA(MATCH(1,INDEX(EXACT('Cobertura por asignatura'!$A$4:$A$27,$B14)*1*((('Cobertura por asignatura'!$A$4:$A$27&lt;&gt;""))&gt;0),0),0)),"",IF(ISBLANK(INDEX('Cobertura por asignatura'!$B$4:$B$27,MATCH(1,INDEX(EXACT('Cobertura por asignatura'!$A$4:$A$27,$B14)*1*((('Cobertura por asignatura'!$A$4:$A$27&lt;&gt;""))&gt;0),0),0))),"",INDEX('Cobertura por asignatura'!$B$4:$B$27,MATCH(1,INDEX(EXACT('Cobertura por asignatura'!$A$4:$A$27,$B14)*1*((('Cobertura por asignatura'!$A$4:$A$27&lt;&gt;""))&gt;0),0),0)))))</f>
        <v/>
      </c>
      <c r="G14" s="3">
        <f>IF(AND($A14=""),"",IF(EXACT($C14,"Conf"),IF(ISNA(MATCH(1,INDEX(EXACT('Cobertura por asignatura'!$A$4:$A$27,$B14)*1*((('Cobertura por asignatura'!$A$4:$A$27&lt;&gt;""))&gt;0),0),0)),0,IF(ISBLANK(INDEX('Cobertura por asignatura'!$D$4:$D$27,MATCH(1,INDEX(EXACT('Cobertura por asignatura'!$A$4:$A$27,$B14)*1*((('Cobertura por asignatura'!$A$4:$A$27&lt;&gt;""))&gt;0),0),0))),"",INDEX('Cobertura por asignatura'!$D$4:$D$27,MATCH(1,INDEX(EXACT('Cobertura por asignatura'!$A$4:$A$27,$B14)*1*((('Cobertura por asignatura'!$A$4:$A$27&lt;&gt;""))&gt;0),0),0)))),IF(ISNA(MATCH(1,INDEX(EXACT('Cobertura por asignatura'!$A$4:$A$27,$B14)*1*((('Cobertura por asignatura'!$A$4:$A$27&lt;&gt;""))&gt;0),0),0)),0,IF(ISBLANK(INDEX('Cobertura por asignatura'!$E$4:$E$27,MATCH(1,INDEX(EXACT('Cobertura por asignatura'!$A$4:$A$27,$B14)*1*((('Cobertura por asignatura'!$A$4:$A$27&lt;&gt;""))&gt;0),0),0))),"",INDEX('Cobertura por asignatura'!$E$4:$E$27,MATCH(1,INDEX(EXACT('Cobertura por asignatura'!$A$4:$A$27,$B14)*1*((('Cobertura por asignatura'!$A$4:$A$27&lt;&gt;""))&gt;0),0),0))))))</f>
        <v/>
      </c>
      <c r="H14" s="3">
        <f>IF(AND($A14=""),"",IF(ISNA(MATCH(1,INDEX(EXACT('Carga por profesor'!$A$4:$A$27,$E14)*1*((('Carga por profesor'!$A$4:$A$27&lt;&gt;""))&gt;0),0),0)),"",IF(ISBLANK(INDEX('Carga por profesor'!$B$4:$B$27,MATCH(1,INDEX(EXACT('Carga por profesor'!$A$4:$A$27,$E14)*1*((('Carga por profesor'!$A$4:$A$27&lt;&gt;""))&gt;0),0),0))),"",INDEX('Carga por profesor'!$B$4:$B$27,MATCH(1,INDEX(EXACT('Carga por profesor'!$A$4:$A$27,$E14)*1*((('Carga por profesor'!$A$4:$A$27&lt;&gt;""))&gt;0),0),0)))))</f>
        <v/>
      </c>
      <c r="I14" s="3">
        <f>IF(AND($A14=""),"",(IF(ISNUMBER($B14),IF($B14=0,"0",ROUND($B14,9-INT(LOG10(ABS($B14))))&amp;""),$B14&amp;"")&amp;" "&amp;IF(ISNUMBER($C14),IF($C14=0,"0",ROUND($C14,9-INT(LOG10(ABS($C14))))&amp;""),$C14&amp;"")&amp;" "&amp;IF(ISNUMBER($D14),IF($D14=0,"0",ROUND($D14,9-INT(LOG10(ABS($D14))))&amp;""),$D14&amp;"")))</f>
        <v/>
      </c>
      <c r="J14" s="3">
        <f>IF(AND($A14=""),"",IF(OR(($E14=""),($B14="")),"",IF(ISNA(MATCH(1,INDEX(1*((('Asignacion'!$A$4:$A$34&lt;&gt;""))&gt;0)*(EXACT('Asignacion'!$E$4:$E$34,$E14))*(EXACT('Asignacion'!$B$4:$B$34,$B14)),0),0)),"",IF(ISBLANK(INDEX('Asignacion'!$I$4:$I$34,MATCH(1,INDEX(1*((('Asignacion'!$A$4:$A$34&lt;&gt;""))&gt;0)*(EXACT('Asignacion'!$E$4:$E$34,$E14))*(EXACT('Asignacion'!$B$4:$B$34,$B14)),0),0))),"",INDEX('Asignacion'!$I$4:$I$34,MATCH(1,INDEX(1*((('Asignacion'!$A$4:$A$34&lt;&gt;""))&gt;0)*(EXACT('Asignacion'!$E$4:$E$34,$E14))*(EXACT('Asignacion'!$B$4:$B$34,$B14)),0),0))))))</f>
        <v/>
      </c>
      <c r="K14" s="3">
        <f>IF(AND($A14=""),"",IF(AND(NOT(EXACT($J14,"")),EXACT($J14,$I14)),1,0))</f>
        <v/>
      </c>
      <c r="L14" s="3">
        <f>IF(AND($A14=""),"",MID(IF(AND(NOT(($B14="")),($E14="")),"; "&amp;"Esta fila de carga todavia no tiene profesor",""),3,32767))</f>
        <v/>
      </c>
      <c r="M14" s="3">
        <f>IF(OR(AND(NOT(($B14="")),($E14=""))),2,0)</f>
        <v/>
      </c>
    </row>
    <row r="15">
      <c r="A15" s="4" t="n"/>
      <c r="B15" s="4" t="n"/>
      <c r="C15" s="4" t="n"/>
      <c r="D15" s="4" t="n"/>
      <c r="E15" s="4" t="n"/>
      <c r="F15" s="3">
        <f>IF(AND($A15=""),"",IF(ISNA(MATCH(1,INDEX(EXACT('Cobertura por asignatura'!$A$4:$A$27,$B15)*1*((('Cobertura por asignatura'!$A$4:$A$27&lt;&gt;""))&gt;0),0),0)),"",IF(ISBLANK(INDEX('Cobertura por asignatura'!$B$4:$B$27,MATCH(1,INDEX(EXACT('Cobertura por asignatura'!$A$4:$A$27,$B15)*1*((('Cobertura por asignatura'!$A$4:$A$27&lt;&gt;""))&gt;0),0),0))),"",INDEX('Cobertura por asignatura'!$B$4:$B$27,MATCH(1,INDEX(EXACT('Cobertura por asignatura'!$A$4:$A$27,$B15)*1*((('Cobertura por asignatura'!$A$4:$A$27&lt;&gt;""))&gt;0),0),0)))))</f>
        <v/>
      </c>
      <c r="G15" s="3">
        <f>IF(AND($A15=""),"",IF(EXACT($C15,"Conf"),IF(ISNA(MATCH(1,INDEX(EXACT('Cobertura por asignatura'!$A$4:$A$27,$B15)*1*((('Cobertura por asignatura'!$A$4:$A$27&lt;&gt;""))&gt;0),0),0)),0,IF(ISBLANK(INDEX('Cobertura por asignatura'!$D$4:$D$27,MATCH(1,INDEX(EXACT('Cobertura por asignatura'!$A$4:$A$27,$B15)*1*((('Cobertura por asignatura'!$A$4:$A$27&lt;&gt;""))&gt;0),0),0))),"",INDEX('Cobertura por asignatura'!$D$4:$D$27,MATCH(1,INDEX(EXACT('Cobertura por asignatura'!$A$4:$A$27,$B15)*1*((('Cobertura por asignatura'!$A$4:$A$27&lt;&gt;""))&gt;0),0),0)))),IF(ISNA(MATCH(1,INDEX(EXACT('Cobertura por asignatura'!$A$4:$A$27,$B15)*1*((('Cobertura por asignatura'!$A$4:$A$27&lt;&gt;""))&gt;0),0),0)),0,IF(ISBLANK(INDEX('Cobertura por asignatura'!$E$4:$E$27,MATCH(1,INDEX(EXACT('Cobertura por asignatura'!$A$4:$A$27,$B15)*1*((('Cobertura por asignatura'!$A$4:$A$27&lt;&gt;""))&gt;0),0),0))),"",INDEX('Cobertura por asignatura'!$E$4:$E$27,MATCH(1,INDEX(EXACT('Cobertura por asignatura'!$A$4:$A$27,$B15)*1*((('Cobertura por asignatura'!$A$4:$A$27&lt;&gt;""))&gt;0),0),0))))))</f>
        <v/>
      </c>
      <c r="H15" s="3">
        <f>IF(AND($A15=""),"",IF(ISNA(MATCH(1,INDEX(EXACT('Carga por profesor'!$A$4:$A$27,$E15)*1*((('Carga por profesor'!$A$4:$A$27&lt;&gt;""))&gt;0),0),0)),"",IF(ISBLANK(INDEX('Carga por profesor'!$B$4:$B$27,MATCH(1,INDEX(EXACT('Carga por profesor'!$A$4:$A$27,$E15)*1*((('Carga por profesor'!$A$4:$A$27&lt;&gt;""))&gt;0),0),0))),"",INDEX('Carga por profesor'!$B$4:$B$27,MATCH(1,INDEX(EXACT('Carga por profesor'!$A$4:$A$27,$E15)*1*((('Carga por profesor'!$A$4:$A$27&lt;&gt;""))&gt;0),0),0)))))</f>
        <v/>
      </c>
      <c r="I15" s="3">
        <f>IF(AND($A15=""),"",(IF(ISNUMBER($B15),IF($B15=0,"0",ROUND($B15,9-INT(LOG10(ABS($B15))))&amp;""),$B15&amp;"")&amp;" "&amp;IF(ISNUMBER($C15),IF($C15=0,"0",ROUND($C15,9-INT(LOG10(ABS($C15))))&amp;""),$C15&amp;"")&amp;" "&amp;IF(ISNUMBER($D15),IF($D15=0,"0",ROUND($D15,9-INT(LOG10(ABS($D15))))&amp;""),$D15&amp;"")))</f>
        <v/>
      </c>
      <c r="J15" s="3">
        <f>IF(AND($A15=""),"",IF(OR(($E15=""),($B15="")),"",IF(ISNA(MATCH(1,INDEX(1*((('Asignacion'!$A$4:$A$34&lt;&gt;""))&gt;0)*(EXACT('Asignacion'!$E$4:$E$34,$E15))*(EXACT('Asignacion'!$B$4:$B$34,$B15)),0),0)),"",IF(ISBLANK(INDEX('Asignacion'!$I$4:$I$34,MATCH(1,INDEX(1*((('Asignacion'!$A$4:$A$34&lt;&gt;""))&gt;0)*(EXACT('Asignacion'!$E$4:$E$34,$E15))*(EXACT('Asignacion'!$B$4:$B$34,$B15)),0),0))),"",INDEX('Asignacion'!$I$4:$I$34,MATCH(1,INDEX(1*((('Asignacion'!$A$4:$A$34&lt;&gt;""))&gt;0)*(EXACT('Asignacion'!$E$4:$E$34,$E15))*(EXACT('Asignacion'!$B$4:$B$34,$B15)),0),0))))))</f>
        <v/>
      </c>
      <c r="K15" s="3">
        <f>IF(AND($A15=""),"",IF(AND(NOT(EXACT($J15,"")),EXACT($J15,$I15)),1,0))</f>
        <v/>
      </c>
      <c r="L15" s="3">
        <f>IF(AND($A15=""),"",MID(IF(AND(NOT(($B15="")),($E15="")),"; "&amp;"Esta fila de carga todavia no tiene profesor",""),3,32767))</f>
        <v/>
      </c>
      <c r="M15" s="3">
        <f>IF(OR(AND(NOT(($B15="")),($E15=""))),2,0)</f>
        <v/>
      </c>
    </row>
    <row r="16">
      <c r="A16" s="4" t="n"/>
      <c r="B16" s="4" t="n"/>
      <c r="C16" s="4" t="n"/>
      <c r="D16" s="4" t="n"/>
      <c r="E16" s="4" t="n"/>
      <c r="F16" s="3">
        <f>IF(AND($A16=""),"",IF(ISNA(MATCH(1,INDEX(EXACT('Cobertura por asignatura'!$A$4:$A$27,$B16)*1*((('Cobertura por asignatura'!$A$4:$A$27&lt;&gt;""))&gt;0),0),0)),"",IF(ISBLANK(INDEX('Cobertura por asignatura'!$B$4:$B$27,MATCH(1,INDEX(EXACT('Cobertura por asignatura'!$A$4:$A$27,$B16)*1*((('Cobertura por asignatura'!$A$4:$A$27&lt;&gt;""))&gt;0),0),0))),"",INDEX('Cobertura por asignatura'!$B$4:$B$27,MATCH(1,INDEX(EXACT('Cobertura por asignatura'!$A$4:$A$27,$B16)*1*((('Cobertura por asignatura'!$A$4:$A$27&lt;&gt;""))&gt;0),0),0)))))</f>
        <v/>
      </c>
      <c r="G16" s="3">
        <f>IF(AND($A16=""),"",IF(EXACT($C16,"Conf"),IF(ISNA(MATCH(1,INDEX(EXACT('Cobertura por asignatura'!$A$4:$A$27,$B16)*1*((('Cobertura por asignatura'!$A$4:$A$27&lt;&gt;""))&gt;0),0),0)),0,IF(ISBLANK(INDEX('Cobertura por asignatura'!$D$4:$D$27,MATCH(1,INDEX(EXACT('Cobertura por asignatura'!$A$4:$A$27,$B16)*1*((('Cobertura por asignatura'!$A$4:$A$27&lt;&gt;""))&gt;0),0),0))),"",INDEX('Cobertura por asignatura'!$D$4:$D$27,MATCH(1,INDEX(EXACT('Cobertura por asignatura'!$A$4:$A$27,$B16)*1*((('Cobertura por asignatura'!$A$4:$A$27&lt;&gt;""))&gt;0),0),0)))),IF(ISNA(MATCH(1,INDEX(EXACT('Cobertura por asignatura'!$A$4:$A$27,$B16)*1*((('Cobertura por asignatura'!$A$4:$A$27&lt;&gt;""))&gt;0),0),0)),0,IF(ISBLANK(INDEX('Cobertura por asignatura'!$E$4:$E$27,MATCH(1,INDEX(EXACT('Cobertura por asignatura'!$A$4:$A$27,$B16)*1*((('Cobertura por asignatura'!$A$4:$A$27&lt;&gt;""))&gt;0),0),0))),"",INDEX('Cobertura por asignatura'!$E$4:$E$27,MATCH(1,INDEX(EXACT('Cobertura por asignatura'!$A$4:$A$27,$B16)*1*((('Cobertura por asignatura'!$A$4:$A$27&lt;&gt;""))&gt;0),0),0))))))</f>
        <v/>
      </c>
      <c r="H16" s="3">
        <f>IF(AND($A16=""),"",IF(ISNA(MATCH(1,INDEX(EXACT('Carga por profesor'!$A$4:$A$27,$E16)*1*((('Carga por profesor'!$A$4:$A$27&lt;&gt;""))&gt;0),0),0)),"",IF(ISBLANK(INDEX('Carga por profesor'!$B$4:$B$27,MATCH(1,INDEX(EXACT('Carga por profesor'!$A$4:$A$27,$E16)*1*((('Carga por profesor'!$A$4:$A$27&lt;&gt;""))&gt;0),0),0))),"",INDEX('Carga por profesor'!$B$4:$B$27,MATCH(1,INDEX(EXACT('Carga por profesor'!$A$4:$A$27,$E16)*1*((('Carga por profesor'!$A$4:$A$27&lt;&gt;""))&gt;0),0),0)))))</f>
        <v/>
      </c>
      <c r="I16" s="3">
        <f>IF(AND($A16=""),"",(IF(ISNUMBER($B16),IF($B16=0,"0",ROUND($B16,9-INT(LOG10(ABS($B16))))&amp;""),$B16&amp;"")&amp;" "&amp;IF(ISNUMBER($C16),IF($C16=0,"0",ROUND($C16,9-INT(LOG10(ABS($C16))))&amp;""),$C16&amp;"")&amp;" "&amp;IF(ISNUMBER($D16),IF($D16=0,"0",ROUND($D16,9-INT(LOG10(ABS($D16))))&amp;""),$D16&amp;"")))</f>
        <v/>
      </c>
      <c r="J16" s="3">
        <f>IF(AND($A16=""),"",IF(OR(($E16=""),($B16="")),"",IF(ISNA(MATCH(1,INDEX(1*((('Asignacion'!$A$4:$A$34&lt;&gt;""))&gt;0)*(EXACT('Asignacion'!$E$4:$E$34,$E16))*(EXACT('Asignacion'!$B$4:$B$34,$B16)),0),0)),"",IF(ISBLANK(INDEX('Asignacion'!$I$4:$I$34,MATCH(1,INDEX(1*((('Asignacion'!$A$4:$A$34&lt;&gt;""))&gt;0)*(EXACT('Asignacion'!$E$4:$E$34,$E16))*(EXACT('Asignacion'!$B$4:$B$34,$B16)),0),0))),"",INDEX('Asignacion'!$I$4:$I$34,MATCH(1,INDEX(1*((('Asignacion'!$A$4:$A$34&lt;&gt;""))&gt;0)*(EXACT('Asignacion'!$E$4:$E$34,$E16))*(EXACT('Asignacion'!$B$4:$B$34,$B16)),0),0))))))</f>
        <v/>
      </c>
      <c r="K16" s="3">
        <f>IF(AND($A16=""),"",IF(AND(NOT(EXACT($J16,"")),EXACT($J16,$I16)),1,0))</f>
        <v/>
      </c>
      <c r="L16" s="3">
        <f>IF(AND($A16=""),"",MID(IF(AND(NOT(($B16="")),($E16="")),"; "&amp;"Esta fila de carga todavia no tiene profesor",""),3,32767))</f>
        <v/>
      </c>
      <c r="M16" s="3">
        <f>IF(OR(AND(NOT(($B16="")),($E16=""))),2,0)</f>
        <v/>
      </c>
    </row>
    <row r="17">
      <c r="A17" s="4" t="n"/>
      <c r="B17" s="4" t="n"/>
      <c r="C17" s="4" t="n"/>
      <c r="D17" s="4" t="n"/>
      <c r="E17" s="4" t="n"/>
      <c r="F17" s="3">
        <f>IF(AND($A17=""),"",IF(ISNA(MATCH(1,INDEX(EXACT('Cobertura por asignatura'!$A$4:$A$27,$B17)*1*((('Cobertura por asignatura'!$A$4:$A$27&lt;&gt;""))&gt;0),0),0)),"",IF(ISBLANK(INDEX('Cobertura por asignatura'!$B$4:$B$27,MATCH(1,INDEX(EXACT('Cobertura por asignatura'!$A$4:$A$27,$B17)*1*((('Cobertura por asignatura'!$A$4:$A$27&lt;&gt;""))&gt;0),0),0))),"",INDEX('Cobertura por asignatura'!$B$4:$B$27,MATCH(1,INDEX(EXACT('Cobertura por asignatura'!$A$4:$A$27,$B17)*1*((('Cobertura por asignatura'!$A$4:$A$27&lt;&gt;""))&gt;0),0),0)))))</f>
        <v/>
      </c>
      <c r="G17" s="3">
        <f>IF(AND($A17=""),"",IF(EXACT($C17,"Conf"),IF(ISNA(MATCH(1,INDEX(EXACT('Cobertura por asignatura'!$A$4:$A$27,$B17)*1*((('Cobertura por asignatura'!$A$4:$A$27&lt;&gt;""))&gt;0),0),0)),0,IF(ISBLANK(INDEX('Cobertura por asignatura'!$D$4:$D$27,MATCH(1,INDEX(EXACT('Cobertura por asignatura'!$A$4:$A$27,$B17)*1*((('Cobertura por asignatura'!$A$4:$A$27&lt;&gt;""))&gt;0),0),0))),"",INDEX('Cobertura por asignatura'!$D$4:$D$27,MATCH(1,INDEX(EXACT('Cobertura por asignatura'!$A$4:$A$27,$B17)*1*((('Cobertura por asignatura'!$A$4:$A$27&lt;&gt;""))&gt;0),0),0)))),IF(ISNA(MATCH(1,INDEX(EXACT('Cobertura por asignatura'!$A$4:$A$27,$B17)*1*((('Cobertura por asignatura'!$A$4:$A$27&lt;&gt;""))&gt;0),0),0)),0,IF(ISBLANK(INDEX('Cobertura por asignatura'!$E$4:$E$27,MATCH(1,INDEX(EXACT('Cobertura por asignatura'!$A$4:$A$27,$B17)*1*((('Cobertura por asignatura'!$A$4:$A$27&lt;&gt;""))&gt;0),0),0))),"",INDEX('Cobertura por asignatura'!$E$4:$E$27,MATCH(1,INDEX(EXACT('Cobertura por asignatura'!$A$4:$A$27,$B17)*1*((('Cobertura por asignatura'!$A$4:$A$27&lt;&gt;""))&gt;0),0),0))))))</f>
        <v/>
      </c>
      <c r="H17" s="3">
        <f>IF(AND($A17=""),"",IF(ISNA(MATCH(1,INDEX(EXACT('Carga por profesor'!$A$4:$A$27,$E17)*1*((('Carga por profesor'!$A$4:$A$27&lt;&gt;""))&gt;0),0),0)),"",IF(ISBLANK(INDEX('Carga por profesor'!$B$4:$B$27,MATCH(1,INDEX(EXACT('Carga por profesor'!$A$4:$A$27,$E17)*1*((('Carga por profesor'!$A$4:$A$27&lt;&gt;""))&gt;0),0),0))),"",INDEX('Carga por profesor'!$B$4:$B$27,MATCH(1,INDEX(EXACT('Carga por profesor'!$A$4:$A$27,$E17)*1*((('Carga por profesor'!$A$4:$A$27&lt;&gt;""))&gt;0),0),0)))))</f>
        <v/>
      </c>
      <c r="I17" s="3">
        <f>IF(AND($A17=""),"",(IF(ISNUMBER($B17),IF($B17=0,"0",ROUND($B17,9-INT(LOG10(ABS($B17))))&amp;""),$B17&amp;"")&amp;" "&amp;IF(ISNUMBER($C17),IF($C17=0,"0",ROUND($C17,9-INT(LOG10(ABS($C17))))&amp;""),$C17&amp;"")&amp;" "&amp;IF(ISNUMBER($D17),IF($D17=0,"0",ROUND($D17,9-INT(LOG10(ABS($D17))))&amp;""),$D17&amp;"")))</f>
        <v/>
      </c>
      <c r="J17" s="3">
        <f>IF(AND($A17=""),"",IF(OR(($E17=""),($B17="")),"",IF(ISNA(MATCH(1,INDEX(1*((('Asignacion'!$A$4:$A$34&lt;&gt;""))&gt;0)*(EXACT('Asignacion'!$E$4:$E$34,$E17))*(EXACT('Asignacion'!$B$4:$B$34,$B17)),0),0)),"",IF(ISBLANK(INDEX('Asignacion'!$I$4:$I$34,MATCH(1,INDEX(1*((('Asignacion'!$A$4:$A$34&lt;&gt;""))&gt;0)*(EXACT('Asignacion'!$E$4:$E$34,$E17))*(EXACT('Asignacion'!$B$4:$B$34,$B17)),0),0))),"",INDEX('Asignacion'!$I$4:$I$34,MATCH(1,INDEX(1*((('Asignacion'!$A$4:$A$34&lt;&gt;""))&gt;0)*(EXACT('Asignacion'!$E$4:$E$34,$E17))*(EXACT('Asignacion'!$B$4:$B$34,$B17)),0),0))))))</f>
        <v/>
      </c>
      <c r="K17" s="3">
        <f>IF(AND($A17=""),"",IF(AND(NOT(EXACT($J17,"")),EXACT($J17,$I17)),1,0))</f>
        <v/>
      </c>
      <c r="L17" s="3">
        <f>IF(AND($A17=""),"",MID(IF(AND(NOT(($B17="")),($E17="")),"; "&amp;"Esta fila de carga todavia no tiene profesor",""),3,32767))</f>
        <v/>
      </c>
      <c r="M17" s="3">
        <f>IF(OR(AND(NOT(($B17="")),($E17=""))),2,0)</f>
        <v/>
      </c>
    </row>
    <row r="18">
      <c r="A18" s="4" t="n"/>
      <c r="B18" s="4" t="n"/>
      <c r="C18" s="4" t="n"/>
      <c r="D18" s="4" t="n"/>
      <c r="E18" s="4" t="n"/>
      <c r="F18" s="3">
        <f>IF(AND($A18=""),"",IF(ISNA(MATCH(1,INDEX(EXACT('Cobertura por asignatura'!$A$4:$A$27,$B18)*1*((('Cobertura por asignatura'!$A$4:$A$27&lt;&gt;""))&gt;0),0),0)),"",IF(ISBLANK(INDEX('Cobertura por asignatura'!$B$4:$B$27,MATCH(1,INDEX(EXACT('Cobertura por asignatura'!$A$4:$A$27,$B18)*1*((('Cobertura por asignatura'!$A$4:$A$27&lt;&gt;""))&gt;0),0),0))),"",INDEX('Cobertura por asignatura'!$B$4:$B$27,MATCH(1,INDEX(EXACT('Cobertura por asignatura'!$A$4:$A$27,$B18)*1*((('Cobertura por asignatura'!$A$4:$A$27&lt;&gt;""))&gt;0),0),0)))))</f>
        <v/>
      </c>
      <c r="G18" s="3">
        <f>IF(AND($A18=""),"",IF(EXACT($C18,"Conf"),IF(ISNA(MATCH(1,INDEX(EXACT('Cobertura por asignatura'!$A$4:$A$27,$B18)*1*((('Cobertura por asignatura'!$A$4:$A$27&lt;&gt;""))&gt;0),0),0)),0,IF(ISBLANK(INDEX('Cobertura por asignatura'!$D$4:$D$27,MATCH(1,INDEX(EXACT('Cobertura por asignatura'!$A$4:$A$27,$B18)*1*((('Cobertura por asignatura'!$A$4:$A$27&lt;&gt;""))&gt;0),0),0))),"",INDEX('Cobertura por asignatura'!$D$4:$D$27,MATCH(1,INDEX(EXACT('Cobertura por asignatura'!$A$4:$A$27,$B18)*1*((('Cobertura por asignatura'!$A$4:$A$27&lt;&gt;""))&gt;0),0),0)))),IF(ISNA(MATCH(1,INDEX(EXACT('Cobertura por asignatura'!$A$4:$A$27,$B18)*1*((('Cobertura por asignatura'!$A$4:$A$27&lt;&gt;""))&gt;0),0),0)),0,IF(ISBLANK(INDEX('Cobertura por asignatura'!$E$4:$E$27,MATCH(1,INDEX(EXACT('Cobertura por asignatura'!$A$4:$A$27,$B18)*1*((('Cobertura por asignatura'!$A$4:$A$27&lt;&gt;""))&gt;0),0),0))),"",INDEX('Cobertura por asignatura'!$E$4:$E$27,MATCH(1,INDEX(EXACT('Cobertura por asignatura'!$A$4:$A$27,$B18)*1*((('Cobertura por asignatura'!$A$4:$A$27&lt;&gt;""))&gt;0),0),0))))))</f>
        <v/>
      </c>
      <c r="H18" s="3">
        <f>IF(AND($A18=""),"",IF(ISNA(MATCH(1,INDEX(EXACT('Carga por profesor'!$A$4:$A$27,$E18)*1*((('Carga por profesor'!$A$4:$A$27&lt;&gt;""))&gt;0),0),0)),"",IF(ISBLANK(INDEX('Carga por profesor'!$B$4:$B$27,MATCH(1,INDEX(EXACT('Carga por profesor'!$A$4:$A$27,$E18)*1*((('Carga por profesor'!$A$4:$A$27&lt;&gt;""))&gt;0),0),0))),"",INDEX('Carga por profesor'!$B$4:$B$27,MATCH(1,INDEX(EXACT('Carga por profesor'!$A$4:$A$27,$E18)*1*((('Carga por profesor'!$A$4:$A$27&lt;&gt;""))&gt;0),0),0)))))</f>
        <v/>
      </c>
      <c r="I18" s="3">
        <f>IF(AND($A18=""),"",(IF(ISNUMBER($B18),IF($B18=0,"0",ROUND($B18,9-INT(LOG10(ABS($B18))))&amp;""),$B18&amp;"")&amp;" "&amp;IF(ISNUMBER($C18),IF($C18=0,"0",ROUND($C18,9-INT(LOG10(ABS($C18))))&amp;""),$C18&amp;"")&amp;" "&amp;IF(ISNUMBER($D18),IF($D18=0,"0",ROUND($D18,9-INT(LOG10(ABS($D18))))&amp;""),$D18&amp;"")))</f>
        <v/>
      </c>
      <c r="J18" s="3">
        <f>IF(AND($A18=""),"",IF(OR(($E18=""),($B18="")),"",IF(ISNA(MATCH(1,INDEX(1*((('Asignacion'!$A$4:$A$34&lt;&gt;""))&gt;0)*(EXACT('Asignacion'!$E$4:$E$34,$E18))*(EXACT('Asignacion'!$B$4:$B$34,$B18)),0),0)),"",IF(ISBLANK(INDEX('Asignacion'!$I$4:$I$34,MATCH(1,INDEX(1*((('Asignacion'!$A$4:$A$34&lt;&gt;""))&gt;0)*(EXACT('Asignacion'!$E$4:$E$34,$E18))*(EXACT('Asignacion'!$B$4:$B$34,$B18)),0),0))),"",INDEX('Asignacion'!$I$4:$I$34,MATCH(1,INDEX(1*((('Asignacion'!$A$4:$A$34&lt;&gt;""))&gt;0)*(EXACT('Asignacion'!$E$4:$E$34,$E18))*(EXACT('Asignacion'!$B$4:$B$34,$B18)),0),0))))))</f>
        <v/>
      </c>
      <c r="K18" s="3">
        <f>IF(AND($A18=""),"",IF(AND(NOT(EXACT($J18,"")),EXACT($J18,$I18)),1,0))</f>
        <v/>
      </c>
      <c r="L18" s="3">
        <f>IF(AND($A18=""),"",MID(IF(AND(NOT(($B18="")),($E18="")),"; "&amp;"Esta fila de carga todavia no tiene profesor",""),3,32767))</f>
        <v/>
      </c>
      <c r="M18" s="3">
        <f>IF(OR(AND(NOT(($B18="")),($E18=""))),2,0)</f>
        <v/>
      </c>
    </row>
    <row r="19">
      <c r="A19" s="4" t="n"/>
      <c r="B19" s="4" t="n"/>
      <c r="C19" s="4" t="n"/>
      <c r="D19" s="4" t="n"/>
      <c r="E19" s="4" t="n"/>
      <c r="F19" s="3">
        <f>IF(AND($A19=""),"",IF(ISNA(MATCH(1,INDEX(EXACT('Cobertura por asignatura'!$A$4:$A$27,$B19)*1*((('Cobertura por asignatura'!$A$4:$A$27&lt;&gt;""))&gt;0),0),0)),"",IF(ISBLANK(INDEX('Cobertura por asignatura'!$B$4:$B$27,MATCH(1,INDEX(EXACT('Cobertura por asignatura'!$A$4:$A$27,$B19)*1*((('Cobertura por asignatura'!$A$4:$A$27&lt;&gt;""))&gt;0),0),0))),"",INDEX('Cobertura por asignatura'!$B$4:$B$27,MATCH(1,INDEX(EXACT('Cobertura por asignatura'!$A$4:$A$27,$B19)*1*((('Cobertura por asignatura'!$A$4:$A$27&lt;&gt;""))&gt;0),0),0)))))</f>
        <v/>
      </c>
      <c r="G19" s="3">
        <f>IF(AND($A19=""),"",IF(EXACT($C19,"Conf"),IF(ISNA(MATCH(1,INDEX(EXACT('Cobertura por asignatura'!$A$4:$A$27,$B19)*1*((('Cobertura por asignatura'!$A$4:$A$27&lt;&gt;""))&gt;0),0),0)),0,IF(ISBLANK(INDEX('Cobertura por asignatura'!$D$4:$D$27,MATCH(1,INDEX(EXACT('Cobertura por asignatura'!$A$4:$A$27,$B19)*1*((('Cobertura por asignatura'!$A$4:$A$27&lt;&gt;""))&gt;0),0),0))),"",INDEX('Cobertura por asignatura'!$D$4:$D$27,MATCH(1,INDEX(EXACT('Cobertura por asignatura'!$A$4:$A$27,$B19)*1*((('Cobertura por asignatura'!$A$4:$A$27&lt;&gt;""))&gt;0),0),0)))),IF(ISNA(MATCH(1,INDEX(EXACT('Cobertura por asignatura'!$A$4:$A$27,$B19)*1*((('Cobertura por asignatura'!$A$4:$A$27&lt;&gt;""))&gt;0),0),0)),0,IF(ISBLANK(INDEX('Cobertura por asignatura'!$E$4:$E$27,MATCH(1,INDEX(EXACT('Cobertura por asignatura'!$A$4:$A$27,$B19)*1*((('Cobertura por asignatura'!$A$4:$A$27&lt;&gt;""))&gt;0),0),0))),"",INDEX('Cobertura por asignatura'!$E$4:$E$27,MATCH(1,INDEX(EXACT('Cobertura por asignatura'!$A$4:$A$27,$B19)*1*((('Cobertura por asignatura'!$A$4:$A$27&lt;&gt;""))&gt;0),0),0))))))</f>
        <v/>
      </c>
      <c r="H19" s="3">
        <f>IF(AND($A19=""),"",IF(ISNA(MATCH(1,INDEX(EXACT('Carga por profesor'!$A$4:$A$27,$E19)*1*((('Carga por profesor'!$A$4:$A$27&lt;&gt;""))&gt;0),0),0)),"",IF(ISBLANK(INDEX('Carga por profesor'!$B$4:$B$27,MATCH(1,INDEX(EXACT('Carga por profesor'!$A$4:$A$27,$E19)*1*((('Carga por profesor'!$A$4:$A$27&lt;&gt;""))&gt;0),0),0))),"",INDEX('Carga por profesor'!$B$4:$B$27,MATCH(1,INDEX(EXACT('Carga por profesor'!$A$4:$A$27,$E19)*1*((('Carga por profesor'!$A$4:$A$27&lt;&gt;""))&gt;0),0),0)))))</f>
        <v/>
      </c>
      <c r="I19" s="3">
        <f>IF(AND($A19=""),"",(IF(ISNUMBER($B19),IF($B19=0,"0",ROUND($B19,9-INT(LOG10(ABS($B19))))&amp;""),$B19&amp;"")&amp;" "&amp;IF(ISNUMBER($C19),IF($C19=0,"0",ROUND($C19,9-INT(LOG10(ABS($C19))))&amp;""),$C19&amp;"")&amp;" "&amp;IF(ISNUMBER($D19),IF($D19=0,"0",ROUND($D19,9-INT(LOG10(ABS($D19))))&amp;""),$D19&amp;"")))</f>
        <v/>
      </c>
      <c r="J19" s="3">
        <f>IF(AND($A19=""),"",IF(OR(($E19=""),($B19="")),"",IF(ISNA(MATCH(1,INDEX(1*((('Asignacion'!$A$4:$A$34&lt;&gt;""))&gt;0)*(EXACT('Asignacion'!$E$4:$E$34,$E19))*(EXACT('Asignacion'!$B$4:$B$34,$B19)),0),0)),"",IF(ISBLANK(INDEX('Asignacion'!$I$4:$I$34,MATCH(1,INDEX(1*((('Asignacion'!$A$4:$A$34&lt;&gt;""))&gt;0)*(EXACT('Asignacion'!$E$4:$E$34,$E19))*(EXACT('Asignacion'!$B$4:$B$34,$B19)),0),0))),"",INDEX('Asignacion'!$I$4:$I$34,MATCH(1,INDEX(1*((('Asignacion'!$A$4:$A$34&lt;&gt;""))&gt;0)*(EXACT('Asignacion'!$E$4:$E$34,$E19))*(EXACT('Asignacion'!$B$4:$B$34,$B19)),0),0))))))</f>
        <v/>
      </c>
      <c r="K19" s="3">
        <f>IF(AND($A19=""),"",IF(AND(NOT(EXACT($J19,"")),EXACT($J19,$I19)),1,0))</f>
        <v/>
      </c>
      <c r="L19" s="3">
        <f>IF(AND($A19=""),"",MID(IF(AND(NOT(($B19="")),($E19="")),"; "&amp;"Esta fila de carga todavia no tiene profesor",""),3,32767))</f>
        <v/>
      </c>
      <c r="M19" s="3">
        <f>IF(OR(AND(NOT(($B19="")),($E19=""))),2,0)</f>
        <v/>
      </c>
    </row>
    <row r="20">
      <c r="A20" s="4" t="n"/>
      <c r="B20" s="4" t="n"/>
      <c r="C20" s="4" t="n"/>
      <c r="D20" s="4" t="n"/>
      <c r="E20" s="4" t="n"/>
      <c r="F20" s="3">
        <f>IF(AND($A20=""),"",IF(ISNA(MATCH(1,INDEX(EXACT('Cobertura por asignatura'!$A$4:$A$27,$B20)*1*((('Cobertura por asignatura'!$A$4:$A$27&lt;&gt;""))&gt;0),0),0)),"",IF(ISBLANK(INDEX('Cobertura por asignatura'!$B$4:$B$27,MATCH(1,INDEX(EXACT('Cobertura por asignatura'!$A$4:$A$27,$B20)*1*((('Cobertura por asignatura'!$A$4:$A$27&lt;&gt;""))&gt;0),0),0))),"",INDEX('Cobertura por asignatura'!$B$4:$B$27,MATCH(1,INDEX(EXACT('Cobertura por asignatura'!$A$4:$A$27,$B20)*1*((('Cobertura por asignatura'!$A$4:$A$27&lt;&gt;""))&gt;0),0),0)))))</f>
        <v/>
      </c>
      <c r="G20" s="3">
        <f>IF(AND($A20=""),"",IF(EXACT($C20,"Conf"),IF(ISNA(MATCH(1,INDEX(EXACT('Cobertura por asignatura'!$A$4:$A$27,$B20)*1*((('Cobertura por asignatura'!$A$4:$A$27&lt;&gt;""))&gt;0),0),0)),0,IF(ISBLANK(INDEX('Cobertura por asignatura'!$D$4:$D$27,MATCH(1,INDEX(EXACT('Cobertura por asignatura'!$A$4:$A$27,$B20)*1*((('Cobertura por asignatura'!$A$4:$A$27&lt;&gt;""))&gt;0),0),0))),"",INDEX('Cobertura por asignatura'!$D$4:$D$27,MATCH(1,INDEX(EXACT('Cobertura por asignatura'!$A$4:$A$27,$B20)*1*((('Cobertura por asignatura'!$A$4:$A$27&lt;&gt;""))&gt;0),0),0)))),IF(ISNA(MATCH(1,INDEX(EXACT('Cobertura por asignatura'!$A$4:$A$27,$B20)*1*((('Cobertura por asignatura'!$A$4:$A$27&lt;&gt;""))&gt;0),0),0)),0,IF(ISBLANK(INDEX('Cobertura por asignatura'!$E$4:$E$27,MATCH(1,INDEX(EXACT('Cobertura por asignatura'!$A$4:$A$27,$B20)*1*((('Cobertura por asignatura'!$A$4:$A$27&lt;&gt;""))&gt;0),0),0))),"",INDEX('Cobertura por asignatura'!$E$4:$E$27,MATCH(1,INDEX(EXACT('Cobertura por asignatura'!$A$4:$A$27,$B20)*1*((('Cobertura por asignatura'!$A$4:$A$27&lt;&gt;""))&gt;0),0),0))))))</f>
        <v/>
      </c>
      <c r="H20" s="3">
        <f>IF(AND($A20=""),"",IF(ISNA(MATCH(1,INDEX(EXACT('Carga por profesor'!$A$4:$A$27,$E20)*1*((('Carga por profesor'!$A$4:$A$27&lt;&gt;""))&gt;0),0),0)),"",IF(ISBLANK(INDEX('Carga por profesor'!$B$4:$B$27,MATCH(1,INDEX(EXACT('Carga por profesor'!$A$4:$A$27,$E20)*1*((('Carga por profesor'!$A$4:$A$27&lt;&gt;""))&gt;0),0),0))),"",INDEX('Carga por profesor'!$B$4:$B$27,MATCH(1,INDEX(EXACT('Carga por profesor'!$A$4:$A$27,$E20)*1*((('Carga por profesor'!$A$4:$A$27&lt;&gt;""))&gt;0),0),0)))))</f>
        <v/>
      </c>
      <c r="I20" s="3">
        <f>IF(AND($A20=""),"",(IF(ISNUMBER($B20),IF($B20=0,"0",ROUND($B20,9-INT(LOG10(ABS($B20))))&amp;""),$B20&amp;"")&amp;" "&amp;IF(ISNUMBER($C20),IF($C20=0,"0",ROUND($C20,9-INT(LOG10(ABS($C20))))&amp;""),$C20&amp;"")&amp;" "&amp;IF(ISNUMBER($D20),IF($D20=0,"0",ROUND($D20,9-INT(LOG10(ABS($D20))))&amp;""),$D20&amp;"")))</f>
        <v/>
      </c>
      <c r="J20" s="3">
        <f>IF(AND($A20=""),"",IF(OR(($E20=""),($B20="")),"",IF(ISNA(MATCH(1,INDEX(1*((('Asignacion'!$A$4:$A$34&lt;&gt;""))&gt;0)*(EXACT('Asignacion'!$E$4:$E$34,$E20))*(EXACT('Asignacion'!$B$4:$B$34,$B20)),0),0)),"",IF(ISBLANK(INDEX('Asignacion'!$I$4:$I$34,MATCH(1,INDEX(1*((('Asignacion'!$A$4:$A$34&lt;&gt;""))&gt;0)*(EXACT('Asignacion'!$E$4:$E$34,$E20))*(EXACT('Asignacion'!$B$4:$B$34,$B20)),0),0))),"",INDEX('Asignacion'!$I$4:$I$34,MATCH(1,INDEX(1*((('Asignacion'!$A$4:$A$34&lt;&gt;""))&gt;0)*(EXACT('Asignacion'!$E$4:$E$34,$E20))*(EXACT('Asignacion'!$B$4:$B$34,$B20)),0),0))))))</f>
        <v/>
      </c>
      <c r="K20" s="3">
        <f>IF(AND($A20=""),"",IF(AND(NOT(EXACT($J20,"")),EXACT($J20,$I20)),1,0))</f>
        <v/>
      </c>
      <c r="L20" s="3">
        <f>IF(AND($A20=""),"",MID(IF(AND(NOT(($B20="")),($E20="")),"; "&amp;"Esta fila de carga todavia no tiene profesor",""),3,32767))</f>
        <v/>
      </c>
      <c r="M20" s="3">
        <f>IF(OR(AND(NOT(($B20="")),($E20=""))),2,0)</f>
        <v/>
      </c>
    </row>
    <row r="21">
      <c r="A21" s="4" t="n"/>
      <c r="B21" s="4" t="n"/>
      <c r="C21" s="4" t="n"/>
      <c r="D21" s="4" t="n"/>
      <c r="E21" s="4" t="n"/>
      <c r="F21" s="3">
        <f>IF(AND($A21=""),"",IF(ISNA(MATCH(1,INDEX(EXACT('Cobertura por asignatura'!$A$4:$A$27,$B21)*1*((('Cobertura por asignatura'!$A$4:$A$27&lt;&gt;""))&gt;0),0),0)),"",IF(ISBLANK(INDEX('Cobertura por asignatura'!$B$4:$B$27,MATCH(1,INDEX(EXACT('Cobertura por asignatura'!$A$4:$A$27,$B21)*1*((('Cobertura por asignatura'!$A$4:$A$27&lt;&gt;""))&gt;0),0),0))),"",INDEX('Cobertura por asignatura'!$B$4:$B$27,MATCH(1,INDEX(EXACT('Cobertura por asignatura'!$A$4:$A$27,$B21)*1*((('Cobertura por asignatura'!$A$4:$A$27&lt;&gt;""))&gt;0),0),0)))))</f>
        <v/>
      </c>
      <c r="G21" s="3">
        <f>IF(AND($A21=""),"",IF(EXACT($C21,"Conf"),IF(ISNA(MATCH(1,INDEX(EXACT('Cobertura por asignatura'!$A$4:$A$27,$B21)*1*((('Cobertura por asignatura'!$A$4:$A$27&lt;&gt;""))&gt;0),0),0)),0,IF(ISBLANK(INDEX('Cobertura por asignatura'!$D$4:$D$27,MATCH(1,INDEX(EXACT('Cobertura por asignatura'!$A$4:$A$27,$B21)*1*((('Cobertura por asignatura'!$A$4:$A$27&lt;&gt;""))&gt;0),0),0))),"",INDEX('Cobertura por asignatura'!$D$4:$D$27,MATCH(1,INDEX(EXACT('Cobertura por asignatura'!$A$4:$A$27,$B21)*1*((('Cobertura por asignatura'!$A$4:$A$27&lt;&gt;""))&gt;0),0),0)))),IF(ISNA(MATCH(1,INDEX(EXACT('Cobertura por asignatura'!$A$4:$A$27,$B21)*1*((('Cobertura por asignatura'!$A$4:$A$27&lt;&gt;""))&gt;0),0),0)),0,IF(ISBLANK(INDEX('Cobertura por asignatura'!$E$4:$E$27,MATCH(1,INDEX(EXACT('Cobertura por asignatura'!$A$4:$A$27,$B21)*1*((('Cobertura por asignatura'!$A$4:$A$27&lt;&gt;""))&gt;0),0),0))),"",INDEX('Cobertura por asignatura'!$E$4:$E$27,MATCH(1,INDEX(EXACT('Cobertura por asignatura'!$A$4:$A$27,$B21)*1*((('Cobertura por asignatura'!$A$4:$A$27&lt;&gt;""))&gt;0),0),0))))))</f>
        <v/>
      </c>
      <c r="H21" s="3">
        <f>IF(AND($A21=""),"",IF(ISNA(MATCH(1,INDEX(EXACT('Carga por profesor'!$A$4:$A$27,$E21)*1*((('Carga por profesor'!$A$4:$A$27&lt;&gt;""))&gt;0),0),0)),"",IF(ISBLANK(INDEX('Carga por profesor'!$B$4:$B$27,MATCH(1,INDEX(EXACT('Carga por profesor'!$A$4:$A$27,$E21)*1*((('Carga por profesor'!$A$4:$A$27&lt;&gt;""))&gt;0),0),0))),"",INDEX('Carga por profesor'!$B$4:$B$27,MATCH(1,INDEX(EXACT('Carga por profesor'!$A$4:$A$27,$E21)*1*((('Carga por profesor'!$A$4:$A$27&lt;&gt;""))&gt;0),0),0)))))</f>
        <v/>
      </c>
      <c r="I21" s="3">
        <f>IF(AND($A21=""),"",(IF(ISNUMBER($B21),IF($B21=0,"0",ROUND($B21,9-INT(LOG10(ABS($B21))))&amp;""),$B21&amp;"")&amp;" "&amp;IF(ISNUMBER($C21),IF($C21=0,"0",ROUND($C21,9-INT(LOG10(ABS($C21))))&amp;""),$C21&amp;"")&amp;" "&amp;IF(ISNUMBER($D21),IF($D21=0,"0",ROUND($D21,9-INT(LOG10(ABS($D21))))&amp;""),$D21&amp;"")))</f>
        <v/>
      </c>
      <c r="J21" s="3">
        <f>IF(AND($A21=""),"",IF(OR(($E21=""),($B21="")),"",IF(ISNA(MATCH(1,INDEX(1*((('Asignacion'!$A$4:$A$34&lt;&gt;""))&gt;0)*(EXACT('Asignacion'!$E$4:$E$34,$E21))*(EXACT('Asignacion'!$B$4:$B$34,$B21)),0),0)),"",IF(ISBLANK(INDEX('Asignacion'!$I$4:$I$34,MATCH(1,INDEX(1*((('Asignacion'!$A$4:$A$34&lt;&gt;""))&gt;0)*(EXACT('Asignacion'!$E$4:$E$34,$E21))*(EXACT('Asignacion'!$B$4:$B$34,$B21)),0),0))),"",INDEX('Asignacion'!$I$4:$I$34,MATCH(1,INDEX(1*((('Asignacion'!$A$4:$A$34&lt;&gt;""))&gt;0)*(EXACT('Asignacion'!$E$4:$E$34,$E21))*(EXACT('Asignacion'!$B$4:$B$34,$B21)),0),0))))))</f>
        <v/>
      </c>
      <c r="K21" s="3">
        <f>IF(AND($A21=""),"",IF(AND(NOT(EXACT($J21,"")),EXACT($J21,$I21)),1,0))</f>
        <v/>
      </c>
      <c r="L21" s="3">
        <f>IF(AND($A21=""),"",MID(IF(AND(NOT(($B21="")),($E21="")),"; "&amp;"Esta fila de carga todavia no tiene profesor",""),3,32767))</f>
        <v/>
      </c>
      <c r="M21" s="3">
        <f>IF(OR(AND(NOT(($B21="")),($E21=""))),2,0)</f>
        <v/>
      </c>
    </row>
    <row r="22">
      <c r="A22" s="4" t="n"/>
      <c r="B22" s="4" t="n"/>
      <c r="C22" s="4" t="n"/>
      <c r="D22" s="4" t="n"/>
      <c r="E22" s="4" t="n"/>
      <c r="F22" s="3">
        <f>IF(AND($A22=""),"",IF(ISNA(MATCH(1,INDEX(EXACT('Cobertura por asignatura'!$A$4:$A$27,$B22)*1*((('Cobertura por asignatura'!$A$4:$A$27&lt;&gt;""))&gt;0),0),0)),"",IF(ISBLANK(INDEX('Cobertura por asignatura'!$B$4:$B$27,MATCH(1,INDEX(EXACT('Cobertura por asignatura'!$A$4:$A$27,$B22)*1*((('Cobertura por asignatura'!$A$4:$A$27&lt;&gt;""))&gt;0),0),0))),"",INDEX('Cobertura por asignatura'!$B$4:$B$27,MATCH(1,INDEX(EXACT('Cobertura por asignatura'!$A$4:$A$27,$B22)*1*((('Cobertura por asignatura'!$A$4:$A$27&lt;&gt;""))&gt;0),0),0)))))</f>
        <v/>
      </c>
      <c r="G22" s="3">
        <f>IF(AND($A22=""),"",IF(EXACT($C22,"Conf"),IF(ISNA(MATCH(1,INDEX(EXACT('Cobertura por asignatura'!$A$4:$A$27,$B22)*1*((('Cobertura por asignatura'!$A$4:$A$27&lt;&gt;""))&gt;0),0),0)),0,IF(ISBLANK(INDEX('Cobertura por asignatura'!$D$4:$D$27,MATCH(1,INDEX(EXACT('Cobertura por asignatura'!$A$4:$A$27,$B22)*1*((('Cobertura por asignatura'!$A$4:$A$27&lt;&gt;""))&gt;0),0),0))),"",INDEX('Cobertura por asignatura'!$D$4:$D$27,MATCH(1,INDEX(EXACT('Cobertura por asignatura'!$A$4:$A$27,$B22)*1*((('Cobertura por asignatura'!$A$4:$A$27&lt;&gt;""))&gt;0),0),0)))),IF(ISNA(MATCH(1,INDEX(EXACT('Cobertura por asignatura'!$A$4:$A$27,$B22)*1*((('Cobertura por asignatura'!$A$4:$A$27&lt;&gt;""))&gt;0),0),0)),0,IF(ISBLANK(INDEX('Cobertura por asignatura'!$E$4:$E$27,MATCH(1,INDEX(EXACT('Cobertura por asignatura'!$A$4:$A$27,$B22)*1*((('Cobertura por asignatura'!$A$4:$A$27&lt;&gt;""))&gt;0),0),0))),"",INDEX('Cobertura por asignatura'!$E$4:$E$27,MATCH(1,INDEX(EXACT('Cobertura por asignatura'!$A$4:$A$27,$B22)*1*((('Cobertura por asignatura'!$A$4:$A$27&lt;&gt;""))&gt;0),0),0))))))</f>
        <v/>
      </c>
      <c r="H22" s="3">
        <f>IF(AND($A22=""),"",IF(ISNA(MATCH(1,INDEX(EXACT('Carga por profesor'!$A$4:$A$27,$E22)*1*((('Carga por profesor'!$A$4:$A$27&lt;&gt;""))&gt;0),0),0)),"",IF(ISBLANK(INDEX('Carga por profesor'!$B$4:$B$27,MATCH(1,INDEX(EXACT('Carga por profesor'!$A$4:$A$27,$E22)*1*((('Carga por profesor'!$A$4:$A$27&lt;&gt;""))&gt;0),0),0))),"",INDEX('Carga por profesor'!$B$4:$B$27,MATCH(1,INDEX(EXACT('Carga por profesor'!$A$4:$A$27,$E22)*1*((('Carga por profesor'!$A$4:$A$27&lt;&gt;""))&gt;0),0),0)))))</f>
        <v/>
      </c>
      <c r="I22" s="3">
        <f>IF(AND($A22=""),"",(IF(ISNUMBER($B22),IF($B22=0,"0",ROUND($B22,9-INT(LOG10(ABS($B22))))&amp;""),$B22&amp;"")&amp;" "&amp;IF(ISNUMBER($C22),IF($C22=0,"0",ROUND($C22,9-INT(LOG10(ABS($C22))))&amp;""),$C22&amp;"")&amp;" "&amp;IF(ISNUMBER($D22),IF($D22=0,"0",ROUND($D22,9-INT(LOG10(ABS($D22))))&amp;""),$D22&amp;"")))</f>
        <v/>
      </c>
      <c r="J22" s="3">
        <f>IF(AND($A22=""),"",IF(OR(($E22=""),($B22="")),"",IF(ISNA(MATCH(1,INDEX(1*((('Asignacion'!$A$4:$A$34&lt;&gt;""))&gt;0)*(EXACT('Asignacion'!$E$4:$E$34,$E22))*(EXACT('Asignacion'!$B$4:$B$34,$B22)),0),0)),"",IF(ISBLANK(INDEX('Asignacion'!$I$4:$I$34,MATCH(1,INDEX(1*((('Asignacion'!$A$4:$A$34&lt;&gt;""))&gt;0)*(EXACT('Asignacion'!$E$4:$E$34,$E22))*(EXACT('Asignacion'!$B$4:$B$34,$B22)),0),0))),"",INDEX('Asignacion'!$I$4:$I$34,MATCH(1,INDEX(1*((('Asignacion'!$A$4:$A$34&lt;&gt;""))&gt;0)*(EXACT('Asignacion'!$E$4:$E$34,$E22))*(EXACT('Asignacion'!$B$4:$B$34,$B22)),0),0))))))</f>
        <v/>
      </c>
      <c r="K22" s="3">
        <f>IF(AND($A22=""),"",IF(AND(NOT(EXACT($J22,"")),EXACT($J22,$I22)),1,0))</f>
        <v/>
      </c>
      <c r="L22" s="3">
        <f>IF(AND($A22=""),"",MID(IF(AND(NOT(($B22="")),($E22="")),"; "&amp;"Esta fila de carga todavia no tiene profesor",""),3,32767))</f>
        <v/>
      </c>
      <c r="M22" s="3">
        <f>IF(OR(AND(NOT(($B22="")),($E22=""))),2,0)</f>
        <v/>
      </c>
    </row>
    <row r="23">
      <c r="A23" s="4" t="n"/>
      <c r="B23" s="4" t="n"/>
      <c r="C23" s="4" t="n"/>
      <c r="D23" s="4" t="n"/>
      <c r="E23" s="4" t="n"/>
      <c r="F23" s="3">
        <f>IF(AND($A23=""),"",IF(ISNA(MATCH(1,INDEX(EXACT('Cobertura por asignatura'!$A$4:$A$27,$B23)*1*((('Cobertura por asignatura'!$A$4:$A$27&lt;&gt;""))&gt;0),0),0)),"",IF(ISBLANK(INDEX('Cobertura por asignatura'!$B$4:$B$27,MATCH(1,INDEX(EXACT('Cobertura por asignatura'!$A$4:$A$27,$B23)*1*((('Cobertura por asignatura'!$A$4:$A$27&lt;&gt;""))&gt;0),0),0))),"",INDEX('Cobertura por asignatura'!$B$4:$B$27,MATCH(1,INDEX(EXACT('Cobertura por asignatura'!$A$4:$A$27,$B23)*1*((('Cobertura por asignatura'!$A$4:$A$27&lt;&gt;""))&gt;0),0),0)))))</f>
        <v/>
      </c>
      <c r="G23" s="3">
        <f>IF(AND($A23=""),"",IF(EXACT($C23,"Conf"),IF(ISNA(MATCH(1,INDEX(EXACT('Cobertura por asignatura'!$A$4:$A$27,$B23)*1*((('Cobertura por asignatura'!$A$4:$A$27&lt;&gt;""))&gt;0),0),0)),0,IF(ISBLANK(INDEX('Cobertura por asignatura'!$D$4:$D$27,MATCH(1,INDEX(EXACT('Cobertura por asignatura'!$A$4:$A$27,$B23)*1*((('Cobertura por asignatura'!$A$4:$A$27&lt;&gt;""))&gt;0),0),0))),"",INDEX('Cobertura por asignatura'!$D$4:$D$27,MATCH(1,INDEX(EXACT('Cobertura por asignatura'!$A$4:$A$27,$B23)*1*((('Cobertura por asignatura'!$A$4:$A$27&lt;&gt;""))&gt;0),0),0)))),IF(ISNA(MATCH(1,INDEX(EXACT('Cobertura por asignatura'!$A$4:$A$27,$B23)*1*((('Cobertura por asignatura'!$A$4:$A$27&lt;&gt;""))&gt;0),0),0)),0,IF(ISBLANK(INDEX('Cobertura por asignatura'!$E$4:$E$27,MATCH(1,INDEX(EXACT('Cobertura por asignatura'!$A$4:$A$27,$B23)*1*((('Cobertura por asignatura'!$A$4:$A$27&lt;&gt;""))&gt;0),0),0))),"",INDEX('Cobertura por asignatura'!$E$4:$E$27,MATCH(1,INDEX(EXACT('Cobertura por asignatura'!$A$4:$A$27,$B23)*1*((('Cobertura por asignatura'!$A$4:$A$27&lt;&gt;""))&gt;0),0),0))))))</f>
        <v/>
      </c>
      <c r="H23" s="3">
        <f>IF(AND($A23=""),"",IF(ISNA(MATCH(1,INDEX(EXACT('Carga por profesor'!$A$4:$A$27,$E23)*1*((('Carga por profesor'!$A$4:$A$27&lt;&gt;""))&gt;0),0),0)),"",IF(ISBLANK(INDEX('Carga por profesor'!$B$4:$B$27,MATCH(1,INDEX(EXACT('Carga por profesor'!$A$4:$A$27,$E23)*1*((('Carga por profesor'!$A$4:$A$27&lt;&gt;""))&gt;0),0),0))),"",INDEX('Carga por profesor'!$B$4:$B$27,MATCH(1,INDEX(EXACT('Carga por profesor'!$A$4:$A$27,$E23)*1*((('Carga por profesor'!$A$4:$A$27&lt;&gt;""))&gt;0),0),0)))))</f>
        <v/>
      </c>
      <c r="I23" s="3">
        <f>IF(AND($A23=""),"",(IF(ISNUMBER($B23),IF($B23=0,"0",ROUND($B23,9-INT(LOG10(ABS($B23))))&amp;""),$B23&amp;"")&amp;" "&amp;IF(ISNUMBER($C23),IF($C23=0,"0",ROUND($C23,9-INT(LOG10(ABS($C23))))&amp;""),$C23&amp;"")&amp;" "&amp;IF(ISNUMBER($D23),IF($D23=0,"0",ROUND($D23,9-INT(LOG10(ABS($D23))))&amp;""),$D23&amp;"")))</f>
        <v/>
      </c>
      <c r="J23" s="3">
        <f>IF(AND($A23=""),"",IF(OR(($E23=""),($B23="")),"",IF(ISNA(MATCH(1,INDEX(1*((('Asignacion'!$A$4:$A$34&lt;&gt;""))&gt;0)*(EXACT('Asignacion'!$E$4:$E$34,$E23))*(EXACT('Asignacion'!$B$4:$B$34,$B23)),0),0)),"",IF(ISBLANK(INDEX('Asignacion'!$I$4:$I$34,MATCH(1,INDEX(1*((('Asignacion'!$A$4:$A$34&lt;&gt;""))&gt;0)*(EXACT('Asignacion'!$E$4:$E$34,$E23))*(EXACT('Asignacion'!$B$4:$B$34,$B23)),0),0))),"",INDEX('Asignacion'!$I$4:$I$34,MATCH(1,INDEX(1*((('Asignacion'!$A$4:$A$34&lt;&gt;""))&gt;0)*(EXACT('Asignacion'!$E$4:$E$34,$E23))*(EXACT('Asignacion'!$B$4:$B$34,$B23)),0),0))))))</f>
        <v/>
      </c>
      <c r="K23" s="3">
        <f>IF(AND($A23=""),"",IF(AND(NOT(EXACT($J23,"")),EXACT($J23,$I23)),1,0))</f>
        <v/>
      </c>
      <c r="L23" s="3">
        <f>IF(AND($A23=""),"",MID(IF(AND(NOT(($B23="")),($E23="")),"; "&amp;"Esta fila de carga todavia no tiene profesor",""),3,32767))</f>
        <v/>
      </c>
      <c r="M23" s="3">
        <f>IF(OR(AND(NOT(($B23="")),($E23=""))),2,0)</f>
        <v/>
      </c>
    </row>
    <row r="24">
      <c r="A24" s="4" t="n"/>
      <c r="B24" s="4" t="n"/>
      <c r="C24" s="4" t="n"/>
      <c r="D24" s="4" t="n"/>
      <c r="E24" s="4" t="n"/>
      <c r="F24" s="3">
        <f>IF(AND($A24=""),"",IF(ISNA(MATCH(1,INDEX(EXACT('Cobertura por asignatura'!$A$4:$A$27,$B24)*1*((('Cobertura por asignatura'!$A$4:$A$27&lt;&gt;""))&gt;0),0),0)),"",IF(ISBLANK(INDEX('Cobertura por asignatura'!$B$4:$B$27,MATCH(1,INDEX(EXACT('Cobertura por asignatura'!$A$4:$A$27,$B24)*1*((('Cobertura por asignatura'!$A$4:$A$27&lt;&gt;""))&gt;0),0),0))),"",INDEX('Cobertura por asignatura'!$B$4:$B$27,MATCH(1,INDEX(EXACT('Cobertura por asignatura'!$A$4:$A$27,$B24)*1*((('Cobertura por asignatura'!$A$4:$A$27&lt;&gt;""))&gt;0),0),0)))))</f>
        <v/>
      </c>
      <c r="G24" s="3">
        <f>IF(AND($A24=""),"",IF(EXACT($C24,"Conf"),IF(ISNA(MATCH(1,INDEX(EXACT('Cobertura por asignatura'!$A$4:$A$27,$B24)*1*((('Cobertura por asignatura'!$A$4:$A$27&lt;&gt;""))&gt;0),0),0)),0,IF(ISBLANK(INDEX('Cobertura por asignatura'!$D$4:$D$27,MATCH(1,INDEX(EXACT('Cobertura por asignatura'!$A$4:$A$27,$B24)*1*((('Cobertura por asignatura'!$A$4:$A$27&lt;&gt;""))&gt;0),0),0))),"",INDEX('Cobertura por asignatura'!$D$4:$D$27,MATCH(1,INDEX(EXACT('Cobertura por asignatura'!$A$4:$A$27,$B24)*1*((('Cobertura por asignatura'!$A$4:$A$27&lt;&gt;""))&gt;0),0),0)))),IF(ISNA(MATCH(1,INDEX(EXACT('Cobertura por asignatura'!$A$4:$A$27,$B24)*1*((('Cobertura por asignatura'!$A$4:$A$27&lt;&gt;""))&gt;0),0),0)),0,IF(ISBLANK(INDEX('Cobertura por asignatura'!$E$4:$E$27,MATCH(1,INDEX(EXACT('Cobertura por asignatura'!$A$4:$A$27,$B24)*1*((('Cobertura por asignatura'!$A$4:$A$27&lt;&gt;""))&gt;0),0),0))),"",INDEX('Cobertura por asignatura'!$E$4:$E$27,MATCH(1,INDEX(EXACT('Cobertura por asignatura'!$A$4:$A$27,$B24)*1*((('Cobertura por asignatura'!$A$4:$A$27&lt;&gt;""))&gt;0),0),0))))))</f>
        <v/>
      </c>
      <c r="H24" s="3">
        <f>IF(AND($A24=""),"",IF(ISNA(MATCH(1,INDEX(EXACT('Carga por profesor'!$A$4:$A$27,$E24)*1*((('Carga por profesor'!$A$4:$A$27&lt;&gt;""))&gt;0),0),0)),"",IF(ISBLANK(INDEX('Carga por profesor'!$B$4:$B$27,MATCH(1,INDEX(EXACT('Carga por profesor'!$A$4:$A$27,$E24)*1*((('Carga por profesor'!$A$4:$A$27&lt;&gt;""))&gt;0),0),0))),"",INDEX('Carga por profesor'!$B$4:$B$27,MATCH(1,INDEX(EXACT('Carga por profesor'!$A$4:$A$27,$E24)*1*((('Carga por profesor'!$A$4:$A$27&lt;&gt;""))&gt;0),0),0)))))</f>
        <v/>
      </c>
      <c r="I24" s="3">
        <f>IF(AND($A24=""),"",(IF(ISNUMBER($B24),IF($B24=0,"0",ROUND($B24,9-INT(LOG10(ABS($B24))))&amp;""),$B24&amp;"")&amp;" "&amp;IF(ISNUMBER($C24),IF($C24=0,"0",ROUND($C24,9-INT(LOG10(ABS($C24))))&amp;""),$C24&amp;"")&amp;" "&amp;IF(ISNUMBER($D24),IF($D24=0,"0",ROUND($D24,9-INT(LOG10(ABS($D24))))&amp;""),$D24&amp;"")))</f>
        <v/>
      </c>
      <c r="J24" s="3">
        <f>IF(AND($A24=""),"",IF(OR(($E24=""),($B24="")),"",IF(ISNA(MATCH(1,INDEX(1*((('Asignacion'!$A$4:$A$34&lt;&gt;""))&gt;0)*(EXACT('Asignacion'!$E$4:$E$34,$E24))*(EXACT('Asignacion'!$B$4:$B$34,$B24)),0),0)),"",IF(ISBLANK(INDEX('Asignacion'!$I$4:$I$34,MATCH(1,INDEX(1*((('Asignacion'!$A$4:$A$34&lt;&gt;""))&gt;0)*(EXACT('Asignacion'!$E$4:$E$34,$E24))*(EXACT('Asignacion'!$B$4:$B$34,$B24)),0),0))),"",INDEX('Asignacion'!$I$4:$I$34,MATCH(1,INDEX(1*((('Asignacion'!$A$4:$A$34&lt;&gt;""))&gt;0)*(EXACT('Asignacion'!$E$4:$E$34,$E24))*(EXACT('Asignacion'!$B$4:$B$34,$B24)),0),0))))))</f>
        <v/>
      </c>
      <c r="K24" s="3">
        <f>IF(AND($A24=""),"",IF(AND(NOT(EXACT($J24,"")),EXACT($J24,$I24)),1,0))</f>
        <v/>
      </c>
      <c r="L24" s="3">
        <f>IF(AND($A24=""),"",MID(IF(AND(NOT(($B24="")),($E24="")),"; "&amp;"Esta fila de carga todavia no tiene profesor",""),3,32767))</f>
        <v/>
      </c>
      <c r="M24" s="3">
        <f>IF(OR(AND(NOT(($B24="")),($E24=""))),2,0)</f>
        <v/>
      </c>
    </row>
    <row r="25">
      <c r="A25" s="4" t="n"/>
      <c r="B25" s="4" t="n"/>
      <c r="C25" s="4" t="n"/>
      <c r="D25" s="4" t="n"/>
      <c r="E25" s="4" t="n"/>
      <c r="F25" s="3">
        <f>IF(AND($A25=""),"",IF(ISNA(MATCH(1,INDEX(EXACT('Cobertura por asignatura'!$A$4:$A$27,$B25)*1*((('Cobertura por asignatura'!$A$4:$A$27&lt;&gt;""))&gt;0),0),0)),"",IF(ISBLANK(INDEX('Cobertura por asignatura'!$B$4:$B$27,MATCH(1,INDEX(EXACT('Cobertura por asignatura'!$A$4:$A$27,$B25)*1*((('Cobertura por asignatura'!$A$4:$A$27&lt;&gt;""))&gt;0),0),0))),"",INDEX('Cobertura por asignatura'!$B$4:$B$27,MATCH(1,INDEX(EXACT('Cobertura por asignatura'!$A$4:$A$27,$B25)*1*((('Cobertura por asignatura'!$A$4:$A$27&lt;&gt;""))&gt;0),0),0)))))</f>
        <v/>
      </c>
      <c r="G25" s="3">
        <f>IF(AND($A25=""),"",IF(EXACT($C25,"Conf"),IF(ISNA(MATCH(1,INDEX(EXACT('Cobertura por asignatura'!$A$4:$A$27,$B25)*1*((('Cobertura por asignatura'!$A$4:$A$27&lt;&gt;""))&gt;0),0),0)),0,IF(ISBLANK(INDEX('Cobertura por asignatura'!$D$4:$D$27,MATCH(1,INDEX(EXACT('Cobertura por asignatura'!$A$4:$A$27,$B25)*1*((('Cobertura por asignatura'!$A$4:$A$27&lt;&gt;""))&gt;0),0),0))),"",INDEX('Cobertura por asignatura'!$D$4:$D$27,MATCH(1,INDEX(EXACT('Cobertura por asignatura'!$A$4:$A$27,$B25)*1*((('Cobertura por asignatura'!$A$4:$A$27&lt;&gt;""))&gt;0),0),0)))),IF(ISNA(MATCH(1,INDEX(EXACT('Cobertura por asignatura'!$A$4:$A$27,$B25)*1*((('Cobertura por asignatura'!$A$4:$A$27&lt;&gt;""))&gt;0),0),0)),0,IF(ISBLANK(INDEX('Cobertura por asignatura'!$E$4:$E$27,MATCH(1,INDEX(EXACT('Cobertura por asignatura'!$A$4:$A$27,$B25)*1*((('Cobertura por asignatura'!$A$4:$A$27&lt;&gt;""))&gt;0),0),0))),"",INDEX('Cobertura por asignatura'!$E$4:$E$27,MATCH(1,INDEX(EXACT('Cobertura por asignatura'!$A$4:$A$27,$B25)*1*((('Cobertura por asignatura'!$A$4:$A$27&lt;&gt;""))&gt;0),0),0))))))</f>
        <v/>
      </c>
      <c r="H25" s="3">
        <f>IF(AND($A25=""),"",IF(ISNA(MATCH(1,INDEX(EXACT('Carga por profesor'!$A$4:$A$27,$E25)*1*((('Carga por profesor'!$A$4:$A$27&lt;&gt;""))&gt;0),0),0)),"",IF(ISBLANK(INDEX('Carga por profesor'!$B$4:$B$27,MATCH(1,INDEX(EXACT('Carga por profesor'!$A$4:$A$27,$E25)*1*((('Carga por profesor'!$A$4:$A$27&lt;&gt;""))&gt;0),0),0))),"",INDEX('Carga por profesor'!$B$4:$B$27,MATCH(1,INDEX(EXACT('Carga por profesor'!$A$4:$A$27,$E25)*1*((('Carga por profesor'!$A$4:$A$27&lt;&gt;""))&gt;0),0),0)))))</f>
        <v/>
      </c>
      <c r="I25" s="3">
        <f>IF(AND($A25=""),"",(IF(ISNUMBER($B25),IF($B25=0,"0",ROUND($B25,9-INT(LOG10(ABS($B25))))&amp;""),$B25&amp;"")&amp;" "&amp;IF(ISNUMBER($C25),IF($C25=0,"0",ROUND($C25,9-INT(LOG10(ABS($C25))))&amp;""),$C25&amp;"")&amp;" "&amp;IF(ISNUMBER($D25),IF($D25=0,"0",ROUND($D25,9-INT(LOG10(ABS($D25))))&amp;""),$D25&amp;"")))</f>
        <v/>
      </c>
      <c r="J25" s="3">
        <f>IF(AND($A25=""),"",IF(OR(($E25=""),($B25="")),"",IF(ISNA(MATCH(1,INDEX(1*((('Asignacion'!$A$4:$A$34&lt;&gt;""))&gt;0)*(EXACT('Asignacion'!$E$4:$E$34,$E25))*(EXACT('Asignacion'!$B$4:$B$34,$B25)),0),0)),"",IF(ISBLANK(INDEX('Asignacion'!$I$4:$I$34,MATCH(1,INDEX(1*((('Asignacion'!$A$4:$A$34&lt;&gt;""))&gt;0)*(EXACT('Asignacion'!$E$4:$E$34,$E25))*(EXACT('Asignacion'!$B$4:$B$34,$B25)),0),0))),"",INDEX('Asignacion'!$I$4:$I$34,MATCH(1,INDEX(1*((('Asignacion'!$A$4:$A$34&lt;&gt;""))&gt;0)*(EXACT('Asignacion'!$E$4:$E$34,$E25))*(EXACT('Asignacion'!$B$4:$B$34,$B25)),0),0))))))</f>
        <v/>
      </c>
      <c r="K25" s="3">
        <f>IF(AND($A25=""),"",IF(AND(NOT(EXACT($J25,"")),EXACT($J25,$I25)),1,0))</f>
        <v/>
      </c>
      <c r="L25" s="3">
        <f>IF(AND($A25=""),"",MID(IF(AND(NOT(($B25="")),($E25="")),"; "&amp;"Esta fila de carga todavia no tiene profesor",""),3,32767))</f>
        <v/>
      </c>
      <c r="M25" s="3">
        <f>IF(OR(AND(NOT(($B25="")),($E25=""))),2,0)</f>
        <v/>
      </c>
    </row>
    <row r="26">
      <c r="A26" s="4" t="n"/>
      <c r="B26" s="4" t="n"/>
      <c r="C26" s="4" t="n"/>
      <c r="D26" s="4" t="n"/>
      <c r="E26" s="4" t="n"/>
      <c r="F26" s="3">
        <f>IF(AND($A26=""),"",IF(ISNA(MATCH(1,INDEX(EXACT('Cobertura por asignatura'!$A$4:$A$27,$B26)*1*((('Cobertura por asignatura'!$A$4:$A$27&lt;&gt;""))&gt;0),0),0)),"",IF(ISBLANK(INDEX('Cobertura por asignatura'!$B$4:$B$27,MATCH(1,INDEX(EXACT('Cobertura por asignatura'!$A$4:$A$27,$B26)*1*((('Cobertura por asignatura'!$A$4:$A$27&lt;&gt;""))&gt;0),0),0))),"",INDEX('Cobertura por asignatura'!$B$4:$B$27,MATCH(1,INDEX(EXACT('Cobertura por asignatura'!$A$4:$A$27,$B26)*1*((('Cobertura por asignatura'!$A$4:$A$27&lt;&gt;""))&gt;0),0),0)))))</f>
        <v/>
      </c>
      <c r="G26" s="3">
        <f>IF(AND($A26=""),"",IF(EXACT($C26,"Conf"),IF(ISNA(MATCH(1,INDEX(EXACT('Cobertura por asignatura'!$A$4:$A$27,$B26)*1*((('Cobertura por asignatura'!$A$4:$A$27&lt;&gt;""))&gt;0),0),0)),0,IF(ISBLANK(INDEX('Cobertura por asignatura'!$D$4:$D$27,MATCH(1,INDEX(EXACT('Cobertura por asignatura'!$A$4:$A$27,$B26)*1*((('Cobertura por asignatura'!$A$4:$A$27&lt;&gt;""))&gt;0),0),0))),"",INDEX('Cobertura por asignatura'!$D$4:$D$27,MATCH(1,INDEX(EXACT('Cobertura por asignatura'!$A$4:$A$27,$B26)*1*((('Cobertura por asignatura'!$A$4:$A$27&lt;&gt;""))&gt;0),0),0)))),IF(ISNA(MATCH(1,INDEX(EXACT('Cobertura por asignatura'!$A$4:$A$27,$B26)*1*((('Cobertura por asignatura'!$A$4:$A$27&lt;&gt;""))&gt;0),0),0)),0,IF(ISBLANK(INDEX('Cobertura por asignatura'!$E$4:$E$27,MATCH(1,INDEX(EXACT('Cobertura por asignatura'!$A$4:$A$27,$B26)*1*((('Cobertura por asignatura'!$A$4:$A$27&lt;&gt;""))&gt;0),0),0))),"",INDEX('Cobertura por asignatura'!$E$4:$E$27,MATCH(1,INDEX(EXACT('Cobertura por asignatura'!$A$4:$A$27,$B26)*1*((('Cobertura por asignatura'!$A$4:$A$27&lt;&gt;""))&gt;0),0),0))))))</f>
        <v/>
      </c>
      <c r="H26" s="3">
        <f>IF(AND($A26=""),"",IF(ISNA(MATCH(1,INDEX(EXACT('Carga por profesor'!$A$4:$A$27,$E26)*1*((('Carga por profesor'!$A$4:$A$27&lt;&gt;""))&gt;0),0),0)),"",IF(ISBLANK(INDEX('Carga por profesor'!$B$4:$B$27,MATCH(1,INDEX(EXACT('Carga por profesor'!$A$4:$A$27,$E26)*1*((('Carga por profesor'!$A$4:$A$27&lt;&gt;""))&gt;0),0),0))),"",INDEX('Carga por profesor'!$B$4:$B$27,MATCH(1,INDEX(EXACT('Carga por profesor'!$A$4:$A$27,$E26)*1*((('Carga por profesor'!$A$4:$A$27&lt;&gt;""))&gt;0),0),0)))))</f>
        <v/>
      </c>
      <c r="I26" s="3">
        <f>IF(AND($A26=""),"",(IF(ISNUMBER($B26),IF($B26=0,"0",ROUND($B26,9-INT(LOG10(ABS($B26))))&amp;""),$B26&amp;"")&amp;" "&amp;IF(ISNUMBER($C26),IF($C26=0,"0",ROUND($C26,9-INT(LOG10(ABS($C26))))&amp;""),$C26&amp;"")&amp;" "&amp;IF(ISNUMBER($D26),IF($D26=0,"0",ROUND($D26,9-INT(LOG10(ABS($D26))))&amp;""),$D26&amp;"")))</f>
        <v/>
      </c>
      <c r="J26" s="3">
        <f>IF(AND($A26=""),"",IF(OR(($E26=""),($B26="")),"",IF(ISNA(MATCH(1,INDEX(1*((('Asignacion'!$A$4:$A$34&lt;&gt;""))&gt;0)*(EXACT('Asignacion'!$E$4:$E$34,$E26))*(EXACT('Asignacion'!$B$4:$B$34,$B26)),0),0)),"",IF(ISBLANK(INDEX('Asignacion'!$I$4:$I$34,MATCH(1,INDEX(1*((('Asignacion'!$A$4:$A$34&lt;&gt;""))&gt;0)*(EXACT('Asignacion'!$E$4:$E$34,$E26))*(EXACT('Asignacion'!$B$4:$B$34,$B26)),0),0))),"",INDEX('Asignacion'!$I$4:$I$34,MATCH(1,INDEX(1*((('Asignacion'!$A$4:$A$34&lt;&gt;""))&gt;0)*(EXACT('Asignacion'!$E$4:$E$34,$E26))*(EXACT('Asignacion'!$B$4:$B$34,$B26)),0),0))))))</f>
        <v/>
      </c>
      <c r="K26" s="3">
        <f>IF(AND($A26=""),"",IF(AND(NOT(EXACT($J26,"")),EXACT($J26,$I26)),1,0))</f>
        <v/>
      </c>
      <c r="L26" s="3">
        <f>IF(AND($A26=""),"",MID(IF(AND(NOT(($B26="")),($E26="")),"; "&amp;"Esta fila de carga todavia no tiene profesor",""),3,32767))</f>
        <v/>
      </c>
      <c r="M26" s="3">
        <f>IF(OR(AND(NOT(($B26="")),($E26=""))),2,0)</f>
        <v/>
      </c>
    </row>
    <row r="27">
      <c r="A27" s="4" t="n"/>
      <c r="B27" s="4" t="n"/>
      <c r="C27" s="4" t="n"/>
      <c r="D27" s="4" t="n"/>
      <c r="E27" s="4" t="n"/>
      <c r="F27" s="3">
        <f>IF(AND($A27=""),"",IF(ISNA(MATCH(1,INDEX(EXACT('Cobertura por asignatura'!$A$4:$A$27,$B27)*1*((('Cobertura por asignatura'!$A$4:$A$27&lt;&gt;""))&gt;0),0),0)),"",IF(ISBLANK(INDEX('Cobertura por asignatura'!$B$4:$B$27,MATCH(1,INDEX(EXACT('Cobertura por asignatura'!$A$4:$A$27,$B27)*1*((('Cobertura por asignatura'!$A$4:$A$27&lt;&gt;""))&gt;0),0),0))),"",INDEX('Cobertura por asignatura'!$B$4:$B$27,MATCH(1,INDEX(EXACT('Cobertura por asignatura'!$A$4:$A$27,$B27)*1*((('Cobertura por asignatura'!$A$4:$A$27&lt;&gt;""))&gt;0),0),0)))))</f>
        <v/>
      </c>
      <c r="G27" s="3">
        <f>IF(AND($A27=""),"",IF(EXACT($C27,"Conf"),IF(ISNA(MATCH(1,INDEX(EXACT('Cobertura por asignatura'!$A$4:$A$27,$B27)*1*((('Cobertura por asignatura'!$A$4:$A$27&lt;&gt;""))&gt;0),0),0)),0,IF(ISBLANK(INDEX('Cobertura por asignatura'!$D$4:$D$27,MATCH(1,INDEX(EXACT('Cobertura por asignatura'!$A$4:$A$27,$B27)*1*((('Cobertura por asignatura'!$A$4:$A$27&lt;&gt;""))&gt;0),0),0))),"",INDEX('Cobertura por asignatura'!$D$4:$D$27,MATCH(1,INDEX(EXACT('Cobertura por asignatura'!$A$4:$A$27,$B27)*1*((('Cobertura por asignatura'!$A$4:$A$27&lt;&gt;""))&gt;0),0),0)))),IF(ISNA(MATCH(1,INDEX(EXACT('Cobertura por asignatura'!$A$4:$A$27,$B27)*1*((('Cobertura por asignatura'!$A$4:$A$27&lt;&gt;""))&gt;0),0),0)),0,IF(ISBLANK(INDEX('Cobertura por asignatura'!$E$4:$E$27,MATCH(1,INDEX(EXACT('Cobertura por asignatura'!$A$4:$A$27,$B27)*1*((('Cobertura por asignatura'!$A$4:$A$27&lt;&gt;""))&gt;0),0),0))),"",INDEX('Cobertura por asignatura'!$E$4:$E$27,MATCH(1,INDEX(EXACT('Cobertura por asignatura'!$A$4:$A$27,$B27)*1*((('Cobertura por asignatura'!$A$4:$A$27&lt;&gt;""))&gt;0),0),0))))))</f>
        <v/>
      </c>
      <c r="H27" s="3">
        <f>IF(AND($A27=""),"",IF(ISNA(MATCH(1,INDEX(EXACT('Carga por profesor'!$A$4:$A$27,$E27)*1*((('Carga por profesor'!$A$4:$A$27&lt;&gt;""))&gt;0),0),0)),"",IF(ISBLANK(INDEX('Carga por profesor'!$B$4:$B$27,MATCH(1,INDEX(EXACT('Carga por profesor'!$A$4:$A$27,$E27)*1*((('Carga por profesor'!$A$4:$A$27&lt;&gt;""))&gt;0),0),0))),"",INDEX('Carga por profesor'!$B$4:$B$27,MATCH(1,INDEX(EXACT('Carga por profesor'!$A$4:$A$27,$E27)*1*((('Carga por profesor'!$A$4:$A$27&lt;&gt;""))&gt;0),0),0)))))</f>
        <v/>
      </c>
      <c r="I27" s="3">
        <f>IF(AND($A27=""),"",(IF(ISNUMBER($B27),IF($B27=0,"0",ROUND($B27,9-INT(LOG10(ABS($B27))))&amp;""),$B27&amp;"")&amp;" "&amp;IF(ISNUMBER($C27),IF($C27=0,"0",ROUND($C27,9-INT(LOG10(ABS($C27))))&amp;""),$C27&amp;"")&amp;" "&amp;IF(ISNUMBER($D27),IF($D27=0,"0",ROUND($D27,9-INT(LOG10(ABS($D27))))&amp;""),$D27&amp;"")))</f>
        <v/>
      </c>
      <c r="J27" s="3">
        <f>IF(AND($A27=""),"",IF(OR(($E27=""),($B27="")),"",IF(ISNA(MATCH(1,INDEX(1*((('Asignacion'!$A$4:$A$34&lt;&gt;""))&gt;0)*(EXACT('Asignacion'!$E$4:$E$34,$E27))*(EXACT('Asignacion'!$B$4:$B$34,$B27)),0),0)),"",IF(ISBLANK(INDEX('Asignacion'!$I$4:$I$34,MATCH(1,INDEX(1*((('Asignacion'!$A$4:$A$34&lt;&gt;""))&gt;0)*(EXACT('Asignacion'!$E$4:$E$34,$E27))*(EXACT('Asignacion'!$B$4:$B$34,$B27)),0),0))),"",INDEX('Asignacion'!$I$4:$I$34,MATCH(1,INDEX(1*((('Asignacion'!$A$4:$A$34&lt;&gt;""))&gt;0)*(EXACT('Asignacion'!$E$4:$E$34,$E27))*(EXACT('Asignacion'!$B$4:$B$34,$B27)),0),0))))))</f>
        <v/>
      </c>
      <c r="K27" s="3">
        <f>IF(AND($A27=""),"",IF(AND(NOT(EXACT($J27,"")),EXACT($J27,$I27)),1,0))</f>
        <v/>
      </c>
      <c r="L27" s="3">
        <f>IF(AND($A27=""),"",MID(IF(AND(NOT(($B27="")),($E27="")),"; "&amp;"Esta fila de carga todavia no tiene profesor",""),3,32767))</f>
        <v/>
      </c>
      <c r="M27" s="3">
        <f>IF(OR(AND(NOT(($B27="")),($E27=""))),2,0)</f>
        <v/>
      </c>
    </row>
    <row r="28">
      <c r="A28" s="4" t="n"/>
      <c r="B28" s="4" t="n"/>
      <c r="C28" s="4" t="n"/>
      <c r="D28" s="4" t="n"/>
      <c r="E28" s="4" t="n"/>
      <c r="F28" s="3">
        <f>IF(AND($A28=""),"",IF(ISNA(MATCH(1,INDEX(EXACT('Cobertura por asignatura'!$A$4:$A$27,$B28)*1*((('Cobertura por asignatura'!$A$4:$A$27&lt;&gt;""))&gt;0),0),0)),"",IF(ISBLANK(INDEX('Cobertura por asignatura'!$B$4:$B$27,MATCH(1,INDEX(EXACT('Cobertura por asignatura'!$A$4:$A$27,$B28)*1*((('Cobertura por asignatura'!$A$4:$A$27&lt;&gt;""))&gt;0),0),0))),"",INDEX('Cobertura por asignatura'!$B$4:$B$27,MATCH(1,INDEX(EXACT('Cobertura por asignatura'!$A$4:$A$27,$B28)*1*((('Cobertura por asignatura'!$A$4:$A$27&lt;&gt;""))&gt;0),0),0)))))</f>
        <v/>
      </c>
      <c r="G28" s="3">
        <f>IF(AND($A28=""),"",IF(EXACT($C28,"Conf"),IF(ISNA(MATCH(1,INDEX(EXACT('Cobertura por asignatura'!$A$4:$A$27,$B28)*1*((('Cobertura por asignatura'!$A$4:$A$27&lt;&gt;""))&gt;0),0),0)),0,IF(ISBLANK(INDEX('Cobertura por asignatura'!$D$4:$D$27,MATCH(1,INDEX(EXACT('Cobertura por asignatura'!$A$4:$A$27,$B28)*1*((('Cobertura por asignatura'!$A$4:$A$27&lt;&gt;""))&gt;0),0),0))),"",INDEX('Cobertura por asignatura'!$D$4:$D$27,MATCH(1,INDEX(EXACT('Cobertura por asignatura'!$A$4:$A$27,$B28)*1*((('Cobertura por asignatura'!$A$4:$A$27&lt;&gt;""))&gt;0),0),0)))),IF(ISNA(MATCH(1,INDEX(EXACT('Cobertura por asignatura'!$A$4:$A$27,$B28)*1*((('Cobertura por asignatura'!$A$4:$A$27&lt;&gt;""))&gt;0),0),0)),0,IF(ISBLANK(INDEX('Cobertura por asignatura'!$E$4:$E$27,MATCH(1,INDEX(EXACT('Cobertura por asignatura'!$A$4:$A$27,$B28)*1*((('Cobertura por asignatura'!$A$4:$A$27&lt;&gt;""))&gt;0),0),0))),"",INDEX('Cobertura por asignatura'!$E$4:$E$27,MATCH(1,INDEX(EXACT('Cobertura por asignatura'!$A$4:$A$27,$B28)*1*((('Cobertura por asignatura'!$A$4:$A$27&lt;&gt;""))&gt;0),0),0))))))</f>
        <v/>
      </c>
      <c r="H28" s="3">
        <f>IF(AND($A28=""),"",IF(ISNA(MATCH(1,INDEX(EXACT('Carga por profesor'!$A$4:$A$27,$E28)*1*((('Carga por profesor'!$A$4:$A$27&lt;&gt;""))&gt;0),0),0)),"",IF(ISBLANK(INDEX('Carga por profesor'!$B$4:$B$27,MATCH(1,INDEX(EXACT('Carga por profesor'!$A$4:$A$27,$E28)*1*((('Carga por profesor'!$A$4:$A$27&lt;&gt;""))&gt;0),0),0))),"",INDEX('Carga por profesor'!$B$4:$B$27,MATCH(1,INDEX(EXACT('Carga por profesor'!$A$4:$A$27,$E28)*1*((('Carga por profesor'!$A$4:$A$27&lt;&gt;""))&gt;0),0),0)))))</f>
        <v/>
      </c>
      <c r="I28" s="3">
        <f>IF(AND($A28=""),"",(IF(ISNUMBER($B28),IF($B28=0,"0",ROUND($B28,9-INT(LOG10(ABS($B28))))&amp;""),$B28&amp;"")&amp;" "&amp;IF(ISNUMBER($C28),IF($C28=0,"0",ROUND($C28,9-INT(LOG10(ABS($C28))))&amp;""),$C28&amp;"")&amp;" "&amp;IF(ISNUMBER($D28),IF($D28=0,"0",ROUND($D28,9-INT(LOG10(ABS($D28))))&amp;""),$D28&amp;"")))</f>
        <v/>
      </c>
      <c r="J28" s="3">
        <f>IF(AND($A28=""),"",IF(OR(($E28=""),($B28="")),"",IF(ISNA(MATCH(1,INDEX(1*((('Asignacion'!$A$4:$A$34&lt;&gt;""))&gt;0)*(EXACT('Asignacion'!$E$4:$E$34,$E28))*(EXACT('Asignacion'!$B$4:$B$34,$B28)),0),0)),"",IF(ISBLANK(INDEX('Asignacion'!$I$4:$I$34,MATCH(1,INDEX(1*((('Asignacion'!$A$4:$A$34&lt;&gt;""))&gt;0)*(EXACT('Asignacion'!$E$4:$E$34,$E28))*(EXACT('Asignacion'!$B$4:$B$34,$B28)),0),0))),"",INDEX('Asignacion'!$I$4:$I$34,MATCH(1,INDEX(1*((('Asignacion'!$A$4:$A$34&lt;&gt;""))&gt;0)*(EXACT('Asignacion'!$E$4:$E$34,$E28))*(EXACT('Asignacion'!$B$4:$B$34,$B28)),0),0))))))</f>
        <v/>
      </c>
      <c r="K28" s="3">
        <f>IF(AND($A28=""),"",IF(AND(NOT(EXACT($J28,"")),EXACT($J28,$I28)),1,0))</f>
        <v/>
      </c>
      <c r="L28" s="3">
        <f>IF(AND($A28=""),"",MID(IF(AND(NOT(($B28="")),($E28="")),"; "&amp;"Esta fila de carga todavia no tiene profesor",""),3,32767))</f>
        <v/>
      </c>
      <c r="M28" s="3">
        <f>IF(OR(AND(NOT(($B28="")),($E28=""))),2,0)</f>
        <v/>
      </c>
    </row>
    <row r="29">
      <c r="A29" s="4" t="n"/>
      <c r="B29" s="4" t="n"/>
      <c r="C29" s="4" t="n"/>
      <c r="D29" s="4" t="n"/>
      <c r="E29" s="4" t="n"/>
      <c r="F29" s="3">
        <f>IF(AND($A29=""),"",IF(ISNA(MATCH(1,INDEX(EXACT('Cobertura por asignatura'!$A$4:$A$27,$B29)*1*((('Cobertura por asignatura'!$A$4:$A$27&lt;&gt;""))&gt;0),0),0)),"",IF(ISBLANK(INDEX('Cobertura por asignatura'!$B$4:$B$27,MATCH(1,INDEX(EXACT('Cobertura por asignatura'!$A$4:$A$27,$B29)*1*((('Cobertura por asignatura'!$A$4:$A$27&lt;&gt;""))&gt;0),0),0))),"",INDEX('Cobertura por asignatura'!$B$4:$B$27,MATCH(1,INDEX(EXACT('Cobertura por asignatura'!$A$4:$A$27,$B29)*1*((('Cobertura por asignatura'!$A$4:$A$27&lt;&gt;""))&gt;0),0),0)))))</f>
        <v/>
      </c>
      <c r="G29" s="3">
        <f>IF(AND($A29=""),"",IF(EXACT($C29,"Conf"),IF(ISNA(MATCH(1,INDEX(EXACT('Cobertura por asignatura'!$A$4:$A$27,$B29)*1*((('Cobertura por asignatura'!$A$4:$A$27&lt;&gt;""))&gt;0),0),0)),0,IF(ISBLANK(INDEX('Cobertura por asignatura'!$D$4:$D$27,MATCH(1,INDEX(EXACT('Cobertura por asignatura'!$A$4:$A$27,$B29)*1*((('Cobertura por asignatura'!$A$4:$A$27&lt;&gt;""))&gt;0),0),0))),"",INDEX('Cobertura por asignatura'!$D$4:$D$27,MATCH(1,INDEX(EXACT('Cobertura por asignatura'!$A$4:$A$27,$B29)*1*((('Cobertura por asignatura'!$A$4:$A$27&lt;&gt;""))&gt;0),0),0)))),IF(ISNA(MATCH(1,INDEX(EXACT('Cobertura por asignatura'!$A$4:$A$27,$B29)*1*((('Cobertura por asignatura'!$A$4:$A$27&lt;&gt;""))&gt;0),0),0)),0,IF(ISBLANK(INDEX('Cobertura por asignatura'!$E$4:$E$27,MATCH(1,INDEX(EXACT('Cobertura por asignatura'!$A$4:$A$27,$B29)*1*((('Cobertura por asignatura'!$A$4:$A$27&lt;&gt;""))&gt;0),0),0))),"",INDEX('Cobertura por asignatura'!$E$4:$E$27,MATCH(1,INDEX(EXACT('Cobertura por asignatura'!$A$4:$A$27,$B29)*1*((('Cobertura por asignatura'!$A$4:$A$27&lt;&gt;""))&gt;0),0),0))))))</f>
        <v/>
      </c>
      <c r="H29" s="3">
        <f>IF(AND($A29=""),"",IF(ISNA(MATCH(1,INDEX(EXACT('Carga por profesor'!$A$4:$A$27,$E29)*1*((('Carga por profesor'!$A$4:$A$27&lt;&gt;""))&gt;0),0),0)),"",IF(ISBLANK(INDEX('Carga por profesor'!$B$4:$B$27,MATCH(1,INDEX(EXACT('Carga por profesor'!$A$4:$A$27,$E29)*1*((('Carga por profesor'!$A$4:$A$27&lt;&gt;""))&gt;0),0),0))),"",INDEX('Carga por profesor'!$B$4:$B$27,MATCH(1,INDEX(EXACT('Carga por profesor'!$A$4:$A$27,$E29)*1*((('Carga por profesor'!$A$4:$A$27&lt;&gt;""))&gt;0),0),0)))))</f>
        <v/>
      </c>
      <c r="I29" s="3">
        <f>IF(AND($A29=""),"",(IF(ISNUMBER($B29),IF($B29=0,"0",ROUND($B29,9-INT(LOG10(ABS($B29))))&amp;""),$B29&amp;"")&amp;" "&amp;IF(ISNUMBER($C29),IF($C29=0,"0",ROUND($C29,9-INT(LOG10(ABS($C29))))&amp;""),$C29&amp;"")&amp;" "&amp;IF(ISNUMBER($D29),IF($D29=0,"0",ROUND($D29,9-INT(LOG10(ABS($D29))))&amp;""),$D29&amp;"")))</f>
        <v/>
      </c>
      <c r="J29" s="3">
        <f>IF(AND($A29=""),"",IF(OR(($E29=""),($B29="")),"",IF(ISNA(MATCH(1,INDEX(1*((('Asignacion'!$A$4:$A$34&lt;&gt;""))&gt;0)*(EXACT('Asignacion'!$E$4:$E$34,$E29))*(EXACT('Asignacion'!$B$4:$B$34,$B29)),0),0)),"",IF(ISBLANK(INDEX('Asignacion'!$I$4:$I$34,MATCH(1,INDEX(1*((('Asignacion'!$A$4:$A$34&lt;&gt;""))&gt;0)*(EXACT('Asignacion'!$E$4:$E$34,$E29))*(EXACT('Asignacion'!$B$4:$B$34,$B29)),0),0))),"",INDEX('Asignacion'!$I$4:$I$34,MATCH(1,INDEX(1*((('Asignacion'!$A$4:$A$34&lt;&gt;""))&gt;0)*(EXACT('Asignacion'!$E$4:$E$34,$E29))*(EXACT('Asignacion'!$B$4:$B$34,$B29)),0),0))))))</f>
        <v/>
      </c>
      <c r="K29" s="3">
        <f>IF(AND($A29=""),"",IF(AND(NOT(EXACT($J29,"")),EXACT($J29,$I29)),1,0))</f>
        <v/>
      </c>
      <c r="L29" s="3">
        <f>IF(AND($A29=""),"",MID(IF(AND(NOT(($B29="")),($E29="")),"; "&amp;"Esta fila de carga todavia no tiene profesor",""),3,32767))</f>
        <v/>
      </c>
      <c r="M29" s="3">
        <f>IF(OR(AND(NOT(($B29="")),($E29=""))),2,0)</f>
        <v/>
      </c>
    </row>
    <row r="30">
      <c r="A30" s="4" t="n"/>
      <c r="B30" s="4" t="n"/>
      <c r="C30" s="4" t="n"/>
      <c r="D30" s="4" t="n"/>
      <c r="E30" s="4" t="n"/>
      <c r="F30" s="3">
        <f>IF(AND($A30=""),"",IF(ISNA(MATCH(1,INDEX(EXACT('Cobertura por asignatura'!$A$4:$A$27,$B30)*1*((('Cobertura por asignatura'!$A$4:$A$27&lt;&gt;""))&gt;0),0),0)),"",IF(ISBLANK(INDEX('Cobertura por asignatura'!$B$4:$B$27,MATCH(1,INDEX(EXACT('Cobertura por asignatura'!$A$4:$A$27,$B30)*1*((('Cobertura por asignatura'!$A$4:$A$27&lt;&gt;""))&gt;0),0),0))),"",INDEX('Cobertura por asignatura'!$B$4:$B$27,MATCH(1,INDEX(EXACT('Cobertura por asignatura'!$A$4:$A$27,$B30)*1*((('Cobertura por asignatura'!$A$4:$A$27&lt;&gt;""))&gt;0),0),0)))))</f>
        <v/>
      </c>
      <c r="G30" s="3">
        <f>IF(AND($A30=""),"",IF(EXACT($C30,"Conf"),IF(ISNA(MATCH(1,INDEX(EXACT('Cobertura por asignatura'!$A$4:$A$27,$B30)*1*((('Cobertura por asignatura'!$A$4:$A$27&lt;&gt;""))&gt;0),0),0)),0,IF(ISBLANK(INDEX('Cobertura por asignatura'!$D$4:$D$27,MATCH(1,INDEX(EXACT('Cobertura por asignatura'!$A$4:$A$27,$B30)*1*((('Cobertura por asignatura'!$A$4:$A$27&lt;&gt;""))&gt;0),0),0))),"",INDEX('Cobertura por asignatura'!$D$4:$D$27,MATCH(1,INDEX(EXACT('Cobertura por asignatura'!$A$4:$A$27,$B30)*1*((('Cobertura por asignatura'!$A$4:$A$27&lt;&gt;""))&gt;0),0),0)))),IF(ISNA(MATCH(1,INDEX(EXACT('Cobertura por asignatura'!$A$4:$A$27,$B30)*1*((('Cobertura por asignatura'!$A$4:$A$27&lt;&gt;""))&gt;0),0),0)),0,IF(ISBLANK(INDEX('Cobertura por asignatura'!$E$4:$E$27,MATCH(1,INDEX(EXACT('Cobertura por asignatura'!$A$4:$A$27,$B30)*1*((('Cobertura por asignatura'!$A$4:$A$27&lt;&gt;""))&gt;0),0),0))),"",INDEX('Cobertura por asignatura'!$E$4:$E$27,MATCH(1,INDEX(EXACT('Cobertura por asignatura'!$A$4:$A$27,$B30)*1*((('Cobertura por asignatura'!$A$4:$A$27&lt;&gt;""))&gt;0),0),0))))))</f>
        <v/>
      </c>
      <c r="H30" s="3">
        <f>IF(AND($A30=""),"",IF(ISNA(MATCH(1,INDEX(EXACT('Carga por profesor'!$A$4:$A$27,$E30)*1*((('Carga por profesor'!$A$4:$A$27&lt;&gt;""))&gt;0),0),0)),"",IF(ISBLANK(INDEX('Carga por profesor'!$B$4:$B$27,MATCH(1,INDEX(EXACT('Carga por profesor'!$A$4:$A$27,$E30)*1*((('Carga por profesor'!$A$4:$A$27&lt;&gt;""))&gt;0),0),0))),"",INDEX('Carga por profesor'!$B$4:$B$27,MATCH(1,INDEX(EXACT('Carga por profesor'!$A$4:$A$27,$E30)*1*((('Carga por profesor'!$A$4:$A$27&lt;&gt;""))&gt;0),0),0)))))</f>
        <v/>
      </c>
      <c r="I30" s="3">
        <f>IF(AND($A30=""),"",(IF(ISNUMBER($B30),IF($B30=0,"0",ROUND($B30,9-INT(LOG10(ABS($B30))))&amp;""),$B30&amp;"")&amp;" "&amp;IF(ISNUMBER($C30),IF($C30=0,"0",ROUND($C30,9-INT(LOG10(ABS($C30))))&amp;""),$C30&amp;"")&amp;" "&amp;IF(ISNUMBER($D30),IF($D30=0,"0",ROUND($D30,9-INT(LOG10(ABS($D30))))&amp;""),$D30&amp;"")))</f>
        <v/>
      </c>
      <c r="J30" s="3">
        <f>IF(AND($A30=""),"",IF(OR(($E30=""),($B30="")),"",IF(ISNA(MATCH(1,INDEX(1*((('Asignacion'!$A$4:$A$34&lt;&gt;""))&gt;0)*(EXACT('Asignacion'!$E$4:$E$34,$E30))*(EXACT('Asignacion'!$B$4:$B$34,$B30)),0),0)),"",IF(ISBLANK(INDEX('Asignacion'!$I$4:$I$34,MATCH(1,INDEX(1*((('Asignacion'!$A$4:$A$34&lt;&gt;""))&gt;0)*(EXACT('Asignacion'!$E$4:$E$34,$E30))*(EXACT('Asignacion'!$B$4:$B$34,$B30)),0),0))),"",INDEX('Asignacion'!$I$4:$I$34,MATCH(1,INDEX(1*((('Asignacion'!$A$4:$A$34&lt;&gt;""))&gt;0)*(EXACT('Asignacion'!$E$4:$E$34,$E30))*(EXACT('Asignacion'!$B$4:$B$34,$B30)),0),0))))))</f>
        <v/>
      </c>
      <c r="K30" s="3">
        <f>IF(AND($A30=""),"",IF(AND(NOT(EXACT($J30,"")),EXACT($J30,$I30)),1,0))</f>
        <v/>
      </c>
      <c r="L30" s="3">
        <f>IF(AND($A30=""),"",MID(IF(AND(NOT(($B30="")),($E30="")),"; "&amp;"Esta fila de carga todavia no tiene profesor",""),3,32767))</f>
        <v/>
      </c>
      <c r="M30" s="3">
        <f>IF(OR(AND(NOT(($B30="")),($E30=""))),2,0)</f>
        <v/>
      </c>
    </row>
    <row r="31">
      <c r="A31" s="4" t="n"/>
      <c r="B31" s="4" t="n"/>
      <c r="C31" s="4" t="n"/>
      <c r="D31" s="4" t="n"/>
      <c r="E31" s="4" t="n"/>
      <c r="F31" s="3">
        <f>IF(AND($A31=""),"",IF(ISNA(MATCH(1,INDEX(EXACT('Cobertura por asignatura'!$A$4:$A$27,$B31)*1*((('Cobertura por asignatura'!$A$4:$A$27&lt;&gt;""))&gt;0),0),0)),"",IF(ISBLANK(INDEX('Cobertura por asignatura'!$B$4:$B$27,MATCH(1,INDEX(EXACT('Cobertura por asignatura'!$A$4:$A$27,$B31)*1*((('Cobertura por asignatura'!$A$4:$A$27&lt;&gt;""))&gt;0),0),0))),"",INDEX('Cobertura por asignatura'!$B$4:$B$27,MATCH(1,INDEX(EXACT('Cobertura por asignatura'!$A$4:$A$27,$B31)*1*((('Cobertura por asignatura'!$A$4:$A$27&lt;&gt;""))&gt;0),0),0)))))</f>
        <v/>
      </c>
      <c r="G31" s="3">
        <f>IF(AND($A31=""),"",IF(EXACT($C31,"Conf"),IF(ISNA(MATCH(1,INDEX(EXACT('Cobertura por asignatura'!$A$4:$A$27,$B31)*1*((('Cobertura por asignatura'!$A$4:$A$27&lt;&gt;""))&gt;0),0),0)),0,IF(ISBLANK(INDEX('Cobertura por asignatura'!$D$4:$D$27,MATCH(1,INDEX(EXACT('Cobertura por asignatura'!$A$4:$A$27,$B31)*1*((('Cobertura por asignatura'!$A$4:$A$27&lt;&gt;""))&gt;0),0),0))),"",INDEX('Cobertura por asignatura'!$D$4:$D$27,MATCH(1,INDEX(EXACT('Cobertura por asignatura'!$A$4:$A$27,$B31)*1*((('Cobertura por asignatura'!$A$4:$A$27&lt;&gt;""))&gt;0),0),0)))),IF(ISNA(MATCH(1,INDEX(EXACT('Cobertura por asignatura'!$A$4:$A$27,$B31)*1*((('Cobertura por asignatura'!$A$4:$A$27&lt;&gt;""))&gt;0),0),0)),0,IF(ISBLANK(INDEX('Cobertura por asignatura'!$E$4:$E$27,MATCH(1,INDEX(EXACT('Cobertura por asignatura'!$A$4:$A$27,$B31)*1*((('Cobertura por asignatura'!$A$4:$A$27&lt;&gt;""))&gt;0),0),0))),"",INDEX('Cobertura por asignatura'!$E$4:$E$27,MATCH(1,INDEX(EXACT('Cobertura por asignatura'!$A$4:$A$27,$B31)*1*((('Cobertura por asignatura'!$A$4:$A$27&lt;&gt;""))&gt;0),0),0))))))</f>
        <v/>
      </c>
      <c r="H31" s="3">
        <f>IF(AND($A31=""),"",IF(ISNA(MATCH(1,INDEX(EXACT('Carga por profesor'!$A$4:$A$27,$E31)*1*((('Carga por profesor'!$A$4:$A$27&lt;&gt;""))&gt;0),0),0)),"",IF(ISBLANK(INDEX('Carga por profesor'!$B$4:$B$27,MATCH(1,INDEX(EXACT('Carga por profesor'!$A$4:$A$27,$E31)*1*((('Carga por profesor'!$A$4:$A$27&lt;&gt;""))&gt;0),0),0))),"",INDEX('Carga por profesor'!$B$4:$B$27,MATCH(1,INDEX(EXACT('Carga por profesor'!$A$4:$A$27,$E31)*1*((('Carga por profesor'!$A$4:$A$27&lt;&gt;""))&gt;0),0),0)))))</f>
        <v/>
      </c>
      <c r="I31" s="3">
        <f>IF(AND($A31=""),"",(IF(ISNUMBER($B31),IF($B31=0,"0",ROUND($B31,9-INT(LOG10(ABS($B31))))&amp;""),$B31&amp;"")&amp;" "&amp;IF(ISNUMBER($C31),IF($C31=0,"0",ROUND($C31,9-INT(LOG10(ABS($C31))))&amp;""),$C31&amp;"")&amp;" "&amp;IF(ISNUMBER($D31),IF($D31=0,"0",ROUND($D31,9-INT(LOG10(ABS($D31))))&amp;""),$D31&amp;"")))</f>
        <v/>
      </c>
      <c r="J31" s="3">
        <f>IF(AND($A31=""),"",IF(OR(($E31=""),($B31="")),"",IF(ISNA(MATCH(1,INDEX(1*((('Asignacion'!$A$4:$A$34&lt;&gt;""))&gt;0)*(EXACT('Asignacion'!$E$4:$E$34,$E31))*(EXACT('Asignacion'!$B$4:$B$34,$B31)),0),0)),"",IF(ISBLANK(INDEX('Asignacion'!$I$4:$I$34,MATCH(1,INDEX(1*((('Asignacion'!$A$4:$A$34&lt;&gt;""))&gt;0)*(EXACT('Asignacion'!$E$4:$E$34,$E31))*(EXACT('Asignacion'!$B$4:$B$34,$B31)),0),0))),"",INDEX('Asignacion'!$I$4:$I$34,MATCH(1,INDEX(1*((('Asignacion'!$A$4:$A$34&lt;&gt;""))&gt;0)*(EXACT('Asignacion'!$E$4:$E$34,$E31))*(EXACT('Asignacion'!$B$4:$B$34,$B31)),0),0))))))</f>
        <v/>
      </c>
      <c r="K31" s="3">
        <f>IF(AND($A31=""),"",IF(AND(NOT(EXACT($J31,"")),EXACT($J31,$I31)),1,0))</f>
        <v/>
      </c>
      <c r="L31" s="3">
        <f>IF(AND($A31=""),"",MID(IF(AND(NOT(($B31="")),($E31="")),"; "&amp;"Esta fila de carga todavia no tiene profesor",""),3,32767))</f>
        <v/>
      </c>
      <c r="M31" s="3">
        <f>IF(OR(AND(NOT(($B31="")),($E31=""))),2,0)</f>
        <v/>
      </c>
    </row>
    <row r="32">
      <c r="A32" s="4" t="n"/>
      <c r="B32" s="4" t="n"/>
      <c r="C32" s="4" t="n"/>
      <c r="D32" s="4" t="n"/>
      <c r="E32" s="4" t="n"/>
      <c r="F32" s="3">
        <f>IF(AND($A32=""),"",IF(ISNA(MATCH(1,INDEX(EXACT('Cobertura por asignatura'!$A$4:$A$27,$B32)*1*((('Cobertura por asignatura'!$A$4:$A$27&lt;&gt;""))&gt;0),0),0)),"",IF(ISBLANK(INDEX('Cobertura por asignatura'!$B$4:$B$27,MATCH(1,INDEX(EXACT('Cobertura por asignatura'!$A$4:$A$27,$B32)*1*((('Cobertura por asignatura'!$A$4:$A$27&lt;&gt;""))&gt;0),0),0))),"",INDEX('Cobertura por asignatura'!$B$4:$B$27,MATCH(1,INDEX(EXACT('Cobertura por asignatura'!$A$4:$A$27,$B32)*1*((('Cobertura por asignatura'!$A$4:$A$27&lt;&gt;""))&gt;0),0),0)))))</f>
        <v/>
      </c>
      <c r="G32" s="3">
        <f>IF(AND($A32=""),"",IF(EXACT($C32,"Conf"),IF(ISNA(MATCH(1,INDEX(EXACT('Cobertura por asignatura'!$A$4:$A$27,$B32)*1*((('Cobertura por asignatura'!$A$4:$A$27&lt;&gt;""))&gt;0),0),0)),0,IF(ISBLANK(INDEX('Cobertura por asignatura'!$D$4:$D$27,MATCH(1,INDEX(EXACT('Cobertura por asignatura'!$A$4:$A$27,$B32)*1*((('Cobertura por asignatura'!$A$4:$A$27&lt;&gt;""))&gt;0),0),0))),"",INDEX('Cobertura por asignatura'!$D$4:$D$27,MATCH(1,INDEX(EXACT('Cobertura por asignatura'!$A$4:$A$27,$B32)*1*((('Cobertura por asignatura'!$A$4:$A$27&lt;&gt;""))&gt;0),0),0)))),IF(ISNA(MATCH(1,INDEX(EXACT('Cobertura por asignatura'!$A$4:$A$27,$B32)*1*((('Cobertura por asignatura'!$A$4:$A$27&lt;&gt;""))&gt;0),0),0)),0,IF(ISBLANK(INDEX('Cobertura por asignatura'!$E$4:$E$27,MATCH(1,INDEX(EXACT('Cobertura por asignatura'!$A$4:$A$27,$B32)*1*((('Cobertura por asignatura'!$A$4:$A$27&lt;&gt;""))&gt;0),0),0))),"",INDEX('Cobertura por asignatura'!$E$4:$E$27,MATCH(1,INDEX(EXACT('Cobertura por asignatura'!$A$4:$A$27,$B32)*1*((('Cobertura por asignatura'!$A$4:$A$27&lt;&gt;""))&gt;0),0),0))))))</f>
        <v/>
      </c>
      <c r="H32" s="3">
        <f>IF(AND($A32=""),"",IF(ISNA(MATCH(1,INDEX(EXACT('Carga por profesor'!$A$4:$A$27,$E32)*1*((('Carga por profesor'!$A$4:$A$27&lt;&gt;""))&gt;0),0),0)),"",IF(ISBLANK(INDEX('Carga por profesor'!$B$4:$B$27,MATCH(1,INDEX(EXACT('Carga por profesor'!$A$4:$A$27,$E32)*1*((('Carga por profesor'!$A$4:$A$27&lt;&gt;""))&gt;0),0),0))),"",INDEX('Carga por profesor'!$B$4:$B$27,MATCH(1,INDEX(EXACT('Carga por profesor'!$A$4:$A$27,$E32)*1*((('Carga por profesor'!$A$4:$A$27&lt;&gt;""))&gt;0),0),0)))))</f>
        <v/>
      </c>
      <c r="I32" s="3">
        <f>IF(AND($A32=""),"",(IF(ISNUMBER($B32),IF($B32=0,"0",ROUND($B32,9-INT(LOG10(ABS($B32))))&amp;""),$B32&amp;"")&amp;" "&amp;IF(ISNUMBER($C32),IF($C32=0,"0",ROUND($C32,9-INT(LOG10(ABS($C32))))&amp;""),$C32&amp;"")&amp;" "&amp;IF(ISNUMBER($D32),IF($D32=0,"0",ROUND($D32,9-INT(LOG10(ABS($D32))))&amp;""),$D32&amp;"")))</f>
        <v/>
      </c>
      <c r="J32" s="3">
        <f>IF(AND($A32=""),"",IF(OR(($E32=""),($B32="")),"",IF(ISNA(MATCH(1,INDEX(1*((('Asignacion'!$A$4:$A$34&lt;&gt;""))&gt;0)*(EXACT('Asignacion'!$E$4:$E$34,$E32))*(EXACT('Asignacion'!$B$4:$B$34,$B32)),0),0)),"",IF(ISBLANK(INDEX('Asignacion'!$I$4:$I$34,MATCH(1,INDEX(1*((('Asignacion'!$A$4:$A$34&lt;&gt;""))&gt;0)*(EXACT('Asignacion'!$E$4:$E$34,$E32))*(EXACT('Asignacion'!$B$4:$B$34,$B32)),0),0))),"",INDEX('Asignacion'!$I$4:$I$34,MATCH(1,INDEX(1*((('Asignacion'!$A$4:$A$34&lt;&gt;""))&gt;0)*(EXACT('Asignacion'!$E$4:$E$34,$E32))*(EXACT('Asignacion'!$B$4:$B$34,$B32)),0),0))))))</f>
        <v/>
      </c>
      <c r="K32" s="3">
        <f>IF(AND($A32=""),"",IF(AND(NOT(EXACT($J32,"")),EXACT($J32,$I32)),1,0))</f>
        <v/>
      </c>
      <c r="L32" s="3">
        <f>IF(AND($A32=""),"",MID(IF(AND(NOT(($B32="")),($E32="")),"; "&amp;"Esta fila de carga todavia no tiene profesor",""),3,32767))</f>
        <v/>
      </c>
      <c r="M32" s="3">
        <f>IF(OR(AND(NOT(($B32="")),($E32=""))),2,0)</f>
        <v/>
      </c>
    </row>
    <row r="33">
      <c r="A33" s="4" t="n"/>
      <c r="B33" s="4" t="n"/>
      <c r="C33" s="4" t="n"/>
      <c r="D33" s="4" t="n"/>
      <c r="E33" s="4" t="n"/>
      <c r="F33" s="3">
        <f>IF(AND($A33=""),"",IF(ISNA(MATCH(1,INDEX(EXACT('Cobertura por asignatura'!$A$4:$A$27,$B33)*1*((('Cobertura por asignatura'!$A$4:$A$27&lt;&gt;""))&gt;0),0),0)),"",IF(ISBLANK(INDEX('Cobertura por asignatura'!$B$4:$B$27,MATCH(1,INDEX(EXACT('Cobertura por asignatura'!$A$4:$A$27,$B33)*1*((('Cobertura por asignatura'!$A$4:$A$27&lt;&gt;""))&gt;0),0),0))),"",INDEX('Cobertura por asignatura'!$B$4:$B$27,MATCH(1,INDEX(EXACT('Cobertura por asignatura'!$A$4:$A$27,$B33)*1*((('Cobertura por asignatura'!$A$4:$A$27&lt;&gt;""))&gt;0),0),0)))))</f>
        <v/>
      </c>
      <c r="G33" s="3">
        <f>IF(AND($A33=""),"",IF(EXACT($C33,"Conf"),IF(ISNA(MATCH(1,INDEX(EXACT('Cobertura por asignatura'!$A$4:$A$27,$B33)*1*((('Cobertura por asignatura'!$A$4:$A$27&lt;&gt;""))&gt;0),0),0)),0,IF(ISBLANK(INDEX('Cobertura por asignatura'!$D$4:$D$27,MATCH(1,INDEX(EXACT('Cobertura por asignatura'!$A$4:$A$27,$B33)*1*((('Cobertura por asignatura'!$A$4:$A$27&lt;&gt;""))&gt;0),0),0))),"",INDEX('Cobertura por asignatura'!$D$4:$D$27,MATCH(1,INDEX(EXACT('Cobertura por asignatura'!$A$4:$A$27,$B33)*1*((('Cobertura por asignatura'!$A$4:$A$27&lt;&gt;""))&gt;0),0),0)))),IF(ISNA(MATCH(1,INDEX(EXACT('Cobertura por asignatura'!$A$4:$A$27,$B33)*1*((('Cobertura por asignatura'!$A$4:$A$27&lt;&gt;""))&gt;0),0),0)),0,IF(ISBLANK(INDEX('Cobertura por asignatura'!$E$4:$E$27,MATCH(1,INDEX(EXACT('Cobertura por asignatura'!$A$4:$A$27,$B33)*1*((('Cobertura por asignatura'!$A$4:$A$27&lt;&gt;""))&gt;0),0),0))),"",INDEX('Cobertura por asignatura'!$E$4:$E$27,MATCH(1,INDEX(EXACT('Cobertura por asignatura'!$A$4:$A$27,$B33)*1*((('Cobertura por asignatura'!$A$4:$A$27&lt;&gt;""))&gt;0),0),0))))))</f>
        <v/>
      </c>
      <c r="H33" s="3">
        <f>IF(AND($A33=""),"",IF(ISNA(MATCH(1,INDEX(EXACT('Carga por profesor'!$A$4:$A$27,$E33)*1*((('Carga por profesor'!$A$4:$A$27&lt;&gt;""))&gt;0),0),0)),"",IF(ISBLANK(INDEX('Carga por profesor'!$B$4:$B$27,MATCH(1,INDEX(EXACT('Carga por profesor'!$A$4:$A$27,$E33)*1*((('Carga por profesor'!$A$4:$A$27&lt;&gt;""))&gt;0),0),0))),"",INDEX('Carga por profesor'!$B$4:$B$27,MATCH(1,INDEX(EXACT('Carga por profesor'!$A$4:$A$27,$E33)*1*((('Carga por profesor'!$A$4:$A$27&lt;&gt;""))&gt;0),0),0)))))</f>
        <v/>
      </c>
      <c r="I33" s="3">
        <f>IF(AND($A33=""),"",(IF(ISNUMBER($B33),IF($B33=0,"0",ROUND($B33,9-INT(LOG10(ABS($B33))))&amp;""),$B33&amp;"")&amp;" "&amp;IF(ISNUMBER($C33),IF($C33=0,"0",ROUND($C33,9-INT(LOG10(ABS($C33))))&amp;""),$C33&amp;"")&amp;" "&amp;IF(ISNUMBER($D33),IF($D33=0,"0",ROUND($D33,9-INT(LOG10(ABS($D33))))&amp;""),$D33&amp;"")))</f>
        <v/>
      </c>
      <c r="J33" s="3">
        <f>IF(AND($A33=""),"",IF(OR(($E33=""),($B33="")),"",IF(ISNA(MATCH(1,INDEX(1*((('Asignacion'!$A$4:$A$34&lt;&gt;""))&gt;0)*(EXACT('Asignacion'!$E$4:$E$34,$E33))*(EXACT('Asignacion'!$B$4:$B$34,$B33)),0),0)),"",IF(ISBLANK(INDEX('Asignacion'!$I$4:$I$34,MATCH(1,INDEX(1*((('Asignacion'!$A$4:$A$34&lt;&gt;""))&gt;0)*(EXACT('Asignacion'!$E$4:$E$34,$E33))*(EXACT('Asignacion'!$B$4:$B$34,$B33)),0),0))),"",INDEX('Asignacion'!$I$4:$I$34,MATCH(1,INDEX(1*((('Asignacion'!$A$4:$A$34&lt;&gt;""))&gt;0)*(EXACT('Asignacion'!$E$4:$E$34,$E33))*(EXACT('Asignacion'!$B$4:$B$34,$B33)),0),0))))))</f>
        <v/>
      </c>
      <c r="K33" s="3">
        <f>IF(AND($A33=""),"",IF(AND(NOT(EXACT($J33,"")),EXACT($J33,$I33)),1,0))</f>
        <v/>
      </c>
      <c r="L33" s="3">
        <f>IF(AND($A33=""),"",MID(IF(AND(NOT(($B33="")),($E33="")),"; "&amp;"Esta fila de carga todavia no tiene profesor",""),3,32767))</f>
        <v/>
      </c>
      <c r="M33" s="3">
        <f>IF(OR(AND(NOT(($B33="")),($E33=""))),2,0)</f>
        <v/>
      </c>
    </row>
    <row r="34">
      <c r="A34" s="4" t="n"/>
      <c r="B34" s="4" t="n"/>
      <c r="C34" s="4" t="n"/>
      <c r="D34" s="4" t="n"/>
      <c r="E34" s="4" t="n"/>
      <c r="F34" s="3">
        <f>IF(AND($A34=""),"",IF(ISNA(MATCH(1,INDEX(EXACT('Cobertura por asignatura'!$A$4:$A$27,$B34)*1*((('Cobertura por asignatura'!$A$4:$A$27&lt;&gt;""))&gt;0),0),0)),"",IF(ISBLANK(INDEX('Cobertura por asignatura'!$B$4:$B$27,MATCH(1,INDEX(EXACT('Cobertura por asignatura'!$A$4:$A$27,$B34)*1*((('Cobertura por asignatura'!$A$4:$A$27&lt;&gt;""))&gt;0),0),0))),"",INDEX('Cobertura por asignatura'!$B$4:$B$27,MATCH(1,INDEX(EXACT('Cobertura por asignatura'!$A$4:$A$27,$B34)*1*((('Cobertura por asignatura'!$A$4:$A$27&lt;&gt;""))&gt;0),0),0)))))</f>
        <v/>
      </c>
      <c r="G34" s="3">
        <f>IF(AND($A34=""),"",IF(EXACT($C34,"Conf"),IF(ISNA(MATCH(1,INDEX(EXACT('Cobertura por asignatura'!$A$4:$A$27,$B34)*1*((('Cobertura por asignatura'!$A$4:$A$27&lt;&gt;""))&gt;0),0),0)),0,IF(ISBLANK(INDEX('Cobertura por asignatura'!$D$4:$D$27,MATCH(1,INDEX(EXACT('Cobertura por asignatura'!$A$4:$A$27,$B34)*1*((('Cobertura por asignatura'!$A$4:$A$27&lt;&gt;""))&gt;0),0),0))),"",INDEX('Cobertura por asignatura'!$D$4:$D$27,MATCH(1,INDEX(EXACT('Cobertura por asignatura'!$A$4:$A$27,$B34)*1*((('Cobertura por asignatura'!$A$4:$A$27&lt;&gt;""))&gt;0),0),0)))),IF(ISNA(MATCH(1,INDEX(EXACT('Cobertura por asignatura'!$A$4:$A$27,$B34)*1*((('Cobertura por asignatura'!$A$4:$A$27&lt;&gt;""))&gt;0),0),0)),0,IF(ISBLANK(INDEX('Cobertura por asignatura'!$E$4:$E$27,MATCH(1,INDEX(EXACT('Cobertura por asignatura'!$A$4:$A$27,$B34)*1*((('Cobertura por asignatura'!$A$4:$A$27&lt;&gt;""))&gt;0),0),0))),"",INDEX('Cobertura por asignatura'!$E$4:$E$27,MATCH(1,INDEX(EXACT('Cobertura por asignatura'!$A$4:$A$27,$B34)*1*((('Cobertura por asignatura'!$A$4:$A$27&lt;&gt;""))&gt;0),0),0))))))</f>
        <v/>
      </c>
      <c r="H34" s="3">
        <f>IF(AND($A34=""),"",IF(ISNA(MATCH(1,INDEX(EXACT('Carga por profesor'!$A$4:$A$27,$E34)*1*((('Carga por profesor'!$A$4:$A$27&lt;&gt;""))&gt;0),0),0)),"",IF(ISBLANK(INDEX('Carga por profesor'!$B$4:$B$27,MATCH(1,INDEX(EXACT('Carga por profesor'!$A$4:$A$27,$E34)*1*((('Carga por profesor'!$A$4:$A$27&lt;&gt;""))&gt;0),0),0))),"",INDEX('Carga por profesor'!$B$4:$B$27,MATCH(1,INDEX(EXACT('Carga por profesor'!$A$4:$A$27,$E34)*1*((('Carga por profesor'!$A$4:$A$27&lt;&gt;""))&gt;0),0),0)))))</f>
        <v/>
      </c>
      <c r="I34" s="3">
        <f>IF(AND($A34=""),"",(IF(ISNUMBER($B34),IF($B34=0,"0",ROUND($B34,9-INT(LOG10(ABS($B34))))&amp;""),$B34&amp;"")&amp;" "&amp;IF(ISNUMBER($C34),IF($C34=0,"0",ROUND($C34,9-INT(LOG10(ABS($C34))))&amp;""),$C34&amp;"")&amp;" "&amp;IF(ISNUMBER($D34),IF($D34=0,"0",ROUND($D34,9-INT(LOG10(ABS($D34))))&amp;""),$D34&amp;"")))</f>
        <v/>
      </c>
      <c r="J34" s="3">
        <f>IF(AND($A34=""),"",IF(OR(($E34=""),($B34="")),"",IF(ISNA(MATCH(1,INDEX(1*((('Asignacion'!$A$4:$A$34&lt;&gt;""))&gt;0)*(EXACT('Asignacion'!$E$4:$E$34,$E34))*(EXACT('Asignacion'!$B$4:$B$34,$B34)),0),0)),"",IF(ISBLANK(INDEX('Asignacion'!$I$4:$I$34,MATCH(1,INDEX(1*((('Asignacion'!$A$4:$A$34&lt;&gt;""))&gt;0)*(EXACT('Asignacion'!$E$4:$E$34,$E34))*(EXACT('Asignacion'!$B$4:$B$34,$B34)),0),0))),"",INDEX('Asignacion'!$I$4:$I$34,MATCH(1,INDEX(1*((('Asignacion'!$A$4:$A$34&lt;&gt;""))&gt;0)*(EXACT('Asignacion'!$E$4:$E$34,$E34))*(EXACT('Asignacion'!$B$4:$B$34,$B34)),0),0))))))</f>
        <v/>
      </c>
      <c r="K34" s="3">
        <f>IF(AND($A34=""),"",IF(AND(NOT(EXACT($J34,"")),EXACT($J34,$I34)),1,0))</f>
        <v/>
      </c>
      <c r="L34" s="3">
        <f>IF(AND($A34=""),"",MID(IF(AND(NOT(($B34="")),($E34="")),"; "&amp;"Esta fila de carga todavia no tiene profesor",""),3,32767))</f>
        <v/>
      </c>
      <c r="M34" s="3">
        <f>IF(OR(AND(NOT(($B34="")),($E34=""))),2,0)</f>
        <v/>
      </c>
    </row>
    <row r="36">
      <c r="A36" s="5" t="inlineStr">
        <is>
          <t>Leyenda</t>
        </is>
      </c>
    </row>
    <row r="37">
      <c r="A37" s="6" t="n"/>
      <c r="B37" t="inlineStr">
        <is>
          <t>Esta fila de carga todavia no tiene profesor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conditionalFormatting sqref="E4:E34">
    <cfRule type="expression" priority="1" dxfId="0" stopIfTrue="0">
      <formula>AND(NOT(($B4="")),($E4=""))</formula>
    </cfRule>
  </conditionalFormatting>
  <dataValidations count="3">
    <dataValidation sqref="B4:B34" showDropDown="0" showInputMessage="0" showErrorMessage="1" allowBlank="1" errorTitle="Valor fuera del dominio" error="Ese valor no esta en la lista." type="list" errorStyle="information">
      <formula1>'Listas'!$A$4:$A$7</formula1>
    </dataValidation>
    <dataValidation sqref="C4:C34" showDropDown="0" showInputMessage="0" showErrorMessage="1" allowBlank="1" errorTitle="Valor fuera del dominio" error="Ese valor no esta en la lista." type="list" errorStyle="information">
      <formula1>'Listas'!$B$4:$B$5</formula1>
    </dataValidation>
    <dataValidation sqref="E4:E34" showDropDown="0" showInputMessage="0" showErrorMessage="1" allowBlank="1" errorTitle="Valor fuera del dominio" error="Ese valor no esta en la lista." type="list" errorStyle="information">
      <formula1>'Listas'!$C$4:$C$7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7" customWidth="1" min="3" max="3"/>
    <col width="6" customWidth="1" min="4" max="4"/>
    <col width="7" customWidth="1" min="5" max="5"/>
    <col width="13" customWidth="1" min="6" max="6"/>
    <col width="16" customWidth="1" min="7" max="7"/>
    <col width="27" customWidth="1" min="8" max="8"/>
    <col hidden="1" width="24" customWidth="1" min="9" max="9"/>
  </cols>
  <sheetData>
    <row r="1">
      <c r="A1" s="1" t="inlineStr">
        <is>
          <t>Carga por profesor</t>
        </is>
      </c>
    </row>
    <row r="3">
      <c r="A3" s="2" t="inlineStr">
        <is>
          <t>Id</t>
        </is>
      </c>
      <c r="B3" s="2" t="inlineStr">
        <is>
          <t>Nombre</t>
        </is>
      </c>
      <c r="C3" s="2" t="inlineStr">
        <is>
          <t>Grado</t>
        </is>
      </c>
      <c r="D3" s="2" t="inlineStr">
        <is>
          <t>Tope</t>
        </is>
      </c>
      <c r="E3" s="2" t="inlineStr">
        <is>
          <t>Horas</t>
        </is>
      </c>
      <c r="F3" s="2" t="inlineStr">
        <is>
          <t>Asignaturas</t>
        </is>
      </c>
      <c r="G3" s="2" t="inlineStr">
        <is>
          <t>Lo que imparte</t>
        </is>
      </c>
      <c r="H3" s="2" t="inlineStr">
        <is>
          <t>Estado</t>
        </is>
      </c>
      <c r="I3" s="2" t="inlineStr">
        <is>
          <t>(nivel de las marcas)</t>
        </is>
      </c>
    </row>
    <row r="4">
      <c r="A4" s="3" t="inlineStr">
        <is>
          <t>PIAD</t>
        </is>
      </c>
      <c r="B4" s="3" t="inlineStr">
        <is>
          <t>Pedro I. Alonso Diaz</t>
        </is>
      </c>
      <c r="C4" s="3" t="inlineStr">
        <is>
          <t>Dr.</t>
        </is>
      </c>
      <c r="D4" s="3" t="n">
        <v>160</v>
      </c>
      <c r="E4" s="3">
        <f>IF(AND($A4=""),"",SUMPRODUCT(1*(((('Asignacion'!$A$4:$A$34&lt;&gt;""))&gt;0))*((EXACT('Asignacion'!$E$4:$E$34,$A4)))*(IFERROR(VALUE('Asignacion'!$G$4:$G$34&amp;""),0))))</f>
        <v/>
      </c>
      <c r="F4" s="3">
        <f>IF(AND($A4=""),"",SUMPRODUCT(1*(((('Asignacion'!$A$4:$A$34&lt;&gt;""))&gt;0))*((EXACT('Asignacion'!$E$4:$E$34,$A4)))*(IFERROR(VALUE('Asignacion'!$K$4:$K$34&amp;""),0))))</f>
        <v/>
      </c>
      <c r="G4" s="3">
        <f>IF(AND($A4=""),"",SUMPRODUCT(1*EXACT(LEFT('Detalle - Lo que imparte'!$A$4:$A$11,LEN(($A4&amp;CHAR(30)))),($A4&amp;CHAR(30)))))</f>
        <v/>
      </c>
      <c r="H4" s="3">
        <f>IF(AND($A4=""),"",MID(IF((IFERROR(VALUE($E4&amp;""),0)&gt;IFERROR(VALUE($D4&amp;""),0)),"; "&amp;IF(ISNUMBER(("Pasa del tope en "&amp;IF(ISNUMBER((IFERROR(VALUE($E4&amp;""),0)-IFERROR(VALUE($D4&amp;""),0))),IF((IFERROR(VALUE($E4&amp;""),0)-IFERROR(VALUE($D4&amp;""),0))=0,"0",ROUND((IFERROR(VALUE($E4&amp;""),0)-IFERROR(VALUE($D4&amp;""),0)),9-INT(LOG10(ABS((IFERROR(VALUE($E4&amp;""),0)-IFERROR(VALUE($D4&amp;""),0))))))&amp;""),(IFERROR(VALUE($E4&amp;""),0)-IFERROR(VALUE($D4&amp;""),0))&amp;"")&amp;" horas")),IF(("Pasa del tope en "&amp;IF(ISNUMBER((IFERROR(VALUE($E4&amp;""),0)-IFERROR(VALUE($D4&amp;""),0))),IF((IFERROR(VALUE($E4&amp;""),0)-IFERROR(VALUE($D4&amp;""),0))=0,"0",ROUND((IFERROR(VALUE($E4&amp;""),0)-IFERROR(VALUE($D4&amp;""),0)),9-INT(LOG10(ABS((IFERROR(VALUE($E4&amp;""),0)-IFERROR(VALUE($D4&amp;""),0))))))&amp;""),(IFERROR(VALUE($E4&amp;""),0)-IFERROR(VALUE($D4&amp;""),0))&amp;"")&amp;" horas")=0,"0",ROUND(("Pasa del tope en "&amp;IF(ISNUMBER((IFERROR(VALUE($E4&amp;""),0)-IFERROR(VALUE($D4&amp;""),0))),IF((IFERROR(VALUE($E4&amp;""),0)-IFERROR(VALUE($D4&amp;""),0))=0,"0",ROUND((IFERROR(VALUE($E4&amp;""),0)-IFERROR(VALUE($D4&amp;""),0)),9-INT(LOG10(ABS((IFERROR(VALUE($E4&amp;""),0)-IFERROR(VALUE($D4&amp;""),0))))))&amp;""),(IFERROR(VALUE($E4&amp;""),0)-IFERROR(VALUE($D4&amp;""),0))&amp;"")&amp;" horas"),9-INT(LOG10(ABS(("Pasa del tope en "&amp;IF(ISNUMBER((IFERROR(VALUE($E4&amp;""),0)-IFERROR(VALUE($D4&amp;""),0))),IF((IFERROR(VALUE($E4&amp;""),0)-IFERROR(VALUE($D4&amp;""),0))=0,"0",ROUND((IFERROR(VALUE($E4&amp;""),0)-IFERROR(VALUE($D4&amp;""),0)),9-INT(LOG10(ABS((IFERROR(VALUE($E4&amp;""),0)-IFERROR(VALUE($D4&amp;""),0))))))&amp;""),(IFERROR(VALUE($E4&amp;""),0)-IFERROR(VALUE($D4&amp;""),0))&amp;"")&amp;" horas")))))&amp;""),("Pasa del tope en "&amp;IF(ISNUMBER((IFERROR(VALUE($E4&amp;""),0)-IFERROR(VALUE($D4&amp;""),0))),IF((IFERROR(VALUE($E4&amp;""),0)-IFERROR(VALUE($D4&amp;""),0))=0,"0",ROUND((IFERROR(VALUE($E4&amp;""),0)-IFERROR(VALUE($D4&amp;""),0)),9-INT(LOG10(ABS((IFERROR(VALUE($E4&amp;""),0)-IFERROR(VALUE($D4&amp;""),0))))))&amp;""),(IFERROR(VALUE($E4&amp;""),0)-IFERROR(VALUE($D4&amp;""),0))&amp;"")&amp;" horas")&amp;""),""),3,32767))</f>
        <v/>
      </c>
      <c r="I4" s="3">
        <f>IF(OR((IFERROR(VALUE($E4&amp;""),0)&gt;IFERROR(VALUE($D4&amp;""),0))),3,0)</f>
        <v/>
      </c>
    </row>
    <row r="5">
      <c r="A5" s="3" t="inlineStr">
        <is>
          <t>MARA</t>
        </is>
      </c>
      <c r="B5" s="3" t="inlineStr">
        <is>
          <t>Maria Ramirez</t>
        </is>
      </c>
      <c r="C5" s="3" t="inlineStr">
        <is>
          <t>MSc.</t>
        </is>
      </c>
      <c r="D5" s="3" t="n">
        <v>80</v>
      </c>
      <c r="E5" s="3">
        <f>IF(AND($A5=""),"",SUMPRODUCT(1*(((('Asignacion'!$A$4:$A$34&lt;&gt;""))&gt;0))*((EXACT('Asignacion'!$E$4:$E$34,$A5)))*(IFERROR(VALUE('Asignacion'!$G$4:$G$34&amp;""),0))))</f>
        <v/>
      </c>
      <c r="F5" s="3">
        <f>IF(AND($A5=""),"",SUMPRODUCT(1*(((('Asignacion'!$A$4:$A$34&lt;&gt;""))&gt;0))*((EXACT('Asignacion'!$E$4:$E$34,$A5)))*(IFERROR(VALUE('Asignacion'!$K$4:$K$34&amp;""),0))))</f>
        <v/>
      </c>
      <c r="G5" s="3">
        <f>IF(AND($A5=""),"",SUMPRODUCT(1*EXACT(LEFT('Detalle - Lo que imparte'!$A$4:$A$11,LEN(($A5&amp;CHAR(30)))),($A5&amp;CHAR(30)))))</f>
        <v/>
      </c>
      <c r="H5" s="3">
        <f>IF(AND($A5=""),"",MID(IF((IFERROR(VALUE($E5&amp;""),0)&gt;IFERROR(VALUE($D5&amp;""),0)),"; "&amp;IF(ISNUMBER(("Pasa del tope en "&amp;IF(ISNUMBER((IFERROR(VALUE($E5&amp;""),0)-IFERROR(VALUE($D5&amp;""),0))),IF((IFERROR(VALUE($E5&amp;""),0)-IFERROR(VALUE($D5&amp;""),0))=0,"0",ROUND((IFERROR(VALUE($E5&amp;""),0)-IFERROR(VALUE($D5&amp;""),0)),9-INT(LOG10(ABS((IFERROR(VALUE($E5&amp;""),0)-IFERROR(VALUE($D5&amp;""),0))))))&amp;""),(IFERROR(VALUE($E5&amp;""),0)-IFERROR(VALUE($D5&amp;""),0))&amp;"")&amp;" horas")),IF(("Pasa del tope en "&amp;IF(ISNUMBER((IFERROR(VALUE($E5&amp;""),0)-IFERROR(VALUE($D5&amp;""),0))),IF((IFERROR(VALUE($E5&amp;""),0)-IFERROR(VALUE($D5&amp;""),0))=0,"0",ROUND((IFERROR(VALUE($E5&amp;""),0)-IFERROR(VALUE($D5&amp;""),0)),9-INT(LOG10(ABS((IFERROR(VALUE($E5&amp;""),0)-IFERROR(VALUE($D5&amp;""),0))))))&amp;""),(IFERROR(VALUE($E5&amp;""),0)-IFERROR(VALUE($D5&amp;""),0))&amp;"")&amp;" horas")=0,"0",ROUND(("Pasa del tope en "&amp;IF(ISNUMBER((IFERROR(VALUE($E5&amp;""),0)-IFERROR(VALUE($D5&amp;""),0))),IF((IFERROR(VALUE($E5&amp;""),0)-IFERROR(VALUE($D5&amp;""),0))=0,"0",ROUND((IFERROR(VALUE($E5&amp;""),0)-IFERROR(VALUE($D5&amp;""),0)),9-INT(LOG10(ABS((IFERROR(VALUE($E5&amp;""),0)-IFERROR(VALUE($D5&amp;""),0))))))&amp;""),(IFERROR(VALUE($E5&amp;""),0)-IFERROR(VALUE($D5&amp;""),0))&amp;"")&amp;" horas"),9-INT(LOG10(ABS(("Pasa del tope en "&amp;IF(ISNUMBER((IFERROR(VALUE($E5&amp;""),0)-IFERROR(VALUE($D5&amp;""),0))),IF((IFERROR(VALUE($E5&amp;""),0)-IFERROR(VALUE($D5&amp;""),0))=0,"0",ROUND((IFERROR(VALUE($E5&amp;""),0)-IFERROR(VALUE($D5&amp;""),0)),9-INT(LOG10(ABS((IFERROR(VALUE($E5&amp;""),0)-IFERROR(VALUE($D5&amp;""),0))))))&amp;""),(IFERROR(VALUE($E5&amp;""),0)-IFERROR(VALUE($D5&amp;""),0))&amp;"")&amp;" horas")))))&amp;""),("Pasa del tope en "&amp;IF(ISNUMBER((IFERROR(VALUE($E5&amp;""),0)-IFERROR(VALUE($D5&amp;""),0))),IF((IFERROR(VALUE($E5&amp;""),0)-IFERROR(VALUE($D5&amp;""),0))=0,"0",ROUND((IFERROR(VALUE($E5&amp;""),0)-IFERROR(VALUE($D5&amp;""),0)),9-INT(LOG10(ABS((IFERROR(VALUE($E5&amp;""),0)-IFERROR(VALUE($D5&amp;""),0))))))&amp;""),(IFERROR(VALUE($E5&amp;""),0)-IFERROR(VALUE($D5&amp;""),0))&amp;"")&amp;" horas")&amp;""),""),3,32767))</f>
        <v/>
      </c>
      <c r="I5" s="3">
        <f>IF(OR((IFERROR(VALUE($E5&amp;""),0)&gt;IFERROR(VALUE($D5&amp;""),0))),3,0)</f>
        <v/>
      </c>
    </row>
    <row r="6">
      <c r="A6" s="3" t="inlineStr">
        <is>
          <t>LUGO</t>
        </is>
      </c>
      <c r="B6" s="3" t="inlineStr">
        <is>
          <t>Luis Gomez</t>
        </is>
      </c>
      <c r="C6" s="3" t="inlineStr">
        <is>
          <t>Lic.</t>
        </is>
      </c>
      <c r="D6" s="3" t="n">
        <v>160</v>
      </c>
      <c r="E6" s="3">
        <f>IF(AND($A6=""),"",SUMPRODUCT(1*(((('Asignacion'!$A$4:$A$34&lt;&gt;""))&gt;0))*((EXACT('Asignacion'!$E$4:$E$34,$A6)))*(IFERROR(VALUE('Asignacion'!$G$4:$G$34&amp;""),0))))</f>
        <v/>
      </c>
      <c r="F6" s="3">
        <f>IF(AND($A6=""),"",SUMPRODUCT(1*(((('Asignacion'!$A$4:$A$34&lt;&gt;""))&gt;0))*((EXACT('Asignacion'!$E$4:$E$34,$A6)))*(IFERROR(VALUE('Asignacion'!$K$4:$K$34&amp;""),0))))</f>
        <v/>
      </c>
      <c r="G6" s="3">
        <f>IF(AND($A6=""),"",SUMPRODUCT(1*EXACT(LEFT('Detalle - Lo que imparte'!$A$4:$A$11,LEN(($A6&amp;CHAR(30)))),($A6&amp;CHAR(30)))))</f>
        <v/>
      </c>
      <c r="H6" s="3">
        <f>IF(AND($A6=""),"",MID(IF((IFERROR(VALUE($E6&amp;""),0)&gt;IFERROR(VALUE($D6&amp;""),0)),"; "&amp;IF(ISNUMBER(("Pasa del tope en "&amp;IF(ISNUMBER((IFERROR(VALUE($E6&amp;""),0)-IFERROR(VALUE($D6&amp;""),0))),IF((IFERROR(VALUE($E6&amp;""),0)-IFERROR(VALUE($D6&amp;""),0))=0,"0",ROUND((IFERROR(VALUE($E6&amp;""),0)-IFERROR(VALUE($D6&amp;""),0)),9-INT(LOG10(ABS((IFERROR(VALUE($E6&amp;""),0)-IFERROR(VALUE($D6&amp;""),0))))))&amp;""),(IFERROR(VALUE($E6&amp;""),0)-IFERROR(VALUE($D6&amp;""),0))&amp;"")&amp;" horas")),IF(("Pasa del tope en "&amp;IF(ISNUMBER((IFERROR(VALUE($E6&amp;""),0)-IFERROR(VALUE($D6&amp;""),0))),IF((IFERROR(VALUE($E6&amp;""),0)-IFERROR(VALUE($D6&amp;""),0))=0,"0",ROUND((IFERROR(VALUE($E6&amp;""),0)-IFERROR(VALUE($D6&amp;""),0)),9-INT(LOG10(ABS((IFERROR(VALUE($E6&amp;""),0)-IFERROR(VALUE($D6&amp;""),0))))))&amp;""),(IFERROR(VALUE($E6&amp;""),0)-IFERROR(VALUE($D6&amp;""),0))&amp;"")&amp;" horas")=0,"0",ROUND(("Pasa del tope en "&amp;IF(ISNUMBER((IFERROR(VALUE($E6&amp;""),0)-IFERROR(VALUE($D6&amp;""),0))),IF((IFERROR(VALUE($E6&amp;""),0)-IFERROR(VALUE($D6&amp;""),0))=0,"0",ROUND((IFERROR(VALUE($E6&amp;""),0)-IFERROR(VALUE($D6&amp;""),0)),9-INT(LOG10(ABS((IFERROR(VALUE($E6&amp;""),0)-IFERROR(VALUE($D6&amp;""),0))))))&amp;""),(IFERROR(VALUE($E6&amp;""),0)-IFERROR(VALUE($D6&amp;""),0))&amp;"")&amp;" horas"),9-INT(LOG10(ABS(("Pasa del tope en "&amp;IF(ISNUMBER((IFERROR(VALUE($E6&amp;""),0)-IFERROR(VALUE($D6&amp;""),0))),IF((IFERROR(VALUE($E6&amp;""),0)-IFERROR(VALUE($D6&amp;""),0))=0,"0",ROUND((IFERROR(VALUE($E6&amp;""),0)-IFERROR(VALUE($D6&amp;""),0)),9-INT(LOG10(ABS((IFERROR(VALUE($E6&amp;""),0)-IFERROR(VALUE($D6&amp;""),0))))))&amp;""),(IFERROR(VALUE($E6&amp;""),0)-IFERROR(VALUE($D6&amp;""),0))&amp;"")&amp;" horas")))))&amp;""),("Pasa del tope en "&amp;IF(ISNUMBER((IFERROR(VALUE($E6&amp;""),0)-IFERROR(VALUE($D6&amp;""),0))),IF((IFERROR(VALUE($E6&amp;""),0)-IFERROR(VALUE($D6&amp;""),0))=0,"0",ROUND((IFERROR(VALUE($E6&amp;""),0)-IFERROR(VALUE($D6&amp;""),0)),9-INT(LOG10(ABS((IFERROR(VALUE($E6&amp;""),0)-IFERROR(VALUE($D6&amp;""),0))))))&amp;""),(IFERROR(VALUE($E6&amp;""),0)-IFERROR(VALUE($D6&amp;""),0))&amp;"")&amp;" horas")&amp;""),""),3,32767))</f>
        <v/>
      </c>
      <c r="I6" s="3">
        <f>IF(OR((IFERROR(VALUE($E6&amp;""),0)&gt;IFERROR(VALUE($D6&amp;""),0))),3,0)</f>
        <v/>
      </c>
    </row>
    <row r="7">
      <c r="A7" s="3" t="inlineStr">
        <is>
          <t>ROTO</t>
        </is>
      </c>
      <c r="B7" s="3" t="inlineStr">
        <is>
          <t>Rosa Torres</t>
        </is>
      </c>
      <c r="C7" s="3" t="inlineStr">
        <is>
          <t>Dra.</t>
        </is>
      </c>
      <c r="D7" s="3" t="n">
        <v>160</v>
      </c>
      <c r="E7" s="3">
        <f>IF(AND($A7=""),"",SUMPRODUCT(1*(((('Asignacion'!$A$4:$A$34&lt;&gt;""))&gt;0))*((EXACT('Asignacion'!$E$4:$E$34,$A7)))*(IFERROR(VALUE('Asignacion'!$G$4:$G$34&amp;""),0))))</f>
        <v/>
      </c>
      <c r="F7" s="3">
        <f>IF(AND($A7=""),"",SUMPRODUCT(1*(((('Asignacion'!$A$4:$A$34&lt;&gt;""))&gt;0))*((EXACT('Asignacion'!$E$4:$E$34,$A7)))*(IFERROR(VALUE('Asignacion'!$K$4:$K$34&amp;""),0))))</f>
        <v/>
      </c>
      <c r="G7" s="3">
        <f>IF(AND($A7=""),"",SUMPRODUCT(1*EXACT(LEFT('Detalle - Lo que imparte'!$A$4:$A$11,LEN(($A7&amp;CHAR(30)))),($A7&amp;CHAR(30)))))</f>
        <v/>
      </c>
      <c r="H7" s="3">
        <f>IF(AND($A7=""),"",MID(IF((IFERROR(VALUE($E7&amp;""),0)&gt;IFERROR(VALUE($D7&amp;""),0)),"; "&amp;IF(ISNUMBER(("Pasa del tope en "&amp;IF(ISNUMBER((IFERROR(VALUE($E7&amp;""),0)-IFERROR(VALUE($D7&amp;""),0))),IF((IFERROR(VALUE($E7&amp;""),0)-IFERROR(VALUE($D7&amp;""),0))=0,"0",ROUND((IFERROR(VALUE($E7&amp;""),0)-IFERROR(VALUE($D7&amp;""),0)),9-INT(LOG10(ABS((IFERROR(VALUE($E7&amp;""),0)-IFERROR(VALUE($D7&amp;""),0))))))&amp;""),(IFERROR(VALUE($E7&amp;""),0)-IFERROR(VALUE($D7&amp;""),0))&amp;"")&amp;" horas")),IF(("Pasa del tope en "&amp;IF(ISNUMBER((IFERROR(VALUE($E7&amp;""),0)-IFERROR(VALUE($D7&amp;""),0))),IF((IFERROR(VALUE($E7&amp;""),0)-IFERROR(VALUE($D7&amp;""),0))=0,"0",ROUND((IFERROR(VALUE($E7&amp;""),0)-IFERROR(VALUE($D7&amp;""),0)),9-INT(LOG10(ABS((IFERROR(VALUE($E7&amp;""),0)-IFERROR(VALUE($D7&amp;""),0))))))&amp;""),(IFERROR(VALUE($E7&amp;""),0)-IFERROR(VALUE($D7&amp;""),0))&amp;"")&amp;" horas")=0,"0",ROUND(("Pasa del tope en "&amp;IF(ISNUMBER((IFERROR(VALUE($E7&amp;""),0)-IFERROR(VALUE($D7&amp;""),0))),IF((IFERROR(VALUE($E7&amp;""),0)-IFERROR(VALUE($D7&amp;""),0))=0,"0",ROUND((IFERROR(VALUE($E7&amp;""),0)-IFERROR(VALUE($D7&amp;""),0)),9-INT(LOG10(ABS((IFERROR(VALUE($E7&amp;""),0)-IFERROR(VALUE($D7&amp;""),0))))))&amp;""),(IFERROR(VALUE($E7&amp;""),0)-IFERROR(VALUE($D7&amp;""),0))&amp;"")&amp;" horas"),9-INT(LOG10(ABS(("Pasa del tope en "&amp;IF(ISNUMBER((IFERROR(VALUE($E7&amp;""),0)-IFERROR(VALUE($D7&amp;""),0))),IF((IFERROR(VALUE($E7&amp;""),0)-IFERROR(VALUE($D7&amp;""),0))=0,"0",ROUND((IFERROR(VALUE($E7&amp;""),0)-IFERROR(VALUE($D7&amp;""),0)),9-INT(LOG10(ABS((IFERROR(VALUE($E7&amp;""),0)-IFERROR(VALUE($D7&amp;""),0))))))&amp;""),(IFERROR(VALUE($E7&amp;""),0)-IFERROR(VALUE($D7&amp;""),0))&amp;"")&amp;" horas")))))&amp;""),("Pasa del tope en "&amp;IF(ISNUMBER((IFERROR(VALUE($E7&amp;""),0)-IFERROR(VALUE($D7&amp;""),0))),IF((IFERROR(VALUE($E7&amp;""),0)-IFERROR(VALUE($D7&amp;""),0))=0,"0",ROUND((IFERROR(VALUE($E7&amp;""),0)-IFERROR(VALUE($D7&amp;""),0)),9-INT(LOG10(ABS((IFERROR(VALUE($E7&amp;""),0)-IFERROR(VALUE($D7&amp;""),0))))))&amp;""),(IFERROR(VALUE($E7&amp;""),0)-IFERROR(VALUE($D7&amp;""),0))&amp;"")&amp;" horas")&amp;""),""),3,32767))</f>
        <v/>
      </c>
      <c r="I7" s="3">
        <f>IF(OR((IFERROR(VALUE($E7&amp;""),0)&gt;IFERROR(VALUE($D7&amp;""),0))),3,0)</f>
        <v/>
      </c>
    </row>
    <row r="8">
      <c r="A8" s="4" t="n"/>
      <c r="B8" s="4" t="n"/>
      <c r="C8" s="4" t="n"/>
      <c r="D8" s="4" t="n"/>
      <c r="E8" s="3">
        <f>IF(AND($A8=""),"",SUMPRODUCT(1*(((('Asignacion'!$A$4:$A$34&lt;&gt;""))&gt;0))*((EXACT('Asignacion'!$E$4:$E$34,$A8)))*(IFERROR(VALUE('Asignacion'!$G$4:$G$34&amp;""),0))))</f>
        <v/>
      </c>
      <c r="F8" s="3">
        <f>IF(AND($A8=""),"",SUMPRODUCT(1*(((('Asignacion'!$A$4:$A$34&lt;&gt;""))&gt;0))*((EXACT('Asignacion'!$E$4:$E$34,$A8)))*(IFERROR(VALUE('Asignacion'!$K$4:$K$34&amp;""),0))))</f>
        <v/>
      </c>
      <c r="G8" s="3">
        <f>IF(AND($A8=""),"",SUMPRODUCT(1*EXACT(LEFT('Detalle - Lo que imparte'!$A$4:$A$11,LEN(($A8&amp;CHAR(30)))),($A8&amp;CHAR(30)))))</f>
        <v/>
      </c>
      <c r="H8" s="3">
        <f>IF(AND($A8=""),"",MID(IF((IFERROR(VALUE($E8&amp;""),0)&gt;IFERROR(VALUE($D8&amp;""),0)),"; "&amp;IF(ISNUMBER(("Pasa del tope en "&amp;IF(ISNUMBER((IFERROR(VALUE($E8&amp;""),0)-IFERROR(VALUE($D8&amp;""),0))),IF((IFERROR(VALUE($E8&amp;""),0)-IFERROR(VALUE($D8&amp;""),0))=0,"0",ROUND((IFERROR(VALUE($E8&amp;""),0)-IFERROR(VALUE($D8&amp;""),0)),9-INT(LOG10(ABS((IFERROR(VALUE($E8&amp;""),0)-IFERROR(VALUE($D8&amp;""),0))))))&amp;""),(IFERROR(VALUE($E8&amp;""),0)-IFERROR(VALUE($D8&amp;""),0))&amp;"")&amp;" horas")),IF(("Pasa del tope en "&amp;IF(ISNUMBER((IFERROR(VALUE($E8&amp;""),0)-IFERROR(VALUE($D8&amp;""),0))),IF((IFERROR(VALUE($E8&amp;""),0)-IFERROR(VALUE($D8&amp;""),0))=0,"0",ROUND((IFERROR(VALUE($E8&amp;""),0)-IFERROR(VALUE($D8&amp;""),0)),9-INT(LOG10(ABS((IFERROR(VALUE($E8&amp;""),0)-IFERROR(VALUE($D8&amp;""),0))))))&amp;""),(IFERROR(VALUE($E8&amp;""),0)-IFERROR(VALUE($D8&amp;""),0))&amp;"")&amp;" horas")=0,"0",ROUND(("Pasa del tope en "&amp;IF(ISNUMBER((IFERROR(VALUE($E8&amp;""),0)-IFERROR(VALUE($D8&amp;""),0))),IF((IFERROR(VALUE($E8&amp;""),0)-IFERROR(VALUE($D8&amp;""),0))=0,"0",ROUND((IFERROR(VALUE($E8&amp;""),0)-IFERROR(VALUE($D8&amp;""),0)),9-INT(LOG10(ABS((IFERROR(VALUE($E8&amp;""),0)-IFERROR(VALUE($D8&amp;""),0))))))&amp;""),(IFERROR(VALUE($E8&amp;""),0)-IFERROR(VALUE($D8&amp;""),0))&amp;"")&amp;" horas"),9-INT(LOG10(ABS(("Pasa del tope en "&amp;IF(ISNUMBER((IFERROR(VALUE($E8&amp;""),0)-IFERROR(VALUE($D8&amp;""),0))),IF((IFERROR(VALUE($E8&amp;""),0)-IFERROR(VALUE($D8&amp;""),0))=0,"0",ROUND((IFERROR(VALUE($E8&amp;""),0)-IFERROR(VALUE($D8&amp;""),0)),9-INT(LOG10(ABS((IFERROR(VALUE($E8&amp;""),0)-IFERROR(VALUE($D8&amp;""),0))))))&amp;""),(IFERROR(VALUE($E8&amp;""),0)-IFERROR(VALUE($D8&amp;""),0))&amp;"")&amp;" horas")))))&amp;""),("Pasa del tope en "&amp;IF(ISNUMBER((IFERROR(VALUE($E8&amp;""),0)-IFERROR(VALUE($D8&amp;""),0))),IF((IFERROR(VALUE($E8&amp;""),0)-IFERROR(VALUE($D8&amp;""),0))=0,"0",ROUND((IFERROR(VALUE($E8&amp;""),0)-IFERROR(VALUE($D8&amp;""),0)),9-INT(LOG10(ABS((IFERROR(VALUE($E8&amp;""),0)-IFERROR(VALUE($D8&amp;""),0))))))&amp;""),(IFERROR(VALUE($E8&amp;""),0)-IFERROR(VALUE($D8&amp;""),0))&amp;"")&amp;" horas")&amp;""),""),3,32767))</f>
        <v/>
      </c>
      <c r="I8" s="3">
        <f>IF(OR((IFERROR(VALUE($E8&amp;""),0)&gt;IFERROR(VALUE($D8&amp;""),0))),3,0)</f>
        <v/>
      </c>
    </row>
    <row r="9">
      <c r="A9" s="4" t="n"/>
      <c r="B9" s="4" t="n"/>
      <c r="C9" s="4" t="n"/>
      <c r="D9" s="4" t="n"/>
      <c r="E9" s="3">
        <f>IF(AND($A9=""),"",SUMPRODUCT(1*(((('Asignacion'!$A$4:$A$34&lt;&gt;""))&gt;0))*((EXACT('Asignacion'!$E$4:$E$34,$A9)))*(IFERROR(VALUE('Asignacion'!$G$4:$G$34&amp;""),0))))</f>
        <v/>
      </c>
      <c r="F9" s="3">
        <f>IF(AND($A9=""),"",SUMPRODUCT(1*(((('Asignacion'!$A$4:$A$34&lt;&gt;""))&gt;0))*((EXACT('Asignacion'!$E$4:$E$34,$A9)))*(IFERROR(VALUE('Asignacion'!$K$4:$K$34&amp;""),0))))</f>
        <v/>
      </c>
      <c r="G9" s="3">
        <f>IF(AND($A9=""),"",SUMPRODUCT(1*EXACT(LEFT('Detalle - Lo que imparte'!$A$4:$A$11,LEN(($A9&amp;CHAR(30)))),($A9&amp;CHAR(30)))))</f>
        <v/>
      </c>
      <c r="H9" s="3">
        <f>IF(AND($A9=""),"",MID(IF((IFERROR(VALUE($E9&amp;""),0)&gt;IFERROR(VALUE($D9&amp;""),0)),"; "&amp;IF(ISNUMBER(("Pasa del tope en "&amp;IF(ISNUMBER((IFERROR(VALUE($E9&amp;""),0)-IFERROR(VALUE($D9&amp;""),0))),IF((IFERROR(VALUE($E9&amp;""),0)-IFERROR(VALUE($D9&amp;""),0))=0,"0",ROUND((IFERROR(VALUE($E9&amp;""),0)-IFERROR(VALUE($D9&amp;""),0)),9-INT(LOG10(ABS((IFERROR(VALUE($E9&amp;""),0)-IFERROR(VALUE($D9&amp;""),0))))))&amp;""),(IFERROR(VALUE($E9&amp;""),0)-IFERROR(VALUE($D9&amp;""),0))&amp;"")&amp;" horas")),IF(("Pasa del tope en "&amp;IF(ISNUMBER((IFERROR(VALUE($E9&amp;""),0)-IFERROR(VALUE($D9&amp;""),0))),IF((IFERROR(VALUE($E9&amp;""),0)-IFERROR(VALUE($D9&amp;""),0))=0,"0",ROUND((IFERROR(VALUE($E9&amp;""),0)-IFERROR(VALUE($D9&amp;""),0)),9-INT(LOG10(ABS((IFERROR(VALUE($E9&amp;""),0)-IFERROR(VALUE($D9&amp;""),0))))))&amp;""),(IFERROR(VALUE($E9&amp;""),0)-IFERROR(VALUE($D9&amp;""),0))&amp;"")&amp;" horas")=0,"0",ROUND(("Pasa del tope en "&amp;IF(ISNUMBER((IFERROR(VALUE($E9&amp;""),0)-IFERROR(VALUE($D9&amp;""),0))),IF((IFERROR(VALUE($E9&amp;""),0)-IFERROR(VALUE($D9&amp;""),0))=0,"0",ROUND((IFERROR(VALUE($E9&amp;""),0)-IFERROR(VALUE($D9&amp;""),0)),9-INT(LOG10(ABS((IFERROR(VALUE($E9&amp;""),0)-IFERROR(VALUE($D9&amp;""),0))))))&amp;""),(IFERROR(VALUE($E9&amp;""),0)-IFERROR(VALUE($D9&amp;""),0))&amp;"")&amp;" horas"),9-INT(LOG10(ABS(("Pasa del tope en "&amp;IF(ISNUMBER((IFERROR(VALUE($E9&amp;""),0)-IFERROR(VALUE($D9&amp;""),0))),IF((IFERROR(VALUE($E9&amp;""),0)-IFERROR(VALUE($D9&amp;""),0))=0,"0",ROUND((IFERROR(VALUE($E9&amp;""),0)-IFERROR(VALUE($D9&amp;""),0)),9-INT(LOG10(ABS((IFERROR(VALUE($E9&amp;""),0)-IFERROR(VALUE($D9&amp;""),0))))))&amp;""),(IFERROR(VALUE($E9&amp;""),0)-IFERROR(VALUE($D9&amp;""),0))&amp;"")&amp;" horas")))))&amp;""),("Pasa del tope en "&amp;IF(ISNUMBER((IFERROR(VALUE($E9&amp;""),0)-IFERROR(VALUE($D9&amp;""),0))),IF((IFERROR(VALUE($E9&amp;""),0)-IFERROR(VALUE($D9&amp;""),0))=0,"0",ROUND((IFERROR(VALUE($E9&amp;""),0)-IFERROR(VALUE($D9&amp;""),0)),9-INT(LOG10(ABS((IFERROR(VALUE($E9&amp;""),0)-IFERROR(VALUE($D9&amp;""),0))))))&amp;""),(IFERROR(VALUE($E9&amp;""),0)-IFERROR(VALUE($D9&amp;""),0))&amp;"")&amp;" horas")&amp;""),""),3,32767))</f>
        <v/>
      </c>
      <c r="I9" s="3">
        <f>IF(OR((IFERROR(VALUE($E9&amp;""),0)&gt;IFERROR(VALUE($D9&amp;""),0))),3,0)</f>
        <v/>
      </c>
    </row>
    <row r="10">
      <c r="A10" s="4" t="n"/>
      <c r="B10" s="4" t="n"/>
      <c r="C10" s="4" t="n"/>
      <c r="D10" s="4" t="n"/>
      <c r="E10" s="3">
        <f>IF(AND($A10=""),"",SUMPRODUCT(1*(((('Asignacion'!$A$4:$A$34&lt;&gt;""))&gt;0))*((EXACT('Asignacion'!$E$4:$E$34,$A10)))*(IFERROR(VALUE('Asignacion'!$G$4:$G$34&amp;""),0))))</f>
        <v/>
      </c>
      <c r="F10" s="3">
        <f>IF(AND($A10=""),"",SUMPRODUCT(1*(((('Asignacion'!$A$4:$A$34&lt;&gt;""))&gt;0))*((EXACT('Asignacion'!$E$4:$E$34,$A10)))*(IFERROR(VALUE('Asignacion'!$K$4:$K$34&amp;""),0))))</f>
        <v/>
      </c>
      <c r="G10" s="3">
        <f>IF(AND($A10=""),"",SUMPRODUCT(1*EXACT(LEFT('Detalle - Lo que imparte'!$A$4:$A$11,LEN(($A10&amp;CHAR(30)))),($A10&amp;CHAR(30)))))</f>
        <v/>
      </c>
      <c r="H10" s="3">
        <f>IF(AND($A10=""),"",MID(IF((IFERROR(VALUE($E10&amp;""),0)&gt;IFERROR(VALUE($D10&amp;""),0)),"; "&amp;IF(ISNUMBER(("Pasa del tope en "&amp;IF(ISNUMBER((IFERROR(VALUE($E10&amp;""),0)-IFERROR(VALUE($D10&amp;""),0))),IF((IFERROR(VALUE($E10&amp;""),0)-IFERROR(VALUE($D10&amp;""),0))=0,"0",ROUND((IFERROR(VALUE($E10&amp;""),0)-IFERROR(VALUE($D10&amp;""),0)),9-INT(LOG10(ABS((IFERROR(VALUE($E10&amp;""),0)-IFERROR(VALUE($D10&amp;""),0))))))&amp;""),(IFERROR(VALUE($E10&amp;""),0)-IFERROR(VALUE($D10&amp;""),0))&amp;"")&amp;" horas")),IF(("Pasa del tope en "&amp;IF(ISNUMBER((IFERROR(VALUE($E10&amp;""),0)-IFERROR(VALUE($D10&amp;""),0))),IF((IFERROR(VALUE($E10&amp;""),0)-IFERROR(VALUE($D10&amp;""),0))=0,"0",ROUND((IFERROR(VALUE($E10&amp;""),0)-IFERROR(VALUE($D10&amp;""),0)),9-INT(LOG10(ABS((IFERROR(VALUE($E10&amp;""),0)-IFERROR(VALUE($D10&amp;""),0))))))&amp;""),(IFERROR(VALUE($E10&amp;""),0)-IFERROR(VALUE($D10&amp;""),0))&amp;"")&amp;" horas")=0,"0",ROUND(("Pasa del tope en "&amp;IF(ISNUMBER((IFERROR(VALUE($E10&amp;""),0)-IFERROR(VALUE($D10&amp;""),0))),IF((IFERROR(VALUE($E10&amp;""),0)-IFERROR(VALUE($D10&amp;""),0))=0,"0",ROUND((IFERROR(VALUE($E10&amp;""),0)-IFERROR(VALUE($D10&amp;""),0)),9-INT(LOG10(ABS((IFERROR(VALUE($E10&amp;""),0)-IFERROR(VALUE($D10&amp;""),0))))))&amp;""),(IFERROR(VALUE($E10&amp;""),0)-IFERROR(VALUE($D10&amp;""),0))&amp;"")&amp;" horas"),9-INT(LOG10(ABS(("Pasa del tope en "&amp;IF(ISNUMBER((IFERROR(VALUE($E10&amp;""),0)-IFERROR(VALUE($D10&amp;""),0))),IF((IFERROR(VALUE($E10&amp;""),0)-IFERROR(VALUE($D10&amp;""),0))=0,"0",ROUND((IFERROR(VALUE($E10&amp;""),0)-IFERROR(VALUE($D10&amp;""),0)),9-INT(LOG10(ABS((IFERROR(VALUE($E10&amp;""),0)-IFERROR(VALUE($D10&amp;""),0))))))&amp;""),(IFERROR(VALUE($E10&amp;""),0)-IFERROR(VALUE($D10&amp;""),0))&amp;"")&amp;" horas")))))&amp;""),("Pasa del tope en "&amp;IF(ISNUMBER((IFERROR(VALUE($E10&amp;""),0)-IFERROR(VALUE($D10&amp;""),0))),IF((IFERROR(VALUE($E10&amp;""),0)-IFERROR(VALUE($D10&amp;""),0))=0,"0",ROUND((IFERROR(VALUE($E10&amp;""),0)-IFERROR(VALUE($D10&amp;""),0)),9-INT(LOG10(ABS((IFERROR(VALUE($E10&amp;""),0)-IFERROR(VALUE($D10&amp;""),0))))))&amp;""),(IFERROR(VALUE($E10&amp;""),0)-IFERROR(VALUE($D10&amp;""),0))&amp;"")&amp;" horas")&amp;""),""),3,32767))</f>
        <v/>
      </c>
      <c r="I10" s="3">
        <f>IF(OR((IFERROR(VALUE($E10&amp;""),0)&gt;IFERROR(VALUE($D10&amp;""),0))),3,0)</f>
        <v/>
      </c>
    </row>
    <row r="11">
      <c r="A11" s="4" t="n"/>
      <c r="B11" s="4" t="n"/>
      <c r="C11" s="4" t="n"/>
      <c r="D11" s="4" t="n"/>
      <c r="E11" s="3">
        <f>IF(AND($A11=""),"",SUMPRODUCT(1*(((('Asignacion'!$A$4:$A$34&lt;&gt;""))&gt;0))*((EXACT('Asignacion'!$E$4:$E$34,$A11)))*(IFERROR(VALUE('Asignacion'!$G$4:$G$34&amp;""),0))))</f>
        <v/>
      </c>
      <c r="F11" s="3">
        <f>IF(AND($A11=""),"",SUMPRODUCT(1*(((('Asignacion'!$A$4:$A$34&lt;&gt;""))&gt;0))*((EXACT('Asignacion'!$E$4:$E$34,$A11)))*(IFERROR(VALUE('Asignacion'!$K$4:$K$34&amp;""),0))))</f>
        <v/>
      </c>
      <c r="G11" s="3">
        <f>IF(AND($A11=""),"",SUMPRODUCT(1*EXACT(LEFT('Detalle - Lo que imparte'!$A$4:$A$11,LEN(($A11&amp;CHAR(30)))),($A11&amp;CHAR(30)))))</f>
        <v/>
      </c>
      <c r="H11" s="3">
        <f>IF(AND($A11=""),"",MID(IF((IFERROR(VALUE($E11&amp;""),0)&gt;IFERROR(VALUE($D11&amp;""),0)),"; "&amp;IF(ISNUMBER(("Pasa del tope en "&amp;IF(ISNUMBER((IFERROR(VALUE($E11&amp;""),0)-IFERROR(VALUE($D11&amp;""),0))),IF((IFERROR(VALUE($E11&amp;""),0)-IFERROR(VALUE($D11&amp;""),0))=0,"0",ROUND((IFERROR(VALUE($E11&amp;""),0)-IFERROR(VALUE($D11&amp;""),0)),9-INT(LOG10(ABS((IFERROR(VALUE($E11&amp;""),0)-IFERROR(VALUE($D11&amp;""),0))))))&amp;""),(IFERROR(VALUE($E11&amp;""),0)-IFERROR(VALUE($D11&amp;""),0))&amp;"")&amp;" horas")),IF(("Pasa del tope en "&amp;IF(ISNUMBER((IFERROR(VALUE($E11&amp;""),0)-IFERROR(VALUE($D11&amp;""),0))),IF((IFERROR(VALUE($E11&amp;""),0)-IFERROR(VALUE($D11&amp;""),0))=0,"0",ROUND((IFERROR(VALUE($E11&amp;""),0)-IFERROR(VALUE($D11&amp;""),0)),9-INT(LOG10(ABS((IFERROR(VALUE($E11&amp;""),0)-IFERROR(VALUE($D11&amp;""),0))))))&amp;""),(IFERROR(VALUE($E11&amp;""),0)-IFERROR(VALUE($D11&amp;""),0))&amp;"")&amp;" horas")=0,"0",ROUND(("Pasa del tope en "&amp;IF(ISNUMBER((IFERROR(VALUE($E11&amp;""),0)-IFERROR(VALUE($D11&amp;""),0))),IF((IFERROR(VALUE($E11&amp;""),0)-IFERROR(VALUE($D11&amp;""),0))=0,"0",ROUND((IFERROR(VALUE($E11&amp;""),0)-IFERROR(VALUE($D11&amp;""),0)),9-INT(LOG10(ABS((IFERROR(VALUE($E11&amp;""),0)-IFERROR(VALUE($D11&amp;""),0))))))&amp;""),(IFERROR(VALUE($E11&amp;""),0)-IFERROR(VALUE($D11&amp;""),0))&amp;"")&amp;" horas"),9-INT(LOG10(ABS(("Pasa del tope en "&amp;IF(ISNUMBER((IFERROR(VALUE($E11&amp;""),0)-IFERROR(VALUE($D11&amp;""),0))),IF((IFERROR(VALUE($E11&amp;""),0)-IFERROR(VALUE($D11&amp;""),0))=0,"0",ROUND((IFERROR(VALUE($E11&amp;""),0)-IFERROR(VALUE($D11&amp;""),0)),9-INT(LOG10(ABS((IFERROR(VALUE($E11&amp;""),0)-IFERROR(VALUE($D11&amp;""),0))))))&amp;""),(IFERROR(VALUE($E11&amp;""),0)-IFERROR(VALUE($D11&amp;""),0))&amp;"")&amp;" horas")))))&amp;""),("Pasa del tope en "&amp;IF(ISNUMBER((IFERROR(VALUE($E11&amp;""),0)-IFERROR(VALUE($D11&amp;""),0))),IF((IFERROR(VALUE($E11&amp;""),0)-IFERROR(VALUE($D11&amp;""),0))=0,"0",ROUND((IFERROR(VALUE($E11&amp;""),0)-IFERROR(VALUE($D11&amp;""),0)),9-INT(LOG10(ABS((IFERROR(VALUE($E11&amp;""),0)-IFERROR(VALUE($D11&amp;""),0))))))&amp;""),(IFERROR(VALUE($E11&amp;""),0)-IFERROR(VALUE($D11&amp;""),0))&amp;"")&amp;" horas")&amp;""),""),3,32767))</f>
        <v/>
      </c>
      <c r="I11" s="3">
        <f>IF(OR((IFERROR(VALUE($E11&amp;""),0)&gt;IFERROR(VALUE($D11&amp;""),0))),3,0)</f>
        <v/>
      </c>
    </row>
    <row r="12">
      <c r="A12" s="4" t="n"/>
      <c r="B12" s="4" t="n"/>
      <c r="C12" s="4" t="n"/>
      <c r="D12" s="4" t="n"/>
      <c r="E12" s="3">
        <f>IF(AND($A12=""),"",SUMPRODUCT(1*(((('Asignacion'!$A$4:$A$34&lt;&gt;""))&gt;0))*((EXACT('Asignacion'!$E$4:$E$34,$A12)))*(IFERROR(VALUE('Asignacion'!$G$4:$G$34&amp;""),0))))</f>
        <v/>
      </c>
      <c r="F12" s="3">
        <f>IF(AND($A12=""),"",SUMPRODUCT(1*(((('Asignacion'!$A$4:$A$34&lt;&gt;""))&gt;0))*((EXACT('Asignacion'!$E$4:$E$34,$A12)))*(IFERROR(VALUE('Asignacion'!$K$4:$K$34&amp;""),0))))</f>
        <v/>
      </c>
      <c r="G12" s="3">
        <f>IF(AND($A12=""),"",SUMPRODUCT(1*EXACT(LEFT('Detalle - Lo que imparte'!$A$4:$A$11,LEN(($A12&amp;CHAR(30)))),($A12&amp;CHAR(30)))))</f>
        <v/>
      </c>
      <c r="H12" s="3">
        <f>IF(AND($A12=""),"",MID(IF((IFERROR(VALUE($E12&amp;""),0)&gt;IFERROR(VALUE($D12&amp;""),0)),"; "&amp;IF(ISNUMBER(("Pasa del tope en "&amp;IF(ISNUMBER((IFERROR(VALUE($E12&amp;""),0)-IFERROR(VALUE($D12&amp;""),0))),IF((IFERROR(VALUE($E12&amp;""),0)-IFERROR(VALUE($D12&amp;""),0))=0,"0",ROUND((IFERROR(VALUE($E12&amp;""),0)-IFERROR(VALUE($D12&amp;""),0)),9-INT(LOG10(ABS((IFERROR(VALUE($E12&amp;""),0)-IFERROR(VALUE($D12&amp;""),0))))))&amp;""),(IFERROR(VALUE($E12&amp;""),0)-IFERROR(VALUE($D12&amp;""),0))&amp;"")&amp;" horas")),IF(("Pasa del tope en "&amp;IF(ISNUMBER((IFERROR(VALUE($E12&amp;""),0)-IFERROR(VALUE($D12&amp;""),0))),IF((IFERROR(VALUE($E12&amp;""),0)-IFERROR(VALUE($D12&amp;""),0))=0,"0",ROUND((IFERROR(VALUE($E12&amp;""),0)-IFERROR(VALUE($D12&amp;""),0)),9-INT(LOG10(ABS((IFERROR(VALUE($E12&amp;""),0)-IFERROR(VALUE($D12&amp;""),0))))))&amp;""),(IFERROR(VALUE($E12&amp;""),0)-IFERROR(VALUE($D12&amp;""),0))&amp;"")&amp;" horas")=0,"0",ROUND(("Pasa del tope en "&amp;IF(ISNUMBER((IFERROR(VALUE($E12&amp;""),0)-IFERROR(VALUE($D12&amp;""),0))),IF((IFERROR(VALUE($E12&amp;""),0)-IFERROR(VALUE($D12&amp;""),0))=0,"0",ROUND((IFERROR(VALUE($E12&amp;""),0)-IFERROR(VALUE($D12&amp;""),0)),9-INT(LOG10(ABS((IFERROR(VALUE($E12&amp;""),0)-IFERROR(VALUE($D12&amp;""),0))))))&amp;""),(IFERROR(VALUE($E12&amp;""),0)-IFERROR(VALUE($D12&amp;""),0))&amp;"")&amp;" horas"),9-INT(LOG10(ABS(("Pasa del tope en "&amp;IF(ISNUMBER((IFERROR(VALUE($E12&amp;""),0)-IFERROR(VALUE($D12&amp;""),0))),IF((IFERROR(VALUE($E12&amp;""),0)-IFERROR(VALUE($D12&amp;""),0))=0,"0",ROUND((IFERROR(VALUE($E12&amp;""),0)-IFERROR(VALUE($D12&amp;""),0)),9-INT(LOG10(ABS((IFERROR(VALUE($E12&amp;""),0)-IFERROR(VALUE($D12&amp;""),0))))))&amp;""),(IFERROR(VALUE($E12&amp;""),0)-IFERROR(VALUE($D12&amp;""),0))&amp;"")&amp;" horas")))))&amp;""),("Pasa del tope en "&amp;IF(ISNUMBER((IFERROR(VALUE($E12&amp;""),0)-IFERROR(VALUE($D12&amp;""),0))),IF((IFERROR(VALUE($E12&amp;""),0)-IFERROR(VALUE($D12&amp;""),0))=0,"0",ROUND((IFERROR(VALUE($E12&amp;""),0)-IFERROR(VALUE($D12&amp;""),0)),9-INT(LOG10(ABS((IFERROR(VALUE($E12&amp;""),0)-IFERROR(VALUE($D12&amp;""),0))))))&amp;""),(IFERROR(VALUE($E12&amp;""),0)-IFERROR(VALUE($D12&amp;""),0))&amp;"")&amp;" horas")&amp;""),""),3,32767))</f>
        <v/>
      </c>
      <c r="I12" s="3">
        <f>IF(OR((IFERROR(VALUE($E12&amp;""),0)&gt;IFERROR(VALUE($D12&amp;""),0))),3,0)</f>
        <v/>
      </c>
    </row>
    <row r="13">
      <c r="A13" s="4" t="n"/>
      <c r="B13" s="4" t="n"/>
      <c r="C13" s="4" t="n"/>
      <c r="D13" s="4" t="n"/>
      <c r="E13" s="3">
        <f>IF(AND($A13=""),"",SUMPRODUCT(1*(((('Asignacion'!$A$4:$A$34&lt;&gt;""))&gt;0))*((EXACT('Asignacion'!$E$4:$E$34,$A13)))*(IFERROR(VALUE('Asignacion'!$G$4:$G$34&amp;""),0))))</f>
        <v/>
      </c>
      <c r="F13" s="3">
        <f>IF(AND($A13=""),"",SUMPRODUCT(1*(((('Asignacion'!$A$4:$A$34&lt;&gt;""))&gt;0))*((EXACT('Asignacion'!$E$4:$E$34,$A13)))*(IFERROR(VALUE('Asignacion'!$K$4:$K$34&amp;""),0))))</f>
        <v/>
      </c>
      <c r="G13" s="3">
        <f>IF(AND($A13=""),"",SUMPRODUCT(1*EXACT(LEFT('Detalle - Lo que imparte'!$A$4:$A$11,LEN(($A13&amp;CHAR(30)))),($A13&amp;CHAR(30)))))</f>
        <v/>
      </c>
      <c r="H13" s="3">
        <f>IF(AND($A13=""),"",MID(IF((IFERROR(VALUE($E13&amp;""),0)&gt;IFERROR(VALUE($D13&amp;""),0)),"; "&amp;IF(ISNUMBER(("Pasa del tope en "&amp;IF(ISNUMBER((IFERROR(VALUE($E13&amp;""),0)-IFERROR(VALUE($D13&amp;""),0))),IF((IFERROR(VALUE($E13&amp;""),0)-IFERROR(VALUE($D13&amp;""),0))=0,"0",ROUND((IFERROR(VALUE($E13&amp;""),0)-IFERROR(VALUE($D13&amp;""),0)),9-INT(LOG10(ABS((IFERROR(VALUE($E13&amp;""),0)-IFERROR(VALUE($D13&amp;""),0))))))&amp;""),(IFERROR(VALUE($E13&amp;""),0)-IFERROR(VALUE($D13&amp;""),0))&amp;"")&amp;" horas")),IF(("Pasa del tope en "&amp;IF(ISNUMBER((IFERROR(VALUE($E13&amp;""),0)-IFERROR(VALUE($D13&amp;""),0))),IF((IFERROR(VALUE($E13&amp;""),0)-IFERROR(VALUE($D13&amp;""),0))=0,"0",ROUND((IFERROR(VALUE($E13&amp;""),0)-IFERROR(VALUE($D13&amp;""),0)),9-INT(LOG10(ABS((IFERROR(VALUE($E13&amp;""),0)-IFERROR(VALUE($D13&amp;""),0))))))&amp;""),(IFERROR(VALUE($E13&amp;""),0)-IFERROR(VALUE($D13&amp;""),0))&amp;"")&amp;" horas")=0,"0",ROUND(("Pasa del tope en "&amp;IF(ISNUMBER((IFERROR(VALUE($E13&amp;""),0)-IFERROR(VALUE($D13&amp;""),0))),IF((IFERROR(VALUE($E13&amp;""),0)-IFERROR(VALUE($D13&amp;""),0))=0,"0",ROUND((IFERROR(VALUE($E13&amp;""),0)-IFERROR(VALUE($D13&amp;""),0)),9-INT(LOG10(ABS((IFERROR(VALUE($E13&amp;""),0)-IFERROR(VALUE($D13&amp;""),0))))))&amp;""),(IFERROR(VALUE($E13&amp;""),0)-IFERROR(VALUE($D13&amp;""),0))&amp;"")&amp;" horas"),9-INT(LOG10(ABS(("Pasa del tope en "&amp;IF(ISNUMBER((IFERROR(VALUE($E13&amp;""),0)-IFERROR(VALUE($D13&amp;""),0))),IF((IFERROR(VALUE($E13&amp;""),0)-IFERROR(VALUE($D13&amp;""),0))=0,"0",ROUND((IFERROR(VALUE($E13&amp;""),0)-IFERROR(VALUE($D13&amp;""),0)),9-INT(LOG10(ABS((IFERROR(VALUE($E13&amp;""),0)-IFERROR(VALUE($D13&amp;""),0))))))&amp;""),(IFERROR(VALUE($E13&amp;""),0)-IFERROR(VALUE($D13&amp;""),0))&amp;"")&amp;" horas")))))&amp;""),("Pasa del tope en "&amp;IF(ISNUMBER((IFERROR(VALUE($E13&amp;""),0)-IFERROR(VALUE($D13&amp;""),0))),IF((IFERROR(VALUE($E13&amp;""),0)-IFERROR(VALUE($D13&amp;""),0))=0,"0",ROUND((IFERROR(VALUE($E13&amp;""),0)-IFERROR(VALUE($D13&amp;""),0)),9-INT(LOG10(ABS((IFERROR(VALUE($E13&amp;""),0)-IFERROR(VALUE($D13&amp;""),0))))))&amp;""),(IFERROR(VALUE($E13&amp;""),0)-IFERROR(VALUE($D13&amp;""),0))&amp;"")&amp;" horas")&amp;""),""),3,32767))</f>
        <v/>
      </c>
      <c r="I13" s="3">
        <f>IF(OR((IFERROR(VALUE($E13&amp;""),0)&gt;IFERROR(VALUE($D13&amp;""),0))),3,0)</f>
        <v/>
      </c>
    </row>
    <row r="14">
      <c r="A14" s="4" t="n"/>
      <c r="B14" s="4" t="n"/>
      <c r="C14" s="4" t="n"/>
      <c r="D14" s="4" t="n"/>
      <c r="E14" s="3">
        <f>IF(AND($A14=""),"",SUMPRODUCT(1*(((('Asignacion'!$A$4:$A$34&lt;&gt;""))&gt;0))*((EXACT('Asignacion'!$E$4:$E$34,$A14)))*(IFERROR(VALUE('Asignacion'!$G$4:$G$34&amp;""),0))))</f>
        <v/>
      </c>
      <c r="F14" s="3">
        <f>IF(AND($A14=""),"",SUMPRODUCT(1*(((('Asignacion'!$A$4:$A$34&lt;&gt;""))&gt;0))*((EXACT('Asignacion'!$E$4:$E$34,$A14)))*(IFERROR(VALUE('Asignacion'!$K$4:$K$34&amp;""),0))))</f>
        <v/>
      </c>
      <c r="G14" s="3">
        <f>IF(AND($A14=""),"",SUMPRODUCT(1*EXACT(LEFT('Detalle - Lo que imparte'!$A$4:$A$11,LEN(($A14&amp;CHAR(30)))),($A14&amp;CHAR(30)))))</f>
        <v/>
      </c>
      <c r="H14" s="3">
        <f>IF(AND($A14=""),"",MID(IF((IFERROR(VALUE($E14&amp;""),0)&gt;IFERROR(VALUE($D14&amp;""),0)),"; "&amp;IF(ISNUMBER(("Pasa del tope en "&amp;IF(ISNUMBER((IFERROR(VALUE($E14&amp;""),0)-IFERROR(VALUE($D14&amp;""),0))),IF((IFERROR(VALUE($E14&amp;""),0)-IFERROR(VALUE($D14&amp;""),0))=0,"0",ROUND((IFERROR(VALUE($E14&amp;""),0)-IFERROR(VALUE($D14&amp;""),0)),9-INT(LOG10(ABS((IFERROR(VALUE($E14&amp;""),0)-IFERROR(VALUE($D14&amp;""),0))))))&amp;""),(IFERROR(VALUE($E14&amp;""),0)-IFERROR(VALUE($D14&amp;""),0))&amp;"")&amp;" horas")),IF(("Pasa del tope en "&amp;IF(ISNUMBER((IFERROR(VALUE($E14&amp;""),0)-IFERROR(VALUE($D14&amp;""),0))),IF((IFERROR(VALUE($E14&amp;""),0)-IFERROR(VALUE($D14&amp;""),0))=0,"0",ROUND((IFERROR(VALUE($E14&amp;""),0)-IFERROR(VALUE($D14&amp;""),0)),9-INT(LOG10(ABS((IFERROR(VALUE($E14&amp;""),0)-IFERROR(VALUE($D14&amp;""),0))))))&amp;""),(IFERROR(VALUE($E14&amp;""),0)-IFERROR(VALUE($D14&amp;""),0))&amp;"")&amp;" horas")=0,"0",ROUND(("Pasa del tope en "&amp;IF(ISNUMBER((IFERROR(VALUE($E14&amp;""),0)-IFERROR(VALUE($D14&amp;""),0))),IF((IFERROR(VALUE($E14&amp;""),0)-IFERROR(VALUE($D14&amp;""),0))=0,"0",ROUND((IFERROR(VALUE($E14&amp;""),0)-IFERROR(VALUE($D14&amp;""),0)),9-INT(LOG10(ABS((IFERROR(VALUE($E14&amp;""),0)-IFERROR(VALUE($D14&amp;""),0))))))&amp;""),(IFERROR(VALUE($E14&amp;""),0)-IFERROR(VALUE($D14&amp;""),0))&amp;"")&amp;" horas"),9-INT(LOG10(ABS(("Pasa del tope en "&amp;IF(ISNUMBER((IFERROR(VALUE($E14&amp;""),0)-IFERROR(VALUE($D14&amp;""),0))),IF((IFERROR(VALUE($E14&amp;""),0)-IFERROR(VALUE($D14&amp;""),0))=0,"0",ROUND((IFERROR(VALUE($E14&amp;""),0)-IFERROR(VALUE($D14&amp;""),0)),9-INT(LOG10(ABS((IFERROR(VALUE($E14&amp;""),0)-IFERROR(VALUE($D14&amp;""),0))))))&amp;""),(IFERROR(VALUE($E14&amp;""),0)-IFERROR(VALUE($D14&amp;""),0))&amp;"")&amp;" horas")))))&amp;""),("Pasa del tope en "&amp;IF(ISNUMBER((IFERROR(VALUE($E14&amp;""),0)-IFERROR(VALUE($D14&amp;""),0))),IF((IFERROR(VALUE($E14&amp;""),0)-IFERROR(VALUE($D14&amp;""),0))=0,"0",ROUND((IFERROR(VALUE($E14&amp;""),0)-IFERROR(VALUE($D14&amp;""),0)),9-INT(LOG10(ABS((IFERROR(VALUE($E14&amp;""),0)-IFERROR(VALUE($D14&amp;""),0))))))&amp;""),(IFERROR(VALUE($E14&amp;""),0)-IFERROR(VALUE($D14&amp;""),0))&amp;"")&amp;" horas")&amp;""),""),3,32767))</f>
        <v/>
      </c>
      <c r="I14" s="3">
        <f>IF(OR((IFERROR(VALUE($E14&amp;""),0)&gt;IFERROR(VALUE($D14&amp;""),0))),3,0)</f>
        <v/>
      </c>
    </row>
    <row r="15">
      <c r="A15" s="4" t="n"/>
      <c r="B15" s="4" t="n"/>
      <c r="C15" s="4" t="n"/>
      <c r="D15" s="4" t="n"/>
      <c r="E15" s="3">
        <f>IF(AND($A15=""),"",SUMPRODUCT(1*(((('Asignacion'!$A$4:$A$34&lt;&gt;""))&gt;0))*((EXACT('Asignacion'!$E$4:$E$34,$A15)))*(IFERROR(VALUE('Asignacion'!$G$4:$G$34&amp;""),0))))</f>
        <v/>
      </c>
      <c r="F15" s="3">
        <f>IF(AND($A15=""),"",SUMPRODUCT(1*(((('Asignacion'!$A$4:$A$34&lt;&gt;""))&gt;0))*((EXACT('Asignacion'!$E$4:$E$34,$A15)))*(IFERROR(VALUE('Asignacion'!$K$4:$K$34&amp;""),0))))</f>
        <v/>
      </c>
      <c r="G15" s="3">
        <f>IF(AND($A15=""),"",SUMPRODUCT(1*EXACT(LEFT('Detalle - Lo que imparte'!$A$4:$A$11,LEN(($A15&amp;CHAR(30)))),($A15&amp;CHAR(30)))))</f>
        <v/>
      </c>
      <c r="H15" s="3">
        <f>IF(AND($A15=""),"",MID(IF((IFERROR(VALUE($E15&amp;""),0)&gt;IFERROR(VALUE($D15&amp;""),0)),"; "&amp;IF(ISNUMBER(("Pasa del tope en "&amp;IF(ISNUMBER((IFERROR(VALUE($E15&amp;""),0)-IFERROR(VALUE($D15&amp;""),0))),IF((IFERROR(VALUE($E15&amp;""),0)-IFERROR(VALUE($D15&amp;""),0))=0,"0",ROUND((IFERROR(VALUE($E15&amp;""),0)-IFERROR(VALUE($D15&amp;""),0)),9-INT(LOG10(ABS((IFERROR(VALUE($E15&amp;""),0)-IFERROR(VALUE($D15&amp;""),0))))))&amp;""),(IFERROR(VALUE($E15&amp;""),0)-IFERROR(VALUE($D15&amp;""),0))&amp;"")&amp;" horas")),IF(("Pasa del tope en "&amp;IF(ISNUMBER((IFERROR(VALUE($E15&amp;""),0)-IFERROR(VALUE($D15&amp;""),0))),IF((IFERROR(VALUE($E15&amp;""),0)-IFERROR(VALUE($D15&amp;""),0))=0,"0",ROUND((IFERROR(VALUE($E15&amp;""),0)-IFERROR(VALUE($D15&amp;""),0)),9-INT(LOG10(ABS((IFERROR(VALUE($E15&amp;""),0)-IFERROR(VALUE($D15&amp;""),0))))))&amp;""),(IFERROR(VALUE($E15&amp;""),0)-IFERROR(VALUE($D15&amp;""),0))&amp;"")&amp;" horas")=0,"0",ROUND(("Pasa del tope en "&amp;IF(ISNUMBER((IFERROR(VALUE($E15&amp;""),0)-IFERROR(VALUE($D15&amp;""),0))),IF((IFERROR(VALUE($E15&amp;""),0)-IFERROR(VALUE($D15&amp;""),0))=0,"0",ROUND((IFERROR(VALUE($E15&amp;""),0)-IFERROR(VALUE($D15&amp;""),0)),9-INT(LOG10(ABS((IFERROR(VALUE($E15&amp;""),0)-IFERROR(VALUE($D15&amp;""),0))))))&amp;""),(IFERROR(VALUE($E15&amp;""),0)-IFERROR(VALUE($D15&amp;""),0))&amp;"")&amp;" horas"),9-INT(LOG10(ABS(("Pasa del tope en "&amp;IF(ISNUMBER((IFERROR(VALUE($E15&amp;""),0)-IFERROR(VALUE($D15&amp;""),0))),IF((IFERROR(VALUE($E15&amp;""),0)-IFERROR(VALUE($D15&amp;""),0))=0,"0",ROUND((IFERROR(VALUE($E15&amp;""),0)-IFERROR(VALUE($D15&amp;""),0)),9-INT(LOG10(ABS((IFERROR(VALUE($E15&amp;""),0)-IFERROR(VALUE($D15&amp;""),0))))))&amp;""),(IFERROR(VALUE($E15&amp;""),0)-IFERROR(VALUE($D15&amp;""),0))&amp;"")&amp;" horas")))))&amp;""),("Pasa del tope en "&amp;IF(ISNUMBER((IFERROR(VALUE($E15&amp;""),0)-IFERROR(VALUE($D15&amp;""),0))),IF((IFERROR(VALUE($E15&amp;""),0)-IFERROR(VALUE($D15&amp;""),0))=0,"0",ROUND((IFERROR(VALUE($E15&amp;""),0)-IFERROR(VALUE($D15&amp;""),0)),9-INT(LOG10(ABS((IFERROR(VALUE($E15&amp;""),0)-IFERROR(VALUE($D15&amp;""),0))))))&amp;""),(IFERROR(VALUE($E15&amp;""),0)-IFERROR(VALUE($D15&amp;""),0))&amp;"")&amp;" horas")&amp;""),""),3,32767))</f>
        <v/>
      </c>
      <c r="I15" s="3">
        <f>IF(OR((IFERROR(VALUE($E15&amp;""),0)&gt;IFERROR(VALUE($D15&amp;""),0))),3,0)</f>
        <v/>
      </c>
    </row>
    <row r="16">
      <c r="A16" s="4" t="n"/>
      <c r="B16" s="4" t="n"/>
      <c r="C16" s="4" t="n"/>
      <c r="D16" s="4" t="n"/>
      <c r="E16" s="3">
        <f>IF(AND($A16=""),"",SUMPRODUCT(1*(((('Asignacion'!$A$4:$A$34&lt;&gt;""))&gt;0))*((EXACT('Asignacion'!$E$4:$E$34,$A16)))*(IFERROR(VALUE('Asignacion'!$G$4:$G$34&amp;""),0))))</f>
        <v/>
      </c>
      <c r="F16" s="3">
        <f>IF(AND($A16=""),"",SUMPRODUCT(1*(((('Asignacion'!$A$4:$A$34&lt;&gt;""))&gt;0))*((EXACT('Asignacion'!$E$4:$E$34,$A16)))*(IFERROR(VALUE('Asignacion'!$K$4:$K$34&amp;""),0))))</f>
        <v/>
      </c>
      <c r="G16" s="3">
        <f>IF(AND($A16=""),"",SUMPRODUCT(1*EXACT(LEFT('Detalle - Lo que imparte'!$A$4:$A$11,LEN(($A16&amp;CHAR(30)))),($A16&amp;CHAR(30)))))</f>
        <v/>
      </c>
      <c r="H16" s="3">
        <f>IF(AND($A16=""),"",MID(IF((IFERROR(VALUE($E16&amp;""),0)&gt;IFERROR(VALUE($D16&amp;""),0)),"; "&amp;IF(ISNUMBER(("Pasa del tope en "&amp;IF(ISNUMBER((IFERROR(VALUE($E16&amp;""),0)-IFERROR(VALUE($D16&amp;""),0))),IF((IFERROR(VALUE($E16&amp;""),0)-IFERROR(VALUE($D16&amp;""),0))=0,"0",ROUND((IFERROR(VALUE($E16&amp;""),0)-IFERROR(VALUE($D16&amp;""),0)),9-INT(LOG10(ABS((IFERROR(VALUE($E16&amp;""),0)-IFERROR(VALUE($D16&amp;""),0))))))&amp;""),(IFERROR(VALUE($E16&amp;""),0)-IFERROR(VALUE($D16&amp;""),0))&amp;"")&amp;" horas")),IF(("Pasa del tope en "&amp;IF(ISNUMBER((IFERROR(VALUE($E16&amp;""),0)-IFERROR(VALUE($D16&amp;""),0))),IF((IFERROR(VALUE($E16&amp;""),0)-IFERROR(VALUE($D16&amp;""),0))=0,"0",ROUND((IFERROR(VALUE($E16&amp;""),0)-IFERROR(VALUE($D16&amp;""),0)),9-INT(LOG10(ABS((IFERROR(VALUE($E16&amp;""),0)-IFERROR(VALUE($D16&amp;""),0))))))&amp;""),(IFERROR(VALUE($E16&amp;""),0)-IFERROR(VALUE($D16&amp;""),0))&amp;"")&amp;" horas")=0,"0",ROUND(("Pasa del tope en "&amp;IF(ISNUMBER((IFERROR(VALUE($E16&amp;""),0)-IFERROR(VALUE($D16&amp;""),0))),IF((IFERROR(VALUE($E16&amp;""),0)-IFERROR(VALUE($D16&amp;""),0))=0,"0",ROUND((IFERROR(VALUE($E16&amp;""),0)-IFERROR(VALUE($D16&amp;""),0)),9-INT(LOG10(ABS((IFERROR(VALUE($E16&amp;""),0)-IFERROR(VALUE($D16&amp;""),0))))))&amp;""),(IFERROR(VALUE($E16&amp;""),0)-IFERROR(VALUE($D16&amp;""),0))&amp;"")&amp;" horas"),9-INT(LOG10(ABS(("Pasa del tope en "&amp;IF(ISNUMBER((IFERROR(VALUE($E16&amp;""),0)-IFERROR(VALUE($D16&amp;""),0))),IF((IFERROR(VALUE($E16&amp;""),0)-IFERROR(VALUE($D16&amp;""),0))=0,"0",ROUND((IFERROR(VALUE($E16&amp;""),0)-IFERROR(VALUE($D16&amp;""),0)),9-INT(LOG10(ABS((IFERROR(VALUE($E16&amp;""),0)-IFERROR(VALUE($D16&amp;""),0))))))&amp;""),(IFERROR(VALUE($E16&amp;""),0)-IFERROR(VALUE($D16&amp;""),0))&amp;"")&amp;" horas")))))&amp;""),("Pasa del tope en "&amp;IF(ISNUMBER((IFERROR(VALUE($E16&amp;""),0)-IFERROR(VALUE($D16&amp;""),0))),IF((IFERROR(VALUE($E16&amp;""),0)-IFERROR(VALUE($D16&amp;""),0))=0,"0",ROUND((IFERROR(VALUE($E16&amp;""),0)-IFERROR(VALUE($D16&amp;""),0)),9-INT(LOG10(ABS((IFERROR(VALUE($E16&amp;""),0)-IFERROR(VALUE($D16&amp;""),0))))))&amp;""),(IFERROR(VALUE($E16&amp;""),0)-IFERROR(VALUE($D16&amp;""),0))&amp;"")&amp;" horas")&amp;""),""),3,32767))</f>
        <v/>
      </c>
      <c r="I16" s="3">
        <f>IF(OR((IFERROR(VALUE($E16&amp;""),0)&gt;IFERROR(VALUE($D16&amp;""),0))),3,0)</f>
        <v/>
      </c>
    </row>
    <row r="17">
      <c r="A17" s="4" t="n"/>
      <c r="B17" s="4" t="n"/>
      <c r="C17" s="4" t="n"/>
      <c r="D17" s="4" t="n"/>
      <c r="E17" s="3">
        <f>IF(AND($A17=""),"",SUMPRODUCT(1*(((('Asignacion'!$A$4:$A$34&lt;&gt;""))&gt;0))*((EXACT('Asignacion'!$E$4:$E$34,$A17)))*(IFERROR(VALUE('Asignacion'!$G$4:$G$34&amp;""),0))))</f>
        <v/>
      </c>
      <c r="F17" s="3">
        <f>IF(AND($A17=""),"",SUMPRODUCT(1*(((('Asignacion'!$A$4:$A$34&lt;&gt;""))&gt;0))*((EXACT('Asignacion'!$E$4:$E$34,$A17)))*(IFERROR(VALUE('Asignacion'!$K$4:$K$34&amp;""),0))))</f>
        <v/>
      </c>
      <c r="G17" s="3">
        <f>IF(AND($A17=""),"",SUMPRODUCT(1*EXACT(LEFT('Detalle - Lo que imparte'!$A$4:$A$11,LEN(($A17&amp;CHAR(30)))),($A17&amp;CHAR(30)))))</f>
        <v/>
      </c>
      <c r="H17" s="3">
        <f>IF(AND($A17=""),"",MID(IF((IFERROR(VALUE($E17&amp;""),0)&gt;IFERROR(VALUE($D17&amp;""),0)),"; "&amp;IF(ISNUMBER(("Pasa del tope en "&amp;IF(ISNUMBER((IFERROR(VALUE($E17&amp;""),0)-IFERROR(VALUE($D17&amp;""),0))),IF((IFERROR(VALUE($E17&amp;""),0)-IFERROR(VALUE($D17&amp;""),0))=0,"0",ROUND((IFERROR(VALUE($E17&amp;""),0)-IFERROR(VALUE($D17&amp;""),0)),9-INT(LOG10(ABS((IFERROR(VALUE($E17&amp;""),0)-IFERROR(VALUE($D17&amp;""),0))))))&amp;""),(IFERROR(VALUE($E17&amp;""),0)-IFERROR(VALUE($D17&amp;""),0))&amp;"")&amp;" horas")),IF(("Pasa del tope en "&amp;IF(ISNUMBER((IFERROR(VALUE($E17&amp;""),0)-IFERROR(VALUE($D17&amp;""),0))),IF((IFERROR(VALUE($E17&amp;""),0)-IFERROR(VALUE($D17&amp;""),0))=0,"0",ROUND((IFERROR(VALUE($E17&amp;""),0)-IFERROR(VALUE($D17&amp;""),0)),9-INT(LOG10(ABS((IFERROR(VALUE($E17&amp;""),0)-IFERROR(VALUE($D17&amp;""),0))))))&amp;""),(IFERROR(VALUE($E17&amp;""),0)-IFERROR(VALUE($D17&amp;""),0))&amp;"")&amp;" horas")=0,"0",ROUND(("Pasa del tope en "&amp;IF(ISNUMBER((IFERROR(VALUE($E17&amp;""),0)-IFERROR(VALUE($D17&amp;""),0))),IF((IFERROR(VALUE($E17&amp;""),0)-IFERROR(VALUE($D17&amp;""),0))=0,"0",ROUND((IFERROR(VALUE($E17&amp;""),0)-IFERROR(VALUE($D17&amp;""),0)),9-INT(LOG10(ABS((IFERROR(VALUE($E17&amp;""),0)-IFERROR(VALUE($D17&amp;""),0))))))&amp;""),(IFERROR(VALUE($E17&amp;""),0)-IFERROR(VALUE($D17&amp;""),0))&amp;"")&amp;" horas"),9-INT(LOG10(ABS(("Pasa del tope en "&amp;IF(ISNUMBER((IFERROR(VALUE($E17&amp;""),0)-IFERROR(VALUE($D17&amp;""),0))),IF((IFERROR(VALUE($E17&amp;""),0)-IFERROR(VALUE($D17&amp;""),0))=0,"0",ROUND((IFERROR(VALUE($E17&amp;""),0)-IFERROR(VALUE($D17&amp;""),0)),9-INT(LOG10(ABS((IFERROR(VALUE($E17&amp;""),0)-IFERROR(VALUE($D17&amp;""),0))))))&amp;""),(IFERROR(VALUE($E17&amp;""),0)-IFERROR(VALUE($D17&amp;""),0))&amp;"")&amp;" horas")))))&amp;""),("Pasa del tope en "&amp;IF(ISNUMBER((IFERROR(VALUE($E17&amp;""),0)-IFERROR(VALUE($D17&amp;""),0))),IF((IFERROR(VALUE($E17&amp;""),0)-IFERROR(VALUE($D17&amp;""),0))=0,"0",ROUND((IFERROR(VALUE($E17&amp;""),0)-IFERROR(VALUE($D17&amp;""),0)),9-INT(LOG10(ABS((IFERROR(VALUE($E17&amp;""),0)-IFERROR(VALUE($D17&amp;""),0))))))&amp;""),(IFERROR(VALUE($E17&amp;""),0)-IFERROR(VALUE($D17&amp;""),0))&amp;"")&amp;" horas")&amp;""),""),3,32767))</f>
        <v/>
      </c>
      <c r="I17" s="3">
        <f>IF(OR((IFERROR(VALUE($E17&amp;""),0)&gt;IFERROR(VALUE($D17&amp;""),0))),3,0)</f>
        <v/>
      </c>
    </row>
    <row r="18">
      <c r="A18" s="4" t="n"/>
      <c r="B18" s="4" t="n"/>
      <c r="C18" s="4" t="n"/>
      <c r="D18" s="4" t="n"/>
      <c r="E18" s="3">
        <f>IF(AND($A18=""),"",SUMPRODUCT(1*(((('Asignacion'!$A$4:$A$34&lt;&gt;""))&gt;0))*((EXACT('Asignacion'!$E$4:$E$34,$A18)))*(IFERROR(VALUE('Asignacion'!$G$4:$G$34&amp;""),0))))</f>
        <v/>
      </c>
      <c r="F18" s="3">
        <f>IF(AND($A18=""),"",SUMPRODUCT(1*(((('Asignacion'!$A$4:$A$34&lt;&gt;""))&gt;0))*((EXACT('Asignacion'!$E$4:$E$34,$A18)))*(IFERROR(VALUE('Asignacion'!$K$4:$K$34&amp;""),0))))</f>
        <v/>
      </c>
      <c r="G18" s="3">
        <f>IF(AND($A18=""),"",SUMPRODUCT(1*EXACT(LEFT('Detalle - Lo que imparte'!$A$4:$A$11,LEN(($A18&amp;CHAR(30)))),($A18&amp;CHAR(30)))))</f>
        <v/>
      </c>
      <c r="H18" s="3">
        <f>IF(AND($A18=""),"",MID(IF((IFERROR(VALUE($E18&amp;""),0)&gt;IFERROR(VALUE($D18&amp;""),0)),"; "&amp;IF(ISNUMBER(("Pasa del tope en "&amp;IF(ISNUMBER((IFERROR(VALUE($E18&amp;""),0)-IFERROR(VALUE($D18&amp;""),0))),IF((IFERROR(VALUE($E18&amp;""),0)-IFERROR(VALUE($D18&amp;""),0))=0,"0",ROUND((IFERROR(VALUE($E18&amp;""),0)-IFERROR(VALUE($D18&amp;""),0)),9-INT(LOG10(ABS((IFERROR(VALUE($E18&amp;""),0)-IFERROR(VALUE($D18&amp;""),0))))))&amp;""),(IFERROR(VALUE($E18&amp;""),0)-IFERROR(VALUE($D18&amp;""),0))&amp;"")&amp;" horas")),IF(("Pasa del tope en "&amp;IF(ISNUMBER((IFERROR(VALUE($E18&amp;""),0)-IFERROR(VALUE($D18&amp;""),0))),IF((IFERROR(VALUE($E18&amp;""),0)-IFERROR(VALUE($D18&amp;""),0))=0,"0",ROUND((IFERROR(VALUE($E18&amp;""),0)-IFERROR(VALUE($D18&amp;""),0)),9-INT(LOG10(ABS((IFERROR(VALUE($E18&amp;""),0)-IFERROR(VALUE($D18&amp;""),0))))))&amp;""),(IFERROR(VALUE($E18&amp;""),0)-IFERROR(VALUE($D18&amp;""),0))&amp;"")&amp;" horas")=0,"0",ROUND(("Pasa del tope en "&amp;IF(ISNUMBER((IFERROR(VALUE($E18&amp;""),0)-IFERROR(VALUE($D18&amp;""),0))),IF((IFERROR(VALUE($E18&amp;""),0)-IFERROR(VALUE($D18&amp;""),0))=0,"0",ROUND((IFERROR(VALUE($E18&amp;""),0)-IFERROR(VALUE($D18&amp;""),0)),9-INT(LOG10(ABS((IFERROR(VALUE($E18&amp;""),0)-IFERROR(VALUE($D18&amp;""),0))))))&amp;""),(IFERROR(VALUE($E18&amp;""),0)-IFERROR(VALUE($D18&amp;""),0))&amp;"")&amp;" horas"),9-INT(LOG10(ABS(("Pasa del tope en "&amp;IF(ISNUMBER((IFERROR(VALUE($E18&amp;""),0)-IFERROR(VALUE($D18&amp;""),0))),IF((IFERROR(VALUE($E18&amp;""),0)-IFERROR(VALUE($D18&amp;""),0))=0,"0",ROUND((IFERROR(VALUE($E18&amp;""),0)-IFERROR(VALUE($D18&amp;""),0)),9-INT(LOG10(ABS((IFERROR(VALUE($E18&amp;""),0)-IFERROR(VALUE($D18&amp;""),0))))))&amp;""),(IFERROR(VALUE($E18&amp;""),0)-IFERROR(VALUE($D18&amp;""),0))&amp;"")&amp;" horas")))))&amp;""),("Pasa del tope en "&amp;IF(ISNUMBER((IFERROR(VALUE($E18&amp;""),0)-IFERROR(VALUE($D18&amp;""),0))),IF((IFERROR(VALUE($E18&amp;""),0)-IFERROR(VALUE($D18&amp;""),0))=0,"0",ROUND((IFERROR(VALUE($E18&amp;""),0)-IFERROR(VALUE($D18&amp;""),0)),9-INT(LOG10(ABS((IFERROR(VALUE($E18&amp;""),0)-IFERROR(VALUE($D18&amp;""),0))))))&amp;""),(IFERROR(VALUE($E18&amp;""),0)-IFERROR(VALUE($D18&amp;""),0))&amp;"")&amp;" horas")&amp;""),""),3,32767))</f>
        <v/>
      </c>
      <c r="I18" s="3">
        <f>IF(OR((IFERROR(VALUE($E18&amp;""),0)&gt;IFERROR(VALUE($D18&amp;""),0))),3,0)</f>
        <v/>
      </c>
    </row>
    <row r="19">
      <c r="A19" s="4" t="n"/>
      <c r="B19" s="4" t="n"/>
      <c r="C19" s="4" t="n"/>
      <c r="D19" s="4" t="n"/>
      <c r="E19" s="3">
        <f>IF(AND($A19=""),"",SUMPRODUCT(1*(((('Asignacion'!$A$4:$A$34&lt;&gt;""))&gt;0))*((EXACT('Asignacion'!$E$4:$E$34,$A19)))*(IFERROR(VALUE('Asignacion'!$G$4:$G$34&amp;""),0))))</f>
        <v/>
      </c>
      <c r="F19" s="3">
        <f>IF(AND($A19=""),"",SUMPRODUCT(1*(((('Asignacion'!$A$4:$A$34&lt;&gt;""))&gt;0))*((EXACT('Asignacion'!$E$4:$E$34,$A19)))*(IFERROR(VALUE('Asignacion'!$K$4:$K$34&amp;""),0))))</f>
        <v/>
      </c>
      <c r="G19" s="3">
        <f>IF(AND($A19=""),"",SUMPRODUCT(1*EXACT(LEFT('Detalle - Lo que imparte'!$A$4:$A$11,LEN(($A19&amp;CHAR(30)))),($A19&amp;CHAR(30)))))</f>
        <v/>
      </c>
      <c r="H19" s="3">
        <f>IF(AND($A19=""),"",MID(IF((IFERROR(VALUE($E19&amp;""),0)&gt;IFERROR(VALUE($D19&amp;""),0)),"; "&amp;IF(ISNUMBER(("Pasa del tope en "&amp;IF(ISNUMBER((IFERROR(VALUE($E19&amp;""),0)-IFERROR(VALUE($D19&amp;""),0))),IF((IFERROR(VALUE($E19&amp;""),0)-IFERROR(VALUE($D19&amp;""),0))=0,"0",ROUND((IFERROR(VALUE($E19&amp;""),0)-IFERROR(VALUE($D19&amp;""),0)),9-INT(LOG10(ABS((IFERROR(VALUE($E19&amp;""),0)-IFERROR(VALUE($D19&amp;""),0))))))&amp;""),(IFERROR(VALUE($E19&amp;""),0)-IFERROR(VALUE($D19&amp;""),0))&amp;"")&amp;" horas")),IF(("Pasa del tope en "&amp;IF(ISNUMBER((IFERROR(VALUE($E19&amp;""),0)-IFERROR(VALUE($D19&amp;""),0))),IF((IFERROR(VALUE($E19&amp;""),0)-IFERROR(VALUE($D19&amp;""),0))=0,"0",ROUND((IFERROR(VALUE($E19&amp;""),0)-IFERROR(VALUE($D19&amp;""),0)),9-INT(LOG10(ABS((IFERROR(VALUE($E19&amp;""),0)-IFERROR(VALUE($D19&amp;""),0))))))&amp;""),(IFERROR(VALUE($E19&amp;""),0)-IFERROR(VALUE($D19&amp;""),0))&amp;"")&amp;" horas")=0,"0",ROUND(("Pasa del tope en "&amp;IF(ISNUMBER((IFERROR(VALUE($E19&amp;""),0)-IFERROR(VALUE($D19&amp;""),0))),IF((IFERROR(VALUE($E19&amp;""),0)-IFERROR(VALUE($D19&amp;""),0))=0,"0",ROUND((IFERROR(VALUE($E19&amp;""),0)-IFERROR(VALUE($D19&amp;""),0)),9-INT(LOG10(ABS((IFERROR(VALUE($E19&amp;""),0)-IFERROR(VALUE($D19&amp;""),0))))))&amp;""),(IFERROR(VALUE($E19&amp;""),0)-IFERROR(VALUE($D19&amp;""),0))&amp;"")&amp;" horas"),9-INT(LOG10(ABS(("Pasa del tope en "&amp;IF(ISNUMBER((IFERROR(VALUE($E19&amp;""),0)-IFERROR(VALUE($D19&amp;""),0))),IF((IFERROR(VALUE($E19&amp;""),0)-IFERROR(VALUE($D19&amp;""),0))=0,"0",ROUND((IFERROR(VALUE($E19&amp;""),0)-IFERROR(VALUE($D19&amp;""),0)),9-INT(LOG10(ABS((IFERROR(VALUE($E19&amp;""),0)-IFERROR(VALUE($D19&amp;""),0))))))&amp;""),(IFERROR(VALUE($E19&amp;""),0)-IFERROR(VALUE($D19&amp;""),0))&amp;"")&amp;" horas")))))&amp;""),("Pasa del tope en "&amp;IF(ISNUMBER((IFERROR(VALUE($E19&amp;""),0)-IFERROR(VALUE($D19&amp;""),0))),IF((IFERROR(VALUE($E19&amp;""),0)-IFERROR(VALUE($D19&amp;""),0))=0,"0",ROUND((IFERROR(VALUE($E19&amp;""),0)-IFERROR(VALUE($D19&amp;""),0)),9-INT(LOG10(ABS((IFERROR(VALUE($E19&amp;""),0)-IFERROR(VALUE($D19&amp;""),0))))))&amp;""),(IFERROR(VALUE($E19&amp;""),0)-IFERROR(VALUE($D19&amp;""),0))&amp;"")&amp;" horas")&amp;""),""),3,32767))</f>
        <v/>
      </c>
      <c r="I19" s="3">
        <f>IF(OR((IFERROR(VALUE($E19&amp;""),0)&gt;IFERROR(VALUE($D19&amp;""),0))),3,0)</f>
        <v/>
      </c>
    </row>
    <row r="20">
      <c r="A20" s="4" t="n"/>
      <c r="B20" s="4" t="n"/>
      <c r="C20" s="4" t="n"/>
      <c r="D20" s="4" t="n"/>
      <c r="E20" s="3">
        <f>IF(AND($A20=""),"",SUMPRODUCT(1*(((('Asignacion'!$A$4:$A$34&lt;&gt;""))&gt;0))*((EXACT('Asignacion'!$E$4:$E$34,$A20)))*(IFERROR(VALUE('Asignacion'!$G$4:$G$34&amp;""),0))))</f>
        <v/>
      </c>
      <c r="F20" s="3">
        <f>IF(AND($A20=""),"",SUMPRODUCT(1*(((('Asignacion'!$A$4:$A$34&lt;&gt;""))&gt;0))*((EXACT('Asignacion'!$E$4:$E$34,$A20)))*(IFERROR(VALUE('Asignacion'!$K$4:$K$34&amp;""),0))))</f>
        <v/>
      </c>
      <c r="G20" s="3">
        <f>IF(AND($A20=""),"",SUMPRODUCT(1*EXACT(LEFT('Detalle - Lo que imparte'!$A$4:$A$11,LEN(($A20&amp;CHAR(30)))),($A20&amp;CHAR(30)))))</f>
        <v/>
      </c>
      <c r="H20" s="3">
        <f>IF(AND($A20=""),"",MID(IF((IFERROR(VALUE($E20&amp;""),0)&gt;IFERROR(VALUE($D20&amp;""),0)),"; "&amp;IF(ISNUMBER(("Pasa del tope en "&amp;IF(ISNUMBER((IFERROR(VALUE($E20&amp;""),0)-IFERROR(VALUE($D20&amp;""),0))),IF((IFERROR(VALUE($E20&amp;""),0)-IFERROR(VALUE($D20&amp;""),0))=0,"0",ROUND((IFERROR(VALUE($E20&amp;""),0)-IFERROR(VALUE($D20&amp;""),0)),9-INT(LOG10(ABS((IFERROR(VALUE($E20&amp;""),0)-IFERROR(VALUE($D20&amp;""),0))))))&amp;""),(IFERROR(VALUE($E20&amp;""),0)-IFERROR(VALUE($D20&amp;""),0))&amp;"")&amp;" horas")),IF(("Pasa del tope en "&amp;IF(ISNUMBER((IFERROR(VALUE($E20&amp;""),0)-IFERROR(VALUE($D20&amp;""),0))),IF((IFERROR(VALUE($E20&amp;""),0)-IFERROR(VALUE($D20&amp;""),0))=0,"0",ROUND((IFERROR(VALUE($E20&amp;""),0)-IFERROR(VALUE($D20&amp;""),0)),9-INT(LOG10(ABS((IFERROR(VALUE($E20&amp;""),0)-IFERROR(VALUE($D20&amp;""),0))))))&amp;""),(IFERROR(VALUE($E20&amp;""),0)-IFERROR(VALUE($D20&amp;""),0))&amp;"")&amp;" horas")=0,"0",ROUND(("Pasa del tope en "&amp;IF(ISNUMBER((IFERROR(VALUE($E20&amp;""),0)-IFERROR(VALUE($D20&amp;""),0))),IF((IFERROR(VALUE($E20&amp;""),0)-IFERROR(VALUE($D20&amp;""),0))=0,"0",ROUND((IFERROR(VALUE($E20&amp;""),0)-IFERROR(VALUE($D20&amp;""),0)),9-INT(LOG10(ABS((IFERROR(VALUE($E20&amp;""),0)-IFERROR(VALUE($D20&amp;""),0))))))&amp;""),(IFERROR(VALUE($E20&amp;""),0)-IFERROR(VALUE($D20&amp;""),0))&amp;"")&amp;" horas"),9-INT(LOG10(ABS(("Pasa del tope en "&amp;IF(ISNUMBER((IFERROR(VALUE($E20&amp;""),0)-IFERROR(VALUE($D20&amp;""),0))),IF((IFERROR(VALUE($E20&amp;""),0)-IFERROR(VALUE($D20&amp;""),0))=0,"0",ROUND((IFERROR(VALUE($E20&amp;""),0)-IFERROR(VALUE($D20&amp;""),0)),9-INT(LOG10(ABS((IFERROR(VALUE($E20&amp;""),0)-IFERROR(VALUE($D20&amp;""),0))))))&amp;""),(IFERROR(VALUE($E20&amp;""),0)-IFERROR(VALUE($D20&amp;""),0))&amp;"")&amp;" horas")))))&amp;""),("Pasa del tope en "&amp;IF(ISNUMBER((IFERROR(VALUE($E20&amp;""),0)-IFERROR(VALUE($D20&amp;""),0))),IF((IFERROR(VALUE($E20&amp;""),0)-IFERROR(VALUE($D20&amp;""),0))=0,"0",ROUND((IFERROR(VALUE($E20&amp;""),0)-IFERROR(VALUE($D20&amp;""),0)),9-INT(LOG10(ABS((IFERROR(VALUE($E20&amp;""),0)-IFERROR(VALUE($D20&amp;""),0))))))&amp;""),(IFERROR(VALUE($E20&amp;""),0)-IFERROR(VALUE($D20&amp;""),0))&amp;"")&amp;" horas")&amp;""),""),3,32767))</f>
        <v/>
      </c>
      <c r="I20" s="3">
        <f>IF(OR((IFERROR(VALUE($E20&amp;""),0)&gt;IFERROR(VALUE($D20&amp;""),0))),3,0)</f>
        <v/>
      </c>
    </row>
    <row r="21">
      <c r="A21" s="4" t="n"/>
      <c r="B21" s="4" t="n"/>
      <c r="C21" s="4" t="n"/>
      <c r="D21" s="4" t="n"/>
      <c r="E21" s="3">
        <f>IF(AND($A21=""),"",SUMPRODUCT(1*(((('Asignacion'!$A$4:$A$34&lt;&gt;""))&gt;0))*((EXACT('Asignacion'!$E$4:$E$34,$A21)))*(IFERROR(VALUE('Asignacion'!$G$4:$G$34&amp;""),0))))</f>
        <v/>
      </c>
      <c r="F21" s="3">
        <f>IF(AND($A21=""),"",SUMPRODUCT(1*(((('Asignacion'!$A$4:$A$34&lt;&gt;""))&gt;0))*((EXACT('Asignacion'!$E$4:$E$34,$A21)))*(IFERROR(VALUE('Asignacion'!$K$4:$K$34&amp;""),0))))</f>
        <v/>
      </c>
      <c r="G21" s="3">
        <f>IF(AND($A21=""),"",SUMPRODUCT(1*EXACT(LEFT('Detalle - Lo que imparte'!$A$4:$A$11,LEN(($A21&amp;CHAR(30)))),($A21&amp;CHAR(30)))))</f>
        <v/>
      </c>
      <c r="H21" s="3">
        <f>IF(AND($A21=""),"",MID(IF((IFERROR(VALUE($E21&amp;""),0)&gt;IFERROR(VALUE($D21&amp;""),0)),"; "&amp;IF(ISNUMBER(("Pasa del tope en "&amp;IF(ISNUMBER((IFERROR(VALUE($E21&amp;""),0)-IFERROR(VALUE($D21&amp;""),0))),IF((IFERROR(VALUE($E21&amp;""),0)-IFERROR(VALUE($D21&amp;""),0))=0,"0",ROUND((IFERROR(VALUE($E21&amp;""),0)-IFERROR(VALUE($D21&amp;""),0)),9-INT(LOG10(ABS((IFERROR(VALUE($E21&amp;""),0)-IFERROR(VALUE($D21&amp;""),0))))))&amp;""),(IFERROR(VALUE($E21&amp;""),0)-IFERROR(VALUE($D21&amp;""),0))&amp;"")&amp;" horas")),IF(("Pasa del tope en "&amp;IF(ISNUMBER((IFERROR(VALUE($E21&amp;""),0)-IFERROR(VALUE($D21&amp;""),0))),IF((IFERROR(VALUE($E21&amp;""),0)-IFERROR(VALUE($D21&amp;""),0))=0,"0",ROUND((IFERROR(VALUE($E21&amp;""),0)-IFERROR(VALUE($D21&amp;""),0)),9-INT(LOG10(ABS((IFERROR(VALUE($E21&amp;""),0)-IFERROR(VALUE($D21&amp;""),0))))))&amp;""),(IFERROR(VALUE($E21&amp;""),0)-IFERROR(VALUE($D21&amp;""),0))&amp;"")&amp;" horas")=0,"0",ROUND(("Pasa del tope en "&amp;IF(ISNUMBER((IFERROR(VALUE($E21&amp;""),0)-IFERROR(VALUE($D21&amp;""),0))),IF((IFERROR(VALUE($E21&amp;""),0)-IFERROR(VALUE($D21&amp;""),0))=0,"0",ROUND((IFERROR(VALUE($E21&amp;""),0)-IFERROR(VALUE($D21&amp;""),0)),9-INT(LOG10(ABS((IFERROR(VALUE($E21&amp;""),0)-IFERROR(VALUE($D21&amp;""),0))))))&amp;""),(IFERROR(VALUE($E21&amp;""),0)-IFERROR(VALUE($D21&amp;""),0))&amp;"")&amp;" horas"),9-INT(LOG10(ABS(("Pasa del tope en "&amp;IF(ISNUMBER((IFERROR(VALUE($E21&amp;""),0)-IFERROR(VALUE($D21&amp;""),0))),IF((IFERROR(VALUE($E21&amp;""),0)-IFERROR(VALUE($D21&amp;""),0))=0,"0",ROUND((IFERROR(VALUE($E21&amp;""),0)-IFERROR(VALUE($D21&amp;""),0)),9-INT(LOG10(ABS((IFERROR(VALUE($E21&amp;""),0)-IFERROR(VALUE($D21&amp;""),0))))))&amp;""),(IFERROR(VALUE($E21&amp;""),0)-IFERROR(VALUE($D21&amp;""),0))&amp;"")&amp;" horas")))))&amp;""),("Pasa del tope en "&amp;IF(ISNUMBER((IFERROR(VALUE($E21&amp;""),0)-IFERROR(VALUE($D21&amp;""),0))),IF((IFERROR(VALUE($E21&amp;""),0)-IFERROR(VALUE($D21&amp;""),0))=0,"0",ROUND((IFERROR(VALUE($E21&amp;""),0)-IFERROR(VALUE($D21&amp;""),0)),9-INT(LOG10(ABS((IFERROR(VALUE($E21&amp;""),0)-IFERROR(VALUE($D21&amp;""),0))))))&amp;""),(IFERROR(VALUE($E21&amp;""),0)-IFERROR(VALUE($D21&amp;""),0))&amp;"")&amp;" horas")&amp;""),""),3,32767))</f>
        <v/>
      </c>
      <c r="I21" s="3">
        <f>IF(OR((IFERROR(VALUE($E21&amp;""),0)&gt;IFERROR(VALUE($D21&amp;""),0))),3,0)</f>
        <v/>
      </c>
    </row>
    <row r="22">
      <c r="A22" s="4" t="n"/>
      <c r="B22" s="4" t="n"/>
      <c r="C22" s="4" t="n"/>
      <c r="D22" s="4" t="n"/>
      <c r="E22" s="3">
        <f>IF(AND($A22=""),"",SUMPRODUCT(1*(((('Asignacion'!$A$4:$A$34&lt;&gt;""))&gt;0))*((EXACT('Asignacion'!$E$4:$E$34,$A22)))*(IFERROR(VALUE('Asignacion'!$G$4:$G$34&amp;""),0))))</f>
        <v/>
      </c>
      <c r="F22" s="3">
        <f>IF(AND($A22=""),"",SUMPRODUCT(1*(((('Asignacion'!$A$4:$A$34&lt;&gt;""))&gt;0))*((EXACT('Asignacion'!$E$4:$E$34,$A22)))*(IFERROR(VALUE('Asignacion'!$K$4:$K$34&amp;""),0))))</f>
        <v/>
      </c>
      <c r="G22" s="3">
        <f>IF(AND($A22=""),"",SUMPRODUCT(1*EXACT(LEFT('Detalle - Lo que imparte'!$A$4:$A$11,LEN(($A22&amp;CHAR(30)))),($A22&amp;CHAR(30)))))</f>
        <v/>
      </c>
      <c r="H22" s="3">
        <f>IF(AND($A22=""),"",MID(IF((IFERROR(VALUE($E22&amp;""),0)&gt;IFERROR(VALUE($D22&amp;""),0)),"; "&amp;IF(ISNUMBER(("Pasa del tope en "&amp;IF(ISNUMBER((IFERROR(VALUE($E22&amp;""),0)-IFERROR(VALUE($D22&amp;""),0))),IF((IFERROR(VALUE($E22&amp;""),0)-IFERROR(VALUE($D22&amp;""),0))=0,"0",ROUND((IFERROR(VALUE($E22&amp;""),0)-IFERROR(VALUE($D22&amp;""),0)),9-INT(LOG10(ABS((IFERROR(VALUE($E22&amp;""),0)-IFERROR(VALUE($D22&amp;""),0))))))&amp;""),(IFERROR(VALUE($E22&amp;""),0)-IFERROR(VALUE($D22&amp;""),0))&amp;"")&amp;" horas")),IF(("Pasa del tope en "&amp;IF(ISNUMBER((IFERROR(VALUE($E22&amp;""),0)-IFERROR(VALUE($D22&amp;""),0))),IF((IFERROR(VALUE($E22&amp;""),0)-IFERROR(VALUE($D22&amp;""),0))=0,"0",ROUND((IFERROR(VALUE($E22&amp;""),0)-IFERROR(VALUE($D22&amp;""),0)),9-INT(LOG10(ABS((IFERROR(VALUE($E22&amp;""),0)-IFERROR(VALUE($D22&amp;""),0))))))&amp;""),(IFERROR(VALUE($E22&amp;""),0)-IFERROR(VALUE($D22&amp;""),0))&amp;"")&amp;" horas")=0,"0",ROUND(("Pasa del tope en "&amp;IF(ISNUMBER((IFERROR(VALUE($E22&amp;""),0)-IFERROR(VALUE($D22&amp;""),0))),IF((IFERROR(VALUE($E22&amp;""),0)-IFERROR(VALUE($D22&amp;""),0))=0,"0",ROUND((IFERROR(VALUE($E22&amp;""),0)-IFERROR(VALUE($D22&amp;""),0)),9-INT(LOG10(ABS((IFERROR(VALUE($E22&amp;""),0)-IFERROR(VALUE($D22&amp;""),0))))))&amp;""),(IFERROR(VALUE($E22&amp;""),0)-IFERROR(VALUE($D22&amp;""),0))&amp;"")&amp;" horas"),9-INT(LOG10(ABS(("Pasa del tope en "&amp;IF(ISNUMBER((IFERROR(VALUE($E22&amp;""),0)-IFERROR(VALUE($D22&amp;""),0))),IF((IFERROR(VALUE($E22&amp;""),0)-IFERROR(VALUE($D22&amp;""),0))=0,"0",ROUND((IFERROR(VALUE($E22&amp;""),0)-IFERROR(VALUE($D22&amp;""),0)),9-INT(LOG10(ABS((IFERROR(VALUE($E22&amp;""),0)-IFERROR(VALUE($D22&amp;""),0))))))&amp;""),(IFERROR(VALUE($E22&amp;""),0)-IFERROR(VALUE($D22&amp;""),0))&amp;"")&amp;" horas")))))&amp;""),("Pasa del tope en "&amp;IF(ISNUMBER((IFERROR(VALUE($E22&amp;""),0)-IFERROR(VALUE($D22&amp;""),0))),IF((IFERROR(VALUE($E22&amp;""),0)-IFERROR(VALUE($D22&amp;""),0))=0,"0",ROUND((IFERROR(VALUE($E22&amp;""),0)-IFERROR(VALUE($D22&amp;""),0)),9-INT(LOG10(ABS((IFERROR(VALUE($E22&amp;""),0)-IFERROR(VALUE($D22&amp;""),0))))))&amp;""),(IFERROR(VALUE($E22&amp;""),0)-IFERROR(VALUE($D22&amp;""),0))&amp;"")&amp;" horas")&amp;""),""),3,32767))</f>
        <v/>
      </c>
      <c r="I22" s="3">
        <f>IF(OR((IFERROR(VALUE($E22&amp;""),0)&gt;IFERROR(VALUE($D22&amp;""),0))),3,0)</f>
        <v/>
      </c>
    </row>
    <row r="23">
      <c r="A23" s="4" t="n"/>
      <c r="B23" s="4" t="n"/>
      <c r="C23" s="4" t="n"/>
      <c r="D23" s="4" t="n"/>
      <c r="E23" s="3">
        <f>IF(AND($A23=""),"",SUMPRODUCT(1*(((('Asignacion'!$A$4:$A$34&lt;&gt;""))&gt;0))*((EXACT('Asignacion'!$E$4:$E$34,$A23)))*(IFERROR(VALUE('Asignacion'!$G$4:$G$34&amp;""),0))))</f>
        <v/>
      </c>
      <c r="F23" s="3">
        <f>IF(AND($A23=""),"",SUMPRODUCT(1*(((('Asignacion'!$A$4:$A$34&lt;&gt;""))&gt;0))*((EXACT('Asignacion'!$E$4:$E$34,$A23)))*(IFERROR(VALUE('Asignacion'!$K$4:$K$34&amp;""),0))))</f>
        <v/>
      </c>
      <c r="G23" s="3">
        <f>IF(AND($A23=""),"",SUMPRODUCT(1*EXACT(LEFT('Detalle - Lo que imparte'!$A$4:$A$11,LEN(($A23&amp;CHAR(30)))),($A23&amp;CHAR(30)))))</f>
        <v/>
      </c>
      <c r="H23" s="3">
        <f>IF(AND($A23=""),"",MID(IF((IFERROR(VALUE($E23&amp;""),0)&gt;IFERROR(VALUE($D23&amp;""),0)),"; "&amp;IF(ISNUMBER(("Pasa del tope en "&amp;IF(ISNUMBER((IFERROR(VALUE($E23&amp;""),0)-IFERROR(VALUE($D23&amp;""),0))),IF((IFERROR(VALUE($E23&amp;""),0)-IFERROR(VALUE($D23&amp;""),0))=0,"0",ROUND((IFERROR(VALUE($E23&amp;""),0)-IFERROR(VALUE($D23&amp;""),0)),9-INT(LOG10(ABS((IFERROR(VALUE($E23&amp;""),0)-IFERROR(VALUE($D23&amp;""),0))))))&amp;""),(IFERROR(VALUE($E23&amp;""),0)-IFERROR(VALUE($D23&amp;""),0))&amp;"")&amp;" horas")),IF(("Pasa del tope en "&amp;IF(ISNUMBER((IFERROR(VALUE($E23&amp;""),0)-IFERROR(VALUE($D23&amp;""),0))),IF((IFERROR(VALUE($E23&amp;""),0)-IFERROR(VALUE($D23&amp;""),0))=0,"0",ROUND((IFERROR(VALUE($E23&amp;""),0)-IFERROR(VALUE($D23&amp;""),0)),9-INT(LOG10(ABS((IFERROR(VALUE($E23&amp;""),0)-IFERROR(VALUE($D23&amp;""),0))))))&amp;""),(IFERROR(VALUE($E23&amp;""),0)-IFERROR(VALUE($D23&amp;""),0))&amp;"")&amp;" horas")=0,"0",ROUND(("Pasa del tope en "&amp;IF(ISNUMBER((IFERROR(VALUE($E23&amp;""),0)-IFERROR(VALUE($D23&amp;""),0))),IF((IFERROR(VALUE($E23&amp;""),0)-IFERROR(VALUE($D23&amp;""),0))=0,"0",ROUND((IFERROR(VALUE($E23&amp;""),0)-IFERROR(VALUE($D23&amp;""),0)),9-INT(LOG10(ABS((IFERROR(VALUE($E23&amp;""),0)-IFERROR(VALUE($D23&amp;""),0))))))&amp;""),(IFERROR(VALUE($E23&amp;""),0)-IFERROR(VALUE($D23&amp;""),0))&amp;"")&amp;" horas"),9-INT(LOG10(ABS(("Pasa del tope en "&amp;IF(ISNUMBER((IFERROR(VALUE($E23&amp;""),0)-IFERROR(VALUE($D23&amp;""),0))),IF((IFERROR(VALUE($E23&amp;""),0)-IFERROR(VALUE($D23&amp;""),0))=0,"0",ROUND((IFERROR(VALUE($E23&amp;""),0)-IFERROR(VALUE($D23&amp;""),0)),9-INT(LOG10(ABS((IFERROR(VALUE($E23&amp;""),0)-IFERROR(VALUE($D23&amp;""),0))))))&amp;""),(IFERROR(VALUE($E23&amp;""),0)-IFERROR(VALUE($D23&amp;""),0))&amp;"")&amp;" horas")))))&amp;""),("Pasa del tope en "&amp;IF(ISNUMBER((IFERROR(VALUE($E23&amp;""),0)-IFERROR(VALUE($D23&amp;""),0))),IF((IFERROR(VALUE($E23&amp;""),0)-IFERROR(VALUE($D23&amp;""),0))=0,"0",ROUND((IFERROR(VALUE($E23&amp;""),0)-IFERROR(VALUE($D23&amp;""),0)),9-INT(LOG10(ABS((IFERROR(VALUE($E23&amp;""),0)-IFERROR(VALUE($D23&amp;""),0))))))&amp;""),(IFERROR(VALUE($E23&amp;""),0)-IFERROR(VALUE($D23&amp;""),0))&amp;"")&amp;" horas")&amp;""),""),3,32767))</f>
        <v/>
      </c>
      <c r="I23" s="3">
        <f>IF(OR((IFERROR(VALUE($E23&amp;""),0)&gt;IFERROR(VALUE($D23&amp;""),0))),3,0)</f>
        <v/>
      </c>
    </row>
    <row r="24">
      <c r="A24" s="4" t="n"/>
      <c r="B24" s="4" t="n"/>
      <c r="C24" s="4" t="n"/>
      <c r="D24" s="4" t="n"/>
      <c r="E24" s="3">
        <f>IF(AND($A24=""),"",SUMPRODUCT(1*(((('Asignacion'!$A$4:$A$34&lt;&gt;""))&gt;0))*((EXACT('Asignacion'!$E$4:$E$34,$A24)))*(IFERROR(VALUE('Asignacion'!$G$4:$G$34&amp;""),0))))</f>
        <v/>
      </c>
      <c r="F24" s="3">
        <f>IF(AND($A24=""),"",SUMPRODUCT(1*(((('Asignacion'!$A$4:$A$34&lt;&gt;""))&gt;0))*((EXACT('Asignacion'!$E$4:$E$34,$A24)))*(IFERROR(VALUE('Asignacion'!$K$4:$K$34&amp;""),0))))</f>
        <v/>
      </c>
      <c r="G24" s="3">
        <f>IF(AND($A24=""),"",SUMPRODUCT(1*EXACT(LEFT('Detalle - Lo que imparte'!$A$4:$A$11,LEN(($A24&amp;CHAR(30)))),($A24&amp;CHAR(30)))))</f>
        <v/>
      </c>
      <c r="H24" s="3">
        <f>IF(AND($A24=""),"",MID(IF((IFERROR(VALUE($E24&amp;""),0)&gt;IFERROR(VALUE($D24&amp;""),0)),"; "&amp;IF(ISNUMBER(("Pasa del tope en "&amp;IF(ISNUMBER((IFERROR(VALUE($E24&amp;""),0)-IFERROR(VALUE($D24&amp;""),0))),IF((IFERROR(VALUE($E24&amp;""),0)-IFERROR(VALUE($D24&amp;""),0))=0,"0",ROUND((IFERROR(VALUE($E24&amp;""),0)-IFERROR(VALUE($D24&amp;""),0)),9-INT(LOG10(ABS((IFERROR(VALUE($E24&amp;""),0)-IFERROR(VALUE($D24&amp;""),0))))))&amp;""),(IFERROR(VALUE($E24&amp;""),0)-IFERROR(VALUE($D24&amp;""),0))&amp;"")&amp;" horas")),IF(("Pasa del tope en "&amp;IF(ISNUMBER((IFERROR(VALUE($E24&amp;""),0)-IFERROR(VALUE($D24&amp;""),0))),IF((IFERROR(VALUE($E24&amp;""),0)-IFERROR(VALUE($D24&amp;""),0))=0,"0",ROUND((IFERROR(VALUE($E24&amp;""),0)-IFERROR(VALUE($D24&amp;""),0)),9-INT(LOG10(ABS((IFERROR(VALUE($E24&amp;""),0)-IFERROR(VALUE($D24&amp;""),0))))))&amp;""),(IFERROR(VALUE($E24&amp;""),0)-IFERROR(VALUE($D24&amp;""),0))&amp;"")&amp;" horas")=0,"0",ROUND(("Pasa del tope en "&amp;IF(ISNUMBER((IFERROR(VALUE($E24&amp;""),0)-IFERROR(VALUE($D24&amp;""),0))),IF((IFERROR(VALUE($E24&amp;""),0)-IFERROR(VALUE($D24&amp;""),0))=0,"0",ROUND((IFERROR(VALUE($E24&amp;""),0)-IFERROR(VALUE($D24&amp;""),0)),9-INT(LOG10(ABS((IFERROR(VALUE($E24&amp;""),0)-IFERROR(VALUE($D24&amp;""),0))))))&amp;""),(IFERROR(VALUE($E24&amp;""),0)-IFERROR(VALUE($D24&amp;""),0))&amp;"")&amp;" horas"),9-INT(LOG10(ABS(("Pasa del tope en "&amp;IF(ISNUMBER((IFERROR(VALUE($E24&amp;""),0)-IFERROR(VALUE($D24&amp;""),0))),IF((IFERROR(VALUE($E24&amp;""),0)-IFERROR(VALUE($D24&amp;""),0))=0,"0",ROUND((IFERROR(VALUE($E24&amp;""),0)-IFERROR(VALUE($D24&amp;""),0)),9-INT(LOG10(ABS((IFERROR(VALUE($E24&amp;""),0)-IFERROR(VALUE($D24&amp;""),0))))))&amp;""),(IFERROR(VALUE($E24&amp;""),0)-IFERROR(VALUE($D24&amp;""),0))&amp;"")&amp;" horas")))))&amp;""),("Pasa del tope en "&amp;IF(ISNUMBER((IFERROR(VALUE($E24&amp;""),0)-IFERROR(VALUE($D24&amp;""),0))),IF((IFERROR(VALUE($E24&amp;""),0)-IFERROR(VALUE($D24&amp;""),0))=0,"0",ROUND((IFERROR(VALUE($E24&amp;""),0)-IFERROR(VALUE($D24&amp;""),0)),9-INT(LOG10(ABS((IFERROR(VALUE($E24&amp;""),0)-IFERROR(VALUE($D24&amp;""),0))))))&amp;""),(IFERROR(VALUE($E24&amp;""),0)-IFERROR(VALUE($D24&amp;""),0))&amp;"")&amp;" horas")&amp;""),""),3,32767))</f>
        <v/>
      </c>
      <c r="I24" s="3">
        <f>IF(OR((IFERROR(VALUE($E24&amp;""),0)&gt;IFERROR(VALUE($D24&amp;""),0))),3,0)</f>
        <v/>
      </c>
    </row>
    <row r="25">
      <c r="A25" s="4" t="n"/>
      <c r="B25" s="4" t="n"/>
      <c r="C25" s="4" t="n"/>
      <c r="D25" s="4" t="n"/>
      <c r="E25" s="3">
        <f>IF(AND($A25=""),"",SUMPRODUCT(1*(((('Asignacion'!$A$4:$A$34&lt;&gt;""))&gt;0))*((EXACT('Asignacion'!$E$4:$E$34,$A25)))*(IFERROR(VALUE('Asignacion'!$G$4:$G$34&amp;""),0))))</f>
        <v/>
      </c>
      <c r="F25" s="3">
        <f>IF(AND($A25=""),"",SUMPRODUCT(1*(((('Asignacion'!$A$4:$A$34&lt;&gt;""))&gt;0))*((EXACT('Asignacion'!$E$4:$E$34,$A25)))*(IFERROR(VALUE('Asignacion'!$K$4:$K$34&amp;""),0))))</f>
        <v/>
      </c>
      <c r="G25" s="3">
        <f>IF(AND($A25=""),"",SUMPRODUCT(1*EXACT(LEFT('Detalle - Lo que imparte'!$A$4:$A$11,LEN(($A25&amp;CHAR(30)))),($A25&amp;CHAR(30)))))</f>
        <v/>
      </c>
      <c r="H25" s="3">
        <f>IF(AND($A25=""),"",MID(IF((IFERROR(VALUE($E25&amp;""),0)&gt;IFERROR(VALUE($D25&amp;""),0)),"; "&amp;IF(ISNUMBER(("Pasa del tope en "&amp;IF(ISNUMBER((IFERROR(VALUE($E25&amp;""),0)-IFERROR(VALUE($D25&amp;""),0))),IF((IFERROR(VALUE($E25&amp;""),0)-IFERROR(VALUE($D25&amp;""),0))=0,"0",ROUND((IFERROR(VALUE($E25&amp;""),0)-IFERROR(VALUE($D25&amp;""),0)),9-INT(LOG10(ABS((IFERROR(VALUE($E25&amp;""),0)-IFERROR(VALUE($D25&amp;""),0))))))&amp;""),(IFERROR(VALUE($E25&amp;""),0)-IFERROR(VALUE($D25&amp;""),0))&amp;"")&amp;" horas")),IF(("Pasa del tope en "&amp;IF(ISNUMBER((IFERROR(VALUE($E25&amp;""),0)-IFERROR(VALUE($D25&amp;""),0))),IF((IFERROR(VALUE($E25&amp;""),0)-IFERROR(VALUE($D25&amp;""),0))=0,"0",ROUND((IFERROR(VALUE($E25&amp;""),0)-IFERROR(VALUE($D25&amp;""),0)),9-INT(LOG10(ABS((IFERROR(VALUE($E25&amp;""),0)-IFERROR(VALUE($D25&amp;""),0))))))&amp;""),(IFERROR(VALUE($E25&amp;""),0)-IFERROR(VALUE($D25&amp;""),0))&amp;"")&amp;" horas")=0,"0",ROUND(("Pasa del tope en "&amp;IF(ISNUMBER((IFERROR(VALUE($E25&amp;""),0)-IFERROR(VALUE($D25&amp;""),0))),IF((IFERROR(VALUE($E25&amp;""),0)-IFERROR(VALUE($D25&amp;""),0))=0,"0",ROUND((IFERROR(VALUE($E25&amp;""),0)-IFERROR(VALUE($D25&amp;""),0)),9-INT(LOG10(ABS((IFERROR(VALUE($E25&amp;""),0)-IFERROR(VALUE($D25&amp;""),0))))))&amp;""),(IFERROR(VALUE($E25&amp;""),0)-IFERROR(VALUE($D25&amp;""),0))&amp;"")&amp;" horas"),9-INT(LOG10(ABS(("Pasa del tope en "&amp;IF(ISNUMBER((IFERROR(VALUE($E25&amp;""),0)-IFERROR(VALUE($D25&amp;""),0))),IF((IFERROR(VALUE($E25&amp;""),0)-IFERROR(VALUE($D25&amp;""),0))=0,"0",ROUND((IFERROR(VALUE($E25&amp;""),0)-IFERROR(VALUE($D25&amp;""),0)),9-INT(LOG10(ABS((IFERROR(VALUE($E25&amp;""),0)-IFERROR(VALUE($D25&amp;""),0))))))&amp;""),(IFERROR(VALUE($E25&amp;""),0)-IFERROR(VALUE($D25&amp;""),0))&amp;"")&amp;" horas")))))&amp;""),("Pasa del tope en "&amp;IF(ISNUMBER((IFERROR(VALUE($E25&amp;""),0)-IFERROR(VALUE($D25&amp;""),0))),IF((IFERROR(VALUE($E25&amp;""),0)-IFERROR(VALUE($D25&amp;""),0))=0,"0",ROUND((IFERROR(VALUE($E25&amp;""),0)-IFERROR(VALUE($D25&amp;""),0)),9-INT(LOG10(ABS((IFERROR(VALUE($E25&amp;""),0)-IFERROR(VALUE($D25&amp;""),0))))))&amp;""),(IFERROR(VALUE($E25&amp;""),0)-IFERROR(VALUE($D25&amp;""),0))&amp;"")&amp;" horas")&amp;""),""),3,32767))</f>
        <v/>
      </c>
      <c r="I25" s="3">
        <f>IF(OR((IFERROR(VALUE($E25&amp;""),0)&gt;IFERROR(VALUE($D25&amp;""),0))),3,0)</f>
        <v/>
      </c>
    </row>
    <row r="26">
      <c r="A26" s="4" t="n"/>
      <c r="B26" s="4" t="n"/>
      <c r="C26" s="4" t="n"/>
      <c r="D26" s="4" t="n"/>
      <c r="E26" s="3">
        <f>IF(AND($A26=""),"",SUMPRODUCT(1*(((('Asignacion'!$A$4:$A$34&lt;&gt;""))&gt;0))*((EXACT('Asignacion'!$E$4:$E$34,$A26)))*(IFERROR(VALUE('Asignacion'!$G$4:$G$34&amp;""),0))))</f>
        <v/>
      </c>
      <c r="F26" s="3">
        <f>IF(AND($A26=""),"",SUMPRODUCT(1*(((('Asignacion'!$A$4:$A$34&lt;&gt;""))&gt;0))*((EXACT('Asignacion'!$E$4:$E$34,$A26)))*(IFERROR(VALUE('Asignacion'!$K$4:$K$34&amp;""),0))))</f>
        <v/>
      </c>
      <c r="G26" s="3">
        <f>IF(AND($A26=""),"",SUMPRODUCT(1*EXACT(LEFT('Detalle - Lo que imparte'!$A$4:$A$11,LEN(($A26&amp;CHAR(30)))),($A26&amp;CHAR(30)))))</f>
        <v/>
      </c>
      <c r="H26" s="3">
        <f>IF(AND($A26=""),"",MID(IF((IFERROR(VALUE($E26&amp;""),0)&gt;IFERROR(VALUE($D26&amp;""),0)),"; "&amp;IF(ISNUMBER(("Pasa del tope en "&amp;IF(ISNUMBER((IFERROR(VALUE($E26&amp;""),0)-IFERROR(VALUE($D26&amp;""),0))),IF((IFERROR(VALUE($E26&amp;""),0)-IFERROR(VALUE($D26&amp;""),0))=0,"0",ROUND((IFERROR(VALUE($E26&amp;""),0)-IFERROR(VALUE($D26&amp;""),0)),9-INT(LOG10(ABS((IFERROR(VALUE($E26&amp;""),0)-IFERROR(VALUE($D26&amp;""),0))))))&amp;""),(IFERROR(VALUE($E26&amp;""),0)-IFERROR(VALUE($D26&amp;""),0))&amp;"")&amp;" horas")),IF(("Pasa del tope en "&amp;IF(ISNUMBER((IFERROR(VALUE($E26&amp;""),0)-IFERROR(VALUE($D26&amp;""),0))),IF((IFERROR(VALUE($E26&amp;""),0)-IFERROR(VALUE($D26&amp;""),0))=0,"0",ROUND((IFERROR(VALUE($E26&amp;""),0)-IFERROR(VALUE($D26&amp;""),0)),9-INT(LOG10(ABS((IFERROR(VALUE($E26&amp;""),0)-IFERROR(VALUE($D26&amp;""),0))))))&amp;""),(IFERROR(VALUE($E26&amp;""),0)-IFERROR(VALUE($D26&amp;""),0))&amp;"")&amp;" horas")=0,"0",ROUND(("Pasa del tope en "&amp;IF(ISNUMBER((IFERROR(VALUE($E26&amp;""),0)-IFERROR(VALUE($D26&amp;""),0))),IF((IFERROR(VALUE($E26&amp;""),0)-IFERROR(VALUE($D26&amp;""),0))=0,"0",ROUND((IFERROR(VALUE($E26&amp;""),0)-IFERROR(VALUE($D26&amp;""),0)),9-INT(LOG10(ABS((IFERROR(VALUE($E26&amp;""),0)-IFERROR(VALUE($D26&amp;""),0))))))&amp;""),(IFERROR(VALUE($E26&amp;""),0)-IFERROR(VALUE($D26&amp;""),0))&amp;"")&amp;" horas"),9-INT(LOG10(ABS(("Pasa del tope en "&amp;IF(ISNUMBER((IFERROR(VALUE($E26&amp;""),0)-IFERROR(VALUE($D26&amp;""),0))),IF((IFERROR(VALUE($E26&amp;""),0)-IFERROR(VALUE($D26&amp;""),0))=0,"0",ROUND((IFERROR(VALUE($E26&amp;""),0)-IFERROR(VALUE($D26&amp;""),0)),9-INT(LOG10(ABS((IFERROR(VALUE($E26&amp;""),0)-IFERROR(VALUE($D26&amp;""),0))))))&amp;""),(IFERROR(VALUE($E26&amp;""),0)-IFERROR(VALUE($D26&amp;""),0))&amp;"")&amp;" horas")))))&amp;""),("Pasa del tope en "&amp;IF(ISNUMBER((IFERROR(VALUE($E26&amp;""),0)-IFERROR(VALUE($D26&amp;""),0))),IF((IFERROR(VALUE($E26&amp;""),0)-IFERROR(VALUE($D26&amp;""),0))=0,"0",ROUND((IFERROR(VALUE($E26&amp;""),0)-IFERROR(VALUE($D26&amp;""),0)),9-INT(LOG10(ABS((IFERROR(VALUE($E26&amp;""),0)-IFERROR(VALUE($D26&amp;""),0))))))&amp;""),(IFERROR(VALUE($E26&amp;""),0)-IFERROR(VALUE($D26&amp;""),0))&amp;"")&amp;" horas")&amp;""),""),3,32767))</f>
        <v/>
      </c>
      <c r="I26" s="3">
        <f>IF(OR((IFERROR(VALUE($E26&amp;""),0)&gt;IFERROR(VALUE($D26&amp;""),0))),3,0)</f>
        <v/>
      </c>
    </row>
    <row r="27">
      <c r="A27" s="4" t="n"/>
      <c r="B27" s="4" t="n"/>
      <c r="C27" s="4" t="n"/>
      <c r="D27" s="4" t="n"/>
      <c r="E27" s="3">
        <f>IF(AND($A27=""),"",SUMPRODUCT(1*(((('Asignacion'!$A$4:$A$34&lt;&gt;""))&gt;0))*((EXACT('Asignacion'!$E$4:$E$34,$A27)))*(IFERROR(VALUE('Asignacion'!$G$4:$G$34&amp;""),0))))</f>
        <v/>
      </c>
      <c r="F27" s="3">
        <f>IF(AND($A27=""),"",SUMPRODUCT(1*(((('Asignacion'!$A$4:$A$34&lt;&gt;""))&gt;0))*((EXACT('Asignacion'!$E$4:$E$34,$A27)))*(IFERROR(VALUE('Asignacion'!$K$4:$K$34&amp;""),0))))</f>
        <v/>
      </c>
      <c r="G27" s="3">
        <f>IF(AND($A27=""),"",SUMPRODUCT(1*EXACT(LEFT('Detalle - Lo que imparte'!$A$4:$A$11,LEN(($A27&amp;CHAR(30)))),($A27&amp;CHAR(30)))))</f>
        <v/>
      </c>
      <c r="H27" s="3">
        <f>IF(AND($A27=""),"",MID(IF((IFERROR(VALUE($E27&amp;""),0)&gt;IFERROR(VALUE($D27&amp;""),0)),"; "&amp;IF(ISNUMBER(("Pasa del tope en "&amp;IF(ISNUMBER((IFERROR(VALUE($E27&amp;""),0)-IFERROR(VALUE($D27&amp;""),0))),IF((IFERROR(VALUE($E27&amp;""),0)-IFERROR(VALUE($D27&amp;""),0))=0,"0",ROUND((IFERROR(VALUE($E27&amp;""),0)-IFERROR(VALUE($D27&amp;""),0)),9-INT(LOG10(ABS((IFERROR(VALUE($E27&amp;""),0)-IFERROR(VALUE($D27&amp;""),0))))))&amp;""),(IFERROR(VALUE($E27&amp;""),0)-IFERROR(VALUE($D27&amp;""),0))&amp;"")&amp;" horas")),IF(("Pasa del tope en "&amp;IF(ISNUMBER((IFERROR(VALUE($E27&amp;""),0)-IFERROR(VALUE($D27&amp;""),0))),IF((IFERROR(VALUE($E27&amp;""),0)-IFERROR(VALUE($D27&amp;""),0))=0,"0",ROUND((IFERROR(VALUE($E27&amp;""),0)-IFERROR(VALUE($D27&amp;""),0)),9-INT(LOG10(ABS((IFERROR(VALUE($E27&amp;""),0)-IFERROR(VALUE($D27&amp;""),0))))))&amp;""),(IFERROR(VALUE($E27&amp;""),0)-IFERROR(VALUE($D27&amp;""),0))&amp;"")&amp;" horas")=0,"0",ROUND(("Pasa del tope en "&amp;IF(ISNUMBER((IFERROR(VALUE($E27&amp;""),0)-IFERROR(VALUE($D27&amp;""),0))),IF((IFERROR(VALUE($E27&amp;""),0)-IFERROR(VALUE($D27&amp;""),0))=0,"0",ROUND((IFERROR(VALUE($E27&amp;""),0)-IFERROR(VALUE($D27&amp;""),0)),9-INT(LOG10(ABS((IFERROR(VALUE($E27&amp;""),0)-IFERROR(VALUE($D27&amp;""),0))))))&amp;""),(IFERROR(VALUE($E27&amp;""),0)-IFERROR(VALUE($D27&amp;""),0))&amp;"")&amp;" horas"),9-INT(LOG10(ABS(("Pasa del tope en "&amp;IF(ISNUMBER((IFERROR(VALUE($E27&amp;""),0)-IFERROR(VALUE($D27&amp;""),0))),IF((IFERROR(VALUE($E27&amp;""),0)-IFERROR(VALUE($D27&amp;""),0))=0,"0",ROUND((IFERROR(VALUE($E27&amp;""),0)-IFERROR(VALUE($D27&amp;""),0)),9-INT(LOG10(ABS((IFERROR(VALUE($E27&amp;""),0)-IFERROR(VALUE($D27&amp;""),0))))))&amp;""),(IFERROR(VALUE($E27&amp;""),0)-IFERROR(VALUE($D27&amp;""),0))&amp;"")&amp;" horas")))))&amp;""),("Pasa del tope en "&amp;IF(ISNUMBER((IFERROR(VALUE($E27&amp;""),0)-IFERROR(VALUE($D27&amp;""),0))),IF((IFERROR(VALUE($E27&amp;""),0)-IFERROR(VALUE($D27&amp;""),0))=0,"0",ROUND((IFERROR(VALUE($E27&amp;""),0)-IFERROR(VALUE($D27&amp;""),0)),9-INT(LOG10(ABS((IFERROR(VALUE($E27&amp;""),0)-IFERROR(VALUE($D27&amp;""),0))))))&amp;""),(IFERROR(VALUE($E27&amp;""),0)-IFERROR(VALUE($D27&amp;""),0))&amp;"")&amp;" horas")&amp;""),""),3,32767))</f>
        <v/>
      </c>
      <c r="I27" s="3">
        <f>IF(OR((IFERROR(VALUE($E27&amp;""),0)&gt;IFERROR(VALUE($D27&amp;""),0))),3,0)</f>
        <v/>
      </c>
    </row>
    <row r="29">
      <c r="A29" s="5" t="inlineStr">
        <is>
          <t>Leyenda</t>
        </is>
      </c>
    </row>
    <row r="30">
      <c r="A30" s="7" t="n"/>
      <c r="B30" t="inlineStr">
        <is>
          <t>El profesor pasa de su tope de horas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conditionalFormatting sqref="E4:E27">
    <cfRule type="expression" priority="1" dxfId="1" stopIfTrue="0">
      <formula>(IFERROR(VALUE($E4&amp;""),0)&gt;IFERROR(VALUE($D4&amp;""),0))</formula>
    </cfRule>
  </conditionalFormatting>
  <conditionalFormatting sqref="D4:D27">
    <cfRule type="expression" priority="1" dxfId="1" stopIfTrue="0">
      <formula>(IFERROR(VALUE($E4&amp;""),0)&gt;IFERROR(VALUE($D4&amp;""),0))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N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7" customWidth="1" min="3" max="3"/>
    <col width="12" customWidth="1" min="4" max="4"/>
    <col width="10" customWidth="1" min="5" max="5"/>
    <col width="11" customWidth="1" min="6" max="6"/>
    <col width="20" customWidth="1" min="7" max="7"/>
    <col width="16" customWidth="1" min="8" max="8"/>
    <col width="16" customWidth="1" min="9" max="9"/>
    <col width="17" customWidth="1" min="10" max="10"/>
    <col width="14" customWidth="1" min="11" max="11"/>
    <col width="26" customWidth="1" min="12" max="12"/>
    <col width="26" customWidth="1" min="13" max="13"/>
    <col hidden="1" width="24" customWidth="1" min="14" max="14"/>
  </cols>
  <sheetData>
    <row r="1">
      <c r="A1" s="1" t="inlineStr">
        <is>
          <t>Cobertura por asignatura</t>
        </is>
      </c>
    </row>
    <row r="3">
      <c r="A3" s="2" t="inlineStr">
        <is>
          <t>Id</t>
        </is>
      </c>
      <c r="B3" s="2" t="inlineStr">
        <is>
          <t>Asignatura</t>
        </is>
      </c>
      <c r="C3" s="2" t="inlineStr">
        <is>
          <t>Carrera</t>
        </is>
      </c>
      <c r="D3" s="2" t="inlineStr">
        <is>
          <t>Horas Conf</t>
        </is>
      </c>
      <c r="E3" s="2" t="inlineStr">
        <is>
          <t>Horas CP</t>
        </is>
      </c>
      <c r="F3" s="2" t="inlineStr">
        <is>
          <t>Grupos CP</t>
        </is>
      </c>
      <c r="G3" s="2" t="inlineStr">
        <is>
          <t>Horas planificadas</t>
        </is>
      </c>
      <c r="H3" s="2" t="inlineStr">
        <is>
          <t>Filas de carga</t>
        </is>
      </c>
      <c r="I3" s="2" t="inlineStr">
        <is>
          <t>Horas en filas</t>
        </is>
      </c>
      <c r="J3" s="2" t="inlineStr">
        <is>
          <t>Horas asignadas</t>
        </is>
      </c>
      <c r="K3" s="2" t="inlineStr">
        <is>
          <t>Sin profesor</t>
        </is>
      </c>
      <c r="L3" s="2" t="inlineStr">
        <is>
          <t>Cobertura</t>
        </is>
      </c>
      <c r="M3" s="2" t="inlineStr">
        <is>
          <t>Estado</t>
        </is>
      </c>
      <c r="N3" s="2" t="inlineStr">
        <is>
          <t>(nivel de las marcas)</t>
        </is>
      </c>
    </row>
    <row r="4">
      <c r="A4" s="3" t="inlineStr">
        <is>
          <t>EST-CC</t>
        </is>
      </c>
      <c r="B4" s="3" t="inlineStr">
        <is>
          <t>Estadistica (CC)</t>
        </is>
      </c>
      <c r="C4" s="3" t="inlineStr">
        <is>
          <t>Ciencia de la Computacion</t>
        </is>
      </c>
      <c r="D4" s="3" t="n">
        <v>32</v>
      </c>
      <c r="E4" s="3" t="n">
        <v>32</v>
      </c>
      <c r="F4" s="3" t="n">
        <v>2</v>
      </c>
      <c r="G4" s="3">
        <f>IF(AND($A4=""),"",(IFERROR(VALUE($D4&amp;""),0)+IFERROR(VALUE((IFERROR(VALUE($E4&amp;""),0)*IFERROR(VALUE($F4&amp;""),0))&amp;""),0)))</f>
        <v/>
      </c>
      <c r="H4" s="3">
        <f>IF(AND($A4=""),"",SUMPRODUCT(1*(((('Asignacion'!$A$4:$A$34&lt;&gt;""))&gt;0))*((EXACT('Asignacion'!$B$4:$B$34,$A4)))))</f>
        <v/>
      </c>
      <c r="I4" s="3">
        <f>IF(AND($A4=""),"",SUMPRODUCT(1*(((('Asignacion'!$A$4:$A$34&lt;&gt;""))&gt;0))*((EXACT('Asignacion'!$B$4:$B$34,$A4)))*(IFERROR(VALUE('Asignacion'!$G$4:$G$34&amp;""),0))))</f>
        <v/>
      </c>
      <c r="J4" s="3">
        <f>IF(AND($A4=""),"",SUMPRODUCT(1*(((('Asignacion'!$A$4:$A$34&lt;&gt;""))&gt;0))*((EXACT('Asignacion'!$B$4:$B$34,$A4)))*((1-(('Asignacion'!$E$4:$E$34=""))))*(IFERROR(VALUE('Asignacion'!$G$4:$G$34&amp;""),0))))</f>
        <v/>
      </c>
      <c r="K4" s="3">
        <f>IF(AND($A4=""),"",SUMPRODUCT(1*(((('Asignacion'!$A$4:$A$34&lt;&gt;""))&gt;0))*((EXACT('Asignacion'!$B$4:$B$34,$A4)))*(('Asignacion'!$E$4:$E$34=""))))</f>
        <v/>
      </c>
      <c r="L4" s="3">
        <f>IF(AND($A4=""),"",IF(EXACT($H4,0),"Sin filas de carga",IF((IFERROR(VALUE($I4&amp;""),0)&lt;IFERROR(VALUE($G4&amp;""),0)),(IF(ISNUMBER(IF(IFERROR(VALUE((IFERROR(VALUE($G4&amp;""),0)-IFERROR(VALUE($I4&amp;""),0))&amp;""),0)=1,"Falta","Faltan")),IF(IF(IFERROR(VALUE((IFERROR(VALUE($G4&amp;""),0)-IFERROR(VALUE($I4&amp;""),0))&amp;""),0)=1,"Falta","Faltan")=0,"0",ROUND(IF(IFERROR(VALUE((IFERROR(VALUE($G4&amp;""),0)-IFERROR(VALUE($I4&amp;""),0))&amp;""),0)=1,"Falta","Faltan"),9-INT(LOG10(ABS(IF(IFERROR(VALUE((IFERROR(VALUE($G4&amp;""),0)-IFERROR(VALUE($I4&amp;""),0))&amp;""),0)=1,"Falta","Faltan")))))&amp;""),IF(IFERROR(VALUE((IFERROR(VALUE($G4&amp;""),0)-IFERROR(VALUE($I4&amp;""),0))&amp;""),0)=1,"Falta","Faltan")&amp;"")&amp;" "&amp;IF(ISNUMBER((IFERROR(VALUE($G4&amp;""),0)-IFERROR(VALUE($I4&amp;""),0))),IF((IFERROR(VALUE($G4&amp;""),0)-IFERROR(VALUE($I4&amp;""),0))=0,"0",ROUND((IFERROR(VALUE($G4&amp;""),0)-IFERROR(VALUE($I4&amp;""),0)),9-INT(LOG10(ABS((IFERROR(VALUE($G4&amp;""),0)-IFERROR(VALUE($I4&amp;""),0))))))&amp;""),(IFERROR(VALUE($G4&amp;""),0)-IFERROR(VALUE($I4&amp;""),0))&amp;"")&amp;" horas de carga"),IF((IFERROR(VALUE($K4&amp;""),0)&gt;0),(IF(ISNUMBER(IF(IFERROR(VALUE($K4&amp;""),0)=1,"Falta","Faltan")),IF(IF(IFERROR(VALUE($K4&amp;""),0)=1,"Falta","Faltan")=0,"0",ROUND(IF(IFERROR(VALUE($K4&amp;""),0)=1,"Falta","Faltan"),9-INT(LOG10(ABS(IF(IFERROR(VALUE($K4&amp;""),0)=1,"Falta","Faltan")))))&amp;""),IF(IFERROR(VALUE($K4&amp;""),0)=1,"Falta","Faltan")&amp;"")&amp;" "&amp;IF(ISNUMBER($K4),IF($K4=0,"0",ROUND($K4,9-INT(LOG10(ABS($K4))))&amp;""),$K4&amp;"")&amp;" "&amp;IF(ISNUMBER(IF(IFERROR(VALUE($K4&amp;""),0)=1,"profesor","profesores")),IF(IF(IFERROR(VALUE($K4&amp;""),0)=1,"profesor","profesores")=0,"0",ROUND(IF(IFERROR(VALUE($K4&amp;""),0)=1,"profesor","profesores"),9-INT(LOG10(ABS(IF(IFERROR(VALUE($K4&amp;""),0)=1,"profesor","profesores")))))&amp;""),IF(IFERROR(VALUE($K4&amp;""),0)=1,"profesor","profesores")&amp;"")),"Completa"))))</f>
        <v/>
      </c>
      <c r="M4" s="3">
        <f>IF(AND($A4=""),"",MID(IF(AND(NOT(($A4="")),NOT(EXACT($L4,"Completa"))),"; "&amp;IF(ISNUMBER($L4),IF($L4=0,"0",ROUND($L4,9-INT(LOG10(ABS($L4))))&amp;""),$L4&amp;""),"")&amp;IF(AND(NOT(($A4="")),EXACT($L4,"Completa")),"; "&amp;"cobertura completa",""),3,32767))</f>
        <v/>
      </c>
      <c r="N4" s="3">
        <f>IF(OR(AND(NOT(($A4="")),NOT(EXACT($L4,"Completa")))),2,IF(OR(AND(NOT(($A4="")),EXACT($L4,"Completa"))),1,0))</f>
        <v/>
      </c>
    </row>
    <row r="5">
      <c r="A5" s="3" t="inlineStr">
        <is>
          <t>EST-MAT</t>
        </is>
      </c>
      <c r="B5" s="3" t="inlineStr">
        <is>
          <t>Estadistica (Mat)</t>
        </is>
      </c>
      <c r="C5" s="3" t="inlineStr">
        <is>
          <t>Matematica</t>
        </is>
      </c>
      <c r="D5" s="3" t="n">
        <v>32</v>
      </c>
      <c r="E5" s="3" t="n">
        <v>32</v>
      </c>
      <c r="F5" s="3" t="n">
        <v>1</v>
      </c>
      <c r="G5" s="3">
        <f>IF(AND($A5=""),"",(IFERROR(VALUE($D5&amp;""),0)+IFERROR(VALUE((IFERROR(VALUE($E5&amp;""),0)*IFERROR(VALUE($F5&amp;""),0))&amp;""),0)))</f>
        <v/>
      </c>
      <c r="H5" s="3">
        <f>IF(AND($A5=""),"",SUMPRODUCT(1*(((('Asignacion'!$A$4:$A$34&lt;&gt;""))&gt;0))*((EXACT('Asignacion'!$B$4:$B$34,$A5)))))</f>
        <v/>
      </c>
      <c r="I5" s="3">
        <f>IF(AND($A5=""),"",SUMPRODUCT(1*(((('Asignacion'!$A$4:$A$34&lt;&gt;""))&gt;0))*((EXACT('Asignacion'!$B$4:$B$34,$A5)))*(IFERROR(VALUE('Asignacion'!$G$4:$G$34&amp;""),0))))</f>
        <v/>
      </c>
      <c r="J5" s="3">
        <f>IF(AND($A5=""),"",SUMPRODUCT(1*(((('Asignacion'!$A$4:$A$34&lt;&gt;""))&gt;0))*((EXACT('Asignacion'!$B$4:$B$34,$A5)))*((1-(('Asignacion'!$E$4:$E$34=""))))*(IFERROR(VALUE('Asignacion'!$G$4:$G$34&amp;""),0))))</f>
        <v/>
      </c>
      <c r="K5" s="3">
        <f>IF(AND($A5=""),"",SUMPRODUCT(1*(((('Asignacion'!$A$4:$A$34&lt;&gt;""))&gt;0))*((EXACT('Asignacion'!$B$4:$B$34,$A5)))*(('Asignacion'!$E$4:$E$34=""))))</f>
        <v/>
      </c>
      <c r="L5" s="3">
        <f>IF(AND($A5=""),"",IF(EXACT($H5,0),"Sin filas de carga",IF((IFERROR(VALUE($I5&amp;""),0)&lt;IFERROR(VALUE($G5&amp;""),0)),(IF(ISNUMBER(IF(IFERROR(VALUE((IFERROR(VALUE($G5&amp;""),0)-IFERROR(VALUE($I5&amp;""),0))&amp;""),0)=1,"Falta","Faltan")),IF(IF(IFERROR(VALUE((IFERROR(VALUE($G5&amp;""),0)-IFERROR(VALUE($I5&amp;""),0))&amp;""),0)=1,"Falta","Faltan")=0,"0",ROUND(IF(IFERROR(VALUE((IFERROR(VALUE($G5&amp;""),0)-IFERROR(VALUE($I5&amp;""),0))&amp;""),0)=1,"Falta","Faltan"),9-INT(LOG10(ABS(IF(IFERROR(VALUE((IFERROR(VALUE($G5&amp;""),0)-IFERROR(VALUE($I5&amp;""),0))&amp;""),0)=1,"Falta","Faltan")))))&amp;""),IF(IFERROR(VALUE((IFERROR(VALUE($G5&amp;""),0)-IFERROR(VALUE($I5&amp;""),0))&amp;""),0)=1,"Falta","Faltan")&amp;"")&amp;" "&amp;IF(ISNUMBER((IFERROR(VALUE($G5&amp;""),0)-IFERROR(VALUE($I5&amp;""),0))),IF((IFERROR(VALUE($G5&amp;""),0)-IFERROR(VALUE($I5&amp;""),0))=0,"0",ROUND((IFERROR(VALUE($G5&amp;""),0)-IFERROR(VALUE($I5&amp;""),0)),9-INT(LOG10(ABS((IFERROR(VALUE($G5&amp;""),0)-IFERROR(VALUE($I5&amp;""),0))))))&amp;""),(IFERROR(VALUE($G5&amp;""),0)-IFERROR(VALUE($I5&amp;""),0))&amp;"")&amp;" horas de carga"),IF((IFERROR(VALUE($K5&amp;""),0)&gt;0),(IF(ISNUMBER(IF(IFERROR(VALUE($K5&amp;""),0)=1,"Falta","Faltan")),IF(IF(IFERROR(VALUE($K5&amp;""),0)=1,"Falta","Faltan")=0,"0",ROUND(IF(IFERROR(VALUE($K5&amp;""),0)=1,"Falta","Faltan"),9-INT(LOG10(ABS(IF(IFERROR(VALUE($K5&amp;""),0)=1,"Falta","Faltan")))))&amp;""),IF(IFERROR(VALUE($K5&amp;""),0)=1,"Falta","Faltan")&amp;"")&amp;" "&amp;IF(ISNUMBER($K5),IF($K5=0,"0",ROUND($K5,9-INT(LOG10(ABS($K5))))&amp;""),$K5&amp;"")&amp;" "&amp;IF(ISNUMBER(IF(IFERROR(VALUE($K5&amp;""),0)=1,"profesor","profesores")),IF(IF(IFERROR(VALUE($K5&amp;""),0)=1,"profesor","profesores")=0,"0",ROUND(IF(IFERROR(VALUE($K5&amp;""),0)=1,"profesor","profesores"),9-INT(LOG10(ABS(IF(IFERROR(VALUE($K5&amp;""),0)=1,"profesor","profesores")))))&amp;""),IF(IFERROR(VALUE($K5&amp;""),0)=1,"profesor","profesores")&amp;"")),"Completa"))))</f>
        <v/>
      </c>
      <c r="M5" s="3">
        <f>IF(AND($A5=""),"",MID(IF(AND(NOT(($A5="")),NOT(EXACT($L5,"Completa"))),"; "&amp;IF(ISNUMBER($L5),IF($L5=0,"0",ROUND($L5,9-INT(LOG10(ABS($L5))))&amp;""),$L5&amp;""),"")&amp;IF(AND(NOT(($A5="")),EXACT($L5,"Completa")),"; "&amp;"cobertura completa",""),3,32767))</f>
        <v/>
      </c>
      <c r="N5" s="3">
        <f>IF(OR(AND(NOT(($A5="")),NOT(EXACT($L5,"Completa")))),2,IF(OR(AND(NOT(($A5="")),EXACT($L5,"Completa"))),1,0))</f>
        <v/>
      </c>
    </row>
    <row r="6">
      <c r="A6" s="3" t="inlineStr">
        <is>
          <t>PROB</t>
        </is>
      </c>
      <c r="B6" s="3" t="inlineStr">
        <is>
          <t>Probabilidades</t>
        </is>
      </c>
      <c r="C6" s="3" t="inlineStr">
        <is>
          <t>Matematica</t>
        </is>
      </c>
      <c r="D6" s="3" t="n">
        <v>48</v>
      </c>
      <c r="E6" s="3" t="n">
        <v>32</v>
      </c>
      <c r="F6" s="3" t="n">
        <v>2</v>
      </c>
      <c r="G6" s="3">
        <f>IF(AND($A6=""),"",(IFERROR(VALUE($D6&amp;""),0)+IFERROR(VALUE((IFERROR(VALUE($E6&amp;""),0)*IFERROR(VALUE($F6&amp;""),0))&amp;""),0)))</f>
        <v/>
      </c>
      <c r="H6" s="3">
        <f>IF(AND($A6=""),"",SUMPRODUCT(1*(((('Asignacion'!$A$4:$A$34&lt;&gt;""))&gt;0))*((EXACT('Asignacion'!$B$4:$B$34,$A6)))))</f>
        <v/>
      </c>
      <c r="I6" s="3">
        <f>IF(AND($A6=""),"",SUMPRODUCT(1*(((('Asignacion'!$A$4:$A$34&lt;&gt;""))&gt;0))*((EXACT('Asignacion'!$B$4:$B$34,$A6)))*(IFERROR(VALUE('Asignacion'!$G$4:$G$34&amp;""),0))))</f>
        <v/>
      </c>
      <c r="J6" s="3">
        <f>IF(AND($A6=""),"",SUMPRODUCT(1*(((('Asignacion'!$A$4:$A$34&lt;&gt;""))&gt;0))*((EXACT('Asignacion'!$B$4:$B$34,$A6)))*((1-(('Asignacion'!$E$4:$E$34=""))))*(IFERROR(VALUE('Asignacion'!$G$4:$G$34&amp;""),0))))</f>
        <v/>
      </c>
      <c r="K6" s="3">
        <f>IF(AND($A6=""),"",SUMPRODUCT(1*(((('Asignacion'!$A$4:$A$34&lt;&gt;""))&gt;0))*((EXACT('Asignacion'!$B$4:$B$34,$A6)))*(('Asignacion'!$E$4:$E$34=""))))</f>
        <v/>
      </c>
      <c r="L6" s="3">
        <f>IF(AND($A6=""),"",IF(EXACT($H6,0),"Sin filas de carga",IF((IFERROR(VALUE($I6&amp;""),0)&lt;IFERROR(VALUE($G6&amp;""),0)),(IF(ISNUMBER(IF(IFERROR(VALUE((IFERROR(VALUE($G6&amp;""),0)-IFERROR(VALUE($I6&amp;""),0))&amp;""),0)=1,"Falta","Faltan")),IF(IF(IFERROR(VALUE((IFERROR(VALUE($G6&amp;""),0)-IFERROR(VALUE($I6&amp;""),0))&amp;""),0)=1,"Falta","Faltan")=0,"0",ROUND(IF(IFERROR(VALUE((IFERROR(VALUE($G6&amp;""),0)-IFERROR(VALUE($I6&amp;""),0))&amp;""),0)=1,"Falta","Faltan"),9-INT(LOG10(ABS(IF(IFERROR(VALUE((IFERROR(VALUE($G6&amp;""),0)-IFERROR(VALUE($I6&amp;""),0))&amp;""),0)=1,"Falta","Faltan")))))&amp;""),IF(IFERROR(VALUE((IFERROR(VALUE($G6&amp;""),0)-IFERROR(VALUE($I6&amp;""),0))&amp;""),0)=1,"Falta","Faltan")&amp;"")&amp;" "&amp;IF(ISNUMBER((IFERROR(VALUE($G6&amp;""),0)-IFERROR(VALUE($I6&amp;""),0))),IF((IFERROR(VALUE($G6&amp;""),0)-IFERROR(VALUE($I6&amp;""),0))=0,"0",ROUND((IFERROR(VALUE($G6&amp;""),0)-IFERROR(VALUE($I6&amp;""),0)),9-INT(LOG10(ABS((IFERROR(VALUE($G6&amp;""),0)-IFERROR(VALUE($I6&amp;""),0))))))&amp;""),(IFERROR(VALUE($G6&amp;""),0)-IFERROR(VALUE($I6&amp;""),0))&amp;"")&amp;" horas de carga"),IF((IFERROR(VALUE($K6&amp;""),0)&gt;0),(IF(ISNUMBER(IF(IFERROR(VALUE($K6&amp;""),0)=1,"Falta","Faltan")),IF(IF(IFERROR(VALUE($K6&amp;""),0)=1,"Falta","Faltan")=0,"0",ROUND(IF(IFERROR(VALUE($K6&amp;""),0)=1,"Falta","Faltan"),9-INT(LOG10(ABS(IF(IFERROR(VALUE($K6&amp;""),0)=1,"Falta","Faltan")))))&amp;""),IF(IFERROR(VALUE($K6&amp;""),0)=1,"Falta","Faltan")&amp;"")&amp;" "&amp;IF(ISNUMBER($K6),IF($K6=0,"0",ROUND($K6,9-INT(LOG10(ABS($K6))))&amp;""),$K6&amp;"")&amp;" "&amp;IF(ISNUMBER(IF(IFERROR(VALUE($K6&amp;""),0)=1,"profesor","profesores")),IF(IF(IFERROR(VALUE($K6&amp;""),0)=1,"profesor","profesores")=0,"0",ROUND(IF(IFERROR(VALUE($K6&amp;""),0)=1,"profesor","profesores"),9-INT(LOG10(ABS(IF(IFERROR(VALUE($K6&amp;""),0)=1,"profesor","profesores")))))&amp;""),IF(IFERROR(VALUE($K6&amp;""),0)=1,"profesor","profesores")&amp;"")),"Completa"))))</f>
        <v/>
      </c>
      <c r="M6" s="3">
        <f>IF(AND($A6=""),"",MID(IF(AND(NOT(($A6="")),NOT(EXACT($L6,"Completa"))),"; "&amp;IF(ISNUMBER($L6),IF($L6=0,"0",ROUND($L6,9-INT(LOG10(ABS($L6))))&amp;""),$L6&amp;""),"")&amp;IF(AND(NOT(($A6="")),EXACT($L6,"Completa")),"; "&amp;"cobertura completa",""),3,32767))</f>
        <v/>
      </c>
      <c r="N6" s="3">
        <f>IF(OR(AND(NOT(($A6="")),NOT(EXACT($L6,"Completa")))),2,IF(OR(AND(NOT(($A6="")),EXACT($L6,"Completa"))),1,0))</f>
        <v/>
      </c>
    </row>
    <row r="7">
      <c r="A7" s="3" t="inlineStr">
        <is>
          <t>MNUM</t>
        </is>
      </c>
      <c r="B7" s="3" t="inlineStr">
        <is>
          <t>Metodos Numericos</t>
        </is>
      </c>
      <c r="C7" s="3" t="inlineStr">
        <is>
          <t>Ciencia de la Computacion</t>
        </is>
      </c>
      <c r="D7" s="3" t="n">
        <v>32</v>
      </c>
      <c r="E7" s="3" t="n">
        <v>48</v>
      </c>
      <c r="F7" s="3" t="n">
        <v>1</v>
      </c>
      <c r="G7" s="3">
        <f>IF(AND($A7=""),"",(IFERROR(VALUE($D7&amp;""),0)+IFERROR(VALUE((IFERROR(VALUE($E7&amp;""),0)*IFERROR(VALUE($F7&amp;""),0))&amp;""),0)))</f>
        <v/>
      </c>
      <c r="H7" s="3">
        <f>IF(AND($A7=""),"",SUMPRODUCT(1*(((('Asignacion'!$A$4:$A$34&lt;&gt;""))&gt;0))*((EXACT('Asignacion'!$B$4:$B$34,$A7)))))</f>
        <v/>
      </c>
      <c r="I7" s="3">
        <f>IF(AND($A7=""),"",SUMPRODUCT(1*(((('Asignacion'!$A$4:$A$34&lt;&gt;""))&gt;0))*((EXACT('Asignacion'!$B$4:$B$34,$A7)))*(IFERROR(VALUE('Asignacion'!$G$4:$G$34&amp;""),0))))</f>
        <v/>
      </c>
      <c r="J7" s="3">
        <f>IF(AND($A7=""),"",SUMPRODUCT(1*(((('Asignacion'!$A$4:$A$34&lt;&gt;""))&gt;0))*((EXACT('Asignacion'!$B$4:$B$34,$A7)))*((1-(('Asignacion'!$E$4:$E$34=""))))*(IFERROR(VALUE('Asignacion'!$G$4:$G$34&amp;""),0))))</f>
        <v/>
      </c>
      <c r="K7" s="3">
        <f>IF(AND($A7=""),"",SUMPRODUCT(1*(((('Asignacion'!$A$4:$A$34&lt;&gt;""))&gt;0))*((EXACT('Asignacion'!$B$4:$B$34,$A7)))*(('Asignacion'!$E$4:$E$34=""))))</f>
        <v/>
      </c>
      <c r="L7" s="3">
        <f>IF(AND($A7=""),"",IF(EXACT($H7,0),"Sin filas de carga",IF((IFERROR(VALUE($I7&amp;""),0)&lt;IFERROR(VALUE($G7&amp;""),0)),(IF(ISNUMBER(IF(IFERROR(VALUE((IFERROR(VALUE($G7&amp;""),0)-IFERROR(VALUE($I7&amp;""),0))&amp;""),0)=1,"Falta","Faltan")),IF(IF(IFERROR(VALUE((IFERROR(VALUE($G7&amp;""),0)-IFERROR(VALUE($I7&amp;""),0))&amp;""),0)=1,"Falta","Faltan")=0,"0",ROUND(IF(IFERROR(VALUE((IFERROR(VALUE($G7&amp;""),0)-IFERROR(VALUE($I7&amp;""),0))&amp;""),0)=1,"Falta","Faltan"),9-INT(LOG10(ABS(IF(IFERROR(VALUE((IFERROR(VALUE($G7&amp;""),0)-IFERROR(VALUE($I7&amp;""),0))&amp;""),0)=1,"Falta","Faltan")))))&amp;""),IF(IFERROR(VALUE((IFERROR(VALUE($G7&amp;""),0)-IFERROR(VALUE($I7&amp;""),0))&amp;""),0)=1,"Falta","Faltan")&amp;"")&amp;" "&amp;IF(ISNUMBER((IFERROR(VALUE($G7&amp;""),0)-IFERROR(VALUE($I7&amp;""),0))),IF((IFERROR(VALUE($G7&amp;""),0)-IFERROR(VALUE($I7&amp;""),0))=0,"0",ROUND((IFERROR(VALUE($G7&amp;""),0)-IFERROR(VALUE($I7&amp;""),0)),9-INT(LOG10(ABS((IFERROR(VALUE($G7&amp;""),0)-IFERROR(VALUE($I7&amp;""),0))))))&amp;""),(IFERROR(VALUE($G7&amp;""),0)-IFERROR(VALUE($I7&amp;""),0))&amp;"")&amp;" horas de carga"),IF((IFERROR(VALUE($K7&amp;""),0)&gt;0),(IF(ISNUMBER(IF(IFERROR(VALUE($K7&amp;""),0)=1,"Falta","Faltan")),IF(IF(IFERROR(VALUE($K7&amp;""),0)=1,"Falta","Faltan")=0,"0",ROUND(IF(IFERROR(VALUE($K7&amp;""),0)=1,"Falta","Faltan"),9-INT(LOG10(ABS(IF(IFERROR(VALUE($K7&amp;""),0)=1,"Falta","Faltan")))))&amp;""),IF(IFERROR(VALUE($K7&amp;""),0)=1,"Falta","Faltan")&amp;"")&amp;" "&amp;IF(ISNUMBER($K7),IF($K7=0,"0",ROUND($K7,9-INT(LOG10(ABS($K7))))&amp;""),$K7&amp;"")&amp;" "&amp;IF(ISNUMBER(IF(IFERROR(VALUE($K7&amp;""),0)=1,"profesor","profesores")),IF(IF(IFERROR(VALUE($K7&amp;""),0)=1,"profesor","profesores")=0,"0",ROUND(IF(IFERROR(VALUE($K7&amp;""),0)=1,"profesor","profesores"),9-INT(LOG10(ABS(IF(IFERROR(VALUE($K7&amp;""),0)=1,"profesor","profesores")))))&amp;""),IF(IFERROR(VALUE($K7&amp;""),0)=1,"profesor","profesores")&amp;"")),"Completa"))))</f>
        <v/>
      </c>
      <c r="M7" s="3">
        <f>IF(AND($A7=""),"",MID(IF(AND(NOT(($A7="")),NOT(EXACT($L7,"Completa"))),"; "&amp;IF(ISNUMBER($L7),IF($L7=0,"0",ROUND($L7,9-INT(LOG10(ABS($L7))))&amp;""),$L7&amp;""),"")&amp;IF(AND(NOT(($A7="")),EXACT($L7,"Completa")),"; "&amp;"cobertura completa",""),3,32767))</f>
        <v/>
      </c>
      <c r="N7" s="3">
        <f>IF(OR(AND(NOT(($A7="")),NOT(EXACT($L7,"Completa")))),2,IF(OR(AND(NOT(($A7="")),EXACT($L7,"Completa"))),1,0))</f>
        <v/>
      </c>
    </row>
    <row r="8">
      <c r="A8" s="4" t="n"/>
      <c r="B8" s="4" t="n"/>
      <c r="C8" s="4" t="n"/>
      <c r="D8" s="4" t="n"/>
      <c r="E8" s="4" t="n"/>
      <c r="F8" s="4" t="n"/>
      <c r="G8" s="3">
        <f>IF(AND($A8=""),"",(IFERROR(VALUE($D8&amp;""),0)+IFERROR(VALUE((IFERROR(VALUE($E8&amp;""),0)*IFERROR(VALUE($F8&amp;""),0))&amp;""),0)))</f>
        <v/>
      </c>
      <c r="H8" s="3">
        <f>IF(AND($A8=""),"",SUMPRODUCT(1*(((('Asignacion'!$A$4:$A$34&lt;&gt;""))&gt;0))*((EXACT('Asignacion'!$B$4:$B$34,$A8)))))</f>
        <v/>
      </c>
      <c r="I8" s="3">
        <f>IF(AND($A8=""),"",SUMPRODUCT(1*(((('Asignacion'!$A$4:$A$34&lt;&gt;""))&gt;0))*((EXACT('Asignacion'!$B$4:$B$34,$A8)))*(IFERROR(VALUE('Asignacion'!$G$4:$G$34&amp;""),0))))</f>
        <v/>
      </c>
      <c r="J8" s="3">
        <f>IF(AND($A8=""),"",SUMPRODUCT(1*(((('Asignacion'!$A$4:$A$34&lt;&gt;""))&gt;0))*((EXACT('Asignacion'!$B$4:$B$34,$A8)))*((1-(('Asignacion'!$E$4:$E$34=""))))*(IFERROR(VALUE('Asignacion'!$G$4:$G$34&amp;""),0))))</f>
        <v/>
      </c>
      <c r="K8" s="3">
        <f>IF(AND($A8=""),"",SUMPRODUCT(1*(((('Asignacion'!$A$4:$A$34&lt;&gt;""))&gt;0))*((EXACT('Asignacion'!$B$4:$B$34,$A8)))*(('Asignacion'!$E$4:$E$34=""))))</f>
        <v/>
      </c>
      <c r="L8" s="3">
        <f>IF(AND($A8=""),"",IF(EXACT($H8,0),"Sin filas de carga",IF((IFERROR(VALUE($I8&amp;""),0)&lt;IFERROR(VALUE($G8&amp;""),0)),(IF(ISNUMBER(IF(IFERROR(VALUE((IFERROR(VALUE($G8&amp;""),0)-IFERROR(VALUE($I8&amp;""),0))&amp;""),0)=1,"Falta","Faltan")),IF(IF(IFERROR(VALUE((IFERROR(VALUE($G8&amp;""),0)-IFERROR(VALUE($I8&amp;""),0))&amp;""),0)=1,"Falta","Faltan")=0,"0",ROUND(IF(IFERROR(VALUE((IFERROR(VALUE($G8&amp;""),0)-IFERROR(VALUE($I8&amp;""),0))&amp;""),0)=1,"Falta","Faltan"),9-INT(LOG10(ABS(IF(IFERROR(VALUE((IFERROR(VALUE($G8&amp;""),0)-IFERROR(VALUE($I8&amp;""),0))&amp;""),0)=1,"Falta","Faltan")))))&amp;""),IF(IFERROR(VALUE((IFERROR(VALUE($G8&amp;""),0)-IFERROR(VALUE($I8&amp;""),0))&amp;""),0)=1,"Falta","Faltan")&amp;"")&amp;" "&amp;IF(ISNUMBER((IFERROR(VALUE($G8&amp;""),0)-IFERROR(VALUE($I8&amp;""),0))),IF((IFERROR(VALUE($G8&amp;""),0)-IFERROR(VALUE($I8&amp;""),0))=0,"0",ROUND((IFERROR(VALUE($G8&amp;""),0)-IFERROR(VALUE($I8&amp;""),0)),9-INT(LOG10(ABS((IFERROR(VALUE($G8&amp;""),0)-IFERROR(VALUE($I8&amp;""),0))))))&amp;""),(IFERROR(VALUE($G8&amp;""),0)-IFERROR(VALUE($I8&amp;""),0))&amp;"")&amp;" horas de carga"),IF((IFERROR(VALUE($K8&amp;""),0)&gt;0),(IF(ISNUMBER(IF(IFERROR(VALUE($K8&amp;""),0)=1,"Falta","Faltan")),IF(IF(IFERROR(VALUE($K8&amp;""),0)=1,"Falta","Faltan")=0,"0",ROUND(IF(IFERROR(VALUE($K8&amp;""),0)=1,"Falta","Faltan"),9-INT(LOG10(ABS(IF(IFERROR(VALUE($K8&amp;""),0)=1,"Falta","Faltan")))))&amp;""),IF(IFERROR(VALUE($K8&amp;""),0)=1,"Falta","Faltan")&amp;"")&amp;" "&amp;IF(ISNUMBER($K8),IF($K8=0,"0",ROUND($K8,9-INT(LOG10(ABS($K8))))&amp;""),$K8&amp;"")&amp;" "&amp;IF(ISNUMBER(IF(IFERROR(VALUE($K8&amp;""),0)=1,"profesor","profesores")),IF(IF(IFERROR(VALUE($K8&amp;""),0)=1,"profesor","profesores")=0,"0",ROUND(IF(IFERROR(VALUE($K8&amp;""),0)=1,"profesor","profesores"),9-INT(LOG10(ABS(IF(IFERROR(VALUE($K8&amp;""),0)=1,"profesor","profesores")))))&amp;""),IF(IFERROR(VALUE($K8&amp;""),0)=1,"profesor","profesores")&amp;"")),"Completa"))))</f>
        <v/>
      </c>
      <c r="M8" s="3">
        <f>IF(AND($A8=""),"",MID(IF(AND(NOT(($A8="")),NOT(EXACT($L8,"Completa"))),"; "&amp;IF(ISNUMBER($L8),IF($L8=0,"0",ROUND($L8,9-INT(LOG10(ABS($L8))))&amp;""),$L8&amp;""),"")&amp;IF(AND(NOT(($A8="")),EXACT($L8,"Completa")),"; "&amp;"cobertura completa",""),3,32767))</f>
        <v/>
      </c>
      <c r="N8" s="3">
        <f>IF(OR(AND(NOT(($A8="")),NOT(EXACT($L8,"Completa")))),2,IF(OR(AND(NOT(($A8="")),EXACT($L8,"Completa"))),1,0))</f>
        <v/>
      </c>
    </row>
    <row r="9">
      <c r="A9" s="4" t="n"/>
      <c r="B9" s="4" t="n"/>
      <c r="C9" s="4" t="n"/>
      <c r="D9" s="4" t="n"/>
      <c r="E9" s="4" t="n"/>
      <c r="F9" s="4" t="n"/>
      <c r="G9" s="3">
        <f>IF(AND($A9=""),"",(IFERROR(VALUE($D9&amp;""),0)+IFERROR(VALUE((IFERROR(VALUE($E9&amp;""),0)*IFERROR(VALUE($F9&amp;""),0))&amp;""),0)))</f>
        <v/>
      </c>
      <c r="H9" s="3">
        <f>IF(AND($A9=""),"",SUMPRODUCT(1*(((('Asignacion'!$A$4:$A$34&lt;&gt;""))&gt;0))*((EXACT('Asignacion'!$B$4:$B$34,$A9)))))</f>
        <v/>
      </c>
      <c r="I9" s="3">
        <f>IF(AND($A9=""),"",SUMPRODUCT(1*(((('Asignacion'!$A$4:$A$34&lt;&gt;""))&gt;0))*((EXACT('Asignacion'!$B$4:$B$34,$A9)))*(IFERROR(VALUE('Asignacion'!$G$4:$G$34&amp;""),0))))</f>
        <v/>
      </c>
      <c r="J9" s="3">
        <f>IF(AND($A9=""),"",SUMPRODUCT(1*(((('Asignacion'!$A$4:$A$34&lt;&gt;""))&gt;0))*((EXACT('Asignacion'!$B$4:$B$34,$A9)))*((1-(('Asignacion'!$E$4:$E$34=""))))*(IFERROR(VALUE('Asignacion'!$G$4:$G$34&amp;""),0))))</f>
        <v/>
      </c>
      <c r="K9" s="3">
        <f>IF(AND($A9=""),"",SUMPRODUCT(1*(((('Asignacion'!$A$4:$A$34&lt;&gt;""))&gt;0))*((EXACT('Asignacion'!$B$4:$B$34,$A9)))*(('Asignacion'!$E$4:$E$34=""))))</f>
        <v/>
      </c>
      <c r="L9" s="3">
        <f>IF(AND($A9=""),"",IF(EXACT($H9,0),"Sin filas de carga",IF((IFERROR(VALUE($I9&amp;""),0)&lt;IFERROR(VALUE($G9&amp;""),0)),(IF(ISNUMBER(IF(IFERROR(VALUE((IFERROR(VALUE($G9&amp;""),0)-IFERROR(VALUE($I9&amp;""),0))&amp;""),0)=1,"Falta","Faltan")),IF(IF(IFERROR(VALUE((IFERROR(VALUE($G9&amp;""),0)-IFERROR(VALUE($I9&amp;""),0))&amp;""),0)=1,"Falta","Faltan")=0,"0",ROUND(IF(IFERROR(VALUE((IFERROR(VALUE($G9&amp;""),0)-IFERROR(VALUE($I9&amp;""),0))&amp;""),0)=1,"Falta","Faltan"),9-INT(LOG10(ABS(IF(IFERROR(VALUE((IFERROR(VALUE($G9&amp;""),0)-IFERROR(VALUE($I9&amp;""),0))&amp;""),0)=1,"Falta","Faltan")))))&amp;""),IF(IFERROR(VALUE((IFERROR(VALUE($G9&amp;""),0)-IFERROR(VALUE($I9&amp;""),0))&amp;""),0)=1,"Falta","Faltan")&amp;"")&amp;" "&amp;IF(ISNUMBER((IFERROR(VALUE($G9&amp;""),0)-IFERROR(VALUE($I9&amp;""),0))),IF((IFERROR(VALUE($G9&amp;""),0)-IFERROR(VALUE($I9&amp;""),0))=0,"0",ROUND((IFERROR(VALUE($G9&amp;""),0)-IFERROR(VALUE($I9&amp;""),0)),9-INT(LOG10(ABS((IFERROR(VALUE($G9&amp;""),0)-IFERROR(VALUE($I9&amp;""),0))))))&amp;""),(IFERROR(VALUE($G9&amp;""),0)-IFERROR(VALUE($I9&amp;""),0))&amp;"")&amp;" horas de carga"),IF((IFERROR(VALUE($K9&amp;""),0)&gt;0),(IF(ISNUMBER(IF(IFERROR(VALUE($K9&amp;""),0)=1,"Falta","Faltan")),IF(IF(IFERROR(VALUE($K9&amp;""),0)=1,"Falta","Faltan")=0,"0",ROUND(IF(IFERROR(VALUE($K9&amp;""),0)=1,"Falta","Faltan"),9-INT(LOG10(ABS(IF(IFERROR(VALUE($K9&amp;""),0)=1,"Falta","Faltan")))))&amp;""),IF(IFERROR(VALUE($K9&amp;""),0)=1,"Falta","Faltan")&amp;"")&amp;" "&amp;IF(ISNUMBER($K9),IF($K9=0,"0",ROUND($K9,9-INT(LOG10(ABS($K9))))&amp;""),$K9&amp;"")&amp;" "&amp;IF(ISNUMBER(IF(IFERROR(VALUE($K9&amp;""),0)=1,"profesor","profesores")),IF(IF(IFERROR(VALUE($K9&amp;""),0)=1,"profesor","profesores")=0,"0",ROUND(IF(IFERROR(VALUE($K9&amp;""),0)=1,"profesor","profesores"),9-INT(LOG10(ABS(IF(IFERROR(VALUE($K9&amp;""),0)=1,"profesor","profesores")))))&amp;""),IF(IFERROR(VALUE($K9&amp;""),0)=1,"profesor","profesores")&amp;"")),"Completa"))))</f>
        <v/>
      </c>
      <c r="M9" s="3">
        <f>IF(AND($A9=""),"",MID(IF(AND(NOT(($A9="")),NOT(EXACT($L9,"Completa"))),"; "&amp;IF(ISNUMBER($L9),IF($L9=0,"0",ROUND($L9,9-INT(LOG10(ABS($L9))))&amp;""),$L9&amp;""),"")&amp;IF(AND(NOT(($A9="")),EXACT($L9,"Completa")),"; "&amp;"cobertura completa",""),3,32767))</f>
        <v/>
      </c>
      <c r="N9" s="3">
        <f>IF(OR(AND(NOT(($A9="")),NOT(EXACT($L9,"Completa")))),2,IF(OR(AND(NOT(($A9="")),EXACT($L9,"Completa"))),1,0))</f>
        <v/>
      </c>
    </row>
    <row r="10">
      <c r="A10" s="4" t="n"/>
      <c r="B10" s="4" t="n"/>
      <c r="C10" s="4" t="n"/>
      <c r="D10" s="4" t="n"/>
      <c r="E10" s="4" t="n"/>
      <c r="F10" s="4" t="n"/>
      <c r="G10" s="3">
        <f>IF(AND($A10=""),"",(IFERROR(VALUE($D10&amp;""),0)+IFERROR(VALUE((IFERROR(VALUE($E10&amp;""),0)*IFERROR(VALUE($F10&amp;""),0))&amp;""),0)))</f>
        <v/>
      </c>
      <c r="H10" s="3">
        <f>IF(AND($A10=""),"",SUMPRODUCT(1*(((('Asignacion'!$A$4:$A$34&lt;&gt;""))&gt;0))*((EXACT('Asignacion'!$B$4:$B$34,$A10)))))</f>
        <v/>
      </c>
      <c r="I10" s="3">
        <f>IF(AND($A10=""),"",SUMPRODUCT(1*(((('Asignacion'!$A$4:$A$34&lt;&gt;""))&gt;0))*((EXACT('Asignacion'!$B$4:$B$34,$A10)))*(IFERROR(VALUE('Asignacion'!$G$4:$G$34&amp;""),0))))</f>
        <v/>
      </c>
      <c r="J10" s="3">
        <f>IF(AND($A10=""),"",SUMPRODUCT(1*(((('Asignacion'!$A$4:$A$34&lt;&gt;""))&gt;0))*((EXACT('Asignacion'!$B$4:$B$34,$A10)))*((1-(('Asignacion'!$E$4:$E$34=""))))*(IFERROR(VALUE('Asignacion'!$G$4:$G$34&amp;""),0))))</f>
        <v/>
      </c>
      <c r="K10" s="3">
        <f>IF(AND($A10=""),"",SUMPRODUCT(1*(((('Asignacion'!$A$4:$A$34&lt;&gt;""))&gt;0))*((EXACT('Asignacion'!$B$4:$B$34,$A10)))*(('Asignacion'!$E$4:$E$34=""))))</f>
        <v/>
      </c>
      <c r="L10" s="3">
        <f>IF(AND($A10=""),"",IF(EXACT($H10,0),"Sin filas de carga",IF((IFERROR(VALUE($I10&amp;""),0)&lt;IFERROR(VALUE($G10&amp;""),0)),(IF(ISNUMBER(IF(IFERROR(VALUE((IFERROR(VALUE($G10&amp;""),0)-IFERROR(VALUE($I10&amp;""),0))&amp;""),0)=1,"Falta","Faltan")),IF(IF(IFERROR(VALUE((IFERROR(VALUE($G10&amp;""),0)-IFERROR(VALUE($I10&amp;""),0))&amp;""),0)=1,"Falta","Faltan")=0,"0",ROUND(IF(IFERROR(VALUE((IFERROR(VALUE($G10&amp;""),0)-IFERROR(VALUE($I10&amp;""),0))&amp;""),0)=1,"Falta","Faltan"),9-INT(LOG10(ABS(IF(IFERROR(VALUE((IFERROR(VALUE($G10&amp;""),0)-IFERROR(VALUE($I10&amp;""),0))&amp;""),0)=1,"Falta","Faltan")))))&amp;""),IF(IFERROR(VALUE((IFERROR(VALUE($G10&amp;""),0)-IFERROR(VALUE($I10&amp;""),0))&amp;""),0)=1,"Falta","Faltan")&amp;"")&amp;" "&amp;IF(ISNUMBER((IFERROR(VALUE($G10&amp;""),0)-IFERROR(VALUE($I10&amp;""),0))),IF((IFERROR(VALUE($G10&amp;""),0)-IFERROR(VALUE($I10&amp;""),0))=0,"0",ROUND((IFERROR(VALUE($G10&amp;""),0)-IFERROR(VALUE($I10&amp;""),0)),9-INT(LOG10(ABS((IFERROR(VALUE($G10&amp;""),0)-IFERROR(VALUE($I10&amp;""),0))))))&amp;""),(IFERROR(VALUE($G10&amp;""),0)-IFERROR(VALUE($I10&amp;""),0))&amp;"")&amp;" horas de carga"),IF((IFERROR(VALUE($K10&amp;""),0)&gt;0),(IF(ISNUMBER(IF(IFERROR(VALUE($K10&amp;""),0)=1,"Falta","Faltan")),IF(IF(IFERROR(VALUE($K10&amp;""),0)=1,"Falta","Faltan")=0,"0",ROUND(IF(IFERROR(VALUE($K10&amp;""),0)=1,"Falta","Faltan"),9-INT(LOG10(ABS(IF(IFERROR(VALUE($K10&amp;""),0)=1,"Falta","Faltan")))))&amp;""),IF(IFERROR(VALUE($K10&amp;""),0)=1,"Falta","Faltan")&amp;"")&amp;" "&amp;IF(ISNUMBER($K10),IF($K10=0,"0",ROUND($K10,9-INT(LOG10(ABS($K10))))&amp;""),$K10&amp;"")&amp;" "&amp;IF(ISNUMBER(IF(IFERROR(VALUE($K10&amp;""),0)=1,"profesor","profesores")),IF(IF(IFERROR(VALUE($K10&amp;""),0)=1,"profesor","profesores")=0,"0",ROUND(IF(IFERROR(VALUE($K10&amp;""),0)=1,"profesor","profesores"),9-INT(LOG10(ABS(IF(IFERROR(VALUE($K10&amp;""),0)=1,"profesor","profesores")))))&amp;""),IF(IFERROR(VALUE($K10&amp;""),0)=1,"profesor","profesores")&amp;"")),"Completa"))))</f>
        <v/>
      </c>
      <c r="M10" s="3">
        <f>IF(AND($A10=""),"",MID(IF(AND(NOT(($A10="")),NOT(EXACT($L10,"Completa"))),"; "&amp;IF(ISNUMBER($L10),IF($L10=0,"0",ROUND($L10,9-INT(LOG10(ABS($L10))))&amp;""),$L10&amp;""),"")&amp;IF(AND(NOT(($A10="")),EXACT($L10,"Completa")),"; "&amp;"cobertura completa",""),3,32767))</f>
        <v/>
      </c>
      <c r="N10" s="3">
        <f>IF(OR(AND(NOT(($A10="")),NOT(EXACT($L10,"Completa")))),2,IF(OR(AND(NOT(($A10="")),EXACT($L10,"Completa"))),1,0))</f>
        <v/>
      </c>
    </row>
    <row r="11">
      <c r="A11" s="4" t="n"/>
      <c r="B11" s="4" t="n"/>
      <c r="C11" s="4" t="n"/>
      <c r="D11" s="4" t="n"/>
      <c r="E11" s="4" t="n"/>
      <c r="F11" s="4" t="n"/>
      <c r="G11" s="3">
        <f>IF(AND($A11=""),"",(IFERROR(VALUE($D11&amp;""),0)+IFERROR(VALUE((IFERROR(VALUE($E11&amp;""),0)*IFERROR(VALUE($F11&amp;""),0))&amp;""),0)))</f>
        <v/>
      </c>
      <c r="H11" s="3">
        <f>IF(AND($A11=""),"",SUMPRODUCT(1*(((('Asignacion'!$A$4:$A$34&lt;&gt;""))&gt;0))*((EXACT('Asignacion'!$B$4:$B$34,$A11)))))</f>
        <v/>
      </c>
      <c r="I11" s="3">
        <f>IF(AND($A11=""),"",SUMPRODUCT(1*(((('Asignacion'!$A$4:$A$34&lt;&gt;""))&gt;0))*((EXACT('Asignacion'!$B$4:$B$34,$A11)))*(IFERROR(VALUE('Asignacion'!$G$4:$G$34&amp;""),0))))</f>
        <v/>
      </c>
      <c r="J11" s="3">
        <f>IF(AND($A11=""),"",SUMPRODUCT(1*(((('Asignacion'!$A$4:$A$34&lt;&gt;""))&gt;0))*((EXACT('Asignacion'!$B$4:$B$34,$A11)))*((1-(('Asignacion'!$E$4:$E$34=""))))*(IFERROR(VALUE('Asignacion'!$G$4:$G$34&amp;""),0))))</f>
        <v/>
      </c>
      <c r="K11" s="3">
        <f>IF(AND($A11=""),"",SUMPRODUCT(1*(((('Asignacion'!$A$4:$A$34&lt;&gt;""))&gt;0))*((EXACT('Asignacion'!$B$4:$B$34,$A11)))*(('Asignacion'!$E$4:$E$34=""))))</f>
        <v/>
      </c>
      <c r="L11" s="3">
        <f>IF(AND($A11=""),"",IF(EXACT($H11,0),"Sin filas de carga",IF((IFERROR(VALUE($I11&amp;""),0)&lt;IFERROR(VALUE($G11&amp;""),0)),(IF(ISNUMBER(IF(IFERROR(VALUE((IFERROR(VALUE($G11&amp;""),0)-IFERROR(VALUE($I11&amp;""),0))&amp;""),0)=1,"Falta","Faltan")),IF(IF(IFERROR(VALUE((IFERROR(VALUE($G11&amp;""),0)-IFERROR(VALUE($I11&amp;""),0))&amp;""),0)=1,"Falta","Faltan")=0,"0",ROUND(IF(IFERROR(VALUE((IFERROR(VALUE($G11&amp;""),0)-IFERROR(VALUE($I11&amp;""),0))&amp;""),0)=1,"Falta","Faltan"),9-INT(LOG10(ABS(IF(IFERROR(VALUE((IFERROR(VALUE($G11&amp;""),0)-IFERROR(VALUE($I11&amp;""),0))&amp;""),0)=1,"Falta","Faltan")))))&amp;""),IF(IFERROR(VALUE((IFERROR(VALUE($G11&amp;""),0)-IFERROR(VALUE($I11&amp;""),0))&amp;""),0)=1,"Falta","Faltan")&amp;"")&amp;" "&amp;IF(ISNUMBER((IFERROR(VALUE($G11&amp;""),0)-IFERROR(VALUE($I11&amp;""),0))),IF((IFERROR(VALUE($G11&amp;""),0)-IFERROR(VALUE($I11&amp;""),0))=0,"0",ROUND((IFERROR(VALUE($G11&amp;""),0)-IFERROR(VALUE($I11&amp;""),0)),9-INT(LOG10(ABS((IFERROR(VALUE($G11&amp;""),0)-IFERROR(VALUE($I11&amp;""),0))))))&amp;""),(IFERROR(VALUE($G11&amp;""),0)-IFERROR(VALUE($I11&amp;""),0))&amp;"")&amp;" horas de carga"),IF((IFERROR(VALUE($K11&amp;""),0)&gt;0),(IF(ISNUMBER(IF(IFERROR(VALUE($K11&amp;""),0)=1,"Falta","Faltan")),IF(IF(IFERROR(VALUE($K11&amp;""),0)=1,"Falta","Faltan")=0,"0",ROUND(IF(IFERROR(VALUE($K11&amp;""),0)=1,"Falta","Faltan"),9-INT(LOG10(ABS(IF(IFERROR(VALUE($K11&amp;""),0)=1,"Falta","Faltan")))))&amp;""),IF(IFERROR(VALUE($K11&amp;""),0)=1,"Falta","Faltan")&amp;"")&amp;" "&amp;IF(ISNUMBER($K11),IF($K11=0,"0",ROUND($K11,9-INT(LOG10(ABS($K11))))&amp;""),$K11&amp;"")&amp;" "&amp;IF(ISNUMBER(IF(IFERROR(VALUE($K11&amp;""),0)=1,"profesor","profesores")),IF(IF(IFERROR(VALUE($K11&amp;""),0)=1,"profesor","profesores")=0,"0",ROUND(IF(IFERROR(VALUE($K11&amp;""),0)=1,"profesor","profesores"),9-INT(LOG10(ABS(IF(IFERROR(VALUE($K11&amp;""),0)=1,"profesor","profesores")))))&amp;""),IF(IFERROR(VALUE($K11&amp;""),0)=1,"profesor","profesores")&amp;"")),"Completa"))))</f>
        <v/>
      </c>
      <c r="M11" s="3">
        <f>IF(AND($A11=""),"",MID(IF(AND(NOT(($A11="")),NOT(EXACT($L11,"Completa"))),"; "&amp;IF(ISNUMBER($L11),IF($L11=0,"0",ROUND($L11,9-INT(LOG10(ABS($L11))))&amp;""),$L11&amp;""),"")&amp;IF(AND(NOT(($A11="")),EXACT($L11,"Completa")),"; "&amp;"cobertura completa",""),3,32767))</f>
        <v/>
      </c>
      <c r="N11" s="3">
        <f>IF(OR(AND(NOT(($A11="")),NOT(EXACT($L11,"Completa")))),2,IF(OR(AND(NOT(($A11="")),EXACT($L11,"Completa"))),1,0))</f>
        <v/>
      </c>
    </row>
    <row r="12">
      <c r="A12" s="4" t="n"/>
      <c r="B12" s="4" t="n"/>
      <c r="C12" s="4" t="n"/>
      <c r="D12" s="4" t="n"/>
      <c r="E12" s="4" t="n"/>
      <c r="F12" s="4" t="n"/>
      <c r="G12" s="3">
        <f>IF(AND($A12=""),"",(IFERROR(VALUE($D12&amp;""),0)+IFERROR(VALUE((IFERROR(VALUE($E12&amp;""),0)*IFERROR(VALUE($F12&amp;""),0))&amp;""),0)))</f>
        <v/>
      </c>
      <c r="H12" s="3">
        <f>IF(AND($A12=""),"",SUMPRODUCT(1*(((('Asignacion'!$A$4:$A$34&lt;&gt;""))&gt;0))*((EXACT('Asignacion'!$B$4:$B$34,$A12)))))</f>
        <v/>
      </c>
      <c r="I12" s="3">
        <f>IF(AND($A12=""),"",SUMPRODUCT(1*(((('Asignacion'!$A$4:$A$34&lt;&gt;""))&gt;0))*((EXACT('Asignacion'!$B$4:$B$34,$A12)))*(IFERROR(VALUE('Asignacion'!$G$4:$G$34&amp;""),0))))</f>
        <v/>
      </c>
      <c r="J12" s="3">
        <f>IF(AND($A12=""),"",SUMPRODUCT(1*(((('Asignacion'!$A$4:$A$34&lt;&gt;""))&gt;0))*((EXACT('Asignacion'!$B$4:$B$34,$A12)))*((1-(('Asignacion'!$E$4:$E$34=""))))*(IFERROR(VALUE('Asignacion'!$G$4:$G$34&amp;""),0))))</f>
        <v/>
      </c>
      <c r="K12" s="3">
        <f>IF(AND($A12=""),"",SUMPRODUCT(1*(((('Asignacion'!$A$4:$A$34&lt;&gt;""))&gt;0))*((EXACT('Asignacion'!$B$4:$B$34,$A12)))*(('Asignacion'!$E$4:$E$34=""))))</f>
        <v/>
      </c>
      <c r="L12" s="3">
        <f>IF(AND($A12=""),"",IF(EXACT($H12,0),"Sin filas de carga",IF((IFERROR(VALUE($I12&amp;""),0)&lt;IFERROR(VALUE($G12&amp;""),0)),(IF(ISNUMBER(IF(IFERROR(VALUE((IFERROR(VALUE($G12&amp;""),0)-IFERROR(VALUE($I12&amp;""),0))&amp;""),0)=1,"Falta","Faltan")),IF(IF(IFERROR(VALUE((IFERROR(VALUE($G12&amp;""),0)-IFERROR(VALUE($I12&amp;""),0))&amp;""),0)=1,"Falta","Faltan")=0,"0",ROUND(IF(IFERROR(VALUE((IFERROR(VALUE($G12&amp;""),0)-IFERROR(VALUE($I12&amp;""),0))&amp;""),0)=1,"Falta","Faltan"),9-INT(LOG10(ABS(IF(IFERROR(VALUE((IFERROR(VALUE($G12&amp;""),0)-IFERROR(VALUE($I12&amp;""),0))&amp;""),0)=1,"Falta","Faltan")))))&amp;""),IF(IFERROR(VALUE((IFERROR(VALUE($G12&amp;""),0)-IFERROR(VALUE($I12&amp;""),0))&amp;""),0)=1,"Falta","Faltan")&amp;"")&amp;" "&amp;IF(ISNUMBER((IFERROR(VALUE($G12&amp;""),0)-IFERROR(VALUE($I12&amp;""),0))),IF((IFERROR(VALUE($G12&amp;""),0)-IFERROR(VALUE($I12&amp;""),0))=0,"0",ROUND((IFERROR(VALUE($G12&amp;""),0)-IFERROR(VALUE($I12&amp;""),0)),9-INT(LOG10(ABS((IFERROR(VALUE($G12&amp;""),0)-IFERROR(VALUE($I12&amp;""),0))))))&amp;""),(IFERROR(VALUE($G12&amp;""),0)-IFERROR(VALUE($I12&amp;""),0))&amp;"")&amp;" horas de carga"),IF((IFERROR(VALUE($K12&amp;""),0)&gt;0),(IF(ISNUMBER(IF(IFERROR(VALUE($K12&amp;""),0)=1,"Falta","Faltan")),IF(IF(IFERROR(VALUE($K12&amp;""),0)=1,"Falta","Faltan")=0,"0",ROUND(IF(IFERROR(VALUE($K12&amp;""),0)=1,"Falta","Faltan"),9-INT(LOG10(ABS(IF(IFERROR(VALUE($K12&amp;""),0)=1,"Falta","Faltan")))))&amp;""),IF(IFERROR(VALUE($K12&amp;""),0)=1,"Falta","Faltan")&amp;"")&amp;" "&amp;IF(ISNUMBER($K12),IF($K12=0,"0",ROUND($K12,9-INT(LOG10(ABS($K12))))&amp;""),$K12&amp;"")&amp;" "&amp;IF(ISNUMBER(IF(IFERROR(VALUE($K12&amp;""),0)=1,"profesor","profesores")),IF(IF(IFERROR(VALUE($K12&amp;""),0)=1,"profesor","profesores")=0,"0",ROUND(IF(IFERROR(VALUE($K12&amp;""),0)=1,"profesor","profesores"),9-INT(LOG10(ABS(IF(IFERROR(VALUE($K12&amp;""),0)=1,"profesor","profesores")))))&amp;""),IF(IFERROR(VALUE($K12&amp;""),0)=1,"profesor","profesores")&amp;"")),"Completa"))))</f>
        <v/>
      </c>
      <c r="M12" s="3">
        <f>IF(AND($A12=""),"",MID(IF(AND(NOT(($A12="")),NOT(EXACT($L12,"Completa"))),"; "&amp;IF(ISNUMBER($L12),IF($L12=0,"0",ROUND($L12,9-INT(LOG10(ABS($L12))))&amp;""),$L12&amp;""),"")&amp;IF(AND(NOT(($A12="")),EXACT($L12,"Completa")),"; "&amp;"cobertura completa",""),3,32767))</f>
        <v/>
      </c>
      <c r="N12" s="3">
        <f>IF(OR(AND(NOT(($A12="")),NOT(EXACT($L12,"Completa")))),2,IF(OR(AND(NOT(($A12="")),EXACT($L12,"Completa"))),1,0))</f>
        <v/>
      </c>
    </row>
    <row r="13">
      <c r="A13" s="4" t="n"/>
      <c r="B13" s="4" t="n"/>
      <c r="C13" s="4" t="n"/>
      <c r="D13" s="4" t="n"/>
      <c r="E13" s="4" t="n"/>
      <c r="F13" s="4" t="n"/>
      <c r="G13" s="3">
        <f>IF(AND($A13=""),"",(IFERROR(VALUE($D13&amp;""),0)+IFERROR(VALUE((IFERROR(VALUE($E13&amp;""),0)*IFERROR(VALUE($F13&amp;""),0))&amp;""),0)))</f>
        <v/>
      </c>
      <c r="H13" s="3">
        <f>IF(AND($A13=""),"",SUMPRODUCT(1*(((('Asignacion'!$A$4:$A$34&lt;&gt;""))&gt;0))*((EXACT('Asignacion'!$B$4:$B$34,$A13)))))</f>
        <v/>
      </c>
      <c r="I13" s="3">
        <f>IF(AND($A13=""),"",SUMPRODUCT(1*(((('Asignacion'!$A$4:$A$34&lt;&gt;""))&gt;0))*((EXACT('Asignacion'!$B$4:$B$34,$A13)))*(IFERROR(VALUE('Asignacion'!$G$4:$G$34&amp;""),0))))</f>
        <v/>
      </c>
      <c r="J13" s="3">
        <f>IF(AND($A13=""),"",SUMPRODUCT(1*(((('Asignacion'!$A$4:$A$34&lt;&gt;""))&gt;0))*((EXACT('Asignacion'!$B$4:$B$34,$A13)))*((1-(('Asignacion'!$E$4:$E$34=""))))*(IFERROR(VALUE('Asignacion'!$G$4:$G$34&amp;""),0))))</f>
        <v/>
      </c>
      <c r="K13" s="3">
        <f>IF(AND($A13=""),"",SUMPRODUCT(1*(((('Asignacion'!$A$4:$A$34&lt;&gt;""))&gt;0))*((EXACT('Asignacion'!$B$4:$B$34,$A13)))*(('Asignacion'!$E$4:$E$34=""))))</f>
        <v/>
      </c>
      <c r="L13" s="3">
        <f>IF(AND($A13=""),"",IF(EXACT($H13,0),"Sin filas de carga",IF((IFERROR(VALUE($I13&amp;""),0)&lt;IFERROR(VALUE($G13&amp;""),0)),(IF(ISNUMBER(IF(IFERROR(VALUE((IFERROR(VALUE($G13&amp;""),0)-IFERROR(VALUE($I13&amp;""),0))&amp;""),0)=1,"Falta","Faltan")),IF(IF(IFERROR(VALUE((IFERROR(VALUE($G13&amp;""),0)-IFERROR(VALUE($I13&amp;""),0))&amp;""),0)=1,"Falta","Faltan")=0,"0",ROUND(IF(IFERROR(VALUE((IFERROR(VALUE($G13&amp;""),0)-IFERROR(VALUE($I13&amp;""),0))&amp;""),0)=1,"Falta","Faltan"),9-INT(LOG10(ABS(IF(IFERROR(VALUE((IFERROR(VALUE($G13&amp;""),0)-IFERROR(VALUE($I13&amp;""),0))&amp;""),0)=1,"Falta","Faltan")))))&amp;""),IF(IFERROR(VALUE((IFERROR(VALUE($G13&amp;""),0)-IFERROR(VALUE($I13&amp;""),0))&amp;""),0)=1,"Falta","Faltan")&amp;"")&amp;" "&amp;IF(ISNUMBER((IFERROR(VALUE($G13&amp;""),0)-IFERROR(VALUE($I13&amp;""),0))),IF((IFERROR(VALUE($G13&amp;""),0)-IFERROR(VALUE($I13&amp;""),0))=0,"0",ROUND((IFERROR(VALUE($G13&amp;""),0)-IFERROR(VALUE($I13&amp;""),0)),9-INT(LOG10(ABS((IFERROR(VALUE($G13&amp;""),0)-IFERROR(VALUE($I13&amp;""),0))))))&amp;""),(IFERROR(VALUE($G13&amp;""),0)-IFERROR(VALUE($I13&amp;""),0))&amp;"")&amp;" horas de carga"),IF((IFERROR(VALUE($K13&amp;""),0)&gt;0),(IF(ISNUMBER(IF(IFERROR(VALUE($K13&amp;""),0)=1,"Falta","Faltan")),IF(IF(IFERROR(VALUE($K13&amp;""),0)=1,"Falta","Faltan")=0,"0",ROUND(IF(IFERROR(VALUE($K13&amp;""),0)=1,"Falta","Faltan"),9-INT(LOG10(ABS(IF(IFERROR(VALUE($K13&amp;""),0)=1,"Falta","Faltan")))))&amp;""),IF(IFERROR(VALUE($K13&amp;""),0)=1,"Falta","Faltan")&amp;"")&amp;" "&amp;IF(ISNUMBER($K13),IF($K13=0,"0",ROUND($K13,9-INT(LOG10(ABS($K13))))&amp;""),$K13&amp;"")&amp;" "&amp;IF(ISNUMBER(IF(IFERROR(VALUE($K13&amp;""),0)=1,"profesor","profesores")),IF(IF(IFERROR(VALUE($K13&amp;""),0)=1,"profesor","profesores")=0,"0",ROUND(IF(IFERROR(VALUE($K13&amp;""),0)=1,"profesor","profesores"),9-INT(LOG10(ABS(IF(IFERROR(VALUE($K13&amp;""),0)=1,"profesor","profesores")))))&amp;""),IF(IFERROR(VALUE($K13&amp;""),0)=1,"profesor","profesores")&amp;"")),"Completa"))))</f>
        <v/>
      </c>
      <c r="M13" s="3">
        <f>IF(AND($A13=""),"",MID(IF(AND(NOT(($A13="")),NOT(EXACT($L13,"Completa"))),"; "&amp;IF(ISNUMBER($L13),IF($L13=0,"0",ROUND($L13,9-INT(LOG10(ABS($L13))))&amp;""),$L13&amp;""),"")&amp;IF(AND(NOT(($A13="")),EXACT($L13,"Completa")),"; "&amp;"cobertura completa",""),3,32767))</f>
        <v/>
      </c>
      <c r="N13" s="3">
        <f>IF(OR(AND(NOT(($A13="")),NOT(EXACT($L13,"Completa")))),2,IF(OR(AND(NOT(($A13="")),EXACT($L13,"Completa"))),1,0))</f>
        <v/>
      </c>
    </row>
    <row r="14">
      <c r="A14" s="4" t="n"/>
      <c r="B14" s="4" t="n"/>
      <c r="C14" s="4" t="n"/>
      <c r="D14" s="4" t="n"/>
      <c r="E14" s="4" t="n"/>
      <c r="F14" s="4" t="n"/>
      <c r="G14" s="3">
        <f>IF(AND($A14=""),"",(IFERROR(VALUE($D14&amp;""),0)+IFERROR(VALUE((IFERROR(VALUE($E14&amp;""),0)*IFERROR(VALUE($F14&amp;""),0))&amp;""),0)))</f>
        <v/>
      </c>
      <c r="H14" s="3">
        <f>IF(AND($A14=""),"",SUMPRODUCT(1*(((('Asignacion'!$A$4:$A$34&lt;&gt;""))&gt;0))*((EXACT('Asignacion'!$B$4:$B$34,$A14)))))</f>
        <v/>
      </c>
      <c r="I14" s="3">
        <f>IF(AND($A14=""),"",SUMPRODUCT(1*(((('Asignacion'!$A$4:$A$34&lt;&gt;""))&gt;0))*((EXACT('Asignacion'!$B$4:$B$34,$A14)))*(IFERROR(VALUE('Asignacion'!$G$4:$G$34&amp;""),0))))</f>
        <v/>
      </c>
      <c r="J14" s="3">
        <f>IF(AND($A14=""),"",SUMPRODUCT(1*(((('Asignacion'!$A$4:$A$34&lt;&gt;""))&gt;0))*((EXACT('Asignacion'!$B$4:$B$34,$A14)))*((1-(('Asignacion'!$E$4:$E$34=""))))*(IFERROR(VALUE('Asignacion'!$G$4:$G$34&amp;""),0))))</f>
        <v/>
      </c>
      <c r="K14" s="3">
        <f>IF(AND($A14=""),"",SUMPRODUCT(1*(((('Asignacion'!$A$4:$A$34&lt;&gt;""))&gt;0))*((EXACT('Asignacion'!$B$4:$B$34,$A14)))*(('Asignacion'!$E$4:$E$34=""))))</f>
        <v/>
      </c>
      <c r="L14" s="3">
        <f>IF(AND($A14=""),"",IF(EXACT($H14,0),"Sin filas de carga",IF((IFERROR(VALUE($I14&amp;""),0)&lt;IFERROR(VALUE($G14&amp;""),0)),(IF(ISNUMBER(IF(IFERROR(VALUE((IFERROR(VALUE($G14&amp;""),0)-IFERROR(VALUE($I14&amp;""),0))&amp;""),0)=1,"Falta","Faltan")),IF(IF(IFERROR(VALUE((IFERROR(VALUE($G14&amp;""),0)-IFERROR(VALUE($I14&amp;""),0))&amp;""),0)=1,"Falta","Faltan")=0,"0",ROUND(IF(IFERROR(VALUE((IFERROR(VALUE($G14&amp;""),0)-IFERROR(VALUE($I14&amp;""),0))&amp;""),0)=1,"Falta","Faltan"),9-INT(LOG10(ABS(IF(IFERROR(VALUE((IFERROR(VALUE($G14&amp;""),0)-IFERROR(VALUE($I14&amp;""),0))&amp;""),0)=1,"Falta","Faltan")))))&amp;""),IF(IFERROR(VALUE((IFERROR(VALUE($G14&amp;""),0)-IFERROR(VALUE($I14&amp;""),0))&amp;""),0)=1,"Falta","Faltan")&amp;"")&amp;" "&amp;IF(ISNUMBER((IFERROR(VALUE($G14&amp;""),0)-IFERROR(VALUE($I14&amp;""),0))),IF((IFERROR(VALUE($G14&amp;""),0)-IFERROR(VALUE($I14&amp;""),0))=0,"0",ROUND((IFERROR(VALUE($G14&amp;""),0)-IFERROR(VALUE($I14&amp;""),0)),9-INT(LOG10(ABS((IFERROR(VALUE($G14&amp;""),0)-IFERROR(VALUE($I14&amp;""),0))))))&amp;""),(IFERROR(VALUE($G14&amp;""),0)-IFERROR(VALUE($I14&amp;""),0))&amp;"")&amp;" horas de carga"),IF((IFERROR(VALUE($K14&amp;""),0)&gt;0),(IF(ISNUMBER(IF(IFERROR(VALUE($K14&amp;""),0)=1,"Falta","Faltan")),IF(IF(IFERROR(VALUE($K14&amp;""),0)=1,"Falta","Faltan")=0,"0",ROUND(IF(IFERROR(VALUE($K14&amp;""),0)=1,"Falta","Faltan"),9-INT(LOG10(ABS(IF(IFERROR(VALUE($K14&amp;""),0)=1,"Falta","Faltan")))))&amp;""),IF(IFERROR(VALUE($K14&amp;""),0)=1,"Falta","Faltan")&amp;"")&amp;" "&amp;IF(ISNUMBER($K14),IF($K14=0,"0",ROUND($K14,9-INT(LOG10(ABS($K14))))&amp;""),$K14&amp;"")&amp;" "&amp;IF(ISNUMBER(IF(IFERROR(VALUE($K14&amp;""),0)=1,"profesor","profesores")),IF(IF(IFERROR(VALUE($K14&amp;""),0)=1,"profesor","profesores")=0,"0",ROUND(IF(IFERROR(VALUE($K14&amp;""),0)=1,"profesor","profesores"),9-INT(LOG10(ABS(IF(IFERROR(VALUE($K14&amp;""),0)=1,"profesor","profesores")))))&amp;""),IF(IFERROR(VALUE($K14&amp;""),0)=1,"profesor","profesores")&amp;"")),"Completa"))))</f>
        <v/>
      </c>
      <c r="M14" s="3">
        <f>IF(AND($A14=""),"",MID(IF(AND(NOT(($A14="")),NOT(EXACT($L14,"Completa"))),"; "&amp;IF(ISNUMBER($L14),IF($L14=0,"0",ROUND($L14,9-INT(LOG10(ABS($L14))))&amp;""),$L14&amp;""),"")&amp;IF(AND(NOT(($A14="")),EXACT($L14,"Completa")),"; "&amp;"cobertura completa",""),3,32767))</f>
        <v/>
      </c>
      <c r="N14" s="3">
        <f>IF(OR(AND(NOT(($A14="")),NOT(EXACT($L14,"Completa")))),2,IF(OR(AND(NOT(($A14="")),EXACT($L14,"Completa"))),1,0))</f>
        <v/>
      </c>
    </row>
    <row r="15">
      <c r="A15" s="4" t="n"/>
      <c r="B15" s="4" t="n"/>
      <c r="C15" s="4" t="n"/>
      <c r="D15" s="4" t="n"/>
      <c r="E15" s="4" t="n"/>
      <c r="F15" s="4" t="n"/>
      <c r="G15" s="3">
        <f>IF(AND($A15=""),"",(IFERROR(VALUE($D15&amp;""),0)+IFERROR(VALUE((IFERROR(VALUE($E15&amp;""),0)*IFERROR(VALUE($F15&amp;""),0))&amp;""),0)))</f>
        <v/>
      </c>
      <c r="H15" s="3">
        <f>IF(AND($A15=""),"",SUMPRODUCT(1*(((('Asignacion'!$A$4:$A$34&lt;&gt;""))&gt;0))*((EXACT('Asignacion'!$B$4:$B$34,$A15)))))</f>
        <v/>
      </c>
      <c r="I15" s="3">
        <f>IF(AND($A15=""),"",SUMPRODUCT(1*(((('Asignacion'!$A$4:$A$34&lt;&gt;""))&gt;0))*((EXACT('Asignacion'!$B$4:$B$34,$A15)))*(IFERROR(VALUE('Asignacion'!$G$4:$G$34&amp;""),0))))</f>
        <v/>
      </c>
      <c r="J15" s="3">
        <f>IF(AND($A15=""),"",SUMPRODUCT(1*(((('Asignacion'!$A$4:$A$34&lt;&gt;""))&gt;0))*((EXACT('Asignacion'!$B$4:$B$34,$A15)))*((1-(('Asignacion'!$E$4:$E$34=""))))*(IFERROR(VALUE('Asignacion'!$G$4:$G$34&amp;""),0))))</f>
        <v/>
      </c>
      <c r="K15" s="3">
        <f>IF(AND($A15=""),"",SUMPRODUCT(1*(((('Asignacion'!$A$4:$A$34&lt;&gt;""))&gt;0))*((EXACT('Asignacion'!$B$4:$B$34,$A15)))*(('Asignacion'!$E$4:$E$34=""))))</f>
        <v/>
      </c>
      <c r="L15" s="3">
        <f>IF(AND($A15=""),"",IF(EXACT($H15,0),"Sin filas de carga",IF((IFERROR(VALUE($I15&amp;""),0)&lt;IFERROR(VALUE($G15&amp;""),0)),(IF(ISNUMBER(IF(IFERROR(VALUE((IFERROR(VALUE($G15&amp;""),0)-IFERROR(VALUE($I15&amp;""),0))&amp;""),0)=1,"Falta","Faltan")),IF(IF(IFERROR(VALUE((IFERROR(VALUE($G15&amp;""),0)-IFERROR(VALUE($I15&amp;""),0))&amp;""),0)=1,"Falta","Faltan")=0,"0",ROUND(IF(IFERROR(VALUE((IFERROR(VALUE($G15&amp;""),0)-IFERROR(VALUE($I15&amp;""),0))&amp;""),0)=1,"Falta","Faltan"),9-INT(LOG10(ABS(IF(IFERROR(VALUE((IFERROR(VALUE($G15&amp;""),0)-IFERROR(VALUE($I15&amp;""),0))&amp;""),0)=1,"Falta","Faltan")))))&amp;""),IF(IFERROR(VALUE((IFERROR(VALUE($G15&amp;""),0)-IFERROR(VALUE($I15&amp;""),0))&amp;""),0)=1,"Falta","Faltan")&amp;"")&amp;" "&amp;IF(ISNUMBER((IFERROR(VALUE($G15&amp;""),0)-IFERROR(VALUE($I15&amp;""),0))),IF((IFERROR(VALUE($G15&amp;""),0)-IFERROR(VALUE($I15&amp;""),0))=0,"0",ROUND((IFERROR(VALUE($G15&amp;""),0)-IFERROR(VALUE($I15&amp;""),0)),9-INT(LOG10(ABS((IFERROR(VALUE($G15&amp;""),0)-IFERROR(VALUE($I15&amp;""),0))))))&amp;""),(IFERROR(VALUE($G15&amp;""),0)-IFERROR(VALUE($I15&amp;""),0))&amp;"")&amp;" horas de carga"),IF((IFERROR(VALUE($K15&amp;""),0)&gt;0),(IF(ISNUMBER(IF(IFERROR(VALUE($K15&amp;""),0)=1,"Falta","Faltan")),IF(IF(IFERROR(VALUE($K15&amp;""),0)=1,"Falta","Faltan")=0,"0",ROUND(IF(IFERROR(VALUE($K15&amp;""),0)=1,"Falta","Faltan"),9-INT(LOG10(ABS(IF(IFERROR(VALUE($K15&amp;""),0)=1,"Falta","Faltan")))))&amp;""),IF(IFERROR(VALUE($K15&amp;""),0)=1,"Falta","Faltan")&amp;"")&amp;" "&amp;IF(ISNUMBER($K15),IF($K15=0,"0",ROUND($K15,9-INT(LOG10(ABS($K15))))&amp;""),$K15&amp;"")&amp;" "&amp;IF(ISNUMBER(IF(IFERROR(VALUE($K15&amp;""),0)=1,"profesor","profesores")),IF(IF(IFERROR(VALUE($K15&amp;""),0)=1,"profesor","profesores")=0,"0",ROUND(IF(IFERROR(VALUE($K15&amp;""),0)=1,"profesor","profesores"),9-INT(LOG10(ABS(IF(IFERROR(VALUE($K15&amp;""),0)=1,"profesor","profesores")))))&amp;""),IF(IFERROR(VALUE($K15&amp;""),0)=1,"profesor","profesores")&amp;"")),"Completa"))))</f>
        <v/>
      </c>
      <c r="M15" s="3">
        <f>IF(AND($A15=""),"",MID(IF(AND(NOT(($A15="")),NOT(EXACT($L15,"Completa"))),"; "&amp;IF(ISNUMBER($L15),IF($L15=0,"0",ROUND($L15,9-INT(LOG10(ABS($L15))))&amp;""),$L15&amp;""),"")&amp;IF(AND(NOT(($A15="")),EXACT($L15,"Completa")),"; "&amp;"cobertura completa",""),3,32767))</f>
        <v/>
      </c>
      <c r="N15" s="3">
        <f>IF(OR(AND(NOT(($A15="")),NOT(EXACT($L15,"Completa")))),2,IF(OR(AND(NOT(($A15="")),EXACT($L15,"Completa"))),1,0))</f>
        <v/>
      </c>
    </row>
    <row r="16">
      <c r="A16" s="4" t="n"/>
      <c r="B16" s="4" t="n"/>
      <c r="C16" s="4" t="n"/>
      <c r="D16" s="4" t="n"/>
      <c r="E16" s="4" t="n"/>
      <c r="F16" s="4" t="n"/>
      <c r="G16" s="3">
        <f>IF(AND($A16=""),"",(IFERROR(VALUE($D16&amp;""),0)+IFERROR(VALUE((IFERROR(VALUE($E16&amp;""),0)*IFERROR(VALUE($F16&amp;""),0))&amp;""),0)))</f>
        <v/>
      </c>
      <c r="H16" s="3">
        <f>IF(AND($A16=""),"",SUMPRODUCT(1*(((('Asignacion'!$A$4:$A$34&lt;&gt;""))&gt;0))*((EXACT('Asignacion'!$B$4:$B$34,$A16)))))</f>
        <v/>
      </c>
      <c r="I16" s="3">
        <f>IF(AND($A16=""),"",SUMPRODUCT(1*(((('Asignacion'!$A$4:$A$34&lt;&gt;""))&gt;0))*((EXACT('Asignacion'!$B$4:$B$34,$A16)))*(IFERROR(VALUE('Asignacion'!$G$4:$G$34&amp;""),0))))</f>
        <v/>
      </c>
      <c r="J16" s="3">
        <f>IF(AND($A16=""),"",SUMPRODUCT(1*(((('Asignacion'!$A$4:$A$34&lt;&gt;""))&gt;0))*((EXACT('Asignacion'!$B$4:$B$34,$A16)))*((1-(('Asignacion'!$E$4:$E$34=""))))*(IFERROR(VALUE('Asignacion'!$G$4:$G$34&amp;""),0))))</f>
        <v/>
      </c>
      <c r="K16" s="3">
        <f>IF(AND($A16=""),"",SUMPRODUCT(1*(((('Asignacion'!$A$4:$A$34&lt;&gt;""))&gt;0))*((EXACT('Asignacion'!$B$4:$B$34,$A16)))*(('Asignacion'!$E$4:$E$34=""))))</f>
        <v/>
      </c>
      <c r="L16" s="3">
        <f>IF(AND($A16=""),"",IF(EXACT($H16,0),"Sin filas de carga",IF((IFERROR(VALUE($I16&amp;""),0)&lt;IFERROR(VALUE($G16&amp;""),0)),(IF(ISNUMBER(IF(IFERROR(VALUE((IFERROR(VALUE($G16&amp;""),0)-IFERROR(VALUE($I16&amp;""),0))&amp;""),0)=1,"Falta","Faltan")),IF(IF(IFERROR(VALUE((IFERROR(VALUE($G16&amp;""),0)-IFERROR(VALUE($I16&amp;""),0))&amp;""),0)=1,"Falta","Faltan")=0,"0",ROUND(IF(IFERROR(VALUE((IFERROR(VALUE($G16&amp;""),0)-IFERROR(VALUE($I16&amp;""),0))&amp;""),0)=1,"Falta","Faltan"),9-INT(LOG10(ABS(IF(IFERROR(VALUE((IFERROR(VALUE($G16&amp;""),0)-IFERROR(VALUE($I16&amp;""),0))&amp;""),0)=1,"Falta","Faltan")))))&amp;""),IF(IFERROR(VALUE((IFERROR(VALUE($G16&amp;""),0)-IFERROR(VALUE($I16&amp;""),0))&amp;""),0)=1,"Falta","Faltan")&amp;"")&amp;" "&amp;IF(ISNUMBER((IFERROR(VALUE($G16&amp;""),0)-IFERROR(VALUE($I16&amp;""),0))),IF((IFERROR(VALUE($G16&amp;""),0)-IFERROR(VALUE($I16&amp;""),0))=0,"0",ROUND((IFERROR(VALUE($G16&amp;""),0)-IFERROR(VALUE($I16&amp;""),0)),9-INT(LOG10(ABS((IFERROR(VALUE($G16&amp;""),0)-IFERROR(VALUE($I16&amp;""),0))))))&amp;""),(IFERROR(VALUE($G16&amp;""),0)-IFERROR(VALUE($I16&amp;""),0))&amp;"")&amp;" horas de carga"),IF((IFERROR(VALUE($K16&amp;""),0)&gt;0),(IF(ISNUMBER(IF(IFERROR(VALUE($K16&amp;""),0)=1,"Falta","Faltan")),IF(IF(IFERROR(VALUE($K16&amp;""),0)=1,"Falta","Faltan")=0,"0",ROUND(IF(IFERROR(VALUE($K16&amp;""),0)=1,"Falta","Faltan"),9-INT(LOG10(ABS(IF(IFERROR(VALUE($K16&amp;""),0)=1,"Falta","Faltan")))))&amp;""),IF(IFERROR(VALUE($K16&amp;""),0)=1,"Falta","Faltan")&amp;"")&amp;" "&amp;IF(ISNUMBER($K16),IF($K16=0,"0",ROUND($K16,9-INT(LOG10(ABS($K16))))&amp;""),$K16&amp;"")&amp;" "&amp;IF(ISNUMBER(IF(IFERROR(VALUE($K16&amp;""),0)=1,"profesor","profesores")),IF(IF(IFERROR(VALUE($K16&amp;""),0)=1,"profesor","profesores")=0,"0",ROUND(IF(IFERROR(VALUE($K16&amp;""),0)=1,"profesor","profesores"),9-INT(LOG10(ABS(IF(IFERROR(VALUE($K16&amp;""),0)=1,"profesor","profesores")))))&amp;""),IF(IFERROR(VALUE($K16&amp;""),0)=1,"profesor","profesores")&amp;"")),"Completa"))))</f>
        <v/>
      </c>
      <c r="M16" s="3">
        <f>IF(AND($A16=""),"",MID(IF(AND(NOT(($A16="")),NOT(EXACT($L16,"Completa"))),"; "&amp;IF(ISNUMBER($L16),IF($L16=0,"0",ROUND($L16,9-INT(LOG10(ABS($L16))))&amp;""),$L16&amp;""),"")&amp;IF(AND(NOT(($A16="")),EXACT($L16,"Completa")),"; "&amp;"cobertura completa",""),3,32767))</f>
        <v/>
      </c>
      <c r="N16" s="3">
        <f>IF(OR(AND(NOT(($A16="")),NOT(EXACT($L16,"Completa")))),2,IF(OR(AND(NOT(($A16="")),EXACT($L16,"Completa"))),1,0))</f>
        <v/>
      </c>
    </row>
    <row r="17">
      <c r="A17" s="4" t="n"/>
      <c r="B17" s="4" t="n"/>
      <c r="C17" s="4" t="n"/>
      <c r="D17" s="4" t="n"/>
      <c r="E17" s="4" t="n"/>
      <c r="F17" s="4" t="n"/>
      <c r="G17" s="3">
        <f>IF(AND($A17=""),"",(IFERROR(VALUE($D17&amp;""),0)+IFERROR(VALUE((IFERROR(VALUE($E17&amp;""),0)*IFERROR(VALUE($F17&amp;""),0))&amp;""),0)))</f>
        <v/>
      </c>
      <c r="H17" s="3">
        <f>IF(AND($A17=""),"",SUMPRODUCT(1*(((('Asignacion'!$A$4:$A$34&lt;&gt;""))&gt;0))*((EXACT('Asignacion'!$B$4:$B$34,$A17)))))</f>
        <v/>
      </c>
      <c r="I17" s="3">
        <f>IF(AND($A17=""),"",SUMPRODUCT(1*(((('Asignacion'!$A$4:$A$34&lt;&gt;""))&gt;0))*((EXACT('Asignacion'!$B$4:$B$34,$A17)))*(IFERROR(VALUE('Asignacion'!$G$4:$G$34&amp;""),0))))</f>
        <v/>
      </c>
      <c r="J17" s="3">
        <f>IF(AND($A17=""),"",SUMPRODUCT(1*(((('Asignacion'!$A$4:$A$34&lt;&gt;""))&gt;0))*((EXACT('Asignacion'!$B$4:$B$34,$A17)))*((1-(('Asignacion'!$E$4:$E$34=""))))*(IFERROR(VALUE('Asignacion'!$G$4:$G$34&amp;""),0))))</f>
        <v/>
      </c>
      <c r="K17" s="3">
        <f>IF(AND($A17=""),"",SUMPRODUCT(1*(((('Asignacion'!$A$4:$A$34&lt;&gt;""))&gt;0))*((EXACT('Asignacion'!$B$4:$B$34,$A17)))*(('Asignacion'!$E$4:$E$34=""))))</f>
        <v/>
      </c>
      <c r="L17" s="3">
        <f>IF(AND($A17=""),"",IF(EXACT($H17,0),"Sin filas de carga",IF((IFERROR(VALUE($I17&amp;""),0)&lt;IFERROR(VALUE($G17&amp;""),0)),(IF(ISNUMBER(IF(IFERROR(VALUE((IFERROR(VALUE($G17&amp;""),0)-IFERROR(VALUE($I17&amp;""),0))&amp;""),0)=1,"Falta","Faltan")),IF(IF(IFERROR(VALUE((IFERROR(VALUE($G17&amp;""),0)-IFERROR(VALUE($I17&amp;""),0))&amp;""),0)=1,"Falta","Faltan")=0,"0",ROUND(IF(IFERROR(VALUE((IFERROR(VALUE($G17&amp;""),0)-IFERROR(VALUE($I17&amp;""),0))&amp;""),0)=1,"Falta","Faltan"),9-INT(LOG10(ABS(IF(IFERROR(VALUE((IFERROR(VALUE($G17&amp;""),0)-IFERROR(VALUE($I17&amp;""),0))&amp;""),0)=1,"Falta","Faltan")))))&amp;""),IF(IFERROR(VALUE((IFERROR(VALUE($G17&amp;""),0)-IFERROR(VALUE($I17&amp;""),0))&amp;""),0)=1,"Falta","Faltan")&amp;"")&amp;" "&amp;IF(ISNUMBER((IFERROR(VALUE($G17&amp;""),0)-IFERROR(VALUE($I17&amp;""),0))),IF((IFERROR(VALUE($G17&amp;""),0)-IFERROR(VALUE($I17&amp;""),0))=0,"0",ROUND((IFERROR(VALUE($G17&amp;""),0)-IFERROR(VALUE($I17&amp;""),0)),9-INT(LOG10(ABS((IFERROR(VALUE($G17&amp;""),0)-IFERROR(VALUE($I17&amp;""),0))))))&amp;""),(IFERROR(VALUE($G17&amp;""),0)-IFERROR(VALUE($I17&amp;""),0))&amp;"")&amp;" horas de carga"),IF((IFERROR(VALUE($K17&amp;""),0)&gt;0),(IF(ISNUMBER(IF(IFERROR(VALUE($K17&amp;""),0)=1,"Falta","Faltan")),IF(IF(IFERROR(VALUE($K17&amp;""),0)=1,"Falta","Faltan")=0,"0",ROUND(IF(IFERROR(VALUE($K17&amp;""),0)=1,"Falta","Faltan"),9-INT(LOG10(ABS(IF(IFERROR(VALUE($K17&amp;""),0)=1,"Falta","Faltan")))))&amp;""),IF(IFERROR(VALUE($K17&amp;""),0)=1,"Falta","Faltan")&amp;"")&amp;" "&amp;IF(ISNUMBER($K17),IF($K17=0,"0",ROUND($K17,9-INT(LOG10(ABS($K17))))&amp;""),$K17&amp;"")&amp;" "&amp;IF(ISNUMBER(IF(IFERROR(VALUE($K17&amp;""),0)=1,"profesor","profesores")),IF(IF(IFERROR(VALUE($K17&amp;""),0)=1,"profesor","profesores")=0,"0",ROUND(IF(IFERROR(VALUE($K17&amp;""),0)=1,"profesor","profesores"),9-INT(LOG10(ABS(IF(IFERROR(VALUE($K17&amp;""),0)=1,"profesor","profesores")))))&amp;""),IF(IFERROR(VALUE($K17&amp;""),0)=1,"profesor","profesores")&amp;"")),"Completa"))))</f>
        <v/>
      </c>
      <c r="M17" s="3">
        <f>IF(AND($A17=""),"",MID(IF(AND(NOT(($A17="")),NOT(EXACT($L17,"Completa"))),"; "&amp;IF(ISNUMBER($L17),IF($L17=0,"0",ROUND($L17,9-INT(LOG10(ABS($L17))))&amp;""),$L17&amp;""),"")&amp;IF(AND(NOT(($A17="")),EXACT($L17,"Completa")),"; "&amp;"cobertura completa",""),3,32767))</f>
        <v/>
      </c>
      <c r="N17" s="3">
        <f>IF(OR(AND(NOT(($A17="")),NOT(EXACT($L17,"Completa")))),2,IF(OR(AND(NOT(($A17="")),EXACT($L17,"Completa"))),1,0))</f>
        <v/>
      </c>
    </row>
    <row r="18">
      <c r="A18" s="4" t="n"/>
      <c r="B18" s="4" t="n"/>
      <c r="C18" s="4" t="n"/>
      <c r="D18" s="4" t="n"/>
      <c r="E18" s="4" t="n"/>
      <c r="F18" s="4" t="n"/>
      <c r="G18" s="3">
        <f>IF(AND($A18=""),"",(IFERROR(VALUE($D18&amp;""),0)+IFERROR(VALUE((IFERROR(VALUE($E18&amp;""),0)*IFERROR(VALUE($F18&amp;""),0))&amp;""),0)))</f>
        <v/>
      </c>
      <c r="H18" s="3">
        <f>IF(AND($A18=""),"",SUMPRODUCT(1*(((('Asignacion'!$A$4:$A$34&lt;&gt;""))&gt;0))*((EXACT('Asignacion'!$B$4:$B$34,$A18)))))</f>
        <v/>
      </c>
      <c r="I18" s="3">
        <f>IF(AND($A18=""),"",SUMPRODUCT(1*(((('Asignacion'!$A$4:$A$34&lt;&gt;""))&gt;0))*((EXACT('Asignacion'!$B$4:$B$34,$A18)))*(IFERROR(VALUE('Asignacion'!$G$4:$G$34&amp;""),0))))</f>
        <v/>
      </c>
      <c r="J18" s="3">
        <f>IF(AND($A18=""),"",SUMPRODUCT(1*(((('Asignacion'!$A$4:$A$34&lt;&gt;""))&gt;0))*((EXACT('Asignacion'!$B$4:$B$34,$A18)))*((1-(('Asignacion'!$E$4:$E$34=""))))*(IFERROR(VALUE('Asignacion'!$G$4:$G$34&amp;""),0))))</f>
        <v/>
      </c>
      <c r="K18" s="3">
        <f>IF(AND($A18=""),"",SUMPRODUCT(1*(((('Asignacion'!$A$4:$A$34&lt;&gt;""))&gt;0))*((EXACT('Asignacion'!$B$4:$B$34,$A18)))*(('Asignacion'!$E$4:$E$34=""))))</f>
        <v/>
      </c>
      <c r="L18" s="3">
        <f>IF(AND($A18=""),"",IF(EXACT($H18,0),"Sin filas de carga",IF((IFERROR(VALUE($I18&amp;""),0)&lt;IFERROR(VALUE($G18&amp;""),0)),(IF(ISNUMBER(IF(IFERROR(VALUE((IFERROR(VALUE($G18&amp;""),0)-IFERROR(VALUE($I18&amp;""),0))&amp;""),0)=1,"Falta","Faltan")),IF(IF(IFERROR(VALUE((IFERROR(VALUE($G18&amp;""),0)-IFERROR(VALUE($I18&amp;""),0))&amp;""),0)=1,"Falta","Faltan")=0,"0",ROUND(IF(IFERROR(VALUE((IFERROR(VALUE($G18&amp;""),0)-IFERROR(VALUE($I18&amp;""),0))&amp;""),0)=1,"Falta","Faltan"),9-INT(LOG10(ABS(IF(IFERROR(VALUE((IFERROR(VALUE($G18&amp;""),0)-IFERROR(VALUE($I18&amp;""),0))&amp;""),0)=1,"Falta","Faltan")))))&amp;""),IF(IFERROR(VALUE((IFERROR(VALUE($G18&amp;""),0)-IFERROR(VALUE($I18&amp;""),0))&amp;""),0)=1,"Falta","Faltan")&amp;"")&amp;" "&amp;IF(ISNUMBER((IFERROR(VALUE($G18&amp;""),0)-IFERROR(VALUE($I18&amp;""),0))),IF((IFERROR(VALUE($G18&amp;""),0)-IFERROR(VALUE($I18&amp;""),0))=0,"0",ROUND((IFERROR(VALUE($G18&amp;""),0)-IFERROR(VALUE($I18&amp;""),0)),9-INT(LOG10(ABS((IFERROR(VALUE($G18&amp;""),0)-IFERROR(VALUE($I18&amp;""),0))))))&amp;""),(IFERROR(VALUE($G18&amp;""),0)-IFERROR(VALUE($I18&amp;""),0))&amp;"")&amp;" horas de carga"),IF((IFERROR(VALUE($K18&amp;""),0)&gt;0),(IF(ISNUMBER(IF(IFERROR(VALUE($K18&amp;""),0)=1,"Falta","Faltan")),IF(IF(IFERROR(VALUE($K18&amp;""),0)=1,"Falta","Faltan")=0,"0",ROUND(IF(IFERROR(VALUE($K18&amp;""),0)=1,"Falta","Faltan"),9-INT(LOG10(ABS(IF(IFERROR(VALUE($K18&amp;""),0)=1,"Falta","Faltan")))))&amp;""),IF(IFERROR(VALUE($K18&amp;""),0)=1,"Falta","Faltan")&amp;"")&amp;" "&amp;IF(ISNUMBER($K18),IF($K18=0,"0",ROUND($K18,9-INT(LOG10(ABS($K18))))&amp;""),$K18&amp;"")&amp;" "&amp;IF(ISNUMBER(IF(IFERROR(VALUE($K18&amp;""),0)=1,"profesor","profesores")),IF(IF(IFERROR(VALUE($K18&amp;""),0)=1,"profesor","profesores")=0,"0",ROUND(IF(IFERROR(VALUE($K18&amp;""),0)=1,"profesor","profesores"),9-INT(LOG10(ABS(IF(IFERROR(VALUE($K18&amp;""),0)=1,"profesor","profesores")))))&amp;""),IF(IFERROR(VALUE($K18&amp;""),0)=1,"profesor","profesores")&amp;"")),"Completa"))))</f>
        <v/>
      </c>
      <c r="M18" s="3">
        <f>IF(AND($A18=""),"",MID(IF(AND(NOT(($A18="")),NOT(EXACT($L18,"Completa"))),"; "&amp;IF(ISNUMBER($L18),IF($L18=0,"0",ROUND($L18,9-INT(LOG10(ABS($L18))))&amp;""),$L18&amp;""),"")&amp;IF(AND(NOT(($A18="")),EXACT($L18,"Completa")),"; "&amp;"cobertura completa",""),3,32767))</f>
        <v/>
      </c>
      <c r="N18" s="3">
        <f>IF(OR(AND(NOT(($A18="")),NOT(EXACT($L18,"Completa")))),2,IF(OR(AND(NOT(($A18="")),EXACT($L18,"Completa"))),1,0))</f>
        <v/>
      </c>
    </row>
    <row r="19">
      <c r="A19" s="4" t="n"/>
      <c r="B19" s="4" t="n"/>
      <c r="C19" s="4" t="n"/>
      <c r="D19" s="4" t="n"/>
      <c r="E19" s="4" t="n"/>
      <c r="F19" s="4" t="n"/>
      <c r="G19" s="3">
        <f>IF(AND($A19=""),"",(IFERROR(VALUE($D19&amp;""),0)+IFERROR(VALUE((IFERROR(VALUE($E19&amp;""),0)*IFERROR(VALUE($F19&amp;""),0))&amp;""),0)))</f>
        <v/>
      </c>
      <c r="H19" s="3">
        <f>IF(AND($A19=""),"",SUMPRODUCT(1*(((('Asignacion'!$A$4:$A$34&lt;&gt;""))&gt;0))*((EXACT('Asignacion'!$B$4:$B$34,$A19)))))</f>
        <v/>
      </c>
      <c r="I19" s="3">
        <f>IF(AND($A19=""),"",SUMPRODUCT(1*(((('Asignacion'!$A$4:$A$34&lt;&gt;""))&gt;0))*((EXACT('Asignacion'!$B$4:$B$34,$A19)))*(IFERROR(VALUE('Asignacion'!$G$4:$G$34&amp;""),0))))</f>
        <v/>
      </c>
      <c r="J19" s="3">
        <f>IF(AND($A19=""),"",SUMPRODUCT(1*(((('Asignacion'!$A$4:$A$34&lt;&gt;""))&gt;0))*((EXACT('Asignacion'!$B$4:$B$34,$A19)))*((1-(('Asignacion'!$E$4:$E$34=""))))*(IFERROR(VALUE('Asignacion'!$G$4:$G$34&amp;""),0))))</f>
        <v/>
      </c>
      <c r="K19" s="3">
        <f>IF(AND($A19=""),"",SUMPRODUCT(1*(((('Asignacion'!$A$4:$A$34&lt;&gt;""))&gt;0))*((EXACT('Asignacion'!$B$4:$B$34,$A19)))*(('Asignacion'!$E$4:$E$34=""))))</f>
        <v/>
      </c>
      <c r="L19" s="3">
        <f>IF(AND($A19=""),"",IF(EXACT($H19,0),"Sin filas de carga",IF((IFERROR(VALUE($I19&amp;""),0)&lt;IFERROR(VALUE($G19&amp;""),0)),(IF(ISNUMBER(IF(IFERROR(VALUE((IFERROR(VALUE($G19&amp;""),0)-IFERROR(VALUE($I19&amp;""),0))&amp;""),0)=1,"Falta","Faltan")),IF(IF(IFERROR(VALUE((IFERROR(VALUE($G19&amp;""),0)-IFERROR(VALUE($I19&amp;""),0))&amp;""),0)=1,"Falta","Faltan")=0,"0",ROUND(IF(IFERROR(VALUE((IFERROR(VALUE($G19&amp;""),0)-IFERROR(VALUE($I19&amp;""),0))&amp;""),0)=1,"Falta","Faltan"),9-INT(LOG10(ABS(IF(IFERROR(VALUE((IFERROR(VALUE($G19&amp;""),0)-IFERROR(VALUE($I19&amp;""),0))&amp;""),0)=1,"Falta","Faltan")))))&amp;""),IF(IFERROR(VALUE((IFERROR(VALUE($G19&amp;""),0)-IFERROR(VALUE($I19&amp;""),0))&amp;""),0)=1,"Falta","Faltan")&amp;"")&amp;" "&amp;IF(ISNUMBER((IFERROR(VALUE($G19&amp;""),0)-IFERROR(VALUE($I19&amp;""),0))),IF((IFERROR(VALUE($G19&amp;""),0)-IFERROR(VALUE($I19&amp;""),0))=0,"0",ROUND((IFERROR(VALUE($G19&amp;""),0)-IFERROR(VALUE($I19&amp;""),0)),9-INT(LOG10(ABS((IFERROR(VALUE($G19&amp;""),0)-IFERROR(VALUE($I19&amp;""),0))))))&amp;""),(IFERROR(VALUE($G19&amp;""),0)-IFERROR(VALUE($I19&amp;""),0))&amp;"")&amp;" horas de carga"),IF((IFERROR(VALUE($K19&amp;""),0)&gt;0),(IF(ISNUMBER(IF(IFERROR(VALUE($K19&amp;""),0)=1,"Falta","Faltan")),IF(IF(IFERROR(VALUE($K19&amp;""),0)=1,"Falta","Faltan")=0,"0",ROUND(IF(IFERROR(VALUE($K19&amp;""),0)=1,"Falta","Faltan"),9-INT(LOG10(ABS(IF(IFERROR(VALUE($K19&amp;""),0)=1,"Falta","Faltan")))))&amp;""),IF(IFERROR(VALUE($K19&amp;""),0)=1,"Falta","Faltan")&amp;"")&amp;" "&amp;IF(ISNUMBER($K19),IF($K19=0,"0",ROUND($K19,9-INT(LOG10(ABS($K19))))&amp;""),$K19&amp;"")&amp;" "&amp;IF(ISNUMBER(IF(IFERROR(VALUE($K19&amp;""),0)=1,"profesor","profesores")),IF(IF(IFERROR(VALUE($K19&amp;""),0)=1,"profesor","profesores")=0,"0",ROUND(IF(IFERROR(VALUE($K19&amp;""),0)=1,"profesor","profesores"),9-INT(LOG10(ABS(IF(IFERROR(VALUE($K19&amp;""),0)=1,"profesor","profesores")))))&amp;""),IF(IFERROR(VALUE($K19&amp;""),0)=1,"profesor","profesores")&amp;"")),"Completa"))))</f>
        <v/>
      </c>
      <c r="M19" s="3">
        <f>IF(AND($A19=""),"",MID(IF(AND(NOT(($A19="")),NOT(EXACT($L19,"Completa"))),"; "&amp;IF(ISNUMBER($L19),IF($L19=0,"0",ROUND($L19,9-INT(LOG10(ABS($L19))))&amp;""),$L19&amp;""),"")&amp;IF(AND(NOT(($A19="")),EXACT($L19,"Completa")),"; "&amp;"cobertura completa",""),3,32767))</f>
        <v/>
      </c>
      <c r="N19" s="3">
        <f>IF(OR(AND(NOT(($A19="")),NOT(EXACT($L19,"Completa")))),2,IF(OR(AND(NOT(($A19="")),EXACT($L19,"Completa"))),1,0))</f>
        <v/>
      </c>
    </row>
    <row r="20">
      <c r="A20" s="4" t="n"/>
      <c r="B20" s="4" t="n"/>
      <c r="C20" s="4" t="n"/>
      <c r="D20" s="4" t="n"/>
      <c r="E20" s="4" t="n"/>
      <c r="F20" s="4" t="n"/>
      <c r="G20" s="3">
        <f>IF(AND($A20=""),"",(IFERROR(VALUE($D20&amp;""),0)+IFERROR(VALUE((IFERROR(VALUE($E20&amp;""),0)*IFERROR(VALUE($F20&amp;""),0))&amp;""),0)))</f>
        <v/>
      </c>
      <c r="H20" s="3">
        <f>IF(AND($A20=""),"",SUMPRODUCT(1*(((('Asignacion'!$A$4:$A$34&lt;&gt;""))&gt;0))*((EXACT('Asignacion'!$B$4:$B$34,$A20)))))</f>
        <v/>
      </c>
      <c r="I20" s="3">
        <f>IF(AND($A20=""),"",SUMPRODUCT(1*(((('Asignacion'!$A$4:$A$34&lt;&gt;""))&gt;0))*((EXACT('Asignacion'!$B$4:$B$34,$A20)))*(IFERROR(VALUE('Asignacion'!$G$4:$G$34&amp;""),0))))</f>
        <v/>
      </c>
      <c r="J20" s="3">
        <f>IF(AND($A20=""),"",SUMPRODUCT(1*(((('Asignacion'!$A$4:$A$34&lt;&gt;""))&gt;0))*((EXACT('Asignacion'!$B$4:$B$34,$A20)))*((1-(('Asignacion'!$E$4:$E$34=""))))*(IFERROR(VALUE('Asignacion'!$G$4:$G$34&amp;""),0))))</f>
        <v/>
      </c>
      <c r="K20" s="3">
        <f>IF(AND($A20=""),"",SUMPRODUCT(1*(((('Asignacion'!$A$4:$A$34&lt;&gt;""))&gt;0))*((EXACT('Asignacion'!$B$4:$B$34,$A20)))*(('Asignacion'!$E$4:$E$34=""))))</f>
        <v/>
      </c>
      <c r="L20" s="3">
        <f>IF(AND($A20=""),"",IF(EXACT($H20,0),"Sin filas de carga",IF((IFERROR(VALUE($I20&amp;""),0)&lt;IFERROR(VALUE($G20&amp;""),0)),(IF(ISNUMBER(IF(IFERROR(VALUE((IFERROR(VALUE($G20&amp;""),0)-IFERROR(VALUE($I20&amp;""),0))&amp;""),0)=1,"Falta","Faltan")),IF(IF(IFERROR(VALUE((IFERROR(VALUE($G20&amp;""),0)-IFERROR(VALUE($I20&amp;""),0))&amp;""),0)=1,"Falta","Faltan")=0,"0",ROUND(IF(IFERROR(VALUE((IFERROR(VALUE($G20&amp;""),0)-IFERROR(VALUE($I20&amp;""),0))&amp;""),0)=1,"Falta","Faltan"),9-INT(LOG10(ABS(IF(IFERROR(VALUE((IFERROR(VALUE($G20&amp;""),0)-IFERROR(VALUE($I20&amp;""),0))&amp;""),0)=1,"Falta","Faltan")))))&amp;""),IF(IFERROR(VALUE((IFERROR(VALUE($G20&amp;""),0)-IFERROR(VALUE($I20&amp;""),0))&amp;""),0)=1,"Falta","Faltan")&amp;"")&amp;" "&amp;IF(ISNUMBER((IFERROR(VALUE($G20&amp;""),0)-IFERROR(VALUE($I20&amp;""),0))),IF((IFERROR(VALUE($G20&amp;""),0)-IFERROR(VALUE($I20&amp;""),0))=0,"0",ROUND((IFERROR(VALUE($G20&amp;""),0)-IFERROR(VALUE($I20&amp;""),0)),9-INT(LOG10(ABS((IFERROR(VALUE($G20&amp;""),0)-IFERROR(VALUE($I20&amp;""),0))))))&amp;""),(IFERROR(VALUE($G20&amp;""),0)-IFERROR(VALUE($I20&amp;""),0))&amp;"")&amp;" horas de carga"),IF((IFERROR(VALUE($K20&amp;""),0)&gt;0),(IF(ISNUMBER(IF(IFERROR(VALUE($K20&amp;""),0)=1,"Falta","Faltan")),IF(IF(IFERROR(VALUE($K20&amp;""),0)=1,"Falta","Faltan")=0,"0",ROUND(IF(IFERROR(VALUE($K20&amp;""),0)=1,"Falta","Faltan"),9-INT(LOG10(ABS(IF(IFERROR(VALUE($K20&amp;""),0)=1,"Falta","Faltan")))))&amp;""),IF(IFERROR(VALUE($K20&amp;""),0)=1,"Falta","Faltan")&amp;"")&amp;" "&amp;IF(ISNUMBER($K20),IF($K20=0,"0",ROUND($K20,9-INT(LOG10(ABS($K20))))&amp;""),$K20&amp;"")&amp;" "&amp;IF(ISNUMBER(IF(IFERROR(VALUE($K20&amp;""),0)=1,"profesor","profesores")),IF(IF(IFERROR(VALUE($K20&amp;""),0)=1,"profesor","profesores")=0,"0",ROUND(IF(IFERROR(VALUE($K20&amp;""),0)=1,"profesor","profesores"),9-INT(LOG10(ABS(IF(IFERROR(VALUE($K20&amp;""),0)=1,"profesor","profesores")))))&amp;""),IF(IFERROR(VALUE($K20&amp;""),0)=1,"profesor","profesores")&amp;"")),"Completa"))))</f>
        <v/>
      </c>
      <c r="M20" s="3">
        <f>IF(AND($A20=""),"",MID(IF(AND(NOT(($A20="")),NOT(EXACT($L20,"Completa"))),"; "&amp;IF(ISNUMBER($L20),IF($L20=0,"0",ROUND($L20,9-INT(LOG10(ABS($L20))))&amp;""),$L20&amp;""),"")&amp;IF(AND(NOT(($A20="")),EXACT($L20,"Completa")),"; "&amp;"cobertura completa",""),3,32767))</f>
        <v/>
      </c>
      <c r="N20" s="3">
        <f>IF(OR(AND(NOT(($A20="")),NOT(EXACT($L20,"Completa")))),2,IF(OR(AND(NOT(($A20="")),EXACT($L20,"Completa"))),1,0))</f>
        <v/>
      </c>
    </row>
    <row r="21">
      <c r="A21" s="4" t="n"/>
      <c r="B21" s="4" t="n"/>
      <c r="C21" s="4" t="n"/>
      <c r="D21" s="4" t="n"/>
      <c r="E21" s="4" t="n"/>
      <c r="F21" s="4" t="n"/>
      <c r="G21" s="3">
        <f>IF(AND($A21=""),"",(IFERROR(VALUE($D21&amp;""),0)+IFERROR(VALUE((IFERROR(VALUE($E21&amp;""),0)*IFERROR(VALUE($F21&amp;""),0))&amp;""),0)))</f>
        <v/>
      </c>
      <c r="H21" s="3">
        <f>IF(AND($A21=""),"",SUMPRODUCT(1*(((('Asignacion'!$A$4:$A$34&lt;&gt;""))&gt;0))*((EXACT('Asignacion'!$B$4:$B$34,$A21)))))</f>
        <v/>
      </c>
      <c r="I21" s="3">
        <f>IF(AND($A21=""),"",SUMPRODUCT(1*(((('Asignacion'!$A$4:$A$34&lt;&gt;""))&gt;0))*((EXACT('Asignacion'!$B$4:$B$34,$A21)))*(IFERROR(VALUE('Asignacion'!$G$4:$G$34&amp;""),0))))</f>
        <v/>
      </c>
      <c r="J21" s="3">
        <f>IF(AND($A21=""),"",SUMPRODUCT(1*(((('Asignacion'!$A$4:$A$34&lt;&gt;""))&gt;0))*((EXACT('Asignacion'!$B$4:$B$34,$A21)))*((1-(('Asignacion'!$E$4:$E$34=""))))*(IFERROR(VALUE('Asignacion'!$G$4:$G$34&amp;""),0))))</f>
        <v/>
      </c>
      <c r="K21" s="3">
        <f>IF(AND($A21=""),"",SUMPRODUCT(1*(((('Asignacion'!$A$4:$A$34&lt;&gt;""))&gt;0))*((EXACT('Asignacion'!$B$4:$B$34,$A21)))*(('Asignacion'!$E$4:$E$34=""))))</f>
        <v/>
      </c>
      <c r="L21" s="3">
        <f>IF(AND($A21=""),"",IF(EXACT($H21,0),"Sin filas de carga",IF((IFERROR(VALUE($I21&amp;""),0)&lt;IFERROR(VALUE($G21&amp;""),0)),(IF(ISNUMBER(IF(IFERROR(VALUE((IFERROR(VALUE($G21&amp;""),0)-IFERROR(VALUE($I21&amp;""),0))&amp;""),0)=1,"Falta","Faltan")),IF(IF(IFERROR(VALUE((IFERROR(VALUE($G21&amp;""),0)-IFERROR(VALUE($I21&amp;""),0))&amp;""),0)=1,"Falta","Faltan")=0,"0",ROUND(IF(IFERROR(VALUE((IFERROR(VALUE($G21&amp;""),0)-IFERROR(VALUE($I21&amp;""),0))&amp;""),0)=1,"Falta","Faltan"),9-INT(LOG10(ABS(IF(IFERROR(VALUE((IFERROR(VALUE($G21&amp;""),0)-IFERROR(VALUE($I21&amp;""),0))&amp;""),0)=1,"Falta","Faltan")))))&amp;""),IF(IFERROR(VALUE((IFERROR(VALUE($G21&amp;""),0)-IFERROR(VALUE($I21&amp;""),0))&amp;""),0)=1,"Falta","Faltan")&amp;"")&amp;" "&amp;IF(ISNUMBER((IFERROR(VALUE($G21&amp;""),0)-IFERROR(VALUE($I21&amp;""),0))),IF((IFERROR(VALUE($G21&amp;""),0)-IFERROR(VALUE($I21&amp;""),0))=0,"0",ROUND((IFERROR(VALUE($G21&amp;""),0)-IFERROR(VALUE($I21&amp;""),0)),9-INT(LOG10(ABS((IFERROR(VALUE($G21&amp;""),0)-IFERROR(VALUE($I21&amp;""),0))))))&amp;""),(IFERROR(VALUE($G21&amp;""),0)-IFERROR(VALUE($I21&amp;""),0))&amp;"")&amp;" horas de carga"),IF((IFERROR(VALUE($K21&amp;""),0)&gt;0),(IF(ISNUMBER(IF(IFERROR(VALUE($K21&amp;""),0)=1,"Falta","Faltan")),IF(IF(IFERROR(VALUE($K21&amp;""),0)=1,"Falta","Faltan")=0,"0",ROUND(IF(IFERROR(VALUE($K21&amp;""),0)=1,"Falta","Faltan"),9-INT(LOG10(ABS(IF(IFERROR(VALUE($K21&amp;""),0)=1,"Falta","Faltan")))))&amp;""),IF(IFERROR(VALUE($K21&amp;""),0)=1,"Falta","Faltan")&amp;"")&amp;" "&amp;IF(ISNUMBER($K21),IF($K21=0,"0",ROUND($K21,9-INT(LOG10(ABS($K21))))&amp;""),$K21&amp;"")&amp;" "&amp;IF(ISNUMBER(IF(IFERROR(VALUE($K21&amp;""),0)=1,"profesor","profesores")),IF(IF(IFERROR(VALUE($K21&amp;""),0)=1,"profesor","profesores")=0,"0",ROUND(IF(IFERROR(VALUE($K21&amp;""),0)=1,"profesor","profesores"),9-INT(LOG10(ABS(IF(IFERROR(VALUE($K21&amp;""),0)=1,"profesor","profesores")))))&amp;""),IF(IFERROR(VALUE($K21&amp;""),0)=1,"profesor","profesores")&amp;"")),"Completa"))))</f>
        <v/>
      </c>
      <c r="M21" s="3">
        <f>IF(AND($A21=""),"",MID(IF(AND(NOT(($A21="")),NOT(EXACT($L21,"Completa"))),"; "&amp;IF(ISNUMBER($L21),IF($L21=0,"0",ROUND($L21,9-INT(LOG10(ABS($L21))))&amp;""),$L21&amp;""),"")&amp;IF(AND(NOT(($A21="")),EXACT($L21,"Completa")),"; "&amp;"cobertura completa",""),3,32767))</f>
        <v/>
      </c>
      <c r="N21" s="3">
        <f>IF(OR(AND(NOT(($A21="")),NOT(EXACT($L21,"Completa")))),2,IF(OR(AND(NOT(($A21="")),EXACT($L21,"Completa"))),1,0))</f>
        <v/>
      </c>
    </row>
    <row r="22">
      <c r="A22" s="4" t="n"/>
      <c r="B22" s="4" t="n"/>
      <c r="C22" s="4" t="n"/>
      <c r="D22" s="4" t="n"/>
      <c r="E22" s="4" t="n"/>
      <c r="F22" s="4" t="n"/>
      <c r="G22" s="3">
        <f>IF(AND($A22=""),"",(IFERROR(VALUE($D22&amp;""),0)+IFERROR(VALUE((IFERROR(VALUE($E22&amp;""),0)*IFERROR(VALUE($F22&amp;""),0))&amp;""),0)))</f>
        <v/>
      </c>
      <c r="H22" s="3">
        <f>IF(AND($A22=""),"",SUMPRODUCT(1*(((('Asignacion'!$A$4:$A$34&lt;&gt;""))&gt;0))*((EXACT('Asignacion'!$B$4:$B$34,$A22)))))</f>
        <v/>
      </c>
      <c r="I22" s="3">
        <f>IF(AND($A22=""),"",SUMPRODUCT(1*(((('Asignacion'!$A$4:$A$34&lt;&gt;""))&gt;0))*((EXACT('Asignacion'!$B$4:$B$34,$A22)))*(IFERROR(VALUE('Asignacion'!$G$4:$G$34&amp;""),0))))</f>
        <v/>
      </c>
      <c r="J22" s="3">
        <f>IF(AND($A22=""),"",SUMPRODUCT(1*(((('Asignacion'!$A$4:$A$34&lt;&gt;""))&gt;0))*((EXACT('Asignacion'!$B$4:$B$34,$A22)))*((1-(('Asignacion'!$E$4:$E$34=""))))*(IFERROR(VALUE('Asignacion'!$G$4:$G$34&amp;""),0))))</f>
        <v/>
      </c>
      <c r="K22" s="3">
        <f>IF(AND($A22=""),"",SUMPRODUCT(1*(((('Asignacion'!$A$4:$A$34&lt;&gt;""))&gt;0))*((EXACT('Asignacion'!$B$4:$B$34,$A22)))*(('Asignacion'!$E$4:$E$34=""))))</f>
        <v/>
      </c>
      <c r="L22" s="3">
        <f>IF(AND($A22=""),"",IF(EXACT($H22,0),"Sin filas de carga",IF((IFERROR(VALUE($I22&amp;""),0)&lt;IFERROR(VALUE($G22&amp;""),0)),(IF(ISNUMBER(IF(IFERROR(VALUE((IFERROR(VALUE($G22&amp;""),0)-IFERROR(VALUE($I22&amp;""),0))&amp;""),0)=1,"Falta","Faltan")),IF(IF(IFERROR(VALUE((IFERROR(VALUE($G22&amp;""),0)-IFERROR(VALUE($I22&amp;""),0))&amp;""),0)=1,"Falta","Faltan")=0,"0",ROUND(IF(IFERROR(VALUE((IFERROR(VALUE($G22&amp;""),0)-IFERROR(VALUE($I22&amp;""),0))&amp;""),0)=1,"Falta","Faltan"),9-INT(LOG10(ABS(IF(IFERROR(VALUE((IFERROR(VALUE($G22&amp;""),0)-IFERROR(VALUE($I22&amp;""),0))&amp;""),0)=1,"Falta","Faltan")))))&amp;""),IF(IFERROR(VALUE((IFERROR(VALUE($G22&amp;""),0)-IFERROR(VALUE($I22&amp;""),0))&amp;""),0)=1,"Falta","Faltan")&amp;"")&amp;" "&amp;IF(ISNUMBER((IFERROR(VALUE($G22&amp;""),0)-IFERROR(VALUE($I22&amp;""),0))),IF((IFERROR(VALUE($G22&amp;""),0)-IFERROR(VALUE($I22&amp;""),0))=0,"0",ROUND((IFERROR(VALUE($G22&amp;""),0)-IFERROR(VALUE($I22&amp;""),0)),9-INT(LOG10(ABS((IFERROR(VALUE($G22&amp;""),0)-IFERROR(VALUE($I22&amp;""),0))))))&amp;""),(IFERROR(VALUE($G22&amp;""),0)-IFERROR(VALUE($I22&amp;""),0))&amp;"")&amp;" horas de carga"),IF((IFERROR(VALUE($K22&amp;""),0)&gt;0),(IF(ISNUMBER(IF(IFERROR(VALUE($K22&amp;""),0)=1,"Falta","Faltan")),IF(IF(IFERROR(VALUE($K22&amp;""),0)=1,"Falta","Faltan")=0,"0",ROUND(IF(IFERROR(VALUE($K22&amp;""),0)=1,"Falta","Faltan"),9-INT(LOG10(ABS(IF(IFERROR(VALUE($K22&amp;""),0)=1,"Falta","Faltan")))))&amp;""),IF(IFERROR(VALUE($K22&amp;""),0)=1,"Falta","Faltan")&amp;"")&amp;" "&amp;IF(ISNUMBER($K22),IF($K22=0,"0",ROUND($K22,9-INT(LOG10(ABS($K22))))&amp;""),$K22&amp;"")&amp;" "&amp;IF(ISNUMBER(IF(IFERROR(VALUE($K22&amp;""),0)=1,"profesor","profesores")),IF(IF(IFERROR(VALUE($K22&amp;""),0)=1,"profesor","profesores")=0,"0",ROUND(IF(IFERROR(VALUE($K22&amp;""),0)=1,"profesor","profesores"),9-INT(LOG10(ABS(IF(IFERROR(VALUE($K22&amp;""),0)=1,"profesor","profesores")))))&amp;""),IF(IFERROR(VALUE($K22&amp;""),0)=1,"profesor","profesores")&amp;"")),"Completa"))))</f>
        <v/>
      </c>
      <c r="M22" s="3">
        <f>IF(AND($A22=""),"",MID(IF(AND(NOT(($A22="")),NOT(EXACT($L22,"Completa"))),"; "&amp;IF(ISNUMBER($L22),IF($L22=0,"0",ROUND($L22,9-INT(LOG10(ABS($L22))))&amp;""),$L22&amp;""),"")&amp;IF(AND(NOT(($A22="")),EXACT($L22,"Completa")),"; "&amp;"cobertura completa",""),3,32767))</f>
        <v/>
      </c>
      <c r="N22" s="3">
        <f>IF(OR(AND(NOT(($A22="")),NOT(EXACT($L22,"Completa")))),2,IF(OR(AND(NOT(($A22="")),EXACT($L22,"Completa"))),1,0))</f>
        <v/>
      </c>
    </row>
    <row r="23">
      <c r="A23" s="4" t="n"/>
      <c r="B23" s="4" t="n"/>
      <c r="C23" s="4" t="n"/>
      <c r="D23" s="4" t="n"/>
      <c r="E23" s="4" t="n"/>
      <c r="F23" s="4" t="n"/>
      <c r="G23" s="3">
        <f>IF(AND($A23=""),"",(IFERROR(VALUE($D23&amp;""),0)+IFERROR(VALUE((IFERROR(VALUE($E23&amp;""),0)*IFERROR(VALUE($F23&amp;""),0))&amp;""),0)))</f>
        <v/>
      </c>
      <c r="H23" s="3">
        <f>IF(AND($A23=""),"",SUMPRODUCT(1*(((('Asignacion'!$A$4:$A$34&lt;&gt;""))&gt;0))*((EXACT('Asignacion'!$B$4:$B$34,$A23)))))</f>
        <v/>
      </c>
      <c r="I23" s="3">
        <f>IF(AND($A23=""),"",SUMPRODUCT(1*(((('Asignacion'!$A$4:$A$34&lt;&gt;""))&gt;0))*((EXACT('Asignacion'!$B$4:$B$34,$A23)))*(IFERROR(VALUE('Asignacion'!$G$4:$G$34&amp;""),0))))</f>
        <v/>
      </c>
      <c r="J23" s="3">
        <f>IF(AND($A23=""),"",SUMPRODUCT(1*(((('Asignacion'!$A$4:$A$34&lt;&gt;""))&gt;0))*((EXACT('Asignacion'!$B$4:$B$34,$A23)))*((1-(('Asignacion'!$E$4:$E$34=""))))*(IFERROR(VALUE('Asignacion'!$G$4:$G$34&amp;""),0))))</f>
        <v/>
      </c>
      <c r="K23" s="3">
        <f>IF(AND($A23=""),"",SUMPRODUCT(1*(((('Asignacion'!$A$4:$A$34&lt;&gt;""))&gt;0))*((EXACT('Asignacion'!$B$4:$B$34,$A23)))*(('Asignacion'!$E$4:$E$34=""))))</f>
        <v/>
      </c>
      <c r="L23" s="3">
        <f>IF(AND($A23=""),"",IF(EXACT($H23,0),"Sin filas de carga",IF((IFERROR(VALUE($I23&amp;""),0)&lt;IFERROR(VALUE($G23&amp;""),0)),(IF(ISNUMBER(IF(IFERROR(VALUE((IFERROR(VALUE($G23&amp;""),0)-IFERROR(VALUE($I23&amp;""),0))&amp;""),0)=1,"Falta","Faltan")),IF(IF(IFERROR(VALUE((IFERROR(VALUE($G23&amp;""),0)-IFERROR(VALUE($I23&amp;""),0))&amp;""),0)=1,"Falta","Faltan")=0,"0",ROUND(IF(IFERROR(VALUE((IFERROR(VALUE($G23&amp;""),0)-IFERROR(VALUE($I23&amp;""),0))&amp;""),0)=1,"Falta","Faltan"),9-INT(LOG10(ABS(IF(IFERROR(VALUE((IFERROR(VALUE($G23&amp;""),0)-IFERROR(VALUE($I23&amp;""),0))&amp;""),0)=1,"Falta","Faltan")))))&amp;""),IF(IFERROR(VALUE((IFERROR(VALUE($G23&amp;""),0)-IFERROR(VALUE($I23&amp;""),0))&amp;""),0)=1,"Falta","Faltan")&amp;"")&amp;" "&amp;IF(ISNUMBER((IFERROR(VALUE($G23&amp;""),0)-IFERROR(VALUE($I23&amp;""),0))),IF((IFERROR(VALUE($G23&amp;""),0)-IFERROR(VALUE($I23&amp;""),0))=0,"0",ROUND((IFERROR(VALUE($G23&amp;""),0)-IFERROR(VALUE($I23&amp;""),0)),9-INT(LOG10(ABS((IFERROR(VALUE($G23&amp;""),0)-IFERROR(VALUE($I23&amp;""),0))))))&amp;""),(IFERROR(VALUE($G23&amp;""),0)-IFERROR(VALUE($I23&amp;""),0))&amp;"")&amp;" horas de carga"),IF((IFERROR(VALUE($K23&amp;""),0)&gt;0),(IF(ISNUMBER(IF(IFERROR(VALUE($K23&amp;""),0)=1,"Falta","Faltan")),IF(IF(IFERROR(VALUE($K23&amp;""),0)=1,"Falta","Faltan")=0,"0",ROUND(IF(IFERROR(VALUE($K23&amp;""),0)=1,"Falta","Faltan"),9-INT(LOG10(ABS(IF(IFERROR(VALUE($K23&amp;""),0)=1,"Falta","Faltan")))))&amp;""),IF(IFERROR(VALUE($K23&amp;""),0)=1,"Falta","Faltan")&amp;"")&amp;" "&amp;IF(ISNUMBER($K23),IF($K23=0,"0",ROUND($K23,9-INT(LOG10(ABS($K23))))&amp;""),$K23&amp;"")&amp;" "&amp;IF(ISNUMBER(IF(IFERROR(VALUE($K23&amp;""),0)=1,"profesor","profesores")),IF(IF(IFERROR(VALUE($K23&amp;""),0)=1,"profesor","profesores")=0,"0",ROUND(IF(IFERROR(VALUE($K23&amp;""),0)=1,"profesor","profesores"),9-INT(LOG10(ABS(IF(IFERROR(VALUE($K23&amp;""),0)=1,"profesor","profesores")))))&amp;""),IF(IFERROR(VALUE($K23&amp;""),0)=1,"profesor","profesores")&amp;"")),"Completa"))))</f>
        <v/>
      </c>
      <c r="M23" s="3">
        <f>IF(AND($A23=""),"",MID(IF(AND(NOT(($A23="")),NOT(EXACT($L23,"Completa"))),"; "&amp;IF(ISNUMBER($L23),IF($L23=0,"0",ROUND($L23,9-INT(LOG10(ABS($L23))))&amp;""),$L23&amp;""),"")&amp;IF(AND(NOT(($A23="")),EXACT($L23,"Completa")),"; "&amp;"cobertura completa",""),3,32767))</f>
        <v/>
      </c>
      <c r="N23" s="3">
        <f>IF(OR(AND(NOT(($A23="")),NOT(EXACT($L23,"Completa")))),2,IF(OR(AND(NOT(($A23="")),EXACT($L23,"Completa"))),1,0))</f>
        <v/>
      </c>
    </row>
    <row r="24">
      <c r="A24" s="4" t="n"/>
      <c r="B24" s="4" t="n"/>
      <c r="C24" s="4" t="n"/>
      <c r="D24" s="4" t="n"/>
      <c r="E24" s="4" t="n"/>
      <c r="F24" s="4" t="n"/>
      <c r="G24" s="3">
        <f>IF(AND($A24=""),"",(IFERROR(VALUE($D24&amp;""),0)+IFERROR(VALUE((IFERROR(VALUE($E24&amp;""),0)*IFERROR(VALUE($F24&amp;""),0))&amp;""),0)))</f>
        <v/>
      </c>
      <c r="H24" s="3">
        <f>IF(AND($A24=""),"",SUMPRODUCT(1*(((('Asignacion'!$A$4:$A$34&lt;&gt;""))&gt;0))*((EXACT('Asignacion'!$B$4:$B$34,$A24)))))</f>
        <v/>
      </c>
      <c r="I24" s="3">
        <f>IF(AND($A24=""),"",SUMPRODUCT(1*(((('Asignacion'!$A$4:$A$34&lt;&gt;""))&gt;0))*((EXACT('Asignacion'!$B$4:$B$34,$A24)))*(IFERROR(VALUE('Asignacion'!$G$4:$G$34&amp;""),0))))</f>
        <v/>
      </c>
      <c r="J24" s="3">
        <f>IF(AND($A24=""),"",SUMPRODUCT(1*(((('Asignacion'!$A$4:$A$34&lt;&gt;""))&gt;0))*((EXACT('Asignacion'!$B$4:$B$34,$A24)))*((1-(('Asignacion'!$E$4:$E$34=""))))*(IFERROR(VALUE('Asignacion'!$G$4:$G$34&amp;""),0))))</f>
        <v/>
      </c>
      <c r="K24" s="3">
        <f>IF(AND($A24=""),"",SUMPRODUCT(1*(((('Asignacion'!$A$4:$A$34&lt;&gt;""))&gt;0))*((EXACT('Asignacion'!$B$4:$B$34,$A24)))*(('Asignacion'!$E$4:$E$34=""))))</f>
        <v/>
      </c>
      <c r="L24" s="3">
        <f>IF(AND($A24=""),"",IF(EXACT($H24,0),"Sin filas de carga",IF((IFERROR(VALUE($I24&amp;""),0)&lt;IFERROR(VALUE($G24&amp;""),0)),(IF(ISNUMBER(IF(IFERROR(VALUE((IFERROR(VALUE($G24&amp;""),0)-IFERROR(VALUE($I24&amp;""),0))&amp;""),0)=1,"Falta","Faltan")),IF(IF(IFERROR(VALUE((IFERROR(VALUE($G24&amp;""),0)-IFERROR(VALUE($I24&amp;""),0))&amp;""),0)=1,"Falta","Faltan")=0,"0",ROUND(IF(IFERROR(VALUE((IFERROR(VALUE($G24&amp;""),0)-IFERROR(VALUE($I24&amp;""),0))&amp;""),0)=1,"Falta","Faltan"),9-INT(LOG10(ABS(IF(IFERROR(VALUE((IFERROR(VALUE($G24&amp;""),0)-IFERROR(VALUE($I24&amp;""),0))&amp;""),0)=1,"Falta","Faltan")))))&amp;""),IF(IFERROR(VALUE((IFERROR(VALUE($G24&amp;""),0)-IFERROR(VALUE($I24&amp;""),0))&amp;""),0)=1,"Falta","Faltan")&amp;"")&amp;" "&amp;IF(ISNUMBER((IFERROR(VALUE($G24&amp;""),0)-IFERROR(VALUE($I24&amp;""),0))),IF((IFERROR(VALUE($G24&amp;""),0)-IFERROR(VALUE($I24&amp;""),0))=0,"0",ROUND((IFERROR(VALUE($G24&amp;""),0)-IFERROR(VALUE($I24&amp;""),0)),9-INT(LOG10(ABS((IFERROR(VALUE($G24&amp;""),0)-IFERROR(VALUE($I24&amp;""),0))))))&amp;""),(IFERROR(VALUE($G24&amp;""),0)-IFERROR(VALUE($I24&amp;""),0))&amp;"")&amp;" horas de carga"),IF((IFERROR(VALUE($K24&amp;""),0)&gt;0),(IF(ISNUMBER(IF(IFERROR(VALUE($K24&amp;""),0)=1,"Falta","Faltan")),IF(IF(IFERROR(VALUE($K24&amp;""),0)=1,"Falta","Faltan")=0,"0",ROUND(IF(IFERROR(VALUE($K24&amp;""),0)=1,"Falta","Faltan"),9-INT(LOG10(ABS(IF(IFERROR(VALUE($K24&amp;""),0)=1,"Falta","Faltan")))))&amp;""),IF(IFERROR(VALUE($K24&amp;""),0)=1,"Falta","Faltan")&amp;"")&amp;" "&amp;IF(ISNUMBER($K24),IF($K24=0,"0",ROUND($K24,9-INT(LOG10(ABS($K24))))&amp;""),$K24&amp;"")&amp;" "&amp;IF(ISNUMBER(IF(IFERROR(VALUE($K24&amp;""),0)=1,"profesor","profesores")),IF(IF(IFERROR(VALUE($K24&amp;""),0)=1,"profesor","profesores")=0,"0",ROUND(IF(IFERROR(VALUE($K24&amp;""),0)=1,"profesor","profesores"),9-INT(LOG10(ABS(IF(IFERROR(VALUE($K24&amp;""),0)=1,"profesor","profesores")))))&amp;""),IF(IFERROR(VALUE($K24&amp;""),0)=1,"profesor","profesores")&amp;"")),"Completa"))))</f>
        <v/>
      </c>
      <c r="M24" s="3">
        <f>IF(AND($A24=""),"",MID(IF(AND(NOT(($A24="")),NOT(EXACT($L24,"Completa"))),"; "&amp;IF(ISNUMBER($L24),IF($L24=0,"0",ROUND($L24,9-INT(LOG10(ABS($L24))))&amp;""),$L24&amp;""),"")&amp;IF(AND(NOT(($A24="")),EXACT($L24,"Completa")),"; "&amp;"cobertura completa",""),3,32767))</f>
        <v/>
      </c>
      <c r="N24" s="3">
        <f>IF(OR(AND(NOT(($A24="")),NOT(EXACT($L24,"Completa")))),2,IF(OR(AND(NOT(($A24="")),EXACT($L24,"Completa"))),1,0))</f>
        <v/>
      </c>
    </row>
    <row r="25">
      <c r="A25" s="4" t="n"/>
      <c r="B25" s="4" t="n"/>
      <c r="C25" s="4" t="n"/>
      <c r="D25" s="4" t="n"/>
      <c r="E25" s="4" t="n"/>
      <c r="F25" s="4" t="n"/>
      <c r="G25" s="3">
        <f>IF(AND($A25=""),"",(IFERROR(VALUE($D25&amp;""),0)+IFERROR(VALUE((IFERROR(VALUE($E25&amp;""),0)*IFERROR(VALUE($F25&amp;""),0))&amp;""),0)))</f>
        <v/>
      </c>
      <c r="H25" s="3">
        <f>IF(AND($A25=""),"",SUMPRODUCT(1*(((('Asignacion'!$A$4:$A$34&lt;&gt;""))&gt;0))*((EXACT('Asignacion'!$B$4:$B$34,$A25)))))</f>
        <v/>
      </c>
      <c r="I25" s="3">
        <f>IF(AND($A25=""),"",SUMPRODUCT(1*(((('Asignacion'!$A$4:$A$34&lt;&gt;""))&gt;0))*((EXACT('Asignacion'!$B$4:$B$34,$A25)))*(IFERROR(VALUE('Asignacion'!$G$4:$G$34&amp;""),0))))</f>
        <v/>
      </c>
      <c r="J25" s="3">
        <f>IF(AND($A25=""),"",SUMPRODUCT(1*(((('Asignacion'!$A$4:$A$34&lt;&gt;""))&gt;0))*((EXACT('Asignacion'!$B$4:$B$34,$A25)))*((1-(('Asignacion'!$E$4:$E$34=""))))*(IFERROR(VALUE('Asignacion'!$G$4:$G$34&amp;""),0))))</f>
        <v/>
      </c>
      <c r="K25" s="3">
        <f>IF(AND($A25=""),"",SUMPRODUCT(1*(((('Asignacion'!$A$4:$A$34&lt;&gt;""))&gt;0))*((EXACT('Asignacion'!$B$4:$B$34,$A25)))*(('Asignacion'!$E$4:$E$34=""))))</f>
        <v/>
      </c>
      <c r="L25" s="3">
        <f>IF(AND($A25=""),"",IF(EXACT($H25,0),"Sin filas de carga",IF((IFERROR(VALUE($I25&amp;""),0)&lt;IFERROR(VALUE($G25&amp;""),0)),(IF(ISNUMBER(IF(IFERROR(VALUE((IFERROR(VALUE($G25&amp;""),0)-IFERROR(VALUE($I25&amp;""),0))&amp;""),0)=1,"Falta","Faltan")),IF(IF(IFERROR(VALUE((IFERROR(VALUE($G25&amp;""),0)-IFERROR(VALUE($I25&amp;""),0))&amp;""),0)=1,"Falta","Faltan")=0,"0",ROUND(IF(IFERROR(VALUE((IFERROR(VALUE($G25&amp;""),0)-IFERROR(VALUE($I25&amp;""),0))&amp;""),0)=1,"Falta","Faltan"),9-INT(LOG10(ABS(IF(IFERROR(VALUE((IFERROR(VALUE($G25&amp;""),0)-IFERROR(VALUE($I25&amp;""),0))&amp;""),0)=1,"Falta","Faltan")))))&amp;""),IF(IFERROR(VALUE((IFERROR(VALUE($G25&amp;""),0)-IFERROR(VALUE($I25&amp;""),0))&amp;""),0)=1,"Falta","Faltan")&amp;"")&amp;" "&amp;IF(ISNUMBER((IFERROR(VALUE($G25&amp;""),0)-IFERROR(VALUE($I25&amp;""),0))),IF((IFERROR(VALUE($G25&amp;""),0)-IFERROR(VALUE($I25&amp;""),0))=0,"0",ROUND((IFERROR(VALUE($G25&amp;""),0)-IFERROR(VALUE($I25&amp;""),0)),9-INT(LOG10(ABS((IFERROR(VALUE($G25&amp;""),0)-IFERROR(VALUE($I25&amp;""),0))))))&amp;""),(IFERROR(VALUE($G25&amp;""),0)-IFERROR(VALUE($I25&amp;""),0))&amp;"")&amp;" horas de carga"),IF((IFERROR(VALUE($K25&amp;""),0)&gt;0),(IF(ISNUMBER(IF(IFERROR(VALUE($K25&amp;""),0)=1,"Falta","Faltan")),IF(IF(IFERROR(VALUE($K25&amp;""),0)=1,"Falta","Faltan")=0,"0",ROUND(IF(IFERROR(VALUE($K25&amp;""),0)=1,"Falta","Faltan"),9-INT(LOG10(ABS(IF(IFERROR(VALUE($K25&amp;""),0)=1,"Falta","Faltan")))))&amp;""),IF(IFERROR(VALUE($K25&amp;""),0)=1,"Falta","Faltan")&amp;"")&amp;" "&amp;IF(ISNUMBER($K25),IF($K25=0,"0",ROUND($K25,9-INT(LOG10(ABS($K25))))&amp;""),$K25&amp;"")&amp;" "&amp;IF(ISNUMBER(IF(IFERROR(VALUE($K25&amp;""),0)=1,"profesor","profesores")),IF(IF(IFERROR(VALUE($K25&amp;""),0)=1,"profesor","profesores")=0,"0",ROUND(IF(IFERROR(VALUE($K25&amp;""),0)=1,"profesor","profesores"),9-INT(LOG10(ABS(IF(IFERROR(VALUE($K25&amp;""),0)=1,"profesor","profesores")))))&amp;""),IF(IFERROR(VALUE($K25&amp;""),0)=1,"profesor","profesores")&amp;"")),"Completa"))))</f>
        <v/>
      </c>
      <c r="M25" s="3">
        <f>IF(AND($A25=""),"",MID(IF(AND(NOT(($A25="")),NOT(EXACT($L25,"Completa"))),"; "&amp;IF(ISNUMBER($L25),IF($L25=0,"0",ROUND($L25,9-INT(LOG10(ABS($L25))))&amp;""),$L25&amp;""),"")&amp;IF(AND(NOT(($A25="")),EXACT($L25,"Completa")),"; "&amp;"cobertura completa",""),3,32767))</f>
        <v/>
      </c>
      <c r="N25" s="3">
        <f>IF(OR(AND(NOT(($A25="")),NOT(EXACT($L25,"Completa")))),2,IF(OR(AND(NOT(($A25="")),EXACT($L25,"Completa"))),1,0))</f>
        <v/>
      </c>
    </row>
    <row r="26">
      <c r="A26" s="4" t="n"/>
      <c r="B26" s="4" t="n"/>
      <c r="C26" s="4" t="n"/>
      <c r="D26" s="4" t="n"/>
      <c r="E26" s="4" t="n"/>
      <c r="F26" s="4" t="n"/>
      <c r="G26" s="3">
        <f>IF(AND($A26=""),"",(IFERROR(VALUE($D26&amp;""),0)+IFERROR(VALUE((IFERROR(VALUE($E26&amp;""),0)*IFERROR(VALUE($F26&amp;""),0))&amp;""),0)))</f>
        <v/>
      </c>
      <c r="H26" s="3">
        <f>IF(AND($A26=""),"",SUMPRODUCT(1*(((('Asignacion'!$A$4:$A$34&lt;&gt;""))&gt;0))*((EXACT('Asignacion'!$B$4:$B$34,$A26)))))</f>
        <v/>
      </c>
      <c r="I26" s="3">
        <f>IF(AND($A26=""),"",SUMPRODUCT(1*(((('Asignacion'!$A$4:$A$34&lt;&gt;""))&gt;0))*((EXACT('Asignacion'!$B$4:$B$34,$A26)))*(IFERROR(VALUE('Asignacion'!$G$4:$G$34&amp;""),0))))</f>
        <v/>
      </c>
      <c r="J26" s="3">
        <f>IF(AND($A26=""),"",SUMPRODUCT(1*(((('Asignacion'!$A$4:$A$34&lt;&gt;""))&gt;0))*((EXACT('Asignacion'!$B$4:$B$34,$A26)))*((1-(('Asignacion'!$E$4:$E$34=""))))*(IFERROR(VALUE('Asignacion'!$G$4:$G$34&amp;""),0))))</f>
        <v/>
      </c>
      <c r="K26" s="3">
        <f>IF(AND($A26=""),"",SUMPRODUCT(1*(((('Asignacion'!$A$4:$A$34&lt;&gt;""))&gt;0))*((EXACT('Asignacion'!$B$4:$B$34,$A26)))*(('Asignacion'!$E$4:$E$34=""))))</f>
        <v/>
      </c>
      <c r="L26" s="3">
        <f>IF(AND($A26=""),"",IF(EXACT($H26,0),"Sin filas de carga",IF((IFERROR(VALUE($I26&amp;""),0)&lt;IFERROR(VALUE($G26&amp;""),0)),(IF(ISNUMBER(IF(IFERROR(VALUE((IFERROR(VALUE($G26&amp;""),0)-IFERROR(VALUE($I26&amp;""),0))&amp;""),0)=1,"Falta","Faltan")),IF(IF(IFERROR(VALUE((IFERROR(VALUE($G26&amp;""),0)-IFERROR(VALUE($I26&amp;""),0))&amp;""),0)=1,"Falta","Faltan")=0,"0",ROUND(IF(IFERROR(VALUE((IFERROR(VALUE($G26&amp;""),0)-IFERROR(VALUE($I26&amp;""),0))&amp;""),0)=1,"Falta","Faltan"),9-INT(LOG10(ABS(IF(IFERROR(VALUE((IFERROR(VALUE($G26&amp;""),0)-IFERROR(VALUE($I26&amp;""),0))&amp;""),0)=1,"Falta","Faltan")))))&amp;""),IF(IFERROR(VALUE((IFERROR(VALUE($G26&amp;""),0)-IFERROR(VALUE($I26&amp;""),0))&amp;""),0)=1,"Falta","Faltan")&amp;"")&amp;" "&amp;IF(ISNUMBER((IFERROR(VALUE($G26&amp;""),0)-IFERROR(VALUE($I26&amp;""),0))),IF((IFERROR(VALUE($G26&amp;""),0)-IFERROR(VALUE($I26&amp;""),0))=0,"0",ROUND((IFERROR(VALUE($G26&amp;""),0)-IFERROR(VALUE($I26&amp;""),0)),9-INT(LOG10(ABS((IFERROR(VALUE($G26&amp;""),0)-IFERROR(VALUE($I26&amp;""),0))))))&amp;""),(IFERROR(VALUE($G26&amp;""),0)-IFERROR(VALUE($I26&amp;""),0))&amp;"")&amp;" horas de carga"),IF((IFERROR(VALUE($K26&amp;""),0)&gt;0),(IF(ISNUMBER(IF(IFERROR(VALUE($K26&amp;""),0)=1,"Falta","Faltan")),IF(IF(IFERROR(VALUE($K26&amp;""),0)=1,"Falta","Faltan")=0,"0",ROUND(IF(IFERROR(VALUE($K26&amp;""),0)=1,"Falta","Faltan"),9-INT(LOG10(ABS(IF(IFERROR(VALUE($K26&amp;""),0)=1,"Falta","Faltan")))))&amp;""),IF(IFERROR(VALUE($K26&amp;""),0)=1,"Falta","Faltan")&amp;"")&amp;" "&amp;IF(ISNUMBER($K26),IF($K26=0,"0",ROUND($K26,9-INT(LOG10(ABS($K26))))&amp;""),$K26&amp;"")&amp;" "&amp;IF(ISNUMBER(IF(IFERROR(VALUE($K26&amp;""),0)=1,"profesor","profesores")),IF(IF(IFERROR(VALUE($K26&amp;""),0)=1,"profesor","profesores")=0,"0",ROUND(IF(IFERROR(VALUE($K26&amp;""),0)=1,"profesor","profesores"),9-INT(LOG10(ABS(IF(IFERROR(VALUE($K26&amp;""),0)=1,"profesor","profesores")))))&amp;""),IF(IFERROR(VALUE($K26&amp;""),0)=1,"profesor","profesores")&amp;"")),"Completa"))))</f>
        <v/>
      </c>
      <c r="M26" s="3">
        <f>IF(AND($A26=""),"",MID(IF(AND(NOT(($A26="")),NOT(EXACT($L26,"Completa"))),"; "&amp;IF(ISNUMBER($L26),IF($L26=0,"0",ROUND($L26,9-INT(LOG10(ABS($L26))))&amp;""),$L26&amp;""),"")&amp;IF(AND(NOT(($A26="")),EXACT($L26,"Completa")),"; "&amp;"cobertura completa",""),3,32767))</f>
        <v/>
      </c>
      <c r="N26" s="3">
        <f>IF(OR(AND(NOT(($A26="")),NOT(EXACT($L26,"Completa")))),2,IF(OR(AND(NOT(($A26="")),EXACT($L26,"Completa"))),1,0))</f>
        <v/>
      </c>
    </row>
    <row r="27">
      <c r="A27" s="4" t="n"/>
      <c r="B27" s="4" t="n"/>
      <c r="C27" s="4" t="n"/>
      <c r="D27" s="4" t="n"/>
      <c r="E27" s="4" t="n"/>
      <c r="F27" s="4" t="n"/>
      <c r="G27" s="3">
        <f>IF(AND($A27=""),"",(IFERROR(VALUE($D27&amp;""),0)+IFERROR(VALUE((IFERROR(VALUE($E27&amp;""),0)*IFERROR(VALUE($F27&amp;""),0))&amp;""),0)))</f>
        <v/>
      </c>
      <c r="H27" s="3">
        <f>IF(AND($A27=""),"",SUMPRODUCT(1*(((('Asignacion'!$A$4:$A$34&lt;&gt;""))&gt;0))*((EXACT('Asignacion'!$B$4:$B$34,$A27)))))</f>
        <v/>
      </c>
      <c r="I27" s="3">
        <f>IF(AND($A27=""),"",SUMPRODUCT(1*(((('Asignacion'!$A$4:$A$34&lt;&gt;""))&gt;0))*((EXACT('Asignacion'!$B$4:$B$34,$A27)))*(IFERROR(VALUE('Asignacion'!$G$4:$G$34&amp;""),0))))</f>
        <v/>
      </c>
      <c r="J27" s="3">
        <f>IF(AND($A27=""),"",SUMPRODUCT(1*(((('Asignacion'!$A$4:$A$34&lt;&gt;""))&gt;0))*((EXACT('Asignacion'!$B$4:$B$34,$A27)))*((1-(('Asignacion'!$E$4:$E$34=""))))*(IFERROR(VALUE('Asignacion'!$G$4:$G$34&amp;""),0))))</f>
        <v/>
      </c>
      <c r="K27" s="3">
        <f>IF(AND($A27=""),"",SUMPRODUCT(1*(((('Asignacion'!$A$4:$A$34&lt;&gt;""))&gt;0))*((EXACT('Asignacion'!$B$4:$B$34,$A27)))*(('Asignacion'!$E$4:$E$34=""))))</f>
        <v/>
      </c>
      <c r="L27" s="3">
        <f>IF(AND($A27=""),"",IF(EXACT($H27,0),"Sin filas de carga",IF((IFERROR(VALUE($I27&amp;""),0)&lt;IFERROR(VALUE($G27&amp;""),0)),(IF(ISNUMBER(IF(IFERROR(VALUE((IFERROR(VALUE($G27&amp;""),0)-IFERROR(VALUE($I27&amp;""),0))&amp;""),0)=1,"Falta","Faltan")),IF(IF(IFERROR(VALUE((IFERROR(VALUE($G27&amp;""),0)-IFERROR(VALUE($I27&amp;""),0))&amp;""),0)=1,"Falta","Faltan")=0,"0",ROUND(IF(IFERROR(VALUE((IFERROR(VALUE($G27&amp;""),0)-IFERROR(VALUE($I27&amp;""),0))&amp;""),0)=1,"Falta","Faltan"),9-INT(LOG10(ABS(IF(IFERROR(VALUE((IFERROR(VALUE($G27&amp;""),0)-IFERROR(VALUE($I27&amp;""),0))&amp;""),0)=1,"Falta","Faltan")))))&amp;""),IF(IFERROR(VALUE((IFERROR(VALUE($G27&amp;""),0)-IFERROR(VALUE($I27&amp;""),0))&amp;""),0)=1,"Falta","Faltan")&amp;"")&amp;" "&amp;IF(ISNUMBER((IFERROR(VALUE($G27&amp;""),0)-IFERROR(VALUE($I27&amp;""),0))),IF((IFERROR(VALUE($G27&amp;""),0)-IFERROR(VALUE($I27&amp;""),0))=0,"0",ROUND((IFERROR(VALUE($G27&amp;""),0)-IFERROR(VALUE($I27&amp;""),0)),9-INT(LOG10(ABS((IFERROR(VALUE($G27&amp;""),0)-IFERROR(VALUE($I27&amp;""),0))))))&amp;""),(IFERROR(VALUE($G27&amp;""),0)-IFERROR(VALUE($I27&amp;""),0))&amp;"")&amp;" horas de carga"),IF((IFERROR(VALUE($K27&amp;""),0)&gt;0),(IF(ISNUMBER(IF(IFERROR(VALUE($K27&amp;""),0)=1,"Falta","Faltan")),IF(IF(IFERROR(VALUE($K27&amp;""),0)=1,"Falta","Faltan")=0,"0",ROUND(IF(IFERROR(VALUE($K27&amp;""),0)=1,"Falta","Faltan"),9-INT(LOG10(ABS(IF(IFERROR(VALUE($K27&amp;""),0)=1,"Falta","Faltan")))))&amp;""),IF(IFERROR(VALUE($K27&amp;""),0)=1,"Falta","Faltan")&amp;"")&amp;" "&amp;IF(ISNUMBER($K27),IF($K27=0,"0",ROUND($K27,9-INT(LOG10(ABS($K27))))&amp;""),$K27&amp;"")&amp;" "&amp;IF(ISNUMBER(IF(IFERROR(VALUE($K27&amp;""),0)=1,"profesor","profesores")),IF(IF(IFERROR(VALUE($K27&amp;""),0)=1,"profesor","profesores")=0,"0",ROUND(IF(IFERROR(VALUE($K27&amp;""),0)=1,"profesor","profesores"),9-INT(LOG10(ABS(IF(IFERROR(VALUE($K27&amp;""),0)=1,"profesor","profesores")))))&amp;""),IF(IFERROR(VALUE($K27&amp;""),0)=1,"profesor","profesores")&amp;"")),"Completa"))))</f>
        <v/>
      </c>
      <c r="M27" s="3">
        <f>IF(AND($A27=""),"",MID(IF(AND(NOT(($A27="")),NOT(EXACT($L27,"Completa"))),"; "&amp;IF(ISNUMBER($L27),IF($L27=0,"0",ROUND($L27,9-INT(LOG10(ABS($L27))))&amp;""),$L27&amp;""),"")&amp;IF(AND(NOT(($A27="")),EXACT($L27,"Completa")),"; "&amp;"cobertura completa",""),3,32767))</f>
        <v/>
      </c>
      <c r="N27" s="3">
        <f>IF(OR(AND(NOT(($A27="")),NOT(EXACT($L27,"Completa")))),2,IF(OR(AND(NOT(($A27="")),EXACT($L27,"Completa"))),1,0))</f>
        <v/>
      </c>
    </row>
    <row r="29">
      <c r="A29" s="5" t="inlineStr">
        <is>
          <t>Leyenda</t>
        </is>
      </c>
    </row>
    <row r="30">
      <c r="A30" s="6" t="n"/>
      <c r="B30" t="inlineStr">
        <is>
          <t>La asignatura no tiene cubiertas todas sus horas</t>
        </is>
      </c>
    </row>
    <row r="31">
      <c r="A31" s="8" t="n"/>
      <c r="B31" t="inlineStr">
        <is>
          <t>La asignatura tiene cubiertas todas sus horas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conditionalFormatting sqref="B4:B27">
    <cfRule type="expression" priority="1" dxfId="0" stopIfTrue="0">
      <formula>AND(NOT(($A4="")),NOT(EXACT($L4,"Completa")))</formula>
    </cfRule>
    <cfRule type="expression" priority="3" dxfId="2" stopIfTrue="0">
      <formula>AND(NOT(($A4="")),EXACT($L4,"Completa"))</formula>
    </cfRule>
  </conditionalFormatting>
  <conditionalFormatting sqref="L4:L27">
    <cfRule type="expression" priority="1" dxfId="0" stopIfTrue="0">
      <formula>AND(NOT(($A4="")),NOT(EXACT($L4,"Completa")))</formula>
    </cfRule>
    <cfRule type="expression" priority="3" dxfId="2" stopIfTrue="0">
      <formula>AND(NOT(($A4="")),EXACT($L4,"Completa"))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A9D18E"/>
    <outlinePr summaryBelow="1" summaryRight="1"/>
    <pageSetUpPr/>
  </sheetPr>
  <dimension ref="A1:X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20" customWidth="1" min="7" max="7"/>
    <col width="13" customWidth="1" min="8" max="8"/>
    <col width="23" customWidth="1" min="9" max="9"/>
    <col width="16" customWidth="1" min="10" max="10"/>
    <col width="18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8" customWidth="1" min="23" max="23"/>
  </cols>
  <sheetData>
    <row r="1">
      <c r="A1" s="1" t="inlineStr">
        <is>
          <t>Detalle - Lo que imparte</t>
        </is>
      </c>
    </row>
    <row r="3">
      <c r="A3" s="2" t="inlineStr">
        <is>
          <t>(clave)</t>
        </is>
      </c>
      <c r="B3" s="2" t="inlineStr">
        <is>
          <t>No.</t>
        </is>
      </c>
      <c r="C3" s="2" t="inlineStr">
        <is>
          <t>Id</t>
        </is>
      </c>
      <c r="D3" s="2" t="inlineStr">
        <is>
          <t>Tipo</t>
        </is>
      </c>
      <c r="E3" s="2" t="inlineStr">
        <is>
          <t>Grupo</t>
        </is>
      </c>
      <c r="F3" s="2" t="inlineStr">
        <is>
          <t>Profesor</t>
        </is>
      </c>
      <c r="G3" s="2" t="inlineStr">
        <is>
          <t>Asignatura</t>
        </is>
      </c>
      <c r="H3" s="2" t="inlineStr">
        <is>
          <t>Horas</t>
        </is>
      </c>
      <c r="I3" s="2" t="inlineStr">
        <is>
          <t>Nombre</t>
        </is>
      </c>
      <c r="J3" s="2" t="inlineStr">
        <is>
          <t>Codigo</t>
        </is>
      </c>
      <c r="K3" s="2" t="inlineStr">
        <is>
          <t>Primera del par</t>
        </is>
      </c>
      <c r="L3" s="2" t="inlineStr">
        <is>
          <t>Cuenta</t>
        </is>
      </c>
      <c r="M3" s="3" t="n"/>
      <c r="N3" s="2" t="inlineStr">
        <is>
          <t>No.</t>
        </is>
      </c>
      <c r="O3" s="2" t="inlineStr">
        <is>
          <t>Id</t>
        </is>
      </c>
      <c r="P3" s="2" t="inlineStr">
        <is>
          <t>Tipo</t>
        </is>
      </c>
      <c r="Q3" s="2" t="inlineStr">
        <is>
          <t>Grupo</t>
        </is>
      </c>
      <c r="R3" s="2" t="inlineStr">
        <is>
          <t>Profesor</t>
        </is>
      </c>
      <c r="S3" s="2" t="inlineStr">
        <is>
          <t>Asignatura</t>
        </is>
      </c>
      <c r="T3" s="2" t="inlineStr">
        <is>
          <t>Horas</t>
        </is>
      </c>
      <c r="U3" s="2" t="inlineStr">
        <is>
          <t>Nombre</t>
        </is>
      </c>
      <c r="V3" s="2" t="inlineStr">
        <is>
          <t>Codigo</t>
        </is>
      </c>
      <c r="W3" s="2" t="inlineStr">
        <is>
          <t>Primera del par</t>
        </is>
      </c>
      <c r="X3" s="9" t="inlineStr">
        <is>
          <t>Cuenta</t>
        </is>
      </c>
    </row>
    <row r="4">
      <c r="A4" s="3">
        <f>"PIAD"&amp;CHAR(30)&amp;"1"</f>
        <v/>
      </c>
      <c r="B4" s="3" t="n">
        <v>1</v>
      </c>
      <c r="C4" s="3" t="inlineStr">
        <is>
          <t>EST-CC</t>
        </is>
      </c>
      <c r="D4" s="3" t="inlineStr">
        <is>
          <t>Conf</t>
        </is>
      </c>
      <c r="E4" s="3" t="inlineStr"/>
      <c r="F4" s="3" t="inlineStr">
        <is>
          <t>PIAD</t>
        </is>
      </c>
      <c r="G4" s="3" t="inlineStr">
        <is>
          <t>Estadistica (CC)</t>
        </is>
      </c>
      <c r="H4" s="3" t="n">
        <v>32</v>
      </c>
      <c r="I4" s="3" t="inlineStr">
        <is>
          <t>Pedro I. Alonso Diaz</t>
        </is>
      </c>
      <c r="J4" s="3" t="inlineStr">
        <is>
          <t xml:space="preserve">EST-CC Conf </t>
        </is>
      </c>
      <c r="K4" s="3" t="inlineStr">
        <is>
          <t xml:space="preserve">EST-CC Conf </t>
        </is>
      </c>
      <c r="L4" s="3" t="n">
        <v>1</v>
      </c>
      <c r="M4" s="3" t="n"/>
      <c r="N4" s="3" t="inlineStr">
        <is>
          <t>PIAD</t>
        </is>
      </c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>
        <f>"PIAD"&amp;CHAR(30)&amp;"2"</f>
        <v/>
      </c>
      <c r="B5" s="3" t="n">
        <v>2</v>
      </c>
      <c r="C5" s="3" t="inlineStr">
        <is>
          <t>EST-CC</t>
        </is>
      </c>
      <c r="D5" s="3" t="inlineStr">
        <is>
          <t>CP</t>
        </is>
      </c>
      <c r="E5" s="3" t="inlineStr">
        <is>
          <t>1</t>
        </is>
      </c>
      <c r="F5" s="3" t="inlineStr">
        <is>
          <t>PIAD</t>
        </is>
      </c>
      <c r="G5" s="3" t="inlineStr">
        <is>
          <t>Estadistica (CC)</t>
        </is>
      </c>
      <c r="H5" s="3" t="n">
        <v>32</v>
      </c>
      <c r="I5" s="3" t="inlineStr">
        <is>
          <t>Pedro I. Alonso Diaz</t>
        </is>
      </c>
      <c r="J5" s="3" t="inlineStr">
        <is>
          <t>EST-CC CP 1</t>
        </is>
      </c>
      <c r="K5" s="3" t="inlineStr">
        <is>
          <t xml:space="preserve">EST-CC Conf </t>
        </is>
      </c>
      <c r="L5" s="3" t="n">
        <v>0</v>
      </c>
      <c r="M5" s="3" t="n"/>
      <c r="N5" s="3">
        <f>IF(ISNA(MATCH(1,INDEX(EXACT('Detalle - Lo que imparte'!$A$4:$A$11,"PIAD"&amp;CHAR(30)&amp;"1")*1,0),0)),"",IF(ISBLANK(INDEX('Detalle - Lo que imparte'!$B$4:$B$11,MATCH(1,INDEX(EXACT('Detalle - Lo que imparte'!$A$4:$A$11,"PIAD"&amp;CHAR(30)&amp;"1")*1,0),0))),"",INDEX('Detalle - Lo que imparte'!$B$4:$B$11,MATCH(1,INDEX(EXACT('Detalle - Lo que imparte'!$A$4:$A$11,"PIAD"&amp;CHAR(30)&amp;"1")*1,0),0))))</f>
        <v/>
      </c>
      <c r="O5" s="3">
        <f>IF(ISNA(MATCH(1,INDEX(EXACT('Detalle - Lo que imparte'!$A$4:$A$11,"PIAD"&amp;CHAR(30)&amp;"1")*1,0),0)),"",IF(ISBLANK(INDEX('Detalle - Lo que imparte'!$C$4:$C$11,MATCH(1,INDEX(EXACT('Detalle - Lo que imparte'!$A$4:$A$11,"PIAD"&amp;CHAR(30)&amp;"1")*1,0),0))),"",INDEX('Detalle - Lo que imparte'!$C$4:$C$11,MATCH(1,INDEX(EXACT('Detalle - Lo que imparte'!$A$4:$A$11,"PIAD"&amp;CHAR(30)&amp;"1")*1,0),0))))</f>
        <v/>
      </c>
      <c r="P5" s="3">
        <f>IF(ISNA(MATCH(1,INDEX(EXACT('Detalle - Lo que imparte'!$A$4:$A$11,"PIAD"&amp;CHAR(30)&amp;"1")*1,0),0)),"",IF(ISBLANK(INDEX('Detalle - Lo que imparte'!$D$4:$D$11,MATCH(1,INDEX(EXACT('Detalle - Lo que imparte'!$A$4:$A$11,"PIAD"&amp;CHAR(30)&amp;"1")*1,0),0))),"",INDEX('Detalle - Lo que imparte'!$D$4:$D$11,MATCH(1,INDEX(EXACT('Detalle - Lo que imparte'!$A$4:$A$11,"PIAD"&amp;CHAR(30)&amp;"1")*1,0),0))))</f>
        <v/>
      </c>
      <c r="Q5" s="3">
        <f>IF(ISNA(MATCH(1,INDEX(EXACT('Detalle - Lo que imparte'!$A$4:$A$11,"PIAD"&amp;CHAR(30)&amp;"1")*1,0),0)),"",IF(ISBLANK(INDEX('Detalle - Lo que imparte'!$E$4:$E$11,MATCH(1,INDEX(EXACT('Detalle - Lo que imparte'!$A$4:$A$11,"PIAD"&amp;CHAR(30)&amp;"1")*1,0),0))),"",INDEX('Detalle - Lo que imparte'!$E$4:$E$11,MATCH(1,INDEX(EXACT('Detalle - Lo que imparte'!$A$4:$A$11,"PIAD"&amp;CHAR(30)&amp;"1")*1,0),0))))</f>
        <v/>
      </c>
      <c r="R5" s="3">
        <f>IF(ISNA(MATCH(1,INDEX(EXACT('Detalle - Lo que imparte'!$A$4:$A$11,"PIAD"&amp;CHAR(30)&amp;"1")*1,0),0)),"",IF(ISBLANK(INDEX('Detalle - Lo que imparte'!$F$4:$F$11,MATCH(1,INDEX(EXACT('Detalle - Lo que imparte'!$A$4:$A$11,"PIAD"&amp;CHAR(30)&amp;"1")*1,0),0))),"",INDEX('Detalle - Lo que imparte'!$F$4:$F$11,MATCH(1,INDEX(EXACT('Detalle - Lo que imparte'!$A$4:$A$11,"PIAD"&amp;CHAR(30)&amp;"1")*1,0),0))))</f>
        <v/>
      </c>
      <c r="S5" s="3">
        <f>IF(ISNA(MATCH(1,INDEX(EXACT('Detalle - Lo que imparte'!$A$4:$A$11,"PIAD"&amp;CHAR(30)&amp;"1")*1,0),0)),"",IF(ISBLANK(INDEX('Detalle - Lo que imparte'!$G$4:$G$11,MATCH(1,INDEX(EXACT('Detalle - Lo que imparte'!$A$4:$A$11,"PIAD"&amp;CHAR(30)&amp;"1")*1,0),0))),"",INDEX('Detalle - Lo que imparte'!$G$4:$G$11,MATCH(1,INDEX(EXACT('Detalle - Lo que imparte'!$A$4:$A$11,"PIAD"&amp;CHAR(30)&amp;"1")*1,0),0))))</f>
        <v/>
      </c>
      <c r="T5" s="3">
        <f>IF(ISNA(MATCH(1,INDEX(EXACT('Detalle - Lo que imparte'!$A$4:$A$11,"PIAD"&amp;CHAR(30)&amp;"1")*1,0),0)),"",IF(ISBLANK(INDEX('Detalle - Lo que imparte'!$H$4:$H$11,MATCH(1,INDEX(EXACT('Detalle - Lo que imparte'!$A$4:$A$11,"PIAD"&amp;CHAR(30)&amp;"1")*1,0),0))),"",INDEX('Detalle - Lo que imparte'!$H$4:$H$11,MATCH(1,INDEX(EXACT('Detalle - Lo que imparte'!$A$4:$A$11,"PIAD"&amp;CHAR(30)&amp;"1")*1,0),0))))</f>
        <v/>
      </c>
      <c r="U5" s="3">
        <f>IF(ISNA(MATCH(1,INDEX(EXACT('Detalle - Lo que imparte'!$A$4:$A$11,"PIAD"&amp;CHAR(30)&amp;"1")*1,0),0)),"",IF(ISBLANK(INDEX('Detalle - Lo que imparte'!$I$4:$I$11,MATCH(1,INDEX(EXACT('Detalle - Lo que imparte'!$A$4:$A$11,"PIAD"&amp;CHAR(30)&amp;"1")*1,0),0))),"",INDEX('Detalle - Lo que imparte'!$I$4:$I$11,MATCH(1,INDEX(EXACT('Detalle - Lo que imparte'!$A$4:$A$11,"PIAD"&amp;CHAR(30)&amp;"1")*1,0),0))))</f>
        <v/>
      </c>
      <c r="V5" s="3">
        <f>IF(ISNA(MATCH(1,INDEX(EXACT('Detalle - Lo que imparte'!$A$4:$A$11,"PIAD"&amp;CHAR(30)&amp;"1")*1,0),0)),"",IF(ISBLANK(INDEX('Detalle - Lo que imparte'!$J$4:$J$11,MATCH(1,INDEX(EXACT('Detalle - Lo que imparte'!$A$4:$A$11,"PIAD"&amp;CHAR(30)&amp;"1")*1,0),0))),"",INDEX('Detalle - Lo que imparte'!$J$4:$J$11,MATCH(1,INDEX(EXACT('Detalle - Lo que imparte'!$A$4:$A$11,"PIAD"&amp;CHAR(30)&amp;"1")*1,0),0))))</f>
        <v/>
      </c>
      <c r="W5" s="3">
        <f>IF(ISNA(MATCH(1,INDEX(EXACT('Detalle - Lo que imparte'!$A$4:$A$11,"PIAD"&amp;CHAR(30)&amp;"1")*1,0),0)),"",IF(ISBLANK(INDEX('Detalle - Lo que imparte'!$K$4:$K$11,MATCH(1,INDEX(EXACT('Detalle - Lo que imparte'!$A$4:$A$11,"PIAD"&amp;CHAR(30)&amp;"1")*1,0),0))),"",INDEX('Detalle - Lo que imparte'!$K$4:$K$11,MATCH(1,INDEX(EXACT('Detalle - Lo que imparte'!$A$4:$A$11,"PIAD"&amp;CHAR(30)&amp;"1")*1,0),0))))</f>
        <v/>
      </c>
      <c r="X5">
        <f>IF(ISNA(MATCH(1,INDEX(EXACT('Detalle - Lo que imparte'!$A$4:$A$11,"PIAD"&amp;CHAR(30)&amp;"1")*1,0),0)),"",IF(ISBLANK(INDEX('Detalle - Lo que imparte'!$L$4:$L$11,MATCH(1,INDEX(EXACT('Detalle - Lo que imparte'!$A$4:$A$11,"PIAD"&amp;CHAR(30)&amp;"1")*1,0),0))),"",INDEX('Detalle - Lo que imparte'!$L$4:$L$11,MATCH(1,INDEX(EXACT('Detalle - Lo que imparte'!$A$4:$A$11,"PIAD"&amp;CHAR(30)&amp;"1")*1,0),0))))</f>
        <v/>
      </c>
    </row>
    <row r="6">
      <c r="A6" s="3">
        <f>"PIAD"&amp;CHAR(30)&amp;"3"</f>
        <v/>
      </c>
      <c r="B6" s="3" t="n">
        <v>3</v>
      </c>
      <c r="C6" s="3" t="inlineStr">
        <is>
          <t>EST-CC</t>
        </is>
      </c>
      <c r="D6" s="3" t="inlineStr">
        <is>
          <t>CP</t>
        </is>
      </c>
      <c r="E6" s="3" t="inlineStr">
        <is>
          <t>2</t>
        </is>
      </c>
      <c r="F6" s="3" t="inlineStr">
        <is>
          <t>PIAD</t>
        </is>
      </c>
      <c r="G6" s="3" t="inlineStr">
        <is>
          <t>Estadistica (CC)</t>
        </is>
      </c>
      <c r="H6" s="3" t="n">
        <v>32</v>
      </c>
      <c r="I6" s="3" t="inlineStr">
        <is>
          <t>Pedro I. Alonso Diaz</t>
        </is>
      </c>
      <c r="J6" s="3" t="inlineStr">
        <is>
          <t>EST-CC CP 2</t>
        </is>
      </c>
      <c r="K6" s="3" t="inlineStr">
        <is>
          <t xml:space="preserve">EST-CC Conf </t>
        </is>
      </c>
      <c r="L6" s="3" t="n">
        <v>0</v>
      </c>
      <c r="M6" s="3" t="n"/>
      <c r="N6" s="3">
        <f>IF(ISNA(MATCH(1,INDEX(EXACT('Detalle - Lo que imparte'!$A$4:$A$11,"PIAD"&amp;CHAR(30)&amp;"2")*1,0),0)),"",IF(ISBLANK(INDEX('Detalle - Lo que imparte'!$B$4:$B$11,MATCH(1,INDEX(EXACT('Detalle - Lo que imparte'!$A$4:$A$11,"PIAD"&amp;CHAR(30)&amp;"2")*1,0),0))),"",INDEX('Detalle - Lo que imparte'!$B$4:$B$11,MATCH(1,INDEX(EXACT('Detalle - Lo que imparte'!$A$4:$A$11,"PIAD"&amp;CHAR(30)&amp;"2")*1,0),0))))</f>
        <v/>
      </c>
      <c r="O6" s="3">
        <f>IF(ISNA(MATCH(1,INDEX(EXACT('Detalle - Lo que imparte'!$A$4:$A$11,"PIAD"&amp;CHAR(30)&amp;"2")*1,0),0)),"",IF(ISBLANK(INDEX('Detalle - Lo que imparte'!$C$4:$C$11,MATCH(1,INDEX(EXACT('Detalle - Lo que imparte'!$A$4:$A$11,"PIAD"&amp;CHAR(30)&amp;"2")*1,0),0))),"",INDEX('Detalle - Lo que imparte'!$C$4:$C$11,MATCH(1,INDEX(EXACT('Detalle - Lo que imparte'!$A$4:$A$11,"PIAD"&amp;CHAR(30)&amp;"2")*1,0),0))))</f>
        <v/>
      </c>
      <c r="P6" s="3">
        <f>IF(ISNA(MATCH(1,INDEX(EXACT('Detalle - Lo que imparte'!$A$4:$A$11,"PIAD"&amp;CHAR(30)&amp;"2")*1,0),0)),"",IF(ISBLANK(INDEX('Detalle - Lo que imparte'!$D$4:$D$11,MATCH(1,INDEX(EXACT('Detalle - Lo que imparte'!$A$4:$A$11,"PIAD"&amp;CHAR(30)&amp;"2")*1,0),0))),"",INDEX('Detalle - Lo que imparte'!$D$4:$D$11,MATCH(1,INDEX(EXACT('Detalle - Lo que imparte'!$A$4:$A$11,"PIAD"&amp;CHAR(30)&amp;"2")*1,0),0))))</f>
        <v/>
      </c>
      <c r="Q6" s="3">
        <f>IF(ISNA(MATCH(1,INDEX(EXACT('Detalle - Lo que imparte'!$A$4:$A$11,"PIAD"&amp;CHAR(30)&amp;"2")*1,0),0)),"",IF(ISBLANK(INDEX('Detalle - Lo que imparte'!$E$4:$E$11,MATCH(1,INDEX(EXACT('Detalle - Lo que imparte'!$A$4:$A$11,"PIAD"&amp;CHAR(30)&amp;"2")*1,0),0))),"",INDEX('Detalle - Lo que imparte'!$E$4:$E$11,MATCH(1,INDEX(EXACT('Detalle - Lo que imparte'!$A$4:$A$11,"PIAD"&amp;CHAR(30)&amp;"2")*1,0),0))))</f>
        <v/>
      </c>
      <c r="R6" s="3">
        <f>IF(ISNA(MATCH(1,INDEX(EXACT('Detalle - Lo que imparte'!$A$4:$A$11,"PIAD"&amp;CHAR(30)&amp;"2")*1,0),0)),"",IF(ISBLANK(INDEX('Detalle - Lo que imparte'!$F$4:$F$11,MATCH(1,INDEX(EXACT('Detalle - Lo que imparte'!$A$4:$A$11,"PIAD"&amp;CHAR(30)&amp;"2")*1,0),0))),"",INDEX('Detalle - Lo que imparte'!$F$4:$F$11,MATCH(1,INDEX(EXACT('Detalle - Lo que imparte'!$A$4:$A$11,"PIAD"&amp;CHAR(30)&amp;"2")*1,0),0))))</f>
        <v/>
      </c>
      <c r="S6" s="3">
        <f>IF(ISNA(MATCH(1,INDEX(EXACT('Detalle - Lo que imparte'!$A$4:$A$11,"PIAD"&amp;CHAR(30)&amp;"2")*1,0),0)),"",IF(ISBLANK(INDEX('Detalle - Lo que imparte'!$G$4:$G$11,MATCH(1,INDEX(EXACT('Detalle - Lo que imparte'!$A$4:$A$11,"PIAD"&amp;CHAR(30)&amp;"2")*1,0),0))),"",INDEX('Detalle - Lo que imparte'!$G$4:$G$11,MATCH(1,INDEX(EXACT('Detalle - Lo que imparte'!$A$4:$A$11,"PIAD"&amp;CHAR(30)&amp;"2")*1,0),0))))</f>
        <v/>
      </c>
      <c r="T6" s="3">
        <f>IF(ISNA(MATCH(1,INDEX(EXACT('Detalle - Lo que imparte'!$A$4:$A$11,"PIAD"&amp;CHAR(30)&amp;"2")*1,0),0)),"",IF(ISBLANK(INDEX('Detalle - Lo que imparte'!$H$4:$H$11,MATCH(1,INDEX(EXACT('Detalle - Lo que imparte'!$A$4:$A$11,"PIAD"&amp;CHAR(30)&amp;"2")*1,0),0))),"",INDEX('Detalle - Lo que imparte'!$H$4:$H$11,MATCH(1,INDEX(EXACT('Detalle - Lo que imparte'!$A$4:$A$11,"PIAD"&amp;CHAR(30)&amp;"2")*1,0),0))))</f>
        <v/>
      </c>
      <c r="U6" s="3">
        <f>IF(ISNA(MATCH(1,INDEX(EXACT('Detalle - Lo que imparte'!$A$4:$A$11,"PIAD"&amp;CHAR(30)&amp;"2")*1,0),0)),"",IF(ISBLANK(INDEX('Detalle - Lo que imparte'!$I$4:$I$11,MATCH(1,INDEX(EXACT('Detalle - Lo que imparte'!$A$4:$A$11,"PIAD"&amp;CHAR(30)&amp;"2")*1,0),0))),"",INDEX('Detalle - Lo que imparte'!$I$4:$I$11,MATCH(1,INDEX(EXACT('Detalle - Lo que imparte'!$A$4:$A$11,"PIAD"&amp;CHAR(30)&amp;"2")*1,0),0))))</f>
        <v/>
      </c>
      <c r="V6" s="3">
        <f>IF(ISNA(MATCH(1,INDEX(EXACT('Detalle - Lo que imparte'!$A$4:$A$11,"PIAD"&amp;CHAR(30)&amp;"2")*1,0),0)),"",IF(ISBLANK(INDEX('Detalle - Lo que imparte'!$J$4:$J$11,MATCH(1,INDEX(EXACT('Detalle - Lo que imparte'!$A$4:$A$11,"PIAD"&amp;CHAR(30)&amp;"2")*1,0),0))),"",INDEX('Detalle - Lo que imparte'!$J$4:$J$11,MATCH(1,INDEX(EXACT('Detalle - Lo que imparte'!$A$4:$A$11,"PIAD"&amp;CHAR(30)&amp;"2")*1,0),0))))</f>
        <v/>
      </c>
      <c r="W6" s="3">
        <f>IF(ISNA(MATCH(1,INDEX(EXACT('Detalle - Lo que imparte'!$A$4:$A$11,"PIAD"&amp;CHAR(30)&amp;"2")*1,0),0)),"",IF(ISBLANK(INDEX('Detalle - Lo que imparte'!$K$4:$K$11,MATCH(1,INDEX(EXACT('Detalle - Lo que imparte'!$A$4:$A$11,"PIAD"&amp;CHAR(30)&amp;"2")*1,0),0))),"",INDEX('Detalle - Lo que imparte'!$K$4:$K$11,MATCH(1,INDEX(EXACT('Detalle - Lo que imparte'!$A$4:$A$11,"PIAD"&amp;CHAR(30)&amp;"2")*1,0),0))))</f>
        <v/>
      </c>
      <c r="X6">
        <f>IF(ISNA(MATCH(1,INDEX(EXACT('Detalle - Lo que imparte'!$A$4:$A$11,"PIAD"&amp;CHAR(30)&amp;"2")*1,0),0)),"",IF(ISBLANK(INDEX('Detalle - Lo que imparte'!$L$4:$L$11,MATCH(1,INDEX(EXACT('Detalle - Lo que imparte'!$A$4:$A$11,"PIAD"&amp;CHAR(30)&amp;"2")*1,0),0))),"",INDEX('Detalle - Lo que imparte'!$L$4:$L$11,MATCH(1,INDEX(EXACT('Detalle - Lo que imparte'!$A$4:$A$11,"PIAD"&amp;CHAR(30)&amp;"2")*1,0),0))))</f>
        <v/>
      </c>
    </row>
    <row r="7">
      <c r="A7" s="3">
        <f>"PIAD"&amp;CHAR(30)&amp;"4"</f>
        <v/>
      </c>
      <c r="B7" s="3" t="n">
        <v>4</v>
      </c>
      <c r="C7" s="3" t="inlineStr">
        <is>
          <t>EST-MAT</t>
        </is>
      </c>
      <c r="D7" s="3" t="inlineStr">
        <is>
          <t>Conf</t>
        </is>
      </c>
      <c r="E7" s="3" t="inlineStr"/>
      <c r="F7" s="3" t="inlineStr">
        <is>
          <t>PIAD</t>
        </is>
      </c>
      <c r="G7" s="3" t="inlineStr">
        <is>
          <t>Estadistica (Mat)</t>
        </is>
      </c>
      <c r="H7" s="3" t="n">
        <v>32</v>
      </c>
      <c r="I7" s="3" t="inlineStr">
        <is>
          <t>Pedro I. Alonso Diaz</t>
        </is>
      </c>
      <c r="J7" s="3" t="inlineStr">
        <is>
          <t xml:space="preserve">EST-MAT Conf </t>
        </is>
      </c>
      <c r="K7" s="3" t="inlineStr">
        <is>
          <t xml:space="preserve">EST-MAT Conf </t>
        </is>
      </c>
      <c r="L7" s="3" t="n">
        <v>1</v>
      </c>
      <c r="M7" s="3" t="n"/>
      <c r="N7" s="3">
        <f>IF(ISNA(MATCH(1,INDEX(EXACT('Detalle - Lo que imparte'!$A$4:$A$11,"PIAD"&amp;CHAR(30)&amp;"3")*1,0),0)),"",IF(ISBLANK(INDEX('Detalle - Lo que imparte'!$B$4:$B$11,MATCH(1,INDEX(EXACT('Detalle - Lo que imparte'!$A$4:$A$11,"PIAD"&amp;CHAR(30)&amp;"3")*1,0),0))),"",INDEX('Detalle - Lo que imparte'!$B$4:$B$11,MATCH(1,INDEX(EXACT('Detalle - Lo que imparte'!$A$4:$A$11,"PIAD"&amp;CHAR(30)&amp;"3")*1,0),0))))</f>
        <v/>
      </c>
      <c r="O7" s="3">
        <f>IF(ISNA(MATCH(1,INDEX(EXACT('Detalle - Lo que imparte'!$A$4:$A$11,"PIAD"&amp;CHAR(30)&amp;"3")*1,0),0)),"",IF(ISBLANK(INDEX('Detalle - Lo que imparte'!$C$4:$C$11,MATCH(1,INDEX(EXACT('Detalle - Lo que imparte'!$A$4:$A$11,"PIAD"&amp;CHAR(30)&amp;"3")*1,0),0))),"",INDEX('Detalle - Lo que imparte'!$C$4:$C$11,MATCH(1,INDEX(EXACT('Detalle - Lo que imparte'!$A$4:$A$11,"PIAD"&amp;CHAR(30)&amp;"3")*1,0),0))))</f>
        <v/>
      </c>
      <c r="P7" s="3">
        <f>IF(ISNA(MATCH(1,INDEX(EXACT('Detalle - Lo que imparte'!$A$4:$A$11,"PIAD"&amp;CHAR(30)&amp;"3")*1,0),0)),"",IF(ISBLANK(INDEX('Detalle - Lo que imparte'!$D$4:$D$11,MATCH(1,INDEX(EXACT('Detalle - Lo que imparte'!$A$4:$A$11,"PIAD"&amp;CHAR(30)&amp;"3")*1,0),0))),"",INDEX('Detalle - Lo que imparte'!$D$4:$D$11,MATCH(1,INDEX(EXACT('Detalle - Lo que imparte'!$A$4:$A$11,"PIAD"&amp;CHAR(30)&amp;"3")*1,0),0))))</f>
        <v/>
      </c>
      <c r="Q7" s="3">
        <f>IF(ISNA(MATCH(1,INDEX(EXACT('Detalle - Lo que imparte'!$A$4:$A$11,"PIAD"&amp;CHAR(30)&amp;"3")*1,0),0)),"",IF(ISBLANK(INDEX('Detalle - Lo que imparte'!$E$4:$E$11,MATCH(1,INDEX(EXACT('Detalle - Lo que imparte'!$A$4:$A$11,"PIAD"&amp;CHAR(30)&amp;"3")*1,0),0))),"",INDEX('Detalle - Lo que imparte'!$E$4:$E$11,MATCH(1,INDEX(EXACT('Detalle - Lo que imparte'!$A$4:$A$11,"PIAD"&amp;CHAR(30)&amp;"3")*1,0),0))))</f>
        <v/>
      </c>
      <c r="R7" s="3">
        <f>IF(ISNA(MATCH(1,INDEX(EXACT('Detalle - Lo que imparte'!$A$4:$A$11,"PIAD"&amp;CHAR(30)&amp;"3")*1,0),0)),"",IF(ISBLANK(INDEX('Detalle - Lo que imparte'!$F$4:$F$11,MATCH(1,INDEX(EXACT('Detalle - Lo que imparte'!$A$4:$A$11,"PIAD"&amp;CHAR(30)&amp;"3")*1,0),0))),"",INDEX('Detalle - Lo que imparte'!$F$4:$F$11,MATCH(1,INDEX(EXACT('Detalle - Lo que imparte'!$A$4:$A$11,"PIAD"&amp;CHAR(30)&amp;"3")*1,0),0))))</f>
        <v/>
      </c>
      <c r="S7" s="3">
        <f>IF(ISNA(MATCH(1,INDEX(EXACT('Detalle - Lo que imparte'!$A$4:$A$11,"PIAD"&amp;CHAR(30)&amp;"3")*1,0),0)),"",IF(ISBLANK(INDEX('Detalle - Lo que imparte'!$G$4:$G$11,MATCH(1,INDEX(EXACT('Detalle - Lo que imparte'!$A$4:$A$11,"PIAD"&amp;CHAR(30)&amp;"3")*1,0),0))),"",INDEX('Detalle - Lo que imparte'!$G$4:$G$11,MATCH(1,INDEX(EXACT('Detalle - Lo que imparte'!$A$4:$A$11,"PIAD"&amp;CHAR(30)&amp;"3")*1,0),0))))</f>
        <v/>
      </c>
      <c r="T7" s="3">
        <f>IF(ISNA(MATCH(1,INDEX(EXACT('Detalle - Lo que imparte'!$A$4:$A$11,"PIAD"&amp;CHAR(30)&amp;"3")*1,0),0)),"",IF(ISBLANK(INDEX('Detalle - Lo que imparte'!$H$4:$H$11,MATCH(1,INDEX(EXACT('Detalle - Lo que imparte'!$A$4:$A$11,"PIAD"&amp;CHAR(30)&amp;"3")*1,0),0))),"",INDEX('Detalle - Lo que imparte'!$H$4:$H$11,MATCH(1,INDEX(EXACT('Detalle - Lo que imparte'!$A$4:$A$11,"PIAD"&amp;CHAR(30)&amp;"3")*1,0),0))))</f>
        <v/>
      </c>
      <c r="U7" s="3">
        <f>IF(ISNA(MATCH(1,INDEX(EXACT('Detalle - Lo que imparte'!$A$4:$A$11,"PIAD"&amp;CHAR(30)&amp;"3")*1,0),0)),"",IF(ISBLANK(INDEX('Detalle - Lo que imparte'!$I$4:$I$11,MATCH(1,INDEX(EXACT('Detalle - Lo que imparte'!$A$4:$A$11,"PIAD"&amp;CHAR(30)&amp;"3")*1,0),0))),"",INDEX('Detalle - Lo que imparte'!$I$4:$I$11,MATCH(1,INDEX(EXACT('Detalle - Lo que imparte'!$A$4:$A$11,"PIAD"&amp;CHAR(30)&amp;"3")*1,0),0))))</f>
        <v/>
      </c>
      <c r="V7" s="3">
        <f>IF(ISNA(MATCH(1,INDEX(EXACT('Detalle - Lo que imparte'!$A$4:$A$11,"PIAD"&amp;CHAR(30)&amp;"3")*1,0),0)),"",IF(ISBLANK(INDEX('Detalle - Lo que imparte'!$J$4:$J$11,MATCH(1,INDEX(EXACT('Detalle - Lo que imparte'!$A$4:$A$11,"PIAD"&amp;CHAR(30)&amp;"3")*1,0),0))),"",INDEX('Detalle - Lo que imparte'!$J$4:$J$11,MATCH(1,INDEX(EXACT('Detalle - Lo que imparte'!$A$4:$A$11,"PIAD"&amp;CHAR(30)&amp;"3")*1,0),0))))</f>
        <v/>
      </c>
      <c r="W7" s="3">
        <f>IF(ISNA(MATCH(1,INDEX(EXACT('Detalle - Lo que imparte'!$A$4:$A$11,"PIAD"&amp;CHAR(30)&amp;"3")*1,0),0)),"",IF(ISBLANK(INDEX('Detalle - Lo que imparte'!$K$4:$K$11,MATCH(1,INDEX(EXACT('Detalle - Lo que imparte'!$A$4:$A$11,"PIAD"&amp;CHAR(30)&amp;"3")*1,0),0))),"",INDEX('Detalle - Lo que imparte'!$K$4:$K$11,MATCH(1,INDEX(EXACT('Detalle - Lo que imparte'!$A$4:$A$11,"PIAD"&amp;CHAR(30)&amp;"3")*1,0),0))))</f>
        <v/>
      </c>
      <c r="X7">
        <f>IF(ISNA(MATCH(1,INDEX(EXACT('Detalle - Lo que imparte'!$A$4:$A$11,"PIAD"&amp;CHAR(30)&amp;"3")*1,0),0)),"",IF(ISBLANK(INDEX('Detalle - Lo que imparte'!$L$4:$L$11,MATCH(1,INDEX(EXACT('Detalle - Lo que imparte'!$A$4:$A$11,"PIAD"&amp;CHAR(30)&amp;"3")*1,0),0))),"",INDEX('Detalle - Lo que imparte'!$L$4:$L$11,MATCH(1,INDEX(EXACT('Detalle - Lo que imparte'!$A$4:$A$11,"PIAD"&amp;CHAR(30)&amp;"3")*1,0),0))))</f>
        <v/>
      </c>
    </row>
    <row r="8">
      <c r="A8" s="3">
        <f>"MARA"&amp;CHAR(30)&amp;"1"</f>
        <v/>
      </c>
      <c r="B8" s="3" t="n">
        <v>6</v>
      </c>
      <c r="C8" s="3" t="inlineStr">
        <is>
          <t>PROB</t>
        </is>
      </c>
      <c r="D8" s="3" t="inlineStr">
        <is>
          <t>Conf</t>
        </is>
      </c>
      <c r="E8" s="3" t="inlineStr"/>
      <c r="F8" s="3" t="inlineStr">
        <is>
          <t>MARA</t>
        </is>
      </c>
      <c r="G8" s="3" t="inlineStr">
        <is>
          <t>Probabilidades</t>
        </is>
      </c>
      <c r="H8" s="3" t="n">
        <v>48</v>
      </c>
      <c r="I8" s="3" t="inlineStr">
        <is>
          <t>Maria Ramirez</t>
        </is>
      </c>
      <c r="J8" s="3" t="inlineStr">
        <is>
          <t xml:space="preserve">PROB Conf </t>
        </is>
      </c>
      <c r="K8" s="3" t="inlineStr">
        <is>
          <t xml:space="preserve">PROB Conf </t>
        </is>
      </c>
      <c r="L8" s="3" t="n">
        <v>1</v>
      </c>
      <c r="M8" s="3" t="n"/>
      <c r="N8" s="3">
        <f>IF(ISNA(MATCH(1,INDEX(EXACT('Detalle - Lo que imparte'!$A$4:$A$11,"PIAD"&amp;CHAR(30)&amp;"4")*1,0),0)),"",IF(ISBLANK(INDEX('Detalle - Lo que imparte'!$B$4:$B$11,MATCH(1,INDEX(EXACT('Detalle - Lo que imparte'!$A$4:$A$11,"PIAD"&amp;CHAR(30)&amp;"4")*1,0),0))),"",INDEX('Detalle - Lo que imparte'!$B$4:$B$11,MATCH(1,INDEX(EXACT('Detalle - Lo que imparte'!$A$4:$A$11,"PIAD"&amp;CHAR(30)&amp;"4")*1,0),0))))</f>
        <v/>
      </c>
      <c r="O8" s="3">
        <f>IF(ISNA(MATCH(1,INDEX(EXACT('Detalle - Lo que imparte'!$A$4:$A$11,"PIAD"&amp;CHAR(30)&amp;"4")*1,0),0)),"",IF(ISBLANK(INDEX('Detalle - Lo que imparte'!$C$4:$C$11,MATCH(1,INDEX(EXACT('Detalle - Lo que imparte'!$A$4:$A$11,"PIAD"&amp;CHAR(30)&amp;"4")*1,0),0))),"",INDEX('Detalle - Lo que imparte'!$C$4:$C$11,MATCH(1,INDEX(EXACT('Detalle - Lo que imparte'!$A$4:$A$11,"PIAD"&amp;CHAR(30)&amp;"4")*1,0),0))))</f>
        <v/>
      </c>
      <c r="P8" s="3">
        <f>IF(ISNA(MATCH(1,INDEX(EXACT('Detalle - Lo que imparte'!$A$4:$A$11,"PIAD"&amp;CHAR(30)&amp;"4")*1,0),0)),"",IF(ISBLANK(INDEX('Detalle - Lo que imparte'!$D$4:$D$11,MATCH(1,INDEX(EXACT('Detalle - Lo que imparte'!$A$4:$A$11,"PIAD"&amp;CHAR(30)&amp;"4")*1,0),0))),"",INDEX('Detalle - Lo que imparte'!$D$4:$D$11,MATCH(1,INDEX(EXACT('Detalle - Lo que imparte'!$A$4:$A$11,"PIAD"&amp;CHAR(30)&amp;"4")*1,0),0))))</f>
        <v/>
      </c>
      <c r="Q8" s="3">
        <f>IF(ISNA(MATCH(1,INDEX(EXACT('Detalle - Lo que imparte'!$A$4:$A$11,"PIAD"&amp;CHAR(30)&amp;"4")*1,0),0)),"",IF(ISBLANK(INDEX('Detalle - Lo que imparte'!$E$4:$E$11,MATCH(1,INDEX(EXACT('Detalle - Lo que imparte'!$A$4:$A$11,"PIAD"&amp;CHAR(30)&amp;"4")*1,0),0))),"",INDEX('Detalle - Lo que imparte'!$E$4:$E$11,MATCH(1,INDEX(EXACT('Detalle - Lo que imparte'!$A$4:$A$11,"PIAD"&amp;CHAR(30)&amp;"4")*1,0),0))))</f>
        <v/>
      </c>
      <c r="R8" s="3">
        <f>IF(ISNA(MATCH(1,INDEX(EXACT('Detalle - Lo que imparte'!$A$4:$A$11,"PIAD"&amp;CHAR(30)&amp;"4")*1,0),0)),"",IF(ISBLANK(INDEX('Detalle - Lo que imparte'!$F$4:$F$11,MATCH(1,INDEX(EXACT('Detalle - Lo que imparte'!$A$4:$A$11,"PIAD"&amp;CHAR(30)&amp;"4")*1,0),0))),"",INDEX('Detalle - Lo que imparte'!$F$4:$F$11,MATCH(1,INDEX(EXACT('Detalle - Lo que imparte'!$A$4:$A$11,"PIAD"&amp;CHAR(30)&amp;"4")*1,0),0))))</f>
        <v/>
      </c>
      <c r="S8" s="3">
        <f>IF(ISNA(MATCH(1,INDEX(EXACT('Detalle - Lo que imparte'!$A$4:$A$11,"PIAD"&amp;CHAR(30)&amp;"4")*1,0),0)),"",IF(ISBLANK(INDEX('Detalle - Lo que imparte'!$G$4:$G$11,MATCH(1,INDEX(EXACT('Detalle - Lo que imparte'!$A$4:$A$11,"PIAD"&amp;CHAR(30)&amp;"4")*1,0),0))),"",INDEX('Detalle - Lo que imparte'!$G$4:$G$11,MATCH(1,INDEX(EXACT('Detalle - Lo que imparte'!$A$4:$A$11,"PIAD"&amp;CHAR(30)&amp;"4")*1,0),0))))</f>
        <v/>
      </c>
      <c r="T8" s="3">
        <f>IF(ISNA(MATCH(1,INDEX(EXACT('Detalle - Lo que imparte'!$A$4:$A$11,"PIAD"&amp;CHAR(30)&amp;"4")*1,0),0)),"",IF(ISBLANK(INDEX('Detalle - Lo que imparte'!$H$4:$H$11,MATCH(1,INDEX(EXACT('Detalle - Lo que imparte'!$A$4:$A$11,"PIAD"&amp;CHAR(30)&amp;"4")*1,0),0))),"",INDEX('Detalle - Lo que imparte'!$H$4:$H$11,MATCH(1,INDEX(EXACT('Detalle - Lo que imparte'!$A$4:$A$11,"PIAD"&amp;CHAR(30)&amp;"4")*1,0),0))))</f>
        <v/>
      </c>
      <c r="U8" s="3">
        <f>IF(ISNA(MATCH(1,INDEX(EXACT('Detalle - Lo que imparte'!$A$4:$A$11,"PIAD"&amp;CHAR(30)&amp;"4")*1,0),0)),"",IF(ISBLANK(INDEX('Detalle - Lo que imparte'!$I$4:$I$11,MATCH(1,INDEX(EXACT('Detalle - Lo que imparte'!$A$4:$A$11,"PIAD"&amp;CHAR(30)&amp;"4")*1,0),0))),"",INDEX('Detalle - Lo que imparte'!$I$4:$I$11,MATCH(1,INDEX(EXACT('Detalle - Lo que imparte'!$A$4:$A$11,"PIAD"&amp;CHAR(30)&amp;"4")*1,0),0))))</f>
        <v/>
      </c>
      <c r="V8" s="3">
        <f>IF(ISNA(MATCH(1,INDEX(EXACT('Detalle - Lo que imparte'!$A$4:$A$11,"PIAD"&amp;CHAR(30)&amp;"4")*1,0),0)),"",IF(ISBLANK(INDEX('Detalle - Lo que imparte'!$J$4:$J$11,MATCH(1,INDEX(EXACT('Detalle - Lo que imparte'!$A$4:$A$11,"PIAD"&amp;CHAR(30)&amp;"4")*1,0),0))),"",INDEX('Detalle - Lo que imparte'!$J$4:$J$11,MATCH(1,INDEX(EXACT('Detalle - Lo que imparte'!$A$4:$A$11,"PIAD"&amp;CHAR(30)&amp;"4")*1,0),0))))</f>
        <v/>
      </c>
      <c r="W8" s="3">
        <f>IF(ISNA(MATCH(1,INDEX(EXACT('Detalle - Lo que imparte'!$A$4:$A$11,"PIAD"&amp;CHAR(30)&amp;"4")*1,0),0)),"",IF(ISBLANK(INDEX('Detalle - Lo que imparte'!$K$4:$K$11,MATCH(1,INDEX(EXACT('Detalle - Lo que imparte'!$A$4:$A$11,"PIAD"&amp;CHAR(30)&amp;"4")*1,0),0))),"",INDEX('Detalle - Lo que imparte'!$K$4:$K$11,MATCH(1,INDEX(EXACT('Detalle - Lo que imparte'!$A$4:$A$11,"PIAD"&amp;CHAR(30)&amp;"4")*1,0),0))))</f>
        <v/>
      </c>
      <c r="X8">
        <f>IF(ISNA(MATCH(1,INDEX(EXACT('Detalle - Lo que imparte'!$A$4:$A$11,"PIAD"&amp;CHAR(30)&amp;"4")*1,0),0)),"",IF(ISBLANK(INDEX('Detalle - Lo que imparte'!$L$4:$L$11,MATCH(1,INDEX(EXACT('Detalle - Lo que imparte'!$A$4:$A$11,"PIAD"&amp;CHAR(30)&amp;"4")*1,0),0))),"",INDEX('Detalle - Lo que imparte'!$L$4:$L$11,MATCH(1,INDEX(EXACT('Detalle - Lo que imparte'!$A$4:$A$11,"PIAD"&amp;CHAR(30)&amp;"4")*1,0),0))))</f>
        <v/>
      </c>
    </row>
    <row r="9">
      <c r="A9" s="3">
        <f>"MARA"&amp;CHAR(30)&amp;"2"</f>
        <v/>
      </c>
      <c r="B9" s="3" t="n">
        <v>7</v>
      </c>
      <c r="C9" s="3" t="inlineStr">
        <is>
          <t>PROB</t>
        </is>
      </c>
      <c r="D9" s="3" t="inlineStr">
        <is>
          <t>CP</t>
        </is>
      </c>
      <c r="E9" s="3" t="inlineStr">
        <is>
          <t>1</t>
        </is>
      </c>
      <c r="F9" s="3" t="inlineStr">
        <is>
          <t>MARA</t>
        </is>
      </c>
      <c r="G9" s="3" t="inlineStr">
        <is>
          <t>Probabilidades</t>
        </is>
      </c>
      <c r="H9" s="3" t="n">
        <v>32</v>
      </c>
      <c r="I9" s="3" t="inlineStr">
        <is>
          <t>Maria Ramirez</t>
        </is>
      </c>
      <c r="J9" s="3" t="inlineStr">
        <is>
          <t>PROB CP 1</t>
        </is>
      </c>
      <c r="K9" s="3" t="inlineStr">
        <is>
          <t xml:space="preserve">PROB Conf </t>
        </is>
      </c>
      <c r="L9" s="3" t="n">
        <v>0</v>
      </c>
      <c r="M9" s="3" t="n"/>
      <c r="N9" s="3">
        <f>IF(ISNA(MATCH(1,INDEX(EXACT('Detalle - Lo que imparte'!$A$4:$A$11,"PIAD"&amp;CHAR(30)&amp;"5")*1,0),0)),"",IF(ISBLANK(INDEX('Detalle - Lo que imparte'!$B$4:$B$11,MATCH(1,INDEX(EXACT('Detalle - Lo que imparte'!$A$4:$A$11,"PIAD"&amp;CHAR(30)&amp;"5")*1,0),0))),"",INDEX('Detalle - Lo que imparte'!$B$4:$B$11,MATCH(1,INDEX(EXACT('Detalle - Lo que imparte'!$A$4:$A$11,"PIAD"&amp;CHAR(30)&amp;"5")*1,0),0))))</f>
        <v/>
      </c>
      <c r="O9" s="3">
        <f>IF(ISNA(MATCH(1,INDEX(EXACT('Detalle - Lo que imparte'!$A$4:$A$11,"PIAD"&amp;CHAR(30)&amp;"5")*1,0),0)),"",IF(ISBLANK(INDEX('Detalle - Lo que imparte'!$C$4:$C$11,MATCH(1,INDEX(EXACT('Detalle - Lo que imparte'!$A$4:$A$11,"PIAD"&amp;CHAR(30)&amp;"5")*1,0),0))),"",INDEX('Detalle - Lo que imparte'!$C$4:$C$11,MATCH(1,INDEX(EXACT('Detalle - Lo que imparte'!$A$4:$A$11,"PIAD"&amp;CHAR(30)&amp;"5")*1,0),0))))</f>
        <v/>
      </c>
      <c r="P9" s="3">
        <f>IF(ISNA(MATCH(1,INDEX(EXACT('Detalle - Lo que imparte'!$A$4:$A$11,"PIAD"&amp;CHAR(30)&amp;"5")*1,0),0)),"",IF(ISBLANK(INDEX('Detalle - Lo que imparte'!$D$4:$D$11,MATCH(1,INDEX(EXACT('Detalle - Lo que imparte'!$A$4:$A$11,"PIAD"&amp;CHAR(30)&amp;"5")*1,0),0))),"",INDEX('Detalle - Lo que imparte'!$D$4:$D$11,MATCH(1,INDEX(EXACT('Detalle - Lo que imparte'!$A$4:$A$11,"PIAD"&amp;CHAR(30)&amp;"5")*1,0),0))))</f>
        <v/>
      </c>
      <c r="Q9" s="3">
        <f>IF(ISNA(MATCH(1,INDEX(EXACT('Detalle - Lo que imparte'!$A$4:$A$11,"PIAD"&amp;CHAR(30)&amp;"5")*1,0),0)),"",IF(ISBLANK(INDEX('Detalle - Lo que imparte'!$E$4:$E$11,MATCH(1,INDEX(EXACT('Detalle - Lo que imparte'!$A$4:$A$11,"PIAD"&amp;CHAR(30)&amp;"5")*1,0),0))),"",INDEX('Detalle - Lo que imparte'!$E$4:$E$11,MATCH(1,INDEX(EXACT('Detalle - Lo que imparte'!$A$4:$A$11,"PIAD"&amp;CHAR(30)&amp;"5")*1,0),0))))</f>
        <v/>
      </c>
      <c r="R9" s="3">
        <f>IF(ISNA(MATCH(1,INDEX(EXACT('Detalle - Lo que imparte'!$A$4:$A$11,"PIAD"&amp;CHAR(30)&amp;"5")*1,0),0)),"",IF(ISBLANK(INDEX('Detalle - Lo que imparte'!$F$4:$F$11,MATCH(1,INDEX(EXACT('Detalle - Lo que imparte'!$A$4:$A$11,"PIAD"&amp;CHAR(30)&amp;"5")*1,0),0))),"",INDEX('Detalle - Lo que imparte'!$F$4:$F$11,MATCH(1,INDEX(EXACT('Detalle - Lo que imparte'!$A$4:$A$11,"PIAD"&amp;CHAR(30)&amp;"5")*1,0),0))))</f>
        <v/>
      </c>
      <c r="S9" s="3">
        <f>IF(ISNA(MATCH(1,INDEX(EXACT('Detalle - Lo que imparte'!$A$4:$A$11,"PIAD"&amp;CHAR(30)&amp;"5")*1,0),0)),"",IF(ISBLANK(INDEX('Detalle - Lo que imparte'!$G$4:$G$11,MATCH(1,INDEX(EXACT('Detalle - Lo que imparte'!$A$4:$A$11,"PIAD"&amp;CHAR(30)&amp;"5")*1,0),0))),"",INDEX('Detalle - Lo que imparte'!$G$4:$G$11,MATCH(1,INDEX(EXACT('Detalle - Lo que imparte'!$A$4:$A$11,"PIAD"&amp;CHAR(30)&amp;"5")*1,0),0))))</f>
        <v/>
      </c>
      <c r="T9" s="3">
        <f>IF(ISNA(MATCH(1,INDEX(EXACT('Detalle - Lo que imparte'!$A$4:$A$11,"PIAD"&amp;CHAR(30)&amp;"5")*1,0),0)),"",IF(ISBLANK(INDEX('Detalle - Lo que imparte'!$H$4:$H$11,MATCH(1,INDEX(EXACT('Detalle - Lo que imparte'!$A$4:$A$11,"PIAD"&amp;CHAR(30)&amp;"5")*1,0),0))),"",INDEX('Detalle - Lo que imparte'!$H$4:$H$11,MATCH(1,INDEX(EXACT('Detalle - Lo que imparte'!$A$4:$A$11,"PIAD"&amp;CHAR(30)&amp;"5")*1,0),0))))</f>
        <v/>
      </c>
      <c r="U9" s="3">
        <f>IF(ISNA(MATCH(1,INDEX(EXACT('Detalle - Lo que imparte'!$A$4:$A$11,"PIAD"&amp;CHAR(30)&amp;"5")*1,0),0)),"",IF(ISBLANK(INDEX('Detalle - Lo que imparte'!$I$4:$I$11,MATCH(1,INDEX(EXACT('Detalle - Lo que imparte'!$A$4:$A$11,"PIAD"&amp;CHAR(30)&amp;"5")*1,0),0))),"",INDEX('Detalle - Lo que imparte'!$I$4:$I$11,MATCH(1,INDEX(EXACT('Detalle - Lo que imparte'!$A$4:$A$11,"PIAD"&amp;CHAR(30)&amp;"5")*1,0),0))))</f>
        <v/>
      </c>
      <c r="V9" s="3">
        <f>IF(ISNA(MATCH(1,INDEX(EXACT('Detalle - Lo que imparte'!$A$4:$A$11,"PIAD"&amp;CHAR(30)&amp;"5")*1,0),0)),"",IF(ISBLANK(INDEX('Detalle - Lo que imparte'!$J$4:$J$11,MATCH(1,INDEX(EXACT('Detalle - Lo que imparte'!$A$4:$A$11,"PIAD"&amp;CHAR(30)&amp;"5")*1,0),0))),"",INDEX('Detalle - Lo que imparte'!$J$4:$J$11,MATCH(1,INDEX(EXACT('Detalle - Lo que imparte'!$A$4:$A$11,"PIAD"&amp;CHAR(30)&amp;"5")*1,0),0))))</f>
        <v/>
      </c>
      <c r="W9" s="3">
        <f>IF(ISNA(MATCH(1,INDEX(EXACT('Detalle - Lo que imparte'!$A$4:$A$11,"PIAD"&amp;CHAR(30)&amp;"5")*1,0),0)),"",IF(ISBLANK(INDEX('Detalle - Lo que imparte'!$K$4:$K$11,MATCH(1,INDEX(EXACT('Detalle - Lo que imparte'!$A$4:$A$11,"PIAD"&amp;CHAR(30)&amp;"5")*1,0),0))),"",INDEX('Detalle - Lo que imparte'!$K$4:$K$11,MATCH(1,INDEX(EXACT('Detalle - Lo que imparte'!$A$4:$A$11,"PIAD"&amp;CHAR(30)&amp;"5")*1,0),0))))</f>
        <v/>
      </c>
      <c r="X9">
        <f>IF(ISNA(MATCH(1,INDEX(EXACT('Detalle - Lo que imparte'!$A$4:$A$11,"PIAD"&amp;CHAR(30)&amp;"5")*1,0),0)),"",IF(ISBLANK(INDEX('Detalle - Lo que imparte'!$L$4:$L$11,MATCH(1,INDEX(EXACT('Detalle - Lo que imparte'!$A$4:$A$11,"PIAD"&amp;CHAR(30)&amp;"5")*1,0),0))),"",INDEX('Detalle - Lo que imparte'!$L$4:$L$11,MATCH(1,INDEX(EXACT('Detalle - Lo que imparte'!$A$4:$A$11,"PIAD"&amp;CHAR(30)&amp;"5")*1,0),0))))</f>
        <v/>
      </c>
    </row>
    <row r="10">
      <c r="A10" s="3">
        <f>"MARA"&amp;CHAR(30)&amp;"3"</f>
        <v/>
      </c>
      <c r="B10" s="3" t="n">
        <v>9</v>
      </c>
      <c r="C10" s="3" t="inlineStr">
        <is>
          <t>MNUM</t>
        </is>
      </c>
      <c r="D10" s="3" t="inlineStr">
        <is>
          <t>Conf</t>
        </is>
      </c>
      <c r="E10" s="3" t="inlineStr"/>
      <c r="F10" s="3" t="inlineStr">
        <is>
          <t>MARA</t>
        </is>
      </c>
      <c r="G10" s="3" t="inlineStr">
        <is>
          <t>Metodos Numericos</t>
        </is>
      </c>
      <c r="H10" s="3" t="n">
        <v>32</v>
      </c>
      <c r="I10" s="3" t="inlineStr">
        <is>
          <t>Maria Ramirez</t>
        </is>
      </c>
      <c r="J10" s="3" t="inlineStr">
        <is>
          <t xml:space="preserve">MNUM Conf </t>
        </is>
      </c>
      <c r="K10" s="3" t="inlineStr">
        <is>
          <t xml:space="preserve">MNUM Conf </t>
        </is>
      </c>
      <c r="L10" s="3" t="n">
        <v>1</v>
      </c>
      <c r="M10" s="3" t="n"/>
      <c r="N10" s="3" t="inlineStr">
        <is>
          <t>MARA</t>
        </is>
      </c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>
        <f>"LUGO"&amp;CHAR(30)&amp;"1"</f>
        <v/>
      </c>
      <c r="B11" s="3" t="n">
        <v>5</v>
      </c>
      <c r="C11" s="3" t="inlineStr">
        <is>
          <t>EST-MAT</t>
        </is>
      </c>
      <c r="D11" s="3" t="inlineStr">
        <is>
          <t>CP</t>
        </is>
      </c>
      <c r="E11" s="3" t="inlineStr">
        <is>
          <t>1</t>
        </is>
      </c>
      <c r="F11" s="3" t="inlineStr">
        <is>
          <t>LUGO</t>
        </is>
      </c>
      <c r="G11" s="3" t="inlineStr">
        <is>
          <t>Estadistica (Mat)</t>
        </is>
      </c>
      <c r="H11" s="3" t="n">
        <v>32</v>
      </c>
      <c r="I11" s="3" t="inlineStr">
        <is>
          <t>Luis Gomez</t>
        </is>
      </c>
      <c r="J11" s="3" t="inlineStr">
        <is>
          <t>EST-MAT CP 1</t>
        </is>
      </c>
      <c r="K11" s="3" t="inlineStr">
        <is>
          <t>EST-MAT CP 1</t>
        </is>
      </c>
      <c r="L11" s="3" t="n">
        <v>1</v>
      </c>
      <c r="M11" s="3" t="n"/>
      <c r="N11" s="3">
        <f>IF(ISNA(MATCH(1,INDEX(EXACT('Detalle - Lo que imparte'!$A$4:$A$11,"MARA"&amp;CHAR(30)&amp;"1")*1,0),0)),"",IF(ISBLANK(INDEX('Detalle - Lo que imparte'!$B$4:$B$11,MATCH(1,INDEX(EXACT('Detalle - Lo que imparte'!$A$4:$A$11,"MARA"&amp;CHAR(30)&amp;"1")*1,0),0))),"",INDEX('Detalle - Lo que imparte'!$B$4:$B$11,MATCH(1,INDEX(EXACT('Detalle - Lo que imparte'!$A$4:$A$11,"MARA"&amp;CHAR(30)&amp;"1")*1,0),0))))</f>
        <v/>
      </c>
      <c r="O11" s="3">
        <f>IF(ISNA(MATCH(1,INDEX(EXACT('Detalle - Lo que imparte'!$A$4:$A$11,"MARA"&amp;CHAR(30)&amp;"1")*1,0),0)),"",IF(ISBLANK(INDEX('Detalle - Lo que imparte'!$C$4:$C$11,MATCH(1,INDEX(EXACT('Detalle - Lo que imparte'!$A$4:$A$11,"MARA"&amp;CHAR(30)&amp;"1")*1,0),0))),"",INDEX('Detalle - Lo que imparte'!$C$4:$C$11,MATCH(1,INDEX(EXACT('Detalle - Lo que imparte'!$A$4:$A$11,"MARA"&amp;CHAR(30)&amp;"1")*1,0),0))))</f>
        <v/>
      </c>
      <c r="P11" s="3">
        <f>IF(ISNA(MATCH(1,INDEX(EXACT('Detalle - Lo que imparte'!$A$4:$A$11,"MARA"&amp;CHAR(30)&amp;"1")*1,0),0)),"",IF(ISBLANK(INDEX('Detalle - Lo que imparte'!$D$4:$D$11,MATCH(1,INDEX(EXACT('Detalle - Lo que imparte'!$A$4:$A$11,"MARA"&amp;CHAR(30)&amp;"1")*1,0),0))),"",INDEX('Detalle - Lo que imparte'!$D$4:$D$11,MATCH(1,INDEX(EXACT('Detalle - Lo que imparte'!$A$4:$A$11,"MARA"&amp;CHAR(30)&amp;"1")*1,0),0))))</f>
        <v/>
      </c>
      <c r="Q11" s="3">
        <f>IF(ISNA(MATCH(1,INDEX(EXACT('Detalle - Lo que imparte'!$A$4:$A$11,"MARA"&amp;CHAR(30)&amp;"1")*1,0),0)),"",IF(ISBLANK(INDEX('Detalle - Lo que imparte'!$E$4:$E$11,MATCH(1,INDEX(EXACT('Detalle - Lo que imparte'!$A$4:$A$11,"MARA"&amp;CHAR(30)&amp;"1")*1,0),0))),"",INDEX('Detalle - Lo que imparte'!$E$4:$E$11,MATCH(1,INDEX(EXACT('Detalle - Lo que imparte'!$A$4:$A$11,"MARA"&amp;CHAR(30)&amp;"1")*1,0),0))))</f>
        <v/>
      </c>
      <c r="R11" s="3">
        <f>IF(ISNA(MATCH(1,INDEX(EXACT('Detalle - Lo que imparte'!$A$4:$A$11,"MARA"&amp;CHAR(30)&amp;"1")*1,0),0)),"",IF(ISBLANK(INDEX('Detalle - Lo que imparte'!$F$4:$F$11,MATCH(1,INDEX(EXACT('Detalle - Lo que imparte'!$A$4:$A$11,"MARA"&amp;CHAR(30)&amp;"1")*1,0),0))),"",INDEX('Detalle - Lo que imparte'!$F$4:$F$11,MATCH(1,INDEX(EXACT('Detalle - Lo que imparte'!$A$4:$A$11,"MARA"&amp;CHAR(30)&amp;"1")*1,0),0))))</f>
        <v/>
      </c>
      <c r="S11" s="3">
        <f>IF(ISNA(MATCH(1,INDEX(EXACT('Detalle - Lo que imparte'!$A$4:$A$11,"MARA"&amp;CHAR(30)&amp;"1")*1,0),0)),"",IF(ISBLANK(INDEX('Detalle - Lo que imparte'!$G$4:$G$11,MATCH(1,INDEX(EXACT('Detalle - Lo que imparte'!$A$4:$A$11,"MARA"&amp;CHAR(30)&amp;"1")*1,0),0))),"",INDEX('Detalle - Lo que imparte'!$G$4:$G$11,MATCH(1,INDEX(EXACT('Detalle - Lo que imparte'!$A$4:$A$11,"MARA"&amp;CHAR(30)&amp;"1")*1,0),0))))</f>
        <v/>
      </c>
      <c r="T11" s="3">
        <f>IF(ISNA(MATCH(1,INDEX(EXACT('Detalle - Lo que imparte'!$A$4:$A$11,"MARA"&amp;CHAR(30)&amp;"1")*1,0),0)),"",IF(ISBLANK(INDEX('Detalle - Lo que imparte'!$H$4:$H$11,MATCH(1,INDEX(EXACT('Detalle - Lo que imparte'!$A$4:$A$11,"MARA"&amp;CHAR(30)&amp;"1")*1,0),0))),"",INDEX('Detalle - Lo que imparte'!$H$4:$H$11,MATCH(1,INDEX(EXACT('Detalle - Lo que imparte'!$A$4:$A$11,"MARA"&amp;CHAR(30)&amp;"1")*1,0),0))))</f>
        <v/>
      </c>
      <c r="U11" s="3">
        <f>IF(ISNA(MATCH(1,INDEX(EXACT('Detalle - Lo que imparte'!$A$4:$A$11,"MARA"&amp;CHAR(30)&amp;"1")*1,0),0)),"",IF(ISBLANK(INDEX('Detalle - Lo que imparte'!$I$4:$I$11,MATCH(1,INDEX(EXACT('Detalle - Lo que imparte'!$A$4:$A$11,"MARA"&amp;CHAR(30)&amp;"1")*1,0),0))),"",INDEX('Detalle - Lo que imparte'!$I$4:$I$11,MATCH(1,INDEX(EXACT('Detalle - Lo que imparte'!$A$4:$A$11,"MARA"&amp;CHAR(30)&amp;"1")*1,0),0))))</f>
        <v/>
      </c>
      <c r="V11" s="3">
        <f>IF(ISNA(MATCH(1,INDEX(EXACT('Detalle - Lo que imparte'!$A$4:$A$11,"MARA"&amp;CHAR(30)&amp;"1")*1,0),0)),"",IF(ISBLANK(INDEX('Detalle - Lo que imparte'!$J$4:$J$11,MATCH(1,INDEX(EXACT('Detalle - Lo que imparte'!$A$4:$A$11,"MARA"&amp;CHAR(30)&amp;"1")*1,0),0))),"",INDEX('Detalle - Lo que imparte'!$J$4:$J$11,MATCH(1,INDEX(EXACT('Detalle - Lo que imparte'!$A$4:$A$11,"MARA"&amp;CHAR(30)&amp;"1")*1,0),0))))</f>
        <v/>
      </c>
      <c r="W11" s="3">
        <f>IF(ISNA(MATCH(1,INDEX(EXACT('Detalle - Lo que imparte'!$A$4:$A$11,"MARA"&amp;CHAR(30)&amp;"1")*1,0),0)),"",IF(ISBLANK(INDEX('Detalle - Lo que imparte'!$K$4:$K$11,MATCH(1,INDEX(EXACT('Detalle - Lo que imparte'!$A$4:$A$11,"MARA"&amp;CHAR(30)&amp;"1")*1,0),0))),"",INDEX('Detalle - Lo que imparte'!$K$4:$K$11,MATCH(1,INDEX(EXACT('Detalle - Lo que imparte'!$A$4:$A$11,"MARA"&amp;CHAR(30)&amp;"1")*1,0),0))))</f>
        <v/>
      </c>
      <c r="X11">
        <f>IF(ISNA(MATCH(1,INDEX(EXACT('Detalle - Lo que imparte'!$A$4:$A$11,"MARA"&amp;CHAR(30)&amp;"1")*1,0),0)),"",IF(ISBLANK(INDEX('Detalle - Lo que imparte'!$L$4:$L$11,MATCH(1,INDEX(EXACT('Detalle - Lo que imparte'!$A$4:$A$11,"MARA"&amp;CHAR(30)&amp;"1")*1,0),0))),"",INDEX('Detalle - Lo que imparte'!$L$4:$L$11,MATCH(1,INDEX(EXACT('Detalle - Lo que imparte'!$A$4:$A$11,"MARA"&amp;CHAR(30)&amp;"1")*1,0),0))))</f>
        <v/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>
        <f>IF(ISNA(MATCH(1,INDEX(EXACT('Detalle - Lo que imparte'!$A$4:$A$11,"MARA"&amp;CHAR(30)&amp;"2")*1,0),0)),"",IF(ISBLANK(INDEX('Detalle - Lo que imparte'!$B$4:$B$11,MATCH(1,INDEX(EXACT('Detalle - Lo que imparte'!$A$4:$A$11,"MARA"&amp;CHAR(30)&amp;"2")*1,0),0))),"",INDEX('Detalle - Lo que imparte'!$B$4:$B$11,MATCH(1,INDEX(EXACT('Detalle - Lo que imparte'!$A$4:$A$11,"MARA"&amp;CHAR(30)&amp;"2")*1,0),0))))</f>
        <v/>
      </c>
      <c r="O12" s="3">
        <f>IF(ISNA(MATCH(1,INDEX(EXACT('Detalle - Lo que imparte'!$A$4:$A$11,"MARA"&amp;CHAR(30)&amp;"2")*1,0),0)),"",IF(ISBLANK(INDEX('Detalle - Lo que imparte'!$C$4:$C$11,MATCH(1,INDEX(EXACT('Detalle - Lo que imparte'!$A$4:$A$11,"MARA"&amp;CHAR(30)&amp;"2")*1,0),0))),"",INDEX('Detalle - Lo que imparte'!$C$4:$C$11,MATCH(1,INDEX(EXACT('Detalle - Lo que imparte'!$A$4:$A$11,"MARA"&amp;CHAR(30)&amp;"2")*1,0),0))))</f>
        <v/>
      </c>
      <c r="P12" s="3">
        <f>IF(ISNA(MATCH(1,INDEX(EXACT('Detalle - Lo que imparte'!$A$4:$A$11,"MARA"&amp;CHAR(30)&amp;"2")*1,0),0)),"",IF(ISBLANK(INDEX('Detalle - Lo que imparte'!$D$4:$D$11,MATCH(1,INDEX(EXACT('Detalle - Lo que imparte'!$A$4:$A$11,"MARA"&amp;CHAR(30)&amp;"2")*1,0),0))),"",INDEX('Detalle - Lo que imparte'!$D$4:$D$11,MATCH(1,INDEX(EXACT('Detalle - Lo que imparte'!$A$4:$A$11,"MARA"&amp;CHAR(30)&amp;"2")*1,0),0))))</f>
        <v/>
      </c>
      <c r="Q12" s="3">
        <f>IF(ISNA(MATCH(1,INDEX(EXACT('Detalle - Lo que imparte'!$A$4:$A$11,"MARA"&amp;CHAR(30)&amp;"2")*1,0),0)),"",IF(ISBLANK(INDEX('Detalle - Lo que imparte'!$E$4:$E$11,MATCH(1,INDEX(EXACT('Detalle - Lo que imparte'!$A$4:$A$11,"MARA"&amp;CHAR(30)&amp;"2")*1,0),0))),"",INDEX('Detalle - Lo que imparte'!$E$4:$E$11,MATCH(1,INDEX(EXACT('Detalle - Lo que imparte'!$A$4:$A$11,"MARA"&amp;CHAR(30)&amp;"2")*1,0),0))))</f>
        <v/>
      </c>
      <c r="R12" s="3">
        <f>IF(ISNA(MATCH(1,INDEX(EXACT('Detalle - Lo que imparte'!$A$4:$A$11,"MARA"&amp;CHAR(30)&amp;"2")*1,0),0)),"",IF(ISBLANK(INDEX('Detalle - Lo que imparte'!$F$4:$F$11,MATCH(1,INDEX(EXACT('Detalle - Lo que imparte'!$A$4:$A$11,"MARA"&amp;CHAR(30)&amp;"2")*1,0),0))),"",INDEX('Detalle - Lo que imparte'!$F$4:$F$11,MATCH(1,INDEX(EXACT('Detalle - Lo que imparte'!$A$4:$A$11,"MARA"&amp;CHAR(30)&amp;"2")*1,0),0))))</f>
        <v/>
      </c>
      <c r="S12" s="3">
        <f>IF(ISNA(MATCH(1,INDEX(EXACT('Detalle - Lo que imparte'!$A$4:$A$11,"MARA"&amp;CHAR(30)&amp;"2")*1,0),0)),"",IF(ISBLANK(INDEX('Detalle - Lo que imparte'!$G$4:$G$11,MATCH(1,INDEX(EXACT('Detalle - Lo que imparte'!$A$4:$A$11,"MARA"&amp;CHAR(30)&amp;"2")*1,0),0))),"",INDEX('Detalle - Lo que imparte'!$G$4:$G$11,MATCH(1,INDEX(EXACT('Detalle - Lo que imparte'!$A$4:$A$11,"MARA"&amp;CHAR(30)&amp;"2")*1,0),0))))</f>
        <v/>
      </c>
      <c r="T12" s="3">
        <f>IF(ISNA(MATCH(1,INDEX(EXACT('Detalle - Lo que imparte'!$A$4:$A$11,"MARA"&amp;CHAR(30)&amp;"2")*1,0),0)),"",IF(ISBLANK(INDEX('Detalle - Lo que imparte'!$H$4:$H$11,MATCH(1,INDEX(EXACT('Detalle - Lo que imparte'!$A$4:$A$11,"MARA"&amp;CHAR(30)&amp;"2")*1,0),0))),"",INDEX('Detalle - Lo que imparte'!$H$4:$H$11,MATCH(1,INDEX(EXACT('Detalle - Lo que imparte'!$A$4:$A$11,"MARA"&amp;CHAR(30)&amp;"2")*1,0),0))))</f>
        <v/>
      </c>
      <c r="U12" s="3">
        <f>IF(ISNA(MATCH(1,INDEX(EXACT('Detalle - Lo que imparte'!$A$4:$A$11,"MARA"&amp;CHAR(30)&amp;"2")*1,0),0)),"",IF(ISBLANK(INDEX('Detalle - Lo que imparte'!$I$4:$I$11,MATCH(1,INDEX(EXACT('Detalle - Lo que imparte'!$A$4:$A$11,"MARA"&amp;CHAR(30)&amp;"2")*1,0),0))),"",INDEX('Detalle - Lo que imparte'!$I$4:$I$11,MATCH(1,INDEX(EXACT('Detalle - Lo que imparte'!$A$4:$A$11,"MARA"&amp;CHAR(30)&amp;"2")*1,0),0))))</f>
        <v/>
      </c>
      <c r="V12" s="3">
        <f>IF(ISNA(MATCH(1,INDEX(EXACT('Detalle - Lo que imparte'!$A$4:$A$11,"MARA"&amp;CHAR(30)&amp;"2")*1,0),0)),"",IF(ISBLANK(INDEX('Detalle - Lo que imparte'!$J$4:$J$11,MATCH(1,INDEX(EXACT('Detalle - Lo que imparte'!$A$4:$A$11,"MARA"&amp;CHAR(30)&amp;"2")*1,0),0))),"",INDEX('Detalle - Lo que imparte'!$J$4:$J$11,MATCH(1,INDEX(EXACT('Detalle - Lo que imparte'!$A$4:$A$11,"MARA"&amp;CHAR(30)&amp;"2")*1,0),0))))</f>
        <v/>
      </c>
      <c r="W12" s="3">
        <f>IF(ISNA(MATCH(1,INDEX(EXACT('Detalle - Lo que imparte'!$A$4:$A$11,"MARA"&amp;CHAR(30)&amp;"2")*1,0),0)),"",IF(ISBLANK(INDEX('Detalle - Lo que imparte'!$K$4:$K$11,MATCH(1,INDEX(EXACT('Detalle - Lo que imparte'!$A$4:$A$11,"MARA"&amp;CHAR(30)&amp;"2")*1,0),0))),"",INDEX('Detalle - Lo que imparte'!$K$4:$K$11,MATCH(1,INDEX(EXACT('Detalle - Lo que imparte'!$A$4:$A$11,"MARA"&amp;CHAR(30)&amp;"2")*1,0),0))))</f>
        <v/>
      </c>
      <c r="X12">
        <f>IF(ISNA(MATCH(1,INDEX(EXACT('Detalle - Lo que imparte'!$A$4:$A$11,"MARA"&amp;CHAR(30)&amp;"2")*1,0),0)),"",IF(ISBLANK(INDEX('Detalle - Lo que imparte'!$L$4:$L$11,MATCH(1,INDEX(EXACT('Detalle - Lo que imparte'!$A$4:$A$11,"MARA"&amp;CHAR(30)&amp;"2")*1,0),0))),"",INDEX('Detalle - Lo que imparte'!$L$4:$L$11,MATCH(1,INDEX(EXACT('Detalle - Lo que imparte'!$A$4:$A$11,"MARA"&amp;CHAR(30)&amp;"2")*1,0),0))))</f>
        <v/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>
        <f>IF(ISNA(MATCH(1,INDEX(EXACT('Detalle - Lo que imparte'!$A$4:$A$11,"MARA"&amp;CHAR(30)&amp;"3")*1,0),0)),"",IF(ISBLANK(INDEX('Detalle - Lo que imparte'!$B$4:$B$11,MATCH(1,INDEX(EXACT('Detalle - Lo que imparte'!$A$4:$A$11,"MARA"&amp;CHAR(30)&amp;"3")*1,0),0))),"",INDEX('Detalle - Lo que imparte'!$B$4:$B$11,MATCH(1,INDEX(EXACT('Detalle - Lo que imparte'!$A$4:$A$11,"MARA"&amp;CHAR(30)&amp;"3")*1,0),0))))</f>
        <v/>
      </c>
      <c r="O13" s="3">
        <f>IF(ISNA(MATCH(1,INDEX(EXACT('Detalle - Lo que imparte'!$A$4:$A$11,"MARA"&amp;CHAR(30)&amp;"3")*1,0),0)),"",IF(ISBLANK(INDEX('Detalle - Lo que imparte'!$C$4:$C$11,MATCH(1,INDEX(EXACT('Detalle - Lo que imparte'!$A$4:$A$11,"MARA"&amp;CHAR(30)&amp;"3")*1,0),0))),"",INDEX('Detalle - Lo que imparte'!$C$4:$C$11,MATCH(1,INDEX(EXACT('Detalle - Lo que imparte'!$A$4:$A$11,"MARA"&amp;CHAR(30)&amp;"3")*1,0),0))))</f>
        <v/>
      </c>
      <c r="P13" s="3">
        <f>IF(ISNA(MATCH(1,INDEX(EXACT('Detalle - Lo que imparte'!$A$4:$A$11,"MARA"&amp;CHAR(30)&amp;"3")*1,0),0)),"",IF(ISBLANK(INDEX('Detalle - Lo que imparte'!$D$4:$D$11,MATCH(1,INDEX(EXACT('Detalle - Lo que imparte'!$A$4:$A$11,"MARA"&amp;CHAR(30)&amp;"3")*1,0),0))),"",INDEX('Detalle - Lo que imparte'!$D$4:$D$11,MATCH(1,INDEX(EXACT('Detalle - Lo que imparte'!$A$4:$A$11,"MARA"&amp;CHAR(30)&amp;"3")*1,0),0))))</f>
        <v/>
      </c>
      <c r="Q13" s="3">
        <f>IF(ISNA(MATCH(1,INDEX(EXACT('Detalle - Lo que imparte'!$A$4:$A$11,"MARA"&amp;CHAR(30)&amp;"3")*1,0),0)),"",IF(ISBLANK(INDEX('Detalle - Lo que imparte'!$E$4:$E$11,MATCH(1,INDEX(EXACT('Detalle - Lo que imparte'!$A$4:$A$11,"MARA"&amp;CHAR(30)&amp;"3")*1,0),0))),"",INDEX('Detalle - Lo que imparte'!$E$4:$E$11,MATCH(1,INDEX(EXACT('Detalle - Lo que imparte'!$A$4:$A$11,"MARA"&amp;CHAR(30)&amp;"3")*1,0),0))))</f>
        <v/>
      </c>
      <c r="R13" s="3">
        <f>IF(ISNA(MATCH(1,INDEX(EXACT('Detalle - Lo que imparte'!$A$4:$A$11,"MARA"&amp;CHAR(30)&amp;"3")*1,0),0)),"",IF(ISBLANK(INDEX('Detalle - Lo que imparte'!$F$4:$F$11,MATCH(1,INDEX(EXACT('Detalle - Lo que imparte'!$A$4:$A$11,"MARA"&amp;CHAR(30)&amp;"3")*1,0),0))),"",INDEX('Detalle - Lo que imparte'!$F$4:$F$11,MATCH(1,INDEX(EXACT('Detalle - Lo que imparte'!$A$4:$A$11,"MARA"&amp;CHAR(30)&amp;"3")*1,0),0))))</f>
        <v/>
      </c>
      <c r="S13" s="3">
        <f>IF(ISNA(MATCH(1,INDEX(EXACT('Detalle - Lo que imparte'!$A$4:$A$11,"MARA"&amp;CHAR(30)&amp;"3")*1,0),0)),"",IF(ISBLANK(INDEX('Detalle - Lo que imparte'!$G$4:$G$11,MATCH(1,INDEX(EXACT('Detalle - Lo que imparte'!$A$4:$A$11,"MARA"&amp;CHAR(30)&amp;"3")*1,0),0))),"",INDEX('Detalle - Lo que imparte'!$G$4:$G$11,MATCH(1,INDEX(EXACT('Detalle - Lo que imparte'!$A$4:$A$11,"MARA"&amp;CHAR(30)&amp;"3")*1,0),0))))</f>
        <v/>
      </c>
      <c r="T13" s="3">
        <f>IF(ISNA(MATCH(1,INDEX(EXACT('Detalle - Lo que imparte'!$A$4:$A$11,"MARA"&amp;CHAR(30)&amp;"3")*1,0),0)),"",IF(ISBLANK(INDEX('Detalle - Lo que imparte'!$H$4:$H$11,MATCH(1,INDEX(EXACT('Detalle - Lo que imparte'!$A$4:$A$11,"MARA"&amp;CHAR(30)&amp;"3")*1,0),0))),"",INDEX('Detalle - Lo que imparte'!$H$4:$H$11,MATCH(1,INDEX(EXACT('Detalle - Lo que imparte'!$A$4:$A$11,"MARA"&amp;CHAR(30)&amp;"3")*1,0),0))))</f>
        <v/>
      </c>
      <c r="U13" s="3">
        <f>IF(ISNA(MATCH(1,INDEX(EXACT('Detalle - Lo que imparte'!$A$4:$A$11,"MARA"&amp;CHAR(30)&amp;"3")*1,0),0)),"",IF(ISBLANK(INDEX('Detalle - Lo que imparte'!$I$4:$I$11,MATCH(1,INDEX(EXACT('Detalle - Lo que imparte'!$A$4:$A$11,"MARA"&amp;CHAR(30)&amp;"3")*1,0),0))),"",INDEX('Detalle - Lo que imparte'!$I$4:$I$11,MATCH(1,INDEX(EXACT('Detalle - Lo que imparte'!$A$4:$A$11,"MARA"&amp;CHAR(30)&amp;"3")*1,0),0))))</f>
        <v/>
      </c>
      <c r="V13" s="3">
        <f>IF(ISNA(MATCH(1,INDEX(EXACT('Detalle - Lo que imparte'!$A$4:$A$11,"MARA"&amp;CHAR(30)&amp;"3")*1,0),0)),"",IF(ISBLANK(INDEX('Detalle - Lo que imparte'!$J$4:$J$11,MATCH(1,INDEX(EXACT('Detalle - Lo que imparte'!$A$4:$A$11,"MARA"&amp;CHAR(30)&amp;"3")*1,0),0))),"",INDEX('Detalle - Lo que imparte'!$J$4:$J$11,MATCH(1,INDEX(EXACT('Detalle - Lo que imparte'!$A$4:$A$11,"MARA"&amp;CHAR(30)&amp;"3")*1,0),0))))</f>
        <v/>
      </c>
      <c r="W13" s="3">
        <f>IF(ISNA(MATCH(1,INDEX(EXACT('Detalle - Lo que imparte'!$A$4:$A$11,"MARA"&amp;CHAR(30)&amp;"3")*1,0),0)),"",IF(ISBLANK(INDEX('Detalle - Lo que imparte'!$K$4:$K$11,MATCH(1,INDEX(EXACT('Detalle - Lo que imparte'!$A$4:$A$11,"MARA"&amp;CHAR(30)&amp;"3")*1,0),0))),"",INDEX('Detalle - Lo que imparte'!$K$4:$K$11,MATCH(1,INDEX(EXACT('Detalle - Lo que imparte'!$A$4:$A$11,"MARA"&amp;CHAR(30)&amp;"3")*1,0),0))))</f>
        <v/>
      </c>
      <c r="X13">
        <f>IF(ISNA(MATCH(1,INDEX(EXACT('Detalle - Lo que imparte'!$A$4:$A$11,"MARA"&amp;CHAR(30)&amp;"3")*1,0),0)),"",IF(ISBLANK(INDEX('Detalle - Lo que imparte'!$L$4:$L$11,MATCH(1,INDEX(EXACT('Detalle - Lo que imparte'!$A$4:$A$11,"MARA"&amp;CHAR(30)&amp;"3")*1,0),0))),"",INDEX('Detalle - Lo que imparte'!$L$4:$L$11,MATCH(1,INDEX(EXACT('Detalle - Lo que imparte'!$A$4:$A$11,"MARA"&amp;CHAR(30)&amp;"3")*1,0),0))))</f>
        <v/>
      </c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>
        <f>IF(ISNA(MATCH(1,INDEX(EXACT('Detalle - Lo que imparte'!$A$4:$A$11,"MARA"&amp;CHAR(30)&amp;"4")*1,0),0)),"",IF(ISBLANK(INDEX('Detalle - Lo que imparte'!$B$4:$B$11,MATCH(1,INDEX(EXACT('Detalle - Lo que imparte'!$A$4:$A$11,"MARA"&amp;CHAR(30)&amp;"4")*1,0),0))),"",INDEX('Detalle - Lo que imparte'!$B$4:$B$11,MATCH(1,INDEX(EXACT('Detalle - Lo que imparte'!$A$4:$A$11,"MARA"&amp;CHAR(30)&amp;"4")*1,0),0))))</f>
        <v/>
      </c>
      <c r="O14" s="3">
        <f>IF(ISNA(MATCH(1,INDEX(EXACT('Detalle - Lo que imparte'!$A$4:$A$11,"MARA"&amp;CHAR(30)&amp;"4")*1,0),0)),"",IF(ISBLANK(INDEX('Detalle - Lo que imparte'!$C$4:$C$11,MATCH(1,INDEX(EXACT('Detalle - Lo que imparte'!$A$4:$A$11,"MARA"&amp;CHAR(30)&amp;"4")*1,0),0))),"",INDEX('Detalle - Lo que imparte'!$C$4:$C$11,MATCH(1,INDEX(EXACT('Detalle - Lo que imparte'!$A$4:$A$11,"MARA"&amp;CHAR(30)&amp;"4")*1,0),0))))</f>
        <v/>
      </c>
      <c r="P14" s="3">
        <f>IF(ISNA(MATCH(1,INDEX(EXACT('Detalle - Lo que imparte'!$A$4:$A$11,"MARA"&amp;CHAR(30)&amp;"4")*1,0),0)),"",IF(ISBLANK(INDEX('Detalle - Lo que imparte'!$D$4:$D$11,MATCH(1,INDEX(EXACT('Detalle - Lo que imparte'!$A$4:$A$11,"MARA"&amp;CHAR(30)&amp;"4")*1,0),0))),"",INDEX('Detalle - Lo que imparte'!$D$4:$D$11,MATCH(1,INDEX(EXACT('Detalle - Lo que imparte'!$A$4:$A$11,"MARA"&amp;CHAR(30)&amp;"4")*1,0),0))))</f>
        <v/>
      </c>
      <c r="Q14" s="3">
        <f>IF(ISNA(MATCH(1,INDEX(EXACT('Detalle - Lo que imparte'!$A$4:$A$11,"MARA"&amp;CHAR(30)&amp;"4")*1,0),0)),"",IF(ISBLANK(INDEX('Detalle - Lo que imparte'!$E$4:$E$11,MATCH(1,INDEX(EXACT('Detalle - Lo que imparte'!$A$4:$A$11,"MARA"&amp;CHAR(30)&amp;"4")*1,0),0))),"",INDEX('Detalle - Lo que imparte'!$E$4:$E$11,MATCH(1,INDEX(EXACT('Detalle - Lo que imparte'!$A$4:$A$11,"MARA"&amp;CHAR(30)&amp;"4")*1,0),0))))</f>
        <v/>
      </c>
      <c r="R14" s="3">
        <f>IF(ISNA(MATCH(1,INDEX(EXACT('Detalle - Lo que imparte'!$A$4:$A$11,"MARA"&amp;CHAR(30)&amp;"4")*1,0),0)),"",IF(ISBLANK(INDEX('Detalle - Lo que imparte'!$F$4:$F$11,MATCH(1,INDEX(EXACT('Detalle - Lo que imparte'!$A$4:$A$11,"MARA"&amp;CHAR(30)&amp;"4")*1,0),0))),"",INDEX('Detalle - Lo que imparte'!$F$4:$F$11,MATCH(1,INDEX(EXACT('Detalle - Lo que imparte'!$A$4:$A$11,"MARA"&amp;CHAR(30)&amp;"4")*1,0),0))))</f>
        <v/>
      </c>
      <c r="S14" s="3">
        <f>IF(ISNA(MATCH(1,INDEX(EXACT('Detalle - Lo que imparte'!$A$4:$A$11,"MARA"&amp;CHAR(30)&amp;"4")*1,0),0)),"",IF(ISBLANK(INDEX('Detalle - Lo que imparte'!$G$4:$G$11,MATCH(1,INDEX(EXACT('Detalle - Lo que imparte'!$A$4:$A$11,"MARA"&amp;CHAR(30)&amp;"4")*1,0),0))),"",INDEX('Detalle - Lo que imparte'!$G$4:$G$11,MATCH(1,INDEX(EXACT('Detalle - Lo que imparte'!$A$4:$A$11,"MARA"&amp;CHAR(30)&amp;"4")*1,0),0))))</f>
        <v/>
      </c>
      <c r="T14" s="3">
        <f>IF(ISNA(MATCH(1,INDEX(EXACT('Detalle - Lo que imparte'!$A$4:$A$11,"MARA"&amp;CHAR(30)&amp;"4")*1,0),0)),"",IF(ISBLANK(INDEX('Detalle - Lo que imparte'!$H$4:$H$11,MATCH(1,INDEX(EXACT('Detalle - Lo que imparte'!$A$4:$A$11,"MARA"&amp;CHAR(30)&amp;"4")*1,0),0))),"",INDEX('Detalle - Lo que imparte'!$H$4:$H$11,MATCH(1,INDEX(EXACT('Detalle - Lo que imparte'!$A$4:$A$11,"MARA"&amp;CHAR(30)&amp;"4")*1,0),0))))</f>
        <v/>
      </c>
      <c r="U14" s="3">
        <f>IF(ISNA(MATCH(1,INDEX(EXACT('Detalle - Lo que imparte'!$A$4:$A$11,"MARA"&amp;CHAR(30)&amp;"4")*1,0),0)),"",IF(ISBLANK(INDEX('Detalle - Lo que imparte'!$I$4:$I$11,MATCH(1,INDEX(EXACT('Detalle - Lo que imparte'!$A$4:$A$11,"MARA"&amp;CHAR(30)&amp;"4")*1,0),0))),"",INDEX('Detalle - Lo que imparte'!$I$4:$I$11,MATCH(1,INDEX(EXACT('Detalle - Lo que imparte'!$A$4:$A$11,"MARA"&amp;CHAR(30)&amp;"4")*1,0),0))))</f>
        <v/>
      </c>
      <c r="V14" s="3">
        <f>IF(ISNA(MATCH(1,INDEX(EXACT('Detalle - Lo que imparte'!$A$4:$A$11,"MARA"&amp;CHAR(30)&amp;"4")*1,0),0)),"",IF(ISBLANK(INDEX('Detalle - Lo que imparte'!$J$4:$J$11,MATCH(1,INDEX(EXACT('Detalle - Lo que imparte'!$A$4:$A$11,"MARA"&amp;CHAR(30)&amp;"4")*1,0),0))),"",INDEX('Detalle - Lo que imparte'!$J$4:$J$11,MATCH(1,INDEX(EXACT('Detalle - Lo que imparte'!$A$4:$A$11,"MARA"&amp;CHAR(30)&amp;"4")*1,0),0))))</f>
        <v/>
      </c>
      <c r="W14" s="3">
        <f>IF(ISNA(MATCH(1,INDEX(EXACT('Detalle - Lo que imparte'!$A$4:$A$11,"MARA"&amp;CHAR(30)&amp;"4")*1,0),0)),"",IF(ISBLANK(INDEX('Detalle - Lo que imparte'!$K$4:$K$11,MATCH(1,INDEX(EXACT('Detalle - Lo que imparte'!$A$4:$A$11,"MARA"&amp;CHAR(30)&amp;"4")*1,0),0))),"",INDEX('Detalle - Lo que imparte'!$K$4:$K$11,MATCH(1,INDEX(EXACT('Detalle - Lo que imparte'!$A$4:$A$11,"MARA"&amp;CHAR(30)&amp;"4")*1,0),0))))</f>
        <v/>
      </c>
      <c r="X14">
        <f>IF(ISNA(MATCH(1,INDEX(EXACT('Detalle - Lo que imparte'!$A$4:$A$11,"MARA"&amp;CHAR(30)&amp;"4")*1,0),0)),"",IF(ISBLANK(INDEX('Detalle - Lo que imparte'!$L$4:$L$11,MATCH(1,INDEX(EXACT('Detalle - Lo que imparte'!$A$4:$A$11,"MARA"&amp;CHAR(30)&amp;"4")*1,0),0))),"",INDEX('Detalle - Lo que imparte'!$L$4:$L$11,MATCH(1,INDEX(EXACT('Detalle - Lo que imparte'!$A$4:$A$11,"MARA"&amp;CHAR(30)&amp;"4")*1,0),0))))</f>
        <v/>
      </c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>
        <f>IF(ISNA(MATCH(1,INDEX(EXACT('Detalle - Lo que imparte'!$A$4:$A$11,"MARA"&amp;CHAR(30)&amp;"5")*1,0),0)),"",IF(ISBLANK(INDEX('Detalle - Lo que imparte'!$B$4:$B$11,MATCH(1,INDEX(EXACT('Detalle - Lo que imparte'!$A$4:$A$11,"MARA"&amp;CHAR(30)&amp;"5")*1,0),0))),"",INDEX('Detalle - Lo que imparte'!$B$4:$B$11,MATCH(1,INDEX(EXACT('Detalle - Lo que imparte'!$A$4:$A$11,"MARA"&amp;CHAR(30)&amp;"5")*1,0),0))))</f>
        <v/>
      </c>
      <c r="O15" s="3">
        <f>IF(ISNA(MATCH(1,INDEX(EXACT('Detalle - Lo que imparte'!$A$4:$A$11,"MARA"&amp;CHAR(30)&amp;"5")*1,0),0)),"",IF(ISBLANK(INDEX('Detalle - Lo que imparte'!$C$4:$C$11,MATCH(1,INDEX(EXACT('Detalle - Lo que imparte'!$A$4:$A$11,"MARA"&amp;CHAR(30)&amp;"5")*1,0),0))),"",INDEX('Detalle - Lo que imparte'!$C$4:$C$11,MATCH(1,INDEX(EXACT('Detalle - Lo que imparte'!$A$4:$A$11,"MARA"&amp;CHAR(30)&amp;"5")*1,0),0))))</f>
        <v/>
      </c>
      <c r="P15" s="3">
        <f>IF(ISNA(MATCH(1,INDEX(EXACT('Detalle - Lo que imparte'!$A$4:$A$11,"MARA"&amp;CHAR(30)&amp;"5")*1,0),0)),"",IF(ISBLANK(INDEX('Detalle - Lo que imparte'!$D$4:$D$11,MATCH(1,INDEX(EXACT('Detalle - Lo que imparte'!$A$4:$A$11,"MARA"&amp;CHAR(30)&amp;"5")*1,0),0))),"",INDEX('Detalle - Lo que imparte'!$D$4:$D$11,MATCH(1,INDEX(EXACT('Detalle - Lo que imparte'!$A$4:$A$11,"MARA"&amp;CHAR(30)&amp;"5")*1,0),0))))</f>
        <v/>
      </c>
      <c r="Q15" s="3">
        <f>IF(ISNA(MATCH(1,INDEX(EXACT('Detalle - Lo que imparte'!$A$4:$A$11,"MARA"&amp;CHAR(30)&amp;"5")*1,0),0)),"",IF(ISBLANK(INDEX('Detalle - Lo que imparte'!$E$4:$E$11,MATCH(1,INDEX(EXACT('Detalle - Lo que imparte'!$A$4:$A$11,"MARA"&amp;CHAR(30)&amp;"5")*1,0),0))),"",INDEX('Detalle - Lo que imparte'!$E$4:$E$11,MATCH(1,INDEX(EXACT('Detalle - Lo que imparte'!$A$4:$A$11,"MARA"&amp;CHAR(30)&amp;"5")*1,0),0))))</f>
        <v/>
      </c>
      <c r="R15" s="3">
        <f>IF(ISNA(MATCH(1,INDEX(EXACT('Detalle - Lo que imparte'!$A$4:$A$11,"MARA"&amp;CHAR(30)&amp;"5")*1,0),0)),"",IF(ISBLANK(INDEX('Detalle - Lo que imparte'!$F$4:$F$11,MATCH(1,INDEX(EXACT('Detalle - Lo que imparte'!$A$4:$A$11,"MARA"&amp;CHAR(30)&amp;"5")*1,0),0))),"",INDEX('Detalle - Lo que imparte'!$F$4:$F$11,MATCH(1,INDEX(EXACT('Detalle - Lo que imparte'!$A$4:$A$11,"MARA"&amp;CHAR(30)&amp;"5")*1,0),0))))</f>
        <v/>
      </c>
      <c r="S15" s="3">
        <f>IF(ISNA(MATCH(1,INDEX(EXACT('Detalle - Lo que imparte'!$A$4:$A$11,"MARA"&amp;CHAR(30)&amp;"5")*1,0),0)),"",IF(ISBLANK(INDEX('Detalle - Lo que imparte'!$G$4:$G$11,MATCH(1,INDEX(EXACT('Detalle - Lo que imparte'!$A$4:$A$11,"MARA"&amp;CHAR(30)&amp;"5")*1,0),0))),"",INDEX('Detalle - Lo que imparte'!$G$4:$G$11,MATCH(1,INDEX(EXACT('Detalle - Lo que imparte'!$A$4:$A$11,"MARA"&amp;CHAR(30)&amp;"5")*1,0),0))))</f>
        <v/>
      </c>
      <c r="T15" s="3">
        <f>IF(ISNA(MATCH(1,INDEX(EXACT('Detalle - Lo que imparte'!$A$4:$A$11,"MARA"&amp;CHAR(30)&amp;"5")*1,0),0)),"",IF(ISBLANK(INDEX('Detalle - Lo que imparte'!$H$4:$H$11,MATCH(1,INDEX(EXACT('Detalle - Lo que imparte'!$A$4:$A$11,"MARA"&amp;CHAR(30)&amp;"5")*1,0),0))),"",INDEX('Detalle - Lo que imparte'!$H$4:$H$11,MATCH(1,INDEX(EXACT('Detalle - Lo que imparte'!$A$4:$A$11,"MARA"&amp;CHAR(30)&amp;"5")*1,0),0))))</f>
        <v/>
      </c>
      <c r="U15" s="3">
        <f>IF(ISNA(MATCH(1,INDEX(EXACT('Detalle - Lo que imparte'!$A$4:$A$11,"MARA"&amp;CHAR(30)&amp;"5")*1,0),0)),"",IF(ISBLANK(INDEX('Detalle - Lo que imparte'!$I$4:$I$11,MATCH(1,INDEX(EXACT('Detalle - Lo que imparte'!$A$4:$A$11,"MARA"&amp;CHAR(30)&amp;"5")*1,0),0))),"",INDEX('Detalle - Lo que imparte'!$I$4:$I$11,MATCH(1,INDEX(EXACT('Detalle - Lo que imparte'!$A$4:$A$11,"MARA"&amp;CHAR(30)&amp;"5")*1,0),0))))</f>
        <v/>
      </c>
      <c r="V15" s="3">
        <f>IF(ISNA(MATCH(1,INDEX(EXACT('Detalle - Lo que imparte'!$A$4:$A$11,"MARA"&amp;CHAR(30)&amp;"5")*1,0),0)),"",IF(ISBLANK(INDEX('Detalle - Lo que imparte'!$J$4:$J$11,MATCH(1,INDEX(EXACT('Detalle - Lo que imparte'!$A$4:$A$11,"MARA"&amp;CHAR(30)&amp;"5")*1,0),0))),"",INDEX('Detalle - Lo que imparte'!$J$4:$J$11,MATCH(1,INDEX(EXACT('Detalle - Lo que imparte'!$A$4:$A$11,"MARA"&amp;CHAR(30)&amp;"5")*1,0),0))))</f>
        <v/>
      </c>
      <c r="W15" s="3">
        <f>IF(ISNA(MATCH(1,INDEX(EXACT('Detalle - Lo que imparte'!$A$4:$A$11,"MARA"&amp;CHAR(30)&amp;"5")*1,0),0)),"",IF(ISBLANK(INDEX('Detalle - Lo que imparte'!$K$4:$K$11,MATCH(1,INDEX(EXACT('Detalle - Lo que imparte'!$A$4:$A$11,"MARA"&amp;CHAR(30)&amp;"5")*1,0),0))),"",INDEX('Detalle - Lo que imparte'!$K$4:$K$11,MATCH(1,INDEX(EXACT('Detalle - Lo que imparte'!$A$4:$A$11,"MARA"&amp;CHAR(30)&amp;"5")*1,0),0))))</f>
        <v/>
      </c>
      <c r="X15">
        <f>IF(ISNA(MATCH(1,INDEX(EXACT('Detalle - Lo que imparte'!$A$4:$A$11,"MARA"&amp;CHAR(30)&amp;"5")*1,0),0)),"",IF(ISBLANK(INDEX('Detalle - Lo que imparte'!$L$4:$L$11,MATCH(1,INDEX(EXACT('Detalle - Lo que imparte'!$A$4:$A$11,"MARA"&amp;CHAR(30)&amp;"5")*1,0),0))),"",INDEX('Detalle - Lo que imparte'!$L$4:$L$11,MATCH(1,INDEX(EXACT('Detalle - Lo que imparte'!$A$4:$A$11,"MARA"&amp;CHAR(30)&amp;"5")*1,0),0))))</f>
        <v/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inlineStr">
        <is>
          <t>LUGO</t>
        </is>
      </c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>
        <f>IF(ISNA(MATCH(1,INDEX(EXACT('Detalle - Lo que imparte'!$A$4:$A$11,"LUGO"&amp;CHAR(30)&amp;"1")*1,0),0)),"",IF(ISBLANK(INDEX('Detalle - Lo que imparte'!$B$4:$B$11,MATCH(1,INDEX(EXACT('Detalle - Lo que imparte'!$A$4:$A$11,"LUGO"&amp;CHAR(30)&amp;"1")*1,0),0))),"",INDEX('Detalle - Lo que imparte'!$B$4:$B$11,MATCH(1,INDEX(EXACT('Detalle - Lo que imparte'!$A$4:$A$11,"LUGO"&amp;CHAR(30)&amp;"1")*1,0),0))))</f>
        <v/>
      </c>
      <c r="O17" s="3">
        <f>IF(ISNA(MATCH(1,INDEX(EXACT('Detalle - Lo que imparte'!$A$4:$A$11,"LUGO"&amp;CHAR(30)&amp;"1")*1,0),0)),"",IF(ISBLANK(INDEX('Detalle - Lo que imparte'!$C$4:$C$11,MATCH(1,INDEX(EXACT('Detalle - Lo que imparte'!$A$4:$A$11,"LUGO"&amp;CHAR(30)&amp;"1")*1,0),0))),"",INDEX('Detalle - Lo que imparte'!$C$4:$C$11,MATCH(1,INDEX(EXACT('Detalle - Lo que imparte'!$A$4:$A$11,"LUGO"&amp;CHAR(30)&amp;"1")*1,0),0))))</f>
        <v/>
      </c>
      <c r="P17" s="3">
        <f>IF(ISNA(MATCH(1,INDEX(EXACT('Detalle - Lo que imparte'!$A$4:$A$11,"LUGO"&amp;CHAR(30)&amp;"1")*1,0),0)),"",IF(ISBLANK(INDEX('Detalle - Lo que imparte'!$D$4:$D$11,MATCH(1,INDEX(EXACT('Detalle - Lo que imparte'!$A$4:$A$11,"LUGO"&amp;CHAR(30)&amp;"1")*1,0),0))),"",INDEX('Detalle - Lo que imparte'!$D$4:$D$11,MATCH(1,INDEX(EXACT('Detalle - Lo que imparte'!$A$4:$A$11,"LUGO"&amp;CHAR(30)&amp;"1")*1,0),0))))</f>
        <v/>
      </c>
      <c r="Q17" s="3">
        <f>IF(ISNA(MATCH(1,INDEX(EXACT('Detalle - Lo que imparte'!$A$4:$A$11,"LUGO"&amp;CHAR(30)&amp;"1")*1,0),0)),"",IF(ISBLANK(INDEX('Detalle - Lo que imparte'!$E$4:$E$11,MATCH(1,INDEX(EXACT('Detalle - Lo que imparte'!$A$4:$A$11,"LUGO"&amp;CHAR(30)&amp;"1")*1,0),0))),"",INDEX('Detalle - Lo que imparte'!$E$4:$E$11,MATCH(1,INDEX(EXACT('Detalle - Lo que imparte'!$A$4:$A$11,"LUGO"&amp;CHAR(30)&amp;"1")*1,0),0))))</f>
        <v/>
      </c>
      <c r="R17" s="3">
        <f>IF(ISNA(MATCH(1,INDEX(EXACT('Detalle - Lo que imparte'!$A$4:$A$11,"LUGO"&amp;CHAR(30)&amp;"1")*1,0),0)),"",IF(ISBLANK(INDEX('Detalle - Lo que imparte'!$F$4:$F$11,MATCH(1,INDEX(EXACT('Detalle - Lo que imparte'!$A$4:$A$11,"LUGO"&amp;CHAR(30)&amp;"1")*1,0),0))),"",INDEX('Detalle - Lo que imparte'!$F$4:$F$11,MATCH(1,INDEX(EXACT('Detalle - Lo que imparte'!$A$4:$A$11,"LUGO"&amp;CHAR(30)&amp;"1")*1,0),0))))</f>
        <v/>
      </c>
      <c r="S17" s="3">
        <f>IF(ISNA(MATCH(1,INDEX(EXACT('Detalle - Lo que imparte'!$A$4:$A$11,"LUGO"&amp;CHAR(30)&amp;"1")*1,0),0)),"",IF(ISBLANK(INDEX('Detalle - Lo que imparte'!$G$4:$G$11,MATCH(1,INDEX(EXACT('Detalle - Lo que imparte'!$A$4:$A$11,"LUGO"&amp;CHAR(30)&amp;"1")*1,0),0))),"",INDEX('Detalle - Lo que imparte'!$G$4:$G$11,MATCH(1,INDEX(EXACT('Detalle - Lo que imparte'!$A$4:$A$11,"LUGO"&amp;CHAR(30)&amp;"1")*1,0),0))))</f>
        <v/>
      </c>
      <c r="T17" s="3">
        <f>IF(ISNA(MATCH(1,INDEX(EXACT('Detalle - Lo que imparte'!$A$4:$A$11,"LUGO"&amp;CHAR(30)&amp;"1")*1,0),0)),"",IF(ISBLANK(INDEX('Detalle - Lo que imparte'!$H$4:$H$11,MATCH(1,INDEX(EXACT('Detalle - Lo que imparte'!$A$4:$A$11,"LUGO"&amp;CHAR(30)&amp;"1")*1,0),0))),"",INDEX('Detalle - Lo que imparte'!$H$4:$H$11,MATCH(1,INDEX(EXACT('Detalle - Lo que imparte'!$A$4:$A$11,"LUGO"&amp;CHAR(30)&amp;"1")*1,0),0))))</f>
        <v/>
      </c>
      <c r="U17" s="3">
        <f>IF(ISNA(MATCH(1,INDEX(EXACT('Detalle - Lo que imparte'!$A$4:$A$11,"LUGO"&amp;CHAR(30)&amp;"1")*1,0),0)),"",IF(ISBLANK(INDEX('Detalle - Lo que imparte'!$I$4:$I$11,MATCH(1,INDEX(EXACT('Detalle - Lo que imparte'!$A$4:$A$11,"LUGO"&amp;CHAR(30)&amp;"1")*1,0),0))),"",INDEX('Detalle - Lo que imparte'!$I$4:$I$11,MATCH(1,INDEX(EXACT('Detalle - Lo que imparte'!$A$4:$A$11,"LUGO"&amp;CHAR(30)&amp;"1")*1,0),0))))</f>
        <v/>
      </c>
      <c r="V17" s="3">
        <f>IF(ISNA(MATCH(1,INDEX(EXACT('Detalle - Lo que imparte'!$A$4:$A$11,"LUGO"&amp;CHAR(30)&amp;"1")*1,0),0)),"",IF(ISBLANK(INDEX('Detalle - Lo que imparte'!$J$4:$J$11,MATCH(1,INDEX(EXACT('Detalle - Lo que imparte'!$A$4:$A$11,"LUGO"&amp;CHAR(30)&amp;"1")*1,0),0))),"",INDEX('Detalle - Lo que imparte'!$J$4:$J$11,MATCH(1,INDEX(EXACT('Detalle - Lo que imparte'!$A$4:$A$11,"LUGO"&amp;CHAR(30)&amp;"1")*1,0),0))))</f>
        <v/>
      </c>
      <c r="W17" s="3">
        <f>IF(ISNA(MATCH(1,INDEX(EXACT('Detalle - Lo que imparte'!$A$4:$A$11,"LUGO"&amp;CHAR(30)&amp;"1")*1,0),0)),"",IF(ISBLANK(INDEX('Detalle - Lo que imparte'!$K$4:$K$11,MATCH(1,INDEX(EXACT('Detalle - Lo que imparte'!$A$4:$A$11,"LUGO"&amp;CHAR(30)&amp;"1")*1,0),0))),"",INDEX('Detalle - Lo que imparte'!$K$4:$K$11,MATCH(1,INDEX(EXACT('Detalle - Lo que imparte'!$A$4:$A$11,"LUGO"&amp;CHAR(30)&amp;"1")*1,0),0))))</f>
        <v/>
      </c>
      <c r="X17">
        <f>IF(ISNA(MATCH(1,INDEX(EXACT('Detalle - Lo que imparte'!$A$4:$A$11,"LUGO"&amp;CHAR(30)&amp;"1")*1,0),0)),"",IF(ISBLANK(INDEX('Detalle - Lo que imparte'!$L$4:$L$11,MATCH(1,INDEX(EXACT('Detalle - Lo que imparte'!$A$4:$A$11,"LUGO"&amp;CHAR(30)&amp;"1")*1,0),0))),"",INDEX('Detalle - Lo que imparte'!$L$4:$L$11,MATCH(1,INDEX(EXACT('Detalle - Lo que imparte'!$A$4:$A$11,"LUGO"&amp;CHAR(30)&amp;"1")*1,0),0))))</f>
        <v/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>
        <f>IF(ISNA(MATCH(1,INDEX(EXACT('Detalle - Lo que imparte'!$A$4:$A$11,"LUGO"&amp;CHAR(30)&amp;"2")*1,0),0)),"",IF(ISBLANK(INDEX('Detalle - Lo que imparte'!$B$4:$B$11,MATCH(1,INDEX(EXACT('Detalle - Lo que imparte'!$A$4:$A$11,"LUGO"&amp;CHAR(30)&amp;"2")*1,0),0))),"",INDEX('Detalle - Lo que imparte'!$B$4:$B$11,MATCH(1,INDEX(EXACT('Detalle - Lo que imparte'!$A$4:$A$11,"LUGO"&amp;CHAR(30)&amp;"2")*1,0),0))))</f>
        <v/>
      </c>
      <c r="O18" s="3">
        <f>IF(ISNA(MATCH(1,INDEX(EXACT('Detalle - Lo que imparte'!$A$4:$A$11,"LUGO"&amp;CHAR(30)&amp;"2")*1,0),0)),"",IF(ISBLANK(INDEX('Detalle - Lo que imparte'!$C$4:$C$11,MATCH(1,INDEX(EXACT('Detalle - Lo que imparte'!$A$4:$A$11,"LUGO"&amp;CHAR(30)&amp;"2")*1,0),0))),"",INDEX('Detalle - Lo que imparte'!$C$4:$C$11,MATCH(1,INDEX(EXACT('Detalle - Lo que imparte'!$A$4:$A$11,"LUGO"&amp;CHAR(30)&amp;"2")*1,0),0))))</f>
        <v/>
      </c>
      <c r="P18" s="3">
        <f>IF(ISNA(MATCH(1,INDEX(EXACT('Detalle - Lo que imparte'!$A$4:$A$11,"LUGO"&amp;CHAR(30)&amp;"2")*1,0),0)),"",IF(ISBLANK(INDEX('Detalle - Lo que imparte'!$D$4:$D$11,MATCH(1,INDEX(EXACT('Detalle - Lo que imparte'!$A$4:$A$11,"LUGO"&amp;CHAR(30)&amp;"2")*1,0),0))),"",INDEX('Detalle - Lo que imparte'!$D$4:$D$11,MATCH(1,INDEX(EXACT('Detalle - Lo que imparte'!$A$4:$A$11,"LUGO"&amp;CHAR(30)&amp;"2")*1,0),0))))</f>
        <v/>
      </c>
      <c r="Q18" s="3">
        <f>IF(ISNA(MATCH(1,INDEX(EXACT('Detalle - Lo que imparte'!$A$4:$A$11,"LUGO"&amp;CHAR(30)&amp;"2")*1,0),0)),"",IF(ISBLANK(INDEX('Detalle - Lo que imparte'!$E$4:$E$11,MATCH(1,INDEX(EXACT('Detalle - Lo que imparte'!$A$4:$A$11,"LUGO"&amp;CHAR(30)&amp;"2")*1,0),0))),"",INDEX('Detalle - Lo que imparte'!$E$4:$E$11,MATCH(1,INDEX(EXACT('Detalle - Lo que imparte'!$A$4:$A$11,"LUGO"&amp;CHAR(30)&amp;"2")*1,0),0))))</f>
        <v/>
      </c>
      <c r="R18" s="3">
        <f>IF(ISNA(MATCH(1,INDEX(EXACT('Detalle - Lo que imparte'!$A$4:$A$11,"LUGO"&amp;CHAR(30)&amp;"2")*1,0),0)),"",IF(ISBLANK(INDEX('Detalle - Lo que imparte'!$F$4:$F$11,MATCH(1,INDEX(EXACT('Detalle - Lo que imparte'!$A$4:$A$11,"LUGO"&amp;CHAR(30)&amp;"2")*1,0),0))),"",INDEX('Detalle - Lo que imparte'!$F$4:$F$11,MATCH(1,INDEX(EXACT('Detalle - Lo que imparte'!$A$4:$A$11,"LUGO"&amp;CHAR(30)&amp;"2")*1,0),0))))</f>
        <v/>
      </c>
      <c r="S18" s="3">
        <f>IF(ISNA(MATCH(1,INDEX(EXACT('Detalle - Lo que imparte'!$A$4:$A$11,"LUGO"&amp;CHAR(30)&amp;"2")*1,0),0)),"",IF(ISBLANK(INDEX('Detalle - Lo que imparte'!$G$4:$G$11,MATCH(1,INDEX(EXACT('Detalle - Lo que imparte'!$A$4:$A$11,"LUGO"&amp;CHAR(30)&amp;"2")*1,0),0))),"",INDEX('Detalle - Lo que imparte'!$G$4:$G$11,MATCH(1,INDEX(EXACT('Detalle - Lo que imparte'!$A$4:$A$11,"LUGO"&amp;CHAR(30)&amp;"2")*1,0),0))))</f>
        <v/>
      </c>
      <c r="T18" s="3">
        <f>IF(ISNA(MATCH(1,INDEX(EXACT('Detalle - Lo que imparte'!$A$4:$A$11,"LUGO"&amp;CHAR(30)&amp;"2")*1,0),0)),"",IF(ISBLANK(INDEX('Detalle - Lo que imparte'!$H$4:$H$11,MATCH(1,INDEX(EXACT('Detalle - Lo que imparte'!$A$4:$A$11,"LUGO"&amp;CHAR(30)&amp;"2")*1,0),0))),"",INDEX('Detalle - Lo que imparte'!$H$4:$H$11,MATCH(1,INDEX(EXACT('Detalle - Lo que imparte'!$A$4:$A$11,"LUGO"&amp;CHAR(30)&amp;"2")*1,0),0))))</f>
        <v/>
      </c>
      <c r="U18" s="3">
        <f>IF(ISNA(MATCH(1,INDEX(EXACT('Detalle - Lo que imparte'!$A$4:$A$11,"LUGO"&amp;CHAR(30)&amp;"2")*1,0),0)),"",IF(ISBLANK(INDEX('Detalle - Lo que imparte'!$I$4:$I$11,MATCH(1,INDEX(EXACT('Detalle - Lo que imparte'!$A$4:$A$11,"LUGO"&amp;CHAR(30)&amp;"2")*1,0),0))),"",INDEX('Detalle - Lo que imparte'!$I$4:$I$11,MATCH(1,INDEX(EXACT('Detalle - Lo que imparte'!$A$4:$A$11,"LUGO"&amp;CHAR(30)&amp;"2")*1,0),0))))</f>
        <v/>
      </c>
      <c r="V18" s="3">
        <f>IF(ISNA(MATCH(1,INDEX(EXACT('Detalle - Lo que imparte'!$A$4:$A$11,"LUGO"&amp;CHAR(30)&amp;"2")*1,0),0)),"",IF(ISBLANK(INDEX('Detalle - Lo que imparte'!$J$4:$J$11,MATCH(1,INDEX(EXACT('Detalle - Lo que imparte'!$A$4:$A$11,"LUGO"&amp;CHAR(30)&amp;"2")*1,0),0))),"",INDEX('Detalle - Lo que imparte'!$J$4:$J$11,MATCH(1,INDEX(EXACT('Detalle - Lo que imparte'!$A$4:$A$11,"LUGO"&amp;CHAR(30)&amp;"2")*1,0),0))))</f>
        <v/>
      </c>
      <c r="W18" s="3">
        <f>IF(ISNA(MATCH(1,INDEX(EXACT('Detalle - Lo que imparte'!$A$4:$A$11,"LUGO"&amp;CHAR(30)&amp;"2")*1,0),0)),"",IF(ISBLANK(INDEX('Detalle - Lo que imparte'!$K$4:$K$11,MATCH(1,INDEX(EXACT('Detalle - Lo que imparte'!$A$4:$A$11,"LUGO"&amp;CHAR(30)&amp;"2")*1,0),0))),"",INDEX('Detalle - Lo que imparte'!$K$4:$K$11,MATCH(1,INDEX(EXACT('Detalle - Lo que imparte'!$A$4:$A$11,"LUGO"&amp;CHAR(30)&amp;"2")*1,0),0))))</f>
        <v/>
      </c>
      <c r="X18">
        <f>IF(ISNA(MATCH(1,INDEX(EXACT('Detalle - Lo que imparte'!$A$4:$A$11,"LUGO"&amp;CHAR(30)&amp;"2")*1,0),0)),"",IF(ISBLANK(INDEX('Detalle - Lo que imparte'!$L$4:$L$11,MATCH(1,INDEX(EXACT('Detalle - Lo que imparte'!$A$4:$A$11,"LUGO"&amp;CHAR(30)&amp;"2")*1,0),0))),"",INDEX('Detalle - Lo que imparte'!$L$4:$L$11,MATCH(1,INDEX(EXACT('Detalle - Lo que imparte'!$A$4:$A$11,"LUGO"&amp;CHAR(30)&amp;"2")*1,0),0))))</f>
        <v/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>
        <f>IF(ISNA(MATCH(1,INDEX(EXACT('Detalle - Lo que imparte'!$A$4:$A$11,"LUGO"&amp;CHAR(30)&amp;"3")*1,0),0)),"",IF(ISBLANK(INDEX('Detalle - Lo que imparte'!$B$4:$B$11,MATCH(1,INDEX(EXACT('Detalle - Lo que imparte'!$A$4:$A$11,"LUGO"&amp;CHAR(30)&amp;"3")*1,0),0))),"",INDEX('Detalle - Lo que imparte'!$B$4:$B$11,MATCH(1,INDEX(EXACT('Detalle - Lo que imparte'!$A$4:$A$11,"LUGO"&amp;CHAR(30)&amp;"3")*1,0),0))))</f>
        <v/>
      </c>
      <c r="O19" s="3">
        <f>IF(ISNA(MATCH(1,INDEX(EXACT('Detalle - Lo que imparte'!$A$4:$A$11,"LUGO"&amp;CHAR(30)&amp;"3")*1,0),0)),"",IF(ISBLANK(INDEX('Detalle - Lo que imparte'!$C$4:$C$11,MATCH(1,INDEX(EXACT('Detalle - Lo que imparte'!$A$4:$A$11,"LUGO"&amp;CHAR(30)&amp;"3")*1,0),0))),"",INDEX('Detalle - Lo que imparte'!$C$4:$C$11,MATCH(1,INDEX(EXACT('Detalle - Lo que imparte'!$A$4:$A$11,"LUGO"&amp;CHAR(30)&amp;"3")*1,0),0))))</f>
        <v/>
      </c>
      <c r="P19" s="3">
        <f>IF(ISNA(MATCH(1,INDEX(EXACT('Detalle - Lo que imparte'!$A$4:$A$11,"LUGO"&amp;CHAR(30)&amp;"3")*1,0),0)),"",IF(ISBLANK(INDEX('Detalle - Lo que imparte'!$D$4:$D$11,MATCH(1,INDEX(EXACT('Detalle - Lo que imparte'!$A$4:$A$11,"LUGO"&amp;CHAR(30)&amp;"3")*1,0),0))),"",INDEX('Detalle - Lo que imparte'!$D$4:$D$11,MATCH(1,INDEX(EXACT('Detalle - Lo que imparte'!$A$4:$A$11,"LUGO"&amp;CHAR(30)&amp;"3")*1,0),0))))</f>
        <v/>
      </c>
      <c r="Q19" s="3">
        <f>IF(ISNA(MATCH(1,INDEX(EXACT('Detalle - Lo que imparte'!$A$4:$A$11,"LUGO"&amp;CHAR(30)&amp;"3")*1,0),0)),"",IF(ISBLANK(INDEX('Detalle - Lo que imparte'!$E$4:$E$11,MATCH(1,INDEX(EXACT('Detalle - Lo que imparte'!$A$4:$A$11,"LUGO"&amp;CHAR(30)&amp;"3")*1,0),0))),"",INDEX('Detalle - Lo que imparte'!$E$4:$E$11,MATCH(1,INDEX(EXACT('Detalle - Lo que imparte'!$A$4:$A$11,"LUGO"&amp;CHAR(30)&amp;"3")*1,0),0))))</f>
        <v/>
      </c>
      <c r="R19" s="3">
        <f>IF(ISNA(MATCH(1,INDEX(EXACT('Detalle - Lo que imparte'!$A$4:$A$11,"LUGO"&amp;CHAR(30)&amp;"3")*1,0),0)),"",IF(ISBLANK(INDEX('Detalle - Lo que imparte'!$F$4:$F$11,MATCH(1,INDEX(EXACT('Detalle - Lo que imparte'!$A$4:$A$11,"LUGO"&amp;CHAR(30)&amp;"3")*1,0),0))),"",INDEX('Detalle - Lo que imparte'!$F$4:$F$11,MATCH(1,INDEX(EXACT('Detalle - Lo que imparte'!$A$4:$A$11,"LUGO"&amp;CHAR(30)&amp;"3")*1,0),0))))</f>
        <v/>
      </c>
      <c r="S19" s="3">
        <f>IF(ISNA(MATCH(1,INDEX(EXACT('Detalle - Lo que imparte'!$A$4:$A$11,"LUGO"&amp;CHAR(30)&amp;"3")*1,0),0)),"",IF(ISBLANK(INDEX('Detalle - Lo que imparte'!$G$4:$G$11,MATCH(1,INDEX(EXACT('Detalle - Lo que imparte'!$A$4:$A$11,"LUGO"&amp;CHAR(30)&amp;"3")*1,0),0))),"",INDEX('Detalle - Lo que imparte'!$G$4:$G$11,MATCH(1,INDEX(EXACT('Detalle - Lo que imparte'!$A$4:$A$11,"LUGO"&amp;CHAR(30)&amp;"3")*1,0),0))))</f>
        <v/>
      </c>
      <c r="T19" s="3">
        <f>IF(ISNA(MATCH(1,INDEX(EXACT('Detalle - Lo que imparte'!$A$4:$A$11,"LUGO"&amp;CHAR(30)&amp;"3")*1,0),0)),"",IF(ISBLANK(INDEX('Detalle - Lo que imparte'!$H$4:$H$11,MATCH(1,INDEX(EXACT('Detalle - Lo que imparte'!$A$4:$A$11,"LUGO"&amp;CHAR(30)&amp;"3")*1,0),0))),"",INDEX('Detalle - Lo que imparte'!$H$4:$H$11,MATCH(1,INDEX(EXACT('Detalle - Lo que imparte'!$A$4:$A$11,"LUGO"&amp;CHAR(30)&amp;"3")*1,0),0))))</f>
        <v/>
      </c>
      <c r="U19" s="3">
        <f>IF(ISNA(MATCH(1,INDEX(EXACT('Detalle - Lo que imparte'!$A$4:$A$11,"LUGO"&amp;CHAR(30)&amp;"3")*1,0),0)),"",IF(ISBLANK(INDEX('Detalle - Lo que imparte'!$I$4:$I$11,MATCH(1,INDEX(EXACT('Detalle - Lo que imparte'!$A$4:$A$11,"LUGO"&amp;CHAR(30)&amp;"3")*1,0),0))),"",INDEX('Detalle - Lo que imparte'!$I$4:$I$11,MATCH(1,INDEX(EXACT('Detalle - Lo que imparte'!$A$4:$A$11,"LUGO"&amp;CHAR(30)&amp;"3")*1,0),0))))</f>
        <v/>
      </c>
      <c r="V19" s="3">
        <f>IF(ISNA(MATCH(1,INDEX(EXACT('Detalle - Lo que imparte'!$A$4:$A$11,"LUGO"&amp;CHAR(30)&amp;"3")*1,0),0)),"",IF(ISBLANK(INDEX('Detalle - Lo que imparte'!$J$4:$J$11,MATCH(1,INDEX(EXACT('Detalle - Lo que imparte'!$A$4:$A$11,"LUGO"&amp;CHAR(30)&amp;"3")*1,0),0))),"",INDEX('Detalle - Lo que imparte'!$J$4:$J$11,MATCH(1,INDEX(EXACT('Detalle - Lo que imparte'!$A$4:$A$11,"LUGO"&amp;CHAR(30)&amp;"3")*1,0),0))))</f>
        <v/>
      </c>
      <c r="W19" s="3">
        <f>IF(ISNA(MATCH(1,INDEX(EXACT('Detalle - Lo que imparte'!$A$4:$A$11,"LUGO"&amp;CHAR(30)&amp;"3")*1,0),0)),"",IF(ISBLANK(INDEX('Detalle - Lo que imparte'!$K$4:$K$11,MATCH(1,INDEX(EXACT('Detalle - Lo que imparte'!$A$4:$A$11,"LUGO"&amp;CHAR(30)&amp;"3")*1,0),0))),"",INDEX('Detalle - Lo que imparte'!$K$4:$K$11,MATCH(1,INDEX(EXACT('Detalle - Lo que imparte'!$A$4:$A$11,"LUGO"&amp;CHAR(30)&amp;"3")*1,0),0))))</f>
        <v/>
      </c>
      <c r="X19">
        <f>IF(ISNA(MATCH(1,INDEX(EXACT('Detalle - Lo que imparte'!$A$4:$A$11,"LUGO"&amp;CHAR(30)&amp;"3")*1,0),0)),"",IF(ISBLANK(INDEX('Detalle - Lo que imparte'!$L$4:$L$11,MATCH(1,INDEX(EXACT('Detalle - Lo que imparte'!$A$4:$A$11,"LUGO"&amp;CHAR(30)&amp;"3")*1,0),0))),"",INDEX('Detalle - Lo que imparte'!$L$4:$L$11,MATCH(1,INDEX(EXACT('Detalle - Lo que imparte'!$A$4:$A$11,"LUGO"&amp;CHAR(30)&amp;"3")*1,0),0))))</f>
        <v/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>
        <f>IF(ISNA(MATCH(1,INDEX(EXACT('Detalle - Lo que imparte'!$A$4:$A$11,"LUGO"&amp;CHAR(30)&amp;"4")*1,0),0)),"",IF(ISBLANK(INDEX('Detalle - Lo que imparte'!$B$4:$B$11,MATCH(1,INDEX(EXACT('Detalle - Lo que imparte'!$A$4:$A$11,"LUGO"&amp;CHAR(30)&amp;"4")*1,0),0))),"",INDEX('Detalle - Lo que imparte'!$B$4:$B$11,MATCH(1,INDEX(EXACT('Detalle - Lo que imparte'!$A$4:$A$11,"LUGO"&amp;CHAR(30)&amp;"4")*1,0),0))))</f>
        <v/>
      </c>
      <c r="O20" s="3">
        <f>IF(ISNA(MATCH(1,INDEX(EXACT('Detalle - Lo que imparte'!$A$4:$A$11,"LUGO"&amp;CHAR(30)&amp;"4")*1,0),0)),"",IF(ISBLANK(INDEX('Detalle - Lo que imparte'!$C$4:$C$11,MATCH(1,INDEX(EXACT('Detalle - Lo que imparte'!$A$4:$A$11,"LUGO"&amp;CHAR(30)&amp;"4")*1,0),0))),"",INDEX('Detalle - Lo que imparte'!$C$4:$C$11,MATCH(1,INDEX(EXACT('Detalle - Lo que imparte'!$A$4:$A$11,"LUGO"&amp;CHAR(30)&amp;"4")*1,0),0))))</f>
        <v/>
      </c>
      <c r="P20" s="3">
        <f>IF(ISNA(MATCH(1,INDEX(EXACT('Detalle - Lo que imparte'!$A$4:$A$11,"LUGO"&amp;CHAR(30)&amp;"4")*1,0),0)),"",IF(ISBLANK(INDEX('Detalle - Lo que imparte'!$D$4:$D$11,MATCH(1,INDEX(EXACT('Detalle - Lo que imparte'!$A$4:$A$11,"LUGO"&amp;CHAR(30)&amp;"4")*1,0),0))),"",INDEX('Detalle - Lo que imparte'!$D$4:$D$11,MATCH(1,INDEX(EXACT('Detalle - Lo que imparte'!$A$4:$A$11,"LUGO"&amp;CHAR(30)&amp;"4")*1,0),0))))</f>
        <v/>
      </c>
      <c r="Q20" s="3">
        <f>IF(ISNA(MATCH(1,INDEX(EXACT('Detalle - Lo que imparte'!$A$4:$A$11,"LUGO"&amp;CHAR(30)&amp;"4")*1,0),0)),"",IF(ISBLANK(INDEX('Detalle - Lo que imparte'!$E$4:$E$11,MATCH(1,INDEX(EXACT('Detalle - Lo que imparte'!$A$4:$A$11,"LUGO"&amp;CHAR(30)&amp;"4")*1,0),0))),"",INDEX('Detalle - Lo que imparte'!$E$4:$E$11,MATCH(1,INDEX(EXACT('Detalle - Lo que imparte'!$A$4:$A$11,"LUGO"&amp;CHAR(30)&amp;"4")*1,0),0))))</f>
        <v/>
      </c>
      <c r="R20" s="3">
        <f>IF(ISNA(MATCH(1,INDEX(EXACT('Detalle - Lo que imparte'!$A$4:$A$11,"LUGO"&amp;CHAR(30)&amp;"4")*1,0),0)),"",IF(ISBLANK(INDEX('Detalle - Lo que imparte'!$F$4:$F$11,MATCH(1,INDEX(EXACT('Detalle - Lo que imparte'!$A$4:$A$11,"LUGO"&amp;CHAR(30)&amp;"4")*1,0),0))),"",INDEX('Detalle - Lo que imparte'!$F$4:$F$11,MATCH(1,INDEX(EXACT('Detalle - Lo que imparte'!$A$4:$A$11,"LUGO"&amp;CHAR(30)&amp;"4")*1,0),0))))</f>
        <v/>
      </c>
      <c r="S20" s="3">
        <f>IF(ISNA(MATCH(1,INDEX(EXACT('Detalle - Lo que imparte'!$A$4:$A$11,"LUGO"&amp;CHAR(30)&amp;"4")*1,0),0)),"",IF(ISBLANK(INDEX('Detalle - Lo que imparte'!$G$4:$G$11,MATCH(1,INDEX(EXACT('Detalle - Lo que imparte'!$A$4:$A$11,"LUGO"&amp;CHAR(30)&amp;"4")*1,0),0))),"",INDEX('Detalle - Lo que imparte'!$G$4:$G$11,MATCH(1,INDEX(EXACT('Detalle - Lo que imparte'!$A$4:$A$11,"LUGO"&amp;CHAR(30)&amp;"4")*1,0),0))))</f>
        <v/>
      </c>
      <c r="T20" s="3">
        <f>IF(ISNA(MATCH(1,INDEX(EXACT('Detalle - Lo que imparte'!$A$4:$A$11,"LUGO"&amp;CHAR(30)&amp;"4")*1,0),0)),"",IF(ISBLANK(INDEX('Detalle - Lo que imparte'!$H$4:$H$11,MATCH(1,INDEX(EXACT('Detalle - Lo que imparte'!$A$4:$A$11,"LUGO"&amp;CHAR(30)&amp;"4")*1,0),0))),"",INDEX('Detalle - Lo que imparte'!$H$4:$H$11,MATCH(1,INDEX(EXACT('Detalle - Lo que imparte'!$A$4:$A$11,"LUGO"&amp;CHAR(30)&amp;"4")*1,0),0))))</f>
        <v/>
      </c>
      <c r="U20" s="3">
        <f>IF(ISNA(MATCH(1,INDEX(EXACT('Detalle - Lo que imparte'!$A$4:$A$11,"LUGO"&amp;CHAR(30)&amp;"4")*1,0),0)),"",IF(ISBLANK(INDEX('Detalle - Lo que imparte'!$I$4:$I$11,MATCH(1,INDEX(EXACT('Detalle - Lo que imparte'!$A$4:$A$11,"LUGO"&amp;CHAR(30)&amp;"4")*1,0),0))),"",INDEX('Detalle - Lo que imparte'!$I$4:$I$11,MATCH(1,INDEX(EXACT('Detalle - Lo que imparte'!$A$4:$A$11,"LUGO"&amp;CHAR(30)&amp;"4")*1,0),0))))</f>
        <v/>
      </c>
      <c r="V20" s="3">
        <f>IF(ISNA(MATCH(1,INDEX(EXACT('Detalle - Lo que imparte'!$A$4:$A$11,"LUGO"&amp;CHAR(30)&amp;"4")*1,0),0)),"",IF(ISBLANK(INDEX('Detalle - Lo que imparte'!$J$4:$J$11,MATCH(1,INDEX(EXACT('Detalle - Lo que imparte'!$A$4:$A$11,"LUGO"&amp;CHAR(30)&amp;"4")*1,0),0))),"",INDEX('Detalle - Lo que imparte'!$J$4:$J$11,MATCH(1,INDEX(EXACT('Detalle - Lo que imparte'!$A$4:$A$11,"LUGO"&amp;CHAR(30)&amp;"4")*1,0),0))))</f>
        <v/>
      </c>
      <c r="W20" s="3">
        <f>IF(ISNA(MATCH(1,INDEX(EXACT('Detalle - Lo que imparte'!$A$4:$A$11,"LUGO"&amp;CHAR(30)&amp;"4")*1,0),0)),"",IF(ISBLANK(INDEX('Detalle - Lo que imparte'!$K$4:$K$11,MATCH(1,INDEX(EXACT('Detalle - Lo que imparte'!$A$4:$A$11,"LUGO"&amp;CHAR(30)&amp;"4")*1,0),0))),"",INDEX('Detalle - Lo que imparte'!$K$4:$K$11,MATCH(1,INDEX(EXACT('Detalle - Lo que imparte'!$A$4:$A$11,"LUGO"&amp;CHAR(30)&amp;"4")*1,0),0))))</f>
        <v/>
      </c>
      <c r="X20">
        <f>IF(ISNA(MATCH(1,INDEX(EXACT('Detalle - Lo que imparte'!$A$4:$A$11,"LUGO"&amp;CHAR(30)&amp;"4")*1,0),0)),"",IF(ISBLANK(INDEX('Detalle - Lo que imparte'!$L$4:$L$11,MATCH(1,INDEX(EXACT('Detalle - Lo que imparte'!$A$4:$A$11,"LUGO"&amp;CHAR(30)&amp;"4")*1,0),0))),"",INDEX('Detalle - Lo que imparte'!$L$4:$L$11,MATCH(1,INDEX(EXACT('Detalle - Lo que imparte'!$A$4:$A$11,"LUGO"&amp;CHAR(30)&amp;"4")*1,0),0))))</f>
        <v/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>
        <f>IF(ISNA(MATCH(1,INDEX(EXACT('Detalle - Lo que imparte'!$A$4:$A$11,"LUGO"&amp;CHAR(30)&amp;"5")*1,0),0)),"",IF(ISBLANK(INDEX('Detalle - Lo que imparte'!$B$4:$B$11,MATCH(1,INDEX(EXACT('Detalle - Lo que imparte'!$A$4:$A$11,"LUGO"&amp;CHAR(30)&amp;"5")*1,0),0))),"",INDEX('Detalle - Lo que imparte'!$B$4:$B$11,MATCH(1,INDEX(EXACT('Detalle - Lo que imparte'!$A$4:$A$11,"LUGO"&amp;CHAR(30)&amp;"5")*1,0),0))))</f>
        <v/>
      </c>
      <c r="O21" s="3">
        <f>IF(ISNA(MATCH(1,INDEX(EXACT('Detalle - Lo que imparte'!$A$4:$A$11,"LUGO"&amp;CHAR(30)&amp;"5")*1,0),0)),"",IF(ISBLANK(INDEX('Detalle - Lo que imparte'!$C$4:$C$11,MATCH(1,INDEX(EXACT('Detalle - Lo que imparte'!$A$4:$A$11,"LUGO"&amp;CHAR(30)&amp;"5")*1,0),0))),"",INDEX('Detalle - Lo que imparte'!$C$4:$C$11,MATCH(1,INDEX(EXACT('Detalle - Lo que imparte'!$A$4:$A$11,"LUGO"&amp;CHAR(30)&amp;"5")*1,0),0))))</f>
        <v/>
      </c>
      <c r="P21" s="3">
        <f>IF(ISNA(MATCH(1,INDEX(EXACT('Detalle - Lo que imparte'!$A$4:$A$11,"LUGO"&amp;CHAR(30)&amp;"5")*1,0),0)),"",IF(ISBLANK(INDEX('Detalle - Lo que imparte'!$D$4:$D$11,MATCH(1,INDEX(EXACT('Detalle - Lo que imparte'!$A$4:$A$11,"LUGO"&amp;CHAR(30)&amp;"5")*1,0),0))),"",INDEX('Detalle - Lo que imparte'!$D$4:$D$11,MATCH(1,INDEX(EXACT('Detalle - Lo que imparte'!$A$4:$A$11,"LUGO"&amp;CHAR(30)&amp;"5")*1,0),0))))</f>
        <v/>
      </c>
      <c r="Q21" s="3">
        <f>IF(ISNA(MATCH(1,INDEX(EXACT('Detalle - Lo que imparte'!$A$4:$A$11,"LUGO"&amp;CHAR(30)&amp;"5")*1,0),0)),"",IF(ISBLANK(INDEX('Detalle - Lo que imparte'!$E$4:$E$11,MATCH(1,INDEX(EXACT('Detalle - Lo que imparte'!$A$4:$A$11,"LUGO"&amp;CHAR(30)&amp;"5")*1,0),0))),"",INDEX('Detalle - Lo que imparte'!$E$4:$E$11,MATCH(1,INDEX(EXACT('Detalle - Lo que imparte'!$A$4:$A$11,"LUGO"&amp;CHAR(30)&amp;"5")*1,0),0))))</f>
        <v/>
      </c>
      <c r="R21" s="3">
        <f>IF(ISNA(MATCH(1,INDEX(EXACT('Detalle - Lo que imparte'!$A$4:$A$11,"LUGO"&amp;CHAR(30)&amp;"5")*1,0),0)),"",IF(ISBLANK(INDEX('Detalle - Lo que imparte'!$F$4:$F$11,MATCH(1,INDEX(EXACT('Detalle - Lo que imparte'!$A$4:$A$11,"LUGO"&amp;CHAR(30)&amp;"5")*1,0),0))),"",INDEX('Detalle - Lo que imparte'!$F$4:$F$11,MATCH(1,INDEX(EXACT('Detalle - Lo que imparte'!$A$4:$A$11,"LUGO"&amp;CHAR(30)&amp;"5")*1,0),0))))</f>
        <v/>
      </c>
      <c r="S21" s="3">
        <f>IF(ISNA(MATCH(1,INDEX(EXACT('Detalle - Lo que imparte'!$A$4:$A$11,"LUGO"&amp;CHAR(30)&amp;"5")*1,0),0)),"",IF(ISBLANK(INDEX('Detalle - Lo que imparte'!$G$4:$G$11,MATCH(1,INDEX(EXACT('Detalle - Lo que imparte'!$A$4:$A$11,"LUGO"&amp;CHAR(30)&amp;"5")*1,0),0))),"",INDEX('Detalle - Lo que imparte'!$G$4:$G$11,MATCH(1,INDEX(EXACT('Detalle - Lo que imparte'!$A$4:$A$11,"LUGO"&amp;CHAR(30)&amp;"5")*1,0),0))))</f>
        <v/>
      </c>
      <c r="T21" s="3">
        <f>IF(ISNA(MATCH(1,INDEX(EXACT('Detalle - Lo que imparte'!$A$4:$A$11,"LUGO"&amp;CHAR(30)&amp;"5")*1,0),0)),"",IF(ISBLANK(INDEX('Detalle - Lo que imparte'!$H$4:$H$11,MATCH(1,INDEX(EXACT('Detalle - Lo que imparte'!$A$4:$A$11,"LUGO"&amp;CHAR(30)&amp;"5")*1,0),0))),"",INDEX('Detalle - Lo que imparte'!$H$4:$H$11,MATCH(1,INDEX(EXACT('Detalle - Lo que imparte'!$A$4:$A$11,"LUGO"&amp;CHAR(30)&amp;"5")*1,0),0))))</f>
        <v/>
      </c>
      <c r="U21" s="3">
        <f>IF(ISNA(MATCH(1,INDEX(EXACT('Detalle - Lo que imparte'!$A$4:$A$11,"LUGO"&amp;CHAR(30)&amp;"5")*1,0),0)),"",IF(ISBLANK(INDEX('Detalle - Lo que imparte'!$I$4:$I$11,MATCH(1,INDEX(EXACT('Detalle - Lo que imparte'!$A$4:$A$11,"LUGO"&amp;CHAR(30)&amp;"5")*1,0),0))),"",INDEX('Detalle - Lo que imparte'!$I$4:$I$11,MATCH(1,INDEX(EXACT('Detalle - Lo que imparte'!$A$4:$A$11,"LUGO"&amp;CHAR(30)&amp;"5")*1,0),0))))</f>
        <v/>
      </c>
      <c r="V21" s="3">
        <f>IF(ISNA(MATCH(1,INDEX(EXACT('Detalle - Lo que imparte'!$A$4:$A$11,"LUGO"&amp;CHAR(30)&amp;"5")*1,0),0)),"",IF(ISBLANK(INDEX('Detalle - Lo que imparte'!$J$4:$J$11,MATCH(1,INDEX(EXACT('Detalle - Lo que imparte'!$A$4:$A$11,"LUGO"&amp;CHAR(30)&amp;"5")*1,0),0))),"",INDEX('Detalle - Lo que imparte'!$J$4:$J$11,MATCH(1,INDEX(EXACT('Detalle - Lo que imparte'!$A$4:$A$11,"LUGO"&amp;CHAR(30)&amp;"5")*1,0),0))))</f>
        <v/>
      </c>
      <c r="W21" s="3">
        <f>IF(ISNA(MATCH(1,INDEX(EXACT('Detalle - Lo que imparte'!$A$4:$A$11,"LUGO"&amp;CHAR(30)&amp;"5")*1,0),0)),"",IF(ISBLANK(INDEX('Detalle - Lo que imparte'!$K$4:$K$11,MATCH(1,INDEX(EXACT('Detalle - Lo que imparte'!$A$4:$A$11,"LUGO"&amp;CHAR(30)&amp;"5")*1,0),0))),"",INDEX('Detalle - Lo que imparte'!$K$4:$K$11,MATCH(1,INDEX(EXACT('Detalle - Lo que imparte'!$A$4:$A$11,"LUGO"&amp;CHAR(30)&amp;"5")*1,0),0))))</f>
        <v/>
      </c>
      <c r="X21">
        <f>IF(ISNA(MATCH(1,INDEX(EXACT('Detalle - Lo que imparte'!$A$4:$A$11,"LUGO"&amp;CHAR(30)&amp;"5")*1,0),0)),"",IF(ISBLANK(INDEX('Detalle - Lo que imparte'!$L$4:$L$11,MATCH(1,INDEX(EXACT('Detalle - Lo que imparte'!$A$4:$A$11,"LUGO"&amp;CHAR(30)&amp;"5")*1,0),0))),"",INDEX('Detalle - Lo que imparte'!$L$4:$L$11,MATCH(1,INDEX(EXACT('Detalle - Lo que imparte'!$A$4:$A$11,"LUGO"&amp;CHAR(30)&amp;"5")*1,0),0))))</f>
        <v/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inlineStr">
        <is>
          <t>ROTO</t>
        </is>
      </c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>
        <f>IF(ISNA(MATCH(1,INDEX(EXACT('Detalle - Lo que imparte'!$A$4:$A$11,"ROTO"&amp;CHAR(30)&amp;"1")*1,0),0)),"",IF(ISBLANK(INDEX('Detalle - Lo que imparte'!$B$4:$B$11,MATCH(1,INDEX(EXACT('Detalle - Lo que imparte'!$A$4:$A$11,"ROTO"&amp;CHAR(30)&amp;"1")*1,0),0))),"",INDEX('Detalle - Lo que imparte'!$B$4:$B$11,MATCH(1,INDEX(EXACT('Detalle - Lo que imparte'!$A$4:$A$11,"ROTO"&amp;CHAR(30)&amp;"1")*1,0),0))))</f>
        <v/>
      </c>
      <c r="O23" s="3">
        <f>IF(ISNA(MATCH(1,INDEX(EXACT('Detalle - Lo que imparte'!$A$4:$A$11,"ROTO"&amp;CHAR(30)&amp;"1")*1,0),0)),"",IF(ISBLANK(INDEX('Detalle - Lo que imparte'!$C$4:$C$11,MATCH(1,INDEX(EXACT('Detalle - Lo que imparte'!$A$4:$A$11,"ROTO"&amp;CHAR(30)&amp;"1")*1,0),0))),"",INDEX('Detalle - Lo que imparte'!$C$4:$C$11,MATCH(1,INDEX(EXACT('Detalle - Lo que imparte'!$A$4:$A$11,"ROTO"&amp;CHAR(30)&amp;"1")*1,0),0))))</f>
        <v/>
      </c>
      <c r="P23" s="3">
        <f>IF(ISNA(MATCH(1,INDEX(EXACT('Detalle - Lo que imparte'!$A$4:$A$11,"ROTO"&amp;CHAR(30)&amp;"1")*1,0),0)),"",IF(ISBLANK(INDEX('Detalle - Lo que imparte'!$D$4:$D$11,MATCH(1,INDEX(EXACT('Detalle - Lo que imparte'!$A$4:$A$11,"ROTO"&amp;CHAR(30)&amp;"1")*1,0),0))),"",INDEX('Detalle - Lo que imparte'!$D$4:$D$11,MATCH(1,INDEX(EXACT('Detalle - Lo que imparte'!$A$4:$A$11,"ROTO"&amp;CHAR(30)&amp;"1")*1,0),0))))</f>
        <v/>
      </c>
      <c r="Q23" s="3">
        <f>IF(ISNA(MATCH(1,INDEX(EXACT('Detalle - Lo que imparte'!$A$4:$A$11,"ROTO"&amp;CHAR(30)&amp;"1")*1,0),0)),"",IF(ISBLANK(INDEX('Detalle - Lo que imparte'!$E$4:$E$11,MATCH(1,INDEX(EXACT('Detalle - Lo que imparte'!$A$4:$A$11,"ROTO"&amp;CHAR(30)&amp;"1")*1,0),0))),"",INDEX('Detalle - Lo que imparte'!$E$4:$E$11,MATCH(1,INDEX(EXACT('Detalle - Lo que imparte'!$A$4:$A$11,"ROTO"&amp;CHAR(30)&amp;"1")*1,0),0))))</f>
        <v/>
      </c>
      <c r="R23" s="3">
        <f>IF(ISNA(MATCH(1,INDEX(EXACT('Detalle - Lo que imparte'!$A$4:$A$11,"ROTO"&amp;CHAR(30)&amp;"1")*1,0),0)),"",IF(ISBLANK(INDEX('Detalle - Lo que imparte'!$F$4:$F$11,MATCH(1,INDEX(EXACT('Detalle - Lo que imparte'!$A$4:$A$11,"ROTO"&amp;CHAR(30)&amp;"1")*1,0),0))),"",INDEX('Detalle - Lo que imparte'!$F$4:$F$11,MATCH(1,INDEX(EXACT('Detalle - Lo que imparte'!$A$4:$A$11,"ROTO"&amp;CHAR(30)&amp;"1")*1,0),0))))</f>
        <v/>
      </c>
      <c r="S23" s="3">
        <f>IF(ISNA(MATCH(1,INDEX(EXACT('Detalle - Lo que imparte'!$A$4:$A$11,"ROTO"&amp;CHAR(30)&amp;"1")*1,0),0)),"",IF(ISBLANK(INDEX('Detalle - Lo que imparte'!$G$4:$G$11,MATCH(1,INDEX(EXACT('Detalle - Lo que imparte'!$A$4:$A$11,"ROTO"&amp;CHAR(30)&amp;"1")*1,0),0))),"",INDEX('Detalle - Lo que imparte'!$G$4:$G$11,MATCH(1,INDEX(EXACT('Detalle - Lo que imparte'!$A$4:$A$11,"ROTO"&amp;CHAR(30)&amp;"1")*1,0),0))))</f>
        <v/>
      </c>
      <c r="T23" s="3">
        <f>IF(ISNA(MATCH(1,INDEX(EXACT('Detalle - Lo que imparte'!$A$4:$A$11,"ROTO"&amp;CHAR(30)&amp;"1")*1,0),0)),"",IF(ISBLANK(INDEX('Detalle - Lo que imparte'!$H$4:$H$11,MATCH(1,INDEX(EXACT('Detalle - Lo que imparte'!$A$4:$A$11,"ROTO"&amp;CHAR(30)&amp;"1")*1,0),0))),"",INDEX('Detalle - Lo que imparte'!$H$4:$H$11,MATCH(1,INDEX(EXACT('Detalle - Lo que imparte'!$A$4:$A$11,"ROTO"&amp;CHAR(30)&amp;"1")*1,0),0))))</f>
        <v/>
      </c>
      <c r="U23" s="3">
        <f>IF(ISNA(MATCH(1,INDEX(EXACT('Detalle - Lo que imparte'!$A$4:$A$11,"ROTO"&amp;CHAR(30)&amp;"1")*1,0),0)),"",IF(ISBLANK(INDEX('Detalle - Lo que imparte'!$I$4:$I$11,MATCH(1,INDEX(EXACT('Detalle - Lo que imparte'!$A$4:$A$11,"ROTO"&amp;CHAR(30)&amp;"1")*1,0),0))),"",INDEX('Detalle - Lo que imparte'!$I$4:$I$11,MATCH(1,INDEX(EXACT('Detalle - Lo que imparte'!$A$4:$A$11,"ROTO"&amp;CHAR(30)&amp;"1")*1,0),0))))</f>
        <v/>
      </c>
      <c r="V23" s="3">
        <f>IF(ISNA(MATCH(1,INDEX(EXACT('Detalle - Lo que imparte'!$A$4:$A$11,"ROTO"&amp;CHAR(30)&amp;"1")*1,0),0)),"",IF(ISBLANK(INDEX('Detalle - Lo que imparte'!$J$4:$J$11,MATCH(1,INDEX(EXACT('Detalle - Lo que imparte'!$A$4:$A$11,"ROTO"&amp;CHAR(30)&amp;"1")*1,0),0))),"",INDEX('Detalle - Lo que imparte'!$J$4:$J$11,MATCH(1,INDEX(EXACT('Detalle - Lo que imparte'!$A$4:$A$11,"ROTO"&amp;CHAR(30)&amp;"1")*1,0),0))))</f>
        <v/>
      </c>
      <c r="W23" s="3">
        <f>IF(ISNA(MATCH(1,INDEX(EXACT('Detalle - Lo que imparte'!$A$4:$A$11,"ROTO"&amp;CHAR(30)&amp;"1")*1,0),0)),"",IF(ISBLANK(INDEX('Detalle - Lo que imparte'!$K$4:$K$11,MATCH(1,INDEX(EXACT('Detalle - Lo que imparte'!$A$4:$A$11,"ROTO"&amp;CHAR(30)&amp;"1")*1,0),0))),"",INDEX('Detalle - Lo que imparte'!$K$4:$K$11,MATCH(1,INDEX(EXACT('Detalle - Lo que imparte'!$A$4:$A$11,"ROTO"&amp;CHAR(30)&amp;"1")*1,0),0))))</f>
        <v/>
      </c>
      <c r="X23">
        <f>IF(ISNA(MATCH(1,INDEX(EXACT('Detalle - Lo que imparte'!$A$4:$A$11,"ROTO"&amp;CHAR(30)&amp;"1")*1,0),0)),"",IF(ISBLANK(INDEX('Detalle - Lo que imparte'!$L$4:$L$11,MATCH(1,INDEX(EXACT('Detalle - Lo que imparte'!$A$4:$A$11,"ROTO"&amp;CHAR(30)&amp;"1")*1,0),0))),"",INDEX('Detalle - Lo que imparte'!$L$4:$L$11,MATCH(1,INDEX(EXACT('Detalle - Lo que imparte'!$A$4:$A$11,"ROTO"&amp;CHAR(30)&amp;"1")*1,0),0))))</f>
        <v/>
      </c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>
        <f>IF(ISNA(MATCH(1,INDEX(EXACT('Detalle - Lo que imparte'!$A$4:$A$11,"ROTO"&amp;CHAR(30)&amp;"2")*1,0),0)),"",IF(ISBLANK(INDEX('Detalle - Lo que imparte'!$B$4:$B$11,MATCH(1,INDEX(EXACT('Detalle - Lo que imparte'!$A$4:$A$11,"ROTO"&amp;CHAR(30)&amp;"2")*1,0),0))),"",INDEX('Detalle - Lo que imparte'!$B$4:$B$11,MATCH(1,INDEX(EXACT('Detalle - Lo que imparte'!$A$4:$A$11,"ROTO"&amp;CHAR(30)&amp;"2")*1,0),0))))</f>
        <v/>
      </c>
      <c r="O24" s="3">
        <f>IF(ISNA(MATCH(1,INDEX(EXACT('Detalle - Lo que imparte'!$A$4:$A$11,"ROTO"&amp;CHAR(30)&amp;"2")*1,0),0)),"",IF(ISBLANK(INDEX('Detalle - Lo que imparte'!$C$4:$C$11,MATCH(1,INDEX(EXACT('Detalle - Lo que imparte'!$A$4:$A$11,"ROTO"&amp;CHAR(30)&amp;"2")*1,0),0))),"",INDEX('Detalle - Lo que imparte'!$C$4:$C$11,MATCH(1,INDEX(EXACT('Detalle - Lo que imparte'!$A$4:$A$11,"ROTO"&amp;CHAR(30)&amp;"2")*1,0),0))))</f>
        <v/>
      </c>
      <c r="P24" s="3">
        <f>IF(ISNA(MATCH(1,INDEX(EXACT('Detalle - Lo que imparte'!$A$4:$A$11,"ROTO"&amp;CHAR(30)&amp;"2")*1,0),0)),"",IF(ISBLANK(INDEX('Detalle - Lo que imparte'!$D$4:$D$11,MATCH(1,INDEX(EXACT('Detalle - Lo que imparte'!$A$4:$A$11,"ROTO"&amp;CHAR(30)&amp;"2")*1,0),0))),"",INDEX('Detalle - Lo que imparte'!$D$4:$D$11,MATCH(1,INDEX(EXACT('Detalle - Lo que imparte'!$A$4:$A$11,"ROTO"&amp;CHAR(30)&amp;"2")*1,0),0))))</f>
        <v/>
      </c>
      <c r="Q24" s="3">
        <f>IF(ISNA(MATCH(1,INDEX(EXACT('Detalle - Lo que imparte'!$A$4:$A$11,"ROTO"&amp;CHAR(30)&amp;"2")*1,0),0)),"",IF(ISBLANK(INDEX('Detalle - Lo que imparte'!$E$4:$E$11,MATCH(1,INDEX(EXACT('Detalle - Lo que imparte'!$A$4:$A$11,"ROTO"&amp;CHAR(30)&amp;"2")*1,0),0))),"",INDEX('Detalle - Lo que imparte'!$E$4:$E$11,MATCH(1,INDEX(EXACT('Detalle - Lo que imparte'!$A$4:$A$11,"ROTO"&amp;CHAR(30)&amp;"2")*1,0),0))))</f>
        <v/>
      </c>
      <c r="R24" s="3">
        <f>IF(ISNA(MATCH(1,INDEX(EXACT('Detalle - Lo que imparte'!$A$4:$A$11,"ROTO"&amp;CHAR(30)&amp;"2")*1,0),0)),"",IF(ISBLANK(INDEX('Detalle - Lo que imparte'!$F$4:$F$11,MATCH(1,INDEX(EXACT('Detalle - Lo que imparte'!$A$4:$A$11,"ROTO"&amp;CHAR(30)&amp;"2")*1,0),0))),"",INDEX('Detalle - Lo que imparte'!$F$4:$F$11,MATCH(1,INDEX(EXACT('Detalle - Lo que imparte'!$A$4:$A$11,"ROTO"&amp;CHAR(30)&amp;"2")*1,0),0))))</f>
        <v/>
      </c>
      <c r="S24" s="3">
        <f>IF(ISNA(MATCH(1,INDEX(EXACT('Detalle - Lo que imparte'!$A$4:$A$11,"ROTO"&amp;CHAR(30)&amp;"2")*1,0),0)),"",IF(ISBLANK(INDEX('Detalle - Lo que imparte'!$G$4:$G$11,MATCH(1,INDEX(EXACT('Detalle - Lo que imparte'!$A$4:$A$11,"ROTO"&amp;CHAR(30)&amp;"2")*1,0),0))),"",INDEX('Detalle - Lo que imparte'!$G$4:$G$11,MATCH(1,INDEX(EXACT('Detalle - Lo que imparte'!$A$4:$A$11,"ROTO"&amp;CHAR(30)&amp;"2")*1,0),0))))</f>
        <v/>
      </c>
      <c r="T24" s="3">
        <f>IF(ISNA(MATCH(1,INDEX(EXACT('Detalle - Lo que imparte'!$A$4:$A$11,"ROTO"&amp;CHAR(30)&amp;"2")*1,0),0)),"",IF(ISBLANK(INDEX('Detalle - Lo que imparte'!$H$4:$H$11,MATCH(1,INDEX(EXACT('Detalle - Lo que imparte'!$A$4:$A$11,"ROTO"&amp;CHAR(30)&amp;"2")*1,0),0))),"",INDEX('Detalle - Lo que imparte'!$H$4:$H$11,MATCH(1,INDEX(EXACT('Detalle - Lo que imparte'!$A$4:$A$11,"ROTO"&amp;CHAR(30)&amp;"2")*1,0),0))))</f>
        <v/>
      </c>
      <c r="U24" s="3">
        <f>IF(ISNA(MATCH(1,INDEX(EXACT('Detalle - Lo que imparte'!$A$4:$A$11,"ROTO"&amp;CHAR(30)&amp;"2")*1,0),0)),"",IF(ISBLANK(INDEX('Detalle - Lo que imparte'!$I$4:$I$11,MATCH(1,INDEX(EXACT('Detalle - Lo que imparte'!$A$4:$A$11,"ROTO"&amp;CHAR(30)&amp;"2")*1,0),0))),"",INDEX('Detalle - Lo que imparte'!$I$4:$I$11,MATCH(1,INDEX(EXACT('Detalle - Lo que imparte'!$A$4:$A$11,"ROTO"&amp;CHAR(30)&amp;"2")*1,0),0))))</f>
        <v/>
      </c>
      <c r="V24" s="3">
        <f>IF(ISNA(MATCH(1,INDEX(EXACT('Detalle - Lo que imparte'!$A$4:$A$11,"ROTO"&amp;CHAR(30)&amp;"2")*1,0),0)),"",IF(ISBLANK(INDEX('Detalle - Lo que imparte'!$J$4:$J$11,MATCH(1,INDEX(EXACT('Detalle - Lo que imparte'!$A$4:$A$11,"ROTO"&amp;CHAR(30)&amp;"2")*1,0),0))),"",INDEX('Detalle - Lo que imparte'!$J$4:$J$11,MATCH(1,INDEX(EXACT('Detalle - Lo que imparte'!$A$4:$A$11,"ROTO"&amp;CHAR(30)&amp;"2")*1,0),0))))</f>
        <v/>
      </c>
      <c r="W24" s="3">
        <f>IF(ISNA(MATCH(1,INDEX(EXACT('Detalle - Lo que imparte'!$A$4:$A$11,"ROTO"&amp;CHAR(30)&amp;"2")*1,0),0)),"",IF(ISBLANK(INDEX('Detalle - Lo que imparte'!$K$4:$K$11,MATCH(1,INDEX(EXACT('Detalle - Lo que imparte'!$A$4:$A$11,"ROTO"&amp;CHAR(30)&amp;"2")*1,0),0))),"",INDEX('Detalle - Lo que imparte'!$K$4:$K$11,MATCH(1,INDEX(EXACT('Detalle - Lo que imparte'!$A$4:$A$11,"ROTO"&amp;CHAR(30)&amp;"2")*1,0),0))))</f>
        <v/>
      </c>
      <c r="X24">
        <f>IF(ISNA(MATCH(1,INDEX(EXACT('Detalle - Lo que imparte'!$A$4:$A$11,"ROTO"&amp;CHAR(30)&amp;"2")*1,0),0)),"",IF(ISBLANK(INDEX('Detalle - Lo que imparte'!$L$4:$L$11,MATCH(1,INDEX(EXACT('Detalle - Lo que imparte'!$A$4:$A$11,"ROTO"&amp;CHAR(30)&amp;"2")*1,0),0))),"",INDEX('Detalle - Lo que imparte'!$L$4:$L$11,MATCH(1,INDEX(EXACT('Detalle - Lo que imparte'!$A$4:$A$11,"ROTO"&amp;CHAR(30)&amp;"2")*1,0),0))))</f>
        <v/>
      </c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>
        <f>IF(ISNA(MATCH(1,INDEX(EXACT('Detalle - Lo que imparte'!$A$4:$A$11,"ROTO"&amp;CHAR(30)&amp;"3")*1,0),0)),"",IF(ISBLANK(INDEX('Detalle - Lo que imparte'!$B$4:$B$11,MATCH(1,INDEX(EXACT('Detalle - Lo que imparte'!$A$4:$A$11,"ROTO"&amp;CHAR(30)&amp;"3")*1,0),0))),"",INDEX('Detalle - Lo que imparte'!$B$4:$B$11,MATCH(1,INDEX(EXACT('Detalle - Lo que imparte'!$A$4:$A$11,"ROTO"&amp;CHAR(30)&amp;"3")*1,0),0))))</f>
        <v/>
      </c>
      <c r="O25" s="3">
        <f>IF(ISNA(MATCH(1,INDEX(EXACT('Detalle - Lo que imparte'!$A$4:$A$11,"ROTO"&amp;CHAR(30)&amp;"3")*1,0),0)),"",IF(ISBLANK(INDEX('Detalle - Lo que imparte'!$C$4:$C$11,MATCH(1,INDEX(EXACT('Detalle - Lo que imparte'!$A$4:$A$11,"ROTO"&amp;CHAR(30)&amp;"3")*1,0),0))),"",INDEX('Detalle - Lo que imparte'!$C$4:$C$11,MATCH(1,INDEX(EXACT('Detalle - Lo que imparte'!$A$4:$A$11,"ROTO"&amp;CHAR(30)&amp;"3")*1,0),0))))</f>
        <v/>
      </c>
      <c r="P25" s="3">
        <f>IF(ISNA(MATCH(1,INDEX(EXACT('Detalle - Lo que imparte'!$A$4:$A$11,"ROTO"&amp;CHAR(30)&amp;"3")*1,0),0)),"",IF(ISBLANK(INDEX('Detalle - Lo que imparte'!$D$4:$D$11,MATCH(1,INDEX(EXACT('Detalle - Lo que imparte'!$A$4:$A$11,"ROTO"&amp;CHAR(30)&amp;"3")*1,0),0))),"",INDEX('Detalle - Lo que imparte'!$D$4:$D$11,MATCH(1,INDEX(EXACT('Detalle - Lo que imparte'!$A$4:$A$11,"ROTO"&amp;CHAR(30)&amp;"3")*1,0),0))))</f>
        <v/>
      </c>
      <c r="Q25" s="3">
        <f>IF(ISNA(MATCH(1,INDEX(EXACT('Detalle - Lo que imparte'!$A$4:$A$11,"ROTO"&amp;CHAR(30)&amp;"3")*1,0),0)),"",IF(ISBLANK(INDEX('Detalle - Lo que imparte'!$E$4:$E$11,MATCH(1,INDEX(EXACT('Detalle - Lo que imparte'!$A$4:$A$11,"ROTO"&amp;CHAR(30)&amp;"3")*1,0),0))),"",INDEX('Detalle - Lo que imparte'!$E$4:$E$11,MATCH(1,INDEX(EXACT('Detalle - Lo que imparte'!$A$4:$A$11,"ROTO"&amp;CHAR(30)&amp;"3")*1,0),0))))</f>
        <v/>
      </c>
      <c r="R25" s="3">
        <f>IF(ISNA(MATCH(1,INDEX(EXACT('Detalle - Lo que imparte'!$A$4:$A$11,"ROTO"&amp;CHAR(30)&amp;"3")*1,0),0)),"",IF(ISBLANK(INDEX('Detalle - Lo que imparte'!$F$4:$F$11,MATCH(1,INDEX(EXACT('Detalle - Lo que imparte'!$A$4:$A$11,"ROTO"&amp;CHAR(30)&amp;"3")*1,0),0))),"",INDEX('Detalle - Lo que imparte'!$F$4:$F$11,MATCH(1,INDEX(EXACT('Detalle - Lo que imparte'!$A$4:$A$11,"ROTO"&amp;CHAR(30)&amp;"3")*1,0),0))))</f>
        <v/>
      </c>
      <c r="S25" s="3">
        <f>IF(ISNA(MATCH(1,INDEX(EXACT('Detalle - Lo que imparte'!$A$4:$A$11,"ROTO"&amp;CHAR(30)&amp;"3")*1,0),0)),"",IF(ISBLANK(INDEX('Detalle - Lo que imparte'!$G$4:$G$11,MATCH(1,INDEX(EXACT('Detalle - Lo que imparte'!$A$4:$A$11,"ROTO"&amp;CHAR(30)&amp;"3")*1,0),0))),"",INDEX('Detalle - Lo que imparte'!$G$4:$G$11,MATCH(1,INDEX(EXACT('Detalle - Lo que imparte'!$A$4:$A$11,"ROTO"&amp;CHAR(30)&amp;"3")*1,0),0))))</f>
        <v/>
      </c>
      <c r="T25" s="3">
        <f>IF(ISNA(MATCH(1,INDEX(EXACT('Detalle - Lo que imparte'!$A$4:$A$11,"ROTO"&amp;CHAR(30)&amp;"3")*1,0),0)),"",IF(ISBLANK(INDEX('Detalle - Lo que imparte'!$H$4:$H$11,MATCH(1,INDEX(EXACT('Detalle - Lo que imparte'!$A$4:$A$11,"ROTO"&amp;CHAR(30)&amp;"3")*1,0),0))),"",INDEX('Detalle - Lo que imparte'!$H$4:$H$11,MATCH(1,INDEX(EXACT('Detalle - Lo que imparte'!$A$4:$A$11,"ROTO"&amp;CHAR(30)&amp;"3")*1,0),0))))</f>
        <v/>
      </c>
      <c r="U25" s="3">
        <f>IF(ISNA(MATCH(1,INDEX(EXACT('Detalle - Lo que imparte'!$A$4:$A$11,"ROTO"&amp;CHAR(30)&amp;"3")*1,0),0)),"",IF(ISBLANK(INDEX('Detalle - Lo que imparte'!$I$4:$I$11,MATCH(1,INDEX(EXACT('Detalle - Lo que imparte'!$A$4:$A$11,"ROTO"&amp;CHAR(30)&amp;"3")*1,0),0))),"",INDEX('Detalle - Lo que imparte'!$I$4:$I$11,MATCH(1,INDEX(EXACT('Detalle - Lo que imparte'!$A$4:$A$11,"ROTO"&amp;CHAR(30)&amp;"3")*1,0),0))))</f>
        <v/>
      </c>
      <c r="V25" s="3">
        <f>IF(ISNA(MATCH(1,INDEX(EXACT('Detalle - Lo que imparte'!$A$4:$A$11,"ROTO"&amp;CHAR(30)&amp;"3")*1,0),0)),"",IF(ISBLANK(INDEX('Detalle - Lo que imparte'!$J$4:$J$11,MATCH(1,INDEX(EXACT('Detalle - Lo que imparte'!$A$4:$A$11,"ROTO"&amp;CHAR(30)&amp;"3")*1,0),0))),"",INDEX('Detalle - Lo que imparte'!$J$4:$J$11,MATCH(1,INDEX(EXACT('Detalle - Lo que imparte'!$A$4:$A$11,"ROTO"&amp;CHAR(30)&amp;"3")*1,0),0))))</f>
        <v/>
      </c>
      <c r="W25" s="3">
        <f>IF(ISNA(MATCH(1,INDEX(EXACT('Detalle - Lo que imparte'!$A$4:$A$11,"ROTO"&amp;CHAR(30)&amp;"3")*1,0),0)),"",IF(ISBLANK(INDEX('Detalle - Lo que imparte'!$K$4:$K$11,MATCH(1,INDEX(EXACT('Detalle - Lo que imparte'!$A$4:$A$11,"ROTO"&amp;CHAR(30)&amp;"3")*1,0),0))),"",INDEX('Detalle - Lo que imparte'!$K$4:$K$11,MATCH(1,INDEX(EXACT('Detalle - Lo que imparte'!$A$4:$A$11,"ROTO"&amp;CHAR(30)&amp;"3")*1,0),0))))</f>
        <v/>
      </c>
      <c r="X25">
        <f>IF(ISNA(MATCH(1,INDEX(EXACT('Detalle - Lo que imparte'!$A$4:$A$11,"ROTO"&amp;CHAR(30)&amp;"3")*1,0),0)),"",IF(ISBLANK(INDEX('Detalle - Lo que imparte'!$L$4:$L$11,MATCH(1,INDEX(EXACT('Detalle - Lo que imparte'!$A$4:$A$11,"ROTO"&amp;CHAR(30)&amp;"3")*1,0),0))),"",INDEX('Detalle - Lo que imparte'!$L$4:$L$11,MATCH(1,INDEX(EXACT('Detalle - Lo que imparte'!$A$4:$A$11,"ROTO"&amp;CHAR(30)&amp;"3")*1,0),0))))</f>
        <v/>
      </c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>
        <f>IF(ISNA(MATCH(1,INDEX(EXACT('Detalle - Lo que imparte'!$A$4:$A$11,"ROTO"&amp;CHAR(30)&amp;"4")*1,0),0)),"",IF(ISBLANK(INDEX('Detalle - Lo que imparte'!$B$4:$B$11,MATCH(1,INDEX(EXACT('Detalle - Lo que imparte'!$A$4:$A$11,"ROTO"&amp;CHAR(30)&amp;"4")*1,0),0))),"",INDEX('Detalle - Lo que imparte'!$B$4:$B$11,MATCH(1,INDEX(EXACT('Detalle - Lo que imparte'!$A$4:$A$11,"ROTO"&amp;CHAR(30)&amp;"4")*1,0),0))))</f>
        <v/>
      </c>
      <c r="O26" s="3">
        <f>IF(ISNA(MATCH(1,INDEX(EXACT('Detalle - Lo que imparte'!$A$4:$A$11,"ROTO"&amp;CHAR(30)&amp;"4")*1,0),0)),"",IF(ISBLANK(INDEX('Detalle - Lo que imparte'!$C$4:$C$11,MATCH(1,INDEX(EXACT('Detalle - Lo que imparte'!$A$4:$A$11,"ROTO"&amp;CHAR(30)&amp;"4")*1,0),0))),"",INDEX('Detalle - Lo que imparte'!$C$4:$C$11,MATCH(1,INDEX(EXACT('Detalle - Lo que imparte'!$A$4:$A$11,"ROTO"&amp;CHAR(30)&amp;"4")*1,0),0))))</f>
        <v/>
      </c>
      <c r="P26" s="3">
        <f>IF(ISNA(MATCH(1,INDEX(EXACT('Detalle - Lo que imparte'!$A$4:$A$11,"ROTO"&amp;CHAR(30)&amp;"4")*1,0),0)),"",IF(ISBLANK(INDEX('Detalle - Lo que imparte'!$D$4:$D$11,MATCH(1,INDEX(EXACT('Detalle - Lo que imparte'!$A$4:$A$11,"ROTO"&amp;CHAR(30)&amp;"4")*1,0),0))),"",INDEX('Detalle - Lo que imparte'!$D$4:$D$11,MATCH(1,INDEX(EXACT('Detalle - Lo que imparte'!$A$4:$A$11,"ROTO"&amp;CHAR(30)&amp;"4")*1,0),0))))</f>
        <v/>
      </c>
      <c r="Q26" s="3">
        <f>IF(ISNA(MATCH(1,INDEX(EXACT('Detalle - Lo que imparte'!$A$4:$A$11,"ROTO"&amp;CHAR(30)&amp;"4")*1,0),0)),"",IF(ISBLANK(INDEX('Detalle - Lo que imparte'!$E$4:$E$11,MATCH(1,INDEX(EXACT('Detalle - Lo que imparte'!$A$4:$A$11,"ROTO"&amp;CHAR(30)&amp;"4")*1,0),0))),"",INDEX('Detalle - Lo que imparte'!$E$4:$E$11,MATCH(1,INDEX(EXACT('Detalle - Lo que imparte'!$A$4:$A$11,"ROTO"&amp;CHAR(30)&amp;"4")*1,0),0))))</f>
        <v/>
      </c>
      <c r="R26" s="3">
        <f>IF(ISNA(MATCH(1,INDEX(EXACT('Detalle - Lo que imparte'!$A$4:$A$11,"ROTO"&amp;CHAR(30)&amp;"4")*1,0),0)),"",IF(ISBLANK(INDEX('Detalle - Lo que imparte'!$F$4:$F$11,MATCH(1,INDEX(EXACT('Detalle - Lo que imparte'!$A$4:$A$11,"ROTO"&amp;CHAR(30)&amp;"4")*1,0),0))),"",INDEX('Detalle - Lo que imparte'!$F$4:$F$11,MATCH(1,INDEX(EXACT('Detalle - Lo que imparte'!$A$4:$A$11,"ROTO"&amp;CHAR(30)&amp;"4")*1,0),0))))</f>
        <v/>
      </c>
      <c r="S26" s="3">
        <f>IF(ISNA(MATCH(1,INDEX(EXACT('Detalle - Lo que imparte'!$A$4:$A$11,"ROTO"&amp;CHAR(30)&amp;"4")*1,0),0)),"",IF(ISBLANK(INDEX('Detalle - Lo que imparte'!$G$4:$G$11,MATCH(1,INDEX(EXACT('Detalle - Lo que imparte'!$A$4:$A$11,"ROTO"&amp;CHAR(30)&amp;"4")*1,0),0))),"",INDEX('Detalle - Lo que imparte'!$G$4:$G$11,MATCH(1,INDEX(EXACT('Detalle - Lo que imparte'!$A$4:$A$11,"ROTO"&amp;CHAR(30)&amp;"4")*1,0),0))))</f>
        <v/>
      </c>
      <c r="T26" s="3">
        <f>IF(ISNA(MATCH(1,INDEX(EXACT('Detalle - Lo que imparte'!$A$4:$A$11,"ROTO"&amp;CHAR(30)&amp;"4")*1,0),0)),"",IF(ISBLANK(INDEX('Detalle - Lo que imparte'!$H$4:$H$11,MATCH(1,INDEX(EXACT('Detalle - Lo que imparte'!$A$4:$A$11,"ROTO"&amp;CHAR(30)&amp;"4")*1,0),0))),"",INDEX('Detalle - Lo que imparte'!$H$4:$H$11,MATCH(1,INDEX(EXACT('Detalle - Lo que imparte'!$A$4:$A$11,"ROTO"&amp;CHAR(30)&amp;"4")*1,0),0))))</f>
        <v/>
      </c>
      <c r="U26" s="3">
        <f>IF(ISNA(MATCH(1,INDEX(EXACT('Detalle - Lo que imparte'!$A$4:$A$11,"ROTO"&amp;CHAR(30)&amp;"4")*1,0),0)),"",IF(ISBLANK(INDEX('Detalle - Lo que imparte'!$I$4:$I$11,MATCH(1,INDEX(EXACT('Detalle - Lo que imparte'!$A$4:$A$11,"ROTO"&amp;CHAR(30)&amp;"4")*1,0),0))),"",INDEX('Detalle - Lo que imparte'!$I$4:$I$11,MATCH(1,INDEX(EXACT('Detalle - Lo que imparte'!$A$4:$A$11,"ROTO"&amp;CHAR(30)&amp;"4")*1,0),0))))</f>
        <v/>
      </c>
      <c r="V26" s="3">
        <f>IF(ISNA(MATCH(1,INDEX(EXACT('Detalle - Lo que imparte'!$A$4:$A$11,"ROTO"&amp;CHAR(30)&amp;"4")*1,0),0)),"",IF(ISBLANK(INDEX('Detalle - Lo que imparte'!$J$4:$J$11,MATCH(1,INDEX(EXACT('Detalle - Lo que imparte'!$A$4:$A$11,"ROTO"&amp;CHAR(30)&amp;"4")*1,0),0))),"",INDEX('Detalle - Lo que imparte'!$J$4:$J$11,MATCH(1,INDEX(EXACT('Detalle - Lo que imparte'!$A$4:$A$11,"ROTO"&amp;CHAR(30)&amp;"4")*1,0),0))))</f>
        <v/>
      </c>
      <c r="W26" s="3">
        <f>IF(ISNA(MATCH(1,INDEX(EXACT('Detalle - Lo que imparte'!$A$4:$A$11,"ROTO"&amp;CHAR(30)&amp;"4")*1,0),0)),"",IF(ISBLANK(INDEX('Detalle - Lo que imparte'!$K$4:$K$11,MATCH(1,INDEX(EXACT('Detalle - Lo que imparte'!$A$4:$A$11,"ROTO"&amp;CHAR(30)&amp;"4")*1,0),0))),"",INDEX('Detalle - Lo que imparte'!$K$4:$K$11,MATCH(1,INDEX(EXACT('Detalle - Lo que imparte'!$A$4:$A$11,"ROTO"&amp;CHAR(30)&amp;"4")*1,0),0))))</f>
        <v/>
      </c>
      <c r="X26">
        <f>IF(ISNA(MATCH(1,INDEX(EXACT('Detalle - Lo que imparte'!$A$4:$A$11,"ROTO"&amp;CHAR(30)&amp;"4")*1,0),0)),"",IF(ISBLANK(INDEX('Detalle - Lo que imparte'!$L$4:$L$11,MATCH(1,INDEX(EXACT('Detalle - Lo que imparte'!$A$4:$A$11,"ROTO"&amp;CHAR(30)&amp;"4")*1,0),0))),"",INDEX('Detalle - Lo que imparte'!$L$4:$L$11,MATCH(1,INDEX(EXACT('Detalle - Lo que imparte'!$A$4:$A$11,"ROTO"&amp;CHAR(30)&amp;"4")*1,0),0))))</f>
        <v/>
      </c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>
        <f>IF(ISNA(MATCH(1,INDEX(EXACT('Detalle - Lo que imparte'!$A$4:$A$11,"ROTO"&amp;CHAR(30)&amp;"5")*1,0),0)),"",IF(ISBLANK(INDEX('Detalle - Lo que imparte'!$B$4:$B$11,MATCH(1,INDEX(EXACT('Detalle - Lo que imparte'!$A$4:$A$11,"ROTO"&amp;CHAR(30)&amp;"5")*1,0),0))),"",INDEX('Detalle - Lo que imparte'!$B$4:$B$11,MATCH(1,INDEX(EXACT('Detalle - Lo que imparte'!$A$4:$A$11,"ROTO"&amp;CHAR(30)&amp;"5")*1,0),0))))</f>
        <v/>
      </c>
      <c r="O27" s="3">
        <f>IF(ISNA(MATCH(1,INDEX(EXACT('Detalle - Lo que imparte'!$A$4:$A$11,"ROTO"&amp;CHAR(30)&amp;"5")*1,0),0)),"",IF(ISBLANK(INDEX('Detalle - Lo que imparte'!$C$4:$C$11,MATCH(1,INDEX(EXACT('Detalle - Lo que imparte'!$A$4:$A$11,"ROTO"&amp;CHAR(30)&amp;"5")*1,0),0))),"",INDEX('Detalle - Lo que imparte'!$C$4:$C$11,MATCH(1,INDEX(EXACT('Detalle - Lo que imparte'!$A$4:$A$11,"ROTO"&amp;CHAR(30)&amp;"5")*1,0),0))))</f>
        <v/>
      </c>
      <c r="P27" s="3">
        <f>IF(ISNA(MATCH(1,INDEX(EXACT('Detalle - Lo que imparte'!$A$4:$A$11,"ROTO"&amp;CHAR(30)&amp;"5")*1,0),0)),"",IF(ISBLANK(INDEX('Detalle - Lo que imparte'!$D$4:$D$11,MATCH(1,INDEX(EXACT('Detalle - Lo que imparte'!$A$4:$A$11,"ROTO"&amp;CHAR(30)&amp;"5")*1,0),0))),"",INDEX('Detalle - Lo que imparte'!$D$4:$D$11,MATCH(1,INDEX(EXACT('Detalle - Lo que imparte'!$A$4:$A$11,"ROTO"&amp;CHAR(30)&amp;"5")*1,0),0))))</f>
        <v/>
      </c>
      <c r="Q27" s="3">
        <f>IF(ISNA(MATCH(1,INDEX(EXACT('Detalle - Lo que imparte'!$A$4:$A$11,"ROTO"&amp;CHAR(30)&amp;"5")*1,0),0)),"",IF(ISBLANK(INDEX('Detalle - Lo que imparte'!$E$4:$E$11,MATCH(1,INDEX(EXACT('Detalle - Lo que imparte'!$A$4:$A$11,"ROTO"&amp;CHAR(30)&amp;"5")*1,0),0))),"",INDEX('Detalle - Lo que imparte'!$E$4:$E$11,MATCH(1,INDEX(EXACT('Detalle - Lo que imparte'!$A$4:$A$11,"ROTO"&amp;CHAR(30)&amp;"5")*1,0),0))))</f>
        <v/>
      </c>
      <c r="R27" s="3">
        <f>IF(ISNA(MATCH(1,INDEX(EXACT('Detalle - Lo que imparte'!$A$4:$A$11,"ROTO"&amp;CHAR(30)&amp;"5")*1,0),0)),"",IF(ISBLANK(INDEX('Detalle - Lo que imparte'!$F$4:$F$11,MATCH(1,INDEX(EXACT('Detalle - Lo que imparte'!$A$4:$A$11,"ROTO"&amp;CHAR(30)&amp;"5")*1,0),0))),"",INDEX('Detalle - Lo que imparte'!$F$4:$F$11,MATCH(1,INDEX(EXACT('Detalle - Lo que imparte'!$A$4:$A$11,"ROTO"&amp;CHAR(30)&amp;"5")*1,0),0))))</f>
        <v/>
      </c>
      <c r="S27" s="3">
        <f>IF(ISNA(MATCH(1,INDEX(EXACT('Detalle - Lo que imparte'!$A$4:$A$11,"ROTO"&amp;CHAR(30)&amp;"5")*1,0),0)),"",IF(ISBLANK(INDEX('Detalle - Lo que imparte'!$G$4:$G$11,MATCH(1,INDEX(EXACT('Detalle - Lo que imparte'!$A$4:$A$11,"ROTO"&amp;CHAR(30)&amp;"5")*1,0),0))),"",INDEX('Detalle - Lo que imparte'!$G$4:$G$11,MATCH(1,INDEX(EXACT('Detalle - Lo que imparte'!$A$4:$A$11,"ROTO"&amp;CHAR(30)&amp;"5")*1,0),0))))</f>
        <v/>
      </c>
      <c r="T27" s="3">
        <f>IF(ISNA(MATCH(1,INDEX(EXACT('Detalle - Lo que imparte'!$A$4:$A$11,"ROTO"&amp;CHAR(30)&amp;"5")*1,0),0)),"",IF(ISBLANK(INDEX('Detalle - Lo que imparte'!$H$4:$H$11,MATCH(1,INDEX(EXACT('Detalle - Lo que imparte'!$A$4:$A$11,"ROTO"&amp;CHAR(30)&amp;"5")*1,0),0))),"",INDEX('Detalle - Lo que imparte'!$H$4:$H$11,MATCH(1,INDEX(EXACT('Detalle - Lo que imparte'!$A$4:$A$11,"ROTO"&amp;CHAR(30)&amp;"5")*1,0),0))))</f>
        <v/>
      </c>
      <c r="U27" s="3">
        <f>IF(ISNA(MATCH(1,INDEX(EXACT('Detalle - Lo que imparte'!$A$4:$A$11,"ROTO"&amp;CHAR(30)&amp;"5")*1,0),0)),"",IF(ISBLANK(INDEX('Detalle - Lo que imparte'!$I$4:$I$11,MATCH(1,INDEX(EXACT('Detalle - Lo que imparte'!$A$4:$A$11,"ROTO"&amp;CHAR(30)&amp;"5")*1,0),0))),"",INDEX('Detalle - Lo que imparte'!$I$4:$I$11,MATCH(1,INDEX(EXACT('Detalle - Lo que imparte'!$A$4:$A$11,"ROTO"&amp;CHAR(30)&amp;"5")*1,0),0))))</f>
        <v/>
      </c>
      <c r="V27" s="3">
        <f>IF(ISNA(MATCH(1,INDEX(EXACT('Detalle - Lo que imparte'!$A$4:$A$11,"ROTO"&amp;CHAR(30)&amp;"5")*1,0),0)),"",IF(ISBLANK(INDEX('Detalle - Lo que imparte'!$J$4:$J$11,MATCH(1,INDEX(EXACT('Detalle - Lo que imparte'!$A$4:$A$11,"ROTO"&amp;CHAR(30)&amp;"5")*1,0),0))),"",INDEX('Detalle - Lo que imparte'!$J$4:$J$11,MATCH(1,INDEX(EXACT('Detalle - Lo que imparte'!$A$4:$A$11,"ROTO"&amp;CHAR(30)&amp;"5")*1,0),0))))</f>
        <v/>
      </c>
      <c r="W27" s="3">
        <f>IF(ISNA(MATCH(1,INDEX(EXACT('Detalle - Lo que imparte'!$A$4:$A$11,"ROTO"&amp;CHAR(30)&amp;"5")*1,0),0)),"",IF(ISBLANK(INDEX('Detalle - Lo que imparte'!$K$4:$K$11,MATCH(1,INDEX(EXACT('Detalle - Lo que imparte'!$A$4:$A$11,"ROTO"&amp;CHAR(30)&amp;"5")*1,0),0))),"",INDEX('Detalle - Lo que imparte'!$K$4:$K$11,MATCH(1,INDEX(EXACT('Detalle - Lo que imparte'!$A$4:$A$11,"ROTO"&amp;CHAR(30)&amp;"5")*1,0),0))))</f>
        <v/>
      </c>
      <c r="X27">
        <f>IF(ISNA(MATCH(1,INDEX(EXACT('Detalle - Lo que imparte'!$A$4:$A$11,"ROTO"&amp;CHAR(30)&amp;"5")*1,0),0)),"",IF(ISBLANK(INDEX('Detalle - Lo que imparte'!$L$4:$L$11,MATCH(1,INDEX(EXACT('Detalle - Lo que imparte'!$A$4:$A$11,"ROTO"&amp;CHAR(30)&amp;"5")*1,0),0))),"",INDEX('Detalle - Lo que imparte'!$L$4:$L$11,MATCH(1,INDEX(EXACT('Detalle - Lo que imparte'!$A$4:$A$11,"ROTO"&amp;CHAR(30)&amp;"5")*1,0),0))))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BFBF"/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Listas de los desplegables</t>
        </is>
      </c>
    </row>
    <row r="3">
      <c r="A3" s="3" t="n"/>
    </row>
    <row r="4">
      <c r="A4" s="3" t="inlineStr">
        <is>
          <t>EST-CC</t>
        </is>
      </c>
      <c r="B4" t="inlineStr">
        <is>
          <t>Conf</t>
        </is>
      </c>
      <c r="C4" t="inlineStr">
        <is>
          <t>PIAD</t>
        </is>
      </c>
    </row>
    <row r="5">
      <c r="A5" s="3" t="inlineStr">
        <is>
          <t>EST-MAT</t>
        </is>
      </c>
      <c r="B5" t="inlineStr">
        <is>
          <t>CP</t>
        </is>
      </c>
      <c r="C5" t="inlineStr">
        <is>
          <t>MARA</t>
        </is>
      </c>
    </row>
    <row r="6">
      <c r="A6" s="3" t="inlineStr">
        <is>
          <t>PROB</t>
        </is>
      </c>
      <c r="C6" t="inlineStr">
        <is>
          <t>LUGO</t>
        </is>
      </c>
    </row>
    <row r="7">
      <c r="A7" s="3" t="inlineStr">
        <is>
          <t>MNUM</t>
        </is>
      </c>
      <c r="C7" t="inlineStr">
        <is>
          <t>ROTO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2026-10-21T04:52:00Z</dcterms:created>
  <dcterms:modified xmlns:dcterms="http://purl.org/dc/terms/" xmlns:xsi="http://www.w3.org/2001/XMLSchema-instance" xsi:type="dcterms:W3CDTF">2026-10-21T04:52:00Z</dcterms:modified>
</cp:coreProperties>
</file>